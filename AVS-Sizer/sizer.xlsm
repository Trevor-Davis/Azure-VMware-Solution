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9"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0" documentId="8_{30CFFCB0-9596-4FF0-9B22-BB9E33420335}" xr6:coauthVersionLast="47" xr6:coauthVersionMax="47" xr10:uidLastSave="{00000000-0000-0000-0000-000000000000}"/>
  <bookViews>
    <workbookView xWindow="-98" yWindow="-98" windowWidth="24496" windowHeight="15675" tabRatio="844" activeTab="9"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state="hidden"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16" l="1"/>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I7" i="16"/>
  <c r="J7" i="16" s="1"/>
  <c r="J8" i="16" s="1"/>
  <c r="J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C19" i="5" l="1"/>
  <c r="D12" i="15"/>
  <c r="C10" i="15"/>
  <c r="D11" i="15"/>
  <c r="A2" i="24"/>
  <c r="A2" i="25"/>
  <c r="D4" i="15"/>
  <c r="C4" i="15"/>
  <c r="B18" i="16" l="1"/>
  <c r="C25" i="16"/>
  <c r="C26" i="16" s="1"/>
  <c r="C12" i="15"/>
  <c r="E18" i="16"/>
  <c r="F18" i="16"/>
  <c r="G18" i="16"/>
  <c r="H18" i="16"/>
  <c r="H31" i="16" l="1"/>
  <c r="C28" i="16" s="1"/>
  <c r="G30" i="16"/>
  <c r="E30" i="16"/>
  <c r="H32" i="16"/>
  <c r="C29" i="16" s="1"/>
  <c r="G31" i="16"/>
  <c r="F30" i="16"/>
  <c r="G32" i="16"/>
  <c r="F31" i="16"/>
  <c r="E32" i="16"/>
  <c r="F32" i="16"/>
  <c r="H30" i="16"/>
  <c r="C27" i="16" s="1"/>
  <c r="E31" i="16"/>
  <c r="C6" i="15"/>
  <c r="C8" i="15"/>
  <c r="C14" i="5" l="1"/>
  <c r="C16" i="5" l="1"/>
  <c r="C13" i="5"/>
  <c r="A4" i="24" s="1"/>
  <c r="C9" i="15" l="1"/>
  <c r="B13" i="4"/>
  <c r="A5" i="24" s="1"/>
  <c r="A6" i="24" s="1"/>
  <c r="C8" i="5"/>
  <c r="C20" i="5"/>
  <c r="C21" i="5" s="1"/>
  <c r="C13" i="15" s="1"/>
  <c r="B10" i="24" l="1"/>
  <c r="C19" i="4" s="1"/>
  <c r="C10" i="24"/>
  <c r="D19" i="4" s="1"/>
  <c r="A10" i="24"/>
  <c r="B19" i="4" s="1"/>
  <c r="B25" i="16"/>
  <c r="B26" i="16" s="1"/>
  <c r="C22" i="5"/>
  <c r="C10" i="5"/>
  <c r="C7" i="5"/>
  <c r="A4" i="25" s="1"/>
  <c r="B7" i="16"/>
  <c r="B8" i="16" s="1"/>
  <c r="B9" i="16" s="1"/>
  <c r="C11" i="16" s="1"/>
  <c r="C11" i="15"/>
  <c r="B17" i="16"/>
  <c r="G26" i="16" l="1"/>
  <c r="E26" i="16"/>
  <c r="H26" i="16"/>
  <c r="B29" i="16" s="1"/>
  <c r="C20" i="4" s="1"/>
  <c r="G25" i="16"/>
  <c r="E25" i="16"/>
  <c r="H25" i="16"/>
  <c r="B28" i="16" s="1"/>
  <c r="B20" i="4" s="1"/>
  <c r="F26" i="16"/>
  <c r="H24" i="16"/>
  <c r="B27" i="16" s="1"/>
  <c r="D20" i="4" s="1"/>
  <c r="F25" i="16"/>
  <c r="C7" i="15"/>
  <c r="B12" i="4"/>
  <c r="A5" i="25" s="1"/>
  <c r="A6" i="25" s="1"/>
  <c r="F24" i="16"/>
  <c r="E24" i="16"/>
  <c r="G24" i="16"/>
  <c r="B10" i="16"/>
  <c r="B11" i="16" s="1"/>
  <c r="B12" i="16" s="1"/>
  <c r="E17" i="16"/>
  <c r="G17" i="16"/>
  <c r="H17" i="16"/>
  <c r="F17" i="16"/>
  <c r="B10" i="25" l="1"/>
  <c r="C18" i="4" s="1"/>
  <c r="C10" i="25"/>
  <c r="D18" i="4" s="1"/>
  <c r="A10" i="25"/>
  <c r="B18" i="4" s="1"/>
  <c r="D22" i="4"/>
  <c r="D23" i="4" s="1"/>
  <c r="C22" i="4"/>
  <c r="C23" i="4" s="1"/>
  <c r="B22" i="4"/>
  <c r="B23" i="4" l="1"/>
  <c r="D5" i="15"/>
  <c r="E5" i="15" s="1"/>
  <c r="D6" i="15" l="1"/>
  <c r="D7" i="15" s="1"/>
  <c r="D10" i="15"/>
  <c r="D13" i="15" s="1"/>
  <c r="D8" i="15"/>
  <c r="D9" i="15" s="1"/>
</calcChain>
</file>

<file path=xl/sharedStrings.xml><?xml version="1.0" encoding="utf-8"?>
<sst xmlns="http://schemas.openxmlformats.org/spreadsheetml/2006/main" count="153" uniqueCount="115">
  <si>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</si>
  <si>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</si>
  <si>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</si>
  <si>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</si>
  <si>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</si>
  <si>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</si>
  <si>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</si>
  <si>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</si>
  <si>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</si>
  <si>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</si>
  <si>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</si>
  <si>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</si>
  <si>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</si>
  <si>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</si>
  <si>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</si>
  <si>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</si>
  <si>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</si>
  <si>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</si>
  <si>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</si>
  <si>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</si>
  <si>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</si>
  <si>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</si>
  <si>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</si>
  <si>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</si>
  <si>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</si>
  <si>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</si>
  <si>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</si>
  <si>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</si>
  <si>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</si>
  <si>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</si>
  <si>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</si>
  <si>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</si>
  <si>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</si>
  <si>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</si>
  <si>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</si>
  <si>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</si>
  <si>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</si>
  <si>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</si>
  <si>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</si>
  <si>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</si>
  <si>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</si>
  <si>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</si>
  <si>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</si>
  <si>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</si>
  <si>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</si>
  <si>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</si>
  <si>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</si>
  <si>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</si>
  <si>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</si>
  <si>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</si>
  <si>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</si>
  <si>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</si>
  <si>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</si>
  <si>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</si>
  <si>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</si>
  <si>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</si>
  <si>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</si>
  <si>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</si>
  <si>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</si>
  <si>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</si>
  <si>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</si>
  <si>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</si>
  <si>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</si>
  <si>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</si>
  <si>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</si>
  <si>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</si>
  <si>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</si>
  <si>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</si>
  <si>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</si>
  <si>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</si>
  <si>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</si>
  <si>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</si>
  <si>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</si>
  <si>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</si>
  <si>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</si>
  <si>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</si>
  <si>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</si>
  <si>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</si>
  <si>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</si>
  <si>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</si>
  <si>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</si>
  <si>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</si>
  <si>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</si>
  <si>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</si>
  <si>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</si>
  <si>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</si>
  <si>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</si>
  <si>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</si>
  <si>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</si>
  <si>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</si>
  <si>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</si>
  <si>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</si>
  <si>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</si>
  <si>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</si>
  <si>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</si>
  <si>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</si>
  <si>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</si>
  <si>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</si>
  <si>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</si>
  <si>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</si>
  <si>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</si>
  <si>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</si>
  <si>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</si>
  <si>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</si>
  <si>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</si>
  <si>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rv</t>
  </si>
  <si>
    <t>Data Imported From</t>
  </si>
  <si>
    <t>ALPD10VCSA04_RVTools_export_all_2022-06-29_13.32.25.xlsx</t>
  </si>
  <si>
    <t>If importing from RVTools this number will be what is calculated based on the data in RVTools</t>
  </si>
  <si>
    <t>Consumed</t>
  </si>
  <si>
    <t>AV36 Hosts</t>
  </si>
  <si>
    <t xml:space="preserve">AV36P Hosts </t>
  </si>
  <si>
    <t xml:space="preserve">AV52 Hosts </t>
  </si>
  <si>
    <t>DEPLOYED</t>
  </si>
  <si>
    <t>CONSUMED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</si>
</sst>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7"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cellStyleXfs>
  <cellXfs count="107">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1" fontId="13" fillId="2" borderId="1" xfId="4" applyNumberFormat="1"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0" fontId="15" fillId="3" borderId="1" xfId="0" applyFont="1" applyFill="1" applyBorder="1" applyAlignment="1">
      <alignment horizontal="center"/>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0" fillId="5" borderId="1" xfId="5" applyFont="1" applyFill="1" applyAlignment="1">
      <alignment horizontal="center"/>
    </xf>
    <xf numFmtId="165" fontId="13" fillId="2" borderId="1" xfId="4" applyNumberFormat="1" applyFont="1" applyFill="1" applyBorder="1" applyAlignment="1" applyProtection="1">
      <alignment horizontal="center"/>
      <protection locked="0"/>
    </xf>
    <xf numFmtId="0" fontId="13" fillId="0" borderId="1" xfId="5" applyFont="1" applyBorder="1" applyAlignment="1">
      <alignment horizontal="left"/>
    </xf>
    <xf numFmtId="165" fontId="0" fillId="0" borderId="0" xfId="0" applyNumberFormat="1"/>
    <xf numFmtId="0" fontId="25" fillId="0" borderId="0" xfId="0" applyFont="1" applyAlignment="1">
      <alignment horizontal="center"/>
    </xf>
    <xf numFmtId="0" fontId="26" fillId="11" borderId="0" xfId="0" applyFont="1" applyFill="1" applyAlignment="1">
      <alignment horizontal="center"/>
    </xf>
  </cellXfs>
  <cellStyles count="10">
    <cellStyle name="Comma" xfId="3" builtinId="3"/>
    <cellStyle name="Comma 2" xfId="7" xr:uid="{DCD1A837-9915-4C39-A223-3CC6F9C62875}"/>
    <cellStyle name="Comma 3" xfId="8" xr:uid="{27985B2F-6CE2-45E5-B753-F2DE28799D2B}"/>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280988</xdr:rowOff>
        </xdr:from>
        <xdr:to>
          <xdr:col>9</xdr:col>
          <xdr:colOff>328613</xdr:colOff>
          <xdr:row>8</xdr:row>
          <xdr:rowOff>109538</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11</xdr:row>
          <xdr:rowOff>133350</xdr:rowOff>
        </xdr:from>
        <xdr:to>
          <xdr:col>9</xdr:col>
          <xdr:colOff>342900</xdr:colOff>
          <xdr:row>18</xdr:row>
          <xdr:rowOff>14288</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138112</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9"/>
  <sheetViews>
    <sheetView workbookViewId="0">
      <selection activeCell="K29" sqref="K29"/>
    </sheetView>
  </sheetViews>
  <sheetFormatPr defaultColWidth="9" defaultRowHeight="12.75" x14ac:dyDescent="0.35"/>
  <cols>
    <col min="1" max="16384" width="9" style="40"/>
  </cols>
  <sheetData>
    <row r="2" spans="1:54" ht="27.75" x14ac:dyDescent="0.75">
      <c r="A2" s="98" t="s">
        <v>98</v>
      </c>
      <c r="B2" s="98"/>
      <c r="C2" s="98"/>
      <c r="D2" s="98"/>
      <c r="E2" s="98"/>
      <c r="F2" s="98"/>
      <c r="G2" s="98"/>
      <c r="H2" s="98"/>
      <c r="I2" s="98"/>
      <c r="J2" s="98"/>
      <c r="K2" s="98"/>
      <c r="L2" s="98"/>
      <c r="M2" s="98"/>
      <c r="N2" s="98"/>
      <c r="O2" s="98"/>
      <c r="AK2" s="41"/>
      <c r="BB2" s="41"/>
    </row>
    <row r="3" spans="1:54" ht="27.75" x14ac:dyDescent="0.75">
      <c r="C3" s="39"/>
      <c r="D3" s="39"/>
      <c r="E3" s="39"/>
      <c r="F3" s="39"/>
      <c r="G3" s="39"/>
      <c r="H3" s="39"/>
      <c r="AK3" s="41"/>
      <c r="BB3" s="41"/>
    </row>
    <row r="4" spans="1:54" x14ac:dyDescent="0.35">
      <c r="AK4" s="41"/>
      <c r="BB4" s="41"/>
    </row>
    <row r="5" spans="1:54" x14ac:dyDescent="0.35">
      <c r="AK5" s="41"/>
      <c r="BB5" s="41"/>
    </row>
    <row r="6" spans="1:54" x14ac:dyDescent="0.35">
      <c r="AK6" s="41"/>
      <c r="BB6" s="41"/>
    </row>
    <row r="7" spans="1:54" x14ac:dyDescent="0.35">
      <c r="AK7" s="41"/>
      <c r="BB7" s="41"/>
    </row>
    <row r="8" spans="1:54" x14ac:dyDescent="0.35">
      <c r="AK8" s="41"/>
      <c r="BB8" s="41"/>
    </row>
    <row r="9" spans="1:54" x14ac:dyDescent="0.35">
      <c r="AK9" s="41"/>
      <c r="BB9" s="41"/>
    </row>
    <row r="10" spans="1:54" x14ac:dyDescent="0.35">
      <c r="AK10" s="41"/>
      <c r="BB10" s="41"/>
    </row>
    <row r="11" spans="1:54" x14ac:dyDescent="0.35">
      <c r="AK11" s="41"/>
      <c r="BB11" s="41"/>
    </row>
    <row r="12" spans="1:54" x14ac:dyDescent="0.35">
      <c r="AK12" s="41"/>
      <c r="BB12" s="41"/>
    </row>
    <row r="13" spans="1:54" x14ac:dyDescent="0.35">
      <c r="AK13" s="41"/>
      <c r="BB13" s="41"/>
    </row>
    <row r="14" spans="1:54" x14ac:dyDescent="0.35">
      <c r="AK14" s="41"/>
      <c r="BB14" s="41"/>
    </row>
    <row r="15" spans="1:54" x14ac:dyDescent="0.35">
      <c r="AK15" s="41"/>
      <c r="BB15" s="41"/>
    </row>
    <row r="16" spans="1:54" x14ac:dyDescent="0.35">
      <c r="AK16" s="41"/>
      <c r="BB16" s="41"/>
    </row>
    <row r="17" spans="37:54" x14ac:dyDescent="0.35">
      <c r="AK17" s="41"/>
      <c r="BB17" s="41"/>
    </row>
    <row r="18" spans="37:54" x14ac:dyDescent="0.35">
      <c r="AK18" s="41"/>
      <c r="BB18" s="41"/>
    </row>
    <row r="19" spans="37:54" x14ac:dyDescent="0.35">
      <c r="AK19" s="41"/>
      <c r="BB19" s="41"/>
    </row>
    <row r="20" spans="37:54" x14ac:dyDescent="0.35">
      <c r="AK20" s="41"/>
      <c r="BB20" s="41"/>
    </row>
    <row r="21" spans="37:54" x14ac:dyDescent="0.35">
      <c r="AK21" s="41"/>
      <c r="BB21" s="41"/>
    </row>
    <row r="22" spans="37:54" x14ac:dyDescent="0.35">
      <c r="AK22" s="41"/>
      <c r="BB22" s="41"/>
    </row>
    <row r="23" spans="37:54" x14ac:dyDescent="0.35">
      <c r="AK23" s="41"/>
      <c r="BB23" s="41"/>
    </row>
    <row r="24" spans="37:54" x14ac:dyDescent="0.35">
      <c r="AK24" s="41"/>
      <c r="BB24" s="41"/>
    </row>
    <row r="25" spans="37:54" x14ac:dyDescent="0.35">
      <c r="AK25" s="41"/>
      <c r="BB25" s="41"/>
    </row>
    <row r="26" spans="37:54" x14ac:dyDescent="0.35">
      <c r="AK26" s="41"/>
      <c r="BB26" s="41"/>
    </row>
    <row r="27" spans="37:54" x14ac:dyDescent="0.35">
      <c r="AK27" s="41"/>
      <c r="BB27" s="41"/>
    </row>
    <row r="28" spans="37:54" x14ac:dyDescent="0.35">
      <c r="AK28" s="41"/>
      <c r="BB28" s="41"/>
    </row>
    <row r="29" spans="37:54" x14ac:dyDescent="0.35">
      <c r="AK29" s="41"/>
      <c r="BB29" s="41"/>
    </row>
    <row r="97" spans="1:2" hidden="1" x14ac:dyDescent="0.35"/>
    <row r="98" spans="1:2" hidden="1" x14ac:dyDescent="0.35"/>
    <row r="99" spans="1:2" hidden="1" x14ac:dyDescent="0.35">
      <c r="A99" s="81" t="s">
        <v>105</v>
      </c>
    </row>
    <row r="100" spans="1:2" hidden="1" x14ac:dyDescent="0.35">
      <c r="A100" s="82">
        <v>3000</v>
      </c>
      <c r="B100" s="40" t="s">
        <v>99</v>
      </c>
    </row>
    <row r="101" spans="1:2" hidden="1" x14ac:dyDescent="0.35">
      <c r="A101" s="82">
        <v>4</v>
      </c>
      <c r="B101" s="40" t="s">
        <v>100</v>
      </c>
    </row>
    <row r="102" spans="1:2" hidden="1" x14ac:dyDescent="0.35">
      <c r="A102" s="82">
        <v>200</v>
      </c>
      <c r="B102" s="40" t="s">
        <v>101</v>
      </c>
    </row>
    <row r="103" spans="1:2" hidden="1" x14ac:dyDescent="0.35">
      <c r="A103" s="82">
        <v>1200000</v>
      </c>
      <c r="B103" s="40" t="s">
        <v>102</v>
      </c>
    </row>
    <row r="104" spans="1:2" hidden="1" x14ac:dyDescent="0.35">
      <c r="A104" s="82">
        <v>1</v>
      </c>
      <c r="B104" s="40" t="s">
        <v>103</v>
      </c>
    </row>
    <row r="105" spans="1:2" hidden="1" x14ac:dyDescent="0.35"/>
    <row r="106" spans="1:2" hidden="1" x14ac:dyDescent="0.35"/>
    <row r="107" spans="1:2" hidden="1" x14ac:dyDescent="0.35"/>
    <row r="108" spans="1:2" hidden="1" x14ac:dyDescent="0.35"/>
    <row r="109" spans="1:2" hidden="1" x14ac:dyDescent="0.35"/>
  </sheetData>
  <mergeCells count="1">
    <mergeCell ref="A2:O2"/>
  </mergeCell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26" r:id="rId4" name="ImportRVTools">
          <controlPr defaultSize="0" autoLine="0" r:id="rId5">
            <anchor moveWithCells="1">
              <from>
                <xdr:col>5</xdr:col>
                <xdr:colOff>266700</xdr:colOff>
                <xdr:row>2</xdr:row>
                <xdr:rowOff>280988</xdr:rowOff>
              </from>
              <to>
                <xdr:col>9</xdr:col>
                <xdr:colOff>328613</xdr:colOff>
                <xdr:row>8</xdr:row>
                <xdr:rowOff>109538</xdr:rowOff>
              </to>
            </anchor>
          </controlPr>
        </control>
      </mc:Choice>
      <mc:Fallback>
        <control shapeId="1026" r:id="rId4" name="ImportRVTools"/>
      </mc:Fallback>
    </mc:AlternateContent>
    <mc:AlternateContent xmlns:mc="http://schemas.openxmlformats.org/markup-compatibility/2006">
      <mc:Choice Requires="x14">
        <control shapeId="1027" r:id="rId6" name="ManualDataInput">
          <controlPr defaultSize="0" autoLine="0" r:id="rId7">
            <anchor moveWithCells="1">
              <from>
                <xdr:col>5</xdr:col>
                <xdr:colOff>257175</xdr:colOff>
                <xdr:row>11</xdr:row>
                <xdr:rowOff>133350</xdr:rowOff>
              </from>
              <to>
                <xdr:col>9</xdr:col>
                <xdr:colOff>342900</xdr:colOff>
                <xdr:row>18</xdr:row>
                <xdr:rowOff>14288</xdr:rowOff>
              </to>
            </anchor>
          </controlPr>
        </control>
      </mc:Choice>
      <mc:Fallback>
        <control shapeId="1027" r:id="rId6" name="ManualDataInpu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75" x14ac:dyDescent="0.35"/>
  <cols>
    <col min="2" max="2" width="30.59765625" bestFit="1" customWidth="1"/>
    <col min="3" max="3" width="12" customWidth="1"/>
    <col min="4" max="4" width="13.265625" customWidth="1"/>
    <col min="5" max="5" width="8.3984375" customWidth="1"/>
  </cols>
  <sheetData>
    <row r="2" spans="2:5" ht="51" x14ac:dyDescent="0.35">
      <c r="C2" s="36" t="s">
        <v>0</v>
      </c>
      <c r="D2" s="36" t="s">
        <v>1</v>
      </c>
    </row>
    <row r="4" spans="2:5" x14ac:dyDescent="0.35">
      <c r="B4" t="str">
        <f>'Sizing Input'!B3</f>
        <v>VMs</v>
      </c>
      <c r="C4">
        <f>'Sizing Input'!C3</f>
        <v>0</v>
      </c>
      <c r="D4">
        <f>ROUNDUP('Sizing Input'!C3*('Turn The Knobs'!B7+1),0)</f>
        <v>0</v>
      </c>
    </row>
    <row r="5" spans="2:5" x14ac:dyDescent="0.35">
      <c r="B5" t="str">
        <f>'Sizing Input'!B4</f>
        <v>Hosts</v>
      </c>
      <c r="C5">
        <f>'Sizing Input'!C4</f>
        <v>0</v>
      </c>
      <c r="D5" t="e">
        <f>'Turn The Knobs'!B22</f>
        <v>#N/A</v>
      </c>
      <c r="E5" s="7" t="e">
        <f>IF(D5='Turn The Knobs'!B22,"CS36","CS36m")</f>
        <v>#N/A</v>
      </c>
    </row>
    <row r="6" spans="2:5" x14ac:dyDescent="0.35">
      <c r="B6" t="str">
        <f>'Sizing Input'!B9</f>
        <v>Total Physical Cores</v>
      </c>
      <c r="C6" s="4" t="e">
        <f>'Sizing Input'!C9</f>
        <v>#N/A</v>
      </c>
      <c r="D6" s="6" t="e">
        <f>IF(E5='Host Configurations'!B1,'Host Configurations'!B5*'Compare On-Prem to AVS '!D5,IF(E5='Host Configurations'!C1,'Host Configurations'!C5*'Compare On-Prem to AVS '!D5))</f>
        <v>#N/A</v>
      </c>
    </row>
    <row r="7" spans="2:5" x14ac:dyDescent="0.35">
      <c r="B7" t="str">
        <f>'Sizing Input'!B10</f>
        <v>vCPU:pCPU Overcommit</v>
      </c>
      <c r="C7" s="5" t="e">
        <f>'Sizing Input'!C10</f>
        <v>#N/A</v>
      </c>
      <c r="D7" s="31" t="e">
        <f>IF('Sizing Input'!C9&gt;'Sizing Input'!C8,1,ROUNDUP(('CPU Details'!A4/'Compare On-Prem to AVS '!D6),1)&amp;" : 1")</f>
        <v>#N/A</v>
      </c>
    </row>
    <row r="8" spans="2:5" x14ac:dyDescent="0.35">
      <c r="B8" t="str">
        <f>'Sizing Input'!B15</f>
        <v>Total Physical Memory (GB)</v>
      </c>
      <c r="C8" s="4" t="e">
        <f>'Sizing Input'!C15</f>
        <v>#N/A</v>
      </c>
      <c r="D8" s="32" t="e">
        <f>IF(E5='Host Configurations'!B1,'Host Configurations'!B6*'Compare On-Prem to AVS '!D5,IF('Compare On-Prem to AVS '!E5='Host Configurations'!C1,'Host Configurations'!C6*'Compare On-Prem to AVS '!D5))</f>
        <v>#N/A</v>
      </c>
    </row>
    <row r="9" spans="2:5" x14ac:dyDescent="0.35">
      <c r="B9" t="str">
        <f>'Sizing Input'!B16</f>
        <v>vMem:pMem Overcommit</v>
      </c>
      <c r="C9" s="33" t="e">
        <f>'Sizing Input'!C16</f>
        <v>#N/A</v>
      </c>
      <c r="D9" s="5" t="e">
        <f>IF(D8&gt;'Sizing Input'!C14,1&amp;" : 1",ROUNDUP(('Sizing Input'!C14/'Compare On-Prem to AVS '!D8),1)&amp;" : 1")</f>
        <v>#N/A</v>
      </c>
    </row>
    <row r="10" spans="2:5" ht="14.25" x14ac:dyDescent="0.35">
      <c r="B10" s="1" t="s">
        <v>2</v>
      </c>
      <c r="C10" s="34" t="e">
        <f>'Storage Details'!#REF!</f>
        <v>#REF!</v>
      </c>
      <c r="D10" s="35" t="e">
        <f>IF('Turn The Knobs'!B10="Deployed",IF(E5='Host Configurations'!B1,'Storage Details'!#REF!,IF(E5='Host Configurations'!C1,'Storage Details'!#REF!)),IF(E5='Host Configurations'!B1,'Storage Details'!#REF!,IF(E5='Host Configurations'!C1,'Storage Details'!#REF!)))</f>
        <v>#N/A</v>
      </c>
    </row>
    <row r="11" spans="2:5" x14ac:dyDescent="0.35">
      <c r="B11" t="str">
        <f>'Sizing Input'!B20</f>
        <v>Storage Deployed to VMs - TB</v>
      </c>
      <c r="C11" s="27" t="e">
        <f>'Sizing Input'!C20</f>
        <v>#N/A</v>
      </c>
      <c r="D11" s="27" t="e">
        <f>'Storage Details'!#REF!</f>
        <v>#REF!</v>
      </c>
    </row>
    <row r="12" spans="2:5" x14ac:dyDescent="0.35">
      <c r="B12" t="str">
        <f>'Sizing Input'!B19</f>
        <v xml:space="preserve">Consumed Storage Across VMs - TB  </v>
      </c>
      <c r="C12" s="4" t="e">
        <f>'Sizing Input'!C19</f>
        <v>#N/A</v>
      </c>
      <c r="D12" s="4" t="e">
        <f>'Storage Details'!#REF!</f>
        <v>#REF!</v>
      </c>
    </row>
    <row r="13" spans="2:5" x14ac:dyDescent="0.35">
      <c r="B13" t="str">
        <f>'Sizing Input'!B21</f>
        <v>Storage Utilization %</v>
      </c>
      <c r="C13" s="28" t="e">
        <f>'Sizing Input'!C21</f>
        <v>#N/A</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E22" sqref="E22"/>
    </sheetView>
  </sheetViews>
  <sheetFormatPr defaultColWidth="65.265625" defaultRowHeight="12.75" x14ac:dyDescent="0.35"/>
  <cols>
    <col min="1" max="1" width="48.59765625" bestFit="1" customWidth="1"/>
    <col min="2" max="2" width="18.19921875" bestFit="1" customWidth="1"/>
    <col min="3" max="4" width="6.86328125" bestFit="1" customWidth="1"/>
  </cols>
  <sheetData>
    <row r="1" spans="1:22" ht="13.9" x14ac:dyDescent="0.45">
      <c r="A1" s="10"/>
      <c r="B1" s="13"/>
      <c r="C1" s="13"/>
      <c r="D1" s="10"/>
      <c r="E1" s="10"/>
      <c r="F1" s="10"/>
      <c r="G1" s="10"/>
      <c r="H1" s="10"/>
      <c r="I1" s="10"/>
      <c r="J1" s="10"/>
      <c r="K1" s="10"/>
      <c r="L1" s="10"/>
      <c r="M1" s="10"/>
      <c r="N1" s="10"/>
      <c r="O1" s="10"/>
      <c r="P1" s="10"/>
      <c r="Q1" s="10"/>
      <c r="R1" s="10"/>
      <c r="S1" s="10"/>
      <c r="T1" s="10"/>
      <c r="U1" s="10"/>
      <c r="V1" s="10"/>
    </row>
    <row r="2" spans="1:22" ht="13.9" x14ac:dyDescent="0.45">
      <c r="A2" s="10"/>
      <c r="B2" s="14"/>
      <c r="C2" s="14"/>
      <c r="D2" s="10"/>
      <c r="E2" s="10"/>
      <c r="F2" s="10"/>
      <c r="G2" s="10"/>
      <c r="H2" s="10"/>
      <c r="I2" s="10"/>
      <c r="J2" s="10"/>
      <c r="K2" s="10"/>
      <c r="L2" s="10"/>
      <c r="M2" s="10"/>
      <c r="N2" s="10"/>
      <c r="O2" s="10"/>
      <c r="P2" s="10"/>
      <c r="Q2" s="10"/>
      <c r="R2" s="10"/>
      <c r="S2" s="10"/>
      <c r="T2" s="10"/>
      <c r="U2" s="10"/>
      <c r="V2" s="10"/>
    </row>
    <row r="3" spans="1:22" ht="13.9" x14ac:dyDescent="0.45">
      <c r="A3" s="11"/>
      <c r="D3" s="12"/>
      <c r="E3" s="12"/>
      <c r="F3" s="10"/>
      <c r="G3" s="10"/>
      <c r="H3" s="10"/>
      <c r="I3" s="10"/>
      <c r="J3" s="10"/>
      <c r="K3" s="10"/>
      <c r="L3" s="10"/>
      <c r="M3" s="10"/>
      <c r="N3" s="10"/>
      <c r="O3" s="10"/>
      <c r="P3" s="10"/>
      <c r="Q3" s="10"/>
      <c r="R3" s="10"/>
      <c r="S3" s="10"/>
      <c r="T3" s="10"/>
      <c r="U3" s="10"/>
      <c r="V3" s="10"/>
    </row>
    <row r="4" spans="1:22" ht="14.25" x14ac:dyDescent="0.45">
      <c r="A4" s="15" t="s">
        <v>21</v>
      </c>
      <c r="B4" s="16" t="s">
        <v>22</v>
      </c>
      <c r="C4" s="100" t="s">
        <v>23</v>
      </c>
      <c r="D4" s="100"/>
      <c r="E4" s="100"/>
      <c r="F4" s="100"/>
      <c r="G4" s="10"/>
      <c r="H4" s="10"/>
      <c r="I4" s="10"/>
      <c r="J4" s="10"/>
      <c r="K4" s="10"/>
      <c r="L4" s="10"/>
      <c r="M4" s="10"/>
      <c r="N4" s="10"/>
      <c r="O4" s="10"/>
      <c r="P4" s="10"/>
      <c r="Q4" s="10"/>
      <c r="R4" s="10"/>
      <c r="S4" s="10"/>
      <c r="T4" s="10"/>
      <c r="U4" s="10"/>
      <c r="V4" s="10"/>
    </row>
    <row r="5" spans="1:22" ht="14.25" customHeight="1" x14ac:dyDescent="0.45">
      <c r="A5" s="17" t="s">
        <v>24</v>
      </c>
      <c r="B5" s="78">
        <v>0.25</v>
      </c>
      <c r="C5" s="99" t="s">
        <v>92</v>
      </c>
      <c r="D5" s="99"/>
      <c r="E5" s="99"/>
      <c r="F5" s="99"/>
      <c r="G5" s="10"/>
      <c r="H5" s="10"/>
      <c r="I5" s="10"/>
      <c r="J5" s="10"/>
      <c r="K5" s="10"/>
      <c r="L5" s="10"/>
      <c r="M5" s="10"/>
      <c r="N5" s="10"/>
      <c r="O5" s="10"/>
      <c r="P5" s="10"/>
      <c r="Q5" s="10"/>
      <c r="R5" s="10"/>
      <c r="S5" s="10"/>
      <c r="T5" s="10"/>
      <c r="U5" s="10"/>
      <c r="V5" s="10"/>
    </row>
    <row r="6" spans="1:22" ht="14.25" x14ac:dyDescent="0.45">
      <c r="A6" s="17" t="s">
        <v>25</v>
      </c>
      <c r="B6" s="79">
        <v>1.3</v>
      </c>
      <c r="C6" s="99" t="s">
        <v>93</v>
      </c>
      <c r="D6" s="99"/>
      <c r="E6" s="99"/>
      <c r="F6" s="99"/>
      <c r="G6" s="10"/>
      <c r="H6" s="10"/>
      <c r="I6" s="10"/>
      <c r="J6" s="10"/>
      <c r="K6" s="10"/>
      <c r="L6" s="10"/>
      <c r="M6" s="10"/>
      <c r="N6" s="10"/>
      <c r="O6" s="10"/>
      <c r="P6" s="10"/>
      <c r="Q6" s="10"/>
      <c r="R6" s="10"/>
      <c r="S6" s="10"/>
      <c r="T6" s="10"/>
      <c r="U6" s="10"/>
      <c r="V6" s="10"/>
    </row>
    <row r="7" spans="1:22" ht="14.25" x14ac:dyDescent="0.45">
      <c r="A7" s="17" t="s">
        <v>26</v>
      </c>
      <c r="B7" s="78">
        <v>0</v>
      </c>
      <c r="C7" s="99" t="s">
        <v>27</v>
      </c>
      <c r="D7" s="99"/>
      <c r="E7" s="99"/>
      <c r="F7" s="99"/>
      <c r="G7" s="10"/>
      <c r="H7" s="10"/>
      <c r="I7" s="10"/>
      <c r="J7" s="10"/>
      <c r="K7" s="10"/>
      <c r="L7" s="10"/>
      <c r="M7" s="10"/>
      <c r="N7" s="10"/>
      <c r="O7" s="10"/>
      <c r="P7" s="10"/>
      <c r="Q7" s="10"/>
      <c r="R7" s="10"/>
      <c r="S7" s="10"/>
      <c r="T7" s="10"/>
      <c r="U7" s="10"/>
      <c r="V7" s="10"/>
    </row>
    <row r="8" spans="1:22" ht="14.25" x14ac:dyDescent="0.45">
      <c r="A8" s="17" t="s">
        <v>28</v>
      </c>
      <c r="B8" s="79" t="s">
        <v>63</v>
      </c>
      <c r="C8" s="99" t="s">
        <v>94</v>
      </c>
      <c r="D8" s="99"/>
      <c r="E8" s="99"/>
      <c r="F8" s="99"/>
      <c r="G8" s="10"/>
      <c r="H8" s="10"/>
      <c r="I8" s="10"/>
      <c r="J8" s="10"/>
      <c r="K8" s="10"/>
      <c r="L8" s="10"/>
      <c r="M8" s="10"/>
      <c r="N8" s="10"/>
      <c r="O8" s="10"/>
      <c r="P8" s="10"/>
      <c r="Q8" s="10"/>
      <c r="R8" s="10"/>
      <c r="S8" s="10"/>
      <c r="T8" s="10"/>
      <c r="U8" s="10"/>
      <c r="V8" s="10"/>
    </row>
    <row r="9" spans="1:22" ht="14.25" x14ac:dyDescent="0.45">
      <c r="A9" s="17" t="s">
        <v>30</v>
      </c>
      <c r="B9" s="79">
        <v>0</v>
      </c>
      <c r="C9" s="99" t="s">
        <v>31</v>
      </c>
      <c r="D9" s="99"/>
      <c r="E9" s="99"/>
      <c r="F9" s="99"/>
      <c r="G9" s="10"/>
      <c r="H9" s="10"/>
      <c r="I9" s="10"/>
      <c r="J9" s="10"/>
      <c r="K9" s="10"/>
      <c r="L9" s="10"/>
      <c r="M9" s="10"/>
      <c r="N9" s="10"/>
      <c r="O9" s="10"/>
      <c r="P9" s="10"/>
      <c r="Q9" s="10"/>
      <c r="R9" s="10"/>
      <c r="S9" s="10"/>
      <c r="T9" s="10"/>
      <c r="U9" s="10"/>
      <c r="V9" s="10"/>
    </row>
    <row r="10" spans="1:22" ht="14.25" x14ac:dyDescent="0.45">
      <c r="A10" s="17" t="s">
        <v>32</v>
      </c>
      <c r="B10" s="79" t="s">
        <v>33</v>
      </c>
      <c r="C10" s="99" t="s">
        <v>34</v>
      </c>
      <c r="D10" s="99"/>
      <c r="E10" s="99"/>
      <c r="F10" s="99"/>
      <c r="G10" s="10"/>
      <c r="H10" s="10"/>
      <c r="I10" s="10"/>
      <c r="J10" s="10"/>
      <c r="K10" s="10"/>
      <c r="L10" s="10"/>
      <c r="M10" s="10"/>
      <c r="N10" s="10"/>
      <c r="O10" s="10"/>
      <c r="P10" s="10"/>
      <c r="Q10" s="10"/>
      <c r="R10" s="10"/>
      <c r="S10" s="10"/>
      <c r="T10" s="10"/>
      <c r="U10" s="10"/>
      <c r="V10" s="10"/>
    </row>
    <row r="11" spans="1:22" ht="14.25" x14ac:dyDescent="0.4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25" x14ac:dyDescent="0.45">
      <c r="A12" s="17" t="s">
        <v>36</v>
      </c>
      <c r="B12" s="102" t="e">
        <f>IF('Sizing Input'!C10=0,4,IF('Sizing Input'!C9&gt;'Sizing Input'!C8,1,ROUNDUP(('Sizing Input'!C8/'Sizing Input'!C9),1)))</f>
        <v>#N/A</v>
      </c>
      <c r="C12" s="103" t="s">
        <v>108</v>
      </c>
      <c r="D12" s="103"/>
      <c r="E12" s="103"/>
      <c r="F12" s="10"/>
      <c r="G12" s="10"/>
      <c r="H12" s="10"/>
      <c r="I12" s="10"/>
      <c r="J12" s="10"/>
      <c r="K12" s="10"/>
      <c r="L12" s="10"/>
      <c r="M12" s="10"/>
      <c r="N12" s="10"/>
      <c r="O12" s="10"/>
      <c r="P12" s="10"/>
      <c r="Q12" s="10"/>
      <c r="R12" s="10"/>
      <c r="S12" s="10"/>
      <c r="T12" s="10"/>
      <c r="U12" s="10"/>
      <c r="V12" s="10"/>
    </row>
    <row r="13" spans="1:22" ht="14.25" x14ac:dyDescent="0.45">
      <c r="A13" s="17" t="s">
        <v>37</v>
      </c>
      <c r="B13" s="80" t="e">
        <f>IF('Sizing Input'!C16=0,1,IF('Sizing Input'!C15&gt;'Sizing Input'!C14,1,ROUNDUP(('Sizing Input'!C14/'Sizing Input'!C15),1)))</f>
        <v>#N/A</v>
      </c>
      <c r="C13" s="103" t="s">
        <v>108</v>
      </c>
      <c r="D13" s="103"/>
      <c r="E13" s="103"/>
      <c r="F13" s="10"/>
      <c r="G13" s="10"/>
      <c r="H13" s="10"/>
      <c r="I13" s="10"/>
      <c r="J13" s="10"/>
      <c r="K13" s="10"/>
      <c r="L13" s="10"/>
      <c r="M13" s="10"/>
      <c r="N13" s="10"/>
      <c r="O13" s="10"/>
      <c r="P13" s="10"/>
      <c r="Q13" s="10"/>
      <c r="R13" s="10"/>
      <c r="S13" s="10"/>
      <c r="T13" s="10"/>
      <c r="U13" s="10"/>
      <c r="V13" s="10"/>
    </row>
    <row r="14" spans="1:22" ht="14.25" x14ac:dyDescent="0.45">
      <c r="C14" s="43"/>
      <c r="D14" s="10"/>
      <c r="E14" s="10"/>
      <c r="F14" s="10"/>
      <c r="G14" s="10"/>
      <c r="H14" s="10"/>
      <c r="I14" s="10"/>
      <c r="J14" s="10"/>
      <c r="K14" s="10"/>
      <c r="L14" s="10"/>
      <c r="M14" s="10"/>
      <c r="N14" s="10"/>
      <c r="O14" s="10"/>
      <c r="P14" s="10"/>
      <c r="Q14" s="10"/>
      <c r="R14" s="10"/>
      <c r="S14" s="10"/>
      <c r="T14" s="10"/>
      <c r="U14" s="10"/>
      <c r="V14" s="10"/>
    </row>
    <row r="15" spans="1:22" ht="14.25" x14ac:dyDescent="0.45">
      <c r="A15" s="42"/>
      <c r="B15" s="42"/>
      <c r="C15" s="43"/>
      <c r="D15" s="10"/>
      <c r="E15" s="10"/>
      <c r="F15" s="10"/>
      <c r="G15" s="10"/>
      <c r="H15" s="10"/>
      <c r="I15" s="10"/>
      <c r="J15" s="10"/>
      <c r="K15" s="10"/>
      <c r="L15" s="10"/>
      <c r="M15" s="10"/>
      <c r="N15" s="10"/>
      <c r="O15" s="10"/>
      <c r="P15" s="10"/>
      <c r="Q15" s="10"/>
      <c r="R15" s="10"/>
      <c r="S15" s="10"/>
      <c r="T15" s="10"/>
      <c r="U15" s="10"/>
      <c r="V15" s="10"/>
    </row>
    <row r="16" spans="1:22" ht="13.9" x14ac:dyDescent="0.45">
      <c r="A16" s="10"/>
      <c r="B16" s="13"/>
      <c r="C16" s="13"/>
      <c r="D16" s="10"/>
      <c r="E16" s="75"/>
      <c r="F16" s="10"/>
      <c r="G16" s="10"/>
      <c r="H16" s="10"/>
      <c r="I16" s="10"/>
      <c r="J16" s="10"/>
      <c r="K16" s="10"/>
      <c r="L16" s="10"/>
      <c r="M16" s="10"/>
      <c r="N16" s="10"/>
      <c r="O16" s="10"/>
      <c r="P16" s="10"/>
      <c r="Q16" s="10"/>
      <c r="R16" s="10"/>
      <c r="S16" s="10"/>
      <c r="T16" s="10"/>
      <c r="U16" s="10"/>
      <c r="V16" s="10"/>
    </row>
    <row r="17" spans="1:22" ht="14.25" x14ac:dyDescent="0.4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25" x14ac:dyDescent="0.45">
      <c r="A18" s="2" t="s">
        <v>38</v>
      </c>
      <c r="B18" s="9" t="e">
        <f>'CPU Details'!A10+$B$9</f>
        <v>#N/A</v>
      </c>
      <c r="C18" s="9" t="e">
        <f>'CPU Details'!B10+$B$9</f>
        <v>#N/A</v>
      </c>
      <c r="D18" s="9" t="e">
        <f>'CPU Details'!C10+$B$9</f>
        <v>#N/A</v>
      </c>
      <c r="E18" s="10"/>
      <c r="F18" s="10"/>
      <c r="G18" s="10"/>
      <c r="H18" s="10"/>
      <c r="I18" s="10"/>
      <c r="J18" s="10"/>
      <c r="K18" s="10"/>
      <c r="L18" s="10"/>
      <c r="M18" s="10"/>
      <c r="N18" s="10"/>
      <c r="O18" s="10"/>
      <c r="P18" s="10"/>
      <c r="Q18" s="10"/>
      <c r="R18" s="10"/>
      <c r="S18" s="10"/>
      <c r="T18" s="10"/>
      <c r="U18" s="10"/>
      <c r="V18" s="10"/>
    </row>
    <row r="19" spans="1:22" ht="14.25" x14ac:dyDescent="0.45">
      <c r="A19" s="2" t="s">
        <v>39</v>
      </c>
      <c r="B19" s="9" t="e">
        <f>'Memory Details'!A10+$B$9</f>
        <v>#N/A</v>
      </c>
      <c r="C19" s="9" t="e">
        <f>'Memory Details'!B10+$B$9</f>
        <v>#N/A</v>
      </c>
      <c r="D19" s="9" t="e">
        <f>'Memory Details'!C10+$B$9</f>
        <v>#N/A</v>
      </c>
      <c r="E19" s="10"/>
      <c r="F19" s="10"/>
      <c r="G19" s="10"/>
      <c r="H19" s="10"/>
      <c r="I19" s="10"/>
      <c r="J19" s="10"/>
      <c r="K19" s="10"/>
      <c r="L19" s="10"/>
      <c r="M19" s="10"/>
      <c r="N19" s="10"/>
      <c r="O19" s="10"/>
      <c r="P19" s="10"/>
      <c r="Q19" s="10"/>
      <c r="R19" s="10"/>
      <c r="S19" s="10"/>
      <c r="T19" s="10"/>
      <c r="U19" s="10"/>
      <c r="V19" s="10"/>
    </row>
    <row r="20" spans="1:22" ht="14.25" x14ac:dyDescent="0.45">
      <c r="A20" s="21" t="s">
        <v>97</v>
      </c>
      <c r="B20" s="20" t="e">
        <f>IF(B10="Deployed",'Storage Details'!B28,'Storage Details'!C28)+B9</f>
        <v>#N/A</v>
      </c>
      <c r="C20" s="20" t="e">
        <f>IF(B10="Deployed",'Storage Details'!B29,'Storage Details'!C29)+B9</f>
        <v>#N/A</v>
      </c>
      <c r="D20" s="20" t="e">
        <f>IF(B10="Deployed",'Storage Details'!B27,'Storage Details'!C27)+B9</f>
        <v>#N/A</v>
      </c>
      <c r="E20" s="10"/>
      <c r="F20" s="10"/>
      <c r="G20" s="10"/>
      <c r="H20" s="10"/>
      <c r="I20" s="10"/>
      <c r="J20" s="10"/>
      <c r="K20" s="10"/>
      <c r="L20" s="10"/>
      <c r="M20" s="10"/>
      <c r="N20" s="10"/>
      <c r="O20" s="10"/>
      <c r="P20" s="10"/>
      <c r="Q20" s="10"/>
      <c r="R20" s="10"/>
      <c r="S20" s="10"/>
      <c r="T20" s="10"/>
      <c r="U20" s="10"/>
      <c r="V20" s="10"/>
    </row>
    <row r="21" spans="1:22" ht="13.9" x14ac:dyDescent="0.45">
      <c r="A21" s="10"/>
      <c r="B21" s="13"/>
      <c r="C21" s="13"/>
      <c r="D21" s="10"/>
      <c r="E21" s="10"/>
      <c r="F21" s="10"/>
      <c r="G21" s="10"/>
      <c r="H21" s="10"/>
      <c r="I21" s="10"/>
      <c r="J21" s="10"/>
      <c r="K21" s="10"/>
      <c r="L21" s="10"/>
      <c r="M21" s="10"/>
      <c r="N21" s="10"/>
      <c r="O21" s="10"/>
      <c r="P21" s="10"/>
      <c r="Q21" s="10"/>
      <c r="R21" s="10"/>
      <c r="S21" s="10"/>
      <c r="T21" s="10"/>
      <c r="U21" s="10"/>
      <c r="V21" s="10"/>
    </row>
    <row r="22" spans="1:22" ht="14.25" x14ac:dyDescent="0.45">
      <c r="A22" s="22" t="s">
        <v>40</v>
      </c>
      <c r="B22" s="22" t="e">
        <f>MAX(B18:B20)</f>
        <v>#N/A</v>
      </c>
      <c r="C22" s="22" t="e">
        <f t="shared" ref="C22:D22" si="0">MAX(C18:C20)</f>
        <v>#N/A</v>
      </c>
      <c r="D22" s="22" t="e">
        <f t="shared" si="0"/>
        <v>#N/A</v>
      </c>
      <c r="E22" s="10"/>
      <c r="F22" s="10"/>
      <c r="G22" s="10"/>
      <c r="H22" s="10"/>
      <c r="I22" s="10"/>
      <c r="J22" s="10"/>
      <c r="K22" s="10"/>
      <c r="L22" s="10"/>
      <c r="M22" s="10"/>
      <c r="N22" s="10"/>
      <c r="O22" s="10"/>
      <c r="P22" s="10"/>
      <c r="Q22" s="10"/>
      <c r="R22" s="10"/>
      <c r="S22" s="10"/>
      <c r="T22" s="10"/>
      <c r="U22" s="10"/>
      <c r="V22" s="10"/>
    </row>
    <row r="23" spans="1:22" ht="13.9" x14ac:dyDescent="0.45">
      <c r="A23" s="10" t="s">
        <v>41</v>
      </c>
      <c r="B23" s="13" t="e">
        <f>IF(B22=B20,"Storage",IF(B19=B22,"Memory",IF(B18=B22,"CPU")))</f>
        <v>#N/A</v>
      </c>
      <c r="C23" s="13" t="e">
        <f t="shared" ref="C23:D23" si="1">IF(C22=C20,"Storage",IF(C19=C22,"Memory",IF(C18=C22,"CPU")))</f>
        <v>#N/A</v>
      </c>
      <c r="D23" s="13" t="e">
        <f t="shared" si="1"/>
        <v>#N/A</v>
      </c>
      <c r="E23" s="10"/>
      <c r="F23" s="10"/>
      <c r="G23" s="10"/>
      <c r="H23" s="10"/>
      <c r="I23" s="10"/>
      <c r="J23" s="10"/>
      <c r="K23" s="10"/>
      <c r="L23" s="10"/>
      <c r="M23" s="10"/>
      <c r="N23" s="10"/>
      <c r="O23" s="10"/>
      <c r="P23" s="10"/>
      <c r="Q23" s="10"/>
      <c r="R23" s="10"/>
      <c r="S23" s="10"/>
      <c r="T23" s="10"/>
      <c r="U23" s="10"/>
      <c r="V23" s="10"/>
    </row>
    <row r="24" spans="1:22" ht="13.9" x14ac:dyDescent="0.45">
      <c r="C24" s="13"/>
      <c r="D24" s="10"/>
      <c r="E24" s="10"/>
      <c r="F24" s="10"/>
      <c r="G24" s="10"/>
      <c r="H24" s="10"/>
      <c r="I24" s="10"/>
      <c r="J24" s="10"/>
      <c r="K24" s="10"/>
      <c r="L24" s="10"/>
      <c r="M24" s="10"/>
      <c r="N24" s="10"/>
      <c r="O24" s="10"/>
      <c r="P24" s="10"/>
      <c r="Q24" s="10"/>
      <c r="R24" s="10"/>
      <c r="S24" s="10"/>
      <c r="T24" s="10"/>
      <c r="U24" s="10"/>
      <c r="V24" s="10"/>
    </row>
    <row r="25" spans="1:22" ht="13.9" x14ac:dyDescent="0.45">
      <c r="C25" s="13"/>
      <c r="D25" s="10"/>
      <c r="E25" s="10"/>
      <c r="F25" s="10"/>
      <c r="G25" s="10"/>
      <c r="H25" s="10"/>
      <c r="I25" s="10"/>
      <c r="J25" s="10"/>
      <c r="K25" s="10"/>
      <c r="L25" s="10"/>
      <c r="M25" s="10"/>
      <c r="N25" s="10"/>
      <c r="O25" s="10"/>
      <c r="P25" s="10"/>
      <c r="Q25" s="10"/>
      <c r="R25" s="10"/>
      <c r="S25" s="10"/>
      <c r="T25" s="10"/>
      <c r="U25" s="10"/>
      <c r="V25" s="10"/>
    </row>
    <row r="26" spans="1:22" ht="13.9" x14ac:dyDescent="0.45">
      <c r="A26" s="10" t="s">
        <v>106</v>
      </c>
      <c r="B26" s="13"/>
      <c r="C26" s="13"/>
      <c r="D26" s="10"/>
      <c r="E26" s="10"/>
      <c r="F26" s="10"/>
      <c r="G26" s="10"/>
      <c r="H26" s="10"/>
      <c r="I26" s="10"/>
      <c r="J26" s="10"/>
      <c r="K26" s="10"/>
      <c r="L26" s="10"/>
      <c r="M26" s="10"/>
      <c r="N26" s="10"/>
      <c r="O26" s="10"/>
      <c r="P26" s="10"/>
      <c r="Q26" s="10"/>
      <c r="R26" s="10"/>
      <c r="S26" s="10"/>
      <c r="T26" s="10"/>
      <c r="U26" s="10"/>
      <c r="V26" s="10"/>
    </row>
    <row r="27" spans="1:22" ht="13.9" x14ac:dyDescent="0.45">
      <c r="A27" s="10" t="s">
        <v>107</v>
      </c>
      <c r="B27" s="13"/>
      <c r="C27" s="13"/>
      <c r="D27" s="10"/>
      <c r="E27" s="10"/>
      <c r="F27" s="10"/>
      <c r="G27" s="10"/>
      <c r="H27" s="10"/>
      <c r="I27" s="10"/>
      <c r="J27" s="10"/>
      <c r="K27" s="10"/>
      <c r="L27" s="10"/>
      <c r="M27" s="10"/>
      <c r="N27" s="10"/>
      <c r="O27" s="10"/>
      <c r="P27" s="10"/>
      <c r="Q27" s="10"/>
      <c r="R27" s="10"/>
      <c r="S27" s="10"/>
      <c r="T27" s="10"/>
      <c r="U27" s="10"/>
      <c r="V27" s="10"/>
    </row>
    <row r="28" spans="1:22" ht="13.9" x14ac:dyDescent="0.45">
      <c r="A28" s="10"/>
      <c r="B28" s="13"/>
      <c r="C28" s="13"/>
      <c r="D28" s="10"/>
      <c r="E28" s="10"/>
      <c r="F28" s="10"/>
      <c r="G28" s="10"/>
      <c r="H28" s="10"/>
      <c r="I28" s="10"/>
      <c r="J28" s="10"/>
      <c r="K28" s="10"/>
      <c r="L28" s="10"/>
      <c r="M28" s="10"/>
      <c r="N28" s="10"/>
      <c r="O28" s="10"/>
      <c r="P28" s="10"/>
      <c r="Q28" s="10"/>
      <c r="R28" s="10"/>
      <c r="S28" s="10"/>
      <c r="T28" s="10"/>
      <c r="U28" s="10"/>
      <c r="V28" s="10"/>
    </row>
    <row r="29" spans="1:22" ht="13.9" x14ac:dyDescent="0.45">
      <c r="A29" s="10"/>
      <c r="B29" s="13"/>
      <c r="C29" s="13"/>
      <c r="D29" s="10"/>
      <c r="E29" s="10"/>
      <c r="F29" s="10"/>
      <c r="G29" s="10"/>
      <c r="H29" s="10"/>
      <c r="I29" s="10"/>
      <c r="J29" s="10"/>
      <c r="K29" s="10"/>
      <c r="L29" s="10"/>
      <c r="M29" s="10"/>
      <c r="N29" s="10"/>
      <c r="O29" s="10"/>
      <c r="P29" s="10"/>
      <c r="Q29" s="10"/>
      <c r="R29" s="10"/>
      <c r="S29" s="10"/>
      <c r="T29" s="10"/>
      <c r="U29" s="10"/>
      <c r="V29" s="10"/>
    </row>
    <row r="30" spans="1:22" ht="13.9" x14ac:dyDescent="0.45">
      <c r="A30" s="10"/>
      <c r="B30" s="13"/>
      <c r="C30" s="13"/>
      <c r="D30" s="10"/>
      <c r="E30" s="10"/>
      <c r="F30" s="10"/>
      <c r="G30" s="10"/>
      <c r="H30" s="10"/>
      <c r="I30" s="10"/>
      <c r="J30" s="10"/>
      <c r="K30" s="10"/>
      <c r="L30" s="10"/>
      <c r="M30" s="10"/>
      <c r="N30" s="10"/>
      <c r="O30" s="10"/>
      <c r="P30" s="10"/>
      <c r="Q30" s="10"/>
      <c r="R30" s="10"/>
      <c r="S30" s="10"/>
      <c r="T30" s="10"/>
      <c r="U30" s="10"/>
      <c r="V30" s="10"/>
    </row>
    <row r="31" spans="1:22" ht="13.9" x14ac:dyDescent="0.45">
      <c r="A31" s="10"/>
      <c r="B31" s="13"/>
      <c r="C31" s="13"/>
      <c r="D31" s="10"/>
      <c r="E31" s="10"/>
      <c r="F31" s="10"/>
      <c r="G31" s="10"/>
      <c r="H31" s="10"/>
      <c r="I31" s="10"/>
      <c r="J31" s="10"/>
      <c r="K31" s="10"/>
      <c r="L31" s="10"/>
      <c r="M31" s="10"/>
      <c r="N31" s="10"/>
      <c r="O31" s="10"/>
      <c r="P31" s="10"/>
      <c r="Q31" s="10"/>
      <c r="R31" s="10"/>
      <c r="S31" s="10"/>
      <c r="T31" s="10"/>
      <c r="U31" s="10"/>
      <c r="V31" s="10"/>
    </row>
    <row r="32" spans="1:22" ht="13.9" x14ac:dyDescent="0.45">
      <c r="A32" s="10"/>
      <c r="B32" s="13"/>
      <c r="C32" s="13"/>
      <c r="D32" s="10"/>
      <c r="E32" s="10"/>
      <c r="F32" s="10"/>
      <c r="G32" s="10"/>
      <c r="H32" s="10"/>
      <c r="I32" s="10"/>
      <c r="J32" s="10"/>
      <c r="K32" s="10"/>
      <c r="L32" s="10"/>
      <c r="M32" s="10"/>
      <c r="N32" s="10"/>
      <c r="O32" s="10"/>
      <c r="P32" s="10"/>
      <c r="Q32" s="10"/>
      <c r="R32" s="10"/>
      <c r="S32" s="10"/>
      <c r="T32" s="10"/>
      <c r="U32" s="10"/>
      <c r="V32" s="10"/>
    </row>
    <row r="33" spans="1:22" ht="13.9" x14ac:dyDescent="0.45">
      <c r="A33" s="10"/>
      <c r="B33" s="13"/>
      <c r="C33" s="13"/>
      <c r="D33" s="10"/>
      <c r="E33" s="10"/>
      <c r="F33" s="10"/>
      <c r="G33" s="10"/>
      <c r="H33" s="10"/>
      <c r="I33" s="10"/>
      <c r="J33" s="10"/>
      <c r="K33" s="10"/>
      <c r="L33" s="10"/>
      <c r="M33" s="10"/>
      <c r="N33" s="10"/>
      <c r="O33" s="10"/>
      <c r="P33" s="10"/>
      <c r="Q33" s="10"/>
      <c r="R33" s="10"/>
      <c r="S33" s="10"/>
      <c r="T33" s="10"/>
      <c r="U33" s="10"/>
      <c r="V33" s="10"/>
    </row>
    <row r="34" spans="1:22" ht="13.9" x14ac:dyDescent="0.45">
      <c r="A34" s="10"/>
      <c r="B34" s="13"/>
      <c r="C34" s="13"/>
      <c r="D34" s="10"/>
      <c r="E34" s="10"/>
      <c r="F34" s="10"/>
      <c r="G34" s="10"/>
      <c r="H34" s="10"/>
      <c r="I34" s="10"/>
      <c r="J34" s="10"/>
      <c r="K34" s="10"/>
      <c r="L34" s="10"/>
      <c r="M34" s="10"/>
      <c r="N34" s="10"/>
      <c r="O34" s="10"/>
      <c r="P34" s="10"/>
      <c r="Q34" s="10"/>
      <c r="R34" s="10"/>
      <c r="S34" s="10"/>
      <c r="T34" s="10"/>
      <c r="U34" s="10"/>
      <c r="V34" s="10"/>
    </row>
    <row r="35" spans="1:22" ht="13.9" x14ac:dyDescent="0.45">
      <c r="A35" s="10"/>
      <c r="B35" s="13"/>
      <c r="C35" s="13"/>
      <c r="D35" s="10"/>
      <c r="E35" s="10"/>
      <c r="F35" s="10"/>
      <c r="G35" s="10"/>
      <c r="H35" s="10"/>
      <c r="I35" s="10"/>
      <c r="J35" s="10"/>
      <c r="K35" s="10"/>
      <c r="L35" s="10"/>
      <c r="M35" s="10"/>
      <c r="N35" s="10"/>
      <c r="O35" s="10"/>
      <c r="P35" s="10"/>
      <c r="Q35" s="10"/>
      <c r="R35" s="10"/>
      <c r="S35" s="10"/>
      <c r="T35" s="10"/>
      <c r="U35" s="10"/>
      <c r="V35" s="10"/>
    </row>
    <row r="36" spans="1:22" ht="13.9" x14ac:dyDescent="0.45">
      <c r="A36" s="10"/>
      <c r="B36" s="13"/>
      <c r="C36" s="13"/>
      <c r="D36" s="10"/>
      <c r="E36" s="10"/>
      <c r="F36" s="10"/>
      <c r="G36" s="10"/>
      <c r="H36" s="10"/>
      <c r="I36" s="10"/>
      <c r="J36" s="10"/>
      <c r="K36" s="10"/>
      <c r="L36" s="10"/>
      <c r="M36" s="10"/>
      <c r="N36" s="10"/>
      <c r="O36" s="10"/>
      <c r="P36" s="10"/>
      <c r="Q36" s="10"/>
      <c r="R36" s="10"/>
      <c r="S36" s="10"/>
      <c r="T36" s="10"/>
      <c r="U36" s="10"/>
      <c r="V36" s="10"/>
    </row>
    <row r="37" spans="1:22" ht="13.9" x14ac:dyDescent="0.45">
      <c r="A37" s="10"/>
      <c r="B37" s="13"/>
      <c r="C37" s="13"/>
      <c r="D37" s="10"/>
      <c r="E37" s="10"/>
      <c r="F37" s="10"/>
      <c r="G37" s="10"/>
      <c r="H37" s="10"/>
      <c r="I37" s="10"/>
      <c r="J37" s="10"/>
      <c r="K37" s="10"/>
      <c r="L37" s="10"/>
      <c r="M37" s="10"/>
      <c r="N37" s="10"/>
      <c r="O37" s="10"/>
      <c r="P37" s="10"/>
      <c r="Q37" s="10"/>
      <c r="R37" s="10"/>
      <c r="S37" s="10"/>
      <c r="T37" s="10"/>
      <c r="U37" s="10"/>
      <c r="V37" s="10"/>
    </row>
    <row r="38" spans="1:22" ht="13.9" x14ac:dyDescent="0.45">
      <c r="A38" s="10"/>
      <c r="B38" s="13"/>
      <c r="C38" s="13"/>
      <c r="D38" s="10"/>
      <c r="E38" s="10"/>
      <c r="F38" s="10"/>
      <c r="G38" s="10"/>
      <c r="H38" s="10"/>
      <c r="I38" s="10"/>
      <c r="J38" s="10"/>
      <c r="K38" s="10"/>
      <c r="L38" s="10"/>
      <c r="M38" s="10"/>
      <c r="N38" s="10"/>
      <c r="O38" s="10"/>
      <c r="P38" s="10"/>
      <c r="Q38" s="10"/>
      <c r="R38" s="10"/>
      <c r="S38" s="10"/>
      <c r="T38" s="10"/>
      <c r="U38" s="10"/>
      <c r="V38" s="10"/>
    </row>
    <row r="39" spans="1:22" ht="13.9" x14ac:dyDescent="0.45">
      <c r="A39" s="10"/>
      <c r="B39" s="13"/>
      <c r="C39" s="13"/>
      <c r="D39" s="10"/>
      <c r="E39" s="10"/>
      <c r="F39" s="10"/>
      <c r="G39" s="10"/>
      <c r="H39" s="10"/>
      <c r="I39" s="10"/>
      <c r="J39" s="10"/>
      <c r="K39" s="10"/>
      <c r="L39" s="10"/>
      <c r="M39" s="10"/>
      <c r="N39" s="10"/>
      <c r="O39" s="10"/>
      <c r="P39" s="10"/>
      <c r="Q39" s="10"/>
      <c r="R39" s="10"/>
      <c r="S39" s="10"/>
      <c r="T39" s="10"/>
      <c r="U39" s="10"/>
      <c r="V39" s="10"/>
    </row>
    <row r="40" spans="1:22" ht="13.9" x14ac:dyDescent="0.45">
      <c r="A40" s="10"/>
      <c r="B40" s="13"/>
      <c r="C40" s="13"/>
      <c r="D40" s="10"/>
      <c r="E40" s="10"/>
      <c r="F40" s="10"/>
      <c r="G40" s="10"/>
      <c r="H40" s="10"/>
      <c r="I40" s="10"/>
      <c r="J40" s="10"/>
      <c r="K40" s="10"/>
      <c r="L40" s="10"/>
      <c r="M40" s="10"/>
      <c r="N40" s="10"/>
      <c r="O40" s="10"/>
      <c r="P40" s="10"/>
      <c r="Q40" s="10"/>
      <c r="R40" s="10"/>
      <c r="S40" s="10"/>
      <c r="T40" s="10"/>
      <c r="U40" s="10"/>
      <c r="V40" s="10"/>
    </row>
    <row r="41" spans="1:22" ht="13.9" x14ac:dyDescent="0.45">
      <c r="A41" s="10"/>
      <c r="B41" s="13"/>
      <c r="C41" s="13"/>
      <c r="D41" s="10"/>
      <c r="E41" s="10"/>
      <c r="F41" s="10"/>
      <c r="G41" s="10"/>
      <c r="H41" s="10"/>
      <c r="I41" s="10"/>
      <c r="J41" s="10"/>
      <c r="K41" s="10"/>
      <c r="L41" s="10"/>
      <c r="M41" s="10"/>
      <c r="N41" s="10"/>
      <c r="O41" s="10"/>
      <c r="P41" s="10"/>
      <c r="Q41" s="10"/>
      <c r="R41" s="10"/>
      <c r="S41" s="10"/>
      <c r="T41" s="10"/>
      <c r="U41" s="10"/>
      <c r="V41" s="10"/>
    </row>
    <row r="42" spans="1:22" ht="13.9" x14ac:dyDescent="0.45">
      <c r="A42" s="10"/>
      <c r="B42" s="13"/>
      <c r="C42" s="13"/>
      <c r="D42" s="10"/>
      <c r="E42" s="10"/>
      <c r="F42" s="10"/>
      <c r="G42" s="10"/>
      <c r="H42" s="10"/>
      <c r="I42" s="10"/>
      <c r="J42" s="10"/>
      <c r="K42" s="10"/>
      <c r="L42" s="10"/>
      <c r="M42" s="10"/>
      <c r="N42" s="10"/>
      <c r="O42" s="10"/>
      <c r="P42" s="10"/>
      <c r="Q42" s="10"/>
      <c r="R42" s="10"/>
      <c r="S42" s="10"/>
      <c r="T42" s="10"/>
      <c r="U42" s="10"/>
      <c r="V42" s="10"/>
    </row>
    <row r="43" spans="1:22" ht="13.9" x14ac:dyDescent="0.45">
      <c r="A43" s="10"/>
      <c r="B43" s="13"/>
      <c r="C43" s="13"/>
      <c r="D43" s="10"/>
      <c r="E43" s="10"/>
      <c r="F43" s="10"/>
      <c r="G43" s="10"/>
      <c r="H43" s="10"/>
      <c r="I43" s="10"/>
      <c r="J43" s="10"/>
      <c r="K43" s="10"/>
      <c r="L43" s="10"/>
      <c r="M43" s="10"/>
      <c r="N43" s="10"/>
      <c r="O43" s="10"/>
      <c r="P43" s="10"/>
      <c r="Q43" s="10"/>
      <c r="R43" s="10"/>
      <c r="S43" s="10"/>
      <c r="T43" s="10"/>
      <c r="U43" s="10"/>
      <c r="V43" s="10"/>
    </row>
    <row r="44" spans="1:22" ht="13.9" x14ac:dyDescent="0.45">
      <c r="A44" s="10"/>
      <c r="B44" s="13"/>
      <c r="C44" s="13"/>
      <c r="D44" s="10"/>
      <c r="E44" s="10"/>
      <c r="F44" s="10"/>
      <c r="G44" s="10"/>
      <c r="H44" s="10"/>
      <c r="I44" s="10"/>
      <c r="J44" s="10"/>
      <c r="K44" s="10"/>
      <c r="L44" s="10"/>
      <c r="M44" s="10"/>
      <c r="N44" s="10"/>
      <c r="O44" s="10"/>
      <c r="P44" s="10"/>
      <c r="Q44" s="10"/>
      <c r="R44" s="10"/>
      <c r="S44" s="10"/>
      <c r="T44" s="10"/>
      <c r="U44" s="10"/>
      <c r="V44" s="10"/>
    </row>
    <row r="45" spans="1:22" ht="13.9" x14ac:dyDescent="0.45">
      <c r="A45" s="10"/>
      <c r="B45" s="13"/>
      <c r="C45" s="13"/>
      <c r="D45" s="10"/>
      <c r="E45" s="10"/>
      <c r="F45" s="10"/>
      <c r="G45" s="10"/>
      <c r="H45" s="10"/>
      <c r="I45" s="10"/>
      <c r="J45" s="10"/>
      <c r="K45" s="10"/>
      <c r="L45" s="10"/>
      <c r="M45" s="10"/>
      <c r="N45" s="10"/>
      <c r="O45" s="10"/>
      <c r="P45" s="10"/>
      <c r="Q45" s="10"/>
      <c r="R45" s="10"/>
      <c r="S45" s="10"/>
      <c r="T45" s="10"/>
      <c r="U45" s="10"/>
      <c r="V45" s="10"/>
    </row>
    <row r="46" spans="1:22" ht="13.9" x14ac:dyDescent="0.45">
      <c r="A46" s="10"/>
      <c r="B46" s="13"/>
      <c r="C46" s="13"/>
      <c r="D46" s="10"/>
      <c r="E46" s="10"/>
      <c r="F46" s="10"/>
      <c r="G46" s="10"/>
      <c r="H46" s="10"/>
      <c r="I46" s="10"/>
      <c r="J46" s="10"/>
      <c r="K46" s="10"/>
      <c r="L46" s="10"/>
      <c r="M46" s="10"/>
      <c r="N46" s="10"/>
      <c r="O46" s="10"/>
      <c r="P46" s="10"/>
      <c r="Q46" s="10"/>
      <c r="R46" s="10"/>
      <c r="S46" s="10"/>
      <c r="T46" s="10"/>
      <c r="U46" s="10"/>
      <c r="V46" s="10"/>
    </row>
    <row r="47" spans="1:22" ht="13.9" x14ac:dyDescent="0.45">
      <c r="A47" s="10"/>
      <c r="B47" s="13"/>
      <c r="C47" s="13"/>
      <c r="D47" s="10"/>
      <c r="E47" s="10"/>
      <c r="F47" s="10"/>
      <c r="G47" s="10"/>
      <c r="H47" s="10"/>
      <c r="I47" s="10"/>
      <c r="J47" s="10"/>
      <c r="K47" s="10"/>
      <c r="L47" s="10"/>
      <c r="M47" s="10"/>
      <c r="N47" s="10"/>
      <c r="O47" s="10"/>
      <c r="P47" s="10"/>
      <c r="Q47" s="10"/>
      <c r="R47" s="10"/>
      <c r="S47" s="10"/>
      <c r="T47" s="10"/>
      <c r="U47" s="10"/>
      <c r="V47" s="10"/>
    </row>
    <row r="48" spans="1:22" ht="13.9" x14ac:dyDescent="0.45">
      <c r="A48" s="10"/>
      <c r="B48" s="13"/>
      <c r="C48" s="13"/>
      <c r="D48" s="10"/>
      <c r="E48" s="10"/>
      <c r="F48" s="10"/>
      <c r="G48" s="10"/>
      <c r="H48" s="10"/>
      <c r="I48" s="10"/>
      <c r="J48" s="10"/>
      <c r="K48" s="10"/>
      <c r="L48" s="10"/>
      <c r="M48" s="10"/>
      <c r="N48" s="10"/>
      <c r="O48" s="10"/>
      <c r="P48" s="10"/>
      <c r="Q48" s="10"/>
      <c r="R48" s="10"/>
      <c r="S48" s="10"/>
      <c r="T48" s="10"/>
      <c r="U48" s="10"/>
      <c r="V48" s="10"/>
    </row>
    <row r="49" spans="1:22" ht="13.9" x14ac:dyDescent="0.45">
      <c r="A49" s="10"/>
      <c r="B49" s="13"/>
      <c r="C49" s="13"/>
      <c r="D49" s="10"/>
      <c r="E49" s="10"/>
      <c r="F49" s="10"/>
      <c r="G49" s="10"/>
      <c r="H49" s="10"/>
      <c r="I49" s="10"/>
      <c r="J49" s="10"/>
      <c r="K49" s="10"/>
      <c r="L49" s="10"/>
      <c r="M49" s="10"/>
      <c r="N49" s="10"/>
      <c r="O49" s="10"/>
      <c r="P49" s="10"/>
      <c r="Q49" s="10"/>
      <c r="R49" s="10"/>
      <c r="S49" s="10"/>
      <c r="T49" s="10"/>
      <c r="U49" s="10"/>
      <c r="V49" s="10"/>
    </row>
    <row r="50" spans="1:22" ht="13.9" x14ac:dyDescent="0.45">
      <c r="A50" s="10"/>
      <c r="B50" s="13"/>
      <c r="C50" s="13"/>
      <c r="D50" s="10"/>
      <c r="E50" s="10"/>
      <c r="F50" s="10"/>
      <c r="G50" s="10"/>
      <c r="H50" s="10"/>
      <c r="I50" s="10"/>
      <c r="J50" s="10"/>
      <c r="K50" s="10"/>
      <c r="L50" s="10"/>
      <c r="M50" s="10"/>
      <c r="N50" s="10"/>
      <c r="O50" s="10"/>
      <c r="P50" s="10"/>
      <c r="Q50" s="10"/>
      <c r="R50" s="10"/>
      <c r="S50" s="10"/>
      <c r="T50" s="10"/>
      <c r="U50" s="10"/>
      <c r="V50" s="10"/>
    </row>
    <row r="51" spans="1:22" ht="13.9" x14ac:dyDescent="0.45">
      <c r="A51" s="10"/>
      <c r="B51" s="13"/>
      <c r="C51" s="13"/>
      <c r="D51" s="10"/>
      <c r="E51" s="10"/>
      <c r="F51" s="10"/>
      <c r="G51" s="10"/>
      <c r="H51" s="10"/>
      <c r="I51" s="10"/>
      <c r="J51" s="10"/>
      <c r="K51" s="10"/>
      <c r="L51" s="10"/>
      <c r="M51" s="10"/>
      <c r="N51" s="10"/>
      <c r="O51" s="10"/>
      <c r="P51" s="10"/>
      <c r="Q51" s="10"/>
      <c r="R51" s="10"/>
      <c r="S51" s="10"/>
      <c r="T51" s="10"/>
      <c r="U51" s="10"/>
      <c r="V51" s="10"/>
    </row>
    <row r="52" spans="1:22" ht="13.9" x14ac:dyDescent="0.45">
      <c r="A52" s="10"/>
      <c r="B52" s="13"/>
      <c r="C52" s="13"/>
      <c r="D52" s="10"/>
      <c r="E52" s="10"/>
      <c r="F52" s="10"/>
      <c r="G52" s="10"/>
      <c r="H52" s="10"/>
      <c r="I52" s="10"/>
      <c r="J52" s="10"/>
      <c r="K52" s="10"/>
      <c r="L52" s="10"/>
      <c r="M52" s="10"/>
      <c r="N52" s="10"/>
      <c r="O52" s="10"/>
      <c r="P52" s="10"/>
      <c r="Q52" s="10"/>
      <c r="R52" s="10"/>
      <c r="S52" s="10"/>
      <c r="T52" s="10"/>
      <c r="U52" s="10"/>
      <c r="V52" s="10"/>
    </row>
    <row r="53" spans="1:22" ht="13.9" x14ac:dyDescent="0.45">
      <c r="A53" s="10"/>
      <c r="B53" s="13"/>
      <c r="C53" s="13"/>
      <c r="D53" s="10"/>
      <c r="E53" s="10"/>
      <c r="F53" s="10"/>
      <c r="G53" s="10"/>
      <c r="H53" s="10"/>
      <c r="I53" s="10"/>
      <c r="J53" s="10"/>
      <c r="K53" s="10"/>
      <c r="L53" s="10"/>
      <c r="M53" s="10"/>
      <c r="N53" s="10"/>
      <c r="O53" s="10"/>
      <c r="P53" s="10"/>
      <c r="Q53" s="10"/>
      <c r="R53" s="10"/>
      <c r="S53" s="10"/>
      <c r="T53" s="10"/>
      <c r="U53" s="10"/>
      <c r="V53" s="10"/>
    </row>
    <row r="54" spans="1:22" ht="13.9" x14ac:dyDescent="0.45">
      <c r="A54" s="10"/>
      <c r="B54" s="13"/>
      <c r="C54" s="13"/>
      <c r="D54" s="10"/>
      <c r="E54" s="10"/>
      <c r="F54" s="10"/>
      <c r="G54" s="10"/>
      <c r="H54" s="10"/>
      <c r="I54" s="10"/>
      <c r="J54" s="10"/>
      <c r="K54" s="10"/>
      <c r="L54" s="10"/>
      <c r="M54" s="10"/>
      <c r="N54" s="10"/>
      <c r="O54" s="10"/>
      <c r="P54" s="10"/>
      <c r="Q54" s="10"/>
      <c r="R54" s="10"/>
      <c r="S54" s="10"/>
      <c r="T54" s="10"/>
      <c r="U54" s="10"/>
      <c r="V54" s="10"/>
    </row>
    <row r="55" spans="1:22" ht="13.9" x14ac:dyDescent="0.45">
      <c r="A55" s="10"/>
      <c r="B55" s="13"/>
      <c r="C55" s="13"/>
      <c r="D55" s="10"/>
      <c r="E55" s="10"/>
      <c r="F55" s="10"/>
      <c r="G55" s="10"/>
      <c r="H55" s="10"/>
      <c r="I55" s="10"/>
      <c r="J55" s="10"/>
      <c r="K55" s="10"/>
      <c r="L55" s="10"/>
      <c r="M55" s="10"/>
      <c r="N55" s="10"/>
      <c r="O55" s="10"/>
      <c r="P55" s="10"/>
      <c r="Q55" s="10"/>
      <c r="R55" s="10"/>
      <c r="S55" s="10"/>
      <c r="T55" s="10"/>
      <c r="U55" s="10"/>
      <c r="V55" s="10"/>
    </row>
    <row r="56" spans="1:22" ht="13.9" x14ac:dyDescent="0.45">
      <c r="A56" s="10"/>
      <c r="B56" s="13"/>
      <c r="C56" s="13"/>
      <c r="D56" s="10"/>
      <c r="E56" s="10"/>
      <c r="F56" s="10"/>
      <c r="G56" s="10"/>
      <c r="H56" s="10"/>
      <c r="I56" s="10"/>
      <c r="J56" s="10"/>
      <c r="K56" s="10"/>
      <c r="L56" s="10"/>
      <c r="M56" s="10"/>
      <c r="N56" s="10"/>
      <c r="O56" s="10"/>
      <c r="P56" s="10"/>
      <c r="Q56" s="10"/>
      <c r="R56" s="10"/>
      <c r="S56" s="10"/>
      <c r="T56" s="10"/>
      <c r="U56" s="10"/>
      <c r="V56" s="10"/>
    </row>
    <row r="57" spans="1:22" ht="13.9" x14ac:dyDescent="0.45">
      <c r="A57" s="10"/>
      <c r="B57" s="13"/>
      <c r="C57" s="13"/>
      <c r="D57" s="10"/>
      <c r="E57" s="10"/>
      <c r="F57" s="10"/>
      <c r="G57" s="10"/>
      <c r="H57" s="10"/>
      <c r="I57" s="10"/>
      <c r="J57" s="10"/>
      <c r="K57" s="10"/>
      <c r="L57" s="10"/>
      <c r="M57" s="10"/>
      <c r="N57" s="10"/>
      <c r="O57" s="10"/>
      <c r="P57" s="10"/>
      <c r="Q57" s="10"/>
      <c r="R57" s="10"/>
      <c r="S57" s="10"/>
      <c r="T57" s="10"/>
      <c r="U57" s="10"/>
      <c r="V57" s="10"/>
    </row>
    <row r="58" spans="1:22" ht="13.9" x14ac:dyDescent="0.45">
      <c r="A58" s="10"/>
      <c r="B58" s="13"/>
      <c r="C58" s="13"/>
      <c r="D58" s="10"/>
      <c r="E58" s="10"/>
      <c r="F58" s="10"/>
      <c r="G58" s="10"/>
      <c r="H58" s="10"/>
      <c r="I58" s="10"/>
      <c r="J58" s="10"/>
      <c r="K58" s="10"/>
      <c r="L58" s="10"/>
      <c r="M58" s="10"/>
      <c r="N58" s="10"/>
      <c r="O58" s="10"/>
      <c r="P58" s="10"/>
      <c r="Q58" s="10"/>
      <c r="R58" s="10"/>
      <c r="S58" s="10"/>
      <c r="T58" s="10"/>
      <c r="U58" s="10"/>
      <c r="V58" s="10"/>
    </row>
    <row r="59" spans="1:22" ht="13.9" x14ac:dyDescent="0.45">
      <c r="A59" s="10"/>
      <c r="B59" s="13"/>
      <c r="C59" s="13"/>
      <c r="D59" s="10"/>
      <c r="E59" s="10"/>
      <c r="F59" s="10"/>
      <c r="G59" s="10"/>
      <c r="H59" s="10"/>
      <c r="I59" s="10"/>
      <c r="J59" s="10"/>
      <c r="K59" s="10"/>
      <c r="L59" s="10"/>
      <c r="M59" s="10"/>
      <c r="N59" s="10"/>
      <c r="O59" s="10"/>
      <c r="P59" s="10"/>
      <c r="Q59" s="10"/>
      <c r="R59" s="10"/>
      <c r="S59" s="10"/>
      <c r="T59" s="10"/>
      <c r="U59" s="10"/>
      <c r="V59" s="10"/>
    </row>
    <row r="60" spans="1:22" ht="13.9" x14ac:dyDescent="0.45">
      <c r="A60" s="10"/>
      <c r="B60" s="13"/>
      <c r="C60" s="13"/>
      <c r="D60" s="10"/>
      <c r="E60" s="10"/>
      <c r="F60" s="10"/>
      <c r="G60" s="10"/>
      <c r="H60" s="10"/>
      <c r="I60" s="10"/>
      <c r="J60" s="10"/>
      <c r="K60" s="10"/>
      <c r="L60" s="10"/>
      <c r="M60" s="10"/>
      <c r="N60" s="10"/>
      <c r="O60" s="10"/>
      <c r="P60" s="10"/>
      <c r="Q60" s="10"/>
      <c r="R60" s="10"/>
      <c r="S60" s="10"/>
      <c r="T60" s="10"/>
      <c r="U60" s="10"/>
      <c r="V60" s="10"/>
    </row>
    <row r="61" spans="1:22" ht="13.9" x14ac:dyDescent="0.45">
      <c r="A61" s="10"/>
      <c r="B61" s="13"/>
      <c r="C61" s="13"/>
      <c r="D61" s="10"/>
      <c r="E61" s="10"/>
      <c r="F61" s="10"/>
      <c r="G61" s="10"/>
      <c r="H61" s="10"/>
      <c r="I61" s="10"/>
      <c r="J61" s="10"/>
      <c r="K61" s="10"/>
      <c r="L61" s="10"/>
      <c r="M61" s="10"/>
      <c r="N61" s="10"/>
      <c r="O61" s="10"/>
      <c r="P61" s="10"/>
      <c r="Q61" s="10"/>
      <c r="R61" s="10"/>
      <c r="S61" s="10"/>
      <c r="T61" s="10"/>
      <c r="U61" s="10"/>
      <c r="V61" s="10"/>
    </row>
    <row r="62" spans="1:22" ht="13.9" x14ac:dyDescent="0.45">
      <c r="A62" s="10"/>
      <c r="B62" s="13"/>
      <c r="C62" s="13"/>
      <c r="D62" s="10"/>
      <c r="E62" s="10"/>
      <c r="F62" s="10"/>
      <c r="G62" s="10"/>
      <c r="H62" s="10"/>
      <c r="I62" s="10"/>
      <c r="J62" s="10"/>
      <c r="K62" s="10"/>
      <c r="L62" s="10"/>
      <c r="M62" s="10"/>
      <c r="N62" s="10"/>
      <c r="O62" s="10"/>
      <c r="P62" s="10"/>
      <c r="Q62" s="10"/>
      <c r="R62" s="10"/>
      <c r="S62" s="10"/>
      <c r="T62" s="10"/>
      <c r="U62" s="10"/>
      <c r="V62" s="10"/>
    </row>
    <row r="63" spans="1:22" ht="13.9" x14ac:dyDescent="0.45">
      <c r="A63" s="10"/>
      <c r="B63" s="13"/>
      <c r="C63" s="13"/>
      <c r="D63" s="10"/>
      <c r="E63" s="10"/>
      <c r="F63" s="10"/>
      <c r="G63" s="10"/>
      <c r="H63" s="10"/>
      <c r="I63" s="10"/>
      <c r="J63" s="10"/>
      <c r="K63" s="10"/>
      <c r="L63" s="10"/>
      <c r="M63" s="10"/>
      <c r="N63" s="10"/>
      <c r="O63" s="10"/>
      <c r="P63" s="10"/>
      <c r="Q63" s="10"/>
      <c r="R63" s="10"/>
      <c r="S63" s="10"/>
      <c r="T63" s="10"/>
      <c r="U63" s="10"/>
      <c r="V63" s="10"/>
    </row>
    <row r="64" spans="1:22" ht="13.9" x14ac:dyDescent="0.45">
      <c r="A64" s="10"/>
      <c r="B64" s="13"/>
      <c r="C64" s="13"/>
      <c r="D64" s="10"/>
      <c r="E64" s="10"/>
      <c r="F64" s="10"/>
      <c r="G64" s="10"/>
      <c r="H64" s="10"/>
      <c r="I64" s="10"/>
      <c r="J64" s="10"/>
      <c r="K64" s="10"/>
      <c r="L64" s="10"/>
      <c r="M64" s="10"/>
      <c r="N64" s="10"/>
      <c r="O64" s="10"/>
      <c r="P64" s="10"/>
      <c r="Q64" s="10"/>
      <c r="R64" s="10"/>
      <c r="S64" s="10"/>
      <c r="T64" s="10"/>
      <c r="U64" s="10"/>
      <c r="V64" s="10"/>
    </row>
    <row r="65" spans="1:22" ht="13.9" x14ac:dyDescent="0.45">
      <c r="A65" s="10"/>
      <c r="B65" s="13"/>
      <c r="C65" s="13"/>
      <c r="D65" s="10"/>
      <c r="E65" s="10"/>
      <c r="F65" s="10"/>
      <c r="G65" s="10"/>
      <c r="H65" s="10"/>
      <c r="I65" s="10"/>
      <c r="J65" s="10"/>
      <c r="K65" s="10"/>
      <c r="L65" s="10"/>
      <c r="M65" s="10"/>
      <c r="N65" s="10"/>
      <c r="O65" s="10"/>
      <c r="P65" s="10"/>
      <c r="Q65" s="10"/>
      <c r="R65" s="10"/>
      <c r="S65" s="10"/>
      <c r="T65" s="10"/>
      <c r="U65" s="10"/>
      <c r="V65" s="10"/>
    </row>
    <row r="66" spans="1:22" ht="13.9" x14ac:dyDescent="0.45">
      <c r="A66" s="10"/>
      <c r="B66" s="13"/>
      <c r="C66" s="13"/>
      <c r="D66" s="10"/>
      <c r="E66" s="10"/>
      <c r="F66" s="10"/>
      <c r="G66" s="10"/>
      <c r="H66" s="10"/>
      <c r="I66" s="10"/>
      <c r="J66" s="10"/>
      <c r="K66" s="10"/>
      <c r="L66" s="10"/>
      <c r="M66" s="10"/>
      <c r="N66" s="10"/>
      <c r="O66" s="10"/>
      <c r="P66" s="10"/>
      <c r="Q66" s="10"/>
      <c r="R66" s="10"/>
      <c r="S66" s="10"/>
      <c r="T66" s="10"/>
      <c r="U66" s="10"/>
      <c r="V66" s="10"/>
    </row>
    <row r="67" spans="1:22" ht="13.9" x14ac:dyDescent="0.45">
      <c r="A67" s="10"/>
      <c r="B67" s="13"/>
      <c r="C67" s="13"/>
      <c r="D67" s="10"/>
      <c r="E67" s="10"/>
      <c r="F67" s="10"/>
      <c r="G67" s="10"/>
      <c r="H67" s="10"/>
      <c r="I67" s="10"/>
      <c r="J67" s="10"/>
      <c r="K67" s="10"/>
      <c r="L67" s="10"/>
      <c r="M67" s="10"/>
      <c r="N67" s="10"/>
      <c r="O67" s="10"/>
      <c r="P67" s="10"/>
      <c r="Q67" s="10"/>
      <c r="R67" s="10"/>
      <c r="S67" s="10"/>
      <c r="T67" s="10"/>
      <c r="U67" s="10"/>
      <c r="V67" s="10"/>
    </row>
    <row r="68" spans="1:22" ht="13.9" x14ac:dyDescent="0.45">
      <c r="A68" s="10"/>
      <c r="B68" s="13"/>
      <c r="C68" s="13"/>
      <c r="D68" s="10"/>
      <c r="E68" s="10"/>
      <c r="F68" s="10"/>
      <c r="G68" s="10"/>
      <c r="H68" s="10"/>
      <c r="I68" s="10"/>
      <c r="J68" s="10"/>
      <c r="K68" s="10"/>
      <c r="L68" s="10"/>
      <c r="M68" s="10"/>
      <c r="N68" s="10"/>
      <c r="O68" s="10"/>
      <c r="P68" s="10"/>
      <c r="Q68" s="10"/>
      <c r="R68" s="10"/>
      <c r="S68" s="10"/>
      <c r="T68" s="10"/>
      <c r="U68" s="10"/>
      <c r="V68" s="10"/>
    </row>
    <row r="69" spans="1:22" ht="13.9" x14ac:dyDescent="0.45">
      <c r="A69" s="10"/>
      <c r="B69" s="13"/>
      <c r="C69" s="13"/>
      <c r="D69" s="10"/>
      <c r="E69" s="10"/>
      <c r="F69" s="10"/>
      <c r="G69" s="10"/>
      <c r="H69" s="10"/>
      <c r="I69" s="10"/>
      <c r="J69" s="10"/>
      <c r="K69" s="10"/>
      <c r="L69" s="10"/>
      <c r="M69" s="10"/>
      <c r="N69" s="10"/>
      <c r="O69" s="10"/>
      <c r="P69" s="10"/>
      <c r="Q69" s="10"/>
      <c r="R69" s="10"/>
      <c r="S69" s="10"/>
      <c r="T69" s="10"/>
      <c r="U69" s="10"/>
      <c r="V69" s="10"/>
    </row>
    <row r="70" spans="1:22" ht="13.9" x14ac:dyDescent="0.45">
      <c r="A70" s="10"/>
      <c r="B70" s="13"/>
      <c r="C70" s="13"/>
      <c r="D70" s="10"/>
      <c r="E70" s="10"/>
      <c r="F70" s="10"/>
      <c r="G70" s="10"/>
      <c r="H70" s="10"/>
      <c r="I70" s="10"/>
      <c r="J70" s="10"/>
      <c r="K70" s="10"/>
      <c r="L70" s="10"/>
      <c r="M70" s="10"/>
      <c r="N70" s="10"/>
      <c r="O70" s="10"/>
      <c r="P70" s="10"/>
      <c r="Q70" s="10"/>
      <c r="R70" s="10"/>
      <c r="S70" s="10"/>
      <c r="T70" s="10"/>
      <c r="U70" s="10"/>
      <c r="V70" s="10"/>
    </row>
    <row r="71" spans="1:22" ht="13.9" x14ac:dyDescent="0.45">
      <c r="A71" s="10"/>
      <c r="B71" s="13"/>
      <c r="C71" s="13"/>
      <c r="D71" s="10"/>
      <c r="E71" s="10"/>
      <c r="F71" s="10"/>
      <c r="G71" s="10"/>
      <c r="H71" s="10"/>
      <c r="I71" s="10"/>
      <c r="J71" s="10"/>
      <c r="K71" s="10"/>
      <c r="L71" s="10"/>
      <c r="M71" s="10"/>
      <c r="N71" s="10"/>
      <c r="O71" s="10"/>
      <c r="P71" s="10"/>
      <c r="Q71" s="10"/>
      <c r="R71" s="10"/>
      <c r="S71" s="10"/>
      <c r="T71" s="10"/>
      <c r="U71" s="10"/>
      <c r="V71" s="10"/>
    </row>
    <row r="72" spans="1:22" ht="13.9" x14ac:dyDescent="0.45">
      <c r="A72" s="10"/>
      <c r="B72" s="13"/>
      <c r="C72" s="13"/>
      <c r="D72" s="10"/>
      <c r="E72" s="10"/>
      <c r="F72" s="10"/>
      <c r="G72" s="10"/>
      <c r="H72" s="10"/>
      <c r="I72" s="10"/>
      <c r="J72" s="10"/>
      <c r="K72" s="10"/>
      <c r="L72" s="10"/>
      <c r="M72" s="10"/>
      <c r="N72" s="10"/>
      <c r="O72" s="10"/>
      <c r="P72" s="10"/>
      <c r="Q72" s="10"/>
      <c r="R72" s="10"/>
      <c r="S72" s="10"/>
      <c r="T72" s="10"/>
      <c r="U72" s="10"/>
      <c r="V72" s="10"/>
    </row>
    <row r="73" spans="1:22" ht="13.9" x14ac:dyDescent="0.45">
      <c r="A73" s="10"/>
      <c r="B73" s="13"/>
      <c r="C73" s="13"/>
      <c r="D73" s="10"/>
      <c r="E73" s="10"/>
      <c r="F73" s="10"/>
      <c r="G73" s="10"/>
      <c r="H73" s="10"/>
      <c r="I73" s="10"/>
      <c r="J73" s="10"/>
      <c r="K73" s="10"/>
      <c r="L73" s="10"/>
      <c r="M73" s="10"/>
      <c r="N73" s="10"/>
      <c r="O73" s="10"/>
      <c r="P73" s="10"/>
      <c r="Q73" s="10"/>
      <c r="R73" s="10"/>
      <c r="S73" s="10"/>
      <c r="T73" s="10"/>
      <c r="U73" s="10"/>
      <c r="V73" s="10"/>
    </row>
    <row r="74" spans="1:22" ht="13.9" x14ac:dyDescent="0.45">
      <c r="A74" s="10"/>
      <c r="B74" s="13"/>
      <c r="C74" s="13"/>
      <c r="D74" s="10"/>
      <c r="E74" s="10"/>
      <c r="F74" s="10"/>
      <c r="G74" s="10"/>
      <c r="H74" s="10"/>
      <c r="I74" s="10"/>
      <c r="J74" s="10"/>
      <c r="K74" s="10"/>
      <c r="L74" s="10"/>
      <c r="M74" s="10"/>
      <c r="N74" s="10"/>
      <c r="O74" s="10"/>
      <c r="P74" s="10"/>
      <c r="Q74" s="10"/>
      <c r="R74" s="10"/>
      <c r="S74" s="10"/>
      <c r="T74" s="10"/>
      <c r="U74" s="10"/>
      <c r="V74" s="10"/>
    </row>
    <row r="75" spans="1:22" ht="13.9" x14ac:dyDescent="0.45">
      <c r="A75" s="10"/>
      <c r="B75" s="13"/>
      <c r="C75" s="13"/>
      <c r="D75" s="10"/>
      <c r="E75" s="10"/>
      <c r="F75" s="10"/>
      <c r="G75" s="10"/>
      <c r="H75" s="10"/>
      <c r="I75" s="10"/>
      <c r="J75" s="10"/>
      <c r="K75" s="10"/>
      <c r="L75" s="10"/>
      <c r="M75" s="10"/>
      <c r="N75" s="10"/>
      <c r="O75" s="10"/>
      <c r="P75" s="10"/>
      <c r="Q75" s="10"/>
      <c r="R75" s="10"/>
      <c r="S75" s="10"/>
      <c r="T75" s="10"/>
      <c r="U75" s="10"/>
      <c r="V75" s="10"/>
    </row>
    <row r="76" spans="1:22" ht="13.9" x14ac:dyDescent="0.45">
      <c r="A76" s="10"/>
      <c r="B76" s="13"/>
      <c r="C76" s="13"/>
      <c r="D76" s="10"/>
      <c r="E76" s="10"/>
      <c r="F76" s="10"/>
      <c r="G76" s="10"/>
      <c r="H76" s="10"/>
      <c r="I76" s="10"/>
      <c r="J76" s="10"/>
      <c r="K76" s="10"/>
      <c r="L76" s="10"/>
      <c r="M76" s="10"/>
      <c r="N76" s="10"/>
      <c r="O76" s="10"/>
      <c r="P76" s="10"/>
      <c r="Q76" s="10"/>
      <c r="R76" s="10"/>
      <c r="S76" s="10"/>
      <c r="T76" s="10"/>
      <c r="U76" s="10"/>
      <c r="V76" s="10"/>
    </row>
    <row r="77" spans="1:22" ht="13.9" x14ac:dyDescent="0.45">
      <c r="A77" s="10"/>
      <c r="B77" s="13"/>
      <c r="C77" s="13"/>
      <c r="D77" s="10"/>
      <c r="E77" s="10"/>
      <c r="F77" s="10"/>
      <c r="G77" s="10"/>
      <c r="H77" s="10"/>
      <c r="I77" s="10"/>
      <c r="J77" s="10"/>
      <c r="K77" s="10"/>
      <c r="L77" s="10"/>
      <c r="M77" s="10"/>
      <c r="N77" s="10"/>
      <c r="O77" s="10"/>
      <c r="P77" s="10"/>
      <c r="Q77" s="10"/>
      <c r="R77" s="10"/>
      <c r="S77" s="10"/>
      <c r="T77" s="10"/>
      <c r="U77" s="10"/>
      <c r="V77" s="10"/>
    </row>
    <row r="78" spans="1:22" ht="13.9" x14ac:dyDescent="0.45">
      <c r="A78" s="10"/>
      <c r="B78" s="13"/>
      <c r="C78" s="13"/>
      <c r="D78" s="10"/>
      <c r="E78" s="10"/>
      <c r="F78" s="10"/>
      <c r="G78" s="10"/>
      <c r="H78" s="10"/>
      <c r="I78" s="10"/>
      <c r="J78" s="10"/>
      <c r="K78" s="10"/>
      <c r="L78" s="10"/>
      <c r="M78" s="10"/>
      <c r="N78" s="10"/>
      <c r="O78" s="10"/>
      <c r="P78" s="10"/>
      <c r="Q78" s="10"/>
      <c r="R78" s="10"/>
      <c r="S78" s="10"/>
      <c r="T78" s="10"/>
      <c r="U78" s="10"/>
      <c r="V78" s="10"/>
    </row>
    <row r="79" spans="1:22" ht="13.9" x14ac:dyDescent="0.45">
      <c r="A79" s="10"/>
      <c r="B79" s="13"/>
      <c r="C79" s="13"/>
      <c r="D79" s="10"/>
      <c r="E79" s="10"/>
      <c r="F79" s="10"/>
      <c r="G79" s="10"/>
      <c r="H79" s="10"/>
      <c r="I79" s="10"/>
      <c r="J79" s="10"/>
      <c r="K79" s="10"/>
      <c r="L79" s="10"/>
      <c r="M79" s="10"/>
      <c r="N79" s="10"/>
      <c r="O79" s="10"/>
      <c r="P79" s="10"/>
      <c r="Q79" s="10"/>
      <c r="R79" s="10"/>
      <c r="S79" s="10"/>
      <c r="T79" s="10"/>
      <c r="U79" s="10"/>
      <c r="V79" s="10"/>
    </row>
    <row r="80" spans="1:22" ht="13.9" x14ac:dyDescent="0.45">
      <c r="A80" s="10"/>
      <c r="B80" s="13"/>
      <c r="C80" s="13"/>
      <c r="D80" s="10"/>
      <c r="E80" s="10"/>
      <c r="F80" s="10"/>
      <c r="G80" s="10"/>
      <c r="H80" s="10"/>
      <c r="I80" s="10"/>
      <c r="J80" s="10"/>
      <c r="K80" s="10"/>
      <c r="L80" s="10"/>
      <c r="M80" s="10"/>
      <c r="N80" s="10"/>
      <c r="O80" s="10"/>
      <c r="P80" s="10"/>
      <c r="Q80" s="10"/>
      <c r="R80" s="10"/>
      <c r="S80" s="10"/>
      <c r="T80" s="10"/>
      <c r="U80" s="10"/>
      <c r="V80" s="10"/>
    </row>
    <row r="81" spans="1:22" ht="13.9" x14ac:dyDescent="0.45">
      <c r="A81" s="10"/>
      <c r="B81" s="13"/>
      <c r="C81" s="13"/>
      <c r="D81" s="10"/>
      <c r="E81" s="10"/>
      <c r="F81" s="10"/>
      <c r="G81" s="10"/>
      <c r="H81" s="10"/>
      <c r="I81" s="10"/>
      <c r="J81" s="10"/>
      <c r="K81" s="10"/>
      <c r="L81" s="10"/>
      <c r="M81" s="10"/>
      <c r="N81" s="10"/>
      <c r="O81" s="10"/>
      <c r="P81" s="10"/>
      <c r="Q81" s="10"/>
      <c r="R81" s="10"/>
      <c r="S81" s="10"/>
      <c r="T81" s="10"/>
      <c r="U81" s="10"/>
      <c r="V81" s="10"/>
    </row>
    <row r="82" spans="1:22" ht="13.9" x14ac:dyDescent="0.45">
      <c r="A82" s="10"/>
      <c r="B82" s="13"/>
      <c r="C82" s="13"/>
      <c r="D82" s="10"/>
      <c r="E82" s="10"/>
      <c r="F82" s="10"/>
      <c r="G82" s="10"/>
      <c r="H82" s="10"/>
      <c r="I82" s="10"/>
      <c r="J82" s="10"/>
      <c r="K82" s="10"/>
      <c r="L82" s="10"/>
      <c r="M82" s="10"/>
      <c r="N82" s="10"/>
      <c r="O82" s="10"/>
      <c r="P82" s="10"/>
      <c r="Q82" s="10"/>
      <c r="R82" s="10"/>
      <c r="S82" s="10"/>
      <c r="T82" s="10"/>
      <c r="U82" s="10"/>
      <c r="V82" s="10"/>
    </row>
    <row r="83" spans="1:22" ht="13.9" x14ac:dyDescent="0.45">
      <c r="A83" s="10"/>
      <c r="B83" s="13"/>
      <c r="C83" s="13"/>
      <c r="D83" s="10"/>
      <c r="E83" s="10"/>
      <c r="F83" s="10"/>
      <c r="G83" s="10"/>
      <c r="H83" s="10"/>
      <c r="I83" s="10"/>
      <c r="J83" s="10"/>
      <c r="K83" s="10"/>
      <c r="L83" s="10"/>
      <c r="M83" s="10"/>
      <c r="N83" s="10"/>
      <c r="O83" s="10"/>
      <c r="P83" s="10"/>
      <c r="Q83" s="10"/>
      <c r="R83" s="10"/>
      <c r="S83" s="10"/>
      <c r="T83" s="10"/>
      <c r="U83" s="10"/>
      <c r="V83" s="10"/>
    </row>
    <row r="84" spans="1:22" ht="13.9" x14ac:dyDescent="0.45">
      <c r="A84" s="10"/>
      <c r="B84" s="13"/>
      <c r="C84" s="13"/>
      <c r="D84" s="10"/>
      <c r="E84" s="10"/>
      <c r="F84" s="10"/>
      <c r="G84" s="10"/>
      <c r="H84" s="10"/>
      <c r="I84" s="10"/>
      <c r="J84" s="10"/>
      <c r="K84" s="10"/>
      <c r="L84" s="10"/>
      <c r="M84" s="10"/>
      <c r="N84" s="10"/>
      <c r="O84" s="10"/>
      <c r="P84" s="10"/>
      <c r="Q84" s="10"/>
      <c r="R84" s="10"/>
      <c r="S84" s="10"/>
      <c r="T84" s="10"/>
      <c r="U84" s="10"/>
      <c r="V84" s="10"/>
    </row>
    <row r="85" spans="1:22" ht="13.9" x14ac:dyDescent="0.45">
      <c r="A85" s="10"/>
      <c r="B85" s="13"/>
      <c r="C85" s="13"/>
      <c r="D85" s="10"/>
      <c r="E85" s="10"/>
      <c r="F85" s="10"/>
      <c r="G85" s="10"/>
      <c r="H85" s="10"/>
      <c r="I85" s="10"/>
      <c r="J85" s="10"/>
      <c r="K85" s="10"/>
      <c r="L85" s="10"/>
      <c r="M85" s="10"/>
      <c r="N85" s="10"/>
      <c r="O85" s="10"/>
      <c r="P85" s="10"/>
      <c r="Q85" s="10"/>
      <c r="R85" s="10"/>
      <c r="S85" s="10"/>
      <c r="T85" s="10"/>
      <c r="U85" s="10"/>
      <c r="V85" s="10"/>
    </row>
    <row r="86" spans="1:22" ht="13.9" x14ac:dyDescent="0.45">
      <c r="A86" s="10"/>
      <c r="B86" s="13"/>
      <c r="C86" s="13"/>
      <c r="D86" s="10"/>
      <c r="E86" s="10"/>
      <c r="F86" s="10"/>
      <c r="G86" s="10"/>
      <c r="H86" s="10"/>
      <c r="I86" s="10"/>
      <c r="J86" s="10"/>
      <c r="K86" s="10"/>
      <c r="L86" s="10"/>
      <c r="M86" s="10"/>
      <c r="N86" s="10"/>
      <c r="O86" s="10"/>
      <c r="P86" s="10"/>
      <c r="Q86" s="10"/>
      <c r="R86" s="10"/>
      <c r="S86" s="10"/>
      <c r="T86" s="10"/>
      <c r="U86" s="10"/>
      <c r="V86" s="10"/>
    </row>
    <row r="87" spans="1:22" ht="13.9" x14ac:dyDescent="0.45">
      <c r="A87" s="10"/>
      <c r="B87" s="13"/>
      <c r="C87" s="13"/>
      <c r="D87" s="10"/>
      <c r="E87" s="10"/>
      <c r="F87" s="10"/>
      <c r="G87" s="10"/>
      <c r="H87" s="10"/>
      <c r="I87" s="10"/>
      <c r="J87" s="10"/>
      <c r="K87" s="10"/>
      <c r="L87" s="10"/>
      <c r="M87" s="10"/>
      <c r="N87" s="10"/>
      <c r="O87" s="10"/>
      <c r="P87" s="10"/>
      <c r="Q87" s="10"/>
      <c r="R87" s="10"/>
      <c r="S87" s="10"/>
      <c r="T87" s="10"/>
      <c r="U87" s="10"/>
      <c r="V87" s="10"/>
    </row>
    <row r="88" spans="1:22" ht="13.9" x14ac:dyDescent="0.45">
      <c r="A88" s="10"/>
      <c r="B88" s="13"/>
      <c r="C88" s="13"/>
      <c r="D88" s="10"/>
      <c r="E88" s="10"/>
      <c r="F88" s="10"/>
      <c r="G88" s="10"/>
      <c r="H88" s="10"/>
      <c r="I88" s="10"/>
      <c r="J88" s="10"/>
      <c r="K88" s="10"/>
      <c r="L88" s="10"/>
      <c r="M88" s="10"/>
      <c r="N88" s="10"/>
      <c r="O88" s="10"/>
      <c r="P88" s="10"/>
      <c r="Q88" s="10"/>
      <c r="R88" s="10"/>
      <c r="S88" s="10"/>
      <c r="T88" s="10"/>
      <c r="U88" s="10"/>
      <c r="V88" s="10"/>
    </row>
    <row r="89" spans="1:22" ht="13.9" x14ac:dyDescent="0.45">
      <c r="A89" s="10"/>
      <c r="B89" s="13"/>
      <c r="C89" s="13"/>
      <c r="D89" s="10"/>
      <c r="E89" s="10"/>
      <c r="F89" s="10"/>
      <c r="G89" s="10"/>
      <c r="H89" s="10"/>
      <c r="I89" s="10"/>
      <c r="J89" s="10"/>
      <c r="K89" s="10"/>
      <c r="L89" s="10"/>
      <c r="M89" s="10"/>
      <c r="N89" s="10"/>
      <c r="O89" s="10"/>
      <c r="P89" s="10"/>
      <c r="Q89" s="10"/>
      <c r="R89" s="10"/>
      <c r="S89" s="10"/>
      <c r="T89" s="10"/>
      <c r="U89" s="10"/>
      <c r="V89" s="10"/>
    </row>
    <row r="90" spans="1:22" ht="13.9" x14ac:dyDescent="0.45">
      <c r="A90" s="10"/>
      <c r="B90" s="13"/>
      <c r="C90" s="13"/>
      <c r="D90" s="10"/>
      <c r="E90" s="10"/>
      <c r="F90" s="10"/>
      <c r="G90" s="10"/>
      <c r="H90" s="10"/>
      <c r="I90" s="10"/>
      <c r="J90" s="10"/>
      <c r="K90" s="10"/>
      <c r="L90" s="10"/>
      <c r="M90" s="10"/>
      <c r="N90" s="10"/>
      <c r="O90" s="10"/>
      <c r="P90" s="10"/>
      <c r="Q90" s="10"/>
      <c r="R90" s="10"/>
      <c r="S90" s="10"/>
      <c r="T90" s="10"/>
      <c r="U90" s="10"/>
      <c r="V90" s="10"/>
    </row>
    <row r="91" spans="1:22" ht="13.9" x14ac:dyDescent="0.45">
      <c r="A91" s="10"/>
      <c r="B91" s="13"/>
      <c r="C91" s="13"/>
      <c r="D91" s="10"/>
      <c r="E91" s="10"/>
      <c r="F91" s="10"/>
      <c r="G91" s="10"/>
      <c r="H91" s="10"/>
      <c r="I91" s="10"/>
      <c r="J91" s="10"/>
      <c r="K91" s="10"/>
      <c r="L91" s="10"/>
      <c r="M91" s="10"/>
      <c r="N91" s="10"/>
      <c r="O91" s="10"/>
      <c r="P91" s="10"/>
      <c r="Q91" s="10"/>
      <c r="R91" s="10"/>
      <c r="S91" s="10"/>
      <c r="T91" s="10"/>
      <c r="U91" s="10"/>
      <c r="V91" s="10"/>
    </row>
    <row r="92" spans="1:22" ht="13.9" x14ac:dyDescent="0.45">
      <c r="A92" s="10"/>
      <c r="B92" s="13"/>
      <c r="C92" s="13"/>
      <c r="D92" s="10"/>
      <c r="E92" s="10"/>
      <c r="F92" s="10"/>
      <c r="G92" s="10"/>
      <c r="H92" s="10"/>
      <c r="I92" s="10"/>
      <c r="J92" s="10"/>
      <c r="K92" s="10"/>
      <c r="L92" s="10"/>
      <c r="M92" s="10"/>
      <c r="N92" s="10"/>
      <c r="O92" s="10"/>
      <c r="P92" s="10"/>
      <c r="Q92" s="10"/>
      <c r="R92" s="10"/>
      <c r="S92" s="10"/>
      <c r="T92" s="10"/>
      <c r="U92" s="10"/>
      <c r="V92" s="10"/>
    </row>
    <row r="93" spans="1:22" ht="13.9" x14ac:dyDescent="0.45">
      <c r="A93" s="10"/>
      <c r="B93" s="13"/>
      <c r="C93" s="13"/>
      <c r="D93" s="10"/>
      <c r="E93" s="10"/>
      <c r="F93" s="10"/>
      <c r="G93" s="10"/>
      <c r="H93" s="10"/>
      <c r="I93" s="10"/>
      <c r="J93" s="10"/>
      <c r="K93" s="10"/>
      <c r="L93" s="10"/>
      <c r="M93" s="10"/>
      <c r="N93" s="10"/>
      <c r="O93" s="10"/>
      <c r="P93" s="10"/>
      <c r="Q93" s="10"/>
      <c r="R93" s="10"/>
      <c r="S93" s="10"/>
      <c r="T93" s="10"/>
      <c r="U93" s="10"/>
      <c r="V93" s="10"/>
    </row>
    <row r="94" spans="1:22" ht="13.9" x14ac:dyDescent="0.45">
      <c r="A94" s="10"/>
      <c r="B94" s="13"/>
      <c r="C94" s="13"/>
      <c r="D94" s="10"/>
      <c r="E94" s="10"/>
      <c r="F94" s="10"/>
      <c r="G94" s="10"/>
      <c r="H94" s="10"/>
      <c r="I94" s="10"/>
      <c r="J94" s="10"/>
      <c r="K94" s="10"/>
      <c r="L94" s="10"/>
      <c r="M94" s="10"/>
      <c r="N94" s="10"/>
      <c r="O94" s="10"/>
      <c r="P94" s="10"/>
      <c r="Q94" s="10"/>
      <c r="R94" s="10"/>
      <c r="S94" s="10"/>
      <c r="T94" s="10"/>
      <c r="U94" s="10"/>
      <c r="V94" s="10"/>
    </row>
    <row r="95" spans="1:22" ht="13.9" x14ac:dyDescent="0.45">
      <c r="A95" s="10"/>
      <c r="B95" s="13"/>
      <c r="C95" s="13"/>
      <c r="D95" s="10"/>
      <c r="E95" s="10"/>
      <c r="F95" s="10"/>
      <c r="G95" s="10"/>
      <c r="H95" s="10"/>
      <c r="I95" s="10"/>
      <c r="J95" s="10"/>
      <c r="K95" s="10"/>
      <c r="L95" s="10"/>
      <c r="M95" s="10"/>
      <c r="N95" s="10"/>
      <c r="O95" s="10"/>
      <c r="P95" s="10"/>
      <c r="Q95" s="10"/>
      <c r="R95" s="10"/>
      <c r="S95" s="10"/>
      <c r="T95" s="10"/>
      <c r="U95" s="10"/>
      <c r="V95" s="10"/>
    </row>
    <row r="96" spans="1:22" ht="13.9" x14ac:dyDescent="0.45">
      <c r="A96" s="10"/>
      <c r="B96" s="13"/>
      <c r="C96" s="13"/>
      <c r="D96" s="10"/>
      <c r="E96" s="10"/>
      <c r="F96" s="10"/>
      <c r="G96" s="10"/>
      <c r="H96" s="10"/>
      <c r="I96" s="10"/>
      <c r="J96" s="10"/>
      <c r="K96" s="10"/>
      <c r="L96" s="10"/>
      <c r="M96" s="10"/>
      <c r="N96" s="10"/>
      <c r="O96" s="10"/>
      <c r="P96" s="10"/>
      <c r="Q96" s="10"/>
      <c r="R96" s="10"/>
      <c r="S96" s="10"/>
      <c r="T96" s="10"/>
      <c r="U96" s="10"/>
      <c r="V96" s="10"/>
    </row>
    <row r="97" spans="1:22" ht="13.9" x14ac:dyDescent="0.45">
      <c r="A97" s="10"/>
      <c r="B97" s="13"/>
      <c r="C97" s="13"/>
      <c r="D97" s="10"/>
      <c r="E97" s="10"/>
      <c r="F97" s="10"/>
      <c r="G97" s="10"/>
      <c r="H97" s="10"/>
      <c r="I97" s="10"/>
      <c r="J97" s="10"/>
      <c r="K97" s="10"/>
      <c r="L97" s="10"/>
      <c r="M97" s="10"/>
      <c r="N97" s="10"/>
      <c r="O97" s="10"/>
      <c r="P97" s="10"/>
      <c r="Q97" s="10"/>
      <c r="R97" s="10"/>
      <c r="S97" s="10"/>
      <c r="T97" s="10"/>
      <c r="U97" s="10"/>
      <c r="V97" s="10"/>
    </row>
    <row r="98" spans="1:22" ht="13.9" x14ac:dyDescent="0.45">
      <c r="A98" s="10"/>
      <c r="B98" s="13"/>
      <c r="C98" s="13"/>
      <c r="D98" s="10"/>
      <c r="E98" s="10"/>
      <c r="F98" s="10"/>
      <c r="G98" s="10"/>
      <c r="H98" s="10"/>
      <c r="I98" s="10"/>
      <c r="J98" s="10"/>
      <c r="K98" s="10"/>
      <c r="L98" s="10"/>
      <c r="M98" s="10"/>
      <c r="N98" s="10"/>
      <c r="O98" s="10"/>
      <c r="P98" s="10"/>
      <c r="Q98" s="10"/>
      <c r="R98" s="10"/>
      <c r="S98" s="10"/>
      <c r="T98" s="10"/>
      <c r="U98" s="10"/>
      <c r="V98" s="10"/>
    </row>
    <row r="99" spans="1:22" ht="13.9" x14ac:dyDescent="0.45">
      <c r="A99" s="10"/>
      <c r="B99" s="13"/>
      <c r="C99" s="13"/>
      <c r="D99" s="10"/>
      <c r="E99" s="10"/>
      <c r="F99" s="10"/>
      <c r="G99" s="10"/>
      <c r="H99" s="10"/>
      <c r="I99" s="10"/>
      <c r="J99" s="10"/>
      <c r="K99" s="10"/>
      <c r="L99" s="10"/>
      <c r="M99" s="10"/>
      <c r="N99" s="10"/>
      <c r="O99" s="10"/>
      <c r="P99" s="10"/>
      <c r="Q99" s="10"/>
      <c r="R99" s="10"/>
      <c r="S99" s="10"/>
      <c r="T99" s="10"/>
      <c r="U99" s="10"/>
      <c r="V99" s="10"/>
    </row>
    <row r="100" spans="1:22" ht="13.9" x14ac:dyDescent="0.4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9" x14ac:dyDescent="0.4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9" x14ac:dyDescent="0.4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9" x14ac:dyDescent="0.4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9" x14ac:dyDescent="0.4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9" x14ac:dyDescent="0.4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9" x14ac:dyDescent="0.4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9" x14ac:dyDescent="0.4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9" x14ac:dyDescent="0.4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9" x14ac:dyDescent="0.4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9" x14ac:dyDescent="0.4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9" x14ac:dyDescent="0.4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9" x14ac:dyDescent="0.4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9" x14ac:dyDescent="0.4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9" x14ac:dyDescent="0.4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9" x14ac:dyDescent="0.4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9" x14ac:dyDescent="0.4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9" x14ac:dyDescent="0.4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9" x14ac:dyDescent="0.4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9" x14ac:dyDescent="0.4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9" x14ac:dyDescent="0.4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9" x14ac:dyDescent="0.4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9" x14ac:dyDescent="0.4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9" x14ac:dyDescent="0.4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9" x14ac:dyDescent="0.4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9" x14ac:dyDescent="0.4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9" x14ac:dyDescent="0.4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9" x14ac:dyDescent="0.4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9" x14ac:dyDescent="0.4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9" x14ac:dyDescent="0.4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9" x14ac:dyDescent="0.4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9" x14ac:dyDescent="0.4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9" x14ac:dyDescent="0.4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9" x14ac:dyDescent="0.4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9" x14ac:dyDescent="0.4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9" x14ac:dyDescent="0.4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9" x14ac:dyDescent="0.4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9" x14ac:dyDescent="0.4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9" x14ac:dyDescent="0.4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9" x14ac:dyDescent="0.4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9" x14ac:dyDescent="0.4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9" x14ac:dyDescent="0.4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9" x14ac:dyDescent="0.4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9" x14ac:dyDescent="0.4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9" x14ac:dyDescent="0.4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9" x14ac:dyDescent="0.4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9" x14ac:dyDescent="0.4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9" x14ac:dyDescent="0.4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9" x14ac:dyDescent="0.4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9" x14ac:dyDescent="0.4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9" x14ac:dyDescent="0.4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9" x14ac:dyDescent="0.4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9" x14ac:dyDescent="0.4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9" x14ac:dyDescent="0.4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9" x14ac:dyDescent="0.4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9" x14ac:dyDescent="0.4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9" x14ac:dyDescent="0.4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9" x14ac:dyDescent="0.4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9" x14ac:dyDescent="0.4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9" x14ac:dyDescent="0.4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9" x14ac:dyDescent="0.4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9" x14ac:dyDescent="0.4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9" x14ac:dyDescent="0.4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9" x14ac:dyDescent="0.4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9" x14ac:dyDescent="0.4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9" x14ac:dyDescent="0.4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9" x14ac:dyDescent="0.4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9" x14ac:dyDescent="0.4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9" x14ac:dyDescent="0.4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9" x14ac:dyDescent="0.4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9" x14ac:dyDescent="0.4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9" x14ac:dyDescent="0.4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9" x14ac:dyDescent="0.4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9" x14ac:dyDescent="0.4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9" x14ac:dyDescent="0.4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9" x14ac:dyDescent="0.4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9" x14ac:dyDescent="0.4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9" x14ac:dyDescent="0.4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9" x14ac:dyDescent="0.4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9" x14ac:dyDescent="0.4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9" x14ac:dyDescent="0.4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9" x14ac:dyDescent="0.4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9" x14ac:dyDescent="0.4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9" x14ac:dyDescent="0.4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9" x14ac:dyDescent="0.4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9" x14ac:dyDescent="0.4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9" x14ac:dyDescent="0.4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9" x14ac:dyDescent="0.4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9" x14ac:dyDescent="0.4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9" x14ac:dyDescent="0.4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9" x14ac:dyDescent="0.4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9" x14ac:dyDescent="0.4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9" x14ac:dyDescent="0.4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9" x14ac:dyDescent="0.4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9" x14ac:dyDescent="0.4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9" x14ac:dyDescent="0.4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9" x14ac:dyDescent="0.4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9" x14ac:dyDescent="0.4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9" x14ac:dyDescent="0.4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9" x14ac:dyDescent="0.4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9" x14ac:dyDescent="0.4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9" x14ac:dyDescent="0.4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9" x14ac:dyDescent="0.4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9" x14ac:dyDescent="0.4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IF('START HERE'!A99="manual",Sheet3!$W$2,Sheet3!$W$2:$W$3)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6" sqref="A6"/>
    </sheetView>
  </sheetViews>
  <sheetFormatPr defaultRowHeight="12.75" x14ac:dyDescent="0.35"/>
  <cols>
    <col min="1" max="1" width="13.265625" bestFit="1" customWidth="1"/>
  </cols>
  <sheetData>
    <row r="2" spans="1:3" ht="13.9" x14ac:dyDescent="0.45">
      <c r="A2" s="10">
        <f>'Sizing Input'!C3*(1+'Turn The Knobs'!B7)</f>
        <v>0</v>
      </c>
      <c r="B2" s="24" t="s">
        <v>42</v>
      </c>
    </row>
    <row r="3" spans="1:3" ht="13.9" x14ac:dyDescent="0.45">
      <c r="A3" s="10">
        <v>46</v>
      </c>
      <c r="B3" s="24" t="s">
        <v>95</v>
      </c>
    </row>
    <row r="4" spans="1:3" ht="13.9" x14ac:dyDescent="0.45">
      <c r="A4" s="25" t="e">
        <f>(A2*'Sizing Input'!C7)</f>
        <v>#N/A</v>
      </c>
      <c r="B4" s="24" t="s">
        <v>43</v>
      </c>
    </row>
    <row r="5" spans="1:3" ht="13.9" x14ac:dyDescent="0.45">
      <c r="A5" s="10" t="e">
        <f>IF('Turn The Knobs'!B12="Current On-Prem Ratio",IF('Sizing Input'!C9&gt;'Sizing Input'!C8,1,(('Sizing Input'!C8/'Sizing Input'!C9))),'Turn The Knobs'!B12)</f>
        <v>#N/A</v>
      </c>
      <c r="B5" s="24" t="s">
        <v>44</v>
      </c>
    </row>
    <row r="6" spans="1:3" ht="13.9" x14ac:dyDescent="0.45">
      <c r="A6" s="58" t="e">
        <f>ROUNDUP(IF(A5=1,'Sizing Input'!C8*(1+'Turn The Knobs'!B7),(A4/A5)),0)+A3</f>
        <v>#N/A</v>
      </c>
      <c r="B6" s="24" t="s">
        <v>45</v>
      </c>
    </row>
    <row r="7" spans="1:3" x14ac:dyDescent="0.35">
      <c r="B7" s="26"/>
    </row>
    <row r="9" spans="1:3" ht="14.25" x14ac:dyDescent="0.45">
      <c r="A9" s="77" t="s">
        <v>86</v>
      </c>
      <c r="B9" s="77" t="s">
        <v>85</v>
      </c>
      <c r="C9" s="77" t="s">
        <v>84</v>
      </c>
    </row>
    <row r="10" spans="1:3" ht="14.25" x14ac:dyDescent="0.45">
      <c r="A10" s="77" t="e">
        <f>ROUNDUP($A$6/'Host Configurations'!B5,0)</f>
        <v>#N/A</v>
      </c>
      <c r="B10" s="77" t="e">
        <f>ROUNDUP($A$6/'Host Configurations'!C5,0)</f>
        <v>#N/A</v>
      </c>
      <c r="C10" s="77" t="e">
        <f>ROUNDUP($A$6/'Host Configurations'!D5,0)</f>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C27" sqref="C27"/>
    </sheetView>
  </sheetViews>
  <sheetFormatPr defaultRowHeight="12.75" x14ac:dyDescent="0.35"/>
  <cols>
    <col min="1" max="1" width="79.6640625" bestFit="1" customWidth="1"/>
    <col min="2" max="2" width="19.86328125" bestFit="1" customWidth="1"/>
    <col min="3" max="3" width="21.06640625" bestFit="1" customWidth="1"/>
    <col min="4" max="4" width="4" customWidth="1"/>
    <col min="5" max="5" width="19" customWidth="1"/>
    <col min="6" max="6" width="11.73046875" bestFit="1" customWidth="1"/>
    <col min="7" max="7" width="19" customWidth="1"/>
    <col min="8" max="8" width="18.19921875" bestFit="1" customWidth="1"/>
  </cols>
  <sheetData>
    <row r="2" spans="1:10" x14ac:dyDescent="0.35">
      <c r="B2" s="8"/>
    </row>
    <row r="3" spans="1:10" x14ac:dyDescent="0.35">
      <c r="A3" s="54" t="str">
        <f>'Turn The Knobs'!A6</f>
        <v>Dedupe / Compression Factor</v>
      </c>
      <c r="B3" s="55">
        <f>'Turn The Knobs'!B6</f>
        <v>1.3</v>
      </c>
    </row>
    <row r="4" spans="1:10" x14ac:dyDescent="0.35">
      <c r="A4" s="54" t="str">
        <f>'Turn The Knobs'!A7</f>
        <v>Growth % (Overall)</v>
      </c>
      <c r="B4" s="56">
        <f>'Turn The Knobs'!B7</f>
        <v>0</v>
      </c>
    </row>
    <row r="5" spans="1:10" x14ac:dyDescent="0.35">
      <c r="A5" s="54" t="s">
        <v>95</v>
      </c>
      <c r="B5" s="55">
        <v>3.8</v>
      </c>
      <c r="I5">
        <v>1</v>
      </c>
    </row>
    <row r="6" spans="1:10" x14ac:dyDescent="0.35">
      <c r="A6" t="str">
        <f>'Turn The Knobs'!A8</f>
        <v>vSAN Configuration</v>
      </c>
      <c r="B6" s="5" t="str">
        <f>'Turn The Knobs'!B8</f>
        <v>FTT=2, Erasure Coding</v>
      </c>
      <c r="C6">
        <f>IF(B6='Host Configurations'!A15,2,(IF(B6='Host Configurations'!A16,1.33,(IF(B6='Host Configurations'!A17,3,(IF(B6='Host Configurations'!A18,1.5,)))))))</f>
        <v>1.5</v>
      </c>
      <c r="I6">
        <v>0.3</v>
      </c>
    </row>
    <row r="7" spans="1:10" x14ac:dyDescent="0.35">
      <c r="A7" s="1" t="s">
        <v>46</v>
      </c>
      <c r="B7" s="57" t="e">
        <f>('Sizing Input'!C20)+(B5)+(('Sizing Input'!C20)*B4)</f>
        <v>#N/A</v>
      </c>
      <c r="I7">
        <f>I5-I6</f>
        <v>0.7</v>
      </c>
      <c r="J7">
        <f>I7*100</f>
        <v>70</v>
      </c>
    </row>
    <row r="8" spans="1:10" x14ac:dyDescent="0.35">
      <c r="A8" s="1" t="s">
        <v>47</v>
      </c>
      <c r="B8" s="57" t="e">
        <f>B7*C6</f>
        <v>#N/A</v>
      </c>
      <c r="I8">
        <v>345</v>
      </c>
      <c r="J8">
        <f>I8/J7</f>
        <v>4.9285714285714288</v>
      </c>
    </row>
    <row r="9" spans="1:10" x14ac:dyDescent="0.35">
      <c r="A9" s="1" t="s">
        <v>48</v>
      </c>
      <c r="B9" s="57" t="e">
        <f>B8/B3</f>
        <v>#N/A</v>
      </c>
      <c r="J9">
        <f>J8*100</f>
        <v>492.85714285714289</v>
      </c>
    </row>
    <row r="10" spans="1:10" x14ac:dyDescent="0.35">
      <c r="A10" s="1" t="s">
        <v>49</v>
      </c>
      <c r="B10" s="94" t="e">
        <f>(B9/((1-'Turn The Knobs'!B5)*100))*100</f>
        <v>#N/A</v>
      </c>
    </row>
    <row r="11" spans="1:10" x14ac:dyDescent="0.35">
      <c r="A11" s="1" t="s">
        <v>50</v>
      </c>
      <c r="B11" s="57" t="e">
        <f>IF(B3&lt;&gt;1,(B10+(B9*0.05247)),B10)</f>
        <v>#N/A</v>
      </c>
      <c r="C11" t="e">
        <f>B9*0.05247</f>
        <v>#N/A</v>
      </c>
    </row>
    <row r="12" spans="1:10" x14ac:dyDescent="0.35">
      <c r="A12" s="1" t="s">
        <v>51</v>
      </c>
      <c r="B12" s="57" t="e">
        <f>IF(B3&lt;&gt;1,(B11+(B9*0.1585)),(B11+(B9*0.04088)))</f>
        <v>#N/A</v>
      </c>
    </row>
    <row r="13" spans="1:10" x14ac:dyDescent="0.35">
      <c r="A13" s="1" t="s">
        <v>2</v>
      </c>
      <c r="B13" s="57"/>
    </row>
    <row r="15" spans="1:10" x14ac:dyDescent="0.35">
      <c r="E15">
        <v>2</v>
      </c>
      <c r="F15">
        <v>1.33</v>
      </c>
      <c r="G15">
        <v>3</v>
      </c>
      <c r="H15">
        <v>1.5</v>
      </c>
    </row>
    <row r="16" spans="1:10" ht="14.25" x14ac:dyDescent="0.45">
      <c r="E16" s="68" t="s">
        <v>61</v>
      </c>
      <c r="F16" s="68" t="s">
        <v>29</v>
      </c>
      <c r="G16" s="68" t="s">
        <v>62</v>
      </c>
      <c r="H16" s="68" t="s">
        <v>63</v>
      </c>
    </row>
    <row r="17" spans="1:9" x14ac:dyDescent="0.35">
      <c r="A17" s="76" t="s">
        <v>90</v>
      </c>
      <c r="B17" s="45" t="e">
        <f>((('Sizing Input'!C20)+(B5)+(('Sizing Input'!C19)*B4))/B3)+B5</f>
        <v>#N/A</v>
      </c>
      <c r="C17" t="s">
        <v>33</v>
      </c>
      <c r="E17" s="38" t="e">
        <f>$B$17*E15</f>
        <v>#N/A</v>
      </c>
      <c r="F17" s="38" t="e">
        <f>$B$17*F15</f>
        <v>#N/A</v>
      </c>
      <c r="G17" s="38" t="e">
        <f>$B$17*G15</f>
        <v>#N/A</v>
      </c>
      <c r="H17" s="38" t="e">
        <f>$B$17*H15</f>
        <v>#N/A</v>
      </c>
    </row>
    <row r="18" spans="1:9" x14ac:dyDescent="0.35">
      <c r="A18" s="76" t="s">
        <v>89</v>
      </c>
      <c r="B18" s="45" t="e">
        <f>((('Sizing Input'!C19)+(B5)+(('Sizing Input'!C19)*B4))/B3)+B5</f>
        <v>#N/A</v>
      </c>
      <c r="C18" t="s">
        <v>79</v>
      </c>
      <c r="E18" s="38" t="e">
        <f>$B$18*E15</f>
        <v>#N/A</v>
      </c>
      <c r="F18" s="38" t="e">
        <f>$B$18*F15</f>
        <v>#N/A</v>
      </c>
      <c r="G18" s="38" t="e">
        <f>$B$18*G15</f>
        <v>#N/A</v>
      </c>
      <c r="H18" s="38" t="e">
        <f>$B$18*H15</f>
        <v>#N/A</v>
      </c>
    </row>
    <row r="19" spans="1:9" x14ac:dyDescent="0.35">
      <c r="A19" s="1"/>
      <c r="B19" s="44"/>
    </row>
    <row r="21" spans="1:9" ht="13.15" x14ac:dyDescent="0.4">
      <c r="B21" s="105" t="s">
        <v>33</v>
      </c>
      <c r="C21" s="105" t="s">
        <v>109</v>
      </c>
      <c r="D21" s="105"/>
    </row>
    <row r="22" spans="1:9" ht="13.15" x14ac:dyDescent="0.4">
      <c r="A22" s="54" t="s">
        <v>25</v>
      </c>
      <c r="B22">
        <f>'Turn The Knobs'!B6</f>
        <v>1.3</v>
      </c>
      <c r="C22">
        <f>'Turn The Knobs'!B6</f>
        <v>1.3</v>
      </c>
      <c r="E22" s="106" t="s">
        <v>113</v>
      </c>
      <c r="F22" s="106"/>
      <c r="G22" s="106"/>
      <c r="H22" s="106"/>
    </row>
    <row r="23" spans="1:9" ht="14.25" x14ac:dyDescent="0.45">
      <c r="A23" s="54" t="s">
        <v>26</v>
      </c>
      <c r="B23" s="95">
        <f>'Turn The Knobs'!B7</f>
        <v>0</v>
      </c>
      <c r="C23" s="95">
        <f>'Turn The Knobs'!B7</f>
        <v>0</v>
      </c>
      <c r="D23" s="95"/>
      <c r="E23" s="68" t="s">
        <v>61</v>
      </c>
      <c r="F23" s="68" t="s">
        <v>29</v>
      </c>
      <c r="G23" s="68" t="s">
        <v>62</v>
      </c>
      <c r="H23" s="68" t="s">
        <v>63</v>
      </c>
    </row>
    <row r="24" spans="1:9" x14ac:dyDescent="0.35">
      <c r="A24" s="54" t="s">
        <v>95</v>
      </c>
      <c r="B24" s="104">
        <f>B5</f>
        <v>3.8</v>
      </c>
      <c r="C24" s="104">
        <f>B5</f>
        <v>3.8</v>
      </c>
      <c r="D24" s="104"/>
      <c r="E24" t="e">
        <f>ROUNDUP(B26/'Host Configurations'!D15,0)</f>
        <v>#N/A</v>
      </c>
      <c r="F24" t="e">
        <f>ROUNDUP($B$26/'Host Configurations'!D16,0)</f>
        <v>#N/A</v>
      </c>
      <c r="G24" t="e">
        <f>ROUNDUP($B$26/'Host Configurations'!D17,0)</f>
        <v>#N/A</v>
      </c>
      <c r="H24" t="e">
        <f>ROUNDUP($B$26/'Host Configurations'!D18,0)</f>
        <v>#N/A</v>
      </c>
      <c r="I24" t="s">
        <v>84</v>
      </c>
    </row>
    <row r="25" spans="1:9" x14ac:dyDescent="0.35">
      <c r="A25" s="1" t="s">
        <v>46</v>
      </c>
      <c r="B25" t="e">
        <f>('Sizing Input'!C20)+(B24)+(('Sizing Input'!C20)*B23)</f>
        <v>#N/A</v>
      </c>
      <c r="C25" t="e">
        <f>('Sizing Input'!C19)+(B24)+(('Sizing Input'!C19)*B23)</f>
        <v>#N/A</v>
      </c>
      <c r="E25" t="e">
        <f>ROUNDUP(B26/'Host Configurations'!B15,0)</f>
        <v>#N/A</v>
      </c>
      <c r="F25" t="e">
        <f>ROUNDUP($B$26/'Host Configurations'!B16,0)</f>
        <v>#N/A</v>
      </c>
      <c r="G25" t="e">
        <f>ROUNDUP($B$26/'Host Configurations'!B17,0)</f>
        <v>#N/A</v>
      </c>
      <c r="H25" t="e">
        <f>ROUNDUP($B$26/'Host Configurations'!B18,0)</f>
        <v>#N/A</v>
      </c>
      <c r="I25" t="s">
        <v>86</v>
      </c>
    </row>
    <row r="26" spans="1:9" x14ac:dyDescent="0.35">
      <c r="A26" s="1" t="s">
        <v>104</v>
      </c>
      <c r="B26" t="e">
        <f>(1-(B22-1))*B25</f>
        <v>#N/A</v>
      </c>
      <c r="C26" t="e">
        <f>(1-(C22-1))*C25</f>
        <v>#N/A</v>
      </c>
      <c r="E26" t="e">
        <f>ROUNDUP(B26/'Host Configurations'!C15,0)</f>
        <v>#N/A</v>
      </c>
      <c r="F26" t="e">
        <f>ROUNDUP($B$26/'Host Configurations'!C16,0)</f>
        <v>#N/A</v>
      </c>
      <c r="G26" t="e">
        <f>ROUNDUP($B$26/'Host Configurations'!C17,0)</f>
        <v>#N/A</v>
      </c>
      <c r="H26" t="e">
        <f>ROUNDUP($B$26/'Host Configurations'!C18,0)</f>
        <v>#N/A</v>
      </c>
      <c r="I26" s="1" t="s">
        <v>85</v>
      </c>
    </row>
    <row r="27" spans="1:9" ht="13.15" x14ac:dyDescent="0.4">
      <c r="A27" s="97" t="s">
        <v>110</v>
      </c>
      <c r="B27" s="96" t="e">
        <f>IF('Turn The Knobs'!B8='Storage Details'!E29,'Storage Details'!E24,IF('Turn The Knobs'!B8='Storage Details'!F23,'Storage Details'!F24,IF('Turn The Knobs'!B8='Storage Details'!G23,'Storage Details'!G24,IF('Turn The Knobs'!B8='Storage Details'!H23,'Storage Details'!H24))))</f>
        <v>#N/A</v>
      </c>
      <c r="C27" t="e">
        <f>IF('Turn The Knobs'!B8='Storage Details'!E29,'Storage Details'!E30,IF('Turn The Knobs'!B8='Storage Details'!F23,'Storage Details'!F30,IF('Turn The Knobs'!B8='Storage Details'!G23,'Storage Details'!G30,IF('Turn The Knobs'!B8='Storage Details'!H23,'Storage Details'!H30))))</f>
        <v>#N/A</v>
      </c>
    </row>
    <row r="28" spans="1:9" ht="13.15" x14ac:dyDescent="0.4">
      <c r="A28" s="97" t="s">
        <v>111</v>
      </c>
      <c r="B28" s="96" t="e">
        <f>IF('Turn The Knobs'!B8='Storage Details'!E23,'Storage Details'!E25,IF('Turn The Knobs'!B8='Storage Details'!F23,'Storage Details'!F25,IF('Turn The Knobs'!B8='Storage Details'!G23,'Storage Details'!G25,IF('Turn The Knobs'!B8='Storage Details'!H23,'Storage Details'!H25))))</f>
        <v>#N/A</v>
      </c>
      <c r="C28" t="e">
        <f>IF('Turn The Knobs'!B8='Storage Details'!E29,'Storage Details'!E31,IF('Turn The Knobs'!B8='Storage Details'!F29,'Storage Details'!F31,IF('Turn The Knobs'!B8='Storage Details'!G29,'Storage Details'!G31,IF('Turn The Knobs'!B8='Storage Details'!H29,'Storage Details'!H31))))</f>
        <v>#N/A</v>
      </c>
      <c r="E28" s="106" t="s">
        <v>114</v>
      </c>
      <c r="F28" s="106"/>
      <c r="G28" s="106"/>
      <c r="H28" s="106"/>
    </row>
    <row r="29" spans="1:9" ht="14.25" x14ac:dyDescent="0.45">
      <c r="A29" s="97" t="s">
        <v>112</v>
      </c>
      <c r="B29" s="96" t="e">
        <f>IF('Turn The Knobs'!B8='Storage Details'!E23,'Storage Details'!E26,IF('Turn The Knobs'!B8='Storage Details'!F23,'Storage Details'!F26,IF('Turn The Knobs'!B8='Storage Details'!G23,'Storage Details'!G26,IF('Turn The Knobs'!B8='Storage Details'!H23,'Storage Details'!H26))))</f>
        <v>#N/A</v>
      </c>
      <c r="C29" t="e">
        <f>IF('Turn The Knobs'!B8='Storage Details'!E29,'Storage Details'!E32,IF('Turn The Knobs'!B8='Storage Details'!F23,'Storage Details'!F32,IF('Turn The Knobs'!B8='Storage Details'!G23,'Storage Details'!G32,IF('Turn The Knobs'!B8='Storage Details'!H23,'Storage Details'!H32))))</f>
        <v>#N/A</v>
      </c>
      <c r="E29" s="68" t="s">
        <v>61</v>
      </c>
      <c r="F29" s="68" t="s">
        <v>29</v>
      </c>
      <c r="G29" s="68" t="s">
        <v>62</v>
      </c>
      <c r="H29" s="68" t="s">
        <v>63</v>
      </c>
    </row>
    <row r="30" spans="1:9" x14ac:dyDescent="0.35">
      <c r="A30" s="1"/>
      <c r="E30" s="1" t="e">
        <f>ROUNDUP(C26/'Host Configurations'!D15,0)</f>
        <v>#N/A</v>
      </c>
      <c r="F30" s="1" t="e">
        <f>ROUNDUP(C26/'Host Configurations'!D16,0)</f>
        <v>#N/A</v>
      </c>
      <c r="G30" s="1" t="e">
        <f>ROUNDUP(C26/'Host Configurations'!D17,0)</f>
        <v>#N/A</v>
      </c>
      <c r="H30" s="1" t="e">
        <f>ROUNDUP(C26/'Host Configurations'!D18,0)</f>
        <v>#N/A</v>
      </c>
      <c r="I30" t="s">
        <v>84</v>
      </c>
    </row>
    <row r="31" spans="1:9" x14ac:dyDescent="0.35">
      <c r="A31" s="1"/>
      <c r="E31" s="1" t="e">
        <f>ROUNDUP(C26/'Host Configurations'!B15,0)</f>
        <v>#N/A</v>
      </c>
      <c r="F31" s="1" t="e">
        <f>ROUNDUP(C26/'Host Configurations'!B16,0)</f>
        <v>#N/A</v>
      </c>
      <c r="G31" s="1" t="e">
        <f>ROUNDUP(C26/'Host Configurations'!B17,0)</f>
        <v>#N/A</v>
      </c>
      <c r="H31" s="1" t="e">
        <f>ROUNDUP(C26/'Host Configurations'!B18,0)</f>
        <v>#N/A</v>
      </c>
      <c r="I31" t="s">
        <v>86</v>
      </c>
    </row>
    <row r="32" spans="1:9" x14ac:dyDescent="0.35">
      <c r="E32" s="1" t="e">
        <f>ROUNDUP(C26/'Host Configurations'!C15,0)</f>
        <v>#N/A</v>
      </c>
      <c r="F32" s="1" t="e">
        <f>ROUNDUP(C26/'Host Configurations'!C16,0)</f>
        <v>#N/A</v>
      </c>
      <c r="G32" s="1" t="e">
        <f>ROUNDUP(C26/'Host Configurations'!C17,0)</f>
        <v>#N/A</v>
      </c>
      <c r="H32" s="1" t="e">
        <f>ROUNDUP(C26/'Host Configurations'!C18,0)</f>
        <v>#N/A</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3984375" defaultRowHeight="12.75" x14ac:dyDescent="0.35"/>
  <cols>
    <col min="1" max="1" width="19.265625" bestFit="1" customWidth="1"/>
    <col min="4" max="4" width="18.3984375" customWidth="1"/>
    <col min="5" max="5" width="22.86328125" customWidth="1"/>
    <col min="7" max="7" width="19.59765625" bestFit="1" customWidth="1"/>
    <col min="8" max="8" width="5.73046875" bestFit="1" customWidth="1"/>
  </cols>
  <sheetData>
    <row r="1" spans="1:8" ht="14.25" x14ac:dyDescent="0.45">
      <c r="A1" s="2" t="s">
        <v>52</v>
      </c>
      <c r="B1" s="2" t="s">
        <v>86</v>
      </c>
      <c r="C1" s="2" t="s">
        <v>85</v>
      </c>
      <c r="D1" s="2" t="s">
        <v>84</v>
      </c>
      <c r="E1" s="2"/>
    </row>
    <row r="2" spans="1:8" ht="14.25" x14ac:dyDescent="0.45">
      <c r="A2" s="2" t="s">
        <v>53</v>
      </c>
      <c r="B2" s="2">
        <v>2.6</v>
      </c>
      <c r="C2" s="2">
        <v>2.7</v>
      </c>
      <c r="D2" s="2">
        <v>2.2999999999999998</v>
      </c>
      <c r="E2" s="2"/>
    </row>
    <row r="3" spans="1:8" ht="14.25" x14ac:dyDescent="0.45">
      <c r="A3" s="2" t="s">
        <v>54</v>
      </c>
      <c r="B3" s="2">
        <v>2</v>
      </c>
      <c r="C3" s="2">
        <v>2</v>
      </c>
      <c r="D3" s="2">
        <v>2</v>
      </c>
      <c r="E3" s="2"/>
    </row>
    <row r="4" spans="1:8" ht="14.25" x14ac:dyDescent="0.45">
      <c r="A4" s="2" t="s">
        <v>55</v>
      </c>
      <c r="B4" s="2">
        <v>18</v>
      </c>
      <c r="C4" s="2">
        <v>26</v>
      </c>
      <c r="D4" s="2">
        <v>18</v>
      </c>
      <c r="E4" s="2"/>
    </row>
    <row r="5" spans="1:8" ht="14.25" x14ac:dyDescent="0.45">
      <c r="A5" s="2" t="s">
        <v>56</v>
      </c>
      <c r="B5" s="2">
        <f>B3*B4</f>
        <v>36</v>
      </c>
      <c r="C5" s="2">
        <f>C3*C4</f>
        <v>52</v>
      </c>
      <c r="D5" s="2">
        <f>D3*D4</f>
        <v>36</v>
      </c>
      <c r="E5" s="2"/>
    </row>
    <row r="6" spans="1:8" ht="14.25" x14ac:dyDescent="0.45">
      <c r="A6" s="2" t="s">
        <v>57</v>
      </c>
      <c r="B6" s="2">
        <v>768</v>
      </c>
      <c r="C6" s="2">
        <v>1500</v>
      </c>
      <c r="D6" s="2">
        <v>576</v>
      </c>
      <c r="E6" s="2"/>
    </row>
    <row r="7" spans="1:8" ht="14.25" x14ac:dyDescent="0.45">
      <c r="A7" s="2" t="s">
        <v>58</v>
      </c>
      <c r="B7" s="2">
        <v>15400</v>
      </c>
      <c r="C7" s="2">
        <v>38400</v>
      </c>
      <c r="D7" s="2">
        <v>1920</v>
      </c>
      <c r="E7" s="2"/>
      <c r="G7" s="1"/>
    </row>
    <row r="8" spans="1:8" ht="14.25" x14ac:dyDescent="0.45">
      <c r="A8" s="2" t="s">
        <v>59</v>
      </c>
      <c r="B8" s="2">
        <v>1</v>
      </c>
      <c r="C8" s="2">
        <v>1</v>
      </c>
      <c r="D8" s="2">
        <v>8</v>
      </c>
      <c r="E8" s="2"/>
      <c r="G8" s="1"/>
    </row>
    <row r="9" spans="1:8" ht="14.25" x14ac:dyDescent="0.45">
      <c r="A9" s="2" t="s">
        <v>60</v>
      </c>
      <c r="B9" s="2">
        <f>(B8*B7)/1000</f>
        <v>15.4</v>
      </c>
      <c r="C9" s="2">
        <f>(C8*C7)/1000</f>
        <v>38.4</v>
      </c>
      <c r="D9" s="2">
        <f>(D8*D7)/1000</f>
        <v>15.36</v>
      </c>
      <c r="E9" s="2"/>
      <c r="G9" s="1"/>
      <c r="H9" s="2"/>
    </row>
    <row r="10" spans="1:8" ht="14.25" x14ac:dyDescent="0.45">
      <c r="A10" s="2" t="s">
        <v>91</v>
      </c>
      <c r="B10" s="2">
        <f>($B$9*(1-'Turn The Knobs'!B5))</f>
        <v>11.55</v>
      </c>
      <c r="C10" s="2">
        <f>($C$9*(1-'Turn The Knobs'!B5))</f>
        <v>28.799999999999997</v>
      </c>
      <c r="D10" s="2">
        <f>($D$9*(1-'Turn The Knobs'!B5))</f>
        <v>11.52</v>
      </c>
      <c r="E10" s="2"/>
      <c r="G10" s="1"/>
      <c r="H10" s="2"/>
    </row>
    <row r="11" spans="1:8" ht="14.25" x14ac:dyDescent="0.45">
      <c r="A11" s="2"/>
      <c r="B11" s="2"/>
      <c r="C11" s="2"/>
      <c r="D11" s="2"/>
      <c r="E11" s="2"/>
      <c r="G11" s="1"/>
      <c r="H11" s="2"/>
    </row>
    <row r="12" spans="1:8" ht="14.25" x14ac:dyDescent="0.45">
      <c r="A12" s="2"/>
      <c r="B12" s="2"/>
      <c r="C12" s="2"/>
      <c r="D12" s="2"/>
      <c r="E12" s="2"/>
      <c r="G12" s="1"/>
      <c r="H12" s="2"/>
    </row>
    <row r="13" spans="1:8" ht="14.25" x14ac:dyDescent="0.45">
      <c r="A13" s="2"/>
      <c r="B13" s="2"/>
      <c r="C13" s="2"/>
      <c r="D13" s="2"/>
      <c r="E13" s="73" t="s">
        <v>87</v>
      </c>
      <c r="G13" s="71"/>
      <c r="H13" s="72"/>
    </row>
    <row r="14" spans="1:8" ht="14.25" x14ac:dyDescent="0.45">
      <c r="A14" s="101" t="s">
        <v>88</v>
      </c>
      <c r="B14" s="101"/>
      <c r="C14" s="101"/>
      <c r="D14" s="101"/>
      <c r="E14" s="74">
        <f>'Turn The Knobs'!B5</f>
        <v>0.25</v>
      </c>
      <c r="G14" s="1"/>
    </row>
    <row r="15" spans="1:8" ht="14.25" x14ac:dyDescent="0.45">
      <c r="A15" s="68" t="s">
        <v>61</v>
      </c>
      <c r="B15" s="69">
        <f>$B$10/E15</f>
        <v>5.7750000000000004</v>
      </c>
      <c r="C15" s="69">
        <f>($C$9*(1-$E$14))/E15</f>
        <v>14.399999999999999</v>
      </c>
      <c r="D15" s="69">
        <f>($D$9*(1-$E$14))/E15</f>
        <v>5.76</v>
      </c>
      <c r="E15" s="23">
        <v>2</v>
      </c>
      <c r="G15" s="1"/>
    </row>
    <row r="16" spans="1:8" ht="14.25" x14ac:dyDescent="0.45">
      <c r="A16" s="68" t="s">
        <v>29</v>
      </c>
      <c r="B16" s="69">
        <f t="shared" ref="B16:B18" si="0">$B$10/E16</f>
        <v>8.6842105263157894</v>
      </c>
      <c r="C16" s="69">
        <f t="shared" ref="C16:C18" si="1">($C$9*(1-$E$14))/E16</f>
        <v>21.65413533834586</v>
      </c>
      <c r="D16" s="69">
        <f t="shared" ref="D16:D18" si="2">($D$9*(1-$E$14))/E16</f>
        <v>8.6616541353383454</v>
      </c>
      <c r="E16" s="23">
        <v>1.33</v>
      </c>
      <c r="G16" s="1"/>
    </row>
    <row r="17" spans="1:7" ht="14.25" x14ac:dyDescent="0.45">
      <c r="A17" s="68" t="s">
        <v>62</v>
      </c>
      <c r="B17" s="69">
        <f t="shared" si="0"/>
        <v>3.85</v>
      </c>
      <c r="C17" s="69">
        <f t="shared" si="1"/>
        <v>9.6</v>
      </c>
      <c r="D17" s="69">
        <f t="shared" si="2"/>
        <v>3.84</v>
      </c>
      <c r="E17" s="23">
        <v>3</v>
      </c>
      <c r="G17" s="1"/>
    </row>
    <row r="18" spans="1:7" ht="14.25" x14ac:dyDescent="0.45">
      <c r="A18" s="68" t="s">
        <v>63</v>
      </c>
      <c r="B18" s="69">
        <f t="shared" si="0"/>
        <v>7.7</v>
      </c>
      <c r="C18" s="69">
        <f t="shared" si="1"/>
        <v>19.2</v>
      </c>
      <c r="D18" s="69">
        <f t="shared" si="2"/>
        <v>7.68</v>
      </c>
      <c r="E18" s="23">
        <v>1.5</v>
      </c>
      <c r="G18" s="1"/>
    </row>
    <row r="19" spans="1:7" x14ac:dyDescent="0.35">
      <c r="A19" s="70"/>
      <c r="B19" s="70"/>
      <c r="C19" s="70"/>
      <c r="D19" s="70"/>
    </row>
    <row r="24" spans="1:7" ht="14.25" x14ac:dyDescent="0.45">
      <c r="A24" s="2"/>
    </row>
    <row r="25" spans="1:7" ht="14.25" x14ac:dyDescent="0.45">
      <c r="A25" s="2"/>
    </row>
    <row r="26" spans="1:7" ht="14.25" x14ac:dyDescent="0.45">
      <c r="A26" s="2"/>
    </row>
    <row r="27" spans="1:7" ht="14.25" x14ac:dyDescent="0.45">
      <c r="A27" s="2"/>
    </row>
    <row r="28" spans="1:7" ht="14.25" x14ac:dyDescent="0.45">
      <c r="A28" s="2"/>
    </row>
    <row r="29" spans="1:7" ht="14.25" x14ac:dyDescent="0.4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M1" workbookViewId="0">
      <selection activeCell="V11" sqref="V11"/>
    </sheetView>
  </sheetViews>
  <sheetFormatPr defaultRowHeight="12.75" x14ac:dyDescent="0.35"/>
  <cols>
    <col min="1" max="1" width="25" style="47" bestFit="1" customWidth="1"/>
    <col min="2" max="2" width="11.3984375" style="52" bestFit="1" customWidth="1"/>
    <col min="3" max="3" width="8" style="52" bestFit="1" customWidth="1"/>
    <col min="4" max="4" width="12" style="52" bestFit="1" customWidth="1"/>
    <col min="5" max="5" width="24.265625" bestFit="1" customWidth="1"/>
    <col min="6" max="6" width="19.46484375" bestFit="1" customWidth="1"/>
    <col min="7" max="7" width="11.265625" customWidth="1"/>
    <col min="8" max="8" width="11.3984375" customWidth="1"/>
    <col min="9" max="9" width="15" customWidth="1"/>
    <col min="10" max="10" width="16.3984375" bestFit="1" customWidth="1"/>
    <col min="11" max="11" width="14.1328125" customWidth="1"/>
    <col min="12" max="12" width="9" customWidth="1"/>
    <col min="13" max="13" width="9" style="45"/>
    <col min="14" max="14" width="22.1328125" style="38" bestFit="1" customWidth="1"/>
    <col min="15" max="15" width="22.1328125" style="47" bestFit="1" customWidth="1"/>
    <col min="16" max="16" width="9" style="44" bestFit="1" customWidth="1"/>
    <col min="17" max="17" width="10.265625" style="44" bestFit="1" customWidth="1"/>
    <col min="18" max="18" width="21" bestFit="1" customWidth="1"/>
    <col min="19" max="19" width="22.86328125" bestFit="1" customWidth="1"/>
    <col min="20" max="20" width="22.59765625" bestFit="1" customWidth="1"/>
    <col min="21" max="21" width="24.86328125" bestFit="1" customWidth="1"/>
    <col min="22" max="22" width="36.86328125" bestFit="1" customWidth="1"/>
  </cols>
  <sheetData>
    <row r="1" spans="1:26" ht="13.15" x14ac:dyDescent="0.4">
      <c r="A1" s="46">
        <f>'vHosts (Imported)'!A1</f>
        <v>0</v>
      </c>
      <c r="B1" s="48" t="s">
        <v>64</v>
      </c>
      <c r="C1" s="49" t="s">
        <v>65</v>
      </c>
      <c r="D1" s="50" t="s">
        <v>66</v>
      </c>
      <c r="N1" s="38" t="s">
        <v>67</v>
      </c>
      <c r="R1" t="s">
        <v>68</v>
      </c>
      <c r="S1" t="s">
        <v>69</v>
      </c>
      <c r="T1" t="s">
        <v>70</v>
      </c>
      <c r="U1" s="1" t="s">
        <v>71</v>
      </c>
      <c r="V1" s="1" t="s">
        <v>72</v>
      </c>
    </row>
    <row r="2" spans="1:26" ht="13.15" x14ac:dyDescent="0.4">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15" x14ac:dyDescent="0.4">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15" x14ac:dyDescent="0.4">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15" x14ac:dyDescent="0.4">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15" x14ac:dyDescent="0.4">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15" x14ac:dyDescent="0.4">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15" x14ac:dyDescent="0.4">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15" x14ac:dyDescent="0.4">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15" x14ac:dyDescent="0.4">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15" x14ac:dyDescent="0.4">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15" x14ac:dyDescent="0.4">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15" x14ac:dyDescent="0.4">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15" x14ac:dyDescent="0.4">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15" x14ac:dyDescent="0.4">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15" x14ac:dyDescent="0.4">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15" x14ac:dyDescent="0.4">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15" x14ac:dyDescent="0.4">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15" x14ac:dyDescent="0.4">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15" x14ac:dyDescent="0.4">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15" x14ac:dyDescent="0.4">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15" x14ac:dyDescent="0.4">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15" x14ac:dyDescent="0.4">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15" x14ac:dyDescent="0.4">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15" x14ac:dyDescent="0.4">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15" x14ac:dyDescent="0.4">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15" x14ac:dyDescent="0.4">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15" x14ac:dyDescent="0.4">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15" x14ac:dyDescent="0.4">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15" x14ac:dyDescent="0.4">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15" x14ac:dyDescent="0.4">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15" x14ac:dyDescent="0.4">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15" x14ac:dyDescent="0.4">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15" x14ac:dyDescent="0.4">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15" x14ac:dyDescent="0.4">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15" x14ac:dyDescent="0.4">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15" x14ac:dyDescent="0.4">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15" x14ac:dyDescent="0.4">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15" x14ac:dyDescent="0.4">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15" x14ac:dyDescent="0.4">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15" x14ac:dyDescent="0.4">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15" x14ac:dyDescent="0.4">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15" x14ac:dyDescent="0.4">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15" x14ac:dyDescent="0.4">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15" x14ac:dyDescent="0.4">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15" x14ac:dyDescent="0.4">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15" x14ac:dyDescent="0.4">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15" x14ac:dyDescent="0.4">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15" x14ac:dyDescent="0.4">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15" x14ac:dyDescent="0.4">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15" x14ac:dyDescent="0.4">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15" x14ac:dyDescent="0.4">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15" x14ac:dyDescent="0.4">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15" x14ac:dyDescent="0.4">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15" x14ac:dyDescent="0.4">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15" x14ac:dyDescent="0.4">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15" x14ac:dyDescent="0.4">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15" x14ac:dyDescent="0.4">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15" x14ac:dyDescent="0.4">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15" x14ac:dyDescent="0.4">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15" x14ac:dyDescent="0.4">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15" x14ac:dyDescent="0.4">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15" x14ac:dyDescent="0.4">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15" x14ac:dyDescent="0.4">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15" x14ac:dyDescent="0.4">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15" x14ac:dyDescent="0.4">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15" x14ac:dyDescent="0.4">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15" x14ac:dyDescent="0.4">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15" x14ac:dyDescent="0.4">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15" x14ac:dyDescent="0.4">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15" x14ac:dyDescent="0.4">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15" x14ac:dyDescent="0.4">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15" x14ac:dyDescent="0.4">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15" x14ac:dyDescent="0.4">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15" x14ac:dyDescent="0.4">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15" x14ac:dyDescent="0.4">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15" x14ac:dyDescent="0.4">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15" x14ac:dyDescent="0.4">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15" x14ac:dyDescent="0.4">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15" x14ac:dyDescent="0.4">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15" x14ac:dyDescent="0.4">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15" x14ac:dyDescent="0.4">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15" x14ac:dyDescent="0.4">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15" x14ac:dyDescent="0.4">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15" x14ac:dyDescent="0.4">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15" x14ac:dyDescent="0.4">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15" x14ac:dyDescent="0.4">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15" x14ac:dyDescent="0.4">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15" x14ac:dyDescent="0.4">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15" x14ac:dyDescent="0.4">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15" x14ac:dyDescent="0.4">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15" x14ac:dyDescent="0.4">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15" x14ac:dyDescent="0.4">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15" x14ac:dyDescent="0.4">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15" x14ac:dyDescent="0.4">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15" x14ac:dyDescent="0.4">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15" x14ac:dyDescent="0.4">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15" x14ac:dyDescent="0.4">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15" x14ac:dyDescent="0.4">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15" x14ac:dyDescent="0.4">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15" x14ac:dyDescent="0.4">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15" x14ac:dyDescent="0.4">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15" x14ac:dyDescent="0.4">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15" x14ac:dyDescent="0.4">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15" x14ac:dyDescent="0.4">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15" x14ac:dyDescent="0.4">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15" x14ac:dyDescent="0.4">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15" x14ac:dyDescent="0.4">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15" x14ac:dyDescent="0.4">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15" x14ac:dyDescent="0.4">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15" x14ac:dyDescent="0.4">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15" x14ac:dyDescent="0.4">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15" x14ac:dyDescent="0.4">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15" x14ac:dyDescent="0.4">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15" x14ac:dyDescent="0.4">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15" x14ac:dyDescent="0.4">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15" x14ac:dyDescent="0.4">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15" x14ac:dyDescent="0.4">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15" x14ac:dyDescent="0.4">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15" x14ac:dyDescent="0.4">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15" x14ac:dyDescent="0.4">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15" x14ac:dyDescent="0.4">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15" x14ac:dyDescent="0.4">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15" x14ac:dyDescent="0.4">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15" x14ac:dyDescent="0.4">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15" x14ac:dyDescent="0.4">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15" x14ac:dyDescent="0.4">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15" x14ac:dyDescent="0.4">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15" x14ac:dyDescent="0.4">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15" x14ac:dyDescent="0.4">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15" x14ac:dyDescent="0.4">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15" x14ac:dyDescent="0.4">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15" x14ac:dyDescent="0.4">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15" x14ac:dyDescent="0.4">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15" x14ac:dyDescent="0.4">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15" x14ac:dyDescent="0.4">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15" x14ac:dyDescent="0.4">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15" x14ac:dyDescent="0.4">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15" x14ac:dyDescent="0.4">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15" x14ac:dyDescent="0.4">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15" x14ac:dyDescent="0.4">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15" x14ac:dyDescent="0.4">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15" x14ac:dyDescent="0.4">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15" x14ac:dyDescent="0.4">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15" x14ac:dyDescent="0.4">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15" x14ac:dyDescent="0.4">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15" x14ac:dyDescent="0.4">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15" x14ac:dyDescent="0.4">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15" x14ac:dyDescent="0.4">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15" x14ac:dyDescent="0.4">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15" x14ac:dyDescent="0.4">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15" x14ac:dyDescent="0.4">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15" x14ac:dyDescent="0.4">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15" x14ac:dyDescent="0.4">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15" x14ac:dyDescent="0.4">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15" x14ac:dyDescent="0.4">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15" x14ac:dyDescent="0.4">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15" x14ac:dyDescent="0.4">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15" x14ac:dyDescent="0.4">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15" x14ac:dyDescent="0.4">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15" x14ac:dyDescent="0.4">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15" x14ac:dyDescent="0.4">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15" x14ac:dyDescent="0.4">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15" x14ac:dyDescent="0.4">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15" x14ac:dyDescent="0.4">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15" x14ac:dyDescent="0.4">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15" x14ac:dyDescent="0.4">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15" x14ac:dyDescent="0.4">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15" x14ac:dyDescent="0.4">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15" x14ac:dyDescent="0.4">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15" x14ac:dyDescent="0.4">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15" x14ac:dyDescent="0.4">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15" x14ac:dyDescent="0.4">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15" x14ac:dyDescent="0.4">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15" x14ac:dyDescent="0.4">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15" x14ac:dyDescent="0.4">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15" x14ac:dyDescent="0.4">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15" x14ac:dyDescent="0.4">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15" x14ac:dyDescent="0.4">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15" x14ac:dyDescent="0.4">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15" x14ac:dyDescent="0.4">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15" x14ac:dyDescent="0.4">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15" x14ac:dyDescent="0.4">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15" x14ac:dyDescent="0.4">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15" x14ac:dyDescent="0.4">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15" x14ac:dyDescent="0.4">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15" x14ac:dyDescent="0.4">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15" x14ac:dyDescent="0.4">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15" x14ac:dyDescent="0.4">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15" x14ac:dyDescent="0.4">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15" x14ac:dyDescent="0.4">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15" x14ac:dyDescent="0.4">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15" x14ac:dyDescent="0.4">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15" x14ac:dyDescent="0.4">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15" x14ac:dyDescent="0.4">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15" x14ac:dyDescent="0.4">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15" x14ac:dyDescent="0.4">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15" x14ac:dyDescent="0.4">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15" x14ac:dyDescent="0.4">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15" x14ac:dyDescent="0.4">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15" x14ac:dyDescent="0.4">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15" x14ac:dyDescent="0.4">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15" x14ac:dyDescent="0.4">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15" x14ac:dyDescent="0.4">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15" x14ac:dyDescent="0.4">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15" x14ac:dyDescent="0.4">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15" x14ac:dyDescent="0.4">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15" x14ac:dyDescent="0.4">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15" x14ac:dyDescent="0.4">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15" x14ac:dyDescent="0.4">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15" x14ac:dyDescent="0.4">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15" x14ac:dyDescent="0.4">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15" x14ac:dyDescent="0.4">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15" x14ac:dyDescent="0.4">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15" x14ac:dyDescent="0.4">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15" x14ac:dyDescent="0.4">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15" x14ac:dyDescent="0.4">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15" x14ac:dyDescent="0.4">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15" x14ac:dyDescent="0.4">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15" x14ac:dyDescent="0.4">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15" x14ac:dyDescent="0.4">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15" x14ac:dyDescent="0.4">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15" x14ac:dyDescent="0.4">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15" x14ac:dyDescent="0.4">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15" x14ac:dyDescent="0.4">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15" x14ac:dyDescent="0.4">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15" x14ac:dyDescent="0.4">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15" x14ac:dyDescent="0.4">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15" x14ac:dyDescent="0.4">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15" x14ac:dyDescent="0.4">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15" x14ac:dyDescent="0.4">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15" x14ac:dyDescent="0.4">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15" x14ac:dyDescent="0.4">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15" x14ac:dyDescent="0.4">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15" x14ac:dyDescent="0.4">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15" x14ac:dyDescent="0.4">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15" x14ac:dyDescent="0.4">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15" x14ac:dyDescent="0.4">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15" x14ac:dyDescent="0.4">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15" x14ac:dyDescent="0.4">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15" x14ac:dyDescent="0.4">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15" x14ac:dyDescent="0.4">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15" x14ac:dyDescent="0.4">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15" x14ac:dyDescent="0.4">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15" x14ac:dyDescent="0.4">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15" x14ac:dyDescent="0.4">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15" x14ac:dyDescent="0.4">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15" x14ac:dyDescent="0.4">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15" x14ac:dyDescent="0.4">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15" x14ac:dyDescent="0.4">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15" x14ac:dyDescent="0.4">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15" x14ac:dyDescent="0.4">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15" x14ac:dyDescent="0.4">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15" x14ac:dyDescent="0.4">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15" x14ac:dyDescent="0.4">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15" x14ac:dyDescent="0.4">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15" x14ac:dyDescent="0.4">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15" x14ac:dyDescent="0.4">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15" x14ac:dyDescent="0.4">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15" x14ac:dyDescent="0.4">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15" x14ac:dyDescent="0.4">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15" x14ac:dyDescent="0.4">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15" x14ac:dyDescent="0.4">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15" x14ac:dyDescent="0.4">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15" x14ac:dyDescent="0.4">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15" x14ac:dyDescent="0.4">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15" x14ac:dyDescent="0.4">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15" x14ac:dyDescent="0.4">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15" x14ac:dyDescent="0.4">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15" x14ac:dyDescent="0.4">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15" x14ac:dyDescent="0.4">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15" x14ac:dyDescent="0.4">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15" x14ac:dyDescent="0.4">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15" x14ac:dyDescent="0.4">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15" x14ac:dyDescent="0.4">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15" x14ac:dyDescent="0.4">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15" x14ac:dyDescent="0.4">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15" x14ac:dyDescent="0.4">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15" x14ac:dyDescent="0.4">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15" x14ac:dyDescent="0.4">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15" x14ac:dyDescent="0.4">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15" x14ac:dyDescent="0.4">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15" x14ac:dyDescent="0.4">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15" x14ac:dyDescent="0.4">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15" x14ac:dyDescent="0.4">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15" x14ac:dyDescent="0.4">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15" x14ac:dyDescent="0.4">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15" x14ac:dyDescent="0.4">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15" x14ac:dyDescent="0.4">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15" x14ac:dyDescent="0.4">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15" x14ac:dyDescent="0.4">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15" x14ac:dyDescent="0.4">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15" x14ac:dyDescent="0.4">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15" x14ac:dyDescent="0.4">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15" x14ac:dyDescent="0.4">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15" x14ac:dyDescent="0.4">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15" x14ac:dyDescent="0.4">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15" x14ac:dyDescent="0.4">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15" x14ac:dyDescent="0.4">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15" x14ac:dyDescent="0.4">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15" x14ac:dyDescent="0.4">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15" x14ac:dyDescent="0.4">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15" x14ac:dyDescent="0.4">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15" x14ac:dyDescent="0.4">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15" x14ac:dyDescent="0.4">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15" x14ac:dyDescent="0.4">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15" x14ac:dyDescent="0.4">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15" x14ac:dyDescent="0.4">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15" x14ac:dyDescent="0.4">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15" x14ac:dyDescent="0.4">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15" x14ac:dyDescent="0.4">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15" x14ac:dyDescent="0.4">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15" x14ac:dyDescent="0.4">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15" x14ac:dyDescent="0.4">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15" x14ac:dyDescent="0.4">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15" x14ac:dyDescent="0.4">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15" x14ac:dyDescent="0.4">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15" x14ac:dyDescent="0.4">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15" x14ac:dyDescent="0.4">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15" x14ac:dyDescent="0.4">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15" x14ac:dyDescent="0.4">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15" x14ac:dyDescent="0.4">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15" x14ac:dyDescent="0.4">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15" x14ac:dyDescent="0.4">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15" x14ac:dyDescent="0.4">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15" x14ac:dyDescent="0.4">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15" x14ac:dyDescent="0.4">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15" x14ac:dyDescent="0.4">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15" x14ac:dyDescent="0.4">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15" x14ac:dyDescent="0.4">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15" x14ac:dyDescent="0.4">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15" x14ac:dyDescent="0.4">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15" x14ac:dyDescent="0.4">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15" x14ac:dyDescent="0.4">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15" x14ac:dyDescent="0.4">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15" x14ac:dyDescent="0.4">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15" x14ac:dyDescent="0.4">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15" x14ac:dyDescent="0.4">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15" x14ac:dyDescent="0.4">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15" x14ac:dyDescent="0.4">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15" x14ac:dyDescent="0.4">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15" x14ac:dyDescent="0.4">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15" x14ac:dyDescent="0.4">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15" x14ac:dyDescent="0.4">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15" x14ac:dyDescent="0.4">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15" x14ac:dyDescent="0.4">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15" x14ac:dyDescent="0.4">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15" x14ac:dyDescent="0.4">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15" x14ac:dyDescent="0.4">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15" x14ac:dyDescent="0.4">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15" x14ac:dyDescent="0.4">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15" x14ac:dyDescent="0.4">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15" x14ac:dyDescent="0.4">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15" x14ac:dyDescent="0.4">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15" x14ac:dyDescent="0.4">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15" x14ac:dyDescent="0.4">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15" x14ac:dyDescent="0.4">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15" x14ac:dyDescent="0.4">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15" x14ac:dyDescent="0.4">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15" x14ac:dyDescent="0.4">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15" x14ac:dyDescent="0.4">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15" x14ac:dyDescent="0.4">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15" x14ac:dyDescent="0.4">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15" x14ac:dyDescent="0.4">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15" x14ac:dyDescent="0.4">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15" x14ac:dyDescent="0.4">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15" x14ac:dyDescent="0.4">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15" x14ac:dyDescent="0.4">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15" x14ac:dyDescent="0.4">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15" x14ac:dyDescent="0.4">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15" x14ac:dyDescent="0.4">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15" x14ac:dyDescent="0.4">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15" x14ac:dyDescent="0.4">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15" x14ac:dyDescent="0.4">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15" x14ac:dyDescent="0.4">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15" x14ac:dyDescent="0.4">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15" x14ac:dyDescent="0.4">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15" x14ac:dyDescent="0.4">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15" x14ac:dyDescent="0.4">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15" x14ac:dyDescent="0.4">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15" x14ac:dyDescent="0.4">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15" x14ac:dyDescent="0.4">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15" x14ac:dyDescent="0.4">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15" x14ac:dyDescent="0.4">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15" x14ac:dyDescent="0.4">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15" x14ac:dyDescent="0.4">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15" x14ac:dyDescent="0.4">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15" x14ac:dyDescent="0.4">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15" x14ac:dyDescent="0.4">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15" x14ac:dyDescent="0.4">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15" x14ac:dyDescent="0.4">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15" x14ac:dyDescent="0.4">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15" x14ac:dyDescent="0.4">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15" x14ac:dyDescent="0.4">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15" x14ac:dyDescent="0.4">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15" x14ac:dyDescent="0.4">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15" x14ac:dyDescent="0.4">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15" x14ac:dyDescent="0.4">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15" x14ac:dyDescent="0.4">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15" x14ac:dyDescent="0.4">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15" x14ac:dyDescent="0.4">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15" x14ac:dyDescent="0.4">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15" x14ac:dyDescent="0.4">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15" x14ac:dyDescent="0.4">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15" x14ac:dyDescent="0.4">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15" x14ac:dyDescent="0.4">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15" x14ac:dyDescent="0.4">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15" x14ac:dyDescent="0.4">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15" x14ac:dyDescent="0.4">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15" x14ac:dyDescent="0.4">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15" x14ac:dyDescent="0.4">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15" x14ac:dyDescent="0.4">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15" x14ac:dyDescent="0.4">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15" x14ac:dyDescent="0.4">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15" x14ac:dyDescent="0.4">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15" x14ac:dyDescent="0.4">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15" x14ac:dyDescent="0.4">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15" x14ac:dyDescent="0.4">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15" x14ac:dyDescent="0.4">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15" x14ac:dyDescent="0.4">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15" x14ac:dyDescent="0.4">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15" x14ac:dyDescent="0.4">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15" x14ac:dyDescent="0.4">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15" x14ac:dyDescent="0.4">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15" x14ac:dyDescent="0.4">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15" x14ac:dyDescent="0.4">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15" x14ac:dyDescent="0.4">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15" x14ac:dyDescent="0.4">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15" x14ac:dyDescent="0.4">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15" x14ac:dyDescent="0.4">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15" x14ac:dyDescent="0.4">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15" x14ac:dyDescent="0.4">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15" x14ac:dyDescent="0.4">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15" x14ac:dyDescent="0.4">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15" x14ac:dyDescent="0.4">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15" x14ac:dyDescent="0.4">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15" x14ac:dyDescent="0.4">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15" x14ac:dyDescent="0.4">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15" x14ac:dyDescent="0.4">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15" x14ac:dyDescent="0.4">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15" x14ac:dyDescent="0.4">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15" x14ac:dyDescent="0.4">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15" x14ac:dyDescent="0.4">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15" x14ac:dyDescent="0.4">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15" x14ac:dyDescent="0.4">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15" x14ac:dyDescent="0.4">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15" x14ac:dyDescent="0.4">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15" x14ac:dyDescent="0.4">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15" x14ac:dyDescent="0.4">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15" x14ac:dyDescent="0.4">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15" x14ac:dyDescent="0.4">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15" x14ac:dyDescent="0.4">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15" x14ac:dyDescent="0.4">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15" x14ac:dyDescent="0.4">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15" x14ac:dyDescent="0.4">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15" x14ac:dyDescent="0.4">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15" x14ac:dyDescent="0.4">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15" x14ac:dyDescent="0.4">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15" x14ac:dyDescent="0.4">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15" x14ac:dyDescent="0.4">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15" x14ac:dyDescent="0.4">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15" x14ac:dyDescent="0.4">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15" x14ac:dyDescent="0.4">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15" x14ac:dyDescent="0.4">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15" x14ac:dyDescent="0.4">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15" x14ac:dyDescent="0.4">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15" x14ac:dyDescent="0.4">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15" x14ac:dyDescent="0.4">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15" x14ac:dyDescent="0.4">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15" x14ac:dyDescent="0.4">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15" x14ac:dyDescent="0.4">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15" x14ac:dyDescent="0.4">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15" x14ac:dyDescent="0.4">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15" x14ac:dyDescent="0.4">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15" x14ac:dyDescent="0.4">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15" x14ac:dyDescent="0.4">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15" x14ac:dyDescent="0.4">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15" x14ac:dyDescent="0.4">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15" x14ac:dyDescent="0.4">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15" x14ac:dyDescent="0.4">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15" x14ac:dyDescent="0.4">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15" x14ac:dyDescent="0.4">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15" x14ac:dyDescent="0.4">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15" x14ac:dyDescent="0.4">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15" x14ac:dyDescent="0.4">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15" x14ac:dyDescent="0.4">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15" x14ac:dyDescent="0.4">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15" x14ac:dyDescent="0.4">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15" x14ac:dyDescent="0.4">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15" x14ac:dyDescent="0.4">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15" x14ac:dyDescent="0.4">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15" x14ac:dyDescent="0.4">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15" x14ac:dyDescent="0.4">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15" x14ac:dyDescent="0.4">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15" x14ac:dyDescent="0.4">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15" x14ac:dyDescent="0.4">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15" x14ac:dyDescent="0.4">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15" x14ac:dyDescent="0.4">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15" x14ac:dyDescent="0.4">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15" x14ac:dyDescent="0.4">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15" x14ac:dyDescent="0.4">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15" x14ac:dyDescent="0.4">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15" x14ac:dyDescent="0.4">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15" x14ac:dyDescent="0.4">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15" x14ac:dyDescent="0.4">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15" x14ac:dyDescent="0.4">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15" x14ac:dyDescent="0.4">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15" x14ac:dyDescent="0.4">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15" x14ac:dyDescent="0.4">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15" x14ac:dyDescent="0.4">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15" x14ac:dyDescent="0.4">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15" x14ac:dyDescent="0.4">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15" x14ac:dyDescent="0.4">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15" x14ac:dyDescent="0.4">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15" x14ac:dyDescent="0.4">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15" x14ac:dyDescent="0.4">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15" x14ac:dyDescent="0.4">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15" x14ac:dyDescent="0.4">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15" x14ac:dyDescent="0.4">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15" x14ac:dyDescent="0.4">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15" x14ac:dyDescent="0.4">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15" x14ac:dyDescent="0.4">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15" x14ac:dyDescent="0.4">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15" x14ac:dyDescent="0.4">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15" x14ac:dyDescent="0.4">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15" x14ac:dyDescent="0.4">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15" x14ac:dyDescent="0.4">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15" x14ac:dyDescent="0.4">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15" x14ac:dyDescent="0.4">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15" x14ac:dyDescent="0.4">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15" x14ac:dyDescent="0.4">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15" x14ac:dyDescent="0.4">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15" x14ac:dyDescent="0.4">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15" x14ac:dyDescent="0.4">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15" x14ac:dyDescent="0.4">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15" x14ac:dyDescent="0.4">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15" x14ac:dyDescent="0.4">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15" x14ac:dyDescent="0.4">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15" x14ac:dyDescent="0.4">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15" x14ac:dyDescent="0.4">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15" x14ac:dyDescent="0.4">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15" x14ac:dyDescent="0.4">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15" x14ac:dyDescent="0.4">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15" x14ac:dyDescent="0.4">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15" x14ac:dyDescent="0.4">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15" x14ac:dyDescent="0.4">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15" x14ac:dyDescent="0.4">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15" x14ac:dyDescent="0.4">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15" x14ac:dyDescent="0.4">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15" x14ac:dyDescent="0.4">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15" x14ac:dyDescent="0.4">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15" x14ac:dyDescent="0.4">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15" x14ac:dyDescent="0.4">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15" x14ac:dyDescent="0.4">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15" x14ac:dyDescent="0.4">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15" x14ac:dyDescent="0.4">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15" x14ac:dyDescent="0.4">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15" x14ac:dyDescent="0.4">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15" x14ac:dyDescent="0.4">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15" x14ac:dyDescent="0.4">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15" x14ac:dyDescent="0.4">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15" x14ac:dyDescent="0.4">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15" x14ac:dyDescent="0.4">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15" x14ac:dyDescent="0.4">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15" x14ac:dyDescent="0.4">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15" x14ac:dyDescent="0.4">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15" x14ac:dyDescent="0.4">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15" x14ac:dyDescent="0.4">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15" x14ac:dyDescent="0.4">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15" x14ac:dyDescent="0.4">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15" x14ac:dyDescent="0.4">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15" x14ac:dyDescent="0.4">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15" x14ac:dyDescent="0.4">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15" x14ac:dyDescent="0.4">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15" x14ac:dyDescent="0.4">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15" x14ac:dyDescent="0.4">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15" x14ac:dyDescent="0.4">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15" x14ac:dyDescent="0.4">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15" x14ac:dyDescent="0.4">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15" x14ac:dyDescent="0.4">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15" x14ac:dyDescent="0.4">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15" x14ac:dyDescent="0.4">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15" x14ac:dyDescent="0.4">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15" x14ac:dyDescent="0.4">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15" x14ac:dyDescent="0.4">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15" x14ac:dyDescent="0.4">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15" x14ac:dyDescent="0.4">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15" x14ac:dyDescent="0.4">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15" x14ac:dyDescent="0.4">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15" x14ac:dyDescent="0.4">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15" x14ac:dyDescent="0.4">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15" x14ac:dyDescent="0.4">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15" x14ac:dyDescent="0.4">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15" x14ac:dyDescent="0.4">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15" x14ac:dyDescent="0.4">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15" x14ac:dyDescent="0.4">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15" x14ac:dyDescent="0.4">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15" x14ac:dyDescent="0.4">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15" x14ac:dyDescent="0.4">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15" x14ac:dyDescent="0.4">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15" x14ac:dyDescent="0.4">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15" x14ac:dyDescent="0.4">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15" x14ac:dyDescent="0.4">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15" x14ac:dyDescent="0.4">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15" x14ac:dyDescent="0.4">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15" x14ac:dyDescent="0.4">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15" x14ac:dyDescent="0.4">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15" x14ac:dyDescent="0.4">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15" x14ac:dyDescent="0.4">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15" x14ac:dyDescent="0.4">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15" x14ac:dyDescent="0.4">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15" x14ac:dyDescent="0.4">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15" x14ac:dyDescent="0.4">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15" x14ac:dyDescent="0.4">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15" x14ac:dyDescent="0.4">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15" x14ac:dyDescent="0.4">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15" x14ac:dyDescent="0.4">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15" x14ac:dyDescent="0.4">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15" x14ac:dyDescent="0.4">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15" x14ac:dyDescent="0.4">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15" x14ac:dyDescent="0.4">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15" x14ac:dyDescent="0.4">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15" x14ac:dyDescent="0.4">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15" x14ac:dyDescent="0.4">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15" x14ac:dyDescent="0.4">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15" x14ac:dyDescent="0.4">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15" x14ac:dyDescent="0.4">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15" x14ac:dyDescent="0.4">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15" x14ac:dyDescent="0.4">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15" x14ac:dyDescent="0.4">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15" x14ac:dyDescent="0.4">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15" x14ac:dyDescent="0.4">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15" x14ac:dyDescent="0.4">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15" x14ac:dyDescent="0.4">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15" x14ac:dyDescent="0.4">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15" x14ac:dyDescent="0.4">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15" x14ac:dyDescent="0.4">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15" x14ac:dyDescent="0.4">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15" x14ac:dyDescent="0.4">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15" x14ac:dyDescent="0.4">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15" x14ac:dyDescent="0.4">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15" x14ac:dyDescent="0.4">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15" x14ac:dyDescent="0.4">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15" x14ac:dyDescent="0.4">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15" x14ac:dyDescent="0.4">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15" x14ac:dyDescent="0.4">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15" x14ac:dyDescent="0.4">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15" x14ac:dyDescent="0.4">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15" x14ac:dyDescent="0.4">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15" x14ac:dyDescent="0.4">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15" x14ac:dyDescent="0.4">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15" x14ac:dyDescent="0.4">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15" x14ac:dyDescent="0.4">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15" x14ac:dyDescent="0.4">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15" x14ac:dyDescent="0.4">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15" x14ac:dyDescent="0.4">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15" x14ac:dyDescent="0.4">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15" x14ac:dyDescent="0.4">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15" x14ac:dyDescent="0.4">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15" x14ac:dyDescent="0.4">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15" x14ac:dyDescent="0.4">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15" x14ac:dyDescent="0.4">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15" x14ac:dyDescent="0.4">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15" x14ac:dyDescent="0.4">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15" x14ac:dyDescent="0.4">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15" x14ac:dyDescent="0.4">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15" x14ac:dyDescent="0.4">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15" x14ac:dyDescent="0.4">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15" x14ac:dyDescent="0.4">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15" x14ac:dyDescent="0.4">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15" x14ac:dyDescent="0.4">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15" x14ac:dyDescent="0.4">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15" x14ac:dyDescent="0.4">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15" x14ac:dyDescent="0.4">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15" x14ac:dyDescent="0.4">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15" x14ac:dyDescent="0.4">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15" x14ac:dyDescent="0.4">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15" x14ac:dyDescent="0.4">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15" x14ac:dyDescent="0.4">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15" x14ac:dyDescent="0.4">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15" x14ac:dyDescent="0.4">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15" x14ac:dyDescent="0.4">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15" x14ac:dyDescent="0.4">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15" x14ac:dyDescent="0.4">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15" x14ac:dyDescent="0.4">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15" x14ac:dyDescent="0.4">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15" x14ac:dyDescent="0.4">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15" x14ac:dyDescent="0.4">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15" x14ac:dyDescent="0.4">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15" x14ac:dyDescent="0.4">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15" x14ac:dyDescent="0.4">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15" x14ac:dyDescent="0.4">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15" x14ac:dyDescent="0.4">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15" x14ac:dyDescent="0.4">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15" x14ac:dyDescent="0.4">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15" x14ac:dyDescent="0.4">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15" x14ac:dyDescent="0.4">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15" x14ac:dyDescent="0.4">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15" x14ac:dyDescent="0.4">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15" x14ac:dyDescent="0.4">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15" x14ac:dyDescent="0.4">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15" x14ac:dyDescent="0.4">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15" x14ac:dyDescent="0.4">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15" x14ac:dyDescent="0.4">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15" x14ac:dyDescent="0.4">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15" x14ac:dyDescent="0.4">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15" x14ac:dyDescent="0.4">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15" x14ac:dyDescent="0.4">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15" x14ac:dyDescent="0.4">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15" x14ac:dyDescent="0.4">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15" x14ac:dyDescent="0.4">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15" x14ac:dyDescent="0.4">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15" x14ac:dyDescent="0.4">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15" x14ac:dyDescent="0.4">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15" x14ac:dyDescent="0.4">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15" x14ac:dyDescent="0.4">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15" x14ac:dyDescent="0.4">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15" x14ac:dyDescent="0.4">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15" x14ac:dyDescent="0.4">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15" x14ac:dyDescent="0.4">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15" x14ac:dyDescent="0.4">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15" x14ac:dyDescent="0.4">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15" x14ac:dyDescent="0.4">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15" x14ac:dyDescent="0.4">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15" x14ac:dyDescent="0.4">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15" x14ac:dyDescent="0.4">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15" x14ac:dyDescent="0.4">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15" x14ac:dyDescent="0.4">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15" x14ac:dyDescent="0.4">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15" x14ac:dyDescent="0.4">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15" x14ac:dyDescent="0.4">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15" x14ac:dyDescent="0.4">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15" x14ac:dyDescent="0.4">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15" x14ac:dyDescent="0.4">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15" x14ac:dyDescent="0.4">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15" x14ac:dyDescent="0.4">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15" x14ac:dyDescent="0.4">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15" x14ac:dyDescent="0.4">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15" x14ac:dyDescent="0.4">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15" x14ac:dyDescent="0.4">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15" x14ac:dyDescent="0.4">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15" x14ac:dyDescent="0.4">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15" x14ac:dyDescent="0.4">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15" x14ac:dyDescent="0.4">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15" x14ac:dyDescent="0.4">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15" x14ac:dyDescent="0.4">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15" x14ac:dyDescent="0.4">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15" x14ac:dyDescent="0.4">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15" x14ac:dyDescent="0.4">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15" x14ac:dyDescent="0.4">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15" x14ac:dyDescent="0.4">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15" x14ac:dyDescent="0.4">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15" x14ac:dyDescent="0.4">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15" x14ac:dyDescent="0.4">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15" x14ac:dyDescent="0.4">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15" x14ac:dyDescent="0.4">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15" x14ac:dyDescent="0.4">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15" x14ac:dyDescent="0.4">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15" x14ac:dyDescent="0.4">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15" x14ac:dyDescent="0.4">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15" x14ac:dyDescent="0.4">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15" x14ac:dyDescent="0.4">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15" x14ac:dyDescent="0.4">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15" x14ac:dyDescent="0.4">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15" x14ac:dyDescent="0.4">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15" x14ac:dyDescent="0.4">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15" x14ac:dyDescent="0.4">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15" x14ac:dyDescent="0.4">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15" x14ac:dyDescent="0.4">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15" x14ac:dyDescent="0.4">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15" x14ac:dyDescent="0.4">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15" x14ac:dyDescent="0.4">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15" x14ac:dyDescent="0.4">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15" x14ac:dyDescent="0.4">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15" x14ac:dyDescent="0.4">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15" x14ac:dyDescent="0.4">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15" x14ac:dyDescent="0.4">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15" x14ac:dyDescent="0.4">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15" x14ac:dyDescent="0.4">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15" x14ac:dyDescent="0.4">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15" x14ac:dyDescent="0.4">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15" x14ac:dyDescent="0.4">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15" x14ac:dyDescent="0.4">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15" x14ac:dyDescent="0.4">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15" x14ac:dyDescent="0.4">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15" x14ac:dyDescent="0.4">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15" x14ac:dyDescent="0.4">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15" x14ac:dyDescent="0.4">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15" x14ac:dyDescent="0.4">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15" x14ac:dyDescent="0.4">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15" x14ac:dyDescent="0.4">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15" x14ac:dyDescent="0.4">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15" x14ac:dyDescent="0.4">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15" x14ac:dyDescent="0.4">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15" x14ac:dyDescent="0.4">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15" x14ac:dyDescent="0.4">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15" x14ac:dyDescent="0.4">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15" x14ac:dyDescent="0.4">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15" x14ac:dyDescent="0.4">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15" x14ac:dyDescent="0.4">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15" x14ac:dyDescent="0.4">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15" x14ac:dyDescent="0.4">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15" x14ac:dyDescent="0.4">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15" x14ac:dyDescent="0.4">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15" x14ac:dyDescent="0.4">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15" x14ac:dyDescent="0.4">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15" x14ac:dyDescent="0.4">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15" x14ac:dyDescent="0.4">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15" x14ac:dyDescent="0.4">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15" x14ac:dyDescent="0.4">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15" x14ac:dyDescent="0.4">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15" x14ac:dyDescent="0.4">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15" x14ac:dyDescent="0.4">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15" x14ac:dyDescent="0.4">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15" x14ac:dyDescent="0.4">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15" x14ac:dyDescent="0.4">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15" x14ac:dyDescent="0.4">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15" x14ac:dyDescent="0.4">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15" x14ac:dyDescent="0.4">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15" x14ac:dyDescent="0.4">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15" x14ac:dyDescent="0.4">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15" x14ac:dyDescent="0.4">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15" x14ac:dyDescent="0.4">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15" x14ac:dyDescent="0.4">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15" x14ac:dyDescent="0.4">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15" x14ac:dyDescent="0.4">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15" x14ac:dyDescent="0.4">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15" x14ac:dyDescent="0.4">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15" x14ac:dyDescent="0.4">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15" x14ac:dyDescent="0.4">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15" x14ac:dyDescent="0.4">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15" x14ac:dyDescent="0.4">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15" x14ac:dyDescent="0.4">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15" x14ac:dyDescent="0.4">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15" x14ac:dyDescent="0.4">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15" x14ac:dyDescent="0.4">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15" x14ac:dyDescent="0.4">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15" x14ac:dyDescent="0.4">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15" x14ac:dyDescent="0.4">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15" x14ac:dyDescent="0.4">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15" x14ac:dyDescent="0.4">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15" x14ac:dyDescent="0.4">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15" x14ac:dyDescent="0.4">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15" x14ac:dyDescent="0.4">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15" x14ac:dyDescent="0.4">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15" x14ac:dyDescent="0.4">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15" x14ac:dyDescent="0.4">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15" x14ac:dyDescent="0.4">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15" x14ac:dyDescent="0.4">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15" x14ac:dyDescent="0.4">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15" x14ac:dyDescent="0.4">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15" x14ac:dyDescent="0.4">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15" x14ac:dyDescent="0.4">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15" x14ac:dyDescent="0.4">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15" x14ac:dyDescent="0.4">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15" x14ac:dyDescent="0.4">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15" x14ac:dyDescent="0.4">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15" x14ac:dyDescent="0.4">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15" x14ac:dyDescent="0.4">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15" x14ac:dyDescent="0.4">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15" x14ac:dyDescent="0.4">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15" x14ac:dyDescent="0.4">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15" x14ac:dyDescent="0.4">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15" x14ac:dyDescent="0.4">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15" x14ac:dyDescent="0.4">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15" x14ac:dyDescent="0.4">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15" x14ac:dyDescent="0.4">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15" x14ac:dyDescent="0.4">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15" x14ac:dyDescent="0.4">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15" x14ac:dyDescent="0.4">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15" x14ac:dyDescent="0.4">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15" x14ac:dyDescent="0.4">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15" x14ac:dyDescent="0.4">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15" x14ac:dyDescent="0.4">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15" x14ac:dyDescent="0.4">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15" x14ac:dyDescent="0.4">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15" x14ac:dyDescent="0.4">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15" x14ac:dyDescent="0.4">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15" x14ac:dyDescent="0.4">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15" x14ac:dyDescent="0.4">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15" x14ac:dyDescent="0.4">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15" x14ac:dyDescent="0.4">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15" x14ac:dyDescent="0.4">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15" x14ac:dyDescent="0.4">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15" x14ac:dyDescent="0.4">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15" x14ac:dyDescent="0.4">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15" x14ac:dyDescent="0.4">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15" x14ac:dyDescent="0.4">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15" x14ac:dyDescent="0.4">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15" x14ac:dyDescent="0.4">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15" x14ac:dyDescent="0.4">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15" x14ac:dyDescent="0.4">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15" x14ac:dyDescent="0.4">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15" x14ac:dyDescent="0.4">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15" x14ac:dyDescent="0.4">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15" x14ac:dyDescent="0.4">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15" x14ac:dyDescent="0.4">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15" x14ac:dyDescent="0.4">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15" x14ac:dyDescent="0.4">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15" x14ac:dyDescent="0.4">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15" x14ac:dyDescent="0.4">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15" x14ac:dyDescent="0.4">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15" x14ac:dyDescent="0.4">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15" x14ac:dyDescent="0.4">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15" x14ac:dyDescent="0.4">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15" x14ac:dyDescent="0.4">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15" x14ac:dyDescent="0.4">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15" x14ac:dyDescent="0.4">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15" x14ac:dyDescent="0.4">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15" x14ac:dyDescent="0.4">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15" x14ac:dyDescent="0.4">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15" x14ac:dyDescent="0.4">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15" x14ac:dyDescent="0.4">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15" x14ac:dyDescent="0.4">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15" x14ac:dyDescent="0.4">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15" x14ac:dyDescent="0.4">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15" x14ac:dyDescent="0.4">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15" x14ac:dyDescent="0.4">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15" x14ac:dyDescent="0.4">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15" x14ac:dyDescent="0.4">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15" x14ac:dyDescent="0.4">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15" x14ac:dyDescent="0.4">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15" x14ac:dyDescent="0.4">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15" x14ac:dyDescent="0.4">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15" x14ac:dyDescent="0.4">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15" x14ac:dyDescent="0.4">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15" x14ac:dyDescent="0.4">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15" x14ac:dyDescent="0.4">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15" x14ac:dyDescent="0.4">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15" x14ac:dyDescent="0.4">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15" x14ac:dyDescent="0.4">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15" x14ac:dyDescent="0.4">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15" x14ac:dyDescent="0.4">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15" x14ac:dyDescent="0.4">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15" x14ac:dyDescent="0.4">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15" x14ac:dyDescent="0.4">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15" x14ac:dyDescent="0.4">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15" x14ac:dyDescent="0.4">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15" x14ac:dyDescent="0.4">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15" x14ac:dyDescent="0.4">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15" x14ac:dyDescent="0.4">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15" x14ac:dyDescent="0.4">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15" x14ac:dyDescent="0.4">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15" x14ac:dyDescent="0.4">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15" x14ac:dyDescent="0.4">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15" x14ac:dyDescent="0.4">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15" x14ac:dyDescent="0.4">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15" x14ac:dyDescent="0.4">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15" x14ac:dyDescent="0.4">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15" x14ac:dyDescent="0.4">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15" x14ac:dyDescent="0.4">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15" x14ac:dyDescent="0.4">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15" x14ac:dyDescent="0.4">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15" x14ac:dyDescent="0.4">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15" x14ac:dyDescent="0.4">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15" x14ac:dyDescent="0.4">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15" x14ac:dyDescent="0.4">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15" x14ac:dyDescent="0.4">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15" x14ac:dyDescent="0.4">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15" x14ac:dyDescent="0.4">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15" x14ac:dyDescent="0.4">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15" x14ac:dyDescent="0.4">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15" x14ac:dyDescent="0.4">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15" x14ac:dyDescent="0.4">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15" x14ac:dyDescent="0.4">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15" x14ac:dyDescent="0.4">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15" x14ac:dyDescent="0.4">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15" x14ac:dyDescent="0.4">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15" x14ac:dyDescent="0.4">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15" x14ac:dyDescent="0.4">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15" x14ac:dyDescent="0.4">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15" x14ac:dyDescent="0.4">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15" x14ac:dyDescent="0.4">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15" x14ac:dyDescent="0.4">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15" x14ac:dyDescent="0.4">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15" x14ac:dyDescent="0.4">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15" x14ac:dyDescent="0.4">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15" x14ac:dyDescent="0.4">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15" x14ac:dyDescent="0.4">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15" x14ac:dyDescent="0.4">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15" x14ac:dyDescent="0.4">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15" x14ac:dyDescent="0.4">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15" x14ac:dyDescent="0.4">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15" x14ac:dyDescent="0.4">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15" x14ac:dyDescent="0.4">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15" x14ac:dyDescent="0.4">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15" x14ac:dyDescent="0.4">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15" x14ac:dyDescent="0.4">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15" x14ac:dyDescent="0.4">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15" x14ac:dyDescent="0.4">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15" x14ac:dyDescent="0.4">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15" x14ac:dyDescent="0.4">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15" x14ac:dyDescent="0.4">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15" x14ac:dyDescent="0.4">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15" x14ac:dyDescent="0.4">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15" x14ac:dyDescent="0.4">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15" x14ac:dyDescent="0.4">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15" x14ac:dyDescent="0.4">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15" x14ac:dyDescent="0.4">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15" x14ac:dyDescent="0.4">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15" x14ac:dyDescent="0.4">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15" x14ac:dyDescent="0.4">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15" x14ac:dyDescent="0.4">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15" x14ac:dyDescent="0.4">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15" x14ac:dyDescent="0.4">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15" x14ac:dyDescent="0.4">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15" x14ac:dyDescent="0.4">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15" x14ac:dyDescent="0.4">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15" x14ac:dyDescent="0.4">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15" x14ac:dyDescent="0.4">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15" x14ac:dyDescent="0.4">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15" x14ac:dyDescent="0.4">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15" x14ac:dyDescent="0.4">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15" x14ac:dyDescent="0.4">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15" x14ac:dyDescent="0.4">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15" x14ac:dyDescent="0.4">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15" x14ac:dyDescent="0.4">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15" x14ac:dyDescent="0.4">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15" x14ac:dyDescent="0.4">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15" x14ac:dyDescent="0.4">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15" x14ac:dyDescent="0.4">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15" x14ac:dyDescent="0.4">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15" x14ac:dyDescent="0.4">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15" x14ac:dyDescent="0.4">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15" x14ac:dyDescent="0.4">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15" x14ac:dyDescent="0.4">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15" x14ac:dyDescent="0.4">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15" x14ac:dyDescent="0.4">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15" x14ac:dyDescent="0.4">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15" x14ac:dyDescent="0.4">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15" x14ac:dyDescent="0.4">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15" x14ac:dyDescent="0.4">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15" x14ac:dyDescent="0.4">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15" x14ac:dyDescent="0.4">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15" x14ac:dyDescent="0.4">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15" x14ac:dyDescent="0.4">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15" x14ac:dyDescent="0.4">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15" x14ac:dyDescent="0.4">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15" x14ac:dyDescent="0.4">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15" x14ac:dyDescent="0.4">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15" x14ac:dyDescent="0.4">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15" x14ac:dyDescent="0.4">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15" x14ac:dyDescent="0.4">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15" x14ac:dyDescent="0.4">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15" x14ac:dyDescent="0.4">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15" x14ac:dyDescent="0.4">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15" x14ac:dyDescent="0.4">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15" x14ac:dyDescent="0.4">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15" x14ac:dyDescent="0.4">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15" x14ac:dyDescent="0.4">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15" x14ac:dyDescent="0.4">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15" x14ac:dyDescent="0.4">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15" x14ac:dyDescent="0.4">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15" x14ac:dyDescent="0.4">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15" x14ac:dyDescent="0.4">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15" x14ac:dyDescent="0.4">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15" x14ac:dyDescent="0.4">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15" x14ac:dyDescent="0.4">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15" x14ac:dyDescent="0.4">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15" x14ac:dyDescent="0.4">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15" x14ac:dyDescent="0.4">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15" x14ac:dyDescent="0.4">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15" x14ac:dyDescent="0.4">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15" x14ac:dyDescent="0.4">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15" x14ac:dyDescent="0.4">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15" x14ac:dyDescent="0.4">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15" x14ac:dyDescent="0.4">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15" x14ac:dyDescent="0.4">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15" x14ac:dyDescent="0.4">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15" x14ac:dyDescent="0.4">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15" x14ac:dyDescent="0.4">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15" x14ac:dyDescent="0.4">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15" x14ac:dyDescent="0.4">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15" x14ac:dyDescent="0.4">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15" x14ac:dyDescent="0.4">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15" x14ac:dyDescent="0.4">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15" x14ac:dyDescent="0.4">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15" x14ac:dyDescent="0.4">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15" x14ac:dyDescent="0.4">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15" x14ac:dyDescent="0.4">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15" x14ac:dyDescent="0.4">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15" x14ac:dyDescent="0.4">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15" x14ac:dyDescent="0.4">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15" x14ac:dyDescent="0.4">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15" x14ac:dyDescent="0.4">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15" x14ac:dyDescent="0.4">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15" x14ac:dyDescent="0.4">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15" x14ac:dyDescent="0.4">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15" x14ac:dyDescent="0.4">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15" x14ac:dyDescent="0.4">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15" x14ac:dyDescent="0.4">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15" x14ac:dyDescent="0.4">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15" x14ac:dyDescent="0.4">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15" x14ac:dyDescent="0.4">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15" x14ac:dyDescent="0.4">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15" x14ac:dyDescent="0.4">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15" x14ac:dyDescent="0.4">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15" x14ac:dyDescent="0.4">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15" x14ac:dyDescent="0.4">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15" x14ac:dyDescent="0.4">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15" x14ac:dyDescent="0.4">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15" x14ac:dyDescent="0.4">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15" x14ac:dyDescent="0.4">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15" x14ac:dyDescent="0.4">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15" x14ac:dyDescent="0.4">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15" x14ac:dyDescent="0.4">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15" x14ac:dyDescent="0.4">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15" x14ac:dyDescent="0.4">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15" x14ac:dyDescent="0.4">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15" x14ac:dyDescent="0.4">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15" x14ac:dyDescent="0.4">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15" x14ac:dyDescent="0.4">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15" x14ac:dyDescent="0.4">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15" x14ac:dyDescent="0.4">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15" x14ac:dyDescent="0.4">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15" x14ac:dyDescent="0.4">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15" x14ac:dyDescent="0.4">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15" x14ac:dyDescent="0.4">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15" x14ac:dyDescent="0.4">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15" x14ac:dyDescent="0.4">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15" x14ac:dyDescent="0.4">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15" x14ac:dyDescent="0.4">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15" x14ac:dyDescent="0.4">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15" x14ac:dyDescent="0.4">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15" x14ac:dyDescent="0.4">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15" x14ac:dyDescent="0.4">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15" x14ac:dyDescent="0.4">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15" x14ac:dyDescent="0.4">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15" x14ac:dyDescent="0.4">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15" x14ac:dyDescent="0.4">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15" x14ac:dyDescent="0.4">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15" x14ac:dyDescent="0.4">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15" x14ac:dyDescent="0.4">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15" x14ac:dyDescent="0.4">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15" x14ac:dyDescent="0.4">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15" x14ac:dyDescent="0.4">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15" x14ac:dyDescent="0.4">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15" x14ac:dyDescent="0.4">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15" x14ac:dyDescent="0.4">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15" x14ac:dyDescent="0.4">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15" x14ac:dyDescent="0.4">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15" x14ac:dyDescent="0.4">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15" x14ac:dyDescent="0.4">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15" x14ac:dyDescent="0.4">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15" x14ac:dyDescent="0.4">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15" x14ac:dyDescent="0.4">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15" x14ac:dyDescent="0.4">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15" x14ac:dyDescent="0.4">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15" x14ac:dyDescent="0.4">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15" x14ac:dyDescent="0.4">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15" x14ac:dyDescent="0.4">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15" x14ac:dyDescent="0.4">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15" x14ac:dyDescent="0.4">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15" x14ac:dyDescent="0.4">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15" x14ac:dyDescent="0.4">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15" x14ac:dyDescent="0.4">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15" x14ac:dyDescent="0.4">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15" x14ac:dyDescent="0.4">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15" x14ac:dyDescent="0.4">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15" x14ac:dyDescent="0.4">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15" x14ac:dyDescent="0.4">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15" x14ac:dyDescent="0.4">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15" x14ac:dyDescent="0.4">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15" x14ac:dyDescent="0.4">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15" x14ac:dyDescent="0.4">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15" x14ac:dyDescent="0.4">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15" x14ac:dyDescent="0.4">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15" x14ac:dyDescent="0.4">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15" x14ac:dyDescent="0.4">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15" x14ac:dyDescent="0.4">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15" x14ac:dyDescent="0.4">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15" x14ac:dyDescent="0.4">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15" x14ac:dyDescent="0.4">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15" x14ac:dyDescent="0.4">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15" x14ac:dyDescent="0.4">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15" x14ac:dyDescent="0.4">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15" x14ac:dyDescent="0.4">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15" x14ac:dyDescent="0.4">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15" x14ac:dyDescent="0.4">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15" x14ac:dyDescent="0.4">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15" x14ac:dyDescent="0.4">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15" x14ac:dyDescent="0.4">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15" x14ac:dyDescent="0.4">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15" x14ac:dyDescent="0.4">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15" x14ac:dyDescent="0.4">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15" x14ac:dyDescent="0.4">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15" x14ac:dyDescent="0.4">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15" x14ac:dyDescent="0.4">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15" x14ac:dyDescent="0.4">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15" x14ac:dyDescent="0.4">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15" x14ac:dyDescent="0.4">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15" x14ac:dyDescent="0.4">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15" x14ac:dyDescent="0.4">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15" x14ac:dyDescent="0.4">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15" x14ac:dyDescent="0.4">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15" x14ac:dyDescent="0.4">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15" x14ac:dyDescent="0.4">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15" x14ac:dyDescent="0.4">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15" x14ac:dyDescent="0.4">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15" x14ac:dyDescent="0.4">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15" x14ac:dyDescent="0.4">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15" x14ac:dyDescent="0.4">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15" x14ac:dyDescent="0.4">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15" x14ac:dyDescent="0.4">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15" x14ac:dyDescent="0.4">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15" x14ac:dyDescent="0.4">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15" x14ac:dyDescent="0.4">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15" x14ac:dyDescent="0.4">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15" x14ac:dyDescent="0.4">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15" x14ac:dyDescent="0.4">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15" x14ac:dyDescent="0.4">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15" x14ac:dyDescent="0.4">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15" x14ac:dyDescent="0.4">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15" x14ac:dyDescent="0.4">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15" x14ac:dyDescent="0.4">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15" x14ac:dyDescent="0.4">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15" x14ac:dyDescent="0.4">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15" x14ac:dyDescent="0.4">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15" x14ac:dyDescent="0.4">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15" x14ac:dyDescent="0.4">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15" x14ac:dyDescent="0.4">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15" x14ac:dyDescent="0.4">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15" x14ac:dyDescent="0.4">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15" x14ac:dyDescent="0.4">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15" x14ac:dyDescent="0.4">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15" x14ac:dyDescent="0.4">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15" x14ac:dyDescent="0.4">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15" x14ac:dyDescent="0.4">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15" x14ac:dyDescent="0.4">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15" x14ac:dyDescent="0.4">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15" x14ac:dyDescent="0.4">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15" x14ac:dyDescent="0.4">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15" x14ac:dyDescent="0.4">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15" x14ac:dyDescent="0.4">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15" x14ac:dyDescent="0.4">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15" x14ac:dyDescent="0.4">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15" x14ac:dyDescent="0.4">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15" x14ac:dyDescent="0.4">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15" x14ac:dyDescent="0.4">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15" x14ac:dyDescent="0.4">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15" x14ac:dyDescent="0.4">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15" x14ac:dyDescent="0.4">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15" x14ac:dyDescent="0.4">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15" x14ac:dyDescent="0.4">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15" x14ac:dyDescent="0.4">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15" x14ac:dyDescent="0.4">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15" x14ac:dyDescent="0.4">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15" x14ac:dyDescent="0.4">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15" x14ac:dyDescent="0.4">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15" x14ac:dyDescent="0.4">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15" x14ac:dyDescent="0.4">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15" x14ac:dyDescent="0.4">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15" x14ac:dyDescent="0.4">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15" x14ac:dyDescent="0.4">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15" x14ac:dyDescent="0.4">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15" x14ac:dyDescent="0.4">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15" x14ac:dyDescent="0.4">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15" x14ac:dyDescent="0.4">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15" x14ac:dyDescent="0.4">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15" x14ac:dyDescent="0.4">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15" x14ac:dyDescent="0.4">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15" x14ac:dyDescent="0.4">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15" x14ac:dyDescent="0.4">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15" x14ac:dyDescent="0.4">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15" x14ac:dyDescent="0.4">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15" x14ac:dyDescent="0.4">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15" x14ac:dyDescent="0.4">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15" x14ac:dyDescent="0.4">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15" x14ac:dyDescent="0.4">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15" x14ac:dyDescent="0.4">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15" x14ac:dyDescent="0.4">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15" x14ac:dyDescent="0.4">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15" x14ac:dyDescent="0.4">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15" x14ac:dyDescent="0.4">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15" x14ac:dyDescent="0.4">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15" x14ac:dyDescent="0.4">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15" x14ac:dyDescent="0.4">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15" x14ac:dyDescent="0.4">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15" x14ac:dyDescent="0.4">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15" x14ac:dyDescent="0.4">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15" x14ac:dyDescent="0.4">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15" x14ac:dyDescent="0.4">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15" x14ac:dyDescent="0.4">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15" x14ac:dyDescent="0.4">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15" x14ac:dyDescent="0.4">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15" x14ac:dyDescent="0.4">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15" x14ac:dyDescent="0.4">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15" x14ac:dyDescent="0.4">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15" x14ac:dyDescent="0.4">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15" x14ac:dyDescent="0.4">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15" x14ac:dyDescent="0.4">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15" x14ac:dyDescent="0.4">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15" x14ac:dyDescent="0.4">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15" x14ac:dyDescent="0.4">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15" x14ac:dyDescent="0.4">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15" x14ac:dyDescent="0.4">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15" x14ac:dyDescent="0.4">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15" x14ac:dyDescent="0.4">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15" x14ac:dyDescent="0.4">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15" x14ac:dyDescent="0.4">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15" x14ac:dyDescent="0.4">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15" x14ac:dyDescent="0.4">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15" x14ac:dyDescent="0.4">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15" x14ac:dyDescent="0.4">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15" x14ac:dyDescent="0.4">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15" x14ac:dyDescent="0.4">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15" x14ac:dyDescent="0.4">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15" x14ac:dyDescent="0.4">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15" x14ac:dyDescent="0.4">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15" x14ac:dyDescent="0.4">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15" x14ac:dyDescent="0.4">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15" x14ac:dyDescent="0.4">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15" x14ac:dyDescent="0.4">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15" x14ac:dyDescent="0.4">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15" x14ac:dyDescent="0.4">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15" x14ac:dyDescent="0.4">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15" x14ac:dyDescent="0.4">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15" x14ac:dyDescent="0.4">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15" x14ac:dyDescent="0.4">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15" x14ac:dyDescent="0.4">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15" x14ac:dyDescent="0.4">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15" x14ac:dyDescent="0.4">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15" x14ac:dyDescent="0.4">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15" x14ac:dyDescent="0.4">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15" x14ac:dyDescent="0.4">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15" x14ac:dyDescent="0.4">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15" x14ac:dyDescent="0.4">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15" x14ac:dyDescent="0.4">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15" x14ac:dyDescent="0.4">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15" x14ac:dyDescent="0.4">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15" x14ac:dyDescent="0.4">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15" x14ac:dyDescent="0.4">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15" x14ac:dyDescent="0.4">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15" x14ac:dyDescent="0.4">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15" x14ac:dyDescent="0.4">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15" x14ac:dyDescent="0.4">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15" x14ac:dyDescent="0.4">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15" x14ac:dyDescent="0.4">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15" x14ac:dyDescent="0.4">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15" x14ac:dyDescent="0.4">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15" x14ac:dyDescent="0.4">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15" x14ac:dyDescent="0.4">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15" x14ac:dyDescent="0.4">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15" x14ac:dyDescent="0.4">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15" x14ac:dyDescent="0.4">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15" x14ac:dyDescent="0.4">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15" x14ac:dyDescent="0.4">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15" x14ac:dyDescent="0.4">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15" x14ac:dyDescent="0.4">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15" x14ac:dyDescent="0.4">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15" x14ac:dyDescent="0.4">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15" x14ac:dyDescent="0.4">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15" x14ac:dyDescent="0.4">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15" x14ac:dyDescent="0.4">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15" x14ac:dyDescent="0.4">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15" x14ac:dyDescent="0.4">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15" x14ac:dyDescent="0.4">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15" x14ac:dyDescent="0.4">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15" x14ac:dyDescent="0.4">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15" x14ac:dyDescent="0.4">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15" x14ac:dyDescent="0.4">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15" x14ac:dyDescent="0.4">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15" x14ac:dyDescent="0.4">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15" x14ac:dyDescent="0.4">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15" x14ac:dyDescent="0.4">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15" x14ac:dyDescent="0.4">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15" x14ac:dyDescent="0.4">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15" x14ac:dyDescent="0.4">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15" x14ac:dyDescent="0.4">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15" x14ac:dyDescent="0.4">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15" x14ac:dyDescent="0.4">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15" x14ac:dyDescent="0.4">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15" x14ac:dyDescent="0.4">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15" x14ac:dyDescent="0.4">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15" x14ac:dyDescent="0.4">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15" x14ac:dyDescent="0.4">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15" x14ac:dyDescent="0.4">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15" x14ac:dyDescent="0.4">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15" x14ac:dyDescent="0.4">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15" x14ac:dyDescent="0.4">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15" x14ac:dyDescent="0.4">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15" x14ac:dyDescent="0.4">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15" x14ac:dyDescent="0.4">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15" x14ac:dyDescent="0.4">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15" x14ac:dyDescent="0.4">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15" x14ac:dyDescent="0.4">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15" x14ac:dyDescent="0.4">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15" x14ac:dyDescent="0.4">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15" x14ac:dyDescent="0.4">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15" x14ac:dyDescent="0.4">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15" x14ac:dyDescent="0.4">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15" x14ac:dyDescent="0.4">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15" x14ac:dyDescent="0.4">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15" x14ac:dyDescent="0.4">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15" x14ac:dyDescent="0.4">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15" x14ac:dyDescent="0.4">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15" x14ac:dyDescent="0.4">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15" x14ac:dyDescent="0.4">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15" x14ac:dyDescent="0.4">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15" x14ac:dyDescent="0.4">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15" x14ac:dyDescent="0.4">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15" x14ac:dyDescent="0.4">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15" x14ac:dyDescent="0.4">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15" x14ac:dyDescent="0.4">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15" x14ac:dyDescent="0.4">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15" x14ac:dyDescent="0.4">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15" x14ac:dyDescent="0.4">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15" x14ac:dyDescent="0.4">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15" x14ac:dyDescent="0.4">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15" x14ac:dyDescent="0.4">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15" x14ac:dyDescent="0.4">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15" x14ac:dyDescent="0.4">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15" x14ac:dyDescent="0.4">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15" x14ac:dyDescent="0.4">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15" x14ac:dyDescent="0.4">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15" x14ac:dyDescent="0.4">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15" x14ac:dyDescent="0.4">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15" x14ac:dyDescent="0.4">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15" x14ac:dyDescent="0.4">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15" x14ac:dyDescent="0.4">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15" x14ac:dyDescent="0.4">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15" x14ac:dyDescent="0.4">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15" x14ac:dyDescent="0.4">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15" x14ac:dyDescent="0.4">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15" x14ac:dyDescent="0.4">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15" x14ac:dyDescent="0.4">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15" x14ac:dyDescent="0.4">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15" x14ac:dyDescent="0.4">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15" x14ac:dyDescent="0.4">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15" x14ac:dyDescent="0.4">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15" x14ac:dyDescent="0.4">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15" x14ac:dyDescent="0.4">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15" x14ac:dyDescent="0.4">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15" x14ac:dyDescent="0.4">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15" x14ac:dyDescent="0.4">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15" x14ac:dyDescent="0.4">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15" x14ac:dyDescent="0.4">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15" x14ac:dyDescent="0.4">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15" x14ac:dyDescent="0.4">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15" x14ac:dyDescent="0.4">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15" x14ac:dyDescent="0.4">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15" x14ac:dyDescent="0.4">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15" x14ac:dyDescent="0.4">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15" x14ac:dyDescent="0.4">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15" x14ac:dyDescent="0.4">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15" x14ac:dyDescent="0.4">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15" x14ac:dyDescent="0.4">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15" x14ac:dyDescent="0.4">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15" x14ac:dyDescent="0.4">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15" x14ac:dyDescent="0.4">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15" x14ac:dyDescent="0.4">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15" x14ac:dyDescent="0.4">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15" x14ac:dyDescent="0.4">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15" x14ac:dyDescent="0.4">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15" x14ac:dyDescent="0.4">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15" x14ac:dyDescent="0.4">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15" x14ac:dyDescent="0.4">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15" x14ac:dyDescent="0.4">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15" x14ac:dyDescent="0.4">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15" x14ac:dyDescent="0.4">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15" x14ac:dyDescent="0.4">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15" x14ac:dyDescent="0.4">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15" x14ac:dyDescent="0.4">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15" x14ac:dyDescent="0.4">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15" x14ac:dyDescent="0.4">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15" x14ac:dyDescent="0.4">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15" x14ac:dyDescent="0.4">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15" x14ac:dyDescent="0.4">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15" x14ac:dyDescent="0.4">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15" x14ac:dyDescent="0.4">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15" x14ac:dyDescent="0.4">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15" x14ac:dyDescent="0.4">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15" x14ac:dyDescent="0.4">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15" x14ac:dyDescent="0.4">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15" x14ac:dyDescent="0.4">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15" x14ac:dyDescent="0.4">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15" x14ac:dyDescent="0.4">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15" x14ac:dyDescent="0.4">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15" x14ac:dyDescent="0.4">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15" x14ac:dyDescent="0.4">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15" x14ac:dyDescent="0.4">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15" x14ac:dyDescent="0.4">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15" x14ac:dyDescent="0.4">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15" x14ac:dyDescent="0.4">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15" x14ac:dyDescent="0.4">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15" x14ac:dyDescent="0.4">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15" x14ac:dyDescent="0.4">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15" x14ac:dyDescent="0.4">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15" x14ac:dyDescent="0.4">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15" x14ac:dyDescent="0.4">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15" x14ac:dyDescent="0.4">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15" x14ac:dyDescent="0.4">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15" x14ac:dyDescent="0.4">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15" x14ac:dyDescent="0.4">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15" x14ac:dyDescent="0.4">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15" x14ac:dyDescent="0.4">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15" x14ac:dyDescent="0.4">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15" x14ac:dyDescent="0.4">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15" x14ac:dyDescent="0.4">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15" x14ac:dyDescent="0.4">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15" x14ac:dyDescent="0.4">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15" x14ac:dyDescent="0.4">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15" x14ac:dyDescent="0.4">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15" x14ac:dyDescent="0.4">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15" x14ac:dyDescent="0.4">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15" x14ac:dyDescent="0.4">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15" x14ac:dyDescent="0.4">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15" x14ac:dyDescent="0.4">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15" x14ac:dyDescent="0.4">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15" x14ac:dyDescent="0.4">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15" x14ac:dyDescent="0.4">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15" x14ac:dyDescent="0.4">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15" x14ac:dyDescent="0.4">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15" x14ac:dyDescent="0.4">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15" x14ac:dyDescent="0.4">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15" x14ac:dyDescent="0.4">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15" x14ac:dyDescent="0.4">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15" x14ac:dyDescent="0.4">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15" x14ac:dyDescent="0.4">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15" x14ac:dyDescent="0.4">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15" x14ac:dyDescent="0.4">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15" x14ac:dyDescent="0.4">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15" x14ac:dyDescent="0.4">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15" x14ac:dyDescent="0.4">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15" x14ac:dyDescent="0.4">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15" x14ac:dyDescent="0.4">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15" x14ac:dyDescent="0.4">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15" x14ac:dyDescent="0.4">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15" x14ac:dyDescent="0.4">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15" x14ac:dyDescent="0.4">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15" x14ac:dyDescent="0.4">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15" x14ac:dyDescent="0.4">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15" x14ac:dyDescent="0.4">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15" x14ac:dyDescent="0.4">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15" x14ac:dyDescent="0.4">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15" x14ac:dyDescent="0.4">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15" x14ac:dyDescent="0.4">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15" x14ac:dyDescent="0.4">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15" x14ac:dyDescent="0.4">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15" x14ac:dyDescent="0.4">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15" x14ac:dyDescent="0.4">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15" x14ac:dyDescent="0.4">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15" x14ac:dyDescent="0.4">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15" x14ac:dyDescent="0.4">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15" x14ac:dyDescent="0.4">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15" x14ac:dyDescent="0.4">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15" x14ac:dyDescent="0.4">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15" x14ac:dyDescent="0.4">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15" x14ac:dyDescent="0.4">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15" x14ac:dyDescent="0.4">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15" x14ac:dyDescent="0.4">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15" x14ac:dyDescent="0.4">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15" x14ac:dyDescent="0.4">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15" x14ac:dyDescent="0.4">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15" x14ac:dyDescent="0.4">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15" x14ac:dyDescent="0.4">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15" x14ac:dyDescent="0.4">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15" x14ac:dyDescent="0.4">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15" x14ac:dyDescent="0.4">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15" x14ac:dyDescent="0.4">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15" x14ac:dyDescent="0.4">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15" x14ac:dyDescent="0.4">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15" x14ac:dyDescent="0.4">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15" x14ac:dyDescent="0.4">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15" x14ac:dyDescent="0.4">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15" x14ac:dyDescent="0.4">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15" x14ac:dyDescent="0.4">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15" x14ac:dyDescent="0.4">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15" x14ac:dyDescent="0.4">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15" x14ac:dyDescent="0.4">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15" x14ac:dyDescent="0.4">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15" x14ac:dyDescent="0.4">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15" x14ac:dyDescent="0.4">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15" x14ac:dyDescent="0.4">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15" x14ac:dyDescent="0.4">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15" x14ac:dyDescent="0.4">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15" x14ac:dyDescent="0.4">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15" x14ac:dyDescent="0.4">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15" x14ac:dyDescent="0.4">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15" x14ac:dyDescent="0.4">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15" x14ac:dyDescent="0.4">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15" x14ac:dyDescent="0.4">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15" x14ac:dyDescent="0.4">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15" x14ac:dyDescent="0.4">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15" x14ac:dyDescent="0.4">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15" x14ac:dyDescent="0.4">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15" x14ac:dyDescent="0.4">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15" x14ac:dyDescent="0.4">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15" x14ac:dyDescent="0.4">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15" x14ac:dyDescent="0.4">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15" x14ac:dyDescent="0.4">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15" x14ac:dyDescent="0.4">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15" x14ac:dyDescent="0.4">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15" x14ac:dyDescent="0.4">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15" x14ac:dyDescent="0.4">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15" x14ac:dyDescent="0.4">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15" x14ac:dyDescent="0.4">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15" x14ac:dyDescent="0.4">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15" x14ac:dyDescent="0.4">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15" x14ac:dyDescent="0.4">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15" x14ac:dyDescent="0.4">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15" x14ac:dyDescent="0.4">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15" x14ac:dyDescent="0.4">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15" x14ac:dyDescent="0.4">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15" x14ac:dyDescent="0.4">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15" x14ac:dyDescent="0.4">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15" x14ac:dyDescent="0.4">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15" x14ac:dyDescent="0.4">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15" x14ac:dyDescent="0.4">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15" x14ac:dyDescent="0.4">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15" x14ac:dyDescent="0.4">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15" x14ac:dyDescent="0.4">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15" x14ac:dyDescent="0.4">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15" x14ac:dyDescent="0.4">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15" x14ac:dyDescent="0.4">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15" x14ac:dyDescent="0.4">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15" x14ac:dyDescent="0.4">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15" x14ac:dyDescent="0.4">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15" x14ac:dyDescent="0.4">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15" x14ac:dyDescent="0.4">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15" x14ac:dyDescent="0.4">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15" x14ac:dyDescent="0.4">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15" x14ac:dyDescent="0.4">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15" x14ac:dyDescent="0.4">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15" x14ac:dyDescent="0.4">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15" x14ac:dyDescent="0.4">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15" x14ac:dyDescent="0.4">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15" x14ac:dyDescent="0.4">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15" x14ac:dyDescent="0.4">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15" x14ac:dyDescent="0.4">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15" x14ac:dyDescent="0.4">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15" x14ac:dyDescent="0.4">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15" x14ac:dyDescent="0.4">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15" x14ac:dyDescent="0.4">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15" x14ac:dyDescent="0.4">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15" x14ac:dyDescent="0.4">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15" x14ac:dyDescent="0.4">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15" x14ac:dyDescent="0.4">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15" x14ac:dyDescent="0.4">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15" x14ac:dyDescent="0.4">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15" x14ac:dyDescent="0.4">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15" x14ac:dyDescent="0.4">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15" x14ac:dyDescent="0.4">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15" x14ac:dyDescent="0.4">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15" x14ac:dyDescent="0.4">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15" x14ac:dyDescent="0.4">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15" x14ac:dyDescent="0.4">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15" x14ac:dyDescent="0.4">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15" x14ac:dyDescent="0.4">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15" x14ac:dyDescent="0.4">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15" x14ac:dyDescent="0.4">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15" x14ac:dyDescent="0.4">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15" x14ac:dyDescent="0.4">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15" x14ac:dyDescent="0.4">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15" x14ac:dyDescent="0.4">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15" x14ac:dyDescent="0.4">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15" x14ac:dyDescent="0.4">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15" x14ac:dyDescent="0.4">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15" x14ac:dyDescent="0.4">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15" x14ac:dyDescent="0.4">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15" x14ac:dyDescent="0.4">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15" x14ac:dyDescent="0.4">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15" x14ac:dyDescent="0.4">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15" x14ac:dyDescent="0.4">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15" x14ac:dyDescent="0.4">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15" x14ac:dyDescent="0.4">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15" x14ac:dyDescent="0.4">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15" x14ac:dyDescent="0.4">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15" x14ac:dyDescent="0.4">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15" x14ac:dyDescent="0.4">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15" x14ac:dyDescent="0.4">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15" x14ac:dyDescent="0.4">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15" x14ac:dyDescent="0.4">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15" x14ac:dyDescent="0.4">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15" x14ac:dyDescent="0.4">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15" x14ac:dyDescent="0.4">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15" x14ac:dyDescent="0.4">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15" x14ac:dyDescent="0.4">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15" x14ac:dyDescent="0.4">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15" x14ac:dyDescent="0.4">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15" x14ac:dyDescent="0.4">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15" x14ac:dyDescent="0.4">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15" x14ac:dyDescent="0.4">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15" x14ac:dyDescent="0.4">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15" x14ac:dyDescent="0.4">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15" x14ac:dyDescent="0.4">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15" x14ac:dyDescent="0.4">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15" x14ac:dyDescent="0.4">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15" x14ac:dyDescent="0.4">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15" x14ac:dyDescent="0.4">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15" x14ac:dyDescent="0.4">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15" x14ac:dyDescent="0.4">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15" x14ac:dyDescent="0.4">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15" x14ac:dyDescent="0.4">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15" x14ac:dyDescent="0.4">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15" x14ac:dyDescent="0.4">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15" x14ac:dyDescent="0.4">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15" x14ac:dyDescent="0.4">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15" x14ac:dyDescent="0.4">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15" x14ac:dyDescent="0.4">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15" x14ac:dyDescent="0.4">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15" x14ac:dyDescent="0.4">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15" x14ac:dyDescent="0.4">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15" x14ac:dyDescent="0.4">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15" x14ac:dyDescent="0.4">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15" x14ac:dyDescent="0.4">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15" x14ac:dyDescent="0.4">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15" x14ac:dyDescent="0.4">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15" x14ac:dyDescent="0.4">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15" x14ac:dyDescent="0.4">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15" x14ac:dyDescent="0.4">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15" x14ac:dyDescent="0.4">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15" x14ac:dyDescent="0.4">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15" x14ac:dyDescent="0.4">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15" x14ac:dyDescent="0.4">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15" x14ac:dyDescent="0.4">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15" x14ac:dyDescent="0.4">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15" x14ac:dyDescent="0.4">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15" x14ac:dyDescent="0.4">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15" x14ac:dyDescent="0.4">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15" x14ac:dyDescent="0.4">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15" x14ac:dyDescent="0.4">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15" x14ac:dyDescent="0.4">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15" x14ac:dyDescent="0.4">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15" x14ac:dyDescent="0.4">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15" x14ac:dyDescent="0.4">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15" x14ac:dyDescent="0.4">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15" x14ac:dyDescent="0.4">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15" x14ac:dyDescent="0.4">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15" x14ac:dyDescent="0.4">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15" x14ac:dyDescent="0.4">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15" x14ac:dyDescent="0.4">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15" x14ac:dyDescent="0.4">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15" x14ac:dyDescent="0.4">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15" x14ac:dyDescent="0.4">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15" x14ac:dyDescent="0.4">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15" x14ac:dyDescent="0.4">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15" x14ac:dyDescent="0.4">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15" x14ac:dyDescent="0.4">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15" x14ac:dyDescent="0.4">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15" x14ac:dyDescent="0.4">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15" x14ac:dyDescent="0.4">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15" x14ac:dyDescent="0.4">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15" x14ac:dyDescent="0.4">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15" x14ac:dyDescent="0.4">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15" x14ac:dyDescent="0.4">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15" x14ac:dyDescent="0.4">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15" x14ac:dyDescent="0.4">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15" x14ac:dyDescent="0.4">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15" x14ac:dyDescent="0.4">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15" x14ac:dyDescent="0.4">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15" x14ac:dyDescent="0.4">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15" x14ac:dyDescent="0.4">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15" x14ac:dyDescent="0.4">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15" x14ac:dyDescent="0.4">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15" x14ac:dyDescent="0.4">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15" x14ac:dyDescent="0.4">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15" x14ac:dyDescent="0.4">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15" x14ac:dyDescent="0.4">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15" x14ac:dyDescent="0.4">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15" x14ac:dyDescent="0.4">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15" x14ac:dyDescent="0.4">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15" x14ac:dyDescent="0.4">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15" x14ac:dyDescent="0.4">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15" x14ac:dyDescent="0.4">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15" x14ac:dyDescent="0.4">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15" x14ac:dyDescent="0.4">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15" x14ac:dyDescent="0.4">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15" x14ac:dyDescent="0.4">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15" x14ac:dyDescent="0.4">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15" x14ac:dyDescent="0.4">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15" x14ac:dyDescent="0.4">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15" x14ac:dyDescent="0.4">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15" x14ac:dyDescent="0.4">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15" x14ac:dyDescent="0.4">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15" x14ac:dyDescent="0.4">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15" x14ac:dyDescent="0.4">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15" x14ac:dyDescent="0.4">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15" x14ac:dyDescent="0.4">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15" x14ac:dyDescent="0.4">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15" x14ac:dyDescent="0.4">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15" x14ac:dyDescent="0.4">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15" x14ac:dyDescent="0.4">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15" x14ac:dyDescent="0.4">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15" x14ac:dyDescent="0.4">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15" x14ac:dyDescent="0.4">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15" x14ac:dyDescent="0.4">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15" x14ac:dyDescent="0.4">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15" x14ac:dyDescent="0.4">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15" x14ac:dyDescent="0.4">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15" x14ac:dyDescent="0.4">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15" x14ac:dyDescent="0.4">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15" x14ac:dyDescent="0.4">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15" x14ac:dyDescent="0.4">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15" x14ac:dyDescent="0.4">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15" x14ac:dyDescent="0.4">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15" x14ac:dyDescent="0.4">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15" x14ac:dyDescent="0.4">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15" x14ac:dyDescent="0.4">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15" x14ac:dyDescent="0.4">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15" x14ac:dyDescent="0.4">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15" x14ac:dyDescent="0.4">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15" x14ac:dyDescent="0.4">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15" x14ac:dyDescent="0.4">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15" x14ac:dyDescent="0.4">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15" x14ac:dyDescent="0.4">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15" x14ac:dyDescent="0.4">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15" x14ac:dyDescent="0.4">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15" x14ac:dyDescent="0.4">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15" x14ac:dyDescent="0.4">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15" x14ac:dyDescent="0.4">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15" x14ac:dyDescent="0.4">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15" x14ac:dyDescent="0.4">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15" x14ac:dyDescent="0.4">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15" x14ac:dyDescent="0.4">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15" x14ac:dyDescent="0.4">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15" x14ac:dyDescent="0.4">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15" x14ac:dyDescent="0.4">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15" x14ac:dyDescent="0.4">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15" x14ac:dyDescent="0.4">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15" x14ac:dyDescent="0.4">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15" x14ac:dyDescent="0.4">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15" x14ac:dyDescent="0.4">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15" x14ac:dyDescent="0.4">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15" x14ac:dyDescent="0.4">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15" x14ac:dyDescent="0.4">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15" x14ac:dyDescent="0.4">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15" x14ac:dyDescent="0.4">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15" x14ac:dyDescent="0.4">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15" x14ac:dyDescent="0.4">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15" x14ac:dyDescent="0.4">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15" x14ac:dyDescent="0.4">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15" x14ac:dyDescent="0.4">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15" x14ac:dyDescent="0.4">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15" x14ac:dyDescent="0.4">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15" x14ac:dyDescent="0.4">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15" x14ac:dyDescent="0.4">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15" x14ac:dyDescent="0.4">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15" x14ac:dyDescent="0.4">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15" x14ac:dyDescent="0.4">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15" x14ac:dyDescent="0.4">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15" x14ac:dyDescent="0.4">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15" x14ac:dyDescent="0.4">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15" x14ac:dyDescent="0.4">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15" x14ac:dyDescent="0.4">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15" x14ac:dyDescent="0.4">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15" x14ac:dyDescent="0.4">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15" x14ac:dyDescent="0.4">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15" x14ac:dyDescent="0.4">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15" x14ac:dyDescent="0.4">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15" x14ac:dyDescent="0.4">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15" x14ac:dyDescent="0.4">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15" x14ac:dyDescent="0.4">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15" x14ac:dyDescent="0.4">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15" x14ac:dyDescent="0.4">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15" x14ac:dyDescent="0.4">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15" x14ac:dyDescent="0.4">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15" x14ac:dyDescent="0.4">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15" x14ac:dyDescent="0.4">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15" x14ac:dyDescent="0.4">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15" x14ac:dyDescent="0.4">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15" x14ac:dyDescent="0.4">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15" x14ac:dyDescent="0.4">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15" x14ac:dyDescent="0.4">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15" x14ac:dyDescent="0.4">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15" x14ac:dyDescent="0.4">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15" x14ac:dyDescent="0.4">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15" x14ac:dyDescent="0.4">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15" x14ac:dyDescent="0.4">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15" x14ac:dyDescent="0.4">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15" x14ac:dyDescent="0.4">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15" x14ac:dyDescent="0.4">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15" x14ac:dyDescent="0.4">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15" x14ac:dyDescent="0.4">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15" x14ac:dyDescent="0.4">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15" x14ac:dyDescent="0.4">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15" x14ac:dyDescent="0.4">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15" x14ac:dyDescent="0.4">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15" x14ac:dyDescent="0.4">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15" x14ac:dyDescent="0.4">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15" x14ac:dyDescent="0.4">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15" x14ac:dyDescent="0.4">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15" x14ac:dyDescent="0.4">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15" x14ac:dyDescent="0.4">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15" x14ac:dyDescent="0.4">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15" x14ac:dyDescent="0.4">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15" x14ac:dyDescent="0.4">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15" x14ac:dyDescent="0.4">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15" x14ac:dyDescent="0.4">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15" x14ac:dyDescent="0.4">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15" x14ac:dyDescent="0.4">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15" x14ac:dyDescent="0.4">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15" x14ac:dyDescent="0.4">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15" x14ac:dyDescent="0.4">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15" x14ac:dyDescent="0.4">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15" x14ac:dyDescent="0.4">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15" x14ac:dyDescent="0.4">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15" x14ac:dyDescent="0.4">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15" x14ac:dyDescent="0.4">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15" x14ac:dyDescent="0.4">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15" x14ac:dyDescent="0.4">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15" x14ac:dyDescent="0.4">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15" x14ac:dyDescent="0.4">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15" x14ac:dyDescent="0.4">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15" x14ac:dyDescent="0.4">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15" x14ac:dyDescent="0.4">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15" x14ac:dyDescent="0.4">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15" x14ac:dyDescent="0.4">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15" x14ac:dyDescent="0.4">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15" x14ac:dyDescent="0.4">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15" x14ac:dyDescent="0.4">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15" x14ac:dyDescent="0.4">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15" x14ac:dyDescent="0.4">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15" x14ac:dyDescent="0.4">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15" x14ac:dyDescent="0.4">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15" x14ac:dyDescent="0.4">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15" x14ac:dyDescent="0.4">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15" x14ac:dyDescent="0.4">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15" x14ac:dyDescent="0.4">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15" x14ac:dyDescent="0.4">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15" x14ac:dyDescent="0.4">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15" x14ac:dyDescent="0.4">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15" x14ac:dyDescent="0.4">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15" x14ac:dyDescent="0.4">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15" x14ac:dyDescent="0.4">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15" x14ac:dyDescent="0.4">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15" x14ac:dyDescent="0.4">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15" x14ac:dyDescent="0.4">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15" x14ac:dyDescent="0.4">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15" x14ac:dyDescent="0.4">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15" x14ac:dyDescent="0.4">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15" x14ac:dyDescent="0.4">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15" x14ac:dyDescent="0.4">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15" x14ac:dyDescent="0.4">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15" x14ac:dyDescent="0.4">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15" x14ac:dyDescent="0.4">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15" x14ac:dyDescent="0.4">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15" x14ac:dyDescent="0.4">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15" x14ac:dyDescent="0.4">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15" x14ac:dyDescent="0.4">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15" x14ac:dyDescent="0.4">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15" x14ac:dyDescent="0.4">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15" x14ac:dyDescent="0.4">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15" x14ac:dyDescent="0.4">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15" x14ac:dyDescent="0.4">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15" x14ac:dyDescent="0.4">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15" x14ac:dyDescent="0.4">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15" x14ac:dyDescent="0.4">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15" x14ac:dyDescent="0.4">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15" x14ac:dyDescent="0.4">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15" x14ac:dyDescent="0.4">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15" x14ac:dyDescent="0.4">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15" x14ac:dyDescent="0.4">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15" x14ac:dyDescent="0.4">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15" x14ac:dyDescent="0.4">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15" x14ac:dyDescent="0.4">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15" x14ac:dyDescent="0.4">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15" x14ac:dyDescent="0.4">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15" x14ac:dyDescent="0.4">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15" x14ac:dyDescent="0.4">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15" x14ac:dyDescent="0.4">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15" x14ac:dyDescent="0.4">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15" x14ac:dyDescent="0.4">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15" x14ac:dyDescent="0.4">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15" x14ac:dyDescent="0.4">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15" x14ac:dyDescent="0.4">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15" x14ac:dyDescent="0.4">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15" x14ac:dyDescent="0.4">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15" x14ac:dyDescent="0.4">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15" x14ac:dyDescent="0.4">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15" x14ac:dyDescent="0.4">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15" x14ac:dyDescent="0.4">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15" x14ac:dyDescent="0.4">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15" x14ac:dyDescent="0.4">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15" x14ac:dyDescent="0.4">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15" x14ac:dyDescent="0.4">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15" x14ac:dyDescent="0.4">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15" x14ac:dyDescent="0.4">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15" x14ac:dyDescent="0.4">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15" x14ac:dyDescent="0.4">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15" x14ac:dyDescent="0.4">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15" x14ac:dyDescent="0.4">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15" x14ac:dyDescent="0.4">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15" x14ac:dyDescent="0.4">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15" x14ac:dyDescent="0.4">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15" x14ac:dyDescent="0.4">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15" x14ac:dyDescent="0.4">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15" x14ac:dyDescent="0.4">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15" x14ac:dyDescent="0.4">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15" x14ac:dyDescent="0.4">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15" x14ac:dyDescent="0.4">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15" x14ac:dyDescent="0.4">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15" x14ac:dyDescent="0.4">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15" x14ac:dyDescent="0.4">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15" x14ac:dyDescent="0.4">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15" x14ac:dyDescent="0.4">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15" x14ac:dyDescent="0.4">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15" x14ac:dyDescent="0.4">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15" x14ac:dyDescent="0.4">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15" x14ac:dyDescent="0.4">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15" x14ac:dyDescent="0.4">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15" x14ac:dyDescent="0.4">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15" x14ac:dyDescent="0.4">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15" x14ac:dyDescent="0.4">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15" x14ac:dyDescent="0.4">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15" x14ac:dyDescent="0.4">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15" x14ac:dyDescent="0.4">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15" x14ac:dyDescent="0.4">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15" x14ac:dyDescent="0.4">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15" x14ac:dyDescent="0.4">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15" x14ac:dyDescent="0.4">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15" x14ac:dyDescent="0.4">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15" x14ac:dyDescent="0.4">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15" x14ac:dyDescent="0.4">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15" x14ac:dyDescent="0.4">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15" x14ac:dyDescent="0.4">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15" x14ac:dyDescent="0.4">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15" x14ac:dyDescent="0.4">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15" x14ac:dyDescent="0.4">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15" x14ac:dyDescent="0.4">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15" x14ac:dyDescent="0.4">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15" x14ac:dyDescent="0.4">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15" x14ac:dyDescent="0.4">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15" x14ac:dyDescent="0.4">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15" x14ac:dyDescent="0.4">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15" x14ac:dyDescent="0.4">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15" x14ac:dyDescent="0.4">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15" x14ac:dyDescent="0.4">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15" x14ac:dyDescent="0.4">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15" x14ac:dyDescent="0.4">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15" x14ac:dyDescent="0.4">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15" x14ac:dyDescent="0.4">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15" x14ac:dyDescent="0.4">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15" x14ac:dyDescent="0.4">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15" x14ac:dyDescent="0.4">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15" x14ac:dyDescent="0.4">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15" x14ac:dyDescent="0.4">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15" x14ac:dyDescent="0.4">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15" x14ac:dyDescent="0.4">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15" x14ac:dyDescent="0.4">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15" x14ac:dyDescent="0.4">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15" x14ac:dyDescent="0.4">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15" x14ac:dyDescent="0.4">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15" x14ac:dyDescent="0.4">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15" x14ac:dyDescent="0.4">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15" x14ac:dyDescent="0.4">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15" x14ac:dyDescent="0.4">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15" x14ac:dyDescent="0.4">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15" x14ac:dyDescent="0.4">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15" x14ac:dyDescent="0.4">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15" x14ac:dyDescent="0.4">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15" x14ac:dyDescent="0.4">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15" x14ac:dyDescent="0.4">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15" x14ac:dyDescent="0.4">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15" x14ac:dyDescent="0.4">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15" x14ac:dyDescent="0.4">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15" x14ac:dyDescent="0.4">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15" x14ac:dyDescent="0.4">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15" x14ac:dyDescent="0.4">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15" x14ac:dyDescent="0.4">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15" x14ac:dyDescent="0.4">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15" x14ac:dyDescent="0.4">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15" x14ac:dyDescent="0.4">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15" x14ac:dyDescent="0.4">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15" x14ac:dyDescent="0.4">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15" x14ac:dyDescent="0.4">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15" x14ac:dyDescent="0.4">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15" x14ac:dyDescent="0.4">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15" x14ac:dyDescent="0.4">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15" x14ac:dyDescent="0.4">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15" x14ac:dyDescent="0.4">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15" x14ac:dyDescent="0.4">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15" x14ac:dyDescent="0.4">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15" x14ac:dyDescent="0.4">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15" x14ac:dyDescent="0.4">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15" x14ac:dyDescent="0.4">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15" x14ac:dyDescent="0.4">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15" x14ac:dyDescent="0.4">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15" x14ac:dyDescent="0.4">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15" x14ac:dyDescent="0.4">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15" x14ac:dyDescent="0.4">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15" x14ac:dyDescent="0.4">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15" x14ac:dyDescent="0.4">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15" x14ac:dyDescent="0.4">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15" x14ac:dyDescent="0.4">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15" x14ac:dyDescent="0.4">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15" x14ac:dyDescent="0.4">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15" x14ac:dyDescent="0.4">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15" x14ac:dyDescent="0.4">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15" x14ac:dyDescent="0.4">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15" x14ac:dyDescent="0.4">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15" x14ac:dyDescent="0.4">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15" x14ac:dyDescent="0.4">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15" x14ac:dyDescent="0.4">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15" x14ac:dyDescent="0.4">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15" x14ac:dyDescent="0.4">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15" x14ac:dyDescent="0.4">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15" x14ac:dyDescent="0.4">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15" x14ac:dyDescent="0.4">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15" x14ac:dyDescent="0.4">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15" x14ac:dyDescent="0.4">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15" x14ac:dyDescent="0.4">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15" x14ac:dyDescent="0.4">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15" x14ac:dyDescent="0.4">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15" x14ac:dyDescent="0.4">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15" x14ac:dyDescent="0.4">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15" x14ac:dyDescent="0.4">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15" x14ac:dyDescent="0.4">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15" x14ac:dyDescent="0.4">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15" x14ac:dyDescent="0.4">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15" x14ac:dyDescent="0.4">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15" x14ac:dyDescent="0.4">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15" x14ac:dyDescent="0.4">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15" x14ac:dyDescent="0.4">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15" x14ac:dyDescent="0.4">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15" x14ac:dyDescent="0.4">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15" x14ac:dyDescent="0.4">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15" x14ac:dyDescent="0.4">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15" x14ac:dyDescent="0.4">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15" x14ac:dyDescent="0.4">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15" x14ac:dyDescent="0.4">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15" x14ac:dyDescent="0.4">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15" x14ac:dyDescent="0.4">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15" x14ac:dyDescent="0.4">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15" x14ac:dyDescent="0.4">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15" x14ac:dyDescent="0.4">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15" x14ac:dyDescent="0.4">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15" x14ac:dyDescent="0.4">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15" x14ac:dyDescent="0.4">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15" x14ac:dyDescent="0.4">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15" x14ac:dyDescent="0.4">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15" x14ac:dyDescent="0.4">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15" x14ac:dyDescent="0.4">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15" x14ac:dyDescent="0.4">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15" x14ac:dyDescent="0.4">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15" x14ac:dyDescent="0.4">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15" x14ac:dyDescent="0.4">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15" x14ac:dyDescent="0.4">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15" x14ac:dyDescent="0.4">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15" x14ac:dyDescent="0.4">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15" x14ac:dyDescent="0.4">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15" x14ac:dyDescent="0.4">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15" x14ac:dyDescent="0.4">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15" x14ac:dyDescent="0.4">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15" x14ac:dyDescent="0.4">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15" x14ac:dyDescent="0.4">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15" x14ac:dyDescent="0.4">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15" x14ac:dyDescent="0.4">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15" x14ac:dyDescent="0.4">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15" x14ac:dyDescent="0.4">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15" x14ac:dyDescent="0.4">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15" x14ac:dyDescent="0.4">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15" x14ac:dyDescent="0.4">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15" x14ac:dyDescent="0.4">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15" x14ac:dyDescent="0.4">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15" x14ac:dyDescent="0.4">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15" x14ac:dyDescent="0.4">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15" x14ac:dyDescent="0.4">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15" x14ac:dyDescent="0.4">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15" x14ac:dyDescent="0.4">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15" x14ac:dyDescent="0.4">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15" x14ac:dyDescent="0.4">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15" x14ac:dyDescent="0.4">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15" x14ac:dyDescent="0.4">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15" x14ac:dyDescent="0.4">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15" x14ac:dyDescent="0.4">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15" x14ac:dyDescent="0.4">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15" x14ac:dyDescent="0.4">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15" x14ac:dyDescent="0.4">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15" x14ac:dyDescent="0.4">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15" x14ac:dyDescent="0.4">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15" x14ac:dyDescent="0.4">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15" x14ac:dyDescent="0.4">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15" x14ac:dyDescent="0.4">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15" x14ac:dyDescent="0.4">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15" x14ac:dyDescent="0.4">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15" x14ac:dyDescent="0.4">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15" x14ac:dyDescent="0.4">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15" x14ac:dyDescent="0.4">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15" x14ac:dyDescent="0.4">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15" x14ac:dyDescent="0.4">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15" x14ac:dyDescent="0.4">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15" x14ac:dyDescent="0.4">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15" x14ac:dyDescent="0.4">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15" x14ac:dyDescent="0.4">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15" x14ac:dyDescent="0.4">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15" x14ac:dyDescent="0.4">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15" x14ac:dyDescent="0.4">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15" x14ac:dyDescent="0.4">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15" x14ac:dyDescent="0.4">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15" x14ac:dyDescent="0.4">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15" x14ac:dyDescent="0.4">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15" x14ac:dyDescent="0.4">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15" x14ac:dyDescent="0.4">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15" x14ac:dyDescent="0.4">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15" x14ac:dyDescent="0.4">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15" x14ac:dyDescent="0.4">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15" x14ac:dyDescent="0.4">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15" x14ac:dyDescent="0.4">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15" x14ac:dyDescent="0.4">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15" x14ac:dyDescent="0.4">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15" x14ac:dyDescent="0.4">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15" x14ac:dyDescent="0.4">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15" x14ac:dyDescent="0.4">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15" x14ac:dyDescent="0.4">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15" x14ac:dyDescent="0.4">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15" x14ac:dyDescent="0.4">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15" x14ac:dyDescent="0.4">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15" x14ac:dyDescent="0.4">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15" x14ac:dyDescent="0.4">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15" x14ac:dyDescent="0.4">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15" x14ac:dyDescent="0.4">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15" x14ac:dyDescent="0.4">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15" x14ac:dyDescent="0.4">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15" x14ac:dyDescent="0.4">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15" x14ac:dyDescent="0.4">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15" x14ac:dyDescent="0.4">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15" x14ac:dyDescent="0.4">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15" x14ac:dyDescent="0.4">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15" x14ac:dyDescent="0.4">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15" x14ac:dyDescent="0.4">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15" x14ac:dyDescent="0.4">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15" x14ac:dyDescent="0.4">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15" x14ac:dyDescent="0.4">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15" x14ac:dyDescent="0.4">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15" x14ac:dyDescent="0.4">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15" x14ac:dyDescent="0.4">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15" x14ac:dyDescent="0.4">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15" x14ac:dyDescent="0.4">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15" x14ac:dyDescent="0.4">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15" x14ac:dyDescent="0.4">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15" x14ac:dyDescent="0.4">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15" x14ac:dyDescent="0.4">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15" x14ac:dyDescent="0.4">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15" x14ac:dyDescent="0.4">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15" x14ac:dyDescent="0.4">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15" x14ac:dyDescent="0.4">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15" x14ac:dyDescent="0.4">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15" x14ac:dyDescent="0.4">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15" x14ac:dyDescent="0.4">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15" x14ac:dyDescent="0.4">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15" x14ac:dyDescent="0.4">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15" x14ac:dyDescent="0.4">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15" x14ac:dyDescent="0.4">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15" x14ac:dyDescent="0.4">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15" x14ac:dyDescent="0.4">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15" x14ac:dyDescent="0.4">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15" x14ac:dyDescent="0.4">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15" x14ac:dyDescent="0.4">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15" x14ac:dyDescent="0.4">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15" x14ac:dyDescent="0.4">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15" x14ac:dyDescent="0.4">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15" x14ac:dyDescent="0.4">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15" x14ac:dyDescent="0.4">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15" x14ac:dyDescent="0.4">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15" x14ac:dyDescent="0.4">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15" x14ac:dyDescent="0.4">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15" x14ac:dyDescent="0.4">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15" x14ac:dyDescent="0.4">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15" x14ac:dyDescent="0.4">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15" x14ac:dyDescent="0.4">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15" x14ac:dyDescent="0.4">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15" x14ac:dyDescent="0.4">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15" x14ac:dyDescent="0.4">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15" x14ac:dyDescent="0.4">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15" x14ac:dyDescent="0.4">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15" x14ac:dyDescent="0.4">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15" x14ac:dyDescent="0.4">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15" x14ac:dyDescent="0.4">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15" x14ac:dyDescent="0.4">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15" x14ac:dyDescent="0.4">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15" x14ac:dyDescent="0.4">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15" x14ac:dyDescent="0.4">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15" x14ac:dyDescent="0.4">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15" x14ac:dyDescent="0.4">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15" x14ac:dyDescent="0.4">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15" x14ac:dyDescent="0.4">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15" x14ac:dyDescent="0.4">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15" x14ac:dyDescent="0.4">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15" x14ac:dyDescent="0.4">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15" x14ac:dyDescent="0.4">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15" x14ac:dyDescent="0.4">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15" x14ac:dyDescent="0.4">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15" x14ac:dyDescent="0.4">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15" x14ac:dyDescent="0.4">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15" x14ac:dyDescent="0.4">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15" x14ac:dyDescent="0.4">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15" x14ac:dyDescent="0.4">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15" x14ac:dyDescent="0.4">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15" x14ac:dyDescent="0.4">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15" x14ac:dyDescent="0.4">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15" x14ac:dyDescent="0.4">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15" x14ac:dyDescent="0.4">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15" x14ac:dyDescent="0.4">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15" x14ac:dyDescent="0.4">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15" x14ac:dyDescent="0.4">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15" x14ac:dyDescent="0.4">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15" x14ac:dyDescent="0.4">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15" x14ac:dyDescent="0.4">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15" x14ac:dyDescent="0.4">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15" x14ac:dyDescent="0.4">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15" x14ac:dyDescent="0.4">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15" x14ac:dyDescent="0.4">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15" x14ac:dyDescent="0.4">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15" x14ac:dyDescent="0.4">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15" x14ac:dyDescent="0.4">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15" x14ac:dyDescent="0.4">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15" x14ac:dyDescent="0.4">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15" x14ac:dyDescent="0.4">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15" x14ac:dyDescent="0.4">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15" x14ac:dyDescent="0.4">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15" x14ac:dyDescent="0.4">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15" x14ac:dyDescent="0.4">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15" x14ac:dyDescent="0.4">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15" x14ac:dyDescent="0.4">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15" x14ac:dyDescent="0.4">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15" x14ac:dyDescent="0.4">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15" x14ac:dyDescent="0.4">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15" x14ac:dyDescent="0.4">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15" x14ac:dyDescent="0.4">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15" x14ac:dyDescent="0.4">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15" x14ac:dyDescent="0.4">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15" x14ac:dyDescent="0.4">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15" x14ac:dyDescent="0.4">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15" x14ac:dyDescent="0.4">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15" x14ac:dyDescent="0.4">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15" x14ac:dyDescent="0.4">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15" x14ac:dyDescent="0.4">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15" x14ac:dyDescent="0.4">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15" x14ac:dyDescent="0.4">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15" x14ac:dyDescent="0.4">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15" x14ac:dyDescent="0.4">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15" x14ac:dyDescent="0.4">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15" x14ac:dyDescent="0.4">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15" x14ac:dyDescent="0.4">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15" x14ac:dyDescent="0.4">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15" x14ac:dyDescent="0.4">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15" x14ac:dyDescent="0.4">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15" x14ac:dyDescent="0.4">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15" x14ac:dyDescent="0.4">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15" x14ac:dyDescent="0.4">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15" x14ac:dyDescent="0.4">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15" x14ac:dyDescent="0.4">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15" x14ac:dyDescent="0.4">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15" x14ac:dyDescent="0.4">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15" x14ac:dyDescent="0.4">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15" x14ac:dyDescent="0.4">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15" x14ac:dyDescent="0.4">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15" x14ac:dyDescent="0.4">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15" x14ac:dyDescent="0.4">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15" x14ac:dyDescent="0.4">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15" x14ac:dyDescent="0.4">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15" x14ac:dyDescent="0.4">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15" x14ac:dyDescent="0.4">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15" x14ac:dyDescent="0.4">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15" x14ac:dyDescent="0.4">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15" x14ac:dyDescent="0.4">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15" x14ac:dyDescent="0.4">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15" x14ac:dyDescent="0.4">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15" x14ac:dyDescent="0.4">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15" x14ac:dyDescent="0.4">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15" x14ac:dyDescent="0.4">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15" x14ac:dyDescent="0.4">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15" x14ac:dyDescent="0.4">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15" x14ac:dyDescent="0.4">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15" x14ac:dyDescent="0.4">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15" x14ac:dyDescent="0.4">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15" x14ac:dyDescent="0.4">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15" x14ac:dyDescent="0.4">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15" x14ac:dyDescent="0.4">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15" x14ac:dyDescent="0.4">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15" x14ac:dyDescent="0.4">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15" x14ac:dyDescent="0.4">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15" x14ac:dyDescent="0.4">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15" x14ac:dyDescent="0.4">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15" x14ac:dyDescent="0.4">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15" x14ac:dyDescent="0.4">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15" x14ac:dyDescent="0.4">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15" x14ac:dyDescent="0.4">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15" x14ac:dyDescent="0.4">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15" x14ac:dyDescent="0.4">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15" x14ac:dyDescent="0.4">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15" x14ac:dyDescent="0.4">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15" x14ac:dyDescent="0.4">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15" x14ac:dyDescent="0.4">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15" x14ac:dyDescent="0.4">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15" x14ac:dyDescent="0.4">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15" x14ac:dyDescent="0.4">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15" x14ac:dyDescent="0.4">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15" x14ac:dyDescent="0.4">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15" x14ac:dyDescent="0.4">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15" x14ac:dyDescent="0.4">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15" x14ac:dyDescent="0.4">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15" x14ac:dyDescent="0.4">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15" x14ac:dyDescent="0.4">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15" x14ac:dyDescent="0.4">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15" x14ac:dyDescent="0.4">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15" x14ac:dyDescent="0.4">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15" x14ac:dyDescent="0.4">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15" x14ac:dyDescent="0.4">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15" x14ac:dyDescent="0.4">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15" x14ac:dyDescent="0.4">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15" x14ac:dyDescent="0.4">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15" x14ac:dyDescent="0.4">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15" x14ac:dyDescent="0.4">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15" x14ac:dyDescent="0.4">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15" x14ac:dyDescent="0.4">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15" x14ac:dyDescent="0.4">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15" x14ac:dyDescent="0.4">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15" x14ac:dyDescent="0.4">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15" x14ac:dyDescent="0.4">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15" x14ac:dyDescent="0.4">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15" x14ac:dyDescent="0.4">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15" x14ac:dyDescent="0.4">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15" x14ac:dyDescent="0.4">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15" x14ac:dyDescent="0.4">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15" x14ac:dyDescent="0.4">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15" x14ac:dyDescent="0.4">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15" x14ac:dyDescent="0.4">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15" x14ac:dyDescent="0.4">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15" x14ac:dyDescent="0.4">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15" x14ac:dyDescent="0.4">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15" x14ac:dyDescent="0.4">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15" x14ac:dyDescent="0.4">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15" x14ac:dyDescent="0.4">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15" x14ac:dyDescent="0.4">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15" x14ac:dyDescent="0.4">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15" x14ac:dyDescent="0.4">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15" x14ac:dyDescent="0.4">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15" x14ac:dyDescent="0.4">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15" x14ac:dyDescent="0.4">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15" x14ac:dyDescent="0.4">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15" x14ac:dyDescent="0.4">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15" x14ac:dyDescent="0.4">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15" x14ac:dyDescent="0.4">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15" x14ac:dyDescent="0.4">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15" x14ac:dyDescent="0.4">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15" x14ac:dyDescent="0.4">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15" x14ac:dyDescent="0.4">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15" x14ac:dyDescent="0.4">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15" x14ac:dyDescent="0.4">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15" x14ac:dyDescent="0.4">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15" x14ac:dyDescent="0.4">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15" x14ac:dyDescent="0.4">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15" x14ac:dyDescent="0.4">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15" x14ac:dyDescent="0.4">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15" x14ac:dyDescent="0.4">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15" x14ac:dyDescent="0.4">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15" x14ac:dyDescent="0.4">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15" x14ac:dyDescent="0.4">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15" x14ac:dyDescent="0.4">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15" x14ac:dyDescent="0.4">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15" x14ac:dyDescent="0.4">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15" x14ac:dyDescent="0.4">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15" x14ac:dyDescent="0.4">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15" x14ac:dyDescent="0.4">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15" x14ac:dyDescent="0.4">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15" x14ac:dyDescent="0.4">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15" x14ac:dyDescent="0.4">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15" x14ac:dyDescent="0.4">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15" x14ac:dyDescent="0.4">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15" x14ac:dyDescent="0.4">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15" x14ac:dyDescent="0.4">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15" x14ac:dyDescent="0.4">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15" x14ac:dyDescent="0.4">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15" x14ac:dyDescent="0.4">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15" x14ac:dyDescent="0.4">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15" x14ac:dyDescent="0.4">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15" x14ac:dyDescent="0.4">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15" x14ac:dyDescent="0.4">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15" x14ac:dyDescent="0.4">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15" x14ac:dyDescent="0.4">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15" x14ac:dyDescent="0.4">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15" x14ac:dyDescent="0.4">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15" x14ac:dyDescent="0.4">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15" x14ac:dyDescent="0.4">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15" x14ac:dyDescent="0.4">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15" x14ac:dyDescent="0.4">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15" x14ac:dyDescent="0.4">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15" x14ac:dyDescent="0.4">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15" x14ac:dyDescent="0.4">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15" x14ac:dyDescent="0.4">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15" x14ac:dyDescent="0.4">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15" x14ac:dyDescent="0.4">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15" x14ac:dyDescent="0.4">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15" x14ac:dyDescent="0.4">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15" x14ac:dyDescent="0.4">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15" x14ac:dyDescent="0.4">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15" x14ac:dyDescent="0.4">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15" x14ac:dyDescent="0.4">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15" x14ac:dyDescent="0.4">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15" x14ac:dyDescent="0.4">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15" x14ac:dyDescent="0.4">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15" x14ac:dyDescent="0.4">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15" x14ac:dyDescent="0.4">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15" x14ac:dyDescent="0.4">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15" x14ac:dyDescent="0.4">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15" x14ac:dyDescent="0.4">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15" x14ac:dyDescent="0.4">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15" x14ac:dyDescent="0.4">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15" x14ac:dyDescent="0.4">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15" x14ac:dyDescent="0.4">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15" x14ac:dyDescent="0.4">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15" x14ac:dyDescent="0.4">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15" x14ac:dyDescent="0.4">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15" x14ac:dyDescent="0.4">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15" x14ac:dyDescent="0.4">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15" x14ac:dyDescent="0.4">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15" x14ac:dyDescent="0.4">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15" x14ac:dyDescent="0.4">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15" x14ac:dyDescent="0.4">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15" x14ac:dyDescent="0.4">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15" x14ac:dyDescent="0.4">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15" x14ac:dyDescent="0.4">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15" x14ac:dyDescent="0.4">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15" x14ac:dyDescent="0.4">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15" x14ac:dyDescent="0.4">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15" x14ac:dyDescent="0.4">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15" x14ac:dyDescent="0.4">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15" x14ac:dyDescent="0.4">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15" x14ac:dyDescent="0.4">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15" x14ac:dyDescent="0.4">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15" x14ac:dyDescent="0.4">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15" x14ac:dyDescent="0.4">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15" x14ac:dyDescent="0.4">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15" x14ac:dyDescent="0.4">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15" x14ac:dyDescent="0.4">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15" x14ac:dyDescent="0.4">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15" x14ac:dyDescent="0.4">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15" x14ac:dyDescent="0.4">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15" x14ac:dyDescent="0.4">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15" x14ac:dyDescent="0.4">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15" x14ac:dyDescent="0.4">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15" x14ac:dyDescent="0.4">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15" x14ac:dyDescent="0.4">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15" x14ac:dyDescent="0.4">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15" x14ac:dyDescent="0.4">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15" x14ac:dyDescent="0.4">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15" x14ac:dyDescent="0.4">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15" x14ac:dyDescent="0.4">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15" x14ac:dyDescent="0.4">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15" x14ac:dyDescent="0.4">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15" x14ac:dyDescent="0.4">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15" x14ac:dyDescent="0.4">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15" x14ac:dyDescent="0.4">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15" x14ac:dyDescent="0.4">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15" x14ac:dyDescent="0.4">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15" x14ac:dyDescent="0.4">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15" x14ac:dyDescent="0.4">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15" x14ac:dyDescent="0.4">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15" x14ac:dyDescent="0.4">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15" x14ac:dyDescent="0.4">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15" x14ac:dyDescent="0.4">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15" x14ac:dyDescent="0.4">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15" x14ac:dyDescent="0.4">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15" x14ac:dyDescent="0.4">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15" x14ac:dyDescent="0.4">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15" x14ac:dyDescent="0.4">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15" x14ac:dyDescent="0.4">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15" x14ac:dyDescent="0.4">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15" x14ac:dyDescent="0.4">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15" x14ac:dyDescent="0.4">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15" x14ac:dyDescent="0.4">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15" x14ac:dyDescent="0.4">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15" x14ac:dyDescent="0.4">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15" x14ac:dyDescent="0.4">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15" x14ac:dyDescent="0.4">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15" x14ac:dyDescent="0.4">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15" x14ac:dyDescent="0.4">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15" x14ac:dyDescent="0.4">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15" x14ac:dyDescent="0.4">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15" x14ac:dyDescent="0.4">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15" x14ac:dyDescent="0.4">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15" x14ac:dyDescent="0.4">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15" x14ac:dyDescent="0.4">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15" x14ac:dyDescent="0.4">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15" x14ac:dyDescent="0.4">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15" x14ac:dyDescent="0.4">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15" x14ac:dyDescent="0.4">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15" x14ac:dyDescent="0.4">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15" x14ac:dyDescent="0.4">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15" x14ac:dyDescent="0.4">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15" x14ac:dyDescent="0.4">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15" x14ac:dyDescent="0.4">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15" x14ac:dyDescent="0.4">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15" x14ac:dyDescent="0.4">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15" x14ac:dyDescent="0.4">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15" x14ac:dyDescent="0.4">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15" x14ac:dyDescent="0.4">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15" x14ac:dyDescent="0.4">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15" x14ac:dyDescent="0.4">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15" x14ac:dyDescent="0.4">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15" x14ac:dyDescent="0.4">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15" x14ac:dyDescent="0.4">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15" x14ac:dyDescent="0.4">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15" x14ac:dyDescent="0.4">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15" x14ac:dyDescent="0.4">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15" x14ac:dyDescent="0.4">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15" x14ac:dyDescent="0.4">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15" x14ac:dyDescent="0.4">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15" x14ac:dyDescent="0.4">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15" x14ac:dyDescent="0.4">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15" x14ac:dyDescent="0.4">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15" x14ac:dyDescent="0.4">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15" x14ac:dyDescent="0.4">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15" x14ac:dyDescent="0.4">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15" x14ac:dyDescent="0.4">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15" x14ac:dyDescent="0.4">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15" x14ac:dyDescent="0.4">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15" x14ac:dyDescent="0.4">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15" x14ac:dyDescent="0.4">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15" x14ac:dyDescent="0.4">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15" x14ac:dyDescent="0.4">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15" x14ac:dyDescent="0.4">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15" x14ac:dyDescent="0.4">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15" x14ac:dyDescent="0.4">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15" x14ac:dyDescent="0.4">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15" x14ac:dyDescent="0.4">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15" x14ac:dyDescent="0.4">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15" x14ac:dyDescent="0.4">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15" x14ac:dyDescent="0.4">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15" x14ac:dyDescent="0.4">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15" x14ac:dyDescent="0.4">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15" x14ac:dyDescent="0.4">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15" x14ac:dyDescent="0.4">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15" x14ac:dyDescent="0.4">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15" x14ac:dyDescent="0.4">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15" x14ac:dyDescent="0.4">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15" x14ac:dyDescent="0.4">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15" x14ac:dyDescent="0.4">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15" x14ac:dyDescent="0.4">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15" x14ac:dyDescent="0.4">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15" x14ac:dyDescent="0.4">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15" x14ac:dyDescent="0.4">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15" x14ac:dyDescent="0.4">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15" x14ac:dyDescent="0.4">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15" x14ac:dyDescent="0.4">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15" x14ac:dyDescent="0.4">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15" x14ac:dyDescent="0.4">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15" x14ac:dyDescent="0.4">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15" x14ac:dyDescent="0.4">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15" x14ac:dyDescent="0.4">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15" x14ac:dyDescent="0.4">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15" x14ac:dyDescent="0.4">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15" x14ac:dyDescent="0.4">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15" x14ac:dyDescent="0.4">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15" x14ac:dyDescent="0.4">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15" x14ac:dyDescent="0.4">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15" x14ac:dyDescent="0.4">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15" x14ac:dyDescent="0.4">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15" x14ac:dyDescent="0.4">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15" x14ac:dyDescent="0.4">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15" x14ac:dyDescent="0.4">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15" x14ac:dyDescent="0.4">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15" x14ac:dyDescent="0.4">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15" x14ac:dyDescent="0.4">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15" x14ac:dyDescent="0.4">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15" x14ac:dyDescent="0.4">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15" x14ac:dyDescent="0.4">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15" x14ac:dyDescent="0.4">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15" x14ac:dyDescent="0.4">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15" x14ac:dyDescent="0.4">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15" x14ac:dyDescent="0.4">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15" x14ac:dyDescent="0.4">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15" x14ac:dyDescent="0.4">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15" x14ac:dyDescent="0.4">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15" x14ac:dyDescent="0.4">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15" x14ac:dyDescent="0.4">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15" x14ac:dyDescent="0.4">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15" x14ac:dyDescent="0.4">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15" x14ac:dyDescent="0.4">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15" x14ac:dyDescent="0.4">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15" x14ac:dyDescent="0.4">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15" x14ac:dyDescent="0.4">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15" x14ac:dyDescent="0.4">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15" x14ac:dyDescent="0.4">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15" x14ac:dyDescent="0.4">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15" x14ac:dyDescent="0.4">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15" x14ac:dyDescent="0.4">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15" x14ac:dyDescent="0.4">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15" x14ac:dyDescent="0.4">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15" x14ac:dyDescent="0.4">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15" x14ac:dyDescent="0.4">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15" x14ac:dyDescent="0.4">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15" x14ac:dyDescent="0.4">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15" x14ac:dyDescent="0.4">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15" x14ac:dyDescent="0.4">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15" x14ac:dyDescent="0.4">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15" x14ac:dyDescent="0.4">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15" x14ac:dyDescent="0.4">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15" x14ac:dyDescent="0.4">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15" x14ac:dyDescent="0.4">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15" x14ac:dyDescent="0.4">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15" x14ac:dyDescent="0.4">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15" x14ac:dyDescent="0.4">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15" x14ac:dyDescent="0.4">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15" x14ac:dyDescent="0.4">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15" x14ac:dyDescent="0.4">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15" x14ac:dyDescent="0.4">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15" x14ac:dyDescent="0.4">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15" x14ac:dyDescent="0.4">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15" x14ac:dyDescent="0.4">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15" x14ac:dyDescent="0.4">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15" x14ac:dyDescent="0.4">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15" x14ac:dyDescent="0.4">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15" x14ac:dyDescent="0.4">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15" x14ac:dyDescent="0.4">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15" x14ac:dyDescent="0.4">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15" x14ac:dyDescent="0.4">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15" x14ac:dyDescent="0.4">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15" x14ac:dyDescent="0.4">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15" x14ac:dyDescent="0.4">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15" x14ac:dyDescent="0.4">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15" x14ac:dyDescent="0.4">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15" x14ac:dyDescent="0.4">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15" x14ac:dyDescent="0.4">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15" x14ac:dyDescent="0.4">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15" x14ac:dyDescent="0.4">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15" x14ac:dyDescent="0.4">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15" x14ac:dyDescent="0.4">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15" x14ac:dyDescent="0.4">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15" x14ac:dyDescent="0.4">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15" x14ac:dyDescent="0.4">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15" x14ac:dyDescent="0.4">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15" x14ac:dyDescent="0.4">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15" x14ac:dyDescent="0.4">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15" x14ac:dyDescent="0.4">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15" x14ac:dyDescent="0.4">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15" x14ac:dyDescent="0.4">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15" x14ac:dyDescent="0.4">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15" x14ac:dyDescent="0.4">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15" x14ac:dyDescent="0.4">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15" x14ac:dyDescent="0.4">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15" x14ac:dyDescent="0.4">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15" x14ac:dyDescent="0.4">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15" x14ac:dyDescent="0.4">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15" x14ac:dyDescent="0.4">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15" x14ac:dyDescent="0.4">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15" x14ac:dyDescent="0.4">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15" x14ac:dyDescent="0.4">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15" x14ac:dyDescent="0.4">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15" x14ac:dyDescent="0.4">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15" x14ac:dyDescent="0.4">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15" x14ac:dyDescent="0.4">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15" x14ac:dyDescent="0.4">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15" x14ac:dyDescent="0.4">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15" x14ac:dyDescent="0.4">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15" x14ac:dyDescent="0.4">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15" x14ac:dyDescent="0.4">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15" x14ac:dyDescent="0.4">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15" x14ac:dyDescent="0.4">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15" x14ac:dyDescent="0.4">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15" x14ac:dyDescent="0.4">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15" x14ac:dyDescent="0.4">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15" x14ac:dyDescent="0.4">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15" x14ac:dyDescent="0.4">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15" x14ac:dyDescent="0.4">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15" x14ac:dyDescent="0.4">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15" x14ac:dyDescent="0.4">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15" x14ac:dyDescent="0.4">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15" x14ac:dyDescent="0.4">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15" x14ac:dyDescent="0.4">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15" x14ac:dyDescent="0.4">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15" x14ac:dyDescent="0.4">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15" x14ac:dyDescent="0.4">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15" x14ac:dyDescent="0.4">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15" x14ac:dyDescent="0.4">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15" x14ac:dyDescent="0.4">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15" x14ac:dyDescent="0.4">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15" x14ac:dyDescent="0.4">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15" x14ac:dyDescent="0.4">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15" x14ac:dyDescent="0.4">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15" x14ac:dyDescent="0.4">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15" x14ac:dyDescent="0.4">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15" x14ac:dyDescent="0.4">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15" x14ac:dyDescent="0.4">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15" x14ac:dyDescent="0.4">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15" x14ac:dyDescent="0.4">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15" x14ac:dyDescent="0.4">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15" x14ac:dyDescent="0.4">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15" x14ac:dyDescent="0.4">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15" x14ac:dyDescent="0.4">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15" x14ac:dyDescent="0.4">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15" x14ac:dyDescent="0.4">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15" x14ac:dyDescent="0.4">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15" x14ac:dyDescent="0.4">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15" x14ac:dyDescent="0.4">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15" x14ac:dyDescent="0.4">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15" x14ac:dyDescent="0.4">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15" x14ac:dyDescent="0.4">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15" x14ac:dyDescent="0.4">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15" x14ac:dyDescent="0.4">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15" x14ac:dyDescent="0.4">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15" x14ac:dyDescent="0.4">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15" x14ac:dyDescent="0.4">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15" x14ac:dyDescent="0.4">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15" x14ac:dyDescent="0.4">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15" x14ac:dyDescent="0.4">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15" x14ac:dyDescent="0.4">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15" x14ac:dyDescent="0.4">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15" x14ac:dyDescent="0.4">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15" x14ac:dyDescent="0.4">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15" x14ac:dyDescent="0.4">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15" x14ac:dyDescent="0.4">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15" x14ac:dyDescent="0.4">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15" x14ac:dyDescent="0.4">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15" x14ac:dyDescent="0.4">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15" x14ac:dyDescent="0.4">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15" x14ac:dyDescent="0.4">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15" x14ac:dyDescent="0.4">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15" x14ac:dyDescent="0.4">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15" x14ac:dyDescent="0.4">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15" x14ac:dyDescent="0.4">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15" x14ac:dyDescent="0.4">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15" x14ac:dyDescent="0.4">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15" x14ac:dyDescent="0.4">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15" x14ac:dyDescent="0.4">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15" x14ac:dyDescent="0.4">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15" x14ac:dyDescent="0.4">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15" x14ac:dyDescent="0.4">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15" x14ac:dyDescent="0.4">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15" x14ac:dyDescent="0.4">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15" x14ac:dyDescent="0.4">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15" x14ac:dyDescent="0.4">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15" x14ac:dyDescent="0.4">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15" x14ac:dyDescent="0.4">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15" x14ac:dyDescent="0.4">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15" x14ac:dyDescent="0.4">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15" x14ac:dyDescent="0.4">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15" x14ac:dyDescent="0.4">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15" x14ac:dyDescent="0.4">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15" x14ac:dyDescent="0.4">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15" x14ac:dyDescent="0.4">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15" x14ac:dyDescent="0.4">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15" x14ac:dyDescent="0.4">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15" x14ac:dyDescent="0.4">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15" x14ac:dyDescent="0.4">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15" x14ac:dyDescent="0.4">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15" x14ac:dyDescent="0.4">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15" x14ac:dyDescent="0.4">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15" x14ac:dyDescent="0.4">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15" x14ac:dyDescent="0.4">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15" x14ac:dyDescent="0.4">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15" x14ac:dyDescent="0.4">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15" x14ac:dyDescent="0.4">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15" x14ac:dyDescent="0.4">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15" x14ac:dyDescent="0.4">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15" x14ac:dyDescent="0.4">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15" x14ac:dyDescent="0.4">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15" x14ac:dyDescent="0.4">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15" x14ac:dyDescent="0.4">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15" x14ac:dyDescent="0.4">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15" x14ac:dyDescent="0.4">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15" x14ac:dyDescent="0.4">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15" x14ac:dyDescent="0.4">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15" x14ac:dyDescent="0.4">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15" x14ac:dyDescent="0.4">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15" x14ac:dyDescent="0.4">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15" x14ac:dyDescent="0.4">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15" x14ac:dyDescent="0.4">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15" x14ac:dyDescent="0.4">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15" x14ac:dyDescent="0.4">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15" x14ac:dyDescent="0.4">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15" x14ac:dyDescent="0.4">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15" x14ac:dyDescent="0.4">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15" x14ac:dyDescent="0.4">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15" x14ac:dyDescent="0.4">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15" x14ac:dyDescent="0.4">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15" x14ac:dyDescent="0.4">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15" x14ac:dyDescent="0.4">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15" x14ac:dyDescent="0.4">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15" x14ac:dyDescent="0.4">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15" x14ac:dyDescent="0.4">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15" x14ac:dyDescent="0.4">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15" x14ac:dyDescent="0.4">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15" x14ac:dyDescent="0.4">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15" x14ac:dyDescent="0.4">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15" x14ac:dyDescent="0.4">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15" x14ac:dyDescent="0.4">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15" x14ac:dyDescent="0.4">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15" x14ac:dyDescent="0.4">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15" x14ac:dyDescent="0.4">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15" x14ac:dyDescent="0.4">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15" x14ac:dyDescent="0.4">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15" x14ac:dyDescent="0.4">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15" x14ac:dyDescent="0.4">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15" x14ac:dyDescent="0.4">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15" x14ac:dyDescent="0.4">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15" x14ac:dyDescent="0.4">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15" x14ac:dyDescent="0.4">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15" x14ac:dyDescent="0.4">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15" x14ac:dyDescent="0.4">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15" x14ac:dyDescent="0.4">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15" x14ac:dyDescent="0.4">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15" x14ac:dyDescent="0.4">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15" x14ac:dyDescent="0.4">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15" x14ac:dyDescent="0.4">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15" x14ac:dyDescent="0.4">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15" x14ac:dyDescent="0.4">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15" x14ac:dyDescent="0.4">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15" x14ac:dyDescent="0.4">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15" x14ac:dyDescent="0.4">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15" x14ac:dyDescent="0.4">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15" x14ac:dyDescent="0.4">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15" x14ac:dyDescent="0.4">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15" x14ac:dyDescent="0.4">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15" x14ac:dyDescent="0.4">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15" x14ac:dyDescent="0.4">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15" x14ac:dyDescent="0.4">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15" x14ac:dyDescent="0.4">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15" x14ac:dyDescent="0.4">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15" x14ac:dyDescent="0.4">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15" x14ac:dyDescent="0.4">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15" x14ac:dyDescent="0.4">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15" x14ac:dyDescent="0.4">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15" x14ac:dyDescent="0.4">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15" x14ac:dyDescent="0.4">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15" x14ac:dyDescent="0.4">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15" x14ac:dyDescent="0.4">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15" x14ac:dyDescent="0.4">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15" x14ac:dyDescent="0.4">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15" x14ac:dyDescent="0.4">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15" x14ac:dyDescent="0.4">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15" x14ac:dyDescent="0.4">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15" x14ac:dyDescent="0.4">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15" x14ac:dyDescent="0.4">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15" x14ac:dyDescent="0.4">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15" x14ac:dyDescent="0.4">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15" x14ac:dyDescent="0.4">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15" x14ac:dyDescent="0.4">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15" x14ac:dyDescent="0.4">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15" x14ac:dyDescent="0.4">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15" x14ac:dyDescent="0.4">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15" x14ac:dyDescent="0.4">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15" x14ac:dyDescent="0.4">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15" x14ac:dyDescent="0.4">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15" x14ac:dyDescent="0.4">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15" x14ac:dyDescent="0.4">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15" x14ac:dyDescent="0.4">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15" x14ac:dyDescent="0.4">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15" x14ac:dyDescent="0.4">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15" x14ac:dyDescent="0.4">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15" x14ac:dyDescent="0.4">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15" x14ac:dyDescent="0.4">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15" x14ac:dyDescent="0.4">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15" x14ac:dyDescent="0.4">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15" x14ac:dyDescent="0.4">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15" x14ac:dyDescent="0.4">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15" x14ac:dyDescent="0.4">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15" x14ac:dyDescent="0.4">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15" x14ac:dyDescent="0.4">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15" x14ac:dyDescent="0.4">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15" x14ac:dyDescent="0.4">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15" x14ac:dyDescent="0.4">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15" x14ac:dyDescent="0.4">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15" x14ac:dyDescent="0.4">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15" x14ac:dyDescent="0.4">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15" x14ac:dyDescent="0.4">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15" x14ac:dyDescent="0.4">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15" x14ac:dyDescent="0.4">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15" x14ac:dyDescent="0.4">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15" x14ac:dyDescent="0.4">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15" x14ac:dyDescent="0.4">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15" x14ac:dyDescent="0.4">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15" x14ac:dyDescent="0.4">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15" x14ac:dyDescent="0.4">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15" x14ac:dyDescent="0.4">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15" x14ac:dyDescent="0.4">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15" x14ac:dyDescent="0.4">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15" x14ac:dyDescent="0.4">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15" x14ac:dyDescent="0.4">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15" x14ac:dyDescent="0.4">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15" x14ac:dyDescent="0.4">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15" x14ac:dyDescent="0.4">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15" x14ac:dyDescent="0.4">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15" x14ac:dyDescent="0.4">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15" x14ac:dyDescent="0.4">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15" x14ac:dyDescent="0.4">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15" x14ac:dyDescent="0.4">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15" x14ac:dyDescent="0.4">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15" x14ac:dyDescent="0.4">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15" x14ac:dyDescent="0.4">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15" x14ac:dyDescent="0.4">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15" x14ac:dyDescent="0.4">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15" x14ac:dyDescent="0.4">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15" x14ac:dyDescent="0.4">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15" x14ac:dyDescent="0.4">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15" x14ac:dyDescent="0.4">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15" x14ac:dyDescent="0.4">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15" x14ac:dyDescent="0.4">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15" x14ac:dyDescent="0.4">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15" x14ac:dyDescent="0.4">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15" x14ac:dyDescent="0.4">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15" x14ac:dyDescent="0.4">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15" x14ac:dyDescent="0.4">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15" x14ac:dyDescent="0.4">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15" x14ac:dyDescent="0.4">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15" x14ac:dyDescent="0.4">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15" x14ac:dyDescent="0.4">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15" x14ac:dyDescent="0.4">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15" x14ac:dyDescent="0.4">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15" x14ac:dyDescent="0.4">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15" x14ac:dyDescent="0.4">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15" x14ac:dyDescent="0.4">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15" x14ac:dyDescent="0.4">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15" x14ac:dyDescent="0.4">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15" x14ac:dyDescent="0.4">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15" x14ac:dyDescent="0.4">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15" x14ac:dyDescent="0.4">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15" x14ac:dyDescent="0.4">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15" x14ac:dyDescent="0.4">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15" x14ac:dyDescent="0.4">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15" x14ac:dyDescent="0.4">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15" x14ac:dyDescent="0.4">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15" x14ac:dyDescent="0.4">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15" x14ac:dyDescent="0.4">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15" x14ac:dyDescent="0.4">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15" x14ac:dyDescent="0.4">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15" x14ac:dyDescent="0.4">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15" x14ac:dyDescent="0.4">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15" x14ac:dyDescent="0.4">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15" x14ac:dyDescent="0.4">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15" x14ac:dyDescent="0.4">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15" x14ac:dyDescent="0.4">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15" x14ac:dyDescent="0.4">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15" x14ac:dyDescent="0.4">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15" x14ac:dyDescent="0.4">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15" x14ac:dyDescent="0.4">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15" x14ac:dyDescent="0.4">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15" x14ac:dyDescent="0.4">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15" x14ac:dyDescent="0.4">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15" x14ac:dyDescent="0.4">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15" x14ac:dyDescent="0.4">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15" x14ac:dyDescent="0.4">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15" x14ac:dyDescent="0.4">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15" x14ac:dyDescent="0.4">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15" x14ac:dyDescent="0.4">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15" x14ac:dyDescent="0.4">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15" x14ac:dyDescent="0.4">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15" x14ac:dyDescent="0.4">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15" x14ac:dyDescent="0.4">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15" x14ac:dyDescent="0.4">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15" x14ac:dyDescent="0.4">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15" x14ac:dyDescent="0.4">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15" x14ac:dyDescent="0.4">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15" x14ac:dyDescent="0.4">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15" x14ac:dyDescent="0.4">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15" x14ac:dyDescent="0.4">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15" x14ac:dyDescent="0.4">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15" x14ac:dyDescent="0.4">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15" x14ac:dyDescent="0.4">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15" x14ac:dyDescent="0.4">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15" x14ac:dyDescent="0.4">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15" x14ac:dyDescent="0.4">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15" x14ac:dyDescent="0.4">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15" x14ac:dyDescent="0.4">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15" x14ac:dyDescent="0.4">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15" x14ac:dyDescent="0.4">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15" x14ac:dyDescent="0.4">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15" x14ac:dyDescent="0.4">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15" x14ac:dyDescent="0.4">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15" x14ac:dyDescent="0.4">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15" x14ac:dyDescent="0.4">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15" x14ac:dyDescent="0.4">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15" x14ac:dyDescent="0.4">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15" x14ac:dyDescent="0.4">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15" x14ac:dyDescent="0.4">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15" x14ac:dyDescent="0.4">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15" x14ac:dyDescent="0.4">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15" x14ac:dyDescent="0.4">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15" x14ac:dyDescent="0.4">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15" x14ac:dyDescent="0.4">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15" x14ac:dyDescent="0.4">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15" x14ac:dyDescent="0.4">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15" x14ac:dyDescent="0.4">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15" x14ac:dyDescent="0.4">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15" x14ac:dyDescent="0.4">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15" x14ac:dyDescent="0.4">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15" x14ac:dyDescent="0.4">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15" x14ac:dyDescent="0.4">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15" x14ac:dyDescent="0.4">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15" x14ac:dyDescent="0.4">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15" x14ac:dyDescent="0.4">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15" x14ac:dyDescent="0.4">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15" x14ac:dyDescent="0.4">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15" x14ac:dyDescent="0.4">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15" x14ac:dyDescent="0.4">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15" x14ac:dyDescent="0.4">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15" x14ac:dyDescent="0.4">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15" x14ac:dyDescent="0.4">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15" x14ac:dyDescent="0.4">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15" x14ac:dyDescent="0.4">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15" x14ac:dyDescent="0.4">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15" x14ac:dyDescent="0.4">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15" x14ac:dyDescent="0.4">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15" x14ac:dyDescent="0.4">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15" x14ac:dyDescent="0.4">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15" x14ac:dyDescent="0.4">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15" x14ac:dyDescent="0.4">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15" x14ac:dyDescent="0.4">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15" x14ac:dyDescent="0.4">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15" x14ac:dyDescent="0.4">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15" x14ac:dyDescent="0.4">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15" x14ac:dyDescent="0.4">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15" x14ac:dyDescent="0.4">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15" x14ac:dyDescent="0.4">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15" x14ac:dyDescent="0.4">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15" x14ac:dyDescent="0.4">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15" x14ac:dyDescent="0.4">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15" x14ac:dyDescent="0.4">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15" x14ac:dyDescent="0.4">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15" x14ac:dyDescent="0.4">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15" x14ac:dyDescent="0.4">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15" x14ac:dyDescent="0.4">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15" x14ac:dyDescent="0.4">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15" x14ac:dyDescent="0.4">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15" x14ac:dyDescent="0.4">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15" x14ac:dyDescent="0.4">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15" x14ac:dyDescent="0.4">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15" x14ac:dyDescent="0.4">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15" x14ac:dyDescent="0.4">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15" x14ac:dyDescent="0.4">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15" x14ac:dyDescent="0.4">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15" x14ac:dyDescent="0.4">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15" x14ac:dyDescent="0.4">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15" x14ac:dyDescent="0.4">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15" x14ac:dyDescent="0.4">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15" x14ac:dyDescent="0.4">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15" x14ac:dyDescent="0.4">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15" x14ac:dyDescent="0.4">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15" x14ac:dyDescent="0.4">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15" x14ac:dyDescent="0.4">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15" x14ac:dyDescent="0.4">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15" x14ac:dyDescent="0.4">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15" x14ac:dyDescent="0.4">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15" x14ac:dyDescent="0.4">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15" x14ac:dyDescent="0.4">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15" x14ac:dyDescent="0.4">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15" x14ac:dyDescent="0.4">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15" x14ac:dyDescent="0.4">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15" x14ac:dyDescent="0.4">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15" x14ac:dyDescent="0.4">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15" x14ac:dyDescent="0.4">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15" x14ac:dyDescent="0.4">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15" x14ac:dyDescent="0.4">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15" x14ac:dyDescent="0.4">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15" x14ac:dyDescent="0.4">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15" x14ac:dyDescent="0.4">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15" x14ac:dyDescent="0.4">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15" x14ac:dyDescent="0.4">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15" x14ac:dyDescent="0.4">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15" x14ac:dyDescent="0.4">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15" x14ac:dyDescent="0.4">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15" x14ac:dyDescent="0.4">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15" x14ac:dyDescent="0.4">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15" x14ac:dyDescent="0.4">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15" x14ac:dyDescent="0.4">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15" x14ac:dyDescent="0.4">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15" x14ac:dyDescent="0.4">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15" x14ac:dyDescent="0.4">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15" x14ac:dyDescent="0.4">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15" x14ac:dyDescent="0.4">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15" x14ac:dyDescent="0.4">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15" x14ac:dyDescent="0.4">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15" x14ac:dyDescent="0.4">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15" x14ac:dyDescent="0.4">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15" x14ac:dyDescent="0.4">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15" x14ac:dyDescent="0.4">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15" x14ac:dyDescent="0.4">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15" x14ac:dyDescent="0.4">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15" x14ac:dyDescent="0.4">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15" x14ac:dyDescent="0.4">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15" x14ac:dyDescent="0.4">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15" x14ac:dyDescent="0.4">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15" x14ac:dyDescent="0.4">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15" x14ac:dyDescent="0.4">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15" x14ac:dyDescent="0.4">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15" x14ac:dyDescent="0.4">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15" x14ac:dyDescent="0.4">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15" x14ac:dyDescent="0.4">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15" x14ac:dyDescent="0.4">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15" x14ac:dyDescent="0.4">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15" x14ac:dyDescent="0.4">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15" x14ac:dyDescent="0.4">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15" x14ac:dyDescent="0.4">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15" x14ac:dyDescent="0.4">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15" x14ac:dyDescent="0.4">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15" x14ac:dyDescent="0.4">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15" x14ac:dyDescent="0.4">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15" x14ac:dyDescent="0.4">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15" x14ac:dyDescent="0.4">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15" x14ac:dyDescent="0.4">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15" x14ac:dyDescent="0.4">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15" x14ac:dyDescent="0.4">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15" x14ac:dyDescent="0.4">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15" x14ac:dyDescent="0.4">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15" x14ac:dyDescent="0.4">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15" x14ac:dyDescent="0.4">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15" x14ac:dyDescent="0.4">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15" x14ac:dyDescent="0.4">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15" x14ac:dyDescent="0.4">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15" x14ac:dyDescent="0.4">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15" x14ac:dyDescent="0.4">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15" x14ac:dyDescent="0.4">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15" x14ac:dyDescent="0.4">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15" x14ac:dyDescent="0.4">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15" x14ac:dyDescent="0.4">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15" x14ac:dyDescent="0.4">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15" x14ac:dyDescent="0.4">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15" x14ac:dyDescent="0.4">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15" x14ac:dyDescent="0.4">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15" x14ac:dyDescent="0.4">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15" x14ac:dyDescent="0.4">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15" x14ac:dyDescent="0.4">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15" x14ac:dyDescent="0.4">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15" x14ac:dyDescent="0.4">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15" x14ac:dyDescent="0.4">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15" x14ac:dyDescent="0.4">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15" x14ac:dyDescent="0.4">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15" x14ac:dyDescent="0.4">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15" x14ac:dyDescent="0.4">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15" x14ac:dyDescent="0.4">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15" x14ac:dyDescent="0.4">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15" x14ac:dyDescent="0.4">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15" x14ac:dyDescent="0.4">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15" x14ac:dyDescent="0.4">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15" x14ac:dyDescent="0.4">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15" x14ac:dyDescent="0.4">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15" x14ac:dyDescent="0.4">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15" x14ac:dyDescent="0.4">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15" x14ac:dyDescent="0.4">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15" x14ac:dyDescent="0.4">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15" x14ac:dyDescent="0.4">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15" x14ac:dyDescent="0.4">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15" x14ac:dyDescent="0.4">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15" x14ac:dyDescent="0.4">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15" x14ac:dyDescent="0.4">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15" x14ac:dyDescent="0.4">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15" x14ac:dyDescent="0.4">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15" x14ac:dyDescent="0.4">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15" x14ac:dyDescent="0.4">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15" x14ac:dyDescent="0.4">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15" x14ac:dyDescent="0.4">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15" x14ac:dyDescent="0.4">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15" x14ac:dyDescent="0.4">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15" x14ac:dyDescent="0.4">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15" x14ac:dyDescent="0.4">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15" x14ac:dyDescent="0.4">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15" x14ac:dyDescent="0.4">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15" x14ac:dyDescent="0.4">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15" x14ac:dyDescent="0.4">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15" x14ac:dyDescent="0.4">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15" x14ac:dyDescent="0.4">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15" x14ac:dyDescent="0.4">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15" x14ac:dyDescent="0.4">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15" x14ac:dyDescent="0.4">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15" x14ac:dyDescent="0.4">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15" x14ac:dyDescent="0.4">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15" x14ac:dyDescent="0.4">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15" x14ac:dyDescent="0.4">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15" x14ac:dyDescent="0.4">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15" x14ac:dyDescent="0.4">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15" x14ac:dyDescent="0.4">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15" x14ac:dyDescent="0.4">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15" x14ac:dyDescent="0.4">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15" x14ac:dyDescent="0.4">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15" x14ac:dyDescent="0.4">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15" x14ac:dyDescent="0.4">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15" x14ac:dyDescent="0.4">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15" x14ac:dyDescent="0.4">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15" x14ac:dyDescent="0.4">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15" x14ac:dyDescent="0.4">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15" x14ac:dyDescent="0.4">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15" x14ac:dyDescent="0.4">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15" x14ac:dyDescent="0.4">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15" x14ac:dyDescent="0.4">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15" x14ac:dyDescent="0.4">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15" x14ac:dyDescent="0.4">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15" x14ac:dyDescent="0.4">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15" x14ac:dyDescent="0.4">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15" x14ac:dyDescent="0.4">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15" x14ac:dyDescent="0.4">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15" x14ac:dyDescent="0.4">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15" x14ac:dyDescent="0.4">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15" x14ac:dyDescent="0.4">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15" x14ac:dyDescent="0.4">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15" x14ac:dyDescent="0.4">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15" x14ac:dyDescent="0.4">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15" x14ac:dyDescent="0.4">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15" x14ac:dyDescent="0.4">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15" x14ac:dyDescent="0.4">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15" x14ac:dyDescent="0.4">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15" x14ac:dyDescent="0.4">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15" x14ac:dyDescent="0.4">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15" x14ac:dyDescent="0.4">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15" x14ac:dyDescent="0.4">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15" x14ac:dyDescent="0.4">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15" x14ac:dyDescent="0.4">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15" x14ac:dyDescent="0.4">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15" x14ac:dyDescent="0.4">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15" x14ac:dyDescent="0.4">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15" x14ac:dyDescent="0.4">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15" x14ac:dyDescent="0.4">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15" x14ac:dyDescent="0.4">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15" x14ac:dyDescent="0.4">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15" x14ac:dyDescent="0.4">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15" x14ac:dyDescent="0.4">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15" x14ac:dyDescent="0.4">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15" x14ac:dyDescent="0.4">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15" x14ac:dyDescent="0.4">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15" x14ac:dyDescent="0.4">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15" x14ac:dyDescent="0.4">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15" x14ac:dyDescent="0.4">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15" x14ac:dyDescent="0.4">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15" x14ac:dyDescent="0.4">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15" x14ac:dyDescent="0.4">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15" x14ac:dyDescent="0.4">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15" x14ac:dyDescent="0.4">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15" x14ac:dyDescent="0.4">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15" x14ac:dyDescent="0.4">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15" x14ac:dyDescent="0.4">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15" x14ac:dyDescent="0.4">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15" x14ac:dyDescent="0.4">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15" x14ac:dyDescent="0.4">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15" x14ac:dyDescent="0.4">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15" x14ac:dyDescent="0.4">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15" x14ac:dyDescent="0.4">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15" x14ac:dyDescent="0.4">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15" x14ac:dyDescent="0.4">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15" x14ac:dyDescent="0.4">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15" x14ac:dyDescent="0.4">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15" x14ac:dyDescent="0.4">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15" x14ac:dyDescent="0.4">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15" x14ac:dyDescent="0.4">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15" x14ac:dyDescent="0.4">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15" x14ac:dyDescent="0.4">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15" x14ac:dyDescent="0.4">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15" x14ac:dyDescent="0.4">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15" x14ac:dyDescent="0.4">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15" x14ac:dyDescent="0.4">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15" x14ac:dyDescent="0.4">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15" x14ac:dyDescent="0.4">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15" x14ac:dyDescent="0.4">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15" x14ac:dyDescent="0.4">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15" x14ac:dyDescent="0.4">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15" x14ac:dyDescent="0.4">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15" x14ac:dyDescent="0.4">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15" x14ac:dyDescent="0.4">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15" x14ac:dyDescent="0.4">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15" x14ac:dyDescent="0.4">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15" x14ac:dyDescent="0.4">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15" x14ac:dyDescent="0.4">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15" x14ac:dyDescent="0.4">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15" x14ac:dyDescent="0.4">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15" x14ac:dyDescent="0.4">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15" x14ac:dyDescent="0.4">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15" x14ac:dyDescent="0.4">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15" x14ac:dyDescent="0.4">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15" x14ac:dyDescent="0.4">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15" x14ac:dyDescent="0.4">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15" x14ac:dyDescent="0.4">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15" x14ac:dyDescent="0.4">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15" x14ac:dyDescent="0.4">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15" x14ac:dyDescent="0.4">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15" x14ac:dyDescent="0.4">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15" x14ac:dyDescent="0.4">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15" x14ac:dyDescent="0.4">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15" x14ac:dyDescent="0.4">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15" x14ac:dyDescent="0.4">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15" x14ac:dyDescent="0.4">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15" x14ac:dyDescent="0.4">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15" x14ac:dyDescent="0.4">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15" x14ac:dyDescent="0.4">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15" x14ac:dyDescent="0.4">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15" x14ac:dyDescent="0.4">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15" x14ac:dyDescent="0.4">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15" x14ac:dyDescent="0.4">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15" x14ac:dyDescent="0.4">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15" x14ac:dyDescent="0.4">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15" x14ac:dyDescent="0.4">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15" x14ac:dyDescent="0.4">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15" x14ac:dyDescent="0.4">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15" x14ac:dyDescent="0.4">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15" x14ac:dyDescent="0.4">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15" x14ac:dyDescent="0.4">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15" x14ac:dyDescent="0.4">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15" x14ac:dyDescent="0.4">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15" x14ac:dyDescent="0.4">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15" x14ac:dyDescent="0.4">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15" x14ac:dyDescent="0.4">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15" x14ac:dyDescent="0.4">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15" x14ac:dyDescent="0.4">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15" x14ac:dyDescent="0.4">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15" x14ac:dyDescent="0.4">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15" x14ac:dyDescent="0.4">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15" x14ac:dyDescent="0.4">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15" x14ac:dyDescent="0.4">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15" x14ac:dyDescent="0.4">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15" x14ac:dyDescent="0.4">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15" x14ac:dyDescent="0.4">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15" x14ac:dyDescent="0.4">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15" x14ac:dyDescent="0.4">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15" x14ac:dyDescent="0.4">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15" x14ac:dyDescent="0.4">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15" x14ac:dyDescent="0.4">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15" x14ac:dyDescent="0.4">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15" x14ac:dyDescent="0.4">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15" x14ac:dyDescent="0.4">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15" x14ac:dyDescent="0.4">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15" x14ac:dyDescent="0.4">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15" x14ac:dyDescent="0.4">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15" x14ac:dyDescent="0.4">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15" x14ac:dyDescent="0.4">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15" x14ac:dyDescent="0.4">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15" x14ac:dyDescent="0.4">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15" x14ac:dyDescent="0.4">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15" x14ac:dyDescent="0.4">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15" x14ac:dyDescent="0.4">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15" x14ac:dyDescent="0.4">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15" x14ac:dyDescent="0.4">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15" x14ac:dyDescent="0.4">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15" x14ac:dyDescent="0.4">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15" x14ac:dyDescent="0.4">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15" x14ac:dyDescent="0.4">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15" x14ac:dyDescent="0.4">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15" x14ac:dyDescent="0.4">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15" x14ac:dyDescent="0.4">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15" x14ac:dyDescent="0.4">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15" x14ac:dyDescent="0.4">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15" x14ac:dyDescent="0.4">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15" x14ac:dyDescent="0.4">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15" x14ac:dyDescent="0.4">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15" x14ac:dyDescent="0.4">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15" x14ac:dyDescent="0.4">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15" x14ac:dyDescent="0.4">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15" x14ac:dyDescent="0.4">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15" x14ac:dyDescent="0.4">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15" x14ac:dyDescent="0.4">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15" x14ac:dyDescent="0.4">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15" x14ac:dyDescent="0.4">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15" x14ac:dyDescent="0.4">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15" x14ac:dyDescent="0.4">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15" x14ac:dyDescent="0.4">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15" x14ac:dyDescent="0.4">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15" x14ac:dyDescent="0.4">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15" x14ac:dyDescent="0.4">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15" x14ac:dyDescent="0.4">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15" x14ac:dyDescent="0.4">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15" x14ac:dyDescent="0.4">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15" x14ac:dyDescent="0.4">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15" x14ac:dyDescent="0.4">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15" x14ac:dyDescent="0.4">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15" x14ac:dyDescent="0.4">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15" x14ac:dyDescent="0.4">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15" x14ac:dyDescent="0.4">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15" x14ac:dyDescent="0.4">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15" x14ac:dyDescent="0.4">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15" x14ac:dyDescent="0.4">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15" x14ac:dyDescent="0.4">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15" x14ac:dyDescent="0.4">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15" x14ac:dyDescent="0.4">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15" x14ac:dyDescent="0.4">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15" x14ac:dyDescent="0.4">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15" x14ac:dyDescent="0.4">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15" x14ac:dyDescent="0.4">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15" x14ac:dyDescent="0.4">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15" x14ac:dyDescent="0.4">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15" x14ac:dyDescent="0.4">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15" x14ac:dyDescent="0.4">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15" x14ac:dyDescent="0.4">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15" x14ac:dyDescent="0.4">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15" x14ac:dyDescent="0.4">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15" x14ac:dyDescent="0.4">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15" x14ac:dyDescent="0.4">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15" x14ac:dyDescent="0.4">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15" x14ac:dyDescent="0.4">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15" x14ac:dyDescent="0.4">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15" x14ac:dyDescent="0.4">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15" x14ac:dyDescent="0.4">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15" x14ac:dyDescent="0.4">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15" x14ac:dyDescent="0.4">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15" x14ac:dyDescent="0.4">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15" x14ac:dyDescent="0.4">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15" x14ac:dyDescent="0.4">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15" x14ac:dyDescent="0.4">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15" x14ac:dyDescent="0.4">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15" x14ac:dyDescent="0.4">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15" x14ac:dyDescent="0.4">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15" x14ac:dyDescent="0.4">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15" x14ac:dyDescent="0.4">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15" x14ac:dyDescent="0.4">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15" x14ac:dyDescent="0.4">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15" x14ac:dyDescent="0.4">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15" x14ac:dyDescent="0.4">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15" x14ac:dyDescent="0.4">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15" x14ac:dyDescent="0.4">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15" x14ac:dyDescent="0.4">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15" x14ac:dyDescent="0.4">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15" x14ac:dyDescent="0.4">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15" x14ac:dyDescent="0.4">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15" x14ac:dyDescent="0.4">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15" x14ac:dyDescent="0.4">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15" x14ac:dyDescent="0.4">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15" x14ac:dyDescent="0.4">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15" x14ac:dyDescent="0.4">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15" x14ac:dyDescent="0.4">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15" x14ac:dyDescent="0.4">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15" x14ac:dyDescent="0.4">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15" x14ac:dyDescent="0.4">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15" x14ac:dyDescent="0.4">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15" x14ac:dyDescent="0.4">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15" x14ac:dyDescent="0.4">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15" x14ac:dyDescent="0.4">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15" x14ac:dyDescent="0.4">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15" x14ac:dyDescent="0.4">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15" x14ac:dyDescent="0.4">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15" x14ac:dyDescent="0.4">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15" x14ac:dyDescent="0.4">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15" x14ac:dyDescent="0.4">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15" x14ac:dyDescent="0.4">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15" x14ac:dyDescent="0.4">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15" x14ac:dyDescent="0.4">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15" x14ac:dyDescent="0.4">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15" x14ac:dyDescent="0.4">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15" x14ac:dyDescent="0.4">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15" x14ac:dyDescent="0.4">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15" x14ac:dyDescent="0.4">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15" x14ac:dyDescent="0.4">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15" x14ac:dyDescent="0.4">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15" x14ac:dyDescent="0.4">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15" x14ac:dyDescent="0.4">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15" x14ac:dyDescent="0.4">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15" x14ac:dyDescent="0.4">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15" x14ac:dyDescent="0.4">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15" x14ac:dyDescent="0.4">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15" x14ac:dyDescent="0.4">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15" x14ac:dyDescent="0.4">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15" x14ac:dyDescent="0.4">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15" x14ac:dyDescent="0.4">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15" x14ac:dyDescent="0.4">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15" x14ac:dyDescent="0.4">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15" x14ac:dyDescent="0.4">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15" x14ac:dyDescent="0.4">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15" x14ac:dyDescent="0.4">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15" x14ac:dyDescent="0.4">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15" x14ac:dyDescent="0.4">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15" x14ac:dyDescent="0.4">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15" x14ac:dyDescent="0.4">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15" x14ac:dyDescent="0.4">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15" x14ac:dyDescent="0.4">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15" x14ac:dyDescent="0.4">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15" x14ac:dyDescent="0.4">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15" x14ac:dyDescent="0.4">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15" x14ac:dyDescent="0.4">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15" x14ac:dyDescent="0.4">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15" x14ac:dyDescent="0.4">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15" x14ac:dyDescent="0.4">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15" x14ac:dyDescent="0.4">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15" x14ac:dyDescent="0.4">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15" x14ac:dyDescent="0.4">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15" x14ac:dyDescent="0.4">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15" x14ac:dyDescent="0.4">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15" x14ac:dyDescent="0.4">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15" x14ac:dyDescent="0.4">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15" x14ac:dyDescent="0.4">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15" x14ac:dyDescent="0.4">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15" x14ac:dyDescent="0.4">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15" x14ac:dyDescent="0.4">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15" x14ac:dyDescent="0.4">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15" x14ac:dyDescent="0.4">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15" x14ac:dyDescent="0.4">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15" x14ac:dyDescent="0.4">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15" x14ac:dyDescent="0.4">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15" x14ac:dyDescent="0.4">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15" x14ac:dyDescent="0.4">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15" x14ac:dyDescent="0.4">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15" x14ac:dyDescent="0.4">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15" x14ac:dyDescent="0.4">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15" x14ac:dyDescent="0.4">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15" x14ac:dyDescent="0.4">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15" x14ac:dyDescent="0.4">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15" x14ac:dyDescent="0.4">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15" x14ac:dyDescent="0.4">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15" x14ac:dyDescent="0.4">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15" x14ac:dyDescent="0.4">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15" x14ac:dyDescent="0.4">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15" x14ac:dyDescent="0.4">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15" x14ac:dyDescent="0.4">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15" x14ac:dyDescent="0.4">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15" x14ac:dyDescent="0.4">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15" x14ac:dyDescent="0.4">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15" x14ac:dyDescent="0.4">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15" x14ac:dyDescent="0.4">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15" x14ac:dyDescent="0.4">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15" x14ac:dyDescent="0.4">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15" x14ac:dyDescent="0.4">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15" x14ac:dyDescent="0.4">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15" x14ac:dyDescent="0.4">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15" x14ac:dyDescent="0.4">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15" x14ac:dyDescent="0.4">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15" x14ac:dyDescent="0.4">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15" x14ac:dyDescent="0.4">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15" x14ac:dyDescent="0.4">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15" x14ac:dyDescent="0.4">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15" x14ac:dyDescent="0.4">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15" x14ac:dyDescent="0.4">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15" x14ac:dyDescent="0.4">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15" x14ac:dyDescent="0.4">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15" x14ac:dyDescent="0.4">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15" x14ac:dyDescent="0.4">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15" x14ac:dyDescent="0.4">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15" x14ac:dyDescent="0.4">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15" x14ac:dyDescent="0.4">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15" x14ac:dyDescent="0.4">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15" x14ac:dyDescent="0.4">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15" x14ac:dyDescent="0.4">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15" x14ac:dyDescent="0.4">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15" x14ac:dyDescent="0.4">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15" x14ac:dyDescent="0.4">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15" x14ac:dyDescent="0.4">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15" x14ac:dyDescent="0.4">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15" x14ac:dyDescent="0.4">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15" x14ac:dyDescent="0.4">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15" x14ac:dyDescent="0.4">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15" x14ac:dyDescent="0.4">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15" x14ac:dyDescent="0.4">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15" x14ac:dyDescent="0.4">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15" x14ac:dyDescent="0.4">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15" x14ac:dyDescent="0.4">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15" x14ac:dyDescent="0.4">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15" x14ac:dyDescent="0.4">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15" x14ac:dyDescent="0.4">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15" x14ac:dyDescent="0.4">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15" x14ac:dyDescent="0.4">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15" x14ac:dyDescent="0.4">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15" x14ac:dyDescent="0.4">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15" x14ac:dyDescent="0.4">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15" x14ac:dyDescent="0.4">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15" x14ac:dyDescent="0.4">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15" x14ac:dyDescent="0.4">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15" x14ac:dyDescent="0.4">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15" x14ac:dyDescent="0.4">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15" x14ac:dyDescent="0.4">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15" x14ac:dyDescent="0.4">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15" x14ac:dyDescent="0.4">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15" x14ac:dyDescent="0.4">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15" x14ac:dyDescent="0.4">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15" x14ac:dyDescent="0.4">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15" x14ac:dyDescent="0.4">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15" x14ac:dyDescent="0.4">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15" x14ac:dyDescent="0.4">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15" x14ac:dyDescent="0.4">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15" x14ac:dyDescent="0.4">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15" x14ac:dyDescent="0.4">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15" x14ac:dyDescent="0.4">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15" x14ac:dyDescent="0.4">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15" x14ac:dyDescent="0.4">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15" x14ac:dyDescent="0.4">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15" x14ac:dyDescent="0.4">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15" x14ac:dyDescent="0.4">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15" x14ac:dyDescent="0.4">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15" x14ac:dyDescent="0.4">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15" x14ac:dyDescent="0.4">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15" x14ac:dyDescent="0.4">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15" x14ac:dyDescent="0.4">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15" x14ac:dyDescent="0.4">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15" x14ac:dyDescent="0.4">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15" x14ac:dyDescent="0.4">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15" x14ac:dyDescent="0.4">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15" x14ac:dyDescent="0.4">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15" x14ac:dyDescent="0.4">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15" x14ac:dyDescent="0.4">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15" x14ac:dyDescent="0.4">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15" x14ac:dyDescent="0.4">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15" x14ac:dyDescent="0.4">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15" x14ac:dyDescent="0.4">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15" x14ac:dyDescent="0.4">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15" x14ac:dyDescent="0.4">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15" x14ac:dyDescent="0.4">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15" x14ac:dyDescent="0.4">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15" x14ac:dyDescent="0.4">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15" x14ac:dyDescent="0.4">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15" x14ac:dyDescent="0.4">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15" x14ac:dyDescent="0.4">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15" x14ac:dyDescent="0.4">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15" x14ac:dyDescent="0.4">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15" x14ac:dyDescent="0.4">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15" x14ac:dyDescent="0.4">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15" x14ac:dyDescent="0.4">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15" x14ac:dyDescent="0.4">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15" x14ac:dyDescent="0.4">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15" x14ac:dyDescent="0.4">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15" x14ac:dyDescent="0.4">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15" x14ac:dyDescent="0.4">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15" x14ac:dyDescent="0.4">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15" x14ac:dyDescent="0.4">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15" x14ac:dyDescent="0.4">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15" x14ac:dyDescent="0.4">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15" x14ac:dyDescent="0.4">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15" x14ac:dyDescent="0.4">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15" x14ac:dyDescent="0.4">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15" x14ac:dyDescent="0.4">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15" x14ac:dyDescent="0.4">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15" x14ac:dyDescent="0.4">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15" x14ac:dyDescent="0.4">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15" x14ac:dyDescent="0.4">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15" x14ac:dyDescent="0.4">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15" x14ac:dyDescent="0.4">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15" x14ac:dyDescent="0.4">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15" x14ac:dyDescent="0.4">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15" x14ac:dyDescent="0.4">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15" x14ac:dyDescent="0.4">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15" x14ac:dyDescent="0.4">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15" x14ac:dyDescent="0.4">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15" x14ac:dyDescent="0.4">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15" x14ac:dyDescent="0.4">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15" x14ac:dyDescent="0.4">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15" x14ac:dyDescent="0.4">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15" x14ac:dyDescent="0.4">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15" x14ac:dyDescent="0.4">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15" x14ac:dyDescent="0.4">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15" x14ac:dyDescent="0.4">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15" x14ac:dyDescent="0.4">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15" x14ac:dyDescent="0.4">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15" x14ac:dyDescent="0.4">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15" x14ac:dyDescent="0.4">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15" x14ac:dyDescent="0.4">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15" x14ac:dyDescent="0.4">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15" x14ac:dyDescent="0.4">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15" x14ac:dyDescent="0.4">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15" x14ac:dyDescent="0.4">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15" x14ac:dyDescent="0.4">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15" x14ac:dyDescent="0.4">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15" x14ac:dyDescent="0.4">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15" x14ac:dyDescent="0.4">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15" x14ac:dyDescent="0.4">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15" x14ac:dyDescent="0.4">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15" x14ac:dyDescent="0.4">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15" x14ac:dyDescent="0.4">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15" x14ac:dyDescent="0.4">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15" x14ac:dyDescent="0.4">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15" x14ac:dyDescent="0.4">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15" x14ac:dyDescent="0.4">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15" x14ac:dyDescent="0.4">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15" x14ac:dyDescent="0.4">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15" x14ac:dyDescent="0.4">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15" x14ac:dyDescent="0.4">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15" x14ac:dyDescent="0.4">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15" x14ac:dyDescent="0.4">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15" x14ac:dyDescent="0.4">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15" x14ac:dyDescent="0.4">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15" x14ac:dyDescent="0.4">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15" x14ac:dyDescent="0.4">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15" x14ac:dyDescent="0.4">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15" x14ac:dyDescent="0.4">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15" x14ac:dyDescent="0.4">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15" x14ac:dyDescent="0.4">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15" x14ac:dyDescent="0.4">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15" x14ac:dyDescent="0.4">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15" x14ac:dyDescent="0.4">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15" x14ac:dyDescent="0.4">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15" x14ac:dyDescent="0.4">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15" x14ac:dyDescent="0.4">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15" x14ac:dyDescent="0.4">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15" x14ac:dyDescent="0.4">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15" x14ac:dyDescent="0.4">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15" x14ac:dyDescent="0.4">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15" x14ac:dyDescent="0.4">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15" x14ac:dyDescent="0.4">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15" x14ac:dyDescent="0.4">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15" x14ac:dyDescent="0.4">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15" x14ac:dyDescent="0.4">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15" x14ac:dyDescent="0.4">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15" x14ac:dyDescent="0.4">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15" x14ac:dyDescent="0.4">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15" x14ac:dyDescent="0.4">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15" x14ac:dyDescent="0.4">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15" x14ac:dyDescent="0.4">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15" x14ac:dyDescent="0.4">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15" x14ac:dyDescent="0.4">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15" x14ac:dyDescent="0.4">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15" x14ac:dyDescent="0.4">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15" x14ac:dyDescent="0.4">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15" x14ac:dyDescent="0.4">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15" x14ac:dyDescent="0.4">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15" x14ac:dyDescent="0.4">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15" x14ac:dyDescent="0.4">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15" x14ac:dyDescent="0.4">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15" x14ac:dyDescent="0.4">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15" x14ac:dyDescent="0.4">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15" x14ac:dyDescent="0.4">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15" x14ac:dyDescent="0.4">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15" x14ac:dyDescent="0.4">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15" x14ac:dyDescent="0.4">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15" x14ac:dyDescent="0.4">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15" x14ac:dyDescent="0.4">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15" x14ac:dyDescent="0.4">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15" x14ac:dyDescent="0.4">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15" x14ac:dyDescent="0.4">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15" x14ac:dyDescent="0.4">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15" x14ac:dyDescent="0.4">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15" x14ac:dyDescent="0.4">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15" x14ac:dyDescent="0.4">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15" x14ac:dyDescent="0.4">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15" x14ac:dyDescent="0.4">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15" x14ac:dyDescent="0.4">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15" x14ac:dyDescent="0.4">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15" x14ac:dyDescent="0.4">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15" x14ac:dyDescent="0.4">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15" x14ac:dyDescent="0.4">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15" x14ac:dyDescent="0.4">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15" x14ac:dyDescent="0.4">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15" x14ac:dyDescent="0.4">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15" x14ac:dyDescent="0.4">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15" x14ac:dyDescent="0.4">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15" x14ac:dyDescent="0.4">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15" x14ac:dyDescent="0.4">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15" x14ac:dyDescent="0.4">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15" x14ac:dyDescent="0.4">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15" x14ac:dyDescent="0.4">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15" x14ac:dyDescent="0.4">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15" x14ac:dyDescent="0.4">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15" x14ac:dyDescent="0.4">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15" x14ac:dyDescent="0.4">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15" x14ac:dyDescent="0.4">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15" x14ac:dyDescent="0.4">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15" x14ac:dyDescent="0.4">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15" x14ac:dyDescent="0.4">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15" x14ac:dyDescent="0.4">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15" x14ac:dyDescent="0.4">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15" x14ac:dyDescent="0.4">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15" x14ac:dyDescent="0.4">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15" x14ac:dyDescent="0.4">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15" x14ac:dyDescent="0.4">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15" x14ac:dyDescent="0.4">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15" x14ac:dyDescent="0.4">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15" x14ac:dyDescent="0.4">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15" x14ac:dyDescent="0.4">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15" x14ac:dyDescent="0.4">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15" x14ac:dyDescent="0.4">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15" x14ac:dyDescent="0.4">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15" x14ac:dyDescent="0.4">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15" x14ac:dyDescent="0.4">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15" x14ac:dyDescent="0.4">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15" x14ac:dyDescent="0.4">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15" x14ac:dyDescent="0.4">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15" x14ac:dyDescent="0.4">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15" x14ac:dyDescent="0.4">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15" x14ac:dyDescent="0.4">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15" x14ac:dyDescent="0.4">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15" x14ac:dyDescent="0.4">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15" x14ac:dyDescent="0.4">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15" x14ac:dyDescent="0.4">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15" x14ac:dyDescent="0.4">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15" x14ac:dyDescent="0.4">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15" x14ac:dyDescent="0.4">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15" x14ac:dyDescent="0.4">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15" x14ac:dyDescent="0.4">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15" x14ac:dyDescent="0.4">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15" x14ac:dyDescent="0.4">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15" x14ac:dyDescent="0.4">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15" x14ac:dyDescent="0.4">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15" x14ac:dyDescent="0.4">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15" x14ac:dyDescent="0.4">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15" x14ac:dyDescent="0.4">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15" x14ac:dyDescent="0.4">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15" x14ac:dyDescent="0.4">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15" x14ac:dyDescent="0.4">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15" x14ac:dyDescent="0.4">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15" x14ac:dyDescent="0.4">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15" x14ac:dyDescent="0.4">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15" x14ac:dyDescent="0.4">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15" x14ac:dyDescent="0.4">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15" x14ac:dyDescent="0.4">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15" x14ac:dyDescent="0.4">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15" x14ac:dyDescent="0.4">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15" x14ac:dyDescent="0.4">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15" x14ac:dyDescent="0.4">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15" x14ac:dyDescent="0.4">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15" x14ac:dyDescent="0.4">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15" x14ac:dyDescent="0.4">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15" x14ac:dyDescent="0.4">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15" x14ac:dyDescent="0.4">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15" x14ac:dyDescent="0.4">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15" x14ac:dyDescent="0.4">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15" x14ac:dyDescent="0.4">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15" x14ac:dyDescent="0.4">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15" x14ac:dyDescent="0.4">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15" x14ac:dyDescent="0.4">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15" x14ac:dyDescent="0.4">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15" x14ac:dyDescent="0.4">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15" x14ac:dyDescent="0.4">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15" x14ac:dyDescent="0.4">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15" x14ac:dyDescent="0.4">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15" x14ac:dyDescent="0.4">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15" x14ac:dyDescent="0.4">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15" x14ac:dyDescent="0.4">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15" x14ac:dyDescent="0.4">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15" x14ac:dyDescent="0.4">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15" x14ac:dyDescent="0.4">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15" x14ac:dyDescent="0.4">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15" x14ac:dyDescent="0.4">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15" x14ac:dyDescent="0.4">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15" x14ac:dyDescent="0.4">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15" x14ac:dyDescent="0.4">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15" x14ac:dyDescent="0.4">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15" x14ac:dyDescent="0.4">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15" x14ac:dyDescent="0.4">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15" x14ac:dyDescent="0.4">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15" x14ac:dyDescent="0.4">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15" x14ac:dyDescent="0.4">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15" x14ac:dyDescent="0.4">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15" x14ac:dyDescent="0.4">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15" x14ac:dyDescent="0.4">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15" x14ac:dyDescent="0.4">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15" x14ac:dyDescent="0.4">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15" x14ac:dyDescent="0.4">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15" x14ac:dyDescent="0.4">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15" x14ac:dyDescent="0.4">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15" x14ac:dyDescent="0.4">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15" x14ac:dyDescent="0.4">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15" x14ac:dyDescent="0.4">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15" x14ac:dyDescent="0.4">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15" x14ac:dyDescent="0.4">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15" x14ac:dyDescent="0.4">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15" x14ac:dyDescent="0.4">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15" x14ac:dyDescent="0.4">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15" x14ac:dyDescent="0.4">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15" x14ac:dyDescent="0.4">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15" x14ac:dyDescent="0.4">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15" x14ac:dyDescent="0.4">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15" x14ac:dyDescent="0.4">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15" x14ac:dyDescent="0.4">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15" x14ac:dyDescent="0.4">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15" x14ac:dyDescent="0.4">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15" x14ac:dyDescent="0.4">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15" x14ac:dyDescent="0.4">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15" x14ac:dyDescent="0.4">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15" x14ac:dyDescent="0.4">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15" x14ac:dyDescent="0.4">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15" x14ac:dyDescent="0.4">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15" x14ac:dyDescent="0.4">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15" x14ac:dyDescent="0.4">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15" x14ac:dyDescent="0.4">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15" x14ac:dyDescent="0.4">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15" x14ac:dyDescent="0.4">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15" x14ac:dyDescent="0.4">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15" x14ac:dyDescent="0.4">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15" x14ac:dyDescent="0.4">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15" x14ac:dyDescent="0.4">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15" x14ac:dyDescent="0.4">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15" x14ac:dyDescent="0.4">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15" x14ac:dyDescent="0.4">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15" x14ac:dyDescent="0.4">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15" x14ac:dyDescent="0.4">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15" x14ac:dyDescent="0.4">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15" x14ac:dyDescent="0.4">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15" x14ac:dyDescent="0.4">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15" x14ac:dyDescent="0.4">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15" x14ac:dyDescent="0.4">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15" x14ac:dyDescent="0.4">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15" x14ac:dyDescent="0.4">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15" x14ac:dyDescent="0.4">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15" x14ac:dyDescent="0.4">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15" x14ac:dyDescent="0.4">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15" x14ac:dyDescent="0.4">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15" x14ac:dyDescent="0.4">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15" x14ac:dyDescent="0.4">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15" x14ac:dyDescent="0.4">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15" x14ac:dyDescent="0.4">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15" x14ac:dyDescent="0.4">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15" x14ac:dyDescent="0.4">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15" x14ac:dyDescent="0.4">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15" x14ac:dyDescent="0.4">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15" x14ac:dyDescent="0.4">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15" x14ac:dyDescent="0.4">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15" x14ac:dyDescent="0.4">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15" x14ac:dyDescent="0.4">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15" x14ac:dyDescent="0.4">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15" x14ac:dyDescent="0.4">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15" x14ac:dyDescent="0.4">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15" x14ac:dyDescent="0.4">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15" x14ac:dyDescent="0.4">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15" x14ac:dyDescent="0.4">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15" x14ac:dyDescent="0.4">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15" x14ac:dyDescent="0.4">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15" x14ac:dyDescent="0.4">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15" x14ac:dyDescent="0.4">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15" x14ac:dyDescent="0.4">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15" x14ac:dyDescent="0.4">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15" x14ac:dyDescent="0.4">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15" x14ac:dyDescent="0.4">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15" x14ac:dyDescent="0.4">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15" x14ac:dyDescent="0.4">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15" x14ac:dyDescent="0.4">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15" x14ac:dyDescent="0.4">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15" x14ac:dyDescent="0.4">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15" x14ac:dyDescent="0.4">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15" x14ac:dyDescent="0.4">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15" x14ac:dyDescent="0.4">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15" x14ac:dyDescent="0.4">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15" x14ac:dyDescent="0.4">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15" x14ac:dyDescent="0.4">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15" x14ac:dyDescent="0.4">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15" x14ac:dyDescent="0.4">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15" x14ac:dyDescent="0.4">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15" x14ac:dyDescent="0.4">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15" x14ac:dyDescent="0.4">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15" x14ac:dyDescent="0.4">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15" x14ac:dyDescent="0.4">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15" x14ac:dyDescent="0.4">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15" x14ac:dyDescent="0.4">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15" x14ac:dyDescent="0.4">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15" x14ac:dyDescent="0.4">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15" x14ac:dyDescent="0.4">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15" x14ac:dyDescent="0.4">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15" x14ac:dyDescent="0.4">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15" x14ac:dyDescent="0.4">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15" x14ac:dyDescent="0.4">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15" x14ac:dyDescent="0.4">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15" x14ac:dyDescent="0.4">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15" x14ac:dyDescent="0.4">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15" x14ac:dyDescent="0.4">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15" x14ac:dyDescent="0.4">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15" x14ac:dyDescent="0.4">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15" x14ac:dyDescent="0.4">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15" x14ac:dyDescent="0.4">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15" x14ac:dyDescent="0.4">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15" x14ac:dyDescent="0.4">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15" x14ac:dyDescent="0.4">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15" x14ac:dyDescent="0.4">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15" x14ac:dyDescent="0.4">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15" x14ac:dyDescent="0.4">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15" x14ac:dyDescent="0.4">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15" x14ac:dyDescent="0.4">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15" x14ac:dyDescent="0.4">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15" x14ac:dyDescent="0.4">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15" x14ac:dyDescent="0.4">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15" x14ac:dyDescent="0.4">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15" x14ac:dyDescent="0.4">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15" x14ac:dyDescent="0.4">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15" x14ac:dyDescent="0.4">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15" x14ac:dyDescent="0.4">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15" x14ac:dyDescent="0.4">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15" x14ac:dyDescent="0.4">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15" x14ac:dyDescent="0.4">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15" x14ac:dyDescent="0.4">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15" x14ac:dyDescent="0.4">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15" x14ac:dyDescent="0.4">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15" x14ac:dyDescent="0.4">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15" x14ac:dyDescent="0.4">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15" x14ac:dyDescent="0.4">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15" x14ac:dyDescent="0.4">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15" x14ac:dyDescent="0.4">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15" x14ac:dyDescent="0.4">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15" x14ac:dyDescent="0.4">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15" x14ac:dyDescent="0.4">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15" x14ac:dyDescent="0.4">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15" x14ac:dyDescent="0.4">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15" x14ac:dyDescent="0.4">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15" x14ac:dyDescent="0.4">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15" x14ac:dyDescent="0.4">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15" x14ac:dyDescent="0.4">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15" x14ac:dyDescent="0.4">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15" x14ac:dyDescent="0.4">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15" x14ac:dyDescent="0.4">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15" x14ac:dyDescent="0.4">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15" x14ac:dyDescent="0.4">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15" x14ac:dyDescent="0.4">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15" x14ac:dyDescent="0.4">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15" x14ac:dyDescent="0.4">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15" x14ac:dyDescent="0.4">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15" x14ac:dyDescent="0.4">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15" x14ac:dyDescent="0.4">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15" x14ac:dyDescent="0.4">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15" x14ac:dyDescent="0.4">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15" x14ac:dyDescent="0.4">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15" x14ac:dyDescent="0.4">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15" x14ac:dyDescent="0.4">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15" x14ac:dyDescent="0.4">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15" x14ac:dyDescent="0.4">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15" x14ac:dyDescent="0.4">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15" x14ac:dyDescent="0.4">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15" x14ac:dyDescent="0.4">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15" x14ac:dyDescent="0.4">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15" x14ac:dyDescent="0.4">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15" x14ac:dyDescent="0.4">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15" x14ac:dyDescent="0.4">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15" x14ac:dyDescent="0.4">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15" x14ac:dyDescent="0.4">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15" x14ac:dyDescent="0.4">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15" x14ac:dyDescent="0.4">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15" x14ac:dyDescent="0.4">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15" x14ac:dyDescent="0.4">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15" x14ac:dyDescent="0.4">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15" x14ac:dyDescent="0.4">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15" x14ac:dyDescent="0.4">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15" x14ac:dyDescent="0.4">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15" x14ac:dyDescent="0.4">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15" x14ac:dyDescent="0.4">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15" x14ac:dyDescent="0.4">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15" x14ac:dyDescent="0.4">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15" x14ac:dyDescent="0.4">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15" x14ac:dyDescent="0.4">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15" x14ac:dyDescent="0.4">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15" x14ac:dyDescent="0.4">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15" x14ac:dyDescent="0.4">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15" x14ac:dyDescent="0.4">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15" x14ac:dyDescent="0.4">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15" x14ac:dyDescent="0.4">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15" x14ac:dyDescent="0.4">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15" x14ac:dyDescent="0.4">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15" x14ac:dyDescent="0.4">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15" x14ac:dyDescent="0.4">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15" x14ac:dyDescent="0.4">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15" x14ac:dyDescent="0.4">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15" x14ac:dyDescent="0.4">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15" x14ac:dyDescent="0.4">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15" x14ac:dyDescent="0.4">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15" x14ac:dyDescent="0.4">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15" x14ac:dyDescent="0.4">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15" x14ac:dyDescent="0.4">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15" x14ac:dyDescent="0.4">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15" x14ac:dyDescent="0.4">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15" x14ac:dyDescent="0.4">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15" x14ac:dyDescent="0.4">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15" x14ac:dyDescent="0.4">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15" x14ac:dyDescent="0.4">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15" x14ac:dyDescent="0.4">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15" x14ac:dyDescent="0.4">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15" x14ac:dyDescent="0.4">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15" x14ac:dyDescent="0.4">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15" x14ac:dyDescent="0.4">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15" x14ac:dyDescent="0.4">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15" x14ac:dyDescent="0.4">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15" x14ac:dyDescent="0.4">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15" x14ac:dyDescent="0.4">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15" x14ac:dyDescent="0.4">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15" x14ac:dyDescent="0.4">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15" x14ac:dyDescent="0.4">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15" x14ac:dyDescent="0.4">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15" x14ac:dyDescent="0.4">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15" x14ac:dyDescent="0.4">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15" x14ac:dyDescent="0.4">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15" x14ac:dyDescent="0.4">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15" x14ac:dyDescent="0.4">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15" x14ac:dyDescent="0.4">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15" x14ac:dyDescent="0.4">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15" x14ac:dyDescent="0.4">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15" x14ac:dyDescent="0.4">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15" x14ac:dyDescent="0.4">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15" x14ac:dyDescent="0.4">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15" x14ac:dyDescent="0.4">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15" x14ac:dyDescent="0.4">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15" x14ac:dyDescent="0.4">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15" x14ac:dyDescent="0.4">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15" x14ac:dyDescent="0.4">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15" x14ac:dyDescent="0.4">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15" x14ac:dyDescent="0.4">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15" x14ac:dyDescent="0.4">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15" x14ac:dyDescent="0.4">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15" x14ac:dyDescent="0.4">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15" x14ac:dyDescent="0.4">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15" x14ac:dyDescent="0.4">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15" x14ac:dyDescent="0.4">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15" x14ac:dyDescent="0.4">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15" x14ac:dyDescent="0.4">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15" x14ac:dyDescent="0.4">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15" x14ac:dyDescent="0.4">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15" x14ac:dyDescent="0.4">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15" x14ac:dyDescent="0.4">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15" x14ac:dyDescent="0.4">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15" x14ac:dyDescent="0.4">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15" x14ac:dyDescent="0.4">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15" x14ac:dyDescent="0.4">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15" x14ac:dyDescent="0.4">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15" x14ac:dyDescent="0.4">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15" x14ac:dyDescent="0.4">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15" x14ac:dyDescent="0.4">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15" x14ac:dyDescent="0.4">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15" x14ac:dyDescent="0.4">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15" x14ac:dyDescent="0.4">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15" x14ac:dyDescent="0.4">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15" x14ac:dyDescent="0.4">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15" x14ac:dyDescent="0.4">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15" x14ac:dyDescent="0.4">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15" x14ac:dyDescent="0.4">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15" x14ac:dyDescent="0.4">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15" x14ac:dyDescent="0.4">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15" x14ac:dyDescent="0.4">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15" x14ac:dyDescent="0.4">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15" x14ac:dyDescent="0.4">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15" x14ac:dyDescent="0.4">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15" x14ac:dyDescent="0.4">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15" x14ac:dyDescent="0.4">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15" x14ac:dyDescent="0.4">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15" x14ac:dyDescent="0.4">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15" x14ac:dyDescent="0.4">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15" x14ac:dyDescent="0.4">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15" x14ac:dyDescent="0.4">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15" x14ac:dyDescent="0.4">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15" x14ac:dyDescent="0.4">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15" x14ac:dyDescent="0.4">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15" x14ac:dyDescent="0.4">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15" x14ac:dyDescent="0.4">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15" x14ac:dyDescent="0.4">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15" x14ac:dyDescent="0.4">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15" x14ac:dyDescent="0.4">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15" x14ac:dyDescent="0.4">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15" x14ac:dyDescent="0.4">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15" x14ac:dyDescent="0.4">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15" x14ac:dyDescent="0.4">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15" x14ac:dyDescent="0.4">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15" x14ac:dyDescent="0.4">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15" x14ac:dyDescent="0.4">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15" x14ac:dyDescent="0.4">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15" x14ac:dyDescent="0.4">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15" x14ac:dyDescent="0.4">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15" x14ac:dyDescent="0.4">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15" x14ac:dyDescent="0.4">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15" x14ac:dyDescent="0.4">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15" x14ac:dyDescent="0.4">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15" x14ac:dyDescent="0.4">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15" x14ac:dyDescent="0.4">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15" x14ac:dyDescent="0.4">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15" x14ac:dyDescent="0.4">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15" x14ac:dyDescent="0.4">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15" x14ac:dyDescent="0.4">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15" x14ac:dyDescent="0.4">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15" x14ac:dyDescent="0.4">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15" x14ac:dyDescent="0.4">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15" x14ac:dyDescent="0.4">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15" x14ac:dyDescent="0.4">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15" x14ac:dyDescent="0.4">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15" x14ac:dyDescent="0.4">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15" x14ac:dyDescent="0.4">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15" x14ac:dyDescent="0.4">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15" x14ac:dyDescent="0.4">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15" x14ac:dyDescent="0.4">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15" x14ac:dyDescent="0.4">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15" x14ac:dyDescent="0.4">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15" x14ac:dyDescent="0.4">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15" x14ac:dyDescent="0.4">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15" x14ac:dyDescent="0.4">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15" x14ac:dyDescent="0.4">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15" x14ac:dyDescent="0.4">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15" x14ac:dyDescent="0.4">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15" x14ac:dyDescent="0.4">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15" x14ac:dyDescent="0.4">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15" x14ac:dyDescent="0.4">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15" x14ac:dyDescent="0.4">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15" x14ac:dyDescent="0.4">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15" x14ac:dyDescent="0.4">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15" x14ac:dyDescent="0.4">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15" x14ac:dyDescent="0.4">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15" x14ac:dyDescent="0.4">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15" x14ac:dyDescent="0.4">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15" x14ac:dyDescent="0.4">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15" x14ac:dyDescent="0.4">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15" x14ac:dyDescent="0.4">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15" x14ac:dyDescent="0.4">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15" x14ac:dyDescent="0.4">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15" x14ac:dyDescent="0.4">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15" x14ac:dyDescent="0.4">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15" x14ac:dyDescent="0.4">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15" x14ac:dyDescent="0.4">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15" x14ac:dyDescent="0.4">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15" x14ac:dyDescent="0.4">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15" x14ac:dyDescent="0.4">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15" x14ac:dyDescent="0.4">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15" x14ac:dyDescent="0.4">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15" x14ac:dyDescent="0.4">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15" x14ac:dyDescent="0.4">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15" x14ac:dyDescent="0.4">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15" x14ac:dyDescent="0.4">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15" x14ac:dyDescent="0.4">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15" x14ac:dyDescent="0.4">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15" x14ac:dyDescent="0.4">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15" x14ac:dyDescent="0.4">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15" x14ac:dyDescent="0.4">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15" x14ac:dyDescent="0.4">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15" x14ac:dyDescent="0.4">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15" x14ac:dyDescent="0.4">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15" x14ac:dyDescent="0.4">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15" x14ac:dyDescent="0.4">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15" x14ac:dyDescent="0.4">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15" x14ac:dyDescent="0.4">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15" x14ac:dyDescent="0.4">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15" x14ac:dyDescent="0.4">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15" x14ac:dyDescent="0.4">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15" x14ac:dyDescent="0.4">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15" x14ac:dyDescent="0.4">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15" x14ac:dyDescent="0.4">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15" x14ac:dyDescent="0.4">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15" x14ac:dyDescent="0.4">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15" x14ac:dyDescent="0.4">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15" x14ac:dyDescent="0.4">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15" x14ac:dyDescent="0.4">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15" x14ac:dyDescent="0.4">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15" x14ac:dyDescent="0.4">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15" x14ac:dyDescent="0.4">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15" x14ac:dyDescent="0.4">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15" x14ac:dyDescent="0.4">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15" x14ac:dyDescent="0.4">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15" x14ac:dyDescent="0.4">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15" x14ac:dyDescent="0.4">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15" x14ac:dyDescent="0.4">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15" x14ac:dyDescent="0.4">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15" x14ac:dyDescent="0.4">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15" x14ac:dyDescent="0.4">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15" x14ac:dyDescent="0.4">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15" x14ac:dyDescent="0.4">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15" x14ac:dyDescent="0.4">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15" x14ac:dyDescent="0.4">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15" x14ac:dyDescent="0.4">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15" x14ac:dyDescent="0.4">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15" x14ac:dyDescent="0.4">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15" x14ac:dyDescent="0.4">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15" x14ac:dyDescent="0.4">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15" x14ac:dyDescent="0.4">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15" x14ac:dyDescent="0.4">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15" x14ac:dyDescent="0.4">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15" x14ac:dyDescent="0.4">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15" x14ac:dyDescent="0.4">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15" x14ac:dyDescent="0.4">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15" x14ac:dyDescent="0.4">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15" x14ac:dyDescent="0.4">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15" x14ac:dyDescent="0.4">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15" x14ac:dyDescent="0.4">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15" x14ac:dyDescent="0.4">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15" x14ac:dyDescent="0.4">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15" x14ac:dyDescent="0.4">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15" x14ac:dyDescent="0.4">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15" x14ac:dyDescent="0.4">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15" x14ac:dyDescent="0.4">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15" x14ac:dyDescent="0.4">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15" x14ac:dyDescent="0.4">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15" x14ac:dyDescent="0.4">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15" x14ac:dyDescent="0.4">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15" x14ac:dyDescent="0.4">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15" x14ac:dyDescent="0.4">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15" x14ac:dyDescent="0.4">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15" x14ac:dyDescent="0.4">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15" x14ac:dyDescent="0.4">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15" x14ac:dyDescent="0.4">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15" x14ac:dyDescent="0.4">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15" x14ac:dyDescent="0.4">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15" x14ac:dyDescent="0.4">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15" x14ac:dyDescent="0.4">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15" x14ac:dyDescent="0.4">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15" x14ac:dyDescent="0.4">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15" x14ac:dyDescent="0.4">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15" x14ac:dyDescent="0.4">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15" x14ac:dyDescent="0.4">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15" x14ac:dyDescent="0.4">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15" x14ac:dyDescent="0.4">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15" x14ac:dyDescent="0.4">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15" x14ac:dyDescent="0.4">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15" x14ac:dyDescent="0.4">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15" x14ac:dyDescent="0.4">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15" x14ac:dyDescent="0.4">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15" x14ac:dyDescent="0.4">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15" x14ac:dyDescent="0.4">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15" x14ac:dyDescent="0.4">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15" x14ac:dyDescent="0.4">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15" x14ac:dyDescent="0.4">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15" x14ac:dyDescent="0.4">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15" x14ac:dyDescent="0.4">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15" x14ac:dyDescent="0.4">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15" x14ac:dyDescent="0.4">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15" x14ac:dyDescent="0.4">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15" x14ac:dyDescent="0.4">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15" x14ac:dyDescent="0.4">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15" x14ac:dyDescent="0.4">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15" x14ac:dyDescent="0.4">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15" x14ac:dyDescent="0.4">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15" x14ac:dyDescent="0.4">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15" x14ac:dyDescent="0.4">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15" x14ac:dyDescent="0.4">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15" x14ac:dyDescent="0.4">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15" x14ac:dyDescent="0.4">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15" x14ac:dyDescent="0.4">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15" x14ac:dyDescent="0.4">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15" x14ac:dyDescent="0.4">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15" x14ac:dyDescent="0.4">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15" x14ac:dyDescent="0.4">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15" x14ac:dyDescent="0.4">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15" x14ac:dyDescent="0.4">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15" x14ac:dyDescent="0.4">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15" x14ac:dyDescent="0.4">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15" x14ac:dyDescent="0.4">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15" x14ac:dyDescent="0.4">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15" x14ac:dyDescent="0.4">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15" x14ac:dyDescent="0.4">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15" x14ac:dyDescent="0.4">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15" x14ac:dyDescent="0.4">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15" x14ac:dyDescent="0.4">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15" x14ac:dyDescent="0.4">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15" x14ac:dyDescent="0.4">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15" x14ac:dyDescent="0.4">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15" x14ac:dyDescent="0.4">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15" x14ac:dyDescent="0.4">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15" x14ac:dyDescent="0.4">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15" x14ac:dyDescent="0.4">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15" x14ac:dyDescent="0.4">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15" x14ac:dyDescent="0.4">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15" x14ac:dyDescent="0.4">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15" x14ac:dyDescent="0.4">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15" x14ac:dyDescent="0.4">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15" x14ac:dyDescent="0.4">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15" x14ac:dyDescent="0.4">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15" x14ac:dyDescent="0.4">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15" x14ac:dyDescent="0.4">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15" x14ac:dyDescent="0.4">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15" x14ac:dyDescent="0.4">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15" x14ac:dyDescent="0.4">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15" x14ac:dyDescent="0.4">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15" x14ac:dyDescent="0.4">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15" x14ac:dyDescent="0.4">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15" x14ac:dyDescent="0.4">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15" x14ac:dyDescent="0.4">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15" x14ac:dyDescent="0.4">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15" x14ac:dyDescent="0.4">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15" x14ac:dyDescent="0.4">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15" x14ac:dyDescent="0.4">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15" x14ac:dyDescent="0.4">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15" x14ac:dyDescent="0.4">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15" x14ac:dyDescent="0.4">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15" x14ac:dyDescent="0.4">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15" x14ac:dyDescent="0.4">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15" x14ac:dyDescent="0.4">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15" x14ac:dyDescent="0.4">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15" x14ac:dyDescent="0.4">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15" x14ac:dyDescent="0.4">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15" x14ac:dyDescent="0.4">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15" x14ac:dyDescent="0.4">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15" x14ac:dyDescent="0.4">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15" x14ac:dyDescent="0.4">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15" x14ac:dyDescent="0.4">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15" x14ac:dyDescent="0.4">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15" x14ac:dyDescent="0.4">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15" x14ac:dyDescent="0.4">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15" x14ac:dyDescent="0.4">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15" x14ac:dyDescent="0.4">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15" x14ac:dyDescent="0.4">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15" x14ac:dyDescent="0.4">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15" x14ac:dyDescent="0.4">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15" x14ac:dyDescent="0.4">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15" x14ac:dyDescent="0.4">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15" x14ac:dyDescent="0.4">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15" x14ac:dyDescent="0.4">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15" x14ac:dyDescent="0.4">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15" x14ac:dyDescent="0.4">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15" x14ac:dyDescent="0.4">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15" x14ac:dyDescent="0.4">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15" x14ac:dyDescent="0.4">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15" x14ac:dyDescent="0.4">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15" x14ac:dyDescent="0.4">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15" x14ac:dyDescent="0.4">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15" x14ac:dyDescent="0.4">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15" x14ac:dyDescent="0.4">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15" x14ac:dyDescent="0.4">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15" x14ac:dyDescent="0.4">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15" x14ac:dyDescent="0.4">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15" x14ac:dyDescent="0.4">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15" x14ac:dyDescent="0.4">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15" x14ac:dyDescent="0.4">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15" x14ac:dyDescent="0.4">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15" x14ac:dyDescent="0.4">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15" x14ac:dyDescent="0.4">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15" x14ac:dyDescent="0.4">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15" x14ac:dyDescent="0.4">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15" x14ac:dyDescent="0.4">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15" x14ac:dyDescent="0.4">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15" x14ac:dyDescent="0.4">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15" x14ac:dyDescent="0.4">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15" x14ac:dyDescent="0.4">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15" x14ac:dyDescent="0.4">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15" x14ac:dyDescent="0.4">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15" x14ac:dyDescent="0.4">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15" x14ac:dyDescent="0.4">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15" x14ac:dyDescent="0.4">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15" x14ac:dyDescent="0.4">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15" x14ac:dyDescent="0.4">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15" x14ac:dyDescent="0.4">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15" x14ac:dyDescent="0.4">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15" x14ac:dyDescent="0.4">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15" x14ac:dyDescent="0.4">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15" x14ac:dyDescent="0.4">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15" x14ac:dyDescent="0.4">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15" x14ac:dyDescent="0.4">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15" x14ac:dyDescent="0.4">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15" x14ac:dyDescent="0.4">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15" x14ac:dyDescent="0.4">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15" x14ac:dyDescent="0.4">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15" x14ac:dyDescent="0.4">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15" x14ac:dyDescent="0.4">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15" x14ac:dyDescent="0.4">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15" x14ac:dyDescent="0.4">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15" x14ac:dyDescent="0.4">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15" x14ac:dyDescent="0.4">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15" x14ac:dyDescent="0.4">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15" x14ac:dyDescent="0.4">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15" x14ac:dyDescent="0.4">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15" x14ac:dyDescent="0.4">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15" x14ac:dyDescent="0.4">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15" x14ac:dyDescent="0.4">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15" x14ac:dyDescent="0.4">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15" x14ac:dyDescent="0.4">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15" x14ac:dyDescent="0.4">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15" x14ac:dyDescent="0.4">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15" x14ac:dyDescent="0.4">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15" x14ac:dyDescent="0.4">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15" x14ac:dyDescent="0.4">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15" x14ac:dyDescent="0.4">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15" x14ac:dyDescent="0.4">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15" x14ac:dyDescent="0.4">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15" x14ac:dyDescent="0.4">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15" x14ac:dyDescent="0.4">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15" x14ac:dyDescent="0.4">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15" x14ac:dyDescent="0.4">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15" x14ac:dyDescent="0.4">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15" x14ac:dyDescent="0.4">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15" x14ac:dyDescent="0.4">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15" x14ac:dyDescent="0.4">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15" x14ac:dyDescent="0.4">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15" x14ac:dyDescent="0.4">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15" x14ac:dyDescent="0.4">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15" x14ac:dyDescent="0.4">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15" x14ac:dyDescent="0.4">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15" x14ac:dyDescent="0.4">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15" x14ac:dyDescent="0.4">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15" x14ac:dyDescent="0.4">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15" x14ac:dyDescent="0.4">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15" x14ac:dyDescent="0.4">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15" x14ac:dyDescent="0.4">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15" x14ac:dyDescent="0.4">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15" x14ac:dyDescent="0.4">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15" x14ac:dyDescent="0.4">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15" x14ac:dyDescent="0.4">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15" x14ac:dyDescent="0.4">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15" x14ac:dyDescent="0.4">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15" x14ac:dyDescent="0.4">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15" x14ac:dyDescent="0.4">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15" x14ac:dyDescent="0.4">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15" x14ac:dyDescent="0.4">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15" x14ac:dyDescent="0.4">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15" x14ac:dyDescent="0.4">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15" x14ac:dyDescent="0.4">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15" x14ac:dyDescent="0.4">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15" x14ac:dyDescent="0.4">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15" x14ac:dyDescent="0.4">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15" x14ac:dyDescent="0.4">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15" x14ac:dyDescent="0.4">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15" x14ac:dyDescent="0.4">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15" x14ac:dyDescent="0.4">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15" x14ac:dyDescent="0.4">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15" x14ac:dyDescent="0.4">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15" x14ac:dyDescent="0.4">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15" x14ac:dyDescent="0.4">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15" x14ac:dyDescent="0.4">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15" x14ac:dyDescent="0.4">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15" x14ac:dyDescent="0.4">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15" x14ac:dyDescent="0.4">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15" x14ac:dyDescent="0.4">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15" x14ac:dyDescent="0.4">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15" x14ac:dyDescent="0.4">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15" x14ac:dyDescent="0.4">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15" x14ac:dyDescent="0.4">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15" x14ac:dyDescent="0.4">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15" x14ac:dyDescent="0.4">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15" x14ac:dyDescent="0.4">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15" x14ac:dyDescent="0.4">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15" x14ac:dyDescent="0.4">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15" x14ac:dyDescent="0.4">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15" x14ac:dyDescent="0.4">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15" x14ac:dyDescent="0.4">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15" x14ac:dyDescent="0.4">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15" x14ac:dyDescent="0.4">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15" x14ac:dyDescent="0.4">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15" x14ac:dyDescent="0.4">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15" x14ac:dyDescent="0.4">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15" x14ac:dyDescent="0.4">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15" x14ac:dyDescent="0.4">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15" x14ac:dyDescent="0.4">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15" x14ac:dyDescent="0.4">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15" x14ac:dyDescent="0.4">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15" x14ac:dyDescent="0.4">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15" x14ac:dyDescent="0.4">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15" x14ac:dyDescent="0.4">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15" x14ac:dyDescent="0.4">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15" x14ac:dyDescent="0.4">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15" x14ac:dyDescent="0.4">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15" x14ac:dyDescent="0.4">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15" x14ac:dyDescent="0.4">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15" x14ac:dyDescent="0.4">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15" x14ac:dyDescent="0.4">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15" x14ac:dyDescent="0.4">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15" x14ac:dyDescent="0.4">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15" x14ac:dyDescent="0.4">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15" x14ac:dyDescent="0.4">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15" x14ac:dyDescent="0.4">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15" x14ac:dyDescent="0.4">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15" x14ac:dyDescent="0.4">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15" x14ac:dyDescent="0.4">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15" x14ac:dyDescent="0.4">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15" x14ac:dyDescent="0.4">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15" x14ac:dyDescent="0.4">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15" x14ac:dyDescent="0.4">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15" x14ac:dyDescent="0.4">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15" x14ac:dyDescent="0.4">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15" x14ac:dyDescent="0.4">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15" x14ac:dyDescent="0.4">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15" x14ac:dyDescent="0.4">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15" x14ac:dyDescent="0.4">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15" x14ac:dyDescent="0.4">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15" x14ac:dyDescent="0.4">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15" x14ac:dyDescent="0.4">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15" x14ac:dyDescent="0.4">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15" x14ac:dyDescent="0.4">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15" x14ac:dyDescent="0.4">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15" x14ac:dyDescent="0.4">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15" x14ac:dyDescent="0.4">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15" x14ac:dyDescent="0.4">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15" x14ac:dyDescent="0.4">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15" x14ac:dyDescent="0.4">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15" x14ac:dyDescent="0.4">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15" x14ac:dyDescent="0.4">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15" x14ac:dyDescent="0.4">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15" x14ac:dyDescent="0.4">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15" x14ac:dyDescent="0.4">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15" x14ac:dyDescent="0.4">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15" x14ac:dyDescent="0.4">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15" x14ac:dyDescent="0.4">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15" x14ac:dyDescent="0.4">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15" x14ac:dyDescent="0.4">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15" x14ac:dyDescent="0.4">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15" x14ac:dyDescent="0.4">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15" x14ac:dyDescent="0.4">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15" x14ac:dyDescent="0.4">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15" x14ac:dyDescent="0.4">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15" x14ac:dyDescent="0.4">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15" x14ac:dyDescent="0.4">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15" x14ac:dyDescent="0.4">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15" x14ac:dyDescent="0.4">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15" x14ac:dyDescent="0.4">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15" x14ac:dyDescent="0.4">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15" x14ac:dyDescent="0.4">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15" x14ac:dyDescent="0.4">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15" x14ac:dyDescent="0.4">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15" x14ac:dyDescent="0.4">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15" x14ac:dyDescent="0.4">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15" x14ac:dyDescent="0.4">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15" x14ac:dyDescent="0.4">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15" x14ac:dyDescent="0.4">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15" x14ac:dyDescent="0.4">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15" x14ac:dyDescent="0.4">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15" x14ac:dyDescent="0.4">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15" x14ac:dyDescent="0.4">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15" x14ac:dyDescent="0.4">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15" x14ac:dyDescent="0.4">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15" x14ac:dyDescent="0.4">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15" x14ac:dyDescent="0.4">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15" x14ac:dyDescent="0.4">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15" x14ac:dyDescent="0.4">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15" x14ac:dyDescent="0.4">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15" x14ac:dyDescent="0.4">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15" x14ac:dyDescent="0.4">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15" x14ac:dyDescent="0.4">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15" x14ac:dyDescent="0.4">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15" x14ac:dyDescent="0.4">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15" x14ac:dyDescent="0.4">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15" x14ac:dyDescent="0.4">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15" x14ac:dyDescent="0.4">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15" x14ac:dyDescent="0.4">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15" x14ac:dyDescent="0.4">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15" x14ac:dyDescent="0.4">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15" x14ac:dyDescent="0.4">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15" x14ac:dyDescent="0.4">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15" x14ac:dyDescent="0.4">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15" x14ac:dyDescent="0.4">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15" x14ac:dyDescent="0.4">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15" x14ac:dyDescent="0.4">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15" x14ac:dyDescent="0.4">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15" x14ac:dyDescent="0.4">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15" x14ac:dyDescent="0.4">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15" x14ac:dyDescent="0.4">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15" x14ac:dyDescent="0.4">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15" x14ac:dyDescent="0.4">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15" x14ac:dyDescent="0.4">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15" x14ac:dyDescent="0.4">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15" x14ac:dyDescent="0.4">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15" x14ac:dyDescent="0.4">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15" x14ac:dyDescent="0.4">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15" x14ac:dyDescent="0.4">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15" x14ac:dyDescent="0.4">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15" x14ac:dyDescent="0.4">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15" x14ac:dyDescent="0.4">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15" x14ac:dyDescent="0.4">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15" x14ac:dyDescent="0.4">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15" x14ac:dyDescent="0.4">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15" x14ac:dyDescent="0.4">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15" x14ac:dyDescent="0.4">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15" x14ac:dyDescent="0.4">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15" x14ac:dyDescent="0.4">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15" x14ac:dyDescent="0.4">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15" x14ac:dyDescent="0.4">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15" x14ac:dyDescent="0.4">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15" x14ac:dyDescent="0.4">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15" x14ac:dyDescent="0.4">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15" x14ac:dyDescent="0.4">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15" x14ac:dyDescent="0.4">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15" x14ac:dyDescent="0.4">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15" x14ac:dyDescent="0.4">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15" x14ac:dyDescent="0.4">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15" x14ac:dyDescent="0.4">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15" x14ac:dyDescent="0.4">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15" x14ac:dyDescent="0.4">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15" x14ac:dyDescent="0.4">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15" x14ac:dyDescent="0.4">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15" x14ac:dyDescent="0.4">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15" x14ac:dyDescent="0.4">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15" x14ac:dyDescent="0.4">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15" x14ac:dyDescent="0.4">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15" x14ac:dyDescent="0.4">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15" x14ac:dyDescent="0.4">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15" x14ac:dyDescent="0.4">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15" x14ac:dyDescent="0.4">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15" x14ac:dyDescent="0.4">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15" x14ac:dyDescent="0.4">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15" x14ac:dyDescent="0.4">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15" x14ac:dyDescent="0.4">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15" x14ac:dyDescent="0.4">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15" x14ac:dyDescent="0.4">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15" x14ac:dyDescent="0.4">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15" x14ac:dyDescent="0.4">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15" x14ac:dyDescent="0.4">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15" x14ac:dyDescent="0.4">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15" x14ac:dyDescent="0.4">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15" x14ac:dyDescent="0.4">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15" x14ac:dyDescent="0.4">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15" x14ac:dyDescent="0.4">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15" x14ac:dyDescent="0.4">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15" x14ac:dyDescent="0.4">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15" x14ac:dyDescent="0.4">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15" x14ac:dyDescent="0.4">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15" x14ac:dyDescent="0.4">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15" x14ac:dyDescent="0.4">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15" x14ac:dyDescent="0.4">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15" x14ac:dyDescent="0.4">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15" x14ac:dyDescent="0.4">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15" x14ac:dyDescent="0.4">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15" x14ac:dyDescent="0.4">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15" x14ac:dyDescent="0.4">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15" x14ac:dyDescent="0.4">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15" x14ac:dyDescent="0.4">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15" x14ac:dyDescent="0.4">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15" x14ac:dyDescent="0.4">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15" x14ac:dyDescent="0.4">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15" x14ac:dyDescent="0.4">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15" x14ac:dyDescent="0.4">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15" x14ac:dyDescent="0.4">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15" x14ac:dyDescent="0.4">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15" x14ac:dyDescent="0.4">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15" x14ac:dyDescent="0.4">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15" x14ac:dyDescent="0.4">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15" x14ac:dyDescent="0.4">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15" x14ac:dyDescent="0.4">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15" x14ac:dyDescent="0.4">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15" x14ac:dyDescent="0.4">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15" x14ac:dyDescent="0.4">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15" x14ac:dyDescent="0.4">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15" x14ac:dyDescent="0.4">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15" x14ac:dyDescent="0.4">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15" x14ac:dyDescent="0.4">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15" x14ac:dyDescent="0.4">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15" x14ac:dyDescent="0.4">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15" x14ac:dyDescent="0.4">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15" x14ac:dyDescent="0.4">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15" x14ac:dyDescent="0.4">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15" x14ac:dyDescent="0.4">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15" x14ac:dyDescent="0.4">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15" x14ac:dyDescent="0.4">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15" x14ac:dyDescent="0.4">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15" x14ac:dyDescent="0.4">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15" x14ac:dyDescent="0.4">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15" x14ac:dyDescent="0.4">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15" x14ac:dyDescent="0.4">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15" x14ac:dyDescent="0.4">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15" x14ac:dyDescent="0.4">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15" x14ac:dyDescent="0.4">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15" x14ac:dyDescent="0.4">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15" x14ac:dyDescent="0.4">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15" x14ac:dyDescent="0.4">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15" x14ac:dyDescent="0.4">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15" x14ac:dyDescent="0.4">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15" x14ac:dyDescent="0.4">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15" x14ac:dyDescent="0.4">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15" x14ac:dyDescent="0.4">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15" x14ac:dyDescent="0.4">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15" x14ac:dyDescent="0.4">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15" x14ac:dyDescent="0.4">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15" x14ac:dyDescent="0.4">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15" x14ac:dyDescent="0.4">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15" x14ac:dyDescent="0.4">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15" x14ac:dyDescent="0.4">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15" x14ac:dyDescent="0.4">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15" x14ac:dyDescent="0.4">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15" x14ac:dyDescent="0.4">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15" x14ac:dyDescent="0.4">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15" x14ac:dyDescent="0.4">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15" x14ac:dyDescent="0.4">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15" x14ac:dyDescent="0.4">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15" x14ac:dyDescent="0.4">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15" x14ac:dyDescent="0.4">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15" x14ac:dyDescent="0.4">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15" x14ac:dyDescent="0.4">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15" x14ac:dyDescent="0.4">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15" x14ac:dyDescent="0.4">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15" x14ac:dyDescent="0.4">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15" x14ac:dyDescent="0.4">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15" x14ac:dyDescent="0.4">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15" x14ac:dyDescent="0.4">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15" x14ac:dyDescent="0.4">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15" x14ac:dyDescent="0.4">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15" x14ac:dyDescent="0.4">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15" x14ac:dyDescent="0.4">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15" x14ac:dyDescent="0.4">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15" x14ac:dyDescent="0.4">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15" x14ac:dyDescent="0.4">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15" x14ac:dyDescent="0.4">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15" x14ac:dyDescent="0.4">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15" x14ac:dyDescent="0.4">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15" x14ac:dyDescent="0.4">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15" x14ac:dyDescent="0.4">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15" x14ac:dyDescent="0.4">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15" x14ac:dyDescent="0.4">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15" x14ac:dyDescent="0.4">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15" x14ac:dyDescent="0.4">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15" x14ac:dyDescent="0.4">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15" x14ac:dyDescent="0.4">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15" x14ac:dyDescent="0.4">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15" x14ac:dyDescent="0.4">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15" x14ac:dyDescent="0.4">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15" x14ac:dyDescent="0.4">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15" x14ac:dyDescent="0.4">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15" x14ac:dyDescent="0.4">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15" x14ac:dyDescent="0.4">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15" x14ac:dyDescent="0.4">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15" x14ac:dyDescent="0.4">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15" x14ac:dyDescent="0.4">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15" x14ac:dyDescent="0.4">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15" x14ac:dyDescent="0.4">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15" x14ac:dyDescent="0.4">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15" x14ac:dyDescent="0.4">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15" x14ac:dyDescent="0.4">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15" x14ac:dyDescent="0.4">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15" x14ac:dyDescent="0.4">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15" x14ac:dyDescent="0.4">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15" x14ac:dyDescent="0.4">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15" x14ac:dyDescent="0.4">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15" x14ac:dyDescent="0.4">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15" x14ac:dyDescent="0.4">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15" x14ac:dyDescent="0.4">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15" x14ac:dyDescent="0.4">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15" x14ac:dyDescent="0.4">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15" x14ac:dyDescent="0.4">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15" x14ac:dyDescent="0.4">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15" x14ac:dyDescent="0.4">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15" x14ac:dyDescent="0.4">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15" x14ac:dyDescent="0.4">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15" x14ac:dyDescent="0.4">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15" x14ac:dyDescent="0.4">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15" x14ac:dyDescent="0.4">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15" x14ac:dyDescent="0.4">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15" x14ac:dyDescent="0.4">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15" x14ac:dyDescent="0.4">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15" x14ac:dyDescent="0.4">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15" x14ac:dyDescent="0.4">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15" x14ac:dyDescent="0.4">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15" x14ac:dyDescent="0.4">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15" x14ac:dyDescent="0.4">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15" x14ac:dyDescent="0.4">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15" x14ac:dyDescent="0.4">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15" x14ac:dyDescent="0.4">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15" x14ac:dyDescent="0.4">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15" x14ac:dyDescent="0.4">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15" x14ac:dyDescent="0.4">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15" x14ac:dyDescent="0.4">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15" x14ac:dyDescent="0.4">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15" x14ac:dyDescent="0.4">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15" x14ac:dyDescent="0.4">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15" x14ac:dyDescent="0.4">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15" x14ac:dyDescent="0.4">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15" x14ac:dyDescent="0.4">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15" x14ac:dyDescent="0.4">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15" x14ac:dyDescent="0.4">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15" x14ac:dyDescent="0.4">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15" x14ac:dyDescent="0.4">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15" x14ac:dyDescent="0.4">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15" x14ac:dyDescent="0.4">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15" x14ac:dyDescent="0.4">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15" x14ac:dyDescent="0.4">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15" x14ac:dyDescent="0.4">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15" x14ac:dyDescent="0.4">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15" x14ac:dyDescent="0.4">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15" x14ac:dyDescent="0.4">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15" x14ac:dyDescent="0.4">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15" x14ac:dyDescent="0.4">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15" x14ac:dyDescent="0.4">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15" x14ac:dyDescent="0.4">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15" x14ac:dyDescent="0.4">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15" x14ac:dyDescent="0.4">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15" x14ac:dyDescent="0.4">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15" x14ac:dyDescent="0.4">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15" x14ac:dyDescent="0.4">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15" x14ac:dyDescent="0.4">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15" x14ac:dyDescent="0.4">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15" x14ac:dyDescent="0.4">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15" x14ac:dyDescent="0.4">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15" x14ac:dyDescent="0.4">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15" x14ac:dyDescent="0.4">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15" x14ac:dyDescent="0.4">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15" x14ac:dyDescent="0.4">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15" x14ac:dyDescent="0.4">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15" x14ac:dyDescent="0.4">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15" x14ac:dyDescent="0.4">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15" x14ac:dyDescent="0.4">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15" x14ac:dyDescent="0.4">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15" x14ac:dyDescent="0.4">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15" x14ac:dyDescent="0.4">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15" x14ac:dyDescent="0.4">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15" x14ac:dyDescent="0.4">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15" x14ac:dyDescent="0.4">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15" x14ac:dyDescent="0.4">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15" x14ac:dyDescent="0.4">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15" x14ac:dyDescent="0.4">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15" x14ac:dyDescent="0.4">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15" x14ac:dyDescent="0.4">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15" x14ac:dyDescent="0.4">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15" x14ac:dyDescent="0.4">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15" x14ac:dyDescent="0.4">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15" x14ac:dyDescent="0.4">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15" x14ac:dyDescent="0.4">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15" x14ac:dyDescent="0.4">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15" x14ac:dyDescent="0.4">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15" x14ac:dyDescent="0.4">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15" x14ac:dyDescent="0.4">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15" x14ac:dyDescent="0.4">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15" x14ac:dyDescent="0.4">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15" x14ac:dyDescent="0.4">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15" x14ac:dyDescent="0.4">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15" x14ac:dyDescent="0.4">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15" x14ac:dyDescent="0.4">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15" x14ac:dyDescent="0.4">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15" x14ac:dyDescent="0.4">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15" x14ac:dyDescent="0.4">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15" x14ac:dyDescent="0.4">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15" x14ac:dyDescent="0.4">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15" x14ac:dyDescent="0.4">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15" x14ac:dyDescent="0.4">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15" x14ac:dyDescent="0.4">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15" x14ac:dyDescent="0.4">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15" x14ac:dyDescent="0.4">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15" x14ac:dyDescent="0.4">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15" x14ac:dyDescent="0.4">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15" x14ac:dyDescent="0.4">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15" x14ac:dyDescent="0.4">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15" x14ac:dyDescent="0.4">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15" x14ac:dyDescent="0.4">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15" x14ac:dyDescent="0.4">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15" x14ac:dyDescent="0.4">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15" x14ac:dyDescent="0.4">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15" x14ac:dyDescent="0.4">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15" x14ac:dyDescent="0.4">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15" x14ac:dyDescent="0.4">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15" x14ac:dyDescent="0.4">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15" x14ac:dyDescent="0.4">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15" x14ac:dyDescent="0.4">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15" x14ac:dyDescent="0.4">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15" x14ac:dyDescent="0.4">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15" x14ac:dyDescent="0.4">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15" x14ac:dyDescent="0.4">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15" x14ac:dyDescent="0.4">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15" x14ac:dyDescent="0.4">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15" x14ac:dyDescent="0.4">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15" x14ac:dyDescent="0.4">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15" x14ac:dyDescent="0.4">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15" x14ac:dyDescent="0.4">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15" x14ac:dyDescent="0.4">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15" x14ac:dyDescent="0.4">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15" x14ac:dyDescent="0.4">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15" x14ac:dyDescent="0.4">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15" x14ac:dyDescent="0.4">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15" x14ac:dyDescent="0.4">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15" x14ac:dyDescent="0.4">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15" x14ac:dyDescent="0.4">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15" x14ac:dyDescent="0.4">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15" x14ac:dyDescent="0.4">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15" x14ac:dyDescent="0.4">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3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35">
      <c r="A5002" s="46">
        <f>'vHosts (Imported)'!A5002</f>
        <v>0</v>
      </c>
      <c r="C5002" s="49"/>
    </row>
    <row r="5003" spans="1:22" x14ac:dyDescent="0.35">
      <c r="A5003" s="46">
        <f>'vHosts (Imported)'!A5003</f>
        <v>0</v>
      </c>
      <c r="C5003" s="49"/>
    </row>
    <row r="5004" spans="1:22" x14ac:dyDescent="0.35">
      <c r="A5004" s="46">
        <f>'vHosts (Imported)'!A5004</f>
        <v>0</v>
      </c>
      <c r="C5004" s="49"/>
    </row>
    <row r="5005" spans="1:22" x14ac:dyDescent="0.35">
      <c r="A5005" s="46">
        <f>'vHosts (Imported)'!A5005</f>
        <v>0</v>
      </c>
      <c r="C5005" s="49"/>
    </row>
    <row r="5006" spans="1:22" x14ac:dyDescent="0.35">
      <c r="A5006" s="46">
        <f>'vHosts (Imported)'!A5006</f>
        <v>0</v>
      </c>
      <c r="C5006" s="49"/>
    </row>
    <row r="5007" spans="1:22" x14ac:dyDescent="0.35">
      <c r="A5007" s="46">
        <f>'vHosts (Imported)'!A5007</f>
        <v>0</v>
      </c>
      <c r="C5007" s="49"/>
    </row>
    <row r="5008" spans="1:22" x14ac:dyDescent="0.35">
      <c r="A5008" s="46">
        <f>'vHosts (Imported)'!A5008</f>
        <v>0</v>
      </c>
      <c r="C5008" s="49"/>
    </row>
    <row r="5009" spans="1:3" x14ac:dyDescent="0.35">
      <c r="A5009" s="46">
        <f>'vHosts (Imported)'!A5009</f>
        <v>0</v>
      </c>
      <c r="C5009" s="49"/>
    </row>
    <row r="5010" spans="1:3" x14ac:dyDescent="0.35">
      <c r="A5010" s="46">
        <f>'vHosts (Imported)'!A5010</f>
        <v>0</v>
      </c>
      <c r="C5010" s="49"/>
    </row>
    <row r="5011" spans="1:3" x14ac:dyDescent="0.35">
      <c r="A5011" s="46">
        <f>'vHosts (Imported)'!A5011</f>
        <v>0</v>
      </c>
      <c r="C5011" s="49"/>
    </row>
    <row r="5012" spans="1:3" x14ac:dyDescent="0.35">
      <c r="A5012" s="46">
        <f>'vHosts (Imported)'!A5012</f>
        <v>0</v>
      </c>
      <c r="C5012" s="49"/>
    </row>
    <row r="5013" spans="1:3" x14ac:dyDescent="0.35">
      <c r="A5013" s="46">
        <f>'vHosts (Imported)'!A5013</f>
        <v>0</v>
      </c>
      <c r="C5013" s="49"/>
    </row>
    <row r="5014" spans="1:3" x14ac:dyDescent="0.35">
      <c r="A5014" s="46">
        <f>'vHosts (Imported)'!A5014</f>
        <v>0</v>
      </c>
      <c r="C5014" s="49"/>
    </row>
    <row r="5015" spans="1:3" x14ac:dyDescent="0.35">
      <c r="A5015" s="46">
        <f>'vHosts (Imported)'!A5015</f>
        <v>0</v>
      </c>
      <c r="C5015" s="49"/>
    </row>
    <row r="5016" spans="1:3" x14ac:dyDescent="0.35">
      <c r="A5016" s="46">
        <f>'vHosts (Imported)'!A5016</f>
        <v>0</v>
      </c>
      <c r="C5016" s="49"/>
    </row>
    <row r="5017" spans="1:3" x14ac:dyDescent="0.35">
      <c r="A5017" s="46">
        <f>'vHosts (Imported)'!A5017</f>
        <v>0</v>
      </c>
      <c r="C5017" s="49"/>
    </row>
    <row r="5018" spans="1:3" x14ac:dyDescent="0.35">
      <c r="A5018" s="46">
        <f>'vHosts (Imported)'!A5018</f>
        <v>0</v>
      </c>
      <c r="C5018" s="49"/>
    </row>
    <row r="5019" spans="1:3" x14ac:dyDescent="0.35">
      <c r="A5019" s="46">
        <f>'vHosts (Imported)'!A5019</f>
        <v>0</v>
      </c>
      <c r="C5019" s="49"/>
    </row>
    <row r="5020" spans="1:3" x14ac:dyDescent="0.35">
      <c r="A5020" s="46">
        <f>'vHosts (Imported)'!A5020</f>
        <v>0</v>
      </c>
      <c r="C5020" s="49"/>
    </row>
    <row r="5021" spans="1:3" x14ac:dyDescent="0.35">
      <c r="A5021" s="46">
        <f>'vHosts (Imported)'!A5021</f>
        <v>0</v>
      </c>
      <c r="C5021" s="49"/>
    </row>
    <row r="5022" spans="1:3" x14ac:dyDescent="0.35">
      <c r="A5022" s="46">
        <f>'vHosts (Imported)'!A5022</f>
        <v>0</v>
      </c>
      <c r="C5022" s="49"/>
    </row>
    <row r="5023" spans="1:3" x14ac:dyDescent="0.35">
      <c r="A5023" s="46">
        <f>'vHosts (Imported)'!A5023</f>
        <v>0</v>
      </c>
      <c r="C5023" s="49"/>
    </row>
    <row r="5024" spans="1:3" x14ac:dyDescent="0.35">
      <c r="A5024" s="46">
        <f>'vHosts (Imported)'!A5024</f>
        <v>0</v>
      </c>
      <c r="C5024" s="49"/>
    </row>
    <row r="5025" spans="1:3" x14ac:dyDescent="0.35">
      <c r="A5025" s="46">
        <f>'vHosts (Imported)'!A5025</f>
        <v>0</v>
      </c>
      <c r="C5025" s="49"/>
    </row>
    <row r="5026" spans="1:3" x14ac:dyDescent="0.35">
      <c r="A5026" s="46">
        <f>'vHosts (Imported)'!A5026</f>
        <v>0</v>
      </c>
      <c r="C5026" s="49"/>
    </row>
    <row r="5027" spans="1:3" x14ac:dyDescent="0.35">
      <c r="A5027" s="46">
        <f>'vHosts (Imported)'!A5027</f>
        <v>0</v>
      </c>
      <c r="C5027" s="49"/>
    </row>
    <row r="5028" spans="1:3" x14ac:dyDescent="0.35">
      <c r="A5028" s="46">
        <f>'vHosts (Imported)'!A5028</f>
        <v>0</v>
      </c>
      <c r="C5028" s="49"/>
    </row>
    <row r="5029" spans="1:3" x14ac:dyDescent="0.35">
      <c r="A5029" s="46">
        <f>'vHosts (Imported)'!A5029</f>
        <v>0</v>
      </c>
      <c r="C5029" s="49"/>
    </row>
    <row r="5030" spans="1:3" x14ac:dyDescent="0.35">
      <c r="A5030" s="46">
        <f>'vHosts (Imported)'!A5030</f>
        <v>0</v>
      </c>
      <c r="C5030" s="49"/>
    </row>
    <row r="5031" spans="1:3" x14ac:dyDescent="0.35">
      <c r="A5031" s="46">
        <f>'vHosts (Imported)'!A5031</f>
        <v>0</v>
      </c>
      <c r="C5031" s="49"/>
    </row>
    <row r="5032" spans="1:3" x14ac:dyDescent="0.35">
      <c r="A5032" s="46">
        <f>'vHosts (Imported)'!A5032</f>
        <v>0</v>
      </c>
      <c r="C5032" s="49"/>
    </row>
    <row r="5033" spans="1:3" x14ac:dyDescent="0.35">
      <c r="A5033" s="46">
        <f>'vHosts (Imported)'!A5033</f>
        <v>0</v>
      </c>
      <c r="C5033" s="49"/>
    </row>
    <row r="5034" spans="1:3" x14ac:dyDescent="0.35">
      <c r="A5034" s="46">
        <f>'vHosts (Imported)'!A5034</f>
        <v>0</v>
      </c>
      <c r="C5034" s="49"/>
    </row>
    <row r="5035" spans="1:3" x14ac:dyDescent="0.35">
      <c r="A5035" s="46">
        <f>'vHosts (Imported)'!A5035</f>
        <v>0</v>
      </c>
      <c r="C5035" s="49"/>
    </row>
    <row r="5036" spans="1:3" x14ac:dyDescent="0.35">
      <c r="A5036" s="46">
        <f>'vHosts (Imported)'!A5036</f>
        <v>0</v>
      </c>
      <c r="C5036" s="49"/>
    </row>
    <row r="5037" spans="1:3" x14ac:dyDescent="0.35">
      <c r="A5037" s="46">
        <f>'vHosts (Imported)'!A5037</f>
        <v>0</v>
      </c>
      <c r="C5037" s="49"/>
    </row>
    <row r="5038" spans="1:3" x14ac:dyDescent="0.35">
      <c r="A5038" s="46">
        <f>'vHosts (Imported)'!A5038</f>
        <v>0</v>
      </c>
      <c r="C5038" s="49"/>
    </row>
    <row r="5039" spans="1:3" x14ac:dyDescent="0.35">
      <c r="A5039" s="46">
        <f>'vHosts (Imported)'!A5039</f>
        <v>0</v>
      </c>
      <c r="C5039" s="49"/>
    </row>
    <row r="5040" spans="1:3" x14ac:dyDescent="0.35">
      <c r="A5040" s="46">
        <f>'vHosts (Imported)'!A5040</f>
        <v>0</v>
      </c>
      <c r="C5040" s="49"/>
    </row>
    <row r="5041" spans="1:3" x14ac:dyDescent="0.35">
      <c r="A5041" s="46">
        <f>'vHosts (Imported)'!A5041</f>
        <v>0</v>
      </c>
      <c r="C5041" s="49"/>
    </row>
    <row r="5042" spans="1:3" x14ac:dyDescent="0.35">
      <c r="A5042" s="46">
        <f>'vHosts (Imported)'!A5042</f>
        <v>0</v>
      </c>
      <c r="C5042" s="49"/>
    </row>
    <row r="5043" spans="1:3" x14ac:dyDescent="0.35">
      <c r="A5043" s="46">
        <f>'vHosts (Imported)'!A5043</f>
        <v>0</v>
      </c>
      <c r="C5043" s="49"/>
    </row>
    <row r="5044" spans="1:3" x14ac:dyDescent="0.35">
      <c r="A5044" s="46">
        <f>'vHosts (Imported)'!A5044</f>
        <v>0</v>
      </c>
      <c r="C5044" s="49"/>
    </row>
    <row r="5045" spans="1:3" x14ac:dyDescent="0.35">
      <c r="A5045" s="46">
        <f>'vHosts (Imported)'!A5045</f>
        <v>0</v>
      </c>
      <c r="C5045" s="49"/>
    </row>
    <row r="5046" spans="1:3" x14ac:dyDescent="0.35">
      <c r="A5046" s="46">
        <f>'vHosts (Imported)'!A5046</f>
        <v>0</v>
      </c>
      <c r="C5046" s="49"/>
    </row>
    <row r="5047" spans="1:3" x14ac:dyDescent="0.35">
      <c r="A5047" s="46">
        <f>'vHosts (Imported)'!A5047</f>
        <v>0</v>
      </c>
      <c r="C5047" s="49"/>
    </row>
    <row r="5048" spans="1:3" x14ac:dyDescent="0.3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workbookViewId="0">
      <selection activeCell="C16" sqref="C16"/>
    </sheetView>
  </sheetViews>
  <sheetFormatPr defaultRowHeight="12.75" x14ac:dyDescent="0.35"/>
  <cols>
    <col min="2" max="2" width="29.59765625" bestFit="1" customWidth="1"/>
    <col min="3" max="3" width="10.86328125" bestFit="1" customWidth="1"/>
  </cols>
  <sheetData>
    <row r="2" spans="2:6" ht="18" x14ac:dyDescent="0.55000000000000004">
      <c r="B2" s="37" t="s">
        <v>3</v>
      </c>
      <c r="C2" s="37"/>
    </row>
    <row r="3" spans="2:6" ht="14.25" x14ac:dyDescent="0.45">
      <c r="B3" s="2" t="s">
        <v>4</v>
      </c>
      <c r="C3" s="83">
        <f>IF('START HERE'!A99="manual",'START HERE'!A100,Sheet3!G3)</f>
        <v>0</v>
      </c>
      <c r="F3" s="2"/>
    </row>
    <row r="4" spans="2:6" ht="14.25" x14ac:dyDescent="0.45">
      <c r="B4" s="2" t="s">
        <v>5</v>
      </c>
      <c r="C4" s="84">
        <f>IF('START HERE'!A99="manual",0,COUNTIFS(Sheet3!A2:A5000,"&lt;&gt;0"))</f>
        <v>0</v>
      </c>
    </row>
    <row r="5" spans="2:6" x14ac:dyDescent="0.35">
      <c r="C5" s="85"/>
    </row>
    <row r="6" spans="2:6" ht="14.25" x14ac:dyDescent="0.45">
      <c r="B6" s="3" t="s">
        <v>6</v>
      </c>
      <c r="C6" s="85"/>
    </row>
    <row r="7" spans="2:6" ht="14.25" x14ac:dyDescent="0.45">
      <c r="B7" s="2" t="s">
        <v>7</v>
      </c>
      <c r="C7" s="86" t="e">
        <f>IF('START HERE'!A99="manual",'START HERE'!A101,(SUM(C8)/C3))</f>
        <v>#N/A</v>
      </c>
    </row>
    <row r="8" spans="2:6" ht="14.25" x14ac:dyDescent="0.45">
      <c r="B8" s="2" t="s">
        <v>8</v>
      </c>
      <c r="C8" s="87" t="e">
        <f>IF('START HERE'!A99="manual",C7*C3,Sheet3!H3)</f>
        <v>#N/A</v>
      </c>
    </row>
    <row r="9" spans="2:6" ht="14.25" x14ac:dyDescent="0.45">
      <c r="B9" s="2" t="s">
        <v>9</v>
      </c>
      <c r="C9" s="87" t="e">
        <f>IF('START HERE'!A99="manual",0,SUM(Sheet3!C2:C5000))</f>
        <v>#N/A</v>
      </c>
      <c r="D9" s="52"/>
    </row>
    <row r="10" spans="2:6" ht="14.25" x14ac:dyDescent="0.45">
      <c r="B10" s="2" t="s">
        <v>10</v>
      </c>
      <c r="C10" s="88" t="e">
        <f>IF('START HERE'!A99="manual",0,IF(C9&gt;C8,1,ROUNDUP((C8/C9),1)&amp;" : 1"))</f>
        <v>#N/A</v>
      </c>
    </row>
    <row r="11" spans="2:6" ht="14.25" x14ac:dyDescent="0.45">
      <c r="C11" s="89"/>
    </row>
    <row r="12" spans="2:6" ht="14.25" x14ac:dyDescent="0.45">
      <c r="B12" s="3" t="s">
        <v>11</v>
      </c>
      <c r="C12" s="84"/>
    </row>
    <row r="13" spans="2:6" ht="14.25" x14ac:dyDescent="0.45">
      <c r="B13" s="2" t="s">
        <v>12</v>
      </c>
      <c r="C13" s="86" t="e">
        <f>IF('START HERE'!A99="manual",'START HERE'!A102,C14/C3)</f>
        <v>#N/A</v>
      </c>
    </row>
    <row r="14" spans="2:6" ht="14.25" x14ac:dyDescent="0.45">
      <c r="B14" s="2" t="s">
        <v>13</v>
      </c>
      <c r="C14" s="90" t="e">
        <f>IF('START HERE'!A99="manual",C13*C3,Sheet3!I3/1000)</f>
        <v>#N/A</v>
      </c>
    </row>
    <row r="15" spans="2:6" ht="14.25" x14ac:dyDescent="0.45">
      <c r="B15" s="2" t="s">
        <v>14</v>
      </c>
      <c r="C15" s="87" t="e">
        <f>IF('START HERE'!A99="manual",0,SUM(Sheet3!D:D)/1000)</f>
        <v>#N/A</v>
      </c>
    </row>
    <row r="16" spans="2:6" ht="14.25" x14ac:dyDescent="0.45">
      <c r="B16" s="2" t="s">
        <v>15</v>
      </c>
      <c r="C16" s="88" t="e">
        <f>IF('START HERE'!A99="manual",0,IF(C15&gt;C14,1&amp;" : 1",ROUNDUP((C14/C15),1)&amp;" : 1"))</f>
        <v>#N/A</v>
      </c>
    </row>
    <row r="17" spans="2:5" ht="14.25" x14ac:dyDescent="0.45">
      <c r="C17" s="84"/>
    </row>
    <row r="18" spans="2:5" ht="14.25" x14ac:dyDescent="0.45">
      <c r="B18" s="3" t="s">
        <v>16</v>
      </c>
      <c r="C18" s="85"/>
      <c r="E18" s="53"/>
    </row>
    <row r="19" spans="2:5" ht="14.25" x14ac:dyDescent="0.45">
      <c r="B19" s="2" t="s">
        <v>17</v>
      </c>
      <c r="C19" s="90" t="e">
        <f>IF('START HERE'!A99="manual",0,Sheet3!J3/1000000)</f>
        <v>#N/A</v>
      </c>
    </row>
    <row r="20" spans="2:5" ht="14.25" x14ac:dyDescent="0.45">
      <c r="B20" s="2" t="s">
        <v>18</v>
      </c>
      <c r="C20" s="86" t="e">
        <f>IF('START HERE'!A99="manual",(C3*C22)/1000,Sheet3!K3/1000000)</f>
        <v>#N/A</v>
      </c>
    </row>
    <row r="21" spans="2:5" ht="14.25" x14ac:dyDescent="0.45">
      <c r="B21" s="2" t="s">
        <v>19</v>
      </c>
      <c r="C21" s="91" t="e">
        <f>IF('START HERE'!A99="manual",0,C19/C20)</f>
        <v>#N/A</v>
      </c>
    </row>
    <row r="22" spans="2:5" ht="14.25" x14ac:dyDescent="0.45">
      <c r="B22" s="2" t="s">
        <v>20</v>
      </c>
      <c r="C22" s="92" t="e">
        <f>IF('START HERE'!A99="manual",'START HERE'!A103/1000,(C20*1000)/C3)</f>
        <v>#N/A</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A518"/>
  <sheetViews>
    <sheetView workbookViewId="0">
      <selection sqref="A1:XFD1048576"/>
    </sheetView>
  </sheetViews>
  <sheetFormatPr defaultColWidth="9.1328125" defaultRowHeight="11.25" x14ac:dyDescent="0.3"/>
  <cols>
    <col min="1" max="1" width="49.9296875" style="64" customWidth="1"/>
    <col min="2" max="2" width="15.53125" style="64" customWidth="1"/>
    <col min="3" max="3" width="13.53125" style="64" customWidth="1"/>
    <col min="4" max="4" width="20.59765625" style="64" customWidth="1"/>
    <col min="5" max="5" width="17.265625" style="64" customWidth="1"/>
    <col min="6" max="6" width="29.1328125" style="64" customWidth="1"/>
    <col min="7" max="7" width="20.796875" style="64" customWidth="1"/>
    <col min="8" max="8" width="15.53125" style="64" customWidth="1"/>
    <col min="9" max="9" width="14.1328125" style="64" customWidth="1"/>
    <col min="10" max="10" width="25.53125" style="64" customWidth="1"/>
    <col min="11" max="11" width="18.796875" style="67" customWidth="1"/>
    <col min="12" max="12" width="17.6640625" style="67" customWidth="1"/>
    <col min="13" max="13" width="18.796875" style="67" customWidth="1"/>
    <col min="14" max="14" width="19.59765625" style="67" customWidth="1"/>
    <col min="15" max="15" width="9.46484375" style="65" customWidth="1"/>
    <col min="16" max="16" width="12.265625" style="65" customWidth="1"/>
    <col min="17" max="17" width="9.19921875" style="65" customWidth="1"/>
    <col min="18" max="18" width="9.73046875" style="65" customWidth="1"/>
    <col min="19" max="19" width="31.59765625" style="64" customWidth="1"/>
    <col min="20" max="20" width="22.796875" style="64" customWidth="1"/>
    <col min="21" max="21" width="16.1328125" style="64" customWidth="1"/>
    <col min="22" max="22" width="8.265625" style="64" customWidth="1"/>
    <col min="23" max="23" width="23.265625" style="64" customWidth="1"/>
    <col min="24" max="25" width="54.796875" style="64" customWidth="1"/>
    <col min="26" max="26" width="40.59765625" style="64" customWidth="1"/>
    <col min="27" max="31" width="16.06640625" style="64" customWidth="1"/>
    <col min="32" max="32" width="18.06640625" style="65" customWidth="1"/>
    <col min="33" max="33" width="18.6640625" style="65" customWidth="1"/>
    <col min="34" max="34" width="40.3984375" style="64" customWidth="1"/>
    <col min="35" max="35" width="10.59765625" style="64" customWidth="1"/>
    <col min="36" max="36" width="9.3984375" style="64" customWidth="1"/>
    <col min="37" max="37" width="19" style="64" customWidth="1"/>
    <col min="38" max="38" width="14" style="64" customWidth="1"/>
    <col min="39" max="39" width="14.9296875" style="64" customWidth="1"/>
    <col min="40" max="40" width="17.73046875" style="65" customWidth="1"/>
    <col min="41" max="41" width="19.46484375" style="65" customWidth="1"/>
    <col min="42" max="42" width="20" style="65" customWidth="1"/>
    <col min="43" max="43" width="14.9296875" style="65" customWidth="1"/>
    <col min="44" max="44" width="17.86328125" style="65" customWidth="1"/>
    <col min="45" max="45" width="22.73046875" style="64" customWidth="1"/>
    <col min="46" max="46" width="26.33203125" style="64" customWidth="1"/>
    <col min="47" max="47" width="21.86328125" style="64" customWidth="1"/>
    <col min="48" max="48" width="18.6640625" style="64" customWidth="1"/>
    <col min="49" max="49" width="24.53125" style="64" customWidth="1"/>
    <col min="50" max="50" width="18.265625" style="64" customWidth="1"/>
    <col min="51" max="51" width="14.73046875" style="65" customWidth="1"/>
    <col min="52" max="52" width="20.06640625" style="65" customWidth="1"/>
    <col min="53" max="53" width="22.53125" style="64" customWidth="1"/>
    <col min="54" max="54" width="20.46484375" style="64" customWidth="1"/>
    <col min="55" max="55" width="13.73046875" style="64" customWidth="1"/>
    <col min="56" max="56" width="15.59765625" style="65" customWidth="1"/>
    <col min="57" max="57" width="23" style="64" customWidth="1"/>
    <col min="58" max="58" width="22.73046875" style="64" customWidth="1"/>
    <col min="59" max="59" width="14.3984375" style="64" customWidth="1"/>
    <col min="60" max="60" width="139.46484375" style="64" customWidth="1"/>
    <col min="61" max="63" width="87.06640625" style="64" customWidth="1"/>
    <col min="64" max="64" width="146.06640625" style="64" customWidth="1"/>
    <col min="65" max="65" width="42.53125" style="64" customWidth="1"/>
    <col min="66" max="66" width="46.53125" style="64" customWidth="1"/>
    <col min="67" max="67" width="41.6640625" style="64" customWidth="1"/>
    <col min="68" max="68" width="18.265625" style="64" customWidth="1"/>
    <col min="69" max="69" width="12.86328125" style="64" customWidth="1"/>
    <col min="70" max="70" width="24.06640625" style="64" customWidth="1"/>
    <col min="71" max="72" width="43.3984375" style="64" customWidth="1"/>
    <col min="73" max="73" width="11.86328125" style="64" customWidth="1"/>
    <col min="74" max="74" width="39" style="64" customWidth="1"/>
    <col min="75" max="75" width="41.6640625" style="64" customWidth="1"/>
    <col min="76" max="76" width="23.33203125" style="64" customWidth="1"/>
    <col min="77" max="77" width="22.265625" style="64" customWidth="1"/>
    <col min="78" max="78" width="18.265625" style="64" customWidth="1"/>
    <col min="79" max="79" width="38" style="64" customWidth="1"/>
    <col min="80" max="80" width="9.1328125" style="63" customWidth="1"/>
    <col min="81" max="16384" width="9.1328125" style="63"/>
  </cols>
  <sheetData>
    <row r="1" spans="1:79" x14ac:dyDescent="0.3">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row>
    <row r="2" spans="1:79" x14ac:dyDescent="0.3">
      <c r="BX2" s="93"/>
    </row>
    <row r="3" spans="1:79" x14ac:dyDescent="0.3">
      <c r="BX3" s="93"/>
    </row>
    <row r="4" spans="1:79" x14ac:dyDescent="0.3">
      <c r="BX4" s="93"/>
    </row>
    <row r="5" spans="1:79" x14ac:dyDescent="0.3">
      <c r="BX5" s="93"/>
    </row>
    <row r="6" spans="1:79" x14ac:dyDescent="0.3">
      <c r="BX6" s="93"/>
    </row>
    <row r="7" spans="1:79" x14ac:dyDescent="0.3">
      <c r="BX7" s="93"/>
    </row>
    <row r="8" spans="1:79" x14ac:dyDescent="0.3">
      <c r="BX8" s="93"/>
    </row>
    <row r="9" spans="1:79" x14ac:dyDescent="0.3">
      <c r="BX9" s="93"/>
    </row>
    <row r="10" spans="1:79" x14ac:dyDescent="0.3">
      <c r="BX10" s="93"/>
    </row>
    <row r="11" spans="1:79" x14ac:dyDescent="0.3">
      <c r="BX11" s="93"/>
    </row>
    <row r="12" spans="1:79" x14ac:dyDescent="0.3">
      <c r="BX12" s="93"/>
    </row>
    <row r="13" spans="1:79" x14ac:dyDescent="0.3">
      <c r="BX13" s="93"/>
    </row>
    <row r="14" spans="1:79" x14ac:dyDescent="0.3">
      <c r="BX14" s="93"/>
    </row>
    <row r="15" spans="1:79" x14ac:dyDescent="0.3">
      <c r="BX15" s="93"/>
    </row>
    <row r="16" spans="1:79" x14ac:dyDescent="0.3">
      <c r="BX16" s="93"/>
    </row>
    <row r="17" spans="76:76" x14ac:dyDescent="0.3">
      <c r="BX17" s="93"/>
    </row>
    <row r="18" spans="76:76" x14ac:dyDescent="0.3">
      <c r="BX18" s="93"/>
    </row>
    <row r="19" spans="76:76" x14ac:dyDescent="0.3">
      <c r="BX19" s="93"/>
    </row>
    <row r="20" spans="76:76" x14ac:dyDescent="0.3">
      <c r="BX20" s="93"/>
    </row>
    <row r="21" spans="76:76" x14ac:dyDescent="0.3">
      <c r="BX21" s="93"/>
    </row>
    <row r="22" spans="76:76" x14ac:dyDescent="0.3">
      <c r="BX22" s="93"/>
    </row>
    <row r="23" spans="76:76" x14ac:dyDescent="0.3">
      <c r="BX23" s="93"/>
    </row>
    <row r="24" spans="76:76" x14ac:dyDescent="0.3">
      <c r="BX24" s="93"/>
    </row>
    <row r="25" spans="76:76" x14ac:dyDescent="0.3">
      <c r="BX25" s="93"/>
    </row>
    <row r="26" spans="76:76" x14ac:dyDescent="0.3">
      <c r="BX26" s="93"/>
    </row>
    <row r="27" spans="76:76" x14ac:dyDescent="0.3">
      <c r="BX27" s="93"/>
    </row>
    <row r="28" spans="76:76" x14ac:dyDescent="0.3">
      <c r="BX28" s="93"/>
    </row>
    <row r="29" spans="76:76" x14ac:dyDescent="0.3">
      <c r="BX29" s="93"/>
    </row>
    <row r="30" spans="76:76" x14ac:dyDescent="0.3">
      <c r="BX30" s="93"/>
    </row>
    <row r="31" spans="76:76" x14ac:dyDescent="0.3">
      <c r="BX31" s="93"/>
    </row>
    <row r="32" spans="76:76" x14ac:dyDescent="0.3">
      <c r="BX32" s="93"/>
    </row>
    <row r="33" spans="76:76" x14ac:dyDescent="0.3">
      <c r="BX33" s="93"/>
    </row>
    <row r="34" spans="76:76" x14ac:dyDescent="0.3">
      <c r="BX34" s="93"/>
    </row>
    <row r="35" spans="76:76" x14ac:dyDescent="0.3">
      <c r="BX35" s="93"/>
    </row>
    <row r="36" spans="76:76" x14ac:dyDescent="0.3">
      <c r="BX36" s="93"/>
    </row>
    <row r="37" spans="76:76" x14ac:dyDescent="0.3">
      <c r="BX37" s="93"/>
    </row>
    <row r="38" spans="76:76" x14ac:dyDescent="0.3">
      <c r="BX38" s="93"/>
    </row>
    <row r="39" spans="76:76" x14ac:dyDescent="0.3">
      <c r="BX39" s="93"/>
    </row>
    <row r="40" spans="76:76" x14ac:dyDescent="0.3">
      <c r="BX40" s="93"/>
    </row>
    <row r="41" spans="76:76" x14ac:dyDescent="0.3">
      <c r="BX41" s="93"/>
    </row>
    <row r="42" spans="76:76" x14ac:dyDescent="0.3">
      <c r="BX42" s="93"/>
    </row>
    <row r="43" spans="76:76" x14ac:dyDescent="0.3">
      <c r="BX43" s="93"/>
    </row>
    <row r="44" spans="76:76" x14ac:dyDescent="0.3">
      <c r="BX44" s="93"/>
    </row>
    <row r="45" spans="76:76" x14ac:dyDescent="0.3">
      <c r="BX45" s="93"/>
    </row>
    <row r="46" spans="76:76" x14ac:dyDescent="0.3">
      <c r="BX46" s="93"/>
    </row>
    <row r="47" spans="76:76" x14ac:dyDescent="0.3">
      <c r="BX47" s="93"/>
    </row>
    <row r="48" spans="76:76" x14ac:dyDescent="0.3">
      <c r="BX48" s="93"/>
    </row>
    <row r="49" spans="76:76" x14ac:dyDescent="0.3">
      <c r="BX49" s="93"/>
    </row>
    <row r="50" spans="76:76" x14ac:dyDescent="0.3">
      <c r="BX50" s="93"/>
    </row>
    <row r="51" spans="76:76" x14ac:dyDescent="0.3">
      <c r="BX51" s="93"/>
    </row>
    <row r="52" spans="76:76" x14ac:dyDescent="0.3">
      <c r="BX52" s="93"/>
    </row>
    <row r="53" spans="76:76" x14ac:dyDescent="0.3">
      <c r="BX53" s="93"/>
    </row>
    <row r="54" spans="76:76" x14ac:dyDescent="0.3">
      <c r="BX54" s="93"/>
    </row>
    <row r="55" spans="76:76" x14ac:dyDescent="0.3">
      <c r="BX55" s="93"/>
    </row>
    <row r="56" spans="76:76" x14ac:dyDescent="0.3">
      <c r="BX56" s="93"/>
    </row>
    <row r="57" spans="76:76" x14ac:dyDescent="0.3">
      <c r="BX57" s="93"/>
    </row>
    <row r="58" spans="76:76" x14ac:dyDescent="0.3">
      <c r="BX58" s="93"/>
    </row>
    <row r="59" spans="76:76" x14ac:dyDescent="0.3">
      <c r="BX59" s="93"/>
    </row>
    <row r="60" spans="76:76" x14ac:dyDescent="0.3">
      <c r="BX60" s="93"/>
    </row>
    <row r="61" spans="76:76" x14ac:dyDescent="0.3">
      <c r="BX61" s="93"/>
    </row>
    <row r="62" spans="76:76" x14ac:dyDescent="0.3">
      <c r="BX62" s="93"/>
    </row>
    <row r="63" spans="76:76" x14ac:dyDescent="0.3">
      <c r="BX63" s="93"/>
    </row>
    <row r="64" spans="76:76" x14ac:dyDescent="0.3">
      <c r="BX64" s="93"/>
    </row>
    <row r="65" spans="76:76" x14ac:dyDescent="0.3">
      <c r="BX65" s="93"/>
    </row>
    <row r="66" spans="76:76" x14ac:dyDescent="0.3">
      <c r="BX66" s="93"/>
    </row>
    <row r="67" spans="76:76" x14ac:dyDescent="0.3">
      <c r="BX67" s="93"/>
    </row>
    <row r="68" spans="76:76" x14ac:dyDescent="0.3">
      <c r="BX68" s="93"/>
    </row>
    <row r="69" spans="76:76" x14ac:dyDescent="0.3">
      <c r="BX69" s="93"/>
    </row>
    <row r="70" spans="76:76" x14ac:dyDescent="0.3">
      <c r="BX70" s="93"/>
    </row>
    <row r="71" spans="76:76" x14ac:dyDescent="0.3">
      <c r="BX71" s="93"/>
    </row>
    <row r="72" spans="76:76" x14ac:dyDescent="0.3">
      <c r="BX72" s="93"/>
    </row>
    <row r="73" spans="76:76" x14ac:dyDescent="0.3">
      <c r="BX73" s="93"/>
    </row>
    <row r="74" spans="76:76" x14ac:dyDescent="0.3">
      <c r="BX74" s="93"/>
    </row>
    <row r="75" spans="76:76" x14ac:dyDescent="0.3">
      <c r="BX75" s="93"/>
    </row>
    <row r="76" spans="76:76" x14ac:dyDescent="0.3">
      <c r="BX76" s="93"/>
    </row>
    <row r="77" spans="76:76" x14ac:dyDescent="0.3">
      <c r="BX77" s="93"/>
    </row>
    <row r="78" spans="76:76" x14ac:dyDescent="0.3">
      <c r="BX78" s="93"/>
    </row>
    <row r="79" spans="76:76" x14ac:dyDescent="0.3">
      <c r="BX79" s="93"/>
    </row>
    <row r="80" spans="76:76" x14ac:dyDescent="0.3">
      <c r="BX80" s="93"/>
    </row>
    <row r="81" spans="76:76" x14ac:dyDescent="0.3">
      <c r="BX81" s="93"/>
    </row>
    <row r="82" spans="76:76" x14ac:dyDescent="0.3">
      <c r="BX82" s="93"/>
    </row>
    <row r="83" spans="76:76" x14ac:dyDescent="0.3">
      <c r="BX83" s="93"/>
    </row>
    <row r="84" spans="76:76" x14ac:dyDescent="0.3">
      <c r="BX84" s="93"/>
    </row>
    <row r="85" spans="76:76" x14ac:dyDescent="0.3">
      <c r="BX85" s="93"/>
    </row>
    <row r="86" spans="76:76" x14ac:dyDescent="0.3">
      <c r="BX86" s="93"/>
    </row>
    <row r="87" spans="76:76" x14ac:dyDescent="0.3">
      <c r="BX87" s="93"/>
    </row>
    <row r="88" spans="76:76" x14ac:dyDescent="0.3">
      <c r="BX88" s="93"/>
    </row>
    <row r="89" spans="76:76" x14ac:dyDescent="0.3">
      <c r="BX89" s="93"/>
    </row>
    <row r="90" spans="76:76" x14ac:dyDescent="0.3">
      <c r="BX90" s="93"/>
    </row>
    <row r="91" spans="76:76" x14ac:dyDescent="0.3">
      <c r="BX91" s="93"/>
    </row>
    <row r="92" spans="76:76" x14ac:dyDescent="0.3">
      <c r="BX92" s="93"/>
    </row>
    <row r="93" spans="76:76" x14ac:dyDescent="0.3">
      <c r="BX93" s="93"/>
    </row>
    <row r="94" spans="76:76" x14ac:dyDescent="0.3">
      <c r="BX94" s="93"/>
    </row>
    <row r="95" spans="76:76" x14ac:dyDescent="0.3">
      <c r="BX95" s="93"/>
    </row>
    <row r="96" spans="76:76" x14ac:dyDescent="0.3">
      <c r="BX96" s="93"/>
    </row>
    <row r="97" spans="76:76" x14ac:dyDescent="0.3">
      <c r="BX97" s="93"/>
    </row>
    <row r="98" spans="76:76" x14ac:dyDescent="0.3">
      <c r="BX98" s="93"/>
    </row>
    <row r="99" spans="76:76" x14ac:dyDescent="0.3">
      <c r="BX99" s="93"/>
    </row>
    <row r="100" spans="76:76" x14ac:dyDescent="0.3">
      <c r="BX100" s="93"/>
    </row>
    <row r="101" spans="76:76" x14ac:dyDescent="0.3">
      <c r="BX101" s="93"/>
    </row>
    <row r="102" spans="76:76" x14ac:dyDescent="0.3">
      <c r="BX102" s="93"/>
    </row>
    <row r="103" spans="76:76" x14ac:dyDescent="0.3">
      <c r="BX103" s="93"/>
    </row>
    <row r="104" spans="76:76" x14ac:dyDescent="0.3">
      <c r="BX104" s="93"/>
    </row>
    <row r="105" spans="76:76" x14ac:dyDescent="0.3">
      <c r="BX105" s="93"/>
    </row>
    <row r="106" spans="76:76" x14ac:dyDescent="0.3">
      <c r="BX106" s="93"/>
    </row>
    <row r="107" spans="76:76" x14ac:dyDescent="0.3">
      <c r="BX107" s="93"/>
    </row>
    <row r="108" spans="76:76" x14ac:dyDescent="0.3">
      <c r="BX108" s="93"/>
    </row>
    <row r="109" spans="76:76" x14ac:dyDescent="0.3">
      <c r="BX109" s="93"/>
    </row>
    <row r="110" spans="76:76" x14ac:dyDescent="0.3">
      <c r="BX110" s="93"/>
    </row>
    <row r="111" spans="76:76" x14ac:dyDescent="0.3">
      <c r="BX111" s="93"/>
    </row>
    <row r="112" spans="76:76" x14ac:dyDescent="0.3">
      <c r="BX112" s="93"/>
    </row>
    <row r="113" spans="76:76" x14ac:dyDescent="0.3">
      <c r="BX113" s="93"/>
    </row>
    <row r="114" spans="76:76" x14ac:dyDescent="0.3">
      <c r="BX114" s="93"/>
    </row>
    <row r="115" spans="76:76" x14ac:dyDescent="0.3">
      <c r="BX115" s="93"/>
    </row>
    <row r="116" spans="76:76" x14ac:dyDescent="0.3">
      <c r="BX116" s="93"/>
    </row>
    <row r="117" spans="76:76" x14ac:dyDescent="0.3">
      <c r="BX117" s="93"/>
    </row>
    <row r="118" spans="76:76" x14ac:dyDescent="0.3">
      <c r="BX118" s="93"/>
    </row>
    <row r="119" spans="76:76" x14ac:dyDescent="0.3">
      <c r="BX119" s="93"/>
    </row>
    <row r="120" spans="76:76" x14ac:dyDescent="0.3">
      <c r="BX120" s="93"/>
    </row>
    <row r="121" spans="76:76" x14ac:dyDescent="0.3">
      <c r="BX121" s="93"/>
    </row>
    <row r="122" spans="76:76" x14ac:dyDescent="0.3">
      <c r="BX122" s="93"/>
    </row>
    <row r="123" spans="76:76" x14ac:dyDescent="0.3">
      <c r="BX123" s="93"/>
    </row>
    <row r="124" spans="76:76" x14ac:dyDescent="0.3">
      <c r="BX124" s="93"/>
    </row>
    <row r="125" spans="76:76" x14ac:dyDescent="0.3">
      <c r="BX125" s="93"/>
    </row>
    <row r="126" spans="76:76" x14ac:dyDescent="0.3">
      <c r="BX126" s="93"/>
    </row>
    <row r="127" spans="76:76" x14ac:dyDescent="0.3">
      <c r="BX127" s="93"/>
    </row>
    <row r="128" spans="76:76" x14ac:dyDescent="0.3">
      <c r="BX128" s="93"/>
    </row>
    <row r="129" spans="76:76" x14ac:dyDescent="0.3">
      <c r="BX129" s="93"/>
    </row>
    <row r="130" spans="76:76" x14ac:dyDescent="0.3">
      <c r="BX130" s="93"/>
    </row>
    <row r="131" spans="76:76" x14ac:dyDescent="0.3">
      <c r="BX131" s="93"/>
    </row>
    <row r="132" spans="76:76" x14ac:dyDescent="0.3">
      <c r="BX132" s="93"/>
    </row>
    <row r="133" spans="76:76" x14ac:dyDescent="0.3">
      <c r="BX133" s="93"/>
    </row>
    <row r="134" spans="76:76" x14ac:dyDescent="0.3">
      <c r="BX134" s="93"/>
    </row>
    <row r="135" spans="76:76" x14ac:dyDescent="0.3">
      <c r="BX135" s="93"/>
    </row>
    <row r="136" spans="76:76" x14ac:dyDescent="0.3">
      <c r="BX136" s="93"/>
    </row>
    <row r="137" spans="76:76" x14ac:dyDescent="0.3">
      <c r="BX137" s="93"/>
    </row>
    <row r="138" spans="76:76" x14ac:dyDescent="0.3">
      <c r="BX138" s="93"/>
    </row>
    <row r="139" spans="76:76" x14ac:dyDescent="0.3">
      <c r="BX139" s="93"/>
    </row>
    <row r="140" spans="76:76" x14ac:dyDescent="0.3">
      <c r="BX140" s="93"/>
    </row>
    <row r="141" spans="76:76" x14ac:dyDescent="0.3">
      <c r="BX141" s="93"/>
    </row>
    <row r="142" spans="76:76" x14ac:dyDescent="0.3">
      <c r="BX142" s="93"/>
    </row>
    <row r="143" spans="76:76" x14ac:dyDescent="0.3">
      <c r="BX143" s="93"/>
    </row>
    <row r="144" spans="76:76" x14ac:dyDescent="0.3">
      <c r="BX144" s="93"/>
    </row>
    <row r="145" spans="76:76" x14ac:dyDescent="0.3">
      <c r="BX145" s="93"/>
    </row>
    <row r="146" spans="76:76" x14ac:dyDescent="0.3">
      <c r="BX146" s="93"/>
    </row>
    <row r="147" spans="76:76" x14ac:dyDescent="0.3">
      <c r="BX147" s="93"/>
    </row>
    <row r="148" spans="76:76" x14ac:dyDescent="0.3">
      <c r="BX148" s="93"/>
    </row>
    <row r="149" spans="76:76" x14ac:dyDescent="0.3">
      <c r="BX149" s="93"/>
    </row>
    <row r="150" spans="76:76" x14ac:dyDescent="0.3">
      <c r="BX150" s="93"/>
    </row>
    <row r="151" spans="76:76" x14ac:dyDescent="0.3">
      <c r="BX151" s="93"/>
    </row>
    <row r="152" spans="76:76" x14ac:dyDescent="0.3">
      <c r="BX152" s="93"/>
    </row>
    <row r="153" spans="76:76" x14ac:dyDescent="0.3">
      <c r="BX153" s="93"/>
    </row>
    <row r="154" spans="76:76" x14ac:dyDescent="0.3">
      <c r="BX154" s="93"/>
    </row>
    <row r="155" spans="76:76" x14ac:dyDescent="0.3">
      <c r="BX155" s="93"/>
    </row>
    <row r="156" spans="76:76" x14ac:dyDescent="0.3">
      <c r="BX156" s="93"/>
    </row>
    <row r="157" spans="76:76" x14ac:dyDescent="0.3">
      <c r="BX157" s="93"/>
    </row>
    <row r="158" spans="76:76" x14ac:dyDescent="0.3">
      <c r="BX158" s="93"/>
    </row>
    <row r="159" spans="76:76" x14ac:dyDescent="0.3">
      <c r="BX159" s="93"/>
    </row>
    <row r="160" spans="76:76" x14ac:dyDescent="0.3">
      <c r="BX160" s="93"/>
    </row>
    <row r="161" spans="76:76" x14ac:dyDescent="0.3">
      <c r="BX161" s="93"/>
    </row>
    <row r="162" spans="76:76" x14ac:dyDescent="0.3">
      <c r="BX162" s="93"/>
    </row>
    <row r="163" spans="76:76" x14ac:dyDescent="0.3">
      <c r="BX163" s="93"/>
    </row>
    <row r="164" spans="76:76" x14ac:dyDescent="0.3">
      <c r="BX164" s="93"/>
    </row>
    <row r="165" spans="76:76" x14ac:dyDescent="0.3">
      <c r="BX165" s="93"/>
    </row>
    <row r="166" spans="76:76" x14ac:dyDescent="0.3">
      <c r="BX166" s="93"/>
    </row>
    <row r="167" spans="76:76" x14ac:dyDescent="0.3">
      <c r="BX167" s="93"/>
    </row>
    <row r="168" spans="76:76" x14ac:dyDescent="0.3">
      <c r="BX168" s="93"/>
    </row>
    <row r="169" spans="76:76" x14ac:dyDescent="0.3">
      <c r="BX169" s="93"/>
    </row>
    <row r="170" spans="76:76" x14ac:dyDescent="0.3">
      <c r="BX170" s="93"/>
    </row>
    <row r="171" spans="76:76" x14ac:dyDescent="0.3">
      <c r="BX171" s="93"/>
    </row>
    <row r="172" spans="76:76" x14ac:dyDescent="0.3">
      <c r="BX172" s="93"/>
    </row>
    <row r="173" spans="76:76" x14ac:dyDescent="0.3">
      <c r="BX173" s="93"/>
    </row>
    <row r="174" spans="76:76" x14ac:dyDescent="0.3">
      <c r="BX174" s="93"/>
    </row>
    <row r="175" spans="76:76" x14ac:dyDescent="0.3">
      <c r="BX175" s="93"/>
    </row>
    <row r="176" spans="76:76" x14ac:dyDescent="0.3">
      <c r="BX176" s="93"/>
    </row>
    <row r="177" spans="76:76" x14ac:dyDescent="0.3">
      <c r="BX177" s="93"/>
    </row>
    <row r="178" spans="76:76" x14ac:dyDescent="0.3">
      <c r="BX178" s="93"/>
    </row>
    <row r="179" spans="76:76" x14ac:dyDescent="0.3">
      <c r="BX179" s="93"/>
    </row>
    <row r="180" spans="76:76" x14ac:dyDescent="0.3">
      <c r="BX180" s="93"/>
    </row>
    <row r="181" spans="76:76" x14ac:dyDescent="0.3">
      <c r="BX181" s="93"/>
    </row>
    <row r="182" spans="76:76" x14ac:dyDescent="0.3">
      <c r="BX182" s="93"/>
    </row>
    <row r="183" spans="76:76" x14ac:dyDescent="0.3">
      <c r="BX183" s="93"/>
    </row>
    <row r="184" spans="76:76" x14ac:dyDescent="0.3">
      <c r="BX184" s="93"/>
    </row>
    <row r="185" spans="76:76" x14ac:dyDescent="0.3">
      <c r="BX185" s="93"/>
    </row>
    <row r="186" spans="76:76" x14ac:dyDescent="0.3">
      <c r="BX186" s="93"/>
    </row>
    <row r="187" spans="76:76" x14ac:dyDescent="0.3">
      <c r="BX187" s="93"/>
    </row>
    <row r="188" spans="76:76" x14ac:dyDescent="0.3">
      <c r="BX188" s="93"/>
    </row>
    <row r="189" spans="76:76" x14ac:dyDescent="0.3">
      <c r="BX189" s="93"/>
    </row>
    <row r="190" spans="76:76" x14ac:dyDescent="0.3">
      <c r="BX190" s="93"/>
    </row>
    <row r="191" spans="76:76" x14ac:dyDescent="0.3">
      <c r="BX191" s="93"/>
    </row>
    <row r="192" spans="76:76" x14ac:dyDescent="0.3">
      <c r="BX192" s="93"/>
    </row>
    <row r="193" spans="76:76" x14ac:dyDescent="0.3">
      <c r="BX193" s="93"/>
    </row>
    <row r="194" spans="76:76" x14ac:dyDescent="0.3">
      <c r="BX194" s="93"/>
    </row>
    <row r="195" spans="76:76" x14ac:dyDescent="0.3">
      <c r="BX195" s="93"/>
    </row>
    <row r="196" spans="76:76" x14ac:dyDescent="0.3">
      <c r="BX196" s="93"/>
    </row>
    <row r="197" spans="76:76" x14ac:dyDescent="0.3">
      <c r="BX197" s="93"/>
    </row>
    <row r="198" spans="76:76" x14ac:dyDescent="0.3">
      <c r="BX198" s="93"/>
    </row>
    <row r="199" spans="76:76" x14ac:dyDescent="0.3">
      <c r="BX199" s="93"/>
    </row>
    <row r="200" spans="76:76" x14ac:dyDescent="0.3">
      <c r="BX200" s="93"/>
    </row>
    <row r="201" spans="76:76" x14ac:dyDescent="0.3">
      <c r="BX201" s="93"/>
    </row>
    <row r="202" spans="76:76" x14ac:dyDescent="0.3">
      <c r="BX202" s="93"/>
    </row>
    <row r="203" spans="76:76" x14ac:dyDescent="0.3">
      <c r="BX203" s="93"/>
    </row>
    <row r="204" spans="76:76" x14ac:dyDescent="0.3">
      <c r="BX204" s="93"/>
    </row>
    <row r="205" spans="76:76" x14ac:dyDescent="0.3">
      <c r="BX205" s="93"/>
    </row>
    <row r="206" spans="76:76" x14ac:dyDescent="0.3">
      <c r="BX206" s="93"/>
    </row>
    <row r="207" spans="76:76" x14ac:dyDescent="0.3">
      <c r="BX207" s="93"/>
    </row>
    <row r="208" spans="76:76" x14ac:dyDescent="0.3">
      <c r="BX208" s="93"/>
    </row>
    <row r="209" spans="76:76" x14ac:dyDescent="0.3">
      <c r="BX209" s="93"/>
    </row>
    <row r="210" spans="76:76" x14ac:dyDescent="0.3">
      <c r="BX210" s="93"/>
    </row>
    <row r="211" spans="76:76" x14ac:dyDescent="0.3">
      <c r="BX211" s="93"/>
    </row>
    <row r="212" spans="76:76" x14ac:dyDescent="0.3">
      <c r="BX212" s="93"/>
    </row>
    <row r="213" spans="76:76" x14ac:dyDescent="0.3">
      <c r="BX213" s="93"/>
    </row>
    <row r="214" spans="76:76" x14ac:dyDescent="0.3">
      <c r="BX214" s="93"/>
    </row>
    <row r="215" spans="76:76" x14ac:dyDescent="0.3">
      <c r="BX215" s="93"/>
    </row>
    <row r="216" spans="76:76" x14ac:dyDescent="0.3">
      <c r="BX216" s="93"/>
    </row>
    <row r="217" spans="76:76" x14ac:dyDescent="0.3">
      <c r="BX217" s="93"/>
    </row>
    <row r="218" spans="76:76" x14ac:dyDescent="0.3">
      <c r="BX218" s="93"/>
    </row>
    <row r="219" spans="76:76" x14ac:dyDescent="0.3">
      <c r="BX219" s="93"/>
    </row>
    <row r="220" spans="76:76" x14ac:dyDescent="0.3">
      <c r="BX220" s="93"/>
    </row>
    <row r="221" spans="76:76" x14ac:dyDescent="0.3">
      <c r="BX221" s="93"/>
    </row>
    <row r="222" spans="76:76" x14ac:dyDescent="0.3">
      <c r="BX222" s="93"/>
    </row>
    <row r="223" spans="76:76" x14ac:dyDescent="0.3">
      <c r="BX223" s="93"/>
    </row>
    <row r="224" spans="76:76" x14ac:dyDescent="0.3">
      <c r="BX224" s="93"/>
    </row>
    <row r="225" spans="64:76" x14ac:dyDescent="0.3">
      <c r="BX225" s="93"/>
    </row>
    <row r="226" spans="64:76" x14ac:dyDescent="0.3">
      <c r="BX226" s="93"/>
    </row>
    <row r="227" spans="64:76" x14ac:dyDescent="0.3">
      <c r="BX227" s="93"/>
    </row>
    <row r="228" spans="64:76" x14ac:dyDescent="0.3">
      <c r="BX228" s="93"/>
    </row>
    <row r="229" spans="64:76" x14ac:dyDescent="0.3">
      <c r="BX229" s="93"/>
    </row>
    <row r="230" spans="64:76" x14ac:dyDescent="0.3">
      <c r="BX230" s="93"/>
    </row>
    <row r="231" spans="64:76" x14ac:dyDescent="0.3">
      <c r="BX231" s="93"/>
    </row>
    <row r="232" spans="64:76" x14ac:dyDescent="0.3">
      <c r="BX232" s="93"/>
    </row>
    <row r="233" spans="64:76" x14ac:dyDescent="0.3">
      <c r="BX233" s="93"/>
    </row>
    <row r="234" spans="64:76" x14ac:dyDescent="0.3">
      <c r="BX234" s="93"/>
    </row>
    <row r="235" spans="64:76" x14ac:dyDescent="0.3">
      <c r="BX235" s="93"/>
    </row>
    <row r="236" spans="64:76" x14ac:dyDescent="0.3">
      <c r="BL236" s="93"/>
      <c r="BX236" s="93"/>
    </row>
    <row r="237" spans="64:76" x14ac:dyDescent="0.3">
      <c r="BL237" s="93"/>
      <c r="BX237" s="93"/>
    </row>
    <row r="238" spans="64:76" x14ac:dyDescent="0.3">
      <c r="BX238" s="93"/>
    </row>
    <row r="239" spans="64:76" x14ac:dyDescent="0.3">
      <c r="BL239" s="93"/>
      <c r="BX239" s="93"/>
    </row>
    <row r="240" spans="64:76" x14ac:dyDescent="0.3">
      <c r="BL240" s="93"/>
      <c r="BX240" s="93"/>
    </row>
    <row r="241" spans="64:76" x14ac:dyDescent="0.3">
      <c r="BX241" s="93"/>
    </row>
    <row r="242" spans="64:76" x14ac:dyDescent="0.3">
      <c r="BL242" s="93"/>
      <c r="BX242" s="93"/>
    </row>
    <row r="243" spans="64:76" x14ac:dyDescent="0.3">
      <c r="BL243" s="93"/>
      <c r="BX243" s="93"/>
    </row>
    <row r="244" spans="64:76" x14ac:dyDescent="0.3">
      <c r="BL244" s="93"/>
      <c r="BX244" s="93"/>
    </row>
    <row r="245" spans="64:76" x14ac:dyDescent="0.3">
      <c r="BX245" s="93"/>
    </row>
    <row r="246" spans="64:76" x14ac:dyDescent="0.3">
      <c r="BX246" s="93"/>
    </row>
    <row r="247" spans="64:76" x14ac:dyDescent="0.3">
      <c r="BX247" s="93"/>
    </row>
    <row r="248" spans="64:76" x14ac:dyDescent="0.3">
      <c r="BX248" s="93"/>
    </row>
    <row r="249" spans="64:76" x14ac:dyDescent="0.3">
      <c r="BX249" s="93"/>
    </row>
    <row r="250" spans="64:76" x14ac:dyDescent="0.3">
      <c r="BX250" s="93"/>
    </row>
    <row r="251" spans="64:76" x14ac:dyDescent="0.3">
      <c r="BX251" s="93"/>
    </row>
    <row r="252" spans="64:76" x14ac:dyDescent="0.3">
      <c r="BX252" s="93"/>
    </row>
    <row r="253" spans="64:76" x14ac:dyDescent="0.3">
      <c r="BX253" s="93"/>
    </row>
    <row r="254" spans="64:76" x14ac:dyDescent="0.3">
      <c r="BX254" s="93"/>
    </row>
    <row r="255" spans="64:76" x14ac:dyDescent="0.3">
      <c r="BX255" s="93"/>
    </row>
    <row r="256" spans="64:76" x14ac:dyDescent="0.3">
      <c r="BX256" s="93"/>
    </row>
    <row r="257" spans="76:76" x14ac:dyDescent="0.3">
      <c r="BX257" s="93"/>
    </row>
    <row r="258" spans="76:76" x14ac:dyDescent="0.3">
      <c r="BX258" s="93"/>
    </row>
    <row r="259" spans="76:76" x14ac:dyDescent="0.3">
      <c r="BX259" s="93"/>
    </row>
    <row r="260" spans="76:76" x14ac:dyDescent="0.3">
      <c r="BX260" s="93"/>
    </row>
    <row r="261" spans="76:76" x14ac:dyDescent="0.3">
      <c r="BX261" s="93"/>
    </row>
    <row r="262" spans="76:76" x14ac:dyDescent="0.3">
      <c r="BX262" s="93"/>
    </row>
    <row r="263" spans="76:76" x14ac:dyDescent="0.3">
      <c r="BX263" s="93"/>
    </row>
    <row r="264" spans="76:76" x14ac:dyDescent="0.3">
      <c r="BX264" s="93"/>
    </row>
    <row r="265" spans="76:76" x14ac:dyDescent="0.3">
      <c r="BX265" s="93"/>
    </row>
    <row r="266" spans="76:76" x14ac:dyDescent="0.3">
      <c r="BX266" s="93"/>
    </row>
    <row r="267" spans="76:76" x14ac:dyDescent="0.3">
      <c r="BX267" s="93"/>
    </row>
    <row r="268" spans="76:76" x14ac:dyDescent="0.3">
      <c r="BX268" s="93"/>
    </row>
    <row r="269" spans="76:76" x14ac:dyDescent="0.3">
      <c r="BX269" s="93"/>
    </row>
    <row r="270" spans="76:76" x14ac:dyDescent="0.3">
      <c r="BX270" s="93"/>
    </row>
    <row r="271" spans="76:76" x14ac:dyDescent="0.3">
      <c r="BX271" s="93"/>
    </row>
    <row r="272" spans="76:76" x14ac:dyDescent="0.3">
      <c r="BX272" s="93"/>
    </row>
    <row r="273" spans="76:76" x14ac:dyDescent="0.3">
      <c r="BX273" s="93"/>
    </row>
    <row r="274" spans="76:76" x14ac:dyDescent="0.3">
      <c r="BX274" s="93"/>
    </row>
    <row r="275" spans="76:76" x14ac:dyDescent="0.3">
      <c r="BX275" s="93"/>
    </row>
    <row r="276" spans="76:76" x14ac:dyDescent="0.3">
      <c r="BX276" s="93"/>
    </row>
    <row r="277" spans="76:76" x14ac:dyDescent="0.3">
      <c r="BX277" s="93"/>
    </row>
    <row r="278" spans="76:76" x14ac:dyDescent="0.3">
      <c r="BX278" s="93"/>
    </row>
    <row r="279" spans="76:76" x14ac:dyDescent="0.3">
      <c r="BX279" s="93"/>
    </row>
    <row r="280" spans="76:76" x14ac:dyDescent="0.3">
      <c r="BX280" s="93"/>
    </row>
    <row r="281" spans="76:76" x14ac:dyDescent="0.3">
      <c r="BX281" s="93"/>
    </row>
    <row r="282" spans="76:76" x14ac:dyDescent="0.3">
      <c r="BX282" s="93"/>
    </row>
    <row r="283" spans="76:76" x14ac:dyDescent="0.3">
      <c r="BX283" s="93"/>
    </row>
    <row r="284" spans="76:76" x14ac:dyDescent="0.3">
      <c r="BX284" s="93"/>
    </row>
    <row r="285" spans="76:76" x14ac:dyDescent="0.3">
      <c r="BX285" s="93"/>
    </row>
    <row r="286" spans="76:76" x14ac:dyDescent="0.3">
      <c r="BX286" s="93"/>
    </row>
    <row r="287" spans="76:76" x14ac:dyDescent="0.3">
      <c r="BX287" s="93"/>
    </row>
    <row r="288" spans="76:76" x14ac:dyDescent="0.3">
      <c r="BX288" s="93"/>
    </row>
    <row r="289" spans="76:76" x14ac:dyDescent="0.3">
      <c r="BX289" s="93"/>
    </row>
    <row r="290" spans="76:76" x14ac:dyDescent="0.3">
      <c r="BX290" s="93"/>
    </row>
    <row r="291" spans="76:76" x14ac:dyDescent="0.3">
      <c r="BX291" s="93"/>
    </row>
    <row r="292" spans="76:76" x14ac:dyDescent="0.3">
      <c r="BX292" s="93"/>
    </row>
    <row r="293" spans="76:76" x14ac:dyDescent="0.3">
      <c r="BX293" s="93"/>
    </row>
    <row r="294" spans="76:76" x14ac:dyDescent="0.3">
      <c r="BX294" s="93"/>
    </row>
    <row r="295" spans="76:76" x14ac:dyDescent="0.3">
      <c r="BX295" s="93"/>
    </row>
    <row r="296" spans="76:76" x14ac:dyDescent="0.3">
      <c r="BX296" s="93"/>
    </row>
    <row r="297" spans="76:76" x14ac:dyDescent="0.3">
      <c r="BX297" s="93"/>
    </row>
    <row r="298" spans="76:76" x14ac:dyDescent="0.3">
      <c r="BX298" s="93"/>
    </row>
    <row r="299" spans="76:76" x14ac:dyDescent="0.3">
      <c r="BX299" s="93"/>
    </row>
    <row r="300" spans="76:76" x14ac:dyDescent="0.3">
      <c r="BX300" s="93"/>
    </row>
    <row r="301" spans="76:76" x14ac:dyDescent="0.3">
      <c r="BX301" s="93"/>
    </row>
    <row r="302" spans="76:76" x14ac:dyDescent="0.3">
      <c r="BX302" s="93"/>
    </row>
    <row r="303" spans="76:76" x14ac:dyDescent="0.3">
      <c r="BX303" s="93"/>
    </row>
    <row r="304" spans="76:76" x14ac:dyDescent="0.3">
      <c r="BX304" s="93"/>
    </row>
    <row r="305" spans="76:76" x14ac:dyDescent="0.3">
      <c r="BX305" s="93"/>
    </row>
    <row r="306" spans="76:76" x14ac:dyDescent="0.3">
      <c r="BX306" s="93"/>
    </row>
    <row r="307" spans="76:76" x14ac:dyDescent="0.3">
      <c r="BX307" s="93"/>
    </row>
    <row r="308" spans="76:76" x14ac:dyDescent="0.3">
      <c r="BX308" s="93"/>
    </row>
    <row r="309" spans="76:76" x14ac:dyDescent="0.3">
      <c r="BX309" s="93"/>
    </row>
    <row r="310" spans="76:76" x14ac:dyDescent="0.3">
      <c r="BX310" s="93"/>
    </row>
    <row r="311" spans="76:76" x14ac:dyDescent="0.3">
      <c r="BX311" s="93"/>
    </row>
    <row r="312" spans="76:76" x14ac:dyDescent="0.3">
      <c r="BX312" s="93"/>
    </row>
    <row r="313" spans="76:76" x14ac:dyDescent="0.3">
      <c r="BX313" s="93"/>
    </row>
    <row r="314" spans="76:76" x14ac:dyDescent="0.3">
      <c r="BX314" s="93"/>
    </row>
    <row r="315" spans="76:76" x14ac:dyDescent="0.3">
      <c r="BX315" s="93"/>
    </row>
    <row r="316" spans="76:76" x14ac:dyDescent="0.3">
      <c r="BX316" s="93"/>
    </row>
    <row r="317" spans="76:76" x14ac:dyDescent="0.3">
      <c r="BX317" s="93"/>
    </row>
    <row r="318" spans="76:76" x14ac:dyDescent="0.3">
      <c r="BX318" s="93"/>
    </row>
    <row r="319" spans="76:76" x14ac:dyDescent="0.3">
      <c r="BX319" s="93"/>
    </row>
    <row r="320" spans="76:76" x14ac:dyDescent="0.3">
      <c r="BX320" s="93"/>
    </row>
    <row r="321" spans="76:76" x14ac:dyDescent="0.3">
      <c r="BX321" s="93"/>
    </row>
    <row r="322" spans="76:76" x14ac:dyDescent="0.3">
      <c r="BX322" s="93"/>
    </row>
    <row r="323" spans="76:76" x14ac:dyDescent="0.3">
      <c r="BX323" s="93"/>
    </row>
    <row r="324" spans="76:76" x14ac:dyDescent="0.3">
      <c r="BX324" s="93"/>
    </row>
    <row r="325" spans="76:76" x14ac:dyDescent="0.3">
      <c r="BX325" s="93"/>
    </row>
    <row r="326" spans="76:76" x14ac:dyDescent="0.3">
      <c r="BX326" s="93"/>
    </row>
    <row r="327" spans="76:76" x14ac:dyDescent="0.3">
      <c r="BX327" s="93"/>
    </row>
    <row r="328" spans="76:76" x14ac:dyDescent="0.3">
      <c r="BX328" s="93"/>
    </row>
    <row r="329" spans="76:76" x14ac:dyDescent="0.3">
      <c r="BX329" s="93"/>
    </row>
    <row r="330" spans="76:76" x14ac:dyDescent="0.3">
      <c r="BX330" s="93"/>
    </row>
    <row r="331" spans="76:76" x14ac:dyDescent="0.3">
      <c r="BX331" s="93"/>
    </row>
    <row r="332" spans="76:76" x14ac:dyDescent="0.3">
      <c r="BX332" s="93"/>
    </row>
    <row r="333" spans="76:76" x14ac:dyDescent="0.3">
      <c r="BX333" s="93"/>
    </row>
    <row r="334" spans="76:76" x14ac:dyDescent="0.3">
      <c r="BX334" s="93"/>
    </row>
    <row r="335" spans="76:76" x14ac:dyDescent="0.3">
      <c r="BX335" s="93"/>
    </row>
    <row r="336" spans="76:76" x14ac:dyDescent="0.3">
      <c r="BX336" s="93"/>
    </row>
    <row r="337" spans="76:76" x14ac:dyDescent="0.3">
      <c r="BX337" s="93"/>
    </row>
    <row r="338" spans="76:76" x14ac:dyDescent="0.3">
      <c r="BX338" s="93"/>
    </row>
    <row r="339" spans="76:76" x14ac:dyDescent="0.3">
      <c r="BX339" s="93"/>
    </row>
    <row r="340" spans="76:76" x14ac:dyDescent="0.3">
      <c r="BX340" s="93"/>
    </row>
    <row r="341" spans="76:76" x14ac:dyDescent="0.3">
      <c r="BX341" s="93"/>
    </row>
    <row r="342" spans="76:76" x14ac:dyDescent="0.3">
      <c r="BX342" s="93"/>
    </row>
    <row r="343" spans="76:76" x14ac:dyDescent="0.3">
      <c r="BX343" s="93"/>
    </row>
    <row r="344" spans="76:76" x14ac:dyDescent="0.3">
      <c r="BX344" s="93"/>
    </row>
    <row r="345" spans="76:76" x14ac:dyDescent="0.3">
      <c r="BX345" s="93"/>
    </row>
    <row r="346" spans="76:76" x14ac:dyDescent="0.3">
      <c r="BX346" s="93"/>
    </row>
    <row r="347" spans="76:76" x14ac:dyDescent="0.3">
      <c r="BX347" s="93"/>
    </row>
    <row r="348" spans="76:76" x14ac:dyDescent="0.3">
      <c r="BX348" s="93"/>
    </row>
    <row r="349" spans="76:76" x14ac:dyDescent="0.3">
      <c r="BX349" s="93"/>
    </row>
    <row r="350" spans="76:76" x14ac:dyDescent="0.3">
      <c r="BX350" s="93"/>
    </row>
    <row r="351" spans="76:76" x14ac:dyDescent="0.3">
      <c r="BX351" s="93"/>
    </row>
    <row r="352" spans="76:76" x14ac:dyDescent="0.3">
      <c r="BX352" s="93"/>
    </row>
    <row r="353" spans="76:76" x14ac:dyDescent="0.3">
      <c r="BX353" s="93"/>
    </row>
    <row r="354" spans="76:76" x14ac:dyDescent="0.3">
      <c r="BX354" s="93"/>
    </row>
    <row r="355" spans="76:76" x14ac:dyDescent="0.3">
      <c r="BX355" s="93"/>
    </row>
    <row r="356" spans="76:76" x14ac:dyDescent="0.3">
      <c r="BX356" s="93"/>
    </row>
    <row r="357" spans="76:76" x14ac:dyDescent="0.3">
      <c r="BX357" s="93"/>
    </row>
    <row r="358" spans="76:76" x14ac:dyDescent="0.3">
      <c r="BX358" s="93"/>
    </row>
    <row r="359" spans="76:76" x14ac:dyDescent="0.3">
      <c r="BX359" s="93"/>
    </row>
    <row r="360" spans="76:76" x14ac:dyDescent="0.3">
      <c r="BX360" s="93"/>
    </row>
    <row r="361" spans="76:76" x14ac:dyDescent="0.3">
      <c r="BX361" s="93"/>
    </row>
    <row r="362" spans="76:76" x14ac:dyDescent="0.3">
      <c r="BX362" s="93"/>
    </row>
    <row r="363" spans="76:76" x14ac:dyDescent="0.3">
      <c r="BX363" s="93"/>
    </row>
    <row r="364" spans="76:76" x14ac:dyDescent="0.3">
      <c r="BX364" s="93"/>
    </row>
    <row r="365" spans="76:76" x14ac:dyDescent="0.3">
      <c r="BX365" s="93"/>
    </row>
    <row r="366" spans="76:76" x14ac:dyDescent="0.3">
      <c r="BX366" s="93"/>
    </row>
    <row r="367" spans="76:76" x14ac:dyDescent="0.3">
      <c r="BX367" s="93"/>
    </row>
    <row r="368" spans="76:76" x14ac:dyDescent="0.3">
      <c r="BX368" s="93"/>
    </row>
    <row r="369" spans="76:76" x14ac:dyDescent="0.3">
      <c r="BX369" s="93"/>
    </row>
    <row r="370" spans="76:76" x14ac:dyDescent="0.3">
      <c r="BX370" s="93"/>
    </row>
    <row r="371" spans="76:76" x14ac:dyDescent="0.3">
      <c r="BX371" s="93"/>
    </row>
    <row r="372" spans="76:76" x14ac:dyDescent="0.3">
      <c r="BX372" s="93"/>
    </row>
    <row r="373" spans="76:76" x14ac:dyDescent="0.3">
      <c r="BX373" s="93"/>
    </row>
    <row r="374" spans="76:76" x14ac:dyDescent="0.3">
      <c r="BX374" s="93"/>
    </row>
    <row r="375" spans="76:76" x14ac:dyDescent="0.3">
      <c r="BX375" s="93"/>
    </row>
    <row r="376" spans="76:76" x14ac:dyDescent="0.3">
      <c r="BX376" s="93"/>
    </row>
    <row r="377" spans="76:76" x14ac:dyDescent="0.3">
      <c r="BX377" s="93"/>
    </row>
    <row r="378" spans="76:76" x14ac:dyDescent="0.3">
      <c r="BX378" s="93"/>
    </row>
    <row r="379" spans="76:76" x14ac:dyDescent="0.3">
      <c r="BX379" s="93"/>
    </row>
    <row r="380" spans="76:76" x14ac:dyDescent="0.3">
      <c r="BX380" s="93"/>
    </row>
    <row r="381" spans="76:76" x14ac:dyDescent="0.3">
      <c r="BX381" s="93"/>
    </row>
    <row r="382" spans="76:76" x14ac:dyDescent="0.3">
      <c r="BX382" s="93"/>
    </row>
    <row r="383" spans="76:76" x14ac:dyDescent="0.3">
      <c r="BX383" s="93"/>
    </row>
    <row r="384" spans="76:76" x14ac:dyDescent="0.3">
      <c r="BX384" s="93"/>
    </row>
    <row r="385" spans="76:76" x14ac:dyDescent="0.3">
      <c r="BX385" s="93"/>
    </row>
    <row r="386" spans="76:76" x14ac:dyDescent="0.3">
      <c r="BX386" s="93"/>
    </row>
    <row r="387" spans="76:76" x14ac:dyDescent="0.3">
      <c r="BX387" s="93"/>
    </row>
    <row r="388" spans="76:76" x14ac:dyDescent="0.3">
      <c r="BX388" s="93"/>
    </row>
    <row r="389" spans="76:76" x14ac:dyDescent="0.3">
      <c r="BX389" s="93"/>
    </row>
    <row r="390" spans="76:76" x14ac:dyDescent="0.3">
      <c r="BX390" s="93"/>
    </row>
    <row r="391" spans="76:76" x14ac:dyDescent="0.3">
      <c r="BX391" s="93"/>
    </row>
    <row r="392" spans="76:76" x14ac:dyDescent="0.3">
      <c r="BX392" s="93"/>
    </row>
    <row r="393" spans="76:76" x14ac:dyDescent="0.3">
      <c r="BX393" s="93"/>
    </row>
    <row r="394" spans="76:76" x14ac:dyDescent="0.3">
      <c r="BX394" s="93"/>
    </row>
    <row r="395" spans="76:76" x14ac:dyDescent="0.3">
      <c r="BX395" s="93"/>
    </row>
    <row r="396" spans="76:76" x14ac:dyDescent="0.3">
      <c r="BX396" s="93"/>
    </row>
    <row r="397" spans="76:76" x14ac:dyDescent="0.3">
      <c r="BX397" s="93"/>
    </row>
    <row r="398" spans="76:76" x14ac:dyDescent="0.3">
      <c r="BX398" s="93"/>
    </row>
    <row r="399" spans="76:76" x14ac:dyDescent="0.3">
      <c r="BX399" s="93"/>
    </row>
    <row r="400" spans="76:76" x14ac:dyDescent="0.3">
      <c r="BX400" s="93"/>
    </row>
    <row r="401" spans="76:76" x14ac:dyDescent="0.3">
      <c r="BX401" s="93"/>
    </row>
    <row r="402" spans="76:76" x14ac:dyDescent="0.3">
      <c r="BX402" s="93"/>
    </row>
    <row r="403" spans="76:76" x14ac:dyDescent="0.3">
      <c r="BX403" s="93"/>
    </row>
    <row r="404" spans="76:76" x14ac:dyDescent="0.3">
      <c r="BX404" s="93"/>
    </row>
    <row r="405" spans="76:76" x14ac:dyDescent="0.3">
      <c r="BX405" s="93"/>
    </row>
    <row r="406" spans="76:76" x14ac:dyDescent="0.3">
      <c r="BX406" s="93"/>
    </row>
    <row r="407" spans="76:76" x14ac:dyDescent="0.3">
      <c r="BX407" s="93"/>
    </row>
    <row r="408" spans="76:76" x14ac:dyDescent="0.3">
      <c r="BX408" s="93"/>
    </row>
    <row r="409" spans="76:76" x14ac:dyDescent="0.3">
      <c r="BX409" s="93"/>
    </row>
    <row r="410" spans="76:76" x14ac:dyDescent="0.3">
      <c r="BX410" s="93"/>
    </row>
    <row r="411" spans="76:76" x14ac:dyDescent="0.3">
      <c r="BX411" s="93"/>
    </row>
    <row r="412" spans="76:76" x14ac:dyDescent="0.3">
      <c r="BX412" s="93"/>
    </row>
    <row r="413" spans="76:76" x14ac:dyDescent="0.3">
      <c r="BX413" s="93"/>
    </row>
    <row r="414" spans="76:76" x14ac:dyDescent="0.3">
      <c r="BX414" s="93"/>
    </row>
    <row r="415" spans="76:76" x14ac:dyDescent="0.3">
      <c r="BX415" s="93"/>
    </row>
    <row r="416" spans="76:76" x14ac:dyDescent="0.3">
      <c r="BX416" s="93"/>
    </row>
    <row r="417" spans="76:76" x14ac:dyDescent="0.3">
      <c r="BX417" s="93"/>
    </row>
    <row r="418" spans="76:76" x14ac:dyDescent="0.3">
      <c r="BX418" s="93"/>
    </row>
    <row r="419" spans="76:76" x14ac:dyDescent="0.3">
      <c r="BX419" s="93"/>
    </row>
    <row r="420" spans="76:76" x14ac:dyDescent="0.3">
      <c r="BX420" s="93"/>
    </row>
    <row r="421" spans="76:76" x14ac:dyDescent="0.3">
      <c r="BX421" s="93"/>
    </row>
    <row r="422" spans="76:76" x14ac:dyDescent="0.3">
      <c r="BX422" s="93"/>
    </row>
    <row r="423" spans="76:76" x14ac:dyDescent="0.3">
      <c r="BX423" s="93"/>
    </row>
    <row r="424" spans="76:76" x14ac:dyDescent="0.3">
      <c r="BX424" s="93"/>
    </row>
    <row r="425" spans="76:76" x14ac:dyDescent="0.3">
      <c r="BX425" s="93"/>
    </row>
    <row r="426" spans="76:76" x14ac:dyDescent="0.3">
      <c r="BX426" s="93"/>
    </row>
    <row r="427" spans="76:76" x14ac:dyDescent="0.3">
      <c r="BX427" s="93"/>
    </row>
    <row r="428" spans="76:76" x14ac:dyDescent="0.3">
      <c r="BX428" s="93"/>
    </row>
    <row r="429" spans="76:76" x14ac:dyDescent="0.3">
      <c r="BX429" s="93"/>
    </row>
    <row r="430" spans="76:76" x14ac:dyDescent="0.3">
      <c r="BX430" s="93"/>
    </row>
    <row r="431" spans="76:76" x14ac:dyDescent="0.3">
      <c r="BX431" s="93"/>
    </row>
    <row r="432" spans="76:76" x14ac:dyDescent="0.3">
      <c r="BX432" s="93"/>
    </row>
    <row r="433" spans="76:76" x14ac:dyDescent="0.3">
      <c r="BX433" s="93"/>
    </row>
    <row r="434" spans="76:76" x14ac:dyDescent="0.3">
      <c r="BX434" s="93"/>
    </row>
    <row r="435" spans="76:76" x14ac:dyDescent="0.3">
      <c r="BX435" s="93"/>
    </row>
    <row r="436" spans="76:76" x14ac:dyDescent="0.3">
      <c r="BX436" s="93"/>
    </row>
    <row r="437" spans="76:76" x14ac:dyDescent="0.3">
      <c r="BX437" s="93"/>
    </row>
    <row r="438" spans="76:76" x14ac:dyDescent="0.3">
      <c r="BX438" s="93"/>
    </row>
    <row r="439" spans="76:76" x14ac:dyDescent="0.3">
      <c r="BX439" s="93"/>
    </row>
    <row r="440" spans="76:76" x14ac:dyDescent="0.3">
      <c r="BX440" s="93"/>
    </row>
    <row r="441" spans="76:76" x14ac:dyDescent="0.3">
      <c r="BX441" s="93"/>
    </row>
    <row r="442" spans="76:76" x14ac:dyDescent="0.3">
      <c r="BX442" s="93"/>
    </row>
    <row r="443" spans="76:76" x14ac:dyDescent="0.3">
      <c r="BX443" s="93"/>
    </row>
    <row r="444" spans="76:76" x14ac:dyDescent="0.3">
      <c r="BX444" s="93"/>
    </row>
    <row r="445" spans="76:76" x14ac:dyDescent="0.3">
      <c r="BX445" s="93"/>
    </row>
    <row r="446" spans="76:76" x14ac:dyDescent="0.3">
      <c r="BX446" s="93"/>
    </row>
    <row r="447" spans="76:76" x14ac:dyDescent="0.3">
      <c r="BX447" s="93"/>
    </row>
    <row r="448" spans="76:76" x14ac:dyDescent="0.3">
      <c r="BX448" s="93"/>
    </row>
    <row r="449" spans="76:76" x14ac:dyDescent="0.3">
      <c r="BX449" s="93"/>
    </row>
    <row r="450" spans="76:76" x14ac:dyDescent="0.3">
      <c r="BX450" s="93"/>
    </row>
    <row r="451" spans="76:76" x14ac:dyDescent="0.3">
      <c r="BX451" s="93"/>
    </row>
    <row r="452" spans="76:76" x14ac:dyDescent="0.3">
      <c r="BX452" s="93"/>
    </row>
    <row r="453" spans="76:76" x14ac:dyDescent="0.3">
      <c r="BX453" s="93"/>
    </row>
    <row r="454" spans="76:76" x14ac:dyDescent="0.3">
      <c r="BX454" s="93"/>
    </row>
    <row r="455" spans="76:76" x14ac:dyDescent="0.3">
      <c r="BX455" s="93"/>
    </row>
    <row r="456" spans="76:76" x14ac:dyDescent="0.3">
      <c r="BX456" s="93"/>
    </row>
    <row r="457" spans="76:76" x14ac:dyDescent="0.3">
      <c r="BX457" s="93"/>
    </row>
    <row r="458" spans="76:76" x14ac:dyDescent="0.3">
      <c r="BX458" s="93"/>
    </row>
    <row r="459" spans="76:76" x14ac:dyDescent="0.3">
      <c r="BX459" s="93"/>
    </row>
    <row r="460" spans="76:76" x14ac:dyDescent="0.3">
      <c r="BX460" s="93"/>
    </row>
    <row r="461" spans="76:76" x14ac:dyDescent="0.3">
      <c r="BX461" s="93"/>
    </row>
    <row r="462" spans="76:76" x14ac:dyDescent="0.3">
      <c r="BX462" s="93"/>
    </row>
    <row r="463" spans="76:76" x14ac:dyDescent="0.3">
      <c r="BX463" s="93"/>
    </row>
    <row r="464" spans="76:76" x14ac:dyDescent="0.3">
      <c r="BX464" s="93"/>
    </row>
    <row r="465" spans="64:76" x14ac:dyDescent="0.3">
      <c r="BX465" s="93"/>
    </row>
    <row r="466" spans="64:76" x14ac:dyDescent="0.3">
      <c r="BX466" s="93"/>
    </row>
    <row r="467" spans="64:76" x14ac:dyDescent="0.3">
      <c r="BL467" s="93"/>
      <c r="BX467" s="93"/>
    </row>
    <row r="468" spans="64:76" x14ac:dyDescent="0.3">
      <c r="BX468" s="93"/>
    </row>
    <row r="469" spans="64:76" x14ac:dyDescent="0.3">
      <c r="BX469" s="93"/>
    </row>
    <row r="470" spans="64:76" x14ac:dyDescent="0.3">
      <c r="BX470" s="93"/>
    </row>
    <row r="471" spans="64:76" x14ac:dyDescent="0.3">
      <c r="BX471" s="93"/>
    </row>
    <row r="472" spans="64:76" x14ac:dyDescent="0.3">
      <c r="BX472" s="93"/>
    </row>
    <row r="473" spans="64:76" x14ac:dyDescent="0.3">
      <c r="BX473" s="93"/>
    </row>
    <row r="474" spans="64:76" x14ac:dyDescent="0.3">
      <c r="BX474" s="93"/>
    </row>
    <row r="475" spans="64:76" x14ac:dyDescent="0.3">
      <c r="BX475" s="93"/>
    </row>
    <row r="476" spans="64:76" x14ac:dyDescent="0.3">
      <c r="BX476" s="93"/>
    </row>
    <row r="477" spans="64:76" x14ac:dyDescent="0.3">
      <c r="BX477" s="93"/>
    </row>
    <row r="478" spans="64:76" x14ac:dyDescent="0.3">
      <c r="BX478" s="93"/>
    </row>
    <row r="479" spans="64:76" x14ac:dyDescent="0.3">
      <c r="BX479" s="93"/>
    </row>
    <row r="480" spans="64:76" x14ac:dyDescent="0.3">
      <c r="BX480" s="93"/>
    </row>
    <row r="481" spans="76:76" x14ac:dyDescent="0.3">
      <c r="BX481" s="93"/>
    </row>
    <row r="482" spans="76:76" x14ac:dyDescent="0.3">
      <c r="BX482" s="93"/>
    </row>
    <row r="483" spans="76:76" x14ac:dyDescent="0.3">
      <c r="BX483" s="93"/>
    </row>
    <row r="484" spans="76:76" x14ac:dyDescent="0.3">
      <c r="BX484" s="93"/>
    </row>
    <row r="485" spans="76:76" x14ac:dyDescent="0.3">
      <c r="BX485" s="93"/>
    </row>
    <row r="486" spans="76:76" x14ac:dyDescent="0.3">
      <c r="BX486" s="93"/>
    </row>
    <row r="487" spans="76:76" x14ac:dyDescent="0.3">
      <c r="BX487" s="93"/>
    </row>
    <row r="488" spans="76:76" x14ac:dyDescent="0.3">
      <c r="BX488" s="93"/>
    </row>
    <row r="489" spans="76:76" x14ac:dyDescent="0.3">
      <c r="BX489" s="93"/>
    </row>
    <row r="490" spans="76:76" x14ac:dyDescent="0.3">
      <c r="BX490" s="93"/>
    </row>
    <row r="491" spans="76:76" x14ac:dyDescent="0.3">
      <c r="BX491" s="93"/>
    </row>
    <row r="492" spans="76:76" x14ac:dyDescent="0.3">
      <c r="BX492" s="93"/>
    </row>
    <row r="493" spans="76:76" x14ac:dyDescent="0.3">
      <c r="BX493" s="93"/>
    </row>
    <row r="494" spans="76:76" x14ac:dyDescent="0.3">
      <c r="BX494" s="93"/>
    </row>
    <row r="495" spans="76:76" x14ac:dyDescent="0.3">
      <c r="BX495" s="93"/>
    </row>
    <row r="496" spans="76:76" x14ac:dyDescent="0.3">
      <c r="BX496" s="93"/>
    </row>
    <row r="497" spans="76:76" x14ac:dyDescent="0.3">
      <c r="BX497" s="93"/>
    </row>
    <row r="498" spans="76:76" x14ac:dyDescent="0.3">
      <c r="BX498" s="93"/>
    </row>
    <row r="499" spans="76:76" x14ac:dyDescent="0.3">
      <c r="BX499" s="93"/>
    </row>
    <row r="500" spans="76:76" x14ac:dyDescent="0.3">
      <c r="BX500" s="93"/>
    </row>
    <row r="501" spans="76:76" x14ac:dyDescent="0.3">
      <c r="BX501" s="93"/>
    </row>
    <row r="502" spans="76:76" x14ac:dyDescent="0.3">
      <c r="BX502" s="93"/>
    </row>
    <row r="503" spans="76:76" x14ac:dyDescent="0.3">
      <c r="BX503" s="93"/>
    </row>
    <row r="504" spans="76:76" x14ac:dyDescent="0.3">
      <c r="BX504" s="93"/>
    </row>
    <row r="505" spans="76:76" x14ac:dyDescent="0.3">
      <c r="BX505" s="93"/>
    </row>
    <row r="506" spans="76:76" x14ac:dyDescent="0.3">
      <c r="BX506" s="93"/>
    </row>
    <row r="507" spans="76:76" x14ac:dyDescent="0.3">
      <c r="BX507" s="93"/>
    </row>
    <row r="508" spans="76:76" x14ac:dyDescent="0.3">
      <c r="BX508" s="93"/>
    </row>
    <row r="509" spans="76:76" x14ac:dyDescent="0.3">
      <c r="BX509" s="93"/>
    </row>
    <row r="510" spans="76:76" x14ac:dyDescent="0.3">
      <c r="BX510" s="93"/>
    </row>
    <row r="511" spans="76:76" x14ac:dyDescent="0.3">
      <c r="BX511" s="93"/>
    </row>
    <row r="512" spans="76:76" x14ac:dyDescent="0.3">
      <c r="BX512" s="93"/>
    </row>
    <row r="513" spans="76:76" x14ac:dyDescent="0.3">
      <c r="BX513" s="93"/>
    </row>
    <row r="514" spans="76:76" x14ac:dyDescent="0.3">
      <c r="BX514" s="93"/>
    </row>
    <row r="515" spans="76:76" x14ac:dyDescent="0.3">
      <c r="BX515" s="93"/>
    </row>
    <row r="516" spans="76:76" x14ac:dyDescent="0.3">
      <c r="BX516" s="93"/>
    </row>
    <row r="517" spans="76:76" x14ac:dyDescent="0.3">
      <c r="BX517" s="93"/>
    </row>
    <row r="518" spans="76:76" x14ac:dyDescent="0.3">
      <c r="BX518" s="9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L1"/>
  <sheetViews>
    <sheetView tabSelected="1" workbookViewId="0">
      <selection activeCell="A15" sqref="A15"/>
    </sheetView>
  </sheetViews>
  <sheetFormatPr defaultColWidth="9.1328125" defaultRowHeight="11.25" x14ac:dyDescent="0.3"/>
  <cols>
    <col min="1" max="1" width="24.06640625" style="64" customWidth="1"/>
    <col min="2" max="2" width="18.265625" style="64" customWidth="1"/>
    <col min="3" max="3" width="12.86328125" style="64" customWidth="1"/>
    <col min="4" max="4" width="17.265625" style="64" customWidth="1"/>
    <col min="5" max="5" width="24.9296875" style="64" customWidth="1"/>
    <col min="6" max="6" width="23.46484375" style="64" customWidth="1"/>
    <col min="7" max="7" width="29.19921875" style="64" customWidth="1"/>
    <col min="8" max="8" width="41.265625" style="64" customWidth="1"/>
    <col min="9" max="9" width="10.46484375" style="65" customWidth="1"/>
    <col min="10" max="10" width="16.59765625" style="64" customWidth="1"/>
    <col min="11" max="11" width="13.73046875" style="64" customWidth="1"/>
    <col min="12" max="12" width="10.53125" style="65" customWidth="1"/>
    <col min="13" max="13" width="18.19921875" style="65" customWidth="1"/>
    <col min="14" max="14" width="12.06640625" style="65" customWidth="1"/>
    <col min="15" max="15" width="17.53125" style="65" customWidth="1"/>
    <col min="16" max="16" width="14.33203125" style="65" customWidth="1"/>
    <col min="17" max="17" width="21.33203125" style="65" customWidth="1"/>
    <col min="18" max="18" width="12.1328125" style="65" customWidth="1"/>
    <col min="19" max="19" width="11.265625" style="65" customWidth="1"/>
    <col min="20" max="20" width="11.73046875" style="65" customWidth="1"/>
    <col min="21" max="21" width="15.59765625" style="65" customWidth="1"/>
    <col min="22" max="22" width="10.59765625" style="65" customWidth="1"/>
    <col min="23" max="23" width="34.06640625" style="66" customWidth="1"/>
    <col min="24" max="24" width="12.6640625" style="65" customWidth="1"/>
    <col min="25" max="25" width="34.06640625" style="66" customWidth="1"/>
    <col min="26" max="26" width="9.9296875" style="65" customWidth="1"/>
    <col min="27" max="27" width="21.33203125" style="65" customWidth="1"/>
    <col min="28" max="28" width="25.1328125" style="65" customWidth="1"/>
    <col min="29" max="29" width="25.9296875" style="65" customWidth="1"/>
    <col min="30" max="30" width="20.46484375" style="64" customWidth="1"/>
    <col min="31" max="31" width="28.53125" style="64" customWidth="1"/>
    <col min="32" max="32" width="16.1328125" style="64" customWidth="1"/>
    <col min="33" max="33" width="12.796875" style="64" customWidth="1"/>
    <col min="34" max="34" width="32.53125" style="64" customWidth="1"/>
    <col min="35" max="35" width="18.46484375" style="64" customWidth="1"/>
    <col min="36" max="36" width="16.265625" style="64" customWidth="1"/>
    <col min="37" max="37" width="34.59765625" style="64" customWidth="1"/>
    <col min="38" max="38" width="31" style="64" customWidth="1"/>
    <col min="39" max="39" width="21.9296875" style="64" customWidth="1"/>
    <col min="40" max="40" width="32.53125" style="64" customWidth="1"/>
    <col min="41" max="41" width="18.796875" style="67" customWidth="1"/>
    <col min="42" max="42" width="26.3984375" style="64" customWidth="1"/>
    <col min="43" max="43" width="9.9296875" style="64" customWidth="1"/>
    <col min="44" max="44" width="11.9296875" style="64" customWidth="1"/>
    <col min="45" max="45" width="23.9296875" style="64" customWidth="1"/>
    <col min="46" max="46" width="25.33203125" style="64" customWidth="1"/>
    <col min="47" max="47" width="17.9296875" style="64" customWidth="1"/>
    <col min="48" max="48" width="14.59765625" style="64" customWidth="1"/>
    <col min="49" max="49" width="20.73046875" style="64" customWidth="1"/>
    <col min="50" max="50" width="15.1328125" style="64" customWidth="1"/>
    <col min="51" max="51" width="17.59765625" style="64" customWidth="1"/>
    <col min="52" max="52" width="15.1328125" style="64" customWidth="1"/>
    <col min="53" max="53" width="18.1328125" style="64" customWidth="1"/>
    <col min="54" max="54" width="15.33203125" style="64" customWidth="1"/>
    <col min="55" max="55" width="22.9296875" style="64" customWidth="1"/>
    <col min="56" max="56" width="16.9296875" style="64" customWidth="1"/>
    <col min="57" max="57" width="28.265625" style="64" customWidth="1"/>
    <col min="58" max="58" width="14.53125" style="67" customWidth="1"/>
    <col min="59" max="59" width="13.796875" style="64" customWidth="1"/>
    <col min="60" max="60" width="32" style="64" customWidth="1"/>
    <col min="61" max="61" width="29.86328125" style="64" customWidth="1"/>
    <col min="62" max="62" width="39.59765625" style="64" customWidth="1"/>
    <col min="63" max="63" width="18.265625" style="64" customWidth="1"/>
    <col min="64" max="64" width="38" style="64" customWidth="1"/>
    <col min="65" max="65" width="9.1328125" style="63" customWidth="1"/>
    <col min="66" max="16384" width="9.1328125" style="63"/>
  </cols>
  <sheetData>
    <row r="1" spans="1:64" x14ac:dyDescent="0.3">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c r="BL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2" sqref="A2"/>
    </sheetView>
  </sheetViews>
  <sheetFormatPr defaultRowHeight="12.75" x14ac:dyDescent="0.35"/>
  <cols>
    <col min="1" max="1" width="10.6640625" bestFit="1" customWidth="1"/>
    <col min="2" max="2" width="20.3984375" bestFit="1" customWidth="1"/>
  </cols>
  <sheetData>
    <row r="2" spans="1:3" ht="13.9" x14ac:dyDescent="0.45">
      <c r="A2" s="10">
        <f>'Sizing Input'!C3*(1+'Turn The Knobs'!B7)</f>
        <v>0</v>
      </c>
      <c r="B2" s="24" t="s">
        <v>42</v>
      </c>
    </row>
    <row r="3" spans="1:3" ht="13.9" x14ac:dyDescent="0.45">
      <c r="A3" s="10">
        <v>172</v>
      </c>
      <c r="B3" s="24" t="s">
        <v>96</v>
      </c>
    </row>
    <row r="4" spans="1:3" ht="13.9" x14ac:dyDescent="0.45">
      <c r="A4" t="e">
        <f>ROUNDUP(A2*'Sizing Input'!C13,0)+A3</f>
        <v>#N/A</v>
      </c>
      <c r="B4" s="24" t="s">
        <v>82</v>
      </c>
    </row>
    <row r="5" spans="1:3" ht="13.9" x14ac:dyDescent="0.45">
      <c r="A5" s="10" t="e">
        <f>IF('Turn The Knobs'!B13="Current On-Prem Ratio",IF('Sizing Input'!C15&gt;'Sizing Input'!C14,1,(('Sizing Input'!C14/'Sizing Input'!C15))),'Turn The Knobs'!B13)</f>
        <v>#N/A</v>
      </c>
      <c r="B5" s="24" t="s">
        <v>44</v>
      </c>
    </row>
    <row r="6" spans="1:3" ht="13.9" x14ac:dyDescent="0.45">
      <c r="A6" s="25" t="e">
        <f>ROUNDUP(A4/A5,0)</f>
        <v>#N/A</v>
      </c>
      <c r="B6" s="24" t="s">
        <v>83</v>
      </c>
    </row>
    <row r="7" spans="1:3" x14ac:dyDescent="0.35">
      <c r="B7" s="26"/>
    </row>
    <row r="9" spans="1:3" ht="14.25" x14ac:dyDescent="0.45">
      <c r="A9" s="2" t="s">
        <v>86</v>
      </c>
      <c r="B9" s="2" t="s">
        <v>85</v>
      </c>
      <c r="C9" s="2" t="s">
        <v>84</v>
      </c>
    </row>
    <row r="10" spans="1:3" ht="14.25" x14ac:dyDescent="0.45">
      <c r="A10" s="2" t="e">
        <f>ROUNDUP($A$6/'Host Configurations'!B6,0)</f>
        <v>#N/A</v>
      </c>
      <c r="B10" s="2" t="e">
        <f>ROUNDUP($A$6/'Host Configurations'!C6,0)</f>
        <v>#N/A</v>
      </c>
      <c r="C10" s="2" t="e">
        <f>ROUNDUP($A$6/'Host Configurations'!D6,0)</f>
        <v>#N/A</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6A4BA02-C819-41A3-9F3B-E88F185DB894}">
  <ds:schemaRefs>
    <ds:schemaRef ds:uri="http://schemas.microsoft.com/DataMashup"/>
  </ds:schemaRefs>
</ds:datastoreItem>
</file>

<file path=customXml/itemProps2.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4.xml><?xml version="1.0" encoding="utf-8"?>
<ds:datastoreItem xmlns:ds="http://schemas.openxmlformats.org/officeDocument/2006/customXml" ds:itemID="{93091D52-B3C3-410C-AAC6-1C6B48A2703C}">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2022-07-06T19:14:36Z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