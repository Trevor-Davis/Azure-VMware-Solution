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79" documentId="8_{BDEEF94B-3BE3-48DF-86BE-FF293C8B9CA0}" xr6:coauthVersionLast="47" xr6:coauthVersionMax="47" xr10:uidLastSave="{A7A5DC08-3FDD-4E75-ADE6-60FCB383E6B8}"/>
  <bookViews>
    <workbookView xWindow="7050" yWindow="-16320" windowWidth="29040" windowHeight="15720" tabRatio="844"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5" l="1"/>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6" i="5" l="1"/>
  <c r="C13" i="5"/>
  <c r="A4" i="24" l="1"/>
  <c r="C14" i="5"/>
  <c r="B13" i="4"/>
  <c r="A5" i="24" s="1"/>
  <c r="A6" i="24" s="1"/>
  <c r="C10" i="24" s="1"/>
  <c r="D19" i="4" s="1"/>
  <c r="C9" i="15"/>
  <c r="B10" i="24" l="1"/>
  <c r="C19" i="4" s="1"/>
  <c r="A10" i="24"/>
  <c r="B19" i="4" s="1"/>
  <c r="C7" i="5"/>
  <c r="C10" i="5"/>
  <c r="C7" i="15" s="1"/>
  <c r="A4" i="25" l="1"/>
  <c r="A6" i="25" s="1"/>
  <c r="C8" i="5"/>
  <c r="B10" i="25" l="1"/>
  <c r="C18" i="4" s="1"/>
  <c r="C10" i="25"/>
  <c r="D18" i="4" s="1"/>
  <c r="A10" i="25"/>
  <c r="B18" i="4" s="1"/>
  <c r="C22" i="5" l="1"/>
  <c r="C20" i="5" s="1"/>
  <c r="C21" i="5"/>
  <c r="C13" i="15" s="1"/>
  <c r="B25" i="16" l="1"/>
  <c r="B26" i="16" s="1"/>
  <c r="B17" i="16"/>
  <c r="C11" i="15"/>
  <c r="B7" i="16"/>
  <c r="B8" i="16" s="1"/>
  <c r="B9" i="16" s="1"/>
  <c r="C11" i="16" l="1"/>
  <c r="B10" i="16"/>
  <c r="B11" i="16" s="1"/>
  <c r="B12" i="16" s="1"/>
  <c r="E17" i="16"/>
  <c r="F17" i="16"/>
  <c r="H17" i="16"/>
  <c r="G17" i="16"/>
  <c r="E26" i="16"/>
  <c r="H26" i="16"/>
  <c r="G25" i="16"/>
  <c r="H24" i="16"/>
  <c r="F25" i="16"/>
  <c r="B28" i="16" s="1"/>
  <c r="B20" i="4" s="1"/>
  <c r="B22" i="4" s="1"/>
  <c r="E25" i="16"/>
  <c r="F26" i="16"/>
  <c r="B29" i="16" s="1"/>
  <c r="C20" i="4" s="1"/>
  <c r="C22" i="4" s="1"/>
  <c r="C23" i="4" s="1"/>
  <c r="G26" i="16"/>
  <c r="F24" i="16"/>
  <c r="B27" i="16" s="1"/>
  <c r="D20" i="4" s="1"/>
  <c r="D22" i="4" s="1"/>
  <c r="D23" i="4" s="1"/>
  <c r="E24" i="16"/>
  <c r="G24" i="16"/>
  <c r="H25" i="16"/>
  <c r="D5" i="15" l="1"/>
  <c r="E5" i="15" s="1"/>
  <c r="B23" i="4"/>
  <c r="D6" i="15" l="1"/>
  <c r="D7" i="15" s="1"/>
  <c r="D10" i="15"/>
  <c r="D13" i="15" s="1"/>
  <c r="D8" i="15"/>
  <c r="D9" i="15" s="1"/>
</calcChain>
</file>

<file path=xl/sharedStrings.xml><?xml version="1.0" encoding="utf-8"?>
<sst xmlns="http://schemas.openxmlformats.org/spreadsheetml/2006/main" count="152" uniqueCount="114">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</sst>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7"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106">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15" fillId="3" borderId="1" xfId="0" applyFont="1" applyFill="1" applyBorder="1" applyAlignment="1">
      <alignment horizontal="center"/>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390525</xdr:colOff>
          <xdr:row>8</xdr:row>
          <xdr:rowOff>123825</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409575</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tabSelected="1" workbookViewId="0">
      <selection activeCell="E110" sqref="E110"/>
    </sheetView>
  </sheetViews>
  <sheetFormatPr defaultColWidth="9" defaultRowHeight="12.5" x14ac:dyDescent="0.25"/>
  <cols>
    <col min="1" max="16384" width="9" style="40"/>
  </cols>
  <sheetData>
    <row r="2" spans="1:54" ht="28" x14ac:dyDescent="0.6">
      <c r="A2" s="100" t="s">
        <v>98</v>
      </c>
      <c r="B2" s="100"/>
      <c r="C2" s="100"/>
      <c r="D2" s="100"/>
      <c r="E2" s="100"/>
      <c r="F2" s="100"/>
      <c r="G2" s="100"/>
      <c r="H2" s="100"/>
      <c r="I2" s="100"/>
      <c r="J2" s="100"/>
      <c r="K2" s="100"/>
      <c r="L2" s="100"/>
      <c r="M2" s="100"/>
      <c r="N2" s="100"/>
      <c r="O2" s="100"/>
      <c r="AK2" s="41"/>
      <c r="BB2" s="41"/>
    </row>
    <row r="3" spans="1:54" ht="28" x14ac:dyDescent="0.6">
      <c r="C3" s="39"/>
      <c r="D3" s="39"/>
      <c r="E3" s="39"/>
      <c r="F3" s="39"/>
      <c r="G3" s="39"/>
      <c r="H3" s="39"/>
      <c r="AK3" s="41"/>
      <c r="BB3" s="41"/>
    </row>
    <row r="4" spans="1:54" x14ac:dyDescent="0.25">
      <c r="AK4" s="41"/>
      <c r="BB4" s="41"/>
    </row>
    <row r="5" spans="1:54" x14ac:dyDescent="0.25">
      <c r="AK5" s="41"/>
      <c r="BB5" s="41"/>
    </row>
    <row r="6" spans="1:54" x14ac:dyDescent="0.25">
      <c r="AK6" s="41"/>
      <c r="BB6" s="41"/>
    </row>
    <row r="7" spans="1:54" x14ac:dyDescent="0.25">
      <c r="AK7" s="41"/>
      <c r="BB7" s="41"/>
    </row>
    <row r="8" spans="1:54" x14ac:dyDescent="0.25">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113</v>
      </c>
    </row>
    <row r="100" spans="1:2" hidden="1" x14ac:dyDescent="0.25">
      <c r="A100" s="81">
        <v>100</v>
      </c>
      <c r="B100" s="40" t="s">
        <v>99</v>
      </c>
    </row>
    <row r="101" spans="1:2" hidden="1" x14ac:dyDescent="0.25">
      <c r="A101" s="81">
        <v>4</v>
      </c>
      <c r="B101" s="40" t="s">
        <v>100</v>
      </c>
    </row>
    <row r="102" spans="1:2" hidden="1" x14ac:dyDescent="0.25">
      <c r="A102" s="81">
        <v>16</v>
      </c>
      <c r="B102" s="40" t="s">
        <v>101</v>
      </c>
    </row>
    <row r="103" spans="1:2" hidden="1" x14ac:dyDescent="0.25">
      <c r="A103" s="81">
        <v>1000000</v>
      </c>
      <c r="B103" s="40" t="s">
        <v>102</v>
      </c>
    </row>
    <row r="104" spans="1:2" hidden="1" x14ac:dyDescent="0.25">
      <c r="A104" s="81">
        <v>1</v>
      </c>
      <c r="B104" s="40" t="s">
        <v>103</v>
      </c>
    </row>
    <row r="105" spans="1:2" hidden="1" x14ac:dyDescent="0.25"/>
    <row r="106" spans="1:2" hidden="1" x14ac:dyDescent="0.25"/>
    <row r="107" spans="1:2" hidden="1" x14ac:dyDescent="0.25"/>
  </sheetData>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7" r:id="rId4" name="ManualDataInput">
          <controlPr defaultSize="0" autoLine="0" r:id="rId5">
            <anchor moveWithCells="1">
              <from>
                <xdr:col>5</xdr:col>
                <xdr:colOff>260350</xdr:colOff>
                <xdr:row>11</xdr:row>
                <xdr:rowOff>133350</xdr:rowOff>
              </from>
              <to>
                <xdr:col>9</xdr:col>
                <xdr:colOff>400050</xdr:colOff>
                <xdr:row>18</xdr:row>
                <xdr:rowOff>19050</xdr:rowOff>
              </to>
            </anchor>
          </controlPr>
        </control>
      </mc:Choice>
      <mc:Fallback>
        <control shapeId="1027" r:id="rId4" name="ManualDataInput"/>
      </mc:Fallback>
    </mc:AlternateContent>
    <mc:AlternateContent xmlns:mc="http://schemas.openxmlformats.org/markup-compatibility/2006">
      <mc:Choice Requires="x14">
        <control shapeId="1026" r:id="rId6" name="ImportRVTools">
          <controlPr defaultSize="0" autoLine="0" r:id="rId7">
            <anchor moveWithCells="1">
              <from>
                <xdr:col>5</xdr:col>
                <xdr:colOff>266700</xdr:colOff>
                <xdr:row>2</xdr:row>
                <xdr:rowOff>279400</xdr:rowOff>
              </from>
              <to>
                <xdr:col>9</xdr:col>
                <xdr:colOff>393700</xdr:colOff>
                <xdr:row>8</xdr:row>
                <xdr:rowOff>107950</xdr:rowOff>
              </to>
            </anchor>
          </controlPr>
        </control>
      </mc:Choice>
      <mc:Fallback>
        <control shapeId="1026" r:id="rId6"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100</v>
      </c>
      <c r="D4">
        <f>ROUNDUP('Sizing Input'!C3*('Turn The Knobs'!B7+1),0)</f>
        <v>100</v>
      </c>
    </row>
    <row r="5" spans="2:5" x14ac:dyDescent="0.25">
      <c r="B5" t="str">
        <f>'Sizing Input'!B4</f>
        <v>Hosts</v>
      </c>
      <c r="C5">
        <f>'Sizing Input'!C4</f>
        <v>0</v>
      </c>
      <c r="D5">
        <f>'Turn The Knobs'!B22</f>
        <v>9</v>
      </c>
      <c r="E5" s="7" t="str">
        <f>IF(D5='Turn The Knobs'!B22,"CS36","CS36m")</f>
        <v>CS36</v>
      </c>
    </row>
    <row r="6" spans="2:5" x14ac:dyDescent="0.2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0</v>
      </c>
      <c r="D7" s="31" t="e">
        <f>IF('Sizing Input'!C9&gt;'Sizing Input'!C8,1,ROUNDUP(('CPU Details'!A4/'Compare On-Prem to AVS '!D6),1)&amp;" : 1")</f>
        <v>#DIV/0!</v>
      </c>
    </row>
    <row r="8" spans="2:5" x14ac:dyDescent="0.2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f>'Sizing Input'!C16</f>
        <v>0</v>
      </c>
      <c r="D9" s="5" t="str">
        <f>IF(D8&gt;'Sizing Input'!C14,1&amp;" : 1",ROUNDUP(('Sizing Input'!C14/'Compare On-Prem to AVS '!D8),1)&amp;" : 1")</f>
        <v>1 : 1</v>
      </c>
    </row>
    <row r="10" spans="2:5" ht="14.5" x14ac:dyDescent="0.2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100</v>
      </c>
      <c r="D11" s="27" t="e">
        <f>'Storage Details'!#REF!</f>
        <v>#REF!</v>
      </c>
    </row>
    <row r="12" spans="2:5" x14ac:dyDescent="0.25">
      <c r="B12" t="str">
        <f>'Sizing Input'!B19</f>
        <v xml:space="preserve">Consumed Storage Across VMs - TB  </v>
      </c>
      <c r="C12" s="4">
        <f>'Sizing Input'!C19</f>
        <v>0</v>
      </c>
      <c r="D12" s="4" t="e">
        <f>'Storage Details'!#REF!</f>
        <v>#REF!</v>
      </c>
    </row>
    <row r="13" spans="2:5" x14ac:dyDescent="0.25">
      <c r="B13" t="str">
        <f>'Sizing Input'!B21</f>
        <v>Storage Utilization %</v>
      </c>
      <c r="C13" s="28">
        <f>'Sizing Input'!C21</f>
        <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A29" sqref="A29"/>
    </sheetView>
  </sheetViews>
  <sheetFormatPr defaultColWidth="65.26953125" defaultRowHeight="12.5" x14ac:dyDescent="0.25"/>
  <cols>
    <col min="1" max="1" width="48.6328125" bestFit="1" customWidth="1"/>
    <col min="2" max="2" width="18.179687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3" t="s">
        <v>23</v>
      </c>
      <c r="D4" s="103"/>
      <c r="E4" s="103"/>
      <c r="F4" s="103"/>
      <c r="G4" s="10"/>
      <c r="H4" s="10"/>
      <c r="I4" s="10"/>
      <c r="J4" s="10"/>
      <c r="K4" s="10"/>
      <c r="L4" s="10"/>
      <c r="M4" s="10"/>
      <c r="N4" s="10"/>
      <c r="O4" s="10"/>
      <c r="P4" s="10"/>
      <c r="Q4" s="10"/>
      <c r="R4" s="10"/>
      <c r="S4" s="10"/>
      <c r="T4" s="10"/>
      <c r="U4" s="10"/>
      <c r="V4" s="10"/>
    </row>
    <row r="5" spans="1:22" ht="14.25" customHeight="1" x14ac:dyDescent="0.35">
      <c r="A5" s="17" t="s">
        <v>24</v>
      </c>
      <c r="B5" s="78">
        <v>0.25</v>
      </c>
      <c r="C5" s="102" t="s">
        <v>92</v>
      </c>
      <c r="D5" s="102"/>
      <c r="E5" s="102"/>
      <c r="F5" s="102"/>
      <c r="G5" s="10"/>
      <c r="H5" s="10"/>
      <c r="I5" s="10"/>
      <c r="J5" s="10"/>
      <c r="K5" s="10"/>
      <c r="L5" s="10"/>
      <c r="M5" s="10"/>
      <c r="N5" s="10"/>
      <c r="O5" s="10"/>
      <c r="P5" s="10"/>
      <c r="Q5" s="10"/>
      <c r="R5" s="10"/>
      <c r="S5" s="10"/>
      <c r="T5" s="10"/>
      <c r="U5" s="10"/>
      <c r="V5" s="10"/>
    </row>
    <row r="6" spans="1:22" ht="14.5" x14ac:dyDescent="0.35">
      <c r="A6" s="17" t="s">
        <v>25</v>
      </c>
      <c r="B6" s="79">
        <v>1.3</v>
      </c>
      <c r="C6" s="102" t="s">
        <v>93</v>
      </c>
      <c r="D6" s="102"/>
      <c r="E6" s="102"/>
      <c r="F6" s="102"/>
      <c r="G6" s="10"/>
      <c r="H6" s="10"/>
      <c r="I6" s="10"/>
      <c r="J6" s="10"/>
      <c r="K6" s="10"/>
      <c r="L6" s="10"/>
      <c r="M6" s="10"/>
      <c r="N6" s="10"/>
      <c r="O6" s="10"/>
      <c r="P6" s="10"/>
      <c r="Q6" s="10"/>
      <c r="R6" s="10"/>
      <c r="S6" s="10"/>
      <c r="T6" s="10"/>
      <c r="U6" s="10"/>
      <c r="V6" s="10"/>
    </row>
    <row r="7" spans="1:22" ht="14.5" x14ac:dyDescent="0.35">
      <c r="A7" s="17" t="s">
        <v>26</v>
      </c>
      <c r="B7" s="78">
        <v>0</v>
      </c>
      <c r="C7" s="102" t="s">
        <v>27</v>
      </c>
      <c r="D7" s="102"/>
      <c r="E7" s="102"/>
      <c r="F7" s="102"/>
      <c r="G7" s="10"/>
      <c r="H7" s="10"/>
      <c r="I7" s="10"/>
      <c r="J7" s="10"/>
      <c r="K7" s="10"/>
      <c r="L7" s="10"/>
      <c r="M7" s="10"/>
      <c r="N7" s="10"/>
      <c r="O7" s="10"/>
      <c r="P7" s="10"/>
      <c r="Q7" s="10"/>
      <c r="R7" s="10"/>
      <c r="S7" s="10"/>
      <c r="T7" s="10"/>
      <c r="U7" s="10"/>
      <c r="V7" s="10"/>
    </row>
    <row r="8" spans="1:22" ht="14.5" x14ac:dyDescent="0.35">
      <c r="A8" s="17" t="s">
        <v>28</v>
      </c>
      <c r="B8" s="79" t="s">
        <v>29</v>
      </c>
      <c r="C8" s="102" t="s">
        <v>94</v>
      </c>
      <c r="D8" s="102"/>
      <c r="E8" s="102"/>
      <c r="F8" s="102"/>
      <c r="G8" s="10"/>
      <c r="H8" s="10"/>
      <c r="I8" s="10"/>
      <c r="J8" s="10"/>
      <c r="K8" s="10"/>
      <c r="L8" s="10"/>
      <c r="M8" s="10"/>
      <c r="N8" s="10"/>
      <c r="O8" s="10"/>
      <c r="P8" s="10"/>
      <c r="Q8" s="10"/>
      <c r="R8" s="10"/>
      <c r="S8" s="10"/>
      <c r="T8" s="10"/>
      <c r="U8" s="10"/>
      <c r="V8" s="10"/>
    </row>
    <row r="9" spans="1:22" ht="14.5" x14ac:dyDescent="0.35">
      <c r="A9" s="17" t="s">
        <v>30</v>
      </c>
      <c r="B9" s="79">
        <v>0</v>
      </c>
      <c r="C9" s="102" t="s">
        <v>31</v>
      </c>
      <c r="D9" s="102"/>
      <c r="E9" s="102"/>
      <c r="F9" s="102"/>
      <c r="G9" s="10"/>
      <c r="H9" s="10"/>
      <c r="I9" s="10"/>
      <c r="J9" s="10"/>
      <c r="K9" s="10"/>
      <c r="L9" s="10"/>
      <c r="M9" s="10"/>
      <c r="N9" s="10"/>
      <c r="O9" s="10"/>
      <c r="P9" s="10"/>
      <c r="Q9" s="10"/>
      <c r="R9" s="10"/>
      <c r="S9" s="10"/>
      <c r="T9" s="10"/>
      <c r="U9" s="10"/>
      <c r="V9" s="10"/>
    </row>
    <row r="10" spans="1:22" ht="14.5" x14ac:dyDescent="0.35">
      <c r="A10" s="17" t="s">
        <v>32</v>
      </c>
      <c r="B10" s="79" t="s">
        <v>33</v>
      </c>
      <c r="C10" s="102" t="s">
        <v>34</v>
      </c>
      <c r="D10" s="102"/>
      <c r="E10" s="102"/>
      <c r="F10" s="102"/>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4</v>
      </c>
      <c r="C12" s="101" t="s">
        <v>106</v>
      </c>
      <c r="D12" s="101"/>
      <c r="E12" s="101"/>
      <c r="F12" s="10"/>
      <c r="G12" s="10"/>
      <c r="H12" s="10"/>
      <c r="I12" s="10"/>
      <c r="J12" s="10"/>
      <c r="K12" s="10"/>
      <c r="L12" s="10"/>
      <c r="M12" s="10"/>
      <c r="N12" s="10"/>
      <c r="O12" s="10"/>
      <c r="P12" s="10"/>
      <c r="Q12" s="10"/>
      <c r="R12" s="10"/>
      <c r="S12" s="10"/>
      <c r="T12" s="10"/>
      <c r="U12" s="10"/>
      <c r="V12" s="10"/>
    </row>
    <row r="13" spans="1:22" ht="14.5" x14ac:dyDescent="0.35">
      <c r="A13" s="17" t="s">
        <v>37</v>
      </c>
      <c r="B13" s="97">
        <f>IF('Sizing Input'!C16=0,1,IF('Sizing Input'!C15&gt;'Sizing Input'!C14,1,ROUNDUP(('Sizing Input'!C14/'Sizing Input'!C15),1)))</f>
        <v>1</v>
      </c>
      <c r="C13" s="101" t="s">
        <v>106</v>
      </c>
      <c r="D13" s="101"/>
      <c r="E13" s="101"/>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5" x14ac:dyDescent="0.35">
      <c r="A18" s="2" t="s">
        <v>38</v>
      </c>
      <c r="B18" s="9">
        <f>'CPU Details'!A10+$B$9</f>
        <v>5</v>
      </c>
      <c r="C18" s="9">
        <f>'CPU Details'!B10+$B$9</f>
        <v>3</v>
      </c>
      <c r="D18" s="9">
        <f>'CPU Details'!C10+$B$9</f>
        <v>5</v>
      </c>
      <c r="E18" s="10"/>
      <c r="F18" s="10"/>
      <c r="G18" s="10"/>
      <c r="H18" s="10"/>
      <c r="I18" s="10"/>
      <c r="J18" s="10"/>
      <c r="K18" s="10"/>
      <c r="L18" s="10"/>
      <c r="M18" s="10"/>
      <c r="N18" s="10"/>
      <c r="O18" s="10"/>
      <c r="P18" s="10"/>
      <c r="Q18" s="10"/>
      <c r="R18" s="10"/>
      <c r="S18" s="10"/>
      <c r="T18" s="10"/>
      <c r="U18" s="10"/>
      <c r="V18" s="10"/>
    </row>
    <row r="19" spans="1:22" ht="14.5" x14ac:dyDescent="0.35">
      <c r="A19" s="2" t="s">
        <v>39</v>
      </c>
      <c r="B19" s="9">
        <f>'Memory Details'!A10+$B$9</f>
        <v>3</v>
      </c>
      <c r="C19" s="9">
        <f>'Memory Details'!B10+$B$9</f>
        <v>2</v>
      </c>
      <c r="D19" s="9">
        <f>'Memory Details'!C10+$B$9</f>
        <v>4</v>
      </c>
      <c r="E19" s="10"/>
      <c r="F19" s="10"/>
      <c r="G19" s="10"/>
      <c r="H19" s="10"/>
      <c r="I19" s="10"/>
      <c r="J19" s="10"/>
      <c r="K19" s="10"/>
      <c r="L19" s="10"/>
      <c r="M19" s="10"/>
      <c r="N19" s="10"/>
      <c r="O19" s="10"/>
      <c r="P19" s="10"/>
      <c r="Q19" s="10"/>
      <c r="R19" s="10"/>
      <c r="S19" s="10"/>
      <c r="T19" s="10"/>
      <c r="U19" s="10"/>
      <c r="V19" s="10"/>
    </row>
    <row r="20" spans="1:22" ht="14.5" x14ac:dyDescent="0.35">
      <c r="A20" s="21" t="s">
        <v>97</v>
      </c>
      <c r="B20" s="20">
        <f>IF('START HERE'!A99="manual",'Storage Details'!B28+B9,IF(B10="Deployed",'Storage Details'!B28,'Storage Details'!C28)+B9)</f>
        <v>9</v>
      </c>
      <c r="C20" s="20">
        <f>IF('START HERE'!A99="manual",'Storage Details'!B29+B9,IF(B10="Deployed",'Storage Details'!B29,'Storage Details'!C29)+B9)</f>
        <v>4</v>
      </c>
      <c r="D20" s="20">
        <f>IF('START HERE'!A99="manual",'Storage Details'!B27+B9,IF(B10="Deployed",'Storage Details'!B27,'Storage Details'!C27)+B9)</f>
        <v>9</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f>MAX(B18:B20)</f>
        <v>9</v>
      </c>
      <c r="C22" s="22">
        <f t="shared" ref="C22:D22" si="0">MAX(C18:C20)</f>
        <v>4</v>
      </c>
      <c r="D22" s="22">
        <f t="shared" si="0"/>
        <v>9</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str">
        <f>IF(B22=B20,"Storage",IF(B19=B22,"Memory",IF(B18=B22,"CPU")))</f>
        <v>Storage</v>
      </c>
      <c r="C23" s="13" t="str">
        <f t="shared" ref="C23:D23" si="1">IF(C22=C20,"Storage",IF(C19=C22,"Memory",IF(C18=C22,"CPU")))</f>
        <v>Storage</v>
      </c>
      <c r="D23" s="13" t="str">
        <f t="shared" si="1"/>
        <v>Storage</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5" x14ac:dyDescent="0.25"/>
  <cols>
    <col min="1" max="1" width="13.26953125" bestFit="1" customWidth="1"/>
  </cols>
  <sheetData>
    <row r="2" spans="1:3" ht="13.5" x14ac:dyDescent="0.35">
      <c r="A2" s="10">
        <f>'Sizing Input'!C3*(1+'Turn The Knobs'!B7)</f>
        <v>100</v>
      </c>
      <c r="B2" s="24" t="s">
        <v>42</v>
      </c>
    </row>
    <row r="3" spans="1:3" ht="13.5" x14ac:dyDescent="0.35">
      <c r="A3" s="10">
        <v>46</v>
      </c>
      <c r="B3" s="24" t="s">
        <v>95</v>
      </c>
    </row>
    <row r="4" spans="1:3" ht="13.5" x14ac:dyDescent="0.35">
      <c r="A4" s="25">
        <f>(A2*'Sizing Input'!C7)</f>
        <v>400</v>
      </c>
      <c r="B4" s="24" t="s">
        <v>43</v>
      </c>
    </row>
    <row r="5" spans="1:3" ht="13.5" x14ac:dyDescent="0.35">
      <c r="A5" s="10">
        <f>IF('Turn The Knobs'!B12="Current On-Prem Ratio",IF('Sizing Input'!C9&gt;'Sizing Input'!C8,1,(('Sizing Input'!C8/'Sizing Input'!C9))),'Turn The Knobs'!B12)</f>
        <v>4</v>
      </c>
      <c r="B5" s="24" t="s">
        <v>44</v>
      </c>
    </row>
    <row r="6" spans="1:3" ht="13.5" x14ac:dyDescent="0.35">
      <c r="A6" s="58">
        <f>ROUNDUP(IF(A5=1,'Sizing Input'!C8*(1+'Turn The Knobs'!B7),(A4/A5)),0)+A3</f>
        <v>146</v>
      </c>
      <c r="B6" s="24" t="s">
        <v>45</v>
      </c>
    </row>
    <row r="7" spans="1:3" x14ac:dyDescent="0.25">
      <c r="B7" s="26"/>
    </row>
    <row r="9" spans="1:3" ht="14.5" x14ac:dyDescent="0.35">
      <c r="A9" s="77" t="s">
        <v>86</v>
      </c>
      <c r="B9" s="77" t="s">
        <v>85</v>
      </c>
      <c r="C9" s="77" t="s">
        <v>84</v>
      </c>
    </row>
    <row r="10" spans="1:3" ht="14.5" x14ac:dyDescent="0.35">
      <c r="A10" s="77">
        <f>ROUNDUP($A$6/'Host Configurations'!B5,0)</f>
        <v>5</v>
      </c>
      <c r="B10" s="77">
        <f>ROUNDUP($A$6/'Host Configurations'!C5,0)</f>
        <v>3</v>
      </c>
      <c r="C10" s="77">
        <f>ROUNDUP($A$6/'Host Configurations'!D5,0)</f>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9" sqref="B29"/>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25">
      <c r="A7" s="1" t="s">
        <v>46</v>
      </c>
      <c r="B7" s="57">
        <f>('Sizing Input'!C20)+(B5)+(('Sizing Input'!C20)*B4)</f>
        <v>103.8</v>
      </c>
      <c r="I7">
        <f>I5-I6</f>
        <v>0.7</v>
      </c>
      <c r="J7">
        <f>I7*100</f>
        <v>70</v>
      </c>
    </row>
    <row r="8" spans="1:10" x14ac:dyDescent="0.25">
      <c r="A8" s="1" t="s">
        <v>47</v>
      </c>
      <c r="B8" s="57">
        <f>B7*C6</f>
        <v>138.054</v>
      </c>
      <c r="I8">
        <v>345</v>
      </c>
      <c r="J8">
        <f>I8/J7</f>
        <v>4.9285714285714288</v>
      </c>
    </row>
    <row r="9" spans="1:10" x14ac:dyDescent="0.25">
      <c r="A9" s="1" t="s">
        <v>48</v>
      </c>
      <c r="B9" s="57">
        <f>B8/B3</f>
        <v>106.19538461538461</v>
      </c>
      <c r="J9">
        <f>J8*100</f>
        <v>492.85714285714289</v>
      </c>
    </row>
    <row r="10" spans="1:10" x14ac:dyDescent="0.25">
      <c r="A10" s="1" t="s">
        <v>49</v>
      </c>
      <c r="B10" s="93">
        <f>(B9/((1-'Turn The Knobs'!B5)*100))*100</f>
        <v>141.59384615384616</v>
      </c>
    </row>
    <row r="11" spans="1:10" x14ac:dyDescent="0.25">
      <c r="A11" s="1" t="s">
        <v>50</v>
      </c>
      <c r="B11" s="57">
        <f>IF(B3&lt;&gt;1,(B10+(B9*0.05247)),B10)</f>
        <v>147.16591798461539</v>
      </c>
      <c r="C11">
        <f>B9*0.05247</f>
        <v>5.5720718307692305</v>
      </c>
    </row>
    <row r="12" spans="1:10" x14ac:dyDescent="0.25">
      <c r="A12" s="1" t="s">
        <v>51</v>
      </c>
      <c r="B12" s="57">
        <f>IF(B3&lt;&gt;1,(B11+(B9*0.1585)),(B11+(B9*0.04088)))</f>
        <v>163.99788644615384</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f>((('Sizing Input'!C20)+(B5)+(('Sizing Input'!C19)*B4))/B3)+B5</f>
        <v>83.646153846153837</v>
      </c>
      <c r="C17" t="s">
        <v>33</v>
      </c>
      <c r="E17" s="38">
        <f>$B$17*E15</f>
        <v>167.29230769230767</v>
      </c>
      <c r="F17" s="38">
        <f>$B$17*F15</f>
        <v>111.24938461538461</v>
      </c>
      <c r="G17" s="38">
        <f>$B$17*G15</f>
        <v>250.93846153846152</v>
      </c>
      <c r="H17" s="38">
        <f>$B$17*H15</f>
        <v>125.46923076923076</v>
      </c>
    </row>
    <row r="18" spans="1:9" x14ac:dyDescent="0.2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4" t="s">
        <v>111</v>
      </c>
      <c r="F22" s="104"/>
      <c r="G22" s="104"/>
      <c r="H22" s="104"/>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f>ROUNDUP(B26/'Host Configurations'!D15,0)</f>
        <v>13</v>
      </c>
      <c r="F24">
        <f>ROUNDUP($B$26/'Host Configurations'!D16,0)</f>
        <v>9</v>
      </c>
      <c r="G24">
        <f>ROUNDUP($B$26/'Host Configurations'!D17,0)</f>
        <v>19</v>
      </c>
      <c r="H24">
        <f>ROUNDUP($B$26/'Host Configurations'!D18,0)</f>
        <v>10</v>
      </c>
      <c r="I24" t="s">
        <v>84</v>
      </c>
    </row>
    <row r="25" spans="1:9" x14ac:dyDescent="0.25">
      <c r="A25" s="1" t="s">
        <v>46</v>
      </c>
      <c r="B25">
        <f>('Sizing Input'!C20)+(B24)+(('Sizing Input'!C20)*B23)</f>
        <v>103.8</v>
      </c>
      <c r="C25">
        <f>('Sizing Input'!C19)+(B24)+(('Sizing Input'!C19)*B23)</f>
        <v>3.8</v>
      </c>
      <c r="E25">
        <f>ROUNDUP(B26/'Host Configurations'!B15,0)</f>
        <v>13</v>
      </c>
      <c r="F25">
        <f>ROUNDUP($B$26/'Host Configurations'!B16,0)</f>
        <v>9</v>
      </c>
      <c r="G25">
        <f>ROUNDUP($B$26/'Host Configurations'!B17,0)</f>
        <v>19</v>
      </c>
      <c r="H25">
        <f>ROUNDUP($B$26/'Host Configurations'!B18,0)</f>
        <v>10</v>
      </c>
      <c r="I25" t="s">
        <v>86</v>
      </c>
    </row>
    <row r="26" spans="1:9" x14ac:dyDescent="0.25">
      <c r="A26" s="1" t="s">
        <v>104</v>
      </c>
      <c r="B26">
        <f>(1-(B22-1))*B25</f>
        <v>72.66</v>
      </c>
      <c r="C26">
        <f>(1-(C22-1))*C25</f>
        <v>2.6599999999999997</v>
      </c>
      <c r="E26">
        <f>ROUNDUP(B26/'Host Configurations'!C15,0)</f>
        <v>6</v>
      </c>
      <c r="F26">
        <f>ROUNDUP($B$26/'Host Configurations'!C16,0)</f>
        <v>4</v>
      </c>
      <c r="G26">
        <f>ROUNDUP($B$26/'Host Configurations'!C17,0)</f>
        <v>8</v>
      </c>
      <c r="H26">
        <f>ROUNDUP($B$26/'Host Configurations'!C18,0)</f>
        <v>4</v>
      </c>
      <c r="I26" s="1" t="s">
        <v>85</v>
      </c>
    </row>
    <row r="27" spans="1:9" ht="13" x14ac:dyDescent="0.3">
      <c r="A27" s="96" t="s">
        <v>108</v>
      </c>
      <c r="B27" s="95">
        <f>IF('Turn The Knobs'!B8='Storage Details'!E29,'Storage Details'!E24,IF('Turn The Knobs'!B8='Storage Details'!F23,'Storage Details'!F24,IF('Turn The Knobs'!B8='Storage Details'!G23,'Storage Details'!G24,IF('Turn The Knobs'!B8='Storage Details'!H23,'Storage Details'!H24))))</f>
        <v>9</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96" t="s">
        <v>109</v>
      </c>
      <c r="B28" s="95">
        <f>IF('Turn The Knobs'!B8='Storage Details'!E23,'Storage Details'!E25,IF('Turn The Knobs'!B8='Storage Details'!F23,'Storage Details'!F25,IF('Turn The Knobs'!B8='Storage Details'!G23,'Storage Details'!G25,IF('Turn The Knobs'!B8='Storage Details'!H23,'Storage Details'!H25))))</f>
        <v>9</v>
      </c>
      <c r="C28">
        <f>IF('Turn The Knobs'!B8='Storage Details'!E29,'Storage Details'!E31,IF('Turn The Knobs'!B8='Storage Details'!F29,'Storage Details'!F31,IF('Turn The Knobs'!B8='Storage Details'!G29,'Storage Details'!G31,IF('Turn The Knobs'!B8='Storage Details'!H29,'Storage Details'!H31))))</f>
        <v>1</v>
      </c>
      <c r="E28" s="104" t="s">
        <v>112</v>
      </c>
      <c r="F28" s="104"/>
      <c r="G28" s="104"/>
      <c r="H28" s="104"/>
    </row>
    <row r="29" spans="1:9" ht="14.5" x14ac:dyDescent="0.35">
      <c r="A29" s="96" t="s">
        <v>110</v>
      </c>
      <c r="B29" s="95">
        <f>IF('Turn The Knobs'!B8='Storage Details'!E23,'Storage Details'!E26,IF('Turn The Knobs'!B8='Storage Details'!F23,'Storage Details'!F26,IF('Turn The Knobs'!B8='Storage Details'!G23,'Storage Details'!G26,IF('Turn The Knobs'!B8='Storage Details'!H23,'Storage Details'!H26))))</f>
        <v>4</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25">
      <c r="A30" s="1"/>
      <c r="E30" s="1">
        <f>ROUNDUP(C26/'Host Configurations'!D15,0)</f>
        <v>1</v>
      </c>
      <c r="F30" s="1">
        <f>ROUNDUP(C26/'Host Configurations'!D16,0)</f>
        <v>1</v>
      </c>
      <c r="G30" s="1">
        <f>ROUNDUP(C26/'Host Configurations'!D17,0)</f>
        <v>1</v>
      </c>
      <c r="H30" s="1">
        <f>ROUNDUP(C26/'Host Configurations'!D18,0)</f>
        <v>1</v>
      </c>
      <c r="I30" t="s">
        <v>84</v>
      </c>
    </row>
    <row r="31" spans="1:9" x14ac:dyDescent="0.25">
      <c r="A31" s="1"/>
      <c r="E31" s="1">
        <f>ROUNDUP(C26/'Host Configurations'!B15,0)</f>
        <v>1</v>
      </c>
      <c r="F31" s="1">
        <f>ROUNDUP(C26/'Host Configurations'!B16,0)</f>
        <v>1</v>
      </c>
      <c r="G31" s="1">
        <f>ROUNDUP(C26/'Host Configurations'!B17,0)</f>
        <v>1</v>
      </c>
      <c r="H31" s="1">
        <f>ROUNDUP(C26/'Host Configurations'!B18,0)</f>
        <v>1</v>
      </c>
      <c r="I31" t="s">
        <v>86</v>
      </c>
    </row>
    <row r="32" spans="1:9" x14ac:dyDescent="0.2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6328125" defaultRowHeight="12.5" x14ac:dyDescent="0.25"/>
  <cols>
    <col min="1" max="1" width="19.26953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85</v>
      </c>
      <c r="D1" s="2" t="s">
        <v>84</v>
      </c>
      <c r="E1" s="2"/>
    </row>
    <row r="2" spans="1:8" ht="14.5" x14ac:dyDescent="0.35">
      <c r="A2" s="2" t="s">
        <v>53</v>
      </c>
      <c r="B2" s="2">
        <v>2.6</v>
      </c>
      <c r="C2" s="2">
        <v>2.7</v>
      </c>
      <c r="D2" s="2">
        <v>2.2999999999999998</v>
      </c>
      <c r="E2" s="2"/>
    </row>
    <row r="3" spans="1:8" ht="14.5" x14ac:dyDescent="0.35">
      <c r="A3" s="2" t="s">
        <v>54</v>
      </c>
      <c r="B3" s="2">
        <v>2</v>
      </c>
      <c r="C3" s="2">
        <v>2</v>
      </c>
      <c r="D3" s="2">
        <v>2</v>
      </c>
      <c r="E3" s="2"/>
    </row>
    <row r="4" spans="1:8" ht="14.5" x14ac:dyDescent="0.35">
      <c r="A4" s="2" t="s">
        <v>55</v>
      </c>
      <c r="B4" s="2">
        <v>18</v>
      </c>
      <c r="C4" s="2">
        <v>26</v>
      </c>
      <c r="D4" s="2">
        <v>18</v>
      </c>
      <c r="E4" s="2"/>
    </row>
    <row r="5" spans="1:8" ht="14.5" x14ac:dyDescent="0.35">
      <c r="A5" s="2" t="s">
        <v>56</v>
      </c>
      <c r="B5" s="2">
        <f>B3*B4</f>
        <v>36</v>
      </c>
      <c r="C5" s="2">
        <f>C3*C4</f>
        <v>52</v>
      </c>
      <c r="D5" s="2">
        <f>D3*D4</f>
        <v>36</v>
      </c>
      <c r="E5" s="2"/>
    </row>
    <row r="6" spans="1:8" ht="14.5" x14ac:dyDescent="0.35">
      <c r="A6" s="2" t="s">
        <v>57</v>
      </c>
      <c r="B6" s="2">
        <v>768</v>
      </c>
      <c r="C6" s="2">
        <v>1500</v>
      </c>
      <c r="D6" s="2">
        <v>576</v>
      </c>
      <c r="E6" s="2"/>
    </row>
    <row r="7" spans="1:8" ht="14.5" x14ac:dyDescent="0.35">
      <c r="A7" s="2" t="s">
        <v>58</v>
      </c>
      <c r="B7" s="2">
        <v>15400</v>
      </c>
      <c r="C7" s="2">
        <v>38400</v>
      </c>
      <c r="D7" s="2">
        <v>1920</v>
      </c>
      <c r="E7" s="2"/>
      <c r="G7" s="1"/>
    </row>
    <row r="8" spans="1:8" ht="14.5" x14ac:dyDescent="0.35">
      <c r="A8" s="2" t="s">
        <v>59</v>
      </c>
      <c r="B8" s="2">
        <v>1</v>
      </c>
      <c r="C8" s="2">
        <v>1</v>
      </c>
      <c r="D8" s="2">
        <v>8</v>
      </c>
      <c r="E8" s="2"/>
      <c r="G8" s="1"/>
    </row>
    <row r="9" spans="1:8" ht="14.5" x14ac:dyDescent="0.35">
      <c r="A9" s="2" t="s">
        <v>60</v>
      </c>
      <c r="B9" s="2">
        <f>(B8*B7)/1000</f>
        <v>15.4</v>
      </c>
      <c r="C9" s="2">
        <f>(C8*C7)/1000</f>
        <v>38.4</v>
      </c>
      <c r="D9" s="2">
        <f>(D8*D7)/1000</f>
        <v>15.36</v>
      </c>
      <c r="E9" s="2"/>
      <c r="G9" s="1"/>
      <c r="H9" s="2"/>
    </row>
    <row r="10" spans="1:8" ht="14.5" x14ac:dyDescent="0.35">
      <c r="A10" s="2" t="s">
        <v>91</v>
      </c>
      <c r="B10" s="2">
        <f>($B$9*(1-'Turn The Knobs'!B5))</f>
        <v>11.55</v>
      </c>
      <c r="C10" s="2">
        <f>($C$9*(1-'Turn The Knobs'!B5))</f>
        <v>28.799999999999997</v>
      </c>
      <c r="D10" s="2">
        <f>($D$9*(1-'Turn The Knobs'!B5))</f>
        <v>11.52</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5" t="s">
        <v>88</v>
      </c>
      <c r="B14" s="105"/>
      <c r="C14" s="105"/>
      <c r="D14" s="105"/>
      <c r="E14" s="74">
        <f>'Turn The Knobs'!B5</f>
        <v>0.25</v>
      </c>
      <c r="G14" s="1"/>
    </row>
    <row r="15" spans="1:8" ht="14.5" x14ac:dyDescent="0.35">
      <c r="A15" s="68" t="s">
        <v>61</v>
      </c>
      <c r="B15" s="69">
        <f>$B$10/E15</f>
        <v>5.7750000000000004</v>
      </c>
      <c r="C15" s="69">
        <f>($C$9*(1-$E$14))/E15</f>
        <v>14.399999999999999</v>
      </c>
      <c r="D15" s="69">
        <f>($D$9*(1-$E$14))/E15</f>
        <v>5.76</v>
      </c>
      <c r="E15" s="23">
        <v>2</v>
      </c>
      <c r="G15" s="1"/>
    </row>
    <row r="16" spans="1:8" ht="14.5" x14ac:dyDescent="0.35">
      <c r="A16" s="68" t="s">
        <v>29</v>
      </c>
      <c r="B16" s="69">
        <f t="shared" ref="B16:B18" si="0">$B$10/E16</f>
        <v>8.6842105263157894</v>
      </c>
      <c r="C16" s="69">
        <f t="shared" ref="C16:C18" si="1">($C$9*(1-$E$14))/E16</f>
        <v>21.65413533834586</v>
      </c>
      <c r="D16" s="69">
        <f t="shared" ref="D16:D18" si="2">($D$9*(1-$E$14))/E16</f>
        <v>8.6616541353383454</v>
      </c>
      <c r="E16" s="23">
        <v>1.33</v>
      </c>
      <c r="G16" s="1"/>
    </row>
    <row r="17" spans="1:7" ht="14.5" x14ac:dyDescent="0.35">
      <c r="A17" s="68" t="s">
        <v>62</v>
      </c>
      <c r="B17" s="69">
        <f t="shared" si="0"/>
        <v>3.85</v>
      </c>
      <c r="C17" s="69">
        <f t="shared" si="1"/>
        <v>9.6</v>
      </c>
      <c r="D17" s="69">
        <f t="shared" si="2"/>
        <v>3.84</v>
      </c>
      <c r="E17" s="23">
        <v>3</v>
      </c>
      <c r="G17" s="1"/>
    </row>
    <row r="18" spans="1:7" ht="14.5" x14ac:dyDescent="0.35">
      <c r="A18" s="68" t="s">
        <v>63</v>
      </c>
      <c r="B18" s="69">
        <f t="shared" si="0"/>
        <v>7.7</v>
      </c>
      <c r="C18" s="69">
        <f t="shared" si="1"/>
        <v>19.2</v>
      </c>
      <c r="D18" s="69">
        <f t="shared" si="2"/>
        <v>7.68</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20" sqref="C20"/>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IF('START HERE'!A99="manual",'START HERE'!A100,Sheet3!G3)</f>
        <v>100</v>
      </c>
      <c r="F3" s="2"/>
    </row>
    <row r="4" spans="2:6" ht="14.5" x14ac:dyDescent="0.35">
      <c r="B4" s="2" t="s">
        <v>5</v>
      </c>
      <c r="C4" s="83">
        <f>IF('START HERE'!A99="manual",0,COUNTIFS(Sheet3!A2:A5000,"&lt;&gt;0"))</f>
        <v>0</v>
      </c>
    </row>
    <row r="5" spans="2:6" x14ac:dyDescent="0.25">
      <c r="C5" s="84"/>
    </row>
    <row r="6" spans="2:6" ht="14.5" x14ac:dyDescent="0.35">
      <c r="B6" s="3" t="s">
        <v>6</v>
      </c>
      <c r="C6" s="84"/>
    </row>
    <row r="7" spans="2:6" ht="14.5" x14ac:dyDescent="0.35">
      <c r="B7" s="2" t="s">
        <v>7</v>
      </c>
      <c r="C7" s="85">
        <f>IF('START HERE'!A99="manual",'START HERE'!A101,(SUM(C8)/C3))</f>
        <v>4</v>
      </c>
    </row>
    <row r="8" spans="2:6" ht="14.5" x14ac:dyDescent="0.35">
      <c r="B8" s="2" t="s">
        <v>8</v>
      </c>
      <c r="C8" s="86">
        <f>IF('START HERE'!A99="manual",C7*C3,Sheet3!H3)</f>
        <v>400</v>
      </c>
    </row>
    <row r="9" spans="2:6" ht="14.5" x14ac:dyDescent="0.35">
      <c r="B9" s="2" t="s">
        <v>9</v>
      </c>
      <c r="C9" s="86">
        <f>IF('START HERE'!A99="manual",0,SUM(Sheet3!C2:C5000))</f>
        <v>0</v>
      </c>
      <c r="D9" s="52"/>
    </row>
    <row r="10" spans="2:6" ht="14.5" x14ac:dyDescent="0.35">
      <c r="B10" s="2" t="s">
        <v>10</v>
      </c>
      <c r="C10" s="87">
        <f>IF('START HERE'!A99="manual",0,IF(C9&gt;C8,1,ROUNDUP((C8/C9),1)&amp;" : 1"))</f>
        <v>0</v>
      </c>
    </row>
    <row r="11" spans="2:6" ht="14.5" x14ac:dyDescent="0.35">
      <c r="C11" s="88"/>
    </row>
    <row r="12" spans="2:6" ht="14.5" x14ac:dyDescent="0.35">
      <c r="B12" s="3" t="s">
        <v>11</v>
      </c>
      <c r="C12" s="83"/>
    </row>
    <row r="13" spans="2:6" ht="14.5" x14ac:dyDescent="0.35">
      <c r="B13" s="2" t="s">
        <v>12</v>
      </c>
      <c r="C13" s="85">
        <f>IF('START HERE'!A99="manual",'START HERE'!A102,C14/C3)</f>
        <v>16</v>
      </c>
    </row>
    <row r="14" spans="2:6" ht="14.5" x14ac:dyDescent="0.35">
      <c r="B14" s="2" t="s">
        <v>13</v>
      </c>
      <c r="C14" s="89">
        <f>IF('START HERE'!A99="manual",C13*C3,Sheet3!I3/1000)</f>
        <v>1600</v>
      </c>
    </row>
    <row r="15" spans="2:6" ht="14.5" x14ac:dyDescent="0.35">
      <c r="B15" s="2" t="s">
        <v>14</v>
      </c>
      <c r="C15" s="86">
        <f>IF('START HERE'!A99="manual",0,SUM(Sheet3!D:D)/1000)</f>
        <v>0</v>
      </c>
    </row>
    <row r="16" spans="2:6" ht="14.5" x14ac:dyDescent="0.35">
      <c r="B16" s="2" t="s">
        <v>15</v>
      </c>
      <c r="C16" s="87">
        <f>IF('START HERE'!A99="manual",0,IF(C15&gt;C14,1&amp;" : 1",ROUNDUP((C14/C15),1)&amp;" : 1"))</f>
        <v>0</v>
      </c>
    </row>
    <row r="17" spans="2:5" ht="14.5" x14ac:dyDescent="0.35">
      <c r="C17" s="83"/>
    </row>
    <row r="18" spans="2:5" ht="14.5" x14ac:dyDescent="0.35">
      <c r="B18" s="3" t="s">
        <v>16</v>
      </c>
      <c r="C18" s="84"/>
      <c r="E18" s="53"/>
    </row>
    <row r="19" spans="2:5" ht="14.5" x14ac:dyDescent="0.35">
      <c r="B19" s="2" t="s">
        <v>17</v>
      </c>
      <c r="C19" s="89">
        <f>IF('START HERE'!A99="manual",0,Sheet3!J3/1000000)</f>
        <v>0</v>
      </c>
    </row>
    <row r="20" spans="2:5" ht="14.5" x14ac:dyDescent="0.35">
      <c r="B20" s="2" t="s">
        <v>18</v>
      </c>
      <c r="C20" s="85">
        <f>IF('START HERE'!A99="manual",(C3*C22)/1000,Sheet3!K3/1000000)</f>
        <v>100</v>
      </c>
    </row>
    <row r="21" spans="2:5" ht="14.5" x14ac:dyDescent="0.35">
      <c r="B21" s="2" t="s">
        <v>19</v>
      </c>
      <c r="C21" s="90">
        <f>IF('START HERE'!A99="manual",0,C19/C20)</f>
        <v>0</v>
      </c>
    </row>
    <row r="22" spans="2:5" ht="14.5" x14ac:dyDescent="0.35">
      <c r="B22" s="2" t="s">
        <v>20</v>
      </c>
      <c r="C22" s="91">
        <f>IF('START HERE'!A99="manual",'START HERE'!A103/1000,(C20*1000)/C3)</f>
        <v>1000</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100</v>
      </c>
      <c r="B2" s="24" t="s">
        <v>42</v>
      </c>
    </row>
    <row r="3" spans="1:3" ht="13.5" x14ac:dyDescent="0.35">
      <c r="A3" s="10">
        <v>172</v>
      </c>
      <c r="B3" s="24" t="s">
        <v>96</v>
      </c>
    </row>
    <row r="4" spans="1:3" ht="13.5" x14ac:dyDescent="0.35">
      <c r="A4">
        <f>ROUNDUP(A2*'Sizing Input'!C13,0)+A3</f>
        <v>1772</v>
      </c>
      <c r="B4" s="24" t="s">
        <v>82</v>
      </c>
    </row>
    <row r="5" spans="1:3" ht="13.5" x14ac:dyDescent="0.35">
      <c r="A5" s="10">
        <f>IF('Turn The Knobs'!B13="Current On-Prem Ratio",IF('Sizing Input'!C15&gt;'Sizing Input'!C14,1,(('Sizing Input'!C14/'Sizing Input'!C15))),'Turn The Knobs'!B13)</f>
        <v>1</v>
      </c>
      <c r="B5" s="24" t="s">
        <v>44</v>
      </c>
    </row>
    <row r="6" spans="1:3" ht="13.5" x14ac:dyDescent="0.35">
      <c r="A6" s="25">
        <f>ROUNDUP(A4/A5,0)</f>
        <v>1772</v>
      </c>
      <c r="B6" s="24" t="s">
        <v>83</v>
      </c>
    </row>
    <row r="7" spans="1:3" x14ac:dyDescent="0.25">
      <c r="B7" s="26"/>
    </row>
    <row r="9" spans="1:3" ht="14.5" x14ac:dyDescent="0.35">
      <c r="A9" s="2" t="s">
        <v>86</v>
      </c>
      <c r="B9" s="2" t="s">
        <v>85</v>
      </c>
      <c r="C9" s="2" t="s">
        <v>84</v>
      </c>
    </row>
    <row r="10" spans="1:3" ht="14.5" x14ac:dyDescent="0.35">
      <c r="A10" s="2">
        <f>ROUNDUP($A$6/'Host Configurations'!B6,0)</f>
        <v>3</v>
      </c>
      <c r="B10" s="2">
        <f>ROUNDUP($A$6/'Host Configurations'!C6,0)</f>
        <v>2</v>
      </c>
      <c r="C10" s="2">
        <f>ROUNDUP($A$6/'Host Configurations'!D6,0)</f>
        <v>4</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6A4BA02-C819-41A3-9F3B-E88F185DB894}">
  <ds:schemaRefs>
    <ds:schemaRef ds:uri="http://schemas.microsoft.com/DataMashup"/>
  </ds:schemaRefs>
</ds:datastoreItem>
</file>

<file path=customXml/itemProps2.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3.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4.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2022-09-30T16:22:41Z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