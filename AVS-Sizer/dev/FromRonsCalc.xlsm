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Sizer/dev/"/>
    </mc:Choice>
  </mc:AlternateContent>
  <xr:revisionPtr revIDLastSave="1019" documentId="8_{5BB25FD6-DD2D-4772-B108-09DDCC65BC3F}" xr6:coauthVersionLast="47" xr6:coauthVersionMax="47" xr10:uidLastSave="{787D9A23-1369-485B-A3E7-95EB2CAEE4F7}"/>
  <bookViews>
    <workbookView xWindow="-110" yWindow="-110" windowWidth="24220" windowHeight="15500" activeTab="1" xr2:uid="{238B0EA7-7E87-42B5-86FB-7EA3E9FF20B8}"/>
  </bookViews>
  <sheets>
    <sheet name="Sheet1" sheetId="1" r:id="rId1"/>
    <sheet name="Sheet2" sheetId="2" r:id="rId2"/>
  </sheets>
  <externalReferences>
    <externalReference r:id="rId3"/>
  </externalReferences>
  <definedNames>
    <definedName name="_xlpm.filenam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3" i="2" l="1"/>
  <c r="B2" i="2"/>
  <c r="I1" i="2" l="1"/>
  <c r="B9" i="1" l="1"/>
  <c r="A2" i="1" l="1"/>
</calcChain>
</file>

<file path=xl/sharedStrings.xml><?xml version="1.0" encoding="utf-8"?>
<sst xmlns="http://schemas.openxmlformats.org/spreadsheetml/2006/main" count="29" uniqueCount="25">
  <si>
    <t>C:</t>
  </si>
  <si>
    <t>Users</t>
  </si>
  <si>
    <t>tredavis</t>
  </si>
  <si>
    <t>OneDrive - Microsoft</t>
  </si>
  <si>
    <t>Customers</t>
  </si>
  <si>
    <t>Roan - AVS License Calculator_v3.24.19.1.xlsm</t>
  </si>
  <si>
    <t>Total Windows VMs: UNKNOWN</t>
  </si>
  <si>
    <t>Total SQL VMs: 71</t>
  </si>
  <si>
    <t>Windows Server 2012 VMs: 744</t>
  </si>
  <si>
    <r>
      <t>Windows Server 2012 vCPUs: 2787 (</t>
    </r>
    <r>
      <rPr>
        <i/>
        <sz val="12"/>
        <color rgb="FF000000"/>
        <rFont val="Segoe UI"/>
        <family val="2"/>
      </rPr>
      <t>Have opportunity here to show cost avoidance</t>
    </r>
    <r>
      <rPr>
        <sz val="12"/>
        <color rgb="FF000000"/>
        <rFont val="Segoe UI"/>
        <family val="2"/>
      </rPr>
      <t>)</t>
    </r>
  </si>
  <si>
    <t>SQL vCPUs: 784</t>
  </si>
  <si>
    <t>Node Count: 97 (CPU is Limiting Factor)</t>
  </si>
  <si>
    <t>Node Type: AV36p</t>
  </si>
  <si>
    <t>Region: </t>
  </si>
  <si>
    <t>External Storage: None required, will not decrease host count.</t>
  </si>
  <si>
    <t>Windows Datacenter 2-Core Packs Reqd: 5,104</t>
  </si>
  <si>
    <t>OR</t>
  </si>
  <si>
    <t>Windows Standard 2-Core Packs Reqd: 1,746</t>
  </si>
  <si>
    <t>SQL Server Standard 2-Core Packs Reqd: 392</t>
  </si>
  <si>
    <t>Total VMs Assessed</t>
  </si>
  <si>
    <t>C:\Users\tredavis\OneDrive - Microsoft\Customers\Meijer\Meijer - AVS License Calculator_v3.24.19.1.xlsm</t>
  </si>
  <si>
    <t>Meijer</t>
  </si>
  <si>
    <t>Meijer - AVS License Calculator_v3.24.19.1.xlsm</t>
  </si>
  <si>
    <t>Windows VMs</t>
  </si>
  <si>
    <t>SQL VMs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</si>
</sst>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9"/>
      <color rgb="FF000000"/>
      <name val="Inherit"/>
    </font>
    <font>
      <sz val="12"/>
      <color rgb="FF000000"/>
      <name val="Segoe UI"/>
      <family val="2"/>
    </font>
    <font>
      <i/>
      <sz val="12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left" vertical="center" indent="1" readingOrder="1"/>
    </xf>
    <xf numFmtId="1" fontId="0" fillId="0" borderId="0" xfId="0" applyNumberFormat="1"/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4064000</xdr:colOff>
          <xdr:row>16</xdr:row>
          <xdr:rowOff>146050</xdr:rowOff>
        </xdr:from>
        <xdr:to>
          <xdr:col>0</xdr:col>
          <xdr:colOff>6343650</xdr:colOff>
          <xdr:row>20</xdr:row>
          <xdr:rowOff>50800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ows\Temp\myfile.xlsm" TargetMode="External"/><Relationship Id="rId1" Type="http://schemas.openxmlformats.org/officeDocument/2006/relationships/externalLinkPath" Target="file:///C:\Windows\Temp\my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SCLAIMER"/>
      <sheetName val="Input Fields"/>
      <sheetName val="Support tab"/>
      <sheetName val="ANF Calculations"/>
      <sheetName val="AVS Consumption Plan"/>
      <sheetName val="RVTools vInfo"/>
      <sheetName val="ESU-Calculation"/>
      <sheetName val="Pivot Windows VMs"/>
      <sheetName val="Pivot SQL"/>
      <sheetName val="Pivot Sizing"/>
      <sheetName val="RVTools filtered"/>
      <sheetName val="Host Configurations"/>
      <sheetName val="Storage Details"/>
      <sheetName val="CPU Details"/>
      <sheetName val="Memory Details"/>
      <sheetName val="Azure Pricing API AVS"/>
      <sheetName val="Azure Pricing API ANF"/>
      <sheetName val="Export tables"/>
      <sheetName val="Currencies"/>
      <sheetName val="List Table"/>
    </sheetNames>
    <sheetDataSet>
      <sheetData sheetId="0"/>
      <sheetData sheetId="1">
        <row r="27">
          <cell r="C27" t="e">
            <v>#N/A</v>
          </cell>
          <cell r="D27">
            <v>3213</v>
          </cell>
        </row>
        <row r="28">
          <cell r="C28">
            <v>0</v>
          </cell>
          <cell r="D28">
            <v>2485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35D7C-AA0C-4EC6-92F1-3AAE65C1BD3B}">
  <sheetPr codeName="Sheet1"/>
  <dimension ref="A1:G13"/>
  <sheetViews>
    <sheetView workbookViewId="0"/>
  </sheetViews>
  <sheetFormatPr defaultRowHeight="14.5"/>
  <cols>
    <col min="1" max="1" width="101.1796875" bestFit="1" customWidth="1"/>
    <col min="2" max="2" width="5.81640625" bestFit="1" customWidth="1"/>
    <col min="3" max="3" width="7.453125" bestFit="1" customWidth="1"/>
    <col min="4" max="4" width="18.36328125" bestFit="1" customWidth="1"/>
    <col min="5" max="5" width="9.7265625" bestFit="1" customWidth="1"/>
    <col min="6" max="6" width="39.6328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21</v>
      </c>
      <c r="G1" t="s">
        <v>22</v>
      </c>
    </row>
    <row r="2" spans="1:7">
      <c r="A2" t="str">
        <f>IF(B1="",A1,IF(C1="",B1,IF(D1="",C1,IF(E1="",D1,IF(F1="",E1,IF(G1="",F1,IF(H1="",G1,IF(I1="",H1,IF(J1="",I1,IF(K1="",J1))))))))))</f>
        <v>Meijer - AVS License Calculator_v3.24.19.1.xlsm</v>
      </c>
    </row>
    <row r="3" spans="1:7">
      <c r="A3" t="s">
        <v>20</v>
      </c>
    </row>
    <row r="4" spans="1:7">
      <c r="B4" t="s">
        <v>1</v>
      </c>
      <c r="C4" t="s">
        <v>2</v>
      </c>
      <c r="D4" t="s">
        <v>3</v>
      </c>
      <c r="E4" t="s">
        <v>4</v>
      </c>
      <c r="F4" t="s">
        <v>5</v>
      </c>
    </row>
    <row r="8" spans="1:7" ht="15" thickBot="1"/>
    <row r="9" spans="1:7" ht="15" thickBot="1">
      <c r="A9" s="1"/>
      <c r="B9" s="2">
        <f>'[1]Input Fields'!$D$27</f>
        <v>3213</v>
      </c>
    </row>
    <row r="12" spans="1:7">
      <c r="B12" t="e">
        <v>#REF!</v>
      </c>
    </row>
    <row r="13" spans="1:7">
      <c r="B13">
        <v>14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4064000</xdr:colOff>
                <xdr:row>16</xdr:row>
                <xdr:rowOff>146050</xdr:rowOff>
              </from>
              <to>
                <xdr:col>0</xdr:col>
                <xdr:colOff>6343650</xdr:colOff>
                <xdr:row>20</xdr:row>
                <xdr:rowOff>50800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00AA-3A71-470C-8D9E-4BB54E04148A}">
  <sheetPr codeName="Sheet2"/>
  <dimension ref="A1:Q22"/>
  <sheetViews>
    <sheetView tabSelected="1" topLeftCell="AJ1" workbookViewId="0">
      <selection activeCell="B4" sqref="B4"/>
    </sheetView>
  </sheetViews>
  <sheetFormatPr defaultRowHeight="14.5"/>
  <cols>
    <col min="1" max="1" width="17.26953125" bestFit="1" customWidth="1"/>
    <col min="17" max="17" width="54.26953125" customWidth="1"/>
  </cols>
  <sheetData>
    <row r="1" spans="1:17">
      <c r="I1">
        <f>'[1]Input Fields'!$D$27</f>
        <v>3213</v>
      </c>
    </row>
    <row r="2" spans="1:17" ht="17.5">
      <c r="A2" t="s">
        <v>19</v>
      </c>
      <c r="B2">
        <f>IF('[1]Input Fields'!$D$27&lt;&gt;0,'[1]Input Fields'!$D$27,'[1]Input Fields'!$C$27)</f>
        <v>3213</v>
      </c>
      <c r="Q2" s="3"/>
    </row>
    <row r="3" spans="1:17">
      <c r="A3" t="s">
        <v>23</v>
      </c>
      <c r="B3">
        <f>IF('[1]Input Fields'!$D$28&lt;&gt;0,'[1]Input Fields'!$D$28,'[1]Input Fields'!$C$28)</f>
        <v>2485</v>
      </c>
    </row>
    <row r="4" spans="1:17" ht="17.5">
      <c r="A4" t="s">
        <v>24</v>
      </c>
      <c r="B4">
        <f>IF('[1]Input Fields'!$D$28&lt;&gt;0,'[1]Input Fields'!$D$28,'[1]Input Fields'!$C$28)</f>
        <v>2485</v>
      </c>
      <c r="Q4" s="3"/>
    </row>
    <row r="5" spans="1:17" ht="17.5">
      <c r="Q5" s="3" t="s">
        <v>6</v>
      </c>
    </row>
    <row r="6" spans="1:17" ht="17.5">
      <c r="Q6" s="3" t="s">
        <v>7</v>
      </c>
    </row>
    <row r="8" spans="1:17" ht="17.5">
      <c r="Q8" s="3" t="s">
        <v>8</v>
      </c>
    </row>
    <row r="9" spans="1:17" ht="35">
      <c r="Q9" s="3" t="s">
        <v>9</v>
      </c>
    </row>
    <row r="11" spans="1:17" ht="17.5">
      <c r="Q11" s="3" t="s">
        <v>10</v>
      </c>
    </row>
    <row r="13" spans="1:17" ht="17.5">
      <c r="Q13" s="3" t="s">
        <v>11</v>
      </c>
    </row>
    <row r="14" spans="1:17" ht="17.5">
      <c r="Q14" s="3" t="s">
        <v>12</v>
      </c>
    </row>
    <row r="15" spans="1:17" ht="17.5">
      <c r="Q15" s="3" t="s">
        <v>13</v>
      </c>
    </row>
    <row r="16" spans="1:17" ht="35">
      <c r="Q16" s="3" t="s">
        <v>14</v>
      </c>
    </row>
    <row r="18" spans="17:17" ht="17.5">
      <c r="Q18" s="3" t="s">
        <v>15</v>
      </c>
    </row>
    <row r="19" spans="17:17" ht="17.5">
      <c r="Q19" s="3" t="s">
        <v>16</v>
      </c>
    </row>
    <row r="20" spans="17:17" ht="17.5">
      <c r="Q20" s="3" t="s">
        <v>17</v>
      </c>
    </row>
    <row r="22" spans="17:17" ht="17.5">
      <c r="Q22" s="3" t="s">
        <v>18</v>
      </c>
    </row>
  </sheetData>
  <pageMargins left="0.7" right="0.7" top="0.75" bottom="0.75" header="0.3" footer="0.3"/>
  <pageSetup orientation="portrait" horizontalDpi="1200" verticalDpi="1200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2023-03-10T01:29:52Z</dcterms:created>
  <dcterms:modified xsi:type="dcterms:W3CDTF">2023-04-21T14:19:55Z</dcterms:modified>
</cp:coreProperties>
</file>