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029" codeName="{E757BCB4-07E6-AE0B-56E0-F0EEF7A6E26C}"/>
  <workbookPr codeName="ThisWorkbook1" defaultThemeVersion="166925"/>
  <mc:AlternateContent xmlns:mc="http://schemas.openxmlformats.org/markup-compatibility/2006">
    <mc:Choice Requires="x15">
      <x15ac:absPath xmlns:x15ac="http://schemas.microsoft.com/office/spreadsheetml/2010/11/ac" url="https://microsoft-my.sharepoint.com/personal/tredavis_microsoft_com/Documents/GitHub/Azure VMware Solution/AVS-Sizer/dev/"/>
    </mc:Choice>
  </mc:AlternateContent>
  <xr:revisionPtr revIDLastSave="0" documentId="8_{EFF6F48F-3D18-4FAD-9212-422660A89F33}" xr6:coauthVersionLast="47" xr6:coauthVersionMax="47" xr10:uidLastSave="{00000000-0000-0000-0000-000000000000}"/>
  <bookViews>
    <workbookView xWindow="-110" yWindow="-110" windowWidth="24220" windowHeight="15500" tabRatio="844" firstSheet="2" activeTab="8" xr2:uid="{00000000-000D-0000-FFFF-FFFF00000000}"/>
  </bookViews>
  <sheets>
    <sheet name="START HERE" sheetId="31" r:id="rId1"/>
    <sheet name="Compare On-Prem to AVS " sheetId="15" state="hidden" r:id="rId2"/>
    <sheet name="Turn The Knobs" sheetId="4" r:id="rId3"/>
    <sheet name="CPU Details" sheetId="25" state="hidden" r:id="rId4"/>
    <sheet name="Storage Details" sheetId="16" r:id="rId5"/>
    <sheet name="Host Configurations" sheetId="9" r:id="rId6"/>
    <sheet name="Sheet3" sheetId="11" state="hidden" r:id="rId7"/>
    <sheet name="Sizing Input" sheetId="5" r:id="rId8"/>
    <sheet name="vInfo (Imported)" sheetId="47" r:id="rId9"/>
    <sheet name="vHosts (Imported)" sheetId="49" r:id="rId10"/>
    <sheet name="Memory Details" sheetId="24" state="hidden" r:id="rId11"/>
  </sheets>
  <functionGroups builtInGroupCount="19"/>
  <definedNames>
    <definedName name="_xlnm._FilterDatabase" localSheetId="2" hidden="1">'Turn The Knobs'!$A$4:$F$13</definedName>
    <definedName name="_xlnm._FilterDatabase" localSheetId="8" hidden="1">'vInfo (Imported)'!$A$1:$BF$206</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23" i="16" l="1"/>
  <c r="C24" i="16"/>
  <c r="B24" i="16"/>
  <c r="C22" i="16"/>
  <c r="V5000" i="11"/>
  <c r="V4999" i="11"/>
  <c r="V4998" i="11"/>
  <c r="V4997" i="11"/>
  <c r="V4996" i="11"/>
  <c r="V4995" i="11"/>
  <c r="V4994" i="11"/>
  <c r="V4993" i="11"/>
  <c r="V4992" i="11"/>
  <c r="V4991" i="11"/>
  <c r="V4990" i="11"/>
  <c r="V4989" i="11"/>
  <c r="V4988" i="11"/>
  <c r="V4987" i="11"/>
  <c r="V4986" i="11"/>
  <c r="V4985" i="11"/>
  <c r="V4984" i="11"/>
  <c r="V4983" i="11"/>
  <c r="V4982" i="11"/>
  <c r="V4981" i="11"/>
  <c r="V4980" i="11"/>
  <c r="V4979" i="11"/>
  <c r="V4978" i="11"/>
  <c r="V4977" i="11"/>
  <c r="V4976" i="11"/>
  <c r="V4975" i="11"/>
  <c r="V4974" i="11"/>
  <c r="V4973" i="11"/>
  <c r="V4972" i="11"/>
  <c r="V4971" i="11"/>
  <c r="V4970" i="11"/>
  <c r="V4969" i="11"/>
  <c r="V4968" i="11"/>
  <c r="V4967" i="11"/>
  <c r="V4966" i="11"/>
  <c r="V4965" i="11"/>
  <c r="V4964" i="11"/>
  <c r="V4963" i="11"/>
  <c r="V4962" i="11"/>
  <c r="V4961" i="11"/>
  <c r="V4960" i="11"/>
  <c r="V4959" i="11"/>
  <c r="V4958" i="11"/>
  <c r="V4957" i="11"/>
  <c r="V4956" i="11"/>
  <c r="V4955" i="11"/>
  <c r="V4954" i="11"/>
  <c r="V4953" i="11"/>
  <c r="V4952" i="11"/>
  <c r="V4951" i="11"/>
  <c r="V4950" i="11"/>
  <c r="V4949" i="11"/>
  <c r="V4948" i="11"/>
  <c r="V4947" i="11"/>
  <c r="V4946" i="11"/>
  <c r="V4945" i="11"/>
  <c r="V4944" i="11"/>
  <c r="V4943" i="11"/>
  <c r="V4942" i="11"/>
  <c r="V4941" i="11"/>
  <c r="V4940" i="11"/>
  <c r="V4939" i="11"/>
  <c r="V4938" i="11"/>
  <c r="V4937" i="11"/>
  <c r="V4936" i="11"/>
  <c r="V4935" i="11"/>
  <c r="V4934" i="11"/>
  <c r="V4933" i="11"/>
  <c r="V4932" i="11"/>
  <c r="V4931" i="11"/>
  <c r="V4930" i="11"/>
  <c r="V4929" i="11"/>
  <c r="V4928" i="11"/>
  <c r="V4927" i="11"/>
  <c r="V4926" i="11"/>
  <c r="V4925" i="11"/>
  <c r="V4924" i="11"/>
  <c r="V4923" i="11"/>
  <c r="V4922" i="11"/>
  <c r="V4921" i="11"/>
  <c r="V4920" i="11"/>
  <c r="V4919" i="11"/>
  <c r="V4918" i="11"/>
  <c r="V4917" i="11"/>
  <c r="V4916" i="11"/>
  <c r="V4915" i="11"/>
  <c r="V4914" i="11"/>
  <c r="V4913" i="11"/>
  <c r="V4912" i="11"/>
  <c r="V4911" i="11"/>
  <c r="V4910" i="11"/>
  <c r="V4909" i="11"/>
  <c r="V4908" i="11"/>
  <c r="V4907" i="11"/>
  <c r="V4906" i="11"/>
  <c r="V4905" i="11"/>
  <c r="V4904" i="11"/>
  <c r="V4903" i="11"/>
  <c r="V4902" i="11"/>
  <c r="V4901" i="11"/>
  <c r="V4900" i="11"/>
  <c r="V4899" i="11"/>
  <c r="V4898" i="11"/>
  <c r="V4897" i="11"/>
  <c r="V4896" i="11"/>
  <c r="V4895" i="11"/>
  <c r="V4894" i="11"/>
  <c r="V4893" i="11"/>
  <c r="V4892" i="11"/>
  <c r="V4891" i="11"/>
  <c r="V4890" i="11"/>
  <c r="V4889" i="11"/>
  <c r="V4888" i="11"/>
  <c r="V4887" i="11"/>
  <c r="V4886" i="11"/>
  <c r="V4885" i="11"/>
  <c r="V4884" i="11"/>
  <c r="V4883" i="11"/>
  <c r="V4882" i="11"/>
  <c r="V4881" i="11"/>
  <c r="V4880" i="11"/>
  <c r="V4879" i="11"/>
  <c r="V4878" i="11"/>
  <c r="V4877" i="11"/>
  <c r="V4876" i="11"/>
  <c r="V4875" i="11"/>
  <c r="V4874" i="11"/>
  <c r="V4873" i="11"/>
  <c r="V4872" i="11"/>
  <c r="V4871" i="11"/>
  <c r="V4870" i="11"/>
  <c r="V4869" i="11"/>
  <c r="V4868" i="11"/>
  <c r="V4867" i="11"/>
  <c r="V4866" i="11"/>
  <c r="V4865" i="11"/>
  <c r="V4864" i="11"/>
  <c r="V4863" i="11"/>
  <c r="V4862" i="11"/>
  <c r="V4861" i="11"/>
  <c r="V4860" i="11"/>
  <c r="V4859" i="11"/>
  <c r="V4858" i="11"/>
  <c r="V4857" i="11"/>
  <c r="V4856" i="11"/>
  <c r="V4855" i="11"/>
  <c r="V4854" i="11"/>
  <c r="V4853" i="11"/>
  <c r="V4852" i="11"/>
  <c r="V4851" i="11"/>
  <c r="V4850" i="11"/>
  <c r="V4849" i="11"/>
  <c r="V4848" i="11"/>
  <c r="V4847" i="11"/>
  <c r="V4846" i="11"/>
  <c r="V4845" i="11"/>
  <c r="V4844" i="11"/>
  <c r="V4843" i="11"/>
  <c r="V4842" i="11"/>
  <c r="V4841" i="11"/>
  <c r="V4840" i="11"/>
  <c r="V4839" i="11"/>
  <c r="V4838" i="11"/>
  <c r="V4837" i="11"/>
  <c r="V4836" i="11"/>
  <c r="V4835" i="11"/>
  <c r="V4834" i="11"/>
  <c r="V4833" i="11"/>
  <c r="V4832" i="11"/>
  <c r="V4831" i="11"/>
  <c r="V4830" i="11"/>
  <c r="V4829" i="11"/>
  <c r="V4828" i="11"/>
  <c r="V4827" i="11"/>
  <c r="V4826" i="11"/>
  <c r="V4825" i="11"/>
  <c r="V4824" i="11"/>
  <c r="V4823" i="11"/>
  <c r="V4822" i="11"/>
  <c r="V4821" i="11"/>
  <c r="V4820" i="11"/>
  <c r="V4819" i="11"/>
  <c r="V4818" i="11"/>
  <c r="V4817" i="11"/>
  <c r="V4816" i="11"/>
  <c r="V4815" i="11"/>
  <c r="V4814" i="11"/>
  <c r="V4813" i="11"/>
  <c r="V4812" i="11"/>
  <c r="V4811" i="11"/>
  <c r="V4810" i="11"/>
  <c r="V4809" i="11"/>
  <c r="V4808" i="11"/>
  <c r="V4807" i="11"/>
  <c r="V4806" i="11"/>
  <c r="V4805" i="11"/>
  <c r="V4804" i="11"/>
  <c r="V4803" i="11"/>
  <c r="V4802" i="11"/>
  <c r="V4801" i="11"/>
  <c r="V4800" i="11"/>
  <c r="V4799" i="11"/>
  <c r="V4798" i="11"/>
  <c r="V4797" i="11"/>
  <c r="V4796" i="11"/>
  <c r="V4795" i="11"/>
  <c r="V4794" i="11"/>
  <c r="V4793" i="11"/>
  <c r="V4792" i="11"/>
  <c r="V4791" i="11"/>
  <c r="V4790" i="11"/>
  <c r="V4789" i="11"/>
  <c r="V4788" i="11"/>
  <c r="V4787" i="11"/>
  <c r="V4786" i="11"/>
  <c r="V4785" i="11"/>
  <c r="V4784" i="11"/>
  <c r="V4783" i="11"/>
  <c r="V4782" i="11"/>
  <c r="V4781" i="11"/>
  <c r="V4780" i="11"/>
  <c r="V4779" i="11"/>
  <c r="V4778" i="11"/>
  <c r="V4777" i="11"/>
  <c r="V4776" i="11"/>
  <c r="V4775" i="11"/>
  <c r="V4774" i="11"/>
  <c r="V4773" i="11"/>
  <c r="V4772" i="11"/>
  <c r="V4771" i="11"/>
  <c r="V4770" i="11"/>
  <c r="V4769" i="11"/>
  <c r="V4768" i="11"/>
  <c r="V4767" i="11"/>
  <c r="V4766" i="11"/>
  <c r="V4765" i="11"/>
  <c r="V4764" i="11"/>
  <c r="V4763" i="11"/>
  <c r="V4762" i="11"/>
  <c r="V4761" i="11"/>
  <c r="V4760" i="11"/>
  <c r="V4759" i="11"/>
  <c r="V4758" i="11"/>
  <c r="V4757" i="11"/>
  <c r="V4756" i="11"/>
  <c r="V4755" i="11"/>
  <c r="V4754" i="11"/>
  <c r="V4753" i="11"/>
  <c r="V4752" i="11"/>
  <c r="V4751" i="11"/>
  <c r="V4750" i="11"/>
  <c r="V4749" i="11"/>
  <c r="V4748" i="11"/>
  <c r="V4747" i="11"/>
  <c r="V4746" i="11"/>
  <c r="V4745" i="11"/>
  <c r="V4744" i="11"/>
  <c r="V4743" i="11"/>
  <c r="V4742" i="11"/>
  <c r="V4741" i="11"/>
  <c r="V4740" i="11"/>
  <c r="V4739" i="11"/>
  <c r="V4738" i="11"/>
  <c r="V4737" i="11"/>
  <c r="V4736" i="11"/>
  <c r="V4735" i="11"/>
  <c r="V4734" i="11"/>
  <c r="V4733" i="11"/>
  <c r="V4732" i="11"/>
  <c r="V4731" i="11"/>
  <c r="V4730" i="11"/>
  <c r="V4729" i="11"/>
  <c r="V4728" i="11"/>
  <c r="V4727" i="11"/>
  <c r="V4726" i="11"/>
  <c r="V4725" i="11"/>
  <c r="V4724" i="11"/>
  <c r="V4723" i="11"/>
  <c r="V4722" i="11"/>
  <c r="V4721" i="11"/>
  <c r="V4720" i="11"/>
  <c r="V4719" i="11"/>
  <c r="V4718" i="11"/>
  <c r="V4717" i="11"/>
  <c r="V4716" i="11"/>
  <c r="V4715" i="11"/>
  <c r="V4714" i="11"/>
  <c r="V4713" i="11"/>
  <c r="V4712" i="11"/>
  <c r="V4711" i="11"/>
  <c r="V4710" i="11"/>
  <c r="V4709" i="11"/>
  <c r="V4708" i="11"/>
  <c r="V4707" i="11"/>
  <c r="V4706" i="11"/>
  <c r="V4705" i="11"/>
  <c r="V4704" i="11"/>
  <c r="V4703" i="11"/>
  <c r="V4702" i="11"/>
  <c r="V4701" i="11"/>
  <c r="V4700" i="11"/>
  <c r="V4699" i="11"/>
  <c r="V4698" i="11"/>
  <c r="V4697" i="11"/>
  <c r="V4696" i="11"/>
  <c r="V4695" i="11"/>
  <c r="V4694" i="11"/>
  <c r="V4693" i="11"/>
  <c r="V4692" i="11"/>
  <c r="V4691" i="11"/>
  <c r="V4690" i="11"/>
  <c r="V4689" i="11"/>
  <c r="V4688" i="11"/>
  <c r="V4687" i="11"/>
  <c r="V4686" i="11"/>
  <c r="V4685" i="11"/>
  <c r="V4684" i="11"/>
  <c r="V4683" i="11"/>
  <c r="V4682" i="11"/>
  <c r="V4681" i="11"/>
  <c r="V4680" i="11"/>
  <c r="V4679" i="11"/>
  <c r="V4678" i="11"/>
  <c r="V4677" i="11"/>
  <c r="V4676" i="11"/>
  <c r="V4675" i="11"/>
  <c r="V4674" i="11"/>
  <c r="V4673" i="11"/>
  <c r="V4672" i="11"/>
  <c r="V4671" i="11"/>
  <c r="V4670" i="11"/>
  <c r="V4669" i="11"/>
  <c r="V4668" i="11"/>
  <c r="V4667" i="11"/>
  <c r="V4666" i="11"/>
  <c r="V4665" i="11"/>
  <c r="V4664" i="11"/>
  <c r="V4663" i="11"/>
  <c r="V4662" i="11"/>
  <c r="V4661" i="11"/>
  <c r="V4660" i="11"/>
  <c r="V4659" i="11"/>
  <c r="V4658" i="11"/>
  <c r="V4657" i="11"/>
  <c r="V4656" i="11"/>
  <c r="V4655" i="11"/>
  <c r="V4654" i="11"/>
  <c r="V4653" i="11"/>
  <c r="V4652" i="11"/>
  <c r="V4651" i="11"/>
  <c r="V4650" i="11"/>
  <c r="V4649" i="11"/>
  <c r="V4648" i="11"/>
  <c r="V4647" i="11"/>
  <c r="V4646" i="11"/>
  <c r="V4645" i="11"/>
  <c r="V4644" i="11"/>
  <c r="V4643" i="11"/>
  <c r="V4642" i="11"/>
  <c r="V4641" i="11"/>
  <c r="V4640" i="11"/>
  <c r="V4639" i="11"/>
  <c r="V4638" i="11"/>
  <c r="V4637" i="11"/>
  <c r="V4636" i="11"/>
  <c r="V4635" i="11"/>
  <c r="V4634" i="11"/>
  <c r="V4633" i="11"/>
  <c r="V4632" i="11"/>
  <c r="V4631" i="11"/>
  <c r="V4630" i="11"/>
  <c r="V4629" i="11"/>
  <c r="V4628" i="11"/>
  <c r="V4627" i="11"/>
  <c r="V4626" i="11"/>
  <c r="V4625" i="11"/>
  <c r="V4624" i="11"/>
  <c r="V4623" i="11"/>
  <c r="V4622" i="11"/>
  <c r="V4621" i="11"/>
  <c r="V4620" i="11"/>
  <c r="V4619" i="11"/>
  <c r="V4618" i="11"/>
  <c r="V4617" i="11"/>
  <c r="V4616" i="11"/>
  <c r="V4615" i="11"/>
  <c r="V4614" i="11"/>
  <c r="V4613" i="11"/>
  <c r="V4612" i="11"/>
  <c r="V4611" i="11"/>
  <c r="V4610" i="11"/>
  <c r="V4609" i="11"/>
  <c r="V4608" i="11"/>
  <c r="V4607" i="11"/>
  <c r="V4606" i="11"/>
  <c r="V4605" i="11"/>
  <c r="V4604" i="11"/>
  <c r="V4603" i="11"/>
  <c r="V4602" i="11"/>
  <c r="V4601" i="11"/>
  <c r="V4600" i="11"/>
  <c r="V4599" i="11"/>
  <c r="V4598" i="11"/>
  <c r="V4597" i="11"/>
  <c r="V4596" i="11"/>
  <c r="V4595" i="11"/>
  <c r="V4594" i="11"/>
  <c r="V4593" i="11"/>
  <c r="V4592" i="11"/>
  <c r="V4591" i="11"/>
  <c r="V4590" i="11"/>
  <c r="V4589" i="11"/>
  <c r="V4588" i="11"/>
  <c r="V4587" i="11"/>
  <c r="V4586" i="11"/>
  <c r="V4585" i="11"/>
  <c r="V4584" i="11"/>
  <c r="V4583" i="11"/>
  <c r="V4582" i="11"/>
  <c r="V4581" i="11"/>
  <c r="V4580" i="11"/>
  <c r="V4579" i="11"/>
  <c r="V4578" i="11"/>
  <c r="V4577" i="11"/>
  <c r="V4576" i="11"/>
  <c r="V4575" i="11"/>
  <c r="V4574" i="11"/>
  <c r="V4573" i="11"/>
  <c r="V4572" i="11"/>
  <c r="V4571" i="11"/>
  <c r="V4570" i="11"/>
  <c r="V4569" i="11"/>
  <c r="V4568" i="11"/>
  <c r="V4567" i="11"/>
  <c r="V4566" i="11"/>
  <c r="V4565" i="11"/>
  <c r="V4564" i="11"/>
  <c r="V4563" i="11"/>
  <c r="V4562" i="11"/>
  <c r="V4561" i="11"/>
  <c r="V4560" i="11"/>
  <c r="V4559" i="11"/>
  <c r="V4558" i="11"/>
  <c r="V4557" i="11"/>
  <c r="V4556" i="11"/>
  <c r="V4555" i="11"/>
  <c r="V4554" i="11"/>
  <c r="V4553" i="11"/>
  <c r="V4552" i="11"/>
  <c r="V4551" i="11"/>
  <c r="V4550" i="11"/>
  <c r="V4549" i="11"/>
  <c r="V4548" i="11"/>
  <c r="V4547" i="11"/>
  <c r="V4546" i="11"/>
  <c r="V4545" i="11"/>
  <c r="V4544" i="11"/>
  <c r="V4543" i="11"/>
  <c r="V4542" i="11"/>
  <c r="V4541" i="11"/>
  <c r="V4540" i="11"/>
  <c r="V4539" i="11"/>
  <c r="V4538" i="11"/>
  <c r="V4537" i="11"/>
  <c r="V4536" i="11"/>
  <c r="V4535" i="11"/>
  <c r="V4534" i="11"/>
  <c r="V4533" i="11"/>
  <c r="V4532" i="11"/>
  <c r="V4531" i="11"/>
  <c r="V4530" i="11"/>
  <c r="V4529" i="11"/>
  <c r="V4528" i="11"/>
  <c r="V4527" i="11"/>
  <c r="V4526" i="11"/>
  <c r="V4525" i="11"/>
  <c r="V4524" i="11"/>
  <c r="V4523" i="11"/>
  <c r="V4522" i="11"/>
  <c r="V4521" i="11"/>
  <c r="V4520" i="11"/>
  <c r="V4519" i="11"/>
  <c r="V4518" i="11"/>
  <c r="V4517" i="11"/>
  <c r="V4516" i="11"/>
  <c r="V4515" i="11"/>
  <c r="V4514" i="11"/>
  <c r="V4513" i="11"/>
  <c r="V4512" i="11"/>
  <c r="V4511" i="11"/>
  <c r="V4510" i="11"/>
  <c r="V4509" i="11"/>
  <c r="V4508" i="11"/>
  <c r="V4507" i="11"/>
  <c r="V4506" i="11"/>
  <c r="V4505" i="11"/>
  <c r="V4504" i="11"/>
  <c r="V4503" i="11"/>
  <c r="V4502" i="11"/>
  <c r="V4501" i="11"/>
  <c r="V4500" i="11"/>
  <c r="V4499" i="11"/>
  <c r="V4498" i="11"/>
  <c r="V4497" i="11"/>
  <c r="V4496" i="11"/>
  <c r="V4495" i="11"/>
  <c r="V4494" i="11"/>
  <c r="V4493" i="11"/>
  <c r="V4492" i="11"/>
  <c r="V4491" i="11"/>
  <c r="V4490" i="11"/>
  <c r="V4489" i="11"/>
  <c r="V4488" i="11"/>
  <c r="V4487" i="11"/>
  <c r="V4486" i="11"/>
  <c r="V4485" i="11"/>
  <c r="V4484" i="11"/>
  <c r="V4483" i="11"/>
  <c r="V4482" i="11"/>
  <c r="V4481" i="11"/>
  <c r="V4480" i="11"/>
  <c r="V4479" i="11"/>
  <c r="V4478" i="11"/>
  <c r="V4477" i="11"/>
  <c r="V4476" i="11"/>
  <c r="V4475" i="11"/>
  <c r="V4474" i="11"/>
  <c r="V4473" i="11"/>
  <c r="V4472" i="11"/>
  <c r="V4471" i="11"/>
  <c r="V4470" i="11"/>
  <c r="V4469" i="11"/>
  <c r="V4468" i="11"/>
  <c r="V4467" i="11"/>
  <c r="V4466" i="11"/>
  <c r="V4465" i="11"/>
  <c r="V4464" i="11"/>
  <c r="V4463" i="11"/>
  <c r="V4462" i="11"/>
  <c r="V4461" i="11"/>
  <c r="V4460" i="11"/>
  <c r="V4459" i="11"/>
  <c r="V4458" i="11"/>
  <c r="V4457" i="11"/>
  <c r="V4456" i="11"/>
  <c r="V4455" i="11"/>
  <c r="V4454" i="11"/>
  <c r="V4453" i="11"/>
  <c r="V4452" i="11"/>
  <c r="V4451" i="11"/>
  <c r="V4450" i="11"/>
  <c r="V4449" i="11"/>
  <c r="V4448" i="11"/>
  <c r="V4447" i="11"/>
  <c r="V4446" i="11"/>
  <c r="V4445" i="11"/>
  <c r="V4444" i="11"/>
  <c r="V4443" i="11"/>
  <c r="V4442" i="11"/>
  <c r="V4441" i="11"/>
  <c r="V4440" i="11"/>
  <c r="V4439" i="11"/>
  <c r="V4438" i="11"/>
  <c r="V4437" i="11"/>
  <c r="V4436" i="11"/>
  <c r="V4435" i="11"/>
  <c r="V4434" i="11"/>
  <c r="V4433" i="11"/>
  <c r="V4432" i="11"/>
  <c r="V4431" i="11"/>
  <c r="V4430" i="11"/>
  <c r="V4429" i="11"/>
  <c r="V4428" i="11"/>
  <c r="V4427" i="11"/>
  <c r="V4426" i="11"/>
  <c r="V4425" i="11"/>
  <c r="V4424" i="11"/>
  <c r="V4423" i="11"/>
  <c r="V4422" i="11"/>
  <c r="V4421" i="11"/>
  <c r="V4420" i="11"/>
  <c r="V4419" i="11"/>
  <c r="V4418" i="11"/>
  <c r="V4417" i="11"/>
  <c r="V4416" i="11"/>
  <c r="V4415" i="11"/>
  <c r="V4414" i="11"/>
  <c r="V4413" i="11"/>
  <c r="V4412" i="11"/>
  <c r="V4411" i="11"/>
  <c r="V4410" i="11"/>
  <c r="V4409" i="11"/>
  <c r="V4408" i="11"/>
  <c r="V4407" i="11"/>
  <c r="V4406" i="11"/>
  <c r="V4405" i="11"/>
  <c r="V4404" i="11"/>
  <c r="V4403" i="11"/>
  <c r="V4402" i="11"/>
  <c r="V4401" i="11"/>
  <c r="V4400" i="11"/>
  <c r="V4399" i="11"/>
  <c r="V4398" i="11"/>
  <c r="V4397" i="11"/>
  <c r="V4396" i="11"/>
  <c r="V4395" i="11"/>
  <c r="V4394" i="11"/>
  <c r="V4393" i="11"/>
  <c r="V4392" i="11"/>
  <c r="V4391" i="11"/>
  <c r="V4390" i="11"/>
  <c r="V4389" i="11"/>
  <c r="V4388" i="11"/>
  <c r="V4387" i="11"/>
  <c r="V4386" i="11"/>
  <c r="V4385" i="11"/>
  <c r="V4384" i="11"/>
  <c r="V4383" i="11"/>
  <c r="V4382" i="11"/>
  <c r="V4381" i="11"/>
  <c r="V4380" i="11"/>
  <c r="V4379" i="11"/>
  <c r="V4378" i="11"/>
  <c r="V4377" i="11"/>
  <c r="V4376" i="11"/>
  <c r="V4375" i="11"/>
  <c r="V4374" i="11"/>
  <c r="V4373" i="11"/>
  <c r="V4372" i="11"/>
  <c r="V4371" i="11"/>
  <c r="V4370" i="11"/>
  <c r="V4369" i="11"/>
  <c r="V4368" i="11"/>
  <c r="V4367" i="11"/>
  <c r="V4366" i="11"/>
  <c r="V4365" i="11"/>
  <c r="V4364" i="11"/>
  <c r="V4363" i="11"/>
  <c r="V4362" i="11"/>
  <c r="V4361" i="11"/>
  <c r="V4360" i="11"/>
  <c r="V4359" i="11"/>
  <c r="V4358" i="11"/>
  <c r="V4357" i="11"/>
  <c r="V4356" i="11"/>
  <c r="V4355" i="11"/>
  <c r="V4354" i="11"/>
  <c r="V4353" i="11"/>
  <c r="V4352" i="11"/>
  <c r="V4351" i="11"/>
  <c r="V4350" i="11"/>
  <c r="V4349" i="11"/>
  <c r="V4348" i="11"/>
  <c r="V4347" i="11"/>
  <c r="V4346" i="11"/>
  <c r="V4345" i="11"/>
  <c r="V4344" i="11"/>
  <c r="V4343" i="11"/>
  <c r="V4342" i="11"/>
  <c r="V4341" i="11"/>
  <c r="V4340" i="11"/>
  <c r="V4339" i="11"/>
  <c r="V4338" i="11"/>
  <c r="V4337" i="11"/>
  <c r="V4336" i="11"/>
  <c r="V4335" i="11"/>
  <c r="V4334" i="11"/>
  <c r="V4333" i="11"/>
  <c r="V4332" i="11"/>
  <c r="V4331" i="11"/>
  <c r="V4330" i="11"/>
  <c r="V4329" i="11"/>
  <c r="V4328" i="11"/>
  <c r="V4327" i="11"/>
  <c r="V4326" i="11"/>
  <c r="V4325" i="11"/>
  <c r="V4324" i="11"/>
  <c r="V4323" i="11"/>
  <c r="V4322" i="11"/>
  <c r="V4321" i="11"/>
  <c r="V4320" i="11"/>
  <c r="V4319" i="11"/>
  <c r="V4318" i="11"/>
  <c r="V4317" i="11"/>
  <c r="V4316" i="11"/>
  <c r="V4315" i="11"/>
  <c r="V4314" i="11"/>
  <c r="V4313" i="11"/>
  <c r="V4312" i="11"/>
  <c r="V4311" i="11"/>
  <c r="V4310" i="11"/>
  <c r="V4309" i="11"/>
  <c r="V4308" i="11"/>
  <c r="V4307" i="11"/>
  <c r="V4306" i="11"/>
  <c r="V4305" i="11"/>
  <c r="V4304" i="11"/>
  <c r="V4303" i="11"/>
  <c r="V4302" i="11"/>
  <c r="V4301" i="11"/>
  <c r="V4300" i="11"/>
  <c r="V4299" i="11"/>
  <c r="V4298" i="11"/>
  <c r="V4297" i="11"/>
  <c r="V4296" i="11"/>
  <c r="V4295" i="11"/>
  <c r="V4294" i="11"/>
  <c r="V4293" i="11"/>
  <c r="V4292" i="11"/>
  <c r="V4291" i="11"/>
  <c r="V4290" i="11"/>
  <c r="V4289" i="11"/>
  <c r="V4288" i="11"/>
  <c r="V4287" i="11"/>
  <c r="V4286" i="11"/>
  <c r="V4285" i="11"/>
  <c r="V4284" i="11"/>
  <c r="V4283" i="11"/>
  <c r="V4282" i="11"/>
  <c r="V4281" i="11"/>
  <c r="V4280" i="11"/>
  <c r="V4279" i="11"/>
  <c r="V4278" i="11"/>
  <c r="V4277" i="11"/>
  <c r="V4276" i="11"/>
  <c r="V4275" i="11"/>
  <c r="V4274" i="11"/>
  <c r="V4273" i="11"/>
  <c r="V4272" i="11"/>
  <c r="V4271" i="11"/>
  <c r="V4270" i="11"/>
  <c r="V4269" i="11"/>
  <c r="V4268" i="11"/>
  <c r="V4267" i="11"/>
  <c r="V4266" i="11"/>
  <c r="V4265" i="11"/>
  <c r="V4264" i="11"/>
  <c r="V4263" i="11"/>
  <c r="V4262" i="11"/>
  <c r="V4261" i="11"/>
  <c r="V4260" i="11"/>
  <c r="V4259" i="11"/>
  <c r="V4258" i="11"/>
  <c r="V4257" i="11"/>
  <c r="V4256" i="11"/>
  <c r="V4255" i="11"/>
  <c r="V4254" i="11"/>
  <c r="V4253" i="11"/>
  <c r="V4252" i="11"/>
  <c r="V4251" i="11"/>
  <c r="V4250" i="11"/>
  <c r="V4249" i="11"/>
  <c r="V4248" i="11"/>
  <c r="V4247" i="11"/>
  <c r="V4246" i="11"/>
  <c r="V4245" i="11"/>
  <c r="V4244" i="11"/>
  <c r="V4243" i="11"/>
  <c r="V4242" i="11"/>
  <c r="V4241" i="11"/>
  <c r="V4240" i="11"/>
  <c r="V4239" i="11"/>
  <c r="V4238" i="11"/>
  <c r="V4237" i="11"/>
  <c r="V4236" i="11"/>
  <c r="V4235" i="11"/>
  <c r="V4234" i="11"/>
  <c r="V4233" i="11"/>
  <c r="V4232" i="11"/>
  <c r="V4231" i="11"/>
  <c r="V4230" i="11"/>
  <c r="V4229" i="11"/>
  <c r="V4228" i="11"/>
  <c r="V4227" i="11"/>
  <c r="V4226" i="11"/>
  <c r="V4225" i="11"/>
  <c r="V4224" i="11"/>
  <c r="V4223" i="11"/>
  <c r="V4222" i="11"/>
  <c r="V4221" i="11"/>
  <c r="V4220" i="11"/>
  <c r="V4219" i="11"/>
  <c r="V4218" i="11"/>
  <c r="V4217" i="11"/>
  <c r="V4216" i="11"/>
  <c r="V4215" i="11"/>
  <c r="V4214" i="11"/>
  <c r="V4213" i="11"/>
  <c r="V4212" i="11"/>
  <c r="V4211" i="11"/>
  <c r="V4210" i="11"/>
  <c r="V4209" i="11"/>
  <c r="V4208" i="11"/>
  <c r="V4207" i="11"/>
  <c r="V4206" i="11"/>
  <c r="V4205" i="11"/>
  <c r="V4204" i="11"/>
  <c r="V4203" i="11"/>
  <c r="V4202" i="11"/>
  <c r="V4201" i="11"/>
  <c r="V4200" i="11"/>
  <c r="V4199" i="11"/>
  <c r="V4198" i="11"/>
  <c r="V4197" i="11"/>
  <c r="V4196" i="11"/>
  <c r="V4195" i="11"/>
  <c r="V4194" i="11"/>
  <c r="V4193" i="11"/>
  <c r="V4192" i="11"/>
  <c r="V4191" i="11"/>
  <c r="V4190" i="11"/>
  <c r="V4189" i="11"/>
  <c r="V4188" i="11"/>
  <c r="V4187" i="11"/>
  <c r="V4186" i="11"/>
  <c r="V4185" i="11"/>
  <c r="V4184" i="11"/>
  <c r="V4183" i="11"/>
  <c r="V4182" i="11"/>
  <c r="V4181" i="11"/>
  <c r="V4180" i="11"/>
  <c r="V4179" i="11"/>
  <c r="V4178" i="11"/>
  <c r="V4177" i="11"/>
  <c r="V4176" i="11"/>
  <c r="V4175" i="11"/>
  <c r="V4174" i="11"/>
  <c r="V4173" i="11"/>
  <c r="V4172" i="11"/>
  <c r="V4171" i="11"/>
  <c r="V4170" i="11"/>
  <c r="V4169" i="11"/>
  <c r="V4168" i="11"/>
  <c r="V4167" i="11"/>
  <c r="V4166" i="11"/>
  <c r="V4165" i="11"/>
  <c r="V4164" i="11"/>
  <c r="V4163" i="11"/>
  <c r="V4162" i="11"/>
  <c r="V4161" i="11"/>
  <c r="V4160" i="11"/>
  <c r="V4159" i="11"/>
  <c r="V4158" i="11"/>
  <c r="V4157" i="11"/>
  <c r="V4156" i="11"/>
  <c r="V4155" i="11"/>
  <c r="V4154" i="11"/>
  <c r="V4153" i="11"/>
  <c r="V4152" i="11"/>
  <c r="V4151" i="11"/>
  <c r="V4150" i="11"/>
  <c r="V4149" i="11"/>
  <c r="V4148" i="11"/>
  <c r="V4147" i="11"/>
  <c r="V4146" i="11"/>
  <c r="V4145" i="11"/>
  <c r="V4144" i="11"/>
  <c r="V4143" i="11"/>
  <c r="V4142" i="11"/>
  <c r="V4141" i="11"/>
  <c r="V4140" i="11"/>
  <c r="V4139" i="11"/>
  <c r="V4138" i="11"/>
  <c r="V4137" i="11"/>
  <c r="V4136" i="11"/>
  <c r="V4135" i="11"/>
  <c r="V4134" i="11"/>
  <c r="V4133" i="11"/>
  <c r="V4132" i="11"/>
  <c r="V4131" i="11"/>
  <c r="V4130" i="11"/>
  <c r="V4129" i="11"/>
  <c r="V4128" i="11"/>
  <c r="V4127" i="11"/>
  <c r="V4126" i="11"/>
  <c r="V4125" i="11"/>
  <c r="V4124" i="11"/>
  <c r="V4123" i="11"/>
  <c r="V4122" i="11"/>
  <c r="V4121" i="11"/>
  <c r="V4120" i="11"/>
  <c r="V4119" i="11"/>
  <c r="V4118" i="11"/>
  <c r="V4117" i="11"/>
  <c r="V4116" i="11"/>
  <c r="V4115" i="11"/>
  <c r="V4114" i="11"/>
  <c r="V4113" i="11"/>
  <c r="V4112" i="11"/>
  <c r="V4111" i="11"/>
  <c r="V4110" i="11"/>
  <c r="V4109" i="11"/>
  <c r="V4108" i="11"/>
  <c r="V4107" i="11"/>
  <c r="V4106" i="11"/>
  <c r="V4105" i="11"/>
  <c r="V4104" i="11"/>
  <c r="V4103" i="11"/>
  <c r="V4102" i="11"/>
  <c r="V4101" i="11"/>
  <c r="V4100" i="11"/>
  <c r="V4099" i="11"/>
  <c r="V4098" i="11"/>
  <c r="V4097" i="11"/>
  <c r="V4096" i="11"/>
  <c r="V4095" i="11"/>
  <c r="V4094" i="11"/>
  <c r="V4093" i="11"/>
  <c r="V4092" i="11"/>
  <c r="V4091" i="11"/>
  <c r="V4090" i="11"/>
  <c r="V4089" i="11"/>
  <c r="V4088" i="11"/>
  <c r="V4087" i="11"/>
  <c r="V4086" i="11"/>
  <c r="V4085" i="11"/>
  <c r="V4084" i="11"/>
  <c r="V4083" i="11"/>
  <c r="V4082" i="11"/>
  <c r="V4081" i="11"/>
  <c r="V4080" i="11"/>
  <c r="V4079" i="11"/>
  <c r="V4078" i="11"/>
  <c r="V4077" i="11"/>
  <c r="V4076" i="11"/>
  <c r="V4075" i="11"/>
  <c r="V4074" i="11"/>
  <c r="V4073" i="11"/>
  <c r="V4072" i="11"/>
  <c r="V4071" i="11"/>
  <c r="V4070" i="11"/>
  <c r="V4069" i="11"/>
  <c r="V4068" i="11"/>
  <c r="V4067" i="11"/>
  <c r="V4066" i="11"/>
  <c r="V4065" i="11"/>
  <c r="V4064" i="11"/>
  <c r="V4063" i="11"/>
  <c r="V4062" i="11"/>
  <c r="V4061" i="11"/>
  <c r="V4060" i="11"/>
  <c r="V4059" i="11"/>
  <c r="V4058" i="11"/>
  <c r="V4057" i="11"/>
  <c r="V4056" i="11"/>
  <c r="V4055" i="11"/>
  <c r="V4054" i="11"/>
  <c r="V4053" i="11"/>
  <c r="V4052" i="11"/>
  <c r="V4051" i="11"/>
  <c r="V4050" i="11"/>
  <c r="V4049" i="11"/>
  <c r="V4048" i="11"/>
  <c r="V4047" i="11"/>
  <c r="V4046" i="11"/>
  <c r="V4045" i="11"/>
  <c r="V4044" i="11"/>
  <c r="V4043" i="11"/>
  <c r="V4042" i="11"/>
  <c r="V4041" i="11"/>
  <c r="V4040" i="11"/>
  <c r="V4039" i="11"/>
  <c r="V4038" i="11"/>
  <c r="V4037" i="11"/>
  <c r="V4036" i="11"/>
  <c r="V4035" i="11"/>
  <c r="V4034" i="11"/>
  <c r="V4033" i="11"/>
  <c r="V4032" i="11"/>
  <c r="V4031" i="11"/>
  <c r="V4030" i="11"/>
  <c r="V4029" i="11"/>
  <c r="V4028" i="11"/>
  <c r="V4027" i="11"/>
  <c r="V4026" i="11"/>
  <c r="V4025" i="11"/>
  <c r="V4024" i="11"/>
  <c r="V4023" i="11"/>
  <c r="V4022" i="11"/>
  <c r="V4021" i="11"/>
  <c r="V4020" i="11"/>
  <c r="V4019" i="11"/>
  <c r="V4018" i="11"/>
  <c r="V4017" i="11"/>
  <c r="V4016" i="11"/>
  <c r="V4015" i="11"/>
  <c r="V4014" i="11"/>
  <c r="V4013" i="11"/>
  <c r="V4012" i="11"/>
  <c r="V4011" i="11"/>
  <c r="V4010" i="11"/>
  <c r="V4009" i="11"/>
  <c r="V4008" i="11"/>
  <c r="V4007" i="11"/>
  <c r="V4006" i="11"/>
  <c r="V4005" i="11"/>
  <c r="V4004" i="11"/>
  <c r="V4003" i="11"/>
  <c r="V4002" i="11"/>
  <c r="V4001" i="11"/>
  <c r="V4000" i="11"/>
  <c r="V3999" i="11"/>
  <c r="V3998" i="11"/>
  <c r="V3997" i="11"/>
  <c r="V3996" i="11"/>
  <c r="V3995" i="11"/>
  <c r="V3994" i="11"/>
  <c r="V3993" i="11"/>
  <c r="V3992" i="11"/>
  <c r="V3991" i="11"/>
  <c r="V3990" i="11"/>
  <c r="V3989" i="11"/>
  <c r="V3988" i="11"/>
  <c r="V3987" i="11"/>
  <c r="V3986" i="11"/>
  <c r="V3985" i="11"/>
  <c r="V3984" i="11"/>
  <c r="V3983" i="11"/>
  <c r="V3982" i="11"/>
  <c r="V3981" i="11"/>
  <c r="V3980" i="11"/>
  <c r="V3979" i="11"/>
  <c r="V3978" i="11"/>
  <c r="V3977" i="11"/>
  <c r="V3976" i="11"/>
  <c r="V3975" i="11"/>
  <c r="V3974" i="11"/>
  <c r="V3973" i="11"/>
  <c r="V3972" i="11"/>
  <c r="V3971" i="11"/>
  <c r="V3970" i="11"/>
  <c r="V3969" i="11"/>
  <c r="V3968" i="11"/>
  <c r="V3967" i="11"/>
  <c r="V3966" i="11"/>
  <c r="V3965" i="11"/>
  <c r="V3964" i="11"/>
  <c r="V3963" i="11"/>
  <c r="V3962" i="11"/>
  <c r="V3961" i="11"/>
  <c r="V3960" i="11"/>
  <c r="V3959" i="11"/>
  <c r="V3958" i="11"/>
  <c r="V3957" i="11"/>
  <c r="V3956" i="11"/>
  <c r="V3955" i="11"/>
  <c r="V3954" i="11"/>
  <c r="V3953" i="11"/>
  <c r="V3952" i="11"/>
  <c r="V3951" i="11"/>
  <c r="V3950" i="11"/>
  <c r="V3949" i="11"/>
  <c r="V3948" i="11"/>
  <c r="V3947" i="11"/>
  <c r="V3946" i="11"/>
  <c r="V3945" i="11"/>
  <c r="V3944" i="11"/>
  <c r="V3943" i="11"/>
  <c r="V3942" i="11"/>
  <c r="V3941" i="11"/>
  <c r="V3940" i="11"/>
  <c r="V3939" i="11"/>
  <c r="V3938" i="11"/>
  <c r="V3937" i="11"/>
  <c r="V3936" i="11"/>
  <c r="V3935" i="11"/>
  <c r="V3934" i="11"/>
  <c r="V3933" i="11"/>
  <c r="V3932" i="11"/>
  <c r="V3931" i="11"/>
  <c r="V3930" i="11"/>
  <c r="V3929" i="11"/>
  <c r="V3928" i="11"/>
  <c r="V3927" i="11"/>
  <c r="V3926" i="11"/>
  <c r="V3925" i="11"/>
  <c r="V3924" i="11"/>
  <c r="V3923" i="11"/>
  <c r="V3922" i="11"/>
  <c r="V3921" i="11"/>
  <c r="V3920" i="11"/>
  <c r="V3919" i="11"/>
  <c r="V3918" i="11"/>
  <c r="V3917" i="11"/>
  <c r="V3916" i="11"/>
  <c r="V3915" i="11"/>
  <c r="V3914" i="11"/>
  <c r="V3913" i="11"/>
  <c r="V3912" i="11"/>
  <c r="V3911" i="11"/>
  <c r="V3910" i="11"/>
  <c r="V3909" i="11"/>
  <c r="V3908" i="11"/>
  <c r="V3907" i="11"/>
  <c r="V3906" i="11"/>
  <c r="V3905" i="11"/>
  <c r="V3904" i="11"/>
  <c r="V3903" i="11"/>
  <c r="V3902" i="11"/>
  <c r="V3901" i="11"/>
  <c r="V3900" i="11"/>
  <c r="V3899" i="11"/>
  <c r="V3898" i="11"/>
  <c r="V3897" i="11"/>
  <c r="V3896" i="11"/>
  <c r="V3895" i="11"/>
  <c r="V3894" i="11"/>
  <c r="V3893" i="11"/>
  <c r="V3892" i="11"/>
  <c r="V3891" i="11"/>
  <c r="V3890" i="11"/>
  <c r="V3889" i="11"/>
  <c r="V3888" i="11"/>
  <c r="V3887" i="11"/>
  <c r="V3886" i="11"/>
  <c r="V3885" i="11"/>
  <c r="V3884" i="11"/>
  <c r="V3883" i="11"/>
  <c r="V3882" i="11"/>
  <c r="V3881" i="11"/>
  <c r="V3880" i="11"/>
  <c r="V3879" i="11"/>
  <c r="V3878" i="11"/>
  <c r="V3877" i="11"/>
  <c r="V3876" i="11"/>
  <c r="V3875" i="11"/>
  <c r="V3874" i="11"/>
  <c r="V3873" i="11"/>
  <c r="V3872" i="11"/>
  <c r="V3871" i="11"/>
  <c r="V3870" i="11"/>
  <c r="V3869" i="11"/>
  <c r="V3868" i="11"/>
  <c r="V3867" i="11"/>
  <c r="V3866" i="11"/>
  <c r="V3865" i="11"/>
  <c r="V3864" i="11"/>
  <c r="V3863" i="11"/>
  <c r="V3862" i="11"/>
  <c r="V3861" i="11"/>
  <c r="V3860" i="11"/>
  <c r="V3859" i="11"/>
  <c r="V3858" i="11"/>
  <c r="V3857" i="11"/>
  <c r="V3856" i="11"/>
  <c r="V3855" i="11"/>
  <c r="V3854" i="11"/>
  <c r="V3853" i="11"/>
  <c r="V3852" i="11"/>
  <c r="V3851" i="11"/>
  <c r="V3850" i="11"/>
  <c r="V3849" i="11"/>
  <c r="V3848" i="11"/>
  <c r="V3847" i="11"/>
  <c r="V3846" i="11"/>
  <c r="V3845" i="11"/>
  <c r="V3844" i="11"/>
  <c r="V3843" i="11"/>
  <c r="V3842" i="11"/>
  <c r="V3841" i="11"/>
  <c r="V3840" i="11"/>
  <c r="V3839" i="11"/>
  <c r="V3838" i="11"/>
  <c r="V3837" i="11"/>
  <c r="V3836" i="11"/>
  <c r="V3835" i="11"/>
  <c r="V3834" i="11"/>
  <c r="V3833" i="11"/>
  <c r="V3832" i="11"/>
  <c r="V3831" i="11"/>
  <c r="V3830" i="11"/>
  <c r="V3829" i="11"/>
  <c r="V3828" i="11"/>
  <c r="V3827" i="11"/>
  <c r="V3826" i="11"/>
  <c r="V3825" i="11"/>
  <c r="V3824" i="11"/>
  <c r="V3823" i="11"/>
  <c r="V3822" i="11"/>
  <c r="V3821" i="11"/>
  <c r="V3820" i="11"/>
  <c r="V3819" i="11"/>
  <c r="V3818" i="11"/>
  <c r="V3817" i="11"/>
  <c r="V3816" i="11"/>
  <c r="V3815" i="11"/>
  <c r="V3814" i="11"/>
  <c r="V3813" i="11"/>
  <c r="V3812" i="11"/>
  <c r="V3811" i="11"/>
  <c r="V3810" i="11"/>
  <c r="V3809" i="11"/>
  <c r="V3808" i="11"/>
  <c r="V3807" i="11"/>
  <c r="V3806" i="11"/>
  <c r="V3805" i="11"/>
  <c r="V3804" i="11"/>
  <c r="V3803" i="11"/>
  <c r="V3802" i="11"/>
  <c r="V3801" i="11"/>
  <c r="V3800" i="11"/>
  <c r="V3799" i="11"/>
  <c r="V3798" i="11"/>
  <c r="V3797" i="11"/>
  <c r="V3796" i="11"/>
  <c r="V3795" i="11"/>
  <c r="V3794" i="11"/>
  <c r="V3793" i="11"/>
  <c r="V3792" i="11"/>
  <c r="V3791" i="11"/>
  <c r="V3790" i="11"/>
  <c r="V3789" i="11"/>
  <c r="V3788" i="11"/>
  <c r="V3787" i="11"/>
  <c r="V3786" i="11"/>
  <c r="V3785" i="11"/>
  <c r="V3784" i="11"/>
  <c r="V3783" i="11"/>
  <c r="V3782" i="11"/>
  <c r="V3781" i="11"/>
  <c r="V3780" i="11"/>
  <c r="V3779" i="11"/>
  <c r="V3778" i="11"/>
  <c r="V3777" i="11"/>
  <c r="V3776" i="11"/>
  <c r="V3775" i="11"/>
  <c r="V3774" i="11"/>
  <c r="V3773" i="11"/>
  <c r="V3772" i="11"/>
  <c r="V3771" i="11"/>
  <c r="V3770" i="11"/>
  <c r="V3769" i="11"/>
  <c r="V3768" i="11"/>
  <c r="V3767" i="11"/>
  <c r="V3766" i="11"/>
  <c r="V3765" i="11"/>
  <c r="V3764" i="11"/>
  <c r="V3763" i="11"/>
  <c r="V3762" i="11"/>
  <c r="V3761" i="11"/>
  <c r="V3760" i="11"/>
  <c r="V3759" i="11"/>
  <c r="V3758" i="11"/>
  <c r="V3757" i="11"/>
  <c r="V3756" i="11"/>
  <c r="V3755" i="11"/>
  <c r="V3754" i="11"/>
  <c r="V3753" i="11"/>
  <c r="V3752" i="11"/>
  <c r="V3751" i="11"/>
  <c r="V3750" i="11"/>
  <c r="V3749" i="11"/>
  <c r="V3748" i="11"/>
  <c r="V3747" i="11"/>
  <c r="V3746" i="11"/>
  <c r="V3745" i="11"/>
  <c r="V3744" i="11"/>
  <c r="V3743" i="11"/>
  <c r="V3742" i="11"/>
  <c r="V3741" i="11"/>
  <c r="V3740" i="11"/>
  <c r="V3739" i="11"/>
  <c r="V3738" i="11"/>
  <c r="V3737" i="11"/>
  <c r="V3736" i="11"/>
  <c r="V3735" i="11"/>
  <c r="V3734" i="11"/>
  <c r="V3733" i="11"/>
  <c r="V3732" i="11"/>
  <c r="V3731" i="11"/>
  <c r="V3730" i="11"/>
  <c r="V3729" i="11"/>
  <c r="V3728" i="11"/>
  <c r="V3727" i="11"/>
  <c r="V3726" i="11"/>
  <c r="V3725" i="11"/>
  <c r="V3724" i="11"/>
  <c r="V3723" i="11"/>
  <c r="V3722" i="11"/>
  <c r="V3721" i="11"/>
  <c r="V3720" i="11"/>
  <c r="V3719" i="11"/>
  <c r="V3718" i="11"/>
  <c r="V3717" i="11"/>
  <c r="V3716" i="11"/>
  <c r="V3715" i="11"/>
  <c r="V3714" i="11"/>
  <c r="V3713" i="11"/>
  <c r="V3712" i="11"/>
  <c r="V3711" i="11"/>
  <c r="V3710" i="11"/>
  <c r="V3709" i="11"/>
  <c r="V3708" i="11"/>
  <c r="V3707" i="11"/>
  <c r="V3706" i="11"/>
  <c r="V3705" i="11"/>
  <c r="V3704" i="11"/>
  <c r="V3703" i="11"/>
  <c r="V3702" i="11"/>
  <c r="V3701" i="11"/>
  <c r="V3700" i="11"/>
  <c r="V3699" i="11"/>
  <c r="V3698" i="11"/>
  <c r="V3697" i="11"/>
  <c r="V3696" i="11"/>
  <c r="V3695" i="11"/>
  <c r="V3694" i="11"/>
  <c r="V3693" i="11"/>
  <c r="V3692" i="11"/>
  <c r="V3691" i="11"/>
  <c r="V3690" i="11"/>
  <c r="V3689" i="11"/>
  <c r="V3688" i="11"/>
  <c r="V3687" i="11"/>
  <c r="V3686" i="11"/>
  <c r="V3685" i="11"/>
  <c r="V3684" i="11"/>
  <c r="V3683" i="11"/>
  <c r="V3682" i="11"/>
  <c r="V3681" i="11"/>
  <c r="V3680" i="11"/>
  <c r="V3679" i="11"/>
  <c r="V3678" i="11"/>
  <c r="V3677" i="11"/>
  <c r="V3676" i="11"/>
  <c r="V3675" i="11"/>
  <c r="V3674" i="11"/>
  <c r="V3673" i="11"/>
  <c r="V3672" i="11"/>
  <c r="V3671" i="11"/>
  <c r="V3670" i="11"/>
  <c r="V3669" i="11"/>
  <c r="V3668" i="11"/>
  <c r="V3667" i="11"/>
  <c r="V3666" i="11"/>
  <c r="V3665" i="11"/>
  <c r="V3664" i="11"/>
  <c r="V3663" i="11"/>
  <c r="V3662" i="11"/>
  <c r="V3661" i="11"/>
  <c r="V3660" i="11"/>
  <c r="V3659" i="11"/>
  <c r="V3658" i="11"/>
  <c r="V3657" i="11"/>
  <c r="V3656" i="11"/>
  <c r="V3655" i="11"/>
  <c r="V3654" i="11"/>
  <c r="V3653" i="11"/>
  <c r="V3652" i="11"/>
  <c r="V3651" i="11"/>
  <c r="V3650" i="11"/>
  <c r="V3649" i="11"/>
  <c r="V3648" i="11"/>
  <c r="V3647" i="11"/>
  <c r="V3646" i="11"/>
  <c r="V3645" i="11"/>
  <c r="V3644" i="11"/>
  <c r="V3643" i="11"/>
  <c r="V3642" i="11"/>
  <c r="V3641" i="11"/>
  <c r="V3640" i="11"/>
  <c r="V3639" i="11"/>
  <c r="V3638" i="11"/>
  <c r="V3637" i="11"/>
  <c r="V3636" i="11"/>
  <c r="V3635" i="11"/>
  <c r="V3634" i="11"/>
  <c r="V3633" i="11"/>
  <c r="V3632" i="11"/>
  <c r="V3631" i="11"/>
  <c r="V3630" i="11"/>
  <c r="V3629" i="11"/>
  <c r="V3628" i="11"/>
  <c r="V3627" i="11"/>
  <c r="V3626" i="11"/>
  <c r="V3625" i="11"/>
  <c r="V3624" i="11"/>
  <c r="V3623" i="11"/>
  <c r="V3622" i="11"/>
  <c r="V3621" i="11"/>
  <c r="V3620" i="11"/>
  <c r="V3619" i="11"/>
  <c r="V3618" i="11"/>
  <c r="V3617" i="11"/>
  <c r="V3616" i="11"/>
  <c r="V3615" i="11"/>
  <c r="V3614" i="11"/>
  <c r="V3613" i="11"/>
  <c r="V3612" i="11"/>
  <c r="V3611" i="11"/>
  <c r="V3610" i="11"/>
  <c r="V3609" i="11"/>
  <c r="V3608" i="11"/>
  <c r="V3607" i="11"/>
  <c r="V3606" i="11"/>
  <c r="V3605" i="11"/>
  <c r="V3604" i="11"/>
  <c r="V3603" i="11"/>
  <c r="V3602" i="11"/>
  <c r="V3601" i="11"/>
  <c r="V3600" i="11"/>
  <c r="V3599" i="11"/>
  <c r="V3598" i="11"/>
  <c r="V3597" i="11"/>
  <c r="V3596" i="11"/>
  <c r="V3595" i="11"/>
  <c r="V3594" i="11"/>
  <c r="V3593" i="11"/>
  <c r="V3592" i="11"/>
  <c r="V3591" i="11"/>
  <c r="V3590" i="11"/>
  <c r="V3589" i="11"/>
  <c r="V3588" i="11"/>
  <c r="V3587" i="11"/>
  <c r="V3586" i="11"/>
  <c r="V3585" i="11"/>
  <c r="V3584" i="11"/>
  <c r="V3583" i="11"/>
  <c r="V3582" i="11"/>
  <c r="V3581" i="11"/>
  <c r="V3580" i="11"/>
  <c r="V3579" i="11"/>
  <c r="V3578" i="11"/>
  <c r="V3577" i="11"/>
  <c r="V3576" i="11"/>
  <c r="V3575" i="11"/>
  <c r="V3574" i="11"/>
  <c r="V3573" i="11"/>
  <c r="V3572" i="11"/>
  <c r="V3571" i="11"/>
  <c r="V3570" i="11"/>
  <c r="V3569" i="11"/>
  <c r="V3568" i="11"/>
  <c r="V3567" i="11"/>
  <c r="V3566" i="11"/>
  <c r="V3565" i="11"/>
  <c r="V3564" i="11"/>
  <c r="V3563" i="11"/>
  <c r="V3562" i="11"/>
  <c r="V3561" i="11"/>
  <c r="V3560" i="11"/>
  <c r="V3559" i="11"/>
  <c r="V3558" i="11"/>
  <c r="V3557" i="11"/>
  <c r="V3556" i="11"/>
  <c r="V3555" i="11"/>
  <c r="V3554" i="11"/>
  <c r="V3553" i="11"/>
  <c r="V3552" i="11"/>
  <c r="V3551" i="11"/>
  <c r="V3550" i="11"/>
  <c r="V3549" i="11"/>
  <c r="V3548" i="11"/>
  <c r="V3547" i="11"/>
  <c r="V3546" i="11"/>
  <c r="V3545" i="11"/>
  <c r="V3544" i="11"/>
  <c r="V3543" i="11"/>
  <c r="V3542" i="11"/>
  <c r="V3541" i="11"/>
  <c r="V3540" i="11"/>
  <c r="V3539" i="11"/>
  <c r="V3538" i="11"/>
  <c r="V3537" i="11"/>
  <c r="V3536" i="11"/>
  <c r="V3535" i="11"/>
  <c r="V3534" i="11"/>
  <c r="V3533" i="11"/>
  <c r="V3532" i="11"/>
  <c r="V3531" i="11"/>
  <c r="V3530" i="11"/>
  <c r="V3529" i="11"/>
  <c r="V3528" i="11"/>
  <c r="V3527" i="11"/>
  <c r="V3526" i="11"/>
  <c r="V3525" i="11"/>
  <c r="V3524" i="11"/>
  <c r="V3523" i="11"/>
  <c r="V3522" i="11"/>
  <c r="V3521" i="11"/>
  <c r="V3520" i="11"/>
  <c r="V3519" i="11"/>
  <c r="V3518" i="11"/>
  <c r="V3517" i="11"/>
  <c r="V3516" i="11"/>
  <c r="V3515" i="11"/>
  <c r="V3514" i="11"/>
  <c r="V3513" i="11"/>
  <c r="V3512" i="11"/>
  <c r="V3511" i="11"/>
  <c r="V3510" i="11"/>
  <c r="V3509" i="11"/>
  <c r="V3508" i="11"/>
  <c r="V3507" i="11"/>
  <c r="V3506" i="11"/>
  <c r="V3505" i="11"/>
  <c r="V3504" i="11"/>
  <c r="V3503" i="11"/>
  <c r="V3502" i="11"/>
  <c r="V3501" i="11"/>
  <c r="V3500" i="11"/>
  <c r="V3499" i="11"/>
  <c r="V3498" i="11"/>
  <c r="V3497" i="11"/>
  <c r="V3496" i="11"/>
  <c r="V3495" i="11"/>
  <c r="V3494" i="11"/>
  <c r="V3493" i="11"/>
  <c r="V3492" i="11"/>
  <c r="V3491" i="11"/>
  <c r="V3490" i="11"/>
  <c r="V3489" i="11"/>
  <c r="V3488" i="11"/>
  <c r="V3487" i="11"/>
  <c r="V3486" i="11"/>
  <c r="V3485" i="11"/>
  <c r="V3484" i="11"/>
  <c r="V3483" i="11"/>
  <c r="V3482" i="11"/>
  <c r="V3481" i="11"/>
  <c r="V3480" i="11"/>
  <c r="V3479" i="11"/>
  <c r="V3478" i="11"/>
  <c r="V3477" i="11"/>
  <c r="V3476" i="11"/>
  <c r="V3475" i="11"/>
  <c r="V3474" i="11"/>
  <c r="V3473" i="11"/>
  <c r="V3472" i="11"/>
  <c r="V3471" i="11"/>
  <c r="V3470" i="11"/>
  <c r="V3469" i="11"/>
  <c r="V3468" i="11"/>
  <c r="V3467" i="11"/>
  <c r="V3466" i="11"/>
  <c r="V3465" i="11"/>
  <c r="V3464" i="11"/>
  <c r="V3463" i="11"/>
  <c r="V3462" i="11"/>
  <c r="V3461" i="11"/>
  <c r="V3460" i="11"/>
  <c r="V3459" i="11"/>
  <c r="V3458" i="11"/>
  <c r="V3457" i="11"/>
  <c r="V3456" i="11"/>
  <c r="V3455" i="11"/>
  <c r="V3454" i="11"/>
  <c r="V3453" i="11"/>
  <c r="V3452" i="11"/>
  <c r="V3451" i="11"/>
  <c r="V3450" i="11"/>
  <c r="V3449" i="11"/>
  <c r="V3448" i="11"/>
  <c r="V3447" i="11"/>
  <c r="V3446" i="11"/>
  <c r="V3445" i="11"/>
  <c r="V3444" i="11"/>
  <c r="V3443" i="11"/>
  <c r="V3442" i="11"/>
  <c r="V3441" i="11"/>
  <c r="V3440" i="11"/>
  <c r="V3439" i="11"/>
  <c r="V3438" i="11"/>
  <c r="V3437" i="11"/>
  <c r="V3436" i="11"/>
  <c r="V3435" i="11"/>
  <c r="V3434" i="11"/>
  <c r="V3433" i="11"/>
  <c r="V3432" i="11"/>
  <c r="V3431" i="11"/>
  <c r="V3430" i="11"/>
  <c r="V3429" i="11"/>
  <c r="V3428" i="11"/>
  <c r="V3427" i="11"/>
  <c r="V3426" i="11"/>
  <c r="V3425" i="11"/>
  <c r="V3424" i="11"/>
  <c r="V3423" i="11"/>
  <c r="V3422" i="11"/>
  <c r="V3421" i="11"/>
  <c r="V3420" i="11"/>
  <c r="V3419" i="11"/>
  <c r="V3418" i="11"/>
  <c r="V3417" i="11"/>
  <c r="V3416" i="11"/>
  <c r="V3415" i="11"/>
  <c r="V3414" i="11"/>
  <c r="V3413" i="11"/>
  <c r="V3412" i="11"/>
  <c r="V3411" i="11"/>
  <c r="V3410" i="11"/>
  <c r="V3409" i="11"/>
  <c r="V3408" i="11"/>
  <c r="V3407" i="11"/>
  <c r="V3406" i="11"/>
  <c r="V3405" i="11"/>
  <c r="V3404" i="11"/>
  <c r="V3403" i="11"/>
  <c r="V3402" i="11"/>
  <c r="V3401" i="11"/>
  <c r="V3400" i="11"/>
  <c r="V3399" i="11"/>
  <c r="V3398" i="11"/>
  <c r="V3397" i="11"/>
  <c r="V3396" i="11"/>
  <c r="V3395" i="11"/>
  <c r="V3394" i="11"/>
  <c r="V3393" i="11"/>
  <c r="V3392" i="11"/>
  <c r="V3391" i="11"/>
  <c r="V3390" i="11"/>
  <c r="V3389" i="11"/>
  <c r="V3388" i="11"/>
  <c r="V3387" i="11"/>
  <c r="V3386" i="11"/>
  <c r="V3385" i="11"/>
  <c r="V3384" i="11"/>
  <c r="V3383" i="11"/>
  <c r="V3382" i="11"/>
  <c r="V3381" i="11"/>
  <c r="V3380" i="11"/>
  <c r="V3379" i="11"/>
  <c r="V3378" i="11"/>
  <c r="V3377" i="11"/>
  <c r="V3376" i="11"/>
  <c r="V3375" i="11"/>
  <c r="V3374" i="11"/>
  <c r="V3373" i="11"/>
  <c r="V3372" i="11"/>
  <c r="V3371" i="11"/>
  <c r="V3370" i="11"/>
  <c r="V3369" i="11"/>
  <c r="V3368" i="11"/>
  <c r="V3367" i="11"/>
  <c r="V3366" i="11"/>
  <c r="V3365" i="11"/>
  <c r="V3364" i="11"/>
  <c r="V3363" i="11"/>
  <c r="V3362" i="11"/>
  <c r="V3361" i="11"/>
  <c r="V3360" i="11"/>
  <c r="V3359" i="11"/>
  <c r="V3358" i="11"/>
  <c r="V3357" i="11"/>
  <c r="V3356" i="11"/>
  <c r="V3355" i="11"/>
  <c r="V3354" i="11"/>
  <c r="V3353" i="11"/>
  <c r="V3352" i="11"/>
  <c r="V3351" i="11"/>
  <c r="V3350" i="11"/>
  <c r="V3349" i="11"/>
  <c r="V3348" i="11"/>
  <c r="V3347" i="11"/>
  <c r="V3346" i="11"/>
  <c r="V3345" i="11"/>
  <c r="V3344" i="11"/>
  <c r="V3343" i="11"/>
  <c r="V3342" i="11"/>
  <c r="V3341" i="11"/>
  <c r="V3340" i="11"/>
  <c r="V3339" i="11"/>
  <c r="V3338" i="11"/>
  <c r="V3337" i="11"/>
  <c r="V3336" i="11"/>
  <c r="V3335" i="11"/>
  <c r="V3334" i="11"/>
  <c r="V3333" i="11"/>
  <c r="V3332" i="11"/>
  <c r="V3331" i="11"/>
  <c r="V3330" i="11"/>
  <c r="V3329" i="11"/>
  <c r="V3328" i="11"/>
  <c r="V3327" i="11"/>
  <c r="V3326" i="11"/>
  <c r="V3325" i="11"/>
  <c r="V3324" i="11"/>
  <c r="V3323" i="11"/>
  <c r="V3322" i="11"/>
  <c r="V3321" i="11"/>
  <c r="V3320" i="11"/>
  <c r="V3319" i="11"/>
  <c r="V3318" i="11"/>
  <c r="V3317" i="11"/>
  <c r="V3316" i="11"/>
  <c r="V3315" i="11"/>
  <c r="V3314" i="11"/>
  <c r="V3313" i="11"/>
  <c r="V3312" i="11"/>
  <c r="V3311" i="11"/>
  <c r="V3310" i="11"/>
  <c r="V3309" i="11"/>
  <c r="V3308" i="11"/>
  <c r="V3307" i="11"/>
  <c r="V3306" i="11"/>
  <c r="V3305" i="11"/>
  <c r="V3304" i="11"/>
  <c r="V3303" i="11"/>
  <c r="V3302" i="11"/>
  <c r="V3301" i="11"/>
  <c r="V3300" i="11"/>
  <c r="V3299" i="11"/>
  <c r="V3298" i="11"/>
  <c r="V3297" i="11"/>
  <c r="V3296" i="11"/>
  <c r="V3295" i="11"/>
  <c r="V3294" i="11"/>
  <c r="V3293" i="11"/>
  <c r="V3292" i="11"/>
  <c r="V3291" i="11"/>
  <c r="V3290" i="11"/>
  <c r="V3289" i="11"/>
  <c r="V3288" i="11"/>
  <c r="V3287" i="11"/>
  <c r="V3286" i="11"/>
  <c r="V3285" i="11"/>
  <c r="V3284" i="11"/>
  <c r="V3283" i="11"/>
  <c r="V3282" i="11"/>
  <c r="V3281" i="11"/>
  <c r="V3280" i="11"/>
  <c r="V3279" i="11"/>
  <c r="V3278" i="11"/>
  <c r="V3277" i="11"/>
  <c r="V3276" i="11"/>
  <c r="V3275" i="11"/>
  <c r="V3274" i="11"/>
  <c r="V3273" i="11"/>
  <c r="V3272" i="11"/>
  <c r="V3271" i="11"/>
  <c r="V3270" i="11"/>
  <c r="V3269" i="11"/>
  <c r="V3268" i="11"/>
  <c r="V3267" i="11"/>
  <c r="V3266" i="11"/>
  <c r="V3265" i="11"/>
  <c r="V3264" i="11"/>
  <c r="V3263" i="11"/>
  <c r="V3262" i="11"/>
  <c r="V3261" i="11"/>
  <c r="V3260" i="11"/>
  <c r="V3259" i="11"/>
  <c r="V3258" i="11"/>
  <c r="V3257" i="11"/>
  <c r="V3256" i="11"/>
  <c r="V3255" i="11"/>
  <c r="V3254" i="11"/>
  <c r="V3253" i="11"/>
  <c r="V3252" i="11"/>
  <c r="V3251" i="11"/>
  <c r="V3250" i="11"/>
  <c r="V3249" i="11"/>
  <c r="V3248" i="11"/>
  <c r="V3247" i="11"/>
  <c r="V3246" i="11"/>
  <c r="V3245" i="11"/>
  <c r="V3244" i="11"/>
  <c r="V3243" i="11"/>
  <c r="V3242" i="11"/>
  <c r="V3241" i="11"/>
  <c r="V3240" i="11"/>
  <c r="V3239" i="11"/>
  <c r="V3238" i="11"/>
  <c r="V3237" i="11"/>
  <c r="V3236" i="11"/>
  <c r="V3235" i="11"/>
  <c r="V3234" i="11"/>
  <c r="V3233" i="11"/>
  <c r="V3232" i="11"/>
  <c r="V3231" i="11"/>
  <c r="V3230" i="11"/>
  <c r="V3229" i="11"/>
  <c r="V3228" i="11"/>
  <c r="V3227" i="11"/>
  <c r="V3226" i="11"/>
  <c r="V3225" i="11"/>
  <c r="V3224" i="11"/>
  <c r="V3223" i="11"/>
  <c r="V3222" i="11"/>
  <c r="V3221" i="11"/>
  <c r="V3220" i="11"/>
  <c r="V3219" i="11"/>
  <c r="V3218" i="11"/>
  <c r="V3217" i="11"/>
  <c r="V3216" i="11"/>
  <c r="V3215" i="11"/>
  <c r="V3214" i="11"/>
  <c r="V3213" i="11"/>
  <c r="V3212" i="11"/>
  <c r="V3211" i="11"/>
  <c r="V3210" i="11"/>
  <c r="V3209" i="11"/>
  <c r="V3208" i="11"/>
  <c r="V3207" i="11"/>
  <c r="V3206" i="11"/>
  <c r="V3205" i="11"/>
  <c r="V3204" i="11"/>
  <c r="V3203" i="11"/>
  <c r="V3202" i="11"/>
  <c r="V3201" i="11"/>
  <c r="V3200" i="11"/>
  <c r="V3199" i="11"/>
  <c r="V3198" i="11"/>
  <c r="V3197" i="11"/>
  <c r="V3196" i="11"/>
  <c r="V3195" i="11"/>
  <c r="V3194" i="11"/>
  <c r="V3193" i="11"/>
  <c r="V3192" i="11"/>
  <c r="V3191" i="11"/>
  <c r="V3190" i="11"/>
  <c r="V3189" i="11"/>
  <c r="V3188" i="11"/>
  <c r="V3187" i="11"/>
  <c r="V3186" i="11"/>
  <c r="V3185" i="11"/>
  <c r="V3184" i="11"/>
  <c r="V3183" i="11"/>
  <c r="V3182" i="11"/>
  <c r="V3181" i="11"/>
  <c r="V3180" i="11"/>
  <c r="V3179" i="11"/>
  <c r="V3178" i="11"/>
  <c r="V3177" i="11"/>
  <c r="V3176" i="11"/>
  <c r="V3175" i="11"/>
  <c r="V3174" i="11"/>
  <c r="V3173" i="11"/>
  <c r="V3172" i="11"/>
  <c r="V3171" i="11"/>
  <c r="V3170" i="11"/>
  <c r="V3169" i="11"/>
  <c r="V3168" i="11"/>
  <c r="V3167" i="11"/>
  <c r="V3166" i="11"/>
  <c r="V3165" i="11"/>
  <c r="V3164" i="11"/>
  <c r="V3163" i="11"/>
  <c r="V3162" i="11"/>
  <c r="V3161" i="11"/>
  <c r="V3160" i="11"/>
  <c r="V3159" i="11"/>
  <c r="V3158" i="11"/>
  <c r="V3157" i="11"/>
  <c r="V3156" i="11"/>
  <c r="V3155" i="11"/>
  <c r="V3154" i="11"/>
  <c r="V3153" i="11"/>
  <c r="V3152" i="11"/>
  <c r="V3151" i="11"/>
  <c r="V3150" i="11"/>
  <c r="V3149" i="11"/>
  <c r="V3148" i="11"/>
  <c r="V3147" i="11"/>
  <c r="V3146" i="11"/>
  <c r="V3145" i="11"/>
  <c r="V3144" i="11"/>
  <c r="V3143" i="11"/>
  <c r="V3142" i="11"/>
  <c r="V3141" i="11"/>
  <c r="V3140" i="11"/>
  <c r="V3139" i="11"/>
  <c r="V3138" i="11"/>
  <c r="V3137" i="11"/>
  <c r="V3136" i="11"/>
  <c r="V3135" i="11"/>
  <c r="V3134" i="11"/>
  <c r="V3133" i="11"/>
  <c r="V3132" i="11"/>
  <c r="V3131" i="11"/>
  <c r="V3130" i="11"/>
  <c r="V3129" i="11"/>
  <c r="V3128" i="11"/>
  <c r="V3127" i="11"/>
  <c r="V3126" i="11"/>
  <c r="V3125" i="11"/>
  <c r="V3124" i="11"/>
  <c r="V3123" i="11"/>
  <c r="V3122" i="11"/>
  <c r="V3121" i="11"/>
  <c r="V3120" i="11"/>
  <c r="V3119" i="11"/>
  <c r="V3118" i="11"/>
  <c r="V3117" i="11"/>
  <c r="V3116" i="11"/>
  <c r="V3115" i="11"/>
  <c r="V3114" i="11"/>
  <c r="V3113" i="11"/>
  <c r="V3112" i="11"/>
  <c r="V3111" i="11"/>
  <c r="V3110" i="11"/>
  <c r="V3109" i="11"/>
  <c r="V3108" i="11"/>
  <c r="V3107" i="11"/>
  <c r="V3106" i="11"/>
  <c r="V3105" i="11"/>
  <c r="V3104" i="11"/>
  <c r="V3103" i="11"/>
  <c r="V3102" i="11"/>
  <c r="V3101" i="11"/>
  <c r="V3100" i="11"/>
  <c r="V3099" i="11"/>
  <c r="V3098" i="11"/>
  <c r="V3097" i="11"/>
  <c r="V3096" i="11"/>
  <c r="V3095" i="11"/>
  <c r="V3094" i="11"/>
  <c r="V3093" i="11"/>
  <c r="V3092" i="11"/>
  <c r="V3091" i="11"/>
  <c r="V3090" i="11"/>
  <c r="V3089" i="11"/>
  <c r="V3088" i="11"/>
  <c r="V3087" i="11"/>
  <c r="V3086" i="11"/>
  <c r="V3085" i="11"/>
  <c r="V3084" i="11"/>
  <c r="V3083" i="11"/>
  <c r="V3082" i="11"/>
  <c r="V3081" i="11"/>
  <c r="V3080" i="11"/>
  <c r="V3079" i="11"/>
  <c r="V3078" i="11"/>
  <c r="V3077" i="11"/>
  <c r="V3076" i="11"/>
  <c r="V3075" i="11"/>
  <c r="V3074" i="11"/>
  <c r="V3073" i="11"/>
  <c r="V3072" i="11"/>
  <c r="V3071" i="11"/>
  <c r="V3070" i="11"/>
  <c r="V3069" i="11"/>
  <c r="V3068" i="11"/>
  <c r="V3067" i="11"/>
  <c r="V3066" i="11"/>
  <c r="V3065" i="11"/>
  <c r="V3064" i="11"/>
  <c r="V3063" i="11"/>
  <c r="V3062" i="11"/>
  <c r="V3061" i="11"/>
  <c r="V3060" i="11"/>
  <c r="V3059" i="11"/>
  <c r="V3058" i="11"/>
  <c r="V3057" i="11"/>
  <c r="V3056" i="11"/>
  <c r="V3055" i="11"/>
  <c r="V3054" i="11"/>
  <c r="V3053" i="11"/>
  <c r="V3052" i="11"/>
  <c r="V3051" i="11"/>
  <c r="V3050" i="11"/>
  <c r="V3049" i="11"/>
  <c r="V3048" i="11"/>
  <c r="V3047" i="11"/>
  <c r="V3046" i="11"/>
  <c r="V3045" i="11"/>
  <c r="V3044" i="11"/>
  <c r="V3043" i="11"/>
  <c r="V3042" i="11"/>
  <c r="V3041" i="11"/>
  <c r="V3040" i="11"/>
  <c r="V3039" i="11"/>
  <c r="V3038" i="11"/>
  <c r="V3037" i="11"/>
  <c r="V3036" i="11"/>
  <c r="V3035" i="11"/>
  <c r="V3034" i="11"/>
  <c r="V3033" i="11"/>
  <c r="V3032" i="11"/>
  <c r="V3031" i="11"/>
  <c r="V3030" i="11"/>
  <c r="V3029" i="11"/>
  <c r="V3028" i="11"/>
  <c r="V3027" i="11"/>
  <c r="V3026" i="11"/>
  <c r="V3025" i="11"/>
  <c r="V3024" i="11"/>
  <c r="V3023" i="11"/>
  <c r="V3022" i="11"/>
  <c r="V3021" i="11"/>
  <c r="V3020" i="11"/>
  <c r="V3019" i="11"/>
  <c r="V3018" i="11"/>
  <c r="V3017" i="11"/>
  <c r="V3016" i="11"/>
  <c r="V3015" i="11"/>
  <c r="V3014" i="11"/>
  <c r="V3013" i="11"/>
  <c r="V3012" i="11"/>
  <c r="V3011" i="11"/>
  <c r="V3010" i="11"/>
  <c r="V3009" i="11"/>
  <c r="V3008" i="11"/>
  <c r="V3007" i="11"/>
  <c r="V3006" i="11"/>
  <c r="V3005" i="11"/>
  <c r="V3004" i="11"/>
  <c r="V3003" i="11"/>
  <c r="V3002" i="11"/>
  <c r="V3001" i="11"/>
  <c r="V3000" i="11"/>
  <c r="V2999" i="11"/>
  <c r="V2998" i="11"/>
  <c r="V2997" i="11"/>
  <c r="V2996" i="11"/>
  <c r="V2995" i="11"/>
  <c r="V2994" i="11"/>
  <c r="V2993" i="11"/>
  <c r="V2992" i="11"/>
  <c r="V2991" i="11"/>
  <c r="V2990" i="11"/>
  <c r="V2989" i="11"/>
  <c r="V2988" i="11"/>
  <c r="V2987" i="11"/>
  <c r="V2986" i="11"/>
  <c r="V2985" i="11"/>
  <c r="V2984" i="11"/>
  <c r="V2983" i="11"/>
  <c r="V2982" i="11"/>
  <c r="V2981" i="11"/>
  <c r="V2980" i="11"/>
  <c r="V2979" i="11"/>
  <c r="V2978" i="11"/>
  <c r="V2977" i="11"/>
  <c r="V2976" i="11"/>
  <c r="V2975" i="11"/>
  <c r="V2974" i="11"/>
  <c r="V2973" i="11"/>
  <c r="V2972" i="11"/>
  <c r="V2971" i="11"/>
  <c r="V2970" i="11"/>
  <c r="V2969" i="11"/>
  <c r="V2968" i="11"/>
  <c r="V2967" i="11"/>
  <c r="V2966" i="11"/>
  <c r="V2965" i="11"/>
  <c r="V2964" i="11"/>
  <c r="V2963" i="11"/>
  <c r="V2962" i="11"/>
  <c r="V2961" i="11"/>
  <c r="V2960" i="11"/>
  <c r="V2959" i="11"/>
  <c r="V2958" i="11"/>
  <c r="V2957" i="11"/>
  <c r="V2956" i="11"/>
  <c r="V2955" i="11"/>
  <c r="V2954" i="11"/>
  <c r="V2953" i="11"/>
  <c r="V2952" i="11"/>
  <c r="V2951" i="11"/>
  <c r="V2950" i="11"/>
  <c r="V2949" i="11"/>
  <c r="V2948" i="11"/>
  <c r="V2947" i="11"/>
  <c r="V2946" i="11"/>
  <c r="V2945" i="11"/>
  <c r="V2944" i="11"/>
  <c r="V2943" i="11"/>
  <c r="V2942" i="11"/>
  <c r="V2941" i="11"/>
  <c r="V2940" i="11"/>
  <c r="V2939" i="11"/>
  <c r="V2938" i="11"/>
  <c r="V2937" i="11"/>
  <c r="V2936" i="11"/>
  <c r="V2935" i="11"/>
  <c r="V2934" i="11"/>
  <c r="V2933" i="11"/>
  <c r="V2932" i="11"/>
  <c r="V2931" i="11"/>
  <c r="V2930" i="11"/>
  <c r="V2929" i="11"/>
  <c r="V2928" i="11"/>
  <c r="V2927" i="11"/>
  <c r="V2926" i="11"/>
  <c r="V2925" i="11"/>
  <c r="V2924" i="11"/>
  <c r="V2923" i="11"/>
  <c r="V2922" i="11"/>
  <c r="V2921" i="11"/>
  <c r="V2920" i="11"/>
  <c r="V2919" i="11"/>
  <c r="V2918" i="11"/>
  <c r="V2917" i="11"/>
  <c r="V2916" i="11"/>
  <c r="V2915" i="11"/>
  <c r="V2914" i="11"/>
  <c r="V2913" i="11"/>
  <c r="V2912" i="11"/>
  <c r="V2911" i="11"/>
  <c r="V2910" i="11"/>
  <c r="V2909" i="11"/>
  <c r="V2908" i="11"/>
  <c r="V2907" i="11"/>
  <c r="V2906" i="11"/>
  <c r="V2905" i="11"/>
  <c r="V2904" i="11"/>
  <c r="V2903" i="11"/>
  <c r="V2902" i="11"/>
  <c r="V2901" i="11"/>
  <c r="V2900" i="11"/>
  <c r="V2899" i="11"/>
  <c r="V2898" i="11"/>
  <c r="V2897" i="11"/>
  <c r="V2896" i="11"/>
  <c r="V2895" i="11"/>
  <c r="V2894" i="11"/>
  <c r="V2893" i="11"/>
  <c r="V2892" i="11"/>
  <c r="V2891" i="11"/>
  <c r="V2890" i="11"/>
  <c r="V2889" i="11"/>
  <c r="V2888" i="11"/>
  <c r="V2887" i="11"/>
  <c r="V2886" i="11"/>
  <c r="V2885" i="11"/>
  <c r="V2884" i="11"/>
  <c r="V2883" i="11"/>
  <c r="V2882" i="11"/>
  <c r="V2881" i="11"/>
  <c r="V2880" i="11"/>
  <c r="V2879" i="11"/>
  <c r="V2878" i="11"/>
  <c r="V2877" i="11"/>
  <c r="V2876" i="11"/>
  <c r="V2875" i="11"/>
  <c r="V2874" i="11"/>
  <c r="V2873" i="11"/>
  <c r="V2872" i="11"/>
  <c r="V2871" i="11"/>
  <c r="V2870" i="11"/>
  <c r="V2869" i="11"/>
  <c r="V2868" i="11"/>
  <c r="V2867" i="11"/>
  <c r="V2866" i="11"/>
  <c r="V2865" i="11"/>
  <c r="V2864" i="11"/>
  <c r="V2863" i="11"/>
  <c r="V2862" i="11"/>
  <c r="V2861" i="11"/>
  <c r="V2860" i="11"/>
  <c r="V2859" i="11"/>
  <c r="V2858" i="11"/>
  <c r="V2857" i="11"/>
  <c r="V2856" i="11"/>
  <c r="V2855" i="11"/>
  <c r="V2854" i="11"/>
  <c r="V2853" i="11"/>
  <c r="V2852" i="11"/>
  <c r="V2851" i="11"/>
  <c r="V2850" i="11"/>
  <c r="V2849" i="11"/>
  <c r="V2848" i="11"/>
  <c r="V2847" i="11"/>
  <c r="V2846" i="11"/>
  <c r="V2845" i="11"/>
  <c r="V2844" i="11"/>
  <c r="V2843" i="11"/>
  <c r="V2842" i="11"/>
  <c r="V2841" i="11"/>
  <c r="V2840" i="11"/>
  <c r="V2839" i="11"/>
  <c r="V2838" i="11"/>
  <c r="V2837" i="11"/>
  <c r="V2836" i="11"/>
  <c r="V2835" i="11"/>
  <c r="V2834" i="11"/>
  <c r="V2833" i="11"/>
  <c r="V2832" i="11"/>
  <c r="V2831" i="11"/>
  <c r="V2830" i="11"/>
  <c r="V2829" i="11"/>
  <c r="V2828" i="11"/>
  <c r="V2827" i="11"/>
  <c r="V2826" i="11"/>
  <c r="V2825" i="11"/>
  <c r="V2824" i="11"/>
  <c r="V2823" i="11"/>
  <c r="V2822" i="11"/>
  <c r="V2821" i="11"/>
  <c r="V2820" i="11"/>
  <c r="V2819" i="11"/>
  <c r="V2818" i="11"/>
  <c r="V2817" i="11"/>
  <c r="V2816" i="11"/>
  <c r="V2815" i="11"/>
  <c r="V2814" i="11"/>
  <c r="V2813" i="11"/>
  <c r="V2812" i="11"/>
  <c r="V2811" i="11"/>
  <c r="V2810" i="11"/>
  <c r="V2809" i="11"/>
  <c r="V2808" i="11"/>
  <c r="V2807" i="11"/>
  <c r="V2806" i="11"/>
  <c r="V2805" i="11"/>
  <c r="V2804" i="11"/>
  <c r="V2803" i="11"/>
  <c r="V2802" i="11"/>
  <c r="V2801" i="11"/>
  <c r="V2800" i="11"/>
  <c r="V2799" i="11"/>
  <c r="V2798" i="11"/>
  <c r="V2797" i="11"/>
  <c r="V2796" i="11"/>
  <c r="V2795" i="11"/>
  <c r="V2794" i="11"/>
  <c r="V2793" i="11"/>
  <c r="V2792" i="11"/>
  <c r="V2791" i="11"/>
  <c r="V2790" i="11"/>
  <c r="V2789" i="11"/>
  <c r="V2788" i="11"/>
  <c r="V2787" i="11"/>
  <c r="V2786" i="11"/>
  <c r="V2785" i="11"/>
  <c r="V2784" i="11"/>
  <c r="V2783" i="11"/>
  <c r="V2782" i="11"/>
  <c r="V2781" i="11"/>
  <c r="V2780" i="11"/>
  <c r="V2779" i="11"/>
  <c r="V2778" i="11"/>
  <c r="V2777" i="11"/>
  <c r="V2776" i="11"/>
  <c r="V2775" i="11"/>
  <c r="V2774" i="11"/>
  <c r="V2773" i="11"/>
  <c r="V2772" i="11"/>
  <c r="V2771" i="11"/>
  <c r="V2770" i="11"/>
  <c r="V2769" i="11"/>
  <c r="V2768" i="11"/>
  <c r="V2767" i="11"/>
  <c r="V2766" i="11"/>
  <c r="V2765" i="11"/>
  <c r="V2764" i="11"/>
  <c r="V2763" i="11"/>
  <c r="V2762" i="11"/>
  <c r="V2761" i="11"/>
  <c r="V2760" i="11"/>
  <c r="V2759" i="11"/>
  <c r="V2758" i="11"/>
  <c r="V2757" i="11"/>
  <c r="V2756" i="11"/>
  <c r="V2755" i="11"/>
  <c r="V2754" i="11"/>
  <c r="V2753" i="11"/>
  <c r="V2752" i="11"/>
  <c r="V2751" i="11"/>
  <c r="V2750" i="11"/>
  <c r="V2749" i="11"/>
  <c r="V2748" i="11"/>
  <c r="V2747" i="11"/>
  <c r="V2746" i="11"/>
  <c r="V2745" i="11"/>
  <c r="V2744" i="11"/>
  <c r="V2743" i="11"/>
  <c r="V2742" i="11"/>
  <c r="V2741" i="11"/>
  <c r="V2740" i="11"/>
  <c r="V2739" i="11"/>
  <c r="V2738" i="11"/>
  <c r="V2737" i="11"/>
  <c r="V2736" i="11"/>
  <c r="V2735" i="11"/>
  <c r="V2734" i="11"/>
  <c r="V2733" i="11"/>
  <c r="V2732" i="11"/>
  <c r="V2731" i="11"/>
  <c r="V2730" i="11"/>
  <c r="V2729" i="11"/>
  <c r="V2728" i="11"/>
  <c r="V2727" i="11"/>
  <c r="V2726" i="11"/>
  <c r="V2725" i="11"/>
  <c r="V2724" i="11"/>
  <c r="V2723" i="11"/>
  <c r="V2722" i="11"/>
  <c r="V2721" i="11"/>
  <c r="V2720" i="11"/>
  <c r="V2719" i="11"/>
  <c r="V2718" i="11"/>
  <c r="V2717" i="11"/>
  <c r="V2716" i="11"/>
  <c r="V2715" i="11"/>
  <c r="V2714" i="11"/>
  <c r="V2713" i="11"/>
  <c r="V2712" i="11"/>
  <c r="V2711" i="11"/>
  <c r="V2710" i="11"/>
  <c r="V2709" i="11"/>
  <c r="V2708" i="11"/>
  <c r="V2707" i="11"/>
  <c r="V2706" i="11"/>
  <c r="V2705" i="11"/>
  <c r="V2704" i="11"/>
  <c r="V2703" i="11"/>
  <c r="V2702" i="11"/>
  <c r="V2701" i="11"/>
  <c r="V2700" i="11"/>
  <c r="V2699" i="11"/>
  <c r="V2698" i="11"/>
  <c r="V2697" i="11"/>
  <c r="V2696" i="11"/>
  <c r="V2695" i="11"/>
  <c r="V2694" i="11"/>
  <c r="V2693" i="11"/>
  <c r="V2692" i="11"/>
  <c r="V2691" i="11"/>
  <c r="V2690" i="11"/>
  <c r="V2689" i="11"/>
  <c r="V2688" i="11"/>
  <c r="V2687" i="11"/>
  <c r="V2686" i="11"/>
  <c r="V2685" i="11"/>
  <c r="V2684" i="11"/>
  <c r="V2683" i="11"/>
  <c r="V2682" i="11"/>
  <c r="V2681" i="11"/>
  <c r="V2680" i="11"/>
  <c r="V2679" i="11"/>
  <c r="V2678" i="11"/>
  <c r="V2677" i="11"/>
  <c r="V2676" i="11"/>
  <c r="V2675" i="11"/>
  <c r="V2674" i="11"/>
  <c r="V2673" i="11"/>
  <c r="V2672" i="11"/>
  <c r="V2671" i="11"/>
  <c r="V2670" i="11"/>
  <c r="V2669" i="11"/>
  <c r="V2668" i="11"/>
  <c r="V2667" i="11"/>
  <c r="V2666" i="11"/>
  <c r="V2665" i="11"/>
  <c r="V2664" i="11"/>
  <c r="V2663" i="11"/>
  <c r="V2662" i="11"/>
  <c r="V2661" i="11"/>
  <c r="V2660" i="11"/>
  <c r="V2659" i="11"/>
  <c r="V2658" i="11"/>
  <c r="V2657" i="11"/>
  <c r="V2656" i="11"/>
  <c r="V2655" i="11"/>
  <c r="V2654" i="11"/>
  <c r="V2653" i="11"/>
  <c r="V2652" i="11"/>
  <c r="V2651" i="11"/>
  <c r="V2650" i="11"/>
  <c r="V2649" i="11"/>
  <c r="V2648" i="11"/>
  <c r="V2647" i="11"/>
  <c r="V2646" i="11"/>
  <c r="V2645" i="11"/>
  <c r="V2644" i="11"/>
  <c r="V2643" i="11"/>
  <c r="V2642" i="11"/>
  <c r="V2641" i="11"/>
  <c r="V2640" i="11"/>
  <c r="V2639" i="11"/>
  <c r="V2638" i="11"/>
  <c r="V2637" i="11"/>
  <c r="V2636" i="11"/>
  <c r="V2635" i="11"/>
  <c r="V2634" i="11"/>
  <c r="V2633" i="11"/>
  <c r="V2632" i="11"/>
  <c r="V2631" i="11"/>
  <c r="V2630" i="11"/>
  <c r="V2629" i="11"/>
  <c r="V2628" i="11"/>
  <c r="V2627" i="11"/>
  <c r="V2626" i="11"/>
  <c r="V2625" i="11"/>
  <c r="V2624" i="11"/>
  <c r="V2623" i="11"/>
  <c r="V2622" i="11"/>
  <c r="V2621" i="11"/>
  <c r="V2620" i="11"/>
  <c r="V2619" i="11"/>
  <c r="V2618" i="11"/>
  <c r="V2617" i="11"/>
  <c r="V2616" i="11"/>
  <c r="V2615" i="11"/>
  <c r="V2614" i="11"/>
  <c r="V2613" i="11"/>
  <c r="V2612" i="11"/>
  <c r="V2611" i="11"/>
  <c r="V2610" i="11"/>
  <c r="V2609" i="11"/>
  <c r="V2608" i="11"/>
  <c r="V2607" i="11"/>
  <c r="V2606" i="11"/>
  <c r="V2605" i="11"/>
  <c r="V2604" i="11"/>
  <c r="V2603" i="11"/>
  <c r="V2602" i="11"/>
  <c r="V2601" i="11"/>
  <c r="V2600" i="11"/>
  <c r="V2599" i="11"/>
  <c r="V2598" i="11"/>
  <c r="V2597" i="11"/>
  <c r="V2596" i="11"/>
  <c r="V2595" i="11"/>
  <c r="V2594" i="11"/>
  <c r="V2593" i="11"/>
  <c r="V2592" i="11"/>
  <c r="V2591" i="11"/>
  <c r="V2590" i="11"/>
  <c r="V2589" i="11"/>
  <c r="V2588" i="11"/>
  <c r="V2587" i="11"/>
  <c r="V2586" i="11"/>
  <c r="V2585" i="11"/>
  <c r="V2584" i="11"/>
  <c r="V2583" i="11"/>
  <c r="V2582" i="11"/>
  <c r="V2581" i="11"/>
  <c r="V2580" i="11"/>
  <c r="V2579" i="11"/>
  <c r="V2578" i="11"/>
  <c r="V2577" i="11"/>
  <c r="V2576" i="11"/>
  <c r="V2575" i="11"/>
  <c r="V2574" i="11"/>
  <c r="V2573" i="11"/>
  <c r="V2572" i="11"/>
  <c r="V2571" i="11"/>
  <c r="V2570" i="11"/>
  <c r="V2569" i="11"/>
  <c r="V2568" i="11"/>
  <c r="V2567" i="11"/>
  <c r="V2566" i="11"/>
  <c r="V2565" i="11"/>
  <c r="V2564" i="11"/>
  <c r="V2563" i="11"/>
  <c r="V2562" i="11"/>
  <c r="V2561" i="11"/>
  <c r="V2560" i="11"/>
  <c r="V2559" i="11"/>
  <c r="V2558" i="11"/>
  <c r="V2557" i="11"/>
  <c r="V2556" i="11"/>
  <c r="V2555" i="11"/>
  <c r="V2554" i="11"/>
  <c r="V2553" i="11"/>
  <c r="V2552" i="11"/>
  <c r="V2551" i="11"/>
  <c r="V2550" i="11"/>
  <c r="V2549" i="11"/>
  <c r="V2548" i="11"/>
  <c r="V2547" i="11"/>
  <c r="V2546" i="11"/>
  <c r="V2545" i="11"/>
  <c r="V2544" i="11"/>
  <c r="V2543" i="11"/>
  <c r="V2542" i="11"/>
  <c r="V2541" i="11"/>
  <c r="V2540" i="11"/>
  <c r="V2539" i="11"/>
  <c r="V2538" i="11"/>
  <c r="V2537" i="11"/>
  <c r="V2536" i="11"/>
  <c r="V2535" i="11"/>
  <c r="V2534" i="11"/>
  <c r="V2533" i="11"/>
  <c r="V2532" i="11"/>
  <c r="V2531" i="11"/>
  <c r="V2530" i="11"/>
  <c r="V2529" i="11"/>
  <c r="V2528" i="11"/>
  <c r="V2527" i="11"/>
  <c r="V2526" i="11"/>
  <c r="V2525" i="11"/>
  <c r="V2524" i="11"/>
  <c r="V2523" i="11"/>
  <c r="V2522" i="11"/>
  <c r="V2521" i="11"/>
  <c r="V2520" i="11"/>
  <c r="V2519" i="11"/>
  <c r="V2518" i="11"/>
  <c r="V2517" i="11"/>
  <c r="V2516" i="11"/>
  <c r="V2515" i="11"/>
  <c r="V2514" i="11"/>
  <c r="V2513" i="11"/>
  <c r="V2512" i="11"/>
  <c r="V2511" i="11"/>
  <c r="V2510" i="11"/>
  <c r="V2509" i="11"/>
  <c r="V2508" i="11"/>
  <c r="V2507" i="11"/>
  <c r="V2506" i="11"/>
  <c r="V2505" i="11"/>
  <c r="V2504" i="11"/>
  <c r="V2503" i="11"/>
  <c r="V2502" i="11"/>
  <c r="V2501" i="11"/>
  <c r="V2500" i="11"/>
  <c r="V2499" i="11"/>
  <c r="V2498" i="11"/>
  <c r="V2497" i="11"/>
  <c r="V2496" i="11"/>
  <c r="V2495" i="11"/>
  <c r="V2494" i="11"/>
  <c r="V2493" i="11"/>
  <c r="V2492" i="11"/>
  <c r="V2491" i="11"/>
  <c r="V2490" i="11"/>
  <c r="V2489" i="11"/>
  <c r="V2488" i="11"/>
  <c r="V2487" i="11"/>
  <c r="V2486" i="11"/>
  <c r="V2485" i="11"/>
  <c r="V2484" i="11"/>
  <c r="V2483" i="11"/>
  <c r="V2482" i="11"/>
  <c r="V2481" i="11"/>
  <c r="V2480" i="11"/>
  <c r="V2479" i="11"/>
  <c r="V2478" i="11"/>
  <c r="V2477" i="11"/>
  <c r="V2476" i="11"/>
  <c r="V2475" i="11"/>
  <c r="V2474" i="11"/>
  <c r="V2473" i="11"/>
  <c r="V2472" i="11"/>
  <c r="V2471" i="11"/>
  <c r="V2470" i="11"/>
  <c r="V2469" i="11"/>
  <c r="V2468" i="11"/>
  <c r="V2467" i="11"/>
  <c r="V2466" i="11"/>
  <c r="V2465" i="11"/>
  <c r="V2464" i="11"/>
  <c r="V2463" i="11"/>
  <c r="V2462" i="11"/>
  <c r="V2461" i="11"/>
  <c r="V2460" i="11"/>
  <c r="V2459" i="11"/>
  <c r="V2458" i="11"/>
  <c r="V2457" i="11"/>
  <c r="V2456" i="11"/>
  <c r="V2455" i="11"/>
  <c r="V2454" i="11"/>
  <c r="V2453" i="11"/>
  <c r="V2452" i="11"/>
  <c r="V2451" i="11"/>
  <c r="V2450" i="11"/>
  <c r="V2449" i="11"/>
  <c r="V2448" i="11"/>
  <c r="V2447" i="11"/>
  <c r="V2446" i="11"/>
  <c r="V2445" i="11"/>
  <c r="V2444" i="11"/>
  <c r="V2443" i="11"/>
  <c r="V2442" i="11"/>
  <c r="V2441" i="11"/>
  <c r="V2440" i="11"/>
  <c r="V2439" i="11"/>
  <c r="V2438" i="11"/>
  <c r="V2437" i="11"/>
  <c r="V2436" i="11"/>
  <c r="V2435" i="11"/>
  <c r="V2434" i="11"/>
  <c r="V2433" i="11"/>
  <c r="V2432" i="11"/>
  <c r="V2431" i="11"/>
  <c r="V2430" i="11"/>
  <c r="V2429" i="11"/>
  <c r="V2428" i="11"/>
  <c r="V2427" i="11"/>
  <c r="V2426" i="11"/>
  <c r="V2425" i="11"/>
  <c r="V2424" i="11"/>
  <c r="V2423" i="11"/>
  <c r="V2422" i="11"/>
  <c r="V2421" i="11"/>
  <c r="V2420" i="11"/>
  <c r="V2419" i="11"/>
  <c r="V2418" i="11"/>
  <c r="V2417" i="11"/>
  <c r="V2416" i="11"/>
  <c r="V2415" i="11"/>
  <c r="V2414" i="11"/>
  <c r="V2413" i="11"/>
  <c r="V2412" i="11"/>
  <c r="V2411" i="11"/>
  <c r="V2410" i="11"/>
  <c r="V2409" i="11"/>
  <c r="V2408" i="11"/>
  <c r="V2407" i="11"/>
  <c r="V2406" i="11"/>
  <c r="V2405" i="11"/>
  <c r="V2404" i="11"/>
  <c r="V2403" i="11"/>
  <c r="V2402" i="11"/>
  <c r="V2401" i="11"/>
  <c r="V2400" i="11"/>
  <c r="V2399" i="11"/>
  <c r="V2398" i="11"/>
  <c r="V2397" i="11"/>
  <c r="V2396" i="11"/>
  <c r="V2395" i="11"/>
  <c r="V2394" i="11"/>
  <c r="V2393" i="11"/>
  <c r="V2392" i="11"/>
  <c r="V2391" i="11"/>
  <c r="V2390" i="11"/>
  <c r="V2389" i="11"/>
  <c r="V2388" i="11"/>
  <c r="V2387" i="11"/>
  <c r="V2386" i="11"/>
  <c r="V2385" i="11"/>
  <c r="V2384" i="11"/>
  <c r="V2383" i="11"/>
  <c r="V2382" i="11"/>
  <c r="V2381" i="11"/>
  <c r="V2380" i="11"/>
  <c r="V2379" i="11"/>
  <c r="V2378" i="11"/>
  <c r="V2377" i="11"/>
  <c r="V2376" i="11"/>
  <c r="V2375" i="11"/>
  <c r="V2374" i="11"/>
  <c r="V2373" i="11"/>
  <c r="V2372" i="11"/>
  <c r="V2371" i="11"/>
  <c r="V2370" i="11"/>
  <c r="V2369" i="11"/>
  <c r="V2368" i="11"/>
  <c r="V2367" i="11"/>
  <c r="V2366" i="11"/>
  <c r="V2365" i="11"/>
  <c r="V2364" i="11"/>
  <c r="V2363" i="11"/>
  <c r="V2362" i="11"/>
  <c r="V2361" i="11"/>
  <c r="V2360" i="11"/>
  <c r="V2359" i="11"/>
  <c r="V2358" i="11"/>
  <c r="V2357" i="11"/>
  <c r="V2356" i="11"/>
  <c r="V2355" i="11"/>
  <c r="V2354" i="11"/>
  <c r="V2353" i="11"/>
  <c r="V2352" i="11"/>
  <c r="V2351" i="11"/>
  <c r="V2350" i="11"/>
  <c r="V2349" i="11"/>
  <c r="V2348" i="11"/>
  <c r="V2347" i="11"/>
  <c r="V2346" i="11"/>
  <c r="V2345" i="11"/>
  <c r="V2344" i="11"/>
  <c r="V2343" i="11"/>
  <c r="V2342" i="11"/>
  <c r="V2341" i="11"/>
  <c r="V2340" i="11"/>
  <c r="V2339" i="11"/>
  <c r="V2338" i="11"/>
  <c r="V2337" i="11"/>
  <c r="V2336" i="11"/>
  <c r="V2335" i="11"/>
  <c r="V2334" i="11"/>
  <c r="V2333" i="11"/>
  <c r="V2332" i="11"/>
  <c r="V2331" i="11"/>
  <c r="V2330" i="11"/>
  <c r="V2329" i="11"/>
  <c r="V2328" i="11"/>
  <c r="V2327" i="11"/>
  <c r="V2326" i="11"/>
  <c r="V2325" i="11"/>
  <c r="V2324" i="11"/>
  <c r="V2323" i="11"/>
  <c r="V2322" i="11"/>
  <c r="V2321" i="11"/>
  <c r="V2320" i="11"/>
  <c r="V2319" i="11"/>
  <c r="V2318" i="11"/>
  <c r="V2317" i="11"/>
  <c r="V2316" i="11"/>
  <c r="V2315" i="11"/>
  <c r="V2314" i="11"/>
  <c r="V2313" i="11"/>
  <c r="V2312" i="11"/>
  <c r="V2311" i="11"/>
  <c r="V2310" i="11"/>
  <c r="V2309" i="11"/>
  <c r="V2308" i="11"/>
  <c r="V2307" i="11"/>
  <c r="V2306" i="11"/>
  <c r="V2305" i="11"/>
  <c r="V2304" i="11"/>
  <c r="V2303" i="11"/>
  <c r="V2302" i="11"/>
  <c r="V2301" i="11"/>
  <c r="V2300" i="11"/>
  <c r="V2299" i="11"/>
  <c r="V2298" i="11"/>
  <c r="V2297" i="11"/>
  <c r="V2296" i="11"/>
  <c r="V2295" i="11"/>
  <c r="V2294" i="11"/>
  <c r="V2293" i="11"/>
  <c r="V2292" i="11"/>
  <c r="V2291" i="11"/>
  <c r="V2290" i="11"/>
  <c r="V2289" i="11"/>
  <c r="V2288" i="11"/>
  <c r="V2287" i="11"/>
  <c r="V2286" i="11"/>
  <c r="V2285" i="11"/>
  <c r="V2284" i="11"/>
  <c r="V2283" i="11"/>
  <c r="V2282" i="11"/>
  <c r="V2281" i="11"/>
  <c r="V2280" i="11"/>
  <c r="V2279" i="11"/>
  <c r="V2278" i="11"/>
  <c r="V2277" i="11"/>
  <c r="V2276" i="11"/>
  <c r="V2275" i="11"/>
  <c r="V2274" i="11"/>
  <c r="V2273" i="11"/>
  <c r="V2272" i="11"/>
  <c r="V2271" i="11"/>
  <c r="V2270" i="11"/>
  <c r="V2269" i="11"/>
  <c r="V2268" i="11"/>
  <c r="V2267" i="11"/>
  <c r="V2266" i="11"/>
  <c r="V2265" i="11"/>
  <c r="V2264" i="11"/>
  <c r="V2263" i="11"/>
  <c r="V2262" i="11"/>
  <c r="V2261" i="11"/>
  <c r="V2260" i="11"/>
  <c r="V2259" i="11"/>
  <c r="V2258" i="11"/>
  <c r="V2257" i="11"/>
  <c r="V2256" i="11"/>
  <c r="V2255" i="11"/>
  <c r="V2254" i="11"/>
  <c r="V2253" i="11"/>
  <c r="V2252" i="11"/>
  <c r="V2251" i="11"/>
  <c r="V2250" i="11"/>
  <c r="V2249" i="11"/>
  <c r="V2248" i="11"/>
  <c r="V2247" i="11"/>
  <c r="V2246" i="11"/>
  <c r="V2245" i="11"/>
  <c r="V2244" i="11"/>
  <c r="V2243" i="11"/>
  <c r="V2242" i="11"/>
  <c r="V2241" i="11"/>
  <c r="V2240" i="11"/>
  <c r="V2239" i="11"/>
  <c r="V2238" i="11"/>
  <c r="V2237" i="11"/>
  <c r="V2236" i="11"/>
  <c r="V2235" i="11"/>
  <c r="V2234" i="11"/>
  <c r="V2233" i="11"/>
  <c r="V2232" i="11"/>
  <c r="V2231" i="11"/>
  <c r="V2230" i="11"/>
  <c r="V2229" i="11"/>
  <c r="V2228" i="11"/>
  <c r="V2227" i="11"/>
  <c r="V2226" i="11"/>
  <c r="V2225" i="11"/>
  <c r="V2224" i="11"/>
  <c r="V2223" i="11"/>
  <c r="V2222" i="11"/>
  <c r="V2221" i="11"/>
  <c r="V2220" i="11"/>
  <c r="V2219" i="11"/>
  <c r="V2218" i="11"/>
  <c r="V2217" i="11"/>
  <c r="V2216" i="11"/>
  <c r="V2215" i="11"/>
  <c r="V2214" i="11"/>
  <c r="V2213" i="11"/>
  <c r="V2212" i="11"/>
  <c r="V2211" i="11"/>
  <c r="V2210" i="11"/>
  <c r="V2209" i="11"/>
  <c r="V2208" i="11"/>
  <c r="V2207" i="11"/>
  <c r="V2206" i="11"/>
  <c r="V2205" i="11"/>
  <c r="V2204" i="11"/>
  <c r="V2203" i="11"/>
  <c r="V2202" i="11"/>
  <c r="V2201" i="11"/>
  <c r="V2200" i="11"/>
  <c r="V2199" i="11"/>
  <c r="V2198" i="11"/>
  <c r="V2197" i="11"/>
  <c r="V2196" i="11"/>
  <c r="V2195" i="11"/>
  <c r="V2194" i="11"/>
  <c r="V2193" i="11"/>
  <c r="V2192" i="11"/>
  <c r="V2191" i="11"/>
  <c r="V2190" i="11"/>
  <c r="V2189" i="11"/>
  <c r="V2188" i="11"/>
  <c r="V2187" i="11"/>
  <c r="V2186" i="11"/>
  <c r="V2185" i="11"/>
  <c r="V2184" i="11"/>
  <c r="V2183" i="11"/>
  <c r="V2182" i="11"/>
  <c r="V2181" i="11"/>
  <c r="V2180" i="11"/>
  <c r="V2179" i="11"/>
  <c r="V2178" i="11"/>
  <c r="V2177" i="11"/>
  <c r="V2176" i="11"/>
  <c r="V2175" i="11"/>
  <c r="V2174" i="11"/>
  <c r="V2173" i="11"/>
  <c r="V2172" i="11"/>
  <c r="V2171" i="11"/>
  <c r="V2170" i="11"/>
  <c r="V2169" i="11"/>
  <c r="V2168" i="11"/>
  <c r="V2167" i="11"/>
  <c r="V2166" i="11"/>
  <c r="V2165" i="11"/>
  <c r="V2164" i="11"/>
  <c r="V2163" i="11"/>
  <c r="V2162" i="11"/>
  <c r="V2161" i="11"/>
  <c r="V2160" i="11"/>
  <c r="V2159" i="11"/>
  <c r="V2158" i="11"/>
  <c r="V2157" i="11"/>
  <c r="V2156" i="11"/>
  <c r="V2155" i="11"/>
  <c r="V2154" i="11"/>
  <c r="V2153" i="11"/>
  <c r="V2152" i="11"/>
  <c r="V2151" i="11"/>
  <c r="V2150" i="11"/>
  <c r="V2149" i="11"/>
  <c r="V2148" i="11"/>
  <c r="V2147" i="11"/>
  <c r="V2146" i="11"/>
  <c r="V2145" i="11"/>
  <c r="V2144" i="11"/>
  <c r="V2143" i="11"/>
  <c r="V2142" i="11"/>
  <c r="V2141" i="11"/>
  <c r="V2140" i="11"/>
  <c r="V2139" i="11"/>
  <c r="V2138" i="11"/>
  <c r="V2137" i="11"/>
  <c r="V2136" i="11"/>
  <c r="V2135" i="11"/>
  <c r="V2134" i="11"/>
  <c r="V2133" i="11"/>
  <c r="V2132" i="11"/>
  <c r="V2131" i="11"/>
  <c r="V2130" i="11"/>
  <c r="V2129" i="11"/>
  <c r="V2128" i="11"/>
  <c r="V2127" i="11"/>
  <c r="V2126" i="11"/>
  <c r="V2125" i="11"/>
  <c r="V2124" i="11"/>
  <c r="V2123" i="11"/>
  <c r="V2122" i="11"/>
  <c r="V2121" i="11"/>
  <c r="V2120" i="11"/>
  <c r="V2119" i="11"/>
  <c r="V2118" i="11"/>
  <c r="V2117" i="11"/>
  <c r="V2116" i="11"/>
  <c r="V2115" i="11"/>
  <c r="V2114" i="11"/>
  <c r="V2113" i="11"/>
  <c r="V2112" i="11"/>
  <c r="V2111" i="11"/>
  <c r="V2110" i="11"/>
  <c r="V2109" i="11"/>
  <c r="V2108" i="11"/>
  <c r="V2107" i="11"/>
  <c r="V2106" i="11"/>
  <c r="V2105" i="11"/>
  <c r="V2104" i="11"/>
  <c r="V2103" i="11"/>
  <c r="V2102" i="11"/>
  <c r="V2101" i="11"/>
  <c r="V2100" i="11"/>
  <c r="V2099" i="11"/>
  <c r="V2098" i="11"/>
  <c r="V2097" i="11"/>
  <c r="V2096" i="11"/>
  <c r="V2095" i="11"/>
  <c r="V2094" i="11"/>
  <c r="V2093" i="11"/>
  <c r="V2092" i="11"/>
  <c r="V2091" i="11"/>
  <c r="V2090" i="11"/>
  <c r="V2089" i="11"/>
  <c r="V2088" i="11"/>
  <c r="V2087" i="11"/>
  <c r="V2086" i="11"/>
  <c r="V2085" i="11"/>
  <c r="V2084" i="11"/>
  <c r="V2083" i="11"/>
  <c r="V2082" i="11"/>
  <c r="V2081" i="11"/>
  <c r="V2080" i="11"/>
  <c r="V2079" i="11"/>
  <c r="V2078" i="11"/>
  <c r="V2077" i="11"/>
  <c r="V2076" i="11"/>
  <c r="V2075" i="11"/>
  <c r="V2074" i="11"/>
  <c r="V2073" i="11"/>
  <c r="V2072" i="11"/>
  <c r="V2071" i="11"/>
  <c r="V2070" i="11"/>
  <c r="V2069" i="11"/>
  <c r="V2068" i="11"/>
  <c r="V2067" i="11"/>
  <c r="V2066" i="11"/>
  <c r="V2065" i="11"/>
  <c r="V2064" i="11"/>
  <c r="V2063" i="11"/>
  <c r="V2062" i="11"/>
  <c r="V2061" i="11"/>
  <c r="V2060" i="11"/>
  <c r="V2059" i="11"/>
  <c r="V2058" i="11"/>
  <c r="V2057" i="11"/>
  <c r="V2056" i="11"/>
  <c r="V2055" i="11"/>
  <c r="V2054" i="11"/>
  <c r="V2053" i="11"/>
  <c r="V2052" i="11"/>
  <c r="V2051" i="11"/>
  <c r="V2050" i="11"/>
  <c r="V2049" i="11"/>
  <c r="V2048" i="11"/>
  <c r="V2047" i="11"/>
  <c r="V2046" i="11"/>
  <c r="V2045" i="11"/>
  <c r="V2044" i="11"/>
  <c r="V2043" i="11"/>
  <c r="V2042" i="11"/>
  <c r="V2041" i="11"/>
  <c r="V2040" i="11"/>
  <c r="V2039" i="11"/>
  <c r="V2038" i="11"/>
  <c r="V2037" i="11"/>
  <c r="V2036" i="11"/>
  <c r="V2035" i="11"/>
  <c r="V2034" i="11"/>
  <c r="V2033" i="11"/>
  <c r="V2032" i="11"/>
  <c r="V2031" i="11"/>
  <c r="V2030" i="11"/>
  <c r="V2029" i="11"/>
  <c r="V2028" i="11"/>
  <c r="V2027" i="11"/>
  <c r="V2026" i="11"/>
  <c r="V2025" i="11"/>
  <c r="V2024" i="11"/>
  <c r="V2023" i="11"/>
  <c r="V2022" i="11"/>
  <c r="V2021" i="11"/>
  <c r="V2020" i="11"/>
  <c r="V2019" i="11"/>
  <c r="V2018" i="11"/>
  <c r="V2017" i="11"/>
  <c r="V2016" i="11"/>
  <c r="V2015" i="11"/>
  <c r="V2014" i="11"/>
  <c r="V2013" i="11"/>
  <c r="V2012" i="11"/>
  <c r="V2011" i="11"/>
  <c r="V2010" i="11"/>
  <c r="V2009" i="11"/>
  <c r="V2008" i="11"/>
  <c r="V2007" i="11"/>
  <c r="V2006" i="11"/>
  <c r="V2005" i="11"/>
  <c r="V2004" i="11"/>
  <c r="V2003" i="11"/>
  <c r="V2002" i="11"/>
  <c r="V2001" i="11"/>
  <c r="V2000" i="11"/>
  <c r="V1999" i="11"/>
  <c r="V1998" i="11"/>
  <c r="V1997" i="11"/>
  <c r="V1996" i="11"/>
  <c r="V1995" i="11"/>
  <c r="V1994" i="11"/>
  <c r="V1993" i="11"/>
  <c r="V1992" i="11"/>
  <c r="V1991" i="11"/>
  <c r="V1990" i="11"/>
  <c r="V1989" i="11"/>
  <c r="V1988" i="11"/>
  <c r="V1987" i="11"/>
  <c r="V1986" i="11"/>
  <c r="V1985" i="11"/>
  <c r="V1984" i="11"/>
  <c r="V1983" i="11"/>
  <c r="V1982" i="11"/>
  <c r="V1981" i="11"/>
  <c r="V1980" i="11"/>
  <c r="V1979" i="11"/>
  <c r="V1978" i="11"/>
  <c r="V1977" i="11"/>
  <c r="V1976" i="11"/>
  <c r="V1975" i="11"/>
  <c r="V1974" i="11"/>
  <c r="V1973" i="11"/>
  <c r="V1972" i="11"/>
  <c r="V1971" i="11"/>
  <c r="V1970" i="11"/>
  <c r="V1969" i="11"/>
  <c r="V1968" i="11"/>
  <c r="V1967" i="11"/>
  <c r="V1966" i="11"/>
  <c r="V1965" i="11"/>
  <c r="V1964" i="11"/>
  <c r="V1963" i="11"/>
  <c r="V1962" i="11"/>
  <c r="V1961" i="11"/>
  <c r="V1960" i="11"/>
  <c r="V1959" i="11"/>
  <c r="V1958" i="11"/>
  <c r="V1957" i="11"/>
  <c r="V1956" i="11"/>
  <c r="V1955" i="11"/>
  <c r="V1954" i="11"/>
  <c r="V1953" i="11"/>
  <c r="V1952" i="11"/>
  <c r="V1951" i="11"/>
  <c r="V1950" i="11"/>
  <c r="V1949" i="11"/>
  <c r="V1948" i="11"/>
  <c r="V1947" i="11"/>
  <c r="V1946" i="11"/>
  <c r="V1945" i="11"/>
  <c r="V1944" i="11"/>
  <c r="V1943" i="11"/>
  <c r="V1942" i="11"/>
  <c r="V1941" i="11"/>
  <c r="V1940" i="11"/>
  <c r="V1939" i="11"/>
  <c r="V1938" i="11"/>
  <c r="V1937" i="11"/>
  <c r="V1936" i="11"/>
  <c r="V1935" i="11"/>
  <c r="V1934" i="11"/>
  <c r="V1933" i="11"/>
  <c r="V1932" i="11"/>
  <c r="V1931" i="11"/>
  <c r="V1930" i="11"/>
  <c r="V1929" i="11"/>
  <c r="V1928" i="11"/>
  <c r="V1927" i="11"/>
  <c r="V1926" i="11"/>
  <c r="V1925" i="11"/>
  <c r="V1924" i="11"/>
  <c r="V1923" i="11"/>
  <c r="V1922" i="11"/>
  <c r="V1921" i="11"/>
  <c r="V1920" i="11"/>
  <c r="V1919" i="11"/>
  <c r="V1918" i="11"/>
  <c r="V1917" i="11"/>
  <c r="V1916" i="11"/>
  <c r="V1915" i="11"/>
  <c r="V1914" i="11"/>
  <c r="V1913" i="11"/>
  <c r="V1912" i="11"/>
  <c r="V1911" i="11"/>
  <c r="V1910" i="11"/>
  <c r="V1909" i="11"/>
  <c r="V1908" i="11"/>
  <c r="V1907" i="11"/>
  <c r="V1906" i="11"/>
  <c r="V1905" i="11"/>
  <c r="V1904" i="11"/>
  <c r="V1903" i="11"/>
  <c r="V1902" i="11"/>
  <c r="V1901" i="11"/>
  <c r="V1900" i="11"/>
  <c r="V1899" i="11"/>
  <c r="V1898" i="11"/>
  <c r="V1897" i="11"/>
  <c r="V1896" i="11"/>
  <c r="V1895" i="11"/>
  <c r="V1894" i="11"/>
  <c r="V1893" i="11"/>
  <c r="V1892" i="11"/>
  <c r="V1891" i="11"/>
  <c r="V1890" i="11"/>
  <c r="V1889" i="11"/>
  <c r="V1888" i="11"/>
  <c r="V1887" i="11"/>
  <c r="V1886" i="11"/>
  <c r="V1885" i="11"/>
  <c r="V1884" i="11"/>
  <c r="V1883" i="11"/>
  <c r="V1882" i="11"/>
  <c r="V1881" i="11"/>
  <c r="V1880" i="11"/>
  <c r="V1879" i="11"/>
  <c r="V1878" i="11"/>
  <c r="V1877" i="11"/>
  <c r="V1876" i="11"/>
  <c r="V1875" i="11"/>
  <c r="V1874" i="11"/>
  <c r="V1873" i="11"/>
  <c r="V1872" i="11"/>
  <c r="V1871" i="11"/>
  <c r="V1870" i="11"/>
  <c r="V1869" i="11"/>
  <c r="V1868" i="11"/>
  <c r="V1867" i="11"/>
  <c r="V1866" i="11"/>
  <c r="V1865" i="11"/>
  <c r="V1864" i="11"/>
  <c r="V1863" i="11"/>
  <c r="V1862" i="11"/>
  <c r="V1861" i="11"/>
  <c r="V1860" i="11"/>
  <c r="V1859" i="11"/>
  <c r="V1858" i="11"/>
  <c r="V1857" i="11"/>
  <c r="V1856" i="11"/>
  <c r="V1855" i="11"/>
  <c r="V1854" i="11"/>
  <c r="V1853" i="11"/>
  <c r="V1852" i="11"/>
  <c r="V1851" i="11"/>
  <c r="V1850" i="11"/>
  <c r="V1849" i="11"/>
  <c r="V1848" i="11"/>
  <c r="V1847" i="11"/>
  <c r="V1846" i="11"/>
  <c r="V1845" i="11"/>
  <c r="V1844" i="11"/>
  <c r="V1843" i="11"/>
  <c r="V1842" i="11"/>
  <c r="V1841" i="11"/>
  <c r="V1840" i="11"/>
  <c r="V1839" i="11"/>
  <c r="V1838" i="11"/>
  <c r="V1837" i="11"/>
  <c r="V1836" i="11"/>
  <c r="V1835" i="11"/>
  <c r="V1834" i="11"/>
  <c r="V1833" i="11"/>
  <c r="V1832" i="11"/>
  <c r="V1831" i="11"/>
  <c r="V1830" i="11"/>
  <c r="V1829" i="11"/>
  <c r="V1828" i="11"/>
  <c r="V1827" i="11"/>
  <c r="V1826" i="11"/>
  <c r="V1825" i="11"/>
  <c r="V1824" i="11"/>
  <c r="V1823" i="11"/>
  <c r="V1822" i="11"/>
  <c r="V1821" i="11"/>
  <c r="V1820" i="11"/>
  <c r="V1819" i="11"/>
  <c r="V1818" i="11"/>
  <c r="V1817" i="11"/>
  <c r="V1816" i="11"/>
  <c r="V1815" i="11"/>
  <c r="V1814" i="11"/>
  <c r="V1813" i="11"/>
  <c r="V1812" i="11"/>
  <c r="V1811" i="11"/>
  <c r="V1810" i="11"/>
  <c r="V1809" i="11"/>
  <c r="V1808" i="11"/>
  <c r="V1807" i="11"/>
  <c r="V1806" i="11"/>
  <c r="V1805" i="11"/>
  <c r="V1804" i="11"/>
  <c r="V1803" i="11"/>
  <c r="V1802" i="11"/>
  <c r="V1801" i="11"/>
  <c r="V1800" i="11"/>
  <c r="V1799" i="11"/>
  <c r="V1798" i="11"/>
  <c r="V1797" i="11"/>
  <c r="V1796" i="11"/>
  <c r="V1795" i="11"/>
  <c r="V1794" i="11"/>
  <c r="V1793" i="11"/>
  <c r="V1792" i="11"/>
  <c r="V1791" i="11"/>
  <c r="V1790" i="11"/>
  <c r="V1789" i="11"/>
  <c r="V1788" i="11"/>
  <c r="V1787" i="11"/>
  <c r="V1786" i="11"/>
  <c r="V1785" i="11"/>
  <c r="V1784" i="11"/>
  <c r="V1783" i="11"/>
  <c r="V1782" i="11"/>
  <c r="V1781" i="11"/>
  <c r="V1780" i="11"/>
  <c r="V1779" i="11"/>
  <c r="V1778" i="11"/>
  <c r="V1777" i="11"/>
  <c r="V1776" i="11"/>
  <c r="V1775" i="11"/>
  <c r="V1774" i="11"/>
  <c r="V1773" i="11"/>
  <c r="V1772" i="11"/>
  <c r="V1771" i="11"/>
  <c r="V1770" i="11"/>
  <c r="V1769" i="11"/>
  <c r="V1768" i="11"/>
  <c r="V1767" i="11"/>
  <c r="V1766" i="11"/>
  <c r="V1765" i="11"/>
  <c r="V1764" i="11"/>
  <c r="V1763" i="11"/>
  <c r="V1762" i="11"/>
  <c r="V1761" i="11"/>
  <c r="V1760" i="11"/>
  <c r="V1759" i="11"/>
  <c r="V1758" i="11"/>
  <c r="V1757" i="11"/>
  <c r="V1756" i="11"/>
  <c r="V1755" i="11"/>
  <c r="V1754" i="11"/>
  <c r="V1753" i="11"/>
  <c r="V1752" i="11"/>
  <c r="V1751" i="11"/>
  <c r="V1750" i="11"/>
  <c r="V1749" i="11"/>
  <c r="V1748" i="11"/>
  <c r="V1747" i="11"/>
  <c r="V1746" i="11"/>
  <c r="V1745" i="11"/>
  <c r="V1744" i="11"/>
  <c r="V1743" i="11"/>
  <c r="V1742" i="11"/>
  <c r="V1741" i="11"/>
  <c r="V1740" i="11"/>
  <c r="V1739" i="11"/>
  <c r="V1738" i="11"/>
  <c r="V1737" i="11"/>
  <c r="V1736" i="11"/>
  <c r="V1735" i="11"/>
  <c r="V1734" i="11"/>
  <c r="V1733" i="11"/>
  <c r="V1732" i="11"/>
  <c r="V1731" i="11"/>
  <c r="V1730" i="11"/>
  <c r="V1729" i="11"/>
  <c r="V1728" i="11"/>
  <c r="V1727" i="11"/>
  <c r="V1726" i="11"/>
  <c r="V1725" i="11"/>
  <c r="V1724" i="11"/>
  <c r="V1723" i="11"/>
  <c r="V1722" i="11"/>
  <c r="V1721" i="11"/>
  <c r="V1720" i="11"/>
  <c r="V1719" i="11"/>
  <c r="V1718" i="11"/>
  <c r="V1717" i="11"/>
  <c r="V1716" i="11"/>
  <c r="V1715" i="11"/>
  <c r="V1714" i="11"/>
  <c r="V1713" i="11"/>
  <c r="V1712" i="11"/>
  <c r="V1711" i="11"/>
  <c r="V1710" i="11"/>
  <c r="V1709" i="11"/>
  <c r="V1708" i="11"/>
  <c r="V1707" i="11"/>
  <c r="V1706" i="11"/>
  <c r="V1705" i="11"/>
  <c r="V1704" i="11"/>
  <c r="V1703" i="11"/>
  <c r="V1702" i="11"/>
  <c r="V1701" i="11"/>
  <c r="V1700" i="11"/>
  <c r="V1699" i="11"/>
  <c r="V1698" i="11"/>
  <c r="V1697" i="11"/>
  <c r="V1696" i="11"/>
  <c r="V1695" i="11"/>
  <c r="V1694" i="11"/>
  <c r="V1693" i="11"/>
  <c r="V1692" i="11"/>
  <c r="V1691" i="11"/>
  <c r="V1690" i="11"/>
  <c r="V1689" i="11"/>
  <c r="V1688" i="11"/>
  <c r="V1687" i="11"/>
  <c r="V1686" i="11"/>
  <c r="V1685" i="11"/>
  <c r="V1684" i="11"/>
  <c r="V1683" i="11"/>
  <c r="V1682" i="11"/>
  <c r="V1681" i="11"/>
  <c r="V1680" i="11"/>
  <c r="V1679" i="11"/>
  <c r="V1678" i="11"/>
  <c r="V1677" i="11"/>
  <c r="V1676" i="11"/>
  <c r="V1675" i="11"/>
  <c r="V1674" i="11"/>
  <c r="V1673" i="11"/>
  <c r="V1672" i="11"/>
  <c r="V1671" i="11"/>
  <c r="V1670" i="11"/>
  <c r="V1669" i="11"/>
  <c r="V1668" i="11"/>
  <c r="V1667" i="11"/>
  <c r="V1666" i="11"/>
  <c r="V1665" i="11"/>
  <c r="V1664" i="11"/>
  <c r="V1663" i="11"/>
  <c r="V1662" i="11"/>
  <c r="V1661" i="11"/>
  <c r="V1660" i="11"/>
  <c r="V1659" i="11"/>
  <c r="V1658" i="11"/>
  <c r="V1657" i="11"/>
  <c r="V1656" i="11"/>
  <c r="V1655" i="11"/>
  <c r="V1654" i="11"/>
  <c r="V1653" i="11"/>
  <c r="V1652" i="11"/>
  <c r="V1651" i="11"/>
  <c r="V1650" i="11"/>
  <c r="V1649" i="11"/>
  <c r="V1648" i="11"/>
  <c r="V1647" i="11"/>
  <c r="V1646" i="11"/>
  <c r="V1645" i="11"/>
  <c r="V1644" i="11"/>
  <c r="V1643" i="11"/>
  <c r="V1642" i="11"/>
  <c r="V1641" i="11"/>
  <c r="V1640" i="11"/>
  <c r="V1639" i="11"/>
  <c r="V1638" i="11"/>
  <c r="V1637" i="11"/>
  <c r="V1636" i="11"/>
  <c r="V1635" i="11"/>
  <c r="V1634" i="11"/>
  <c r="V1633" i="11"/>
  <c r="V1632" i="11"/>
  <c r="V1631" i="11"/>
  <c r="V1630" i="11"/>
  <c r="V1629" i="11"/>
  <c r="V1628" i="11"/>
  <c r="V1627" i="11"/>
  <c r="V1626" i="11"/>
  <c r="V1625" i="11"/>
  <c r="V1624" i="11"/>
  <c r="V1623" i="11"/>
  <c r="V1622" i="11"/>
  <c r="V1621" i="11"/>
  <c r="V1620" i="11"/>
  <c r="V1619" i="11"/>
  <c r="V1618" i="11"/>
  <c r="V1617" i="11"/>
  <c r="V1616" i="11"/>
  <c r="V1615" i="11"/>
  <c r="V1614" i="11"/>
  <c r="V1613" i="11"/>
  <c r="V1612" i="11"/>
  <c r="V1611" i="11"/>
  <c r="V1610" i="11"/>
  <c r="V1609" i="11"/>
  <c r="V1608" i="11"/>
  <c r="V1607" i="11"/>
  <c r="V1606" i="11"/>
  <c r="V1605" i="11"/>
  <c r="V1604" i="11"/>
  <c r="V1603" i="11"/>
  <c r="V1602" i="11"/>
  <c r="V1601" i="11"/>
  <c r="V1600" i="11"/>
  <c r="V1599" i="11"/>
  <c r="V1598" i="11"/>
  <c r="V1597" i="11"/>
  <c r="V1596" i="11"/>
  <c r="V1595" i="11"/>
  <c r="V1594" i="11"/>
  <c r="V1593" i="11"/>
  <c r="V1592" i="11"/>
  <c r="V1591" i="11"/>
  <c r="V1590" i="11"/>
  <c r="V1589" i="11"/>
  <c r="V1588" i="11"/>
  <c r="V1587" i="11"/>
  <c r="V1586" i="11"/>
  <c r="V1585" i="11"/>
  <c r="V1584" i="11"/>
  <c r="V1583" i="11"/>
  <c r="V1582" i="11"/>
  <c r="V1581" i="11"/>
  <c r="V1580" i="11"/>
  <c r="V1579" i="11"/>
  <c r="V1578" i="11"/>
  <c r="V1577" i="11"/>
  <c r="V1576" i="11"/>
  <c r="V1575" i="11"/>
  <c r="V1574" i="11"/>
  <c r="V1573" i="11"/>
  <c r="V1572" i="11"/>
  <c r="V1571" i="11"/>
  <c r="V1570" i="11"/>
  <c r="V1569" i="11"/>
  <c r="V1568" i="11"/>
  <c r="V1567" i="11"/>
  <c r="V1566" i="11"/>
  <c r="V1565" i="11"/>
  <c r="V1564" i="11"/>
  <c r="V1563" i="11"/>
  <c r="V1562" i="11"/>
  <c r="V1561" i="11"/>
  <c r="V1560" i="11"/>
  <c r="V1559" i="11"/>
  <c r="V1558" i="11"/>
  <c r="V1557" i="11"/>
  <c r="V1556" i="11"/>
  <c r="V1555" i="11"/>
  <c r="V1554" i="11"/>
  <c r="V1553" i="11"/>
  <c r="V1552" i="11"/>
  <c r="V1551" i="11"/>
  <c r="V1550" i="11"/>
  <c r="V1549" i="11"/>
  <c r="V1548" i="11"/>
  <c r="V1547" i="11"/>
  <c r="V1546" i="11"/>
  <c r="V1545" i="11"/>
  <c r="V1544" i="11"/>
  <c r="V1543" i="11"/>
  <c r="V1542" i="11"/>
  <c r="V1541" i="11"/>
  <c r="V1540" i="11"/>
  <c r="V1539" i="11"/>
  <c r="V1538" i="11"/>
  <c r="V1537" i="11"/>
  <c r="V1536" i="11"/>
  <c r="V1535" i="11"/>
  <c r="V1534" i="11"/>
  <c r="V1533" i="11"/>
  <c r="V1532" i="11"/>
  <c r="V1531" i="11"/>
  <c r="V1530" i="11"/>
  <c r="V1529" i="11"/>
  <c r="V1528" i="11"/>
  <c r="V1527" i="11"/>
  <c r="V1526" i="11"/>
  <c r="V1525" i="11"/>
  <c r="V1524" i="11"/>
  <c r="V1523" i="11"/>
  <c r="V1522" i="11"/>
  <c r="V1521" i="11"/>
  <c r="V1520" i="11"/>
  <c r="V1519" i="11"/>
  <c r="V1518" i="11"/>
  <c r="V1517" i="11"/>
  <c r="V1516" i="11"/>
  <c r="V1515" i="11"/>
  <c r="V1514" i="11"/>
  <c r="V1513" i="11"/>
  <c r="V1512" i="11"/>
  <c r="V1511" i="11"/>
  <c r="V1510" i="11"/>
  <c r="V1509" i="11"/>
  <c r="V1508" i="11"/>
  <c r="V1507" i="11"/>
  <c r="V1506" i="11"/>
  <c r="V1505" i="11"/>
  <c r="V1504" i="11"/>
  <c r="V1503" i="11"/>
  <c r="V1502" i="11"/>
  <c r="V1501" i="11"/>
  <c r="V1500" i="11"/>
  <c r="V1499" i="11"/>
  <c r="V1498" i="11"/>
  <c r="V1497" i="11"/>
  <c r="V1496" i="11"/>
  <c r="V1495" i="11"/>
  <c r="V1494" i="11"/>
  <c r="V1493" i="11"/>
  <c r="V1492" i="11"/>
  <c r="V1491" i="11"/>
  <c r="V1490" i="11"/>
  <c r="V1489" i="11"/>
  <c r="V1488" i="11"/>
  <c r="V1487" i="11"/>
  <c r="V1486" i="11"/>
  <c r="V1485" i="11"/>
  <c r="V1484" i="11"/>
  <c r="V1483" i="11"/>
  <c r="V1482" i="11"/>
  <c r="V1481" i="11"/>
  <c r="V1480" i="11"/>
  <c r="V1479" i="11"/>
  <c r="V1478" i="11"/>
  <c r="V1477" i="11"/>
  <c r="V1476" i="11"/>
  <c r="V1475" i="11"/>
  <c r="V1474" i="11"/>
  <c r="V1473" i="11"/>
  <c r="V1472" i="11"/>
  <c r="V1471" i="11"/>
  <c r="V1470" i="11"/>
  <c r="V1469" i="11"/>
  <c r="V1468" i="11"/>
  <c r="V1467" i="11"/>
  <c r="V1466" i="11"/>
  <c r="V1465" i="11"/>
  <c r="V1464" i="11"/>
  <c r="V1463" i="11"/>
  <c r="V1462" i="11"/>
  <c r="V1461" i="11"/>
  <c r="V1460" i="11"/>
  <c r="V1459" i="11"/>
  <c r="V1458" i="11"/>
  <c r="V1457" i="11"/>
  <c r="V1456" i="11"/>
  <c r="V1455" i="11"/>
  <c r="V1454" i="11"/>
  <c r="V1453" i="11"/>
  <c r="V1452" i="11"/>
  <c r="V1451" i="11"/>
  <c r="V1450" i="11"/>
  <c r="V1449" i="11"/>
  <c r="V1448" i="11"/>
  <c r="V1447" i="11"/>
  <c r="V1446" i="11"/>
  <c r="V1445" i="11"/>
  <c r="V1444" i="11"/>
  <c r="V1443" i="11"/>
  <c r="V1442" i="11"/>
  <c r="V1441" i="11"/>
  <c r="V1440" i="11"/>
  <c r="V1439" i="11"/>
  <c r="V1438" i="11"/>
  <c r="V1437" i="11"/>
  <c r="V1436" i="11"/>
  <c r="V1435" i="11"/>
  <c r="V1434" i="11"/>
  <c r="V1433" i="11"/>
  <c r="V1432" i="11"/>
  <c r="V1431" i="11"/>
  <c r="V1430" i="11"/>
  <c r="V1429" i="11"/>
  <c r="V1428" i="11"/>
  <c r="V1427" i="11"/>
  <c r="V1426" i="11"/>
  <c r="V1425" i="11"/>
  <c r="V1424" i="11"/>
  <c r="V1423" i="11"/>
  <c r="V1422" i="11"/>
  <c r="V1421" i="11"/>
  <c r="V1420" i="11"/>
  <c r="V1419" i="11"/>
  <c r="V1418" i="11"/>
  <c r="V1417" i="11"/>
  <c r="V1416" i="11"/>
  <c r="V1415" i="11"/>
  <c r="V1414" i="11"/>
  <c r="V1413" i="11"/>
  <c r="V1412" i="11"/>
  <c r="V1411" i="11"/>
  <c r="V1410" i="11"/>
  <c r="V1409" i="11"/>
  <c r="V1408" i="11"/>
  <c r="V1407" i="11"/>
  <c r="V1406" i="11"/>
  <c r="V1405" i="11"/>
  <c r="V1404" i="11"/>
  <c r="V1403" i="11"/>
  <c r="V1402" i="11"/>
  <c r="V1401" i="11"/>
  <c r="V1400" i="11"/>
  <c r="V1399" i="11"/>
  <c r="V1398" i="11"/>
  <c r="V1397" i="11"/>
  <c r="V1396" i="11"/>
  <c r="V1395" i="11"/>
  <c r="V1394" i="11"/>
  <c r="V1393" i="11"/>
  <c r="V1392" i="11"/>
  <c r="V1391" i="11"/>
  <c r="V1390" i="11"/>
  <c r="V1389" i="11"/>
  <c r="V1388" i="11"/>
  <c r="V1387" i="11"/>
  <c r="V1386" i="11"/>
  <c r="V1385" i="11"/>
  <c r="V1384" i="11"/>
  <c r="V1383" i="11"/>
  <c r="V1382" i="11"/>
  <c r="V1381" i="11"/>
  <c r="V1380" i="11"/>
  <c r="V1379" i="11"/>
  <c r="V1378" i="11"/>
  <c r="V1377" i="11"/>
  <c r="V1376" i="11"/>
  <c r="V1375" i="11"/>
  <c r="V1374" i="11"/>
  <c r="V1373" i="11"/>
  <c r="V1372" i="11"/>
  <c r="V1371" i="11"/>
  <c r="V1370" i="11"/>
  <c r="V1369" i="11"/>
  <c r="V1368" i="11"/>
  <c r="V1367" i="11"/>
  <c r="V1366" i="11"/>
  <c r="V1365" i="11"/>
  <c r="V1364" i="11"/>
  <c r="V1363" i="11"/>
  <c r="V1362" i="11"/>
  <c r="V1361" i="11"/>
  <c r="V1360" i="11"/>
  <c r="V1359" i="11"/>
  <c r="V1358" i="11"/>
  <c r="V1357" i="11"/>
  <c r="V1356" i="11"/>
  <c r="V1355" i="11"/>
  <c r="V1354" i="11"/>
  <c r="V1353" i="11"/>
  <c r="V1352" i="11"/>
  <c r="V1351" i="11"/>
  <c r="V1350" i="11"/>
  <c r="V1349" i="11"/>
  <c r="V1348" i="11"/>
  <c r="V1347" i="11"/>
  <c r="V1346" i="11"/>
  <c r="V1345" i="11"/>
  <c r="V1344" i="11"/>
  <c r="V1343" i="11"/>
  <c r="V1342" i="11"/>
  <c r="V1341" i="11"/>
  <c r="V1340" i="11"/>
  <c r="V1339" i="11"/>
  <c r="V1338" i="11"/>
  <c r="V1337" i="11"/>
  <c r="V1336" i="11"/>
  <c r="V1335" i="11"/>
  <c r="V1334" i="11"/>
  <c r="V1333" i="11"/>
  <c r="V1332" i="11"/>
  <c r="V1331" i="11"/>
  <c r="V1330" i="11"/>
  <c r="V1329" i="11"/>
  <c r="V1328" i="11"/>
  <c r="V1327" i="11"/>
  <c r="V1326" i="11"/>
  <c r="V1325" i="11"/>
  <c r="V1324" i="11"/>
  <c r="V1323" i="11"/>
  <c r="V1322" i="11"/>
  <c r="V1321" i="11"/>
  <c r="V1320" i="11"/>
  <c r="V1319" i="11"/>
  <c r="V1318" i="11"/>
  <c r="V1317" i="11"/>
  <c r="V1316" i="11"/>
  <c r="V1315" i="11"/>
  <c r="V1314" i="11"/>
  <c r="V1313" i="11"/>
  <c r="V1312" i="11"/>
  <c r="V1311" i="11"/>
  <c r="V1310" i="11"/>
  <c r="V1309" i="11"/>
  <c r="V1308" i="11"/>
  <c r="V1307" i="11"/>
  <c r="V1306" i="11"/>
  <c r="V1305" i="11"/>
  <c r="V1304" i="11"/>
  <c r="V1303" i="11"/>
  <c r="V1302" i="11"/>
  <c r="V1301" i="11"/>
  <c r="V1300" i="11"/>
  <c r="V1299" i="11"/>
  <c r="V1298" i="11"/>
  <c r="V1297" i="11"/>
  <c r="V1296" i="11"/>
  <c r="V1295" i="11"/>
  <c r="V1294" i="11"/>
  <c r="V1293" i="11"/>
  <c r="V1292" i="11"/>
  <c r="V1291" i="11"/>
  <c r="V1290" i="11"/>
  <c r="V1289" i="11"/>
  <c r="V1288" i="11"/>
  <c r="V1287" i="11"/>
  <c r="V1286" i="11"/>
  <c r="V1285" i="11"/>
  <c r="V1284" i="11"/>
  <c r="V1283" i="11"/>
  <c r="V1282" i="11"/>
  <c r="V1281" i="11"/>
  <c r="V1280" i="11"/>
  <c r="V1279" i="11"/>
  <c r="V1278" i="11"/>
  <c r="V1277" i="11"/>
  <c r="V1276" i="11"/>
  <c r="V1275" i="11"/>
  <c r="V1274" i="11"/>
  <c r="V1273" i="11"/>
  <c r="V1272" i="11"/>
  <c r="V1271" i="11"/>
  <c r="V1270" i="11"/>
  <c r="V1269" i="11"/>
  <c r="V1268" i="11"/>
  <c r="V1267" i="11"/>
  <c r="V1266" i="11"/>
  <c r="V1265" i="11"/>
  <c r="V1264" i="11"/>
  <c r="V1263" i="11"/>
  <c r="V1262" i="11"/>
  <c r="V1261" i="11"/>
  <c r="V1260" i="11"/>
  <c r="V1259" i="11"/>
  <c r="V1258" i="11"/>
  <c r="V1257" i="11"/>
  <c r="V1256" i="11"/>
  <c r="V1255" i="11"/>
  <c r="V1254" i="11"/>
  <c r="V1253" i="11"/>
  <c r="V1252" i="11"/>
  <c r="V1251" i="11"/>
  <c r="V1250" i="11"/>
  <c r="V1249" i="11"/>
  <c r="V1248" i="11"/>
  <c r="V1247" i="11"/>
  <c r="V1246" i="11"/>
  <c r="V1245" i="11"/>
  <c r="V1244" i="11"/>
  <c r="V1243" i="11"/>
  <c r="V1242" i="11"/>
  <c r="V1241" i="11"/>
  <c r="V1240" i="11"/>
  <c r="V1239" i="11"/>
  <c r="V1238" i="11"/>
  <c r="V1237" i="11"/>
  <c r="V1236" i="11"/>
  <c r="V1235" i="11"/>
  <c r="V1234" i="11"/>
  <c r="V1233" i="11"/>
  <c r="V1232" i="11"/>
  <c r="V1231" i="11"/>
  <c r="V1230" i="11"/>
  <c r="V1229" i="11"/>
  <c r="V1228" i="11"/>
  <c r="V1227" i="11"/>
  <c r="V1226" i="11"/>
  <c r="V1225" i="11"/>
  <c r="V1224" i="11"/>
  <c r="V1223" i="11"/>
  <c r="V1222" i="11"/>
  <c r="V1221" i="11"/>
  <c r="V1220" i="11"/>
  <c r="V1219" i="11"/>
  <c r="V1218" i="11"/>
  <c r="V1217" i="11"/>
  <c r="V1216" i="11"/>
  <c r="V1215" i="11"/>
  <c r="V1214" i="11"/>
  <c r="V1213" i="11"/>
  <c r="V1212" i="11"/>
  <c r="V1211" i="11"/>
  <c r="V1210" i="11"/>
  <c r="V1209" i="11"/>
  <c r="V1208" i="11"/>
  <c r="V1207" i="11"/>
  <c r="V1206" i="11"/>
  <c r="V1205" i="11"/>
  <c r="V1204" i="11"/>
  <c r="V1203" i="11"/>
  <c r="V1202" i="11"/>
  <c r="V1201" i="11"/>
  <c r="V1200" i="11"/>
  <c r="V1199" i="11"/>
  <c r="V1198" i="11"/>
  <c r="V1197" i="11"/>
  <c r="V1196" i="11"/>
  <c r="V1195" i="11"/>
  <c r="V1194" i="11"/>
  <c r="V1193" i="11"/>
  <c r="V1192" i="11"/>
  <c r="V1191" i="11"/>
  <c r="V1190" i="11"/>
  <c r="V1189" i="11"/>
  <c r="V1188" i="11"/>
  <c r="V1187" i="11"/>
  <c r="V1186" i="11"/>
  <c r="V1185" i="11"/>
  <c r="V1184" i="11"/>
  <c r="V1183" i="11"/>
  <c r="V1182" i="11"/>
  <c r="V1181" i="11"/>
  <c r="V1180" i="11"/>
  <c r="V1179" i="11"/>
  <c r="V1178" i="11"/>
  <c r="V1177" i="11"/>
  <c r="V1176" i="11"/>
  <c r="V1175" i="11"/>
  <c r="V1174" i="11"/>
  <c r="V1173" i="11"/>
  <c r="V1172" i="11"/>
  <c r="V1171" i="11"/>
  <c r="V1170" i="11"/>
  <c r="V1169" i="11"/>
  <c r="V1168" i="11"/>
  <c r="V1167" i="11"/>
  <c r="V1166" i="11"/>
  <c r="V1165" i="11"/>
  <c r="V1164" i="11"/>
  <c r="V1163" i="11"/>
  <c r="V1162" i="11"/>
  <c r="V1161" i="11"/>
  <c r="V1160" i="11"/>
  <c r="V1159" i="11"/>
  <c r="V1158" i="11"/>
  <c r="V1157" i="11"/>
  <c r="V1156" i="11"/>
  <c r="V1155" i="11"/>
  <c r="V1154" i="11"/>
  <c r="V1153" i="11"/>
  <c r="V1152" i="11"/>
  <c r="V1151" i="11"/>
  <c r="V1150" i="11"/>
  <c r="V1149" i="11"/>
  <c r="V1148" i="11"/>
  <c r="V1147" i="11"/>
  <c r="V1146" i="11"/>
  <c r="V1145" i="11"/>
  <c r="V1144" i="11"/>
  <c r="V1143" i="11"/>
  <c r="V1142" i="11"/>
  <c r="V1141" i="11"/>
  <c r="V1140" i="11"/>
  <c r="V1139" i="11"/>
  <c r="V1138" i="11"/>
  <c r="V1137" i="11"/>
  <c r="V1136" i="11"/>
  <c r="V1135" i="11"/>
  <c r="V1134" i="11"/>
  <c r="V1133" i="11"/>
  <c r="V1132" i="11"/>
  <c r="V1131" i="11"/>
  <c r="V1130" i="11"/>
  <c r="V1129" i="11"/>
  <c r="V1128" i="11"/>
  <c r="V1127" i="11"/>
  <c r="V1126" i="11"/>
  <c r="V1125" i="11"/>
  <c r="V1124" i="11"/>
  <c r="V1123" i="11"/>
  <c r="V1122" i="11"/>
  <c r="V1121" i="11"/>
  <c r="V1120" i="11"/>
  <c r="V1119" i="11"/>
  <c r="V1118" i="11"/>
  <c r="V1117" i="11"/>
  <c r="V1116" i="11"/>
  <c r="V1115" i="11"/>
  <c r="V1114" i="11"/>
  <c r="V1113" i="11"/>
  <c r="V1112" i="11"/>
  <c r="V1111" i="11"/>
  <c r="V1110" i="11"/>
  <c r="V1109" i="11"/>
  <c r="V1108" i="11"/>
  <c r="V1107" i="11"/>
  <c r="V1106" i="11"/>
  <c r="V1105" i="11"/>
  <c r="V1104" i="11"/>
  <c r="V1103" i="11"/>
  <c r="V1102" i="11"/>
  <c r="V1101" i="11"/>
  <c r="V1100" i="11"/>
  <c r="V1099" i="11"/>
  <c r="V1098" i="11"/>
  <c r="V1097" i="11"/>
  <c r="V1096" i="11"/>
  <c r="V1095" i="11"/>
  <c r="V1094" i="11"/>
  <c r="V1093" i="11"/>
  <c r="V1092" i="11"/>
  <c r="V1091" i="11"/>
  <c r="V1090" i="11"/>
  <c r="V1089" i="11"/>
  <c r="V1088" i="11"/>
  <c r="V1087" i="11"/>
  <c r="V1086" i="11"/>
  <c r="V1085" i="11"/>
  <c r="V1084" i="11"/>
  <c r="V1083" i="11"/>
  <c r="V1082" i="11"/>
  <c r="V1081" i="11"/>
  <c r="V1080" i="11"/>
  <c r="V1079" i="11"/>
  <c r="V1078" i="11"/>
  <c r="V1077" i="11"/>
  <c r="V1076" i="11"/>
  <c r="V1075" i="11"/>
  <c r="V1074" i="11"/>
  <c r="V1073" i="11"/>
  <c r="V1072" i="11"/>
  <c r="V1071" i="11"/>
  <c r="V1070" i="11"/>
  <c r="V1069" i="11"/>
  <c r="V1068" i="11"/>
  <c r="V1067" i="11"/>
  <c r="V1066" i="11"/>
  <c r="V1065" i="11"/>
  <c r="V1064" i="11"/>
  <c r="V1063" i="11"/>
  <c r="V1062" i="11"/>
  <c r="V1061" i="11"/>
  <c r="V1060" i="11"/>
  <c r="V1059" i="11"/>
  <c r="V1058" i="11"/>
  <c r="V1057" i="11"/>
  <c r="V1056" i="11"/>
  <c r="V1055" i="11"/>
  <c r="V1054" i="11"/>
  <c r="V1053" i="11"/>
  <c r="V1052" i="11"/>
  <c r="V1051" i="11"/>
  <c r="V1050" i="11"/>
  <c r="V1049" i="11"/>
  <c r="V1048" i="11"/>
  <c r="V1047" i="11"/>
  <c r="V1046" i="11"/>
  <c r="V1045" i="11"/>
  <c r="V1044" i="11"/>
  <c r="V1043" i="11"/>
  <c r="V1042" i="11"/>
  <c r="V1041" i="11"/>
  <c r="V1040" i="11"/>
  <c r="V1039" i="11"/>
  <c r="V1038" i="11"/>
  <c r="V1037" i="11"/>
  <c r="V1036" i="11"/>
  <c r="V1035" i="11"/>
  <c r="V1034" i="11"/>
  <c r="V1033" i="11"/>
  <c r="V1032" i="11"/>
  <c r="V1031" i="11"/>
  <c r="V1030" i="11"/>
  <c r="V1029" i="11"/>
  <c r="V1028" i="11"/>
  <c r="V1027" i="11"/>
  <c r="V1026" i="11"/>
  <c r="V1025" i="11"/>
  <c r="V1024" i="11"/>
  <c r="V1023" i="11"/>
  <c r="V1022" i="11"/>
  <c r="V1021" i="11"/>
  <c r="V1020" i="11"/>
  <c r="V1019" i="11"/>
  <c r="V1018" i="11"/>
  <c r="V1017" i="11"/>
  <c r="V1016" i="11"/>
  <c r="V1015" i="11"/>
  <c r="V1014" i="11"/>
  <c r="V1013" i="11"/>
  <c r="V1012" i="11"/>
  <c r="V1011" i="11"/>
  <c r="V1010" i="11"/>
  <c r="V1009" i="11"/>
  <c r="V1008" i="11"/>
  <c r="V1007" i="11"/>
  <c r="V1006" i="11"/>
  <c r="V1005" i="11"/>
  <c r="V1004" i="11"/>
  <c r="V1003" i="11"/>
  <c r="V1002" i="11"/>
  <c r="V1001" i="11"/>
  <c r="V1000" i="11"/>
  <c r="V999" i="11"/>
  <c r="V998" i="11"/>
  <c r="V997" i="11"/>
  <c r="V996" i="11"/>
  <c r="V995" i="11"/>
  <c r="V994" i="11"/>
  <c r="V993" i="11"/>
  <c r="V992" i="11"/>
  <c r="V991" i="11"/>
  <c r="V990" i="11"/>
  <c r="V989" i="11"/>
  <c r="V988" i="11"/>
  <c r="V987" i="11"/>
  <c r="V986" i="11"/>
  <c r="V985" i="11"/>
  <c r="V984" i="11"/>
  <c r="V983" i="11"/>
  <c r="V982" i="11"/>
  <c r="V981" i="11"/>
  <c r="V980" i="11"/>
  <c r="V979" i="11"/>
  <c r="V978" i="11"/>
  <c r="V977" i="11"/>
  <c r="V976" i="11"/>
  <c r="V975" i="11"/>
  <c r="V974" i="11"/>
  <c r="V973" i="11"/>
  <c r="V972" i="11"/>
  <c r="V971" i="11"/>
  <c r="V970" i="11"/>
  <c r="V969" i="11"/>
  <c r="V968" i="11"/>
  <c r="V967" i="11"/>
  <c r="V966" i="11"/>
  <c r="V965" i="11"/>
  <c r="V964" i="11"/>
  <c r="V963" i="11"/>
  <c r="V962" i="11"/>
  <c r="V961" i="11"/>
  <c r="V960" i="11"/>
  <c r="V959" i="11"/>
  <c r="V958" i="11"/>
  <c r="V957" i="11"/>
  <c r="V956" i="11"/>
  <c r="V955" i="11"/>
  <c r="V954" i="11"/>
  <c r="V953" i="11"/>
  <c r="V952" i="11"/>
  <c r="V951" i="11"/>
  <c r="V950" i="11"/>
  <c r="V949" i="11"/>
  <c r="V948" i="11"/>
  <c r="V947" i="11"/>
  <c r="V946" i="11"/>
  <c r="V945" i="11"/>
  <c r="V944" i="11"/>
  <c r="V943" i="11"/>
  <c r="V942" i="11"/>
  <c r="V941" i="11"/>
  <c r="V940" i="11"/>
  <c r="V939" i="11"/>
  <c r="V938" i="11"/>
  <c r="V937" i="11"/>
  <c r="V936" i="11"/>
  <c r="V935" i="11"/>
  <c r="V934" i="11"/>
  <c r="V933" i="11"/>
  <c r="V932" i="11"/>
  <c r="V931" i="11"/>
  <c r="V930" i="11"/>
  <c r="V929" i="11"/>
  <c r="V928" i="11"/>
  <c r="V927" i="11"/>
  <c r="V926" i="11"/>
  <c r="V925" i="11"/>
  <c r="V924" i="11"/>
  <c r="V923" i="11"/>
  <c r="V922" i="11"/>
  <c r="V921" i="11"/>
  <c r="V920" i="11"/>
  <c r="V919" i="11"/>
  <c r="V918" i="11"/>
  <c r="V917" i="11"/>
  <c r="V916" i="11"/>
  <c r="V915" i="11"/>
  <c r="V914" i="11"/>
  <c r="V913" i="11"/>
  <c r="V912" i="11"/>
  <c r="V911" i="11"/>
  <c r="V910" i="11"/>
  <c r="V909" i="11"/>
  <c r="V908" i="11"/>
  <c r="V907" i="11"/>
  <c r="V906" i="11"/>
  <c r="V905" i="11"/>
  <c r="V904" i="11"/>
  <c r="V903" i="11"/>
  <c r="V902" i="11"/>
  <c r="V901" i="11"/>
  <c r="V900" i="11"/>
  <c r="V899" i="11"/>
  <c r="V898" i="11"/>
  <c r="V897" i="11"/>
  <c r="V896" i="11"/>
  <c r="V895" i="11"/>
  <c r="V894" i="11"/>
  <c r="V893" i="11"/>
  <c r="V892" i="11"/>
  <c r="V891" i="11"/>
  <c r="V890" i="11"/>
  <c r="V889" i="11"/>
  <c r="V888" i="11"/>
  <c r="V887" i="11"/>
  <c r="V886" i="11"/>
  <c r="V885" i="11"/>
  <c r="V884" i="11"/>
  <c r="V883" i="11"/>
  <c r="V882" i="11"/>
  <c r="V881" i="11"/>
  <c r="V880" i="11"/>
  <c r="V879" i="11"/>
  <c r="V878" i="11"/>
  <c r="V877" i="11"/>
  <c r="V876" i="11"/>
  <c r="V875" i="11"/>
  <c r="V874" i="11"/>
  <c r="V873" i="11"/>
  <c r="V872" i="11"/>
  <c r="V871" i="11"/>
  <c r="V870" i="11"/>
  <c r="V869" i="11"/>
  <c r="V868" i="11"/>
  <c r="V867" i="11"/>
  <c r="V866" i="11"/>
  <c r="V865" i="11"/>
  <c r="V864" i="11"/>
  <c r="V863" i="11"/>
  <c r="V862" i="11"/>
  <c r="V861" i="11"/>
  <c r="V860" i="11"/>
  <c r="V859" i="11"/>
  <c r="V858" i="11"/>
  <c r="V857" i="11"/>
  <c r="V856" i="11"/>
  <c r="V855" i="11"/>
  <c r="V854" i="11"/>
  <c r="V853" i="11"/>
  <c r="V852" i="11"/>
  <c r="V851" i="11"/>
  <c r="V850" i="11"/>
  <c r="V849" i="11"/>
  <c r="V848" i="11"/>
  <c r="V847" i="11"/>
  <c r="V846" i="11"/>
  <c r="V845" i="11"/>
  <c r="V844" i="11"/>
  <c r="V843" i="11"/>
  <c r="V842" i="11"/>
  <c r="V841" i="11"/>
  <c r="V840" i="11"/>
  <c r="V839" i="11"/>
  <c r="V838" i="11"/>
  <c r="V837" i="11"/>
  <c r="V836" i="11"/>
  <c r="V835" i="11"/>
  <c r="V834" i="11"/>
  <c r="V833" i="11"/>
  <c r="V832" i="11"/>
  <c r="V831" i="11"/>
  <c r="V830" i="11"/>
  <c r="V829" i="11"/>
  <c r="V828" i="11"/>
  <c r="V827" i="11"/>
  <c r="V826" i="11"/>
  <c r="V825" i="11"/>
  <c r="V824" i="11"/>
  <c r="V823" i="11"/>
  <c r="V822" i="11"/>
  <c r="V821" i="11"/>
  <c r="V820" i="11"/>
  <c r="V819" i="11"/>
  <c r="V818" i="11"/>
  <c r="V817" i="11"/>
  <c r="V816" i="11"/>
  <c r="V815" i="11"/>
  <c r="V814" i="11"/>
  <c r="V813" i="11"/>
  <c r="V812" i="11"/>
  <c r="V811" i="11"/>
  <c r="V810" i="11"/>
  <c r="V809" i="11"/>
  <c r="V808" i="11"/>
  <c r="V807" i="11"/>
  <c r="V806" i="11"/>
  <c r="V805" i="11"/>
  <c r="V804" i="11"/>
  <c r="V803" i="11"/>
  <c r="V802" i="11"/>
  <c r="V801" i="11"/>
  <c r="V800" i="11"/>
  <c r="V799" i="11"/>
  <c r="V798" i="11"/>
  <c r="V797" i="11"/>
  <c r="V796" i="11"/>
  <c r="V795" i="11"/>
  <c r="V794" i="11"/>
  <c r="V793" i="11"/>
  <c r="V792" i="11"/>
  <c r="V791" i="11"/>
  <c r="V790" i="11"/>
  <c r="V789" i="11"/>
  <c r="V788" i="11"/>
  <c r="V787" i="11"/>
  <c r="V786" i="11"/>
  <c r="V785" i="11"/>
  <c r="V784" i="11"/>
  <c r="V783" i="11"/>
  <c r="V782" i="11"/>
  <c r="V781" i="11"/>
  <c r="V780" i="11"/>
  <c r="V779" i="11"/>
  <c r="V778" i="11"/>
  <c r="V777" i="11"/>
  <c r="V776" i="11"/>
  <c r="V775" i="11"/>
  <c r="V774" i="11"/>
  <c r="V773" i="11"/>
  <c r="V772" i="11"/>
  <c r="V771" i="11"/>
  <c r="V770" i="11"/>
  <c r="V769" i="11"/>
  <c r="V768" i="11"/>
  <c r="V767" i="11"/>
  <c r="V766" i="11"/>
  <c r="V765" i="11"/>
  <c r="V764" i="11"/>
  <c r="V763" i="11"/>
  <c r="V762" i="11"/>
  <c r="V761" i="11"/>
  <c r="V760" i="11"/>
  <c r="V759" i="11"/>
  <c r="V758" i="11"/>
  <c r="V757" i="11"/>
  <c r="V756" i="11"/>
  <c r="V755" i="11"/>
  <c r="V754" i="11"/>
  <c r="V753" i="11"/>
  <c r="V752" i="11"/>
  <c r="V751" i="11"/>
  <c r="V750" i="11"/>
  <c r="V749" i="11"/>
  <c r="V748" i="11"/>
  <c r="V747" i="11"/>
  <c r="V746" i="11"/>
  <c r="V745" i="11"/>
  <c r="V744" i="11"/>
  <c r="V743" i="11"/>
  <c r="V742" i="11"/>
  <c r="V741" i="11"/>
  <c r="V740" i="11"/>
  <c r="V739" i="11"/>
  <c r="V738" i="11"/>
  <c r="V737" i="11"/>
  <c r="V736" i="11"/>
  <c r="V735" i="11"/>
  <c r="V734" i="11"/>
  <c r="V733" i="11"/>
  <c r="V732" i="11"/>
  <c r="V731" i="11"/>
  <c r="V730" i="11"/>
  <c r="V729" i="11"/>
  <c r="V728" i="11"/>
  <c r="V727" i="11"/>
  <c r="V726" i="11"/>
  <c r="V725" i="11"/>
  <c r="V724" i="11"/>
  <c r="V723" i="11"/>
  <c r="V722" i="11"/>
  <c r="V721" i="11"/>
  <c r="V720" i="11"/>
  <c r="V719" i="11"/>
  <c r="V718" i="11"/>
  <c r="V717" i="11"/>
  <c r="V716" i="11"/>
  <c r="V715" i="11"/>
  <c r="V714" i="11"/>
  <c r="V713" i="11"/>
  <c r="V712" i="11"/>
  <c r="V711" i="11"/>
  <c r="V710" i="11"/>
  <c r="V709" i="11"/>
  <c r="V708" i="11"/>
  <c r="V707" i="11"/>
  <c r="V706" i="11"/>
  <c r="V705" i="11"/>
  <c r="V704" i="11"/>
  <c r="V703" i="11"/>
  <c r="V702" i="11"/>
  <c r="V701" i="11"/>
  <c r="V700" i="11"/>
  <c r="V699" i="11"/>
  <c r="V698" i="11"/>
  <c r="V697" i="11"/>
  <c r="V696" i="11"/>
  <c r="V695" i="11"/>
  <c r="V694" i="11"/>
  <c r="V693" i="11"/>
  <c r="V692" i="11"/>
  <c r="V691" i="11"/>
  <c r="V690" i="11"/>
  <c r="V689" i="11"/>
  <c r="V688" i="11"/>
  <c r="V687" i="11"/>
  <c r="V686" i="11"/>
  <c r="V685" i="11"/>
  <c r="V684" i="11"/>
  <c r="V683" i="11"/>
  <c r="V682" i="11"/>
  <c r="V681" i="11"/>
  <c r="V680" i="11"/>
  <c r="V679" i="11"/>
  <c r="V678" i="11"/>
  <c r="V677" i="11"/>
  <c r="V676" i="11"/>
  <c r="V675" i="11"/>
  <c r="V674" i="11"/>
  <c r="V673" i="11"/>
  <c r="V672" i="11"/>
  <c r="V671" i="11"/>
  <c r="V670" i="11"/>
  <c r="V669" i="11"/>
  <c r="V668" i="11"/>
  <c r="V667" i="11"/>
  <c r="V666" i="11"/>
  <c r="V665" i="11"/>
  <c r="V664" i="11"/>
  <c r="V663" i="11"/>
  <c r="V662" i="11"/>
  <c r="V661" i="11"/>
  <c r="V660" i="11"/>
  <c r="V659" i="11"/>
  <c r="V658" i="11"/>
  <c r="V657" i="11"/>
  <c r="V656" i="11"/>
  <c r="V655" i="11"/>
  <c r="V654" i="11"/>
  <c r="V653" i="11"/>
  <c r="V652" i="11"/>
  <c r="V651" i="11"/>
  <c r="V650" i="11"/>
  <c r="V649" i="11"/>
  <c r="V648" i="11"/>
  <c r="V647" i="11"/>
  <c r="V646" i="11"/>
  <c r="V645" i="11"/>
  <c r="V644" i="11"/>
  <c r="V643" i="11"/>
  <c r="V642" i="11"/>
  <c r="V641" i="11"/>
  <c r="V640" i="11"/>
  <c r="V639" i="11"/>
  <c r="V638" i="11"/>
  <c r="V637" i="11"/>
  <c r="V636" i="11"/>
  <c r="V635" i="11"/>
  <c r="V634" i="11"/>
  <c r="V633" i="11"/>
  <c r="V632" i="11"/>
  <c r="V631" i="11"/>
  <c r="V630" i="11"/>
  <c r="V629" i="11"/>
  <c r="V628" i="11"/>
  <c r="V627" i="11"/>
  <c r="V626" i="11"/>
  <c r="V625" i="11"/>
  <c r="V624" i="11"/>
  <c r="V623" i="11"/>
  <c r="V622" i="11"/>
  <c r="V621" i="11"/>
  <c r="V620" i="11"/>
  <c r="V619" i="11"/>
  <c r="V618" i="11"/>
  <c r="V617" i="11"/>
  <c r="V616" i="11"/>
  <c r="V615" i="11"/>
  <c r="V614" i="11"/>
  <c r="V613" i="11"/>
  <c r="V612" i="11"/>
  <c r="V611" i="11"/>
  <c r="V610" i="11"/>
  <c r="V609" i="11"/>
  <c r="V608" i="11"/>
  <c r="V607" i="11"/>
  <c r="V606" i="11"/>
  <c r="V605" i="11"/>
  <c r="V604" i="11"/>
  <c r="V603" i="11"/>
  <c r="V602" i="11"/>
  <c r="V601" i="11"/>
  <c r="V600" i="11"/>
  <c r="V599" i="11"/>
  <c r="V598" i="11"/>
  <c r="V597" i="11"/>
  <c r="V596" i="11"/>
  <c r="V595" i="11"/>
  <c r="V594" i="11"/>
  <c r="V593" i="11"/>
  <c r="V592" i="11"/>
  <c r="V591" i="11"/>
  <c r="V590" i="11"/>
  <c r="V589" i="11"/>
  <c r="V588" i="11"/>
  <c r="V587" i="11"/>
  <c r="V586" i="11"/>
  <c r="V585" i="11"/>
  <c r="V584" i="11"/>
  <c r="V583" i="11"/>
  <c r="V582" i="11"/>
  <c r="V581" i="11"/>
  <c r="V580" i="11"/>
  <c r="V579" i="11"/>
  <c r="V578" i="11"/>
  <c r="V577" i="11"/>
  <c r="V576" i="11"/>
  <c r="V575" i="11"/>
  <c r="V574" i="11"/>
  <c r="V573" i="11"/>
  <c r="V572" i="11"/>
  <c r="V571" i="11"/>
  <c r="V570" i="11"/>
  <c r="V569" i="11"/>
  <c r="V568" i="11"/>
  <c r="V567" i="11"/>
  <c r="V566" i="11"/>
  <c r="V565" i="11"/>
  <c r="V564" i="11"/>
  <c r="V563" i="11"/>
  <c r="V562" i="11"/>
  <c r="V561" i="11"/>
  <c r="V560" i="11"/>
  <c r="V559" i="11"/>
  <c r="V558" i="11"/>
  <c r="V557" i="11"/>
  <c r="V556" i="11"/>
  <c r="V555" i="11"/>
  <c r="V554" i="11"/>
  <c r="V553" i="11"/>
  <c r="V552" i="11"/>
  <c r="V551" i="11"/>
  <c r="V550" i="11"/>
  <c r="V549" i="11"/>
  <c r="V548" i="11"/>
  <c r="V547" i="11"/>
  <c r="V546" i="11"/>
  <c r="V545" i="11"/>
  <c r="V544" i="11"/>
  <c r="V543" i="11"/>
  <c r="V542" i="11"/>
  <c r="V541" i="11"/>
  <c r="V540" i="11"/>
  <c r="V539" i="11"/>
  <c r="V538" i="11"/>
  <c r="V537" i="11"/>
  <c r="V536" i="11"/>
  <c r="V535" i="11"/>
  <c r="V534" i="11"/>
  <c r="V533" i="11"/>
  <c r="V532" i="11"/>
  <c r="V531" i="11"/>
  <c r="V530" i="11"/>
  <c r="V529" i="11"/>
  <c r="V528" i="11"/>
  <c r="V527" i="11"/>
  <c r="V526" i="11"/>
  <c r="V525" i="11"/>
  <c r="V524" i="11"/>
  <c r="V523" i="11"/>
  <c r="V522" i="11"/>
  <c r="V521" i="11"/>
  <c r="V520" i="11"/>
  <c r="V519" i="11"/>
  <c r="V518" i="11"/>
  <c r="V517" i="11"/>
  <c r="V516" i="11"/>
  <c r="V515" i="11"/>
  <c r="V514" i="11"/>
  <c r="V513" i="11"/>
  <c r="V512" i="11"/>
  <c r="V511" i="11"/>
  <c r="V510" i="11"/>
  <c r="V509" i="11"/>
  <c r="V508" i="11"/>
  <c r="V507" i="11"/>
  <c r="V506" i="11"/>
  <c r="V505" i="11"/>
  <c r="V504" i="11"/>
  <c r="V503" i="11"/>
  <c r="V502" i="11"/>
  <c r="V501" i="11"/>
  <c r="V500" i="11"/>
  <c r="V499" i="11"/>
  <c r="V498" i="11"/>
  <c r="V497" i="11"/>
  <c r="V496" i="11"/>
  <c r="V495" i="11"/>
  <c r="V494" i="11"/>
  <c r="V493" i="11"/>
  <c r="V492" i="11"/>
  <c r="V491" i="11"/>
  <c r="V490" i="11"/>
  <c r="V489" i="11"/>
  <c r="V488" i="11"/>
  <c r="V487" i="11"/>
  <c r="V486" i="11"/>
  <c r="V485" i="11"/>
  <c r="V484" i="11"/>
  <c r="V483" i="11"/>
  <c r="V482" i="11"/>
  <c r="V481" i="11"/>
  <c r="V480" i="11"/>
  <c r="V479" i="11"/>
  <c r="V478" i="11"/>
  <c r="V477" i="11"/>
  <c r="V476" i="11"/>
  <c r="V475" i="11"/>
  <c r="V474" i="11"/>
  <c r="V473" i="11"/>
  <c r="V472" i="11"/>
  <c r="V471" i="11"/>
  <c r="V470" i="11"/>
  <c r="V469" i="11"/>
  <c r="V468" i="11"/>
  <c r="V467" i="11"/>
  <c r="V466" i="11"/>
  <c r="V465" i="11"/>
  <c r="V464" i="11"/>
  <c r="V463" i="11"/>
  <c r="V462" i="11"/>
  <c r="V461" i="11"/>
  <c r="V460" i="11"/>
  <c r="V459" i="11"/>
  <c r="V458" i="11"/>
  <c r="V457" i="11"/>
  <c r="V456" i="11"/>
  <c r="V455" i="11"/>
  <c r="V454" i="11"/>
  <c r="V453" i="11"/>
  <c r="V452" i="11"/>
  <c r="V451" i="11"/>
  <c r="V450" i="11"/>
  <c r="V449" i="11"/>
  <c r="V448" i="11"/>
  <c r="V447" i="11"/>
  <c r="V446" i="11"/>
  <c r="V445" i="11"/>
  <c r="V444" i="11"/>
  <c r="V443" i="11"/>
  <c r="V442" i="11"/>
  <c r="V441" i="11"/>
  <c r="V440" i="11"/>
  <c r="V439" i="11"/>
  <c r="V438" i="11"/>
  <c r="V437" i="11"/>
  <c r="V436" i="11"/>
  <c r="V435" i="11"/>
  <c r="V434" i="11"/>
  <c r="V433" i="11"/>
  <c r="V432" i="11"/>
  <c r="V431" i="11"/>
  <c r="V430" i="11"/>
  <c r="V429" i="11"/>
  <c r="V428" i="11"/>
  <c r="V427" i="11"/>
  <c r="V426" i="11"/>
  <c r="V425" i="11"/>
  <c r="V424" i="11"/>
  <c r="V423" i="11"/>
  <c r="V422" i="11"/>
  <c r="V421" i="11"/>
  <c r="V420" i="11"/>
  <c r="V419" i="11"/>
  <c r="V418" i="11"/>
  <c r="V417" i="11"/>
  <c r="V416" i="11"/>
  <c r="V415" i="11"/>
  <c r="V414" i="11"/>
  <c r="V413" i="11"/>
  <c r="V412" i="11"/>
  <c r="V411" i="11"/>
  <c r="V410" i="11"/>
  <c r="V409" i="11"/>
  <c r="V408" i="11"/>
  <c r="V407" i="11"/>
  <c r="V406" i="11"/>
  <c r="V405" i="11"/>
  <c r="V404" i="11"/>
  <c r="V403" i="11"/>
  <c r="V402" i="11"/>
  <c r="V401" i="11"/>
  <c r="V400" i="11"/>
  <c r="V399" i="11"/>
  <c r="V398" i="11"/>
  <c r="V397" i="11"/>
  <c r="V396" i="11"/>
  <c r="V395" i="11"/>
  <c r="V394" i="11"/>
  <c r="V393" i="11"/>
  <c r="V392" i="11"/>
  <c r="V391" i="11"/>
  <c r="V390" i="11"/>
  <c r="V389" i="11"/>
  <c r="V388" i="11"/>
  <c r="V387" i="11"/>
  <c r="V386" i="11"/>
  <c r="V385" i="11"/>
  <c r="V384" i="11"/>
  <c r="V383" i="11"/>
  <c r="V382" i="11"/>
  <c r="V381" i="11"/>
  <c r="V380" i="11"/>
  <c r="V379" i="11"/>
  <c r="V378" i="11"/>
  <c r="V377" i="11"/>
  <c r="V376" i="11"/>
  <c r="V375" i="11"/>
  <c r="V374" i="11"/>
  <c r="V373" i="11"/>
  <c r="V372" i="11"/>
  <c r="V371" i="11"/>
  <c r="V370" i="11"/>
  <c r="V369" i="11"/>
  <c r="V368" i="11"/>
  <c r="V367" i="11"/>
  <c r="V366" i="11"/>
  <c r="V365" i="11"/>
  <c r="V364" i="11"/>
  <c r="V363" i="11"/>
  <c r="V362" i="11"/>
  <c r="V361" i="11"/>
  <c r="V360" i="11"/>
  <c r="V359" i="11"/>
  <c r="V358" i="11"/>
  <c r="V357" i="11"/>
  <c r="V356" i="11"/>
  <c r="V355" i="11"/>
  <c r="V354" i="11"/>
  <c r="V353" i="11"/>
  <c r="V352" i="11"/>
  <c r="V351" i="11"/>
  <c r="V350" i="11"/>
  <c r="V349" i="11"/>
  <c r="V348" i="11"/>
  <c r="V347" i="11"/>
  <c r="V346" i="11"/>
  <c r="V345" i="11"/>
  <c r="V344" i="11"/>
  <c r="V343" i="11"/>
  <c r="V342" i="11"/>
  <c r="V341" i="11"/>
  <c r="V340" i="11"/>
  <c r="V339" i="11"/>
  <c r="V338" i="11"/>
  <c r="V337" i="11"/>
  <c r="V336" i="11"/>
  <c r="V335" i="11"/>
  <c r="V334" i="11"/>
  <c r="V333" i="11"/>
  <c r="V332" i="11"/>
  <c r="V331" i="11"/>
  <c r="V330" i="11"/>
  <c r="V329" i="11"/>
  <c r="V328" i="11"/>
  <c r="V327" i="11"/>
  <c r="V326" i="11"/>
  <c r="V325" i="11"/>
  <c r="V324" i="11"/>
  <c r="V323" i="11"/>
  <c r="V322" i="11"/>
  <c r="V321" i="11"/>
  <c r="V320" i="11"/>
  <c r="V319" i="11"/>
  <c r="V318" i="11"/>
  <c r="V317" i="11"/>
  <c r="V316" i="11"/>
  <c r="V315" i="11"/>
  <c r="V314" i="11"/>
  <c r="V313" i="11"/>
  <c r="V312" i="11"/>
  <c r="V311" i="11"/>
  <c r="V310" i="11"/>
  <c r="V309" i="11"/>
  <c r="V308" i="11"/>
  <c r="V307" i="11"/>
  <c r="V306" i="11"/>
  <c r="V305" i="11"/>
  <c r="V304" i="11"/>
  <c r="V303" i="11"/>
  <c r="V302" i="11"/>
  <c r="V301" i="11"/>
  <c r="V300" i="11"/>
  <c r="V299" i="11"/>
  <c r="V298" i="11"/>
  <c r="V297" i="11"/>
  <c r="V296" i="11"/>
  <c r="V295" i="11"/>
  <c r="V294" i="11"/>
  <c r="V293" i="11"/>
  <c r="V292" i="11"/>
  <c r="V291" i="11"/>
  <c r="V290" i="11"/>
  <c r="V289" i="11"/>
  <c r="V288" i="11"/>
  <c r="V287" i="11"/>
  <c r="V286" i="11"/>
  <c r="V285" i="11"/>
  <c r="V284" i="11"/>
  <c r="V283" i="11"/>
  <c r="V282" i="11"/>
  <c r="V281" i="11"/>
  <c r="V280" i="11"/>
  <c r="V279" i="11"/>
  <c r="V278" i="11"/>
  <c r="V277" i="11"/>
  <c r="V276" i="11"/>
  <c r="V275" i="11"/>
  <c r="V274" i="11"/>
  <c r="V273" i="11"/>
  <c r="V272" i="11"/>
  <c r="V271" i="11"/>
  <c r="V270" i="11"/>
  <c r="V269" i="11"/>
  <c r="V268" i="11"/>
  <c r="V267" i="11"/>
  <c r="V266" i="11"/>
  <c r="V265" i="11"/>
  <c r="V264" i="11"/>
  <c r="V263" i="11"/>
  <c r="V262" i="11"/>
  <c r="V261" i="11"/>
  <c r="V260" i="11"/>
  <c r="V259" i="11"/>
  <c r="V258" i="11"/>
  <c r="V257" i="11"/>
  <c r="V256" i="11"/>
  <c r="V255" i="11"/>
  <c r="V254" i="11"/>
  <c r="V253" i="11"/>
  <c r="V252" i="11"/>
  <c r="V251" i="11"/>
  <c r="V250" i="11"/>
  <c r="V249" i="11"/>
  <c r="V248" i="11"/>
  <c r="V247" i="11"/>
  <c r="V246" i="11"/>
  <c r="V245" i="11"/>
  <c r="V244" i="11"/>
  <c r="V243" i="11"/>
  <c r="V242" i="11"/>
  <c r="V241" i="11"/>
  <c r="V240" i="11"/>
  <c r="V239" i="11"/>
  <c r="V238" i="11"/>
  <c r="V237" i="11"/>
  <c r="V236" i="11"/>
  <c r="V235" i="11"/>
  <c r="V234" i="11"/>
  <c r="V233" i="11"/>
  <c r="V232" i="11"/>
  <c r="V231" i="11"/>
  <c r="V230" i="11"/>
  <c r="V229" i="11"/>
  <c r="V228" i="11"/>
  <c r="V227" i="11"/>
  <c r="V226" i="11"/>
  <c r="V225" i="11"/>
  <c r="V224" i="11"/>
  <c r="V223" i="11"/>
  <c r="V222" i="11"/>
  <c r="V221" i="11"/>
  <c r="V220" i="11"/>
  <c r="V219" i="11"/>
  <c r="V218" i="11"/>
  <c r="V217" i="11"/>
  <c r="V216" i="11"/>
  <c r="V215" i="11"/>
  <c r="V214" i="11"/>
  <c r="V213" i="11"/>
  <c r="V212" i="11"/>
  <c r="V211" i="11"/>
  <c r="V210" i="11"/>
  <c r="V209" i="11"/>
  <c r="V208" i="11"/>
  <c r="V207" i="11"/>
  <c r="V206" i="11"/>
  <c r="V205" i="11"/>
  <c r="V204" i="11"/>
  <c r="V203" i="11"/>
  <c r="V202" i="11"/>
  <c r="V201" i="11"/>
  <c r="V200" i="11"/>
  <c r="V199" i="11"/>
  <c r="V198" i="11"/>
  <c r="V197" i="11"/>
  <c r="V196" i="11"/>
  <c r="V195" i="11"/>
  <c r="V194" i="11"/>
  <c r="V193" i="11"/>
  <c r="V192" i="11"/>
  <c r="V191" i="11"/>
  <c r="V190" i="11"/>
  <c r="V189" i="11"/>
  <c r="V188" i="11"/>
  <c r="V187" i="11"/>
  <c r="V186" i="11"/>
  <c r="V185" i="11"/>
  <c r="V184" i="11"/>
  <c r="V183" i="11"/>
  <c r="V182" i="11"/>
  <c r="V181" i="11"/>
  <c r="V180" i="11"/>
  <c r="V179" i="11"/>
  <c r="V178" i="11"/>
  <c r="V177" i="11"/>
  <c r="V176" i="11"/>
  <c r="V175" i="11"/>
  <c r="V174" i="11"/>
  <c r="V173" i="11"/>
  <c r="V172" i="11"/>
  <c r="V171" i="11"/>
  <c r="V170" i="11"/>
  <c r="V169" i="11"/>
  <c r="V168" i="11"/>
  <c r="V167" i="11"/>
  <c r="V166" i="11"/>
  <c r="V165" i="11"/>
  <c r="V164" i="11"/>
  <c r="V163" i="11"/>
  <c r="V162" i="11"/>
  <c r="V161" i="11"/>
  <c r="V160" i="11"/>
  <c r="V159" i="11"/>
  <c r="V158" i="11"/>
  <c r="V157" i="11"/>
  <c r="V156" i="11"/>
  <c r="V155" i="11"/>
  <c r="V154" i="11"/>
  <c r="V153" i="11"/>
  <c r="V152" i="11"/>
  <c r="V151" i="11"/>
  <c r="V150" i="11"/>
  <c r="V149" i="11"/>
  <c r="V148" i="11"/>
  <c r="V147" i="11"/>
  <c r="V146" i="11"/>
  <c r="V145" i="11"/>
  <c r="V144" i="11"/>
  <c r="V143" i="11"/>
  <c r="V142" i="11"/>
  <c r="V141" i="11"/>
  <c r="V140" i="11"/>
  <c r="V139" i="11"/>
  <c r="V138" i="11"/>
  <c r="V137" i="11"/>
  <c r="V136" i="11"/>
  <c r="V135" i="11"/>
  <c r="V134" i="11"/>
  <c r="V133" i="11"/>
  <c r="V132" i="11"/>
  <c r="V131" i="11"/>
  <c r="V130" i="11"/>
  <c r="V129" i="11"/>
  <c r="V128" i="11"/>
  <c r="V127" i="11"/>
  <c r="V126" i="11"/>
  <c r="V125" i="11"/>
  <c r="V124" i="11"/>
  <c r="V123" i="11"/>
  <c r="V122" i="11"/>
  <c r="V121" i="11"/>
  <c r="V120" i="11"/>
  <c r="V119" i="11"/>
  <c r="V118" i="11"/>
  <c r="V117" i="11"/>
  <c r="V116" i="11"/>
  <c r="V115" i="11"/>
  <c r="V114" i="11"/>
  <c r="V113" i="11"/>
  <c r="V112" i="11"/>
  <c r="V111" i="11"/>
  <c r="V110" i="11"/>
  <c r="V109" i="11"/>
  <c r="V108" i="11"/>
  <c r="V107" i="11"/>
  <c r="V106" i="11"/>
  <c r="V105" i="11"/>
  <c r="V104" i="11"/>
  <c r="V103" i="11"/>
  <c r="V102" i="11"/>
  <c r="V101" i="11"/>
  <c r="V100" i="11"/>
  <c r="V99" i="11"/>
  <c r="V98" i="11"/>
  <c r="V97" i="11"/>
  <c r="V96" i="11"/>
  <c r="V95" i="11"/>
  <c r="V94" i="11"/>
  <c r="V93" i="11"/>
  <c r="V92" i="11"/>
  <c r="V91" i="11"/>
  <c r="V90" i="11"/>
  <c r="V89" i="11"/>
  <c r="V88" i="11"/>
  <c r="V87" i="11"/>
  <c r="V86" i="11"/>
  <c r="V85" i="11"/>
  <c r="V84" i="11"/>
  <c r="V83" i="11"/>
  <c r="V82" i="11"/>
  <c r="V81" i="11"/>
  <c r="V80" i="11"/>
  <c r="V79" i="11"/>
  <c r="V78" i="11"/>
  <c r="V77" i="11"/>
  <c r="V76" i="11"/>
  <c r="V75" i="11"/>
  <c r="V74" i="11"/>
  <c r="V73" i="11"/>
  <c r="V72" i="11"/>
  <c r="V71" i="11"/>
  <c r="V70" i="11"/>
  <c r="V69" i="11"/>
  <c r="V68" i="11"/>
  <c r="V67" i="11"/>
  <c r="V66" i="11"/>
  <c r="V65" i="11"/>
  <c r="V64" i="11"/>
  <c r="V63" i="11"/>
  <c r="V62" i="11"/>
  <c r="V61" i="11"/>
  <c r="V60" i="11"/>
  <c r="V59" i="11"/>
  <c r="V58" i="11"/>
  <c r="V57" i="11"/>
  <c r="V56" i="11"/>
  <c r="V55" i="11"/>
  <c r="V54" i="11"/>
  <c r="V53" i="11"/>
  <c r="V52" i="11"/>
  <c r="V51" i="11"/>
  <c r="V50" i="11"/>
  <c r="V49" i="11"/>
  <c r="V48" i="11"/>
  <c r="V47" i="11"/>
  <c r="V46" i="11"/>
  <c r="V45" i="11"/>
  <c r="V44" i="11"/>
  <c r="V43" i="11"/>
  <c r="V42" i="11"/>
  <c r="V41" i="11"/>
  <c r="V40" i="11"/>
  <c r="V39" i="11"/>
  <c r="V38" i="11"/>
  <c r="V37" i="11"/>
  <c r="V36" i="11"/>
  <c r="V35" i="11"/>
  <c r="V34" i="11"/>
  <c r="V33" i="11"/>
  <c r="V32" i="11"/>
  <c r="V31" i="11"/>
  <c r="V30" i="11"/>
  <c r="V29" i="11"/>
  <c r="V28" i="11"/>
  <c r="V27" i="11"/>
  <c r="V26" i="11"/>
  <c r="V25" i="11"/>
  <c r="V24" i="11"/>
  <c r="V23" i="11"/>
  <c r="V22" i="11"/>
  <c r="V21" i="11"/>
  <c r="V20" i="11"/>
  <c r="V19" i="11"/>
  <c r="V18" i="11"/>
  <c r="V17" i="11"/>
  <c r="V16" i="11"/>
  <c r="V15" i="11"/>
  <c r="V14" i="11"/>
  <c r="V13" i="11"/>
  <c r="V12" i="11"/>
  <c r="V11" i="11"/>
  <c r="V10" i="11"/>
  <c r="V9" i="11"/>
  <c r="V8" i="11"/>
  <c r="V7" i="11"/>
  <c r="V6" i="11"/>
  <c r="V5" i="11"/>
  <c r="V4" i="11"/>
  <c r="V3" i="11"/>
  <c r="V2" i="11"/>
  <c r="T5000" i="11"/>
  <c r="T4999" i="11"/>
  <c r="T4998" i="11"/>
  <c r="T4997" i="11"/>
  <c r="T4996" i="11"/>
  <c r="T4995" i="11"/>
  <c r="T4994" i="11"/>
  <c r="T4993" i="11"/>
  <c r="T4992" i="11"/>
  <c r="T4991" i="11"/>
  <c r="T4990" i="11"/>
  <c r="T4989" i="11"/>
  <c r="T4988" i="11"/>
  <c r="T4987" i="11"/>
  <c r="T4986" i="11"/>
  <c r="T4985" i="11"/>
  <c r="T4984" i="11"/>
  <c r="T4983" i="11"/>
  <c r="T4982" i="11"/>
  <c r="T4981" i="11"/>
  <c r="T4980" i="11"/>
  <c r="T4979" i="11"/>
  <c r="T4978" i="11"/>
  <c r="T4977" i="11"/>
  <c r="T4976" i="11"/>
  <c r="T4975" i="11"/>
  <c r="T4974" i="11"/>
  <c r="T4973" i="11"/>
  <c r="T4972" i="11"/>
  <c r="T4971" i="11"/>
  <c r="T4970" i="11"/>
  <c r="T4969" i="11"/>
  <c r="T4968" i="11"/>
  <c r="T4967" i="11"/>
  <c r="T4966" i="11"/>
  <c r="T4965" i="11"/>
  <c r="T4964" i="11"/>
  <c r="T4963" i="11"/>
  <c r="T4962" i="11"/>
  <c r="T4961" i="11"/>
  <c r="T4960" i="11"/>
  <c r="T4959" i="11"/>
  <c r="T4958" i="11"/>
  <c r="T4957" i="11"/>
  <c r="T4956" i="11"/>
  <c r="T4955" i="11"/>
  <c r="T4954" i="11"/>
  <c r="T4953" i="11"/>
  <c r="T4952" i="11"/>
  <c r="T4951" i="11"/>
  <c r="T4950" i="11"/>
  <c r="T4949" i="11"/>
  <c r="T4948" i="11"/>
  <c r="T4947" i="11"/>
  <c r="T4946" i="11"/>
  <c r="T4945" i="11"/>
  <c r="T4944" i="11"/>
  <c r="T4943" i="11"/>
  <c r="T4942" i="11"/>
  <c r="T4941" i="11"/>
  <c r="T4940" i="11"/>
  <c r="T4939" i="11"/>
  <c r="T4938" i="11"/>
  <c r="T4937" i="11"/>
  <c r="T4936" i="11"/>
  <c r="T4935" i="11"/>
  <c r="T4934" i="11"/>
  <c r="T4933" i="11"/>
  <c r="T4932" i="11"/>
  <c r="T4931" i="11"/>
  <c r="T4930" i="11"/>
  <c r="T4929" i="11"/>
  <c r="T4928" i="11"/>
  <c r="T4927" i="11"/>
  <c r="T4926" i="11"/>
  <c r="T4925" i="11"/>
  <c r="T4924" i="11"/>
  <c r="T4923" i="11"/>
  <c r="T4922" i="11"/>
  <c r="T4921" i="11"/>
  <c r="T4920" i="11"/>
  <c r="T4919" i="11"/>
  <c r="T4918" i="11"/>
  <c r="T4917" i="11"/>
  <c r="T4916" i="11"/>
  <c r="T4915" i="11"/>
  <c r="T4914" i="11"/>
  <c r="T4913" i="11"/>
  <c r="T4912" i="11"/>
  <c r="T4911" i="11"/>
  <c r="T4910" i="11"/>
  <c r="T4909" i="11"/>
  <c r="T4908" i="11"/>
  <c r="T4907" i="11"/>
  <c r="T4906" i="11"/>
  <c r="T4905" i="11"/>
  <c r="T4904" i="11"/>
  <c r="T4903" i="11"/>
  <c r="T4902" i="11"/>
  <c r="T4901" i="11"/>
  <c r="T4900" i="11"/>
  <c r="T4899" i="11"/>
  <c r="T4898" i="11"/>
  <c r="T4897" i="11"/>
  <c r="T4896" i="11"/>
  <c r="T4895" i="11"/>
  <c r="T4894" i="11"/>
  <c r="T4893" i="11"/>
  <c r="T4892" i="11"/>
  <c r="T4891" i="11"/>
  <c r="T4890" i="11"/>
  <c r="T4889" i="11"/>
  <c r="T4888" i="11"/>
  <c r="T4887" i="11"/>
  <c r="T4886" i="11"/>
  <c r="T4885" i="11"/>
  <c r="T4884" i="11"/>
  <c r="T4883" i="11"/>
  <c r="T4882" i="11"/>
  <c r="T4881" i="11"/>
  <c r="T4880" i="11"/>
  <c r="T4879" i="11"/>
  <c r="T4878" i="11"/>
  <c r="T4877" i="11"/>
  <c r="T4876" i="11"/>
  <c r="T4875" i="11"/>
  <c r="T4874" i="11"/>
  <c r="T4873" i="11"/>
  <c r="T4872" i="11"/>
  <c r="T4871" i="11"/>
  <c r="T4870" i="11"/>
  <c r="T4869" i="11"/>
  <c r="T4868" i="11"/>
  <c r="T4867" i="11"/>
  <c r="T4866" i="11"/>
  <c r="T4865" i="11"/>
  <c r="T4864" i="11"/>
  <c r="T4863" i="11"/>
  <c r="T4862" i="11"/>
  <c r="T4861" i="11"/>
  <c r="T4860" i="11"/>
  <c r="T4859" i="11"/>
  <c r="T4858" i="11"/>
  <c r="T4857" i="11"/>
  <c r="T4856" i="11"/>
  <c r="T4855" i="11"/>
  <c r="T4854" i="11"/>
  <c r="T4853" i="11"/>
  <c r="T4852" i="11"/>
  <c r="T4851" i="11"/>
  <c r="T4850" i="11"/>
  <c r="T4849" i="11"/>
  <c r="T4848" i="11"/>
  <c r="T4847" i="11"/>
  <c r="T4846" i="11"/>
  <c r="T4845" i="11"/>
  <c r="T4844" i="11"/>
  <c r="T4843" i="11"/>
  <c r="T4842" i="11"/>
  <c r="T4841" i="11"/>
  <c r="T4840" i="11"/>
  <c r="T4839" i="11"/>
  <c r="T4838" i="11"/>
  <c r="T4837" i="11"/>
  <c r="T4836" i="11"/>
  <c r="T4835" i="11"/>
  <c r="T4834" i="11"/>
  <c r="T4833" i="11"/>
  <c r="T4832" i="11"/>
  <c r="T4831" i="11"/>
  <c r="T4830" i="11"/>
  <c r="T4829" i="11"/>
  <c r="T4828" i="11"/>
  <c r="T4827" i="11"/>
  <c r="T4826" i="11"/>
  <c r="T4825" i="11"/>
  <c r="T4824" i="11"/>
  <c r="T4823" i="11"/>
  <c r="T4822" i="11"/>
  <c r="T4821" i="11"/>
  <c r="T4820" i="11"/>
  <c r="T4819" i="11"/>
  <c r="T4818" i="11"/>
  <c r="T4817" i="11"/>
  <c r="T4816" i="11"/>
  <c r="T4815" i="11"/>
  <c r="T4814" i="11"/>
  <c r="T4813" i="11"/>
  <c r="T4812" i="11"/>
  <c r="T4811" i="11"/>
  <c r="T4810" i="11"/>
  <c r="T4809" i="11"/>
  <c r="T4808" i="11"/>
  <c r="T4807" i="11"/>
  <c r="T4806" i="11"/>
  <c r="T4805" i="11"/>
  <c r="T4804" i="11"/>
  <c r="T4803" i="11"/>
  <c r="T4802" i="11"/>
  <c r="T4801" i="11"/>
  <c r="T4800" i="11"/>
  <c r="T4799" i="11"/>
  <c r="T4798" i="11"/>
  <c r="T4797" i="11"/>
  <c r="T4796" i="11"/>
  <c r="T4795" i="11"/>
  <c r="T4794" i="11"/>
  <c r="T4793" i="11"/>
  <c r="T4792" i="11"/>
  <c r="T4791" i="11"/>
  <c r="T4790" i="11"/>
  <c r="T4789" i="11"/>
  <c r="T4788" i="11"/>
  <c r="T4787" i="11"/>
  <c r="T4786" i="11"/>
  <c r="T4785" i="11"/>
  <c r="T4784" i="11"/>
  <c r="T4783" i="11"/>
  <c r="T4782" i="11"/>
  <c r="T4781" i="11"/>
  <c r="T4780" i="11"/>
  <c r="T4779" i="11"/>
  <c r="T4778" i="11"/>
  <c r="T4777" i="11"/>
  <c r="T4776" i="11"/>
  <c r="T4775" i="11"/>
  <c r="T4774" i="11"/>
  <c r="T4773" i="11"/>
  <c r="T4772" i="11"/>
  <c r="T4771" i="11"/>
  <c r="T4770" i="11"/>
  <c r="T4769" i="11"/>
  <c r="T4768" i="11"/>
  <c r="T4767" i="11"/>
  <c r="T4766" i="11"/>
  <c r="T4765" i="11"/>
  <c r="T4764" i="11"/>
  <c r="T4763" i="11"/>
  <c r="T4762" i="11"/>
  <c r="T4761" i="11"/>
  <c r="T4760" i="11"/>
  <c r="T4759" i="11"/>
  <c r="T4758" i="11"/>
  <c r="T4757" i="11"/>
  <c r="T4756" i="11"/>
  <c r="T4755" i="11"/>
  <c r="T4754" i="11"/>
  <c r="T4753" i="11"/>
  <c r="T4752" i="11"/>
  <c r="T4751" i="11"/>
  <c r="T4750" i="11"/>
  <c r="T4749" i="11"/>
  <c r="T4748" i="11"/>
  <c r="T4747" i="11"/>
  <c r="T4746" i="11"/>
  <c r="T4745" i="11"/>
  <c r="T4744" i="11"/>
  <c r="T4743" i="11"/>
  <c r="T4742" i="11"/>
  <c r="T4741" i="11"/>
  <c r="T4740" i="11"/>
  <c r="T4739" i="11"/>
  <c r="T4738" i="11"/>
  <c r="T4737" i="11"/>
  <c r="T4736" i="11"/>
  <c r="T4735" i="11"/>
  <c r="T4734" i="11"/>
  <c r="T4733" i="11"/>
  <c r="T4732" i="11"/>
  <c r="T4731" i="11"/>
  <c r="T4730" i="11"/>
  <c r="T4729" i="11"/>
  <c r="T4728" i="11"/>
  <c r="T4727" i="11"/>
  <c r="T4726" i="11"/>
  <c r="T4725" i="11"/>
  <c r="T4724" i="11"/>
  <c r="T4723" i="11"/>
  <c r="T4722" i="11"/>
  <c r="T4721" i="11"/>
  <c r="T4720" i="11"/>
  <c r="T4719" i="11"/>
  <c r="T4718" i="11"/>
  <c r="T4717" i="11"/>
  <c r="T4716" i="11"/>
  <c r="T4715" i="11"/>
  <c r="T4714" i="11"/>
  <c r="T4713" i="11"/>
  <c r="T4712" i="11"/>
  <c r="T4711" i="11"/>
  <c r="T4710" i="11"/>
  <c r="T4709" i="11"/>
  <c r="T4708" i="11"/>
  <c r="T4707" i="11"/>
  <c r="T4706" i="11"/>
  <c r="T4705" i="11"/>
  <c r="T4704" i="11"/>
  <c r="T4703" i="11"/>
  <c r="T4702" i="11"/>
  <c r="T4701" i="11"/>
  <c r="T4700" i="11"/>
  <c r="T4699" i="11"/>
  <c r="T4698" i="11"/>
  <c r="T4697" i="11"/>
  <c r="T4696" i="11"/>
  <c r="T4695" i="11"/>
  <c r="T4694" i="11"/>
  <c r="T4693" i="11"/>
  <c r="T4692" i="11"/>
  <c r="T4691" i="11"/>
  <c r="T4690" i="11"/>
  <c r="T4689" i="11"/>
  <c r="T4688" i="11"/>
  <c r="T4687" i="11"/>
  <c r="T4686" i="11"/>
  <c r="T4685" i="11"/>
  <c r="T4684" i="11"/>
  <c r="T4683" i="11"/>
  <c r="T4682" i="11"/>
  <c r="T4681" i="11"/>
  <c r="T4680" i="11"/>
  <c r="T4679" i="11"/>
  <c r="T4678" i="11"/>
  <c r="T4677" i="11"/>
  <c r="T4676" i="11"/>
  <c r="T4675" i="11"/>
  <c r="T4674" i="11"/>
  <c r="T4673" i="11"/>
  <c r="T4672" i="11"/>
  <c r="T4671" i="11"/>
  <c r="T4670" i="11"/>
  <c r="T4669" i="11"/>
  <c r="T4668" i="11"/>
  <c r="T4667" i="11"/>
  <c r="T4666" i="11"/>
  <c r="T4665" i="11"/>
  <c r="T4664" i="11"/>
  <c r="T4663" i="11"/>
  <c r="T4662" i="11"/>
  <c r="T4661" i="11"/>
  <c r="T4660" i="11"/>
  <c r="T4659" i="11"/>
  <c r="T4658" i="11"/>
  <c r="T4657" i="11"/>
  <c r="T4656" i="11"/>
  <c r="T4655" i="11"/>
  <c r="T4654" i="11"/>
  <c r="T4653" i="11"/>
  <c r="T4652" i="11"/>
  <c r="T4651" i="11"/>
  <c r="T4650" i="11"/>
  <c r="T4649" i="11"/>
  <c r="T4648" i="11"/>
  <c r="T4647" i="11"/>
  <c r="T4646" i="11"/>
  <c r="T4645" i="11"/>
  <c r="T4644" i="11"/>
  <c r="T4643" i="11"/>
  <c r="T4642" i="11"/>
  <c r="T4641" i="11"/>
  <c r="T4640" i="11"/>
  <c r="T4639" i="11"/>
  <c r="T4638" i="11"/>
  <c r="T4637" i="11"/>
  <c r="T4636" i="11"/>
  <c r="T4635" i="11"/>
  <c r="T4634" i="11"/>
  <c r="T4633" i="11"/>
  <c r="T4632" i="11"/>
  <c r="T4631" i="11"/>
  <c r="T4630" i="11"/>
  <c r="T4629" i="11"/>
  <c r="T4628" i="11"/>
  <c r="T4627" i="11"/>
  <c r="T4626" i="11"/>
  <c r="T4625" i="11"/>
  <c r="T4624" i="11"/>
  <c r="T4623" i="11"/>
  <c r="T4622" i="11"/>
  <c r="T4621" i="11"/>
  <c r="T4620" i="11"/>
  <c r="T4619" i="11"/>
  <c r="T4618" i="11"/>
  <c r="T4617" i="11"/>
  <c r="T4616" i="11"/>
  <c r="T4615" i="11"/>
  <c r="T4614" i="11"/>
  <c r="T4613" i="11"/>
  <c r="T4612" i="11"/>
  <c r="T4611" i="11"/>
  <c r="T4610" i="11"/>
  <c r="T4609" i="11"/>
  <c r="T4608" i="11"/>
  <c r="T4607" i="11"/>
  <c r="T4606" i="11"/>
  <c r="T4605" i="11"/>
  <c r="T4604" i="11"/>
  <c r="T4603" i="11"/>
  <c r="T4602" i="11"/>
  <c r="T4601" i="11"/>
  <c r="T4600" i="11"/>
  <c r="T4599" i="11"/>
  <c r="T4598" i="11"/>
  <c r="T4597" i="11"/>
  <c r="T4596" i="11"/>
  <c r="T4595" i="11"/>
  <c r="T4594" i="11"/>
  <c r="T4593" i="11"/>
  <c r="T4592" i="11"/>
  <c r="T4591" i="11"/>
  <c r="T4590" i="11"/>
  <c r="T4589" i="11"/>
  <c r="T4588" i="11"/>
  <c r="T4587" i="11"/>
  <c r="T4586" i="11"/>
  <c r="T4585" i="11"/>
  <c r="T4584" i="11"/>
  <c r="T4583" i="11"/>
  <c r="T4582" i="11"/>
  <c r="T4581" i="11"/>
  <c r="T4580" i="11"/>
  <c r="T4579" i="11"/>
  <c r="T4578" i="11"/>
  <c r="T4577" i="11"/>
  <c r="T4576" i="11"/>
  <c r="T4575" i="11"/>
  <c r="T4574" i="11"/>
  <c r="T4573" i="11"/>
  <c r="T4572" i="11"/>
  <c r="T4571" i="11"/>
  <c r="T4570" i="11"/>
  <c r="T4569" i="11"/>
  <c r="T4568" i="11"/>
  <c r="T4567" i="11"/>
  <c r="T4566" i="11"/>
  <c r="T4565" i="11"/>
  <c r="T4564" i="11"/>
  <c r="T4563" i="11"/>
  <c r="T4562" i="11"/>
  <c r="T4561" i="11"/>
  <c r="T4560" i="11"/>
  <c r="T4559" i="11"/>
  <c r="T4558" i="11"/>
  <c r="T4557" i="11"/>
  <c r="T4556" i="11"/>
  <c r="T4555" i="11"/>
  <c r="T4554" i="11"/>
  <c r="T4553" i="11"/>
  <c r="T4552" i="11"/>
  <c r="T4551" i="11"/>
  <c r="T4550" i="11"/>
  <c r="T4549" i="11"/>
  <c r="T4548" i="11"/>
  <c r="T4547" i="11"/>
  <c r="T4546" i="11"/>
  <c r="T4545" i="11"/>
  <c r="T4544" i="11"/>
  <c r="T4543" i="11"/>
  <c r="T4542" i="11"/>
  <c r="T4541" i="11"/>
  <c r="T4540" i="11"/>
  <c r="T4539" i="11"/>
  <c r="T4538" i="11"/>
  <c r="T4537" i="11"/>
  <c r="T4536" i="11"/>
  <c r="T4535" i="11"/>
  <c r="T4534" i="11"/>
  <c r="T4533" i="11"/>
  <c r="T4532" i="11"/>
  <c r="T4531" i="11"/>
  <c r="T4530" i="11"/>
  <c r="T4529" i="11"/>
  <c r="T4528" i="11"/>
  <c r="T4527" i="11"/>
  <c r="T4526" i="11"/>
  <c r="T4525" i="11"/>
  <c r="T4524" i="11"/>
  <c r="T4523" i="11"/>
  <c r="T4522" i="11"/>
  <c r="T4521" i="11"/>
  <c r="T4520" i="11"/>
  <c r="T4519" i="11"/>
  <c r="T4518" i="11"/>
  <c r="T4517" i="11"/>
  <c r="T4516" i="11"/>
  <c r="T4515" i="11"/>
  <c r="T4514" i="11"/>
  <c r="T4513" i="11"/>
  <c r="T4512" i="11"/>
  <c r="T4511" i="11"/>
  <c r="T4510" i="11"/>
  <c r="T4509" i="11"/>
  <c r="T4508" i="11"/>
  <c r="T4507" i="11"/>
  <c r="T4506" i="11"/>
  <c r="T4505" i="11"/>
  <c r="T4504" i="11"/>
  <c r="T4503" i="11"/>
  <c r="T4502" i="11"/>
  <c r="T4501" i="11"/>
  <c r="T4500" i="11"/>
  <c r="T4499" i="11"/>
  <c r="T4498" i="11"/>
  <c r="T4497" i="11"/>
  <c r="T4496" i="11"/>
  <c r="T4495" i="11"/>
  <c r="T4494" i="11"/>
  <c r="T4493" i="11"/>
  <c r="T4492" i="11"/>
  <c r="T4491" i="11"/>
  <c r="T4490" i="11"/>
  <c r="T4489" i="11"/>
  <c r="T4488" i="11"/>
  <c r="T4487" i="11"/>
  <c r="T4486" i="11"/>
  <c r="T4485" i="11"/>
  <c r="T4484" i="11"/>
  <c r="T4483" i="11"/>
  <c r="T4482" i="11"/>
  <c r="T4481" i="11"/>
  <c r="T4480" i="11"/>
  <c r="T4479" i="11"/>
  <c r="T4478" i="11"/>
  <c r="T4477" i="11"/>
  <c r="T4476" i="11"/>
  <c r="T4475" i="11"/>
  <c r="T4474" i="11"/>
  <c r="T4473" i="11"/>
  <c r="T4472" i="11"/>
  <c r="T4471" i="11"/>
  <c r="T4470" i="11"/>
  <c r="T4469" i="11"/>
  <c r="T4468" i="11"/>
  <c r="T4467" i="11"/>
  <c r="T4466" i="11"/>
  <c r="T4465" i="11"/>
  <c r="T4464" i="11"/>
  <c r="T4463" i="11"/>
  <c r="T4462" i="11"/>
  <c r="T4461" i="11"/>
  <c r="T4460" i="11"/>
  <c r="T4459" i="11"/>
  <c r="T4458" i="11"/>
  <c r="T4457" i="11"/>
  <c r="T4456" i="11"/>
  <c r="T4455" i="11"/>
  <c r="T4454" i="11"/>
  <c r="T4453" i="11"/>
  <c r="T4452" i="11"/>
  <c r="T4451" i="11"/>
  <c r="T4450" i="11"/>
  <c r="T4449" i="11"/>
  <c r="T4448" i="11"/>
  <c r="T4447" i="11"/>
  <c r="T4446" i="11"/>
  <c r="T4445" i="11"/>
  <c r="T4444" i="11"/>
  <c r="T4443" i="11"/>
  <c r="T4442" i="11"/>
  <c r="T4441" i="11"/>
  <c r="T4440" i="11"/>
  <c r="T4439" i="11"/>
  <c r="T4438" i="11"/>
  <c r="T4437" i="11"/>
  <c r="T4436" i="11"/>
  <c r="T4435" i="11"/>
  <c r="T4434" i="11"/>
  <c r="T4433" i="11"/>
  <c r="T4432" i="11"/>
  <c r="T4431" i="11"/>
  <c r="T4430" i="11"/>
  <c r="T4429" i="11"/>
  <c r="T4428" i="11"/>
  <c r="T4427" i="11"/>
  <c r="T4426" i="11"/>
  <c r="T4425" i="11"/>
  <c r="T4424" i="11"/>
  <c r="T4423" i="11"/>
  <c r="T4422" i="11"/>
  <c r="T4421" i="11"/>
  <c r="T4420" i="11"/>
  <c r="T4419" i="11"/>
  <c r="T4418" i="11"/>
  <c r="T4417" i="11"/>
  <c r="T4416" i="11"/>
  <c r="T4415" i="11"/>
  <c r="T4414" i="11"/>
  <c r="T4413" i="11"/>
  <c r="T4412" i="11"/>
  <c r="T4411" i="11"/>
  <c r="T4410" i="11"/>
  <c r="T4409" i="11"/>
  <c r="T4408" i="11"/>
  <c r="T4407" i="11"/>
  <c r="T4406" i="11"/>
  <c r="T4405" i="11"/>
  <c r="T4404" i="11"/>
  <c r="T4403" i="11"/>
  <c r="T4402" i="11"/>
  <c r="T4401" i="11"/>
  <c r="T4400" i="11"/>
  <c r="T4399" i="11"/>
  <c r="T4398" i="11"/>
  <c r="T4397" i="11"/>
  <c r="T4396" i="11"/>
  <c r="T4395" i="11"/>
  <c r="T4394" i="11"/>
  <c r="T4393" i="11"/>
  <c r="T4392" i="11"/>
  <c r="T4391" i="11"/>
  <c r="T4390" i="11"/>
  <c r="T4389" i="11"/>
  <c r="T4388" i="11"/>
  <c r="T4387" i="11"/>
  <c r="T4386" i="11"/>
  <c r="T4385" i="11"/>
  <c r="T4384" i="11"/>
  <c r="T4383" i="11"/>
  <c r="T4382" i="11"/>
  <c r="T4381" i="11"/>
  <c r="T4380" i="11"/>
  <c r="T4379" i="11"/>
  <c r="T4378" i="11"/>
  <c r="T4377" i="11"/>
  <c r="T4376" i="11"/>
  <c r="T4375" i="11"/>
  <c r="T4374" i="11"/>
  <c r="T4373" i="11"/>
  <c r="T4372" i="11"/>
  <c r="T4371" i="11"/>
  <c r="T4370" i="11"/>
  <c r="T4369" i="11"/>
  <c r="T4368" i="11"/>
  <c r="T4367" i="11"/>
  <c r="T4366" i="11"/>
  <c r="T4365" i="11"/>
  <c r="T4364" i="11"/>
  <c r="T4363" i="11"/>
  <c r="T4362" i="11"/>
  <c r="T4361" i="11"/>
  <c r="T4360" i="11"/>
  <c r="T4359" i="11"/>
  <c r="T4358" i="11"/>
  <c r="T4357" i="11"/>
  <c r="T4356" i="11"/>
  <c r="T4355" i="11"/>
  <c r="T4354" i="11"/>
  <c r="T4353" i="11"/>
  <c r="T4352" i="11"/>
  <c r="T4351" i="11"/>
  <c r="T4350" i="11"/>
  <c r="T4349" i="11"/>
  <c r="T4348" i="11"/>
  <c r="T4347" i="11"/>
  <c r="T4346" i="11"/>
  <c r="T4345" i="11"/>
  <c r="T4344" i="11"/>
  <c r="T4343" i="11"/>
  <c r="T4342" i="11"/>
  <c r="T4341" i="11"/>
  <c r="T4340" i="11"/>
  <c r="T4339" i="11"/>
  <c r="T4338" i="11"/>
  <c r="T4337" i="11"/>
  <c r="T4336" i="11"/>
  <c r="T4335" i="11"/>
  <c r="T4334" i="11"/>
  <c r="T4333" i="11"/>
  <c r="T4332" i="11"/>
  <c r="T4331" i="11"/>
  <c r="T4330" i="11"/>
  <c r="T4329" i="11"/>
  <c r="T4328" i="11"/>
  <c r="T4327" i="11"/>
  <c r="T4326" i="11"/>
  <c r="T4325" i="11"/>
  <c r="T4324" i="11"/>
  <c r="T4323" i="11"/>
  <c r="T4322" i="11"/>
  <c r="T4321" i="11"/>
  <c r="T4320" i="11"/>
  <c r="T4319" i="11"/>
  <c r="T4318" i="11"/>
  <c r="T4317" i="11"/>
  <c r="T4316" i="11"/>
  <c r="T4315" i="11"/>
  <c r="T4314" i="11"/>
  <c r="T4313" i="11"/>
  <c r="T4312" i="11"/>
  <c r="T4311" i="11"/>
  <c r="T4310" i="11"/>
  <c r="T4309" i="11"/>
  <c r="T4308" i="11"/>
  <c r="T4307" i="11"/>
  <c r="T4306" i="11"/>
  <c r="T4305" i="11"/>
  <c r="T4304" i="11"/>
  <c r="T4303" i="11"/>
  <c r="T4302" i="11"/>
  <c r="T4301" i="11"/>
  <c r="T4300" i="11"/>
  <c r="T4299" i="11"/>
  <c r="T4298" i="11"/>
  <c r="T4297" i="11"/>
  <c r="T4296" i="11"/>
  <c r="T4295" i="11"/>
  <c r="T4294" i="11"/>
  <c r="T4293" i="11"/>
  <c r="T4292" i="11"/>
  <c r="T4291" i="11"/>
  <c r="T4290" i="11"/>
  <c r="T4289" i="11"/>
  <c r="T4288" i="11"/>
  <c r="T4287" i="11"/>
  <c r="T4286" i="11"/>
  <c r="T4285" i="11"/>
  <c r="T4284" i="11"/>
  <c r="T4283" i="11"/>
  <c r="T4282" i="11"/>
  <c r="T4281" i="11"/>
  <c r="T4280" i="11"/>
  <c r="T4279" i="11"/>
  <c r="T4278" i="11"/>
  <c r="T4277" i="11"/>
  <c r="T4276" i="11"/>
  <c r="T4275" i="11"/>
  <c r="T4274" i="11"/>
  <c r="T4273" i="11"/>
  <c r="T4272" i="11"/>
  <c r="T4271" i="11"/>
  <c r="T4270" i="11"/>
  <c r="T4269" i="11"/>
  <c r="T4268" i="11"/>
  <c r="T4267" i="11"/>
  <c r="T4266" i="11"/>
  <c r="T4265" i="11"/>
  <c r="T4264" i="11"/>
  <c r="T4263" i="11"/>
  <c r="T4262" i="11"/>
  <c r="T4261" i="11"/>
  <c r="T4260" i="11"/>
  <c r="T4259" i="11"/>
  <c r="T4258" i="11"/>
  <c r="T4257" i="11"/>
  <c r="T4256" i="11"/>
  <c r="T4255" i="11"/>
  <c r="T4254" i="11"/>
  <c r="T4253" i="11"/>
  <c r="T4252" i="11"/>
  <c r="T4251" i="11"/>
  <c r="T4250" i="11"/>
  <c r="T4249" i="11"/>
  <c r="T4248" i="11"/>
  <c r="T4247" i="11"/>
  <c r="T4246" i="11"/>
  <c r="T4245" i="11"/>
  <c r="T4244" i="11"/>
  <c r="T4243" i="11"/>
  <c r="T4242" i="11"/>
  <c r="T4241" i="11"/>
  <c r="T4240" i="11"/>
  <c r="T4239" i="11"/>
  <c r="T4238" i="11"/>
  <c r="T4237" i="11"/>
  <c r="T4236" i="11"/>
  <c r="T4235" i="11"/>
  <c r="T4234" i="11"/>
  <c r="T4233" i="11"/>
  <c r="T4232" i="11"/>
  <c r="T4231" i="11"/>
  <c r="T4230" i="11"/>
  <c r="T4229" i="11"/>
  <c r="T4228" i="11"/>
  <c r="T4227" i="11"/>
  <c r="T4226" i="11"/>
  <c r="T4225" i="11"/>
  <c r="T4224" i="11"/>
  <c r="T4223" i="11"/>
  <c r="T4222" i="11"/>
  <c r="T4221" i="11"/>
  <c r="T4220" i="11"/>
  <c r="T4219" i="11"/>
  <c r="T4218" i="11"/>
  <c r="T4217" i="11"/>
  <c r="T4216" i="11"/>
  <c r="T4215" i="11"/>
  <c r="T4214" i="11"/>
  <c r="T4213" i="11"/>
  <c r="T4212" i="11"/>
  <c r="T4211" i="11"/>
  <c r="T4210" i="11"/>
  <c r="T4209" i="11"/>
  <c r="T4208" i="11"/>
  <c r="T4207" i="11"/>
  <c r="T4206" i="11"/>
  <c r="T4205" i="11"/>
  <c r="T4204" i="11"/>
  <c r="T4203" i="11"/>
  <c r="T4202" i="11"/>
  <c r="T4201" i="11"/>
  <c r="T4200" i="11"/>
  <c r="T4199" i="11"/>
  <c r="T4198" i="11"/>
  <c r="T4197" i="11"/>
  <c r="T4196" i="11"/>
  <c r="T4195" i="11"/>
  <c r="T4194" i="11"/>
  <c r="T4193" i="11"/>
  <c r="T4192" i="11"/>
  <c r="T4191" i="11"/>
  <c r="T4190" i="11"/>
  <c r="T4189" i="11"/>
  <c r="T4188" i="11"/>
  <c r="T4187" i="11"/>
  <c r="T4186" i="11"/>
  <c r="T4185" i="11"/>
  <c r="T4184" i="11"/>
  <c r="T4183" i="11"/>
  <c r="T4182" i="11"/>
  <c r="T4181" i="11"/>
  <c r="T4180" i="11"/>
  <c r="T4179" i="11"/>
  <c r="T4178" i="11"/>
  <c r="T4177" i="11"/>
  <c r="T4176" i="11"/>
  <c r="T4175" i="11"/>
  <c r="T4174" i="11"/>
  <c r="T4173" i="11"/>
  <c r="T4172" i="11"/>
  <c r="T4171" i="11"/>
  <c r="T4170" i="11"/>
  <c r="T4169" i="11"/>
  <c r="T4168" i="11"/>
  <c r="T4167" i="11"/>
  <c r="T4166" i="11"/>
  <c r="T4165" i="11"/>
  <c r="T4164" i="11"/>
  <c r="T4163" i="11"/>
  <c r="T4162" i="11"/>
  <c r="T4161" i="11"/>
  <c r="T4160" i="11"/>
  <c r="T4159" i="11"/>
  <c r="T4158" i="11"/>
  <c r="T4157" i="11"/>
  <c r="T4156" i="11"/>
  <c r="T4155" i="11"/>
  <c r="T4154" i="11"/>
  <c r="T4153" i="11"/>
  <c r="T4152" i="11"/>
  <c r="T4151" i="11"/>
  <c r="T4150" i="11"/>
  <c r="T4149" i="11"/>
  <c r="T4148" i="11"/>
  <c r="T4147" i="11"/>
  <c r="T4146" i="11"/>
  <c r="T4145" i="11"/>
  <c r="T4144" i="11"/>
  <c r="T4143" i="11"/>
  <c r="T4142" i="11"/>
  <c r="T4141" i="11"/>
  <c r="T4140" i="11"/>
  <c r="T4139" i="11"/>
  <c r="T4138" i="11"/>
  <c r="T4137" i="11"/>
  <c r="T4136" i="11"/>
  <c r="T4135" i="11"/>
  <c r="T4134" i="11"/>
  <c r="T4133" i="11"/>
  <c r="T4132" i="11"/>
  <c r="T4131" i="11"/>
  <c r="T4130" i="11"/>
  <c r="T4129" i="11"/>
  <c r="T4128" i="11"/>
  <c r="T4127" i="11"/>
  <c r="T4126" i="11"/>
  <c r="T4125" i="11"/>
  <c r="T4124" i="11"/>
  <c r="T4123" i="11"/>
  <c r="T4122" i="11"/>
  <c r="T4121" i="11"/>
  <c r="T4120" i="11"/>
  <c r="T4119" i="11"/>
  <c r="T4118" i="11"/>
  <c r="T4117" i="11"/>
  <c r="T4116" i="11"/>
  <c r="T4115" i="11"/>
  <c r="T4114" i="11"/>
  <c r="T4113" i="11"/>
  <c r="T4112" i="11"/>
  <c r="T4111" i="11"/>
  <c r="T4110" i="11"/>
  <c r="T4109" i="11"/>
  <c r="T4108" i="11"/>
  <c r="T4107" i="11"/>
  <c r="T4106" i="11"/>
  <c r="T4105" i="11"/>
  <c r="T4104" i="11"/>
  <c r="T4103" i="11"/>
  <c r="T4102" i="11"/>
  <c r="T4101" i="11"/>
  <c r="T4100" i="11"/>
  <c r="T4099" i="11"/>
  <c r="T4098" i="11"/>
  <c r="T4097" i="11"/>
  <c r="T4096" i="11"/>
  <c r="T4095" i="11"/>
  <c r="T4094" i="11"/>
  <c r="T4093" i="11"/>
  <c r="T4092" i="11"/>
  <c r="T4091" i="11"/>
  <c r="T4090" i="11"/>
  <c r="T4089" i="11"/>
  <c r="T4088" i="11"/>
  <c r="T4087" i="11"/>
  <c r="T4086" i="11"/>
  <c r="T4085" i="11"/>
  <c r="T4084" i="11"/>
  <c r="T4083" i="11"/>
  <c r="T4082" i="11"/>
  <c r="T4081" i="11"/>
  <c r="T4080" i="11"/>
  <c r="T4079" i="11"/>
  <c r="T4078" i="11"/>
  <c r="T4077" i="11"/>
  <c r="T4076" i="11"/>
  <c r="T4075" i="11"/>
  <c r="T4074" i="11"/>
  <c r="T4073" i="11"/>
  <c r="T4072" i="11"/>
  <c r="T4071" i="11"/>
  <c r="T4070" i="11"/>
  <c r="T4069" i="11"/>
  <c r="T4068" i="11"/>
  <c r="T4067" i="11"/>
  <c r="T4066" i="11"/>
  <c r="T4065" i="11"/>
  <c r="T4064" i="11"/>
  <c r="T4063" i="11"/>
  <c r="T4062" i="11"/>
  <c r="T4061" i="11"/>
  <c r="T4060" i="11"/>
  <c r="T4059" i="11"/>
  <c r="T4058" i="11"/>
  <c r="T4057" i="11"/>
  <c r="T4056" i="11"/>
  <c r="T4055" i="11"/>
  <c r="T4054" i="11"/>
  <c r="T4053" i="11"/>
  <c r="T4052" i="11"/>
  <c r="T4051" i="11"/>
  <c r="T4050" i="11"/>
  <c r="T4049" i="11"/>
  <c r="T4048" i="11"/>
  <c r="T4047" i="11"/>
  <c r="T4046" i="11"/>
  <c r="T4045" i="11"/>
  <c r="T4044" i="11"/>
  <c r="T4043" i="11"/>
  <c r="T4042" i="11"/>
  <c r="T4041" i="11"/>
  <c r="T4040" i="11"/>
  <c r="T4039" i="11"/>
  <c r="T4038" i="11"/>
  <c r="T4037" i="11"/>
  <c r="T4036" i="11"/>
  <c r="T4035" i="11"/>
  <c r="T4034" i="11"/>
  <c r="T4033" i="11"/>
  <c r="T4032" i="11"/>
  <c r="T4031" i="11"/>
  <c r="T4030" i="11"/>
  <c r="T4029" i="11"/>
  <c r="T4028" i="11"/>
  <c r="T4027" i="11"/>
  <c r="T4026" i="11"/>
  <c r="T4025" i="11"/>
  <c r="T4024" i="11"/>
  <c r="T4023" i="11"/>
  <c r="T4022" i="11"/>
  <c r="T4021" i="11"/>
  <c r="T4020" i="11"/>
  <c r="T4019" i="11"/>
  <c r="T4018" i="11"/>
  <c r="T4017" i="11"/>
  <c r="T4016" i="11"/>
  <c r="T4015" i="11"/>
  <c r="T4014" i="11"/>
  <c r="T4013" i="11"/>
  <c r="T4012" i="11"/>
  <c r="T4011" i="11"/>
  <c r="T4010" i="11"/>
  <c r="T4009" i="11"/>
  <c r="T4008" i="11"/>
  <c r="T4007" i="11"/>
  <c r="T4006" i="11"/>
  <c r="T4005" i="11"/>
  <c r="T4004" i="11"/>
  <c r="T4003" i="11"/>
  <c r="T4002" i="11"/>
  <c r="T4001" i="11"/>
  <c r="T4000" i="11"/>
  <c r="T3999" i="11"/>
  <c r="T3998" i="11"/>
  <c r="T3997" i="11"/>
  <c r="T3996" i="11"/>
  <c r="T3995" i="11"/>
  <c r="T3994" i="11"/>
  <c r="T3993" i="11"/>
  <c r="T3992" i="11"/>
  <c r="T3991" i="11"/>
  <c r="T3990" i="11"/>
  <c r="T3989" i="11"/>
  <c r="T3988" i="11"/>
  <c r="T3987" i="11"/>
  <c r="T3986" i="11"/>
  <c r="T3985" i="11"/>
  <c r="T3984" i="11"/>
  <c r="T3983" i="11"/>
  <c r="T3982" i="11"/>
  <c r="T3981" i="11"/>
  <c r="T3980" i="11"/>
  <c r="T3979" i="11"/>
  <c r="T3978" i="11"/>
  <c r="T3977" i="11"/>
  <c r="T3976" i="11"/>
  <c r="T3975" i="11"/>
  <c r="T3974" i="11"/>
  <c r="T3973" i="11"/>
  <c r="T3972" i="11"/>
  <c r="T3971" i="11"/>
  <c r="T3970" i="11"/>
  <c r="T3969" i="11"/>
  <c r="T3968" i="11"/>
  <c r="T3967" i="11"/>
  <c r="T3966" i="11"/>
  <c r="T3965" i="11"/>
  <c r="T3964" i="11"/>
  <c r="T3963" i="11"/>
  <c r="T3962" i="11"/>
  <c r="T3961" i="11"/>
  <c r="T3960" i="11"/>
  <c r="T3959" i="11"/>
  <c r="T3958" i="11"/>
  <c r="T3957" i="11"/>
  <c r="T3956" i="11"/>
  <c r="T3955" i="11"/>
  <c r="T3954" i="11"/>
  <c r="T3953" i="11"/>
  <c r="T3952" i="11"/>
  <c r="T3951" i="11"/>
  <c r="T3950" i="11"/>
  <c r="T3949" i="11"/>
  <c r="T3948" i="11"/>
  <c r="T3947" i="11"/>
  <c r="T3946" i="11"/>
  <c r="T3945" i="11"/>
  <c r="T3944" i="11"/>
  <c r="T3943" i="11"/>
  <c r="T3942" i="11"/>
  <c r="T3941" i="11"/>
  <c r="T3940" i="11"/>
  <c r="T3939" i="11"/>
  <c r="T3938" i="11"/>
  <c r="T3937" i="11"/>
  <c r="T3936" i="11"/>
  <c r="T3935" i="11"/>
  <c r="T3934" i="11"/>
  <c r="T3933" i="11"/>
  <c r="T3932" i="11"/>
  <c r="T3931" i="11"/>
  <c r="T3930" i="11"/>
  <c r="T3929" i="11"/>
  <c r="T3928" i="11"/>
  <c r="T3927" i="11"/>
  <c r="T3926" i="11"/>
  <c r="T3925" i="11"/>
  <c r="T3924" i="11"/>
  <c r="T3923" i="11"/>
  <c r="T3922" i="11"/>
  <c r="T3921" i="11"/>
  <c r="T3920" i="11"/>
  <c r="T3919" i="11"/>
  <c r="T3918" i="11"/>
  <c r="T3917" i="11"/>
  <c r="T3916" i="11"/>
  <c r="T3915" i="11"/>
  <c r="T3914" i="11"/>
  <c r="T3913" i="11"/>
  <c r="T3912" i="11"/>
  <c r="T3911" i="11"/>
  <c r="T3910" i="11"/>
  <c r="T3909" i="11"/>
  <c r="T3908" i="11"/>
  <c r="T3907" i="11"/>
  <c r="T3906" i="11"/>
  <c r="T3905" i="11"/>
  <c r="T3904" i="11"/>
  <c r="T3903" i="11"/>
  <c r="T3902" i="11"/>
  <c r="T3901" i="11"/>
  <c r="T3900" i="11"/>
  <c r="T3899" i="11"/>
  <c r="T3898" i="11"/>
  <c r="T3897" i="11"/>
  <c r="T3896" i="11"/>
  <c r="T3895" i="11"/>
  <c r="T3894" i="11"/>
  <c r="T3893" i="11"/>
  <c r="T3892" i="11"/>
  <c r="T3891" i="11"/>
  <c r="T3890" i="11"/>
  <c r="T3889" i="11"/>
  <c r="T3888" i="11"/>
  <c r="T3887" i="11"/>
  <c r="T3886" i="11"/>
  <c r="T3885" i="11"/>
  <c r="T3884" i="11"/>
  <c r="T3883" i="11"/>
  <c r="T3882" i="11"/>
  <c r="T3881" i="11"/>
  <c r="T3880" i="11"/>
  <c r="T3879" i="11"/>
  <c r="T3878" i="11"/>
  <c r="T3877" i="11"/>
  <c r="T3876" i="11"/>
  <c r="T3875" i="11"/>
  <c r="T3874" i="11"/>
  <c r="T3873" i="11"/>
  <c r="T3872" i="11"/>
  <c r="T3871" i="11"/>
  <c r="T3870" i="11"/>
  <c r="T3869" i="11"/>
  <c r="T3868" i="11"/>
  <c r="T3867" i="11"/>
  <c r="T3866" i="11"/>
  <c r="T3865" i="11"/>
  <c r="T3864" i="11"/>
  <c r="T3863" i="11"/>
  <c r="T3862" i="11"/>
  <c r="T3861" i="11"/>
  <c r="T3860" i="11"/>
  <c r="T3859" i="11"/>
  <c r="T3858" i="11"/>
  <c r="T3857" i="11"/>
  <c r="T3856" i="11"/>
  <c r="T3855" i="11"/>
  <c r="T3854" i="11"/>
  <c r="T3853" i="11"/>
  <c r="T3852" i="11"/>
  <c r="T3851" i="11"/>
  <c r="T3850" i="11"/>
  <c r="T3849" i="11"/>
  <c r="T3848" i="11"/>
  <c r="T3847" i="11"/>
  <c r="T3846" i="11"/>
  <c r="T3845" i="11"/>
  <c r="T3844" i="11"/>
  <c r="T3843" i="11"/>
  <c r="T3842" i="11"/>
  <c r="T3841" i="11"/>
  <c r="T3840" i="11"/>
  <c r="T3839" i="11"/>
  <c r="T3838" i="11"/>
  <c r="T3837" i="11"/>
  <c r="T3836" i="11"/>
  <c r="T3835" i="11"/>
  <c r="T3834" i="11"/>
  <c r="T3833" i="11"/>
  <c r="T3832" i="11"/>
  <c r="T3831" i="11"/>
  <c r="T3830" i="11"/>
  <c r="T3829" i="11"/>
  <c r="T3828" i="11"/>
  <c r="T3827" i="11"/>
  <c r="T3826" i="11"/>
  <c r="T3825" i="11"/>
  <c r="T3824" i="11"/>
  <c r="T3823" i="11"/>
  <c r="T3822" i="11"/>
  <c r="T3821" i="11"/>
  <c r="T3820" i="11"/>
  <c r="T3819" i="11"/>
  <c r="T3818" i="11"/>
  <c r="T3817" i="11"/>
  <c r="T3816" i="11"/>
  <c r="T3815" i="11"/>
  <c r="T3814" i="11"/>
  <c r="T3813" i="11"/>
  <c r="T3812" i="11"/>
  <c r="T3811" i="11"/>
  <c r="T3810" i="11"/>
  <c r="T3809" i="11"/>
  <c r="T3808" i="11"/>
  <c r="T3807" i="11"/>
  <c r="T3806" i="11"/>
  <c r="T3805" i="11"/>
  <c r="T3804" i="11"/>
  <c r="T3803" i="11"/>
  <c r="T3802" i="11"/>
  <c r="T3801" i="11"/>
  <c r="T3800" i="11"/>
  <c r="T3799" i="11"/>
  <c r="T3798" i="11"/>
  <c r="T3797" i="11"/>
  <c r="T3796" i="11"/>
  <c r="T3795" i="11"/>
  <c r="T3794" i="11"/>
  <c r="T3793" i="11"/>
  <c r="T3792" i="11"/>
  <c r="T3791" i="11"/>
  <c r="T3790" i="11"/>
  <c r="T3789" i="11"/>
  <c r="T3788" i="11"/>
  <c r="T3787" i="11"/>
  <c r="T3786" i="11"/>
  <c r="T3785" i="11"/>
  <c r="T3784" i="11"/>
  <c r="T3783" i="11"/>
  <c r="T3782" i="11"/>
  <c r="T3781" i="11"/>
  <c r="T3780" i="11"/>
  <c r="T3779" i="11"/>
  <c r="T3778" i="11"/>
  <c r="T3777" i="11"/>
  <c r="T3776" i="11"/>
  <c r="T3775" i="11"/>
  <c r="T3774" i="11"/>
  <c r="T3773" i="11"/>
  <c r="T3772" i="11"/>
  <c r="T3771" i="11"/>
  <c r="T3770" i="11"/>
  <c r="T3769" i="11"/>
  <c r="T3768" i="11"/>
  <c r="T3767" i="11"/>
  <c r="T3766" i="11"/>
  <c r="T3765" i="11"/>
  <c r="T3764" i="11"/>
  <c r="T3763" i="11"/>
  <c r="T3762" i="11"/>
  <c r="T3761" i="11"/>
  <c r="T3760" i="11"/>
  <c r="T3759" i="11"/>
  <c r="T3758" i="11"/>
  <c r="T3757" i="11"/>
  <c r="T3756" i="11"/>
  <c r="T3755" i="11"/>
  <c r="T3754" i="11"/>
  <c r="T3753" i="11"/>
  <c r="T3752" i="11"/>
  <c r="T3751" i="11"/>
  <c r="T3750" i="11"/>
  <c r="T3749" i="11"/>
  <c r="T3748" i="11"/>
  <c r="T3747" i="11"/>
  <c r="T3746" i="11"/>
  <c r="T3745" i="11"/>
  <c r="T3744" i="11"/>
  <c r="T3743" i="11"/>
  <c r="T3742" i="11"/>
  <c r="T3741" i="11"/>
  <c r="T3740" i="11"/>
  <c r="T3739" i="11"/>
  <c r="T3738" i="11"/>
  <c r="T3737" i="11"/>
  <c r="T3736" i="11"/>
  <c r="T3735" i="11"/>
  <c r="T3734" i="11"/>
  <c r="T3733" i="11"/>
  <c r="T3732" i="11"/>
  <c r="T3731" i="11"/>
  <c r="T3730" i="11"/>
  <c r="T3729" i="11"/>
  <c r="T3728" i="11"/>
  <c r="T3727" i="11"/>
  <c r="T3726" i="11"/>
  <c r="T3725" i="11"/>
  <c r="T3724" i="11"/>
  <c r="T3723" i="11"/>
  <c r="T3722" i="11"/>
  <c r="T3721" i="11"/>
  <c r="T3720" i="11"/>
  <c r="T3719" i="11"/>
  <c r="T3718" i="11"/>
  <c r="T3717" i="11"/>
  <c r="T3716" i="11"/>
  <c r="T3715" i="11"/>
  <c r="T3714" i="11"/>
  <c r="T3713" i="11"/>
  <c r="T3712" i="11"/>
  <c r="T3711" i="11"/>
  <c r="T3710" i="11"/>
  <c r="T3709" i="11"/>
  <c r="T3708" i="11"/>
  <c r="T3707" i="11"/>
  <c r="T3706" i="11"/>
  <c r="T3705" i="11"/>
  <c r="T3704" i="11"/>
  <c r="T3703" i="11"/>
  <c r="T3702" i="11"/>
  <c r="T3701" i="11"/>
  <c r="T3700" i="11"/>
  <c r="T3699" i="11"/>
  <c r="T3698" i="11"/>
  <c r="T3697" i="11"/>
  <c r="T3696" i="11"/>
  <c r="T3695" i="11"/>
  <c r="T3694" i="11"/>
  <c r="T3693" i="11"/>
  <c r="T3692" i="11"/>
  <c r="T3691" i="11"/>
  <c r="T3690" i="11"/>
  <c r="T3689" i="11"/>
  <c r="T3688" i="11"/>
  <c r="T3687" i="11"/>
  <c r="T3686" i="11"/>
  <c r="T3685" i="11"/>
  <c r="T3684" i="11"/>
  <c r="T3683" i="11"/>
  <c r="T3682" i="11"/>
  <c r="T3681" i="11"/>
  <c r="T3680" i="11"/>
  <c r="T3679" i="11"/>
  <c r="T3678" i="11"/>
  <c r="T3677" i="11"/>
  <c r="T3676" i="11"/>
  <c r="T3675" i="11"/>
  <c r="T3674" i="11"/>
  <c r="T3673" i="11"/>
  <c r="T3672" i="11"/>
  <c r="T3671" i="11"/>
  <c r="T3670" i="11"/>
  <c r="T3669" i="11"/>
  <c r="T3668" i="11"/>
  <c r="T3667" i="11"/>
  <c r="T3666" i="11"/>
  <c r="T3665" i="11"/>
  <c r="T3664" i="11"/>
  <c r="T3663" i="11"/>
  <c r="T3662" i="11"/>
  <c r="T3661" i="11"/>
  <c r="T3660" i="11"/>
  <c r="T3659" i="11"/>
  <c r="T3658" i="11"/>
  <c r="T3657" i="11"/>
  <c r="T3656" i="11"/>
  <c r="T3655" i="11"/>
  <c r="T3654" i="11"/>
  <c r="T3653" i="11"/>
  <c r="T3652" i="11"/>
  <c r="T3651" i="11"/>
  <c r="T3650" i="11"/>
  <c r="T3649" i="11"/>
  <c r="T3648" i="11"/>
  <c r="T3647" i="11"/>
  <c r="T3646" i="11"/>
  <c r="T3645" i="11"/>
  <c r="T3644" i="11"/>
  <c r="T3643" i="11"/>
  <c r="T3642" i="11"/>
  <c r="T3641" i="11"/>
  <c r="T3640" i="11"/>
  <c r="T3639" i="11"/>
  <c r="T3638" i="11"/>
  <c r="T3637" i="11"/>
  <c r="T3636" i="11"/>
  <c r="T3635" i="11"/>
  <c r="T3634" i="11"/>
  <c r="T3633" i="11"/>
  <c r="T3632" i="11"/>
  <c r="T3631" i="11"/>
  <c r="T3630" i="11"/>
  <c r="T3629" i="11"/>
  <c r="T3628" i="11"/>
  <c r="T3627" i="11"/>
  <c r="T3626" i="11"/>
  <c r="T3625" i="11"/>
  <c r="T3624" i="11"/>
  <c r="T3623" i="11"/>
  <c r="T3622" i="11"/>
  <c r="T3621" i="11"/>
  <c r="T3620" i="11"/>
  <c r="T3619" i="11"/>
  <c r="T3618" i="11"/>
  <c r="T3617" i="11"/>
  <c r="T3616" i="11"/>
  <c r="T3615" i="11"/>
  <c r="T3614" i="11"/>
  <c r="T3613" i="11"/>
  <c r="T3612" i="11"/>
  <c r="T3611" i="11"/>
  <c r="T3610" i="11"/>
  <c r="T3609" i="11"/>
  <c r="T3608" i="11"/>
  <c r="T3607" i="11"/>
  <c r="T3606" i="11"/>
  <c r="T3605" i="11"/>
  <c r="T3604" i="11"/>
  <c r="T3603" i="11"/>
  <c r="T3602" i="11"/>
  <c r="T3601" i="11"/>
  <c r="T3600" i="11"/>
  <c r="T3599" i="11"/>
  <c r="T3598" i="11"/>
  <c r="T3597" i="11"/>
  <c r="T3596" i="11"/>
  <c r="T3595" i="11"/>
  <c r="T3594" i="11"/>
  <c r="T3593" i="11"/>
  <c r="T3592" i="11"/>
  <c r="T3591" i="11"/>
  <c r="T3590" i="11"/>
  <c r="T3589" i="11"/>
  <c r="T3588" i="11"/>
  <c r="T3587" i="11"/>
  <c r="T3586" i="11"/>
  <c r="T3585" i="11"/>
  <c r="T3584" i="11"/>
  <c r="T3583" i="11"/>
  <c r="T3582" i="11"/>
  <c r="T3581" i="11"/>
  <c r="T3580" i="11"/>
  <c r="T3579" i="11"/>
  <c r="T3578" i="11"/>
  <c r="T3577" i="11"/>
  <c r="T3576" i="11"/>
  <c r="T3575" i="11"/>
  <c r="T3574" i="11"/>
  <c r="T3573" i="11"/>
  <c r="T3572" i="11"/>
  <c r="T3571" i="11"/>
  <c r="T3570" i="11"/>
  <c r="T3569" i="11"/>
  <c r="T3568" i="11"/>
  <c r="T3567" i="11"/>
  <c r="T3566" i="11"/>
  <c r="T3565" i="11"/>
  <c r="T3564" i="11"/>
  <c r="T3563" i="11"/>
  <c r="T3562" i="11"/>
  <c r="T3561" i="11"/>
  <c r="T3560" i="11"/>
  <c r="T3559" i="11"/>
  <c r="T3558" i="11"/>
  <c r="T3557" i="11"/>
  <c r="T3556" i="11"/>
  <c r="T3555" i="11"/>
  <c r="T3554" i="11"/>
  <c r="T3553" i="11"/>
  <c r="T3552" i="11"/>
  <c r="T3551" i="11"/>
  <c r="T3550" i="11"/>
  <c r="T3549" i="11"/>
  <c r="T3548" i="11"/>
  <c r="T3547" i="11"/>
  <c r="T3546" i="11"/>
  <c r="T3545" i="11"/>
  <c r="T3544" i="11"/>
  <c r="T3543" i="11"/>
  <c r="T3542" i="11"/>
  <c r="T3541" i="11"/>
  <c r="T3540" i="11"/>
  <c r="T3539" i="11"/>
  <c r="T3538" i="11"/>
  <c r="T3537" i="11"/>
  <c r="T3536" i="11"/>
  <c r="T3535" i="11"/>
  <c r="T3534" i="11"/>
  <c r="T3533" i="11"/>
  <c r="T3532" i="11"/>
  <c r="T3531" i="11"/>
  <c r="T3530" i="11"/>
  <c r="T3529" i="11"/>
  <c r="T3528" i="11"/>
  <c r="T3527" i="11"/>
  <c r="T3526" i="11"/>
  <c r="T3525" i="11"/>
  <c r="T3524" i="11"/>
  <c r="T3523" i="11"/>
  <c r="T3522" i="11"/>
  <c r="T3521" i="11"/>
  <c r="T3520" i="11"/>
  <c r="T3519" i="11"/>
  <c r="T3518" i="11"/>
  <c r="T3517" i="11"/>
  <c r="T3516" i="11"/>
  <c r="T3515" i="11"/>
  <c r="T3514" i="11"/>
  <c r="T3513" i="11"/>
  <c r="T3512" i="11"/>
  <c r="T3511" i="11"/>
  <c r="T3510" i="11"/>
  <c r="T3509" i="11"/>
  <c r="T3508" i="11"/>
  <c r="T3507" i="11"/>
  <c r="T3506" i="11"/>
  <c r="T3505" i="11"/>
  <c r="T3504" i="11"/>
  <c r="T3503" i="11"/>
  <c r="T3502" i="11"/>
  <c r="T3501" i="11"/>
  <c r="T3500" i="11"/>
  <c r="T3499" i="11"/>
  <c r="T3498" i="11"/>
  <c r="T3497" i="11"/>
  <c r="T3496" i="11"/>
  <c r="T3495" i="11"/>
  <c r="T3494" i="11"/>
  <c r="T3493" i="11"/>
  <c r="T3492" i="11"/>
  <c r="T3491" i="11"/>
  <c r="T3490" i="11"/>
  <c r="T3489" i="11"/>
  <c r="T3488" i="11"/>
  <c r="T3487" i="11"/>
  <c r="T3486" i="11"/>
  <c r="T3485" i="11"/>
  <c r="T3484" i="11"/>
  <c r="T3483" i="11"/>
  <c r="T3482" i="11"/>
  <c r="T3481" i="11"/>
  <c r="T3480" i="11"/>
  <c r="T3479" i="11"/>
  <c r="T3478" i="11"/>
  <c r="T3477" i="11"/>
  <c r="T3476" i="11"/>
  <c r="T3475" i="11"/>
  <c r="T3474" i="11"/>
  <c r="T3473" i="11"/>
  <c r="T3472" i="11"/>
  <c r="T3471" i="11"/>
  <c r="T3470" i="11"/>
  <c r="T3469" i="11"/>
  <c r="T3468" i="11"/>
  <c r="T3467" i="11"/>
  <c r="T3466" i="11"/>
  <c r="T3465" i="11"/>
  <c r="T3464" i="11"/>
  <c r="T3463" i="11"/>
  <c r="T3462" i="11"/>
  <c r="T3461" i="11"/>
  <c r="T3460" i="11"/>
  <c r="T3459" i="11"/>
  <c r="T3458" i="11"/>
  <c r="T3457" i="11"/>
  <c r="T3456" i="11"/>
  <c r="T3455" i="11"/>
  <c r="T3454" i="11"/>
  <c r="T3453" i="11"/>
  <c r="T3452" i="11"/>
  <c r="T3451" i="11"/>
  <c r="T3450" i="11"/>
  <c r="T3449" i="11"/>
  <c r="T3448" i="11"/>
  <c r="T3447" i="11"/>
  <c r="T3446" i="11"/>
  <c r="T3445" i="11"/>
  <c r="T3444" i="11"/>
  <c r="T3443" i="11"/>
  <c r="T3442" i="11"/>
  <c r="T3441" i="11"/>
  <c r="T3440" i="11"/>
  <c r="T3439" i="11"/>
  <c r="T3438" i="11"/>
  <c r="T3437" i="11"/>
  <c r="T3436" i="11"/>
  <c r="T3435" i="11"/>
  <c r="T3434" i="11"/>
  <c r="T3433" i="11"/>
  <c r="T3432" i="11"/>
  <c r="T3431" i="11"/>
  <c r="T3430" i="11"/>
  <c r="T3429" i="11"/>
  <c r="T3428" i="11"/>
  <c r="T3427" i="11"/>
  <c r="T3426" i="11"/>
  <c r="T3425" i="11"/>
  <c r="T3424" i="11"/>
  <c r="T3423" i="11"/>
  <c r="T3422" i="11"/>
  <c r="T3421" i="11"/>
  <c r="T3420" i="11"/>
  <c r="T3419" i="11"/>
  <c r="T3418" i="11"/>
  <c r="T3417" i="11"/>
  <c r="T3416" i="11"/>
  <c r="T3415" i="11"/>
  <c r="T3414" i="11"/>
  <c r="T3413" i="11"/>
  <c r="T3412" i="11"/>
  <c r="T3411" i="11"/>
  <c r="T3410" i="11"/>
  <c r="T3409" i="11"/>
  <c r="T3408" i="11"/>
  <c r="T3407" i="11"/>
  <c r="T3406" i="11"/>
  <c r="T3405" i="11"/>
  <c r="T3404" i="11"/>
  <c r="T3403" i="11"/>
  <c r="T3402" i="11"/>
  <c r="T3401" i="11"/>
  <c r="T3400" i="11"/>
  <c r="T3399" i="11"/>
  <c r="T3398" i="11"/>
  <c r="T3397" i="11"/>
  <c r="T3396" i="11"/>
  <c r="T3395" i="11"/>
  <c r="T3394" i="11"/>
  <c r="T3393" i="11"/>
  <c r="T3392" i="11"/>
  <c r="T3391" i="11"/>
  <c r="T3390" i="11"/>
  <c r="T3389" i="11"/>
  <c r="T3388" i="11"/>
  <c r="T3387" i="11"/>
  <c r="T3386" i="11"/>
  <c r="T3385" i="11"/>
  <c r="T3384" i="11"/>
  <c r="T3383" i="11"/>
  <c r="T3382" i="11"/>
  <c r="T3381" i="11"/>
  <c r="T3380" i="11"/>
  <c r="T3379" i="11"/>
  <c r="T3378" i="11"/>
  <c r="T3377" i="11"/>
  <c r="T3376" i="11"/>
  <c r="T3375" i="11"/>
  <c r="T3374" i="11"/>
  <c r="T3373" i="11"/>
  <c r="T3372" i="11"/>
  <c r="T3371" i="11"/>
  <c r="T3370" i="11"/>
  <c r="T3369" i="11"/>
  <c r="T3368" i="11"/>
  <c r="T3367" i="11"/>
  <c r="T3366" i="11"/>
  <c r="T3365" i="11"/>
  <c r="T3364" i="11"/>
  <c r="T3363" i="11"/>
  <c r="T3362" i="11"/>
  <c r="T3361" i="11"/>
  <c r="T3360" i="11"/>
  <c r="T3359" i="11"/>
  <c r="T3358" i="11"/>
  <c r="T3357" i="11"/>
  <c r="T3356" i="11"/>
  <c r="T3355" i="11"/>
  <c r="T3354" i="11"/>
  <c r="T3353" i="11"/>
  <c r="T3352" i="11"/>
  <c r="T3351" i="11"/>
  <c r="T3350" i="11"/>
  <c r="T3349" i="11"/>
  <c r="T3348" i="11"/>
  <c r="T3347" i="11"/>
  <c r="T3346" i="11"/>
  <c r="T3345" i="11"/>
  <c r="T3344" i="11"/>
  <c r="T3343" i="11"/>
  <c r="T3342" i="11"/>
  <c r="T3341" i="11"/>
  <c r="T3340" i="11"/>
  <c r="T3339" i="11"/>
  <c r="T3338" i="11"/>
  <c r="T3337" i="11"/>
  <c r="T3336" i="11"/>
  <c r="T3335" i="11"/>
  <c r="T3334" i="11"/>
  <c r="T3333" i="11"/>
  <c r="T3332" i="11"/>
  <c r="T3331" i="11"/>
  <c r="T3330" i="11"/>
  <c r="T3329" i="11"/>
  <c r="T3328" i="11"/>
  <c r="T3327" i="11"/>
  <c r="T3326" i="11"/>
  <c r="T3325" i="11"/>
  <c r="T3324" i="11"/>
  <c r="T3323" i="11"/>
  <c r="T3322" i="11"/>
  <c r="T3321" i="11"/>
  <c r="T3320" i="11"/>
  <c r="T3319" i="11"/>
  <c r="T3318" i="11"/>
  <c r="T3317" i="11"/>
  <c r="T3316" i="11"/>
  <c r="T3315" i="11"/>
  <c r="T3314" i="11"/>
  <c r="T3313" i="11"/>
  <c r="T3312" i="11"/>
  <c r="T3311" i="11"/>
  <c r="T3310" i="11"/>
  <c r="T3309" i="11"/>
  <c r="T3308" i="11"/>
  <c r="T3307" i="11"/>
  <c r="T3306" i="11"/>
  <c r="T3305" i="11"/>
  <c r="T3304" i="11"/>
  <c r="T3303" i="11"/>
  <c r="T3302" i="11"/>
  <c r="T3301" i="11"/>
  <c r="T3300" i="11"/>
  <c r="T3299" i="11"/>
  <c r="T3298" i="11"/>
  <c r="T3297" i="11"/>
  <c r="T3296" i="11"/>
  <c r="T3295" i="11"/>
  <c r="T3294" i="11"/>
  <c r="T3293" i="11"/>
  <c r="T3292" i="11"/>
  <c r="T3291" i="11"/>
  <c r="T3290" i="11"/>
  <c r="T3289" i="11"/>
  <c r="T3288" i="11"/>
  <c r="T3287" i="11"/>
  <c r="T3286" i="11"/>
  <c r="T3285" i="11"/>
  <c r="T3284" i="11"/>
  <c r="T3283" i="11"/>
  <c r="T3282" i="11"/>
  <c r="T3281" i="11"/>
  <c r="T3280" i="11"/>
  <c r="T3279" i="11"/>
  <c r="T3278" i="11"/>
  <c r="T3277" i="11"/>
  <c r="T3276" i="11"/>
  <c r="T3275" i="11"/>
  <c r="T3274" i="11"/>
  <c r="T3273" i="11"/>
  <c r="T3272" i="11"/>
  <c r="T3271" i="11"/>
  <c r="T3270" i="11"/>
  <c r="T3269" i="11"/>
  <c r="T3268" i="11"/>
  <c r="T3267" i="11"/>
  <c r="T3266" i="11"/>
  <c r="T3265" i="11"/>
  <c r="T3264" i="11"/>
  <c r="T3263" i="11"/>
  <c r="T3262" i="11"/>
  <c r="T3261" i="11"/>
  <c r="T3260" i="11"/>
  <c r="T3259" i="11"/>
  <c r="T3258" i="11"/>
  <c r="T3257" i="11"/>
  <c r="T3256" i="11"/>
  <c r="T3255" i="11"/>
  <c r="T3254" i="11"/>
  <c r="T3253" i="11"/>
  <c r="T3252" i="11"/>
  <c r="T3251" i="11"/>
  <c r="T3250" i="11"/>
  <c r="T3249" i="11"/>
  <c r="T3248" i="11"/>
  <c r="T3247" i="11"/>
  <c r="T3246" i="11"/>
  <c r="T3245" i="11"/>
  <c r="T3244" i="11"/>
  <c r="T3243" i="11"/>
  <c r="T3242" i="11"/>
  <c r="T3241" i="11"/>
  <c r="T3240" i="11"/>
  <c r="T3239" i="11"/>
  <c r="T3238" i="11"/>
  <c r="T3237" i="11"/>
  <c r="T3236" i="11"/>
  <c r="T3235" i="11"/>
  <c r="T3234" i="11"/>
  <c r="T3233" i="11"/>
  <c r="T3232" i="11"/>
  <c r="T3231" i="11"/>
  <c r="T3230" i="11"/>
  <c r="T3229" i="11"/>
  <c r="T3228" i="11"/>
  <c r="T3227" i="11"/>
  <c r="T3226" i="11"/>
  <c r="T3225" i="11"/>
  <c r="T3224" i="11"/>
  <c r="T3223" i="11"/>
  <c r="T3222" i="11"/>
  <c r="T3221" i="11"/>
  <c r="T3220" i="11"/>
  <c r="T3219" i="11"/>
  <c r="T3218" i="11"/>
  <c r="T3217" i="11"/>
  <c r="T3216" i="11"/>
  <c r="T3215" i="11"/>
  <c r="T3214" i="11"/>
  <c r="T3213" i="11"/>
  <c r="T3212" i="11"/>
  <c r="T3211" i="11"/>
  <c r="T3210" i="11"/>
  <c r="T3209" i="11"/>
  <c r="T3208" i="11"/>
  <c r="T3207" i="11"/>
  <c r="T3206" i="11"/>
  <c r="T3205" i="11"/>
  <c r="T3204" i="11"/>
  <c r="T3203" i="11"/>
  <c r="T3202" i="11"/>
  <c r="T3201" i="11"/>
  <c r="T3200" i="11"/>
  <c r="T3199" i="11"/>
  <c r="T3198" i="11"/>
  <c r="T3197" i="11"/>
  <c r="T3196" i="11"/>
  <c r="T3195" i="11"/>
  <c r="T3194" i="11"/>
  <c r="T3193" i="11"/>
  <c r="T3192" i="11"/>
  <c r="T3191" i="11"/>
  <c r="T3190" i="11"/>
  <c r="T3189" i="11"/>
  <c r="T3188" i="11"/>
  <c r="T3187" i="11"/>
  <c r="T3186" i="11"/>
  <c r="T3185" i="11"/>
  <c r="T3184" i="11"/>
  <c r="T3183" i="11"/>
  <c r="T3182" i="11"/>
  <c r="T3181" i="11"/>
  <c r="T3180" i="11"/>
  <c r="T3179" i="11"/>
  <c r="T3178" i="11"/>
  <c r="T3177" i="11"/>
  <c r="T3176" i="11"/>
  <c r="T3175" i="11"/>
  <c r="T3174" i="11"/>
  <c r="T3173" i="11"/>
  <c r="T3172" i="11"/>
  <c r="T3171" i="11"/>
  <c r="T3170" i="11"/>
  <c r="T3169" i="11"/>
  <c r="T3168" i="11"/>
  <c r="T3167" i="11"/>
  <c r="T3166" i="11"/>
  <c r="T3165" i="11"/>
  <c r="T3164" i="11"/>
  <c r="T3163" i="11"/>
  <c r="T3162" i="11"/>
  <c r="T3161" i="11"/>
  <c r="T3160" i="11"/>
  <c r="T3159" i="11"/>
  <c r="T3158" i="11"/>
  <c r="T3157" i="11"/>
  <c r="T3156" i="11"/>
  <c r="T3155" i="11"/>
  <c r="T3154" i="11"/>
  <c r="T3153" i="11"/>
  <c r="T3152" i="11"/>
  <c r="T3151" i="11"/>
  <c r="T3150" i="11"/>
  <c r="T3149" i="11"/>
  <c r="T3148" i="11"/>
  <c r="T3147" i="11"/>
  <c r="T3146" i="11"/>
  <c r="T3145" i="11"/>
  <c r="T3144" i="11"/>
  <c r="T3143" i="11"/>
  <c r="T3142" i="11"/>
  <c r="T3141" i="11"/>
  <c r="T3140" i="11"/>
  <c r="T3139" i="11"/>
  <c r="T3138" i="11"/>
  <c r="T3137" i="11"/>
  <c r="T3136" i="11"/>
  <c r="T3135" i="11"/>
  <c r="T3134" i="11"/>
  <c r="T3133" i="11"/>
  <c r="T3132" i="11"/>
  <c r="T3131" i="11"/>
  <c r="T3130" i="11"/>
  <c r="T3129" i="11"/>
  <c r="T3128" i="11"/>
  <c r="T3127" i="11"/>
  <c r="T3126" i="11"/>
  <c r="T3125" i="11"/>
  <c r="T3124" i="11"/>
  <c r="T3123" i="11"/>
  <c r="T3122" i="11"/>
  <c r="T3121" i="11"/>
  <c r="T3120" i="11"/>
  <c r="T3119" i="11"/>
  <c r="T3118" i="11"/>
  <c r="T3117" i="11"/>
  <c r="T3116" i="11"/>
  <c r="T3115" i="11"/>
  <c r="T3114" i="11"/>
  <c r="T3113" i="11"/>
  <c r="T3112" i="11"/>
  <c r="T3111" i="11"/>
  <c r="T3110" i="11"/>
  <c r="T3109" i="11"/>
  <c r="T3108" i="11"/>
  <c r="T3107" i="11"/>
  <c r="T3106" i="11"/>
  <c r="T3105" i="11"/>
  <c r="T3104" i="11"/>
  <c r="T3103" i="11"/>
  <c r="T3102" i="11"/>
  <c r="T3101" i="11"/>
  <c r="T3100" i="11"/>
  <c r="T3099" i="11"/>
  <c r="T3098" i="11"/>
  <c r="T3097" i="11"/>
  <c r="T3096" i="11"/>
  <c r="T3095" i="11"/>
  <c r="T3094" i="11"/>
  <c r="T3093" i="11"/>
  <c r="T3092" i="11"/>
  <c r="T3091" i="11"/>
  <c r="T3090" i="11"/>
  <c r="T3089" i="11"/>
  <c r="T3088" i="11"/>
  <c r="T3087" i="11"/>
  <c r="T3086" i="11"/>
  <c r="T3085" i="11"/>
  <c r="T3084" i="11"/>
  <c r="T3083" i="11"/>
  <c r="T3082" i="11"/>
  <c r="T3081" i="11"/>
  <c r="T3080" i="11"/>
  <c r="T3079" i="11"/>
  <c r="T3078" i="11"/>
  <c r="T3077" i="11"/>
  <c r="T3076" i="11"/>
  <c r="T3075" i="11"/>
  <c r="T3074" i="11"/>
  <c r="T3073" i="11"/>
  <c r="T3072" i="11"/>
  <c r="T3071" i="11"/>
  <c r="T3070" i="11"/>
  <c r="T3069" i="11"/>
  <c r="T3068" i="11"/>
  <c r="T3067" i="11"/>
  <c r="T3066" i="11"/>
  <c r="T3065" i="11"/>
  <c r="T3064" i="11"/>
  <c r="T3063" i="11"/>
  <c r="T3062" i="11"/>
  <c r="T3061" i="11"/>
  <c r="T3060" i="11"/>
  <c r="T3059" i="11"/>
  <c r="T3058" i="11"/>
  <c r="T3057" i="11"/>
  <c r="T3056" i="11"/>
  <c r="T3055" i="11"/>
  <c r="T3054" i="11"/>
  <c r="T3053" i="11"/>
  <c r="T3052" i="11"/>
  <c r="T3051" i="11"/>
  <c r="T3050" i="11"/>
  <c r="T3049" i="11"/>
  <c r="T3048" i="11"/>
  <c r="T3047" i="11"/>
  <c r="T3046" i="11"/>
  <c r="T3045" i="11"/>
  <c r="T3044" i="11"/>
  <c r="T3043" i="11"/>
  <c r="T3042" i="11"/>
  <c r="T3041" i="11"/>
  <c r="T3040" i="11"/>
  <c r="T3039" i="11"/>
  <c r="T3038" i="11"/>
  <c r="T3037" i="11"/>
  <c r="T3036" i="11"/>
  <c r="T3035" i="11"/>
  <c r="T3034" i="11"/>
  <c r="T3033" i="11"/>
  <c r="T3032" i="11"/>
  <c r="T3031" i="11"/>
  <c r="T3030" i="11"/>
  <c r="T3029" i="11"/>
  <c r="T3028" i="11"/>
  <c r="T3027" i="11"/>
  <c r="T3026" i="11"/>
  <c r="T3025" i="11"/>
  <c r="T3024" i="11"/>
  <c r="T3023" i="11"/>
  <c r="T3022" i="11"/>
  <c r="T3021" i="11"/>
  <c r="T3020" i="11"/>
  <c r="T3019" i="11"/>
  <c r="T3018" i="11"/>
  <c r="T3017" i="11"/>
  <c r="T3016" i="11"/>
  <c r="T3015" i="11"/>
  <c r="T3014" i="11"/>
  <c r="T3013" i="11"/>
  <c r="T3012" i="11"/>
  <c r="T3011" i="11"/>
  <c r="T3010" i="11"/>
  <c r="T3009" i="11"/>
  <c r="T3008" i="11"/>
  <c r="T3007" i="11"/>
  <c r="T3006" i="11"/>
  <c r="T3005" i="11"/>
  <c r="T3004" i="11"/>
  <c r="T3003" i="11"/>
  <c r="T3002" i="11"/>
  <c r="T3001" i="11"/>
  <c r="T3000" i="11"/>
  <c r="T2999" i="11"/>
  <c r="T2998" i="11"/>
  <c r="T2997" i="11"/>
  <c r="T2996" i="11"/>
  <c r="T2995" i="11"/>
  <c r="T2994" i="11"/>
  <c r="T2993" i="11"/>
  <c r="T2992" i="11"/>
  <c r="T2991" i="11"/>
  <c r="T2990" i="11"/>
  <c r="T2989" i="11"/>
  <c r="T2988" i="11"/>
  <c r="T2987" i="11"/>
  <c r="T2986" i="11"/>
  <c r="T2985" i="11"/>
  <c r="T2984" i="11"/>
  <c r="T2983" i="11"/>
  <c r="T2982" i="11"/>
  <c r="T2981" i="11"/>
  <c r="T2980" i="11"/>
  <c r="T2979" i="11"/>
  <c r="T2978" i="11"/>
  <c r="T2977" i="11"/>
  <c r="T2976" i="11"/>
  <c r="T2975" i="11"/>
  <c r="T2974" i="11"/>
  <c r="T2973" i="11"/>
  <c r="T2972" i="11"/>
  <c r="T2971" i="11"/>
  <c r="T2970" i="11"/>
  <c r="T2969" i="11"/>
  <c r="T2968" i="11"/>
  <c r="T2967" i="11"/>
  <c r="T2966" i="11"/>
  <c r="T2965" i="11"/>
  <c r="T2964" i="11"/>
  <c r="T2963" i="11"/>
  <c r="T2962" i="11"/>
  <c r="T2961" i="11"/>
  <c r="T2960" i="11"/>
  <c r="T2959" i="11"/>
  <c r="T2958" i="11"/>
  <c r="T2957" i="11"/>
  <c r="T2956" i="11"/>
  <c r="T2955" i="11"/>
  <c r="T2954" i="11"/>
  <c r="T2953" i="11"/>
  <c r="T2952" i="11"/>
  <c r="T2951" i="11"/>
  <c r="T2950" i="11"/>
  <c r="T2949" i="11"/>
  <c r="T2948" i="11"/>
  <c r="T2947" i="11"/>
  <c r="T2946" i="11"/>
  <c r="T2945" i="11"/>
  <c r="T2944" i="11"/>
  <c r="T2943" i="11"/>
  <c r="T2942" i="11"/>
  <c r="T2941" i="11"/>
  <c r="T2940" i="11"/>
  <c r="T2939" i="11"/>
  <c r="T2938" i="11"/>
  <c r="T2937" i="11"/>
  <c r="T2936" i="11"/>
  <c r="T2935" i="11"/>
  <c r="T2934" i="11"/>
  <c r="T2933" i="11"/>
  <c r="T2932" i="11"/>
  <c r="T2931" i="11"/>
  <c r="T2930" i="11"/>
  <c r="T2929" i="11"/>
  <c r="T2928" i="11"/>
  <c r="T2927" i="11"/>
  <c r="T2926" i="11"/>
  <c r="T2925" i="11"/>
  <c r="T2924" i="11"/>
  <c r="T2923" i="11"/>
  <c r="T2922" i="11"/>
  <c r="T2921" i="11"/>
  <c r="T2920" i="11"/>
  <c r="T2919" i="11"/>
  <c r="T2918" i="11"/>
  <c r="T2917" i="11"/>
  <c r="T2916" i="11"/>
  <c r="T2915" i="11"/>
  <c r="T2914" i="11"/>
  <c r="T2913" i="11"/>
  <c r="T2912" i="11"/>
  <c r="T2911" i="11"/>
  <c r="T2910" i="11"/>
  <c r="T2909" i="11"/>
  <c r="T2908" i="11"/>
  <c r="T2907" i="11"/>
  <c r="T2906" i="11"/>
  <c r="T2905" i="11"/>
  <c r="T2904" i="11"/>
  <c r="T2903" i="11"/>
  <c r="T2902" i="11"/>
  <c r="T2901" i="11"/>
  <c r="T2900" i="11"/>
  <c r="T2899" i="11"/>
  <c r="T2898" i="11"/>
  <c r="T2897" i="11"/>
  <c r="T2896" i="11"/>
  <c r="T2895" i="11"/>
  <c r="T2894" i="11"/>
  <c r="T2893" i="11"/>
  <c r="T2892" i="11"/>
  <c r="T2891" i="11"/>
  <c r="T2890" i="11"/>
  <c r="T2889" i="11"/>
  <c r="T2888" i="11"/>
  <c r="T2887" i="11"/>
  <c r="T2886" i="11"/>
  <c r="T2885" i="11"/>
  <c r="T2884" i="11"/>
  <c r="T2883" i="11"/>
  <c r="T2882" i="11"/>
  <c r="T2881" i="11"/>
  <c r="T2880" i="11"/>
  <c r="T2879" i="11"/>
  <c r="T2878" i="11"/>
  <c r="T2877" i="11"/>
  <c r="T2876" i="11"/>
  <c r="T2875" i="11"/>
  <c r="T2874" i="11"/>
  <c r="T2873" i="11"/>
  <c r="T2872" i="11"/>
  <c r="T2871" i="11"/>
  <c r="T2870" i="11"/>
  <c r="T2869" i="11"/>
  <c r="T2868" i="11"/>
  <c r="T2867" i="11"/>
  <c r="T2866" i="11"/>
  <c r="T2865" i="11"/>
  <c r="T2864" i="11"/>
  <c r="T2863" i="11"/>
  <c r="T2862" i="11"/>
  <c r="T2861" i="11"/>
  <c r="T2860" i="11"/>
  <c r="T2859" i="11"/>
  <c r="T2858" i="11"/>
  <c r="T2857" i="11"/>
  <c r="T2856" i="11"/>
  <c r="T2855" i="11"/>
  <c r="T2854" i="11"/>
  <c r="T2853" i="11"/>
  <c r="T2852" i="11"/>
  <c r="T2851" i="11"/>
  <c r="T2850" i="11"/>
  <c r="T2849" i="11"/>
  <c r="T2848" i="11"/>
  <c r="T2847" i="11"/>
  <c r="T2846" i="11"/>
  <c r="T2845" i="11"/>
  <c r="T2844" i="11"/>
  <c r="T2843" i="11"/>
  <c r="T2842" i="11"/>
  <c r="T2841" i="11"/>
  <c r="T2840" i="11"/>
  <c r="T2839" i="11"/>
  <c r="T2838" i="11"/>
  <c r="T2837" i="11"/>
  <c r="T2836" i="11"/>
  <c r="T2835" i="11"/>
  <c r="T2834" i="11"/>
  <c r="T2833" i="11"/>
  <c r="T2832" i="11"/>
  <c r="T2831" i="11"/>
  <c r="T2830" i="11"/>
  <c r="T2829" i="11"/>
  <c r="T2828" i="11"/>
  <c r="T2827" i="11"/>
  <c r="T2826" i="11"/>
  <c r="T2825" i="11"/>
  <c r="T2824" i="11"/>
  <c r="T2823" i="11"/>
  <c r="T2822" i="11"/>
  <c r="T2821" i="11"/>
  <c r="T2820" i="11"/>
  <c r="T2819" i="11"/>
  <c r="T2818" i="11"/>
  <c r="T2817" i="11"/>
  <c r="T2816" i="11"/>
  <c r="T2815" i="11"/>
  <c r="T2814" i="11"/>
  <c r="T2813" i="11"/>
  <c r="T2812" i="11"/>
  <c r="T2811" i="11"/>
  <c r="T2810" i="11"/>
  <c r="T2809" i="11"/>
  <c r="T2808" i="11"/>
  <c r="T2807" i="11"/>
  <c r="T2806" i="11"/>
  <c r="T2805" i="11"/>
  <c r="T2804" i="11"/>
  <c r="T2803" i="11"/>
  <c r="T2802" i="11"/>
  <c r="T2801" i="11"/>
  <c r="T2800" i="11"/>
  <c r="T2799" i="11"/>
  <c r="T2798" i="11"/>
  <c r="T2797" i="11"/>
  <c r="T2796" i="11"/>
  <c r="T2795" i="11"/>
  <c r="T2794" i="11"/>
  <c r="T2793" i="11"/>
  <c r="T2792" i="11"/>
  <c r="T2791" i="11"/>
  <c r="T2790" i="11"/>
  <c r="T2789" i="11"/>
  <c r="T2788" i="11"/>
  <c r="T2787" i="11"/>
  <c r="T2786" i="11"/>
  <c r="T2785" i="11"/>
  <c r="T2784" i="11"/>
  <c r="T2783" i="11"/>
  <c r="T2782" i="11"/>
  <c r="T2781" i="11"/>
  <c r="T2780" i="11"/>
  <c r="T2779" i="11"/>
  <c r="T2778" i="11"/>
  <c r="T2777" i="11"/>
  <c r="T2776" i="11"/>
  <c r="T2775" i="11"/>
  <c r="T2774" i="11"/>
  <c r="T2773" i="11"/>
  <c r="T2772" i="11"/>
  <c r="T2771" i="11"/>
  <c r="T2770" i="11"/>
  <c r="T2769" i="11"/>
  <c r="T2768" i="11"/>
  <c r="T2767" i="11"/>
  <c r="T2766" i="11"/>
  <c r="T2765" i="11"/>
  <c r="T2764" i="11"/>
  <c r="T2763" i="11"/>
  <c r="T2762" i="11"/>
  <c r="T2761" i="11"/>
  <c r="T2760" i="11"/>
  <c r="T2759" i="11"/>
  <c r="T2758" i="11"/>
  <c r="T2757" i="11"/>
  <c r="T2756" i="11"/>
  <c r="T2755" i="11"/>
  <c r="T2754" i="11"/>
  <c r="T2753" i="11"/>
  <c r="T2752" i="11"/>
  <c r="T2751" i="11"/>
  <c r="T2750" i="11"/>
  <c r="T2749" i="11"/>
  <c r="T2748" i="11"/>
  <c r="T2747" i="11"/>
  <c r="T2746" i="11"/>
  <c r="T2745" i="11"/>
  <c r="T2744" i="11"/>
  <c r="T2743" i="11"/>
  <c r="T2742" i="11"/>
  <c r="T2741" i="11"/>
  <c r="T2740" i="11"/>
  <c r="T2739" i="11"/>
  <c r="T2738" i="11"/>
  <c r="T2737" i="11"/>
  <c r="T2736" i="11"/>
  <c r="T2735" i="11"/>
  <c r="T2734" i="11"/>
  <c r="T2733" i="11"/>
  <c r="T2732" i="11"/>
  <c r="T2731" i="11"/>
  <c r="T2730" i="11"/>
  <c r="T2729" i="11"/>
  <c r="T2728" i="11"/>
  <c r="T2727" i="11"/>
  <c r="T2726" i="11"/>
  <c r="T2725" i="11"/>
  <c r="T2724" i="11"/>
  <c r="T2723" i="11"/>
  <c r="T2722" i="11"/>
  <c r="T2721" i="11"/>
  <c r="T2720" i="11"/>
  <c r="T2719" i="11"/>
  <c r="T2718" i="11"/>
  <c r="T2717" i="11"/>
  <c r="T2716" i="11"/>
  <c r="T2715" i="11"/>
  <c r="T2714" i="11"/>
  <c r="T2713" i="11"/>
  <c r="T2712" i="11"/>
  <c r="T2711" i="11"/>
  <c r="T2710" i="11"/>
  <c r="T2709" i="11"/>
  <c r="T2708" i="11"/>
  <c r="T2707" i="11"/>
  <c r="T2706" i="11"/>
  <c r="T2705" i="11"/>
  <c r="T2704" i="11"/>
  <c r="T2703" i="11"/>
  <c r="T2702" i="11"/>
  <c r="T2701" i="11"/>
  <c r="T2700" i="11"/>
  <c r="T2699" i="11"/>
  <c r="T2698" i="11"/>
  <c r="T2697" i="11"/>
  <c r="T2696" i="11"/>
  <c r="T2695" i="11"/>
  <c r="T2694" i="11"/>
  <c r="T2693" i="11"/>
  <c r="T2692" i="11"/>
  <c r="T2691" i="11"/>
  <c r="T2690" i="11"/>
  <c r="T2689" i="11"/>
  <c r="T2688" i="11"/>
  <c r="T2687" i="11"/>
  <c r="T2686" i="11"/>
  <c r="T2685" i="11"/>
  <c r="T2684" i="11"/>
  <c r="T2683" i="11"/>
  <c r="T2682" i="11"/>
  <c r="T2681" i="11"/>
  <c r="T2680" i="11"/>
  <c r="T2679" i="11"/>
  <c r="T2678" i="11"/>
  <c r="T2677" i="11"/>
  <c r="T2676" i="11"/>
  <c r="T2675" i="11"/>
  <c r="T2674" i="11"/>
  <c r="T2673" i="11"/>
  <c r="T2672" i="11"/>
  <c r="T2671" i="11"/>
  <c r="T2670" i="11"/>
  <c r="T2669" i="11"/>
  <c r="T2668" i="11"/>
  <c r="T2667" i="11"/>
  <c r="T2666" i="11"/>
  <c r="T2665" i="11"/>
  <c r="T2664" i="11"/>
  <c r="T2663" i="11"/>
  <c r="T2662" i="11"/>
  <c r="T2661" i="11"/>
  <c r="T2660" i="11"/>
  <c r="T2659" i="11"/>
  <c r="T2658" i="11"/>
  <c r="T2657" i="11"/>
  <c r="T2656" i="11"/>
  <c r="T2655" i="11"/>
  <c r="T2654" i="11"/>
  <c r="T2653" i="11"/>
  <c r="T2652" i="11"/>
  <c r="T2651" i="11"/>
  <c r="T2650" i="11"/>
  <c r="T2649" i="11"/>
  <c r="T2648" i="11"/>
  <c r="T2647" i="11"/>
  <c r="T2646" i="11"/>
  <c r="T2645" i="11"/>
  <c r="T2644" i="11"/>
  <c r="T2643" i="11"/>
  <c r="T2642" i="11"/>
  <c r="T2641" i="11"/>
  <c r="T2640" i="11"/>
  <c r="T2639" i="11"/>
  <c r="T2638" i="11"/>
  <c r="T2637" i="11"/>
  <c r="T2636" i="11"/>
  <c r="T2635" i="11"/>
  <c r="T2634" i="11"/>
  <c r="T2633" i="11"/>
  <c r="T2632" i="11"/>
  <c r="T2631" i="11"/>
  <c r="T2630" i="11"/>
  <c r="T2629" i="11"/>
  <c r="T2628" i="11"/>
  <c r="T2627" i="11"/>
  <c r="T2626" i="11"/>
  <c r="T2625" i="11"/>
  <c r="T2624" i="11"/>
  <c r="T2623" i="11"/>
  <c r="T2622" i="11"/>
  <c r="T2621" i="11"/>
  <c r="T2620" i="11"/>
  <c r="T2619" i="11"/>
  <c r="T2618" i="11"/>
  <c r="T2617" i="11"/>
  <c r="T2616" i="11"/>
  <c r="T2615" i="11"/>
  <c r="T2614" i="11"/>
  <c r="T2613" i="11"/>
  <c r="T2612" i="11"/>
  <c r="T2611" i="11"/>
  <c r="T2610" i="11"/>
  <c r="T2609" i="11"/>
  <c r="T2608" i="11"/>
  <c r="T2607" i="11"/>
  <c r="T2606" i="11"/>
  <c r="T2605" i="11"/>
  <c r="T2604" i="11"/>
  <c r="T2603" i="11"/>
  <c r="T2602" i="11"/>
  <c r="T2601" i="11"/>
  <c r="T2600" i="11"/>
  <c r="T2599" i="11"/>
  <c r="T2598" i="11"/>
  <c r="T2597" i="11"/>
  <c r="T2596" i="11"/>
  <c r="T2595" i="11"/>
  <c r="T2594" i="11"/>
  <c r="T2593" i="11"/>
  <c r="T2592" i="11"/>
  <c r="T2591" i="11"/>
  <c r="T2590" i="11"/>
  <c r="T2589" i="11"/>
  <c r="T2588" i="11"/>
  <c r="T2587" i="11"/>
  <c r="T2586" i="11"/>
  <c r="T2585" i="11"/>
  <c r="T2584" i="11"/>
  <c r="T2583" i="11"/>
  <c r="T2582" i="11"/>
  <c r="T2581" i="11"/>
  <c r="T2580" i="11"/>
  <c r="T2579" i="11"/>
  <c r="T2578" i="11"/>
  <c r="T2577" i="11"/>
  <c r="T2576" i="11"/>
  <c r="T2575" i="11"/>
  <c r="T2574" i="11"/>
  <c r="T2573" i="11"/>
  <c r="T2572" i="11"/>
  <c r="T2571" i="11"/>
  <c r="T2570" i="11"/>
  <c r="T2569" i="11"/>
  <c r="T2568" i="11"/>
  <c r="T2567" i="11"/>
  <c r="T2566" i="11"/>
  <c r="T2565" i="11"/>
  <c r="T2564" i="11"/>
  <c r="T2563" i="11"/>
  <c r="T2562" i="11"/>
  <c r="T2561" i="11"/>
  <c r="T2560" i="11"/>
  <c r="T2559" i="11"/>
  <c r="T2558" i="11"/>
  <c r="T2557" i="11"/>
  <c r="T2556" i="11"/>
  <c r="T2555" i="11"/>
  <c r="T2554" i="11"/>
  <c r="T2553" i="11"/>
  <c r="T2552" i="11"/>
  <c r="T2551" i="11"/>
  <c r="T2550" i="11"/>
  <c r="T2549" i="11"/>
  <c r="T2548" i="11"/>
  <c r="T2547" i="11"/>
  <c r="T2546" i="11"/>
  <c r="T2545" i="11"/>
  <c r="T2544" i="11"/>
  <c r="T2543" i="11"/>
  <c r="T2542" i="11"/>
  <c r="T2541" i="11"/>
  <c r="T2540" i="11"/>
  <c r="T2539" i="11"/>
  <c r="T2538" i="11"/>
  <c r="T2537" i="11"/>
  <c r="T2536" i="11"/>
  <c r="T2535" i="11"/>
  <c r="T2534" i="11"/>
  <c r="T2533" i="11"/>
  <c r="T2532" i="11"/>
  <c r="T2531" i="11"/>
  <c r="T2530" i="11"/>
  <c r="T2529" i="11"/>
  <c r="T2528" i="11"/>
  <c r="T2527" i="11"/>
  <c r="T2526" i="11"/>
  <c r="T2525" i="11"/>
  <c r="T2524" i="11"/>
  <c r="T2523" i="11"/>
  <c r="T2522" i="11"/>
  <c r="T2521" i="11"/>
  <c r="T2520" i="11"/>
  <c r="T2519" i="11"/>
  <c r="T2518" i="11"/>
  <c r="T2517" i="11"/>
  <c r="T2516" i="11"/>
  <c r="T2515" i="11"/>
  <c r="T2514" i="11"/>
  <c r="T2513" i="11"/>
  <c r="T2512" i="11"/>
  <c r="T2511" i="11"/>
  <c r="T2510" i="11"/>
  <c r="T2509" i="11"/>
  <c r="T2508" i="11"/>
  <c r="T2507" i="11"/>
  <c r="T2506" i="11"/>
  <c r="T2505" i="11"/>
  <c r="T2504" i="11"/>
  <c r="T2503" i="11"/>
  <c r="T2502" i="11"/>
  <c r="T2501" i="11"/>
  <c r="T2500" i="11"/>
  <c r="T2499" i="11"/>
  <c r="T2498" i="11"/>
  <c r="T2497" i="11"/>
  <c r="T2496" i="11"/>
  <c r="T2495" i="11"/>
  <c r="T2494" i="11"/>
  <c r="T2493" i="11"/>
  <c r="T2492" i="11"/>
  <c r="T2491" i="11"/>
  <c r="T2490" i="11"/>
  <c r="T2489" i="11"/>
  <c r="T2488" i="11"/>
  <c r="T2487" i="11"/>
  <c r="T2486" i="11"/>
  <c r="T2485" i="11"/>
  <c r="T2484" i="11"/>
  <c r="T2483" i="11"/>
  <c r="T2482" i="11"/>
  <c r="T2481" i="11"/>
  <c r="T2480" i="11"/>
  <c r="T2479" i="11"/>
  <c r="T2478" i="11"/>
  <c r="T2477" i="11"/>
  <c r="T2476" i="11"/>
  <c r="T2475" i="11"/>
  <c r="T2474" i="11"/>
  <c r="T2473" i="11"/>
  <c r="T2472" i="11"/>
  <c r="T2471" i="11"/>
  <c r="T2470" i="11"/>
  <c r="T2469" i="11"/>
  <c r="T2468" i="11"/>
  <c r="T2467" i="11"/>
  <c r="T2466" i="11"/>
  <c r="T2465" i="11"/>
  <c r="T2464" i="11"/>
  <c r="T2463" i="11"/>
  <c r="T2462" i="11"/>
  <c r="T2461" i="11"/>
  <c r="T2460" i="11"/>
  <c r="T2459" i="11"/>
  <c r="T2458" i="11"/>
  <c r="T2457" i="11"/>
  <c r="T2456" i="11"/>
  <c r="T2455" i="11"/>
  <c r="T2454" i="11"/>
  <c r="T2453" i="11"/>
  <c r="T2452" i="11"/>
  <c r="T2451" i="11"/>
  <c r="T2450" i="11"/>
  <c r="T2449" i="11"/>
  <c r="T2448" i="11"/>
  <c r="T2447" i="11"/>
  <c r="T2446" i="11"/>
  <c r="T2445" i="11"/>
  <c r="T2444" i="11"/>
  <c r="T2443" i="11"/>
  <c r="T2442" i="11"/>
  <c r="T2441" i="11"/>
  <c r="T2440" i="11"/>
  <c r="T2439" i="11"/>
  <c r="T2438" i="11"/>
  <c r="T2437" i="11"/>
  <c r="T2436" i="11"/>
  <c r="T2435" i="11"/>
  <c r="T2434" i="11"/>
  <c r="T2433" i="11"/>
  <c r="T2432" i="11"/>
  <c r="T2431" i="11"/>
  <c r="T2430" i="11"/>
  <c r="T2429" i="11"/>
  <c r="T2428" i="11"/>
  <c r="T2427" i="11"/>
  <c r="T2426" i="11"/>
  <c r="T2425" i="11"/>
  <c r="T2424" i="11"/>
  <c r="T2423" i="11"/>
  <c r="T2422" i="11"/>
  <c r="T2421" i="11"/>
  <c r="T2420" i="11"/>
  <c r="T2419" i="11"/>
  <c r="T2418" i="11"/>
  <c r="T2417" i="11"/>
  <c r="T2416" i="11"/>
  <c r="T2415" i="11"/>
  <c r="T2414" i="11"/>
  <c r="T2413" i="11"/>
  <c r="T2412" i="11"/>
  <c r="T2411" i="11"/>
  <c r="T2410" i="11"/>
  <c r="T2409" i="11"/>
  <c r="T2408" i="11"/>
  <c r="T2407" i="11"/>
  <c r="T2406" i="11"/>
  <c r="T2405" i="11"/>
  <c r="T2404" i="11"/>
  <c r="T2403" i="11"/>
  <c r="T2402" i="11"/>
  <c r="T2401" i="11"/>
  <c r="T2400" i="11"/>
  <c r="T2399" i="11"/>
  <c r="T2398" i="11"/>
  <c r="T2397" i="11"/>
  <c r="T2396" i="11"/>
  <c r="T2395" i="11"/>
  <c r="T2394" i="11"/>
  <c r="T2393" i="11"/>
  <c r="T2392" i="11"/>
  <c r="T2391" i="11"/>
  <c r="T2390" i="11"/>
  <c r="T2389" i="11"/>
  <c r="T2388" i="11"/>
  <c r="T2387" i="11"/>
  <c r="T2386" i="11"/>
  <c r="T2385" i="11"/>
  <c r="T2384" i="11"/>
  <c r="T2383" i="11"/>
  <c r="T2382" i="11"/>
  <c r="T2381" i="11"/>
  <c r="T2380" i="11"/>
  <c r="T2379" i="11"/>
  <c r="T2378" i="11"/>
  <c r="T2377" i="11"/>
  <c r="T2376" i="11"/>
  <c r="T2375" i="11"/>
  <c r="T2374" i="11"/>
  <c r="T2373" i="11"/>
  <c r="T2372" i="11"/>
  <c r="T2371" i="11"/>
  <c r="T2370" i="11"/>
  <c r="T2369" i="11"/>
  <c r="T2368" i="11"/>
  <c r="T2367" i="11"/>
  <c r="T2366" i="11"/>
  <c r="T2365" i="11"/>
  <c r="T2364" i="11"/>
  <c r="T2363" i="11"/>
  <c r="T2362" i="11"/>
  <c r="T2361" i="11"/>
  <c r="T2360" i="11"/>
  <c r="T2359" i="11"/>
  <c r="T2358" i="11"/>
  <c r="T2357" i="11"/>
  <c r="T2356" i="11"/>
  <c r="T2355" i="11"/>
  <c r="T2354" i="11"/>
  <c r="T2353" i="11"/>
  <c r="T2352" i="11"/>
  <c r="T2351" i="11"/>
  <c r="T2350" i="11"/>
  <c r="T2349" i="11"/>
  <c r="T2348" i="11"/>
  <c r="T2347" i="11"/>
  <c r="T2346" i="11"/>
  <c r="T2345" i="11"/>
  <c r="T2344" i="11"/>
  <c r="T2343" i="11"/>
  <c r="T2342" i="11"/>
  <c r="T2341" i="11"/>
  <c r="T2340" i="11"/>
  <c r="T2339" i="11"/>
  <c r="T2338" i="11"/>
  <c r="T2337" i="11"/>
  <c r="T2336" i="11"/>
  <c r="T2335" i="11"/>
  <c r="T2334" i="11"/>
  <c r="T2333" i="11"/>
  <c r="T2332" i="11"/>
  <c r="T2331" i="11"/>
  <c r="T2330" i="11"/>
  <c r="T2329" i="11"/>
  <c r="T2328" i="11"/>
  <c r="T2327" i="11"/>
  <c r="T2326" i="11"/>
  <c r="T2325" i="11"/>
  <c r="T2324" i="11"/>
  <c r="T2323" i="11"/>
  <c r="T2322" i="11"/>
  <c r="T2321" i="11"/>
  <c r="T2320" i="11"/>
  <c r="T2319" i="11"/>
  <c r="T2318" i="11"/>
  <c r="T2317" i="11"/>
  <c r="T2316" i="11"/>
  <c r="T2315" i="11"/>
  <c r="T2314" i="11"/>
  <c r="T2313" i="11"/>
  <c r="T2312" i="11"/>
  <c r="T2311" i="11"/>
  <c r="T2310" i="11"/>
  <c r="T2309" i="11"/>
  <c r="T2308" i="11"/>
  <c r="T2307" i="11"/>
  <c r="T2306" i="11"/>
  <c r="T2305" i="11"/>
  <c r="T2304" i="11"/>
  <c r="T2303" i="11"/>
  <c r="T2302" i="11"/>
  <c r="T2301" i="11"/>
  <c r="T2300" i="11"/>
  <c r="T2299" i="11"/>
  <c r="T2298" i="11"/>
  <c r="T2297" i="11"/>
  <c r="T2296" i="11"/>
  <c r="T2295" i="11"/>
  <c r="T2294" i="11"/>
  <c r="T2293" i="11"/>
  <c r="T2292" i="11"/>
  <c r="T2291" i="11"/>
  <c r="T2290" i="11"/>
  <c r="T2289" i="11"/>
  <c r="T2288" i="11"/>
  <c r="T2287" i="11"/>
  <c r="T2286" i="11"/>
  <c r="T2285" i="11"/>
  <c r="T2284" i="11"/>
  <c r="T2283" i="11"/>
  <c r="T2282" i="11"/>
  <c r="T2281" i="11"/>
  <c r="T2280" i="11"/>
  <c r="T2279" i="11"/>
  <c r="T2278" i="11"/>
  <c r="T2277" i="11"/>
  <c r="T2276" i="11"/>
  <c r="T2275" i="11"/>
  <c r="T2274" i="11"/>
  <c r="T2273" i="11"/>
  <c r="T2272" i="11"/>
  <c r="T2271" i="11"/>
  <c r="T2270" i="11"/>
  <c r="T2269" i="11"/>
  <c r="T2268" i="11"/>
  <c r="T2267" i="11"/>
  <c r="T2266" i="11"/>
  <c r="T2265" i="11"/>
  <c r="T2264" i="11"/>
  <c r="T2263" i="11"/>
  <c r="T2262" i="11"/>
  <c r="T2261" i="11"/>
  <c r="T2260" i="11"/>
  <c r="T2259" i="11"/>
  <c r="T2258" i="11"/>
  <c r="T2257" i="11"/>
  <c r="T2256" i="11"/>
  <c r="T2255" i="11"/>
  <c r="T2254" i="11"/>
  <c r="T2253" i="11"/>
  <c r="T2252" i="11"/>
  <c r="T2251" i="11"/>
  <c r="T2250" i="11"/>
  <c r="T2249" i="11"/>
  <c r="T2248" i="11"/>
  <c r="T2247" i="11"/>
  <c r="T2246" i="11"/>
  <c r="T2245" i="11"/>
  <c r="T2244" i="11"/>
  <c r="T2243" i="11"/>
  <c r="T2242" i="11"/>
  <c r="T2241" i="11"/>
  <c r="T2240" i="11"/>
  <c r="T2239" i="11"/>
  <c r="T2238" i="11"/>
  <c r="T2237" i="11"/>
  <c r="T2236" i="11"/>
  <c r="T2235" i="11"/>
  <c r="T2234" i="11"/>
  <c r="T2233" i="11"/>
  <c r="T2232" i="11"/>
  <c r="T2231" i="11"/>
  <c r="T2230" i="11"/>
  <c r="T2229" i="11"/>
  <c r="T2228" i="11"/>
  <c r="T2227" i="11"/>
  <c r="T2226" i="11"/>
  <c r="T2225" i="11"/>
  <c r="T2224" i="11"/>
  <c r="T2223" i="11"/>
  <c r="T2222" i="11"/>
  <c r="T2221" i="11"/>
  <c r="T2220" i="11"/>
  <c r="T2219" i="11"/>
  <c r="T2218" i="11"/>
  <c r="T2217" i="11"/>
  <c r="T2216" i="11"/>
  <c r="T2215" i="11"/>
  <c r="T2214" i="11"/>
  <c r="T2213" i="11"/>
  <c r="T2212" i="11"/>
  <c r="T2211" i="11"/>
  <c r="T2210" i="11"/>
  <c r="T2209" i="11"/>
  <c r="T2208" i="11"/>
  <c r="T2207" i="11"/>
  <c r="T2206" i="11"/>
  <c r="T2205" i="11"/>
  <c r="T2204" i="11"/>
  <c r="T2203" i="11"/>
  <c r="T2202" i="11"/>
  <c r="T2201" i="11"/>
  <c r="T2200" i="11"/>
  <c r="T2199" i="11"/>
  <c r="T2198" i="11"/>
  <c r="T2197" i="11"/>
  <c r="T2196" i="11"/>
  <c r="T2195" i="11"/>
  <c r="T2194" i="11"/>
  <c r="T2193" i="11"/>
  <c r="T2192" i="11"/>
  <c r="T2191" i="11"/>
  <c r="T2190" i="11"/>
  <c r="T2189" i="11"/>
  <c r="T2188" i="11"/>
  <c r="T2187" i="11"/>
  <c r="T2186" i="11"/>
  <c r="T2185" i="11"/>
  <c r="T2184" i="11"/>
  <c r="T2183" i="11"/>
  <c r="T2182" i="11"/>
  <c r="T2181" i="11"/>
  <c r="T2180" i="11"/>
  <c r="T2179" i="11"/>
  <c r="T2178" i="11"/>
  <c r="T2177" i="11"/>
  <c r="T2176" i="11"/>
  <c r="T2175" i="11"/>
  <c r="T2174" i="11"/>
  <c r="T2173" i="11"/>
  <c r="T2172" i="11"/>
  <c r="T2171" i="11"/>
  <c r="T2170" i="11"/>
  <c r="T2169" i="11"/>
  <c r="T2168" i="11"/>
  <c r="T2167" i="11"/>
  <c r="T2166" i="11"/>
  <c r="T2165" i="11"/>
  <c r="T2164" i="11"/>
  <c r="T2163" i="11"/>
  <c r="T2162" i="11"/>
  <c r="T2161" i="11"/>
  <c r="T2160" i="11"/>
  <c r="T2159" i="11"/>
  <c r="T2158" i="11"/>
  <c r="T2157" i="11"/>
  <c r="T2156" i="11"/>
  <c r="T2155" i="11"/>
  <c r="T2154" i="11"/>
  <c r="T2153" i="11"/>
  <c r="T2152" i="11"/>
  <c r="T2151" i="11"/>
  <c r="T2150" i="11"/>
  <c r="T2149" i="11"/>
  <c r="T2148" i="11"/>
  <c r="T2147" i="11"/>
  <c r="T2146" i="11"/>
  <c r="T2145" i="11"/>
  <c r="T2144" i="11"/>
  <c r="T2143" i="11"/>
  <c r="T2142" i="11"/>
  <c r="T2141" i="11"/>
  <c r="T2140" i="11"/>
  <c r="T2139" i="11"/>
  <c r="T2138" i="11"/>
  <c r="T2137" i="11"/>
  <c r="T2136" i="11"/>
  <c r="T2135" i="11"/>
  <c r="T2134" i="11"/>
  <c r="T2133" i="11"/>
  <c r="T2132" i="11"/>
  <c r="T2131" i="11"/>
  <c r="T2130" i="11"/>
  <c r="T2129" i="11"/>
  <c r="T2128" i="11"/>
  <c r="T2127" i="11"/>
  <c r="T2126" i="11"/>
  <c r="T2125" i="11"/>
  <c r="T2124" i="11"/>
  <c r="T2123" i="11"/>
  <c r="T2122" i="11"/>
  <c r="T2121" i="11"/>
  <c r="T2120" i="11"/>
  <c r="T2119" i="11"/>
  <c r="T2118" i="11"/>
  <c r="T2117" i="11"/>
  <c r="T2116" i="11"/>
  <c r="T2115" i="11"/>
  <c r="T2114" i="11"/>
  <c r="T2113" i="11"/>
  <c r="T2112" i="11"/>
  <c r="T2111" i="11"/>
  <c r="T2110" i="11"/>
  <c r="T2109" i="11"/>
  <c r="T2108" i="11"/>
  <c r="T2107" i="11"/>
  <c r="T2106" i="11"/>
  <c r="T2105" i="11"/>
  <c r="T2104" i="11"/>
  <c r="T2103" i="11"/>
  <c r="T2102" i="11"/>
  <c r="T2101" i="11"/>
  <c r="T2100" i="11"/>
  <c r="T2099" i="11"/>
  <c r="T2098" i="11"/>
  <c r="T2097" i="11"/>
  <c r="T2096" i="11"/>
  <c r="T2095" i="11"/>
  <c r="T2094" i="11"/>
  <c r="T2093" i="11"/>
  <c r="T2092" i="11"/>
  <c r="T2091" i="11"/>
  <c r="T2090" i="11"/>
  <c r="T2089" i="11"/>
  <c r="T2088" i="11"/>
  <c r="T2087" i="11"/>
  <c r="T2086" i="11"/>
  <c r="T2085" i="11"/>
  <c r="T2084" i="11"/>
  <c r="T2083" i="11"/>
  <c r="T2082" i="11"/>
  <c r="T2081" i="11"/>
  <c r="T2080" i="11"/>
  <c r="T2079" i="11"/>
  <c r="T2078" i="11"/>
  <c r="T2077" i="11"/>
  <c r="T2076" i="11"/>
  <c r="T2075" i="11"/>
  <c r="T2074" i="11"/>
  <c r="T2073" i="11"/>
  <c r="T2072" i="11"/>
  <c r="T2071" i="11"/>
  <c r="T2070" i="11"/>
  <c r="T2069" i="11"/>
  <c r="T2068" i="11"/>
  <c r="T2067" i="11"/>
  <c r="T2066" i="11"/>
  <c r="T2065" i="11"/>
  <c r="T2064" i="11"/>
  <c r="T2063" i="11"/>
  <c r="T2062" i="11"/>
  <c r="T2061" i="11"/>
  <c r="T2060" i="11"/>
  <c r="T2059" i="11"/>
  <c r="T2058" i="11"/>
  <c r="T2057" i="11"/>
  <c r="T2056" i="11"/>
  <c r="T2055" i="11"/>
  <c r="T2054" i="11"/>
  <c r="T2053" i="11"/>
  <c r="T2052" i="11"/>
  <c r="T2051" i="11"/>
  <c r="T2050" i="11"/>
  <c r="T2049" i="11"/>
  <c r="T2048" i="11"/>
  <c r="T2047" i="11"/>
  <c r="T2046" i="11"/>
  <c r="T2045" i="11"/>
  <c r="T2044" i="11"/>
  <c r="T2043" i="11"/>
  <c r="T2042" i="11"/>
  <c r="T2041" i="11"/>
  <c r="T2040" i="11"/>
  <c r="T2039" i="11"/>
  <c r="T2038" i="11"/>
  <c r="T2037" i="11"/>
  <c r="T2036" i="11"/>
  <c r="T2035" i="11"/>
  <c r="T2034" i="11"/>
  <c r="T2033" i="11"/>
  <c r="T2032" i="11"/>
  <c r="T2031" i="11"/>
  <c r="T2030" i="11"/>
  <c r="T2029" i="11"/>
  <c r="T2028" i="11"/>
  <c r="T2027" i="11"/>
  <c r="T2026" i="11"/>
  <c r="T2025" i="11"/>
  <c r="T2024" i="11"/>
  <c r="T2023" i="11"/>
  <c r="T2022" i="11"/>
  <c r="T2021" i="11"/>
  <c r="T2020" i="11"/>
  <c r="T2019" i="11"/>
  <c r="T2018" i="11"/>
  <c r="T2017" i="11"/>
  <c r="T2016" i="11"/>
  <c r="T2015" i="11"/>
  <c r="T2014" i="11"/>
  <c r="T2013" i="11"/>
  <c r="T2012" i="11"/>
  <c r="T2011" i="11"/>
  <c r="T2010" i="11"/>
  <c r="T2009" i="11"/>
  <c r="T2008" i="11"/>
  <c r="T2007" i="11"/>
  <c r="T2006" i="11"/>
  <c r="T2005" i="11"/>
  <c r="T2004" i="11"/>
  <c r="T2003" i="11"/>
  <c r="T2002" i="11"/>
  <c r="T2001" i="11"/>
  <c r="T2000" i="11"/>
  <c r="T1999" i="11"/>
  <c r="T1998" i="11"/>
  <c r="T1997" i="11"/>
  <c r="T1996" i="11"/>
  <c r="T1995" i="11"/>
  <c r="T1994" i="11"/>
  <c r="T1993" i="11"/>
  <c r="T1992" i="11"/>
  <c r="T1991" i="11"/>
  <c r="T1990" i="11"/>
  <c r="T1989" i="11"/>
  <c r="T1988" i="11"/>
  <c r="T1987" i="11"/>
  <c r="T1986" i="11"/>
  <c r="T1985" i="11"/>
  <c r="T1984" i="11"/>
  <c r="T1983" i="11"/>
  <c r="T1982" i="11"/>
  <c r="T1981" i="11"/>
  <c r="T1980" i="11"/>
  <c r="T1979" i="11"/>
  <c r="T1978" i="11"/>
  <c r="T1977" i="11"/>
  <c r="T1976" i="11"/>
  <c r="T1975" i="11"/>
  <c r="T1974" i="11"/>
  <c r="T1973" i="11"/>
  <c r="T1972" i="11"/>
  <c r="T1971" i="11"/>
  <c r="T1970" i="11"/>
  <c r="T1969" i="11"/>
  <c r="T1968" i="11"/>
  <c r="T1967" i="11"/>
  <c r="T1966" i="11"/>
  <c r="T1965" i="11"/>
  <c r="T1964" i="11"/>
  <c r="T1963" i="11"/>
  <c r="T1962" i="11"/>
  <c r="T1961" i="11"/>
  <c r="T1960" i="11"/>
  <c r="T1959" i="11"/>
  <c r="T1958" i="11"/>
  <c r="T1957" i="11"/>
  <c r="T1956" i="11"/>
  <c r="T1955" i="11"/>
  <c r="T1954" i="11"/>
  <c r="T1953" i="11"/>
  <c r="T1952" i="11"/>
  <c r="T1951" i="11"/>
  <c r="T1950" i="11"/>
  <c r="T1949" i="11"/>
  <c r="T1948" i="11"/>
  <c r="T1947" i="11"/>
  <c r="T1946" i="11"/>
  <c r="T1945" i="11"/>
  <c r="T1944" i="11"/>
  <c r="T1943" i="11"/>
  <c r="T1942" i="11"/>
  <c r="T1941" i="11"/>
  <c r="T1940" i="11"/>
  <c r="T1939" i="11"/>
  <c r="T1938" i="11"/>
  <c r="T1937" i="11"/>
  <c r="T1936" i="11"/>
  <c r="T1935" i="11"/>
  <c r="T1934" i="11"/>
  <c r="T1933" i="11"/>
  <c r="T1932" i="11"/>
  <c r="T1931" i="11"/>
  <c r="T1930" i="11"/>
  <c r="T1929" i="11"/>
  <c r="T1928" i="11"/>
  <c r="T1927" i="11"/>
  <c r="T1926" i="11"/>
  <c r="T1925" i="11"/>
  <c r="T1924" i="11"/>
  <c r="T1923" i="11"/>
  <c r="T1922" i="11"/>
  <c r="T1921" i="11"/>
  <c r="T1920" i="11"/>
  <c r="T1919" i="11"/>
  <c r="T1918" i="11"/>
  <c r="T1917" i="11"/>
  <c r="T1916" i="11"/>
  <c r="T1915" i="11"/>
  <c r="T1914" i="11"/>
  <c r="T1913" i="11"/>
  <c r="T1912" i="11"/>
  <c r="T1911" i="11"/>
  <c r="T1910" i="11"/>
  <c r="T1909" i="11"/>
  <c r="T1908" i="11"/>
  <c r="T1907" i="11"/>
  <c r="T1906" i="11"/>
  <c r="T1905" i="11"/>
  <c r="T1904" i="11"/>
  <c r="T1903" i="11"/>
  <c r="T1902" i="11"/>
  <c r="T1901" i="11"/>
  <c r="T1900" i="11"/>
  <c r="T1899" i="11"/>
  <c r="T1898" i="11"/>
  <c r="T1897" i="11"/>
  <c r="T1896" i="11"/>
  <c r="T1895" i="11"/>
  <c r="T1894" i="11"/>
  <c r="T1893" i="11"/>
  <c r="T1892" i="11"/>
  <c r="T1891" i="11"/>
  <c r="T1890" i="11"/>
  <c r="T1889" i="11"/>
  <c r="T1888" i="11"/>
  <c r="T1887" i="11"/>
  <c r="T1886" i="11"/>
  <c r="T1885" i="11"/>
  <c r="T1884" i="11"/>
  <c r="T1883" i="11"/>
  <c r="T1882" i="11"/>
  <c r="T1881" i="11"/>
  <c r="T1880" i="11"/>
  <c r="T1879" i="11"/>
  <c r="T1878" i="11"/>
  <c r="T1877" i="11"/>
  <c r="T1876" i="11"/>
  <c r="T1875" i="11"/>
  <c r="T1874" i="11"/>
  <c r="T1873" i="11"/>
  <c r="T1872" i="11"/>
  <c r="T1871" i="11"/>
  <c r="T1870" i="11"/>
  <c r="T1869" i="11"/>
  <c r="T1868" i="11"/>
  <c r="T1867" i="11"/>
  <c r="T1866" i="11"/>
  <c r="T1865" i="11"/>
  <c r="T1864" i="11"/>
  <c r="T1863" i="11"/>
  <c r="T1862" i="11"/>
  <c r="T1861" i="11"/>
  <c r="T1860" i="11"/>
  <c r="T1859" i="11"/>
  <c r="T1858" i="11"/>
  <c r="T1857" i="11"/>
  <c r="T1856" i="11"/>
  <c r="T1855" i="11"/>
  <c r="T1854" i="11"/>
  <c r="T1853" i="11"/>
  <c r="T1852" i="11"/>
  <c r="T1851" i="11"/>
  <c r="T1850" i="11"/>
  <c r="T1849" i="11"/>
  <c r="T1848" i="11"/>
  <c r="T1847" i="11"/>
  <c r="T1846" i="11"/>
  <c r="T1845" i="11"/>
  <c r="T1844" i="11"/>
  <c r="T1843" i="11"/>
  <c r="T1842" i="11"/>
  <c r="T1841" i="11"/>
  <c r="T1840" i="11"/>
  <c r="T1839" i="11"/>
  <c r="T1838" i="11"/>
  <c r="T1837" i="11"/>
  <c r="T1836" i="11"/>
  <c r="T1835" i="11"/>
  <c r="T1834" i="11"/>
  <c r="T1833" i="11"/>
  <c r="T1832" i="11"/>
  <c r="T1831" i="11"/>
  <c r="T1830" i="11"/>
  <c r="T1829" i="11"/>
  <c r="T1828" i="11"/>
  <c r="T1827" i="11"/>
  <c r="T1826" i="11"/>
  <c r="T1825" i="11"/>
  <c r="T1824" i="11"/>
  <c r="T1823" i="11"/>
  <c r="T1822" i="11"/>
  <c r="T1821" i="11"/>
  <c r="T1820" i="11"/>
  <c r="T1819" i="11"/>
  <c r="T1818" i="11"/>
  <c r="T1817" i="11"/>
  <c r="T1816" i="11"/>
  <c r="T1815" i="11"/>
  <c r="T1814" i="11"/>
  <c r="T1813" i="11"/>
  <c r="T1812" i="11"/>
  <c r="T1811" i="11"/>
  <c r="T1810" i="11"/>
  <c r="T1809" i="11"/>
  <c r="T1808" i="11"/>
  <c r="T1807" i="11"/>
  <c r="T1806" i="11"/>
  <c r="T1805" i="11"/>
  <c r="T1804" i="11"/>
  <c r="T1803" i="11"/>
  <c r="T1802" i="11"/>
  <c r="T1801" i="11"/>
  <c r="T1800" i="11"/>
  <c r="T1799" i="11"/>
  <c r="T1798" i="11"/>
  <c r="T1797" i="11"/>
  <c r="T1796" i="11"/>
  <c r="T1795" i="11"/>
  <c r="T1794" i="11"/>
  <c r="T1793" i="11"/>
  <c r="T1792" i="11"/>
  <c r="T1791" i="11"/>
  <c r="T1790" i="11"/>
  <c r="T1789" i="11"/>
  <c r="T1788" i="11"/>
  <c r="T1787" i="11"/>
  <c r="T1786" i="11"/>
  <c r="T1785" i="11"/>
  <c r="T1784" i="11"/>
  <c r="T1783" i="11"/>
  <c r="T1782" i="11"/>
  <c r="T1781" i="11"/>
  <c r="T1780" i="11"/>
  <c r="T1779" i="11"/>
  <c r="T1778" i="11"/>
  <c r="T1777" i="11"/>
  <c r="T1776" i="11"/>
  <c r="T1775" i="11"/>
  <c r="T1774" i="11"/>
  <c r="T1773" i="11"/>
  <c r="T1772" i="11"/>
  <c r="T1771" i="11"/>
  <c r="T1770" i="11"/>
  <c r="T1769" i="11"/>
  <c r="T1768" i="11"/>
  <c r="T1767" i="11"/>
  <c r="T1766" i="11"/>
  <c r="T1765" i="11"/>
  <c r="T1764" i="11"/>
  <c r="T1763" i="11"/>
  <c r="T1762" i="11"/>
  <c r="T1761" i="11"/>
  <c r="T1760" i="11"/>
  <c r="T1759" i="11"/>
  <c r="T1758" i="11"/>
  <c r="T1757" i="11"/>
  <c r="T1756" i="11"/>
  <c r="T1755" i="11"/>
  <c r="T1754" i="11"/>
  <c r="T1753" i="11"/>
  <c r="T1752" i="11"/>
  <c r="T1751" i="11"/>
  <c r="T1750" i="11"/>
  <c r="T1749" i="11"/>
  <c r="T1748" i="11"/>
  <c r="T1747" i="11"/>
  <c r="T1746" i="11"/>
  <c r="T1745" i="11"/>
  <c r="T1744" i="11"/>
  <c r="T1743" i="11"/>
  <c r="T1742" i="11"/>
  <c r="T1741" i="11"/>
  <c r="T1740" i="11"/>
  <c r="T1739" i="11"/>
  <c r="T1738" i="11"/>
  <c r="T1737" i="11"/>
  <c r="T1736" i="11"/>
  <c r="T1735" i="11"/>
  <c r="T1734" i="11"/>
  <c r="T1733" i="11"/>
  <c r="T1732" i="11"/>
  <c r="T1731" i="11"/>
  <c r="T1730" i="11"/>
  <c r="T1729" i="11"/>
  <c r="T1728" i="11"/>
  <c r="T1727" i="11"/>
  <c r="T1726" i="11"/>
  <c r="T1725" i="11"/>
  <c r="T1724" i="11"/>
  <c r="T1723" i="11"/>
  <c r="T1722" i="11"/>
  <c r="T1721" i="11"/>
  <c r="T1720" i="11"/>
  <c r="T1719" i="11"/>
  <c r="T1718" i="11"/>
  <c r="T1717" i="11"/>
  <c r="T1716" i="11"/>
  <c r="T1715" i="11"/>
  <c r="T1714" i="11"/>
  <c r="T1713" i="11"/>
  <c r="T1712" i="11"/>
  <c r="T1711" i="11"/>
  <c r="T1710" i="11"/>
  <c r="T1709" i="11"/>
  <c r="T1708" i="11"/>
  <c r="T1707" i="11"/>
  <c r="T1706" i="11"/>
  <c r="T1705" i="11"/>
  <c r="T1704" i="11"/>
  <c r="T1703" i="11"/>
  <c r="T1702" i="11"/>
  <c r="T1701" i="11"/>
  <c r="T1700" i="11"/>
  <c r="T1699" i="11"/>
  <c r="T1698" i="11"/>
  <c r="T1697" i="11"/>
  <c r="T1696" i="11"/>
  <c r="T1695" i="11"/>
  <c r="T1694" i="11"/>
  <c r="T1693" i="11"/>
  <c r="T1692" i="11"/>
  <c r="T1691" i="11"/>
  <c r="T1690" i="11"/>
  <c r="T1689" i="11"/>
  <c r="T1688" i="11"/>
  <c r="T1687" i="11"/>
  <c r="T1686" i="11"/>
  <c r="T1685" i="11"/>
  <c r="T1684" i="11"/>
  <c r="T1683" i="11"/>
  <c r="T1682" i="11"/>
  <c r="T1681" i="11"/>
  <c r="T1680" i="11"/>
  <c r="T1679" i="11"/>
  <c r="T1678" i="11"/>
  <c r="T1677" i="11"/>
  <c r="T1676" i="11"/>
  <c r="T1675" i="11"/>
  <c r="T1674" i="11"/>
  <c r="T1673" i="11"/>
  <c r="T1672" i="11"/>
  <c r="T1671" i="11"/>
  <c r="T1670" i="11"/>
  <c r="T1669" i="11"/>
  <c r="T1668" i="11"/>
  <c r="T1667" i="11"/>
  <c r="T1666" i="11"/>
  <c r="T1665" i="11"/>
  <c r="T1664" i="11"/>
  <c r="T1663" i="11"/>
  <c r="T1662" i="11"/>
  <c r="T1661" i="11"/>
  <c r="T1660" i="11"/>
  <c r="T1659" i="11"/>
  <c r="T1658" i="11"/>
  <c r="T1657" i="11"/>
  <c r="T1656" i="11"/>
  <c r="T1655" i="11"/>
  <c r="T1654" i="11"/>
  <c r="T1653" i="11"/>
  <c r="T1652" i="11"/>
  <c r="T1651" i="11"/>
  <c r="T1650" i="11"/>
  <c r="T1649" i="11"/>
  <c r="T1648" i="11"/>
  <c r="T1647" i="11"/>
  <c r="T1646" i="11"/>
  <c r="T1645" i="11"/>
  <c r="T1644" i="11"/>
  <c r="T1643" i="11"/>
  <c r="T1642" i="11"/>
  <c r="T1641" i="11"/>
  <c r="T1640" i="11"/>
  <c r="T1639" i="11"/>
  <c r="T1638" i="11"/>
  <c r="T1637" i="11"/>
  <c r="T1636" i="11"/>
  <c r="T1635" i="11"/>
  <c r="T1634" i="11"/>
  <c r="T1633" i="11"/>
  <c r="T1632" i="11"/>
  <c r="T1631" i="11"/>
  <c r="T1630" i="11"/>
  <c r="T1629" i="11"/>
  <c r="T1628" i="11"/>
  <c r="T1627" i="11"/>
  <c r="T1626" i="11"/>
  <c r="T1625" i="11"/>
  <c r="T1624" i="11"/>
  <c r="T1623" i="11"/>
  <c r="T1622" i="11"/>
  <c r="T1621" i="11"/>
  <c r="T1620" i="11"/>
  <c r="T1619" i="11"/>
  <c r="T1618" i="11"/>
  <c r="T1617" i="11"/>
  <c r="T1616" i="11"/>
  <c r="T1615" i="11"/>
  <c r="T1614" i="11"/>
  <c r="T1613" i="11"/>
  <c r="T1612" i="11"/>
  <c r="T1611" i="11"/>
  <c r="T1610" i="11"/>
  <c r="T1609" i="11"/>
  <c r="T1608" i="11"/>
  <c r="T1607" i="11"/>
  <c r="T1606" i="11"/>
  <c r="T1605" i="11"/>
  <c r="T1604" i="11"/>
  <c r="T1603" i="11"/>
  <c r="T1602" i="11"/>
  <c r="T1601" i="11"/>
  <c r="T1600" i="11"/>
  <c r="T1599" i="11"/>
  <c r="T1598" i="11"/>
  <c r="T1597" i="11"/>
  <c r="T1596" i="11"/>
  <c r="T1595" i="11"/>
  <c r="T1594" i="11"/>
  <c r="T1593" i="11"/>
  <c r="T1592" i="11"/>
  <c r="T1591" i="11"/>
  <c r="T1590" i="11"/>
  <c r="T1589" i="11"/>
  <c r="T1588" i="11"/>
  <c r="T1587" i="11"/>
  <c r="T1586" i="11"/>
  <c r="T1585" i="11"/>
  <c r="T1584" i="11"/>
  <c r="T1583" i="11"/>
  <c r="T1582" i="11"/>
  <c r="T1581" i="11"/>
  <c r="T1580" i="11"/>
  <c r="T1579" i="11"/>
  <c r="T1578" i="11"/>
  <c r="T1577" i="11"/>
  <c r="T1576" i="11"/>
  <c r="T1575" i="11"/>
  <c r="T1574" i="11"/>
  <c r="T1573" i="11"/>
  <c r="T1572" i="11"/>
  <c r="T1571" i="11"/>
  <c r="T1570" i="11"/>
  <c r="T1569" i="11"/>
  <c r="T1568" i="11"/>
  <c r="T1567" i="11"/>
  <c r="T1566" i="11"/>
  <c r="T1565" i="11"/>
  <c r="T1564" i="11"/>
  <c r="T1563" i="11"/>
  <c r="T1562" i="11"/>
  <c r="T1561" i="11"/>
  <c r="T1560" i="11"/>
  <c r="T1559" i="11"/>
  <c r="T1558" i="11"/>
  <c r="T1557" i="11"/>
  <c r="T1556" i="11"/>
  <c r="T1555" i="11"/>
  <c r="T1554" i="11"/>
  <c r="T1553" i="11"/>
  <c r="T1552" i="11"/>
  <c r="T1551" i="11"/>
  <c r="T1550" i="11"/>
  <c r="T1549" i="11"/>
  <c r="T1548" i="11"/>
  <c r="T1547" i="11"/>
  <c r="T1546" i="11"/>
  <c r="T1545" i="11"/>
  <c r="T1544" i="11"/>
  <c r="T1543" i="11"/>
  <c r="T1542" i="11"/>
  <c r="T1541" i="11"/>
  <c r="T1540" i="11"/>
  <c r="T1539" i="11"/>
  <c r="T1538" i="11"/>
  <c r="T1537" i="11"/>
  <c r="T1536" i="11"/>
  <c r="T1535" i="11"/>
  <c r="T1534" i="11"/>
  <c r="T1533" i="11"/>
  <c r="T1532" i="11"/>
  <c r="T1531" i="11"/>
  <c r="T1530" i="11"/>
  <c r="T1529" i="11"/>
  <c r="T1528" i="11"/>
  <c r="T1527" i="11"/>
  <c r="T1526" i="11"/>
  <c r="T1525" i="11"/>
  <c r="T1524" i="11"/>
  <c r="T1523" i="11"/>
  <c r="T1522" i="11"/>
  <c r="T1521" i="11"/>
  <c r="T1520" i="11"/>
  <c r="T1519" i="11"/>
  <c r="T1518" i="11"/>
  <c r="T1517" i="11"/>
  <c r="T1516" i="11"/>
  <c r="T1515" i="11"/>
  <c r="T1514" i="11"/>
  <c r="T1513" i="11"/>
  <c r="T1512" i="11"/>
  <c r="T1511" i="11"/>
  <c r="T1510" i="11"/>
  <c r="T1509" i="11"/>
  <c r="T1508" i="11"/>
  <c r="T1507" i="11"/>
  <c r="T1506" i="11"/>
  <c r="T1505" i="11"/>
  <c r="T1504" i="11"/>
  <c r="T1503" i="11"/>
  <c r="T1502" i="11"/>
  <c r="T1501" i="11"/>
  <c r="T1500" i="11"/>
  <c r="T1499" i="11"/>
  <c r="T1498" i="11"/>
  <c r="T1497" i="11"/>
  <c r="T1496" i="11"/>
  <c r="T1495" i="11"/>
  <c r="T1494" i="11"/>
  <c r="T1493" i="11"/>
  <c r="T1492" i="11"/>
  <c r="T1491" i="11"/>
  <c r="T1490" i="11"/>
  <c r="T1489" i="11"/>
  <c r="T1488" i="11"/>
  <c r="T1487" i="11"/>
  <c r="T1486" i="11"/>
  <c r="T1485" i="11"/>
  <c r="T1484" i="11"/>
  <c r="T1483" i="11"/>
  <c r="T1482" i="11"/>
  <c r="T1481" i="11"/>
  <c r="T1480" i="11"/>
  <c r="T1479" i="11"/>
  <c r="T1478" i="11"/>
  <c r="T1477" i="11"/>
  <c r="T1476" i="11"/>
  <c r="T1475" i="11"/>
  <c r="T1474" i="11"/>
  <c r="T1473" i="11"/>
  <c r="T1472" i="11"/>
  <c r="T1471" i="11"/>
  <c r="T1470" i="11"/>
  <c r="T1469" i="11"/>
  <c r="T1468" i="11"/>
  <c r="T1467" i="11"/>
  <c r="T1466" i="11"/>
  <c r="T1465" i="11"/>
  <c r="T1464" i="11"/>
  <c r="T1463" i="11"/>
  <c r="T1462" i="11"/>
  <c r="T1461" i="11"/>
  <c r="T1460" i="11"/>
  <c r="T1459" i="11"/>
  <c r="T1458" i="11"/>
  <c r="T1457" i="11"/>
  <c r="T1456" i="11"/>
  <c r="T1455" i="11"/>
  <c r="T1454" i="11"/>
  <c r="T1453" i="11"/>
  <c r="T1452" i="11"/>
  <c r="T1451" i="11"/>
  <c r="T1450" i="11"/>
  <c r="T1449" i="11"/>
  <c r="T1448" i="11"/>
  <c r="T1447" i="11"/>
  <c r="T1446" i="11"/>
  <c r="T1445" i="11"/>
  <c r="T1444" i="11"/>
  <c r="T1443" i="11"/>
  <c r="T1442" i="11"/>
  <c r="T1441" i="11"/>
  <c r="T1440" i="11"/>
  <c r="T1439" i="11"/>
  <c r="T1438" i="11"/>
  <c r="T1437" i="11"/>
  <c r="T1436" i="11"/>
  <c r="T1435" i="11"/>
  <c r="T1434" i="11"/>
  <c r="T1433" i="11"/>
  <c r="T1432" i="11"/>
  <c r="T1431" i="11"/>
  <c r="T1430" i="11"/>
  <c r="T1429" i="11"/>
  <c r="T1428" i="11"/>
  <c r="T1427" i="11"/>
  <c r="T1426" i="11"/>
  <c r="T1425" i="11"/>
  <c r="T1424" i="11"/>
  <c r="T1423" i="11"/>
  <c r="T1422" i="11"/>
  <c r="T1421" i="11"/>
  <c r="T1420" i="11"/>
  <c r="T1419" i="11"/>
  <c r="T1418" i="11"/>
  <c r="T1417" i="11"/>
  <c r="T1416" i="11"/>
  <c r="T1415" i="11"/>
  <c r="T1414" i="11"/>
  <c r="T1413" i="11"/>
  <c r="T1412" i="11"/>
  <c r="T1411" i="11"/>
  <c r="T1410" i="11"/>
  <c r="T1409" i="11"/>
  <c r="T1408" i="11"/>
  <c r="T1407" i="11"/>
  <c r="T1406" i="11"/>
  <c r="T1405" i="11"/>
  <c r="T1404" i="11"/>
  <c r="T1403" i="11"/>
  <c r="T1402" i="11"/>
  <c r="T1401" i="11"/>
  <c r="T1400" i="11"/>
  <c r="T1399" i="11"/>
  <c r="T1398" i="11"/>
  <c r="T1397" i="11"/>
  <c r="T1396" i="11"/>
  <c r="T1395" i="11"/>
  <c r="T1394" i="11"/>
  <c r="T1393" i="11"/>
  <c r="T1392" i="11"/>
  <c r="T1391" i="11"/>
  <c r="T1390" i="11"/>
  <c r="T1389" i="11"/>
  <c r="T1388" i="11"/>
  <c r="T1387" i="11"/>
  <c r="T1386" i="11"/>
  <c r="T1385" i="11"/>
  <c r="T1384" i="11"/>
  <c r="T1383" i="11"/>
  <c r="T1382" i="11"/>
  <c r="T1381" i="11"/>
  <c r="T1380" i="11"/>
  <c r="T1379" i="11"/>
  <c r="T1378" i="11"/>
  <c r="T1377" i="11"/>
  <c r="T1376" i="11"/>
  <c r="T1375" i="11"/>
  <c r="T1374" i="11"/>
  <c r="T1373" i="11"/>
  <c r="T1372" i="11"/>
  <c r="T1371" i="11"/>
  <c r="T1370" i="11"/>
  <c r="T1369" i="11"/>
  <c r="T1368" i="11"/>
  <c r="T1367" i="11"/>
  <c r="T1366" i="11"/>
  <c r="T1365" i="11"/>
  <c r="T1364" i="11"/>
  <c r="T1363" i="11"/>
  <c r="T1362" i="11"/>
  <c r="T1361" i="11"/>
  <c r="T1360" i="11"/>
  <c r="T1359" i="11"/>
  <c r="T1358" i="11"/>
  <c r="T1357" i="11"/>
  <c r="T1356" i="11"/>
  <c r="T1355" i="11"/>
  <c r="T1354" i="11"/>
  <c r="T1353" i="11"/>
  <c r="T1352" i="11"/>
  <c r="T1351" i="11"/>
  <c r="T1350" i="11"/>
  <c r="T1349" i="11"/>
  <c r="T1348" i="11"/>
  <c r="T1347" i="11"/>
  <c r="T1346" i="11"/>
  <c r="T1345" i="11"/>
  <c r="T1344" i="11"/>
  <c r="T1343" i="11"/>
  <c r="T1342" i="11"/>
  <c r="T1341" i="11"/>
  <c r="T1340" i="11"/>
  <c r="T1339" i="11"/>
  <c r="T1338" i="11"/>
  <c r="T1337" i="11"/>
  <c r="T1336" i="11"/>
  <c r="T1335" i="11"/>
  <c r="T1334" i="11"/>
  <c r="T1333" i="11"/>
  <c r="T1332" i="11"/>
  <c r="T1331" i="11"/>
  <c r="T1330" i="11"/>
  <c r="T1329" i="11"/>
  <c r="T1328" i="11"/>
  <c r="T1327" i="11"/>
  <c r="T1326" i="11"/>
  <c r="T1325" i="11"/>
  <c r="T1324" i="11"/>
  <c r="T1323" i="11"/>
  <c r="T1322" i="11"/>
  <c r="T1321" i="11"/>
  <c r="T1320" i="11"/>
  <c r="T1319" i="11"/>
  <c r="T1318" i="11"/>
  <c r="T1317" i="11"/>
  <c r="T1316" i="11"/>
  <c r="T1315" i="11"/>
  <c r="T1314" i="11"/>
  <c r="T1313" i="11"/>
  <c r="T1312" i="11"/>
  <c r="T1311" i="11"/>
  <c r="T1310" i="11"/>
  <c r="T1309" i="11"/>
  <c r="T1308" i="11"/>
  <c r="T1307" i="11"/>
  <c r="T1306" i="11"/>
  <c r="T1305" i="11"/>
  <c r="T1304" i="11"/>
  <c r="T1303" i="11"/>
  <c r="T1302" i="11"/>
  <c r="T1301" i="11"/>
  <c r="T1300" i="11"/>
  <c r="T1299" i="11"/>
  <c r="T1298" i="11"/>
  <c r="T1297" i="11"/>
  <c r="T1296" i="11"/>
  <c r="T1295" i="11"/>
  <c r="T1294" i="11"/>
  <c r="T1293" i="11"/>
  <c r="T1292" i="11"/>
  <c r="T1291" i="11"/>
  <c r="T1290" i="11"/>
  <c r="T1289" i="11"/>
  <c r="T1288" i="11"/>
  <c r="T1287" i="11"/>
  <c r="T1286" i="11"/>
  <c r="T1285" i="11"/>
  <c r="T1284" i="11"/>
  <c r="T1283" i="11"/>
  <c r="T1282" i="11"/>
  <c r="T1281" i="11"/>
  <c r="T1280" i="11"/>
  <c r="T1279" i="11"/>
  <c r="T1278" i="11"/>
  <c r="T1277" i="11"/>
  <c r="T1276" i="11"/>
  <c r="T1275" i="11"/>
  <c r="T1274" i="11"/>
  <c r="T1273" i="11"/>
  <c r="T1272" i="11"/>
  <c r="T1271" i="11"/>
  <c r="T1270" i="11"/>
  <c r="T1269" i="11"/>
  <c r="T1268" i="11"/>
  <c r="T1267" i="11"/>
  <c r="T1266" i="11"/>
  <c r="T1265" i="11"/>
  <c r="T1264" i="11"/>
  <c r="T1263" i="11"/>
  <c r="T1262" i="11"/>
  <c r="T1261" i="11"/>
  <c r="T1260" i="11"/>
  <c r="T1259" i="11"/>
  <c r="T1258" i="11"/>
  <c r="T1257" i="11"/>
  <c r="T1256" i="11"/>
  <c r="T1255" i="11"/>
  <c r="T1254" i="11"/>
  <c r="T1253" i="11"/>
  <c r="T1252" i="11"/>
  <c r="T1251" i="11"/>
  <c r="T1250" i="11"/>
  <c r="T1249" i="11"/>
  <c r="T1248" i="11"/>
  <c r="T1247" i="11"/>
  <c r="T1246" i="11"/>
  <c r="T1245" i="11"/>
  <c r="T1244" i="11"/>
  <c r="T1243" i="11"/>
  <c r="T1242" i="11"/>
  <c r="T1241" i="11"/>
  <c r="T1240" i="11"/>
  <c r="T1239" i="11"/>
  <c r="T1238" i="11"/>
  <c r="T1237" i="11"/>
  <c r="T1236" i="11"/>
  <c r="T1235" i="11"/>
  <c r="T1234" i="11"/>
  <c r="T1233" i="11"/>
  <c r="T1232" i="11"/>
  <c r="T1231" i="11"/>
  <c r="T1230" i="11"/>
  <c r="T1229" i="11"/>
  <c r="T1228" i="11"/>
  <c r="T1227" i="11"/>
  <c r="T1226" i="11"/>
  <c r="T1225" i="11"/>
  <c r="T1224" i="11"/>
  <c r="T1223" i="11"/>
  <c r="T1222" i="11"/>
  <c r="T1221" i="11"/>
  <c r="T1220" i="11"/>
  <c r="T1219" i="11"/>
  <c r="T1218" i="11"/>
  <c r="T1217" i="11"/>
  <c r="T1216" i="11"/>
  <c r="T1215" i="11"/>
  <c r="T1214" i="11"/>
  <c r="T1213" i="11"/>
  <c r="T1212" i="11"/>
  <c r="T1211" i="11"/>
  <c r="T1210" i="11"/>
  <c r="T1209" i="11"/>
  <c r="T1208" i="11"/>
  <c r="T1207" i="11"/>
  <c r="T1206" i="11"/>
  <c r="T1205" i="11"/>
  <c r="T1204" i="11"/>
  <c r="T1203" i="11"/>
  <c r="T1202" i="11"/>
  <c r="T1201" i="11"/>
  <c r="T1200" i="11"/>
  <c r="T1199" i="11"/>
  <c r="T1198" i="11"/>
  <c r="T1197" i="11"/>
  <c r="T1196" i="11"/>
  <c r="T1195" i="11"/>
  <c r="T1194" i="11"/>
  <c r="T1193" i="11"/>
  <c r="T1192" i="11"/>
  <c r="T1191" i="11"/>
  <c r="T1190" i="11"/>
  <c r="T1189" i="11"/>
  <c r="T1188" i="11"/>
  <c r="T1187" i="11"/>
  <c r="T1186" i="11"/>
  <c r="T1185" i="11"/>
  <c r="T1184" i="11"/>
  <c r="T1183" i="11"/>
  <c r="T1182" i="11"/>
  <c r="T1181" i="11"/>
  <c r="T1180" i="11"/>
  <c r="T1179" i="11"/>
  <c r="T1178" i="11"/>
  <c r="T1177" i="11"/>
  <c r="T1176" i="11"/>
  <c r="T1175" i="11"/>
  <c r="T1174" i="11"/>
  <c r="T1173" i="11"/>
  <c r="T1172" i="11"/>
  <c r="T1171" i="11"/>
  <c r="T1170" i="11"/>
  <c r="T1169" i="11"/>
  <c r="T1168" i="11"/>
  <c r="T1167" i="11"/>
  <c r="T1166" i="11"/>
  <c r="T1165" i="11"/>
  <c r="T1164" i="11"/>
  <c r="T1163" i="11"/>
  <c r="T1162" i="11"/>
  <c r="T1161" i="11"/>
  <c r="T1160" i="11"/>
  <c r="T1159" i="11"/>
  <c r="T1158" i="11"/>
  <c r="T1157" i="11"/>
  <c r="T1156" i="11"/>
  <c r="T1155" i="11"/>
  <c r="T1154" i="11"/>
  <c r="T1153" i="11"/>
  <c r="T1152" i="11"/>
  <c r="T1151" i="11"/>
  <c r="T1150" i="11"/>
  <c r="T1149" i="11"/>
  <c r="T1148" i="11"/>
  <c r="T1147" i="11"/>
  <c r="T1146" i="11"/>
  <c r="T1145" i="11"/>
  <c r="T1144" i="11"/>
  <c r="T1143" i="11"/>
  <c r="T1142" i="11"/>
  <c r="T1141" i="11"/>
  <c r="T1140" i="11"/>
  <c r="T1139" i="11"/>
  <c r="T1138" i="11"/>
  <c r="T1137" i="11"/>
  <c r="T1136" i="11"/>
  <c r="T1135" i="11"/>
  <c r="T1134" i="11"/>
  <c r="T1133" i="11"/>
  <c r="T1132" i="11"/>
  <c r="T1131" i="11"/>
  <c r="T1130" i="11"/>
  <c r="T1129" i="11"/>
  <c r="T1128" i="11"/>
  <c r="T1127" i="11"/>
  <c r="T1126" i="11"/>
  <c r="T1125" i="11"/>
  <c r="T1124" i="11"/>
  <c r="T1123" i="11"/>
  <c r="T1122" i="11"/>
  <c r="T1121" i="11"/>
  <c r="T1120" i="11"/>
  <c r="T1119" i="11"/>
  <c r="T1118" i="11"/>
  <c r="T1117" i="11"/>
  <c r="T1116" i="11"/>
  <c r="T1115" i="11"/>
  <c r="T1114" i="11"/>
  <c r="T1113" i="11"/>
  <c r="T1112" i="11"/>
  <c r="T1111" i="11"/>
  <c r="T1110" i="11"/>
  <c r="T1109" i="11"/>
  <c r="T1108" i="11"/>
  <c r="T1107" i="11"/>
  <c r="T1106" i="11"/>
  <c r="T1105" i="11"/>
  <c r="T1104" i="11"/>
  <c r="T1103" i="11"/>
  <c r="T1102" i="11"/>
  <c r="T1101" i="11"/>
  <c r="T1100" i="11"/>
  <c r="T1099" i="11"/>
  <c r="T1098" i="11"/>
  <c r="T1097" i="11"/>
  <c r="T1096" i="11"/>
  <c r="T1095" i="11"/>
  <c r="T1094" i="11"/>
  <c r="T1093" i="11"/>
  <c r="T1092" i="11"/>
  <c r="T1091" i="11"/>
  <c r="T1090" i="11"/>
  <c r="T1089" i="11"/>
  <c r="T1088" i="11"/>
  <c r="T1087" i="11"/>
  <c r="T1086" i="11"/>
  <c r="T1085" i="11"/>
  <c r="T1084" i="11"/>
  <c r="T1083" i="11"/>
  <c r="T1082" i="11"/>
  <c r="T1081" i="11"/>
  <c r="T1080" i="11"/>
  <c r="T1079" i="11"/>
  <c r="T1078" i="11"/>
  <c r="T1077" i="11"/>
  <c r="T1076" i="11"/>
  <c r="T1075" i="11"/>
  <c r="T1074" i="11"/>
  <c r="T1073" i="11"/>
  <c r="T1072" i="11"/>
  <c r="T1071" i="11"/>
  <c r="T1070" i="11"/>
  <c r="T1069" i="11"/>
  <c r="T1068" i="11"/>
  <c r="T1067" i="11"/>
  <c r="T1066" i="11"/>
  <c r="T1065" i="11"/>
  <c r="T1064" i="11"/>
  <c r="T1063" i="11"/>
  <c r="T1062" i="11"/>
  <c r="T1061" i="11"/>
  <c r="T1060" i="11"/>
  <c r="T1059" i="11"/>
  <c r="T1058" i="11"/>
  <c r="T1057" i="11"/>
  <c r="T1056" i="11"/>
  <c r="T1055" i="11"/>
  <c r="T1054" i="11"/>
  <c r="T1053" i="11"/>
  <c r="T1052" i="11"/>
  <c r="T1051" i="11"/>
  <c r="T1050" i="11"/>
  <c r="T1049" i="11"/>
  <c r="T1048" i="11"/>
  <c r="T1047" i="11"/>
  <c r="T1046" i="11"/>
  <c r="T1045" i="11"/>
  <c r="T1044" i="11"/>
  <c r="T1043" i="11"/>
  <c r="T1042" i="11"/>
  <c r="T1041" i="11"/>
  <c r="T1040" i="11"/>
  <c r="T1039" i="11"/>
  <c r="T1038" i="11"/>
  <c r="T1037" i="11"/>
  <c r="T1036" i="11"/>
  <c r="T1035" i="11"/>
  <c r="T1034" i="11"/>
  <c r="T1033" i="11"/>
  <c r="T1032" i="11"/>
  <c r="T1031" i="11"/>
  <c r="T1030" i="11"/>
  <c r="T1029" i="11"/>
  <c r="T1028" i="11"/>
  <c r="T1027" i="11"/>
  <c r="T1026" i="11"/>
  <c r="T1025" i="11"/>
  <c r="T1024" i="11"/>
  <c r="T1023" i="11"/>
  <c r="T1022" i="11"/>
  <c r="T1021" i="11"/>
  <c r="T1020" i="11"/>
  <c r="T1019" i="11"/>
  <c r="T1018" i="11"/>
  <c r="T1017" i="11"/>
  <c r="T1016" i="11"/>
  <c r="T1015" i="11"/>
  <c r="T1014" i="11"/>
  <c r="T1013" i="11"/>
  <c r="T1012" i="11"/>
  <c r="T1011" i="11"/>
  <c r="T1010" i="11"/>
  <c r="T1009" i="11"/>
  <c r="T1008" i="11"/>
  <c r="T1007" i="11"/>
  <c r="T1006" i="11"/>
  <c r="T1005" i="11"/>
  <c r="T1004" i="11"/>
  <c r="T1003" i="11"/>
  <c r="T1002" i="11"/>
  <c r="T1001" i="11"/>
  <c r="T1000" i="11"/>
  <c r="T999" i="11"/>
  <c r="T998" i="11"/>
  <c r="T997" i="11"/>
  <c r="T996" i="11"/>
  <c r="T995" i="11"/>
  <c r="T994" i="11"/>
  <c r="T993" i="11"/>
  <c r="T992" i="11"/>
  <c r="T991" i="11"/>
  <c r="T990" i="11"/>
  <c r="T989" i="11"/>
  <c r="T988" i="11"/>
  <c r="T987" i="11"/>
  <c r="T986" i="11"/>
  <c r="T985" i="11"/>
  <c r="T984" i="11"/>
  <c r="T983" i="11"/>
  <c r="T982" i="11"/>
  <c r="T981" i="11"/>
  <c r="T980" i="11"/>
  <c r="T979" i="11"/>
  <c r="T978" i="11"/>
  <c r="T977" i="11"/>
  <c r="T976" i="11"/>
  <c r="T975" i="11"/>
  <c r="T974" i="11"/>
  <c r="T973" i="11"/>
  <c r="T972" i="11"/>
  <c r="T971" i="11"/>
  <c r="T970" i="11"/>
  <c r="T969" i="11"/>
  <c r="T968" i="11"/>
  <c r="T967" i="11"/>
  <c r="T966" i="11"/>
  <c r="T965" i="11"/>
  <c r="T964" i="11"/>
  <c r="T963" i="11"/>
  <c r="T962" i="11"/>
  <c r="T961" i="11"/>
  <c r="T960" i="11"/>
  <c r="T959" i="11"/>
  <c r="T958" i="11"/>
  <c r="T957" i="11"/>
  <c r="T956" i="11"/>
  <c r="T955" i="11"/>
  <c r="T954" i="11"/>
  <c r="T953" i="11"/>
  <c r="T952" i="11"/>
  <c r="T951" i="11"/>
  <c r="T950" i="11"/>
  <c r="T949" i="11"/>
  <c r="T948" i="11"/>
  <c r="T947" i="11"/>
  <c r="T946" i="11"/>
  <c r="T945" i="11"/>
  <c r="T944" i="11"/>
  <c r="T943" i="11"/>
  <c r="T942" i="11"/>
  <c r="T941" i="11"/>
  <c r="T940" i="11"/>
  <c r="T939" i="11"/>
  <c r="T938" i="11"/>
  <c r="T937" i="11"/>
  <c r="T936" i="11"/>
  <c r="T935" i="11"/>
  <c r="T934" i="11"/>
  <c r="T933" i="11"/>
  <c r="T932" i="11"/>
  <c r="T931" i="11"/>
  <c r="T930" i="11"/>
  <c r="T929" i="11"/>
  <c r="T928" i="11"/>
  <c r="T927" i="11"/>
  <c r="T926" i="11"/>
  <c r="T925" i="11"/>
  <c r="T924" i="11"/>
  <c r="T923" i="11"/>
  <c r="T922" i="11"/>
  <c r="T921" i="11"/>
  <c r="T920" i="11"/>
  <c r="T919" i="11"/>
  <c r="T918" i="11"/>
  <c r="T917" i="11"/>
  <c r="T916" i="11"/>
  <c r="T915" i="11"/>
  <c r="T914" i="11"/>
  <c r="T913" i="11"/>
  <c r="T912" i="11"/>
  <c r="T911" i="11"/>
  <c r="T910" i="11"/>
  <c r="T909" i="11"/>
  <c r="T908" i="11"/>
  <c r="T907" i="11"/>
  <c r="T906" i="11"/>
  <c r="T905" i="11"/>
  <c r="T904" i="11"/>
  <c r="T903" i="11"/>
  <c r="T902" i="11"/>
  <c r="T901" i="11"/>
  <c r="T900" i="11"/>
  <c r="T899" i="11"/>
  <c r="T898" i="11"/>
  <c r="T897" i="11"/>
  <c r="T896" i="11"/>
  <c r="T895" i="11"/>
  <c r="T894" i="11"/>
  <c r="T893" i="11"/>
  <c r="T892" i="11"/>
  <c r="T891" i="11"/>
  <c r="T890" i="11"/>
  <c r="T889" i="11"/>
  <c r="T888" i="11"/>
  <c r="T887" i="11"/>
  <c r="T886" i="11"/>
  <c r="T885" i="11"/>
  <c r="T884" i="11"/>
  <c r="T883" i="11"/>
  <c r="T882" i="11"/>
  <c r="T881" i="11"/>
  <c r="T880" i="11"/>
  <c r="T879" i="11"/>
  <c r="T878" i="11"/>
  <c r="T877" i="11"/>
  <c r="T876" i="11"/>
  <c r="T875" i="11"/>
  <c r="T874" i="11"/>
  <c r="T873" i="11"/>
  <c r="T872" i="11"/>
  <c r="T871" i="11"/>
  <c r="T870" i="11"/>
  <c r="T869" i="11"/>
  <c r="T868" i="11"/>
  <c r="T867" i="11"/>
  <c r="T866" i="11"/>
  <c r="T865" i="11"/>
  <c r="T864" i="11"/>
  <c r="T863" i="11"/>
  <c r="T862" i="11"/>
  <c r="T861" i="11"/>
  <c r="T860" i="11"/>
  <c r="T859" i="11"/>
  <c r="T858" i="11"/>
  <c r="T857" i="11"/>
  <c r="T856" i="11"/>
  <c r="T855" i="11"/>
  <c r="T854" i="11"/>
  <c r="T853" i="11"/>
  <c r="T852" i="11"/>
  <c r="T851" i="11"/>
  <c r="T850" i="11"/>
  <c r="T849" i="11"/>
  <c r="T848" i="11"/>
  <c r="T847" i="11"/>
  <c r="T846" i="11"/>
  <c r="T845" i="11"/>
  <c r="T844" i="11"/>
  <c r="T843" i="11"/>
  <c r="T842" i="11"/>
  <c r="T841" i="11"/>
  <c r="T840" i="11"/>
  <c r="T839" i="11"/>
  <c r="T838" i="11"/>
  <c r="T837" i="11"/>
  <c r="T836" i="11"/>
  <c r="T835" i="11"/>
  <c r="T834" i="11"/>
  <c r="T833" i="11"/>
  <c r="T832" i="11"/>
  <c r="T831" i="11"/>
  <c r="T830" i="11"/>
  <c r="T829" i="11"/>
  <c r="T828" i="11"/>
  <c r="T827" i="11"/>
  <c r="T826" i="11"/>
  <c r="T825" i="11"/>
  <c r="T824" i="11"/>
  <c r="T823" i="11"/>
  <c r="T822" i="11"/>
  <c r="T821" i="11"/>
  <c r="T820" i="11"/>
  <c r="T819" i="11"/>
  <c r="T818" i="11"/>
  <c r="T817" i="11"/>
  <c r="T816" i="11"/>
  <c r="T815" i="11"/>
  <c r="T814" i="11"/>
  <c r="T813" i="11"/>
  <c r="T812" i="11"/>
  <c r="T811" i="11"/>
  <c r="T810" i="11"/>
  <c r="T809" i="11"/>
  <c r="T808" i="11"/>
  <c r="T807" i="11"/>
  <c r="T806" i="11"/>
  <c r="T805" i="11"/>
  <c r="T804" i="11"/>
  <c r="T803" i="11"/>
  <c r="T802" i="11"/>
  <c r="T801" i="11"/>
  <c r="T800" i="11"/>
  <c r="T799" i="11"/>
  <c r="T798" i="11"/>
  <c r="T797" i="11"/>
  <c r="T796" i="11"/>
  <c r="T795" i="11"/>
  <c r="T794" i="11"/>
  <c r="T793" i="11"/>
  <c r="T792" i="11"/>
  <c r="T791" i="11"/>
  <c r="T790" i="11"/>
  <c r="T789" i="11"/>
  <c r="T788" i="11"/>
  <c r="T787" i="11"/>
  <c r="T786" i="11"/>
  <c r="T785" i="11"/>
  <c r="T784" i="11"/>
  <c r="T783" i="11"/>
  <c r="T782" i="11"/>
  <c r="T781" i="11"/>
  <c r="T780" i="11"/>
  <c r="T779" i="11"/>
  <c r="T778" i="11"/>
  <c r="T777" i="11"/>
  <c r="T776" i="11"/>
  <c r="T775" i="11"/>
  <c r="T774" i="11"/>
  <c r="T773" i="11"/>
  <c r="T772" i="11"/>
  <c r="T771" i="11"/>
  <c r="T770" i="11"/>
  <c r="T769" i="11"/>
  <c r="T768" i="11"/>
  <c r="T767" i="11"/>
  <c r="T766" i="11"/>
  <c r="T765" i="11"/>
  <c r="T764" i="11"/>
  <c r="T763" i="11"/>
  <c r="T762" i="11"/>
  <c r="T761" i="11"/>
  <c r="T760" i="11"/>
  <c r="T759" i="11"/>
  <c r="T758" i="11"/>
  <c r="T757" i="11"/>
  <c r="T756" i="11"/>
  <c r="T755" i="11"/>
  <c r="T754" i="11"/>
  <c r="T753" i="11"/>
  <c r="T752" i="11"/>
  <c r="T751" i="11"/>
  <c r="T750" i="11"/>
  <c r="T749" i="11"/>
  <c r="T748" i="11"/>
  <c r="T747" i="11"/>
  <c r="T746" i="11"/>
  <c r="T745" i="11"/>
  <c r="T744" i="11"/>
  <c r="T743" i="11"/>
  <c r="T742" i="11"/>
  <c r="T741" i="11"/>
  <c r="T740" i="11"/>
  <c r="T739" i="11"/>
  <c r="T738" i="11"/>
  <c r="T737" i="11"/>
  <c r="T736" i="11"/>
  <c r="T735" i="11"/>
  <c r="T734" i="11"/>
  <c r="T733" i="11"/>
  <c r="T732" i="11"/>
  <c r="T731" i="11"/>
  <c r="T730" i="11"/>
  <c r="T729" i="11"/>
  <c r="T728" i="11"/>
  <c r="T727" i="11"/>
  <c r="T726" i="11"/>
  <c r="T725" i="11"/>
  <c r="T724" i="11"/>
  <c r="T723" i="11"/>
  <c r="T722" i="11"/>
  <c r="T721" i="11"/>
  <c r="T720" i="11"/>
  <c r="T719" i="11"/>
  <c r="T718" i="11"/>
  <c r="T717" i="11"/>
  <c r="T716" i="11"/>
  <c r="T715" i="11"/>
  <c r="T714" i="11"/>
  <c r="T713" i="11"/>
  <c r="T712" i="11"/>
  <c r="T711" i="11"/>
  <c r="T710" i="11"/>
  <c r="T709" i="11"/>
  <c r="T708" i="11"/>
  <c r="T707" i="11"/>
  <c r="T706" i="11"/>
  <c r="T705" i="11"/>
  <c r="T704" i="11"/>
  <c r="T703" i="11"/>
  <c r="T702" i="11"/>
  <c r="T701" i="11"/>
  <c r="T700" i="11"/>
  <c r="T699" i="11"/>
  <c r="T698" i="11"/>
  <c r="T697" i="11"/>
  <c r="T696" i="11"/>
  <c r="T695" i="11"/>
  <c r="T694" i="11"/>
  <c r="T693" i="11"/>
  <c r="T692" i="11"/>
  <c r="T691" i="11"/>
  <c r="T690" i="11"/>
  <c r="T689" i="11"/>
  <c r="T688" i="11"/>
  <c r="T687" i="11"/>
  <c r="T686" i="11"/>
  <c r="T685" i="11"/>
  <c r="T684" i="11"/>
  <c r="T683" i="11"/>
  <c r="T682" i="11"/>
  <c r="T681" i="11"/>
  <c r="T680" i="11"/>
  <c r="T679" i="11"/>
  <c r="T678" i="11"/>
  <c r="T677" i="11"/>
  <c r="T676" i="11"/>
  <c r="T675" i="11"/>
  <c r="T674" i="11"/>
  <c r="T673" i="11"/>
  <c r="T672" i="11"/>
  <c r="T671" i="11"/>
  <c r="T670" i="11"/>
  <c r="T669" i="11"/>
  <c r="T668" i="11"/>
  <c r="T667" i="11"/>
  <c r="T666" i="11"/>
  <c r="T665" i="11"/>
  <c r="T664" i="11"/>
  <c r="T663" i="11"/>
  <c r="T662" i="11"/>
  <c r="T661" i="11"/>
  <c r="T660" i="11"/>
  <c r="T659" i="11"/>
  <c r="T658" i="11"/>
  <c r="T657" i="11"/>
  <c r="T656" i="11"/>
  <c r="T655" i="11"/>
  <c r="T654" i="11"/>
  <c r="T653" i="11"/>
  <c r="T652" i="11"/>
  <c r="T651" i="11"/>
  <c r="T650" i="11"/>
  <c r="T649" i="11"/>
  <c r="T648" i="11"/>
  <c r="T647" i="11"/>
  <c r="T646" i="11"/>
  <c r="T645" i="11"/>
  <c r="T644" i="11"/>
  <c r="T643" i="11"/>
  <c r="T642" i="11"/>
  <c r="T641" i="11"/>
  <c r="T640" i="11"/>
  <c r="T639" i="11"/>
  <c r="T638" i="11"/>
  <c r="T637" i="11"/>
  <c r="T636" i="11"/>
  <c r="T635" i="11"/>
  <c r="T634" i="11"/>
  <c r="T633" i="11"/>
  <c r="T632" i="11"/>
  <c r="T631" i="11"/>
  <c r="T630" i="11"/>
  <c r="T629" i="11"/>
  <c r="T628" i="11"/>
  <c r="T627" i="11"/>
  <c r="T626" i="11"/>
  <c r="T625" i="11"/>
  <c r="T624" i="11"/>
  <c r="T623" i="11"/>
  <c r="T622" i="11"/>
  <c r="T621" i="11"/>
  <c r="T620" i="11"/>
  <c r="T619" i="11"/>
  <c r="T618" i="11"/>
  <c r="T617" i="11"/>
  <c r="T616" i="11"/>
  <c r="T615" i="11"/>
  <c r="T614" i="11"/>
  <c r="T613" i="11"/>
  <c r="T612" i="11"/>
  <c r="T611" i="11"/>
  <c r="T610" i="11"/>
  <c r="T609" i="11"/>
  <c r="T608" i="11"/>
  <c r="T607" i="11"/>
  <c r="T606" i="11"/>
  <c r="T605" i="11"/>
  <c r="T604" i="11"/>
  <c r="T603" i="11"/>
  <c r="T602" i="11"/>
  <c r="T601" i="11"/>
  <c r="T600" i="11"/>
  <c r="T599" i="11"/>
  <c r="T598" i="11"/>
  <c r="T597" i="11"/>
  <c r="T596" i="11"/>
  <c r="T595" i="11"/>
  <c r="T594" i="11"/>
  <c r="T593" i="11"/>
  <c r="T592" i="11"/>
  <c r="T591" i="11"/>
  <c r="T590" i="11"/>
  <c r="T589" i="11"/>
  <c r="T588" i="11"/>
  <c r="T587" i="11"/>
  <c r="T586" i="11"/>
  <c r="T585" i="11"/>
  <c r="T584" i="11"/>
  <c r="T583" i="11"/>
  <c r="T582" i="11"/>
  <c r="T581" i="11"/>
  <c r="T580" i="11"/>
  <c r="T579" i="11"/>
  <c r="T578" i="11"/>
  <c r="T577" i="11"/>
  <c r="T576" i="11"/>
  <c r="T575" i="11"/>
  <c r="T574" i="11"/>
  <c r="T573" i="11"/>
  <c r="T572" i="11"/>
  <c r="T571" i="11"/>
  <c r="T570" i="11"/>
  <c r="T569" i="11"/>
  <c r="T568" i="11"/>
  <c r="T567" i="11"/>
  <c r="T566" i="11"/>
  <c r="T565" i="11"/>
  <c r="T564" i="11"/>
  <c r="T563" i="11"/>
  <c r="T562" i="11"/>
  <c r="T561" i="11"/>
  <c r="T560" i="11"/>
  <c r="T559" i="11"/>
  <c r="T558" i="11"/>
  <c r="T557" i="11"/>
  <c r="T556" i="11"/>
  <c r="T555" i="11"/>
  <c r="T554" i="11"/>
  <c r="T553" i="11"/>
  <c r="T552" i="11"/>
  <c r="T551" i="11"/>
  <c r="T550" i="11"/>
  <c r="T549" i="11"/>
  <c r="T548" i="11"/>
  <c r="T547" i="11"/>
  <c r="T546" i="11"/>
  <c r="T545" i="11"/>
  <c r="T544" i="11"/>
  <c r="T543" i="11"/>
  <c r="T542" i="11"/>
  <c r="T541" i="11"/>
  <c r="T540" i="11"/>
  <c r="T539" i="11"/>
  <c r="T538" i="11"/>
  <c r="T537" i="11"/>
  <c r="T536" i="11"/>
  <c r="T535" i="11"/>
  <c r="T534" i="11"/>
  <c r="T533" i="11"/>
  <c r="T532" i="11"/>
  <c r="T531" i="11"/>
  <c r="T530" i="11"/>
  <c r="T529" i="11"/>
  <c r="T528" i="11"/>
  <c r="T527" i="11"/>
  <c r="T526" i="11"/>
  <c r="T525" i="11"/>
  <c r="T524" i="11"/>
  <c r="T523" i="11"/>
  <c r="T522" i="11"/>
  <c r="T521" i="11"/>
  <c r="T520" i="11"/>
  <c r="T519" i="11"/>
  <c r="T518" i="11"/>
  <c r="T517" i="11"/>
  <c r="T516" i="11"/>
  <c r="T515" i="11"/>
  <c r="T514" i="11"/>
  <c r="T513" i="11"/>
  <c r="T512" i="11"/>
  <c r="T511" i="11"/>
  <c r="T510" i="11"/>
  <c r="T509" i="11"/>
  <c r="T508" i="11"/>
  <c r="T507" i="11"/>
  <c r="T506" i="11"/>
  <c r="T505" i="11"/>
  <c r="T504" i="11"/>
  <c r="T503" i="11"/>
  <c r="T502" i="11"/>
  <c r="T501" i="11"/>
  <c r="T500" i="11"/>
  <c r="T499" i="11"/>
  <c r="T498" i="11"/>
  <c r="T497" i="11"/>
  <c r="T496" i="11"/>
  <c r="T495" i="11"/>
  <c r="T494" i="11"/>
  <c r="T493" i="11"/>
  <c r="T492" i="11"/>
  <c r="T491" i="11"/>
  <c r="T490" i="11"/>
  <c r="T489" i="11"/>
  <c r="T488" i="11"/>
  <c r="T487" i="11"/>
  <c r="T486" i="11"/>
  <c r="T485" i="11"/>
  <c r="T484" i="11"/>
  <c r="T483" i="11"/>
  <c r="T482" i="11"/>
  <c r="T481" i="11"/>
  <c r="T480" i="11"/>
  <c r="T479" i="11"/>
  <c r="T478" i="11"/>
  <c r="T477" i="11"/>
  <c r="T476" i="11"/>
  <c r="T475" i="11"/>
  <c r="T474" i="11"/>
  <c r="T473" i="11"/>
  <c r="T472" i="11"/>
  <c r="T471" i="11"/>
  <c r="T470" i="11"/>
  <c r="T469" i="11"/>
  <c r="T468" i="11"/>
  <c r="T467" i="11"/>
  <c r="T466" i="11"/>
  <c r="T465" i="11"/>
  <c r="T464" i="11"/>
  <c r="T463" i="11"/>
  <c r="T462" i="11"/>
  <c r="T461" i="11"/>
  <c r="T460" i="11"/>
  <c r="T459" i="11"/>
  <c r="T458" i="11"/>
  <c r="T457" i="11"/>
  <c r="T456" i="11"/>
  <c r="T455" i="11"/>
  <c r="T454" i="11"/>
  <c r="T453" i="11"/>
  <c r="T452" i="11"/>
  <c r="T451" i="11"/>
  <c r="T450" i="11"/>
  <c r="T449" i="11"/>
  <c r="T448" i="11"/>
  <c r="T447" i="11"/>
  <c r="T446" i="11"/>
  <c r="T445" i="11"/>
  <c r="T444" i="11"/>
  <c r="T443" i="11"/>
  <c r="T442" i="11"/>
  <c r="T441" i="11"/>
  <c r="T440" i="11"/>
  <c r="T439" i="11"/>
  <c r="T438" i="11"/>
  <c r="T437" i="11"/>
  <c r="T436" i="11"/>
  <c r="T435" i="11"/>
  <c r="T434" i="11"/>
  <c r="T433" i="11"/>
  <c r="T432" i="11"/>
  <c r="T431" i="11"/>
  <c r="T430" i="11"/>
  <c r="T429" i="11"/>
  <c r="T428" i="11"/>
  <c r="T427" i="11"/>
  <c r="T426" i="11"/>
  <c r="T425" i="11"/>
  <c r="T424" i="11"/>
  <c r="T423" i="11"/>
  <c r="T422" i="11"/>
  <c r="T421" i="11"/>
  <c r="T420" i="11"/>
  <c r="T419" i="11"/>
  <c r="T418" i="11"/>
  <c r="T417" i="11"/>
  <c r="T416" i="11"/>
  <c r="T415" i="11"/>
  <c r="T414" i="11"/>
  <c r="T413" i="11"/>
  <c r="T412" i="11"/>
  <c r="T411" i="11"/>
  <c r="T410" i="11"/>
  <c r="T409" i="11"/>
  <c r="T408" i="11"/>
  <c r="T407" i="11"/>
  <c r="T406" i="11"/>
  <c r="T405" i="11"/>
  <c r="T404" i="11"/>
  <c r="T403" i="11"/>
  <c r="T402" i="11"/>
  <c r="T401" i="11"/>
  <c r="T400" i="11"/>
  <c r="T399" i="11"/>
  <c r="T398" i="11"/>
  <c r="T397" i="11"/>
  <c r="T396" i="11"/>
  <c r="T395" i="11"/>
  <c r="T394" i="11"/>
  <c r="T393" i="11"/>
  <c r="T392" i="11"/>
  <c r="T391" i="11"/>
  <c r="T390" i="11"/>
  <c r="T389" i="11"/>
  <c r="T388" i="11"/>
  <c r="T387" i="11"/>
  <c r="T386" i="11"/>
  <c r="T385" i="11"/>
  <c r="T384" i="11"/>
  <c r="T383" i="11"/>
  <c r="T382" i="11"/>
  <c r="T381" i="11"/>
  <c r="T380" i="11"/>
  <c r="T379" i="11"/>
  <c r="T378" i="11"/>
  <c r="T377" i="11"/>
  <c r="T376" i="11"/>
  <c r="T375" i="11"/>
  <c r="T374" i="11"/>
  <c r="T373" i="11"/>
  <c r="T372" i="11"/>
  <c r="T371" i="11"/>
  <c r="T370" i="11"/>
  <c r="T369" i="11"/>
  <c r="T368" i="11"/>
  <c r="T367" i="11"/>
  <c r="T366" i="11"/>
  <c r="T365" i="11"/>
  <c r="T364" i="11"/>
  <c r="T363" i="11"/>
  <c r="T362" i="11"/>
  <c r="T361" i="11"/>
  <c r="T360" i="11"/>
  <c r="T359" i="11"/>
  <c r="T358" i="11"/>
  <c r="T357" i="11"/>
  <c r="T356" i="11"/>
  <c r="T355" i="11"/>
  <c r="T354" i="11"/>
  <c r="T353" i="11"/>
  <c r="T352" i="11"/>
  <c r="T351" i="11"/>
  <c r="T350" i="11"/>
  <c r="T349" i="11"/>
  <c r="T348" i="11"/>
  <c r="T347" i="11"/>
  <c r="T346" i="11"/>
  <c r="T345" i="11"/>
  <c r="T344" i="11"/>
  <c r="T343" i="11"/>
  <c r="T342" i="11"/>
  <c r="T341" i="11"/>
  <c r="T340" i="11"/>
  <c r="T339" i="11"/>
  <c r="T338" i="11"/>
  <c r="T337" i="11"/>
  <c r="T336" i="11"/>
  <c r="T335" i="11"/>
  <c r="T334" i="11"/>
  <c r="T333" i="11"/>
  <c r="T332" i="11"/>
  <c r="T331" i="11"/>
  <c r="T330" i="11"/>
  <c r="T329" i="11"/>
  <c r="T328" i="11"/>
  <c r="T327" i="11"/>
  <c r="T326" i="11"/>
  <c r="T325" i="11"/>
  <c r="T324" i="11"/>
  <c r="T323" i="11"/>
  <c r="T322" i="11"/>
  <c r="T321" i="11"/>
  <c r="T320" i="11"/>
  <c r="T319" i="11"/>
  <c r="T318" i="11"/>
  <c r="T317" i="11"/>
  <c r="T316" i="11"/>
  <c r="T315" i="11"/>
  <c r="T314" i="11"/>
  <c r="T313" i="11"/>
  <c r="T312" i="11"/>
  <c r="T311" i="11"/>
  <c r="T310" i="11"/>
  <c r="T309" i="11"/>
  <c r="T308" i="11"/>
  <c r="T307" i="11"/>
  <c r="T306" i="11"/>
  <c r="T305" i="11"/>
  <c r="T304" i="11"/>
  <c r="T303" i="11"/>
  <c r="T302" i="11"/>
  <c r="T301" i="11"/>
  <c r="T300" i="11"/>
  <c r="T299" i="11"/>
  <c r="T298" i="11"/>
  <c r="T297" i="11"/>
  <c r="T296" i="11"/>
  <c r="T295" i="11"/>
  <c r="T294" i="11"/>
  <c r="T293" i="11"/>
  <c r="T292" i="11"/>
  <c r="T291" i="11"/>
  <c r="T290" i="11"/>
  <c r="T289" i="11"/>
  <c r="T288" i="11"/>
  <c r="T287" i="11"/>
  <c r="T286" i="11"/>
  <c r="T285" i="11"/>
  <c r="T284" i="11"/>
  <c r="T283" i="11"/>
  <c r="T282" i="11"/>
  <c r="T281" i="11"/>
  <c r="T280" i="11"/>
  <c r="T279" i="11"/>
  <c r="T278" i="11"/>
  <c r="T277" i="11"/>
  <c r="T276" i="11"/>
  <c r="T275" i="11"/>
  <c r="T274" i="11"/>
  <c r="T273" i="11"/>
  <c r="T272" i="11"/>
  <c r="T271" i="11"/>
  <c r="T270" i="11"/>
  <c r="T269" i="11"/>
  <c r="T268" i="11"/>
  <c r="T267" i="11"/>
  <c r="T266" i="11"/>
  <c r="T265" i="11"/>
  <c r="T264" i="11"/>
  <c r="T263" i="11"/>
  <c r="T262" i="11"/>
  <c r="T261" i="11"/>
  <c r="T260" i="11"/>
  <c r="T259" i="11"/>
  <c r="T258" i="11"/>
  <c r="T257" i="11"/>
  <c r="T256" i="11"/>
  <c r="T255" i="11"/>
  <c r="T254" i="11"/>
  <c r="T253" i="11"/>
  <c r="T252" i="11"/>
  <c r="T251" i="11"/>
  <c r="T250" i="11"/>
  <c r="T249" i="11"/>
  <c r="T248" i="11"/>
  <c r="T247" i="11"/>
  <c r="T246" i="11"/>
  <c r="T245" i="11"/>
  <c r="T244" i="11"/>
  <c r="T243" i="11"/>
  <c r="T242" i="11"/>
  <c r="T241" i="11"/>
  <c r="T240" i="11"/>
  <c r="T239" i="11"/>
  <c r="T238" i="11"/>
  <c r="T237" i="11"/>
  <c r="T236" i="11"/>
  <c r="T235" i="11"/>
  <c r="T234" i="11"/>
  <c r="T233" i="11"/>
  <c r="T232" i="11"/>
  <c r="T231" i="11"/>
  <c r="T230" i="11"/>
  <c r="T229" i="11"/>
  <c r="T228" i="11"/>
  <c r="T227" i="11"/>
  <c r="T226" i="11"/>
  <c r="T225" i="11"/>
  <c r="T224" i="11"/>
  <c r="T223" i="11"/>
  <c r="T222" i="11"/>
  <c r="T221" i="11"/>
  <c r="T220" i="11"/>
  <c r="T219" i="11"/>
  <c r="T218" i="11"/>
  <c r="T217" i="11"/>
  <c r="T216" i="11"/>
  <c r="T215" i="11"/>
  <c r="T214" i="11"/>
  <c r="T213" i="11"/>
  <c r="T212" i="11"/>
  <c r="T211" i="11"/>
  <c r="T210" i="11"/>
  <c r="T209" i="11"/>
  <c r="T208" i="11"/>
  <c r="T207" i="11"/>
  <c r="T206" i="11"/>
  <c r="T205" i="11"/>
  <c r="T204" i="11"/>
  <c r="T203" i="11"/>
  <c r="T202" i="11"/>
  <c r="T201" i="11"/>
  <c r="T200" i="11"/>
  <c r="T199" i="11"/>
  <c r="T198" i="11"/>
  <c r="T197" i="11"/>
  <c r="T196" i="11"/>
  <c r="T195" i="11"/>
  <c r="T194" i="11"/>
  <c r="T193" i="11"/>
  <c r="T192" i="11"/>
  <c r="T191" i="11"/>
  <c r="T190" i="11"/>
  <c r="T189" i="11"/>
  <c r="T188" i="11"/>
  <c r="T187" i="11"/>
  <c r="T186" i="11"/>
  <c r="T185" i="11"/>
  <c r="T184" i="11"/>
  <c r="T183" i="11"/>
  <c r="T182" i="11"/>
  <c r="T181" i="11"/>
  <c r="T180" i="11"/>
  <c r="T179" i="11"/>
  <c r="T178" i="11"/>
  <c r="T177" i="11"/>
  <c r="T176" i="11"/>
  <c r="T175" i="11"/>
  <c r="T174" i="11"/>
  <c r="T173" i="11"/>
  <c r="T172" i="11"/>
  <c r="T171" i="11"/>
  <c r="T170" i="11"/>
  <c r="T169" i="11"/>
  <c r="T168" i="11"/>
  <c r="T167" i="11"/>
  <c r="T166" i="11"/>
  <c r="T165" i="11"/>
  <c r="T164" i="11"/>
  <c r="T163" i="11"/>
  <c r="T162" i="11"/>
  <c r="T161" i="11"/>
  <c r="T160" i="11"/>
  <c r="T159" i="11"/>
  <c r="T158" i="11"/>
  <c r="T157" i="11"/>
  <c r="T156" i="11"/>
  <c r="T155" i="11"/>
  <c r="T154" i="11"/>
  <c r="T153" i="11"/>
  <c r="T152" i="11"/>
  <c r="T151" i="11"/>
  <c r="T150" i="11"/>
  <c r="T149" i="11"/>
  <c r="T148" i="11"/>
  <c r="T147" i="11"/>
  <c r="T146" i="11"/>
  <c r="T145" i="11"/>
  <c r="T144" i="11"/>
  <c r="T143" i="11"/>
  <c r="T142" i="11"/>
  <c r="T141" i="11"/>
  <c r="T140" i="11"/>
  <c r="T139" i="11"/>
  <c r="T138" i="11"/>
  <c r="T137" i="11"/>
  <c r="T136" i="11"/>
  <c r="T135" i="11"/>
  <c r="T134" i="11"/>
  <c r="T133" i="11"/>
  <c r="T132" i="11"/>
  <c r="T131" i="11"/>
  <c r="T130" i="11"/>
  <c r="T129" i="11"/>
  <c r="T128" i="11"/>
  <c r="T127" i="11"/>
  <c r="T126" i="11"/>
  <c r="T125" i="11"/>
  <c r="T124" i="11"/>
  <c r="T123" i="11"/>
  <c r="T122" i="11"/>
  <c r="T121" i="11"/>
  <c r="T120" i="11"/>
  <c r="T119" i="11"/>
  <c r="T118" i="11"/>
  <c r="T117" i="11"/>
  <c r="T116" i="11"/>
  <c r="T115" i="11"/>
  <c r="T114" i="11"/>
  <c r="T113" i="11"/>
  <c r="T112" i="11"/>
  <c r="T111" i="11"/>
  <c r="T110" i="11"/>
  <c r="T109" i="11"/>
  <c r="T108" i="11"/>
  <c r="T107" i="11"/>
  <c r="T106" i="11"/>
  <c r="T105" i="11"/>
  <c r="T104" i="11"/>
  <c r="T103" i="11"/>
  <c r="T102" i="11"/>
  <c r="T101" i="11"/>
  <c r="T100" i="11"/>
  <c r="T99" i="11"/>
  <c r="T98" i="11"/>
  <c r="T97" i="11"/>
  <c r="T96" i="11"/>
  <c r="T95" i="11"/>
  <c r="T94" i="11"/>
  <c r="T93" i="11"/>
  <c r="T92" i="11"/>
  <c r="T91" i="11"/>
  <c r="T90" i="11"/>
  <c r="T89" i="11"/>
  <c r="T88" i="11"/>
  <c r="T87" i="11"/>
  <c r="T86" i="11"/>
  <c r="T85" i="11"/>
  <c r="T84" i="11"/>
  <c r="T83" i="11"/>
  <c r="T82" i="11"/>
  <c r="T81" i="11"/>
  <c r="T80" i="11"/>
  <c r="T79" i="11"/>
  <c r="T78" i="11"/>
  <c r="T77" i="11"/>
  <c r="T76" i="11"/>
  <c r="T75" i="11"/>
  <c r="T74" i="11"/>
  <c r="T73" i="11"/>
  <c r="T72" i="11"/>
  <c r="T71" i="11"/>
  <c r="T70" i="11"/>
  <c r="T69" i="11"/>
  <c r="T68" i="11"/>
  <c r="T67" i="11"/>
  <c r="T66" i="11"/>
  <c r="T65" i="11"/>
  <c r="T64" i="11"/>
  <c r="T63" i="11"/>
  <c r="T62" i="11"/>
  <c r="T61" i="11"/>
  <c r="T60" i="11"/>
  <c r="T59" i="11"/>
  <c r="T58" i="11"/>
  <c r="T57" i="11"/>
  <c r="T56" i="11"/>
  <c r="T55" i="11"/>
  <c r="T54" i="11"/>
  <c r="T53" i="11"/>
  <c r="T52" i="11"/>
  <c r="T51" i="11"/>
  <c r="T50" i="11"/>
  <c r="T49" i="11"/>
  <c r="T48" i="11"/>
  <c r="T47" i="11"/>
  <c r="T46" i="11"/>
  <c r="T45" i="11"/>
  <c r="T44" i="11"/>
  <c r="T43" i="11"/>
  <c r="T42" i="11"/>
  <c r="T41" i="11"/>
  <c r="T40" i="11"/>
  <c r="T39" i="11"/>
  <c r="T38" i="11"/>
  <c r="T37" i="11"/>
  <c r="T36" i="11"/>
  <c r="T35" i="11"/>
  <c r="T34" i="11"/>
  <c r="T33" i="11"/>
  <c r="T32" i="11"/>
  <c r="T31" i="11"/>
  <c r="T30" i="11"/>
  <c r="T29" i="11"/>
  <c r="T28" i="11"/>
  <c r="T27" i="11"/>
  <c r="T26" i="11"/>
  <c r="T25" i="11"/>
  <c r="T24" i="11"/>
  <c r="T23" i="11"/>
  <c r="T22" i="11"/>
  <c r="T21" i="11"/>
  <c r="T20" i="11"/>
  <c r="T19" i="11"/>
  <c r="T18" i="11"/>
  <c r="T17" i="11"/>
  <c r="T16" i="11"/>
  <c r="T15" i="11"/>
  <c r="T14" i="11"/>
  <c r="T13" i="11"/>
  <c r="T12" i="11"/>
  <c r="T11" i="11"/>
  <c r="T10" i="11"/>
  <c r="T9" i="11"/>
  <c r="T8" i="11"/>
  <c r="T7" i="11"/>
  <c r="T3" i="11"/>
  <c r="T4" i="11"/>
  <c r="T5" i="11"/>
  <c r="T6" i="11"/>
  <c r="T2" i="11"/>
  <c r="B22" i="16"/>
  <c r="B23" i="16"/>
  <c r="I7" i="16"/>
  <c r="J7" i="16" s="1"/>
  <c r="J8" i="16" s="1"/>
  <c r="J9" i="16" s="1"/>
  <c r="C10" i="9"/>
  <c r="B10" i="9"/>
  <c r="B18" i="9" s="1"/>
  <c r="C17" i="4"/>
  <c r="D17" i="4"/>
  <c r="B17" i="4"/>
  <c r="B3" i="16"/>
  <c r="E14" i="9"/>
  <c r="B17" i="9" l="1"/>
  <c r="B16" i="9"/>
  <c r="B15" i="9"/>
  <c r="U3534" i="11"/>
  <c r="U3502" i="11"/>
  <c r="U3478" i="11"/>
  <c r="U3470" i="11"/>
  <c r="U3446" i="11"/>
  <c r="U3430" i="11"/>
  <c r="U1926" i="11"/>
  <c r="U1918" i="11"/>
  <c r="U1914" i="11"/>
  <c r="U1870" i="11"/>
  <c r="U1862" i="11"/>
  <c r="U4074" i="11"/>
  <c r="U1858" i="11"/>
  <c r="U1854" i="11"/>
  <c r="U1850" i="11"/>
  <c r="U1846" i="11"/>
  <c r="U1842" i="11"/>
  <c r="U1838" i="11"/>
  <c r="U1834" i="11"/>
  <c r="U1830" i="11"/>
  <c r="U1826" i="11"/>
  <c r="U1746" i="11"/>
  <c r="U1742" i="11"/>
  <c r="U3323" i="11"/>
  <c r="U3319" i="11"/>
  <c r="U3315" i="11"/>
  <c r="U3311" i="11"/>
  <c r="U3307" i="11"/>
  <c r="U3303" i="11"/>
  <c r="U3299" i="11"/>
  <c r="U3295" i="11"/>
  <c r="U2863" i="11"/>
  <c r="U2855" i="11"/>
  <c r="U2771" i="11"/>
  <c r="U2767" i="11"/>
  <c r="U2763" i="11"/>
  <c r="U2759" i="11"/>
  <c r="U2755" i="11"/>
  <c r="U2751" i="11"/>
  <c r="U1738" i="11"/>
  <c r="U1734" i="11"/>
  <c r="U1730" i="11"/>
  <c r="U1726" i="11"/>
  <c r="U1722" i="11"/>
  <c r="U1718" i="11"/>
  <c r="U1714" i="11"/>
  <c r="U1710" i="11"/>
  <c r="U954" i="11"/>
  <c r="U950" i="11"/>
  <c r="U946" i="11"/>
  <c r="U942" i="11"/>
  <c r="U938" i="11"/>
  <c r="U934" i="11"/>
  <c r="U930" i="11"/>
  <c r="U926" i="11"/>
  <c r="U922" i="11"/>
  <c r="U918" i="11"/>
  <c r="U914" i="11"/>
  <c r="U910" i="11"/>
  <c r="U902" i="11"/>
  <c r="U894" i="11"/>
  <c r="U886" i="11"/>
  <c r="U790" i="11"/>
  <c r="U786" i="11"/>
  <c r="U778" i="11"/>
  <c r="U770" i="11"/>
  <c r="U762" i="11"/>
  <c r="U754" i="11"/>
  <c r="U746" i="11"/>
  <c r="U738" i="11"/>
  <c r="U730" i="11"/>
  <c r="U722" i="11"/>
  <c r="U714" i="11"/>
  <c r="U706" i="11"/>
  <c r="U698" i="11"/>
  <c r="U690" i="11"/>
  <c r="U682" i="11"/>
  <c r="U678" i="11"/>
  <c r="U674" i="11"/>
  <c r="U666" i="11"/>
  <c r="U662" i="11"/>
  <c r="U658" i="11"/>
  <c r="U650" i="11"/>
  <c r="U646" i="11"/>
  <c r="U642" i="11"/>
  <c r="U634" i="11"/>
  <c r="U338" i="11"/>
  <c r="U330" i="11"/>
  <c r="U322" i="11"/>
  <c r="U314" i="11"/>
  <c r="U306" i="11"/>
  <c r="U298" i="11"/>
  <c r="U290" i="11"/>
  <c r="U282" i="11"/>
  <c r="U274" i="11"/>
  <c r="U266" i="11"/>
  <c r="U258" i="11"/>
  <c r="U250" i="11"/>
  <c r="U242" i="11"/>
  <c r="U234" i="11"/>
  <c r="U226" i="11"/>
  <c r="U218" i="11"/>
  <c r="U210" i="11"/>
  <c r="U202" i="11"/>
  <c r="U194" i="11"/>
  <c r="U186" i="11"/>
  <c r="U178" i="11"/>
  <c r="U170" i="11"/>
  <c r="U162" i="11"/>
  <c r="U154" i="11"/>
  <c r="U146" i="11"/>
  <c r="U138" i="11"/>
  <c r="U130" i="11"/>
  <c r="U122" i="11"/>
  <c r="U114" i="11"/>
  <c r="U106" i="11"/>
  <c r="U98" i="11"/>
  <c r="U90" i="11"/>
  <c r="U58" i="11"/>
  <c r="U50" i="11"/>
  <c r="U42" i="11"/>
  <c r="U34" i="11"/>
  <c r="U26" i="11"/>
  <c r="U18" i="11"/>
  <c r="U2183" i="11"/>
  <c r="U2175" i="11"/>
  <c r="U2167" i="11"/>
  <c r="U2124" i="11"/>
  <c r="U2120" i="11"/>
  <c r="U3702" i="11"/>
  <c r="U822" i="11"/>
  <c r="U818" i="11"/>
  <c r="U814" i="11"/>
  <c r="U810" i="11"/>
  <c r="U806" i="11"/>
  <c r="U802" i="11"/>
  <c r="U798" i="11"/>
  <c r="U794" i="11"/>
  <c r="U82" i="11"/>
  <c r="U74" i="11"/>
  <c r="U66" i="11"/>
  <c r="U10" i="11"/>
  <c r="U6" i="11"/>
  <c r="U1404" i="11"/>
  <c r="U1396" i="11"/>
  <c r="U1388" i="11"/>
  <c r="U1380" i="11"/>
  <c r="U1372" i="11"/>
  <c r="U1364" i="11"/>
  <c r="U3291" i="11"/>
  <c r="U3287" i="11"/>
  <c r="U3283" i="11"/>
  <c r="U3279" i="11"/>
  <c r="U3275" i="11"/>
  <c r="U3079" i="11"/>
  <c r="U3055" i="11"/>
  <c r="U3047" i="11"/>
  <c r="U3039" i="11"/>
  <c r="U2935" i="11"/>
  <c r="U2927" i="11"/>
  <c r="U2919" i="11"/>
  <c r="U2911" i="11"/>
  <c r="U2903" i="11"/>
  <c r="U2895" i="11"/>
  <c r="U2887" i="11"/>
  <c r="U2879" i="11"/>
  <c r="U2871" i="11"/>
  <c r="U2159" i="11"/>
  <c r="U2248" i="11"/>
  <c r="U575" i="11"/>
  <c r="U2151" i="11"/>
  <c r="U2143" i="11"/>
  <c r="U2135" i="11"/>
  <c r="U4993" i="11"/>
  <c r="U4985" i="11"/>
  <c r="U4961" i="11"/>
  <c r="U4945" i="11"/>
  <c r="U4929" i="11"/>
  <c r="U4921" i="11"/>
  <c r="U4901" i="11"/>
  <c r="U4893" i="11"/>
  <c r="U4885" i="11"/>
  <c r="U4877" i="11"/>
  <c r="U4869" i="11"/>
  <c r="U4861" i="11"/>
  <c r="U4853" i="11"/>
  <c r="U4845" i="11"/>
  <c r="U4837" i="11"/>
  <c r="U4829" i="11"/>
  <c r="U4757" i="11"/>
  <c r="U4753" i="11"/>
  <c r="U4749" i="11"/>
  <c r="U4741" i="11"/>
  <c r="U4737" i="11"/>
  <c r="U4653" i="11"/>
  <c r="U4645" i="11"/>
  <c r="U4641" i="11"/>
  <c r="U4637" i="11"/>
  <c r="U4629" i="11"/>
  <c r="U4625" i="11"/>
  <c r="U4621" i="11"/>
  <c r="U4613" i="11"/>
  <c r="U4609" i="11"/>
  <c r="U4605" i="11"/>
  <c r="U4" i="11"/>
  <c r="U3220" i="11"/>
  <c r="U3204" i="11"/>
  <c r="U3200" i="11"/>
  <c r="U3196" i="11"/>
  <c r="U3144" i="11"/>
  <c r="U3132" i="11"/>
  <c r="U3124" i="11"/>
  <c r="U3120" i="11"/>
  <c r="U4015" i="11"/>
  <c r="U3659" i="11"/>
  <c r="U3363" i="11"/>
  <c r="U943" i="11"/>
  <c r="U3801" i="11"/>
  <c r="U3701" i="11"/>
  <c r="U3541" i="11"/>
  <c r="U3285" i="11"/>
  <c r="U3277" i="11"/>
  <c r="U1457" i="11"/>
  <c r="U1441" i="11"/>
  <c r="U1413" i="11"/>
  <c r="U1401" i="11"/>
  <c r="U1397" i="11"/>
  <c r="U1357" i="11"/>
  <c r="U165" i="11"/>
  <c r="U5" i="11"/>
  <c r="U4575" i="11"/>
  <c r="U4555" i="11"/>
  <c r="U4551" i="11"/>
  <c r="U1627" i="11"/>
  <c r="U1619" i="11"/>
  <c r="U1611" i="11"/>
  <c r="U1555" i="11"/>
  <c r="U1547" i="11"/>
  <c r="U1539" i="11"/>
  <c r="U1531" i="11"/>
  <c r="U1403" i="11"/>
  <c r="U1355" i="11"/>
  <c r="U1347" i="11"/>
  <c r="U1339" i="11"/>
  <c r="U3290" i="11"/>
  <c r="U3282" i="11"/>
  <c r="U3266" i="11"/>
  <c r="U3210" i="11"/>
  <c r="U2382" i="11"/>
  <c r="U2370" i="11"/>
  <c r="U2350" i="11"/>
  <c r="U2342" i="11"/>
  <c r="U2334" i="11"/>
  <c r="U2326" i="11"/>
  <c r="U2318" i="11"/>
  <c r="U2310" i="11"/>
  <c r="U2302" i="11"/>
  <c r="U2294" i="11"/>
  <c r="U2222" i="11"/>
  <c r="U2218" i="11"/>
  <c r="U3101" i="11"/>
  <c r="U2885" i="11"/>
  <c r="U2861" i="11"/>
  <c r="U570" i="11"/>
  <c r="U2853" i="11"/>
  <c r="U4304" i="11"/>
  <c r="U4212" i="11"/>
  <c r="U4208" i="11"/>
  <c r="U3116" i="11"/>
  <c r="U3100" i="11"/>
  <c r="U3092" i="11"/>
  <c r="U3084" i="11"/>
  <c r="U3076" i="11"/>
  <c r="U3068" i="11"/>
  <c r="U3060" i="11"/>
  <c r="U3052" i="11"/>
  <c r="U3044" i="11"/>
  <c r="U3036" i="11"/>
  <c r="U3012" i="11"/>
  <c r="U3004" i="11"/>
  <c r="U2996" i="11"/>
  <c r="U2988" i="11"/>
  <c r="U2860" i="11"/>
  <c r="U2852" i="11"/>
  <c r="U2844" i="11"/>
  <c r="U2836" i="11"/>
  <c r="U2828" i="11"/>
  <c r="U2820" i="11"/>
  <c r="U2812" i="11"/>
  <c r="U2804" i="11"/>
  <c r="U2796" i="11"/>
  <c r="U2788" i="11"/>
  <c r="U2700" i="11"/>
  <c r="U2660" i="11"/>
  <c r="U2652" i="11"/>
  <c r="U2644" i="11"/>
  <c r="U2548" i="11"/>
  <c r="U2540" i="11"/>
  <c r="U2532" i="11"/>
  <c r="U2524" i="11"/>
  <c r="U2516" i="11"/>
  <c r="U2508" i="11"/>
  <c r="U2500" i="11"/>
  <c r="U2492" i="11"/>
  <c r="U2484" i="11"/>
  <c r="U2476" i="11"/>
  <c r="U2468" i="11"/>
  <c r="U2460" i="11"/>
  <c r="U2452" i="11"/>
  <c r="U2444" i="11"/>
  <c r="U2436" i="11"/>
  <c r="U2428" i="11"/>
  <c r="U2420" i="11"/>
  <c r="U1293" i="11"/>
  <c r="U1261" i="11"/>
  <c r="U1253" i="11"/>
  <c r="U1245" i="11"/>
  <c r="U1237" i="11"/>
  <c r="U2901" i="11"/>
  <c r="U4543" i="11"/>
  <c r="U4535" i="11"/>
  <c r="U4527" i="11"/>
  <c r="U4471" i="11"/>
  <c r="U4463" i="11"/>
  <c r="U4247" i="11"/>
  <c r="U4239" i="11"/>
  <c r="U4231" i="11"/>
  <c r="U4223" i="11"/>
  <c r="U4215" i="11"/>
  <c r="U3975" i="11"/>
  <c r="U3971" i="11"/>
  <c r="U3967" i="11"/>
  <c r="U3963" i="11"/>
  <c r="U3959" i="11"/>
  <c r="U3955" i="11"/>
  <c r="U3951" i="11"/>
  <c r="U3947" i="11"/>
  <c r="U3943" i="11"/>
  <c r="U3939" i="11"/>
  <c r="U3935" i="11"/>
  <c r="U3931" i="11"/>
  <c r="U3927" i="11"/>
  <c r="U3923" i="11"/>
  <c r="U2112" i="11"/>
  <c r="U2080" i="11"/>
  <c r="U2072" i="11"/>
  <c r="U2064" i="11"/>
  <c r="U2056" i="11"/>
  <c r="U2048" i="11"/>
  <c r="U2032" i="11"/>
  <c r="U1976" i="11"/>
  <c r="U1968" i="11"/>
  <c r="U4666" i="11"/>
  <c r="U3994" i="11"/>
  <c r="U3978" i="11"/>
  <c r="U3962" i="11"/>
  <c r="U3946" i="11"/>
  <c r="U3930" i="11"/>
  <c r="U3906" i="11"/>
  <c r="U3898" i="11"/>
  <c r="U3890" i="11"/>
  <c r="U3882" i="11"/>
  <c r="U3842" i="11"/>
  <c r="U3834" i="11"/>
  <c r="U3826" i="11"/>
  <c r="U3818" i="11"/>
  <c r="U3810" i="11"/>
  <c r="U3802" i="11"/>
  <c r="U2119" i="11"/>
  <c r="U2111" i="11"/>
  <c r="U2103" i="11"/>
  <c r="U2095" i="11"/>
  <c r="U2087" i="11"/>
  <c r="U2023" i="11"/>
  <c r="U2015" i="11"/>
  <c r="U2007" i="11"/>
  <c r="U1999" i="11"/>
  <c r="U1991" i="11"/>
  <c r="U1983" i="11"/>
  <c r="U1975" i="11"/>
  <c r="U1967" i="11"/>
  <c r="U1915" i="11"/>
  <c r="U1300" i="11"/>
  <c r="U4597" i="11"/>
  <c r="U4593" i="11"/>
  <c r="U4589" i="11"/>
  <c r="U4581" i="11"/>
  <c r="U4577" i="11"/>
  <c r="U4573" i="11"/>
  <c r="U4565" i="11"/>
  <c r="U4561" i="11"/>
  <c r="U4557" i="11"/>
  <c r="U2214" i="11"/>
  <c r="U2206" i="11"/>
  <c r="U2202" i="11"/>
  <c r="U2198" i="11"/>
  <c r="U2154" i="11"/>
  <c r="U2150" i="11"/>
  <c r="U2142" i="11"/>
  <c r="U2138" i="11"/>
  <c r="U2134" i="11"/>
  <c r="U2126" i="11"/>
  <c r="U2122" i="11"/>
  <c r="U2925" i="11"/>
  <c r="U4549" i="11"/>
  <c r="U4545" i="11"/>
  <c r="U4541" i="11"/>
  <c r="U4513" i="11"/>
  <c r="U4505" i="11"/>
  <c r="U4497" i="11"/>
  <c r="U4489" i="11"/>
  <c r="U4481" i="11"/>
  <c r="U4385" i="11"/>
  <c r="U4377" i="11"/>
  <c r="U4369" i="11"/>
  <c r="U4353" i="11"/>
  <c r="U4345" i="11"/>
  <c r="U4337" i="11"/>
  <c r="U4329" i="11"/>
  <c r="U4321" i="11"/>
  <c r="U4313" i="11"/>
  <c r="U4305" i="11"/>
  <c r="U4297" i="11"/>
  <c r="U4289" i="11"/>
  <c r="U4281" i="11"/>
  <c r="U4273" i="11"/>
  <c r="U4265" i="11"/>
  <c r="U4257" i="11"/>
  <c r="U2846" i="11"/>
  <c r="U2842" i="11"/>
  <c r="U2830" i="11"/>
  <c r="U2818" i="11"/>
  <c r="U2814" i="11"/>
  <c r="U2810" i="11"/>
  <c r="U2778" i="11"/>
  <c r="U2690" i="11"/>
  <c r="U1229" i="11"/>
  <c r="U1221" i="11"/>
  <c r="U1213" i="11"/>
  <c r="U1081" i="11"/>
  <c r="U1077" i="11"/>
  <c r="U1073" i="11"/>
  <c r="U1069" i="11"/>
  <c r="U1065" i="11"/>
  <c r="U1057" i="11"/>
  <c r="U1053" i="11"/>
  <c r="U1049" i="11"/>
  <c r="U1041" i="11"/>
  <c r="U1037" i="11"/>
  <c r="U1033" i="11"/>
  <c r="U1029" i="11"/>
  <c r="U1025" i="11"/>
  <c r="U1021" i="11"/>
  <c r="U1017" i="11"/>
  <c r="U1013" i="11"/>
  <c r="U1009" i="11"/>
  <c r="U1005" i="11"/>
  <c r="U1001" i="11"/>
  <c r="U997" i="11"/>
  <c r="U993" i="11"/>
  <c r="U989" i="11"/>
  <c r="U985" i="11"/>
  <c r="U981" i="11"/>
  <c r="U977" i="11"/>
  <c r="U973" i="11"/>
  <c r="U969" i="11"/>
  <c r="U965" i="11"/>
  <c r="U953" i="11"/>
  <c r="U949" i="11"/>
  <c r="U945" i="11"/>
  <c r="U941" i="11"/>
  <c r="U937" i="11"/>
  <c r="U933" i="11"/>
  <c r="U881" i="11"/>
  <c r="U877" i="11"/>
  <c r="U873" i="11"/>
  <c r="U869" i="11"/>
  <c r="U865" i="11"/>
  <c r="U861" i="11"/>
  <c r="U857" i="11"/>
  <c r="U817" i="11"/>
  <c r="U813" i="11"/>
  <c r="U809" i="11"/>
  <c r="U805" i="11"/>
  <c r="U801" i="11"/>
  <c r="U797" i="11"/>
  <c r="U793" i="11"/>
  <c r="U789" i="11"/>
  <c r="U785" i="11"/>
  <c r="U781" i="11"/>
  <c r="U777" i="11"/>
  <c r="U773" i="11"/>
  <c r="U769" i="11"/>
  <c r="U765" i="11"/>
  <c r="U761" i="11"/>
  <c r="U757" i="11"/>
  <c r="U753" i="11"/>
  <c r="U749" i="11"/>
  <c r="U745" i="11"/>
  <c r="U741" i="11"/>
  <c r="U737" i="11"/>
  <c r="U569" i="11"/>
  <c r="U561" i="11"/>
  <c r="U557" i="11"/>
  <c r="U553" i="11"/>
  <c r="U545" i="11"/>
  <c r="U541" i="11"/>
  <c r="U537" i="11"/>
  <c r="U529" i="11"/>
  <c r="U525" i="11"/>
  <c r="U521" i="11"/>
  <c r="U513" i="11"/>
  <c r="U509" i="11"/>
  <c r="U505" i="11"/>
  <c r="U497" i="11"/>
  <c r="U493" i="11"/>
  <c r="U489" i="11"/>
  <c r="U481" i="11"/>
  <c r="U477" i="11"/>
  <c r="U473" i="11"/>
  <c r="U465" i="11"/>
  <c r="U956" i="11"/>
  <c r="U784" i="11"/>
  <c r="U776" i="11"/>
  <c r="U427" i="11"/>
  <c r="U419" i="11"/>
  <c r="U411" i="11"/>
  <c r="U403" i="11"/>
  <c r="U395" i="11"/>
  <c r="U387" i="11"/>
  <c r="U379" i="11"/>
  <c r="U371" i="11"/>
  <c r="U363" i="11"/>
  <c r="U355" i="11"/>
  <c r="U347" i="11"/>
  <c r="U251" i="11"/>
  <c r="U243" i="11"/>
  <c r="U235" i="11"/>
  <c r="U227" i="11"/>
  <c r="U219" i="11"/>
  <c r="U211" i="11"/>
  <c r="U203" i="11"/>
  <c r="U195" i="11"/>
  <c r="U163" i="11"/>
  <c r="U99" i="11"/>
  <c r="U91" i="11"/>
  <c r="U83" i="11"/>
  <c r="U75" i="11"/>
  <c r="U67" i="11"/>
  <c r="U59" i="11"/>
  <c r="U51" i="11"/>
  <c r="U43" i="11"/>
  <c r="U35" i="11"/>
  <c r="U27" i="11"/>
  <c r="U23" i="11"/>
  <c r="U19" i="11"/>
  <c r="U15" i="11"/>
  <c r="U11" i="11"/>
  <c r="U7" i="11"/>
  <c r="U1011" i="11"/>
  <c r="U939" i="11"/>
  <c r="U4998" i="11"/>
  <c r="U4990" i="11"/>
  <c r="U4982" i="11"/>
  <c r="U4974" i="11"/>
  <c r="U4966" i="11"/>
  <c r="U4958" i="11"/>
  <c r="U4950" i="11"/>
  <c r="U4942" i="11"/>
  <c r="U4934" i="11"/>
  <c r="U4926" i="11"/>
  <c r="U4327" i="11"/>
  <c r="U4207" i="11"/>
  <c r="U4199" i="11"/>
  <c r="U4191" i="11"/>
  <c r="U4183" i="11"/>
  <c r="U4175" i="11"/>
  <c r="U4167" i="11"/>
  <c r="U4159" i="11"/>
  <c r="U4155" i="11"/>
  <c r="U4151" i="11"/>
  <c r="U4147" i="11"/>
  <c r="U4143" i="11"/>
  <c r="U4139" i="11"/>
  <c r="U4135" i="11"/>
  <c r="U4131" i="11"/>
  <c r="U3348" i="11"/>
  <c r="U3340" i="11"/>
  <c r="U3332" i="11"/>
  <c r="U2137" i="11"/>
  <c r="U2125" i="11"/>
  <c r="U4550" i="11"/>
  <c r="U4542" i="11"/>
  <c r="U4534" i="11"/>
  <c r="U4526" i="11"/>
  <c r="U4518" i="11"/>
  <c r="U4510" i="11"/>
  <c r="U4502" i="11"/>
  <c r="U4494" i="11"/>
  <c r="U4486" i="11"/>
  <c r="U4478" i="11"/>
  <c r="U4470" i="11"/>
  <c r="U4462" i="11"/>
  <c r="U4454" i="11"/>
  <c r="U4446" i="11"/>
  <c r="U4438" i="11"/>
  <c r="U4430" i="11"/>
  <c r="U4422" i="11"/>
  <c r="U4414" i="11"/>
  <c r="U4406" i="11"/>
  <c r="U4398" i="11"/>
  <c r="U4350" i="11"/>
  <c r="U4342" i="11"/>
  <c r="U4334" i="11"/>
  <c r="U4302" i="11"/>
  <c r="U4294" i="11"/>
  <c r="U4286" i="11"/>
  <c r="U4278" i="11"/>
  <c r="U4270" i="11"/>
  <c r="U4262" i="11"/>
  <c r="U4254" i="11"/>
  <c r="U4246" i="11"/>
  <c r="U4238" i="11"/>
  <c r="U4230" i="11"/>
  <c r="U4222" i="11"/>
  <c r="U4214" i="11"/>
  <c r="U4011" i="11"/>
  <c r="U4007" i="11"/>
  <c r="U4003" i="11"/>
  <c r="U3999" i="11"/>
  <c r="U3995" i="11"/>
  <c r="U3991" i="11"/>
  <c r="U3987" i="11"/>
  <c r="U3983" i="11"/>
  <c r="U3979" i="11"/>
  <c r="U3907" i="11"/>
  <c r="U3799" i="11"/>
  <c r="U3795" i="11"/>
  <c r="U3791" i="11"/>
  <c r="U3787" i="11"/>
  <c r="U3783" i="11"/>
  <c r="U3779" i="11"/>
  <c r="U3775" i="11"/>
  <c r="U3771" i="11"/>
  <c r="U3767" i="11"/>
  <c r="U3763" i="11"/>
  <c r="U3759" i="11"/>
  <c r="U3755" i="11"/>
  <c r="U3751" i="11"/>
  <c r="U3747" i="11"/>
  <c r="U3743" i="11"/>
  <c r="U3739" i="11"/>
  <c r="U3735" i="11"/>
  <c r="U3731" i="11"/>
  <c r="U3727" i="11"/>
  <c r="U3723" i="11"/>
  <c r="U3719" i="11"/>
  <c r="U3715" i="11"/>
  <c r="U3711" i="11"/>
  <c r="U3707" i="11"/>
  <c r="U3703" i="11"/>
  <c r="U4201" i="11"/>
  <c r="U4193" i="11"/>
  <c r="U4185" i="11"/>
  <c r="U4177" i="11"/>
  <c r="U4109" i="11"/>
  <c r="U4105" i="11"/>
  <c r="U4101" i="11"/>
  <c r="U4097" i="11"/>
  <c r="U4077" i="11"/>
  <c r="U4061" i="11"/>
  <c r="U3658" i="11"/>
  <c r="U3650" i="11"/>
  <c r="U3642" i="11"/>
  <c r="U3634" i="11"/>
  <c r="U3626" i="11"/>
  <c r="U3618" i="11"/>
  <c r="U3610" i="11"/>
  <c r="U3602" i="11"/>
  <c r="U3594" i="11"/>
  <c r="U3586" i="11"/>
  <c r="U3578" i="11"/>
  <c r="U3267" i="11"/>
  <c r="U4440" i="11"/>
  <c r="U4432" i="11"/>
  <c r="U4384" i="11"/>
  <c r="U4376" i="11"/>
  <c r="U4368" i="11"/>
  <c r="U4360" i="11"/>
  <c r="U4693" i="11"/>
  <c r="U4999" i="11"/>
  <c r="U4991" i="11"/>
  <c r="U4983" i="11"/>
  <c r="U4975" i="11"/>
  <c r="U4967" i="11"/>
  <c r="U4959" i="11"/>
  <c r="U4951" i="11"/>
  <c r="U4943" i="11"/>
  <c r="U4935" i="11"/>
  <c r="U4927" i="11"/>
  <c r="U4919" i="11"/>
  <c r="U4911" i="11"/>
  <c r="U4903" i="11"/>
  <c r="U4895" i="11"/>
  <c r="U4887" i="11"/>
  <c r="U4879" i="11"/>
  <c r="U4871" i="11"/>
  <c r="U4863" i="11"/>
  <c r="U4855" i="11"/>
  <c r="U4847" i="11"/>
  <c r="U4839" i="11"/>
  <c r="U4831" i="11"/>
  <c r="U4823" i="11"/>
  <c r="U4815" i="11"/>
  <c r="U4807" i="11"/>
  <c r="U4799" i="11"/>
  <c r="U4791" i="11"/>
  <c r="U4783" i="11"/>
  <c r="U4775" i="11"/>
  <c r="U4767" i="11"/>
  <c r="U4759" i="11"/>
  <c r="U4751" i="11"/>
  <c r="U4743" i="11"/>
  <c r="U4735" i="11"/>
  <c r="U4727" i="11"/>
  <c r="U4719" i="11"/>
  <c r="U4711" i="11"/>
  <c r="U4703" i="11"/>
  <c r="U4695" i="11"/>
  <c r="U4687" i="11"/>
  <c r="U4679" i="11"/>
  <c r="U4671" i="11"/>
  <c r="U4663" i="11"/>
  <c r="U4655" i="11"/>
  <c r="U4200" i="11"/>
  <c r="U4192" i="11"/>
  <c r="U4184" i="11"/>
  <c r="U3869" i="11"/>
  <c r="U3841" i="11"/>
  <c r="U3793" i="11"/>
  <c r="U3789" i="11"/>
  <c r="U3785" i="11"/>
  <c r="U3777" i="11"/>
  <c r="U3773" i="11"/>
  <c r="U3769" i="11"/>
  <c r="U3761" i="11"/>
  <c r="U3757" i="11"/>
  <c r="U3753" i="11"/>
  <c r="U3749" i="11"/>
  <c r="U3745" i="11"/>
  <c r="U3657" i="11"/>
  <c r="U3653" i="11"/>
  <c r="U3649" i="11"/>
  <c r="U3645" i="11"/>
  <c r="U3641" i="11"/>
  <c r="U3637" i="11"/>
  <c r="U3633" i="11"/>
  <c r="U3629" i="11"/>
  <c r="U3625" i="11"/>
  <c r="U3621" i="11"/>
  <c r="U3617" i="11"/>
  <c r="U3613" i="11"/>
  <c r="U3219" i="11"/>
  <c r="U3215" i="11"/>
  <c r="U3179" i="11"/>
  <c r="U3167" i="11"/>
  <c r="U3155" i="11"/>
  <c r="U3151" i="11"/>
  <c r="U2380" i="11"/>
  <c r="U2240" i="11"/>
  <c r="U2232" i="11"/>
  <c r="U2224" i="11"/>
  <c r="U2216" i="11"/>
  <c r="U2208" i="11"/>
  <c r="U2029" i="11"/>
  <c r="U2707" i="11"/>
  <c r="U2667" i="11"/>
  <c r="U2647" i="11"/>
  <c r="U2479" i="11"/>
  <c r="U2459" i="11"/>
  <c r="U2455" i="11"/>
  <c r="U2419" i="11"/>
  <c r="U2415" i="11"/>
  <c r="U2395" i="11"/>
  <c r="U2391" i="11"/>
  <c r="U2323" i="11"/>
  <c r="U629" i="11"/>
  <c r="U621" i="11"/>
  <c r="U409" i="11"/>
  <c r="U1484" i="11"/>
  <c r="U1448" i="11"/>
  <c r="U1440" i="11"/>
  <c r="U1428" i="11"/>
  <c r="U1320" i="11"/>
  <c r="U1312" i="11"/>
  <c r="U2510" i="11"/>
  <c r="U2498" i="11"/>
  <c r="U3324" i="11"/>
  <c r="U3261" i="11"/>
  <c r="U3213" i="11"/>
  <c r="U3117" i="11"/>
  <c r="U3097" i="11"/>
  <c r="U3093" i="11"/>
  <c r="U3089" i="11"/>
  <c r="U3085" i="11"/>
  <c r="U3081" i="11"/>
  <c r="U3077" i="11"/>
  <c r="U3073" i="11"/>
  <c r="U3069" i="11"/>
  <c r="U3065" i="11"/>
  <c r="U3061" i="11"/>
  <c r="U3057" i="11"/>
  <c r="U3053" i="11"/>
  <c r="U3049" i="11"/>
  <c r="U3045" i="11"/>
  <c r="U3041" i="11"/>
  <c r="U3037" i="11"/>
  <c r="U2769" i="11"/>
  <c r="U2765" i="11"/>
  <c r="U2761" i="11"/>
  <c r="U2757" i="11"/>
  <c r="U2753" i="11"/>
  <c r="U2749" i="11"/>
  <c r="U2745" i="11"/>
  <c r="U2741" i="11"/>
  <c r="U2737" i="11"/>
  <c r="U2685" i="11"/>
  <c r="U2681" i="11"/>
  <c r="U2677" i="11"/>
  <c r="U2673" i="11"/>
  <c r="U2669" i="11"/>
  <c r="U2665" i="11"/>
  <c r="U2661" i="11"/>
  <c r="U2657" i="11"/>
  <c r="U2653" i="11"/>
  <c r="U2649" i="11"/>
  <c r="U2645" i="11"/>
  <c r="U2641" i="11"/>
  <c r="U2637" i="11"/>
  <c r="U2633" i="11"/>
  <c r="U2629" i="11"/>
  <c r="U2625" i="11"/>
  <c r="U2621" i="11"/>
  <c r="U2617" i="11"/>
  <c r="U2613" i="11"/>
  <c r="U2609" i="11"/>
  <c r="U2605" i="11"/>
  <c r="U2601" i="11"/>
  <c r="U2597" i="11"/>
  <c r="U2593" i="11"/>
  <c r="U2589" i="11"/>
  <c r="U2585" i="11"/>
  <c r="U2493" i="11"/>
  <c r="U2489" i="11"/>
  <c r="U2485" i="11"/>
  <c r="U2481" i="11"/>
  <c r="U2477" i="11"/>
  <c r="U2473" i="11"/>
  <c r="U2469" i="11"/>
  <c r="U2465" i="11"/>
  <c r="U2461" i="11"/>
  <c r="U2457" i="11"/>
  <c r="U2453" i="11"/>
  <c r="U2449" i="11"/>
  <c r="U2445" i="11"/>
  <c r="U2441" i="11"/>
  <c r="U2437" i="11"/>
  <c r="U2433" i="11"/>
  <c r="U2429" i="11"/>
  <c r="U2425" i="11"/>
  <c r="U2421" i="11"/>
  <c r="U2417" i="11"/>
  <c r="U2413" i="11"/>
  <c r="U2409" i="11"/>
  <c r="U2405" i="11"/>
  <c r="U2401" i="11"/>
  <c r="U2397" i="11"/>
  <c r="U2393" i="11"/>
  <c r="U2385" i="11"/>
  <c r="U2377" i="11"/>
  <c r="U1431" i="11"/>
  <c r="U1706" i="11"/>
  <c r="U1702" i="11"/>
  <c r="U1698" i="11"/>
  <c r="U1678" i="11"/>
  <c r="U1674" i="11"/>
  <c r="U1662" i="11"/>
  <c r="U1634" i="11"/>
  <c r="U1626" i="11"/>
  <c r="U1618" i="11"/>
  <c r="U1482" i="11"/>
  <c r="U1478" i="11"/>
  <c r="U1474" i="11"/>
  <c r="U1470" i="11"/>
  <c r="U1466" i="11"/>
  <c r="U1462" i="11"/>
  <c r="U1458" i="11"/>
  <c r="U1454" i="11"/>
  <c r="U1450" i="11"/>
  <c r="U1446" i="11"/>
  <c r="U1442" i="11"/>
  <c r="U1438" i="11"/>
  <c r="U1434" i="11"/>
  <c r="U1430" i="11"/>
  <c r="U1426" i="11"/>
  <c r="U1422" i="11"/>
  <c r="U1418" i="11"/>
  <c r="U1414" i="11"/>
  <c r="U1406" i="11"/>
  <c r="U1402" i="11"/>
  <c r="U1398" i="11"/>
  <c r="U1292" i="11"/>
  <c r="U1260" i="11"/>
  <c r="U1252" i="11"/>
  <c r="U1244" i="11"/>
  <c r="U1236" i="11"/>
  <c r="U1156" i="11"/>
  <c r="U1132" i="11"/>
  <c r="U1124" i="11"/>
  <c r="U1116" i="11"/>
  <c r="U1108" i="11"/>
  <c r="U1080" i="11"/>
  <c r="U1076" i="11"/>
  <c r="U1072" i="11"/>
  <c r="U1056" i="11"/>
  <c r="U1052" i="11"/>
  <c r="U1048" i="11"/>
  <c r="U1044" i="11"/>
  <c r="U1040" i="11"/>
  <c r="U1028" i="11"/>
  <c r="U1024" i="11"/>
  <c r="U1012" i="11"/>
  <c r="U1008" i="11"/>
  <c r="U1004" i="11"/>
  <c r="U1000" i="11"/>
  <c r="U948" i="11"/>
  <c r="U944" i="11"/>
  <c r="U940" i="11"/>
  <c r="U852" i="11"/>
  <c r="U844" i="11"/>
  <c r="U405" i="11"/>
  <c r="U401" i="11"/>
  <c r="U397" i="11"/>
  <c r="U393" i="11"/>
  <c r="U389" i="11"/>
  <c r="U385" i="11"/>
  <c r="U381" i="11"/>
  <c r="U377" i="11"/>
  <c r="U373" i="11"/>
  <c r="U369" i="11"/>
  <c r="U365" i="11"/>
  <c r="U361" i="11"/>
  <c r="U357" i="11"/>
  <c r="U353" i="11"/>
  <c r="U349" i="11"/>
  <c r="U345" i="11"/>
  <c r="U341" i="11"/>
  <c r="U337" i="11"/>
  <c r="U333" i="11"/>
  <c r="U329" i="11"/>
  <c r="U325" i="11"/>
  <c r="U321" i="11"/>
  <c r="U317" i="11"/>
  <c r="U313" i="11"/>
  <c r="U309" i="11"/>
  <c r="U305" i="11"/>
  <c r="U301" i="11"/>
  <c r="U297" i="11"/>
  <c r="U293" i="11"/>
  <c r="U289" i="11"/>
  <c r="U285" i="11"/>
  <c r="U281" i="11"/>
  <c r="U277" i="11"/>
  <c r="U273" i="11"/>
  <c r="U269" i="11"/>
  <c r="U265" i="11"/>
  <c r="U261" i="11"/>
  <c r="U257" i="11"/>
  <c r="U253" i="11"/>
  <c r="U249" i="11"/>
  <c r="U245" i="11"/>
  <c r="U241" i="11"/>
  <c r="U237" i="11"/>
  <c r="U233" i="11"/>
  <c r="U229" i="11"/>
  <c r="U225" i="11"/>
  <c r="U221" i="11"/>
  <c r="U217" i="11"/>
  <c r="U213" i="11"/>
  <c r="U209" i="11"/>
  <c r="U205" i="11"/>
  <c r="U201" i="11"/>
  <c r="U197" i="11"/>
  <c r="U193" i="11"/>
  <c r="U189" i="11"/>
  <c r="U13" i="11"/>
  <c r="U1299" i="11"/>
  <c r="U1291" i="11"/>
  <c r="U1259" i="11"/>
  <c r="U1251" i="11"/>
  <c r="U1243" i="11"/>
  <c r="U1235" i="11"/>
  <c r="U1227" i="11"/>
  <c r="U1219" i="11"/>
  <c r="U1211" i="11"/>
  <c r="U1203" i="11"/>
  <c r="U1195" i="11"/>
  <c r="U1187" i="11"/>
  <c r="U1179" i="11"/>
  <c r="U1171" i="11"/>
  <c r="U1163" i="11"/>
  <c r="U1155" i="11"/>
  <c r="U1131" i="11"/>
  <c r="U1123" i="11"/>
  <c r="U1115" i="11"/>
  <c r="U332" i="11"/>
  <c r="U324" i="11"/>
  <c r="U316" i="11"/>
  <c r="U188" i="11"/>
  <c r="U180" i="11"/>
  <c r="U172" i="11"/>
  <c r="U164" i="11"/>
  <c r="U156" i="11"/>
  <c r="U148" i="11"/>
  <c r="U140" i="11"/>
  <c r="U132" i="11"/>
  <c r="U124" i="11"/>
  <c r="U116" i="11"/>
  <c r="U108" i="11"/>
  <c r="U100" i="11"/>
  <c r="U92" i="11"/>
  <c r="U84" i="11"/>
  <c r="U76" i="11"/>
  <c r="U68" i="11"/>
  <c r="U60" i="11"/>
  <c r="U52" i="11"/>
  <c r="U44" i="11"/>
  <c r="U36" i="11"/>
  <c r="U28" i="11"/>
  <c r="U20" i="11"/>
  <c r="U1134" i="11"/>
  <c r="U582" i="11"/>
  <c r="U574" i="11"/>
  <c r="U562" i="11"/>
  <c r="U554" i="11"/>
  <c r="U546" i="11"/>
  <c r="U538" i="11"/>
  <c r="U530" i="11"/>
  <c r="U522" i="11"/>
  <c r="U514" i="11"/>
  <c r="U506" i="11"/>
  <c r="U498" i="11"/>
  <c r="U490" i="11"/>
  <c r="U482" i="11"/>
  <c r="U474" i="11"/>
  <c r="U466" i="11"/>
  <c r="U458" i="11"/>
  <c r="U450" i="11"/>
  <c r="U442" i="11"/>
  <c r="U434" i="11"/>
  <c r="U426" i="11"/>
  <c r="U418" i="11"/>
  <c r="U410" i="11"/>
  <c r="U4918" i="11"/>
  <c r="U4910" i="11"/>
  <c r="U4902" i="11"/>
  <c r="U4894" i="11"/>
  <c r="U4886" i="11"/>
  <c r="U4878" i="11"/>
  <c r="U4870" i="11"/>
  <c r="U4862" i="11"/>
  <c r="U4854" i="11"/>
  <c r="U4846" i="11"/>
  <c r="U4838" i="11"/>
  <c r="U4830" i="11"/>
  <c r="U4758" i="11"/>
  <c r="U4750" i="11"/>
  <c r="U4742" i="11"/>
  <c r="U4734" i="11"/>
  <c r="U4726" i="11"/>
  <c r="U4455" i="11"/>
  <c r="U4447" i="11"/>
  <c r="U4439" i="11"/>
  <c r="U4431" i="11"/>
  <c r="U4423" i="11"/>
  <c r="U4415" i="11"/>
  <c r="U4407" i="11"/>
  <c r="U4399" i="11"/>
  <c r="U4391" i="11"/>
  <c r="U4383" i="11"/>
  <c r="U4375" i="11"/>
  <c r="U4367" i="11"/>
  <c r="U4359" i="11"/>
  <c r="U4176" i="11"/>
  <c r="U4168" i="11"/>
  <c r="U4160" i="11"/>
  <c r="U3698" i="11"/>
  <c r="U3690" i="11"/>
  <c r="U3682" i="11"/>
  <c r="U3674" i="11"/>
  <c r="U3539" i="11"/>
  <c r="U3535" i="11"/>
  <c r="U3531" i="11"/>
  <c r="U3527" i="11"/>
  <c r="U3523" i="11"/>
  <c r="U3519" i="11"/>
  <c r="U3515" i="11"/>
  <c r="U3511" i="11"/>
  <c r="U3507" i="11"/>
  <c r="U3503" i="11"/>
  <c r="U3499" i="11"/>
  <c r="U3495" i="11"/>
  <c r="U3491" i="11"/>
  <c r="U3487" i="11"/>
  <c r="U3483" i="11"/>
  <c r="U3479" i="11"/>
  <c r="U3475" i="11"/>
  <c r="U3471" i="11"/>
  <c r="U3467" i="11"/>
  <c r="U3463" i="11"/>
  <c r="U3459" i="11"/>
  <c r="U3455" i="11"/>
  <c r="U3451" i="11"/>
  <c r="U3447" i="11"/>
  <c r="U3443" i="11"/>
  <c r="U3439" i="11"/>
  <c r="U3435" i="11"/>
  <c r="U3431" i="11"/>
  <c r="U3427" i="11"/>
  <c r="U3423" i="11"/>
  <c r="U3419" i="11"/>
  <c r="U3415" i="11"/>
  <c r="U3411" i="11"/>
  <c r="U3407" i="11"/>
  <c r="U3403" i="11"/>
  <c r="U3399" i="11"/>
  <c r="U3177" i="11"/>
  <c r="U3173" i="11"/>
  <c r="U3169" i="11"/>
  <c r="U3165" i="11"/>
  <c r="U3161" i="11"/>
  <c r="U3157" i="11"/>
  <c r="U4646" i="11"/>
  <c r="U4638" i="11"/>
  <c r="U4630" i="11"/>
  <c r="U4622" i="11"/>
  <c r="U4614" i="11"/>
  <c r="U4606" i="11"/>
  <c r="U4598" i="11"/>
  <c r="U4590" i="11"/>
  <c r="U4582" i="11"/>
  <c r="U4519" i="11"/>
  <c r="U4303" i="11"/>
  <c r="U4295" i="11"/>
  <c r="U4733" i="11"/>
  <c r="U4725" i="11"/>
  <c r="U4721" i="11"/>
  <c r="U4717" i="11"/>
  <c r="U4709" i="11"/>
  <c r="U4705" i="11"/>
  <c r="U4701" i="11"/>
  <c r="U3741" i="11"/>
  <c r="U3697" i="11"/>
  <c r="U3693" i="11"/>
  <c r="U3689" i="11"/>
  <c r="U3685" i="11"/>
  <c r="U3681" i="11"/>
  <c r="U3677" i="11"/>
  <c r="U3673" i="11"/>
  <c r="U3669" i="11"/>
  <c r="U3665" i="11"/>
  <c r="U3661" i="11"/>
  <c r="U3542" i="11"/>
  <c r="U3394" i="11"/>
  <c r="U3386" i="11"/>
  <c r="U3378" i="11"/>
  <c r="U3370" i="11"/>
  <c r="U3362" i="11"/>
  <c r="U3354" i="11"/>
  <c r="U3346" i="11"/>
  <c r="U3338" i="11"/>
  <c r="U3330" i="11"/>
  <c r="U3263" i="11"/>
  <c r="U3240" i="11"/>
  <c r="U3108" i="11"/>
  <c r="U4127" i="11"/>
  <c r="U3168" i="11"/>
  <c r="U3160" i="11"/>
  <c r="U4306" i="11"/>
  <c r="U4126" i="11"/>
  <c r="U4106" i="11"/>
  <c r="U4102" i="11"/>
  <c r="U4098" i="11"/>
  <c r="U4094" i="11"/>
  <c r="U3903" i="11"/>
  <c r="U3899" i="11"/>
  <c r="U3895" i="11"/>
  <c r="U3891" i="11"/>
  <c r="U3887" i="11"/>
  <c r="U3883" i="11"/>
  <c r="U3879" i="11"/>
  <c r="U3875" i="11"/>
  <c r="U3871" i="11"/>
  <c r="U3867" i="11"/>
  <c r="U3863" i="11"/>
  <c r="U3859" i="11"/>
  <c r="U3855" i="11"/>
  <c r="U3851" i="11"/>
  <c r="U3847" i="11"/>
  <c r="U3843" i="11"/>
  <c r="U3839" i="11"/>
  <c r="U3835" i="11"/>
  <c r="U3831" i="11"/>
  <c r="U3827" i="11"/>
  <c r="U3823" i="11"/>
  <c r="U3819" i="11"/>
  <c r="U3815" i="11"/>
  <c r="U3811" i="11"/>
  <c r="U3807" i="11"/>
  <c r="U3803" i="11"/>
  <c r="U3593" i="11"/>
  <c r="U3577" i="11"/>
  <c r="U3561" i="11"/>
  <c r="U3557" i="11"/>
  <c r="U3545" i="11"/>
  <c r="U3533" i="11"/>
  <c r="U3517" i="11"/>
  <c r="U3501" i="11"/>
  <c r="U3477" i="11"/>
  <c r="U3469" i="11"/>
  <c r="U3453" i="11"/>
  <c r="U3437" i="11"/>
  <c r="U3413" i="11"/>
  <c r="U3405" i="11"/>
  <c r="U3389" i="11"/>
  <c r="U3373" i="11"/>
  <c r="U3349" i="11"/>
  <c r="U3341" i="11"/>
  <c r="U3325" i="11"/>
  <c r="U3274" i="11"/>
  <c r="U3187" i="11"/>
  <c r="U2960" i="11"/>
  <c r="U4473" i="11"/>
  <c r="U4425" i="11"/>
  <c r="U4361" i="11"/>
  <c r="U4357" i="11"/>
  <c r="U3147" i="11"/>
  <c r="U4249" i="11"/>
  <c r="U4229" i="11"/>
  <c r="U4225" i="11"/>
  <c r="U3644" i="11"/>
  <c r="U3560" i="11"/>
  <c r="U3556" i="11"/>
  <c r="U4524" i="11"/>
  <c r="U4520" i="11"/>
  <c r="U4484" i="11"/>
  <c r="U4480" i="11"/>
  <c r="U4352" i="11"/>
  <c r="U4344" i="11"/>
  <c r="U4336" i="11"/>
  <c r="U4328" i="11"/>
  <c r="U4320" i="11"/>
  <c r="U4312" i="11"/>
  <c r="U4248" i="11"/>
  <c r="U4240" i="11"/>
  <c r="U4232" i="11"/>
  <c r="U4169" i="11"/>
  <c r="U3981" i="11"/>
  <c r="U3965" i="11"/>
  <c r="U3949" i="11"/>
  <c r="U3933" i="11"/>
  <c r="U3921" i="11"/>
  <c r="U3913" i="11"/>
  <c r="U3909" i="11"/>
  <c r="U3655" i="11"/>
  <c r="U3651" i="11"/>
  <c r="U3647" i="11"/>
  <c r="U3643" i="11"/>
  <c r="U3591" i="11"/>
  <c r="U3587" i="11"/>
  <c r="U3583" i="11"/>
  <c r="U3579" i="11"/>
  <c r="U3575" i="11"/>
  <c r="U3571" i="11"/>
  <c r="U3567" i="11"/>
  <c r="U3563" i="11"/>
  <c r="U3559" i="11"/>
  <c r="U3555" i="11"/>
  <c r="U3551" i="11"/>
  <c r="U3547" i="11"/>
  <c r="U3543" i="11"/>
  <c r="U3268" i="11"/>
  <c r="U3265" i="11"/>
  <c r="U3245" i="11"/>
  <c r="U3221" i="11"/>
  <c r="U3205" i="11"/>
  <c r="U3201" i="11"/>
  <c r="U3197" i="11"/>
  <c r="U3193" i="11"/>
  <c r="U3189" i="11"/>
  <c r="U3185" i="11"/>
  <c r="U3181" i="11"/>
  <c r="U3110" i="11"/>
  <c r="U3102" i="11"/>
  <c r="U2387" i="11"/>
  <c r="U2383" i="11"/>
  <c r="U2379" i="11"/>
  <c r="U2375" i="11"/>
  <c r="U2303" i="11"/>
  <c r="U2295" i="11"/>
  <c r="U2287" i="11"/>
  <c r="U2279" i="11"/>
  <c r="U2271" i="11"/>
  <c r="U2263" i="11"/>
  <c r="U2255" i="11"/>
  <c r="U1910" i="11"/>
  <c r="U1906" i="11"/>
  <c r="U1902" i="11"/>
  <c r="U1898" i="11"/>
  <c r="U1894" i="11"/>
  <c r="U1890" i="11"/>
  <c r="U1886" i="11"/>
  <c r="U1882" i="11"/>
  <c r="U1878" i="11"/>
  <c r="U1874" i="11"/>
  <c r="U1659" i="11"/>
  <c r="U1651" i="11"/>
  <c r="U1643" i="11"/>
  <c r="U1635" i="11"/>
  <c r="U1349" i="11"/>
  <c r="U1341" i="11"/>
  <c r="U1333" i="11"/>
  <c r="U1325" i="11"/>
  <c r="U1317" i="11"/>
  <c r="U1309" i="11"/>
  <c r="U1301" i="11"/>
  <c r="U1078" i="11"/>
  <c r="U1074" i="11"/>
  <c r="U1070" i="11"/>
  <c r="U1066" i="11"/>
  <c r="U1062" i="11"/>
  <c r="U1054" i="11"/>
  <c r="U1050" i="11"/>
  <c r="U1046" i="11"/>
  <c r="U1042" i="11"/>
  <c r="U1038" i="11"/>
  <c r="U1034" i="11"/>
  <c r="U1030" i="11"/>
  <c r="U1026" i="11"/>
  <c r="U1022" i="11"/>
  <c r="U1018" i="11"/>
  <c r="U1014" i="11"/>
  <c r="U1010" i="11"/>
  <c r="U1006" i="11"/>
  <c r="U1002" i="11"/>
  <c r="U998" i="11"/>
  <c r="U994" i="11"/>
  <c r="U990" i="11"/>
  <c r="U986" i="11"/>
  <c r="U982" i="11"/>
  <c r="U978" i="11"/>
  <c r="U974" i="11"/>
  <c r="U970" i="11"/>
  <c r="U966" i="11"/>
  <c r="U962" i="11"/>
  <c r="U958" i="11"/>
  <c r="U2952" i="11"/>
  <c r="U400" i="11"/>
  <c r="U372" i="11"/>
  <c r="U2776" i="11"/>
  <c r="U2693" i="11"/>
  <c r="U2235" i="11"/>
  <c r="U2227" i="11"/>
  <c r="U1969" i="11"/>
  <c r="U1965" i="11"/>
  <c r="U1945" i="11"/>
  <c r="U1937" i="11"/>
  <c r="U1929" i="11"/>
  <c r="U1802" i="11"/>
  <c r="U1794" i="11"/>
  <c r="U1503" i="11"/>
  <c r="U1427" i="11"/>
  <c r="U1419" i="11"/>
  <c r="U1411" i="11"/>
  <c r="U1356" i="11"/>
  <c r="U1348" i="11"/>
  <c r="U1340" i="11"/>
  <c r="U1265" i="11"/>
  <c r="U1205" i="11"/>
  <c r="U1157" i="11"/>
  <c r="U1137" i="11"/>
  <c r="U961" i="11"/>
  <c r="U957" i="11"/>
  <c r="U618" i="11"/>
  <c r="U2987" i="11"/>
  <c r="U2983" i="11"/>
  <c r="U2752" i="11"/>
  <c r="U2581" i="11"/>
  <c r="U2517" i="11"/>
  <c r="U2266" i="11"/>
  <c r="U2254" i="11"/>
  <c r="U2020" i="11"/>
  <c r="U2016" i="11"/>
  <c r="U617" i="11"/>
  <c r="U609" i="11"/>
  <c r="U605" i="11"/>
  <c r="U601" i="11"/>
  <c r="U593" i="11"/>
  <c r="U585" i="11"/>
  <c r="U577" i="11"/>
  <c r="U339" i="11"/>
  <c r="U327" i="11"/>
  <c r="U279" i="11"/>
  <c r="U267" i="11"/>
  <c r="U2807" i="11"/>
  <c r="U2783" i="11"/>
  <c r="U2051" i="11"/>
  <c r="U1936" i="11"/>
  <c r="U1849" i="11"/>
  <c r="U1841" i="11"/>
  <c r="U1825" i="11"/>
  <c r="U1610" i="11"/>
  <c r="U1562" i="11"/>
  <c r="U1530" i="11"/>
  <c r="U1228" i="11"/>
  <c r="U1104" i="11"/>
  <c r="U909" i="11"/>
  <c r="U853" i="11"/>
  <c r="U733" i="11"/>
  <c r="U3034" i="11"/>
  <c r="U2862" i="11"/>
  <c r="U2735" i="11"/>
  <c r="U2703" i="11"/>
  <c r="U2699" i="11"/>
  <c r="U2695" i="11"/>
  <c r="U2691" i="11"/>
  <c r="U2687" i="11"/>
  <c r="U2349" i="11"/>
  <c r="U2337" i="11"/>
  <c r="U1701" i="11"/>
  <c r="U1693" i="11"/>
  <c r="U1673" i="11"/>
  <c r="U996" i="11"/>
  <c r="U960" i="11"/>
  <c r="U952" i="11"/>
  <c r="U836" i="11"/>
  <c r="U828" i="11"/>
  <c r="U820" i="11"/>
  <c r="U812" i="11"/>
  <c r="U804" i="11"/>
  <c r="U668" i="11"/>
  <c r="U652" i="11"/>
  <c r="U628" i="11"/>
  <c r="U620" i="11"/>
  <c r="U596" i="11"/>
  <c r="U588" i="11"/>
  <c r="U580" i="11"/>
  <c r="U572" i="11"/>
  <c r="U461" i="11"/>
  <c r="U3033" i="11"/>
  <c r="U3029" i="11"/>
  <c r="U3025" i="11"/>
  <c r="U3021" i="11"/>
  <c r="U3017" i="11"/>
  <c r="U3013" i="11"/>
  <c r="U3009" i="11"/>
  <c r="U3005" i="11"/>
  <c r="U3001" i="11"/>
  <c r="U2997" i="11"/>
  <c r="U2993" i="11"/>
  <c r="U2989" i="11"/>
  <c r="U2985" i="11"/>
  <c r="U2981" i="11"/>
  <c r="U2977" i="11"/>
  <c r="U2973" i="11"/>
  <c r="U2969" i="11"/>
  <c r="U2965" i="11"/>
  <c r="U2961" i="11"/>
  <c r="U2957" i="11"/>
  <c r="U2953" i="11"/>
  <c r="U2949" i="11"/>
  <c r="U2945" i="11"/>
  <c r="U2941" i="11"/>
  <c r="U2937" i="11"/>
  <c r="U2933" i="11"/>
  <c r="U2929" i="11"/>
  <c r="U2683" i="11"/>
  <c r="U2679" i="11"/>
  <c r="U2675" i="11"/>
  <c r="U2671" i="11"/>
  <c r="U2619" i="11"/>
  <c r="U2615" i="11"/>
  <c r="U2611" i="11"/>
  <c r="U2607" i="11"/>
  <c r="U2603" i="11"/>
  <c r="U2599" i="11"/>
  <c r="U2591" i="11"/>
  <c r="U2583" i="11"/>
  <c r="U2575" i="11"/>
  <c r="U2567" i="11"/>
  <c r="U2559" i="11"/>
  <c r="U2551" i="11"/>
  <c r="U2543" i="11"/>
  <c r="U2535" i="11"/>
  <c r="U2527" i="11"/>
  <c r="U2519" i="11"/>
  <c r="U2511" i="11"/>
  <c r="U2503" i="11"/>
  <c r="U2495" i="11"/>
  <c r="U2368" i="11"/>
  <c r="U2360" i="11"/>
  <c r="U2352" i="11"/>
  <c r="U2344" i="11"/>
  <c r="U2336" i="11"/>
  <c r="U2328" i="11"/>
  <c r="U2320" i="11"/>
  <c r="U2312" i="11"/>
  <c r="U2304" i="11"/>
  <c r="U2296" i="11"/>
  <c r="U2288" i="11"/>
  <c r="U2280" i="11"/>
  <c r="U2272" i="11"/>
  <c r="U2264" i="11"/>
  <c r="U2256" i="11"/>
  <c r="U2217" i="11"/>
  <c r="U2110" i="11"/>
  <c r="U2086" i="11"/>
  <c r="U2070" i="11"/>
  <c r="U2014" i="11"/>
  <c r="U2010" i="11"/>
  <c r="U2006" i="11"/>
  <c r="U2002" i="11"/>
  <c r="U1998" i="11"/>
  <c r="U1521" i="11"/>
  <c r="U1517" i="11"/>
  <c r="U1509" i="11"/>
  <c r="U1497" i="11"/>
  <c r="U1493" i="11"/>
  <c r="U1489" i="11"/>
  <c r="U1485" i="11"/>
  <c r="U1421" i="11"/>
  <c r="U932" i="11"/>
  <c r="U884" i="11"/>
  <c r="U864" i="11"/>
  <c r="U2857" i="11"/>
  <c r="U2781" i="11"/>
  <c r="U2777" i="11"/>
  <c r="U2773" i="11"/>
  <c r="U2487" i="11"/>
  <c r="U1974" i="11"/>
  <c r="U1970" i="11"/>
  <c r="U1966" i="11"/>
  <c r="U1962" i="11"/>
  <c r="U1958" i="11"/>
  <c r="U1954" i="11"/>
  <c r="U1950" i="11"/>
  <c r="U1946" i="11"/>
  <c r="U1942" i="11"/>
  <c r="U1938" i="11"/>
  <c r="U1934" i="11"/>
  <c r="U1930" i="11"/>
  <c r="U1859" i="11"/>
  <c r="U1855" i="11"/>
  <c r="U1851" i="11"/>
  <c r="U1847" i="11"/>
  <c r="U1843" i="11"/>
  <c r="U1839" i="11"/>
  <c r="U1835" i="11"/>
  <c r="U1831" i="11"/>
  <c r="U1827" i="11"/>
  <c r="U1823" i="11"/>
  <c r="U1799" i="11"/>
  <c r="U1795" i="11"/>
  <c r="U1556" i="11"/>
  <c r="U1548" i="11"/>
  <c r="U1540" i="11"/>
  <c r="U1532" i="11"/>
  <c r="U1298" i="11"/>
  <c r="U1294" i="11"/>
  <c r="U1290" i="11"/>
  <c r="U1286" i="11"/>
  <c r="U1282" i="11"/>
  <c r="U1278" i="11"/>
  <c r="U1274" i="11"/>
  <c r="U1270" i="11"/>
  <c r="U1266" i="11"/>
  <c r="U1262" i="11"/>
  <c r="U1258" i="11"/>
  <c r="U1254" i="11"/>
  <c r="U1250" i="11"/>
  <c r="U1246" i="11"/>
  <c r="U1242" i="11"/>
  <c r="U1238" i="11"/>
  <c r="U1234" i="11"/>
  <c r="U1230" i="11"/>
  <c r="U1226" i="11"/>
  <c r="U1222" i="11"/>
  <c r="U1154" i="11"/>
  <c r="U1150" i="11"/>
  <c r="U679" i="11"/>
  <c r="U675" i="11"/>
  <c r="U667" i="11"/>
  <c r="U659" i="11"/>
  <c r="U651" i="11"/>
  <c r="U643" i="11"/>
  <c r="U635" i="11"/>
  <c r="U627" i="11"/>
  <c r="U619" i="11"/>
  <c r="U544" i="11"/>
  <c r="U512" i="11"/>
  <c r="U488" i="11"/>
  <c r="U484" i="11"/>
  <c r="U65" i="11"/>
  <c r="U61" i="11"/>
  <c r="U57" i="11"/>
  <c r="U53" i="11"/>
  <c r="U49" i="11"/>
  <c r="U45" i="11"/>
  <c r="U41" i="11"/>
  <c r="U37" i="11"/>
  <c r="U33" i="11"/>
  <c r="U29" i="11"/>
  <c r="U25" i="11"/>
  <c r="U21" i="11"/>
  <c r="U17" i="11"/>
  <c r="U3998" i="11"/>
  <c r="U3970" i="11"/>
  <c r="U3444" i="11"/>
  <c r="U3432" i="11"/>
  <c r="U3416" i="11"/>
  <c r="U2171" i="11"/>
  <c r="U3724" i="11"/>
  <c r="U2638" i="11"/>
  <c r="U2555" i="11"/>
  <c r="U2210" i="11"/>
  <c r="U4947" i="11"/>
  <c r="U4364" i="11"/>
  <c r="U3428" i="11"/>
  <c r="U2163" i="11"/>
  <c r="U4822" i="11"/>
  <c r="U4814" i="11"/>
  <c r="U4806" i="11"/>
  <c r="U4798" i="11"/>
  <c r="U4790" i="11"/>
  <c r="U4782" i="11"/>
  <c r="U4774" i="11"/>
  <c r="U4766" i="11"/>
  <c r="U4580" i="11"/>
  <c r="U4525" i="11"/>
  <c r="U4521" i="11"/>
  <c r="U4293" i="11"/>
  <c r="U3969" i="11"/>
  <c r="U3395" i="11"/>
  <c r="U2994" i="11"/>
  <c r="U2986" i="11"/>
  <c r="U2962" i="11"/>
  <c r="U2958" i="11"/>
  <c r="U2950" i="11"/>
  <c r="U2626" i="11"/>
  <c r="U2618" i="11"/>
  <c r="U2190" i="11"/>
  <c r="U4006" i="11"/>
  <c r="U3448" i="11"/>
  <c r="U3420" i="11"/>
  <c r="U2155" i="11"/>
  <c r="U4718" i="11"/>
  <c r="U4710" i="11"/>
  <c r="U4702" i="11"/>
  <c r="U4694" i="11"/>
  <c r="U4647" i="11"/>
  <c r="U4639" i="11"/>
  <c r="U4631" i="11"/>
  <c r="U4623" i="11"/>
  <c r="U4615" i="11"/>
  <c r="U4607" i="11"/>
  <c r="U4599" i="11"/>
  <c r="U4591" i="11"/>
  <c r="U4583" i="11"/>
  <c r="U4477" i="11"/>
  <c r="U4465" i="11"/>
  <c r="U4457" i="11"/>
  <c r="U4449" i="11"/>
  <c r="U4441" i="11"/>
  <c r="U4433" i="11"/>
  <c r="U4390" i="11"/>
  <c r="U4382" i="11"/>
  <c r="U4374" i="11"/>
  <c r="U4366" i="11"/>
  <c r="U4351" i="11"/>
  <c r="U4343" i="11"/>
  <c r="U4335" i="11"/>
  <c r="U4296" i="11"/>
  <c r="U4253" i="11"/>
  <c r="U4241" i="11"/>
  <c r="U4233" i="11"/>
  <c r="U4206" i="11"/>
  <c r="U4198" i="11"/>
  <c r="U4190" i="11"/>
  <c r="U4182" i="11"/>
  <c r="U4174" i="11"/>
  <c r="U4123" i="11"/>
  <c r="U4119" i="11"/>
  <c r="U4115" i="11"/>
  <c r="U4111" i="11"/>
  <c r="U4107" i="11"/>
  <c r="U4103" i="11"/>
  <c r="U4099" i="11"/>
  <c r="U4095" i="11"/>
  <c r="U4091" i="11"/>
  <c r="U4087" i="11"/>
  <c r="U4083" i="11"/>
  <c r="U4079" i="11"/>
  <c r="U4075" i="11"/>
  <c r="U4016" i="11"/>
  <c r="U3905" i="11"/>
  <c r="U3901" i="11"/>
  <c r="U3897" i="11"/>
  <c r="U3893" i="11"/>
  <c r="U3889" i="11"/>
  <c r="U3885" i="11"/>
  <c r="U3881" i="11"/>
  <c r="U3873" i="11"/>
  <c r="U3865" i="11"/>
  <c r="U3857" i="11"/>
  <c r="U3849" i="11"/>
  <c r="U3845" i="11"/>
  <c r="U3830" i="11"/>
  <c r="U3794" i="11"/>
  <c r="U3786" i="11"/>
  <c r="U3778" i="11"/>
  <c r="U3770" i="11"/>
  <c r="U3762" i="11"/>
  <c r="U3754" i="11"/>
  <c r="U3746" i="11"/>
  <c r="U3699" i="11"/>
  <c r="U3695" i="11"/>
  <c r="U3691" i="11"/>
  <c r="U3687" i="11"/>
  <c r="U3683" i="11"/>
  <c r="U3609" i="11"/>
  <c r="U3589" i="11"/>
  <c r="U3585" i="11"/>
  <c r="U3581" i="11"/>
  <c r="U3538" i="11"/>
  <c r="U3530" i="11"/>
  <c r="U3225" i="11"/>
  <c r="U2926" i="11"/>
  <c r="U2747" i="11"/>
  <c r="U2743" i="11"/>
  <c r="U2739" i="11"/>
  <c r="U2692" i="11"/>
  <c r="U1148" i="11"/>
  <c r="U4172" i="11"/>
  <c r="U4010" i="11"/>
  <c r="U3424" i="11"/>
  <c r="U4821" i="11"/>
  <c r="U4813" i="11"/>
  <c r="U4805" i="11"/>
  <c r="U4797" i="11"/>
  <c r="U4789" i="11"/>
  <c r="U4781" i="11"/>
  <c r="U4773" i="11"/>
  <c r="U4765" i="11"/>
  <c r="U4686" i="11"/>
  <c r="U4678" i="11"/>
  <c r="U4670" i="11"/>
  <c r="U4662" i="11"/>
  <c r="U4654" i="11"/>
  <c r="U4567" i="11"/>
  <c r="U4559" i="11"/>
  <c r="U4417" i="11"/>
  <c r="U4409" i="11"/>
  <c r="U4401" i="11"/>
  <c r="U4393" i="11"/>
  <c r="U4358" i="11"/>
  <c r="U4319" i="11"/>
  <c r="U4311" i="11"/>
  <c r="U4288" i="11"/>
  <c r="U4280" i="11"/>
  <c r="U4272" i="11"/>
  <c r="U4264" i="11"/>
  <c r="U4256" i="11"/>
  <c r="U4217" i="11"/>
  <c r="U4209" i="11"/>
  <c r="U4166" i="11"/>
  <c r="U4158" i="11"/>
  <c r="U4138" i="11"/>
  <c r="U4134" i="11"/>
  <c r="U4130" i="11"/>
  <c r="U4071" i="11"/>
  <c r="U4067" i="11"/>
  <c r="U4063" i="11"/>
  <c r="U4059" i="11"/>
  <c r="U4055" i="11"/>
  <c r="U4051" i="11"/>
  <c r="U4047" i="11"/>
  <c r="U4043" i="11"/>
  <c r="U4039" i="11"/>
  <c r="U4035" i="11"/>
  <c r="U4031" i="11"/>
  <c r="U4027" i="11"/>
  <c r="U4023" i="11"/>
  <c r="U4019" i="11"/>
  <c r="U3837" i="11"/>
  <c r="U3833" i="11"/>
  <c r="U3829" i="11"/>
  <c r="U3825" i="11"/>
  <c r="U3821" i="11"/>
  <c r="U3817" i="11"/>
  <c r="U3809" i="11"/>
  <c r="U3805" i="11"/>
  <c r="U3738" i="11"/>
  <c r="U3730" i="11"/>
  <c r="U3722" i="11"/>
  <c r="U3714" i="11"/>
  <c r="U3706" i="11"/>
  <c r="U3671" i="11"/>
  <c r="U3667" i="11"/>
  <c r="U3663" i="11"/>
  <c r="U3573" i="11"/>
  <c r="U3569" i="11"/>
  <c r="U3565" i="11"/>
  <c r="U3342" i="11"/>
  <c r="U3322" i="11"/>
  <c r="U3314" i="11"/>
  <c r="U3306" i="11"/>
  <c r="U3298" i="11"/>
  <c r="U3271" i="11"/>
  <c r="U3260" i="11"/>
  <c r="U3252" i="11"/>
  <c r="U3244" i="11"/>
  <c r="U3236" i="11"/>
  <c r="U3228" i="11"/>
  <c r="U3217" i="11"/>
  <c r="U3206" i="11"/>
  <c r="U3135" i="11"/>
  <c r="U3119" i="11"/>
  <c r="U3111" i="11"/>
  <c r="U3103" i="11"/>
  <c r="U3056" i="11"/>
  <c r="U3028" i="11"/>
  <c r="U3020" i="11"/>
  <c r="U2731" i="11"/>
  <c r="U2727" i="11"/>
  <c r="U2723" i="11"/>
  <c r="U2719" i="11"/>
  <c r="U2715" i="11"/>
  <c r="U2711" i="11"/>
  <c r="U2684" i="11"/>
  <c r="U2676" i="11"/>
  <c r="U2668" i="11"/>
  <c r="U2407" i="11"/>
  <c r="U2399" i="11"/>
  <c r="U2066" i="11"/>
  <c r="U2062" i="11"/>
  <c r="U2058" i="11"/>
  <c r="U2054" i="11"/>
  <c r="U2050" i="11"/>
  <c r="U2046" i="11"/>
  <c r="U2042" i="11"/>
  <c r="U2038" i="11"/>
  <c r="U2034" i="11"/>
  <c r="U4848" i="11"/>
  <c r="U4745" i="11"/>
  <c r="U4697" i="11"/>
  <c r="U4689" i="11"/>
  <c r="U4685" i="11"/>
  <c r="U4677" i="11"/>
  <c r="U4673" i="11"/>
  <c r="U4669" i="11"/>
  <c r="U4661" i="11"/>
  <c r="U4657" i="11"/>
  <c r="U4602" i="11"/>
  <c r="U4578" i="11"/>
  <c r="U4574" i="11"/>
  <c r="U4566" i="11"/>
  <c r="U4558" i="11"/>
  <c r="U4511" i="11"/>
  <c r="U4503" i="11"/>
  <c r="U4495" i="11"/>
  <c r="U4487" i="11"/>
  <c r="U4479" i="11"/>
  <c r="U4428" i="11"/>
  <c r="U4424" i="11"/>
  <c r="U4416" i="11"/>
  <c r="U4408" i="11"/>
  <c r="U4400" i="11"/>
  <c r="U4392" i="11"/>
  <c r="U4365" i="11"/>
  <c r="U4330" i="11"/>
  <c r="U4326" i="11"/>
  <c r="U4318" i="11"/>
  <c r="U4310" i="11"/>
  <c r="U4287" i="11"/>
  <c r="U4279" i="11"/>
  <c r="U4271" i="11"/>
  <c r="U4263" i="11"/>
  <c r="U4255" i="11"/>
  <c r="U4224" i="11"/>
  <c r="U4216" i="11"/>
  <c r="U4173" i="11"/>
  <c r="U4161" i="11"/>
  <c r="U4141" i="11"/>
  <c r="U4137" i="11"/>
  <c r="U4133" i="11"/>
  <c r="U4129" i="11"/>
  <c r="U4078" i="11"/>
  <c r="U4058" i="11"/>
  <c r="U3919" i="11"/>
  <c r="U3915" i="11"/>
  <c r="U3911" i="11"/>
  <c r="U3737" i="11"/>
  <c r="U3733" i="11"/>
  <c r="U3729" i="11"/>
  <c r="U3725" i="11"/>
  <c r="U3721" i="11"/>
  <c r="U3717" i="11"/>
  <c r="U3713" i="11"/>
  <c r="U3709" i="11"/>
  <c r="U3705" i="11"/>
  <c r="U3666" i="11"/>
  <c r="U3639" i="11"/>
  <c r="U3635" i="11"/>
  <c r="U3631" i="11"/>
  <c r="U3627" i="11"/>
  <c r="U3623" i="11"/>
  <c r="U3619" i="11"/>
  <c r="U3615" i="11"/>
  <c r="U3611" i="11"/>
  <c r="U3607" i="11"/>
  <c r="U3603" i="11"/>
  <c r="U3599" i="11"/>
  <c r="U3595" i="11"/>
  <c r="U3309" i="11"/>
  <c r="U3259" i="11"/>
  <c r="U3255" i="11"/>
  <c r="U3251" i="11"/>
  <c r="U3247" i="11"/>
  <c r="U3243" i="11"/>
  <c r="U3239" i="11"/>
  <c r="U3235" i="11"/>
  <c r="U3231" i="11"/>
  <c r="U3227" i="11"/>
  <c r="U3223" i="11"/>
  <c r="U3212" i="11"/>
  <c r="U2900" i="11"/>
  <c r="U2892" i="11"/>
  <c r="U2884" i="11"/>
  <c r="U2876" i="11"/>
  <c r="U2868" i="11"/>
  <c r="U2849" i="11"/>
  <c r="U2845" i="11"/>
  <c r="U2841" i="11"/>
  <c r="U2837" i="11"/>
  <c r="U2833" i="11"/>
  <c r="U2829" i="11"/>
  <c r="U2825" i="11"/>
  <c r="U2821" i="11"/>
  <c r="U2817" i="11"/>
  <c r="U2813" i="11"/>
  <c r="U2809" i="11"/>
  <c r="U2805" i="11"/>
  <c r="U2801" i="11"/>
  <c r="U2797" i="11"/>
  <c r="U2793" i="11"/>
  <c r="U2789" i="11"/>
  <c r="U2785" i="11"/>
  <c r="U2580" i="11"/>
  <c r="U2572" i="11"/>
  <c r="U2564" i="11"/>
  <c r="U2556" i="11"/>
  <c r="U2513" i="11"/>
  <c r="U2509" i="11"/>
  <c r="U2505" i="11"/>
  <c r="U2501" i="11"/>
  <c r="U2497" i="11"/>
  <c r="U2371" i="11"/>
  <c r="U2128" i="11"/>
  <c r="U2030" i="11"/>
  <c r="U2426" i="11"/>
  <c r="U2367" i="11"/>
  <c r="U2359" i="11"/>
  <c r="U2355" i="11"/>
  <c r="U2351" i="11"/>
  <c r="U2347" i="11"/>
  <c r="U2343" i="11"/>
  <c r="U2335" i="11"/>
  <c r="U2327" i="11"/>
  <c r="U2319" i="11"/>
  <c r="U2311" i="11"/>
  <c r="U2186" i="11"/>
  <c r="U2182" i="11"/>
  <c r="U2174" i="11"/>
  <c r="U2170" i="11"/>
  <c r="U2166" i="11"/>
  <c r="U2158" i="11"/>
  <c r="U2127" i="11"/>
  <c r="U2104" i="11"/>
  <c r="U2096" i="11"/>
  <c r="U2088" i="11"/>
  <c r="U2026" i="11"/>
  <c r="U2022" i="11"/>
  <c r="U2018" i="11"/>
  <c r="U1979" i="11"/>
  <c r="U1822" i="11"/>
  <c r="U1790" i="11"/>
  <c r="U1786" i="11"/>
  <c r="U1782" i="11"/>
  <c r="U1628" i="11"/>
  <c r="U1620" i="11"/>
  <c r="U1612" i="11"/>
  <c r="U1604" i="11"/>
  <c r="U1596" i="11"/>
  <c r="U1588" i="11"/>
  <c r="U1580" i="11"/>
  <c r="U1572" i="11"/>
  <c r="U1564" i="11"/>
  <c r="U1477" i="11"/>
  <c r="U1140" i="11"/>
  <c r="U594" i="11"/>
  <c r="U586" i="11"/>
  <c r="U578" i="11"/>
  <c r="U2594" i="11"/>
  <c r="U2586" i="11"/>
  <c r="U2374" i="11"/>
  <c r="U1994" i="11"/>
  <c r="U1337" i="11"/>
  <c r="U3679" i="11"/>
  <c r="U3675" i="11"/>
  <c r="U3605" i="11"/>
  <c r="U3601" i="11"/>
  <c r="U3597" i="11"/>
  <c r="U3570" i="11"/>
  <c r="U3562" i="11"/>
  <c r="U3554" i="11"/>
  <c r="U3546" i="11"/>
  <c r="U3391" i="11"/>
  <c r="U3387" i="11"/>
  <c r="U3383" i="11"/>
  <c r="U3379" i="11"/>
  <c r="U3375" i="11"/>
  <c r="U3371" i="11"/>
  <c r="U3367" i="11"/>
  <c r="U3344" i="11"/>
  <c r="U3316" i="11"/>
  <c r="U3308" i="11"/>
  <c r="U3300" i="11"/>
  <c r="U3292" i="11"/>
  <c r="U3258" i="11"/>
  <c r="U3250" i="11"/>
  <c r="U3242" i="11"/>
  <c r="U3234" i="11"/>
  <c r="U3226" i="11"/>
  <c r="U3211" i="11"/>
  <c r="U3184" i="11"/>
  <c r="U3180" i="11"/>
  <c r="U3153" i="11"/>
  <c r="U3149" i="11"/>
  <c r="U3091" i="11"/>
  <c r="U3087" i="11"/>
  <c r="U3015" i="11"/>
  <c r="U2992" i="11"/>
  <c r="U2980" i="11"/>
  <c r="U2972" i="11"/>
  <c r="U2964" i="11"/>
  <c r="U2956" i="11"/>
  <c r="U2948" i="11"/>
  <c r="U2921" i="11"/>
  <c r="U2917" i="11"/>
  <c r="U2913" i="11"/>
  <c r="U2909" i="11"/>
  <c r="U2905" i="11"/>
  <c r="U2847" i="11"/>
  <c r="U2839" i="11"/>
  <c r="U2831" i="11"/>
  <c r="U2823" i="11"/>
  <c r="U2815" i="11"/>
  <c r="U2780" i="11"/>
  <c r="U2772" i="11"/>
  <c r="U2733" i="11"/>
  <c r="U2729" i="11"/>
  <c r="U2725" i="11"/>
  <c r="U2721" i="11"/>
  <c r="U2717" i="11"/>
  <c r="U2713" i="11"/>
  <c r="U2709" i="11"/>
  <c r="U2698" i="11"/>
  <c r="U2663" i="11"/>
  <c r="U2659" i="11"/>
  <c r="U2655" i="11"/>
  <c r="U2651" i="11"/>
  <c r="U2636" i="11"/>
  <c r="U2628" i="11"/>
  <c r="U2574" i="11"/>
  <c r="U2562" i="11"/>
  <c r="U2554" i="11"/>
  <c r="U2040" i="11"/>
  <c r="U1864" i="11"/>
  <c r="U1666" i="11"/>
  <c r="U1313" i="11"/>
  <c r="U660" i="11"/>
  <c r="U648" i="11"/>
  <c r="U624" i="11"/>
  <c r="U3522" i="11"/>
  <c r="U3514" i="11"/>
  <c r="U3506" i="11"/>
  <c r="U3498" i="11"/>
  <c r="U3490" i="11"/>
  <c r="U3482" i="11"/>
  <c r="U3474" i="11"/>
  <c r="U3466" i="11"/>
  <c r="U3458" i="11"/>
  <c r="U3450" i="11"/>
  <c r="U3442" i="11"/>
  <c r="U3434" i="11"/>
  <c r="U3426" i="11"/>
  <c r="U3418" i="11"/>
  <c r="U3410" i="11"/>
  <c r="U3402" i="11"/>
  <c r="U3359" i="11"/>
  <c r="U3355" i="11"/>
  <c r="U3351" i="11"/>
  <c r="U3347" i="11"/>
  <c r="U3343" i="11"/>
  <c r="U3339" i="11"/>
  <c r="U3335" i="11"/>
  <c r="U3331" i="11"/>
  <c r="U3327" i="11"/>
  <c r="U3284" i="11"/>
  <c r="U3276" i="11"/>
  <c r="U3218" i="11"/>
  <c r="U3207" i="11"/>
  <c r="U3203" i="11"/>
  <c r="U3199" i="11"/>
  <c r="U3176" i="11"/>
  <c r="U3164" i="11"/>
  <c r="U3145" i="11"/>
  <c r="U3141" i="11"/>
  <c r="U3137" i="11"/>
  <c r="U3133" i="11"/>
  <c r="U3129" i="11"/>
  <c r="U3125" i="11"/>
  <c r="U3121" i="11"/>
  <c r="U2991" i="11"/>
  <c r="U2940" i="11"/>
  <c r="U2932" i="11"/>
  <c r="U2897" i="11"/>
  <c r="U2893" i="11"/>
  <c r="U2889" i="11"/>
  <c r="U2799" i="11"/>
  <c r="U2795" i="11"/>
  <c r="U2791" i="11"/>
  <c r="U2787" i="11"/>
  <c r="U2764" i="11"/>
  <c r="U2756" i="11"/>
  <c r="U2748" i="11"/>
  <c r="U2740" i="11"/>
  <c r="U2705" i="11"/>
  <c r="U2701" i="11"/>
  <c r="U2697" i="11"/>
  <c r="U2643" i="11"/>
  <c r="U2639" i="11"/>
  <c r="U2620" i="11"/>
  <c r="U2612" i="11"/>
  <c r="U2577" i="11"/>
  <c r="U2573" i="11"/>
  <c r="U2569" i="11"/>
  <c r="U2565" i="11"/>
  <c r="U2561" i="11"/>
  <c r="U2557" i="11"/>
  <c r="U2553" i="11"/>
  <c r="U2522" i="11"/>
  <c r="U2483" i="11"/>
  <c r="U2471" i="11"/>
  <c r="U2463" i="11"/>
  <c r="U2448" i="11"/>
  <c r="U2412" i="11"/>
  <c r="U2404" i="11"/>
  <c r="U2396" i="11"/>
  <c r="U2392" i="11"/>
  <c r="U2361" i="11"/>
  <c r="U2353" i="11"/>
  <c r="U2286" i="11"/>
  <c r="U2223" i="11"/>
  <c r="U2215" i="11"/>
  <c r="U2207" i="11"/>
  <c r="U2184" i="11"/>
  <c r="U2176" i="11"/>
  <c r="U2168" i="11"/>
  <c r="U2160" i="11"/>
  <c r="U2106" i="11"/>
  <c r="U2102" i="11"/>
  <c r="U2094" i="11"/>
  <c r="U2090" i="11"/>
  <c r="U2063" i="11"/>
  <c r="U2055" i="11"/>
  <c r="U2047" i="11"/>
  <c r="U2039" i="11"/>
  <c r="U2024" i="11"/>
  <c r="U1977" i="11"/>
  <c r="U1922" i="11"/>
  <c r="U1911" i="11"/>
  <c r="U1907" i="11"/>
  <c r="U1903" i="11"/>
  <c r="U1899" i="11"/>
  <c r="U1895" i="11"/>
  <c r="U1891" i="11"/>
  <c r="U1887" i="11"/>
  <c r="U1883" i="11"/>
  <c r="U1879" i="11"/>
  <c r="U1875" i="11"/>
  <c r="U1871" i="11"/>
  <c r="U1867" i="11"/>
  <c r="U1863" i="11"/>
  <c r="U1856" i="11"/>
  <c r="U1824" i="11"/>
  <c r="U1658" i="11"/>
  <c r="U3183" i="11"/>
  <c r="U3152" i="11"/>
  <c r="U3148" i="11"/>
  <c r="U3113" i="11"/>
  <c r="U3109" i="11"/>
  <c r="U3105" i="11"/>
  <c r="U2975" i="11"/>
  <c r="U2951" i="11"/>
  <c r="U2924" i="11"/>
  <c r="U2916" i="11"/>
  <c r="U2908" i="11"/>
  <c r="U2881" i="11"/>
  <c r="U2877" i="11"/>
  <c r="U2873" i="11"/>
  <c r="U2869" i="11"/>
  <c r="U2865" i="11"/>
  <c r="U2779" i="11"/>
  <c r="U2775" i="11"/>
  <c r="U2732" i="11"/>
  <c r="U2724" i="11"/>
  <c r="U2716" i="11"/>
  <c r="U2708" i="11"/>
  <c r="U2689" i="11"/>
  <c r="U2635" i="11"/>
  <c r="U2631" i="11"/>
  <c r="U2627" i="11"/>
  <c r="U2623" i="11"/>
  <c r="U2604" i="11"/>
  <c r="U2596" i="11"/>
  <c r="U2588" i="11"/>
  <c r="U2549" i="11"/>
  <c r="U2545" i="11"/>
  <c r="U2541" i="11"/>
  <c r="U2537" i="11"/>
  <c r="U2533" i="11"/>
  <c r="U2529" i="11"/>
  <c r="U2525" i="11"/>
  <c r="U2521" i="11"/>
  <c r="U2447" i="11"/>
  <c r="U2439" i="11"/>
  <c r="U2431" i="11"/>
  <c r="U2423" i="11"/>
  <c r="U2384" i="11"/>
  <c r="U2376" i="11"/>
  <c r="U2246" i="11"/>
  <c r="U2238" i="11"/>
  <c r="U2230" i="11"/>
  <c r="U2199" i="11"/>
  <c r="U2191" i="11"/>
  <c r="U2152" i="11"/>
  <c r="U2144" i="11"/>
  <c r="U2136" i="11"/>
  <c r="U2082" i="11"/>
  <c r="U2078" i="11"/>
  <c r="U2074" i="11"/>
  <c r="U2031" i="11"/>
  <c r="U2008" i="11"/>
  <c r="U2000" i="11"/>
  <c r="U1992" i="11"/>
  <c r="U1984" i="11"/>
  <c r="U1133" i="11"/>
  <c r="U1125" i="11"/>
  <c r="U1117" i="11"/>
  <c r="U1109" i="11"/>
  <c r="U1105" i="11"/>
  <c r="U1093" i="11"/>
  <c r="U1089" i="11"/>
  <c r="U1085" i="11"/>
  <c r="U1058" i="11"/>
  <c r="U168" i="11"/>
  <c r="U1960" i="11"/>
  <c r="U1866" i="11"/>
  <c r="U1819" i="11"/>
  <c r="U1815" i="11"/>
  <c r="U1811" i="11"/>
  <c r="U1807" i="11"/>
  <c r="U1803" i="11"/>
  <c r="U1796" i="11"/>
  <c r="U1685" i="11"/>
  <c r="U1677" i="11"/>
  <c r="U1654" i="11"/>
  <c r="U1650" i="11"/>
  <c r="U1642" i="11"/>
  <c r="U1603" i="11"/>
  <c r="U1595" i="11"/>
  <c r="U1587" i="11"/>
  <c r="U1579" i="11"/>
  <c r="U1571" i="11"/>
  <c r="U1563" i="11"/>
  <c r="U1524" i="11"/>
  <c r="U1516" i="11"/>
  <c r="U1508" i="11"/>
  <c r="U1500" i="11"/>
  <c r="U1492" i="11"/>
  <c r="U1469" i="11"/>
  <c r="U1461" i="11"/>
  <c r="U1453" i="11"/>
  <c r="U1445" i="11"/>
  <c r="U1437" i="11"/>
  <c r="U1429" i="11"/>
  <c r="U1410" i="11"/>
  <c r="U1395" i="11"/>
  <c r="U1387" i="11"/>
  <c r="U1379" i="11"/>
  <c r="U1371" i="11"/>
  <c r="U1363" i="11"/>
  <c r="U1332" i="11"/>
  <c r="U1324" i="11"/>
  <c r="U1316" i="11"/>
  <c r="U1308" i="11"/>
  <c r="U1285" i="11"/>
  <c r="U1277" i="11"/>
  <c r="U1269" i="11"/>
  <c r="U1218" i="11"/>
  <c r="U1214" i="11"/>
  <c r="U1210" i="11"/>
  <c r="U1206" i="11"/>
  <c r="U1202" i="11"/>
  <c r="U1198" i="11"/>
  <c r="U1194" i="11"/>
  <c r="U1190" i="11"/>
  <c r="U1186" i="11"/>
  <c r="U1182" i="11"/>
  <c r="U1178" i="11"/>
  <c r="U1174" i="11"/>
  <c r="U1170" i="11"/>
  <c r="U1166" i="11"/>
  <c r="U1162" i="11"/>
  <c r="U1158" i="11"/>
  <c r="U1147" i="11"/>
  <c r="U1139" i="11"/>
  <c r="U1096" i="11"/>
  <c r="U1092" i="11"/>
  <c r="U1084" i="11"/>
  <c r="U719" i="11"/>
  <c r="U711" i="11"/>
  <c r="U695" i="11"/>
  <c r="U187" i="11"/>
  <c r="U179" i="11"/>
  <c r="U171" i="11"/>
  <c r="U2278" i="11"/>
  <c r="U2270" i="11"/>
  <c r="U2262" i="11"/>
  <c r="U2247" i="11"/>
  <c r="U2239" i="11"/>
  <c r="U2231" i="11"/>
  <c r="U2200" i="11"/>
  <c r="U2192" i="11"/>
  <c r="U2177" i="11"/>
  <c r="U2118" i="11"/>
  <c r="U2079" i="11"/>
  <c r="U2071" i="11"/>
  <c r="U1990" i="11"/>
  <c r="U1986" i="11"/>
  <c r="U1982" i="11"/>
  <c r="U1978" i="11"/>
  <c r="U1959" i="11"/>
  <c r="U1955" i="11"/>
  <c r="U1951" i="11"/>
  <c r="U1947" i="11"/>
  <c r="U1943" i="11"/>
  <c r="U1939" i="11"/>
  <c r="U1935" i="11"/>
  <c r="U1931" i="11"/>
  <c r="U1927" i="11"/>
  <c r="U1818" i="11"/>
  <c r="U1814" i="11"/>
  <c r="U1810" i="11"/>
  <c r="U1806" i="11"/>
  <c r="U1791" i="11"/>
  <c r="U1787" i="11"/>
  <c r="U1783" i="11"/>
  <c r="U1779" i="11"/>
  <c r="U1775" i="11"/>
  <c r="U1771" i="11"/>
  <c r="U1767" i="11"/>
  <c r="U1763" i="11"/>
  <c r="U1759" i="11"/>
  <c r="U1755" i="11"/>
  <c r="U1751" i="11"/>
  <c r="U1747" i="11"/>
  <c r="U1732" i="11"/>
  <c r="U1700" i="11"/>
  <c r="U1696" i="11"/>
  <c r="U1692" i="11"/>
  <c r="U1688" i="11"/>
  <c r="U1684" i="11"/>
  <c r="U1676" i="11"/>
  <c r="U1668" i="11"/>
  <c r="U1653" i="11"/>
  <c r="U1602" i="11"/>
  <c r="U1594" i="11"/>
  <c r="U1586" i="11"/>
  <c r="U1578" i="11"/>
  <c r="U1570" i="11"/>
  <c r="U1523" i="11"/>
  <c r="U1515" i="11"/>
  <c r="U1507" i="11"/>
  <c r="U1499" i="11"/>
  <c r="U1491" i="11"/>
  <c r="U1476" i="11"/>
  <c r="U1468" i="11"/>
  <c r="U1460" i="11"/>
  <c r="U1452" i="11"/>
  <c r="U1444" i="11"/>
  <c r="U1436" i="11"/>
  <c r="U1394" i="11"/>
  <c r="U1390" i="11"/>
  <c r="U1386" i="11"/>
  <c r="U1382" i="11"/>
  <c r="U1378" i="11"/>
  <c r="U1374" i="11"/>
  <c r="U1370" i="11"/>
  <c r="U1366" i="11"/>
  <c r="U1362" i="11"/>
  <c r="U1358" i="11"/>
  <c r="U1343" i="11"/>
  <c r="U1331" i="11"/>
  <c r="U1323" i="11"/>
  <c r="U1315" i="11"/>
  <c r="U1307" i="11"/>
  <c r="U1284" i="11"/>
  <c r="U1276" i="11"/>
  <c r="U1268" i="11"/>
  <c r="U1923" i="11"/>
  <c r="U1919" i="11"/>
  <c r="U1798" i="11"/>
  <c r="U1743" i="11"/>
  <c r="U1739" i="11"/>
  <c r="U1735" i="11"/>
  <c r="U1731" i="11"/>
  <c r="U1727" i="11"/>
  <c r="U1723" i="11"/>
  <c r="U1660" i="11"/>
  <c r="U1554" i="11"/>
  <c r="U1546" i="11"/>
  <c r="U1538" i="11"/>
  <c r="U1483" i="11"/>
  <c r="U1420" i="11"/>
  <c r="U1405" i="11"/>
  <c r="U1354" i="11"/>
  <c r="U1350" i="11"/>
  <c r="U1346" i="11"/>
  <c r="U1342" i="11"/>
  <c r="U1338" i="11"/>
  <c r="U1334" i="11"/>
  <c r="U1149" i="11"/>
  <c r="U1130" i="11"/>
  <c r="U1126" i="11"/>
  <c r="U1122" i="11"/>
  <c r="U1118" i="11"/>
  <c r="U1114" i="11"/>
  <c r="U1110" i="11"/>
  <c r="U1106" i="11"/>
  <c r="U1079" i="11"/>
  <c r="U1055" i="11"/>
  <c r="U928" i="11"/>
  <c r="U924" i="11"/>
  <c r="U920" i="11"/>
  <c r="U916" i="11"/>
  <c r="U908" i="11"/>
  <c r="U900" i="11"/>
  <c r="U892" i="11"/>
  <c r="U849" i="11"/>
  <c r="U845" i="11"/>
  <c r="U841" i="11"/>
  <c r="U837" i="11"/>
  <c r="U833" i="11"/>
  <c r="U829" i="11"/>
  <c r="U825" i="11"/>
  <c r="U821" i="11"/>
  <c r="U436" i="11"/>
  <c r="U1778" i="11"/>
  <c r="U1774" i="11"/>
  <c r="U1770" i="11"/>
  <c r="U1766" i="11"/>
  <c r="U1762" i="11"/>
  <c r="U1758" i="11"/>
  <c r="U1754" i="11"/>
  <c r="U1750" i="11"/>
  <c r="U1719" i="11"/>
  <c r="U1715" i="11"/>
  <c r="U1711" i="11"/>
  <c r="U1707" i="11"/>
  <c r="U1703" i="11"/>
  <c r="U1699" i="11"/>
  <c r="U1695" i="11"/>
  <c r="U1691" i="11"/>
  <c r="U1671" i="11"/>
  <c r="U1667" i="11"/>
  <c r="U1652" i="11"/>
  <c r="U1644" i="11"/>
  <c r="U1636" i="11"/>
  <c r="U1522" i="11"/>
  <c r="U1514" i="11"/>
  <c r="U1506" i="11"/>
  <c r="U1498" i="11"/>
  <c r="U1490" i="11"/>
  <c r="U1475" i="11"/>
  <c r="U1467" i="11"/>
  <c r="U1459" i="11"/>
  <c r="U1451" i="11"/>
  <c r="U1443" i="11"/>
  <c r="U1435" i="11"/>
  <c r="U1412" i="11"/>
  <c r="U1389" i="11"/>
  <c r="U1381" i="11"/>
  <c r="U1373" i="11"/>
  <c r="U1365" i="11"/>
  <c r="U1330" i="11"/>
  <c r="U1326" i="11"/>
  <c r="U1322" i="11"/>
  <c r="U1318" i="11"/>
  <c r="U1314" i="11"/>
  <c r="U1310" i="11"/>
  <c r="U1220" i="11"/>
  <c r="U1212" i="11"/>
  <c r="U1204" i="11"/>
  <c r="U1196" i="11"/>
  <c r="U1188" i="11"/>
  <c r="U1180" i="11"/>
  <c r="U1172" i="11"/>
  <c r="U1164" i="11"/>
  <c r="U1141" i="11"/>
  <c r="U1102" i="11"/>
  <c r="U1094" i="11"/>
  <c r="U1090" i="11"/>
  <c r="U1086" i="11"/>
  <c r="U1082" i="11"/>
  <c r="U876" i="11"/>
  <c r="U868" i="11"/>
  <c r="U860" i="11"/>
  <c r="U625" i="11"/>
  <c r="U610" i="11"/>
  <c r="U602" i="11"/>
  <c r="U563" i="11"/>
  <c r="U555" i="11"/>
  <c r="U547" i="11"/>
  <c r="U539" i="11"/>
  <c r="U531" i="11"/>
  <c r="U523" i="11"/>
  <c r="U515" i="11"/>
  <c r="U507" i="11"/>
  <c r="U499" i="11"/>
  <c r="U491" i="11"/>
  <c r="U483" i="11"/>
  <c r="U475" i="11"/>
  <c r="U467" i="11"/>
  <c r="U459" i="11"/>
  <c r="U451" i="11"/>
  <c r="U443" i="11"/>
  <c r="U435" i="11"/>
  <c r="U48" i="11"/>
  <c r="U12" i="11"/>
  <c r="U848" i="11"/>
  <c r="U840" i="11"/>
  <c r="U758" i="11"/>
  <c r="U734" i="11"/>
  <c r="U478" i="11"/>
  <c r="U859" i="11"/>
  <c r="U855" i="11"/>
  <c r="U300" i="11"/>
  <c r="U280" i="11"/>
  <c r="U268" i="11"/>
  <c r="U166" i="11"/>
  <c r="U1306" i="11"/>
  <c r="U1302" i="11"/>
  <c r="U1283" i="11"/>
  <c r="U1275" i="11"/>
  <c r="U1267" i="11"/>
  <c r="U1209" i="11"/>
  <c r="U1197" i="11"/>
  <c r="U1189" i="11"/>
  <c r="U1181" i="11"/>
  <c r="U1173" i="11"/>
  <c r="U1165" i="11"/>
  <c r="U1146" i="11"/>
  <c r="U1142" i="11"/>
  <c r="U1138" i="11"/>
  <c r="U1103" i="11"/>
  <c r="U1095" i="11"/>
  <c r="U1036" i="11"/>
  <c r="U1032" i="11"/>
  <c r="U992" i="11"/>
  <c r="U988" i="11"/>
  <c r="U984" i="11"/>
  <c r="U980" i="11"/>
  <c r="U972" i="11"/>
  <c r="U964" i="11"/>
  <c r="U929" i="11"/>
  <c r="U925" i="11"/>
  <c r="U921" i="11"/>
  <c r="U917" i="11"/>
  <c r="U913" i="11"/>
  <c r="U878" i="11"/>
  <c r="U870" i="11"/>
  <c r="U862" i="11"/>
  <c r="U854" i="11"/>
  <c r="U796" i="11"/>
  <c r="U788" i="11"/>
  <c r="U780" i="11"/>
  <c r="U729" i="11"/>
  <c r="U725" i="11"/>
  <c r="U721" i="11"/>
  <c r="U717" i="11"/>
  <c r="U713" i="11"/>
  <c r="U709" i="11"/>
  <c r="U705" i="11"/>
  <c r="U701" i="11"/>
  <c r="U697" i="11"/>
  <c r="U693" i="11"/>
  <c r="U689" i="11"/>
  <c r="U685" i="11"/>
  <c r="U681" i="11"/>
  <c r="U626" i="11"/>
  <c r="U611" i="11"/>
  <c r="U603" i="11"/>
  <c r="U457" i="11"/>
  <c r="U449" i="11"/>
  <c r="U445" i="11"/>
  <c r="U441" i="11"/>
  <c r="U437" i="11"/>
  <c r="U433" i="11"/>
  <c r="U429" i="11"/>
  <c r="U402" i="11"/>
  <c r="U394" i="11"/>
  <c r="U386" i="11"/>
  <c r="U378" i="11"/>
  <c r="U370" i="11"/>
  <c r="U362" i="11"/>
  <c r="U354" i="11"/>
  <c r="U331" i="11"/>
  <c r="U323" i="11"/>
  <c r="U315" i="11"/>
  <c r="U307" i="11"/>
  <c r="U299" i="11"/>
  <c r="U291" i="11"/>
  <c r="U283" i="11"/>
  <c r="U275" i="11"/>
  <c r="U185" i="11"/>
  <c r="U181" i="11"/>
  <c r="U177" i="11"/>
  <c r="U173" i="11"/>
  <c r="U169" i="11"/>
  <c r="U936" i="11"/>
  <c r="U905" i="11"/>
  <c r="U901" i="11"/>
  <c r="U897" i="11"/>
  <c r="U893" i="11"/>
  <c r="U889" i="11"/>
  <c r="U885" i="11"/>
  <c r="U846" i="11"/>
  <c r="U838" i="11"/>
  <c r="U830" i="11"/>
  <c r="U772" i="11"/>
  <c r="U665" i="11"/>
  <c r="U653" i="11"/>
  <c r="U637" i="11"/>
  <c r="U633" i="11"/>
  <c r="U595" i="11"/>
  <c r="U587" i="11"/>
  <c r="U579" i="11"/>
  <c r="U571" i="11"/>
  <c r="U425" i="11"/>
  <c r="U421" i="11"/>
  <c r="U417" i="11"/>
  <c r="U413" i="11"/>
  <c r="U346" i="11"/>
  <c r="U259" i="11"/>
  <c r="U220" i="11"/>
  <c r="U212" i="11"/>
  <c r="U204" i="11"/>
  <c r="U196" i="11"/>
  <c r="U161" i="11"/>
  <c r="U157" i="11"/>
  <c r="U153" i="11"/>
  <c r="U149" i="11"/>
  <c r="U145" i="11"/>
  <c r="U141" i="11"/>
  <c r="U137" i="11"/>
  <c r="U133" i="11"/>
  <c r="U129" i="11"/>
  <c r="U125" i="11"/>
  <c r="U121" i="11"/>
  <c r="U117" i="11"/>
  <c r="U113" i="11"/>
  <c r="U109" i="11"/>
  <c r="U105" i="11"/>
  <c r="U101" i="11"/>
  <c r="U97" i="11"/>
  <c r="U93" i="11"/>
  <c r="U89" i="11"/>
  <c r="U85" i="11"/>
  <c r="U81" i="11"/>
  <c r="U77" i="11"/>
  <c r="U73" i="11"/>
  <c r="U69" i="11"/>
  <c r="U9" i="11"/>
  <c r="U4962" i="11"/>
  <c r="U4539" i="11"/>
  <c r="U4445" i="11"/>
  <c r="U4317" i="11"/>
  <c r="U4236" i="11"/>
  <c r="U3993" i="11"/>
  <c r="U3989" i="11"/>
  <c r="U3868" i="11"/>
  <c r="U3580" i="11"/>
  <c r="U3457" i="11"/>
  <c r="U3374" i="11"/>
  <c r="U3312" i="11"/>
  <c r="U3140" i="11"/>
  <c r="U3136" i="11"/>
  <c r="U3128" i="11"/>
  <c r="U3078" i="11"/>
  <c r="U3070" i="11"/>
  <c r="U2682" i="11"/>
  <c r="U1905" i="11"/>
  <c r="U1889" i="11"/>
  <c r="U1881" i="11"/>
  <c r="U4636" i="11"/>
  <c r="U4632" i="11"/>
  <c r="U4612" i="11"/>
  <c r="U4592" i="11"/>
  <c r="U4538" i="11"/>
  <c r="U4452" i="11"/>
  <c r="U4448" i="11"/>
  <c r="U4421" i="11"/>
  <c r="U4301" i="11"/>
  <c r="U4266" i="11"/>
  <c r="U3945" i="11"/>
  <c r="U3941" i="11"/>
  <c r="U3734" i="11"/>
  <c r="U3488" i="11"/>
  <c r="U3484" i="11"/>
  <c r="U3273" i="11"/>
  <c r="U3269" i="11"/>
  <c r="U3254" i="11"/>
  <c r="U3054" i="11"/>
  <c r="U2910" i="11"/>
  <c r="U2906" i="11"/>
  <c r="U2704" i="11"/>
  <c r="U2490" i="11"/>
  <c r="U2486" i="11"/>
  <c r="U2451" i="11"/>
  <c r="U4777" i="11"/>
  <c r="U4714" i="11"/>
  <c r="U4498" i="11"/>
  <c r="U4381" i="11"/>
  <c r="U4300" i="11"/>
  <c r="U4050" i="11"/>
  <c r="U4042" i="11"/>
  <c r="U4038" i="11"/>
  <c r="U3902" i="11"/>
  <c r="U3788" i="11"/>
  <c r="U3392" i="11"/>
  <c r="U3388" i="11"/>
  <c r="U3376" i="11"/>
  <c r="U3310" i="11"/>
  <c r="U2579" i="11"/>
  <c r="U2544" i="11"/>
  <c r="U2536" i="11"/>
  <c r="U3846" i="11"/>
  <c r="U2363" i="11"/>
  <c r="U1785" i="11"/>
  <c r="U1781" i="11"/>
  <c r="U1773" i="11"/>
  <c r="U3030" i="11"/>
  <c r="U3011" i="11"/>
  <c r="U3007" i="11"/>
  <c r="U3003" i="11"/>
  <c r="U2999" i="11"/>
  <c r="U2800" i="11"/>
  <c r="U2712" i="11"/>
  <c r="U2664" i="11"/>
  <c r="U2656" i="11"/>
  <c r="U2648" i="11"/>
  <c r="U2587" i="11"/>
  <c r="U2576" i="11"/>
  <c r="U2472" i="11"/>
  <c r="U2422" i="11"/>
  <c r="U2117" i="11"/>
  <c r="U2113" i="11"/>
  <c r="U2098" i="11"/>
  <c r="U2075" i="11"/>
  <c r="U2037" i="11"/>
  <c r="U2033" i="11"/>
  <c r="U2011" i="11"/>
  <c r="U2003" i="11"/>
  <c r="U1995" i="11"/>
  <c r="U1973" i="11"/>
  <c r="U1956" i="11"/>
  <c r="U1952" i="11"/>
  <c r="U1840" i="11"/>
  <c r="U1832" i="11"/>
  <c r="U1821" i="11"/>
  <c r="U1817" i="11"/>
  <c r="U1813" i="11"/>
  <c r="U1720" i="11"/>
  <c r="U1661" i="11"/>
  <c r="U1471" i="11"/>
  <c r="U1424" i="11"/>
  <c r="U1239" i="11"/>
  <c r="U1231" i="11"/>
  <c r="U1201" i="11"/>
  <c r="U1128" i="11"/>
  <c r="U1120" i="11"/>
  <c r="U987" i="11"/>
  <c r="U851" i="11"/>
  <c r="U847" i="11"/>
  <c r="U843" i="11"/>
  <c r="U839" i="11"/>
  <c r="U718" i="11"/>
  <c r="U636" i="11"/>
  <c r="U454" i="11"/>
  <c r="U446" i="11"/>
  <c r="U424" i="11"/>
  <c r="U420" i="11"/>
  <c r="U311" i="11"/>
  <c r="U199" i="11"/>
  <c r="U78" i="11"/>
  <c r="U1393" i="11"/>
  <c r="U1168" i="11"/>
  <c r="U1111" i="11"/>
  <c r="U896" i="11"/>
  <c r="U850" i="11"/>
  <c r="U542" i="11"/>
  <c r="U534" i="11"/>
  <c r="U453" i="11"/>
  <c r="U263" i="11"/>
  <c r="U198" i="11"/>
  <c r="U62" i="11"/>
  <c r="U795" i="11"/>
  <c r="U791" i="11"/>
  <c r="U787" i="11"/>
  <c r="U783" i="11"/>
  <c r="U779" i="11"/>
  <c r="U775" i="11"/>
  <c r="U752" i="11"/>
  <c r="U744" i="11"/>
  <c r="U573" i="11"/>
  <c r="U472" i="11"/>
  <c r="U468" i="11"/>
  <c r="U430" i="11"/>
  <c r="U399" i="11"/>
  <c r="U356" i="11"/>
  <c r="U278" i="11"/>
  <c r="U247" i="11"/>
  <c r="U236" i="11"/>
  <c r="U3032" i="11"/>
  <c r="U2971" i="11"/>
  <c r="U2967" i="11"/>
  <c r="U2894" i="11"/>
  <c r="U2790" i="11"/>
  <c r="U2722" i="11"/>
  <c r="U2718" i="11"/>
  <c r="U2654" i="11"/>
  <c r="U2547" i="11"/>
  <c r="U2466" i="11"/>
  <c r="U2458" i="11"/>
  <c r="U2416" i="11"/>
  <c r="U2141" i="11"/>
  <c r="U2130" i="11"/>
  <c r="U2115" i="11"/>
  <c r="U2085" i="11"/>
  <c r="U2077" i="11"/>
  <c r="U2028" i="11"/>
  <c r="U2013" i="11"/>
  <c r="U2001" i="11"/>
  <c r="U1904" i="11"/>
  <c r="U1900" i="11"/>
  <c r="U1892" i="11"/>
  <c r="U1888" i="11"/>
  <c r="U1865" i="11"/>
  <c r="U1772" i="11"/>
  <c r="U1764" i="11"/>
  <c r="U1760" i="11"/>
  <c r="U1756" i="11"/>
  <c r="U1745" i="11"/>
  <c r="U1542" i="11"/>
  <c r="U1384" i="11"/>
  <c r="U1376" i="11"/>
  <c r="U1295" i="11"/>
  <c r="U1249" i="11"/>
  <c r="U1175" i="11"/>
  <c r="U1145" i="11"/>
  <c r="U907" i="11"/>
  <c r="U903" i="11"/>
  <c r="U720" i="11"/>
  <c r="U712" i="11"/>
  <c r="U657" i="11"/>
  <c r="U592" i="11"/>
  <c r="U565" i="11"/>
  <c r="U549" i="11"/>
  <c r="U2427" i="11"/>
  <c r="U2330" i="11"/>
  <c r="U2241" i="11"/>
  <c r="U622" i="11"/>
  <c r="U398" i="11"/>
  <c r="U382" i="11"/>
  <c r="U351" i="11"/>
  <c r="U328" i="11"/>
  <c r="U246" i="11"/>
  <c r="U2878" i="11"/>
  <c r="U2874" i="11"/>
  <c r="U2702" i="11"/>
  <c r="U2680" i="11"/>
  <c r="U2600" i="11"/>
  <c r="U2515" i="11"/>
  <c r="U2091" i="11"/>
  <c r="U2076" i="11"/>
  <c r="U2057" i="11"/>
  <c r="U2012" i="11"/>
  <c r="U2004" i="11"/>
  <c r="U1996" i="11"/>
  <c r="U1957" i="11"/>
  <c r="U1279" i="11"/>
  <c r="U906" i="11"/>
  <c r="U56" i="11"/>
  <c r="U4802" i="11"/>
  <c r="U4756" i="11"/>
  <c r="U4752" i="11"/>
  <c r="U4690" i="11"/>
  <c r="U4488" i="11"/>
  <c r="U4434" i="11"/>
  <c r="U4404" i="11"/>
  <c r="U4370" i="11"/>
  <c r="U4348" i="11"/>
  <c r="U4340" i="11"/>
  <c r="U4277" i="11"/>
  <c r="U4202" i="11"/>
  <c r="U4093" i="11"/>
  <c r="U4089" i="11"/>
  <c r="U4085" i="11"/>
  <c r="U4081" i="11"/>
  <c r="U4008" i="11"/>
  <c r="U3954" i="11"/>
  <c r="U3864" i="11"/>
  <c r="U4984" i="11"/>
  <c r="U4820" i="11"/>
  <c r="U4816" i="11"/>
  <c r="U4732" i="11"/>
  <c r="U4728" i="11"/>
  <c r="U4642" i="11"/>
  <c r="U4585" i="11"/>
  <c r="U4548" i="11"/>
  <c r="U4491" i="11"/>
  <c r="U4411" i="11"/>
  <c r="U4347" i="11"/>
  <c r="U4276" i="11"/>
  <c r="U4242" i="11"/>
  <c r="U4220" i="11"/>
  <c r="U4186" i="11"/>
  <c r="U4148" i="11"/>
  <c r="U4144" i="11"/>
  <c r="U4136" i="11"/>
  <c r="U4084" i="11"/>
  <c r="U4080" i="11"/>
  <c r="U4030" i="11"/>
  <c r="U3980" i="11"/>
  <c r="U3942" i="11"/>
  <c r="U3934" i="11"/>
  <c r="U3820" i="11"/>
  <c r="U4770" i="11"/>
  <c r="U4704" i="11"/>
  <c r="U4049" i="11"/>
  <c r="U4041" i="11"/>
  <c r="U4037" i="11"/>
  <c r="U3874" i="11"/>
  <c r="U4954" i="11"/>
  <c r="U4949" i="11"/>
  <c r="U4930" i="11"/>
  <c r="U4994" i="11"/>
  <c r="U4649" i="11"/>
  <c r="U4619" i="11"/>
  <c r="U4509" i="11"/>
  <c r="U4459" i="11"/>
  <c r="U4387" i="11"/>
  <c r="U4323" i="11"/>
  <c r="U4283" i="11"/>
  <c r="U4260" i="11"/>
  <c r="U4219" i="11"/>
  <c r="U4204" i="11"/>
  <c r="U4189" i="11"/>
  <c r="U4965" i="11"/>
  <c r="U4952" i="11"/>
  <c r="U4834" i="11"/>
  <c r="U4788" i="11"/>
  <c r="U4784" i="11"/>
  <c r="U4738" i="11"/>
  <c r="U4676" i="11"/>
  <c r="U4656" i="11"/>
  <c r="U4394" i="11"/>
  <c r="U4211" i="11"/>
  <c r="U4170" i="11"/>
  <c r="U4048" i="11"/>
  <c r="U4017" i="11"/>
  <c r="U3986" i="11"/>
  <c r="U3948" i="11"/>
  <c r="U3914" i="11"/>
  <c r="U4920" i="11"/>
  <c r="U4809" i="11"/>
  <c r="U4933" i="11"/>
  <c r="U4997" i="11"/>
  <c r="U4841" i="11"/>
  <c r="U4683" i="11"/>
  <c r="U4587" i="11"/>
  <c r="U4572" i="11"/>
  <c r="U4568" i="11"/>
  <c r="U4531" i="11"/>
  <c r="U4516" i="11"/>
  <c r="U4512" i="11"/>
  <c r="U4466" i="11"/>
  <c r="U4405" i="11"/>
  <c r="U4259" i="11"/>
  <c r="U4218" i="11"/>
  <c r="U4203" i="11"/>
  <c r="U4154" i="11"/>
  <c r="U4150" i="11"/>
  <c r="U4146" i="11"/>
  <c r="U4142" i="11"/>
  <c r="U4108" i="11"/>
  <c r="U4090" i="11"/>
  <c r="U4086" i="11"/>
  <c r="U4082" i="11"/>
  <c r="U4028" i="11"/>
  <c r="U4009" i="11"/>
  <c r="U4005" i="11"/>
  <c r="U3997" i="11"/>
  <c r="U3944" i="11"/>
  <c r="U3464" i="11"/>
  <c r="U3460" i="11"/>
  <c r="U3417" i="11"/>
  <c r="U3360" i="11"/>
  <c r="U3356" i="11"/>
  <c r="U3288" i="11"/>
  <c r="U3262" i="11"/>
  <c r="U3214" i="11"/>
  <c r="U3192" i="11"/>
  <c r="U2285" i="11"/>
  <c r="U2281" i="11"/>
  <c r="U2274" i="11"/>
  <c r="U2201" i="11"/>
  <c r="U2194" i="11"/>
  <c r="U2043" i="11"/>
  <c r="U1880" i="11"/>
  <c r="U1687" i="11"/>
  <c r="U1675" i="11"/>
  <c r="U252" i="11"/>
  <c r="U32" i="11"/>
  <c r="U24" i="11"/>
  <c r="U3862" i="11"/>
  <c r="U3854" i="11"/>
  <c r="U3692" i="11"/>
  <c r="U3628" i="11"/>
  <c r="U3564" i="11"/>
  <c r="U3489" i="11"/>
  <c r="U3485" i="11"/>
  <c r="U3473" i="11"/>
  <c r="U3408" i="11"/>
  <c r="U3321" i="11"/>
  <c r="U3317" i="11"/>
  <c r="U3294" i="11"/>
  <c r="U3257" i="11"/>
  <c r="U3253" i="11"/>
  <c r="U3224" i="11"/>
  <c r="U3112" i="11"/>
  <c r="U3086" i="11"/>
  <c r="U3067" i="11"/>
  <c r="U3063" i="11"/>
  <c r="U3040" i="11"/>
  <c r="U3006" i="11"/>
  <c r="U2931" i="11"/>
  <c r="U2920" i="11"/>
  <c r="U2886" i="11"/>
  <c r="U2867" i="11"/>
  <c r="U2856" i="11"/>
  <c r="U2822" i="11"/>
  <c r="U2803" i="11"/>
  <c r="U2550" i="11"/>
  <c r="U2523" i="11"/>
  <c r="U2512" i="11"/>
  <c r="U2440" i="11"/>
  <c r="U2414" i="11"/>
  <c r="U2402" i="11"/>
  <c r="U2394" i="11"/>
  <c r="U2299" i="11"/>
  <c r="U2291" i="11"/>
  <c r="U2273" i="11"/>
  <c r="U2219" i="11"/>
  <c r="U2193" i="11"/>
  <c r="U2084" i="11"/>
  <c r="U2065" i="11"/>
  <c r="U1944" i="11"/>
  <c r="U1925" i="11"/>
  <c r="U1185" i="11"/>
  <c r="U1007" i="11"/>
  <c r="U460" i="11"/>
  <c r="U3462" i="11"/>
  <c r="U3358" i="11"/>
  <c r="U3328" i="11"/>
  <c r="U3264" i="11"/>
  <c r="U3249" i="11"/>
  <c r="U3172" i="11"/>
  <c r="U2770" i="11"/>
  <c r="U2766" i="11"/>
  <c r="U2504" i="11"/>
  <c r="U2478" i="11"/>
  <c r="U2390" i="11"/>
  <c r="U2386" i="11"/>
  <c r="U664" i="11"/>
  <c r="U182" i="11"/>
  <c r="U3861" i="11"/>
  <c r="U3853" i="11"/>
  <c r="U3804" i="11"/>
  <c r="U3748" i="11"/>
  <c r="U3676" i="11"/>
  <c r="U3612" i="11"/>
  <c r="U3115" i="11"/>
  <c r="U3043" i="11"/>
  <c r="U3024" i="11"/>
  <c r="U2646" i="11"/>
  <c r="U2568" i="11"/>
  <c r="U2542" i="11"/>
  <c r="U2530" i="11"/>
  <c r="U2378" i="11"/>
  <c r="U2306" i="11"/>
  <c r="U2298" i="11"/>
  <c r="U2147" i="11"/>
  <c r="U2133" i="11"/>
  <c r="U2129" i="11"/>
  <c r="U2068" i="11"/>
  <c r="U2060" i="11"/>
  <c r="U2049" i="11"/>
  <c r="U2045" i="11"/>
  <c r="U1805" i="11"/>
  <c r="U1553" i="11"/>
  <c r="U1549" i="11"/>
  <c r="U1360" i="11"/>
  <c r="U1215" i="11"/>
  <c r="U816" i="11"/>
  <c r="U808" i="11"/>
  <c r="U687" i="11"/>
  <c r="U827" i="11"/>
  <c r="U823" i="11"/>
  <c r="U702" i="11"/>
  <c r="U296" i="11"/>
  <c r="U103" i="11"/>
  <c r="U95" i="11"/>
  <c r="U3660" i="11"/>
  <c r="U3596" i="11"/>
  <c r="U3406" i="11"/>
  <c r="U3353" i="11"/>
  <c r="U3296" i="11"/>
  <c r="U3281" i="11"/>
  <c r="U3270" i="11"/>
  <c r="U3241" i="11"/>
  <c r="U3237" i="11"/>
  <c r="U3222" i="11"/>
  <c r="U3182" i="11"/>
  <c r="U3114" i="11"/>
  <c r="U3107" i="11"/>
  <c r="U3096" i="11"/>
  <c r="U3046" i="11"/>
  <c r="U3019" i="11"/>
  <c r="U3008" i="11"/>
  <c r="U3000" i="11"/>
  <c r="U2918" i="11"/>
  <c r="U2899" i="11"/>
  <c r="U2888" i="11"/>
  <c r="U2854" i="11"/>
  <c r="U2835" i="11"/>
  <c r="U2824" i="11"/>
  <c r="U2786" i="11"/>
  <c r="U2746" i="11"/>
  <c r="U2742" i="11"/>
  <c r="U2634" i="11"/>
  <c r="U2491" i="11"/>
  <c r="U2480" i="11"/>
  <c r="U2446" i="11"/>
  <c r="U2434" i="11"/>
  <c r="U2408" i="11"/>
  <c r="U2305" i="11"/>
  <c r="U2267" i="11"/>
  <c r="U2259" i="11"/>
  <c r="U2188" i="11"/>
  <c r="U2146" i="11"/>
  <c r="U2108" i="11"/>
  <c r="U2100" i="11"/>
  <c r="U2089" i="11"/>
  <c r="U1993" i="11"/>
  <c r="U1873" i="11"/>
  <c r="U1087" i="11"/>
  <c r="U416" i="11"/>
  <c r="U215" i="11"/>
  <c r="U1816" i="11"/>
  <c r="U1812" i="11"/>
  <c r="U1797" i="11"/>
  <c r="U1733" i="11"/>
  <c r="U1725" i="11"/>
  <c r="U1465" i="11"/>
  <c r="U1423" i="11"/>
  <c r="U1367" i="11"/>
  <c r="U1296" i="11"/>
  <c r="U1256" i="11"/>
  <c r="U1248" i="11"/>
  <c r="U1151" i="11"/>
  <c r="U1121" i="11"/>
  <c r="U1083" i="11"/>
  <c r="U927" i="11"/>
  <c r="U875" i="11"/>
  <c r="U871" i="11"/>
  <c r="U800" i="11"/>
  <c r="U782" i="11"/>
  <c r="U759" i="11"/>
  <c r="U736" i="11"/>
  <c r="U694" i="11"/>
  <c r="U649" i="11"/>
  <c r="U485" i="11"/>
  <c r="U456" i="11"/>
  <c r="U452" i="11"/>
  <c r="U352" i="11"/>
  <c r="U248" i="11"/>
  <c r="U200" i="11"/>
  <c r="U167" i="11"/>
  <c r="U79" i="11"/>
  <c r="U8" i="11"/>
  <c r="U1985" i="11"/>
  <c r="U1932" i="11"/>
  <c r="U1917" i="11"/>
  <c r="U1872" i="11"/>
  <c r="U1857" i="11"/>
  <c r="U1804" i="11"/>
  <c r="U1789" i="11"/>
  <c r="U1740" i="11"/>
  <c r="U1721" i="11"/>
  <c r="U1717" i="11"/>
  <c r="U1694" i="11"/>
  <c r="U1686" i="11"/>
  <c r="U1510" i="11"/>
  <c r="U1502" i="11"/>
  <c r="U1359" i="11"/>
  <c r="U1303" i="11"/>
  <c r="U1232" i="11"/>
  <c r="U1192" i="11"/>
  <c r="U1184" i="11"/>
  <c r="U1098" i="11"/>
  <c r="U991" i="11"/>
  <c r="U976" i="11"/>
  <c r="U882" i="11"/>
  <c r="U819" i="11"/>
  <c r="U815" i="11"/>
  <c r="U811" i="11"/>
  <c r="U807" i="11"/>
  <c r="U766" i="11"/>
  <c r="U751" i="11"/>
  <c r="U743" i="11"/>
  <c r="U732" i="11"/>
  <c r="U686" i="11"/>
  <c r="U670" i="11"/>
  <c r="U641" i="11"/>
  <c r="U612" i="11"/>
  <c r="U591" i="11"/>
  <c r="U556" i="11"/>
  <c r="U518" i="11"/>
  <c r="U492" i="11"/>
  <c r="U444" i="11"/>
  <c r="U366" i="11"/>
  <c r="U310" i="11"/>
  <c r="U295" i="11"/>
  <c r="U284" i="11"/>
  <c r="U214" i="11"/>
  <c r="U86" i="11"/>
  <c r="U39" i="11"/>
  <c r="U1981" i="11"/>
  <c r="U1964" i="11"/>
  <c r="U1924" i="11"/>
  <c r="U1920" i="11"/>
  <c r="U1913" i="11"/>
  <c r="U1071" i="11"/>
  <c r="U1067" i="11"/>
  <c r="U1063" i="11"/>
  <c r="U1059" i="11"/>
  <c r="U1043" i="11"/>
  <c r="U983" i="11"/>
  <c r="U832" i="11"/>
  <c r="U750" i="11"/>
  <c r="U727" i="11"/>
  <c r="U704" i="11"/>
  <c r="U673" i="11"/>
  <c r="U669" i="11"/>
  <c r="U590" i="11"/>
  <c r="U480" i="11"/>
  <c r="U432" i="11"/>
  <c r="U388" i="11"/>
  <c r="U294" i="11"/>
  <c r="U228" i="11"/>
  <c r="U184" i="11"/>
  <c r="U2253" i="11"/>
  <c r="U2249" i="11"/>
  <c r="U2242" i="11"/>
  <c r="U2234" i="11"/>
  <c r="U2211" i="11"/>
  <c r="U2172" i="11"/>
  <c r="U2153" i="11"/>
  <c r="U2107" i="11"/>
  <c r="U2099" i="11"/>
  <c r="U2067" i="11"/>
  <c r="U2059" i="11"/>
  <c r="U2041" i="11"/>
  <c r="U2021" i="11"/>
  <c r="U1987" i="11"/>
  <c r="U1949" i="11"/>
  <c r="U1912" i="11"/>
  <c r="U1897" i="11"/>
  <c r="U1848" i="11"/>
  <c r="U1833" i="11"/>
  <c r="U1784" i="11"/>
  <c r="U1780" i="11"/>
  <c r="U1765" i="11"/>
  <c r="U1757" i="11"/>
  <c r="U1708" i="11"/>
  <c r="U1535" i="11"/>
  <c r="U1407" i="11"/>
  <c r="U1377" i="11"/>
  <c r="U1329" i="11"/>
  <c r="U1273" i="11"/>
  <c r="U1167" i="11"/>
  <c r="U1039" i="11"/>
  <c r="U1035" i="11"/>
  <c r="U1031" i="11"/>
  <c r="U963" i="11"/>
  <c r="U959" i="11"/>
  <c r="U891" i="11"/>
  <c r="U887" i="11"/>
  <c r="U880" i="11"/>
  <c r="U768" i="11"/>
  <c r="U726" i="11"/>
  <c r="U688" i="11"/>
  <c r="U680" i="11"/>
  <c r="U672" i="11"/>
  <c r="U639" i="11"/>
  <c r="U607" i="11"/>
  <c r="U600" i="11"/>
  <c r="U558" i="11"/>
  <c r="U550" i="11"/>
  <c r="U520" i="11"/>
  <c r="U516" i="11"/>
  <c r="U383" i="11"/>
  <c r="U368" i="11"/>
  <c r="U312" i="11"/>
  <c r="U264" i="11"/>
  <c r="U216" i="11"/>
  <c r="U183" i="11"/>
  <c r="U96" i="11"/>
  <c r="U4940" i="11"/>
  <c r="U4801" i="11"/>
  <c r="U4700" i="11"/>
  <c r="U4696" i="11"/>
  <c r="U4672" i="11"/>
  <c r="U4608" i="11"/>
  <c r="U4544" i="11"/>
  <c r="U4530" i="11"/>
  <c r="U4515" i="11"/>
  <c r="U4508" i="11"/>
  <c r="U4501" i="11"/>
  <c r="U4490" i="11"/>
  <c r="U4483" i="11"/>
  <c r="U4476" i="11"/>
  <c r="U4469" i="11"/>
  <c r="U4458" i="11"/>
  <c r="U4451" i="11"/>
  <c r="U4444" i="11"/>
  <c r="U4427" i="11"/>
  <c r="U4410" i="11"/>
  <c r="U4397" i="11"/>
  <c r="U4380" i="11"/>
  <c r="U4363" i="11"/>
  <c r="U4346" i="11"/>
  <c r="U4333" i="11"/>
  <c r="U4316" i="11"/>
  <c r="U4299" i="11"/>
  <c r="U4282" i="11"/>
  <c r="U4269" i="11"/>
  <c r="U4252" i="11"/>
  <c r="U4235" i="11"/>
  <c r="U4865" i="11"/>
  <c r="U4833" i="11"/>
  <c r="U4744" i="11"/>
  <c r="U4720" i="11"/>
  <c r="U4713" i="11"/>
  <c r="U4706" i="11"/>
  <c r="U4682" i="11"/>
  <c r="U4665" i="11"/>
  <c r="U4658" i="11"/>
  <c r="U4652" i="11"/>
  <c r="U4648" i="11"/>
  <c r="U4635" i="11"/>
  <c r="U4628" i="11"/>
  <c r="U4618" i="11"/>
  <c r="U4601" i="11"/>
  <c r="U4594" i="11"/>
  <c r="U4588" i="11"/>
  <c r="U4584" i="11"/>
  <c r="U4571" i="11"/>
  <c r="U4564" i="11"/>
  <c r="U4554" i="11"/>
  <c r="U4537" i="11"/>
  <c r="U4522" i="11"/>
  <c r="U4504" i="11"/>
  <c r="U4472" i="11"/>
  <c r="U4437" i="11"/>
  <c r="U4420" i="11"/>
  <c r="U4403" i="11"/>
  <c r="U4386" i="11"/>
  <c r="U4373" i="11"/>
  <c r="U4356" i="11"/>
  <c r="U4339" i="11"/>
  <c r="U4322" i="11"/>
  <c r="U4309" i="11"/>
  <c r="U4292" i="11"/>
  <c r="U4275" i="11"/>
  <c r="U4258" i="11"/>
  <c r="U4245" i="11"/>
  <c r="U4228" i="11"/>
  <c r="U4221" i="11"/>
  <c r="U4178" i="11"/>
  <c r="U4157" i="11"/>
  <c r="U4153" i="11"/>
  <c r="U4149" i="11"/>
  <c r="U4145" i="11"/>
  <c r="U4026" i="11"/>
  <c r="U4022" i="11"/>
  <c r="U4018" i="11"/>
  <c r="U5000" i="11"/>
  <c r="U4986" i="11"/>
  <c r="U4872" i="11"/>
  <c r="U4858" i="11"/>
  <c r="U4840" i="11"/>
  <c r="U4794" i="11"/>
  <c r="U4992" i="11"/>
  <c r="U4989" i="11"/>
  <c r="U4978" i="11"/>
  <c r="U4960" i="11"/>
  <c r="U4928" i="11"/>
  <c r="U4925" i="11"/>
  <c r="U4914" i="11"/>
  <c r="U4900" i="11"/>
  <c r="U4896" i="11"/>
  <c r="U4889" i="11"/>
  <c r="U4882" i="11"/>
  <c r="U4868" i="11"/>
  <c r="U4864" i="11"/>
  <c r="U4857" i="11"/>
  <c r="U4850" i="11"/>
  <c r="U4836" i="11"/>
  <c r="U4832" i="11"/>
  <c r="U4825" i="11"/>
  <c r="U4818" i="11"/>
  <c r="U4804" i="11"/>
  <c r="U4800" i="11"/>
  <c r="U4793" i="11"/>
  <c r="U4786" i="11"/>
  <c r="U4772" i="11"/>
  <c r="U4768" i="11"/>
  <c r="U4761" i="11"/>
  <c r="U4754" i="11"/>
  <c r="U4730" i="11"/>
  <c r="U4692" i="11"/>
  <c r="U4624" i="11"/>
  <c r="U4560" i="11"/>
  <c r="U4533" i="11"/>
  <c r="U4529" i="11"/>
  <c r="U4514" i="11"/>
  <c r="U4507" i="11"/>
  <c r="U4500" i="11"/>
  <c r="U4493" i="11"/>
  <c r="U4482" i="11"/>
  <c r="U4475" i="11"/>
  <c r="U4468" i="11"/>
  <c r="U4461" i="11"/>
  <c r="U4450" i="11"/>
  <c r="U4443" i="11"/>
  <c r="U4426" i="11"/>
  <c r="U4413" i="11"/>
  <c r="U4396" i="11"/>
  <c r="U4379" i="11"/>
  <c r="U4362" i="11"/>
  <c r="U4349" i="11"/>
  <c r="U4332" i="11"/>
  <c r="U4315" i="11"/>
  <c r="U4298" i="11"/>
  <c r="U4285" i="11"/>
  <c r="U4268" i="11"/>
  <c r="U4251" i="11"/>
  <c r="U4234" i="11"/>
  <c r="U4195" i="11"/>
  <c r="U4188" i="11"/>
  <c r="U4171" i="11"/>
  <c r="U4164" i="11"/>
  <c r="U4033" i="11"/>
  <c r="U4029" i="11"/>
  <c r="U4826" i="11"/>
  <c r="U4953" i="11"/>
  <c r="U4740" i="11"/>
  <c r="U4716" i="11"/>
  <c r="U4712" i="11"/>
  <c r="U4688" i="11"/>
  <c r="U4681" i="11"/>
  <c r="U4674" i="11"/>
  <c r="U4668" i="11"/>
  <c r="U4664" i="11"/>
  <c r="U4651" i="11"/>
  <c r="U4644" i="11"/>
  <c r="U4634" i="11"/>
  <c r="U4617" i="11"/>
  <c r="U4610" i="11"/>
  <c r="U4604" i="11"/>
  <c r="U4600" i="11"/>
  <c r="U4570" i="11"/>
  <c r="U4553" i="11"/>
  <c r="U4546" i="11"/>
  <c r="U4540" i="11"/>
  <c r="U4536" i="11"/>
  <c r="U4496" i="11"/>
  <c r="U4464" i="11"/>
  <c r="U4436" i="11"/>
  <c r="U4419" i="11"/>
  <c r="U4402" i="11"/>
  <c r="U4389" i="11"/>
  <c r="U4372" i="11"/>
  <c r="U4355" i="11"/>
  <c r="U4338" i="11"/>
  <c r="U4325" i="11"/>
  <c r="U4308" i="11"/>
  <c r="U4291" i="11"/>
  <c r="U4274" i="11"/>
  <c r="U4261" i="11"/>
  <c r="U4244" i="11"/>
  <c r="U4181" i="11"/>
  <c r="U4044" i="11"/>
  <c r="U4040" i="11"/>
  <c r="U4936" i="11"/>
  <c r="U4808" i="11"/>
  <c r="U4932" i="11"/>
  <c r="U4963" i="11"/>
  <c r="U4981" i="11"/>
  <c r="U4977" i="11"/>
  <c r="U4970" i="11"/>
  <c r="U4938" i="11"/>
  <c r="U4917" i="11"/>
  <c r="U4913" i="11"/>
  <c r="U4906" i="11"/>
  <c r="U4888" i="11"/>
  <c r="U4881" i="11"/>
  <c r="U4874" i="11"/>
  <c r="U4856" i="11"/>
  <c r="U4849" i="11"/>
  <c r="U4842" i="11"/>
  <c r="U4824" i="11"/>
  <c r="U4817" i="11"/>
  <c r="U4810" i="11"/>
  <c r="U4792" i="11"/>
  <c r="U4785" i="11"/>
  <c r="U4778" i="11"/>
  <c r="U4760" i="11"/>
  <c r="U4736" i="11"/>
  <c r="U4729" i="11"/>
  <c r="U4722" i="11"/>
  <c r="U4698" i="11"/>
  <c r="U4640" i="11"/>
  <c r="U4576" i="11"/>
  <c r="U4532" i="11"/>
  <c r="U4528" i="11"/>
  <c r="U4517" i="11"/>
  <c r="U4506" i="11"/>
  <c r="U4499" i="11"/>
  <c r="U4492" i="11"/>
  <c r="U4485" i="11"/>
  <c r="U4474" i="11"/>
  <c r="U4467" i="11"/>
  <c r="U4460" i="11"/>
  <c r="U4453" i="11"/>
  <c r="U4442" i="11"/>
  <c r="U4429" i="11"/>
  <c r="U4412" i="11"/>
  <c r="U4395" i="11"/>
  <c r="U4378" i="11"/>
  <c r="U4331" i="11"/>
  <c r="U4314" i="11"/>
  <c r="U4284" i="11"/>
  <c r="U4267" i="11"/>
  <c r="U4250" i="11"/>
  <c r="U4237" i="11"/>
  <c r="U4205" i="11"/>
  <c r="U4194" i="11"/>
  <c r="U4187" i="11"/>
  <c r="U4070" i="11"/>
  <c r="U4066" i="11"/>
  <c r="U4062" i="11"/>
  <c r="U4979" i="11"/>
  <c r="U4968" i="11"/>
  <c r="U4776" i="11"/>
  <c r="U4769" i="11"/>
  <c r="U4762" i="11"/>
  <c r="U4724" i="11"/>
  <c r="U4957" i="11"/>
  <c r="U4946" i="11"/>
  <c r="U4746" i="11"/>
  <c r="U4708" i="11"/>
  <c r="U4684" i="11"/>
  <c r="U4680" i="11"/>
  <c r="U4667" i="11"/>
  <c r="U4660" i="11"/>
  <c r="U4650" i="11"/>
  <c r="U4633" i="11"/>
  <c r="U4626" i="11"/>
  <c r="U4620" i="11"/>
  <c r="U4616" i="11"/>
  <c r="U4603" i="11"/>
  <c r="U4596" i="11"/>
  <c r="U4586" i="11"/>
  <c r="U4569" i="11"/>
  <c r="U4562" i="11"/>
  <c r="U4556" i="11"/>
  <c r="U4552" i="11"/>
  <c r="U4456" i="11"/>
  <c r="U4435" i="11"/>
  <c r="U4418" i="11"/>
  <c r="U4388" i="11"/>
  <c r="U4371" i="11"/>
  <c r="U4354" i="11"/>
  <c r="U4341" i="11"/>
  <c r="U4324" i="11"/>
  <c r="U4307" i="11"/>
  <c r="U4290" i="11"/>
  <c r="U4243" i="11"/>
  <c r="U3982" i="11"/>
  <c r="U4922" i="11"/>
  <c r="U4915" i="11"/>
  <c r="U4904" i="11"/>
  <c r="U4897" i="11"/>
  <c r="U4890" i="11"/>
  <c r="U4964" i="11"/>
  <c r="U4987" i="11"/>
  <c r="U4980" i="11"/>
  <c r="U4976" i="11"/>
  <c r="U4973" i="11"/>
  <c r="U4969" i="11"/>
  <c r="U4944" i="11"/>
  <c r="U4941" i="11"/>
  <c r="U4937" i="11"/>
  <c r="U4923" i="11"/>
  <c r="U4916" i="11"/>
  <c r="U4912" i="11"/>
  <c r="U4909" i="11"/>
  <c r="U4905" i="11"/>
  <c r="U4898" i="11"/>
  <c r="U4884" i="11"/>
  <c r="U4880" i="11"/>
  <c r="U4873" i="11"/>
  <c r="U4866" i="11"/>
  <c r="U4852" i="11"/>
  <c r="U3961" i="11"/>
  <c r="U3957" i="11"/>
  <c r="U3950" i="11"/>
  <c r="U3926" i="11"/>
  <c r="U3877" i="11"/>
  <c r="U3814" i="11"/>
  <c r="U3797" i="11"/>
  <c r="U3790" i="11"/>
  <c r="U3784" i="11"/>
  <c r="U3780" i="11"/>
  <c r="U3750" i="11"/>
  <c r="U3740" i="11"/>
  <c r="U3694" i="11"/>
  <c r="U3688" i="11"/>
  <c r="U3678" i="11"/>
  <c r="U3672" i="11"/>
  <c r="U3662" i="11"/>
  <c r="U3656" i="11"/>
  <c r="U3646" i="11"/>
  <c r="U3640" i="11"/>
  <c r="U3630" i="11"/>
  <c r="U3624" i="11"/>
  <c r="U3614" i="11"/>
  <c r="U3608" i="11"/>
  <c r="U3598" i="11"/>
  <c r="U3592" i="11"/>
  <c r="U3582" i="11"/>
  <c r="U3576" i="11"/>
  <c r="U3566" i="11"/>
  <c r="U3552" i="11"/>
  <c r="U3548" i="11"/>
  <c r="U3520" i="11"/>
  <c r="U3513" i="11"/>
  <c r="U3509" i="11"/>
  <c r="U3480" i="11"/>
  <c r="U3313" i="11"/>
  <c r="U3996" i="11"/>
  <c r="U3985" i="11"/>
  <c r="U3964" i="11"/>
  <c r="U3953" i="11"/>
  <c r="U3922" i="11"/>
  <c r="U3892" i="11"/>
  <c r="U3886" i="11"/>
  <c r="U3880" i="11"/>
  <c r="U3870" i="11"/>
  <c r="U3856" i="11"/>
  <c r="U3756" i="11"/>
  <c r="U3710" i="11"/>
  <c r="U3704" i="11"/>
  <c r="U3684" i="11"/>
  <c r="U3668" i="11"/>
  <c r="U3652" i="11"/>
  <c r="U3636" i="11"/>
  <c r="U3620" i="11"/>
  <c r="U3604" i="11"/>
  <c r="U3588" i="11"/>
  <c r="U3572" i="11"/>
  <c r="U3544" i="11"/>
  <c r="U3537" i="11"/>
  <c r="U3516" i="11"/>
  <c r="U3505" i="11"/>
  <c r="U3476" i="11"/>
  <c r="U3472" i="11"/>
  <c r="U3409" i="11"/>
  <c r="U3143" i="11"/>
  <c r="U3139" i="11"/>
  <c r="U4227" i="11"/>
  <c r="U4210" i="11"/>
  <c r="U4197" i="11"/>
  <c r="U4180" i="11"/>
  <c r="U4163" i="11"/>
  <c r="U4122" i="11"/>
  <c r="U4118" i="11"/>
  <c r="U4114" i="11"/>
  <c r="U4110" i="11"/>
  <c r="U4104" i="11"/>
  <c r="U4076" i="11"/>
  <c r="U4073" i="11"/>
  <c r="U4069" i="11"/>
  <c r="U4065" i="11"/>
  <c r="U4054" i="11"/>
  <c r="U4032" i="11"/>
  <c r="U4025" i="11"/>
  <c r="U4021" i="11"/>
  <c r="U4014" i="11"/>
  <c r="U3992" i="11"/>
  <c r="U3974" i="11"/>
  <c r="U3960" i="11"/>
  <c r="U3932" i="11"/>
  <c r="U3929" i="11"/>
  <c r="U3925" i="11"/>
  <c r="U3918" i="11"/>
  <c r="U3876" i="11"/>
  <c r="U3866" i="11"/>
  <c r="U3838" i="11"/>
  <c r="U3813" i="11"/>
  <c r="U3806" i="11"/>
  <c r="U3800" i="11"/>
  <c r="U3796" i="11"/>
  <c r="U3766" i="11"/>
  <c r="U3726" i="11"/>
  <c r="U3720" i="11"/>
  <c r="U3700" i="11"/>
  <c r="U3540" i="11"/>
  <c r="U3526" i="11"/>
  <c r="U3512" i="11"/>
  <c r="U3508" i="11"/>
  <c r="U3494" i="11"/>
  <c r="U3216" i="11"/>
  <c r="U3772" i="11"/>
  <c r="U3742" i="11"/>
  <c r="U3736" i="11"/>
  <c r="U3716" i="11"/>
  <c r="U3558" i="11"/>
  <c r="U3536" i="11"/>
  <c r="U3504" i="11"/>
  <c r="U3486" i="11"/>
  <c r="U3345" i="11"/>
  <c r="U3256" i="11"/>
  <c r="U3238" i="11"/>
  <c r="U3156" i="11"/>
  <c r="U4226" i="11"/>
  <c r="U4213" i="11"/>
  <c r="U4196" i="11"/>
  <c r="U4179" i="11"/>
  <c r="U4162" i="11"/>
  <c r="U4140" i="11"/>
  <c r="U4125" i="11"/>
  <c r="U4121" i="11"/>
  <c r="U4117" i="11"/>
  <c r="U4113" i="11"/>
  <c r="U4072" i="11"/>
  <c r="U4068" i="11"/>
  <c r="U4057" i="11"/>
  <c r="U4053" i="11"/>
  <c r="U4046" i="11"/>
  <c r="U4024" i="11"/>
  <c r="U4013" i="11"/>
  <c r="U4002" i="11"/>
  <c r="U3977" i="11"/>
  <c r="U3973" i="11"/>
  <c r="U3966" i="11"/>
  <c r="U3938" i="11"/>
  <c r="U3928" i="11"/>
  <c r="U3917" i="11"/>
  <c r="U3910" i="11"/>
  <c r="U3894" i="11"/>
  <c r="U3872" i="11"/>
  <c r="U3858" i="11"/>
  <c r="U3828" i="11"/>
  <c r="U3822" i="11"/>
  <c r="U3816" i="11"/>
  <c r="U3812" i="11"/>
  <c r="U3782" i="11"/>
  <c r="U3765" i="11"/>
  <c r="U3758" i="11"/>
  <c r="U3752" i="11"/>
  <c r="U3732" i="11"/>
  <c r="U3686" i="11"/>
  <c r="U3670" i="11"/>
  <c r="U3654" i="11"/>
  <c r="U3648" i="11"/>
  <c r="U3638" i="11"/>
  <c r="U3632" i="11"/>
  <c r="U3622" i="11"/>
  <c r="U3616" i="11"/>
  <c r="U3606" i="11"/>
  <c r="U3600" i="11"/>
  <c r="U3590" i="11"/>
  <c r="U3584" i="11"/>
  <c r="U3574" i="11"/>
  <c r="U3568" i="11"/>
  <c r="U3550" i="11"/>
  <c r="U3532" i="11"/>
  <c r="U3529" i="11"/>
  <c r="U3525" i="11"/>
  <c r="U3518" i="11"/>
  <c r="U3500" i="11"/>
  <c r="U3497" i="11"/>
  <c r="U3493" i="11"/>
  <c r="U3438" i="11"/>
  <c r="U3352" i="11"/>
  <c r="U3175" i="11"/>
  <c r="U3171" i="11"/>
  <c r="U4165" i="11"/>
  <c r="U4116" i="11"/>
  <c r="U4112" i="11"/>
  <c r="U4060" i="11"/>
  <c r="U4045" i="11"/>
  <c r="U4034" i="11"/>
  <c r="U4012" i="11"/>
  <c r="U4001" i="11"/>
  <c r="U3990" i="11"/>
  <c r="U3976" i="11"/>
  <c r="U3958" i="11"/>
  <c r="U3937" i="11"/>
  <c r="U3920" i="11"/>
  <c r="U3884" i="11"/>
  <c r="U3878" i="11"/>
  <c r="U3850" i="11"/>
  <c r="U3798" i="11"/>
  <c r="U3781" i="11"/>
  <c r="U3774" i="11"/>
  <c r="U3768" i="11"/>
  <c r="U3764" i="11"/>
  <c r="U3718" i="11"/>
  <c r="U3708" i="11"/>
  <c r="U3553" i="11"/>
  <c r="U3549" i="11"/>
  <c r="U3528" i="11"/>
  <c r="U3524" i="11"/>
  <c r="U3521" i="11"/>
  <c r="U3510" i="11"/>
  <c r="U3496" i="11"/>
  <c r="U3492" i="11"/>
  <c r="U3481" i="11"/>
  <c r="U3456" i="11"/>
  <c r="U3449" i="11"/>
  <c r="U3445" i="11"/>
  <c r="U3385" i="11"/>
  <c r="U3381" i="11"/>
  <c r="U3377" i="11"/>
  <c r="U3188" i="11"/>
  <c r="U3088" i="11"/>
  <c r="U3035" i="11"/>
  <c r="U3031" i="11"/>
  <c r="U3016" i="11"/>
  <c r="U2998" i="11"/>
  <c r="U2995" i="11"/>
  <c r="U2984" i="11"/>
  <c r="U2974" i="11"/>
  <c r="U2963" i="11"/>
  <c r="U2959" i="11"/>
  <c r="U2934" i="11"/>
  <c r="U2902" i="11"/>
  <c r="U2870" i="11"/>
  <c r="U2838" i="11"/>
  <c r="U2806" i="11"/>
  <c r="U2792" i="11"/>
  <c r="U2782" i="11"/>
  <c r="U2762" i="11"/>
  <c r="U2728" i="11"/>
  <c r="U2714" i="11"/>
  <c r="U2610" i="11"/>
  <c r="U3452" i="11"/>
  <c r="U3441" i="11"/>
  <c r="U3412" i="11"/>
  <c r="U3398" i="11"/>
  <c r="U3384" i="11"/>
  <c r="U3380" i="11"/>
  <c r="U3366" i="11"/>
  <c r="U3334" i="11"/>
  <c r="U3320" i="11"/>
  <c r="U3302" i="11"/>
  <c r="U3280" i="11"/>
  <c r="U3248" i="11"/>
  <c r="U3230" i="11"/>
  <c r="U3209" i="11"/>
  <c r="U3202" i="11"/>
  <c r="U3195" i="11"/>
  <c r="U3191" i="11"/>
  <c r="U3163" i="11"/>
  <c r="U3159" i="11"/>
  <c r="U3131" i="11"/>
  <c r="U3127" i="11"/>
  <c r="U3123" i="11"/>
  <c r="U3099" i="11"/>
  <c r="U3095" i="11"/>
  <c r="U3080" i="11"/>
  <c r="U3062" i="11"/>
  <c r="U3059" i="11"/>
  <c r="U3048" i="11"/>
  <c r="U3038" i="11"/>
  <c r="U3027" i="11"/>
  <c r="U3023" i="11"/>
  <c r="U2970" i="11"/>
  <c r="U2966" i="11"/>
  <c r="U2955" i="11"/>
  <c r="U2944" i="11"/>
  <c r="U2930" i="11"/>
  <c r="U2923" i="11"/>
  <c r="U2912" i="11"/>
  <c r="U2898" i="11"/>
  <c r="U2891" i="11"/>
  <c r="U2880" i="11"/>
  <c r="U2866" i="11"/>
  <c r="U2859" i="11"/>
  <c r="U2848" i="11"/>
  <c r="U2834" i="11"/>
  <c r="U2827" i="11"/>
  <c r="U2816" i="11"/>
  <c r="U2802" i="11"/>
  <c r="U2768" i="11"/>
  <c r="U2758" i="11"/>
  <c r="U2738" i="11"/>
  <c r="U2710" i="11"/>
  <c r="U2630" i="11"/>
  <c r="U2345" i="11"/>
  <c r="U2338" i="11"/>
  <c r="U2798" i="11"/>
  <c r="U2744" i="11"/>
  <c r="U2734" i="11"/>
  <c r="U2640" i="11"/>
  <c r="U3440" i="11"/>
  <c r="U3422" i="11"/>
  <c r="U3404" i="11"/>
  <c r="U3401" i="11"/>
  <c r="U3397" i="11"/>
  <c r="U3390" i="11"/>
  <c r="U3372" i="11"/>
  <c r="U3369" i="11"/>
  <c r="U3365" i="11"/>
  <c r="U3337" i="11"/>
  <c r="U3333" i="11"/>
  <c r="U3326" i="11"/>
  <c r="U3305" i="11"/>
  <c r="U3301" i="11"/>
  <c r="U3286" i="11"/>
  <c r="U3233" i="11"/>
  <c r="U3229" i="11"/>
  <c r="U3208" i="11"/>
  <c r="U3198" i="11"/>
  <c r="U3194" i="11"/>
  <c r="U3166" i="11"/>
  <c r="U3162" i="11"/>
  <c r="U3134" i="11"/>
  <c r="U3130" i="11"/>
  <c r="U3126" i="11"/>
  <c r="U3098" i="11"/>
  <c r="U3094" i="11"/>
  <c r="U3083" i="11"/>
  <c r="U3072" i="11"/>
  <c r="U3058" i="11"/>
  <c r="U3051" i="11"/>
  <c r="U3022" i="11"/>
  <c r="U2990" i="11"/>
  <c r="U2976" i="11"/>
  <c r="U2947" i="11"/>
  <c r="U2943" i="11"/>
  <c r="U2936" i="11"/>
  <c r="U2922" i="11"/>
  <c r="U2915" i="11"/>
  <c r="U2904" i="11"/>
  <c r="U2890" i="11"/>
  <c r="U2883" i="11"/>
  <c r="U2872" i="11"/>
  <c r="U2858" i="11"/>
  <c r="U2851" i="11"/>
  <c r="U2840" i="11"/>
  <c r="U2826" i="11"/>
  <c r="U2819" i="11"/>
  <c r="U2808" i="11"/>
  <c r="U2784" i="11"/>
  <c r="U2774" i="11"/>
  <c r="U2754" i="11"/>
  <c r="U2720" i="11"/>
  <c r="U2582" i="11"/>
  <c r="U2518" i="11"/>
  <c r="U2454" i="11"/>
  <c r="U2356" i="11"/>
  <c r="U3468" i="11"/>
  <c r="U3465" i="11"/>
  <c r="U3461" i="11"/>
  <c r="U3454" i="11"/>
  <c r="U3436" i="11"/>
  <c r="U3433" i="11"/>
  <c r="U3429" i="11"/>
  <c r="U3414" i="11"/>
  <c r="U3361" i="11"/>
  <c r="U3357" i="11"/>
  <c r="U3350" i="11"/>
  <c r="U3297" i="11"/>
  <c r="U3293" i="11"/>
  <c r="U3272" i="11"/>
  <c r="U2794" i="11"/>
  <c r="U2760" i="11"/>
  <c r="U2750" i="11"/>
  <c r="U2730" i="11"/>
  <c r="U2674" i="11"/>
  <c r="U2670" i="11"/>
  <c r="U3425" i="11"/>
  <c r="U3421" i="11"/>
  <c r="U3400" i="11"/>
  <c r="U3396" i="11"/>
  <c r="U3393" i="11"/>
  <c r="U3382" i="11"/>
  <c r="U3368" i="11"/>
  <c r="U3364" i="11"/>
  <c r="U3336" i="11"/>
  <c r="U3329" i="11"/>
  <c r="U3318" i="11"/>
  <c r="U3304" i="11"/>
  <c r="U3289" i="11"/>
  <c r="U3278" i="11"/>
  <c r="U3246" i="11"/>
  <c r="U3232" i="11"/>
  <c r="U3186" i="11"/>
  <c r="U3154" i="11"/>
  <c r="U3118" i="11"/>
  <c r="U3104" i="11"/>
  <c r="U3075" i="11"/>
  <c r="U3071" i="11"/>
  <c r="U3064" i="11"/>
  <c r="U3050" i="11"/>
  <c r="U3014" i="11"/>
  <c r="U2982" i="11"/>
  <c r="U2979" i="11"/>
  <c r="U2968" i="11"/>
  <c r="U2942" i="11"/>
  <c r="U2939" i="11"/>
  <c r="U2928" i="11"/>
  <c r="U2914" i="11"/>
  <c r="U2907" i="11"/>
  <c r="U2896" i="11"/>
  <c r="U2882" i="11"/>
  <c r="U2875" i="11"/>
  <c r="U2864" i="11"/>
  <c r="U2850" i="11"/>
  <c r="U2843" i="11"/>
  <c r="U2832" i="11"/>
  <c r="U2811" i="11"/>
  <c r="U2736" i="11"/>
  <c r="U2694" i="11"/>
  <c r="U2317" i="11"/>
  <c r="U2313" i="11"/>
  <c r="U2650" i="11"/>
  <c r="U2616" i="11"/>
  <c r="U2606" i="11"/>
  <c r="U2592" i="11"/>
  <c r="U2578" i="11"/>
  <c r="U2571" i="11"/>
  <c r="U2560" i="11"/>
  <c r="U2546" i="11"/>
  <c r="U2539" i="11"/>
  <c r="U2528" i="11"/>
  <c r="U2514" i="11"/>
  <c r="U2507" i="11"/>
  <c r="U2496" i="11"/>
  <c r="U2482" i="11"/>
  <c r="U2475" i="11"/>
  <c r="U2464" i="11"/>
  <c r="U2450" i="11"/>
  <c r="U2443" i="11"/>
  <c r="U2432" i="11"/>
  <c r="U2418" i="11"/>
  <c r="U2411" i="11"/>
  <c r="U2400" i="11"/>
  <c r="U2366" i="11"/>
  <c r="U2362" i="11"/>
  <c r="U2204" i="11"/>
  <c r="U2187" i="11"/>
  <c r="U2140" i="11"/>
  <c r="U2123" i="11"/>
  <c r="U2093" i="11"/>
  <c r="U2083" i="11"/>
  <c r="U2073" i="11"/>
  <c r="U2053" i="11"/>
  <c r="U2036" i="11"/>
  <c r="U2019" i="11"/>
  <c r="U2009" i="11"/>
  <c r="U1989" i="11"/>
  <c r="U1972" i="11"/>
  <c r="U1948" i="11"/>
  <c r="U1941" i="11"/>
  <c r="U1916" i="11"/>
  <c r="U1909" i="11"/>
  <c r="U1884" i="11"/>
  <c r="U1877" i="11"/>
  <c r="U1852" i="11"/>
  <c r="U1845" i="11"/>
  <c r="U1820" i="11"/>
  <c r="U1809" i="11"/>
  <c r="U1728" i="11"/>
  <c r="U1724" i="11"/>
  <c r="U1682" i="11"/>
  <c r="U2696" i="11"/>
  <c r="U2686" i="11"/>
  <c r="U2666" i="11"/>
  <c r="U2632" i="11"/>
  <c r="U2622" i="11"/>
  <c r="U2602" i="11"/>
  <c r="U2595" i="11"/>
  <c r="U2584" i="11"/>
  <c r="U2570" i="11"/>
  <c r="U2563" i="11"/>
  <c r="U2552" i="11"/>
  <c r="U2538" i="11"/>
  <c r="U2531" i="11"/>
  <c r="U2520" i="11"/>
  <c r="U2506" i="11"/>
  <c r="U2499" i="11"/>
  <c r="U2488" i="11"/>
  <c r="U2474" i="11"/>
  <c r="U2467" i="11"/>
  <c r="U2456" i="11"/>
  <c r="U2442" i="11"/>
  <c r="U2435" i="11"/>
  <c r="U2424" i="11"/>
  <c r="U2410" i="11"/>
  <c r="U2403" i="11"/>
  <c r="U2372" i="11"/>
  <c r="U2369" i="11"/>
  <c r="U2365" i="11"/>
  <c r="U2220" i="11"/>
  <c r="U2203" i="11"/>
  <c r="U2156" i="11"/>
  <c r="U2139" i="11"/>
  <c r="U2109" i="11"/>
  <c r="U2092" i="11"/>
  <c r="U2069" i="11"/>
  <c r="U2052" i="11"/>
  <c r="U2035" i="11"/>
  <c r="U2025" i="11"/>
  <c r="U2005" i="11"/>
  <c r="U1988" i="11"/>
  <c r="U1971" i="11"/>
  <c r="U1961" i="11"/>
  <c r="U1940" i="11"/>
  <c r="U1933" i="11"/>
  <c r="U1908" i="11"/>
  <c r="U1901" i="11"/>
  <c r="U1876" i="11"/>
  <c r="U1869" i="11"/>
  <c r="U1844" i="11"/>
  <c r="U1837" i="11"/>
  <c r="U1753" i="11"/>
  <c r="U1749" i="11"/>
  <c r="U2726" i="11"/>
  <c r="U2706" i="11"/>
  <c r="U2672" i="11"/>
  <c r="U2662" i="11"/>
  <c r="U2642" i="11"/>
  <c r="U2608" i="11"/>
  <c r="U2598" i="11"/>
  <c r="U2566" i="11"/>
  <c r="U2534" i="11"/>
  <c r="U2502" i="11"/>
  <c r="U2470" i="11"/>
  <c r="U2438" i="11"/>
  <c r="U2406" i="11"/>
  <c r="U2389" i="11"/>
  <c r="U2358" i="11"/>
  <c r="U2354" i="11"/>
  <c r="U2333" i="11"/>
  <c r="U2329" i="11"/>
  <c r="U2322" i="11"/>
  <c r="U2315" i="11"/>
  <c r="U2301" i="11"/>
  <c r="U2297" i="11"/>
  <c r="U2290" i="11"/>
  <c r="U2283" i="11"/>
  <c r="U2269" i="11"/>
  <c r="U2265" i="11"/>
  <c r="U2258" i="11"/>
  <c r="U2251" i="11"/>
  <c r="U2233" i="11"/>
  <c r="U2226" i="11"/>
  <c r="U2209" i="11"/>
  <c r="U2179" i="11"/>
  <c r="U2169" i="11"/>
  <c r="U2162" i="11"/>
  <c r="U2145" i="11"/>
  <c r="U2105" i="11"/>
  <c r="U1893" i="11"/>
  <c r="U1868" i="11"/>
  <c r="U1861" i="11"/>
  <c r="U1836" i="11"/>
  <c r="U1829" i="11"/>
  <c r="U1752" i="11"/>
  <c r="U2688" i="11"/>
  <c r="U2678" i="11"/>
  <c r="U2658" i="11"/>
  <c r="U2624" i="11"/>
  <c r="U2614" i="11"/>
  <c r="U2590" i="11"/>
  <c r="U2558" i="11"/>
  <c r="U2526" i="11"/>
  <c r="U2494" i="11"/>
  <c r="U2462" i="11"/>
  <c r="U2430" i="11"/>
  <c r="U2398" i="11"/>
  <c r="U2388" i="11"/>
  <c r="U2381" i="11"/>
  <c r="U2357" i="11"/>
  <c r="U2346" i="11"/>
  <c r="U2339" i="11"/>
  <c r="U2321" i="11"/>
  <c r="U2314" i="11"/>
  <c r="U2307" i="11"/>
  <c r="U2289" i="11"/>
  <c r="U2282" i="11"/>
  <c r="U2275" i="11"/>
  <c r="U2257" i="11"/>
  <c r="U2250" i="11"/>
  <c r="U2243" i="11"/>
  <c r="U2225" i="11"/>
  <c r="U2195" i="11"/>
  <c r="U2185" i="11"/>
  <c r="U2178" i="11"/>
  <c r="U2161" i="11"/>
  <c r="U2131" i="11"/>
  <c r="U2121" i="11"/>
  <c r="U2114" i="11"/>
  <c r="U2101" i="11"/>
  <c r="U2097" i="11"/>
  <c r="U2081" i="11"/>
  <c r="U2061" i="11"/>
  <c r="U2044" i="11"/>
  <c r="U2027" i="11"/>
  <c r="U2017" i="11"/>
  <c r="U1997" i="11"/>
  <c r="U1980" i="11"/>
  <c r="U1963" i="11"/>
  <c r="U1953" i="11"/>
  <c r="U1928" i="11"/>
  <c r="U1921" i="11"/>
  <c r="U1896" i="11"/>
  <c r="U1885" i="11"/>
  <c r="U1860" i="11"/>
  <c r="U1853" i="11"/>
  <c r="U1828" i="11"/>
  <c r="U1792" i="11"/>
  <c r="U1788" i="11"/>
  <c r="U1777" i="11"/>
  <c r="U1664" i="11"/>
  <c r="U1641" i="11"/>
  <c r="U1637" i="11"/>
  <c r="U1630" i="11"/>
  <c r="U1623" i="11"/>
  <c r="U1609" i="11"/>
  <c r="U1605" i="11"/>
  <c r="U1598" i="11"/>
  <c r="U1591" i="11"/>
  <c r="U1577" i="11"/>
  <c r="U1573" i="11"/>
  <c r="U1566" i="11"/>
  <c r="U1559" i="11"/>
  <c r="U1541" i="11"/>
  <c r="U1534" i="11"/>
  <c r="U1527" i="11"/>
  <c r="U1496" i="11"/>
  <c r="U1481" i="11"/>
  <c r="U1447" i="11"/>
  <c r="U1417" i="11"/>
  <c r="U1400" i="11"/>
  <c r="U1383" i="11"/>
  <c r="U1353" i="11"/>
  <c r="U1336" i="11"/>
  <c r="U1319" i="11"/>
  <c r="U1289" i="11"/>
  <c r="U1272" i="11"/>
  <c r="U1255" i="11"/>
  <c r="U1225" i="11"/>
  <c r="U1208" i="11"/>
  <c r="U1191" i="11"/>
  <c r="U1161" i="11"/>
  <c r="U1144" i="11"/>
  <c r="U1127" i="11"/>
  <c r="U1101" i="11"/>
  <c r="U1097" i="11"/>
  <c r="U979" i="11"/>
  <c r="U975" i="11"/>
  <c r="U968" i="11"/>
  <c r="U935" i="11"/>
  <c r="U739" i="11"/>
  <c r="U1713" i="11"/>
  <c r="U1657" i="11"/>
  <c r="U1647" i="11"/>
  <c r="U1633" i="11"/>
  <c r="U1629" i="11"/>
  <c r="U1622" i="11"/>
  <c r="U1615" i="11"/>
  <c r="U1601" i="11"/>
  <c r="U1597" i="11"/>
  <c r="U1590" i="11"/>
  <c r="U1583" i="11"/>
  <c r="U1569" i="11"/>
  <c r="U1565" i="11"/>
  <c r="U1558" i="11"/>
  <c r="U1551" i="11"/>
  <c r="U1537" i="11"/>
  <c r="U1533" i="11"/>
  <c r="U1526" i="11"/>
  <c r="U1519" i="11"/>
  <c r="U1495" i="11"/>
  <c r="U1463" i="11"/>
  <c r="U1433" i="11"/>
  <c r="U1416" i="11"/>
  <c r="U1399" i="11"/>
  <c r="U1369" i="11"/>
  <c r="U1352" i="11"/>
  <c r="U1335" i="11"/>
  <c r="U1305" i="11"/>
  <c r="U1288" i="11"/>
  <c r="U1271" i="11"/>
  <c r="U1241" i="11"/>
  <c r="U1224" i="11"/>
  <c r="U1207" i="11"/>
  <c r="U1177" i="11"/>
  <c r="U1160" i="11"/>
  <c r="U1143" i="11"/>
  <c r="U1113" i="11"/>
  <c r="U1100" i="11"/>
  <c r="U1045" i="11"/>
  <c r="U1003" i="11"/>
  <c r="U872" i="11"/>
  <c r="U1748" i="11"/>
  <c r="U1741" i="11"/>
  <c r="U1716" i="11"/>
  <c r="U1709" i="11"/>
  <c r="U1512" i="11"/>
  <c r="U1505" i="11"/>
  <c r="U1501" i="11"/>
  <c r="U1487" i="11"/>
  <c r="U1473" i="11"/>
  <c r="U1456" i="11"/>
  <c r="U1439" i="11"/>
  <c r="U1409" i="11"/>
  <c r="U1392" i="11"/>
  <c r="U1375" i="11"/>
  <c r="U1345" i="11"/>
  <c r="U1328" i="11"/>
  <c r="U1311" i="11"/>
  <c r="U1281" i="11"/>
  <c r="U1264" i="11"/>
  <c r="U1247" i="11"/>
  <c r="U1217" i="11"/>
  <c r="U1200" i="11"/>
  <c r="U1183" i="11"/>
  <c r="U1153" i="11"/>
  <c r="U1136" i="11"/>
  <c r="U1119" i="11"/>
  <c r="U1061" i="11"/>
  <c r="U1051" i="11"/>
  <c r="U1027" i="11"/>
  <c r="U1020" i="11"/>
  <c r="U1016" i="11"/>
  <c r="U999" i="11"/>
  <c r="U923" i="11"/>
  <c r="U912" i="11"/>
  <c r="U883" i="11"/>
  <c r="U879" i="11"/>
  <c r="U764" i="11"/>
  <c r="U700" i="11"/>
  <c r="U1808" i="11"/>
  <c r="U1801" i="11"/>
  <c r="U1776" i="11"/>
  <c r="U1769" i="11"/>
  <c r="U1744" i="11"/>
  <c r="U1737" i="11"/>
  <c r="U1712" i="11"/>
  <c r="U1705" i="11"/>
  <c r="U1680" i="11"/>
  <c r="U1670" i="11"/>
  <c r="U1646" i="11"/>
  <c r="U1639" i="11"/>
  <c r="U1625" i="11"/>
  <c r="U1621" i="11"/>
  <c r="U1614" i="11"/>
  <c r="U1607" i="11"/>
  <c r="U1593" i="11"/>
  <c r="U1589" i="11"/>
  <c r="U1582" i="11"/>
  <c r="U1575" i="11"/>
  <c r="U1561" i="11"/>
  <c r="U1557" i="11"/>
  <c r="U1550" i="11"/>
  <c r="U1543" i="11"/>
  <c r="U1525" i="11"/>
  <c r="U1518" i="11"/>
  <c r="U1494" i="11"/>
  <c r="U1479" i="11"/>
  <c r="U1449" i="11"/>
  <c r="U1432" i="11"/>
  <c r="U1415" i="11"/>
  <c r="U1385" i="11"/>
  <c r="U1368" i="11"/>
  <c r="U1351" i="11"/>
  <c r="U1321" i="11"/>
  <c r="U1304" i="11"/>
  <c r="U1287" i="11"/>
  <c r="U1257" i="11"/>
  <c r="U1240" i="11"/>
  <c r="U1223" i="11"/>
  <c r="U1193" i="11"/>
  <c r="U1176" i="11"/>
  <c r="U1159" i="11"/>
  <c r="U1129" i="11"/>
  <c r="U1112" i="11"/>
  <c r="U1099" i="11"/>
  <c r="U995" i="11"/>
  <c r="U955" i="11"/>
  <c r="U951" i="11"/>
  <c r="U919" i="11"/>
  <c r="U707" i="11"/>
  <c r="U654" i="11"/>
  <c r="U644" i="11"/>
  <c r="U1511" i="11"/>
  <c r="U1486" i="11"/>
  <c r="U1472" i="11"/>
  <c r="U1455" i="11"/>
  <c r="U1425" i="11"/>
  <c r="U1408" i="11"/>
  <c r="U1391" i="11"/>
  <c r="U1361" i="11"/>
  <c r="U1344" i="11"/>
  <c r="U1327" i="11"/>
  <c r="U1297" i="11"/>
  <c r="U1280" i="11"/>
  <c r="U1263" i="11"/>
  <c r="U1233" i="11"/>
  <c r="U1216" i="11"/>
  <c r="U1199" i="11"/>
  <c r="U1169" i="11"/>
  <c r="U1152" i="11"/>
  <c r="U1135" i="11"/>
  <c r="U1088" i="11"/>
  <c r="U1075" i="11"/>
  <c r="U1068" i="11"/>
  <c r="U1064" i="11"/>
  <c r="U1060" i="11"/>
  <c r="U1023" i="11"/>
  <c r="U1019" i="11"/>
  <c r="U1015" i="11"/>
  <c r="U947" i="11"/>
  <c r="U1800" i="11"/>
  <c r="U1793" i="11"/>
  <c r="U1768" i="11"/>
  <c r="U1761" i="11"/>
  <c r="U1736" i="11"/>
  <c r="U1729" i="11"/>
  <c r="U1704" i="11"/>
  <c r="U1697" i="11"/>
  <c r="U1690" i="11"/>
  <c r="U1683" i="11"/>
  <c r="U1679" i="11"/>
  <c r="U1669" i="11"/>
  <c r="U1655" i="11"/>
  <c r="U1649" i="11"/>
  <c r="U1645" i="11"/>
  <c r="U1638" i="11"/>
  <c r="U1631" i="11"/>
  <c r="U1617" i="11"/>
  <c r="U1613" i="11"/>
  <c r="U1606" i="11"/>
  <c r="U1599" i="11"/>
  <c r="U1585" i="11"/>
  <c r="U1581" i="11"/>
  <c r="U1574" i="11"/>
  <c r="U1567" i="11"/>
  <c r="U755" i="11"/>
  <c r="U748" i="11"/>
  <c r="U723" i="11"/>
  <c r="U716" i="11"/>
  <c r="U691" i="11"/>
  <c r="U684" i="11"/>
  <c r="U677" i="11"/>
  <c r="U663" i="11"/>
  <c r="U632" i="11"/>
  <c r="U615" i="11"/>
  <c r="U598" i="11"/>
  <c r="U581" i="11"/>
  <c r="U568" i="11"/>
  <c r="U564" i="11"/>
  <c r="U540" i="11"/>
  <c r="U533" i="11"/>
  <c r="U526" i="11"/>
  <c r="U502" i="11"/>
  <c r="U464" i="11"/>
  <c r="U440" i="11"/>
  <c r="U406" i="11"/>
  <c r="U396" i="11"/>
  <c r="U376" i="11"/>
  <c r="U359" i="11"/>
  <c r="U342" i="11"/>
  <c r="U335" i="11"/>
  <c r="U318" i="11"/>
  <c r="U308" i="11"/>
  <c r="U288" i="11"/>
  <c r="U271" i="11"/>
  <c r="U254" i="11"/>
  <c r="U244" i="11"/>
  <c r="U230" i="11"/>
  <c r="U223" i="11"/>
  <c r="U206" i="11"/>
  <c r="U176" i="11"/>
  <c r="U159" i="11"/>
  <c r="U152" i="11"/>
  <c r="U134" i="11"/>
  <c r="U131" i="11"/>
  <c r="U127" i="11"/>
  <c r="U120" i="11"/>
  <c r="U102" i="11"/>
  <c r="U72" i="11"/>
  <c r="U55" i="11"/>
  <c r="U38" i="11"/>
  <c r="U31" i="11"/>
  <c r="U16" i="11"/>
  <c r="U915" i="11"/>
  <c r="U911" i="11"/>
  <c r="U904" i="11"/>
  <c r="U747" i="11"/>
  <c r="U740" i="11"/>
  <c r="U715" i="11"/>
  <c r="U708" i="11"/>
  <c r="U683" i="11"/>
  <c r="U676" i="11"/>
  <c r="U655" i="11"/>
  <c r="U645" i="11"/>
  <c r="U604" i="11"/>
  <c r="U597" i="11"/>
  <c r="U584" i="11"/>
  <c r="U560" i="11"/>
  <c r="U536" i="11"/>
  <c r="U532" i="11"/>
  <c r="U508" i="11"/>
  <c r="U501" i="11"/>
  <c r="U494" i="11"/>
  <c r="U470" i="11"/>
  <c r="U422" i="11"/>
  <c r="U412" i="11"/>
  <c r="U392" i="11"/>
  <c r="U375" i="11"/>
  <c r="U358" i="11"/>
  <c r="U348" i="11"/>
  <c r="U334" i="11"/>
  <c r="U304" i="11"/>
  <c r="U287" i="11"/>
  <c r="U270" i="11"/>
  <c r="U260" i="11"/>
  <c r="U240" i="11"/>
  <c r="U222" i="11"/>
  <c r="U192" i="11"/>
  <c r="U175" i="11"/>
  <c r="U158" i="11"/>
  <c r="U155" i="11"/>
  <c r="U151" i="11"/>
  <c r="U144" i="11"/>
  <c r="U126" i="11"/>
  <c r="U123" i="11"/>
  <c r="U119" i="11"/>
  <c r="U112" i="11"/>
  <c r="U88" i="11"/>
  <c r="U71" i="11"/>
  <c r="U54" i="11"/>
  <c r="U30" i="11"/>
  <c r="U94" i="11"/>
  <c r="U64" i="11"/>
  <c r="U47" i="11"/>
  <c r="U22" i="11"/>
  <c r="U630" i="11"/>
  <c r="U613" i="11"/>
  <c r="U566" i="11"/>
  <c r="U528" i="11"/>
  <c r="U504" i="11"/>
  <c r="U500" i="11"/>
  <c r="U476" i="11"/>
  <c r="U469" i="11"/>
  <c r="U462" i="11"/>
  <c r="U438" i="11"/>
  <c r="U428" i="11"/>
  <c r="U408" i="11"/>
  <c r="U391" i="11"/>
  <c r="U374" i="11"/>
  <c r="U364" i="11"/>
  <c r="U344" i="11"/>
  <c r="U320" i="11"/>
  <c r="U303" i="11"/>
  <c r="U286" i="11"/>
  <c r="U276" i="11"/>
  <c r="U256" i="11"/>
  <c r="U239" i="11"/>
  <c r="U232" i="11"/>
  <c r="U208" i="11"/>
  <c r="U191" i="11"/>
  <c r="U174" i="11"/>
  <c r="U150" i="11"/>
  <c r="U147" i="11"/>
  <c r="U143" i="11"/>
  <c r="U136" i="11"/>
  <c r="U118" i="11"/>
  <c r="U115" i="11"/>
  <c r="U111" i="11"/>
  <c r="U104" i="11"/>
  <c r="U87" i="11"/>
  <c r="U70" i="11"/>
  <c r="U40" i="11"/>
  <c r="U14" i="11"/>
  <c r="U3" i="11"/>
  <c r="U971" i="11"/>
  <c r="U967" i="11"/>
  <c r="U931" i="11"/>
  <c r="U899" i="11"/>
  <c r="U895" i="11"/>
  <c r="U888" i="11"/>
  <c r="U874" i="11"/>
  <c r="U867" i="11"/>
  <c r="U863" i="11"/>
  <c r="U856" i="11"/>
  <c r="U842" i="11"/>
  <c r="U835" i="11"/>
  <c r="U831" i="11"/>
  <c r="U824" i="11"/>
  <c r="U803" i="11"/>
  <c r="U799" i="11"/>
  <c r="U792" i="11"/>
  <c r="U774" i="11"/>
  <c r="U771" i="11"/>
  <c r="U767" i="11"/>
  <c r="U760" i="11"/>
  <c r="U742" i="11"/>
  <c r="U735" i="11"/>
  <c r="U728" i="11"/>
  <c r="U710" i="11"/>
  <c r="U703" i="11"/>
  <c r="U696" i="11"/>
  <c r="U671" i="11"/>
  <c r="U661" i="11"/>
  <c r="U640" i="11"/>
  <c r="U606" i="11"/>
  <c r="U589" i="11"/>
  <c r="U576" i="11"/>
  <c r="U552" i="11"/>
  <c r="U548" i="11"/>
  <c r="U524" i="11"/>
  <c r="U517" i="11"/>
  <c r="U510" i="11"/>
  <c r="U486" i="11"/>
  <c r="U448" i="11"/>
  <c r="U414" i="11"/>
  <c r="U404" i="11"/>
  <c r="U384" i="11"/>
  <c r="U367" i="11"/>
  <c r="U350" i="11"/>
  <c r="U340" i="11"/>
  <c r="U326" i="11"/>
  <c r="U262" i="11"/>
  <c r="U80" i="11"/>
  <c r="U63" i="11"/>
  <c r="U46" i="11"/>
  <c r="U763" i="11"/>
  <c r="U756" i="11"/>
  <c r="U731" i="11"/>
  <c r="U724" i="11"/>
  <c r="U699" i="11"/>
  <c r="U692" i="11"/>
  <c r="U496" i="11"/>
  <c r="U407" i="11"/>
  <c r="U390" i="11"/>
  <c r="U380" i="11"/>
  <c r="U360" i="11"/>
  <c r="U343" i="11"/>
  <c r="U336" i="11"/>
  <c r="U319" i="11"/>
  <c r="U302" i="11"/>
  <c r="U292" i="11"/>
  <c r="U272" i="11"/>
  <c r="U255" i="11"/>
  <c r="U238" i="11"/>
  <c r="U231" i="11"/>
  <c r="U224" i="11"/>
  <c r="U207" i="11"/>
  <c r="U190" i="11"/>
  <c r="U160" i="11"/>
  <c r="U142" i="11"/>
  <c r="U139" i="11"/>
  <c r="U135" i="11"/>
  <c r="U128" i="11"/>
  <c r="U110" i="11"/>
  <c r="U107" i="11"/>
  <c r="U4828" i="11"/>
  <c r="U4796" i="11"/>
  <c r="U4748" i="11"/>
  <c r="U4523" i="11"/>
  <c r="U4995" i="11"/>
  <c r="U4955" i="11"/>
  <c r="U4860" i="11"/>
  <c r="U4780" i="11"/>
  <c r="U4948" i="11"/>
  <c r="U4931" i="11"/>
  <c r="U4972" i="11"/>
  <c r="U4892" i="11"/>
  <c r="U4876" i="11"/>
  <c r="U4844" i="11"/>
  <c r="U4764" i="11"/>
  <c r="U4988" i="11"/>
  <c r="U4971" i="11"/>
  <c r="U4924" i="11"/>
  <c r="U4907" i="11"/>
  <c r="U4891" i="11"/>
  <c r="U4875" i="11"/>
  <c r="U4859" i="11"/>
  <c r="U4843" i="11"/>
  <c r="U4827" i="11"/>
  <c r="U4811" i="11"/>
  <c r="U4795" i="11"/>
  <c r="U4779" i="11"/>
  <c r="U4763" i="11"/>
  <c r="U4747" i="11"/>
  <c r="U4731" i="11"/>
  <c r="U4715" i="11"/>
  <c r="U4699" i="11"/>
  <c r="U4908" i="11"/>
  <c r="U4812" i="11"/>
  <c r="U4996" i="11"/>
  <c r="U4956" i="11"/>
  <c r="U4939" i="11"/>
  <c r="U4899" i="11"/>
  <c r="U4883" i="11"/>
  <c r="U4867" i="11"/>
  <c r="U4851" i="11"/>
  <c r="U4835" i="11"/>
  <c r="U4819" i="11"/>
  <c r="U4803" i="11"/>
  <c r="U4787" i="11"/>
  <c r="U4771" i="11"/>
  <c r="U4755" i="11"/>
  <c r="U4739" i="11"/>
  <c r="U4723" i="11"/>
  <c r="U4707" i="11"/>
  <c r="U4691" i="11"/>
  <c r="U4675" i="11"/>
  <c r="U4659" i="11"/>
  <c r="U4643" i="11"/>
  <c r="U4627" i="11"/>
  <c r="U4611" i="11"/>
  <c r="U4595" i="11"/>
  <c r="U4579" i="11"/>
  <c r="U4563" i="11"/>
  <c r="U4547" i="11"/>
  <c r="U4132" i="11"/>
  <c r="U4100" i="11"/>
  <c r="U3900" i="11"/>
  <c r="U3888" i="11"/>
  <c r="U3836" i="11"/>
  <c r="U3824" i="11"/>
  <c r="U4152" i="11"/>
  <c r="U4120" i="11"/>
  <c r="U4088" i="11"/>
  <c r="U4064" i="11"/>
  <c r="U4052" i="11"/>
  <c r="U4036" i="11"/>
  <c r="U4020" i="11"/>
  <c r="U4004" i="11"/>
  <c r="U3988" i="11"/>
  <c r="U3972" i="11"/>
  <c r="U3956" i="11"/>
  <c r="U3940" i="11"/>
  <c r="U3924" i="11"/>
  <c r="U3912" i="11"/>
  <c r="U3860" i="11"/>
  <c r="U3848" i="11"/>
  <c r="U3808" i="11"/>
  <c r="U3792" i="11"/>
  <c r="U3776" i="11"/>
  <c r="U3760" i="11"/>
  <c r="U3744" i="11"/>
  <c r="U3728" i="11"/>
  <c r="U3712" i="11"/>
  <c r="U3696" i="11"/>
  <c r="U3680" i="11"/>
  <c r="U3664" i="11"/>
  <c r="U3150" i="11"/>
  <c r="U3090" i="11"/>
  <c r="U4128" i="11"/>
  <c r="U4096" i="11"/>
  <c r="U4000" i="11"/>
  <c r="U3984" i="11"/>
  <c r="U3968" i="11"/>
  <c r="U3952" i="11"/>
  <c r="U3936" i="11"/>
  <c r="U3908" i="11"/>
  <c r="U3896" i="11"/>
  <c r="U3844" i="11"/>
  <c r="U3832" i="11"/>
  <c r="U3026" i="11"/>
  <c r="U4156" i="11"/>
  <c r="U4124" i="11"/>
  <c r="U4092" i="11"/>
  <c r="U4056" i="11"/>
  <c r="U3916" i="11"/>
  <c r="U3904" i="11"/>
  <c r="U3852" i="11"/>
  <c r="U3840" i="11"/>
  <c r="U3170" i="11"/>
  <c r="U3138" i="11"/>
  <c r="U3066" i="11"/>
  <c r="U3002" i="11"/>
  <c r="U2938" i="11"/>
  <c r="U3190" i="11"/>
  <c r="U3158" i="11"/>
  <c r="U3106" i="11"/>
  <c r="U3042" i="11"/>
  <c r="U2978" i="11"/>
  <c r="U3178" i="11"/>
  <c r="U3146" i="11"/>
  <c r="U3122" i="11"/>
  <c r="U3082" i="11"/>
  <c r="U3018" i="11"/>
  <c r="U2954" i="11"/>
  <c r="U3174" i="11"/>
  <c r="U3142" i="11"/>
  <c r="U3074" i="11"/>
  <c r="U3010" i="11"/>
  <c r="U2946" i="11"/>
  <c r="U2341" i="11"/>
  <c r="U2331" i="11"/>
  <c r="U2325" i="11"/>
  <c r="U2309" i="11"/>
  <c r="U2293" i="11"/>
  <c r="U2277" i="11"/>
  <c r="U2261" i="11"/>
  <c r="U2245" i="11"/>
  <c r="U2229" i="11"/>
  <c r="U2213" i="11"/>
  <c r="U2197" i="11"/>
  <c r="U2181" i="11"/>
  <c r="U2165" i="11"/>
  <c r="U2149" i="11"/>
  <c r="U2373" i="11"/>
  <c r="U2364" i="11"/>
  <c r="U2340" i="11"/>
  <c r="U2324" i="11"/>
  <c r="U2308" i="11"/>
  <c r="U2292" i="11"/>
  <c r="U2276" i="11"/>
  <c r="U2260" i="11"/>
  <c r="U2244" i="11"/>
  <c r="U2228" i="11"/>
  <c r="U2212" i="11"/>
  <c r="U2196" i="11"/>
  <c r="U2180" i="11"/>
  <c r="U2164" i="11"/>
  <c r="U2148" i="11"/>
  <c r="U2132" i="11"/>
  <c r="U2116" i="11"/>
  <c r="U2237" i="11"/>
  <c r="U2221" i="11"/>
  <c r="U2205" i="11"/>
  <c r="U2189" i="11"/>
  <c r="U2173" i="11"/>
  <c r="U2157" i="11"/>
  <c r="U2348" i="11"/>
  <c r="U2332" i="11"/>
  <c r="U2316" i="11"/>
  <c r="U2300" i="11"/>
  <c r="U2284" i="11"/>
  <c r="U2268" i="11"/>
  <c r="U2252" i="11"/>
  <c r="U2236" i="11"/>
  <c r="U1681" i="11"/>
  <c r="U1488" i="11"/>
  <c r="U1689" i="11"/>
  <c r="U1672" i="11"/>
  <c r="U1663" i="11"/>
  <c r="U1648" i="11"/>
  <c r="U1632" i="11"/>
  <c r="U1616" i="11"/>
  <c r="U1600" i="11"/>
  <c r="U1584" i="11"/>
  <c r="U1568" i="11"/>
  <c r="U1552" i="11"/>
  <c r="U1536" i="11"/>
  <c r="U1520" i="11"/>
  <c r="U1504" i="11"/>
  <c r="U1545" i="11"/>
  <c r="U1529" i="11"/>
  <c r="U1513" i="11"/>
  <c r="U1480" i="11"/>
  <c r="U1464" i="11"/>
  <c r="U1656" i="11"/>
  <c r="U1665" i="11"/>
  <c r="U1640" i="11"/>
  <c r="U1624" i="11"/>
  <c r="U1608" i="11"/>
  <c r="U1592" i="11"/>
  <c r="U1576" i="11"/>
  <c r="U1560" i="11"/>
  <c r="U1544" i="11"/>
  <c r="U1528" i="11"/>
  <c r="U1107" i="11"/>
  <c r="U1047" i="11"/>
  <c r="U898" i="11"/>
  <c r="U866" i="11"/>
  <c r="U834" i="11"/>
  <c r="U890" i="11"/>
  <c r="U858" i="11"/>
  <c r="U826" i="11"/>
  <c r="U1091" i="11"/>
  <c r="U614" i="11"/>
  <c r="U599" i="11"/>
  <c r="U551" i="11"/>
  <c r="U535" i="11"/>
  <c r="U519" i="11"/>
  <c r="U503" i="11"/>
  <c r="U487" i="11"/>
  <c r="U471" i="11"/>
  <c r="U455" i="11"/>
  <c r="U439" i="11"/>
  <c r="U423" i="11"/>
  <c r="U656" i="11"/>
  <c r="U647" i="11"/>
  <c r="U638" i="11"/>
  <c r="U623" i="11"/>
  <c r="U608" i="11"/>
  <c r="U583" i="11"/>
  <c r="U567" i="11"/>
  <c r="U631" i="11"/>
  <c r="U616" i="11"/>
  <c r="U559" i="11"/>
  <c r="U543" i="11"/>
  <c r="U527" i="11"/>
  <c r="U511" i="11"/>
  <c r="U495" i="11"/>
  <c r="U479" i="11"/>
  <c r="U463" i="11"/>
  <c r="U447" i="11"/>
  <c r="U431" i="11"/>
  <c r="U415" i="11"/>
  <c r="U2" i="11" l="1"/>
  <c r="B6" i="16" l="1"/>
  <c r="A6" i="16"/>
  <c r="B4" i="16"/>
  <c r="A4" i="16"/>
  <c r="A3" i="16"/>
  <c r="C9" i="9" l="1"/>
  <c r="C5" i="9"/>
  <c r="B5" i="9"/>
  <c r="C6" i="16"/>
  <c r="C18" i="9" l="1"/>
  <c r="C15" i="9"/>
  <c r="C16" i="9"/>
  <c r="C17" i="9"/>
  <c r="D17" i="9"/>
  <c r="D18" i="9"/>
  <c r="D15" i="9"/>
  <c r="D16" i="9"/>
  <c r="D2" i="11"/>
  <c r="C2" i="11"/>
  <c r="A45" i="11"/>
  <c r="G3" i="11" l="1"/>
  <c r="C3" i="5" s="1"/>
  <c r="R5001" i="11"/>
  <c r="S5001" i="11"/>
  <c r="S2" i="11"/>
  <c r="R2" i="11"/>
  <c r="N5001" i="11"/>
  <c r="N2" i="11" l="1"/>
  <c r="A20" i="11" l="1"/>
  <c r="A21" i="11"/>
  <c r="A22" i="11"/>
  <c r="A23" i="11"/>
  <c r="A24" i="11"/>
  <c r="A25" i="11"/>
  <c r="A26" i="11"/>
  <c r="A27" i="11"/>
  <c r="A28" i="11"/>
  <c r="A29" i="11"/>
  <c r="A30" i="11"/>
  <c r="A31" i="11"/>
  <c r="A32" i="11"/>
  <c r="A33" i="11"/>
  <c r="A34" i="11"/>
  <c r="A35" i="11"/>
  <c r="A36" i="11"/>
  <c r="A37" i="11"/>
  <c r="A38" i="11"/>
  <c r="A39" i="11"/>
  <c r="A40" i="11"/>
  <c r="A41" i="11"/>
  <c r="A42" i="11"/>
  <c r="A43" i="11"/>
  <c r="A44" i="11"/>
  <c r="A46" i="11"/>
  <c r="A47" i="11"/>
  <c r="A48" i="11"/>
  <c r="A49" i="11"/>
  <c r="A50" i="11"/>
  <c r="A51" i="11"/>
  <c r="A52" i="11"/>
  <c r="A53" i="11"/>
  <c r="A54" i="11"/>
  <c r="A55" i="11"/>
  <c r="A56" i="11"/>
  <c r="A57" i="11"/>
  <c r="A58" i="11"/>
  <c r="A59" i="11"/>
  <c r="A60" i="11"/>
  <c r="A61" i="11"/>
  <c r="A62" i="11"/>
  <c r="A63" i="11"/>
  <c r="A64" i="11"/>
  <c r="A65" i="11"/>
  <c r="A66" i="11"/>
  <c r="A67" i="11"/>
  <c r="A68" i="11"/>
  <c r="A69" i="11"/>
  <c r="A70" i="11"/>
  <c r="A71" i="11"/>
  <c r="A72" i="11"/>
  <c r="A73" i="11"/>
  <c r="A74" i="11"/>
  <c r="A75" i="11"/>
  <c r="A76" i="11"/>
  <c r="A77" i="11"/>
  <c r="A78" i="11"/>
  <c r="A79" i="11"/>
  <c r="A80" i="11"/>
  <c r="A81" i="11"/>
  <c r="A82" i="11"/>
  <c r="A83" i="11"/>
  <c r="A84" i="11"/>
  <c r="A85" i="11"/>
  <c r="A86" i="11"/>
  <c r="A87" i="11"/>
  <c r="A88" i="11"/>
  <c r="A89" i="11"/>
  <c r="A90" i="11"/>
  <c r="A91" i="11"/>
  <c r="A92" i="11"/>
  <c r="A93" i="11"/>
  <c r="A94" i="11"/>
  <c r="A95" i="11"/>
  <c r="A96" i="11"/>
  <c r="A97" i="11"/>
  <c r="A98" i="11"/>
  <c r="A99" i="11"/>
  <c r="A100" i="11"/>
  <c r="A101" i="11"/>
  <c r="A102" i="11"/>
  <c r="A103" i="11"/>
  <c r="A104" i="11"/>
  <c r="A105" i="11"/>
  <c r="A106" i="11"/>
  <c r="A107" i="11"/>
  <c r="A108" i="11"/>
  <c r="A109" i="11"/>
  <c r="A110" i="11"/>
  <c r="A111" i="11"/>
  <c r="A112" i="11"/>
  <c r="A113" i="11"/>
  <c r="A114" i="11"/>
  <c r="A115" i="11"/>
  <c r="A116" i="11"/>
  <c r="A117" i="11"/>
  <c r="A118" i="11"/>
  <c r="A119" i="11"/>
  <c r="A120" i="11"/>
  <c r="A121" i="11"/>
  <c r="A122" i="11"/>
  <c r="A123" i="11"/>
  <c r="A124" i="11"/>
  <c r="A125" i="11"/>
  <c r="A126" i="11"/>
  <c r="A127" i="11"/>
  <c r="A128" i="11"/>
  <c r="A129" i="11"/>
  <c r="A130" i="11"/>
  <c r="A131" i="11"/>
  <c r="A132" i="11"/>
  <c r="A133" i="11"/>
  <c r="A134" i="11"/>
  <c r="A135" i="11"/>
  <c r="A136" i="11"/>
  <c r="A137" i="11"/>
  <c r="A138" i="11"/>
  <c r="A139" i="11"/>
  <c r="A140" i="11"/>
  <c r="A141" i="11"/>
  <c r="A142" i="11"/>
  <c r="A143" i="11"/>
  <c r="A144" i="11"/>
  <c r="A145" i="11"/>
  <c r="A146" i="11"/>
  <c r="A147" i="11"/>
  <c r="A148" i="11"/>
  <c r="A149" i="11"/>
  <c r="A150" i="11"/>
  <c r="A151" i="11"/>
  <c r="A152" i="11"/>
  <c r="A153" i="11"/>
  <c r="A154" i="11"/>
  <c r="A155" i="11"/>
  <c r="A156" i="11"/>
  <c r="A157" i="11"/>
  <c r="A158" i="11"/>
  <c r="A159" i="11"/>
  <c r="A160" i="11"/>
  <c r="A161" i="11"/>
  <c r="A162" i="11"/>
  <c r="A163" i="11"/>
  <c r="A164" i="11"/>
  <c r="A165" i="11"/>
  <c r="A166" i="11"/>
  <c r="A167" i="11"/>
  <c r="A168" i="11"/>
  <c r="A169" i="11"/>
  <c r="A170" i="11"/>
  <c r="A171" i="11"/>
  <c r="A172" i="11"/>
  <c r="A173" i="11"/>
  <c r="A174" i="11"/>
  <c r="A175" i="11"/>
  <c r="A176" i="11"/>
  <c r="A177" i="11"/>
  <c r="A178" i="11"/>
  <c r="A179" i="11"/>
  <c r="A180" i="11"/>
  <c r="A181" i="11"/>
  <c r="A182" i="11"/>
  <c r="A183" i="11"/>
  <c r="A184" i="11"/>
  <c r="A185" i="11"/>
  <c r="A186" i="11"/>
  <c r="A187" i="11"/>
  <c r="A188" i="11"/>
  <c r="A189" i="11"/>
  <c r="A190" i="11"/>
  <c r="A191" i="11"/>
  <c r="A192" i="11"/>
  <c r="A193" i="11"/>
  <c r="A194" i="11"/>
  <c r="A195" i="11"/>
  <c r="A196" i="11"/>
  <c r="A197" i="11"/>
  <c r="A198" i="11"/>
  <c r="A199" i="11"/>
  <c r="A200" i="11"/>
  <c r="A201" i="11"/>
  <c r="A202" i="11"/>
  <c r="A203" i="11"/>
  <c r="A204" i="11"/>
  <c r="A205" i="11"/>
  <c r="A206" i="11"/>
  <c r="A207" i="11"/>
  <c r="A208" i="11"/>
  <c r="A209" i="11"/>
  <c r="A210" i="11"/>
  <c r="A211" i="11"/>
  <c r="A212" i="11"/>
  <c r="A213" i="11"/>
  <c r="A214" i="11"/>
  <c r="A215" i="11"/>
  <c r="A216" i="11"/>
  <c r="A217" i="11"/>
  <c r="A218" i="11"/>
  <c r="A219" i="11"/>
  <c r="A220" i="11"/>
  <c r="A221" i="11"/>
  <c r="A222" i="11"/>
  <c r="A223" i="11"/>
  <c r="A224" i="11"/>
  <c r="A225" i="11"/>
  <c r="A226" i="11"/>
  <c r="A227" i="11"/>
  <c r="A228" i="11"/>
  <c r="A229" i="11"/>
  <c r="A230" i="11"/>
  <c r="A231" i="11"/>
  <c r="A232" i="11"/>
  <c r="A233" i="11"/>
  <c r="A234" i="11"/>
  <c r="A235" i="11"/>
  <c r="A236" i="11"/>
  <c r="A237" i="11"/>
  <c r="A238" i="11"/>
  <c r="A239" i="11"/>
  <c r="A240" i="11"/>
  <c r="A241" i="11"/>
  <c r="A242" i="11"/>
  <c r="A243" i="11"/>
  <c r="A244" i="11"/>
  <c r="A245" i="11"/>
  <c r="A246" i="11"/>
  <c r="A247" i="11"/>
  <c r="A248" i="11"/>
  <c r="A249" i="11"/>
  <c r="A250" i="11"/>
  <c r="A251" i="11"/>
  <c r="A252" i="11"/>
  <c r="A253" i="11"/>
  <c r="A254" i="11"/>
  <c r="A255" i="11"/>
  <c r="A256" i="11"/>
  <c r="A257" i="11"/>
  <c r="A258" i="11"/>
  <c r="A259" i="11"/>
  <c r="A260" i="11"/>
  <c r="A261" i="11"/>
  <c r="A262" i="11"/>
  <c r="A263" i="11"/>
  <c r="A264" i="11"/>
  <c r="A265" i="11"/>
  <c r="A266" i="11"/>
  <c r="A267" i="11"/>
  <c r="A268" i="11"/>
  <c r="A269" i="11"/>
  <c r="A270" i="11"/>
  <c r="A271" i="11"/>
  <c r="A272" i="11"/>
  <c r="A273" i="11"/>
  <c r="A274" i="11"/>
  <c r="A275" i="11"/>
  <c r="A276" i="11"/>
  <c r="A277" i="11"/>
  <c r="A278" i="11"/>
  <c r="A279" i="11"/>
  <c r="A280" i="11"/>
  <c r="A281" i="11"/>
  <c r="A282" i="11"/>
  <c r="A283" i="11"/>
  <c r="A284" i="11"/>
  <c r="A285" i="11"/>
  <c r="A286" i="11"/>
  <c r="A287" i="11"/>
  <c r="A288" i="11"/>
  <c r="A289" i="11"/>
  <c r="A290" i="11"/>
  <c r="A291" i="11"/>
  <c r="A292" i="11"/>
  <c r="A293" i="11"/>
  <c r="A294" i="11"/>
  <c r="A295" i="11"/>
  <c r="A296" i="11"/>
  <c r="A297" i="11"/>
  <c r="A298" i="11"/>
  <c r="A299" i="11"/>
  <c r="A300" i="11"/>
  <c r="A301" i="11"/>
  <c r="A302" i="11"/>
  <c r="A303" i="11"/>
  <c r="A304" i="11"/>
  <c r="A305" i="11"/>
  <c r="A306" i="11"/>
  <c r="A307" i="11"/>
  <c r="A308" i="11"/>
  <c r="A309" i="11"/>
  <c r="A310" i="11"/>
  <c r="A311" i="11"/>
  <c r="A312" i="11"/>
  <c r="A313" i="11"/>
  <c r="A314" i="11"/>
  <c r="A315" i="11"/>
  <c r="A316" i="11"/>
  <c r="A317" i="11"/>
  <c r="A318" i="11"/>
  <c r="A319" i="11"/>
  <c r="A320" i="11"/>
  <c r="A321" i="11"/>
  <c r="A322" i="11"/>
  <c r="A323" i="11"/>
  <c r="A324" i="11"/>
  <c r="A325" i="11"/>
  <c r="A326" i="11"/>
  <c r="A327" i="11"/>
  <c r="A328" i="11"/>
  <c r="A329" i="11"/>
  <c r="A330" i="11"/>
  <c r="A331" i="11"/>
  <c r="A332" i="11"/>
  <c r="A333" i="11"/>
  <c r="A334" i="11"/>
  <c r="A335" i="11"/>
  <c r="A336" i="11"/>
  <c r="A337" i="11"/>
  <c r="A338" i="11"/>
  <c r="A339" i="11"/>
  <c r="A340" i="11"/>
  <c r="A341" i="11"/>
  <c r="A342" i="11"/>
  <c r="A343" i="11"/>
  <c r="A344" i="11"/>
  <c r="A345" i="11"/>
  <c r="A346" i="11"/>
  <c r="A347" i="11"/>
  <c r="A348" i="11"/>
  <c r="A349" i="11"/>
  <c r="A350" i="11"/>
  <c r="A351" i="11"/>
  <c r="A352" i="11"/>
  <c r="A353" i="11"/>
  <c r="A354" i="11"/>
  <c r="A355" i="11"/>
  <c r="A356" i="11"/>
  <c r="A357" i="11"/>
  <c r="A358" i="11"/>
  <c r="A359" i="11"/>
  <c r="A360" i="11"/>
  <c r="A361" i="11"/>
  <c r="A362" i="11"/>
  <c r="A363" i="11"/>
  <c r="A364" i="11"/>
  <c r="A365" i="11"/>
  <c r="A366" i="11"/>
  <c r="A367" i="11"/>
  <c r="A368" i="11"/>
  <c r="A369" i="11"/>
  <c r="A370" i="11"/>
  <c r="A371" i="11"/>
  <c r="A372" i="11"/>
  <c r="A373" i="11"/>
  <c r="A374" i="11"/>
  <c r="A375" i="11"/>
  <c r="A376" i="11"/>
  <c r="A377" i="11"/>
  <c r="A378" i="11"/>
  <c r="A379" i="11"/>
  <c r="A380" i="11"/>
  <c r="A381" i="11"/>
  <c r="A382" i="11"/>
  <c r="A383" i="11"/>
  <c r="A384" i="11"/>
  <c r="A385" i="11"/>
  <c r="A386" i="11"/>
  <c r="A387" i="11"/>
  <c r="A388" i="11"/>
  <c r="A389" i="11"/>
  <c r="A390" i="11"/>
  <c r="A391" i="11"/>
  <c r="A392" i="11"/>
  <c r="A393" i="11"/>
  <c r="A394" i="11"/>
  <c r="A395" i="11"/>
  <c r="A396" i="11"/>
  <c r="A397" i="11"/>
  <c r="A398" i="11"/>
  <c r="A399" i="11"/>
  <c r="A400" i="11"/>
  <c r="A401" i="11"/>
  <c r="A402" i="11"/>
  <c r="A403" i="11"/>
  <c r="A404" i="11"/>
  <c r="A405" i="11"/>
  <c r="A406" i="11"/>
  <c r="A407" i="11"/>
  <c r="A408" i="11"/>
  <c r="A409" i="11"/>
  <c r="A410" i="11"/>
  <c r="A411" i="11"/>
  <c r="A412" i="11"/>
  <c r="A413" i="11"/>
  <c r="A414" i="11"/>
  <c r="A415" i="11"/>
  <c r="A416" i="11"/>
  <c r="A417" i="11"/>
  <c r="A418" i="11"/>
  <c r="A419" i="11"/>
  <c r="A420" i="11"/>
  <c r="A421" i="11"/>
  <c r="A422" i="11"/>
  <c r="A423" i="11"/>
  <c r="A424" i="11"/>
  <c r="A425" i="11"/>
  <c r="A426" i="11"/>
  <c r="A427" i="11"/>
  <c r="A428" i="11"/>
  <c r="A429" i="11"/>
  <c r="A430" i="11"/>
  <c r="A431" i="11"/>
  <c r="A432" i="11"/>
  <c r="A433" i="11"/>
  <c r="A434" i="11"/>
  <c r="A435" i="11"/>
  <c r="A436" i="11"/>
  <c r="A437" i="11"/>
  <c r="A438" i="11"/>
  <c r="A439" i="11"/>
  <c r="A440" i="11"/>
  <c r="A441" i="11"/>
  <c r="A442" i="11"/>
  <c r="A443" i="11"/>
  <c r="A444" i="11"/>
  <c r="A445" i="11"/>
  <c r="A446" i="11"/>
  <c r="A447" i="11"/>
  <c r="A448" i="11"/>
  <c r="A449" i="11"/>
  <c r="A450" i="11"/>
  <c r="A451" i="11"/>
  <c r="A452" i="11"/>
  <c r="A453" i="11"/>
  <c r="A454" i="11"/>
  <c r="A455" i="11"/>
  <c r="A456" i="11"/>
  <c r="A457" i="11"/>
  <c r="A458" i="11"/>
  <c r="A459" i="11"/>
  <c r="A460" i="11"/>
  <c r="A461" i="11"/>
  <c r="A462" i="11"/>
  <c r="A463" i="11"/>
  <c r="A464" i="11"/>
  <c r="A465" i="11"/>
  <c r="A466" i="11"/>
  <c r="A467" i="11"/>
  <c r="A468" i="11"/>
  <c r="A469" i="11"/>
  <c r="A470" i="11"/>
  <c r="A471" i="11"/>
  <c r="A472" i="11"/>
  <c r="A473" i="11"/>
  <c r="A474" i="11"/>
  <c r="A475" i="11"/>
  <c r="A476" i="11"/>
  <c r="A477" i="11"/>
  <c r="A478" i="11"/>
  <c r="A479" i="11"/>
  <c r="A480" i="11"/>
  <c r="A481" i="11"/>
  <c r="A482" i="11"/>
  <c r="A483" i="11"/>
  <c r="A484" i="11"/>
  <c r="A485" i="11"/>
  <c r="A486" i="11"/>
  <c r="A487" i="11"/>
  <c r="A488" i="11"/>
  <c r="A489" i="11"/>
  <c r="A490" i="11"/>
  <c r="A491" i="11"/>
  <c r="A492" i="11"/>
  <c r="A493" i="11"/>
  <c r="A494" i="11"/>
  <c r="A495" i="11"/>
  <c r="A496" i="11"/>
  <c r="A497" i="11"/>
  <c r="A498" i="11"/>
  <c r="A499" i="11"/>
  <c r="A500" i="11"/>
  <c r="A501" i="11"/>
  <c r="A502" i="11"/>
  <c r="A503" i="11"/>
  <c r="A504" i="11"/>
  <c r="A505" i="11"/>
  <c r="A506" i="11"/>
  <c r="A507" i="11"/>
  <c r="A508" i="11"/>
  <c r="A509" i="11"/>
  <c r="A510" i="11"/>
  <c r="A511" i="11"/>
  <c r="A512" i="11"/>
  <c r="A513" i="11"/>
  <c r="A514" i="11"/>
  <c r="A515" i="11"/>
  <c r="A516" i="11"/>
  <c r="A517" i="11"/>
  <c r="A518" i="11"/>
  <c r="A519" i="11"/>
  <c r="A520" i="11"/>
  <c r="A521" i="11"/>
  <c r="A522" i="11"/>
  <c r="A523" i="11"/>
  <c r="A524" i="11"/>
  <c r="A525" i="11"/>
  <c r="A526" i="11"/>
  <c r="A527" i="11"/>
  <c r="A528" i="11"/>
  <c r="A529" i="11"/>
  <c r="A530" i="11"/>
  <c r="A531" i="11"/>
  <c r="A532" i="11"/>
  <c r="A533" i="11"/>
  <c r="A534" i="11"/>
  <c r="A535" i="11"/>
  <c r="A536" i="11"/>
  <c r="A537" i="11"/>
  <c r="A538" i="11"/>
  <c r="A539" i="11"/>
  <c r="A540" i="11"/>
  <c r="A541" i="11"/>
  <c r="A542" i="11"/>
  <c r="A543" i="11"/>
  <c r="A544" i="11"/>
  <c r="A545" i="11"/>
  <c r="A546" i="11"/>
  <c r="A547" i="11"/>
  <c r="A548" i="11"/>
  <c r="A549" i="11"/>
  <c r="A550" i="11"/>
  <c r="A551" i="11"/>
  <c r="A552" i="11"/>
  <c r="A553" i="11"/>
  <c r="A554" i="11"/>
  <c r="A555" i="11"/>
  <c r="A556" i="11"/>
  <c r="A557" i="11"/>
  <c r="A558" i="11"/>
  <c r="A559" i="11"/>
  <c r="A560" i="11"/>
  <c r="A561" i="11"/>
  <c r="A562" i="11"/>
  <c r="A563" i="11"/>
  <c r="A564" i="11"/>
  <c r="A565" i="11"/>
  <c r="A566" i="11"/>
  <c r="A567" i="11"/>
  <c r="A568" i="11"/>
  <c r="A569" i="11"/>
  <c r="A570" i="11"/>
  <c r="A571" i="11"/>
  <c r="A572" i="11"/>
  <c r="A573" i="11"/>
  <c r="A574" i="11"/>
  <c r="A575" i="11"/>
  <c r="A576" i="11"/>
  <c r="A577" i="11"/>
  <c r="A578" i="11"/>
  <c r="A579" i="11"/>
  <c r="A580" i="11"/>
  <c r="A581" i="11"/>
  <c r="A582" i="11"/>
  <c r="A583" i="11"/>
  <c r="A584" i="11"/>
  <c r="A585" i="11"/>
  <c r="A586" i="11"/>
  <c r="A587" i="11"/>
  <c r="A588" i="11"/>
  <c r="A589" i="11"/>
  <c r="A590" i="11"/>
  <c r="A591" i="11"/>
  <c r="A592" i="11"/>
  <c r="A593" i="11"/>
  <c r="A594" i="11"/>
  <c r="A595" i="11"/>
  <c r="A596" i="11"/>
  <c r="A597" i="11"/>
  <c r="A598" i="11"/>
  <c r="A599" i="11"/>
  <c r="A600" i="11"/>
  <c r="A601" i="11"/>
  <c r="A602" i="11"/>
  <c r="A603" i="11"/>
  <c r="A604" i="11"/>
  <c r="A605" i="11"/>
  <c r="A606" i="11"/>
  <c r="A607" i="11"/>
  <c r="A608" i="11"/>
  <c r="A609" i="11"/>
  <c r="A610" i="11"/>
  <c r="A611" i="11"/>
  <c r="A612" i="11"/>
  <c r="A613" i="11"/>
  <c r="A614" i="11"/>
  <c r="A615" i="11"/>
  <c r="A616" i="11"/>
  <c r="A617" i="11"/>
  <c r="A618" i="11"/>
  <c r="A619" i="11"/>
  <c r="A620" i="11"/>
  <c r="A621" i="11"/>
  <c r="A622" i="11"/>
  <c r="A623" i="11"/>
  <c r="A624" i="11"/>
  <c r="A625" i="11"/>
  <c r="A626" i="11"/>
  <c r="A627" i="11"/>
  <c r="A628" i="11"/>
  <c r="A629" i="11"/>
  <c r="A630" i="11"/>
  <c r="A631" i="11"/>
  <c r="A632" i="11"/>
  <c r="A633" i="11"/>
  <c r="A634" i="11"/>
  <c r="A635" i="11"/>
  <c r="A636" i="11"/>
  <c r="A637" i="11"/>
  <c r="A638" i="11"/>
  <c r="A639" i="11"/>
  <c r="A640" i="11"/>
  <c r="A641" i="11"/>
  <c r="A642" i="11"/>
  <c r="A643" i="11"/>
  <c r="A644" i="11"/>
  <c r="A645" i="11"/>
  <c r="A646" i="11"/>
  <c r="A647" i="11"/>
  <c r="A648" i="11"/>
  <c r="A649" i="11"/>
  <c r="A650" i="11"/>
  <c r="A651" i="11"/>
  <c r="A652" i="11"/>
  <c r="A653" i="11"/>
  <c r="A654" i="11"/>
  <c r="A655" i="11"/>
  <c r="A656" i="11"/>
  <c r="A657" i="11"/>
  <c r="A658" i="11"/>
  <c r="A659" i="11"/>
  <c r="A660" i="11"/>
  <c r="A661" i="11"/>
  <c r="A662" i="11"/>
  <c r="A663" i="11"/>
  <c r="A664" i="11"/>
  <c r="A665" i="11"/>
  <c r="A666" i="11"/>
  <c r="A667" i="11"/>
  <c r="A668" i="11"/>
  <c r="A669" i="11"/>
  <c r="A670" i="11"/>
  <c r="A671" i="11"/>
  <c r="A672" i="11"/>
  <c r="A673" i="11"/>
  <c r="A674" i="11"/>
  <c r="A675" i="11"/>
  <c r="A676" i="11"/>
  <c r="A677" i="11"/>
  <c r="A678" i="11"/>
  <c r="A679" i="11"/>
  <c r="A680" i="11"/>
  <c r="A681" i="11"/>
  <c r="A682" i="11"/>
  <c r="A683" i="11"/>
  <c r="A684" i="11"/>
  <c r="A685" i="11"/>
  <c r="A686" i="11"/>
  <c r="A687" i="11"/>
  <c r="A688" i="11"/>
  <c r="A689" i="11"/>
  <c r="A690" i="11"/>
  <c r="A691" i="11"/>
  <c r="A692" i="11"/>
  <c r="A693" i="11"/>
  <c r="A694" i="11"/>
  <c r="A695" i="11"/>
  <c r="A696" i="11"/>
  <c r="A697" i="11"/>
  <c r="A698" i="11"/>
  <c r="A699" i="11"/>
  <c r="A700" i="11"/>
  <c r="A701" i="11"/>
  <c r="A702" i="11"/>
  <c r="A703" i="11"/>
  <c r="A704" i="11"/>
  <c r="A705" i="11"/>
  <c r="A706" i="11"/>
  <c r="A707" i="11"/>
  <c r="A708" i="11"/>
  <c r="A709" i="11"/>
  <c r="A710" i="11"/>
  <c r="A711" i="11"/>
  <c r="A712" i="11"/>
  <c r="A713" i="11"/>
  <c r="A714" i="11"/>
  <c r="A715" i="11"/>
  <c r="A716" i="11"/>
  <c r="A717" i="11"/>
  <c r="A718" i="11"/>
  <c r="A719" i="11"/>
  <c r="A720" i="11"/>
  <c r="A721" i="11"/>
  <c r="A722" i="11"/>
  <c r="A723" i="11"/>
  <c r="A724" i="11"/>
  <c r="A725" i="11"/>
  <c r="A726" i="11"/>
  <c r="A727" i="11"/>
  <c r="A728" i="11"/>
  <c r="A729" i="11"/>
  <c r="A730" i="11"/>
  <c r="A731" i="11"/>
  <c r="A732" i="11"/>
  <c r="A733" i="11"/>
  <c r="A734" i="11"/>
  <c r="A735" i="11"/>
  <c r="A736" i="11"/>
  <c r="A737" i="11"/>
  <c r="A738" i="11"/>
  <c r="A739" i="11"/>
  <c r="A740" i="11"/>
  <c r="A741" i="11"/>
  <c r="A742" i="11"/>
  <c r="A743" i="11"/>
  <c r="A744" i="11"/>
  <c r="A745" i="11"/>
  <c r="A746" i="11"/>
  <c r="A747" i="11"/>
  <c r="A748" i="11"/>
  <c r="A749" i="11"/>
  <c r="A750" i="11"/>
  <c r="A751" i="11"/>
  <c r="A752" i="11"/>
  <c r="A753" i="11"/>
  <c r="A754" i="11"/>
  <c r="A755" i="11"/>
  <c r="A756" i="11"/>
  <c r="A757" i="11"/>
  <c r="A758" i="11"/>
  <c r="A759" i="11"/>
  <c r="A760" i="11"/>
  <c r="A761" i="11"/>
  <c r="A762" i="11"/>
  <c r="A763" i="11"/>
  <c r="A764" i="11"/>
  <c r="A765" i="11"/>
  <c r="A766" i="11"/>
  <c r="A767" i="11"/>
  <c r="A768" i="11"/>
  <c r="A769" i="11"/>
  <c r="A770" i="11"/>
  <c r="A771" i="11"/>
  <c r="A772" i="11"/>
  <c r="A773" i="11"/>
  <c r="A774" i="11"/>
  <c r="A775" i="11"/>
  <c r="A776" i="11"/>
  <c r="A777" i="11"/>
  <c r="A778" i="11"/>
  <c r="A779" i="11"/>
  <c r="A780" i="11"/>
  <c r="A781" i="11"/>
  <c r="A782" i="11"/>
  <c r="A783" i="11"/>
  <c r="A784" i="11"/>
  <c r="A785" i="11"/>
  <c r="A786" i="11"/>
  <c r="A787" i="11"/>
  <c r="A788" i="11"/>
  <c r="A789" i="11"/>
  <c r="A790" i="11"/>
  <c r="A791" i="11"/>
  <c r="A792" i="11"/>
  <c r="A793" i="11"/>
  <c r="A794" i="11"/>
  <c r="A795" i="11"/>
  <c r="A796" i="11"/>
  <c r="A797" i="11"/>
  <c r="A798" i="11"/>
  <c r="A799" i="11"/>
  <c r="A800" i="11"/>
  <c r="A801" i="11"/>
  <c r="A802" i="11"/>
  <c r="A803" i="11"/>
  <c r="A804" i="11"/>
  <c r="A805" i="11"/>
  <c r="A806" i="11"/>
  <c r="A807" i="11"/>
  <c r="A808" i="11"/>
  <c r="A809" i="11"/>
  <c r="A810" i="11"/>
  <c r="A811" i="11"/>
  <c r="A812" i="11"/>
  <c r="A813" i="11"/>
  <c r="A814" i="11"/>
  <c r="A815" i="11"/>
  <c r="A816" i="11"/>
  <c r="A817" i="11"/>
  <c r="A818" i="11"/>
  <c r="A819" i="11"/>
  <c r="A820" i="11"/>
  <c r="A821" i="11"/>
  <c r="A822" i="11"/>
  <c r="A823" i="11"/>
  <c r="A824" i="11"/>
  <c r="A825" i="11"/>
  <c r="A826" i="11"/>
  <c r="A827" i="11"/>
  <c r="A828" i="11"/>
  <c r="A829" i="11"/>
  <c r="A830" i="11"/>
  <c r="A831" i="11"/>
  <c r="A832" i="11"/>
  <c r="A833" i="11"/>
  <c r="A834" i="11"/>
  <c r="A835" i="11"/>
  <c r="A836" i="11"/>
  <c r="A837" i="11"/>
  <c r="A838" i="11"/>
  <c r="A839" i="11"/>
  <c r="A840" i="11"/>
  <c r="A841" i="11"/>
  <c r="A842" i="11"/>
  <c r="A843" i="11"/>
  <c r="A844" i="11"/>
  <c r="A845" i="11"/>
  <c r="A846" i="11"/>
  <c r="A847" i="11"/>
  <c r="A848" i="11"/>
  <c r="A849" i="11"/>
  <c r="A850" i="11"/>
  <c r="A851" i="11"/>
  <c r="A852" i="11"/>
  <c r="A853" i="11"/>
  <c r="A854" i="11"/>
  <c r="A855" i="11"/>
  <c r="A856" i="11"/>
  <c r="A857" i="11"/>
  <c r="A858" i="11"/>
  <c r="A859" i="11"/>
  <c r="A860" i="11"/>
  <c r="A861" i="11"/>
  <c r="A862" i="11"/>
  <c r="A863" i="11"/>
  <c r="A864" i="11"/>
  <c r="A865" i="11"/>
  <c r="A866" i="11"/>
  <c r="A867" i="11"/>
  <c r="A868" i="11"/>
  <c r="A869" i="11"/>
  <c r="A870" i="11"/>
  <c r="A871" i="11"/>
  <c r="A872" i="11"/>
  <c r="A873" i="11"/>
  <c r="A874" i="11"/>
  <c r="A875" i="11"/>
  <c r="A876" i="11"/>
  <c r="A877" i="11"/>
  <c r="A878" i="11"/>
  <c r="A879" i="11"/>
  <c r="A880" i="11"/>
  <c r="A881" i="11"/>
  <c r="A882" i="11"/>
  <c r="A883" i="11"/>
  <c r="A884" i="11"/>
  <c r="A885" i="11"/>
  <c r="A886" i="11"/>
  <c r="A887" i="11"/>
  <c r="A888" i="11"/>
  <c r="A889" i="11"/>
  <c r="A890" i="11"/>
  <c r="A891" i="11"/>
  <c r="A892" i="11"/>
  <c r="A893" i="11"/>
  <c r="A894" i="11"/>
  <c r="A895" i="11"/>
  <c r="A896" i="11"/>
  <c r="A897" i="11"/>
  <c r="A898" i="11"/>
  <c r="A899" i="11"/>
  <c r="A900" i="11"/>
  <c r="A901" i="11"/>
  <c r="A902" i="11"/>
  <c r="A903" i="11"/>
  <c r="A904" i="11"/>
  <c r="A905" i="11"/>
  <c r="A906" i="11"/>
  <c r="A907" i="11"/>
  <c r="A908" i="11"/>
  <c r="A909" i="11"/>
  <c r="A910" i="11"/>
  <c r="A911" i="11"/>
  <c r="A912" i="11"/>
  <c r="A913" i="11"/>
  <c r="A914" i="11"/>
  <c r="A915" i="11"/>
  <c r="A916" i="11"/>
  <c r="A917" i="11"/>
  <c r="A918" i="11"/>
  <c r="A919" i="11"/>
  <c r="A920" i="11"/>
  <c r="A921" i="11"/>
  <c r="A922" i="11"/>
  <c r="A923" i="11"/>
  <c r="A924" i="11"/>
  <c r="A925" i="11"/>
  <c r="A926" i="11"/>
  <c r="A927" i="11"/>
  <c r="A928" i="11"/>
  <c r="A929" i="11"/>
  <c r="A930" i="11"/>
  <c r="A931" i="11"/>
  <c r="A932" i="11"/>
  <c r="A933" i="11"/>
  <c r="A934" i="11"/>
  <c r="A935" i="11"/>
  <c r="A936" i="11"/>
  <c r="A937" i="11"/>
  <c r="A938" i="11"/>
  <c r="A939" i="11"/>
  <c r="A940" i="11"/>
  <c r="A941" i="11"/>
  <c r="A942" i="11"/>
  <c r="A943" i="11"/>
  <c r="A944" i="11"/>
  <c r="A945" i="11"/>
  <c r="A946" i="11"/>
  <c r="A947" i="11"/>
  <c r="A948" i="11"/>
  <c r="A949" i="11"/>
  <c r="A950" i="11"/>
  <c r="A951" i="11"/>
  <c r="A952" i="11"/>
  <c r="A953" i="11"/>
  <c r="A954" i="11"/>
  <c r="A955" i="11"/>
  <c r="A956" i="11"/>
  <c r="A957" i="11"/>
  <c r="A958" i="11"/>
  <c r="A959" i="11"/>
  <c r="A960" i="11"/>
  <c r="A961" i="11"/>
  <c r="A962" i="11"/>
  <c r="A963" i="11"/>
  <c r="A964" i="11"/>
  <c r="A965" i="11"/>
  <c r="A966" i="11"/>
  <c r="A967" i="11"/>
  <c r="A968" i="11"/>
  <c r="A969" i="11"/>
  <c r="A970" i="11"/>
  <c r="A971" i="11"/>
  <c r="A972" i="11"/>
  <c r="A973" i="11"/>
  <c r="A974" i="11"/>
  <c r="A975" i="11"/>
  <c r="A976" i="11"/>
  <c r="A977" i="11"/>
  <c r="A978" i="11"/>
  <c r="A979" i="11"/>
  <c r="A980" i="11"/>
  <c r="A981" i="11"/>
  <c r="A982" i="11"/>
  <c r="A983" i="11"/>
  <c r="A984" i="11"/>
  <c r="A985" i="11"/>
  <c r="A986" i="11"/>
  <c r="A987" i="11"/>
  <c r="A988" i="11"/>
  <c r="A989" i="11"/>
  <c r="A990" i="11"/>
  <c r="A991" i="11"/>
  <c r="A992" i="11"/>
  <c r="A993" i="11"/>
  <c r="A994" i="11"/>
  <c r="A995" i="11"/>
  <c r="A996" i="11"/>
  <c r="A997" i="11"/>
  <c r="A998" i="11"/>
  <c r="A999" i="11"/>
  <c r="A1000" i="11"/>
  <c r="A1001" i="11"/>
  <c r="A1002" i="11"/>
  <c r="A1003" i="11"/>
  <c r="A1004" i="11"/>
  <c r="A1005" i="11"/>
  <c r="A1006" i="11"/>
  <c r="A1007" i="11"/>
  <c r="A1008" i="11"/>
  <c r="A1009" i="11"/>
  <c r="A1010" i="11"/>
  <c r="A1011" i="11"/>
  <c r="A1012" i="11"/>
  <c r="A1013" i="11"/>
  <c r="A1014" i="11"/>
  <c r="A1015" i="11"/>
  <c r="A1016" i="11"/>
  <c r="A1017" i="11"/>
  <c r="A1018" i="11"/>
  <c r="A1019" i="11"/>
  <c r="A1020" i="11"/>
  <c r="A1021" i="11"/>
  <c r="A1022" i="11"/>
  <c r="A1023" i="11"/>
  <c r="A1024" i="11"/>
  <c r="A1025" i="11"/>
  <c r="A1026" i="11"/>
  <c r="A1027" i="11"/>
  <c r="A1028" i="11"/>
  <c r="A1029" i="11"/>
  <c r="A1030" i="11"/>
  <c r="A1031" i="11"/>
  <c r="A1032" i="11"/>
  <c r="A1033" i="11"/>
  <c r="A1034" i="11"/>
  <c r="A1035" i="11"/>
  <c r="A1036" i="11"/>
  <c r="A1037" i="11"/>
  <c r="A1038" i="11"/>
  <c r="A1039" i="11"/>
  <c r="A1040" i="11"/>
  <c r="A1041" i="11"/>
  <c r="A1042" i="11"/>
  <c r="A1043" i="11"/>
  <c r="A1044" i="11"/>
  <c r="A1045" i="11"/>
  <c r="A1046" i="11"/>
  <c r="A1047" i="11"/>
  <c r="A1048" i="11"/>
  <c r="A1049" i="11"/>
  <c r="A1050" i="11"/>
  <c r="A1051" i="11"/>
  <c r="A1052" i="11"/>
  <c r="A1053" i="11"/>
  <c r="A1054" i="11"/>
  <c r="A1055" i="11"/>
  <c r="A1056" i="11"/>
  <c r="A1057" i="11"/>
  <c r="A1058" i="11"/>
  <c r="A1059" i="11"/>
  <c r="A1060" i="11"/>
  <c r="A1061" i="11"/>
  <c r="A1062" i="11"/>
  <c r="A1063" i="11"/>
  <c r="A1064" i="11"/>
  <c r="A1065" i="11"/>
  <c r="A1066" i="11"/>
  <c r="A1067" i="11"/>
  <c r="A1068" i="11"/>
  <c r="A1069" i="11"/>
  <c r="A1070" i="11"/>
  <c r="A1071" i="11"/>
  <c r="A1072" i="11"/>
  <c r="A1073" i="11"/>
  <c r="A1074" i="11"/>
  <c r="A1075" i="11"/>
  <c r="A1076" i="11"/>
  <c r="A1077" i="11"/>
  <c r="A1078" i="11"/>
  <c r="A1079" i="11"/>
  <c r="A1080" i="11"/>
  <c r="A1081" i="11"/>
  <c r="A1082" i="11"/>
  <c r="A1083" i="11"/>
  <c r="A1084" i="11"/>
  <c r="A1085" i="11"/>
  <c r="A1086" i="11"/>
  <c r="A1087" i="11"/>
  <c r="A1088" i="11"/>
  <c r="A1089" i="11"/>
  <c r="A1090" i="11"/>
  <c r="A1091" i="11"/>
  <c r="A1092" i="11"/>
  <c r="A1093" i="11"/>
  <c r="A1094" i="11"/>
  <c r="A1095" i="11"/>
  <c r="A1096" i="11"/>
  <c r="A1097" i="11"/>
  <c r="A1098" i="11"/>
  <c r="A1099" i="11"/>
  <c r="A1100" i="11"/>
  <c r="A1101" i="11"/>
  <c r="A1102" i="11"/>
  <c r="A1103" i="11"/>
  <c r="A1104" i="11"/>
  <c r="A1105" i="11"/>
  <c r="A1106" i="11"/>
  <c r="A1107" i="11"/>
  <c r="A1108" i="11"/>
  <c r="A1109" i="11"/>
  <c r="A1110" i="11"/>
  <c r="A1111" i="11"/>
  <c r="A1112" i="11"/>
  <c r="A1113" i="11"/>
  <c r="A1114" i="11"/>
  <c r="A1115" i="11"/>
  <c r="A1116" i="11"/>
  <c r="A1117" i="11"/>
  <c r="A1118" i="11"/>
  <c r="A1119" i="11"/>
  <c r="A1120" i="11"/>
  <c r="A1121" i="11"/>
  <c r="A1122" i="11"/>
  <c r="A1123" i="11"/>
  <c r="A1124" i="11"/>
  <c r="A1125" i="11"/>
  <c r="A1126" i="11"/>
  <c r="A1127" i="11"/>
  <c r="A1128" i="11"/>
  <c r="A1129" i="11"/>
  <c r="A1130" i="11"/>
  <c r="A1131" i="11"/>
  <c r="A1132" i="11"/>
  <c r="A1133" i="11"/>
  <c r="A1134" i="11"/>
  <c r="A1135" i="11"/>
  <c r="A1136" i="11"/>
  <c r="A1137" i="11"/>
  <c r="A1138" i="11"/>
  <c r="A1139" i="11"/>
  <c r="A1140" i="11"/>
  <c r="A1141" i="11"/>
  <c r="A1142" i="11"/>
  <c r="A1143" i="11"/>
  <c r="A1144" i="11"/>
  <c r="A1145" i="11"/>
  <c r="A1146" i="11"/>
  <c r="A1147" i="11"/>
  <c r="A1148" i="11"/>
  <c r="A1149" i="11"/>
  <c r="A1150" i="11"/>
  <c r="A1151" i="11"/>
  <c r="A1152" i="11"/>
  <c r="A1153" i="11"/>
  <c r="A1154" i="11"/>
  <c r="A1155" i="11"/>
  <c r="A1156" i="11"/>
  <c r="A1157" i="11"/>
  <c r="A1158" i="11"/>
  <c r="A1159" i="11"/>
  <c r="A1160" i="11"/>
  <c r="A1161" i="11"/>
  <c r="A1162" i="11"/>
  <c r="A1163" i="11"/>
  <c r="A1164" i="11"/>
  <c r="A1165" i="11"/>
  <c r="A1166" i="11"/>
  <c r="A1167" i="11"/>
  <c r="A1168" i="11"/>
  <c r="A1169" i="11"/>
  <c r="A1170" i="11"/>
  <c r="A1171" i="11"/>
  <c r="A1172" i="11"/>
  <c r="A1173" i="11"/>
  <c r="A1174" i="11"/>
  <c r="A1175" i="11"/>
  <c r="A1176" i="11"/>
  <c r="A1177" i="11"/>
  <c r="A1178" i="11"/>
  <c r="A1179" i="11"/>
  <c r="A1180" i="11"/>
  <c r="A1181" i="11"/>
  <c r="A1182" i="11"/>
  <c r="A1183" i="11"/>
  <c r="A1184" i="11"/>
  <c r="A1185" i="11"/>
  <c r="A1186" i="11"/>
  <c r="A1187" i="11"/>
  <c r="A1188" i="11"/>
  <c r="A1189" i="11"/>
  <c r="A1190" i="11"/>
  <c r="A1191" i="11"/>
  <c r="A1192" i="11"/>
  <c r="A1193" i="11"/>
  <c r="A1194" i="11"/>
  <c r="A1195" i="11"/>
  <c r="A1196" i="11"/>
  <c r="A1197" i="11"/>
  <c r="A1198" i="11"/>
  <c r="A1199" i="11"/>
  <c r="A1200" i="11"/>
  <c r="A1201" i="11"/>
  <c r="A1202" i="11"/>
  <c r="A1203" i="11"/>
  <c r="A1204" i="11"/>
  <c r="A1205" i="11"/>
  <c r="A1206" i="11"/>
  <c r="A1207" i="11"/>
  <c r="A1208" i="11"/>
  <c r="A1209" i="11"/>
  <c r="A1210" i="11"/>
  <c r="A1211" i="11"/>
  <c r="A1212" i="11"/>
  <c r="A1213" i="11"/>
  <c r="A1214" i="11"/>
  <c r="A1215" i="11"/>
  <c r="A1216" i="11"/>
  <c r="A1217" i="11"/>
  <c r="A1218" i="11"/>
  <c r="A1219" i="11"/>
  <c r="A1220" i="11"/>
  <c r="A1221" i="11"/>
  <c r="A1222" i="11"/>
  <c r="A1223" i="11"/>
  <c r="A1224" i="11"/>
  <c r="A1225" i="11"/>
  <c r="A1226" i="11"/>
  <c r="A1227" i="11"/>
  <c r="A1228" i="11"/>
  <c r="A1229" i="11"/>
  <c r="A1230" i="11"/>
  <c r="A1231" i="11"/>
  <c r="A1232" i="11"/>
  <c r="A1233" i="11"/>
  <c r="A1234" i="11"/>
  <c r="A1235" i="11"/>
  <c r="A1236" i="11"/>
  <c r="A1237" i="11"/>
  <c r="A1238" i="11"/>
  <c r="A1239" i="11"/>
  <c r="A1240" i="11"/>
  <c r="A1241" i="11"/>
  <c r="A1242" i="11"/>
  <c r="A1243" i="11"/>
  <c r="A1244" i="11"/>
  <c r="A1245" i="11"/>
  <c r="A1246" i="11"/>
  <c r="A1247" i="11"/>
  <c r="A1248" i="11"/>
  <c r="A1249" i="11"/>
  <c r="A1250" i="11"/>
  <c r="A1251" i="11"/>
  <c r="A1252" i="11"/>
  <c r="A1253" i="11"/>
  <c r="A1254" i="11"/>
  <c r="A1255" i="11"/>
  <c r="A1256" i="11"/>
  <c r="A1257" i="11"/>
  <c r="A1258" i="11"/>
  <c r="A1259" i="11"/>
  <c r="A1260" i="11"/>
  <c r="A1261" i="11"/>
  <c r="A1262" i="11"/>
  <c r="A1263" i="11"/>
  <c r="A1264" i="11"/>
  <c r="A1265" i="11"/>
  <c r="A1266" i="11"/>
  <c r="A1267" i="11"/>
  <c r="A1268" i="11"/>
  <c r="A1269" i="11"/>
  <c r="A1270" i="11"/>
  <c r="A1271" i="11"/>
  <c r="A1272" i="11"/>
  <c r="A1273" i="11"/>
  <c r="A1274" i="11"/>
  <c r="A1275" i="11"/>
  <c r="A1276" i="11"/>
  <c r="A1277" i="11"/>
  <c r="A1278" i="11"/>
  <c r="A1279" i="11"/>
  <c r="A1280" i="11"/>
  <c r="A1281" i="11"/>
  <c r="A1282" i="11"/>
  <c r="A1283" i="11"/>
  <c r="A1284" i="11"/>
  <c r="A1285" i="11"/>
  <c r="A1286" i="11"/>
  <c r="A1287" i="11"/>
  <c r="A1288" i="11"/>
  <c r="A1289" i="11"/>
  <c r="A1290" i="11"/>
  <c r="A1291" i="11"/>
  <c r="A1292" i="11"/>
  <c r="A1293" i="11"/>
  <c r="A1294" i="11"/>
  <c r="A1295" i="11"/>
  <c r="A1296" i="11"/>
  <c r="A1297" i="11"/>
  <c r="A1298" i="11"/>
  <c r="A1299" i="11"/>
  <c r="A1300" i="11"/>
  <c r="A1301" i="11"/>
  <c r="A1302" i="11"/>
  <c r="A1303" i="11"/>
  <c r="A1304" i="11"/>
  <c r="A1305" i="11"/>
  <c r="A1306" i="11"/>
  <c r="A1307" i="11"/>
  <c r="A1308" i="11"/>
  <c r="A1309" i="11"/>
  <c r="A1310" i="11"/>
  <c r="A1311" i="11"/>
  <c r="A1312" i="11"/>
  <c r="A1313" i="11"/>
  <c r="A1314" i="11"/>
  <c r="A1315" i="11"/>
  <c r="A1316" i="11"/>
  <c r="A1317" i="11"/>
  <c r="A1318" i="11"/>
  <c r="A1319" i="11"/>
  <c r="A1320" i="11"/>
  <c r="A1321" i="11"/>
  <c r="A1322" i="11"/>
  <c r="A1323" i="11"/>
  <c r="A1324" i="11"/>
  <c r="A1325" i="11"/>
  <c r="A1326" i="11"/>
  <c r="A1327" i="11"/>
  <c r="A1328" i="11"/>
  <c r="A1329" i="11"/>
  <c r="A1330" i="11"/>
  <c r="A1331" i="11"/>
  <c r="A1332" i="11"/>
  <c r="A1333" i="11"/>
  <c r="A1334" i="11"/>
  <c r="A1335" i="11"/>
  <c r="A1336" i="11"/>
  <c r="A1337" i="11"/>
  <c r="A1338" i="11"/>
  <c r="A1339" i="11"/>
  <c r="A1340" i="11"/>
  <c r="A1341" i="11"/>
  <c r="A1342" i="11"/>
  <c r="A1343" i="11"/>
  <c r="A1344" i="11"/>
  <c r="A1345" i="11"/>
  <c r="A1346" i="11"/>
  <c r="A1347" i="11"/>
  <c r="A1348" i="11"/>
  <c r="A1349" i="11"/>
  <c r="A1350" i="11"/>
  <c r="A1351" i="11"/>
  <c r="A1352" i="11"/>
  <c r="A1353" i="11"/>
  <c r="A1354" i="11"/>
  <c r="A1355" i="11"/>
  <c r="A1356" i="11"/>
  <c r="A1357" i="11"/>
  <c r="A1358" i="11"/>
  <c r="A1359" i="11"/>
  <c r="A1360" i="11"/>
  <c r="A1361" i="11"/>
  <c r="A1362" i="11"/>
  <c r="A1363" i="11"/>
  <c r="A1364" i="11"/>
  <c r="A1365" i="11"/>
  <c r="A1366" i="11"/>
  <c r="A1367" i="11"/>
  <c r="A1368" i="11"/>
  <c r="A1369" i="11"/>
  <c r="A1370" i="11"/>
  <c r="A1371" i="11"/>
  <c r="A1372" i="11"/>
  <c r="A1373" i="11"/>
  <c r="A1374" i="11"/>
  <c r="A1375" i="11"/>
  <c r="A1376" i="11"/>
  <c r="A1377" i="11"/>
  <c r="A1378" i="11"/>
  <c r="A1379" i="11"/>
  <c r="A1380" i="11"/>
  <c r="A1381" i="11"/>
  <c r="A1382" i="11"/>
  <c r="A1383" i="11"/>
  <c r="A1384" i="11"/>
  <c r="A1385" i="11"/>
  <c r="A1386" i="11"/>
  <c r="A1387" i="11"/>
  <c r="A1388" i="11"/>
  <c r="A1389" i="11"/>
  <c r="A1390" i="11"/>
  <c r="A1391" i="11"/>
  <c r="A1392" i="11"/>
  <c r="A1393" i="11"/>
  <c r="A1394" i="11"/>
  <c r="A1395" i="11"/>
  <c r="A1396" i="11"/>
  <c r="A1397" i="11"/>
  <c r="A1398" i="11"/>
  <c r="A1399" i="11"/>
  <c r="A1400" i="11"/>
  <c r="A1401" i="11"/>
  <c r="A1402" i="11"/>
  <c r="A1403" i="11"/>
  <c r="A1404" i="11"/>
  <c r="A1405" i="11"/>
  <c r="A1406" i="11"/>
  <c r="A1407" i="11"/>
  <c r="A1408" i="11"/>
  <c r="A1409" i="11"/>
  <c r="A1410" i="11"/>
  <c r="A1411" i="11"/>
  <c r="A1412" i="11"/>
  <c r="A1413" i="11"/>
  <c r="A1414" i="11"/>
  <c r="A1415" i="11"/>
  <c r="A1416" i="11"/>
  <c r="A1417" i="11"/>
  <c r="A1418" i="11"/>
  <c r="A1419" i="11"/>
  <c r="A1420" i="11"/>
  <c r="A1421" i="11"/>
  <c r="A1422" i="11"/>
  <c r="A1423" i="11"/>
  <c r="A1424" i="11"/>
  <c r="A1425" i="11"/>
  <c r="A1426" i="11"/>
  <c r="A1427" i="11"/>
  <c r="A1428" i="11"/>
  <c r="A1429" i="11"/>
  <c r="A1430" i="11"/>
  <c r="A1431" i="11"/>
  <c r="A1432" i="11"/>
  <c r="A1433" i="11"/>
  <c r="A1434" i="11"/>
  <c r="A1435" i="11"/>
  <c r="A1436" i="11"/>
  <c r="A1437" i="11"/>
  <c r="A1438" i="11"/>
  <c r="A1439" i="11"/>
  <c r="A1440" i="11"/>
  <c r="A1441" i="11"/>
  <c r="A1442" i="11"/>
  <c r="A1443" i="11"/>
  <c r="A1444" i="11"/>
  <c r="A1445" i="11"/>
  <c r="A1446" i="11"/>
  <c r="A1447" i="11"/>
  <c r="A1448" i="11"/>
  <c r="A1449" i="11"/>
  <c r="A1450" i="11"/>
  <c r="A1451" i="11"/>
  <c r="A1452" i="11"/>
  <c r="A1453" i="11"/>
  <c r="A1454" i="11"/>
  <c r="A1455" i="11"/>
  <c r="A1456" i="11"/>
  <c r="A1457" i="11"/>
  <c r="A1458" i="11"/>
  <c r="A1459" i="11"/>
  <c r="A1460" i="11"/>
  <c r="A1461" i="11"/>
  <c r="A1462" i="11"/>
  <c r="A1463" i="11"/>
  <c r="A1464" i="11"/>
  <c r="A1465" i="11"/>
  <c r="A1466" i="11"/>
  <c r="A1467" i="11"/>
  <c r="A1468" i="11"/>
  <c r="A1469" i="11"/>
  <c r="A1470" i="11"/>
  <c r="A1471" i="11"/>
  <c r="A1472" i="11"/>
  <c r="A1473" i="11"/>
  <c r="A1474" i="11"/>
  <c r="A1475" i="11"/>
  <c r="A1476" i="11"/>
  <c r="A1477" i="11"/>
  <c r="A1478" i="11"/>
  <c r="A1479" i="11"/>
  <c r="A1480" i="11"/>
  <c r="A1481" i="11"/>
  <c r="A1482" i="11"/>
  <c r="A1483" i="11"/>
  <c r="A1484" i="11"/>
  <c r="A1485" i="11"/>
  <c r="A1486" i="11"/>
  <c r="A1487" i="11"/>
  <c r="A1488" i="11"/>
  <c r="A1489" i="11"/>
  <c r="A1490" i="11"/>
  <c r="A1491" i="11"/>
  <c r="A1492" i="11"/>
  <c r="A1493" i="11"/>
  <c r="A1494" i="11"/>
  <c r="A1495" i="11"/>
  <c r="A1496" i="11"/>
  <c r="A1497" i="11"/>
  <c r="A1498" i="11"/>
  <c r="A1499" i="11"/>
  <c r="A1500" i="11"/>
  <c r="A1501" i="11"/>
  <c r="A1502" i="11"/>
  <c r="A1503" i="11"/>
  <c r="A1504" i="11"/>
  <c r="A1505" i="11"/>
  <c r="A1506" i="11"/>
  <c r="A1507" i="11"/>
  <c r="A1508" i="11"/>
  <c r="A1509" i="11"/>
  <c r="A1510" i="11"/>
  <c r="A1511" i="11"/>
  <c r="A1512" i="11"/>
  <c r="A1513" i="11"/>
  <c r="A1514" i="11"/>
  <c r="A1515" i="11"/>
  <c r="A1516" i="11"/>
  <c r="A1517" i="11"/>
  <c r="A1518" i="11"/>
  <c r="A1519" i="11"/>
  <c r="A1520" i="11"/>
  <c r="A1521" i="11"/>
  <c r="A1522" i="11"/>
  <c r="A1523" i="11"/>
  <c r="A1524" i="11"/>
  <c r="A1525" i="11"/>
  <c r="A1526" i="11"/>
  <c r="A1527" i="11"/>
  <c r="A1528" i="11"/>
  <c r="A1529" i="11"/>
  <c r="A1530" i="11"/>
  <c r="A1531" i="11"/>
  <c r="A1532" i="11"/>
  <c r="A1533" i="11"/>
  <c r="A1534" i="11"/>
  <c r="A1535" i="11"/>
  <c r="A1536" i="11"/>
  <c r="A1537" i="11"/>
  <c r="A1538" i="11"/>
  <c r="A1539" i="11"/>
  <c r="A1540" i="11"/>
  <c r="A1541" i="11"/>
  <c r="A1542" i="11"/>
  <c r="A1543" i="11"/>
  <c r="A1544" i="11"/>
  <c r="A1545" i="11"/>
  <c r="A1546" i="11"/>
  <c r="A1547" i="11"/>
  <c r="A1548" i="11"/>
  <c r="A1549" i="11"/>
  <c r="A1550" i="11"/>
  <c r="A1551" i="11"/>
  <c r="A1552" i="11"/>
  <c r="A1553" i="11"/>
  <c r="A1554" i="11"/>
  <c r="A1555" i="11"/>
  <c r="A1556" i="11"/>
  <c r="A1557" i="11"/>
  <c r="A1558" i="11"/>
  <c r="A1559" i="11"/>
  <c r="A1560" i="11"/>
  <c r="A1561" i="11"/>
  <c r="A1562" i="11"/>
  <c r="A1563" i="11"/>
  <c r="A1564" i="11"/>
  <c r="A1565" i="11"/>
  <c r="A1566" i="11"/>
  <c r="A1567" i="11"/>
  <c r="A1568" i="11"/>
  <c r="A1569" i="11"/>
  <c r="A1570" i="11"/>
  <c r="A1571" i="11"/>
  <c r="A1572" i="11"/>
  <c r="A1573" i="11"/>
  <c r="A1574" i="11"/>
  <c r="A1575" i="11"/>
  <c r="A1576" i="11"/>
  <c r="A1577" i="11"/>
  <c r="A1578" i="11"/>
  <c r="A1579" i="11"/>
  <c r="A1580" i="11"/>
  <c r="A1581" i="11"/>
  <c r="A1582" i="11"/>
  <c r="A1583" i="11"/>
  <c r="A1584" i="11"/>
  <c r="A1585" i="11"/>
  <c r="A1586" i="11"/>
  <c r="A1587" i="11"/>
  <c r="A1588" i="11"/>
  <c r="A1589" i="11"/>
  <c r="A1590" i="11"/>
  <c r="A1591" i="11"/>
  <c r="A1592" i="11"/>
  <c r="A1593" i="11"/>
  <c r="A1594" i="11"/>
  <c r="A1595" i="11"/>
  <c r="A1596" i="11"/>
  <c r="A1597" i="11"/>
  <c r="A1598" i="11"/>
  <c r="A1599" i="11"/>
  <c r="A1600" i="11"/>
  <c r="A1601" i="11"/>
  <c r="A1602" i="11"/>
  <c r="A1603" i="11"/>
  <c r="A1604" i="11"/>
  <c r="A1605" i="11"/>
  <c r="A1606" i="11"/>
  <c r="A1607" i="11"/>
  <c r="A1608" i="11"/>
  <c r="A1609" i="11"/>
  <c r="A1610" i="11"/>
  <c r="A1611" i="11"/>
  <c r="A1612" i="11"/>
  <c r="A1613" i="11"/>
  <c r="A1614" i="11"/>
  <c r="A1615" i="11"/>
  <c r="A1616" i="11"/>
  <c r="A1617" i="11"/>
  <c r="A1618" i="11"/>
  <c r="A1619" i="11"/>
  <c r="A1620" i="11"/>
  <c r="A1621" i="11"/>
  <c r="A1622" i="11"/>
  <c r="A1623" i="11"/>
  <c r="A1624" i="11"/>
  <c r="A1625" i="11"/>
  <c r="A1626" i="11"/>
  <c r="A1627" i="11"/>
  <c r="A1628" i="11"/>
  <c r="A1629" i="11"/>
  <c r="A1630" i="11"/>
  <c r="A1631" i="11"/>
  <c r="A1632" i="11"/>
  <c r="A1633" i="11"/>
  <c r="A1634" i="11"/>
  <c r="A1635" i="11"/>
  <c r="A1636" i="11"/>
  <c r="A1637" i="11"/>
  <c r="A1638" i="11"/>
  <c r="A1639" i="11"/>
  <c r="A1640" i="11"/>
  <c r="A1641" i="11"/>
  <c r="A1642" i="11"/>
  <c r="A1643" i="11"/>
  <c r="A1644" i="11"/>
  <c r="A1645" i="11"/>
  <c r="A1646" i="11"/>
  <c r="A1647" i="11"/>
  <c r="A1648" i="11"/>
  <c r="A1649" i="11"/>
  <c r="A1650" i="11"/>
  <c r="A1651" i="11"/>
  <c r="A1652" i="11"/>
  <c r="A1653" i="11"/>
  <c r="A1654" i="11"/>
  <c r="A1655" i="11"/>
  <c r="A1656" i="11"/>
  <c r="A1657" i="11"/>
  <c r="A1658" i="11"/>
  <c r="A1659" i="11"/>
  <c r="A1660" i="11"/>
  <c r="A1661" i="11"/>
  <c r="A1662" i="11"/>
  <c r="A1663" i="11"/>
  <c r="A1664" i="11"/>
  <c r="A1665" i="11"/>
  <c r="A1666" i="11"/>
  <c r="A1667" i="11"/>
  <c r="A1668" i="11"/>
  <c r="A1669" i="11"/>
  <c r="A1670" i="11"/>
  <c r="A1671" i="11"/>
  <c r="A1672" i="11"/>
  <c r="A1673" i="11"/>
  <c r="A1674" i="11"/>
  <c r="A1675" i="11"/>
  <c r="A1676" i="11"/>
  <c r="A1677" i="11"/>
  <c r="A1678" i="11"/>
  <c r="A1679" i="11"/>
  <c r="A1680" i="11"/>
  <c r="A1681" i="11"/>
  <c r="A1682" i="11"/>
  <c r="A1683" i="11"/>
  <c r="A1684" i="11"/>
  <c r="A1685" i="11"/>
  <c r="A1686" i="11"/>
  <c r="A1687" i="11"/>
  <c r="A1688" i="11"/>
  <c r="A1689" i="11"/>
  <c r="A1690" i="11"/>
  <c r="A1691" i="11"/>
  <c r="A1692" i="11"/>
  <c r="A1693" i="11"/>
  <c r="A1694" i="11"/>
  <c r="A1695" i="11"/>
  <c r="A1696" i="11"/>
  <c r="A1697" i="11"/>
  <c r="A1698" i="11"/>
  <c r="A1699" i="11"/>
  <c r="A1700" i="11"/>
  <c r="A1701" i="11"/>
  <c r="A1702" i="11"/>
  <c r="A1703" i="11"/>
  <c r="A1704" i="11"/>
  <c r="A1705" i="11"/>
  <c r="A1706" i="11"/>
  <c r="A1707" i="11"/>
  <c r="A1708" i="11"/>
  <c r="A1709" i="11"/>
  <c r="A1710" i="11"/>
  <c r="A1711" i="11"/>
  <c r="A1712" i="11"/>
  <c r="A1713" i="11"/>
  <c r="A1714" i="11"/>
  <c r="A1715" i="11"/>
  <c r="A1716" i="11"/>
  <c r="A1717" i="11"/>
  <c r="A1718" i="11"/>
  <c r="A1719" i="11"/>
  <c r="A1720" i="11"/>
  <c r="A1721" i="11"/>
  <c r="A1722" i="11"/>
  <c r="A1723" i="11"/>
  <c r="A1724" i="11"/>
  <c r="A1725" i="11"/>
  <c r="A1726" i="11"/>
  <c r="A1727" i="11"/>
  <c r="A1728" i="11"/>
  <c r="A1729" i="11"/>
  <c r="A1730" i="11"/>
  <c r="A1731" i="11"/>
  <c r="A1732" i="11"/>
  <c r="A1733" i="11"/>
  <c r="A1734" i="11"/>
  <c r="A1735" i="11"/>
  <c r="A1736" i="11"/>
  <c r="A1737" i="11"/>
  <c r="A1738" i="11"/>
  <c r="A1739" i="11"/>
  <c r="A1740" i="11"/>
  <c r="A1741" i="11"/>
  <c r="A1742" i="11"/>
  <c r="A1743" i="11"/>
  <c r="A1744" i="11"/>
  <c r="A1745" i="11"/>
  <c r="A1746" i="11"/>
  <c r="A1747" i="11"/>
  <c r="A1748" i="11"/>
  <c r="A1749" i="11"/>
  <c r="A1750" i="11"/>
  <c r="A1751" i="11"/>
  <c r="A1752" i="11"/>
  <c r="A1753" i="11"/>
  <c r="A1754" i="11"/>
  <c r="A1755" i="11"/>
  <c r="A1756" i="11"/>
  <c r="A1757" i="11"/>
  <c r="A1758" i="11"/>
  <c r="A1759" i="11"/>
  <c r="A1760" i="11"/>
  <c r="A1761" i="11"/>
  <c r="A1762" i="11"/>
  <c r="A1763" i="11"/>
  <c r="A1764" i="11"/>
  <c r="A1765" i="11"/>
  <c r="A1766" i="11"/>
  <c r="A1767" i="11"/>
  <c r="A1768" i="11"/>
  <c r="A1769" i="11"/>
  <c r="A1770" i="11"/>
  <c r="A1771" i="11"/>
  <c r="A1772" i="11"/>
  <c r="A1773" i="11"/>
  <c r="A1774" i="11"/>
  <c r="A1775" i="11"/>
  <c r="A1776" i="11"/>
  <c r="A1777" i="11"/>
  <c r="A1778" i="11"/>
  <c r="A1779" i="11"/>
  <c r="A1780" i="11"/>
  <c r="A1781" i="11"/>
  <c r="A1782" i="11"/>
  <c r="A1783" i="11"/>
  <c r="A1784" i="11"/>
  <c r="A1785" i="11"/>
  <c r="A1786" i="11"/>
  <c r="A1787" i="11"/>
  <c r="A1788" i="11"/>
  <c r="A1789" i="11"/>
  <c r="A1790" i="11"/>
  <c r="A1791" i="11"/>
  <c r="A1792" i="11"/>
  <c r="A1793" i="11"/>
  <c r="A1794" i="11"/>
  <c r="A1795" i="11"/>
  <c r="A1796" i="11"/>
  <c r="A1797" i="11"/>
  <c r="A1798" i="11"/>
  <c r="A1799" i="11"/>
  <c r="A1800" i="11"/>
  <c r="A1801" i="11"/>
  <c r="A1802" i="11"/>
  <c r="A1803" i="11"/>
  <c r="A1804" i="11"/>
  <c r="A1805" i="11"/>
  <c r="A1806" i="11"/>
  <c r="A1807" i="11"/>
  <c r="A1808" i="11"/>
  <c r="A1809" i="11"/>
  <c r="A1810" i="11"/>
  <c r="A1811" i="11"/>
  <c r="A1812" i="11"/>
  <c r="A1813" i="11"/>
  <c r="A1814" i="11"/>
  <c r="A1815" i="11"/>
  <c r="A1816" i="11"/>
  <c r="A1817" i="11"/>
  <c r="A1818" i="11"/>
  <c r="A1819" i="11"/>
  <c r="A1820" i="11"/>
  <c r="A1821" i="11"/>
  <c r="A1822" i="11"/>
  <c r="A1823" i="11"/>
  <c r="A1824" i="11"/>
  <c r="A1825" i="11"/>
  <c r="A1826" i="11"/>
  <c r="A1827" i="11"/>
  <c r="A1828" i="11"/>
  <c r="A1829" i="11"/>
  <c r="A1830" i="11"/>
  <c r="A1831" i="11"/>
  <c r="A1832" i="11"/>
  <c r="A1833" i="11"/>
  <c r="A1834" i="11"/>
  <c r="A1835" i="11"/>
  <c r="A1836" i="11"/>
  <c r="A1837" i="11"/>
  <c r="A1838" i="11"/>
  <c r="A1839" i="11"/>
  <c r="A1840" i="11"/>
  <c r="A1841" i="11"/>
  <c r="A1842" i="11"/>
  <c r="A1843" i="11"/>
  <c r="A1844" i="11"/>
  <c r="A1845" i="11"/>
  <c r="A1846" i="11"/>
  <c r="A1847" i="11"/>
  <c r="A1848" i="11"/>
  <c r="A1849" i="11"/>
  <c r="A1850" i="11"/>
  <c r="A1851" i="11"/>
  <c r="A1852" i="11"/>
  <c r="A1853" i="11"/>
  <c r="A1854" i="11"/>
  <c r="A1855" i="11"/>
  <c r="A1856" i="11"/>
  <c r="A1857" i="11"/>
  <c r="A1858" i="11"/>
  <c r="A1859" i="11"/>
  <c r="A1860" i="11"/>
  <c r="A1861" i="11"/>
  <c r="A1862" i="11"/>
  <c r="A1863" i="11"/>
  <c r="A1864" i="11"/>
  <c r="A1865" i="11"/>
  <c r="A1866" i="11"/>
  <c r="A1867" i="11"/>
  <c r="A1868" i="11"/>
  <c r="A1869" i="11"/>
  <c r="A1870" i="11"/>
  <c r="A1871" i="11"/>
  <c r="A1872" i="11"/>
  <c r="A1873" i="11"/>
  <c r="A1874" i="11"/>
  <c r="A1875" i="11"/>
  <c r="A1876" i="11"/>
  <c r="A1877" i="11"/>
  <c r="A1878" i="11"/>
  <c r="A1879" i="11"/>
  <c r="A1880" i="11"/>
  <c r="A1881" i="11"/>
  <c r="A1882" i="11"/>
  <c r="A1883" i="11"/>
  <c r="A1884" i="11"/>
  <c r="A1885" i="11"/>
  <c r="A1886" i="11"/>
  <c r="A1887" i="11"/>
  <c r="A1888" i="11"/>
  <c r="A1889" i="11"/>
  <c r="A1890" i="11"/>
  <c r="A1891" i="11"/>
  <c r="A1892" i="11"/>
  <c r="A1893" i="11"/>
  <c r="A1894" i="11"/>
  <c r="A1895" i="11"/>
  <c r="A1896" i="11"/>
  <c r="A1897" i="11"/>
  <c r="A1898" i="11"/>
  <c r="A1899" i="11"/>
  <c r="A1900" i="11"/>
  <c r="A1901" i="11"/>
  <c r="A1902" i="11"/>
  <c r="A1903" i="11"/>
  <c r="A1904" i="11"/>
  <c r="A1905" i="11"/>
  <c r="A1906" i="11"/>
  <c r="A1907" i="11"/>
  <c r="A1908" i="11"/>
  <c r="A1909" i="11"/>
  <c r="A1910" i="11"/>
  <c r="A1911" i="11"/>
  <c r="A1912" i="11"/>
  <c r="A1913" i="11"/>
  <c r="A1914" i="11"/>
  <c r="A1915" i="11"/>
  <c r="A1916" i="11"/>
  <c r="A1917" i="11"/>
  <c r="A1918" i="11"/>
  <c r="A1919" i="11"/>
  <c r="A1920" i="11"/>
  <c r="A1921" i="11"/>
  <c r="A1922" i="11"/>
  <c r="A1923" i="11"/>
  <c r="A1924" i="11"/>
  <c r="A1925" i="11"/>
  <c r="A1926" i="11"/>
  <c r="A1927" i="11"/>
  <c r="A1928" i="11"/>
  <c r="A1929" i="11"/>
  <c r="A1930" i="11"/>
  <c r="A1931" i="11"/>
  <c r="A1932" i="11"/>
  <c r="A1933" i="11"/>
  <c r="A1934" i="11"/>
  <c r="A1935" i="11"/>
  <c r="A1936" i="11"/>
  <c r="A1937" i="11"/>
  <c r="A1938" i="11"/>
  <c r="A1939" i="11"/>
  <c r="A1940" i="11"/>
  <c r="A1941" i="11"/>
  <c r="A1942" i="11"/>
  <c r="A1943" i="11"/>
  <c r="A1944" i="11"/>
  <c r="A1945" i="11"/>
  <c r="A1946" i="11"/>
  <c r="A1947" i="11"/>
  <c r="A1948" i="11"/>
  <c r="A1949" i="11"/>
  <c r="A1950" i="11"/>
  <c r="A1951" i="11"/>
  <c r="A1952" i="11"/>
  <c r="A1953" i="11"/>
  <c r="A1954" i="11"/>
  <c r="A1955" i="11"/>
  <c r="A1956" i="11"/>
  <c r="A1957" i="11"/>
  <c r="A1958" i="11"/>
  <c r="A1959" i="11"/>
  <c r="A1960" i="11"/>
  <c r="A1961" i="11"/>
  <c r="A1962" i="11"/>
  <c r="A1963" i="11"/>
  <c r="A1964" i="11"/>
  <c r="A1965" i="11"/>
  <c r="A1966" i="11"/>
  <c r="A1967" i="11"/>
  <c r="A1968" i="11"/>
  <c r="A1969" i="11"/>
  <c r="A1970" i="11"/>
  <c r="A1971" i="11"/>
  <c r="A1972" i="11"/>
  <c r="A1973" i="11"/>
  <c r="A1974" i="11"/>
  <c r="A1975" i="11"/>
  <c r="A1976" i="11"/>
  <c r="A1977" i="11"/>
  <c r="A1978" i="11"/>
  <c r="A1979" i="11"/>
  <c r="A1980" i="11"/>
  <c r="A1981" i="11"/>
  <c r="A1982" i="11"/>
  <c r="A1983" i="11"/>
  <c r="A1984" i="11"/>
  <c r="A1985" i="11"/>
  <c r="A1986" i="11"/>
  <c r="A1987" i="11"/>
  <c r="A1988" i="11"/>
  <c r="A1989" i="11"/>
  <c r="A1990" i="11"/>
  <c r="A1991" i="11"/>
  <c r="A1992" i="11"/>
  <c r="A1993" i="11"/>
  <c r="A1994" i="11"/>
  <c r="A1995" i="11"/>
  <c r="A1996" i="11"/>
  <c r="A1997" i="11"/>
  <c r="A1998" i="11"/>
  <c r="A1999" i="11"/>
  <c r="A2000" i="11"/>
  <c r="A2001" i="11"/>
  <c r="A2002" i="11"/>
  <c r="A2003" i="11"/>
  <c r="A2004" i="11"/>
  <c r="A2005" i="11"/>
  <c r="A2006" i="11"/>
  <c r="A2007" i="11"/>
  <c r="A2008" i="11"/>
  <c r="A2009" i="11"/>
  <c r="A2010" i="11"/>
  <c r="A2011" i="11"/>
  <c r="A2012" i="11"/>
  <c r="A2013" i="11"/>
  <c r="A2014" i="11"/>
  <c r="A2015" i="11"/>
  <c r="A2016" i="11"/>
  <c r="A2017" i="11"/>
  <c r="A2018" i="11"/>
  <c r="A2019" i="11"/>
  <c r="A2020" i="11"/>
  <c r="A2021" i="11"/>
  <c r="A2022" i="11"/>
  <c r="A2023" i="11"/>
  <c r="A2024" i="11"/>
  <c r="A2025" i="11"/>
  <c r="A2026" i="11"/>
  <c r="A2027" i="11"/>
  <c r="A2028" i="11"/>
  <c r="A2029" i="11"/>
  <c r="A2030" i="11"/>
  <c r="A2031" i="11"/>
  <c r="A2032" i="11"/>
  <c r="A2033" i="11"/>
  <c r="A2034" i="11"/>
  <c r="A2035" i="11"/>
  <c r="A2036" i="11"/>
  <c r="A2037" i="11"/>
  <c r="A2038" i="11"/>
  <c r="A2039" i="11"/>
  <c r="A2040" i="11"/>
  <c r="A2041" i="11"/>
  <c r="A2042" i="11"/>
  <c r="A2043" i="11"/>
  <c r="A2044" i="11"/>
  <c r="A2045" i="11"/>
  <c r="A2046" i="11"/>
  <c r="A2047" i="11"/>
  <c r="A2048" i="11"/>
  <c r="A2049" i="11"/>
  <c r="A2050" i="11"/>
  <c r="A2051" i="11"/>
  <c r="A2052" i="11"/>
  <c r="A2053" i="11"/>
  <c r="A2054" i="11"/>
  <c r="A2055" i="11"/>
  <c r="A2056" i="11"/>
  <c r="A2057" i="11"/>
  <c r="A2058" i="11"/>
  <c r="A2059" i="11"/>
  <c r="A2060" i="11"/>
  <c r="A2061" i="11"/>
  <c r="A2062" i="11"/>
  <c r="A2063" i="11"/>
  <c r="A2064" i="11"/>
  <c r="A2065" i="11"/>
  <c r="A2066" i="11"/>
  <c r="A2067" i="11"/>
  <c r="A2068" i="11"/>
  <c r="A2069" i="11"/>
  <c r="A2070" i="11"/>
  <c r="A2071" i="11"/>
  <c r="A2072" i="11"/>
  <c r="A2073" i="11"/>
  <c r="A2074" i="11"/>
  <c r="A2075" i="11"/>
  <c r="A2076" i="11"/>
  <c r="A2077" i="11"/>
  <c r="A2078" i="11"/>
  <c r="A2079" i="11"/>
  <c r="A2080" i="11"/>
  <c r="A2081" i="11"/>
  <c r="A2082" i="11"/>
  <c r="A2083" i="11"/>
  <c r="A2084" i="11"/>
  <c r="A2085" i="11"/>
  <c r="A2086" i="11"/>
  <c r="A2087" i="11"/>
  <c r="A2088" i="11"/>
  <c r="A2089" i="11"/>
  <c r="A2090" i="11"/>
  <c r="A2091" i="11"/>
  <c r="A2092" i="11"/>
  <c r="A2093" i="11"/>
  <c r="A2094" i="11"/>
  <c r="A2095" i="11"/>
  <c r="A2096" i="11"/>
  <c r="A2097" i="11"/>
  <c r="A2098" i="11"/>
  <c r="A2099" i="11"/>
  <c r="A2100" i="11"/>
  <c r="A2101" i="11"/>
  <c r="A2102" i="11"/>
  <c r="A2103" i="11"/>
  <c r="A2104" i="11"/>
  <c r="A2105" i="11"/>
  <c r="A2106" i="11"/>
  <c r="A2107" i="11"/>
  <c r="A2108" i="11"/>
  <c r="A2109" i="11"/>
  <c r="A2110" i="11"/>
  <c r="A2111" i="11"/>
  <c r="A2112" i="11"/>
  <c r="A2113" i="11"/>
  <c r="A2114" i="11"/>
  <c r="A2115" i="11"/>
  <c r="A2116" i="11"/>
  <c r="A2117" i="11"/>
  <c r="A2118" i="11"/>
  <c r="A2119" i="11"/>
  <c r="A2120" i="11"/>
  <c r="A2121" i="11"/>
  <c r="A2122" i="11"/>
  <c r="A2123" i="11"/>
  <c r="A2124" i="11"/>
  <c r="A2125" i="11"/>
  <c r="A2126" i="11"/>
  <c r="A2127" i="11"/>
  <c r="A2128" i="11"/>
  <c r="A2129" i="11"/>
  <c r="A2130" i="11"/>
  <c r="A2131" i="11"/>
  <c r="A2132" i="11"/>
  <c r="A2133" i="11"/>
  <c r="A2134" i="11"/>
  <c r="A2135" i="11"/>
  <c r="A2136" i="11"/>
  <c r="A2137" i="11"/>
  <c r="A2138" i="11"/>
  <c r="A2139" i="11"/>
  <c r="A2140" i="11"/>
  <c r="A2141" i="11"/>
  <c r="A2142" i="11"/>
  <c r="A2143" i="11"/>
  <c r="A2144" i="11"/>
  <c r="A2145" i="11"/>
  <c r="A2146" i="11"/>
  <c r="A2147" i="11"/>
  <c r="A2148" i="11"/>
  <c r="A2149" i="11"/>
  <c r="A2150" i="11"/>
  <c r="A2151" i="11"/>
  <c r="A2152" i="11"/>
  <c r="A2153" i="11"/>
  <c r="A2154" i="11"/>
  <c r="A2155" i="11"/>
  <c r="A2156" i="11"/>
  <c r="A2157" i="11"/>
  <c r="A2158" i="11"/>
  <c r="A2159" i="11"/>
  <c r="A2160" i="11"/>
  <c r="A2161" i="11"/>
  <c r="A2162" i="11"/>
  <c r="A2163" i="11"/>
  <c r="A2164" i="11"/>
  <c r="A2165" i="11"/>
  <c r="A2166" i="11"/>
  <c r="A2167" i="11"/>
  <c r="A2168" i="11"/>
  <c r="A2169" i="11"/>
  <c r="A2170" i="11"/>
  <c r="A2171" i="11"/>
  <c r="A2172" i="11"/>
  <c r="A2173" i="11"/>
  <c r="A2174" i="11"/>
  <c r="A2175" i="11"/>
  <c r="A2176" i="11"/>
  <c r="A2177" i="11"/>
  <c r="A2178" i="11"/>
  <c r="A2179" i="11"/>
  <c r="A2180" i="11"/>
  <c r="A2181" i="11"/>
  <c r="A2182" i="11"/>
  <c r="A2183" i="11"/>
  <c r="A2184" i="11"/>
  <c r="A2185" i="11"/>
  <c r="A2186" i="11"/>
  <c r="A2187" i="11"/>
  <c r="A2188" i="11"/>
  <c r="A2189" i="11"/>
  <c r="A2190" i="11"/>
  <c r="A2191" i="11"/>
  <c r="A2192" i="11"/>
  <c r="A2193" i="11"/>
  <c r="A2194" i="11"/>
  <c r="A2195" i="11"/>
  <c r="A2196" i="11"/>
  <c r="A2197" i="11"/>
  <c r="A2198" i="11"/>
  <c r="A2199" i="11"/>
  <c r="A2200" i="11"/>
  <c r="A2201" i="11"/>
  <c r="A2202" i="11"/>
  <c r="A2203" i="11"/>
  <c r="A2204" i="11"/>
  <c r="A2205" i="11"/>
  <c r="A2206" i="11"/>
  <c r="A2207" i="11"/>
  <c r="A2208" i="11"/>
  <c r="A2209" i="11"/>
  <c r="A2210" i="11"/>
  <c r="A2211" i="11"/>
  <c r="A2212" i="11"/>
  <c r="A2213" i="11"/>
  <c r="A2214" i="11"/>
  <c r="A2215" i="11"/>
  <c r="A2216" i="11"/>
  <c r="A2217" i="11"/>
  <c r="A2218" i="11"/>
  <c r="A2219" i="11"/>
  <c r="A2220" i="11"/>
  <c r="A2221" i="11"/>
  <c r="A2222" i="11"/>
  <c r="A2223" i="11"/>
  <c r="A2224" i="11"/>
  <c r="A2225" i="11"/>
  <c r="A2226" i="11"/>
  <c r="A2227" i="11"/>
  <c r="A2228" i="11"/>
  <c r="A2229" i="11"/>
  <c r="A2230" i="11"/>
  <c r="A2231" i="11"/>
  <c r="A2232" i="11"/>
  <c r="A2233" i="11"/>
  <c r="A2234" i="11"/>
  <c r="A2235" i="11"/>
  <c r="A2236" i="11"/>
  <c r="A2237" i="11"/>
  <c r="A2238" i="11"/>
  <c r="A2239" i="11"/>
  <c r="A2240" i="11"/>
  <c r="A2241" i="11"/>
  <c r="A2242" i="11"/>
  <c r="A2243" i="11"/>
  <c r="A2244" i="11"/>
  <c r="A2245" i="11"/>
  <c r="A2246" i="11"/>
  <c r="A2247" i="11"/>
  <c r="A2248" i="11"/>
  <c r="A2249" i="11"/>
  <c r="A2250" i="11"/>
  <c r="A2251" i="11"/>
  <c r="A2252" i="11"/>
  <c r="A2253" i="11"/>
  <c r="A2254" i="11"/>
  <c r="A2255" i="11"/>
  <c r="A2256" i="11"/>
  <c r="A2257" i="11"/>
  <c r="A2258" i="11"/>
  <c r="A2259" i="11"/>
  <c r="A2260" i="11"/>
  <c r="A2261" i="11"/>
  <c r="A2262" i="11"/>
  <c r="A2263" i="11"/>
  <c r="A2264" i="11"/>
  <c r="A2265" i="11"/>
  <c r="A2266" i="11"/>
  <c r="A2267" i="11"/>
  <c r="A2268" i="11"/>
  <c r="A2269" i="11"/>
  <c r="A2270" i="11"/>
  <c r="A2271" i="11"/>
  <c r="A2272" i="11"/>
  <c r="A2273" i="11"/>
  <c r="A2274" i="11"/>
  <c r="A2275" i="11"/>
  <c r="A2276" i="11"/>
  <c r="A2277" i="11"/>
  <c r="A2278" i="11"/>
  <c r="A2279" i="11"/>
  <c r="A2280" i="11"/>
  <c r="A2281" i="11"/>
  <c r="A2282" i="11"/>
  <c r="A2283" i="11"/>
  <c r="A2284" i="11"/>
  <c r="A2285" i="11"/>
  <c r="A2286" i="11"/>
  <c r="A2287" i="11"/>
  <c r="A2288" i="11"/>
  <c r="A2289" i="11"/>
  <c r="A2290" i="11"/>
  <c r="A2291" i="11"/>
  <c r="A2292" i="11"/>
  <c r="A2293" i="11"/>
  <c r="A2294" i="11"/>
  <c r="A2295" i="11"/>
  <c r="A2296" i="11"/>
  <c r="A2297" i="11"/>
  <c r="A2298" i="11"/>
  <c r="A2299" i="11"/>
  <c r="A2300" i="11"/>
  <c r="A2301" i="11"/>
  <c r="A2302" i="11"/>
  <c r="A2303" i="11"/>
  <c r="A2304" i="11"/>
  <c r="A2305" i="11"/>
  <c r="A2306" i="11"/>
  <c r="A2307" i="11"/>
  <c r="A2308" i="11"/>
  <c r="A2309" i="11"/>
  <c r="A2310" i="11"/>
  <c r="A2311" i="11"/>
  <c r="A2312" i="11"/>
  <c r="A2313" i="11"/>
  <c r="A2314" i="11"/>
  <c r="A2315" i="11"/>
  <c r="A2316" i="11"/>
  <c r="A2317" i="11"/>
  <c r="A2318" i="11"/>
  <c r="A2319" i="11"/>
  <c r="A2320" i="11"/>
  <c r="A2321" i="11"/>
  <c r="A2322" i="11"/>
  <c r="A2323" i="11"/>
  <c r="A2324" i="11"/>
  <c r="A2325" i="11"/>
  <c r="A2326" i="11"/>
  <c r="A2327" i="11"/>
  <c r="A2328" i="11"/>
  <c r="A2329" i="11"/>
  <c r="A2330" i="11"/>
  <c r="A2331" i="11"/>
  <c r="A2332" i="11"/>
  <c r="A2333" i="11"/>
  <c r="A2334" i="11"/>
  <c r="A2335" i="11"/>
  <c r="A2336" i="11"/>
  <c r="A2337" i="11"/>
  <c r="A2338" i="11"/>
  <c r="A2339" i="11"/>
  <c r="A2340" i="11"/>
  <c r="A2341" i="11"/>
  <c r="A2342" i="11"/>
  <c r="A2343" i="11"/>
  <c r="A2344" i="11"/>
  <c r="A2345" i="11"/>
  <c r="A2346" i="11"/>
  <c r="A2347" i="11"/>
  <c r="A2348" i="11"/>
  <c r="A2349" i="11"/>
  <c r="A2350" i="11"/>
  <c r="A2351" i="11"/>
  <c r="A2352" i="11"/>
  <c r="A2353" i="11"/>
  <c r="A2354" i="11"/>
  <c r="A2355" i="11"/>
  <c r="A2356" i="11"/>
  <c r="A2357" i="11"/>
  <c r="A2358" i="11"/>
  <c r="A2359" i="11"/>
  <c r="A2360" i="11"/>
  <c r="A2361" i="11"/>
  <c r="A2362" i="11"/>
  <c r="A2363" i="11"/>
  <c r="A2364" i="11"/>
  <c r="A2365" i="11"/>
  <c r="A2366" i="11"/>
  <c r="A2367" i="11"/>
  <c r="A2368" i="11"/>
  <c r="A2369" i="11"/>
  <c r="A2370" i="11"/>
  <c r="A2371" i="11"/>
  <c r="A2372" i="11"/>
  <c r="A2373" i="11"/>
  <c r="A2374" i="11"/>
  <c r="A2375" i="11"/>
  <c r="A2376" i="11"/>
  <c r="A2377" i="11"/>
  <c r="A2378" i="11"/>
  <c r="A2379" i="11"/>
  <c r="A2380" i="11"/>
  <c r="A2381" i="11"/>
  <c r="A2382" i="11"/>
  <c r="A2383" i="11"/>
  <c r="A2384" i="11"/>
  <c r="A2385" i="11"/>
  <c r="A2386" i="11"/>
  <c r="A2387" i="11"/>
  <c r="A2388" i="11"/>
  <c r="A2389" i="11"/>
  <c r="A2390" i="11"/>
  <c r="A2391" i="11"/>
  <c r="A2392" i="11"/>
  <c r="A2393" i="11"/>
  <c r="A2394" i="11"/>
  <c r="A2395" i="11"/>
  <c r="A2396" i="11"/>
  <c r="A2397" i="11"/>
  <c r="A2398" i="11"/>
  <c r="A2399" i="11"/>
  <c r="A2400" i="11"/>
  <c r="A2401" i="11"/>
  <c r="A2402" i="11"/>
  <c r="A2403" i="11"/>
  <c r="A2404" i="11"/>
  <c r="A2405" i="11"/>
  <c r="A2406" i="11"/>
  <c r="A2407" i="11"/>
  <c r="A2408" i="11"/>
  <c r="A2409" i="11"/>
  <c r="A2410" i="11"/>
  <c r="A2411" i="11"/>
  <c r="A2412" i="11"/>
  <c r="A2413" i="11"/>
  <c r="A2414" i="11"/>
  <c r="A2415" i="11"/>
  <c r="A2416" i="11"/>
  <c r="A2417" i="11"/>
  <c r="A2418" i="11"/>
  <c r="A2419" i="11"/>
  <c r="A2420" i="11"/>
  <c r="A2421" i="11"/>
  <c r="A2422" i="11"/>
  <c r="A2423" i="11"/>
  <c r="A2424" i="11"/>
  <c r="A2425" i="11"/>
  <c r="A2426" i="11"/>
  <c r="A2427" i="11"/>
  <c r="A2428" i="11"/>
  <c r="A2429" i="11"/>
  <c r="A2430" i="11"/>
  <c r="A2431" i="11"/>
  <c r="A2432" i="11"/>
  <c r="A2433" i="11"/>
  <c r="A2434" i="11"/>
  <c r="A2435" i="11"/>
  <c r="A2436" i="11"/>
  <c r="A2437" i="11"/>
  <c r="A2438" i="11"/>
  <c r="A2439" i="11"/>
  <c r="A2440" i="11"/>
  <c r="A2441" i="11"/>
  <c r="A2442" i="11"/>
  <c r="A2443" i="11"/>
  <c r="A2444" i="11"/>
  <c r="A2445" i="11"/>
  <c r="A2446" i="11"/>
  <c r="A2447" i="11"/>
  <c r="A2448" i="11"/>
  <c r="A2449" i="11"/>
  <c r="A2450" i="11"/>
  <c r="A2451" i="11"/>
  <c r="A2452" i="11"/>
  <c r="A2453" i="11"/>
  <c r="A2454" i="11"/>
  <c r="A2455" i="11"/>
  <c r="A2456" i="11"/>
  <c r="A2457" i="11"/>
  <c r="A2458" i="11"/>
  <c r="A2459" i="11"/>
  <c r="A2460" i="11"/>
  <c r="A2461" i="11"/>
  <c r="A2462" i="11"/>
  <c r="A2463" i="11"/>
  <c r="A2464" i="11"/>
  <c r="A2465" i="11"/>
  <c r="A2466" i="11"/>
  <c r="A2467" i="11"/>
  <c r="A2468" i="11"/>
  <c r="A2469" i="11"/>
  <c r="A2470" i="11"/>
  <c r="A2471" i="11"/>
  <c r="A2472" i="11"/>
  <c r="A2473" i="11"/>
  <c r="A2474" i="11"/>
  <c r="A2475" i="11"/>
  <c r="A2476" i="11"/>
  <c r="A2477" i="11"/>
  <c r="A2478" i="11"/>
  <c r="A2479" i="11"/>
  <c r="A2480" i="11"/>
  <c r="A2481" i="11"/>
  <c r="A2482" i="11"/>
  <c r="A2483" i="11"/>
  <c r="A2484" i="11"/>
  <c r="A2485" i="11"/>
  <c r="A2486" i="11"/>
  <c r="A2487" i="11"/>
  <c r="A2488" i="11"/>
  <c r="A2489" i="11"/>
  <c r="A2490" i="11"/>
  <c r="A2491" i="11"/>
  <c r="A2492" i="11"/>
  <c r="A2493" i="11"/>
  <c r="A2494" i="11"/>
  <c r="A2495" i="11"/>
  <c r="A2496" i="11"/>
  <c r="A2497" i="11"/>
  <c r="A2498" i="11"/>
  <c r="A2499" i="11"/>
  <c r="A2500" i="11"/>
  <c r="A2501" i="11"/>
  <c r="A2502" i="11"/>
  <c r="A2503" i="11"/>
  <c r="A2504" i="11"/>
  <c r="A2505" i="11"/>
  <c r="A2506" i="11"/>
  <c r="A2507" i="11"/>
  <c r="A2508" i="11"/>
  <c r="A2509" i="11"/>
  <c r="A2510" i="11"/>
  <c r="A2511" i="11"/>
  <c r="A2512" i="11"/>
  <c r="A2513" i="11"/>
  <c r="A2514" i="11"/>
  <c r="A2515" i="11"/>
  <c r="A2516" i="11"/>
  <c r="A2517" i="11"/>
  <c r="A2518" i="11"/>
  <c r="A2519" i="11"/>
  <c r="A2520" i="11"/>
  <c r="A2521" i="11"/>
  <c r="A2522" i="11"/>
  <c r="A2523" i="11"/>
  <c r="A2524" i="11"/>
  <c r="A2525" i="11"/>
  <c r="A2526" i="11"/>
  <c r="A2527" i="11"/>
  <c r="A2528" i="11"/>
  <c r="A2529" i="11"/>
  <c r="A2530" i="11"/>
  <c r="A2531" i="11"/>
  <c r="A2532" i="11"/>
  <c r="A2533" i="11"/>
  <c r="A2534" i="11"/>
  <c r="A2535" i="11"/>
  <c r="A2536" i="11"/>
  <c r="A2537" i="11"/>
  <c r="A2538" i="11"/>
  <c r="A2539" i="11"/>
  <c r="A2540" i="11"/>
  <c r="A2541" i="11"/>
  <c r="A2542" i="11"/>
  <c r="A2543" i="11"/>
  <c r="A2544" i="11"/>
  <c r="A2545" i="11"/>
  <c r="A2546" i="11"/>
  <c r="A2547" i="11"/>
  <c r="A2548" i="11"/>
  <c r="A2549" i="11"/>
  <c r="A2550" i="11"/>
  <c r="A2551" i="11"/>
  <c r="A2552" i="11"/>
  <c r="A2553" i="11"/>
  <c r="A2554" i="11"/>
  <c r="A2555" i="11"/>
  <c r="A2556" i="11"/>
  <c r="A2557" i="11"/>
  <c r="A2558" i="11"/>
  <c r="A2559" i="11"/>
  <c r="A2560" i="11"/>
  <c r="A2561" i="11"/>
  <c r="A2562" i="11"/>
  <c r="A2563" i="11"/>
  <c r="A2564" i="11"/>
  <c r="A2565" i="11"/>
  <c r="A2566" i="11"/>
  <c r="A2567" i="11"/>
  <c r="A2568" i="11"/>
  <c r="A2569" i="11"/>
  <c r="A2570" i="11"/>
  <c r="A2571" i="11"/>
  <c r="A2572" i="11"/>
  <c r="A2573" i="11"/>
  <c r="A2574" i="11"/>
  <c r="A2575" i="11"/>
  <c r="A2576" i="11"/>
  <c r="A2577" i="11"/>
  <c r="A2578" i="11"/>
  <c r="A2579" i="11"/>
  <c r="A2580" i="11"/>
  <c r="A2581" i="11"/>
  <c r="A2582" i="11"/>
  <c r="A2583" i="11"/>
  <c r="A2584" i="11"/>
  <c r="A2585" i="11"/>
  <c r="A2586" i="11"/>
  <c r="A2587" i="11"/>
  <c r="A2588" i="11"/>
  <c r="A2589" i="11"/>
  <c r="A2590" i="11"/>
  <c r="A2591" i="11"/>
  <c r="A2592" i="11"/>
  <c r="A2593" i="11"/>
  <c r="A2594" i="11"/>
  <c r="A2595" i="11"/>
  <c r="A2596" i="11"/>
  <c r="A2597" i="11"/>
  <c r="A2598" i="11"/>
  <c r="A2599" i="11"/>
  <c r="A2600" i="11"/>
  <c r="A2601" i="11"/>
  <c r="A2602" i="11"/>
  <c r="A2603" i="11"/>
  <c r="A2604" i="11"/>
  <c r="A2605" i="11"/>
  <c r="A2606" i="11"/>
  <c r="A2607" i="11"/>
  <c r="A2608" i="11"/>
  <c r="A2609" i="11"/>
  <c r="A2610" i="11"/>
  <c r="A2611" i="11"/>
  <c r="A2612" i="11"/>
  <c r="A2613" i="11"/>
  <c r="A2614" i="11"/>
  <c r="A2615" i="11"/>
  <c r="A2616" i="11"/>
  <c r="A2617" i="11"/>
  <c r="A2618" i="11"/>
  <c r="A2619" i="11"/>
  <c r="A2620" i="11"/>
  <c r="A2621" i="11"/>
  <c r="A2622" i="11"/>
  <c r="A2623" i="11"/>
  <c r="A2624" i="11"/>
  <c r="A2625" i="11"/>
  <c r="A2626" i="11"/>
  <c r="A2627" i="11"/>
  <c r="A2628" i="11"/>
  <c r="A2629" i="11"/>
  <c r="A2630" i="11"/>
  <c r="A2631" i="11"/>
  <c r="A2632" i="11"/>
  <c r="A2633" i="11"/>
  <c r="A2634" i="11"/>
  <c r="A2635" i="11"/>
  <c r="A2636" i="11"/>
  <c r="A2637" i="11"/>
  <c r="A2638" i="11"/>
  <c r="A2639" i="11"/>
  <c r="A2640" i="11"/>
  <c r="A2641" i="11"/>
  <c r="A2642" i="11"/>
  <c r="A2643" i="11"/>
  <c r="A2644" i="11"/>
  <c r="A2645" i="11"/>
  <c r="A2646" i="11"/>
  <c r="A2647" i="11"/>
  <c r="A2648" i="11"/>
  <c r="A2649" i="11"/>
  <c r="A2650" i="11"/>
  <c r="A2651" i="11"/>
  <c r="A2652" i="11"/>
  <c r="A2653" i="11"/>
  <c r="A2654" i="11"/>
  <c r="A2655" i="11"/>
  <c r="A2656" i="11"/>
  <c r="A2657" i="11"/>
  <c r="A2658" i="11"/>
  <c r="A2659" i="11"/>
  <c r="A2660" i="11"/>
  <c r="A2661" i="11"/>
  <c r="A2662" i="11"/>
  <c r="A2663" i="11"/>
  <c r="A2664" i="11"/>
  <c r="A2665" i="11"/>
  <c r="A2666" i="11"/>
  <c r="A2667" i="11"/>
  <c r="A2668" i="11"/>
  <c r="A2669" i="11"/>
  <c r="A2670" i="11"/>
  <c r="A2671" i="11"/>
  <c r="A2672" i="11"/>
  <c r="A2673" i="11"/>
  <c r="A2674" i="11"/>
  <c r="A2675" i="11"/>
  <c r="A2676" i="11"/>
  <c r="A2677" i="11"/>
  <c r="A2678" i="11"/>
  <c r="A2679" i="11"/>
  <c r="A2680" i="11"/>
  <c r="A2681" i="11"/>
  <c r="A2682" i="11"/>
  <c r="A2683" i="11"/>
  <c r="A2684" i="11"/>
  <c r="A2685" i="11"/>
  <c r="A2686" i="11"/>
  <c r="A2687" i="11"/>
  <c r="A2688" i="11"/>
  <c r="A2689" i="11"/>
  <c r="A2690" i="11"/>
  <c r="A2691" i="11"/>
  <c r="A2692" i="11"/>
  <c r="A2693" i="11"/>
  <c r="A2694" i="11"/>
  <c r="A2695" i="11"/>
  <c r="A2696" i="11"/>
  <c r="A2697" i="11"/>
  <c r="A2698" i="11"/>
  <c r="A2699" i="11"/>
  <c r="A2700" i="11"/>
  <c r="A2701" i="11"/>
  <c r="A2702" i="11"/>
  <c r="A2703" i="11"/>
  <c r="A2704" i="11"/>
  <c r="A2705" i="11"/>
  <c r="A2706" i="11"/>
  <c r="A2707" i="11"/>
  <c r="A2708" i="11"/>
  <c r="A2709" i="11"/>
  <c r="A2710" i="11"/>
  <c r="A2711" i="11"/>
  <c r="A2712" i="11"/>
  <c r="A2713" i="11"/>
  <c r="A2714" i="11"/>
  <c r="A2715" i="11"/>
  <c r="A2716" i="11"/>
  <c r="A2717" i="11"/>
  <c r="A2718" i="11"/>
  <c r="A2719" i="11"/>
  <c r="A2720" i="11"/>
  <c r="A2721" i="11"/>
  <c r="A2722" i="11"/>
  <c r="A2723" i="11"/>
  <c r="A2724" i="11"/>
  <c r="A2725" i="11"/>
  <c r="A2726" i="11"/>
  <c r="A2727" i="11"/>
  <c r="A2728" i="11"/>
  <c r="A2729" i="11"/>
  <c r="A2730" i="11"/>
  <c r="A2731" i="11"/>
  <c r="A2732" i="11"/>
  <c r="A2733" i="11"/>
  <c r="A2734" i="11"/>
  <c r="A2735" i="11"/>
  <c r="A2736" i="11"/>
  <c r="A2737" i="11"/>
  <c r="A2738" i="11"/>
  <c r="A2739" i="11"/>
  <c r="A2740" i="11"/>
  <c r="A2741" i="11"/>
  <c r="A2742" i="11"/>
  <c r="A2743" i="11"/>
  <c r="A2744" i="11"/>
  <c r="A2745" i="11"/>
  <c r="A2746" i="11"/>
  <c r="A2747" i="11"/>
  <c r="A2748" i="11"/>
  <c r="A2749" i="11"/>
  <c r="A2750" i="11"/>
  <c r="A2751" i="11"/>
  <c r="A2752" i="11"/>
  <c r="A2753" i="11"/>
  <c r="A2754" i="11"/>
  <c r="A2755" i="11"/>
  <c r="A2756" i="11"/>
  <c r="A2757" i="11"/>
  <c r="A2758" i="11"/>
  <c r="A2759" i="11"/>
  <c r="A2760" i="11"/>
  <c r="A2761" i="11"/>
  <c r="A2762" i="11"/>
  <c r="A2763" i="11"/>
  <c r="A2764" i="11"/>
  <c r="A2765" i="11"/>
  <c r="A2766" i="11"/>
  <c r="A2767" i="11"/>
  <c r="A2768" i="11"/>
  <c r="A2769" i="11"/>
  <c r="A2770" i="11"/>
  <c r="A2771" i="11"/>
  <c r="A2772" i="11"/>
  <c r="A2773" i="11"/>
  <c r="A2774" i="11"/>
  <c r="A2775" i="11"/>
  <c r="A2776" i="11"/>
  <c r="A2777" i="11"/>
  <c r="A2778" i="11"/>
  <c r="A2779" i="11"/>
  <c r="A2780" i="11"/>
  <c r="A2781" i="11"/>
  <c r="A2782" i="11"/>
  <c r="A2783" i="11"/>
  <c r="A2784" i="11"/>
  <c r="A2785" i="11"/>
  <c r="A2786" i="11"/>
  <c r="A2787" i="11"/>
  <c r="A2788" i="11"/>
  <c r="A2789" i="11"/>
  <c r="A2790" i="11"/>
  <c r="A2791" i="11"/>
  <c r="A2792" i="11"/>
  <c r="A2793" i="11"/>
  <c r="A2794" i="11"/>
  <c r="A2795" i="11"/>
  <c r="A2796" i="11"/>
  <c r="A2797" i="11"/>
  <c r="A2798" i="11"/>
  <c r="A2799" i="11"/>
  <c r="A2800" i="11"/>
  <c r="A2801" i="11"/>
  <c r="A2802" i="11"/>
  <c r="A2803" i="11"/>
  <c r="A2804" i="11"/>
  <c r="A2805" i="11"/>
  <c r="A2806" i="11"/>
  <c r="A2807" i="11"/>
  <c r="A2808" i="11"/>
  <c r="A2809" i="11"/>
  <c r="A2810" i="11"/>
  <c r="A2811" i="11"/>
  <c r="A2812" i="11"/>
  <c r="A2813" i="11"/>
  <c r="A2814" i="11"/>
  <c r="A2815" i="11"/>
  <c r="A2816" i="11"/>
  <c r="A2817" i="11"/>
  <c r="A2818" i="11"/>
  <c r="A2819" i="11"/>
  <c r="A2820" i="11"/>
  <c r="A2821" i="11"/>
  <c r="A2822" i="11"/>
  <c r="A2823" i="11"/>
  <c r="A2824" i="11"/>
  <c r="A2825" i="11"/>
  <c r="A2826" i="11"/>
  <c r="A2827" i="11"/>
  <c r="A2828" i="11"/>
  <c r="A2829" i="11"/>
  <c r="A2830" i="11"/>
  <c r="A2831" i="11"/>
  <c r="A2832" i="11"/>
  <c r="A2833" i="11"/>
  <c r="A2834" i="11"/>
  <c r="A2835" i="11"/>
  <c r="A2836" i="11"/>
  <c r="A2837" i="11"/>
  <c r="A2838" i="11"/>
  <c r="A2839" i="11"/>
  <c r="A2840" i="11"/>
  <c r="A2841" i="11"/>
  <c r="A2842" i="11"/>
  <c r="A2843" i="11"/>
  <c r="A2844" i="11"/>
  <c r="A2845" i="11"/>
  <c r="A2846" i="11"/>
  <c r="A2847" i="11"/>
  <c r="A2848" i="11"/>
  <c r="A2849" i="11"/>
  <c r="A2850" i="11"/>
  <c r="A2851" i="11"/>
  <c r="A2852" i="11"/>
  <c r="A2853" i="11"/>
  <c r="A2854" i="11"/>
  <c r="A2855" i="11"/>
  <c r="A2856" i="11"/>
  <c r="A2857" i="11"/>
  <c r="A2858" i="11"/>
  <c r="A2859" i="11"/>
  <c r="A2860" i="11"/>
  <c r="A2861" i="11"/>
  <c r="A2862" i="11"/>
  <c r="A2863" i="11"/>
  <c r="A2864" i="11"/>
  <c r="A2865" i="11"/>
  <c r="A2866" i="11"/>
  <c r="A2867" i="11"/>
  <c r="A2868" i="11"/>
  <c r="A2869" i="11"/>
  <c r="A2870" i="11"/>
  <c r="A2871" i="11"/>
  <c r="A2872" i="11"/>
  <c r="A2873" i="11"/>
  <c r="A2874" i="11"/>
  <c r="A2875" i="11"/>
  <c r="A2876" i="11"/>
  <c r="A2877" i="11"/>
  <c r="A2878" i="11"/>
  <c r="A2879" i="11"/>
  <c r="A2880" i="11"/>
  <c r="A2881" i="11"/>
  <c r="A2882" i="11"/>
  <c r="A2883" i="11"/>
  <c r="A2884" i="11"/>
  <c r="A2885" i="11"/>
  <c r="A2886" i="11"/>
  <c r="A2887" i="11"/>
  <c r="A2888" i="11"/>
  <c r="A2889" i="11"/>
  <c r="A2890" i="11"/>
  <c r="A2891" i="11"/>
  <c r="A2892" i="11"/>
  <c r="A2893" i="11"/>
  <c r="A2894" i="11"/>
  <c r="A2895" i="11"/>
  <c r="A2896" i="11"/>
  <c r="A2897" i="11"/>
  <c r="A2898" i="11"/>
  <c r="A2899" i="11"/>
  <c r="A2900" i="11"/>
  <c r="A2901" i="11"/>
  <c r="A2902" i="11"/>
  <c r="A2903" i="11"/>
  <c r="A2904" i="11"/>
  <c r="A2905" i="11"/>
  <c r="A2906" i="11"/>
  <c r="A2907" i="11"/>
  <c r="A2908" i="11"/>
  <c r="A2909" i="11"/>
  <c r="A2910" i="11"/>
  <c r="A2911" i="11"/>
  <c r="A2912" i="11"/>
  <c r="A2913" i="11"/>
  <c r="A2914" i="11"/>
  <c r="A2915" i="11"/>
  <c r="A2916" i="11"/>
  <c r="A2917" i="11"/>
  <c r="A2918" i="11"/>
  <c r="A2919" i="11"/>
  <c r="A2920" i="11"/>
  <c r="A2921" i="11"/>
  <c r="A2922" i="11"/>
  <c r="A2923" i="11"/>
  <c r="A2924" i="11"/>
  <c r="A2925" i="11"/>
  <c r="A2926" i="11"/>
  <c r="A2927" i="11"/>
  <c r="A2928" i="11"/>
  <c r="A2929" i="11"/>
  <c r="A2930" i="11"/>
  <c r="A2931" i="11"/>
  <c r="A2932" i="11"/>
  <c r="A2933" i="11"/>
  <c r="A2934" i="11"/>
  <c r="A2935" i="11"/>
  <c r="A2936" i="11"/>
  <c r="A2937" i="11"/>
  <c r="A2938" i="11"/>
  <c r="A2939" i="11"/>
  <c r="A2940" i="11"/>
  <c r="A2941" i="11"/>
  <c r="A2942" i="11"/>
  <c r="A2943" i="11"/>
  <c r="A2944" i="11"/>
  <c r="A2945" i="11"/>
  <c r="A2946" i="11"/>
  <c r="A2947" i="11"/>
  <c r="A2948" i="11"/>
  <c r="A2949" i="11"/>
  <c r="A2950" i="11"/>
  <c r="A2951" i="11"/>
  <c r="A2952" i="11"/>
  <c r="A2953" i="11"/>
  <c r="A2954" i="11"/>
  <c r="A2955" i="11"/>
  <c r="A2956" i="11"/>
  <c r="A2957" i="11"/>
  <c r="A2958" i="11"/>
  <c r="A2959" i="11"/>
  <c r="A2960" i="11"/>
  <c r="A2961" i="11"/>
  <c r="A2962" i="11"/>
  <c r="A2963" i="11"/>
  <c r="A2964" i="11"/>
  <c r="A2965" i="11"/>
  <c r="A2966" i="11"/>
  <c r="A2967" i="11"/>
  <c r="A2968" i="11"/>
  <c r="A2969" i="11"/>
  <c r="A2970" i="11"/>
  <c r="A2971" i="11"/>
  <c r="A2972" i="11"/>
  <c r="A2973" i="11"/>
  <c r="A2974" i="11"/>
  <c r="A2975" i="11"/>
  <c r="A2976" i="11"/>
  <c r="A2977" i="11"/>
  <c r="A2978" i="11"/>
  <c r="A2979" i="11"/>
  <c r="A2980" i="11"/>
  <c r="A2981" i="11"/>
  <c r="A2982" i="11"/>
  <c r="A2983" i="11"/>
  <c r="A2984" i="11"/>
  <c r="A2985" i="11"/>
  <c r="A2986" i="11"/>
  <c r="A2987" i="11"/>
  <c r="A2988" i="11"/>
  <c r="A2989" i="11"/>
  <c r="A2990" i="11"/>
  <c r="A2991" i="11"/>
  <c r="A2992" i="11"/>
  <c r="A2993" i="11"/>
  <c r="A2994" i="11"/>
  <c r="A2995" i="11"/>
  <c r="A2996" i="11"/>
  <c r="A2997" i="11"/>
  <c r="A2998" i="11"/>
  <c r="A2999" i="11"/>
  <c r="A3000" i="11"/>
  <c r="A3001" i="11"/>
  <c r="A3002" i="11"/>
  <c r="A3003" i="11"/>
  <c r="A3004" i="11"/>
  <c r="A3005" i="11"/>
  <c r="A3006" i="11"/>
  <c r="A3007" i="11"/>
  <c r="A3008" i="11"/>
  <c r="A3009" i="11"/>
  <c r="A3010" i="11"/>
  <c r="A3011" i="11"/>
  <c r="A3012" i="11"/>
  <c r="A3013" i="11"/>
  <c r="A3014" i="11"/>
  <c r="A3015" i="11"/>
  <c r="A3016" i="11"/>
  <c r="A3017" i="11"/>
  <c r="A3018" i="11"/>
  <c r="A3019" i="11"/>
  <c r="A3020" i="11"/>
  <c r="A3021" i="11"/>
  <c r="A3022" i="11"/>
  <c r="A3023" i="11"/>
  <c r="A3024" i="11"/>
  <c r="A3025" i="11"/>
  <c r="A3026" i="11"/>
  <c r="A3027" i="11"/>
  <c r="A3028" i="11"/>
  <c r="A3029" i="11"/>
  <c r="A3030" i="11"/>
  <c r="A3031" i="11"/>
  <c r="A3032" i="11"/>
  <c r="A3033" i="11"/>
  <c r="A3034" i="11"/>
  <c r="A3035" i="11"/>
  <c r="A3036" i="11"/>
  <c r="A3037" i="11"/>
  <c r="A3038" i="11"/>
  <c r="A3039" i="11"/>
  <c r="A3040" i="11"/>
  <c r="A3041" i="11"/>
  <c r="A3042" i="11"/>
  <c r="A3043" i="11"/>
  <c r="A3044" i="11"/>
  <c r="A3045" i="11"/>
  <c r="A3046" i="11"/>
  <c r="A3047" i="11"/>
  <c r="A3048" i="11"/>
  <c r="A3049" i="11"/>
  <c r="A3050" i="11"/>
  <c r="A3051" i="11"/>
  <c r="A3052" i="11"/>
  <c r="A3053" i="11"/>
  <c r="A3054" i="11"/>
  <c r="A3055" i="11"/>
  <c r="A3056" i="11"/>
  <c r="A3057" i="11"/>
  <c r="A3058" i="11"/>
  <c r="A3059" i="11"/>
  <c r="A3060" i="11"/>
  <c r="A3061" i="11"/>
  <c r="A3062" i="11"/>
  <c r="A3063" i="11"/>
  <c r="A3064" i="11"/>
  <c r="A3065" i="11"/>
  <c r="A3066" i="11"/>
  <c r="A3067" i="11"/>
  <c r="A3068" i="11"/>
  <c r="A3069" i="11"/>
  <c r="A3070" i="11"/>
  <c r="A3071" i="11"/>
  <c r="A3072" i="11"/>
  <c r="A3073" i="11"/>
  <c r="A3074" i="11"/>
  <c r="A3075" i="11"/>
  <c r="A3076" i="11"/>
  <c r="A3077" i="11"/>
  <c r="A3078" i="11"/>
  <c r="A3079" i="11"/>
  <c r="A3080" i="11"/>
  <c r="A3081" i="11"/>
  <c r="A3082" i="11"/>
  <c r="A3083" i="11"/>
  <c r="A3084" i="11"/>
  <c r="A3085" i="11"/>
  <c r="A3086" i="11"/>
  <c r="A3087" i="11"/>
  <c r="A3088" i="11"/>
  <c r="A3089" i="11"/>
  <c r="A3090" i="11"/>
  <c r="A3091" i="11"/>
  <c r="A3092" i="11"/>
  <c r="A3093" i="11"/>
  <c r="A3094" i="11"/>
  <c r="A3095" i="11"/>
  <c r="A3096" i="11"/>
  <c r="A3097" i="11"/>
  <c r="A3098" i="11"/>
  <c r="A3099" i="11"/>
  <c r="A3100" i="11"/>
  <c r="A3101" i="11"/>
  <c r="A3102" i="11"/>
  <c r="A3103" i="11"/>
  <c r="A3104" i="11"/>
  <c r="A3105" i="11"/>
  <c r="A3106" i="11"/>
  <c r="A3107" i="11"/>
  <c r="A3108" i="11"/>
  <c r="A3109" i="11"/>
  <c r="A3110" i="11"/>
  <c r="A3111" i="11"/>
  <c r="A3112" i="11"/>
  <c r="A3113" i="11"/>
  <c r="A3114" i="11"/>
  <c r="A3115" i="11"/>
  <c r="A3116" i="11"/>
  <c r="A3117" i="11"/>
  <c r="A3118" i="11"/>
  <c r="A3119" i="11"/>
  <c r="A3120" i="11"/>
  <c r="A3121" i="11"/>
  <c r="A3122" i="11"/>
  <c r="A3123" i="11"/>
  <c r="A3124" i="11"/>
  <c r="A3125" i="11"/>
  <c r="A3126" i="11"/>
  <c r="A3127" i="11"/>
  <c r="A3128" i="11"/>
  <c r="A3129" i="11"/>
  <c r="A3130" i="11"/>
  <c r="A3131" i="11"/>
  <c r="A3132" i="11"/>
  <c r="A3133" i="11"/>
  <c r="A3134" i="11"/>
  <c r="A3135" i="11"/>
  <c r="A3136" i="11"/>
  <c r="A3137" i="11"/>
  <c r="A3138" i="11"/>
  <c r="A3139" i="11"/>
  <c r="A3140" i="11"/>
  <c r="A3141" i="11"/>
  <c r="A3142" i="11"/>
  <c r="A3143" i="11"/>
  <c r="A3144" i="11"/>
  <c r="A3145" i="11"/>
  <c r="A3146" i="11"/>
  <c r="A3147" i="11"/>
  <c r="A3148" i="11"/>
  <c r="A3149" i="11"/>
  <c r="A3150" i="11"/>
  <c r="A3151" i="11"/>
  <c r="A3152" i="11"/>
  <c r="A3153" i="11"/>
  <c r="A3154" i="11"/>
  <c r="A3155" i="11"/>
  <c r="A3156" i="11"/>
  <c r="A3157" i="11"/>
  <c r="A3158" i="11"/>
  <c r="A3159" i="11"/>
  <c r="A3160" i="11"/>
  <c r="A3161" i="11"/>
  <c r="A3162" i="11"/>
  <c r="A3163" i="11"/>
  <c r="A3164" i="11"/>
  <c r="A3165" i="11"/>
  <c r="A3166" i="11"/>
  <c r="A3167" i="11"/>
  <c r="A3168" i="11"/>
  <c r="A3169" i="11"/>
  <c r="A3170" i="11"/>
  <c r="A3171" i="11"/>
  <c r="A3172" i="11"/>
  <c r="A3173" i="11"/>
  <c r="A3174" i="11"/>
  <c r="A3175" i="11"/>
  <c r="A3176" i="11"/>
  <c r="A3177" i="11"/>
  <c r="A3178" i="11"/>
  <c r="A3179" i="11"/>
  <c r="A3180" i="11"/>
  <c r="A3181" i="11"/>
  <c r="A3182" i="11"/>
  <c r="A3183" i="11"/>
  <c r="A3184" i="11"/>
  <c r="A3185" i="11"/>
  <c r="A3186" i="11"/>
  <c r="A3187" i="11"/>
  <c r="A3188" i="11"/>
  <c r="A3189" i="11"/>
  <c r="A3190" i="11"/>
  <c r="A3191" i="11"/>
  <c r="A3192" i="11"/>
  <c r="A3193" i="11"/>
  <c r="A3194" i="11"/>
  <c r="A3195" i="11"/>
  <c r="A3196" i="11"/>
  <c r="A3197" i="11"/>
  <c r="A3198" i="11"/>
  <c r="A3199" i="11"/>
  <c r="A3200" i="11"/>
  <c r="A3201" i="11"/>
  <c r="A3202" i="11"/>
  <c r="A3203" i="11"/>
  <c r="A3204" i="11"/>
  <c r="A3205" i="11"/>
  <c r="A3206" i="11"/>
  <c r="A3207" i="11"/>
  <c r="A3208" i="11"/>
  <c r="A3209" i="11"/>
  <c r="A3210" i="11"/>
  <c r="A3211" i="11"/>
  <c r="A3212" i="11"/>
  <c r="A3213" i="11"/>
  <c r="A3214" i="11"/>
  <c r="A3215" i="11"/>
  <c r="A3216" i="11"/>
  <c r="A3217" i="11"/>
  <c r="A3218" i="11"/>
  <c r="A3219" i="11"/>
  <c r="A3220" i="11"/>
  <c r="A3221" i="11"/>
  <c r="A3222" i="11"/>
  <c r="A3223" i="11"/>
  <c r="A3224" i="11"/>
  <c r="A3225" i="11"/>
  <c r="A3226" i="11"/>
  <c r="A3227" i="11"/>
  <c r="A3228" i="11"/>
  <c r="A3229" i="11"/>
  <c r="A3230" i="11"/>
  <c r="A3231" i="11"/>
  <c r="A3232" i="11"/>
  <c r="A3233" i="11"/>
  <c r="A3234" i="11"/>
  <c r="A3235" i="11"/>
  <c r="A3236" i="11"/>
  <c r="A3237" i="11"/>
  <c r="A3238" i="11"/>
  <c r="A3239" i="11"/>
  <c r="A3240" i="11"/>
  <c r="A3241" i="11"/>
  <c r="A3242" i="11"/>
  <c r="A3243" i="11"/>
  <c r="A3244" i="11"/>
  <c r="A3245" i="11"/>
  <c r="A3246" i="11"/>
  <c r="A3247" i="11"/>
  <c r="A3248" i="11"/>
  <c r="A3249" i="11"/>
  <c r="A3250" i="11"/>
  <c r="A3251" i="11"/>
  <c r="A3252" i="11"/>
  <c r="A3253" i="11"/>
  <c r="A3254" i="11"/>
  <c r="A3255" i="11"/>
  <c r="A3256" i="11"/>
  <c r="A3257" i="11"/>
  <c r="A3258" i="11"/>
  <c r="A3259" i="11"/>
  <c r="A3260" i="11"/>
  <c r="A3261" i="11"/>
  <c r="A3262" i="11"/>
  <c r="A3263" i="11"/>
  <c r="A3264" i="11"/>
  <c r="A3265" i="11"/>
  <c r="A3266" i="11"/>
  <c r="A3267" i="11"/>
  <c r="A3268" i="11"/>
  <c r="A3269" i="11"/>
  <c r="A3270" i="11"/>
  <c r="A3271" i="11"/>
  <c r="A3272" i="11"/>
  <c r="A3273" i="11"/>
  <c r="A3274" i="11"/>
  <c r="A3275" i="11"/>
  <c r="A3276" i="11"/>
  <c r="A3277" i="11"/>
  <c r="A3278" i="11"/>
  <c r="A3279" i="11"/>
  <c r="A3280" i="11"/>
  <c r="A3281" i="11"/>
  <c r="A3282" i="11"/>
  <c r="A3283" i="11"/>
  <c r="A3284" i="11"/>
  <c r="A3285" i="11"/>
  <c r="A3286" i="11"/>
  <c r="A3287" i="11"/>
  <c r="A3288" i="11"/>
  <c r="A3289" i="11"/>
  <c r="A3290" i="11"/>
  <c r="A3291" i="11"/>
  <c r="A3292" i="11"/>
  <c r="A3293" i="11"/>
  <c r="A3294" i="11"/>
  <c r="A3295" i="11"/>
  <c r="A3296" i="11"/>
  <c r="A3297" i="11"/>
  <c r="A3298" i="11"/>
  <c r="A3299" i="11"/>
  <c r="A3300" i="11"/>
  <c r="A3301" i="11"/>
  <c r="A3302" i="11"/>
  <c r="A3303" i="11"/>
  <c r="A3304" i="11"/>
  <c r="A3305" i="11"/>
  <c r="A3306" i="11"/>
  <c r="A3307" i="11"/>
  <c r="A3308" i="11"/>
  <c r="A3309" i="11"/>
  <c r="A3310" i="11"/>
  <c r="A3311" i="11"/>
  <c r="A3312" i="11"/>
  <c r="A3313" i="11"/>
  <c r="A3314" i="11"/>
  <c r="A3315" i="11"/>
  <c r="A3316" i="11"/>
  <c r="A3317" i="11"/>
  <c r="A3318" i="11"/>
  <c r="A3319" i="11"/>
  <c r="A3320" i="11"/>
  <c r="A3321" i="11"/>
  <c r="A3322" i="11"/>
  <c r="A3323" i="11"/>
  <c r="A3324" i="11"/>
  <c r="A3325" i="11"/>
  <c r="A3326" i="11"/>
  <c r="A3327" i="11"/>
  <c r="A3328" i="11"/>
  <c r="A3329" i="11"/>
  <c r="A3330" i="11"/>
  <c r="A3331" i="11"/>
  <c r="A3332" i="11"/>
  <c r="A3333" i="11"/>
  <c r="A3334" i="11"/>
  <c r="A3335" i="11"/>
  <c r="A3336" i="11"/>
  <c r="A3337" i="11"/>
  <c r="A3338" i="11"/>
  <c r="A3339" i="11"/>
  <c r="A3340" i="11"/>
  <c r="A3341" i="11"/>
  <c r="A3342" i="11"/>
  <c r="A3343" i="11"/>
  <c r="A3344" i="11"/>
  <c r="A3345" i="11"/>
  <c r="A3346" i="11"/>
  <c r="A3347" i="11"/>
  <c r="A3348" i="11"/>
  <c r="A3349" i="11"/>
  <c r="A3350" i="11"/>
  <c r="A3351" i="11"/>
  <c r="A3352" i="11"/>
  <c r="A3353" i="11"/>
  <c r="A3354" i="11"/>
  <c r="A3355" i="11"/>
  <c r="A3356" i="11"/>
  <c r="A3357" i="11"/>
  <c r="A3358" i="11"/>
  <c r="A3359" i="11"/>
  <c r="A3360" i="11"/>
  <c r="A3361" i="11"/>
  <c r="A3362" i="11"/>
  <c r="A3363" i="11"/>
  <c r="A3364" i="11"/>
  <c r="A3365" i="11"/>
  <c r="A3366" i="11"/>
  <c r="A3367" i="11"/>
  <c r="A3368" i="11"/>
  <c r="A3369" i="11"/>
  <c r="A3370" i="11"/>
  <c r="A3371" i="11"/>
  <c r="A3372" i="11"/>
  <c r="A3373" i="11"/>
  <c r="A3374" i="11"/>
  <c r="A3375" i="11"/>
  <c r="A3376" i="11"/>
  <c r="A3377" i="11"/>
  <c r="A3378" i="11"/>
  <c r="A3379" i="11"/>
  <c r="A3380" i="11"/>
  <c r="A3381" i="11"/>
  <c r="A3382" i="11"/>
  <c r="A3383" i="11"/>
  <c r="A3384" i="11"/>
  <c r="A3385" i="11"/>
  <c r="A3386" i="11"/>
  <c r="A3387" i="11"/>
  <c r="A3388" i="11"/>
  <c r="A3389" i="11"/>
  <c r="A3390" i="11"/>
  <c r="A3391" i="11"/>
  <c r="A3392" i="11"/>
  <c r="A3393" i="11"/>
  <c r="A3394" i="11"/>
  <c r="A3395" i="11"/>
  <c r="A3396" i="11"/>
  <c r="A3397" i="11"/>
  <c r="A3398" i="11"/>
  <c r="A3399" i="11"/>
  <c r="A3400" i="11"/>
  <c r="A3401" i="11"/>
  <c r="A3402" i="11"/>
  <c r="A3403" i="11"/>
  <c r="A3404" i="11"/>
  <c r="A3405" i="11"/>
  <c r="A3406" i="11"/>
  <c r="A3407" i="11"/>
  <c r="A3408" i="11"/>
  <c r="A3409" i="11"/>
  <c r="A3410" i="11"/>
  <c r="A3411" i="11"/>
  <c r="A3412" i="11"/>
  <c r="A3413" i="11"/>
  <c r="A3414" i="11"/>
  <c r="A3415" i="11"/>
  <c r="A3416" i="11"/>
  <c r="A3417" i="11"/>
  <c r="A3418" i="11"/>
  <c r="A3419" i="11"/>
  <c r="A3420" i="11"/>
  <c r="A3421" i="11"/>
  <c r="A3422" i="11"/>
  <c r="A3423" i="11"/>
  <c r="A3424" i="11"/>
  <c r="A3425" i="11"/>
  <c r="A3426" i="11"/>
  <c r="A3427" i="11"/>
  <c r="A3428" i="11"/>
  <c r="A3429" i="11"/>
  <c r="A3430" i="11"/>
  <c r="A3431" i="11"/>
  <c r="A3432" i="11"/>
  <c r="A3433" i="11"/>
  <c r="A3434" i="11"/>
  <c r="A3435" i="11"/>
  <c r="A3436" i="11"/>
  <c r="A3437" i="11"/>
  <c r="A3438" i="11"/>
  <c r="A3439" i="11"/>
  <c r="A3440" i="11"/>
  <c r="A3441" i="11"/>
  <c r="A3442" i="11"/>
  <c r="A3443" i="11"/>
  <c r="A3444" i="11"/>
  <c r="A3445" i="11"/>
  <c r="A3446" i="11"/>
  <c r="A3447" i="11"/>
  <c r="A3448" i="11"/>
  <c r="A3449" i="11"/>
  <c r="A3450" i="11"/>
  <c r="A3451" i="11"/>
  <c r="A3452" i="11"/>
  <c r="A3453" i="11"/>
  <c r="A3454" i="11"/>
  <c r="A3455" i="11"/>
  <c r="A3456" i="11"/>
  <c r="A3457" i="11"/>
  <c r="A3458" i="11"/>
  <c r="A3459" i="11"/>
  <c r="A3460" i="11"/>
  <c r="A3461" i="11"/>
  <c r="A3462" i="11"/>
  <c r="A3463" i="11"/>
  <c r="A3464" i="11"/>
  <c r="A3465" i="11"/>
  <c r="A3466" i="11"/>
  <c r="A3467" i="11"/>
  <c r="A3468" i="11"/>
  <c r="A3469" i="11"/>
  <c r="A3470" i="11"/>
  <c r="A3471" i="11"/>
  <c r="A3472" i="11"/>
  <c r="A3473" i="11"/>
  <c r="A3474" i="11"/>
  <c r="A3475" i="11"/>
  <c r="A3476" i="11"/>
  <c r="A3477" i="11"/>
  <c r="A3478" i="11"/>
  <c r="A3479" i="11"/>
  <c r="A3480" i="11"/>
  <c r="A3481" i="11"/>
  <c r="A3482" i="11"/>
  <c r="A3483" i="11"/>
  <c r="A3484" i="11"/>
  <c r="A3485" i="11"/>
  <c r="A3486" i="11"/>
  <c r="A3487" i="11"/>
  <c r="A3488" i="11"/>
  <c r="A3489" i="11"/>
  <c r="A3490" i="11"/>
  <c r="A3491" i="11"/>
  <c r="A3492" i="11"/>
  <c r="A3493" i="11"/>
  <c r="A3494" i="11"/>
  <c r="A3495" i="11"/>
  <c r="A3496" i="11"/>
  <c r="A3497" i="11"/>
  <c r="A3498" i="11"/>
  <c r="A3499" i="11"/>
  <c r="A3500" i="11"/>
  <c r="A3501" i="11"/>
  <c r="A3502" i="11"/>
  <c r="A3503" i="11"/>
  <c r="A3504" i="11"/>
  <c r="A3505" i="11"/>
  <c r="A3506" i="11"/>
  <c r="A3507" i="11"/>
  <c r="A3508" i="11"/>
  <c r="A3509" i="11"/>
  <c r="A3510" i="11"/>
  <c r="A3511" i="11"/>
  <c r="A3512" i="11"/>
  <c r="A3513" i="11"/>
  <c r="A3514" i="11"/>
  <c r="A3515" i="11"/>
  <c r="A3516" i="11"/>
  <c r="A3517" i="11"/>
  <c r="A3518" i="11"/>
  <c r="A3519" i="11"/>
  <c r="A3520" i="11"/>
  <c r="A3521" i="11"/>
  <c r="A3522" i="11"/>
  <c r="A3523" i="11"/>
  <c r="A3524" i="11"/>
  <c r="A3525" i="11"/>
  <c r="A3526" i="11"/>
  <c r="A3527" i="11"/>
  <c r="A3528" i="11"/>
  <c r="A3529" i="11"/>
  <c r="A3530" i="11"/>
  <c r="A3531" i="11"/>
  <c r="A3532" i="11"/>
  <c r="A3533" i="11"/>
  <c r="A3534" i="11"/>
  <c r="A3535" i="11"/>
  <c r="A3536" i="11"/>
  <c r="A3537" i="11"/>
  <c r="A3538" i="11"/>
  <c r="A3539" i="11"/>
  <c r="A3540" i="11"/>
  <c r="A3541" i="11"/>
  <c r="A3542" i="11"/>
  <c r="A3543" i="11"/>
  <c r="A3544" i="11"/>
  <c r="A3545" i="11"/>
  <c r="A3546" i="11"/>
  <c r="A3547" i="11"/>
  <c r="A3548" i="11"/>
  <c r="A3549" i="11"/>
  <c r="A3550" i="11"/>
  <c r="A3551" i="11"/>
  <c r="A3552" i="11"/>
  <c r="A3553" i="11"/>
  <c r="A3554" i="11"/>
  <c r="A3555" i="11"/>
  <c r="A3556" i="11"/>
  <c r="A3557" i="11"/>
  <c r="A3558" i="11"/>
  <c r="A3559" i="11"/>
  <c r="A3560" i="11"/>
  <c r="A3561" i="11"/>
  <c r="A3562" i="11"/>
  <c r="A3563" i="11"/>
  <c r="A3564" i="11"/>
  <c r="A3565" i="11"/>
  <c r="A3566" i="11"/>
  <c r="A3567" i="11"/>
  <c r="A3568" i="11"/>
  <c r="A3569" i="11"/>
  <c r="A3570" i="11"/>
  <c r="A3571" i="11"/>
  <c r="A3572" i="11"/>
  <c r="A3573" i="11"/>
  <c r="A3574" i="11"/>
  <c r="A3575" i="11"/>
  <c r="A3576" i="11"/>
  <c r="A3577" i="11"/>
  <c r="A3578" i="11"/>
  <c r="A3579" i="11"/>
  <c r="A3580" i="11"/>
  <c r="A3581" i="11"/>
  <c r="A3582" i="11"/>
  <c r="A3583" i="11"/>
  <c r="A3584" i="11"/>
  <c r="A3585" i="11"/>
  <c r="A3586" i="11"/>
  <c r="A3587" i="11"/>
  <c r="A3588" i="11"/>
  <c r="A3589" i="11"/>
  <c r="A3590" i="11"/>
  <c r="A3591" i="11"/>
  <c r="A3592" i="11"/>
  <c r="A3593" i="11"/>
  <c r="A3594" i="11"/>
  <c r="A3595" i="11"/>
  <c r="A3596" i="11"/>
  <c r="A3597" i="11"/>
  <c r="A3598" i="11"/>
  <c r="A3599" i="11"/>
  <c r="A3600" i="11"/>
  <c r="A3601" i="11"/>
  <c r="A3602" i="11"/>
  <c r="A3603" i="11"/>
  <c r="A3604" i="11"/>
  <c r="A3605" i="11"/>
  <c r="A3606" i="11"/>
  <c r="A3607" i="11"/>
  <c r="A3608" i="11"/>
  <c r="A3609" i="11"/>
  <c r="A3610" i="11"/>
  <c r="A3611" i="11"/>
  <c r="A3612" i="11"/>
  <c r="A3613" i="11"/>
  <c r="A3614" i="11"/>
  <c r="A3615" i="11"/>
  <c r="A3616" i="11"/>
  <c r="A3617" i="11"/>
  <c r="A3618" i="11"/>
  <c r="A3619" i="11"/>
  <c r="A3620" i="11"/>
  <c r="A3621" i="11"/>
  <c r="A3622" i="11"/>
  <c r="A3623" i="11"/>
  <c r="A3624" i="11"/>
  <c r="A3625" i="11"/>
  <c r="A3626" i="11"/>
  <c r="A3627" i="11"/>
  <c r="A3628" i="11"/>
  <c r="A3629" i="11"/>
  <c r="A3630" i="11"/>
  <c r="A3631" i="11"/>
  <c r="A3632" i="11"/>
  <c r="A3633" i="11"/>
  <c r="A3634" i="11"/>
  <c r="A3635" i="11"/>
  <c r="A3636" i="11"/>
  <c r="A3637" i="11"/>
  <c r="A3638" i="11"/>
  <c r="A3639" i="11"/>
  <c r="A3640" i="11"/>
  <c r="A3641" i="11"/>
  <c r="A3642" i="11"/>
  <c r="A3643" i="11"/>
  <c r="A3644" i="11"/>
  <c r="A3645" i="11"/>
  <c r="A3646" i="11"/>
  <c r="A3647" i="11"/>
  <c r="A3648" i="11"/>
  <c r="A3649" i="11"/>
  <c r="A3650" i="11"/>
  <c r="A3651" i="11"/>
  <c r="A3652" i="11"/>
  <c r="A3653" i="11"/>
  <c r="A3654" i="11"/>
  <c r="A3655" i="11"/>
  <c r="A3656" i="11"/>
  <c r="A3657" i="11"/>
  <c r="A3658" i="11"/>
  <c r="A3659" i="11"/>
  <c r="A3660" i="11"/>
  <c r="A3661" i="11"/>
  <c r="A3662" i="11"/>
  <c r="A3663" i="11"/>
  <c r="A3664" i="11"/>
  <c r="A3665" i="11"/>
  <c r="A3666" i="11"/>
  <c r="A3667" i="11"/>
  <c r="A3668" i="11"/>
  <c r="A3669" i="11"/>
  <c r="A3670" i="11"/>
  <c r="A3671" i="11"/>
  <c r="A3672" i="11"/>
  <c r="A3673" i="11"/>
  <c r="A3674" i="11"/>
  <c r="A3675" i="11"/>
  <c r="A3676" i="11"/>
  <c r="A3677" i="11"/>
  <c r="A3678" i="11"/>
  <c r="A3679" i="11"/>
  <c r="A3680" i="11"/>
  <c r="A3681" i="11"/>
  <c r="A3682" i="11"/>
  <c r="A3683" i="11"/>
  <c r="A3684" i="11"/>
  <c r="A3685" i="11"/>
  <c r="A3686" i="11"/>
  <c r="A3687" i="11"/>
  <c r="A3688" i="11"/>
  <c r="A3689" i="11"/>
  <c r="A3690" i="11"/>
  <c r="A3691" i="11"/>
  <c r="A3692" i="11"/>
  <c r="A3693" i="11"/>
  <c r="A3694" i="11"/>
  <c r="A3695" i="11"/>
  <c r="A3696" i="11"/>
  <c r="A3697" i="11"/>
  <c r="A3698" i="11"/>
  <c r="A3699" i="11"/>
  <c r="A3700" i="11"/>
  <c r="A3701" i="11"/>
  <c r="A3702" i="11"/>
  <c r="A3703" i="11"/>
  <c r="A3704" i="11"/>
  <c r="A3705" i="11"/>
  <c r="A3706" i="11"/>
  <c r="A3707" i="11"/>
  <c r="A3708" i="11"/>
  <c r="A3709" i="11"/>
  <c r="A3710" i="11"/>
  <c r="A3711" i="11"/>
  <c r="A3712" i="11"/>
  <c r="A3713" i="11"/>
  <c r="A3714" i="11"/>
  <c r="A3715" i="11"/>
  <c r="A3716" i="11"/>
  <c r="A3717" i="11"/>
  <c r="A3718" i="11"/>
  <c r="A3719" i="11"/>
  <c r="A3720" i="11"/>
  <c r="A3721" i="11"/>
  <c r="A3722" i="11"/>
  <c r="A3723" i="11"/>
  <c r="A3724" i="11"/>
  <c r="A3725" i="11"/>
  <c r="A3726" i="11"/>
  <c r="A3727" i="11"/>
  <c r="A3728" i="11"/>
  <c r="A3729" i="11"/>
  <c r="A3730" i="11"/>
  <c r="A3731" i="11"/>
  <c r="A3732" i="11"/>
  <c r="A3733" i="11"/>
  <c r="A3734" i="11"/>
  <c r="A3735" i="11"/>
  <c r="A3736" i="11"/>
  <c r="A3737" i="11"/>
  <c r="A3738" i="11"/>
  <c r="A3739" i="11"/>
  <c r="A3740" i="11"/>
  <c r="A3741" i="11"/>
  <c r="A3742" i="11"/>
  <c r="A3743" i="11"/>
  <c r="A3744" i="11"/>
  <c r="A3745" i="11"/>
  <c r="A3746" i="11"/>
  <c r="A3747" i="11"/>
  <c r="A3748" i="11"/>
  <c r="A3749" i="11"/>
  <c r="A3750" i="11"/>
  <c r="A3751" i="11"/>
  <c r="A3752" i="11"/>
  <c r="A3753" i="11"/>
  <c r="A3754" i="11"/>
  <c r="A3755" i="11"/>
  <c r="A3756" i="11"/>
  <c r="A3757" i="11"/>
  <c r="A3758" i="11"/>
  <c r="A3759" i="11"/>
  <c r="A3760" i="11"/>
  <c r="A3761" i="11"/>
  <c r="A3762" i="11"/>
  <c r="A3763" i="11"/>
  <c r="A3764" i="11"/>
  <c r="A3765" i="11"/>
  <c r="A3766" i="11"/>
  <c r="A3767" i="11"/>
  <c r="A3768" i="11"/>
  <c r="A3769" i="11"/>
  <c r="A3770" i="11"/>
  <c r="A3771" i="11"/>
  <c r="A3772" i="11"/>
  <c r="A3773" i="11"/>
  <c r="A3774" i="11"/>
  <c r="A3775" i="11"/>
  <c r="A3776" i="11"/>
  <c r="A3777" i="11"/>
  <c r="A3778" i="11"/>
  <c r="A3779" i="11"/>
  <c r="A3780" i="11"/>
  <c r="A3781" i="11"/>
  <c r="A3782" i="11"/>
  <c r="A3783" i="11"/>
  <c r="A3784" i="11"/>
  <c r="A3785" i="11"/>
  <c r="A3786" i="11"/>
  <c r="A3787" i="11"/>
  <c r="A3788" i="11"/>
  <c r="A3789" i="11"/>
  <c r="A3790" i="11"/>
  <c r="A3791" i="11"/>
  <c r="A3792" i="11"/>
  <c r="A3793" i="11"/>
  <c r="A3794" i="11"/>
  <c r="A3795" i="11"/>
  <c r="A3796" i="11"/>
  <c r="A3797" i="11"/>
  <c r="A3798" i="11"/>
  <c r="A3799" i="11"/>
  <c r="A3800" i="11"/>
  <c r="A3801" i="11"/>
  <c r="A3802" i="11"/>
  <c r="A3803" i="11"/>
  <c r="A3804" i="11"/>
  <c r="A3805" i="11"/>
  <c r="A3806" i="11"/>
  <c r="A3807" i="11"/>
  <c r="A3808" i="11"/>
  <c r="A3809" i="11"/>
  <c r="A3810" i="11"/>
  <c r="A3811" i="11"/>
  <c r="A3812" i="11"/>
  <c r="A3813" i="11"/>
  <c r="A3814" i="11"/>
  <c r="A3815" i="11"/>
  <c r="A3816" i="11"/>
  <c r="A3817" i="11"/>
  <c r="A3818" i="11"/>
  <c r="A3819" i="11"/>
  <c r="A3820" i="11"/>
  <c r="A3821" i="11"/>
  <c r="A3822" i="11"/>
  <c r="A3823" i="11"/>
  <c r="A3824" i="11"/>
  <c r="A3825" i="11"/>
  <c r="A3826" i="11"/>
  <c r="A3827" i="11"/>
  <c r="A3828" i="11"/>
  <c r="A3829" i="11"/>
  <c r="A3830" i="11"/>
  <c r="A3831" i="11"/>
  <c r="A3832" i="11"/>
  <c r="A3833" i="11"/>
  <c r="A3834" i="11"/>
  <c r="A3835" i="11"/>
  <c r="A3836" i="11"/>
  <c r="A3837" i="11"/>
  <c r="A3838" i="11"/>
  <c r="A3839" i="11"/>
  <c r="A3840" i="11"/>
  <c r="A3841" i="11"/>
  <c r="A3842" i="11"/>
  <c r="A3843" i="11"/>
  <c r="A3844" i="11"/>
  <c r="A3845" i="11"/>
  <c r="A3846" i="11"/>
  <c r="A3847" i="11"/>
  <c r="A3848" i="11"/>
  <c r="A3849" i="11"/>
  <c r="A3850" i="11"/>
  <c r="A3851" i="11"/>
  <c r="A3852" i="11"/>
  <c r="A3853" i="11"/>
  <c r="A3854" i="11"/>
  <c r="A3855" i="11"/>
  <c r="A3856" i="11"/>
  <c r="A3857" i="11"/>
  <c r="A3858" i="11"/>
  <c r="A3859" i="11"/>
  <c r="A3860" i="11"/>
  <c r="A3861" i="11"/>
  <c r="A3862" i="11"/>
  <c r="A3863" i="11"/>
  <c r="A3864" i="11"/>
  <c r="A3865" i="11"/>
  <c r="A3866" i="11"/>
  <c r="A3867" i="11"/>
  <c r="A3868" i="11"/>
  <c r="A3869" i="11"/>
  <c r="A3870" i="11"/>
  <c r="A3871" i="11"/>
  <c r="A3872" i="11"/>
  <c r="A3873" i="11"/>
  <c r="A3874" i="11"/>
  <c r="A3875" i="11"/>
  <c r="A3876" i="11"/>
  <c r="A3877" i="11"/>
  <c r="A3878" i="11"/>
  <c r="A3879" i="11"/>
  <c r="A3880" i="11"/>
  <c r="A3881" i="11"/>
  <c r="A3882" i="11"/>
  <c r="A3883" i="11"/>
  <c r="A3884" i="11"/>
  <c r="A3885" i="11"/>
  <c r="A3886" i="11"/>
  <c r="A3887" i="11"/>
  <c r="A3888" i="11"/>
  <c r="A3889" i="11"/>
  <c r="A3890" i="11"/>
  <c r="A3891" i="11"/>
  <c r="A3892" i="11"/>
  <c r="A3893" i="11"/>
  <c r="A3894" i="11"/>
  <c r="A3895" i="11"/>
  <c r="A3896" i="11"/>
  <c r="A3897" i="11"/>
  <c r="A3898" i="11"/>
  <c r="A3899" i="11"/>
  <c r="A3900" i="11"/>
  <c r="A3901" i="11"/>
  <c r="A3902" i="11"/>
  <c r="A3903" i="11"/>
  <c r="A3904" i="11"/>
  <c r="A3905" i="11"/>
  <c r="A3906" i="11"/>
  <c r="A3907" i="11"/>
  <c r="A3908" i="11"/>
  <c r="A3909" i="11"/>
  <c r="A3910" i="11"/>
  <c r="A3911" i="11"/>
  <c r="A3912" i="11"/>
  <c r="A3913" i="11"/>
  <c r="A3914" i="11"/>
  <c r="A3915" i="11"/>
  <c r="A3916" i="11"/>
  <c r="A3917" i="11"/>
  <c r="A3918" i="11"/>
  <c r="A3919" i="11"/>
  <c r="A3920" i="11"/>
  <c r="A3921" i="11"/>
  <c r="A3922" i="11"/>
  <c r="A3923" i="11"/>
  <c r="A3924" i="11"/>
  <c r="A3925" i="11"/>
  <c r="A3926" i="11"/>
  <c r="A3927" i="11"/>
  <c r="A3928" i="11"/>
  <c r="A3929" i="11"/>
  <c r="A3930" i="11"/>
  <c r="A3931" i="11"/>
  <c r="A3932" i="11"/>
  <c r="A3933" i="11"/>
  <c r="A3934" i="11"/>
  <c r="A3935" i="11"/>
  <c r="A3936" i="11"/>
  <c r="A3937" i="11"/>
  <c r="A3938" i="11"/>
  <c r="A3939" i="11"/>
  <c r="A3940" i="11"/>
  <c r="A3941" i="11"/>
  <c r="A3942" i="11"/>
  <c r="A3943" i="11"/>
  <c r="A3944" i="11"/>
  <c r="A3945" i="11"/>
  <c r="A3946" i="11"/>
  <c r="A3947" i="11"/>
  <c r="A3948" i="11"/>
  <c r="A3949" i="11"/>
  <c r="A3950" i="11"/>
  <c r="A3951" i="11"/>
  <c r="A3952" i="11"/>
  <c r="A3953" i="11"/>
  <c r="A3954" i="11"/>
  <c r="A3955" i="11"/>
  <c r="A3956" i="11"/>
  <c r="A3957" i="11"/>
  <c r="A3958" i="11"/>
  <c r="A3959" i="11"/>
  <c r="A3960" i="11"/>
  <c r="A3961" i="11"/>
  <c r="A3962" i="11"/>
  <c r="A3963" i="11"/>
  <c r="A3964" i="11"/>
  <c r="A3965" i="11"/>
  <c r="A3966" i="11"/>
  <c r="A3967" i="11"/>
  <c r="A3968" i="11"/>
  <c r="A3969" i="11"/>
  <c r="A3970" i="11"/>
  <c r="A3971" i="11"/>
  <c r="A3972" i="11"/>
  <c r="A3973" i="11"/>
  <c r="A3974" i="11"/>
  <c r="A3975" i="11"/>
  <c r="A3976" i="11"/>
  <c r="A3977" i="11"/>
  <c r="A3978" i="11"/>
  <c r="A3979" i="11"/>
  <c r="A3980" i="11"/>
  <c r="A3981" i="11"/>
  <c r="A3982" i="11"/>
  <c r="A3983" i="11"/>
  <c r="A3984" i="11"/>
  <c r="A3985" i="11"/>
  <c r="A3986" i="11"/>
  <c r="A3987" i="11"/>
  <c r="A3988" i="11"/>
  <c r="A3989" i="11"/>
  <c r="A3990" i="11"/>
  <c r="A3991" i="11"/>
  <c r="A3992" i="11"/>
  <c r="A3993" i="11"/>
  <c r="A3994" i="11"/>
  <c r="A3995" i="11"/>
  <c r="A3996" i="11"/>
  <c r="A3997" i="11"/>
  <c r="A3998" i="11"/>
  <c r="A3999" i="11"/>
  <c r="A4000" i="11"/>
  <c r="A4001" i="11"/>
  <c r="A4002" i="11"/>
  <c r="A4003" i="11"/>
  <c r="A4004" i="11"/>
  <c r="A4005" i="11"/>
  <c r="A4006" i="11"/>
  <c r="A4007" i="11"/>
  <c r="A4008" i="11"/>
  <c r="A4009" i="11"/>
  <c r="A4010" i="11"/>
  <c r="A4011" i="11"/>
  <c r="A4012" i="11"/>
  <c r="A4013" i="11"/>
  <c r="A4014" i="11"/>
  <c r="A4015" i="11"/>
  <c r="A4016" i="11"/>
  <c r="A4017" i="11"/>
  <c r="A4018" i="11"/>
  <c r="A4019" i="11"/>
  <c r="A4020" i="11"/>
  <c r="A4021" i="11"/>
  <c r="A4022" i="11"/>
  <c r="A4023" i="11"/>
  <c r="A4024" i="11"/>
  <c r="A4025" i="11"/>
  <c r="A4026" i="11"/>
  <c r="A4027" i="11"/>
  <c r="A4028" i="11"/>
  <c r="A4029" i="11"/>
  <c r="A4030" i="11"/>
  <c r="A4031" i="11"/>
  <c r="A4032" i="11"/>
  <c r="A4033" i="11"/>
  <c r="A4034" i="11"/>
  <c r="A4035" i="11"/>
  <c r="A4036" i="11"/>
  <c r="A4037" i="11"/>
  <c r="A4038" i="11"/>
  <c r="A4039" i="11"/>
  <c r="A4040" i="11"/>
  <c r="A4041" i="11"/>
  <c r="A4042" i="11"/>
  <c r="A4043" i="11"/>
  <c r="A4044" i="11"/>
  <c r="A4045" i="11"/>
  <c r="A4046" i="11"/>
  <c r="A4047" i="11"/>
  <c r="A4048" i="11"/>
  <c r="A4049" i="11"/>
  <c r="A4050" i="11"/>
  <c r="A4051" i="11"/>
  <c r="A4052" i="11"/>
  <c r="A4053" i="11"/>
  <c r="A4054" i="11"/>
  <c r="A4055" i="11"/>
  <c r="A4056" i="11"/>
  <c r="A4057" i="11"/>
  <c r="A4058" i="11"/>
  <c r="A4059" i="11"/>
  <c r="A4060" i="11"/>
  <c r="A4061" i="11"/>
  <c r="A4062" i="11"/>
  <c r="A4063" i="11"/>
  <c r="A4064" i="11"/>
  <c r="A4065" i="11"/>
  <c r="A4066" i="11"/>
  <c r="A4067" i="11"/>
  <c r="A4068" i="11"/>
  <c r="A4069" i="11"/>
  <c r="A4070" i="11"/>
  <c r="A4071" i="11"/>
  <c r="A4072" i="11"/>
  <c r="A4073" i="11"/>
  <c r="A4074" i="11"/>
  <c r="A4075" i="11"/>
  <c r="A4076" i="11"/>
  <c r="A4077" i="11"/>
  <c r="A4078" i="11"/>
  <c r="A4079" i="11"/>
  <c r="A4080" i="11"/>
  <c r="A4081" i="11"/>
  <c r="A4082" i="11"/>
  <c r="A4083" i="11"/>
  <c r="A4084" i="11"/>
  <c r="A4085" i="11"/>
  <c r="A4086" i="11"/>
  <c r="A4087" i="11"/>
  <c r="A4088" i="11"/>
  <c r="A4089" i="11"/>
  <c r="A4090" i="11"/>
  <c r="A4091" i="11"/>
  <c r="A4092" i="11"/>
  <c r="A4093" i="11"/>
  <c r="A4094" i="11"/>
  <c r="A4095" i="11"/>
  <c r="A4096" i="11"/>
  <c r="A4097" i="11"/>
  <c r="A4098" i="11"/>
  <c r="A4099" i="11"/>
  <c r="A4100" i="11"/>
  <c r="A4101" i="11"/>
  <c r="A4102" i="11"/>
  <c r="A4103" i="11"/>
  <c r="A4104" i="11"/>
  <c r="A4105" i="11"/>
  <c r="A4106" i="11"/>
  <c r="A4107" i="11"/>
  <c r="A4108" i="11"/>
  <c r="A4109" i="11"/>
  <c r="A4110" i="11"/>
  <c r="A4111" i="11"/>
  <c r="A4112" i="11"/>
  <c r="A4113" i="11"/>
  <c r="A4114" i="11"/>
  <c r="A4115" i="11"/>
  <c r="A4116" i="11"/>
  <c r="A4117" i="11"/>
  <c r="A4118" i="11"/>
  <c r="A4119" i="11"/>
  <c r="A4120" i="11"/>
  <c r="A4121" i="11"/>
  <c r="A4122" i="11"/>
  <c r="A4123" i="11"/>
  <c r="A4124" i="11"/>
  <c r="A4125" i="11"/>
  <c r="A4126" i="11"/>
  <c r="A4127" i="11"/>
  <c r="A4128" i="11"/>
  <c r="A4129" i="11"/>
  <c r="A4130" i="11"/>
  <c r="A4131" i="11"/>
  <c r="A4132" i="11"/>
  <c r="A4133" i="11"/>
  <c r="A4134" i="11"/>
  <c r="A4135" i="11"/>
  <c r="A4136" i="11"/>
  <c r="A4137" i="11"/>
  <c r="A4138" i="11"/>
  <c r="A4139" i="11"/>
  <c r="A4140" i="11"/>
  <c r="A4141" i="11"/>
  <c r="A4142" i="11"/>
  <c r="A4143" i="11"/>
  <c r="A4144" i="11"/>
  <c r="A4145" i="11"/>
  <c r="A4146" i="11"/>
  <c r="A4147" i="11"/>
  <c r="A4148" i="11"/>
  <c r="A4149" i="11"/>
  <c r="A4150" i="11"/>
  <c r="A4151" i="11"/>
  <c r="A4152" i="11"/>
  <c r="A4153" i="11"/>
  <c r="A4154" i="11"/>
  <c r="A4155" i="11"/>
  <c r="A4156" i="11"/>
  <c r="A4157" i="11"/>
  <c r="A4158" i="11"/>
  <c r="A4159" i="11"/>
  <c r="A4160" i="11"/>
  <c r="A4161" i="11"/>
  <c r="A4162" i="11"/>
  <c r="A4163" i="11"/>
  <c r="A4164" i="11"/>
  <c r="A4165" i="11"/>
  <c r="A4166" i="11"/>
  <c r="A4167" i="11"/>
  <c r="A4168" i="11"/>
  <c r="A4169" i="11"/>
  <c r="A4170" i="11"/>
  <c r="A4171" i="11"/>
  <c r="A4172" i="11"/>
  <c r="A4173" i="11"/>
  <c r="A4174" i="11"/>
  <c r="A4175" i="11"/>
  <c r="A4176" i="11"/>
  <c r="A4177" i="11"/>
  <c r="A4178" i="11"/>
  <c r="A4179" i="11"/>
  <c r="A4180" i="11"/>
  <c r="A4181" i="11"/>
  <c r="A4182" i="11"/>
  <c r="A4183" i="11"/>
  <c r="A4184" i="11"/>
  <c r="A4185" i="11"/>
  <c r="A4186" i="11"/>
  <c r="A4187" i="11"/>
  <c r="A4188" i="11"/>
  <c r="A4189" i="11"/>
  <c r="A4190" i="11"/>
  <c r="A4191" i="11"/>
  <c r="A4192" i="11"/>
  <c r="A4193" i="11"/>
  <c r="A4194" i="11"/>
  <c r="A4195" i="11"/>
  <c r="A4196" i="11"/>
  <c r="A4197" i="11"/>
  <c r="A4198" i="11"/>
  <c r="A4199" i="11"/>
  <c r="A4200" i="11"/>
  <c r="A4201" i="11"/>
  <c r="A4202" i="11"/>
  <c r="A4203" i="11"/>
  <c r="A4204" i="11"/>
  <c r="A4205" i="11"/>
  <c r="A4206" i="11"/>
  <c r="A4207" i="11"/>
  <c r="A4208" i="11"/>
  <c r="A4209" i="11"/>
  <c r="A4210" i="11"/>
  <c r="A4211" i="11"/>
  <c r="A4212" i="11"/>
  <c r="A4213" i="11"/>
  <c r="A4214" i="11"/>
  <c r="A4215" i="11"/>
  <c r="A4216" i="11"/>
  <c r="A4217" i="11"/>
  <c r="A4218" i="11"/>
  <c r="A4219" i="11"/>
  <c r="A4220" i="11"/>
  <c r="A4221" i="11"/>
  <c r="A4222" i="11"/>
  <c r="A4223" i="11"/>
  <c r="A4224" i="11"/>
  <c r="A4225" i="11"/>
  <c r="A4226" i="11"/>
  <c r="A4227" i="11"/>
  <c r="A4228" i="11"/>
  <c r="A4229" i="11"/>
  <c r="A4230" i="11"/>
  <c r="A4231" i="11"/>
  <c r="A4232" i="11"/>
  <c r="A4233" i="11"/>
  <c r="A4234" i="11"/>
  <c r="A4235" i="11"/>
  <c r="A4236" i="11"/>
  <c r="A4237" i="11"/>
  <c r="A4238" i="11"/>
  <c r="A4239" i="11"/>
  <c r="A4240" i="11"/>
  <c r="A4241" i="11"/>
  <c r="A4242" i="11"/>
  <c r="A4243" i="11"/>
  <c r="A4244" i="11"/>
  <c r="A4245" i="11"/>
  <c r="A4246" i="11"/>
  <c r="A4247" i="11"/>
  <c r="A4248" i="11"/>
  <c r="A4249" i="11"/>
  <c r="A4250" i="11"/>
  <c r="A4251" i="11"/>
  <c r="A4252" i="11"/>
  <c r="A4253" i="11"/>
  <c r="A4254" i="11"/>
  <c r="A4255" i="11"/>
  <c r="A4256" i="11"/>
  <c r="A4257" i="11"/>
  <c r="A4258" i="11"/>
  <c r="A4259" i="11"/>
  <c r="A4260" i="11"/>
  <c r="A4261" i="11"/>
  <c r="A4262" i="11"/>
  <c r="A4263" i="11"/>
  <c r="A4264" i="11"/>
  <c r="A4265" i="11"/>
  <c r="A4266" i="11"/>
  <c r="A4267" i="11"/>
  <c r="A4268" i="11"/>
  <c r="A4269" i="11"/>
  <c r="A4270" i="11"/>
  <c r="A4271" i="11"/>
  <c r="A4272" i="11"/>
  <c r="A4273" i="11"/>
  <c r="A4274" i="11"/>
  <c r="A4275" i="11"/>
  <c r="A4276" i="11"/>
  <c r="A4277" i="11"/>
  <c r="A4278" i="11"/>
  <c r="A4279" i="11"/>
  <c r="A4280" i="11"/>
  <c r="A4281" i="11"/>
  <c r="A4282" i="11"/>
  <c r="A4283" i="11"/>
  <c r="A4284" i="11"/>
  <c r="A4285" i="11"/>
  <c r="A4286" i="11"/>
  <c r="A4287" i="11"/>
  <c r="A4288" i="11"/>
  <c r="A4289" i="11"/>
  <c r="A4290" i="11"/>
  <c r="A4291" i="11"/>
  <c r="A4292" i="11"/>
  <c r="A4293" i="11"/>
  <c r="A4294" i="11"/>
  <c r="A4295" i="11"/>
  <c r="A4296" i="11"/>
  <c r="A4297" i="11"/>
  <c r="A4298" i="11"/>
  <c r="A4299" i="11"/>
  <c r="A4300" i="11"/>
  <c r="A4301" i="11"/>
  <c r="A4302" i="11"/>
  <c r="A4303" i="11"/>
  <c r="A4304" i="11"/>
  <c r="A4305" i="11"/>
  <c r="A4306" i="11"/>
  <c r="A4307" i="11"/>
  <c r="A4308" i="11"/>
  <c r="A4309" i="11"/>
  <c r="A4310" i="11"/>
  <c r="A4311" i="11"/>
  <c r="A4312" i="11"/>
  <c r="A4313" i="11"/>
  <c r="A4314" i="11"/>
  <c r="A4315" i="11"/>
  <c r="A4316" i="11"/>
  <c r="A4317" i="11"/>
  <c r="A4318" i="11"/>
  <c r="A4319" i="11"/>
  <c r="A4320" i="11"/>
  <c r="A4321" i="11"/>
  <c r="A4322" i="11"/>
  <c r="A4323" i="11"/>
  <c r="A4324" i="11"/>
  <c r="A4325" i="11"/>
  <c r="A4326" i="11"/>
  <c r="A4327" i="11"/>
  <c r="A4328" i="11"/>
  <c r="A4329" i="11"/>
  <c r="A4330" i="11"/>
  <c r="A4331" i="11"/>
  <c r="A4332" i="11"/>
  <c r="A4333" i="11"/>
  <c r="A4334" i="11"/>
  <c r="A4335" i="11"/>
  <c r="A4336" i="11"/>
  <c r="A4337" i="11"/>
  <c r="A4338" i="11"/>
  <c r="A4339" i="11"/>
  <c r="A4340" i="11"/>
  <c r="A4341" i="11"/>
  <c r="A4342" i="11"/>
  <c r="A4343" i="11"/>
  <c r="A4344" i="11"/>
  <c r="A4345" i="11"/>
  <c r="A4346" i="11"/>
  <c r="A4347" i="11"/>
  <c r="A4348" i="11"/>
  <c r="A4349" i="11"/>
  <c r="A4350" i="11"/>
  <c r="A4351" i="11"/>
  <c r="A4352" i="11"/>
  <c r="A4353" i="11"/>
  <c r="A4354" i="11"/>
  <c r="A4355" i="11"/>
  <c r="A4356" i="11"/>
  <c r="A4357" i="11"/>
  <c r="A4358" i="11"/>
  <c r="A4359" i="11"/>
  <c r="A4360" i="11"/>
  <c r="A4361" i="11"/>
  <c r="A4362" i="11"/>
  <c r="A4363" i="11"/>
  <c r="A4364" i="11"/>
  <c r="A4365" i="11"/>
  <c r="A4366" i="11"/>
  <c r="A4367" i="11"/>
  <c r="A4368" i="11"/>
  <c r="A4369" i="11"/>
  <c r="A4370" i="11"/>
  <c r="A4371" i="11"/>
  <c r="A4372" i="11"/>
  <c r="A4373" i="11"/>
  <c r="A4374" i="11"/>
  <c r="A4375" i="11"/>
  <c r="A4376" i="11"/>
  <c r="A4377" i="11"/>
  <c r="A4378" i="11"/>
  <c r="A4379" i="11"/>
  <c r="A4380" i="11"/>
  <c r="A4381" i="11"/>
  <c r="A4382" i="11"/>
  <c r="A4383" i="11"/>
  <c r="A4384" i="11"/>
  <c r="A4385" i="11"/>
  <c r="A4386" i="11"/>
  <c r="A4387" i="11"/>
  <c r="A4388" i="11"/>
  <c r="A4389" i="11"/>
  <c r="A4390" i="11"/>
  <c r="A4391" i="11"/>
  <c r="A4392" i="11"/>
  <c r="A4393" i="11"/>
  <c r="A4394" i="11"/>
  <c r="A4395" i="11"/>
  <c r="A4396" i="11"/>
  <c r="A4397" i="11"/>
  <c r="A4398" i="11"/>
  <c r="A4399" i="11"/>
  <c r="A4400" i="11"/>
  <c r="A4401" i="11"/>
  <c r="A4402" i="11"/>
  <c r="A4403" i="11"/>
  <c r="A4404" i="11"/>
  <c r="A4405" i="11"/>
  <c r="A4406" i="11"/>
  <c r="A4407" i="11"/>
  <c r="A4408" i="11"/>
  <c r="A4409" i="11"/>
  <c r="A4410" i="11"/>
  <c r="A4411" i="11"/>
  <c r="A4412" i="11"/>
  <c r="A4413" i="11"/>
  <c r="A4414" i="11"/>
  <c r="A4415" i="11"/>
  <c r="A4416" i="11"/>
  <c r="A4417" i="11"/>
  <c r="A4418" i="11"/>
  <c r="A4419" i="11"/>
  <c r="A4420" i="11"/>
  <c r="A4421" i="11"/>
  <c r="A4422" i="11"/>
  <c r="A4423" i="11"/>
  <c r="A4424" i="11"/>
  <c r="A4425" i="11"/>
  <c r="A4426" i="11"/>
  <c r="A4427" i="11"/>
  <c r="A4428" i="11"/>
  <c r="A4429" i="11"/>
  <c r="A4430" i="11"/>
  <c r="A4431" i="11"/>
  <c r="A4432" i="11"/>
  <c r="A4433" i="11"/>
  <c r="A4434" i="11"/>
  <c r="A4435" i="11"/>
  <c r="A4436" i="11"/>
  <c r="A4437" i="11"/>
  <c r="A4438" i="11"/>
  <c r="A4439" i="11"/>
  <c r="A4440" i="11"/>
  <c r="A4441" i="11"/>
  <c r="A4442" i="11"/>
  <c r="A4443" i="11"/>
  <c r="A4444" i="11"/>
  <c r="A4445" i="11"/>
  <c r="A4446" i="11"/>
  <c r="A4447" i="11"/>
  <c r="A4448" i="11"/>
  <c r="A4449" i="11"/>
  <c r="A4450" i="11"/>
  <c r="A4451" i="11"/>
  <c r="A4452" i="11"/>
  <c r="A4453" i="11"/>
  <c r="A4454" i="11"/>
  <c r="A4455" i="11"/>
  <c r="A4456" i="11"/>
  <c r="A4457" i="11"/>
  <c r="A4458" i="11"/>
  <c r="A4459" i="11"/>
  <c r="A4460" i="11"/>
  <c r="A4461" i="11"/>
  <c r="A4462" i="11"/>
  <c r="A4463" i="11"/>
  <c r="A4464" i="11"/>
  <c r="A4465" i="11"/>
  <c r="A4466" i="11"/>
  <c r="A4467" i="11"/>
  <c r="A4468" i="11"/>
  <c r="A4469" i="11"/>
  <c r="A4470" i="11"/>
  <c r="A4471" i="11"/>
  <c r="A4472" i="11"/>
  <c r="A4473" i="11"/>
  <c r="A4474" i="11"/>
  <c r="A4475" i="11"/>
  <c r="A4476" i="11"/>
  <c r="A4477" i="11"/>
  <c r="A4478" i="11"/>
  <c r="A4479" i="11"/>
  <c r="A4480" i="11"/>
  <c r="A4481" i="11"/>
  <c r="A4482" i="11"/>
  <c r="A4483" i="11"/>
  <c r="A4484" i="11"/>
  <c r="A4485" i="11"/>
  <c r="A4486" i="11"/>
  <c r="A4487" i="11"/>
  <c r="A4488" i="11"/>
  <c r="A4489" i="11"/>
  <c r="A4490" i="11"/>
  <c r="A4491" i="11"/>
  <c r="A4492" i="11"/>
  <c r="A4493" i="11"/>
  <c r="A4494" i="11"/>
  <c r="A4495" i="11"/>
  <c r="A4496" i="11"/>
  <c r="A4497" i="11"/>
  <c r="A4498" i="11"/>
  <c r="A4499" i="11"/>
  <c r="A4500" i="11"/>
  <c r="A4501" i="11"/>
  <c r="A4502" i="11"/>
  <c r="A4503" i="11"/>
  <c r="A4504" i="11"/>
  <c r="A4505" i="11"/>
  <c r="A4506" i="11"/>
  <c r="A4507" i="11"/>
  <c r="A4508" i="11"/>
  <c r="A4509" i="11"/>
  <c r="A4510" i="11"/>
  <c r="A4511" i="11"/>
  <c r="A4512" i="11"/>
  <c r="A4513" i="11"/>
  <c r="A4514" i="11"/>
  <c r="A4515" i="11"/>
  <c r="A4516" i="11"/>
  <c r="A4517" i="11"/>
  <c r="A4518" i="11"/>
  <c r="A4519" i="11"/>
  <c r="A4520" i="11"/>
  <c r="A4521" i="11"/>
  <c r="A4522" i="11"/>
  <c r="A4523" i="11"/>
  <c r="A4524" i="11"/>
  <c r="A4525" i="11"/>
  <c r="A4526" i="11"/>
  <c r="A4527" i="11"/>
  <c r="A4528" i="11"/>
  <c r="A4529" i="11"/>
  <c r="A4530" i="11"/>
  <c r="A4531" i="11"/>
  <c r="A4532" i="11"/>
  <c r="A4533" i="11"/>
  <c r="A4534" i="11"/>
  <c r="A4535" i="11"/>
  <c r="A4536" i="11"/>
  <c r="A4537" i="11"/>
  <c r="A4538" i="11"/>
  <c r="A4539" i="11"/>
  <c r="A4540" i="11"/>
  <c r="A4541" i="11"/>
  <c r="A4542" i="11"/>
  <c r="A4543" i="11"/>
  <c r="A4544" i="11"/>
  <c r="A4545" i="11"/>
  <c r="A4546" i="11"/>
  <c r="A4547" i="11"/>
  <c r="A4548" i="11"/>
  <c r="A4549" i="11"/>
  <c r="A4550" i="11"/>
  <c r="A4551" i="11"/>
  <c r="A4552" i="11"/>
  <c r="A4553" i="11"/>
  <c r="A4554" i="11"/>
  <c r="A4555" i="11"/>
  <c r="A4556" i="11"/>
  <c r="A4557" i="11"/>
  <c r="A4558" i="11"/>
  <c r="A4559" i="11"/>
  <c r="A4560" i="11"/>
  <c r="A4561" i="11"/>
  <c r="A4562" i="11"/>
  <c r="A4563" i="11"/>
  <c r="A4564" i="11"/>
  <c r="A4565" i="11"/>
  <c r="A4566" i="11"/>
  <c r="A4567" i="11"/>
  <c r="A4568" i="11"/>
  <c r="A4569" i="11"/>
  <c r="A4570" i="11"/>
  <c r="A4571" i="11"/>
  <c r="A4572" i="11"/>
  <c r="A4573" i="11"/>
  <c r="A4574" i="11"/>
  <c r="A4575" i="11"/>
  <c r="A4576" i="11"/>
  <c r="A4577" i="11"/>
  <c r="A4578" i="11"/>
  <c r="A4579" i="11"/>
  <c r="A4580" i="11"/>
  <c r="A4581" i="11"/>
  <c r="A4582" i="11"/>
  <c r="A4583" i="11"/>
  <c r="A4584" i="11"/>
  <c r="A4585" i="11"/>
  <c r="A4586" i="11"/>
  <c r="A4587" i="11"/>
  <c r="A4588" i="11"/>
  <c r="A4589" i="11"/>
  <c r="A4590" i="11"/>
  <c r="A4591" i="11"/>
  <c r="A4592" i="11"/>
  <c r="A4593" i="11"/>
  <c r="A4594" i="11"/>
  <c r="A4595" i="11"/>
  <c r="A4596" i="11"/>
  <c r="A4597" i="11"/>
  <c r="A4598" i="11"/>
  <c r="A4599" i="11"/>
  <c r="A4600" i="11"/>
  <c r="A4601" i="11"/>
  <c r="A4602" i="11"/>
  <c r="A4603" i="11"/>
  <c r="A4604" i="11"/>
  <c r="A4605" i="11"/>
  <c r="A4606" i="11"/>
  <c r="A4607" i="11"/>
  <c r="A4608" i="11"/>
  <c r="A4609" i="11"/>
  <c r="A4610" i="11"/>
  <c r="A4611" i="11"/>
  <c r="A4612" i="11"/>
  <c r="A4613" i="11"/>
  <c r="A4614" i="11"/>
  <c r="A4615" i="11"/>
  <c r="A4616" i="11"/>
  <c r="A4617" i="11"/>
  <c r="A4618" i="11"/>
  <c r="A4619" i="11"/>
  <c r="A4620" i="11"/>
  <c r="A4621" i="11"/>
  <c r="A4622" i="11"/>
  <c r="A4623" i="11"/>
  <c r="A4624" i="11"/>
  <c r="A4625" i="11"/>
  <c r="A4626" i="11"/>
  <c r="A4627" i="11"/>
  <c r="A4628" i="11"/>
  <c r="A4629" i="11"/>
  <c r="A4630" i="11"/>
  <c r="A4631" i="11"/>
  <c r="A4632" i="11"/>
  <c r="A4633" i="11"/>
  <c r="A4634" i="11"/>
  <c r="A4635" i="11"/>
  <c r="A4636" i="11"/>
  <c r="A4637" i="11"/>
  <c r="A4638" i="11"/>
  <c r="A4639" i="11"/>
  <c r="A4640" i="11"/>
  <c r="A4641" i="11"/>
  <c r="A4642" i="11"/>
  <c r="A4643" i="11"/>
  <c r="A4644" i="11"/>
  <c r="A4645" i="11"/>
  <c r="A4646" i="11"/>
  <c r="A4647" i="11"/>
  <c r="A4648" i="11"/>
  <c r="A4649" i="11"/>
  <c r="A4650" i="11"/>
  <c r="A4651" i="11"/>
  <c r="A4652" i="11"/>
  <c r="A4653" i="11"/>
  <c r="A4654" i="11"/>
  <c r="A4655" i="11"/>
  <c r="A4656" i="11"/>
  <c r="A4657" i="11"/>
  <c r="A4658" i="11"/>
  <c r="A4659" i="11"/>
  <c r="A4660" i="11"/>
  <c r="A4661" i="11"/>
  <c r="A4662" i="11"/>
  <c r="A4663" i="11"/>
  <c r="A4664" i="11"/>
  <c r="A4665" i="11"/>
  <c r="A4666" i="11"/>
  <c r="A4667" i="11"/>
  <c r="A4668" i="11"/>
  <c r="A4669" i="11"/>
  <c r="A4670" i="11"/>
  <c r="A4671" i="11"/>
  <c r="A4672" i="11"/>
  <c r="A4673" i="11"/>
  <c r="A4674" i="11"/>
  <c r="A4675" i="11"/>
  <c r="A4676" i="11"/>
  <c r="A4677" i="11"/>
  <c r="A4678" i="11"/>
  <c r="A4679" i="11"/>
  <c r="A4680" i="11"/>
  <c r="A4681" i="11"/>
  <c r="A4682" i="11"/>
  <c r="A4683" i="11"/>
  <c r="A4684" i="11"/>
  <c r="A4685" i="11"/>
  <c r="A4686" i="11"/>
  <c r="A4687" i="11"/>
  <c r="A4688" i="11"/>
  <c r="A4689" i="11"/>
  <c r="A4690" i="11"/>
  <c r="A4691" i="11"/>
  <c r="A4692" i="11"/>
  <c r="A4693" i="11"/>
  <c r="A4694" i="11"/>
  <c r="A4695" i="11"/>
  <c r="A4696" i="11"/>
  <c r="A4697" i="11"/>
  <c r="A4698" i="11"/>
  <c r="A4699" i="11"/>
  <c r="A4700" i="11"/>
  <c r="A4701" i="11"/>
  <c r="A4702" i="11"/>
  <c r="A4703" i="11"/>
  <c r="A4704" i="11"/>
  <c r="A4705" i="11"/>
  <c r="A4706" i="11"/>
  <c r="A4707" i="11"/>
  <c r="A4708" i="11"/>
  <c r="A4709" i="11"/>
  <c r="A4710" i="11"/>
  <c r="A4711" i="11"/>
  <c r="A4712" i="11"/>
  <c r="A4713" i="11"/>
  <c r="A4714" i="11"/>
  <c r="A4715" i="11"/>
  <c r="A4716" i="11"/>
  <c r="A4717" i="11"/>
  <c r="A4718" i="11"/>
  <c r="A4719" i="11"/>
  <c r="A4720" i="11"/>
  <c r="A4721" i="11"/>
  <c r="A4722" i="11"/>
  <c r="A4723" i="11"/>
  <c r="A4724" i="11"/>
  <c r="A4725" i="11"/>
  <c r="A4726" i="11"/>
  <c r="A4727" i="11"/>
  <c r="A4728" i="11"/>
  <c r="A4729" i="11"/>
  <c r="A4730" i="11"/>
  <c r="A4731" i="11"/>
  <c r="A4732" i="11"/>
  <c r="A4733" i="11"/>
  <c r="A4734" i="11"/>
  <c r="A4735" i="11"/>
  <c r="A4736" i="11"/>
  <c r="A4737" i="11"/>
  <c r="A4738" i="11"/>
  <c r="A4739" i="11"/>
  <c r="A4740" i="11"/>
  <c r="A4741" i="11"/>
  <c r="A4742" i="11"/>
  <c r="A4743" i="11"/>
  <c r="A4744" i="11"/>
  <c r="A4745" i="11"/>
  <c r="A4746" i="11"/>
  <c r="A4747" i="11"/>
  <c r="A4748" i="11"/>
  <c r="A4749" i="11"/>
  <c r="A4750" i="11"/>
  <c r="A4751" i="11"/>
  <c r="A4752" i="11"/>
  <c r="A4753" i="11"/>
  <c r="A4754" i="11"/>
  <c r="A4755" i="11"/>
  <c r="A4756" i="11"/>
  <c r="A4757" i="11"/>
  <c r="A4758" i="11"/>
  <c r="A4759" i="11"/>
  <c r="A4760" i="11"/>
  <c r="A4761" i="11"/>
  <c r="A4762" i="11"/>
  <c r="A4763" i="11"/>
  <c r="A4764" i="11"/>
  <c r="A4765" i="11"/>
  <c r="A4766" i="11"/>
  <c r="A4767" i="11"/>
  <c r="A4768" i="11"/>
  <c r="A4769" i="11"/>
  <c r="A4770" i="11"/>
  <c r="A4771" i="11"/>
  <c r="A4772" i="11"/>
  <c r="A4773" i="11"/>
  <c r="A4774" i="11"/>
  <c r="A4775" i="11"/>
  <c r="A4776" i="11"/>
  <c r="A4777" i="11"/>
  <c r="A4778" i="11"/>
  <c r="A4779" i="11"/>
  <c r="A4780" i="11"/>
  <c r="A4781" i="11"/>
  <c r="A4782" i="11"/>
  <c r="A4783" i="11"/>
  <c r="A4784" i="11"/>
  <c r="A4785" i="11"/>
  <c r="A4786" i="11"/>
  <c r="A4787" i="11"/>
  <c r="A4788" i="11"/>
  <c r="A4789" i="11"/>
  <c r="A4790" i="11"/>
  <c r="A4791" i="11"/>
  <c r="A4792" i="11"/>
  <c r="A4793" i="11"/>
  <c r="A4794" i="11"/>
  <c r="A4795" i="11"/>
  <c r="A4796" i="11"/>
  <c r="A4797" i="11"/>
  <c r="A4798" i="11"/>
  <c r="A4799" i="11"/>
  <c r="A4800" i="11"/>
  <c r="A4801" i="11"/>
  <c r="A4802" i="11"/>
  <c r="A4803" i="11"/>
  <c r="A4804" i="11"/>
  <c r="A4805" i="11"/>
  <c r="A4806" i="11"/>
  <c r="A4807" i="11"/>
  <c r="A4808" i="11"/>
  <c r="A4809" i="11"/>
  <c r="A4810" i="11"/>
  <c r="A4811" i="11"/>
  <c r="A4812" i="11"/>
  <c r="A4813" i="11"/>
  <c r="A4814" i="11"/>
  <c r="A4815" i="11"/>
  <c r="A4816" i="11"/>
  <c r="A4817" i="11"/>
  <c r="A4818" i="11"/>
  <c r="A4819" i="11"/>
  <c r="A4820" i="11"/>
  <c r="A4821" i="11"/>
  <c r="A4822" i="11"/>
  <c r="A4823" i="11"/>
  <c r="A4824" i="11"/>
  <c r="A4825" i="11"/>
  <c r="A4826" i="11"/>
  <c r="A4827" i="11"/>
  <c r="A4828" i="11"/>
  <c r="A4829" i="11"/>
  <c r="A4830" i="11"/>
  <c r="A4831" i="11"/>
  <c r="A4832" i="11"/>
  <c r="A4833" i="11"/>
  <c r="A4834" i="11"/>
  <c r="A4835" i="11"/>
  <c r="A4836" i="11"/>
  <c r="A4837" i="11"/>
  <c r="A4838" i="11"/>
  <c r="A4839" i="11"/>
  <c r="A4840" i="11"/>
  <c r="A4841" i="11"/>
  <c r="A4842" i="11"/>
  <c r="A4843" i="11"/>
  <c r="A4844" i="11"/>
  <c r="A4845" i="11"/>
  <c r="A4846" i="11"/>
  <c r="A4847" i="11"/>
  <c r="A4848" i="11"/>
  <c r="A4849" i="11"/>
  <c r="A4850" i="11"/>
  <c r="A4851" i="11"/>
  <c r="A4852" i="11"/>
  <c r="A4853" i="11"/>
  <c r="A4854" i="11"/>
  <c r="A4855" i="11"/>
  <c r="A4856" i="11"/>
  <c r="A4857" i="11"/>
  <c r="A4858" i="11"/>
  <c r="A4859" i="11"/>
  <c r="A4860" i="11"/>
  <c r="A4861" i="11"/>
  <c r="A4862" i="11"/>
  <c r="A4863" i="11"/>
  <c r="A4864" i="11"/>
  <c r="A4865" i="11"/>
  <c r="A4866" i="11"/>
  <c r="A4867" i="11"/>
  <c r="A4868" i="11"/>
  <c r="A4869" i="11"/>
  <c r="A4870" i="11"/>
  <c r="A4871" i="11"/>
  <c r="A4872" i="11"/>
  <c r="A4873" i="11"/>
  <c r="A4874" i="11"/>
  <c r="A4875" i="11"/>
  <c r="A4876" i="11"/>
  <c r="A4877" i="11"/>
  <c r="A4878" i="11"/>
  <c r="A4879" i="11"/>
  <c r="A4880" i="11"/>
  <c r="A4881" i="11"/>
  <c r="A4882" i="11"/>
  <c r="A4883" i="11"/>
  <c r="A4884" i="11"/>
  <c r="A4885" i="11"/>
  <c r="A4886" i="11"/>
  <c r="A4887" i="11"/>
  <c r="A4888" i="11"/>
  <c r="A4889" i="11"/>
  <c r="A4890" i="11"/>
  <c r="A4891" i="11"/>
  <c r="A4892" i="11"/>
  <c r="A4893" i="11"/>
  <c r="A4894" i="11"/>
  <c r="A4895" i="11"/>
  <c r="A4896" i="11"/>
  <c r="A4897" i="11"/>
  <c r="A4898" i="11"/>
  <c r="A4899" i="11"/>
  <c r="A4900" i="11"/>
  <c r="A4901" i="11"/>
  <c r="A4902" i="11"/>
  <c r="A4903" i="11"/>
  <c r="A4904" i="11"/>
  <c r="A4905" i="11"/>
  <c r="A4906" i="11"/>
  <c r="A4907" i="11"/>
  <c r="A4908" i="11"/>
  <c r="A4909" i="11"/>
  <c r="A4910" i="11"/>
  <c r="A4911" i="11"/>
  <c r="A4912" i="11"/>
  <c r="A4913" i="11"/>
  <c r="A4914" i="11"/>
  <c r="A4915" i="11"/>
  <c r="A4916" i="11"/>
  <c r="A4917" i="11"/>
  <c r="A4918" i="11"/>
  <c r="A4919" i="11"/>
  <c r="A4920" i="11"/>
  <c r="A4921" i="11"/>
  <c r="A4922" i="11"/>
  <c r="A4923" i="11"/>
  <c r="A4924" i="11"/>
  <c r="A4925" i="11"/>
  <c r="A4926" i="11"/>
  <c r="A4927" i="11"/>
  <c r="A4928" i="11"/>
  <c r="A4929" i="11"/>
  <c r="A4930" i="11"/>
  <c r="A4931" i="11"/>
  <c r="A4932" i="11"/>
  <c r="A4933" i="11"/>
  <c r="A4934" i="11"/>
  <c r="A4935" i="11"/>
  <c r="A4936" i="11"/>
  <c r="A4937" i="11"/>
  <c r="A4938" i="11"/>
  <c r="A4939" i="11"/>
  <c r="A4940" i="11"/>
  <c r="A4941" i="11"/>
  <c r="A4942" i="11"/>
  <c r="A4943" i="11"/>
  <c r="A4944" i="11"/>
  <c r="A4945" i="11"/>
  <c r="A4946" i="11"/>
  <c r="A4947" i="11"/>
  <c r="A4948" i="11"/>
  <c r="A4949" i="11"/>
  <c r="A4950" i="11"/>
  <c r="A4951" i="11"/>
  <c r="A4952" i="11"/>
  <c r="A4953" i="11"/>
  <c r="A4954" i="11"/>
  <c r="A4955" i="11"/>
  <c r="A4956" i="11"/>
  <c r="A4957" i="11"/>
  <c r="A4958" i="11"/>
  <c r="A4959" i="11"/>
  <c r="A4960" i="11"/>
  <c r="A4961" i="11"/>
  <c r="A4962" i="11"/>
  <c r="A4963" i="11"/>
  <c r="A4964" i="11"/>
  <c r="A4965" i="11"/>
  <c r="A4966" i="11"/>
  <c r="A4967" i="11"/>
  <c r="A4968" i="11"/>
  <c r="A4969" i="11"/>
  <c r="A4970" i="11"/>
  <c r="A4971" i="11"/>
  <c r="A4972" i="11"/>
  <c r="A4973" i="11"/>
  <c r="A4974" i="11"/>
  <c r="A4975" i="11"/>
  <c r="A4976" i="11"/>
  <c r="A4977" i="11"/>
  <c r="A4978" i="11"/>
  <c r="A4979" i="11"/>
  <c r="A4980" i="11"/>
  <c r="A4981" i="11"/>
  <c r="A4982" i="11"/>
  <c r="A4983" i="11"/>
  <c r="A4984" i="11"/>
  <c r="A4985" i="11"/>
  <c r="A4986" i="11"/>
  <c r="A4987" i="11"/>
  <c r="A4988" i="11"/>
  <c r="A4989" i="11"/>
  <c r="A4990" i="11"/>
  <c r="A4991" i="11"/>
  <c r="A4992" i="11"/>
  <c r="A4993" i="11"/>
  <c r="A4994" i="11"/>
  <c r="A4995" i="11"/>
  <c r="A4996" i="11"/>
  <c r="A4997" i="11"/>
  <c r="A4998" i="11"/>
  <c r="A4999" i="11"/>
  <c r="A5000" i="11"/>
  <c r="A5001" i="11"/>
  <c r="A5002" i="11"/>
  <c r="A5003" i="11"/>
  <c r="A5004" i="11"/>
  <c r="A5005" i="11"/>
  <c r="A5006" i="11"/>
  <c r="A5007" i="11"/>
  <c r="A5008" i="11"/>
  <c r="A5009" i="11"/>
  <c r="A5010" i="11"/>
  <c r="A5011" i="11"/>
  <c r="A5012" i="11"/>
  <c r="A5013" i="11"/>
  <c r="A5014" i="11"/>
  <c r="A5015" i="11"/>
  <c r="A5016" i="11"/>
  <c r="A5017" i="11"/>
  <c r="A5018" i="11"/>
  <c r="A5019" i="11"/>
  <c r="A5020" i="11"/>
  <c r="A5021" i="11"/>
  <c r="A5022" i="11"/>
  <c r="A5023" i="11"/>
  <c r="A5024" i="11"/>
  <c r="A5025" i="11"/>
  <c r="A5026" i="11"/>
  <c r="A5027" i="11"/>
  <c r="A5028" i="11"/>
  <c r="A5029" i="11"/>
  <c r="A5030" i="11"/>
  <c r="A5031" i="11"/>
  <c r="A5032" i="11"/>
  <c r="A5033" i="11"/>
  <c r="A5034" i="11"/>
  <c r="A5035" i="11"/>
  <c r="A5036" i="11"/>
  <c r="A5037" i="11"/>
  <c r="A5038" i="11"/>
  <c r="A5039" i="11"/>
  <c r="A5040" i="11"/>
  <c r="A5041" i="11"/>
  <c r="A5042" i="11"/>
  <c r="A5043" i="11"/>
  <c r="A5044" i="11"/>
  <c r="A5045" i="11"/>
  <c r="A5046" i="11"/>
  <c r="A5047" i="11"/>
  <c r="A5048" i="11"/>
  <c r="A2" i="11"/>
  <c r="M3" i="11"/>
  <c r="D3" i="11" l="1"/>
  <c r="C3" i="11"/>
  <c r="R3" i="11"/>
  <c r="S3" i="11"/>
  <c r="N3" i="11"/>
  <c r="M4" i="11"/>
  <c r="A3" i="11"/>
  <c r="A4" i="11"/>
  <c r="A5" i="11"/>
  <c r="A6" i="11"/>
  <c r="A7" i="11"/>
  <c r="A8" i="11"/>
  <c r="A9" i="11"/>
  <c r="A10" i="11"/>
  <c r="A11" i="11"/>
  <c r="A12" i="11"/>
  <c r="A13" i="11"/>
  <c r="A14" i="11"/>
  <c r="A15" i="11"/>
  <c r="A16" i="11"/>
  <c r="A17" i="11"/>
  <c r="A18" i="11"/>
  <c r="A19" i="11"/>
  <c r="A1" i="11"/>
  <c r="C4" i="5" l="1"/>
  <c r="D4" i="11"/>
  <c r="C4" i="11"/>
  <c r="S4" i="11"/>
  <c r="R4" i="11"/>
  <c r="N4" i="11"/>
  <c r="M5" i="11"/>
  <c r="B13" i="15"/>
  <c r="B12" i="15"/>
  <c r="B11" i="15"/>
  <c r="B9" i="15"/>
  <c r="B8" i="15"/>
  <c r="B7" i="15"/>
  <c r="B6" i="15"/>
  <c r="B5" i="15"/>
  <c r="B4" i="15"/>
  <c r="M6" i="11" l="1"/>
  <c r="C5" i="11"/>
  <c r="D5" i="11"/>
  <c r="R5" i="11"/>
  <c r="S5" i="11"/>
  <c r="N5" i="11"/>
  <c r="M7" i="11"/>
  <c r="C5" i="15"/>
  <c r="D7" i="11" l="1"/>
  <c r="C7" i="11"/>
  <c r="R7" i="11"/>
  <c r="S7" i="11"/>
  <c r="N7" i="11"/>
  <c r="D6" i="11"/>
  <c r="C6" i="11"/>
  <c r="S6" i="11"/>
  <c r="R6" i="11"/>
  <c r="N6" i="11"/>
  <c r="M8" i="11"/>
  <c r="D8" i="11" l="1"/>
  <c r="C8" i="11"/>
  <c r="S8" i="11"/>
  <c r="R8" i="11"/>
  <c r="N8" i="11"/>
  <c r="M9" i="11"/>
  <c r="C9" i="11" l="1"/>
  <c r="D9" i="11"/>
  <c r="R9" i="11"/>
  <c r="S9" i="11"/>
  <c r="N9" i="11"/>
  <c r="M10" i="11"/>
  <c r="D10" i="11" l="1"/>
  <c r="C10" i="11"/>
  <c r="S10" i="11"/>
  <c r="R10" i="11"/>
  <c r="N10" i="11"/>
  <c r="M11" i="11"/>
  <c r="D11" i="11" l="1"/>
  <c r="C11" i="11"/>
  <c r="R11" i="11"/>
  <c r="S11" i="11"/>
  <c r="N11" i="11"/>
  <c r="M12" i="11"/>
  <c r="D12" i="11" l="1"/>
  <c r="C12" i="11"/>
  <c r="S12" i="11"/>
  <c r="R12" i="11"/>
  <c r="N12" i="11"/>
  <c r="M13" i="11"/>
  <c r="C13" i="11" l="1"/>
  <c r="D13" i="11"/>
  <c r="R13" i="11"/>
  <c r="S13" i="11"/>
  <c r="N13" i="11"/>
  <c r="M14" i="11"/>
  <c r="D14" i="11" l="1"/>
  <c r="C14" i="11"/>
  <c r="S14" i="11"/>
  <c r="R14" i="11"/>
  <c r="N14" i="11"/>
  <c r="M15" i="11"/>
  <c r="D15" i="11" l="1"/>
  <c r="C15" i="11"/>
  <c r="R15" i="11"/>
  <c r="S15" i="11"/>
  <c r="N15" i="11"/>
  <c r="M16" i="11"/>
  <c r="D16" i="11" l="1"/>
  <c r="C16" i="11"/>
  <c r="S16" i="11"/>
  <c r="R16" i="11"/>
  <c r="N16" i="11"/>
  <c r="M17" i="11"/>
  <c r="C17" i="11" l="1"/>
  <c r="D17" i="11"/>
  <c r="R17" i="11"/>
  <c r="S17" i="11"/>
  <c r="N17" i="11"/>
  <c r="M18" i="11"/>
  <c r="D18" i="11" l="1"/>
  <c r="C18" i="11"/>
  <c r="S18" i="11"/>
  <c r="R18" i="11"/>
  <c r="N18" i="11"/>
  <c r="M19" i="11"/>
  <c r="D19" i="11" l="1"/>
  <c r="C19" i="11"/>
  <c r="R19" i="11"/>
  <c r="S19" i="11"/>
  <c r="N19" i="11"/>
  <c r="M20" i="11"/>
  <c r="D20" i="11" l="1"/>
  <c r="C20" i="11"/>
  <c r="S20" i="11"/>
  <c r="R20" i="11"/>
  <c r="N20" i="11"/>
  <c r="M21" i="11"/>
  <c r="C21" i="11" l="1"/>
  <c r="D21" i="11"/>
  <c r="R21" i="11"/>
  <c r="S21" i="11"/>
  <c r="N21" i="11"/>
  <c r="M22" i="11"/>
  <c r="D22" i="11" l="1"/>
  <c r="C22" i="11"/>
  <c r="S22" i="11"/>
  <c r="R22" i="11"/>
  <c r="N22" i="11"/>
  <c r="M23" i="11"/>
  <c r="D23" i="11" l="1"/>
  <c r="C23" i="11"/>
  <c r="R23" i="11"/>
  <c r="S23" i="11"/>
  <c r="N23" i="11"/>
  <c r="M24" i="11"/>
  <c r="D24" i="11" l="1"/>
  <c r="C24" i="11"/>
  <c r="S24" i="11"/>
  <c r="R24" i="11"/>
  <c r="N24" i="11"/>
  <c r="M25" i="11"/>
  <c r="C25" i="11" l="1"/>
  <c r="D25" i="11"/>
  <c r="R25" i="11"/>
  <c r="S25" i="11"/>
  <c r="N25" i="11"/>
  <c r="M26" i="11"/>
  <c r="D26" i="11" l="1"/>
  <c r="C26" i="11"/>
  <c r="S26" i="11"/>
  <c r="R26" i="11"/>
  <c r="N26" i="11"/>
  <c r="M27" i="11"/>
  <c r="D27" i="11" l="1"/>
  <c r="C27" i="11"/>
  <c r="R27" i="11"/>
  <c r="S27" i="11"/>
  <c r="N27" i="11"/>
  <c r="M28" i="11"/>
  <c r="D28" i="11" l="1"/>
  <c r="C28" i="11"/>
  <c r="S28" i="11"/>
  <c r="R28" i="11"/>
  <c r="N28" i="11"/>
  <c r="M29" i="11"/>
  <c r="C29" i="11" l="1"/>
  <c r="D29" i="11"/>
  <c r="R29" i="11"/>
  <c r="S29" i="11"/>
  <c r="N29" i="11"/>
  <c r="M30" i="11"/>
  <c r="D30" i="11" l="1"/>
  <c r="C30" i="11"/>
  <c r="S30" i="11"/>
  <c r="R30" i="11"/>
  <c r="N30" i="11"/>
  <c r="M31" i="11"/>
  <c r="D31" i="11" l="1"/>
  <c r="C31" i="11"/>
  <c r="R31" i="11"/>
  <c r="S31" i="11"/>
  <c r="N31" i="11"/>
  <c r="M32" i="11"/>
  <c r="D32" i="11" l="1"/>
  <c r="C32" i="11"/>
  <c r="S32" i="11"/>
  <c r="R32" i="11"/>
  <c r="N32" i="11"/>
  <c r="M33" i="11"/>
  <c r="C33" i="11" l="1"/>
  <c r="D33" i="11"/>
  <c r="R33" i="11"/>
  <c r="S33" i="11"/>
  <c r="N33" i="11"/>
  <c r="M34" i="11"/>
  <c r="D34" i="11" l="1"/>
  <c r="C34" i="11"/>
  <c r="S34" i="11"/>
  <c r="R34" i="11"/>
  <c r="N34" i="11"/>
  <c r="M35" i="11"/>
  <c r="D35" i="11" l="1"/>
  <c r="C35" i="11"/>
  <c r="R35" i="11"/>
  <c r="S35" i="11"/>
  <c r="N35" i="11"/>
  <c r="M36" i="11"/>
  <c r="D36" i="11" l="1"/>
  <c r="C36" i="11"/>
  <c r="S36" i="11"/>
  <c r="R36" i="11"/>
  <c r="N36" i="11"/>
  <c r="M37" i="11"/>
  <c r="C37" i="11" l="1"/>
  <c r="D37" i="11"/>
  <c r="R37" i="11"/>
  <c r="S37" i="11"/>
  <c r="N37" i="11"/>
  <c r="M38" i="11"/>
  <c r="D38" i="11" l="1"/>
  <c r="C38" i="11"/>
  <c r="S38" i="11"/>
  <c r="R38" i="11"/>
  <c r="N38" i="11"/>
  <c r="M39" i="11"/>
  <c r="D39" i="11" l="1"/>
  <c r="C39" i="11"/>
  <c r="R39" i="11"/>
  <c r="S39" i="11"/>
  <c r="N39" i="11"/>
  <c r="M40" i="11"/>
  <c r="D40" i="11" l="1"/>
  <c r="C40" i="11"/>
  <c r="S40" i="11"/>
  <c r="R40" i="11"/>
  <c r="N40" i="11"/>
  <c r="M41" i="11"/>
  <c r="C41" i="11" l="1"/>
  <c r="D41" i="11"/>
  <c r="R41" i="11"/>
  <c r="S41" i="11"/>
  <c r="N41" i="11"/>
  <c r="M42" i="11"/>
  <c r="D42" i="11" l="1"/>
  <c r="C42" i="11"/>
  <c r="S42" i="11"/>
  <c r="R42" i="11"/>
  <c r="N42" i="11"/>
  <c r="M43" i="11"/>
  <c r="D43" i="11" l="1"/>
  <c r="C43" i="11"/>
  <c r="R43" i="11"/>
  <c r="S43" i="11"/>
  <c r="N43" i="11"/>
  <c r="M44" i="11"/>
  <c r="D44" i="11" l="1"/>
  <c r="C44" i="11"/>
  <c r="S44" i="11"/>
  <c r="R44" i="11"/>
  <c r="N44" i="11"/>
  <c r="M45" i="11"/>
  <c r="C45" i="11" l="1"/>
  <c r="D45" i="11"/>
  <c r="R45" i="11"/>
  <c r="S45" i="11"/>
  <c r="N45" i="11"/>
  <c r="M46" i="11"/>
  <c r="D46" i="11" l="1"/>
  <c r="C46" i="11"/>
  <c r="S46" i="11"/>
  <c r="R46" i="11"/>
  <c r="N46" i="11"/>
  <c r="M47" i="11"/>
  <c r="D47" i="11" l="1"/>
  <c r="C47" i="11"/>
  <c r="R47" i="11"/>
  <c r="S47" i="11"/>
  <c r="N47" i="11"/>
  <c r="M48" i="11"/>
  <c r="D48" i="11" l="1"/>
  <c r="C48" i="11"/>
  <c r="S48" i="11"/>
  <c r="R48" i="11"/>
  <c r="N48" i="11"/>
  <c r="M49" i="11"/>
  <c r="C49" i="11" l="1"/>
  <c r="D49" i="11"/>
  <c r="R49" i="11"/>
  <c r="S49" i="11"/>
  <c r="N49" i="11"/>
  <c r="M50" i="11"/>
  <c r="D50" i="11" l="1"/>
  <c r="C50" i="11"/>
  <c r="S50" i="11"/>
  <c r="R50" i="11"/>
  <c r="N50" i="11"/>
  <c r="M51" i="11"/>
  <c r="D51" i="11" l="1"/>
  <c r="C51" i="11"/>
  <c r="R51" i="11"/>
  <c r="S51" i="11"/>
  <c r="N51" i="11"/>
  <c r="M52" i="11"/>
  <c r="D52" i="11" l="1"/>
  <c r="C52" i="11"/>
  <c r="S52" i="11"/>
  <c r="R52" i="11"/>
  <c r="N52" i="11"/>
  <c r="M53" i="11"/>
  <c r="C53" i="11" l="1"/>
  <c r="D53" i="11"/>
  <c r="R53" i="11"/>
  <c r="S53" i="11"/>
  <c r="N53" i="11"/>
  <c r="M54" i="11"/>
  <c r="D54" i="11" l="1"/>
  <c r="C54" i="11"/>
  <c r="S54" i="11"/>
  <c r="R54" i="11"/>
  <c r="N54" i="11"/>
  <c r="M55" i="11"/>
  <c r="D55" i="11" l="1"/>
  <c r="C55" i="11"/>
  <c r="R55" i="11"/>
  <c r="S55" i="11"/>
  <c r="N55" i="11"/>
  <c r="M56" i="11"/>
  <c r="D56" i="11" l="1"/>
  <c r="C56" i="11"/>
  <c r="S56" i="11"/>
  <c r="R56" i="11"/>
  <c r="N56" i="11"/>
  <c r="M57" i="11"/>
  <c r="C57" i="11" l="1"/>
  <c r="D57" i="11"/>
  <c r="R57" i="11"/>
  <c r="S57" i="11"/>
  <c r="N57" i="11"/>
  <c r="M58" i="11"/>
  <c r="D58" i="11" l="1"/>
  <c r="C58" i="11"/>
  <c r="S58" i="11"/>
  <c r="R58" i="11"/>
  <c r="N58" i="11"/>
  <c r="M59" i="11"/>
  <c r="D59" i="11" l="1"/>
  <c r="C59" i="11"/>
  <c r="R59" i="11"/>
  <c r="S59" i="11"/>
  <c r="N59" i="11"/>
  <c r="M60" i="11"/>
  <c r="D60" i="11" l="1"/>
  <c r="C60" i="11"/>
  <c r="S60" i="11"/>
  <c r="R60" i="11"/>
  <c r="N60" i="11"/>
  <c r="M61" i="11"/>
  <c r="C61" i="11" l="1"/>
  <c r="D61" i="11"/>
  <c r="R61" i="11"/>
  <c r="S61" i="11"/>
  <c r="N61" i="11"/>
  <c r="M62" i="11"/>
  <c r="D62" i="11" l="1"/>
  <c r="C62" i="11"/>
  <c r="S62" i="11"/>
  <c r="R62" i="11"/>
  <c r="N62" i="11"/>
  <c r="M63" i="11"/>
  <c r="D63" i="11" l="1"/>
  <c r="C63" i="11"/>
  <c r="R63" i="11"/>
  <c r="S63" i="11"/>
  <c r="N63" i="11"/>
  <c r="M64" i="11"/>
  <c r="D64" i="11" l="1"/>
  <c r="C64" i="11"/>
  <c r="S64" i="11"/>
  <c r="R64" i="11"/>
  <c r="N64" i="11"/>
  <c r="M65" i="11"/>
  <c r="C65" i="11" l="1"/>
  <c r="D65" i="11"/>
  <c r="R65" i="11"/>
  <c r="S65" i="11"/>
  <c r="N65" i="11"/>
  <c r="M66" i="11"/>
  <c r="D66" i="11" l="1"/>
  <c r="C66" i="11"/>
  <c r="S66" i="11"/>
  <c r="R66" i="11"/>
  <c r="N66" i="11"/>
  <c r="M67" i="11"/>
  <c r="D67" i="11" l="1"/>
  <c r="C67" i="11"/>
  <c r="R67" i="11"/>
  <c r="S67" i="11"/>
  <c r="N67" i="11"/>
  <c r="M68" i="11"/>
  <c r="D68" i="11" l="1"/>
  <c r="C68" i="11"/>
  <c r="S68" i="11"/>
  <c r="R68" i="11"/>
  <c r="N68" i="11"/>
  <c r="M69" i="11"/>
  <c r="C69" i="11" l="1"/>
  <c r="D69" i="11"/>
  <c r="R69" i="11"/>
  <c r="S69" i="11"/>
  <c r="N69" i="11"/>
  <c r="M70" i="11"/>
  <c r="D70" i="11" l="1"/>
  <c r="C70" i="11"/>
  <c r="S70" i="11"/>
  <c r="R70" i="11"/>
  <c r="N70" i="11"/>
  <c r="M71" i="11"/>
  <c r="D71" i="11" l="1"/>
  <c r="C71" i="11"/>
  <c r="R71" i="11"/>
  <c r="S71" i="11"/>
  <c r="N71" i="11"/>
  <c r="M72" i="11"/>
  <c r="D72" i="11" l="1"/>
  <c r="C72" i="11"/>
  <c r="S72" i="11"/>
  <c r="R72" i="11"/>
  <c r="N72" i="11"/>
  <c r="M73" i="11"/>
  <c r="C73" i="11" l="1"/>
  <c r="D73" i="11"/>
  <c r="R73" i="11"/>
  <c r="S73" i="11"/>
  <c r="N73" i="11"/>
  <c r="M74" i="11"/>
  <c r="D74" i="11" l="1"/>
  <c r="C74" i="11"/>
  <c r="S74" i="11"/>
  <c r="R74" i="11"/>
  <c r="N74" i="11"/>
  <c r="M75" i="11"/>
  <c r="D75" i="11" l="1"/>
  <c r="C75" i="11"/>
  <c r="R75" i="11"/>
  <c r="S75" i="11"/>
  <c r="N75" i="11"/>
  <c r="M76" i="11"/>
  <c r="D76" i="11" l="1"/>
  <c r="C76" i="11"/>
  <c r="S76" i="11"/>
  <c r="R76" i="11"/>
  <c r="N76" i="11"/>
  <c r="M77" i="11"/>
  <c r="C77" i="11" l="1"/>
  <c r="D77" i="11"/>
  <c r="R77" i="11"/>
  <c r="S77" i="11"/>
  <c r="N77" i="11"/>
  <c r="M78" i="11"/>
  <c r="D78" i="11" l="1"/>
  <c r="C78" i="11"/>
  <c r="S78" i="11"/>
  <c r="R78" i="11"/>
  <c r="N78" i="11"/>
  <c r="M79" i="11"/>
  <c r="D79" i="11" l="1"/>
  <c r="C79" i="11"/>
  <c r="R79" i="11"/>
  <c r="S79" i="11"/>
  <c r="N79" i="11"/>
  <c r="M80" i="11"/>
  <c r="D80" i="11" l="1"/>
  <c r="C80" i="11"/>
  <c r="S80" i="11"/>
  <c r="R80" i="11"/>
  <c r="N80" i="11"/>
  <c r="M81" i="11"/>
  <c r="C81" i="11" l="1"/>
  <c r="D81" i="11"/>
  <c r="R81" i="11"/>
  <c r="S81" i="11"/>
  <c r="N81" i="11"/>
  <c r="M82" i="11"/>
  <c r="D82" i="11" l="1"/>
  <c r="C82" i="11"/>
  <c r="S82" i="11"/>
  <c r="R82" i="11"/>
  <c r="N82" i="11"/>
  <c r="M83" i="11"/>
  <c r="D83" i="11" l="1"/>
  <c r="C83" i="11"/>
  <c r="R83" i="11"/>
  <c r="S83" i="11"/>
  <c r="N83" i="11"/>
  <c r="M84" i="11"/>
  <c r="D84" i="11" l="1"/>
  <c r="C84" i="11"/>
  <c r="S84" i="11"/>
  <c r="R84" i="11"/>
  <c r="N84" i="11"/>
  <c r="M85" i="11"/>
  <c r="C85" i="11" l="1"/>
  <c r="D85" i="11"/>
  <c r="R85" i="11"/>
  <c r="S85" i="11"/>
  <c r="N85" i="11"/>
  <c r="M86" i="11"/>
  <c r="D86" i="11" l="1"/>
  <c r="C86" i="11"/>
  <c r="S86" i="11"/>
  <c r="R86" i="11"/>
  <c r="N86" i="11"/>
  <c r="M87" i="11"/>
  <c r="D87" i="11" l="1"/>
  <c r="C87" i="11"/>
  <c r="R87" i="11"/>
  <c r="S87" i="11"/>
  <c r="N87" i="11"/>
  <c r="M88" i="11"/>
  <c r="D88" i="11" l="1"/>
  <c r="C88" i="11"/>
  <c r="S88" i="11"/>
  <c r="R88" i="11"/>
  <c r="N88" i="11"/>
  <c r="M89" i="11"/>
  <c r="C89" i="11" l="1"/>
  <c r="D89" i="11"/>
  <c r="R89" i="11"/>
  <c r="S89" i="11"/>
  <c r="N89" i="11"/>
  <c r="M90" i="11"/>
  <c r="D90" i="11" l="1"/>
  <c r="C90" i="11"/>
  <c r="S90" i="11"/>
  <c r="R90" i="11"/>
  <c r="N90" i="11"/>
  <c r="M91" i="11"/>
  <c r="D91" i="11" l="1"/>
  <c r="C91" i="11"/>
  <c r="R91" i="11"/>
  <c r="S91" i="11"/>
  <c r="N91" i="11"/>
  <c r="M92" i="11"/>
  <c r="D92" i="11" l="1"/>
  <c r="C92" i="11"/>
  <c r="S92" i="11"/>
  <c r="R92" i="11"/>
  <c r="N92" i="11"/>
  <c r="M93" i="11"/>
  <c r="C93" i="11" l="1"/>
  <c r="D93" i="11"/>
  <c r="R93" i="11"/>
  <c r="S93" i="11"/>
  <c r="N93" i="11"/>
  <c r="M94" i="11"/>
  <c r="D94" i="11" l="1"/>
  <c r="C94" i="11"/>
  <c r="S94" i="11"/>
  <c r="R94" i="11"/>
  <c r="N94" i="11"/>
  <c r="M95" i="11"/>
  <c r="D95" i="11" l="1"/>
  <c r="C95" i="11"/>
  <c r="R95" i="11"/>
  <c r="S95" i="11"/>
  <c r="N95" i="11"/>
  <c r="M96" i="11"/>
  <c r="D96" i="11" l="1"/>
  <c r="C96" i="11"/>
  <c r="S96" i="11"/>
  <c r="R96" i="11"/>
  <c r="N96" i="11"/>
  <c r="M97" i="11"/>
  <c r="D97" i="11" l="1"/>
  <c r="C97" i="11"/>
  <c r="R97" i="11"/>
  <c r="S97" i="11"/>
  <c r="N97" i="11"/>
  <c r="M98" i="11"/>
  <c r="D98" i="11" l="1"/>
  <c r="C98" i="11"/>
  <c r="S98" i="11"/>
  <c r="R98" i="11"/>
  <c r="N98" i="11"/>
  <c r="M99" i="11"/>
  <c r="D99" i="11" l="1"/>
  <c r="C99" i="11"/>
  <c r="R99" i="11"/>
  <c r="S99" i="11"/>
  <c r="N99" i="11"/>
  <c r="M100" i="11"/>
  <c r="D100" i="11" l="1"/>
  <c r="C100" i="11"/>
  <c r="S100" i="11"/>
  <c r="R100" i="11"/>
  <c r="N100" i="11"/>
  <c r="M101" i="11"/>
  <c r="D101" i="11" l="1"/>
  <c r="C101" i="11"/>
  <c r="R101" i="11"/>
  <c r="S101" i="11"/>
  <c r="N101" i="11"/>
  <c r="M102" i="11"/>
  <c r="D102" i="11" l="1"/>
  <c r="C102" i="11"/>
  <c r="S102" i="11"/>
  <c r="R102" i="11"/>
  <c r="N102" i="11"/>
  <c r="M103" i="11"/>
  <c r="D103" i="11" l="1"/>
  <c r="C103" i="11"/>
  <c r="R103" i="11"/>
  <c r="S103" i="11"/>
  <c r="N103" i="11"/>
  <c r="M104" i="11"/>
  <c r="D104" i="11" l="1"/>
  <c r="C104" i="11"/>
  <c r="S104" i="11"/>
  <c r="R104" i="11"/>
  <c r="N104" i="11"/>
  <c r="M105" i="11"/>
  <c r="D105" i="11" l="1"/>
  <c r="C105" i="11"/>
  <c r="R105" i="11"/>
  <c r="S105" i="11"/>
  <c r="N105" i="11"/>
  <c r="M106" i="11"/>
  <c r="D106" i="11" l="1"/>
  <c r="C106" i="11"/>
  <c r="S106" i="11"/>
  <c r="R106" i="11"/>
  <c r="N106" i="11"/>
  <c r="M107" i="11"/>
  <c r="D107" i="11" l="1"/>
  <c r="C107" i="11"/>
  <c r="R107" i="11"/>
  <c r="S107" i="11"/>
  <c r="N107" i="11"/>
  <c r="M108" i="11"/>
  <c r="D108" i="11" l="1"/>
  <c r="C108" i="11"/>
  <c r="S108" i="11"/>
  <c r="R108" i="11"/>
  <c r="N108" i="11"/>
  <c r="M109" i="11"/>
  <c r="D109" i="11" l="1"/>
  <c r="C109" i="11"/>
  <c r="R109" i="11"/>
  <c r="S109" i="11"/>
  <c r="N109" i="11"/>
  <c r="M110" i="11"/>
  <c r="D110" i="11" l="1"/>
  <c r="C110" i="11"/>
  <c r="S110" i="11"/>
  <c r="R110" i="11"/>
  <c r="N110" i="11"/>
  <c r="M111" i="11"/>
  <c r="D111" i="11" l="1"/>
  <c r="C111" i="11"/>
  <c r="R111" i="11"/>
  <c r="S111" i="11"/>
  <c r="N111" i="11"/>
  <c r="M112" i="11"/>
  <c r="D112" i="11" l="1"/>
  <c r="C112" i="11"/>
  <c r="S112" i="11"/>
  <c r="R112" i="11"/>
  <c r="N112" i="11"/>
  <c r="M113" i="11"/>
  <c r="D113" i="11" l="1"/>
  <c r="C113" i="11"/>
  <c r="R113" i="11"/>
  <c r="S113" i="11"/>
  <c r="N113" i="11"/>
  <c r="M114" i="11"/>
  <c r="D114" i="11" l="1"/>
  <c r="C114" i="11"/>
  <c r="S114" i="11"/>
  <c r="R114" i="11"/>
  <c r="N114" i="11"/>
  <c r="M115" i="11"/>
  <c r="D115" i="11" l="1"/>
  <c r="C115" i="11"/>
  <c r="R115" i="11"/>
  <c r="S115" i="11"/>
  <c r="N115" i="11"/>
  <c r="M116" i="11"/>
  <c r="D116" i="11" l="1"/>
  <c r="C116" i="11"/>
  <c r="S116" i="11"/>
  <c r="R116" i="11"/>
  <c r="N116" i="11"/>
  <c r="M117" i="11"/>
  <c r="D117" i="11" l="1"/>
  <c r="C117" i="11"/>
  <c r="R117" i="11"/>
  <c r="S117" i="11"/>
  <c r="N117" i="11"/>
  <c r="M118" i="11"/>
  <c r="D118" i="11" l="1"/>
  <c r="C118" i="11"/>
  <c r="S118" i="11"/>
  <c r="R118" i="11"/>
  <c r="N118" i="11"/>
  <c r="M119" i="11"/>
  <c r="D119" i="11" l="1"/>
  <c r="C119" i="11"/>
  <c r="R119" i="11"/>
  <c r="S119" i="11"/>
  <c r="N119" i="11"/>
  <c r="M120" i="11"/>
  <c r="D120" i="11" l="1"/>
  <c r="C120" i="11"/>
  <c r="S120" i="11"/>
  <c r="R120" i="11"/>
  <c r="N120" i="11"/>
  <c r="M121" i="11"/>
  <c r="D121" i="11" l="1"/>
  <c r="C121" i="11"/>
  <c r="R121" i="11"/>
  <c r="S121" i="11"/>
  <c r="N121" i="11"/>
  <c r="M122" i="11"/>
  <c r="D122" i="11" l="1"/>
  <c r="C122" i="11"/>
  <c r="S122" i="11"/>
  <c r="R122" i="11"/>
  <c r="N122" i="11"/>
  <c r="M123" i="11"/>
  <c r="D123" i="11" l="1"/>
  <c r="C123" i="11"/>
  <c r="R123" i="11"/>
  <c r="S123" i="11"/>
  <c r="N123" i="11"/>
  <c r="M124" i="11"/>
  <c r="D124" i="11" l="1"/>
  <c r="C124" i="11"/>
  <c r="S124" i="11"/>
  <c r="R124" i="11"/>
  <c r="N124" i="11"/>
  <c r="M125" i="11"/>
  <c r="D125" i="11" l="1"/>
  <c r="C125" i="11"/>
  <c r="R125" i="11"/>
  <c r="S125" i="11"/>
  <c r="N125" i="11"/>
  <c r="M126" i="11"/>
  <c r="D126" i="11" l="1"/>
  <c r="C126" i="11"/>
  <c r="S126" i="11"/>
  <c r="R126" i="11"/>
  <c r="N126" i="11"/>
  <c r="M127" i="11"/>
  <c r="D127" i="11" l="1"/>
  <c r="C127" i="11"/>
  <c r="R127" i="11"/>
  <c r="S127" i="11"/>
  <c r="N127" i="11"/>
  <c r="M128" i="11"/>
  <c r="D128" i="11" l="1"/>
  <c r="C128" i="11"/>
  <c r="S128" i="11"/>
  <c r="R128" i="11"/>
  <c r="N128" i="11"/>
  <c r="M129" i="11"/>
  <c r="D129" i="11" l="1"/>
  <c r="C129" i="11"/>
  <c r="R129" i="11"/>
  <c r="S129" i="11"/>
  <c r="N129" i="11"/>
  <c r="M130" i="11"/>
  <c r="D130" i="11" l="1"/>
  <c r="C130" i="11"/>
  <c r="S130" i="11"/>
  <c r="R130" i="11"/>
  <c r="N130" i="11"/>
  <c r="M131" i="11"/>
  <c r="D131" i="11" l="1"/>
  <c r="C131" i="11"/>
  <c r="R131" i="11"/>
  <c r="S131" i="11"/>
  <c r="N131" i="11"/>
  <c r="M132" i="11"/>
  <c r="D132" i="11" l="1"/>
  <c r="C132" i="11"/>
  <c r="S132" i="11"/>
  <c r="R132" i="11"/>
  <c r="N132" i="11"/>
  <c r="M133" i="11"/>
  <c r="D133" i="11" l="1"/>
  <c r="C133" i="11"/>
  <c r="R133" i="11"/>
  <c r="S133" i="11"/>
  <c r="N133" i="11"/>
  <c r="M134" i="11"/>
  <c r="D134" i="11" l="1"/>
  <c r="C134" i="11"/>
  <c r="S134" i="11"/>
  <c r="R134" i="11"/>
  <c r="N134" i="11"/>
  <c r="M135" i="11"/>
  <c r="D135" i="11" l="1"/>
  <c r="C135" i="11"/>
  <c r="R135" i="11"/>
  <c r="S135" i="11"/>
  <c r="N135" i="11"/>
  <c r="M136" i="11"/>
  <c r="D136" i="11" l="1"/>
  <c r="C136" i="11"/>
  <c r="S136" i="11"/>
  <c r="R136" i="11"/>
  <c r="N136" i="11"/>
  <c r="M137" i="11"/>
  <c r="D137" i="11" l="1"/>
  <c r="C137" i="11"/>
  <c r="R137" i="11"/>
  <c r="S137" i="11"/>
  <c r="N137" i="11"/>
  <c r="M138" i="11"/>
  <c r="D138" i="11" l="1"/>
  <c r="C138" i="11"/>
  <c r="S138" i="11"/>
  <c r="R138" i="11"/>
  <c r="N138" i="11"/>
  <c r="M139" i="11"/>
  <c r="D139" i="11" l="1"/>
  <c r="C139" i="11"/>
  <c r="R139" i="11"/>
  <c r="S139" i="11"/>
  <c r="N139" i="11"/>
  <c r="M140" i="11"/>
  <c r="D140" i="11" l="1"/>
  <c r="C140" i="11"/>
  <c r="S140" i="11"/>
  <c r="R140" i="11"/>
  <c r="N140" i="11"/>
  <c r="M141" i="11"/>
  <c r="D141" i="11" l="1"/>
  <c r="C141" i="11"/>
  <c r="R141" i="11"/>
  <c r="S141" i="11"/>
  <c r="N141" i="11"/>
  <c r="M142" i="11"/>
  <c r="D142" i="11" l="1"/>
  <c r="C142" i="11"/>
  <c r="S142" i="11"/>
  <c r="R142" i="11"/>
  <c r="N142" i="11"/>
  <c r="M143" i="11"/>
  <c r="D143" i="11" l="1"/>
  <c r="C143" i="11"/>
  <c r="R143" i="11"/>
  <c r="S143" i="11"/>
  <c r="N143" i="11"/>
  <c r="M144" i="11"/>
  <c r="D144" i="11" l="1"/>
  <c r="C144" i="11"/>
  <c r="S144" i="11"/>
  <c r="R144" i="11"/>
  <c r="N144" i="11"/>
  <c r="M145" i="11"/>
  <c r="D145" i="11" l="1"/>
  <c r="C145" i="11"/>
  <c r="R145" i="11"/>
  <c r="S145" i="11"/>
  <c r="N145" i="11"/>
  <c r="M146" i="11"/>
  <c r="D146" i="11" l="1"/>
  <c r="C146" i="11"/>
  <c r="S146" i="11"/>
  <c r="R146" i="11"/>
  <c r="N146" i="11"/>
  <c r="M147" i="11"/>
  <c r="D147" i="11" l="1"/>
  <c r="C147" i="11"/>
  <c r="R147" i="11"/>
  <c r="S147" i="11"/>
  <c r="N147" i="11"/>
  <c r="M148" i="11"/>
  <c r="D148" i="11" l="1"/>
  <c r="C148" i="11"/>
  <c r="S148" i="11"/>
  <c r="R148" i="11"/>
  <c r="N148" i="11"/>
  <c r="M149" i="11"/>
  <c r="D149" i="11" l="1"/>
  <c r="C149" i="11"/>
  <c r="R149" i="11"/>
  <c r="S149" i="11"/>
  <c r="N149" i="11"/>
  <c r="M150" i="11"/>
  <c r="D150" i="11" l="1"/>
  <c r="C150" i="11"/>
  <c r="S150" i="11"/>
  <c r="R150" i="11"/>
  <c r="N150" i="11"/>
  <c r="M151" i="11"/>
  <c r="D151" i="11" l="1"/>
  <c r="C151" i="11"/>
  <c r="R151" i="11"/>
  <c r="S151" i="11"/>
  <c r="N151" i="11"/>
  <c r="M152" i="11"/>
  <c r="D152" i="11" l="1"/>
  <c r="C152" i="11"/>
  <c r="S152" i="11"/>
  <c r="R152" i="11"/>
  <c r="N152" i="11"/>
  <c r="M153" i="11"/>
  <c r="D153" i="11" l="1"/>
  <c r="C153" i="11"/>
  <c r="R153" i="11"/>
  <c r="S153" i="11"/>
  <c r="N153" i="11"/>
  <c r="M154" i="11"/>
  <c r="D154" i="11" l="1"/>
  <c r="C154" i="11"/>
  <c r="S154" i="11"/>
  <c r="R154" i="11"/>
  <c r="N154" i="11"/>
  <c r="M155" i="11"/>
  <c r="D155" i="11" l="1"/>
  <c r="C155" i="11"/>
  <c r="R155" i="11"/>
  <c r="S155" i="11"/>
  <c r="N155" i="11"/>
  <c r="M156" i="11"/>
  <c r="D156" i="11" l="1"/>
  <c r="C156" i="11"/>
  <c r="S156" i="11"/>
  <c r="R156" i="11"/>
  <c r="N156" i="11"/>
  <c r="M157" i="11"/>
  <c r="D157" i="11" l="1"/>
  <c r="C157" i="11"/>
  <c r="R157" i="11"/>
  <c r="S157" i="11"/>
  <c r="N157" i="11"/>
  <c r="M158" i="11"/>
  <c r="D158" i="11" l="1"/>
  <c r="C158" i="11"/>
  <c r="S158" i="11"/>
  <c r="R158" i="11"/>
  <c r="N158" i="11"/>
  <c r="M159" i="11"/>
  <c r="D159" i="11" l="1"/>
  <c r="C159" i="11"/>
  <c r="R159" i="11"/>
  <c r="S159" i="11"/>
  <c r="N159" i="11"/>
  <c r="M160" i="11"/>
  <c r="D160" i="11" l="1"/>
  <c r="C160" i="11"/>
  <c r="S160" i="11"/>
  <c r="R160" i="11"/>
  <c r="N160" i="11"/>
  <c r="M161" i="11"/>
  <c r="D161" i="11" l="1"/>
  <c r="C161" i="11"/>
  <c r="R161" i="11"/>
  <c r="S161" i="11"/>
  <c r="N161" i="11"/>
  <c r="M162" i="11"/>
  <c r="D162" i="11" l="1"/>
  <c r="C162" i="11"/>
  <c r="S162" i="11"/>
  <c r="R162" i="11"/>
  <c r="N162" i="11"/>
  <c r="M163" i="11"/>
  <c r="D163" i="11" l="1"/>
  <c r="C163" i="11"/>
  <c r="R163" i="11"/>
  <c r="S163" i="11"/>
  <c r="N163" i="11"/>
  <c r="M164" i="11"/>
  <c r="D164" i="11" l="1"/>
  <c r="C164" i="11"/>
  <c r="S164" i="11"/>
  <c r="R164" i="11"/>
  <c r="N164" i="11"/>
  <c r="M165" i="11"/>
  <c r="D165" i="11" l="1"/>
  <c r="C165" i="11"/>
  <c r="R165" i="11"/>
  <c r="S165" i="11"/>
  <c r="N165" i="11"/>
  <c r="M166" i="11"/>
  <c r="D166" i="11" l="1"/>
  <c r="C166" i="11"/>
  <c r="S166" i="11"/>
  <c r="R166" i="11"/>
  <c r="N166" i="11"/>
  <c r="M167" i="11"/>
  <c r="D167" i="11" l="1"/>
  <c r="C167" i="11"/>
  <c r="R167" i="11"/>
  <c r="S167" i="11"/>
  <c r="N167" i="11"/>
  <c r="M168" i="11"/>
  <c r="D168" i="11" l="1"/>
  <c r="C168" i="11"/>
  <c r="S168" i="11"/>
  <c r="R168" i="11"/>
  <c r="N168" i="11"/>
  <c r="M169" i="11"/>
  <c r="D169" i="11" l="1"/>
  <c r="C169" i="11"/>
  <c r="R169" i="11"/>
  <c r="S169" i="11"/>
  <c r="N169" i="11"/>
  <c r="M170" i="11"/>
  <c r="D170" i="11" l="1"/>
  <c r="C170" i="11"/>
  <c r="S170" i="11"/>
  <c r="R170" i="11"/>
  <c r="N170" i="11"/>
  <c r="M171" i="11"/>
  <c r="D171" i="11" l="1"/>
  <c r="C171" i="11"/>
  <c r="R171" i="11"/>
  <c r="S171" i="11"/>
  <c r="N171" i="11"/>
  <c r="M172" i="11"/>
  <c r="D172" i="11" l="1"/>
  <c r="C172" i="11"/>
  <c r="S172" i="11"/>
  <c r="R172" i="11"/>
  <c r="N172" i="11"/>
  <c r="M173" i="11"/>
  <c r="D173" i="11" l="1"/>
  <c r="C173" i="11"/>
  <c r="R173" i="11"/>
  <c r="S173" i="11"/>
  <c r="N173" i="11"/>
  <c r="M174" i="11"/>
  <c r="D174" i="11" l="1"/>
  <c r="C174" i="11"/>
  <c r="S174" i="11"/>
  <c r="R174" i="11"/>
  <c r="N174" i="11"/>
  <c r="M175" i="11"/>
  <c r="D175" i="11" l="1"/>
  <c r="C175" i="11"/>
  <c r="R175" i="11"/>
  <c r="S175" i="11"/>
  <c r="N175" i="11"/>
  <c r="M176" i="11"/>
  <c r="D176" i="11" l="1"/>
  <c r="C176" i="11"/>
  <c r="S176" i="11"/>
  <c r="R176" i="11"/>
  <c r="N176" i="11"/>
  <c r="M177" i="11"/>
  <c r="D177" i="11" l="1"/>
  <c r="C177" i="11"/>
  <c r="R177" i="11"/>
  <c r="S177" i="11"/>
  <c r="N177" i="11"/>
  <c r="M178" i="11"/>
  <c r="D178" i="11" l="1"/>
  <c r="C178" i="11"/>
  <c r="S178" i="11"/>
  <c r="R178" i="11"/>
  <c r="N178" i="11"/>
  <c r="M179" i="11"/>
  <c r="D179" i="11" l="1"/>
  <c r="C179" i="11"/>
  <c r="R179" i="11"/>
  <c r="S179" i="11"/>
  <c r="N179" i="11"/>
  <c r="M180" i="11"/>
  <c r="D180" i="11" l="1"/>
  <c r="C180" i="11"/>
  <c r="S180" i="11"/>
  <c r="R180" i="11"/>
  <c r="N180" i="11"/>
  <c r="M181" i="11"/>
  <c r="D181" i="11" l="1"/>
  <c r="C181" i="11"/>
  <c r="R181" i="11"/>
  <c r="S181" i="11"/>
  <c r="N181" i="11"/>
  <c r="M182" i="11"/>
  <c r="D182" i="11" l="1"/>
  <c r="C182" i="11"/>
  <c r="S182" i="11"/>
  <c r="R182" i="11"/>
  <c r="N182" i="11"/>
  <c r="M183" i="11"/>
  <c r="D183" i="11" l="1"/>
  <c r="C183" i="11"/>
  <c r="R183" i="11"/>
  <c r="S183" i="11"/>
  <c r="N183" i="11"/>
  <c r="M184" i="11"/>
  <c r="D184" i="11" l="1"/>
  <c r="C184" i="11"/>
  <c r="S184" i="11"/>
  <c r="R184" i="11"/>
  <c r="N184" i="11"/>
  <c r="M185" i="11"/>
  <c r="D185" i="11" l="1"/>
  <c r="C185" i="11"/>
  <c r="R185" i="11"/>
  <c r="S185" i="11"/>
  <c r="N185" i="11"/>
  <c r="M186" i="11"/>
  <c r="D186" i="11" l="1"/>
  <c r="C186" i="11"/>
  <c r="S186" i="11"/>
  <c r="R186" i="11"/>
  <c r="N186" i="11"/>
  <c r="M187" i="11"/>
  <c r="D187" i="11" l="1"/>
  <c r="C187" i="11"/>
  <c r="R187" i="11"/>
  <c r="S187" i="11"/>
  <c r="N187" i="11"/>
  <c r="M188" i="11"/>
  <c r="D188" i="11" l="1"/>
  <c r="C188" i="11"/>
  <c r="S188" i="11"/>
  <c r="R188" i="11"/>
  <c r="N188" i="11"/>
  <c r="M189" i="11"/>
  <c r="D189" i="11" l="1"/>
  <c r="C189" i="11"/>
  <c r="R189" i="11"/>
  <c r="S189" i="11"/>
  <c r="N189" i="11"/>
  <c r="M190" i="11"/>
  <c r="D190" i="11" l="1"/>
  <c r="C190" i="11"/>
  <c r="S190" i="11"/>
  <c r="R190" i="11"/>
  <c r="N190" i="11"/>
  <c r="M191" i="11"/>
  <c r="D191" i="11" l="1"/>
  <c r="C191" i="11"/>
  <c r="R191" i="11"/>
  <c r="S191" i="11"/>
  <c r="N191" i="11"/>
  <c r="M192" i="11"/>
  <c r="D192" i="11" l="1"/>
  <c r="C192" i="11"/>
  <c r="S192" i="11"/>
  <c r="R192" i="11"/>
  <c r="N192" i="11"/>
  <c r="M193" i="11"/>
  <c r="D193" i="11" l="1"/>
  <c r="C193" i="11"/>
  <c r="R193" i="11"/>
  <c r="S193" i="11"/>
  <c r="N193" i="11"/>
  <c r="M194" i="11"/>
  <c r="D194" i="11" l="1"/>
  <c r="C194" i="11"/>
  <c r="S194" i="11"/>
  <c r="R194" i="11"/>
  <c r="N194" i="11"/>
  <c r="M195" i="11"/>
  <c r="D195" i="11" l="1"/>
  <c r="C195" i="11"/>
  <c r="R195" i="11"/>
  <c r="S195" i="11"/>
  <c r="N195" i="11"/>
  <c r="M196" i="11"/>
  <c r="D196" i="11" l="1"/>
  <c r="C196" i="11"/>
  <c r="S196" i="11"/>
  <c r="R196" i="11"/>
  <c r="N196" i="11"/>
  <c r="M197" i="11"/>
  <c r="D197" i="11" l="1"/>
  <c r="C197" i="11"/>
  <c r="R197" i="11"/>
  <c r="S197" i="11"/>
  <c r="N197" i="11"/>
  <c r="M198" i="11"/>
  <c r="D198" i="11" l="1"/>
  <c r="C198" i="11"/>
  <c r="S198" i="11"/>
  <c r="R198" i="11"/>
  <c r="N198" i="11"/>
  <c r="M199" i="11"/>
  <c r="D199" i="11" l="1"/>
  <c r="C199" i="11"/>
  <c r="R199" i="11"/>
  <c r="S199" i="11"/>
  <c r="N199" i="11"/>
  <c r="M200" i="11"/>
  <c r="D200" i="11" l="1"/>
  <c r="C200" i="11"/>
  <c r="S200" i="11"/>
  <c r="R200" i="11"/>
  <c r="N200" i="11"/>
  <c r="M201" i="11"/>
  <c r="D201" i="11" l="1"/>
  <c r="C201" i="11"/>
  <c r="R201" i="11"/>
  <c r="S201" i="11"/>
  <c r="N201" i="11"/>
  <c r="M202" i="11"/>
  <c r="D202" i="11" l="1"/>
  <c r="C202" i="11"/>
  <c r="S202" i="11"/>
  <c r="R202" i="11"/>
  <c r="N202" i="11"/>
  <c r="M203" i="11"/>
  <c r="D203" i="11" l="1"/>
  <c r="C203" i="11"/>
  <c r="R203" i="11"/>
  <c r="S203" i="11"/>
  <c r="N203" i="11"/>
  <c r="M204" i="11"/>
  <c r="D204" i="11" l="1"/>
  <c r="C204" i="11"/>
  <c r="S204" i="11"/>
  <c r="R204" i="11"/>
  <c r="N204" i="11"/>
  <c r="M205" i="11"/>
  <c r="D205" i="11" l="1"/>
  <c r="C205" i="11"/>
  <c r="R205" i="11"/>
  <c r="S205" i="11"/>
  <c r="N205" i="11"/>
  <c r="M206" i="11"/>
  <c r="D206" i="11" l="1"/>
  <c r="C206" i="11"/>
  <c r="S206" i="11"/>
  <c r="R206" i="11"/>
  <c r="N206" i="11"/>
  <c r="M207" i="11"/>
  <c r="D207" i="11" l="1"/>
  <c r="C207" i="11"/>
  <c r="R207" i="11"/>
  <c r="S207" i="11"/>
  <c r="N207" i="11"/>
  <c r="M208" i="11"/>
  <c r="D208" i="11" l="1"/>
  <c r="C208" i="11"/>
  <c r="S208" i="11"/>
  <c r="R208" i="11"/>
  <c r="N208" i="11"/>
  <c r="M209" i="11"/>
  <c r="D209" i="11" l="1"/>
  <c r="C209" i="11"/>
  <c r="R209" i="11"/>
  <c r="S209" i="11"/>
  <c r="N209" i="11"/>
  <c r="M210" i="11"/>
  <c r="D210" i="11" l="1"/>
  <c r="C210" i="11"/>
  <c r="S210" i="11"/>
  <c r="R210" i="11"/>
  <c r="N210" i="11"/>
  <c r="M211" i="11"/>
  <c r="D211" i="11" l="1"/>
  <c r="C211" i="11"/>
  <c r="R211" i="11"/>
  <c r="S211" i="11"/>
  <c r="N211" i="11"/>
  <c r="M212" i="11"/>
  <c r="D212" i="11" l="1"/>
  <c r="C212" i="11"/>
  <c r="S212" i="11"/>
  <c r="R212" i="11"/>
  <c r="N212" i="11"/>
  <c r="M213" i="11"/>
  <c r="D213" i="11" l="1"/>
  <c r="C213" i="11"/>
  <c r="R213" i="11"/>
  <c r="S213" i="11"/>
  <c r="N213" i="11"/>
  <c r="M214" i="11"/>
  <c r="D214" i="11" l="1"/>
  <c r="C214" i="11"/>
  <c r="S214" i="11"/>
  <c r="R214" i="11"/>
  <c r="N214" i="11"/>
  <c r="M215" i="11"/>
  <c r="D215" i="11" l="1"/>
  <c r="C215" i="11"/>
  <c r="R215" i="11"/>
  <c r="S215" i="11"/>
  <c r="N215" i="11"/>
  <c r="M216" i="11"/>
  <c r="D216" i="11" l="1"/>
  <c r="C216" i="11"/>
  <c r="S216" i="11"/>
  <c r="R216" i="11"/>
  <c r="N216" i="11"/>
  <c r="M217" i="11"/>
  <c r="D217" i="11" l="1"/>
  <c r="C217" i="11"/>
  <c r="R217" i="11"/>
  <c r="S217" i="11"/>
  <c r="N217" i="11"/>
  <c r="M218" i="11"/>
  <c r="D218" i="11" l="1"/>
  <c r="C218" i="11"/>
  <c r="S218" i="11"/>
  <c r="R218" i="11"/>
  <c r="N218" i="11"/>
  <c r="M219" i="11"/>
  <c r="D219" i="11" l="1"/>
  <c r="C219" i="11"/>
  <c r="R219" i="11"/>
  <c r="S219" i="11"/>
  <c r="N219" i="11"/>
  <c r="M220" i="11"/>
  <c r="D220" i="11" l="1"/>
  <c r="C220" i="11"/>
  <c r="S220" i="11"/>
  <c r="R220" i="11"/>
  <c r="N220" i="11"/>
  <c r="M221" i="11"/>
  <c r="D221" i="11" l="1"/>
  <c r="C221" i="11"/>
  <c r="R221" i="11"/>
  <c r="S221" i="11"/>
  <c r="N221" i="11"/>
  <c r="M222" i="11"/>
  <c r="D222" i="11" l="1"/>
  <c r="C222" i="11"/>
  <c r="S222" i="11"/>
  <c r="R222" i="11"/>
  <c r="N222" i="11"/>
  <c r="M223" i="11"/>
  <c r="D223" i="11" l="1"/>
  <c r="C223" i="11"/>
  <c r="R223" i="11"/>
  <c r="S223" i="11"/>
  <c r="N223" i="11"/>
  <c r="M224" i="11"/>
  <c r="D224" i="11" l="1"/>
  <c r="C224" i="11"/>
  <c r="S224" i="11"/>
  <c r="R224" i="11"/>
  <c r="N224" i="11"/>
  <c r="M225" i="11"/>
  <c r="D225" i="11" l="1"/>
  <c r="C225" i="11"/>
  <c r="R225" i="11"/>
  <c r="S225" i="11"/>
  <c r="N225" i="11"/>
  <c r="M226" i="11"/>
  <c r="D226" i="11" l="1"/>
  <c r="C226" i="11"/>
  <c r="S226" i="11"/>
  <c r="R226" i="11"/>
  <c r="N226" i="11"/>
  <c r="M227" i="11"/>
  <c r="D227" i="11" l="1"/>
  <c r="C227" i="11"/>
  <c r="R227" i="11"/>
  <c r="S227" i="11"/>
  <c r="N227" i="11"/>
  <c r="M228" i="11"/>
  <c r="D228" i="11" l="1"/>
  <c r="C228" i="11"/>
  <c r="S228" i="11"/>
  <c r="R228" i="11"/>
  <c r="N228" i="11"/>
  <c r="M229" i="11"/>
  <c r="D229" i="11" l="1"/>
  <c r="C229" i="11"/>
  <c r="R229" i="11"/>
  <c r="S229" i="11"/>
  <c r="N229" i="11"/>
  <c r="M230" i="11"/>
  <c r="D230" i="11" l="1"/>
  <c r="C230" i="11"/>
  <c r="S230" i="11"/>
  <c r="R230" i="11"/>
  <c r="N230" i="11"/>
  <c r="M231" i="11"/>
  <c r="D231" i="11" l="1"/>
  <c r="C231" i="11"/>
  <c r="R231" i="11"/>
  <c r="S231" i="11"/>
  <c r="N231" i="11"/>
  <c r="M232" i="11"/>
  <c r="D232" i="11" l="1"/>
  <c r="C232" i="11"/>
  <c r="S232" i="11"/>
  <c r="R232" i="11"/>
  <c r="N232" i="11"/>
  <c r="M233" i="11"/>
  <c r="D233" i="11" l="1"/>
  <c r="C233" i="11"/>
  <c r="R233" i="11"/>
  <c r="S233" i="11"/>
  <c r="N233" i="11"/>
  <c r="M234" i="11"/>
  <c r="D234" i="11" l="1"/>
  <c r="C234" i="11"/>
  <c r="S234" i="11"/>
  <c r="R234" i="11"/>
  <c r="N234" i="11"/>
  <c r="M235" i="11"/>
  <c r="D235" i="11" l="1"/>
  <c r="C235" i="11"/>
  <c r="R235" i="11"/>
  <c r="S235" i="11"/>
  <c r="N235" i="11"/>
  <c r="M236" i="11"/>
  <c r="D236" i="11" l="1"/>
  <c r="C236" i="11"/>
  <c r="S236" i="11"/>
  <c r="R236" i="11"/>
  <c r="N236" i="11"/>
  <c r="M237" i="11"/>
  <c r="D237" i="11" l="1"/>
  <c r="C237" i="11"/>
  <c r="R237" i="11"/>
  <c r="S237" i="11"/>
  <c r="N237" i="11"/>
  <c r="M238" i="11"/>
  <c r="D238" i="11" l="1"/>
  <c r="C238" i="11"/>
  <c r="S238" i="11"/>
  <c r="R238" i="11"/>
  <c r="N238" i="11"/>
  <c r="M239" i="11"/>
  <c r="D239" i="11" l="1"/>
  <c r="C239" i="11"/>
  <c r="R239" i="11"/>
  <c r="S239" i="11"/>
  <c r="N239" i="11"/>
  <c r="M240" i="11"/>
  <c r="D240" i="11" l="1"/>
  <c r="C240" i="11"/>
  <c r="S240" i="11"/>
  <c r="R240" i="11"/>
  <c r="N240" i="11"/>
  <c r="M241" i="11"/>
  <c r="D241" i="11" l="1"/>
  <c r="C241" i="11"/>
  <c r="R241" i="11"/>
  <c r="S241" i="11"/>
  <c r="N241" i="11"/>
  <c r="M242" i="11"/>
  <c r="D242" i="11" l="1"/>
  <c r="C242" i="11"/>
  <c r="S242" i="11"/>
  <c r="R242" i="11"/>
  <c r="N242" i="11"/>
  <c r="M243" i="11"/>
  <c r="D243" i="11" l="1"/>
  <c r="C243" i="11"/>
  <c r="R243" i="11"/>
  <c r="S243" i="11"/>
  <c r="N243" i="11"/>
  <c r="M244" i="11"/>
  <c r="D244" i="11" l="1"/>
  <c r="C244" i="11"/>
  <c r="S244" i="11"/>
  <c r="R244" i="11"/>
  <c r="N244" i="11"/>
  <c r="M245" i="11"/>
  <c r="D245" i="11" l="1"/>
  <c r="C245" i="11"/>
  <c r="R245" i="11"/>
  <c r="S245" i="11"/>
  <c r="N245" i="11"/>
  <c r="M246" i="11"/>
  <c r="D246" i="11" l="1"/>
  <c r="C246" i="11"/>
  <c r="S246" i="11"/>
  <c r="R246" i="11"/>
  <c r="N246" i="11"/>
  <c r="M247" i="11"/>
  <c r="D247" i="11" l="1"/>
  <c r="C247" i="11"/>
  <c r="R247" i="11"/>
  <c r="S247" i="11"/>
  <c r="N247" i="11"/>
  <c r="M248" i="11"/>
  <c r="D248" i="11" l="1"/>
  <c r="C248" i="11"/>
  <c r="S248" i="11"/>
  <c r="R248" i="11"/>
  <c r="N248" i="11"/>
  <c r="M249" i="11"/>
  <c r="D249" i="11" l="1"/>
  <c r="C249" i="11"/>
  <c r="R249" i="11"/>
  <c r="S249" i="11"/>
  <c r="N249" i="11"/>
  <c r="M250" i="11"/>
  <c r="D250" i="11" l="1"/>
  <c r="C250" i="11"/>
  <c r="S250" i="11"/>
  <c r="R250" i="11"/>
  <c r="N250" i="11"/>
  <c r="M251" i="11"/>
  <c r="D251" i="11" l="1"/>
  <c r="C251" i="11"/>
  <c r="R251" i="11"/>
  <c r="S251" i="11"/>
  <c r="N251" i="11"/>
  <c r="M252" i="11"/>
  <c r="D252" i="11" l="1"/>
  <c r="C252" i="11"/>
  <c r="S252" i="11"/>
  <c r="R252" i="11"/>
  <c r="N252" i="11"/>
  <c r="M253" i="11"/>
  <c r="D253" i="11" l="1"/>
  <c r="C253" i="11"/>
  <c r="R253" i="11"/>
  <c r="S253" i="11"/>
  <c r="N253" i="11"/>
  <c r="M254" i="11"/>
  <c r="D254" i="11" l="1"/>
  <c r="C254" i="11"/>
  <c r="S254" i="11"/>
  <c r="R254" i="11"/>
  <c r="N254" i="11"/>
  <c r="M255" i="11"/>
  <c r="D255" i="11" l="1"/>
  <c r="C255" i="11"/>
  <c r="R255" i="11"/>
  <c r="S255" i="11"/>
  <c r="N255" i="11"/>
  <c r="M256" i="11"/>
  <c r="D256" i="11" l="1"/>
  <c r="C256" i="11"/>
  <c r="S256" i="11"/>
  <c r="R256" i="11"/>
  <c r="N256" i="11"/>
  <c r="M257" i="11"/>
  <c r="D257" i="11" l="1"/>
  <c r="C257" i="11"/>
  <c r="R257" i="11"/>
  <c r="S257" i="11"/>
  <c r="N257" i="11"/>
  <c r="M258" i="11"/>
  <c r="D258" i="11" l="1"/>
  <c r="C258" i="11"/>
  <c r="S258" i="11"/>
  <c r="R258" i="11"/>
  <c r="N258" i="11"/>
  <c r="M259" i="11"/>
  <c r="D259" i="11" l="1"/>
  <c r="C259" i="11"/>
  <c r="R259" i="11"/>
  <c r="S259" i="11"/>
  <c r="N259" i="11"/>
  <c r="M260" i="11"/>
  <c r="D260" i="11" l="1"/>
  <c r="C260" i="11"/>
  <c r="S260" i="11"/>
  <c r="R260" i="11"/>
  <c r="N260" i="11"/>
  <c r="M261" i="11"/>
  <c r="D261" i="11" l="1"/>
  <c r="C261" i="11"/>
  <c r="R261" i="11"/>
  <c r="S261" i="11"/>
  <c r="N261" i="11"/>
  <c r="M262" i="11"/>
  <c r="D262" i="11" l="1"/>
  <c r="C262" i="11"/>
  <c r="S262" i="11"/>
  <c r="R262" i="11"/>
  <c r="N262" i="11"/>
  <c r="M263" i="11"/>
  <c r="D263" i="11" l="1"/>
  <c r="C263" i="11"/>
  <c r="R263" i="11"/>
  <c r="S263" i="11"/>
  <c r="N263" i="11"/>
  <c r="M264" i="11"/>
  <c r="D264" i="11" l="1"/>
  <c r="C264" i="11"/>
  <c r="S264" i="11"/>
  <c r="R264" i="11"/>
  <c r="N264" i="11"/>
  <c r="M265" i="11"/>
  <c r="D265" i="11" l="1"/>
  <c r="C265" i="11"/>
  <c r="R265" i="11"/>
  <c r="S265" i="11"/>
  <c r="N265" i="11"/>
  <c r="M266" i="11"/>
  <c r="D266" i="11" l="1"/>
  <c r="C266" i="11"/>
  <c r="S266" i="11"/>
  <c r="R266" i="11"/>
  <c r="N266" i="11"/>
  <c r="M267" i="11"/>
  <c r="D267" i="11" l="1"/>
  <c r="C267" i="11"/>
  <c r="R267" i="11"/>
  <c r="S267" i="11"/>
  <c r="N267" i="11"/>
  <c r="M268" i="11"/>
  <c r="D268" i="11" l="1"/>
  <c r="C268" i="11"/>
  <c r="S268" i="11"/>
  <c r="R268" i="11"/>
  <c r="N268" i="11"/>
  <c r="M269" i="11"/>
  <c r="D269" i="11" l="1"/>
  <c r="C269" i="11"/>
  <c r="R269" i="11"/>
  <c r="S269" i="11"/>
  <c r="N269" i="11"/>
  <c r="M270" i="11"/>
  <c r="D270" i="11" l="1"/>
  <c r="C270" i="11"/>
  <c r="S270" i="11"/>
  <c r="R270" i="11"/>
  <c r="N270" i="11"/>
  <c r="M271" i="11"/>
  <c r="D271" i="11" l="1"/>
  <c r="C271" i="11"/>
  <c r="R271" i="11"/>
  <c r="S271" i="11"/>
  <c r="N271" i="11"/>
  <c r="M272" i="11"/>
  <c r="D272" i="11" l="1"/>
  <c r="C272" i="11"/>
  <c r="S272" i="11"/>
  <c r="R272" i="11"/>
  <c r="N272" i="11"/>
  <c r="M273" i="11"/>
  <c r="D273" i="11" l="1"/>
  <c r="C273" i="11"/>
  <c r="R273" i="11"/>
  <c r="S273" i="11"/>
  <c r="N273" i="11"/>
  <c r="M274" i="11"/>
  <c r="D274" i="11" l="1"/>
  <c r="C274" i="11"/>
  <c r="S274" i="11"/>
  <c r="R274" i="11"/>
  <c r="N274" i="11"/>
  <c r="M275" i="11"/>
  <c r="D275" i="11" l="1"/>
  <c r="C275" i="11"/>
  <c r="R275" i="11"/>
  <c r="S275" i="11"/>
  <c r="N275" i="11"/>
  <c r="M276" i="11"/>
  <c r="D276" i="11" l="1"/>
  <c r="C276" i="11"/>
  <c r="S276" i="11"/>
  <c r="R276" i="11"/>
  <c r="N276" i="11"/>
  <c r="M277" i="11"/>
  <c r="D277" i="11" l="1"/>
  <c r="C277" i="11"/>
  <c r="R277" i="11"/>
  <c r="S277" i="11"/>
  <c r="N277" i="11"/>
  <c r="M278" i="11"/>
  <c r="D278" i="11" l="1"/>
  <c r="C278" i="11"/>
  <c r="S278" i="11"/>
  <c r="R278" i="11"/>
  <c r="N278" i="11"/>
  <c r="M279" i="11"/>
  <c r="D279" i="11" l="1"/>
  <c r="C279" i="11"/>
  <c r="R279" i="11"/>
  <c r="S279" i="11"/>
  <c r="N279" i="11"/>
  <c r="M280" i="11"/>
  <c r="D280" i="11" l="1"/>
  <c r="C280" i="11"/>
  <c r="S280" i="11"/>
  <c r="R280" i="11"/>
  <c r="N280" i="11"/>
  <c r="M281" i="11"/>
  <c r="D281" i="11" l="1"/>
  <c r="C281" i="11"/>
  <c r="R281" i="11"/>
  <c r="S281" i="11"/>
  <c r="N281" i="11"/>
  <c r="M282" i="11"/>
  <c r="D282" i="11" l="1"/>
  <c r="C282" i="11"/>
  <c r="S282" i="11"/>
  <c r="R282" i="11"/>
  <c r="N282" i="11"/>
  <c r="M283" i="11"/>
  <c r="D283" i="11" l="1"/>
  <c r="C283" i="11"/>
  <c r="R283" i="11"/>
  <c r="S283" i="11"/>
  <c r="N283" i="11"/>
  <c r="M284" i="11"/>
  <c r="D284" i="11" l="1"/>
  <c r="C284" i="11"/>
  <c r="S284" i="11"/>
  <c r="R284" i="11"/>
  <c r="N284" i="11"/>
  <c r="M285" i="11"/>
  <c r="D285" i="11" l="1"/>
  <c r="C285" i="11"/>
  <c r="R285" i="11"/>
  <c r="S285" i="11"/>
  <c r="N285" i="11"/>
  <c r="M286" i="11"/>
  <c r="D286" i="11" l="1"/>
  <c r="C286" i="11"/>
  <c r="S286" i="11"/>
  <c r="R286" i="11"/>
  <c r="N286" i="11"/>
  <c r="M287" i="11"/>
  <c r="D287" i="11" l="1"/>
  <c r="C287" i="11"/>
  <c r="R287" i="11"/>
  <c r="S287" i="11"/>
  <c r="N287" i="11"/>
  <c r="M288" i="11"/>
  <c r="D288" i="11" l="1"/>
  <c r="C288" i="11"/>
  <c r="S288" i="11"/>
  <c r="R288" i="11"/>
  <c r="N288" i="11"/>
  <c r="M289" i="11"/>
  <c r="D289" i="11" l="1"/>
  <c r="C289" i="11"/>
  <c r="R289" i="11"/>
  <c r="S289" i="11"/>
  <c r="N289" i="11"/>
  <c r="M290" i="11"/>
  <c r="D290" i="11" l="1"/>
  <c r="C290" i="11"/>
  <c r="S290" i="11"/>
  <c r="R290" i="11"/>
  <c r="N290" i="11"/>
  <c r="M291" i="11"/>
  <c r="D291" i="11" l="1"/>
  <c r="C291" i="11"/>
  <c r="R291" i="11"/>
  <c r="S291" i="11"/>
  <c r="N291" i="11"/>
  <c r="M292" i="11"/>
  <c r="D292" i="11" l="1"/>
  <c r="C292" i="11"/>
  <c r="S292" i="11"/>
  <c r="R292" i="11"/>
  <c r="N292" i="11"/>
  <c r="M293" i="11"/>
  <c r="D293" i="11" l="1"/>
  <c r="C293" i="11"/>
  <c r="R293" i="11"/>
  <c r="S293" i="11"/>
  <c r="N293" i="11"/>
  <c r="M294" i="11"/>
  <c r="D294" i="11" l="1"/>
  <c r="C294" i="11"/>
  <c r="S294" i="11"/>
  <c r="R294" i="11"/>
  <c r="N294" i="11"/>
  <c r="M295" i="11"/>
  <c r="D295" i="11" l="1"/>
  <c r="C295" i="11"/>
  <c r="R295" i="11"/>
  <c r="S295" i="11"/>
  <c r="N295" i="11"/>
  <c r="M296" i="11"/>
  <c r="D296" i="11" l="1"/>
  <c r="C296" i="11"/>
  <c r="S296" i="11"/>
  <c r="R296" i="11"/>
  <c r="N296" i="11"/>
  <c r="M297" i="11"/>
  <c r="D297" i="11" l="1"/>
  <c r="C297" i="11"/>
  <c r="R297" i="11"/>
  <c r="S297" i="11"/>
  <c r="N297" i="11"/>
  <c r="M298" i="11"/>
  <c r="D298" i="11" l="1"/>
  <c r="C298" i="11"/>
  <c r="S298" i="11"/>
  <c r="R298" i="11"/>
  <c r="N298" i="11"/>
  <c r="M299" i="11"/>
  <c r="D299" i="11" l="1"/>
  <c r="C299" i="11"/>
  <c r="R299" i="11"/>
  <c r="S299" i="11"/>
  <c r="N299" i="11"/>
  <c r="M300" i="11"/>
  <c r="D300" i="11" l="1"/>
  <c r="C300" i="11"/>
  <c r="S300" i="11"/>
  <c r="R300" i="11"/>
  <c r="N300" i="11"/>
  <c r="M301" i="11"/>
  <c r="D301" i="11" l="1"/>
  <c r="C301" i="11"/>
  <c r="R301" i="11"/>
  <c r="S301" i="11"/>
  <c r="N301" i="11"/>
  <c r="M302" i="11"/>
  <c r="D302" i="11" l="1"/>
  <c r="C302" i="11"/>
  <c r="S302" i="11"/>
  <c r="R302" i="11"/>
  <c r="N302" i="11"/>
  <c r="M303" i="11"/>
  <c r="D303" i="11" l="1"/>
  <c r="C303" i="11"/>
  <c r="R303" i="11"/>
  <c r="S303" i="11"/>
  <c r="N303" i="11"/>
  <c r="M304" i="11"/>
  <c r="D304" i="11" l="1"/>
  <c r="C304" i="11"/>
  <c r="S304" i="11"/>
  <c r="R304" i="11"/>
  <c r="N304" i="11"/>
  <c r="M305" i="11"/>
  <c r="D305" i="11" l="1"/>
  <c r="C305" i="11"/>
  <c r="R305" i="11"/>
  <c r="S305" i="11"/>
  <c r="N305" i="11"/>
  <c r="M306" i="11"/>
  <c r="D306" i="11" l="1"/>
  <c r="C306" i="11"/>
  <c r="S306" i="11"/>
  <c r="R306" i="11"/>
  <c r="N306" i="11"/>
  <c r="M307" i="11"/>
  <c r="D307" i="11" l="1"/>
  <c r="C307" i="11"/>
  <c r="R307" i="11"/>
  <c r="S307" i="11"/>
  <c r="N307" i="11"/>
  <c r="M308" i="11"/>
  <c r="D308" i="11" l="1"/>
  <c r="C308" i="11"/>
  <c r="S308" i="11"/>
  <c r="R308" i="11"/>
  <c r="N308" i="11"/>
  <c r="M309" i="11"/>
  <c r="D309" i="11" l="1"/>
  <c r="C309" i="11"/>
  <c r="R309" i="11"/>
  <c r="S309" i="11"/>
  <c r="N309" i="11"/>
  <c r="M310" i="11"/>
  <c r="D310" i="11" l="1"/>
  <c r="C310" i="11"/>
  <c r="S310" i="11"/>
  <c r="R310" i="11"/>
  <c r="N310" i="11"/>
  <c r="M311" i="11"/>
  <c r="D311" i="11" l="1"/>
  <c r="C311" i="11"/>
  <c r="R311" i="11"/>
  <c r="S311" i="11"/>
  <c r="N311" i="11"/>
  <c r="M312" i="11"/>
  <c r="D312" i="11" l="1"/>
  <c r="C312" i="11"/>
  <c r="S312" i="11"/>
  <c r="R312" i="11"/>
  <c r="N312" i="11"/>
  <c r="M313" i="11"/>
  <c r="D313" i="11" l="1"/>
  <c r="C313" i="11"/>
  <c r="R313" i="11"/>
  <c r="S313" i="11"/>
  <c r="N313" i="11"/>
  <c r="M314" i="11"/>
  <c r="D314" i="11" l="1"/>
  <c r="C314" i="11"/>
  <c r="S314" i="11"/>
  <c r="R314" i="11"/>
  <c r="N314" i="11"/>
  <c r="M315" i="11"/>
  <c r="D315" i="11" l="1"/>
  <c r="C315" i="11"/>
  <c r="R315" i="11"/>
  <c r="S315" i="11"/>
  <c r="N315" i="11"/>
  <c r="M316" i="11"/>
  <c r="D316" i="11" l="1"/>
  <c r="C316" i="11"/>
  <c r="S316" i="11"/>
  <c r="R316" i="11"/>
  <c r="N316" i="11"/>
  <c r="M317" i="11"/>
  <c r="D317" i="11" l="1"/>
  <c r="C317" i="11"/>
  <c r="R317" i="11"/>
  <c r="S317" i="11"/>
  <c r="N317" i="11"/>
  <c r="M318" i="11"/>
  <c r="D318" i="11" l="1"/>
  <c r="C318" i="11"/>
  <c r="S318" i="11"/>
  <c r="R318" i="11"/>
  <c r="N318" i="11"/>
  <c r="M319" i="11"/>
  <c r="D319" i="11" l="1"/>
  <c r="C319" i="11"/>
  <c r="R319" i="11"/>
  <c r="S319" i="11"/>
  <c r="N319" i="11"/>
  <c r="M320" i="11"/>
  <c r="D320" i="11" l="1"/>
  <c r="C320" i="11"/>
  <c r="S320" i="11"/>
  <c r="R320" i="11"/>
  <c r="N320" i="11"/>
  <c r="M321" i="11"/>
  <c r="D321" i="11" l="1"/>
  <c r="C321" i="11"/>
  <c r="R321" i="11"/>
  <c r="S321" i="11"/>
  <c r="N321" i="11"/>
  <c r="M322" i="11"/>
  <c r="D322" i="11" l="1"/>
  <c r="C322" i="11"/>
  <c r="S322" i="11"/>
  <c r="R322" i="11"/>
  <c r="N322" i="11"/>
  <c r="M323" i="11"/>
  <c r="D323" i="11" l="1"/>
  <c r="C323" i="11"/>
  <c r="R323" i="11"/>
  <c r="S323" i="11"/>
  <c r="N323" i="11"/>
  <c r="M324" i="11"/>
  <c r="D324" i="11" l="1"/>
  <c r="C324" i="11"/>
  <c r="S324" i="11"/>
  <c r="R324" i="11"/>
  <c r="N324" i="11"/>
  <c r="M325" i="11"/>
  <c r="D325" i="11" l="1"/>
  <c r="C325" i="11"/>
  <c r="R325" i="11"/>
  <c r="S325" i="11"/>
  <c r="N325" i="11"/>
  <c r="M326" i="11"/>
  <c r="D326" i="11" l="1"/>
  <c r="C326" i="11"/>
  <c r="S326" i="11"/>
  <c r="R326" i="11"/>
  <c r="N326" i="11"/>
  <c r="M327" i="11"/>
  <c r="D327" i="11" l="1"/>
  <c r="C327" i="11"/>
  <c r="R327" i="11"/>
  <c r="S327" i="11"/>
  <c r="N327" i="11"/>
  <c r="M328" i="11"/>
  <c r="D328" i="11" l="1"/>
  <c r="C328" i="11"/>
  <c r="S328" i="11"/>
  <c r="R328" i="11"/>
  <c r="N328" i="11"/>
  <c r="M329" i="11"/>
  <c r="D329" i="11" l="1"/>
  <c r="C329" i="11"/>
  <c r="R329" i="11"/>
  <c r="S329" i="11"/>
  <c r="N329" i="11"/>
  <c r="M330" i="11"/>
  <c r="D330" i="11" l="1"/>
  <c r="C330" i="11"/>
  <c r="S330" i="11"/>
  <c r="R330" i="11"/>
  <c r="N330" i="11"/>
  <c r="M331" i="11"/>
  <c r="D331" i="11" l="1"/>
  <c r="C331" i="11"/>
  <c r="R331" i="11"/>
  <c r="S331" i="11"/>
  <c r="N331" i="11"/>
  <c r="M332" i="11"/>
  <c r="D332" i="11" l="1"/>
  <c r="C332" i="11"/>
  <c r="S332" i="11"/>
  <c r="R332" i="11"/>
  <c r="N332" i="11"/>
  <c r="M333" i="11"/>
  <c r="D333" i="11" l="1"/>
  <c r="C333" i="11"/>
  <c r="R333" i="11"/>
  <c r="S333" i="11"/>
  <c r="N333" i="11"/>
  <c r="M334" i="11"/>
  <c r="D334" i="11" l="1"/>
  <c r="C334" i="11"/>
  <c r="S334" i="11"/>
  <c r="R334" i="11"/>
  <c r="N334" i="11"/>
  <c r="M335" i="11"/>
  <c r="D335" i="11" l="1"/>
  <c r="C335" i="11"/>
  <c r="R335" i="11"/>
  <c r="S335" i="11"/>
  <c r="N335" i="11"/>
  <c r="M336" i="11"/>
  <c r="D336" i="11" l="1"/>
  <c r="C336" i="11"/>
  <c r="S336" i="11"/>
  <c r="R336" i="11"/>
  <c r="N336" i="11"/>
  <c r="M337" i="11"/>
  <c r="D337" i="11" l="1"/>
  <c r="C337" i="11"/>
  <c r="R337" i="11"/>
  <c r="S337" i="11"/>
  <c r="N337" i="11"/>
  <c r="M338" i="11"/>
  <c r="D338" i="11" l="1"/>
  <c r="C338" i="11"/>
  <c r="S338" i="11"/>
  <c r="R338" i="11"/>
  <c r="N338" i="11"/>
  <c r="M339" i="11"/>
  <c r="D339" i="11" l="1"/>
  <c r="C339" i="11"/>
  <c r="R339" i="11"/>
  <c r="S339" i="11"/>
  <c r="N339" i="11"/>
  <c r="M340" i="11"/>
  <c r="D340" i="11" l="1"/>
  <c r="C340" i="11"/>
  <c r="S340" i="11"/>
  <c r="R340" i="11"/>
  <c r="N340" i="11"/>
  <c r="M341" i="11"/>
  <c r="D341" i="11" l="1"/>
  <c r="C341" i="11"/>
  <c r="R341" i="11"/>
  <c r="S341" i="11"/>
  <c r="N341" i="11"/>
  <c r="M342" i="11"/>
  <c r="D342" i="11" l="1"/>
  <c r="C342" i="11"/>
  <c r="S342" i="11"/>
  <c r="R342" i="11"/>
  <c r="N342" i="11"/>
  <c r="M343" i="11"/>
  <c r="D343" i="11" l="1"/>
  <c r="C343" i="11"/>
  <c r="R343" i="11"/>
  <c r="S343" i="11"/>
  <c r="N343" i="11"/>
  <c r="M344" i="11"/>
  <c r="D344" i="11" l="1"/>
  <c r="C344" i="11"/>
  <c r="S344" i="11"/>
  <c r="R344" i="11"/>
  <c r="N344" i="11"/>
  <c r="M345" i="11"/>
  <c r="D345" i="11" l="1"/>
  <c r="C345" i="11"/>
  <c r="R345" i="11"/>
  <c r="S345" i="11"/>
  <c r="N345" i="11"/>
  <c r="M346" i="11"/>
  <c r="D346" i="11" l="1"/>
  <c r="C346" i="11"/>
  <c r="S346" i="11"/>
  <c r="R346" i="11"/>
  <c r="N346" i="11"/>
  <c r="M347" i="11"/>
  <c r="D347" i="11" l="1"/>
  <c r="C347" i="11"/>
  <c r="R347" i="11"/>
  <c r="S347" i="11"/>
  <c r="N347" i="11"/>
  <c r="M348" i="11"/>
  <c r="D348" i="11" l="1"/>
  <c r="C348" i="11"/>
  <c r="S348" i="11"/>
  <c r="R348" i="11"/>
  <c r="N348" i="11"/>
  <c r="M349" i="11"/>
  <c r="D349" i="11" l="1"/>
  <c r="C349" i="11"/>
  <c r="R349" i="11"/>
  <c r="S349" i="11"/>
  <c r="N349" i="11"/>
  <c r="M350" i="11"/>
  <c r="D350" i="11" l="1"/>
  <c r="C350" i="11"/>
  <c r="S350" i="11"/>
  <c r="R350" i="11"/>
  <c r="N350" i="11"/>
  <c r="M351" i="11"/>
  <c r="D351" i="11" l="1"/>
  <c r="C351" i="11"/>
  <c r="R351" i="11"/>
  <c r="S351" i="11"/>
  <c r="N351" i="11"/>
  <c r="M352" i="11"/>
  <c r="D352" i="11" l="1"/>
  <c r="C352" i="11"/>
  <c r="S352" i="11"/>
  <c r="R352" i="11"/>
  <c r="N352" i="11"/>
  <c r="M353" i="11"/>
  <c r="D353" i="11" l="1"/>
  <c r="C353" i="11"/>
  <c r="R353" i="11"/>
  <c r="S353" i="11"/>
  <c r="N353" i="11"/>
  <c r="M354" i="11"/>
  <c r="D354" i="11" l="1"/>
  <c r="C354" i="11"/>
  <c r="S354" i="11"/>
  <c r="R354" i="11"/>
  <c r="N354" i="11"/>
  <c r="M355" i="11"/>
  <c r="D355" i="11" l="1"/>
  <c r="C355" i="11"/>
  <c r="R355" i="11"/>
  <c r="S355" i="11"/>
  <c r="N355" i="11"/>
  <c r="M356" i="11"/>
  <c r="D356" i="11" l="1"/>
  <c r="C356" i="11"/>
  <c r="S356" i="11"/>
  <c r="R356" i="11"/>
  <c r="N356" i="11"/>
  <c r="M357" i="11"/>
  <c r="D357" i="11" l="1"/>
  <c r="C357" i="11"/>
  <c r="R357" i="11"/>
  <c r="S357" i="11"/>
  <c r="N357" i="11"/>
  <c r="M358" i="11"/>
  <c r="D358" i="11" l="1"/>
  <c r="C358" i="11"/>
  <c r="S358" i="11"/>
  <c r="R358" i="11"/>
  <c r="N358" i="11"/>
  <c r="M359" i="11"/>
  <c r="D359" i="11" l="1"/>
  <c r="C359" i="11"/>
  <c r="R359" i="11"/>
  <c r="S359" i="11"/>
  <c r="N359" i="11"/>
  <c r="M360" i="11"/>
  <c r="D360" i="11" l="1"/>
  <c r="C360" i="11"/>
  <c r="S360" i="11"/>
  <c r="R360" i="11"/>
  <c r="N360" i="11"/>
  <c r="M361" i="11"/>
  <c r="D361" i="11" l="1"/>
  <c r="C361" i="11"/>
  <c r="R361" i="11"/>
  <c r="S361" i="11"/>
  <c r="N361" i="11"/>
  <c r="M362" i="11"/>
  <c r="D362" i="11" l="1"/>
  <c r="C362" i="11"/>
  <c r="S362" i="11"/>
  <c r="R362" i="11"/>
  <c r="N362" i="11"/>
  <c r="M363" i="11"/>
  <c r="D363" i="11" l="1"/>
  <c r="C363" i="11"/>
  <c r="R363" i="11"/>
  <c r="S363" i="11"/>
  <c r="N363" i="11"/>
  <c r="M364" i="11"/>
  <c r="D364" i="11" l="1"/>
  <c r="C364" i="11"/>
  <c r="S364" i="11"/>
  <c r="R364" i="11"/>
  <c r="N364" i="11"/>
  <c r="M365" i="11"/>
  <c r="D365" i="11" l="1"/>
  <c r="C365" i="11"/>
  <c r="R365" i="11"/>
  <c r="S365" i="11"/>
  <c r="N365" i="11"/>
  <c r="M366" i="11"/>
  <c r="D366" i="11" l="1"/>
  <c r="C366" i="11"/>
  <c r="S366" i="11"/>
  <c r="R366" i="11"/>
  <c r="N366" i="11"/>
  <c r="M367" i="11"/>
  <c r="D367" i="11" l="1"/>
  <c r="C367" i="11"/>
  <c r="R367" i="11"/>
  <c r="S367" i="11"/>
  <c r="N367" i="11"/>
  <c r="M368" i="11"/>
  <c r="D368" i="11" l="1"/>
  <c r="C368" i="11"/>
  <c r="S368" i="11"/>
  <c r="R368" i="11"/>
  <c r="N368" i="11"/>
  <c r="M369" i="11"/>
  <c r="D369" i="11" l="1"/>
  <c r="C369" i="11"/>
  <c r="R369" i="11"/>
  <c r="S369" i="11"/>
  <c r="N369" i="11"/>
  <c r="M370" i="11"/>
  <c r="D370" i="11" l="1"/>
  <c r="C370" i="11"/>
  <c r="S370" i="11"/>
  <c r="R370" i="11"/>
  <c r="N370" i="11"/>
  <c r="M371" i="11"/>
  <c r="D371" i="11" l="1"/>
  <c r="C371" i="11"/>
  <c r="R371" i="11"/>
  <c r="S371" i="11"/>
  <c r="N371" i="11"/>
  <c r="M372" i="11"/>
  <c r="D372" i="11" l="1"/>
  <c r="C372" i="11"/>
  <c r="S372" i="11"/>
  <c r="R372" i="11"/>
  <c r="N372" i="11"/>
  <c r="M373" i="11"/>
  <c r="D373" i="11" l="1"/>
  <c r="C373" i="11"/>
  <c r="R373" i="11"/>
  <c r="S373" i="11"/>
  <c r="N373" i="11"/>
  <c r="M374" i="11"/>
  <c r="D374" i="11" l="1"/>
  <c r="C374" i="11"/>
  <c r="S374" i="11"/>
  <c r="R374" i="11"/>
  <c r="N374" i="11"/>
  <c r="M375" i="11"/>
  <c r="D375" i="11" l="1"/>
  <c r="C375" i="11"/>
  <c r="R375" i="11"/>
  <c r="S375" i="11"/>
  <c r="N375" i="11"/>
  <c r="M376" i="11"/>
  <c r="D376" i="11" l="1"/>
  <c r="C376" i="11"/>
  <c r="S376" i="11"/>
  <c r="R376" i="11"/>
  <c r="N376" i="11"/>
  <c r="M377" i="11"/>
  <c r="D377" i="11" l="1"/>
  <c r="C377" i="11"/>
  <c r="R377" i="11"/>
  <c r="S377" i="11"/>
  <c r="N377" i="11"/>
  <c r="M378" i="11"/>
  <c r="D378" i="11" l="1"/>
  <c r="C378" i="11"/>
  <c r="S378" i="11"/>
  <c r="R378" i="11"/>
  <c r="N378" i="11"/>
  <c r="M379" i="11"/>
  <c r="D379" i="11" l="1"/>
  <c r="C379" i="11"/>
  <c r="R379" i="11"/>
  <c r="S379" i="11"/>
  <c r="N379" i="11"/>
  <c r="M380" i="11"/>
  <c r="D380" i="11" l="1"/>
  <c r="C380" i="11"/>
  <c r="S380" i="11"/>
  <c r="R380" i="11"/>
  <c r="N380" i="11"/>
  <c r="M381" i="11"/>
  <c r="D381" i="11" l="1"/>
  <c r="C381" i="11"/>
  <c r="R381" i="11"/>
  <c r="S381" i="11"/>
  <c r="N381" i="11"/>
  <c r="M382" i="11"/>
  <c r="D382" i="11" l="1"/>
  <c r="C382" i="11"/>
  <c r="S382" i="11"/>
  <c r="R382" i="11"/>
  <c r="N382" i="11"/>
  <c r="M383" i="11"/>
  <c r="D383" i="11" l="1"/>
  <c r="C383" i="11"/>
  <c r="R383" i="11"/>
  <c r="S383" i="11"/>
  <c r="N383" i="11"/>
  <c r="M384" i="11"/>
  <c r="D384" i="11" l="1"/>
  <c r="C384" i="11"/>
  <c r="S384" i="11"/>
  <c r="R384" i="11"/>
  <c r="N384" i="11"/>
  <c r="M385" i="11"/>
  <c r="D385" i="11" l="1"/>
  <c r="C385" i="11"/>
  <c r="R385" i="11"/>
  <c r="S385" i="11"/>
  <c r="N385" i="11"/>
  <c r="M386" i="11"/>
  <c r="D386" i="11" l="1"/>
  <c r="C386" i="11"/>
  <c r="S386" i="11"/>
  <c r="R386" i="11"/>
  <c r="N386" i="11"/>
  <c r="M387" i="11"/>
  <c r="D387" i="11" l="1"/>
  <c r="C387" i="11"/>
  <c r="R387" i="11"/>
  <c r="S387" i="11"/>
  <c r="N387" i="11"/>
  <c r="M388" i="11"/>
  <c r="D388" i="11" l="1"/>
  <c r="C388" i="11"/>
  <c r="S388" i="11"/>
  <c r="R388" i="11"/>
  <c r="N388" i="11"/>
  <c r="M389" i="11"/>
  <c r="D389" i="11" l="1"/>
  <c r="C389" i="11"/>
  <c r="R389" i="11"/>
  <c r="S389" i="11"/>
  <c r="N389" i="11"/>
  <c r="M390" i="11"/>
  <c r="D390" i="11" l="1"/>
  <c r="C390" i="11"/>
  <c r="S390" i="11"/>
  <c r="R390" i="11"/>
  <c r="N390" i="11"/>
  <c r="M391" i="11"/>
  <c r="D391" i="11" l="1"/>
  <c r="C391" i="11"/>
  <c r="R391" i="11"/>
  <c r="S391" i="11"/>
  <c r="N391" i="11"/>
  <c r="M392" i="11"/>
  <c r="D392" i="11" l="1"/>
  <c r="C392" i="11"/>
  <c r="S392" i="11"/>
  <c r="R392" i="11"/>
  <c r="N392" i="11"/>
  <c r="M393" i="11"/>
  <c r="D393" i="11" l="1"/>
  <c r="C393" i="11"/>
  <c r="R393" i="11"/>
  <c r="S393" i="11"/>
  <c r="N393" i="11"/>
  <c r="M394" i="11"/>
  <c r="D394" i="11" l="1"/>
  <c r="C394" i="11"/>
  <c r="S394" i="11"/>
  <c r="R394" i="11"/>
  <c r="N394" i="11"/>
  <c r="M395" i="11"/>
  <c r="D395" i="11" l="1"/>
  <c r="C395" i="11"/>
  <c r="R395" i="11"/>
  <c r="S395" i="11"/>
  <c r="N395" i="11"/>
  <c r="M396" i="11"/>
  <c r="D396" i="11" l="1"/>
  <c r="C396" i="11"/>
  <c r="S396" i="11"/>
  <c r="R396" i="11"/>
  <c r="N396" i="11"/>
  <c r="M397" i="11"/>
  <c r="D397" i="11" l="1"/>
  <c r="C397" i="11"/>
  <c r="R397" i="11"/>
  <c r="S397" i="11"/>
  <c r="N397" i="11"/>
  <c r="M398" i="11"/>
  <c r="D398" i="11" l="1"/>
  <c r="C398" i="11"/>
  <c r="S398" i="11"/>
  <c r="R398" i="11"/>
  <c r="N398" i="11"/>
  <c r="M399" i="11"/>
  <c r="D399" i="11" l="1"/>
  <c r="C399" i="11"/>
  <c r="R399" i="11"/>
  <c r="S399" i="11"/>
  <c r="N399" i="11"/>
  <c r="M400" i="11"/>
  <c r="D400" i="11" l="1"/>
  <c r="C400" i="11"/>
  <c r="S400" i="11"/>
  <c r="R400" i="11"/>
  <c r="N400" i="11"/>
  <c r="M401" i="11"/>
  <c r="D401" i="11" l="1"/>
  <c r="C401" i="11"/>
  <c r="R401" i="11"/>
  <c r="S401" i="11"/>
  <c r="N401" i="11"/>
  <c r="M402" i="11"/>
  <c r="D402" i="11" l="1"/>
  <c r="C402" i="11"/>
  <c r="S402" i="11"/>
  <c r="R402" i="11"/>
  <c r="N402" i="11"/>
  <c r="M403" i="11"/>
  <c r="D403" i="11" l="1"/>
  <c r="C403" i="11"/>
  <c r="R403" i="11"/>
  <c r="S403" i="11"/>
  <c r="N403" i="11"/>
  <c r="M404" i="11"/>
  <c r="D404" i="11" l="1"/>
  <c r="C404" i="11"/>
  <c r="S404" i="11"/>
  <c r="R404" i="11"/>
  <c r="N404" i="11"/>
  <c r="M405" i="11"/>
  <c r="D405" i="11" l="1"/>
  <c r="C405" i="11"/>
  <c r="R405" i="11"/>
  <c r="S405" i="11"/>
  <c r="N405" i="11"/>
  <c r="M406" i="11"/>
  <c r="D406" i="11" l="1"/>
  <c r="C406" i="11"/>
  <c r="S406" i="11"/>
  <c r="R406" i="11"/>
  <c r="N406" i="11"/>
  <c r="M407" i="11"/>
  <c r="D407" i="11" l="1"/>
  <c r="C407" i="11"/>
  <c r="R407" i="11"/>
  <c r="S407" i="11"/>
  <c r="N407" i="11"/>
  <c r="M408" i="11"/>
  <c r="D408" i="11" l="1"/>
  <c r="C408" i="11"/>
  <c r="S408" i="11"/>
  <c r="R408" i="11"/>
  <c r="N408" i="11"/>
  <c r="M409" i="11"/>
  <c r="D409" i="11" l="1"/>
  <c r="C409" i="11"/>
  <c r="R409" i="11"/>
  <c r="S409" i="11"/>
  <c r="N409" i="11"/>
  <c r="M410" i="11"/>
  <c r="D410" i="11" l="1"/>
  <c r="C410" i="11"/>
  <c r="S410" i="11"/>
  <c r="R410" i="11"/>
  <c r="N410" i="11"/>
  <c r="M411" i="11"/>
  <c r="D411" i="11" l="1"/>
  <c r="C411" i="11"/>
  <c r="R411" i="11"/>
  <c r="S411" i="11"/>
  <c r="N411" i="11"/>
  <c r="M412" i="11"/>
  <c r="D412" i="11" l="1"/>
  <c r="C412" i="11"/>
  <c r="S412" i="11"/>
  <c r="R412" i="11"/>
  <c r="N412" i="11"/>
  <c r="M413" i="11"/>
  <c r="D413" i="11" l="1"/>
  <c r="C413" i="11"/>
  <c r="R413" i="11"/>
  <c r="S413" i="11"/>
  <c r="N413" i="11"/>
  <c r="M414" i="11"/>
  <c r="D414" i="11" l="1"/>
  <c r="C414" i="11"/>
  <c r="S414" i="11"/>
  <c r="R414" i="11"/>
  <c r="N414" i="11"/>
  <c r="M415" i="11"/>
  <c r="D415" i="11" l="1"/>
  <c r="C415" i="11"/>
  <c r="R415" i="11"/>
  <c r="S415" i="11"/>
  <c r="N415" i="11"/>
  <c r="M416" i="11"/>
  <c r="D416" i="11" l="1"/>
  <c r="C416" i="11"/>
  <c r="S416" i="11"/>
  <c r="R416" i="11"/>
  <c r="N416" i="11"/>
  <c r="M417" i="11"/>
  <c r="D417" i="11" l="1"/>
  <c r="C417" i="11"/>
  <c r="R417" i="11"/>
  <c r="S417" i="11"/>
  <c r="N417" i="11"/>
  <c r="M418" i="11"/>
  <c r="D418" i="11" l="1"/>
  <c r="C418" i="11"/>
  <c r="S418" i="11"/>
  <c r="R418" i="11"/>
  <c r="N418" i="11"/>
  <c r="M419" i="11"/>
  <c r="D419" i="11" l="1"/>
  <c r="C419" i="11"/>
  <c r="R419" i="11"/>
  <c r="S419" i="11"/>
  <c r="N419" i="11"/>
  <c r="M420" i="11"/>
  <c r="D420" i="11" l="1"/>
  <c r="C420" i="11"/>
  <c r="S420" i="11"/>
  <c r="R420" i="11"/>
  <c r="N420" i="11"/>
  <c r="M421" i="11"/>
  <c r="D421" i="11" l="1"/>
  <c r="C421" i="11"/>
  <c r="R421" i="11"/>
  <c r="S421" i="11"/>
  <c r="N421" i="11"/>
  <c r="M422" i="11"/>
  <c r="D422" i="11" l="1"/>
  <c r="C422" i="11"/>
  <c r="S422" i="11"/>
  <c r="R422" i="11"/>
  <c r="N422" i="11"/>
  <c r="M423" i="11"/>
  <c r="D423" i="11" l="1"/>
  <c r="C423" i="11"/>
  <c r="R423" i="11"/>
  <c r="S423" i="11"/>
  <c r="N423" i="11"/>
  <c r="M424" i="11"/>
  <c r="D424" i="11" l="1"/>
  <c r="C424" i="11"/>
  <c r="S424" i="11"/>
  <c r="R424" i="11"/>
  <c r="N424" i="11"/>
  <c r="M425" i="11"/>
  <c r="D425" i="11" l="1"/>
  <c r="C425" i="11"/>
  <c r="R425" i="11"/>
  <c r="S425" i="11"/>
  <c r="N425" i="11"/>
  <c r="M426" i="11"/>
  <c r="D426" i="11" l="1"/>
  <c r="C426" i="11"/>
  <c r="S426" i="11"/>
  <c r="R426" i="11"/>
  <c r="N426" i="11"/>
  <c r="M427" i="11"/>
  <c r="D427" i="11" l="1"/>
  <c r="C427" i="11"/>
  <c r="R427" i="11"/>
  <c r="S427" i="11"/>
  <c r="N427" i="11"/>
  <c r="M428" i="11"/>
  <c r="D428" i="11" l="1"/>
  <c r="C428" i="11"/>
  <c r="S428" i="11"/>
  <c r="R428" i="11"/>
  <c r="N428" i="11"/>
  <c r="M429" i="11"/>
  <c r="D429" i="11" l="1"/>
  <c r="C429" i="11"/>
  <c r="R429" i="11"/>
  <c r="S429" i="11"/>
  <c r="N429" i="11"/>
  <c r="M430" i="11"/>
  <c r="D430" i="11" l="1"/>
  <c r="C430" i="11"/>
  <c r="S430" i="11"/>
  <c r="R430" i="11"/>
  <c r="N430" i="11"/>
  <c r="M431" i="11"/>
  <c r="D431" i="11" l="1"/>
  <c r="C431" i="11"/>
  <c r="R431" i="11"/>
  <c r="S431" i="11"/>
  <c r="N431" i="11"/>
  <c r="M432" i="11"/>
  <c r="D432" i="11" l="1"/>
  <c r="C432" i="11"/>
  <c r="S432" i="11"/>
  <c r="R432" i="11"/>
  <c r="N432" i="11"/>
  <c r="M433" i="11"/>
  <c r="D433" i="11" l="1"/>
  <c r="C433" i="11"/>
  <c r="R433" i="11"/>
  <c r="S433" i="11"/>
  <c r="N433" i="11"/>
  <c r="M434" i="11"/>
  <c r="D434" i="11" l="1"/>
  <c r="C434" i="11"/>
  <c r="S434" i="11"/>
  <c r="R434" i="11"/>
  <c r="N434" i="11"/>
  <c r="M435" i="11"/>
  <c r="D435" i="11" l="1"/>
  <c r="C435" i="11"/>
  <c r="R435" i="11"/>
  <c r="S435" i="11"/>
  <c r="N435" i="11"/>
  <c r="M436" i="11"/>
  <c r="D436" i="11" l="1"/>
  <c r="C436" i="11"/>
  <c r="S436" i="11"/>
  <c r="R436" i="11"/>
  <c r="N436" i="11"/>
  <c r="M437" i="11"/>
  <c r="D437" i="11" l="1"/>
  <c r="C437" i="11"/>
  <c r="R437" i="11"/>
  <c r="S437" i="11"/>
  <c r="N437" i="11"/>
  <c r="M438" i="11"/>
  <c r="D438" i="11" l="1"/>
  <c r="C438" i="11"/>
  <c r="S438" i="11"/>
  <c r="R438" i="11"/>
  <c r="N438" i="11"/>
  <c r="M439" i="11"/>
  <c r="D439" i="11" l="1"/>
  <c r="C439" i="11"/>
  <c r="R439" i="11"/>
  <c r="S439" i="11"/>
  <c r="N439" i="11"/>
  <c r="M440" i="11"/>
  <c r="D440" i="11" l="1"/>
  <c r="C440" i="11"/>
  <c r="S440" i="11"/>
  <c r="R440" i="11"/>
  <c r="N440" i="11"/>
  <c r="M441" i="11"/>
  <c r="D441" i="11" l="1"/>
  <c r="C441" i="11"/>
  <c r="R441" i="11"/>
  <c r="S441" i="11"/>
  <c r="N441" i="11"/>
  <c r="M442" i="11"/>
  <c r="D442" i="11" l="1"/>
  <c r="C442" i="11"/>
  <c r="S442" i="11"/>
  <c r="R442" i="11"/>
  <c r="N442" i="11"/>
  <c r="M443" i="11"/>
  <c r="D443" i="11" l="1"/>
  <c r="C443" i="11"/>
  <c r="R443" i="11"/>
  <c r="S443" i="11"/>
  <c r="N443" i="11"/>
  <c r="M444" i="11"/>
  <c r="D444" i="11" l="1"/>
  <c r="C444" i="11"/>
  <c r="S444" i="11"/>
  <c r="R444" i="11"/>
  <c r="N444" i="11"/>
  <c r="M445" i="11"/>
  <c r="D445" i="11" l="1"/>
  <c r="C445" i="11"/>
  <c r="R445" i="11"/>
  <c r="S445" i="11"/>
  <c r="N445" i="11"/>
  <c r="M446" i="11"/>
  <c r="D446" i="11" l="1"/>
  <c r="C446" i="11"/>
  <c r="S446" i="11"/>
  <c r="R446" i="11"/>
  <c r="N446" i="11"/>
  <c r="M447" i="11"/>
  <c r="D447" i="11" l="1"/>
  <c r="C447" i="11"/>
  <c r="R447" i="11"/>
  <c r="S447" i="11"/>
  <c r="N447" i="11"/>
  <c r="M448" i="11"/>
  <c r="D448" i="11" l="1"/>
  <c r="C448" i="11"/>
  <c r="S448" i="11"/>
  <c r="R448" i="11"/>
  <c r="N448" i="11"/>
  <c r="M449" i="11"/>
  <c r="D449" i="11" l="1"/>
  <c r="C449" i="11"/>
  <c r="R449" i="11"/>
  <c r="S449" i="11"/>
  <c r="N449" i="11"/>
  <c r="M450" i="11"/>
  <c r="D450" i="11" l="1"/>
  <c r="C450" i="11"/>
  <c r="S450" i="11"/>
  <c r="R450" i="11"/>
  <c r="N450" i="11"/>
  <c r="M451" i="11"/>
  <c r="D451" i="11" l="1"/>
  <c r="C451" i="11"/>
  <c r="R451" i="11"/>
  <c r="S451" i="11"/>
  <c r="N451" i="11"/>
  <c r="M452" i="11"/>
  <c r="D452" i="11" l="1"/>
  <c r="C452" i="11"/>
  <c r="S452" i="11"/>
  <c r="R452" i="11"/>
  <c r="N452" i="11"/>
  <c r="M453" i="11"/>
  <c r="D453" i="11" l="1"/>
  <c r="C453" i="11"/>
  <c r="R453" i="11"/>
  <c r="S453" i="11"/>
  <c r="N453" i="11"/>
  <c r="M454" i="11"/>
  <c r="D454" i="11" l="1"/>
  <c r="C454" i="11"/>
  <c r="S454" i="11"/>
  <c r="R454" i="11"/>
  <c r="N454" i="11"/>
  <c r="M455" i="11"/>
  <c r="D455" i="11" l="1"/>
  <c r="C455" i="11"/>
  <c r="R455" i="11"/>
  <c r="S455" i="11"/>
  <c r="N455" i="11"/>
  <c r="M456" i="11"/>
  <c r="D456" i="11" l="1"/>
  <c r="C456" i="11"/>
  <c r="S456" i="11"/>
  <c r="R456" i="11"/>
  <c r="N456" i="11"/>
  <c r="M457" i="11"/>
  <c r="D457" i="11" l="1"/>
  <c r="C457" i="11"/>
  <c r="R457" i="11"/>
  <c r="S457" i="11"/>
  <c r="N457" i="11"/>
  <c r="M458" i="11"/>
  <c r="D458" i="11" l="1"/>
  <c r="C458" i="11"/>
  <c r="S458" i="11"/>
  <c r="R458" i="11"/>
  <c r="N458" i="11"/>
  <c r="M459" i="11"/>
  <c r="D459" i="11" l="1"/>
  <c r="C459" i="11"/>
  <c r="R459" i="11"/>
  <c r="S459" i="11"/>
  <c r="N459" i="11"/>
  <c r="M460" i="11"/>
  <c r="D460" i="11" l="1"/>
  <c r="C460" i="11"/>
  <c r="S460" i="11"/>
  <c r="R460" i="11"/>
  <c r="N460" i="11"/>
  <c r="M461" i="11"/>
  <c r="D461" i="11" l="1"/>
  <c r="C461" i="11"/>
  <c r="R461" i="11"/>
  <c r="S461" i="11"/>
  <c r="N461" i="11"/>
  <c r="M462" i="11"/>
  <c r="D462" i="11" l="1"/>
  <c r="C462" i="11"/>
  <c r="S462" i="11"/>
  <c r="R462" i="11"/>
  <c r="N462" i="11"/>
  <c r="M463" i="11"/>
  <c r="D463" i="11" l="1"/>
  <c r="C463" i="11"/>
  <c r="R463" i="11"/>
  <c r="S463" i="11"/>
  <c r="N463" i="11"/>
  <c r="M464" i="11"/>
  <c r="D464" i="11" l="1"/>
  <c r="C464" i="11"/>
  <c r="S464" i="11"/>
  <c r="R464" i="11"/>
  <c r="N464" i="11"/>
  <c r="M465" i="11"/>
  <c r="D465" i="11" l="1"/>
  <c r="C465" i="11"/>
  <c r="R465" i="11"/>
  <c r="S465" i="11"/>
  <c r="N465" i="11"/>
  <c r="M466" i="11"/>
  <c r="D466" i="11" l="1"/>
  <c r="C466" i="11"/>
  <c r="S466" i="11"/>
  <c r="R466" i="11"/>
  <c r="N466" i="11"/>
  <c r="M467" i="11"/>
  <c r="D467" i="11" l="1"/>
  <c r="C467" i="11"/>
  <c r="R467" i="11"/>
  <c r="S467" i="11"/>
  <c r="N467" i="11"/>
  <c r="M468" i="11"/>
  <c r="D468" i="11" l="1"/>
  <c r="C468" i="11"/>
  <c r="S468" i="11"/>
  <c r="R468" i="11"/>
  <c r="N468" i="11"/>
  <c r="M469" i="11"/>
  <c r="D469" i="11" l="1"/>
  <c r="C469" i="11"/>
  <c r="R469" i="11"/>
  <c r="S469" i="11"/>
  <c r="N469" i="11"/>
  <c r="M470" i="11"/>
  <c r="D470" i="11" l="1"/>
  <c r="C470" i="11"/>
  <c r="S470" i="11"/>
  <c r="R470" i="11"/>
  <c r="N470" i="11"/>
  <c r="M471" i="11"/>
  <c r="D471" i="11" l="1"/>
  <c r="C471" i="11"/>
  <c r="R471" i="11"/>
  <c r="S471" i="11"/>
  <c r="N471" i="11"/>
  <c r="M472" i="11"/>
  <c r="D472" i="11" l="1"/>
  <c r="C472" i="11"/>
  <c r="S472" i="11"/>
  <c r="R472" i="11"/>
  <c r="N472" i="11"/>
  <c r="M473" i="11"/>
  <c r="D473" i="11" l="1"/>
  <c r="C473" i="11"/>
  <c r="R473" i="11"/>
  <c r="S473" i="11"/>
  <c r="N473" i="11"/>
  <c r="M474" i="11"/>
  <c r="D474" i="11" l="1"/>
  <c r="C474" i="11"/>
  <c r="S474" i="11"/>
  <c r="R474" i="11"/>
  <c r="N474" i="11"/>
  <c r="M475" i="11"/>
  <c r="D475" i="11" l="1"/>
  <c r="C475" i="11"/>
  <c r="R475" i="11"/>
  <c r="S475" i="11"/>
  <c r="N475" i="11"/>
  <c r="M476" i="11"/>
  <c r="D476" i="11" l="1"/>
  <c r="C476" i="11"/>
  <c r="S476" i="11"/>
  <c r="R476" i="11"/>
  <c r="N476" i="11"/>
  <c r="M477" i="11"/>
  <c r="D477" i="11" l="1"/>
  <c r="C477" i="11"/>
  <c r="R477" i="11"/>
  <c r="S477" i="11"/>
  <c r="N477" i="11"/>
  <c r="M478" i="11"/>
  <c r="D478" i="11" l="1"/>
  <c r="C478" i="11"/>
  <c r="S478" i="11"/>
  <c r="R478" i="11"/>
  <c r="N478" i="11"/>
  <c r="M479" i="11"/>
  <c r="D479" i="11" l="1"/>
  <c r="C479" i="11"/>
  <c r="R479" i="11"/>
  <c r="S479" i="11"/>
  <c r="N479" i="11"/>
  <c r="M480" i="11"/>
  <c r="D480" i="11" l="1"/>
  <c r="C480" i="11"/>
  <c r="S480" i="11"/>
  <c r="R480" i="11"/>
  <c r="N480" i="11"/>
  <c r="M481" i="11"/>
  <c r="D481" i="11" l="1"/>
  <c r="C481" i="11"/>
  <c r="R481" i="11"/>
  <c r="S481" i="11"/>
  <c r="N481" i="11"/>
  <c r="M482" i="11"/>
  <c r="D482" i="11" l="1"/>
  <c r="C482" i="11"/>
  <c r="S482" i="11"/>
  <c r="R482" i="11"/>
  <c r="N482" i="11"/>
  <c r="M483" i="11"/>
  <c r="D483" i="11" l="1"/>
  <c r="C483" i="11"/>
  <c r="R483" i="11"/>
  <c r="S483" i="11"/>
  <c r="N483" i="11"/>
  <c r="M484" i="11"/>
  <c r="D484" i="11" l="1"/>
  <c r="C484" i="11"/>
  <c r="S484" i="11"/>
  <c r="R484" i="11"/>
  <c r="N484" i="11"/>
  <c r="M485" i="11"/>
  <c r="D485" i="11" l="1"/>
  <c r="C485" i="11"/>
  <c r="R485" i="11"/>
  <c r="S485" i="11"/>
  <c r="N485" i="11"/>
  <c r="M486" i="11"/>
  <c r="D486" i="11" l="1"/>
  <c r="C486" i="11"/>
  <c r="S486" i="11"/>
  <c r="R486" i="11"/>
  <c r="N486" i="11"/>
  <c r="M487" i="11"/>
  <c r="D487" i="11" l="1"/>
  <c r="C487" i="11"/>
  <c r="R487" i="11"/>
  <c r="S487" i="11"/>
  <c r="N487" i="11"/>
  <c r="M488" i="11"/>
  <c r="D488" i="11" l="1"/>
  <c r="C488" i="11"/>
  <c r="S488" i="11"/>
  <c r="R488" i="11"/>
  <c r="N488" i="11"/>
  <c r="M489" i="11"/>
  <c r="D489" i="11" l="1"/>
  <c r="C489" i="11"/>
  <c r="R489" i="11"/>
  <c r="S489" i="11"/>
  <c r="N489" i="11"/>
  <c r="M490" i="11"/>
  <c r="D490" i="11" l="1"/>
  <c r="C490" i="11"/>
  <c r="S490" i="11"/>
  <c r="R490" i="11"/>
  <c r="N490" i="11"/>
  <c r="M491" i="11"/>
  <c r="D491" i="11" l="1"/>
  <c r="C491" i="11"/>
  <c r="R491" i="11"/>
  <c r="S491" i="11"/>
  <c r="N491" i="11"/>
  <c r="M492" i="11"/>
  <c r="D492" i="11" l="1"/>
  <c r="C492" i="11"/>
  <c r="S492" i="11"/>
  <c r="R492" i="11"/>
  <c r="N492" i="11"/>
  <c r="M493" i="11"/>
  <c r="D493" i="11" l="1"/>
  <c r="C493" i="11"/>
  <c r="R493" i="11"/>
  <c r="S493" i="11"/>
  <c r="N493" i="11"/>
  <c r="M494" i="11"/>
  <c r="D494" i="11" l="1"/>
  <c r="C494" i="11"/>
  <c r="S494" i="11"/>
  <c r="R494" i="11"/>
  <c r="N494" i="11"/>
  <c r="M495" i="11"/>
  <c r="D495" i="11" l="1"/>
  <c r="C495" i="11"/>
  <c r="R495" i="11"/>
  <c r="S495" i="11"/>
  <c r="N495" i="11"/>
  <c r="M496" i="11"/>
  <c r="D496" i="11" l="1"/>
  <c r="C496" i="11"/>
  <c r="S496" i="11"/>
  <c r="R496" i="11"/>
  <c r="N496" i="11"/>
  <c r="M497" i="11"/>
  <c r="D497" i="11" l="1"/>
  <c r="C497" i="11"/>
  <c r="R497" i="11"/>
  <c r="S497" i="11"/>
  <c r="N497" i="11"/>
  <c r="M498" i="11"/>
  <c r="D498" i="11" l="1"/>
  <c r="C498" i="11"/>
  <c r="S498" i="11"/>
  <c r="R498" i="11"/>
  <c r="N498" i="11"/>
  <c r="M499" i="11"/>
  <c r="D499" i="11" l="1"/>
  <c r="C499" i="11"/>
  <c r="R499" i="11"/>
  <c r="S499" i="11"/>
  <c r="N499" i="11"/>
  <c r="M500" i="11"/>
  <c r="D500" i="11" l="1"/>
  <c r="C500" i="11"/>
  <c r="S500" i="11"/>
  <c r="R500" i="11"/>
  <c r="N500" i="11"/>
  <c r="M501" i="11"/>
  <c r="D501" i="11" l="1"/>
  <c r="C501" i="11"/>
  <c r="R501" i="11"/>
  <c r="S501" i="11"/>
  <c r="N501" i="11"/>
  <c r="M502" i="11"/>
  <c r="D502" i="11" l="1"/>
  <c r="C502" i="11"/>
  <c r="S502" i="11"/>
  <c r="R502" i="11"/>
  <c r="N502" i="11"/>
  <c r="M503" i="11"/>
  <c r="D503" i="11" l="1"/>
  <c r="C503" i="11"/>
  <c r="R503" i="11"/>
  <c r="S503" i="11"/>
  <c r="N503" i="11"/>
  <c r="M504" i="11"/>
  <c r="D504" i="11" l="1"/>
  <c r="C504" i="11"/>
  <c r="S504" i="11"/>
  <c r="R504" i="11"/>
  <c r="N504" i="11"/>
  <c r="M505" i="11"/>
  <c r="D505" i="11" l="1"/>
  <c r="C505" i="11"/>
  <c r="R505" i="11"/>
  <c r="S505" i="11"/>
  <c r="N505" i="11"/>
  <c r="M506" i="11"/>
  <c r="D506" i="11" l="1"/>
  <c r="C506" i="11"/>
  <c r="S506" i="11"/>
  <c r="R506" i="11"/>
  <c r="N506" i="11"/>
  <c r="M507" i="11"/>
  <c r="D507" i="11" l="1"/>
  <c r="C507" i="11"/>
  <c r="R507" i="11"/>
  <c r="S507" i="11"/>
  <c r="N507" i="11"/>
  <c r="M508" i="11"/>
  <c r="D508" i="11" l="1"/>
  <c r="C508" i="11"/>
  <c r="S508" i="11"/>
  <c r="R508" i="11"/>
  <c r="N508" i="11"/>
  <c r="M509" i="11"/>
  <c r="D509" i="11" l="1"/>
  <c r="C509" i="11"/>
  <c r="R509" i="11"/>
  <c r="S509" i="11"/>
  <c r="N509" i="11"/>
  <c r="M510" i="11"/>
  <c r="D510" i="11" l="1"/>
  <c r="C510" i="11"/>
  <c r="S510" i="11"/>
  <c r="R510" i="11"/>
  <c r="N510" i="11"/>
  <c r="M511" i="11"/>
  <c r="D511" i="11" l="1"/>
  <c r="C511" i="11"/>
  <c r="R511" i="11"/>
  <c r="S511" i="11"/>
  <c r="N511" i="11"/>
  <c r="M512" i="11"/>
  <c r="D512" i="11" l="1"/>
  <c r="C512" i="11"/>
  <c r="S512" i="11"/>
  <c r="R512" i="11"/>
  <c r="N512" i="11"/>
  <c r="M513" i="11"/>
  <c r="D513" i="11" l="1"/>
  <c r="C513" i="11"/>
  <c r="R513" i="11"/>
  <c r="S513" i="11"/>
  <c r="N513" i="11"/>
  <c r="M514" i="11"/>
  <c r="D514" i="11" l="1"/>
  <c r="C514" i="11"/>
  <c r="S514" i="11"/>
  <c r="R514" i="11"/>
  <c r="N514" i="11"/>
  <c r="M515" i="11"/>
  <c r="D515" i="11" l="1"/>
  <c r="C515" i="11"/>
  <c r="R515" i="11"/>
  <c r="S515" i="11"/>
  <c r="N515" i="11"/>
  <c r="M516" i="11"/>
  <c r="D516" i="11" l="1"/>
  <c r="C516" i="11"/>
  <c r="S516" i="11"/>
  <c r="R516" i="11"/>
  <c r="N516" i="11"/>
  <c r="M517" i="11"/>
  <c r="D517" i="11" l="1"/>
  <c r="C517" i="11"/>
  <c r="R517" i="11"/>
  <c r="S517" i="11"/>
  <c r="N517" i="11"/>
  <c r="M518" i="11"/>
  <c r="D518" i="11" l="1"/>
  <c r="C518" i="11"/>
  <c r="S518" i="11"/>
  <c r="R518" i="11"/>
  <c r="N518" i="11"/>
  <c r="M519" i="11"/>
  <c r="D519" i="11" l="1"/>
  <c r="C519" i="11"/>
  <c r="R519" i="11"/>
  <c r="S519" i="11"/>
  <c r="N519" i="11"/>
  <c r="M520" i="11"/>
  <c r="D520" i="11" l="1"/>
  <c r="C520" i="11"/>
  <c r="S520" i="11"/>
  <c r="R520" i="11"/>
  <c r="N520" i="11"/>
  <c r="M521" i="11"/>
  <c r="D521" i="11" l="1"/>
  <c r="C521" i="11"/>
  <c r="R521" i="11"/>
  <c r="S521" i="11"/>
  <c r="N521" i="11"/>
  <c r="M522" i="11"/>
  <c r="D522" i="11" l="1"/>
  <c r="C522" i="11"/>
  <c r="S522" i="11"/>
  <c r="R522" i="11"/>
  <c r="N522" i="11"/>
  <c r="M523" i="11"/>
  <c r="D523" i="11" l="1"/>
  <c r="C523" i="11"/>
  <c r="R523" i="11"/>
  <c r="S523" i="11"/>
  <c r="N523" i="11"/>
  <c r="M524" i="11"/>
  <c r="D524" i="11" l="1"/>
  <c r="C524" i="11"/>
  <c r="S524" i="11"/>
  <c r="R524" i="11"/>
  <c r="N524" i="11"/>
  <c r="M525" i="11"/>
  <c r="D525" i="11" l="1"/>
  <c r="C525" i="11"/>
  <c r="R525" i="11"/>
  <c r="S525" i="11"/>
  <c r="N525" i="11"/>
  <c r="M526" i="11"/>
  <c r="D526" i="11" l="1"/>
  <c r="C526" i="11"/>
  <c r="S526" i="11"/>
  <c r="R526" i="11"/>
  <c r="N526" i="11"/>
  <c r="M527" i="11"/>
  <c r="D527" i="11" l="1"/>
  <c r="C527" i="11"/>
  <c r="R527" i="11"/>
  <c r="S527" i="11"/>
  <c r="N527" i="11"/>
  <c r="M528" i="11"/>
  <c r="D528" i="11" l="1"/>
  <c r="C528" i="11"/>
  <c r="S528" i="11"/>
  <c r="R528" i="11"/>
  <c r="N528" i="11"/>
  <c r="M529" i="11"/>
  <c r="D529" i="11" l="1"/>
  <c r="C529" i="11"/>
  <c r="R529" i="11"/>
  <c r="S529" i="11"/>
  <c r="N529" i="11"/>
  <c r="M530" i="11"/>
  <c r="D530" i="11" l="1"/>
  <c r="C530" i="11"/>
  <c r="S530" i="11"/>
  <c r="R530" i="11"/>
  <c r="N530" i="11"/>
  <c r="M531" i="11"/>
  <c r="D531" i="11" l="1"/>
  <c r="C531" i="11"/>
  <c r="R531" i="11"/>
  <c r="S531" i="11"/>
  <c r="N531" i="11"/>
  <c r="M532" i="11"/>
  <c r="D532" i="11" l="1"/>
  <c r="C532" i="11"/>
  <c r="S532" i="11"/>
  <c r="R532" i="11"/>
  <c r="N532" i="11"/>
  <c r="M533" i="11"/>
  <c r="D533" i="11" l="1"/>
  <c r="C533" i="11"/>
  <c r="R533" i="11"/>
  <c r="S533" i="11"/>
  <c r="N533" i="11"/>
  <c r="M534" i="11"/>
  <c r="D534" i="11" l="1"/>
  <c r="C534" i="11"/>
  <c r="S534" i="11"/>
  <c r="R534" i="11"/>
  <c r="N534" i="11"/>
  <c r="M535" i="11"/>
  <c r="D535" i="11" l="1"/>
  <c r="C535" i="11"/>
  <c r="R535" i="11"/>
  <c r="S535" i="11"/>
  <c r="N535" i="11"/>
  <c r="M536" i="11"/>
  <c r="D536" i="11" l="1"/>
  <c r="C536" i="11"/>
  <c r="S536" i="11"/>
  <c r="R536" i="11"/>
  <c r="N536" i="11"/>
  <c r="M537" i="11"/>
  <c r="D537" i="11" l="1"/>
  <c r="C537" i="11"/>
  <c r="R537" i="11"/>
  <c r="S537" i="11"/>
  <c r="N537" i="11"/>
  <c r="M538" i="11"/>
  <c r="D538" i="11" l="1"/>
  <c r="C538" i="11"/>
  <c r="S538" i="11"/>
  <c r="R538" i="11"/>
  <c r="N538" i="11"/>
  <c r="M539" i="11"/>
  <c r="D539" i="11" l="1"/>
  <c r="C539" i="11"/>
  <c r="R539" i="11"/>
  <c r="S539" i="11"/>
  <c r="N539" i="11"/>
  <c r="M540" i="11"/>
  <c r="D540" i="11" l="1"/>
  <c r="C540" i="11"/>
  <c r="S540" i="11"/>
  <c r="R540" i="11"/>
  <c r="N540" i="11"/>
  <c r="M541" i="11"/>
  <c r="D541" i="11" l="1"/>
  <c r="C541" i="11"/>
  <c r="R541" i="11"/>
  <c r="S541" i="11"/>
  <c r="N541" i="11"/>
  <c r="M542" i="11"/>
  <c r="D542" i="11" l="1"/>
  <c r="C542" i="11"/>
  <c r="S542" i="11"/>
  <c r="R542" i="11"/>
  <c r="N542" i="11"/>
  <c r="M543" i="11"/>
  <c r="D543" i="11" l="1"/>
  <c r="C543" i="11"/>
  <c r="R543" i="11"/>
  <c r="S543" i="11"/>
  <c r="N543" i="11"/>
  <c r="M544" i="11"/>
  <c r="D544" i="11" l="1"/>
  <c r="C544" i="11"/>
  <c r="S544" i="11"/>
  <c r="R544" i="11"/>
  <c r="N544" i="11"/>
  <c r="M545" i="11"/>
  <c r="D545" i="11" l="1"/>
  <c r="C545" i="11"/>
  <c r="R545" i="11"/>
  <c r="S545" i="11"/>
  <c r="N545" i="11"/>
  <c r="M546" i="11"/>
  <c r="D546" i="11" l="1"/>
  <c r="C546" i="11"/>
  <c r="S546" i="11"/>
  <c r="R546" i="11"/>
  <c r="N546" i="11"/>
  <c r="M547" i="11"/>
  <c r="D547" i="11" l="1"/>
  <c r="C547" i="11"/>
  <c r="R547" i="11"/>
  <c r="S547" i="11"/>
  <c r="N547" i="11"/>
  <c r="M548" i="11"/>
  <c r="D548" i="11" l="1"/>
  <c r="C548" i="11"/>
  <c r="S548" i="11"/>
  <c r="R548" i="11"/>
  <c r="N548" i="11"/>
  <c r="M549" i="11"/>
  <c r="D549" i="11" l="1"/>
  <c r="C549" i="11"/>
  <c r="R549" i="11"/>
  <c r="S549" i="11"/>
  <c r="N549" i="11"/>
  <c r="M550" i="11"/>
  <c r="D550" i="11" l="1"/>
  <c r="C550" i="11"/>
  <c r="S550" i="11"/>
  <c r="R550" i="11"/>
  <c r="N550" i="11"/>
  <c r="M551" i="11"/>
  <c r="D551" i="11" l="1"/>
  <c r="C551" i="11"/>
  <c r="R551" i="11"/>
  <c r="S551" i="11"/>
  <c r="N551" i="11"/>
  <c r="M552" i="11"/>
  <c r="D552" i="11" l="1"/>
  <c r="C552" i="11"/>
  <c r="S552" i="11"/>
  <c r="R552" i="11"/>
  <c r="N552" i="11"/>
  <c r="M553" i="11"/>
  <c r="D553" i="11" l="1"/>
  <c r="C553" i="11"/>
  <c r="R553" i="11"/>
  <c r="S553" i="11"/>
  <c r="N553" i="11"/>
  <c r="M554" i="11"/>
  <c r="D554" i="11" l="1"/>
  <c r="C554" i="11"/>
  <c r="S554" i="11"/>
  <c r="R554" i="11"/>
  <c r="N554" i="11"/>
  <c r="M555" i="11"/>
  <c r="D555" i="11" l="1"/>
  <c r="C555" i="11"/>
  <c r="R555" i="11"/>
  <c r="S555" i="11"/>
  <c r="N555" i="11"/>
  <c r="M556" i="11"/>
  <c r="D556" i="11" l="1"/>
  <c r="C556" i="11"/>
  <c r="S556" i="11"/>
  <c r="R556" i="11"/>
  <c r="N556" i="11"/>
  <c r="M557" i="11"/>
  <c r="D557" i="11" l="1"/>
  <c r="C557" i="11"/>
  <c r="R557" i="11"/>
  <c r="S557" i="11"/>
  <c r="N557" i="11"/>
  <c r="M558" i="11"/>
  <c r="D558" i="11" l="1"/>
  <c r="C558" i="11"/>
  <c r="S558" i="11"/>
  <c r="R558" i="11"/>
  <c r="N558" i="11"/>
  <c r="M559" i="11"/>
  <c r="D559" i="11" l="1"/>
  <c r="C559" i="11"/>
  <c r="R559" i="11"/>
  <c r="S559" i="11"/>
  <c r="N559" i="11"/>
  <c r="M560" i="11"/>
  <c r="D560" i="11" l="1"/>
  <c r="C560" i="11"/>
  <c r="S560" i="11"/>
  <c r="R560" i="11"/>
  <c r="N560" i="11"/>
  <c r="M561" i="11"/>
  <c r="D561" i="11" l="1"/>
  <c r="C561" i="11"/>
  <c r="R561" i="11"/>
  <c r="S561" i="11"/>
  <c r="N561" i="11"/>
  <c r="M562" i="11"/>
  <c r="D562" i="11" l="1"/>
  <c r="C562" i="11"/>
  <c r="S562" i="11"/>
  <c r="R562" i="11"/>
  <c r="N562" i="11"/>
  <c r="M563" i="11"/>
  <c r="D563" i="11" l="1"/>
  <c r="C563" i="11"/>
  <c r="R563" i="11"/>
  <c r="S563" i="11"/>
  <c r="N563" i="11"/>
  <c r="M564" i="11"/>
  <c r="D564" i="11" l="1"/>
  <c r="C564" i="11"/>
  <c r="S564" i="11"/>
  <c r="R564" i="11"/>
  <c r="N564" i="11"/>
  <c r="M565" i="11"/>
  <c r="D565" i="11" l="1"/>
  <c r="C565" i="11"/>
  <c r="R565" i="11"/>
  <c r="S565" i="11"/>
  <c r="N565" i="11"/>
  <c r="M566" i="11"/>
  <c r="D566" i="11" l="1"/>
  <c r="C566" i="11"/>
  <c r="S566" i="11"/>
  <c r="R566" i="11"/>
  <c r="N566" i="11"/>
  <c r="M567" i="11"/>
  <c r="D567" i="11" l="1"/>
  <c r="C567" i="11"/>
  <c r="R567" i="11"/>
  <c r="S567" i="11"/>
  <c r="N567" i="11"/>
  <c r="M568" i="11"/>
  <c r="D568" i="11" l="1"/>
  <c r="C568" i="11"/>
  <c r="S568" i="11"/>
  <c r="R568" i="11"/>
  <c r="N568" i="11"/>
  <c r="M569" i="11"/>
  <c r="D569" i="11" l="1"/>
  <c r="C569" i="11"/>
  <c r="R569" i="11"/>
  <c r="S569" i="11"/>
  <c r="N569" i="11"/>
  <c r="M570" i="11"/>
  <c r="D570" i="11" l="1"/>
  <c r="C570" i="11"/>
  <c r="S570" i="11"/>
  <c r="R570" i="11"/>
  <c r="N570" i="11"/>
  <c r="M571" i="11"/>
  <c r="D571" i="11" l="1"/>
  <c r="C571" i="11"/>
  <c r="R571" i="11"/>
  <c r="S571" i="11"/>
  <c r="N571" i="11"/>
  <c r="M572" i="11"/>
  <c r="D572" i="11" l="1"/>
  <c r="C572" i="11"/>
  <c r="S572" i="11"/>
  <c r="R572" i="11"/>
  <c r="N572" i="11"/>
  <c r="M573" i="11"/>
  <c r="D573" i="11" l="1"/>
  <c r="C573" i="11"/>
  <c r="R573" i="11"/>
  <c r="S573" i="11"/>
  <c r="N573" i="11"/>
  <c r="M574" i="11"/>
  <c r="D574" i="11" l="1"/>
  <c r="C574" i="11"/>
  <c r="S574" i="11"/>
  <c r="R574" i="11"/>
  <c r="N574" i="11"/>
  <c r="M575" i="11"/>
  <c r="D575" i="11" l="1"/>
  <c r="C575" i="11"/>
  <c r="R575" i="11"/>
  <c r="S575" i="11"/>
  <c r="N575" i="11"/>
  <c r="M576" i="11"/>
  <c r="D576" i="11" l="1"/>
  <c r="C576" i="11"/>
  <c r="S576" i="11"/>
  <c r="R576" i="11"/>
  <c r="N576" i="11"/>
  <c r="M577" i="11"/>
  <c r="D577" i="11" l="1"/>
  <c r="C577" i="11"/>
  <c r="R577" i="11"/>
  <c r="S577" i="11"/>
  <c r="N577" i="11"/>
  <c r="M578" i="11"/>
  <c r="D578" i="11" l="1"/>
  <c r="C578" i="11"/>
  <c r="S578" i="11"/>
  <c r="R578" i="11"/>
  <c r="N578" i="11"/>
  <c r="M579" i="11"/>
  <c r="D579" i="11" l="1"/>
  <c r="C579" i="11"/>
  <c r="R579" i="11"/>
  <c r="S579" i="11"/>
  <c r="N579" i="11"/>
  <c r="M580" i="11"/>
  <c r="D580" i="11" l="1"/>
  <c r="C580" i="11"/>
  <c r="S580" i="11"/>
  <c r="R580" i="11"/>
  <c r="N580" i="11"/>
  <c r="M581" i="11"/>
  <c r="D581" i="11" l="1"/>
  <c r="C581" i="11"/>
  <c r="R581" i="11"/>
  <c r="S581" i="11"/>
  <c r="N581" i="11"/>
  <c r="M582" i="11"/>
  <c r="D582" i="11" l="1"/>
  <c r="C582" i="11"/>
  <c r="S582" i="11"/>
  <c r="R582" i="11"/>
  <c r="N582" i="11"/>
  <c r="M583" i="11"/>
  <c r="D583" i="11" l="1"/>
  <c r="C583" i="11"/>
  <c r="R583" i="11"/>
  <c r="S583" i="11"/>
  <c r="N583" i="11"/>
  <c r="M584" i="11"/>
  <c r="D584" i="11" l="1"/>
  <c r="C584" i="11"/>
  <c r="S584" i="11"/>
  <c r="R584" i="11"/>
  <c r="N584" i="11"/>
  <c r="M585" i="11"/>
  <c r="D585" i="11" l="1"/>
  <c r="C585" i="11"/>
  <c r="R585" i="11"/>
  <c r="S585" i="11"/>
  <c r="N585" i="11"/>
  <c r="M586" i="11"/>
  <c r="D586" i="11" l="1"/>
  <c r="C586" i="11"/>
  <c r="S586" i="11"/>
  <c r="R586" i="11"/>
  <c r="N586" i="11"/>
  <c r="M587" i="11"/>
  <c r="D587" i="11" l="1"/>
  <c r="C587" i="11"/>
  <c r="R587" i="11"/>
  <c r="S587" i="11"/>
  <c r="N587" i="11"/>
  <c r="M588" i="11"/>
  <c r="D588" i="11" l="1"/>
  <c r="C588" i="11"/>
  <c r="S588" i="11"/>
  <c r="R588" i="11"/>
  <c r="N588" i="11"/>
  <c r="M589" i="11"/>
  <c r="D589" i="11" l="1"/>
  <c r="C589" i="11"/>
  <c r="R589" i="11"/>
  <c r="S589" i="11"/>
  <c r="N589" i="11"/>
  <c r="M590" i="11"/>
  <c r="D590" i="11" l="1"/>
  <c r="C590" i="11"/>
  <c r="S590" i="11"/>
  <c r="R590" i="11"/>
  <c r="N590" i="11"/>
  <c r="M591" i="11"/>
  <c r="D591" i="11" l="1"/>
  <c r="C591" i="11"/>
  <c r="R591" i="11"/>
  <c r="S591" i="11"/>
  <c r="N591" i="11"/>
  <c r="M592" i="11"/>
  <c r="D592" i="11" l="1"/>
  <c r="C592" i="11"/>
  <c r="S592" i="11"/>
  <c r="R592" i="11"/>
  <c r="N592" i="11"/>
  <c r="M593" i="11"/>
  <c r="D593" i="11" l="1"/>
  <c r="C593" i="11"/>
  <c r="R593" i="11"/>
  <c r="S593" i="11"/>
  <c r="N593" i="11"/>
  <c r="M594" i="11"/>
  <c r="D594" i="11" l="1"/>
  <c r="C594" i="11"/>
  <c r="S594" i="11"/>
  <c r="R594" i="11"/>
  <c r="N594" i="11"/>
  <c r="M595" i="11"/>
  <c r="D595" i="11" l="1"/>
  <c r="C595" i="11"/>
  <c r="R595" i="11"/>
  <c r="S595" i="11"/>
  <c r="N595" i="11"/>
  <c r="M596" i="11"/>
  <c r="D596" i="11" l="1"/>
  <c r="C596" i="11"/>
  <c r="S596" i="11"/>
  <c r="R596" i="11"/>
  <c r="N596" i="11"/>
  <c r="M597" i="11"/>
  <c r="D597" i="11" l="1"/>
  <c r="C597" i="11"/>
  <c r="R597" i="11"/>
  <c r="S597" i="11"/>
  <c r="N597" i="11"/>
  <c r="M598" i="11"/>
  <c r="D598" i="11" l="1"/>
  <c r="C598" i="11"/>
  <c r="S598" i="11"/>
  <c r="R598" i="11"/>
  <c r="N598" i="11"/>
  <c r="M599" i="11"/>
  <c r="D599" i="11" l="1"/>
  <c r="C599" i="11"/>
  <c r="R599" i="11"/>
  <c r="S599" i="11"/>
  <c r="N599" i="11"/>
  <c r="M600" i="11"/>
  <c r="D600" i="11" l="1"/>
  <c r="C600" i="11"/>
  <c r="S600" i="11"/>
  <c r="R600" i="11"/>
  <c r="N600" i="11"/>
  <c r="M601" i="11"/>
  <c r="D601" i="11" l="1"/>
  <c r="C601" i="11"/>
  <c r="R601" i="11"/>
  <c r="S601" i="11"/>
  <c r="N601" i="11"/>
  <c r="M602" i="11"/>
  <c r="D602" i="11" l="1"/>
  <c r="C602" i="11"/>
  <c r="S602" i="11"/>
  <c r="R602" i="11"/>
  <c r="N602" i="11"/>
  <c r="M603" i="11"/>
  <c r="D603" i="11" l="1"/>
  <c r="C603" i="11"/>
  <c r="R603" i="11"/>
  <c r="S603" i="11"/>
  <c r="N603" i="11"/>
  <c r="M604" i="11"/>
  <c r="D604" i="11" l="1"/>
  <c r="C604" i="11"/>
  <c r="S604" i="11"/>
  <c r="R604" i="11"/>
  <c r="N604" i="11"/>
  <c r="M605" i="11"/>
  <c r="D605" i="11" l="1"/>
  <c r="C605" i="11"/>
  <c r="R605" i="11"/>
  <c r="S605" i="11"/>
  <c r="N605" i="11"/>
  <c r="M606" i="11"/>
  <c r="D606" i="11" l="1"/>
  <c r="C606" i="11"/>
  <c r="S606" i="11"/>
  <c r="R606" i="11"/>
  <c r="N606" i="11"/>
  <c r="M607" i="11"/>
  <c r="D607" i="11" l="1"/>
  <c r="C607" i="11"/>
  <c r="R607" i="11"/>
  <c r="S607" i="11"/>
  <c r="N607" i="11"/>
  <c r="M608" i="11"/>
  <c r="D608" i="11" l="1"/>
  <c r="C608" i="11"/>
  <c r="S608" i="11"/>
  <c r="R608" i="11"/>
  <c r="N608" i="11"/>
  <c r="M609" i="11"/>
  <c r="D609" i="11" l="1"/>
  <c r="C609" i="11"/>
  <c r="R609" i="11"/>
  <c r="S609" i="11"/>
  <c r="N609" i="11"/>
  <c r="M610" i="11"/>
  <c r="D610" i="11" l="1"/>
  <c r="C610" i="11"/>
  <c r="S610" i="11"/>
  <c r="R610" i="11"/>
  <c r="N610" i="11"/>
  <c r="M611" i="11"/>
  <c r="D611" i="11" l="1"/>
  <c r="C611" i="11"/>
  <c r="R611" i="11"/>
  <c r="S611" i="11"/>
  <c r="N611" i="11"/>
  <c r="M612" i="11"/>
  <c r="D612" i="11" l="1"/>
  <c r="C612" i="11"/>
  <c r="S612" i="11"/>
  <c r="R612" i="11"/>
  <c r="N612" i="11"/>
  <c r="M613" i="11"/>
  <c r="D613" i="11" l="1"/>
  <c r="C613" i="11"/>
  <c r="R613" i="11"/>
  <c r="S613" i="11"/>
  <c r="N613" i="11"/>
  <c r="M614" i="11"/>
  <c r="D614" i="11" l="1"/>
  <c r="C614" i="11"/>
  <c r="S614" i="11"/>
  <c r="R614" i="11"/>
  <c r="N614" i="11"/>
  <c r="M615" i="11"/>
  <c r="D615" i="11" l="1"/>
  <c r="C615" i="11"/>
  <c r="R615" i="11"/>
  <c r="S615" i="11"/>
  <c r="N615" i="11"/>
  <c r="M616" i="11"/>
  <c r="D616" i="11" l="1"/>
  <c r="C616" i="11"/>
  <c r="S616" i="11"/>
  <c r="R616" i="11"/>
  <c r="N616" i="11"/>
  <c r="M617" i="11"/>
  <c r="D617" i="11" l="1"/>
  <c r="C617" i="11"/>
  <c r="R617" i="11"/>
  <c r="S617" i="11"/>
  <c r="N617" i="11"/>
  <c r="M618" i="11"/>
  <c r="D618" i="11" l="1"/>
  <c r="C618" i="11"/>
  <c r="S618" i="11"/>
  <c r="R618" i="11"/>
  <c r="N618" i="11"/>
  <c r="M619" i="11"/>
  <c r="D619" i="11" l="1"/>
  <c r="C619" i="11"/>
  <c r="R619" i="11"/>
  <c r="S619" i="11"/>
  <c r="N619" i="11"/>
  <c r="M620" i="11"/>
  <c r="D620" i="11" l="1"/>
  <c r="C620" i="11"/>
  <c r="S620" i="11"/>
  <c r="R620" i="11"/>
  <c r="N620" i="11"/>
  <c r="M621" i="11"/>
  <c r="D621" i="11" l="1"/>
  <c r="C621" i="11"/>
  <c r="R621" i="11"/>
  <c r="S621" i="11"/>
  <c r="N621" i="11"/>
  <c r="M622" i="11"/>
  <c r="D622" i="11" l="1"/>
  <c r="C622" i="11"/>
  <c r="S622" i="11"/>
  <c r="R622" i="11"/>
  <c r="N622" i="11"/>
  <c r="M623" i="11"/>
  <c r="D623" i="11" l="1"/>
  <c r="C623" i="11"/>
  <c r="R623" i="11"/>
  <c r="S623" i="11"/>
  <c r="N623" i="11"/>
  <c r="M624" i="11"/>
  <c r="D624" i="11" l="1"/>
  <c r="C624" i="11"/>
  <c r="S624" i="11"/>
  <c r="R624" i="11"/>
  <c r="N624" i="11"/>
  <c r="M625" i="11"/>
  <c r="D625" i="11" l="1"/>
  <c r="C625" i="11"/>
  <c r="R625" i="11"/>
  <c r="S625" i="11"/>
  <c r="N625" i="11"/>
  <c r="M626" i="11"/>
  <c r="D626" i="11" l="1"/>
  <c r="C626" i="11"/>
  <c r="S626" i="11"/>
  <c r="R626" i="11"/>
  <c r="N626" i="11"/>
  <c r="M627" i="11"/>
  <c r="D627" i="11" l="1"/>
  <c r="C627" i="11"/>
  <c r="R627" i="11"/>
  <c r="S627" i="11"/>
  <c r="N627" i="11"/>
  <c r="M628" i="11"/>
  <c r="D628" i="11" l="1"/>
  <c r="C628" i="11"/>
  <c r="S628" i="11"/>
  <c r="R628" i="11"/>
  <c r="N628" i="11"/>
  <c r="M629" i="11"/>
  <c r="D629" i="11" l="1"/>
  <c r="C629" i="11"/>
  <c r="R629" i="11"/>
  <c r="S629" i="11"/>
  <c r="N629" i="11"/>
  <c r="M630" i="11"/>
  <c r="D630" i="11" l="1"/>
  <c r="C630" i="11"/>
  <c r="S630" i="11"/>
  <c r="R630" i="11"/>
  <c r="N630" i="11"/>
  <c r="M631" i="11"/>
  <c r="D631" i="11" l="1"/>
  <c r="C631" i="11"/>
  <c r="R631" i="11"/>
  <c r="S631" i="11"/>
  <c r="N631" i="11"/>
  <c r="M632" i="11"/>
  <c r="D632" i="11" l="1"/>
  <c r="C632" i="11"/>
  <c r="S632" i="11"/>
  <c r="R632" i="11"/>
  <c r="N632" i="11"/>
  <c r="M633" i="11"/>
  <c r="D633" i="11" l="1"/>
  <c r="C633" i="11"/>
  <c r="R633" i="11"/>
  <c r="S633" i="11"/>
  <c r="N633" i="11"/>
  <c r="M634" i="11"/>
  <c r="D634" i="11" l="1"/>
  <c r="C634" i="11"/>
  <c r="S634" i="11"/>
  <c r="R634" i="11"/>
  <c r="N634" i="11"/>
  <c r="M635" i="11"/>
  <c r="D635" i="11" l="1"/>
  <c r="C635" i="11"/>
  <c r="R635" i="11"/>
  <c r="S635" i="11"/>
  <c r="N635" i="11"/>
  <c r="M636" i="11"/>
  <c r="D636" i="11" l="1"/>
  <c r="C636" i="11"/>
  <c r="S636" i="11"/>
  <c r="R636" i="11"/>
  <c r="N636" i="11"/>
  <c r="M637" i="11"/>
  <c r="D637" i="11" l="1"/>
  <c r="C637" i="11"/>
  <c r="R637" i="11"/>
  <c r="S637" i="11"/>
  <c r="N637" i="11"/>
  <c r="M638" i="11"/>
  <c r="D638" i="11" l="1"/>
  <c r="C638" i="11"/>
  <c r="S638" i="11"/>
  <c r="R638" i="11"/>
  <c r="N638" i="11"/>
  <c r="M639" i="11"/>
  <c r="D639" i="11" l="1"/>
  <c r="C639" i="11"/>
  <c r="R639" i="11"/>
  <c r="S639" i="11"/>
  <c r="N639" i="11"/>
  <c r="M640" i="11"/>
  <c r="D640" i="11" l="1"/>
  <c r="C640" i="11"/>
  <c r="S640" i="11"/>
  <c r="R640" i="11"/>
  <c r="N640" i="11"/>
  <c r="M641" i="11"/>
  <c r="D641" i="11" l="1"/>
  <c r="C641" i="11"/>
  <c r="R641" i="11"/>
  <c r="S641" i="11"/>
  <c r="N641" i="11"/>
  <c r="M642" i="11"/>
  <c r="D642" i="11" l="1"/>
  <c r="C642" i="11"/>
  <c r="S642" i="11"/>
  <c r="R642" i="11"/>
  <c r="N642" i="11"/>
  <c r="M643" i="11"/>
  <c r="D643" i="11" l="1"/>
  <c r="C643" i="11"/>
  <c r="R643" i="11"/>
  <c r="S643" i="11"/>
  <c r="N643" i="11"/>
  <c r="M644" i="11"/>
  <c r="D644" i="11" l="1"/>
  <c r="C644" i="11"/>
  <c r="S644" i="11"/>
  <c r="R644" i="11"/>
  <c r="N644" i="11"/>
  <c r="M645" i="11"/>
  <c r="D645" i="11" l="1"/>
  <c r="C645" i="11"/>
  <c r="R645" i="11"/>
  <c r="S645" i="11"/>
  <c r="N645" i="11"/>
  <c r="M646" i="11"/>
  <c r="D646" i="11" l="1"/>
  <c r="C646" i="11"/>
  <c r="S646" i="11"/>
  <c r="R646" i="11"/>
  <c r="N646" i="11"/>
  <c r="M647" i="11"/>
  <c r="D647" i="11" l="1"/>
  <c r="C647" i="11"/>
  <c r="R647" i="11"/>
  <c r="S647" i="11"/>
  <c r="N647" i="11"/>
  <c r="M648" i="11"/>
  <c r="D648" i="11" l="1"/>
  <c r="C648" i="11"/>
  <c r="S648" i="11"/>
  <c r="R648" i="11"/>
  <c r="N648" i="11"/>
  <c r="M649" i="11"/>
  <c r="D649" i="11" l="1"/>
  <c r="C649" i="11"/>
  <c r="R649" i="11"/>
  <c r="S649" i="11"/>
  <c r="N649" i="11"/>
  <c r="M650" i="11"/>
  <c r="D650" i="11" l="1"/>
  <c r="C650" i="11"/>
  <c r="S650" i="11"/>
  <c r="R650" i="11"/>
  <c r="N650" i="11"/>
  <c r="M651" i="11"/>
  <c r="D651" i="11" l="1"/>
  <c r="C651" i="11"/>
  <c r="R651" i="11"/>
  <c r="S651" i="11"/>
  <c r="N651" i="11"/>
  <c r="M652" i="11"/>
  <c r="D652" i="11" l="1"/>
  <c r="C652" i="11"/>
  <c r="S652" i="11"/>
  <c r="R652" i="11"/>
  <c r="N652" i="11"/>
  <c r="M653" i="11"/>
  <c r="D653" i="11" l="1"/>
  <c r="C653" i="11"/>
  <c r="R653" i="11"/>
  <c r="S653" i="11"/>
  <c r="N653" i="11"/>
  <c r="M654" i="11"/>
  <c r="D654" i="11" l="1"/>
  <c r="C654" i="11"/>
  <c r="S654" i="11"/>
  <c r="R654" i="11"/>
  <c r="N654" i="11"/>
  <c r="M655" i="11"/>
  <c r="D655" i="11" l="1"/>
  <c r="C655" i="11"/>
  <c r="R655" i="11"/>
  <c r="S655" i="11"/>
  <c r="N655" i="11"/>
  <c r="M656" i="11"/>
  <c r="D656" i="11" l="1"/>
  <c r="C656" i="11"/>
  <c r="S656" i="11"/>
  <c r="R656" i="11"/>
  <c r="N656" i="11"/>
  <c r="M657" i="11"/>
  <c r="D657" i="11" l="1"/>
  <c r="C657" i="11"/>
  <c r="R657" i="11"/>
  <c r="S657" i="11"/>
  <c r="N657" i="11"/>
  <c r="M658" i="11"/>
  <c r="D658" i="11" l="1"/>
  <c r="C658" i="11"/>
  <c r="S658" i="11"/>
  <c r="R658" i="11"/>
  <c r="N658" i="11"/>
  <c r="M659" i="11"/>
  <c r="D659" i="11" l="1"/>
  <c r="C659" i="11"/>
  <c r="R659" i="11"/>
  <c r="S659" i="11"/>
  <c r="N659" i="11"/>
  <c r="M660" i="11"/>
  <c r="D660" i="11" l="1"/>
  <c r="C660" i="11"/>
  <c r="S660" i="11"/>
  <c r="R660" i="11"/>
  <c r="N660" i="11"/>
  <c r="M661" i="11"/>
  <c r="D661" i="11" l="1"/>
  <c r="C661" i="11"/>
  <c r="R661" i="11"/>
  <c r="S661" i="11"/>
  <c r="N661" i="11"/>
  <c r="M662" i="11"/>
  <c r="D662" i="11" l="1"/>
  <c r="C662" i="11"/>
  <c r="S662" i="11"/>
  <c r="R662" i="11"/>
  <c r="N662" i="11"/>
  <c r="M663" i="11"/>
  <c r="D663" i="11" l="1"/>
  <c r="C663" i="11"/>
  <c r="R663" i="11"/>
  <c r="S663" i="11"/>
  <c r="N663" i="11"/>
  <c r="M664" i="11"/>
  <c r="D664" i="11" l="1"/>
  <c r="C664" i="11"/>
  <c r="S664" i="11"/>
  <c r="R664" i="11"/>
  <c r="N664" i="11"/>
  <c r="M665" i="11"/>
  <c r="D665" i="11" l="1"/>
  <c r="C665" i="11"/>
  <c r="R665" i="11"/>
  <c r="S665" i="11"/>
  <c r="N665" i="11"/>
  <c r="M666" i="11"/>
  <c r="D666" i="11" l="1"/>
  <c r="C666" i="11"/>
  <c r="S666" i="11"/>
  <c r="R666" i="11"/>
  <c r="N666" i="11"/>
  <c r="M667" i="11"/>
  <c r="D667" i="11" l="1"/>
  <c r="C667" i="11"/>
  <c r="R667" i="11"/>
  <c r="S667" i="11"/>
  <c r="N667" i="11"/>
  <c r="M668" i="11"/>
  <c r="D668" i="11" l="1"/>
  <c r="C668" i="11"/>
  <c r="S668" i="11"/>
  <c r="R668" i="11"/>
  <c r="N668" i="11"/>
  <c r="M669" i="11"/>
  <c r="D669" i="11" l="1"/>
  <c r="C669" i="11"/>
  <c r="R669" i="11"/>
  <c r="S669" i="11"/>
  <c r="N669" i="11"/>
  <c r="M670" i="11"/>
  <c r="D670" i="11" l="1"/>
  <c r="C670" i="11"/>
  <c r="S670" i="11"/>
  <c r="R670" i="11"/>
  <c r="N670" i="11"/>
  <c r="M671" i="11"/>
  <c r="D671" i="11" l="1"/>
  <c r="C671" i="11"/>
  <c r="R671" i="11"/>
  <c r="S671" i="11"/>
  <c r="N671" i="11"/>
  <c r="M672" i="11"/>
  <c r="D672" i="11" l="1"/>
  <c r="C672" i="11"/>
  <c r="S672" i="11"/>
  <c r="R672" i="11"/>
  <c r="N672" i="11"/>
  <c r="M673" i="11"/>
  <c r="D673" i="11" l="1"/>
  <c r="C673" i="11"/>
  <c r="R673" i="11"/>
  <c r="S673" i="11"/>
  <c r="N673" i="11"/>
  <c r="M674" i="11"/>
  <c r="D674" i="11" l="1"/>
  <c r="C674" i="11"/>
  <c r="S674" i="11"/>
  <c r="R674" i="11"/>
  <c r="N674" i="11"/>
  <c r="M675" i="11"/>
  <c r="D675" i="11" l="1"/>
  <c r="C675" i="11"/>
  <c r="R675" i="11"/>
  <c r="S675" i="11"/>
  <c r="N675" i="11"/>
  <c r="M676" i="11"/>
  <c r="D676" i="11" l="1"/>
  <c r="C676" i="11"/>
  <c r="S676" i="11"/>
  <c r="R676" i="11"/>
  <c r="N676" i="11"/>
  <c r="M677" i="11"/>
  <c r="D677" i="11" l="1"/>
  <c r="C677" i="11"/>
  <c r="R677" i="11"/>
  <c r="S677" i="11"/>
  <c r="N677" i="11"/>
  <c r="M678" i="11"/>
  <c r="D678" i="11" l="1"/>
  <c r="C678" i="11"/>
  <c r="S678" i="11"/>
  <c r="R678" i="11"/>
  <c r="N678" i="11"/>
  <c r="M679" i="11"/>
  <c r="D679" i="11" l="1"/>
  <c r="C679" i="11"/>
  <c r="R679" i="11"/>
  <c r="S679" i="11"/>
  <c r="N679" i="11"/>
  <c r="M680" i="11"/>
  <c r="D680" i="11" l="1"/>
  <c r="C680" i="11"/>
  <c r="S680" i="11"/>
  <c r="R680" i="11"/>
  <c r="N680" i="11"/>
  <c r="M681" i="11"/>
  <c r="D681" i="11" l="1"/>
  <c r="C681" i="11"/>
  <c r="R681" i="11"/>
  <c r="S681" i="11"/>
  <c r="N681" i="11"/>
  <c r="M682" i="11"/>
  <c r="D682" i="11" l="1"/>
  <c r="C682" i="11"/>
  <c r="S682" i="11"/>
  <c r="R682" i="11"/>
  <c r="N682" i="11"/>
  <c r="M683" i="11"/>
  <c r="D683" i="11" l="1"/>
  <c r="C683" i="11"/>
  <c r="R683" i="11"/>
  <c r="S683" i="11"/>
  <c r="N683" i="11"/>
  <c r="M684" i="11"/>
  <c r="D684" i="11" l="1"/>
  <c r="C684" i="11"/>
  <c r="S684" i="11"/>
  <c r="R684" i="11"/>
  <c r="N684" i="11"/>
  <c r="M685" i="11"/>
  <c r="D685" i="11" l="1"/>
  <c r="C685" i="11"/>
  <c r="R685" i="11"/>
  <c r="S685" i="11"/>
  <c r="N685" i="11"/>
  <c r="M686" i="11"/>
  <c r="D686" i="11" l="1"/>
  <c r="C686" i="11"/>
  <c r="S686" i="11"/>
  <c r="R686" i="11"/>
  <c r="N686" i="11"/>
  <c r="M687" i="11"/>
  <c r="D687" i="11" l="1"/>
  <c r="C687" i="11"/>
  <c r="R687" i="11"/>
  <c r="S687" i="11"/>
  <c r="N687" i="11"/>
  <c r="M688" i="11"/>
  <c r="D688" i="11" l="1"/>
  <c r="C688" i="11"/>
  <c r="S688" i="11"/>
  <c r="R688" i="11"/>
  <c r="N688" i="11"/>
  <c r="M689" i="11"/>
  <c r="D689" i="11" l="1"/>
  <c r="C689" i="11"/>
  <c r="R689" i="11"/>
  <c r="S689" i="11"/>
  <c r="N689" i="11"/>
  <c r="M690" i="11"/>
  <c r="D690" i="11" l="1"/>
  <c r="C690" i="11"/>
  <c r="S690" i="11"/>
  <c r="R690" i="11"/>
  <c r="N690" i="11"/>
  <c r="M691" i="11"/>
  <c r="D691" i="11" l="1"/>
  <c r="C691" i="11"/>
  <c r="R691" i="11"/>
  <c r="S691" i="11"/>
  <c r="N691" i="11"/>
  <c r="M692" i="11"/>
  <c r="D692" i="11" l="1"/>
  <c r="C692" i="11"/>
  <c r="S692" i="11"/>
  <c r="R692" i="11"/>
  <c r="N692" i="11"/>
  <c r="M693" i="11"/>
  <c r="D693" i="11" l="1"/>
  <c r="C693" i="11"/>
  <c r="R693" i="11"/>
  <c r="S693" i="11"/>
  <c r="N693" i="11"/>
  <c r="M694" i="11"/>
  <c r="D694" i="11" l="1"/>
  <c r="C694" i="11"/>
  <c r="S694" i="11"/>
  <c r="R694" i="11"/>
  <c r="N694" i="11"/>
  <c r="M695" i="11"/>
  <c r="D695" i="11" l="1"/>
  <c r="C695" i="11"/>
  <c r="R695" i="11"/>
  <c r="S695" i="11"/>
  <c r="N695" i="11"/>
  <c r="M696" i="11"/>
  <c r="D696" i="11" l="1"/>
  <c r="C696" i="11"/>
  <c r="S696" i="11"/>
  <c r="R696" i="11"/>
  <c r="N696" i="11"/>
  <c r="M697" i="11"/>
  <c r="D697" i="11" l="1"/>
  <c r="C697" i="11"/>
  <c r="R697" i="11"/>
  <c r="S697" i="11"/>
  <c r="N697" i="11"/>
  <c r="M698" i="11"/>
  <c r="D698" i="11" l="1"/>
  <c r="C698" i="11"/>
  <c r="S698" i="11"/>
  <c r="R698" i="11"/>
  <c r="N698" i="11"/>
  <c r="M699" i="11"/>
  <c r="D699" i="11" l="1"/>
  <c r="C699" i="11"/>
  <c r="R699" i="11"/>
  <c r="S699" i="11"/>
  <c r="N699" i="11"/>
  <c r="M700" i="11"/>
  <c r="D700" i="11" l="1"/>
  <c r="C700" i="11"/>
  <c r="S700" i="11"/>
  <c r="R700" i="11"/>
  <c r="N700" i="11"/>
  <c r="M701" i="11"/>
  <c r="D701" i="11" l="1"/>
  <c r="C701" i="11"/>
  <c r="R701" i="11"/>
  <c r="S701" i="11"/>
  <c r="N701" i="11"/>
  <c r="M702" i="11"/>
  <c r="D702" i="11" l="1"/>
  <c r="C702" i="11"/>
  <c r="S702" i="11"/>
  <c r="R702" i="11"/>
  <c r="N702" i="11"/>
  <c r="M703" i="11"/>
  <c r="D703" i="11" l="1"/>
  <c r="C703" i="11"/>
  <c r="R703" i="11"/>
  <c r="S703" i="11"/>
  <c r="N703" i="11"/>
  <c r="M704" i="11"/>
  <c r="D704" i="11" l="1"/>
  <c r="C704" i="11"/>
  <c r="S704" i="11"/>
  <c r="R704" i="11"/>
  <c r="N704" i="11"/>
  <c r="M705" i="11"/>
  <c r="D705" i="11" l="1"/>
  <c r="C705" i="11"/>
  <c r="R705" i="11"/>
  <c r="S705" i="11"/>
  <c r="N705" i="11"/>
  <c r="M706" i="11"/>
  <c r="D706" i="11" l="1"/>
  <c r="C706" i="11"/>
  <c r="S706" i="11"/>
  <c r="R706" i="11"/>
  <c r="N706" i="11"/>
  <c r="M707" i="11"/>
  <c r="D707" i="11" l="1"/>
  <c r="C707" i="11"/>
  <c r="R707" i="11"/>
  <c r="S707" i="11"/>
  <c r="N707" i="11"/>
  <c r="M708" i="11"/>
  <c r="D708" i="11" l="1"/>
  <c r="C708" i="11"/>
  <c r="S708" i="11"/>
  <c r="R708" i="11"/>
  <c r="N708" i="11"/>
  <c r="M709" i="11"/>
  <c r="D709" i="11" l="1"/>
  <c r="C709" i="11"/>
  <c r="R709" i="11"/>
  <c r="S709" i="11"/>
  <c r="N709" i="11"/>
  <c r="M710" i="11"/>
  <c r="D710" i="11" l="1"/>
  <c r="C710" i="11"/>
  <c r="S710" i="11"/>
  <c r="R710" i="11"/>
  <c r="N710" i="11"/>
  <c r="M711" i="11"/>
  <c r="D711" i="11" l="1"/>
  <c r="C711" i="11"/>
  <c r="R711" i="11"/>
  <c r="S711" i="11"/>
  <c r="N711" i="11"/>
  <c r="M712" i="11"/>
  <c r="D712" i="11" l="1"/>
  <c r="C712" i="11"/>
  <c r="S712" i="11"/>
  <c r="R712" i="11"/>
  <c r="N712" i="11"/>
  <c r="M713" i="11"/>
  <c r="D713" i="11" l="1"/>
  <c r="C713" i="11"/>
  <c r="R713" i="11"/>
  <c r="S713" i="11"/>
  <c r="N713" i="11"/>
  <c r="M714" i="11"/>
  <c r="D714" i="11" l="1"/>
  <c r="C714" i="11"/>
  <c r="S714" i="11"/>
  <c r="R714" i="11"/>
  <c r="N714" i="11"/>
  <c r="M715" i="11"/>
  <c r="D715" i="11" l="1"/>
  <c r="C715" i="11"/>
  <c r="R715" i="11"/>
  <c r="S715" i="11"/>
  <c r="N715" i="11"/>
  <c r="M716" i="11"/>
  <c r="D716" i="11" l="1"/>
  <c r="C716" i="11"/>
  <c r="S716" i="11"/>
  <c r="R716" i="11"/>
  <c r="N716" i="11"/>
  <c r="M717" i="11"/>
  <c r="D717" i="11" l="1"/>
  <c r="C717" i="11"/>
  <c r="R717" i="11"/>
  <c r="S717" i="11"/>
  <c r="N717" i="11"/>
  <c r="M718" i="11"/>
  <c r="D718" i="11" l="1"/>
  <c r="C718" i="11"/>
  <c r="S718" i="11"/>
  <c r="R718" i="11"/>
  <c r="N718" i="11"/>
  <c r="M719" i="11"/>
  <c r="D719" i="11" l="1"/>
  <c r="C719" i="11"/>
  <c r="R719" i="11"/>
  <c r="S719" i="11"/>
  <c r="N719" i="11"/>
  <c r="M720" i="11"/>
  <c r="D720" i="11" l="1"/>
  <c r="C720" i="11"/>
  <c r="S720" i="11"/>
  <c r="R720" i="11"/>
  <c r="N720" i="11"/>
  <c r="M721" i="11"/>
  <c r="D721" i="11" l="1"/>
  <c r="C721" i="11"/>
  <c r="R721" i="11"/>
  <c r="S721" i="11"/>
  <c r="N721" i="11"/>
  <c r="M722" i="11"/>
  <c r="D722" i="11" l="1"/>
  <c r="C722" i="11"/>
  <c r="S722" i="11"/>
  <c r="R722" i="11"/>
  <c r="N722" i="11"/>
  <c r="M723" i="11"/>
  <c r="D723" i="11" l="1"/>
  <c r="C723" i="11"/>
  <c r="R723" i="11"/>
  <c r="S723" i="11"/>
  <c r="N723" i="11"/>
  <c r="M724" i="11"/>
  <c r="D724" i="11" l="1"/>
  <c r="C724" i="11"/>
  <c r="S724" i="11"/>
  <c r="R724" i="11"/>
  <c r="N724" i="11"/>
  <c r="M725" i="11"/>
  <c r="D725" i="11" l="1"/>
  <c r="C725" i="11"/>
  <c r="R725" i="11"/>
  <c r="S725" i="11"/>
  <c r="N725" i="11"/>
  <c r="M726" i="11"/>
  <c r="D726" i="11" l="1"/>
  <c r="C726" i="11"/>
  <c r="S726" i="11"/>
  <c r="R726" i="11"/>
  <c r="N726" i="11"/>
  <c r="M727" i="11"/>
  <c r="D727" i="11" l="1"/>
  <c r="C727" i="11"/>
  <c r="R727" i="11"/>
  <c r="S727" i="11"/>
  <c r="N727" i="11"/>
  <c r="M728" i="11"/>
  <c r="D728" i="11" l="1"/>
  <c r="C728" i="11"/>
  <c r="S728" i="11"/>
  <c r="R728" i="11"/>
  <c r="N728" i="11"/>
  <c r="M729" i="11"/>
  <c r="D729" i="11" l="1"/>
  <c r="C729" i="11"/>
  <c r="R729" i="11"/>
  <c r="S729" i="11"/>
  <c r="N729" i="11"/>
  <c r="M730" i="11"/>
  <c r="D730" i="11" l="1"/>
  <c r="C730" i="11"/>
  <c r="S730" i="11"/>
  <c r="R730" i="11"/>
  <c r="N730" i="11"/>
  <c r="M731" i="11"/>
  <c r="D731" i="11" l="1"/>
  <c r="C731" i="11"/>
  <c r="R731" i="11"/>
  <c r="S731" i="11"/>
  <c r="N731" i="11"/>
  <c r="M732" i="11"/>
  <c r="D732" i="11" l="1"/>
  <c r="C732" i="11"/>
  <c r="S732" i="11"/>
  <c r="R732" i="11"/>
  <c r="N732" i="11"/>
  <c r="M733" i="11"/>
  <c r="D733" i="11" l="1"/>
  <c r="C733" i="11"/>
  <c r="R733" i="11"/>
  <c r="S733" i="11"/>
  <c r="N733" i="11"/>
  <c r="M734" i="11"/>
  <c r="D734" i="11" l="1"/>
  <c r="C734" i="11"/>
  <c r="S734" i="11"/>
  <c r="R734" i="11"/>
  <c r="N734" i="11"/>
  <c r="M735" i="11"/>
  <c r="D735" i="11" l="1"/>
  <c r="C735" i="11"/>
  <c r="R735" i="11"/>
  <c r="S735" i="11"/>
  <c r="N735" i="11"/>
  <c r="M736" i="11"/>
  <c r="D736" i="11" l="1"/>
  <c r="C736" i="11"/>
  <c r="S736" i="11"/>
  <c r="R736" i="11"/>
  <c r="N736" i="11"/>
  <c r="M737" i="11"/>
  <c r="D737" i="11" l="1"/>
  <c r="C737" i="11"/>
  <c r="R737" i="11"/>
  <c r="S737" i="11"/>
  <c r="N737" i="11"/>
  <c r="M738" i="11"/>
  <c r="D738" i="11" l="1"/>
  <c r="C738" i="11"/>
  <c r="S738" i="11"/>
  <c r="R738" i="11"/>
  <c r="N738" i="11"/>
  <c r="M739" i="11"/>
  <c r="D739" i="11" l="1"/>
  <c r="C739" i="11"/>
  <c r="R739" i="11"/>
  <c r="S739" i="11"/>
  <c r="N739" i="11"/>
  <c r="M740" i="11"/>
  <c r="D740" i="11" l="1"/>
  <c r="C740" i="11"/>
  <c r="S740" i="11"/>
  <c r="R740" i="11"/>
  <c r="N740" i="11"/>
  <c r="M741" i="11"/>
  <c r="D741" i="11" l="1"/>
  <c r="C741" i="11"/>
  <c r="R741" i="11"/>
  <c r="S741" i="11"/>
  <c r="N741" i="11"/>
  <c r="M742" i="11"/>
  <c r="D742" i="11" l="1"/>
  <c r="C742" i="11"/>
  <c r="S742" i="11"/>
  <c r="R742" i="11"/>
  <c r="N742" i="11"/>
  <c r="M743" i="11"/>
  <c r="D743" i="11" l="1"/>
  <c r="C743" i="11"/>
  <c r="R743" i="11"/>
  <c r="S743" i="11"/>
  <c r="N743" i="11"/>
  <c r="M744" i="11"/>
  <c r="D744" i="11" l="1"/>
  <c r="C744" i="11"/>
  <c r="S744" i="11"/>
  <c r="R744" i="11"/>
  <c r="N744" i="11"/>
  <c r="M745" i="11"/>
  <c r="D745" i="11" l="1"/>
  <c r="C745" i="11"/>
  <c r="R745" i="11"/>
  <c r="S745" i="11"/>
  <c r="N745" i="11"/>
  <c r="M746" i="11"/>
  <c r="D746" i="11" l="1"/>
  <c r="C746" i="11"/>
  <c r="S746" i="11"/>
  <c r="R746" i="11"/>
  <c r="N746" i="11"/>
  <c r="M747" i="11"/>
  <c r="D747" i="11" l="1"/>
  <c r="C747" i="11"/>
  <c r="R747" i="11"/>
  <c r="S747" i="11"/>
  <c r="N747" i="11"/>
  <c r="M748" i="11"/>
  <c r="D748" i="11" l="1"/>
  <c r="C748" i="11"/>
  <c r="S748" i="11"/>
  <c r="R748" i="11"/>
  <c r="N748" i="11"/>
  <c r="M749" i="11"/>
  <c r="D749" i="11" l="1"/>
  <c r="C749" i="11"/>
  <c r="R749" i="11"/>
  <c r="S749" i="11"/>
  <c r="N749" i="11"/>
  <c r="M750" i="11"/>
  <c r="D750" i="11" l="1"/>
  <c r="C750" i="11"/>
  <c r="S750" i="11"/>
  <c r="R750" i="11"/>
  <c r="N750" i="11"/>
  <c r="M751" i="11"/>
  <c r="D751" i="11" l="1"/>
  <c r="C751" i="11"/>
  <c r="R751" i="11"/>
  <c r="S751" i="11"/>
  <c r="N751" i="11"/>
  <c r="M752" i="11"/>
  <c r="D752" i="11" l="1"/>
  <c r="C752" i="11"/>
  <c r="S752" i="11"/>
  <c r="R752" i="11"/>
  <c r="N752" i="11"/>
  <c r="M753" i="11"/>
  <c r="D753" i="11" l="1"/>
  <c r="C753" i="11"/>
  <c r="R753" i="11"/>
  <c r="S753" i="11"/>
  <c r="N753" i="11"/>
  <c r="M754" i="11"/>
  <c r="D754" i="11" l="1"/>
  <c r="C754" i="11"/>
  <c r="S754" i="11"/>
  <c r="R754" i="11"/>
  <c r="N754" i="11"/>
  <c r="M755" i="11"/>
  <c r="D755" i="11" l="1"/>
  <c r="C755" i="11"/>
  <c r="R755" i="11"/>
  <c r="S755" i="11"/>
  <c r="N755" i="11"/>
  <c r="M756" i="11"/>
  <c r="D756" i="11" l="1"/>
  <c r="C756" i="11"/>
  <c r="S756" i="11"/>
  <c r="R756" i="11"/>
  <c r="N756" i="11"/>
  <c r="M757" i="11"/>
  <c r="D757" i="11" l="1"/>
  <c r="C757" i="11"/>
  <c r="R757" i="11"/>
  <c r="S757" i="11"/>
  <c r="N757" i="11"/>
  <c r="M758" i="11"/>
  <c r="D758" i="11" l="1"/>
  <c r="C758" i="11"/>
  <c r="S758" i="11"/>
  <c r="R758" i="11"/>
  <c r="N758" i="11"/>
  <c r="M759" i="11"/>
  <c r="D759" i="11" l="1"/>
  <c r="C759" i="11"/>
  <c r="R759" i="11"/>
  <c r="S759" i="11"/>
  <c r="N759" i="11"/>
  <c r="M760" i="11"/>
  <c r="D760" i="11" l="1"/>
  <c r="C760" i="11"/>
  <c r="S760" i="11"/>
  <c r="R760" i="11"/>
  <c r="N760" i="11"/>
  <c r="M761" i="11"/>
  <c r="D761" i="11" l="1"/>
  <c r="C761" i="11"/>
  <c r="R761" i="11"/>
  <c r="S761" i="11"/>
  <c r="N761" i="11"/>
  <c r="M762" i="11"/>
  <c r="D762" i="11" l="1"/>
  <c r="C762" i="11"/>
  <c r="S762" i="11"/>
  <c r="R762" i="11"/>
  <c r="N762" i="11"/>
  <c r="M763" i="11"/>
  <c r="D763" i="11" l="1"/>
  <c r="C763" i="11"/>
  <c r="R763" i="11"/>
  <c r="S763" i="11"/>
  <c r="N763" i="11"/>
  <c r="M764" i="11"/>
  <c r="D764" i="11" l="1"/>
  <c r="C764" i="11"/>
  <c r="S764" i="11"/>
  <c r="R764" i="11"/>
  <c r="N764" i="11"/>
  <c r="M765" i="11"/>
  <c r="D765" i="11" l="1"/>
  <c r="C765" i="11"/>
  <c r="R765" i="11"/>
  <c r="S765" i="11"/>
  <c r="N765" i="11"/>
  <c r="M766" i="11"/>
  <c r="D766" i="11" l="1"/>
  <c r="C766" i="11"/>
  <c r="S766" i="11"/>
  <c r="R766" i="11"/>
  <c r="N766" i="11"/>
  <c r="M767" i="11"/>
  <c r="D767" i="11" l="1"/>
  <c r="C767" i="11"/>
  <c r="R767" i="11"/>
  <c r="S767" i="11"/>
  <c r="N767" i="11"/>
  <c r="M768" i="11"/>
  <c r="D768" i="11" l="1"/>
  <c r="C768" i="11"/>
  <c r="S768" i="11"/>
  <c r="R768" i="11"/>
  <c r="N768" i="11"/>
  <c r="M769" i="11"/>
  <c r="D769" i="11" l="1"/>
  <c r="C769" i="11"/>
  <c r="R769" i="11"/>
  <c r="S769" i="11"/>
  <c r="N769" i="11"/>
  <c r="M770" i="11"/>
  <c r="D770" i="11" l="1"/>
  <c r="C770" i="11"/>
  <c r="S770" i="11"/>
  <c r="R770" i="11"/>
  <c r="N770" i="11"/>
  <c r="M771" i="11"/>
  <c r="D771" i="11" l="1"/>
  <c r="C771" i="11"/>
  <c r="R771" i="11"/>
  <c r="S771" i="11"/>
  <c r="N771" i="11"/>
  <c r="M772" i="11"/>
  <c r="D772" i="11" l="1"/>
  <c r="C772" i="11"/>
  <c r="S772" i="11"/>
  <c r="R772" i="11"/>
  <c r="N772" i="11"/>
  <c r="M773" i="11"/>
  <c r="D773" i="11" l="1"/>
  <c r="C773" i="11"/>
  <c r="R773" i="11"/>
  <c r="S773" i="11"/>
  <c r="N773" i="11"/>
  <c r="M774" i="11"/>
  <c r="D774" i="11" l="1"/>
  <c r="C774" i="11"/>
  <c r="S774" i="11"/>
  <c r="R774" i="11"/>
  <c r="N774" i="11"/>
  <c r="M775" i="11"/>
  <c r="D775" i="11" l="1"/>
  <c r="C775" i="11"/>
  <c r="R775" i="11"/>
  <c r="S775" i="11"/>
  <c r="N775" i="11"/>
  <c r="M776" i="11"/>
  <c r="D776" i="11" l="1"/>
  <c r="C776" i="11"/>
  <c r="S776" i="11"/>
  <c r="R776" i="11"/>
  <c r="N776" i="11"/>
  <c r="M777" i="11"/>
  <c r="D777" i="11" l="1"/>
  <c r="C777" i="11"/>
  <c r="R777" i="11"/>
  <c r="S777" i="11"/>
  <c r="N777" i="11"/>
  <c r="M778" i="11"/>
  <c r="D778" i="11" l="1"/>
  <c r="C778" i="11"/>
  <c r="S778" i="11"/>
  <c r="R778" i="11"/>
  <c r="N778" i="11"/>
  <c r="M779" i="11"/>
  <c r="D779" i="11" l="1"/>
  <c r="C779" i="11"/>
  <c r="R779" i="11"/>
  <c r="S779" i="11"/>
  <c r="N779" i="11"/>
  <c r="M780" i="11"/>
  <c r="D780" i="11" l="1"/>
  <c r="C780" i="11"/>
  <c r="S780" i="11"/>
  <c r="R780" i="11"/>
  <c r="N780" i="11"/>
  <c r="M781" i="11"/>
  <c r="D781" i="11" l="1"/>
  <c r="C781" i="11"/>
  <c r="R781" i="11"/>
  <c r="S781" i="11"/>
  <c r="N781" i="11"/>
  <c r="M782" i="11"/>
  <c r="D782" i="11" l="1"/>
  <c r="C782" i="11"/>
  <c r="S782" i="11"/>
  <c r="R782" i="11"/>
  <c r="N782" i="11"/>
  <c r="M783" i="11"/>
  <c r="D783" i="11" l="1"/>
  <c r="C783" i="11"/>
  <c r="R783" i="11"/>
  <c r="S783" i="11"/>
  <c r="N783" i="11"/>
  <c r="M784" i="11"/>
  <c r="D784" i="11" l="1"/>
  <c r="C784" i="11"/>
  <c r="S784" i="11"/>
  <c r="R784" i="11"/>
  <c r="N784" i="11"/>
  <c r="M785" i="11"/>
  <c r="D785" i="11" l="1"/>
  <c r="C785" i="11"/>
  <c r="R785" i="11"/>
  <c r="S785" i="11"/>
  <c r="N785" i="11"/>
  <c r="M786" i="11"/>
  <c r="D786" i="11" l="1"/>
  <c r="C786" i="11"/>
  <c r="S786" i="11"/>
  <c r="R786" i="11"/>
  <c r="N786" i="11"/>
  <c r="M787" i="11"/>
  <c r="D787" i="11" l="1"/>
  <c r="C787" i="11"/>
  <c r="R787" i="11"/>
  <c r="S787" i="11"/>
  <c r="N787" i="11"/>
  <c r="M788" i="11"/>
  <c r="D788" i="11" l="1"/>
  <c r="C788" i="11"/>
  <c r="S788" i="11"/>
  <c r="R788" i="11"/>
  <c r="N788" i="11"/>
  <c r="M789" i="11"/>
  <c r="D789" i="11" l="1"/>
  <c r="C789" i="11"/>
  <c r="R789" i="11"/>
  <c r="S789" i="11"/>
  <c r="N789" i="11"/>
  <c r="M790" i="11"/>
  <c r="D790" i="11" l="1"/>
  <c r="C790" i="11"/>
  <c r="S790" i="11"/>
  <c r="R790" i="11"/>
  <c r="N790" i="11"/>
  <c r="M791" i="11"/>
  <c r="D791" i="11" l="1"/>
  <c r="C791" i="11"/>
  <c r="R791" i="11"/>
  <c r="S791" i="11"/>
  <c r="N791" i="11"/>
  <c r="M792" i="11"/>
  <c r="D792" i="11" l="1"/>
  <c r="C792" i="11"/>
  <c r="S792" i="11"/>
  <c r="R792" i="11"/>
  <c r="N792" i="11"/>
  <c r="M793" i="11"/>
  <c r="D793" i="11" l="1"/>
  <c r="C793" i="11"/>
  <c r="R793" i="11"/>
  <c r="S793" i="11"/>
  <c r="N793" i="11"/>
  <c r="M794" i="11"/>
  <c r="D794" i="11" l="1"/>
  <c r="C794" i="11"/>
  <c r="S794" i="11"/>
  <c r="R794" i="11"/>
  <c r="N794" i="11"/>
  <c r="M795" i="11"/>
  <c r="D795" i="11" l="1"/>
  <c r="C795" i="11"/>
  <c r="R795" i="11"/>
  <c r="S795" i="11"/>
  <c r="N795" i="11"/>
  <c r="M796" i="11"/>
  <c r="D796" i="11" l="1"/>
  <c r="C796" i="11"/>
  <c r="S796" i="11"/>
  <c r="R796" i="11"/>
  <c r="N796" i="11"/>
  <c r="M797" i="11"/>
  <c r="D797" i="11" l="1"/>
  <c r="C797" i="11"/>
  <c r="R797" i="11"/>
  <c r="S797" i="11"/>
  <c r="N797" i="11"/>
  <c r="M798" i="11"/>
  <c r="D798" i="11" l="1"/>
  <c r="C798" i="11"/>
  <c r="S798" i="11"/>
  <c r="R798" i="11"/>
  <c r="N798" i="11"/>
  <c r="M799" i="11"/>
  <c r="D799" i="11" l="1"/>
  <c r="C799" i="11"/>
  <c r="R799" i="11"/>
  <c r="S799" i="11"/>
  <c r="N799" i="11"/>
  <c r="M800" i="11"/>
  <c r="D800" i="11" l="1"/>
  <c r="C800" i="11"/>
  <c r="S800" i="11"/>
  <c r="R800" i="11"/>
  <c r="N800" i="11"/>
  <c r="M801" i="11"/>
  <c r="D801" i="11" l="1"/>
  <c r="C801" i="11"/>
  <c r="R801" i="11"/>
  <c r="S801" i="11"/>
  <c r="N801" i="11"/>
  <c r="M802" i="11"/>
  <c r="D802" i="11" l="1"/>
  <c r="C802" i="11"/>
  <c r="S802" i="11"/>
  <c r="R802" i="11"/>
  <c r="N802" i="11"/>
  <c r="M803" i="11"/>
  <c r="D803" i="11" l="1"/>
  <c r="C803" i="11"/>
  <c r="R803" i="11"/>
  <c r="S803" i="11"/>
  <c r="N803" i="11"/>
  <c r="M804" i="11"/>
  <c r="D804" i="11" l="1"/>
  <c r="C804" i="11"/>
  <c r="S804" i="11"/>
  <c r="R804" i="11"/>
  <c r="N804" i="11"/>
  <c r="M805" i="11"/>
  <c r="D805" i="11" l="1"/>
  <c r="C805" i="11"/>
  <c r="R805" i="11"/>
  <c r="S805" i="11"/>
  <c r="N805" i="11"/>
  <c r="M806" i="11"/>
  <c r="D806" i="11" l="1"/>
  <c r="C806" i="11"/>
  <c r="S806" i="11"/>
  <c r="R806" i="11"/>
  <c r="N806" i="11"/>
  <c r="M807" i="11"/>
  <c r="D807" i="11" l="1"/>
  <c r="C807" i="11"/>
  <c r="R807" i="11"/>
  <c r="S807" i="11"/>
  <c r="N807" i="11"/>
  <c r="M808" i="11"/>
  <c r="D808" i="11" l="1"/>
  <c r="C808" i="11"/>
  <c r="S808" i="11"/>
  <c r="R808" i="11"/>
  <c r="N808" i="11"/>
  <c r="M809" i="11"/>
  <c r="D809" i="11" l="1"/>
  <c r="C809" i="11"/>
  <c r="R809" i="11"/>
  <c r="S809" i="11"/>
  <c r="N809" i="11"/>
  <c r="M810" i="11"/>
  <c r="D810" i="11" l="1"/>
  <c r="C810" i="11"/>
  <c r="S810" i="11"/>
  <c r="R810" i="11"/>
  <c r="N810" i="11"/>
  <c r="M811" i="11"/>
  <c r="D811" i="11" l="1"/>
  <c r="C811" i="11"/>
  <c r="R811" i="11"/>
  <c r="S811" i="11"/>
  <c r="N811" i="11"/>
  <c r="M812" i="11"/>
  <c r="D812" i="11" l="1"/>
  <c r="C812" i="11"/>
  <c r="S812" i="11"/>
  <c r="R812" i="11"/>
  <c r="N812" i="11"/>
  <c r="M813" i="11"/>
  <c r="D813" i="11" l="1"/>
  <c r="C813" i="11"/>
  <c r="R813" i="11"/>
  <c r="S813" i="11"/>
  <c r="N813" i="11"/>
  <c r="M814" i="11"/>
  <c r="D814" i="11" l="1"/>
  <c r="C814" i="11"/>
  <c r="S814" i="11"/>
  <c r="R814" i="11"/>
  <c r="N814" i="11"/>
  <c r="M815" i="11"/>
  <c r="D815" i="11" l="1"/>
  <c r="C815" i="11"/>
  <c r="R815" i="11"/>
  <c r="S815" i="11"/>
  <c r="N815" i="11"/>
  <c r="M816" i="11"/>
  <c r="D816" i="11" l="1"/>
  <c r="C816" i="11"/>
  <c r="S816" i="11"/>
  <c r="R816" i="11"/>
  <c r="N816" i="11"/>
  <c r="M817" i="11"/>
  <c r="D817" i="11" l="1"/>
  <c r="C817" i="11"/>
  <c r="R817" i="11"/>
  <c r="S817" i="11"/>
  <c r="N817" i="11"/>
  <c r="M818" i="11"/>
  <c r="D818" i="11" l="1"/>
  <c r="C818" i="11"/>
  <c r="S818" i="11"/>
  <c r="R818" i="11"/>
  <c r="N818" i="11"/>
  <c r="M819" i="11"/>
  <c r="D819" i="11" l="1"/>
  <c r="C819" i="11"/>
  <c r="R819" i="11"/>
  <c r="S819" i="11"/>
  <c r="N819" i="11"/>
  <c r="M820" i="11"/>
  <c r="D820" i="11" l="1"/>
  <c r="C820" i="11"/>
  <c r="S820" i="11"/>
  <c r="R820" i="11"/>
  <c r="N820" i="11"/>
  <c r="M821" i="11"/>
  <c r="D821" i="11" l="1"/>
  <c r="C821" i="11"/>
  <c r="R821" i="11"/>
  <c r="S821" i="11"/>
  <c r="N821" i="11"/>
  <c r="M822" i="11"/>
  <c r="D822" i="11" l="1"/>
  <c r="C822" i="11"/>
  <c r="S822" i="11"/>
  <c r="R822" i="11"/>
  <c r="N822" i="11"/>
  <c r="M823" i="11"/>
  <c r="D823" i="11" l="1"/>
  <c r="C823" i="11"/>
  <c r="R823" i="11"/>
  <c r="S823" i="11"/>
  <c r="N823" i="11"/>
  <c r="M824" i="11"/>
  <c r="D824" i="11" l="1"/>
  <c r="C824" i="11"/>
  <c r="S824" i="11"/>
  <c r="R824" i="11"/>
  <c r="N824" i="11"/>
  <c r="M825" i="11"/>
  <c r="D825" i="11" l="1"/>
  <c r="C825" i="11"/>
  <c r="R825" i="11"/>
  <c r="S825" i="11"/>
  <c r="N825" i="11"/>
  <c r="M826" i="11"/>
  <c r="D826" i="11" l="1"/>
  <c r="C826" i="11"/>
  <c r="S826" i="11"/>
  <c r="R826" i="11"/>
  <c r="N826" i="11"/>
  <c r="M827" i="11"/>
  <c r="D827" i="11" l="1"/>
  <c r="C827" i="11"/>
  <c r="R827" i="11"/>
  <c r="S827" i="11"/>
  <c r="N827" i="11"/>
  <c r="M828" i="11"/>
  <c r="D828" i="11" l="1"/>
  <c r="C828" i="11"/>
  <c r="S828" i="11"/>
  <c r="R828" i="11"/>
  <c r="N828" i="11"/>
  <c r="M829" i="11"/>
  <c r="D829" i="11" l="1"/>
  <c r="C829" i="11"/>
  <c r="R829" i="11"/>
  <c r="S829" i="11"/>
  <c r="N829" i="11"/>
  <c r="M830" i="11"/>
  <c r="D830" i="11" l="1"/>
  <c r="C830" i="11"/>
  <c r="S830" i="11"/>
  <c r="R830" i="11"/>
  <c r="N830" i="11"/>
  <c r="M831" i="11"/>
  <c r="D831" i="11" l="1"/>
  <c r="C831" i="11"/>
  <c r="R831" i="11"/>
  <c r="S831" i="11"/>
  <c r="N831" i="11"/>
  <c r="M832" i="11"/>
  <c r="D832" i="11" l="1"/>
  <c r="C832" i="11"/>
  <c r="S832" i="11"/>
  <c r="R832" i="11"/>
  <c r="N832" i="11"/>
  <c r="M833" i="11"/>
  <c r="D833" i="11" l="1"/>
  <c r="C833" i="11"/>
  <c r="R833" i="11"/>
  <c r="S833" i="11"/>
  <c r="N833" i="11"/>
  <c r="M834" i="11"/>
  <c r="D834" i="11" l="1"/>
  <c r="C834" i="11"/>
  <c r="S834" i="11"/>
  <c r="R834" i="11"/>
  <c r="N834" i="11"/>
  <c r="M835" i="11"/>
  <c r="D835" i="11" l="1"/>
  <c r="C835" i="11"/>
  <c r="R835" i="11"/>
  <c r="S835" i="11"/>
  <c r="N835" i="11"/>
  <c r="M836" i="11"/>
  <c r="D836" i="11" l="1"/>
  <c r="C836" i="11"/>
  <c r="S836" i="11"/>
  <c r="R836" i="11"/>
  <c r="N836" i="11"/>
  <c r="M837" i="11"/>
  <c r="D837" i="11" l="1"/>
  <c r="C837" i="11"/>
  <c r="R837" i="11"/>
  <c r="S837" i="11"/>
  <c r="N837" i="11"/>
  <c r="M838" i="11"/>
  <c r="D838" i="11" l="1"/>
  <c r="C838" i="11"/>
  <c r="S838" i="11"/>
  <c r="R838" i="11"/>
  <c r="N838" i="11"/>
  <c r="M839" i="11"/>
  <c r="D839" i="11" l="1"/>
  <c r="C839" i="11"/>
  <c r="R839" i="11"/>
  <c r="S839" i="11"/>
  <c r="N839" i="11"/>
  <c r="M840" i="11"/>
  <c r="D840" i="11" l="1"/>
  <c r="C840" i="11"/>
  <c r="S840" i="11"/>
  <c r="R840" i="11"/>
  <c r="N840" i="11"/>
  <c r="M841" i="11"/>
  <c r="D841" i="11" l="1"/>
  <c r="C841" i="11"/>
  <c r="R841" i="11"/>
  <c r="S841" i="11"/>
  <c r="N841" i="11"/>
  <c r="M842" i="11"/>
  <c r="D842" i="11" l="1"/>
  <c r="C842" i="11"/>
  <c r="S842" i="11"/>
  <c r="R842" i="11"/>
  <c r="N842" i="11"/>
  <c r="M843" i="11"/>
  <c r="D843" i="11" l="1"/>
  <c r="C843" i="11"/>
  <c r="R843" i="11"/>
  <c r="S843" i="11"/>
  <c r="N843" i="11"/>
  <c r="M844" i="11"/>
  <c r="D844" i="11" l="1"/>
  <c r="C844" i="11"/>
  <c r="S844" i="11"/>
  <c r="R844" i="11"/>
  <c r="N844" i="11"/>
  <c r="M845" i="11"/>
  <c r="D845" i="11" l="1"/>
  <c r="C845" i="11"/>
  <c r="R845" i="11"/>
  <c r="S845" i="11"/>
  <c r="N845" i="11"/>
  <c r="M846" i="11"/>
  <c r="D846" i="11" l="1"/>
  <c r="C846" i="11"/>
  <c r="S846" i="11"/>
  <c r="R846" i="11"/>
  <c r="N846" i="11"/>
  <c r="M847" i="11"/>
  <c r="D847" i="11" l="1"/>
  <c r="C847" i="11"/>
  <c r="R847" i="11"/>
  <c r="S847" i="11"/>
  <c r="N847" i="11"/>
  <c r="M848" i="11"/>
  <c r="D848" i="11" l="1"/>
  <c r="C848" i="11"/>
  <c r="S848" i="11"/>
  <c r="R848" i="11"/>
  <c r="N848" i="11"/>
  <c r="M849" i="11"/>
  <c r="D849" i="11" l="1"/>
  <c r="C849" i="11"/>
  <c r="R849" i="11"/>
  <c r="S849" i="11"/>
  <c r="N849" i="11"/>
  <c r="M850" i="11"/>
  <c r="D850" i="11" l="1"/>
  <c r="C850" i="11"/>
  <c r="S850" i="11"/>
  <c r="R850" i="11"/>
  <c r="N850" i="11"/>
  <c r="M851" i="11"/>
  <c r="D851" i="11" l="1"/>
  <c r="C851" i="11"/>
  <c r="R851" i="11"/>
  <c r="S851" i="11"/>
  <c r="N851" i="11"/>
  <c r="M852" i="11"/>
  <c r="D852" i="11" l="1"/>
  <c r="C852" i="11"/>
  <c r="S852" i="11"/>
  <c r="R852" i="11"/>
  <c r="N852" i="11"/>
  <c r="M853" i="11"/>
  <c r="D853" i="11" l="1"/>
  <c r="C853" i="11"/>
  <c r="R853" i="11"/>
  <c r="S853" i="11"/>
  <c r="N853" i="11"/>
  <c r="M854" i="11"/>
  <c r="D854" i="11" l="1"/>
  <c r="C854" i="11"/>
  <c r="S854" i="11"/>
  <c r="R854" i="11"/>
  <c r="N854" i="11"/>
  <c r="M855" i="11"/>
  <c r="D855" i="11" l="1"/>
  <c r="C855" i="11"/>
  <c r="R855" i="11"/>
  <c r="S855" i="11"/>
  <c r="N855" i="11"/>
  <c r="M856" i="11"/>
  <c r="D856" i="11" l="1"/>
  <c r="C856" i="11"/>
  <c r="S856" i="11"/>
  <c r="R856" i="11"/>
  <c r="N856" i="11"/>
  <c r="M857" i="11"/>
  <c r="D857" i="11" l="1"/>
  <c r="C857" i="11"/>
  <c r="R857" i="11"/>
  <c r="S857" i="11"/>
  <c r="N857" i="11"/>
  <c r="M858" i="11"/>
  <c r="D858" i="11" l="1"/>
  <c r="C858" i="11"/>
  <c r="S858" i="11"/>
  <c r="R858" i="11"/>
  <c r="N858" i="11"/>
  <c r="M859" i="11"/>
  <c r="D859" i="11" l="1"/>
  <c r="C859" i="11"/>
  <c r="R859" i="11"/>
  <c r="S859" i="11"/>
  <c r="N859" i="11"/>
  <c r="M860" i="11"/>
  <c r="D860" i="11" l="1"/>
  <c r="C860" i="11"/>
  <c r="S860" i="11"/>
  <c r="R860" i="11"/>
  <c r="N860" i="11"/>
  <c r="M861" i="11"/>
  <c r="D861" i="11" l="1"/>
  <c r="C861" i="11"/>
  <c r="R861" i="11"/>
  <c r="S861" i="11"/>
  <c r="N861" i="11"/>
  <c r="M862" i="11"/>
  <c r="D862" i="11" l="1"/>
  <c r="C862" i="11"/>
  <c r="S862" i="11"/>
  <c r="R862" i="11"/>
  <c r="N862" i="11"/>
  <c r="M863" i="11"/>
  <c r="D863" i="11" l="1"/>
  <c r="C863" i="11"/>
  <c r="R863" i="11"/>
  <c r="S863" i="11"/>
  <c r="N863" i="11"/>
  <c r="M864" i="11"/>
  <c r="D864" i="11" l="1"/>
  <c r="C864" i="11"/>
  <c r="S864" i="11"/>
  <c r="R864" i="11"/>
  <c r="N864" i="11"/>
  <c r="M865" i="11"/>
  <c r="D865" i="11" l="1"/>
  <c r="C865" i="11"/>
  <c r="R865" i="11"/>
  <c r="S865" i="11"/>
  <c r="N865" i="11"/>
  <c r="M866" i="11"/>
  <c r="D866" i="11" l="1"/>
  <c r="C866" i="11"/>
  <c r="S866" i="11"/>
  <c r="R866" i="11"/>
  <c r="N866" i="11"/>
  <c r="M867" i="11"/>
  <c r="D867" i="11" l="1"/>
  <c r="C867" i="11"/>
  <c r="R867" i="11"/>
  <c r="S867" i="11"/>
  <c r="N867" i="11"/>
  <c r="M868" i="11"/>
  <c r="D868" i="11" l="1"/>
  <c r="C868" i="11"/>
  <c r="S868" i="11"/>
  <c r="R868" i="11"/>
  <c r="N868" i="11"/>
  <c r="M869" i="11"/>
  <c r="D869" i="11" l="1"/>
  <c r="C869" i="11"/>
  <c r="R869" i="11"/>
  <c r="S869" i="11"/>
  <c r="N869" i="11"/>
  <c r="M870" i="11"/>
  <c r="D870" i="11" l="1"/>
  <c r="C870" i="11"/>
  <c r="S870" i="11"/>
  <c r="R870" i="11"/>
  <c r="N870" i="11"/>
  <c r="M871" i="11"/>
  <c r="D871" i="11" l="1"/>
  <c r="C871" i="11"/>
  <c r="R871" i="11"/>
  <c r="S871" i="11"/>
  <c r="N871" i="11"/>
  <c r="M872" i="11"/>
  <c r="D872" i="11" l="1"/>
  <c r="C872" i="11"/>
  <c r="S872" i="11"/>
  <c r="R872" i="11"/>
  <c r="N872" i="11"/>
  <c r="M873" i="11"/>
  <c r="D873" i="11" l="1"/>
  <c r="C873" i="11"/>
  <c r="R873" i="11"/>
  <c r="S873" i="11"/>
  <c r="N873" i="11"/>
  <c r="M874" i="11"/>
  <c r="D874" i="11" l="1"/>
  <c r="C874" i="11"/>
  <c r="S874" i="11"/>
  <c r="R874" i="11"/>
  <c r="N874" i="11"/>
  <c r="M875" i="11"/>
  <c r="D875" i="11" l="1"/>
  <c r="C875" i="11"/>
  <c r="R875" i="11"/>
  <c r="S875" i="11"/>
  <c r="N875" i="11"/>
  <c r="M876" i="11"/>
  <c r="D876" i="11" l="1"/>
  <c r="C876" i="11"/>
  <c r="S876" i="11"/>
  <c r="R876" i="11"/>
  <c r="N876" i="11"/>
  <c r="M877" i="11"/>
  <c r="D877" i="11" l="1"/>
  <c r="C877" i="11"/>
  <c r="R877" i="11"/>
  <c r="S877" i="11"/>
  <c r="N877" i="11"/>
  <c r="M878" i="11"/>
  <c r="D878" i="11" l="1"/>
  <c r="C878" i="11"/>
  <c r="S878" i="11"/>
  <c r="R878" i="11"/>
  <c r="N878" i="11"/>
  <c r="M879" i="11"/>
  <c r="D879" i="11" l="1"/>
  <c r="C879" i="11"/>
  <c r="R879" i="11"/>
  <c r="S879" i="11"/>
  <c r="N879" i="11"/>
  <c r="M880" i="11"/>
  <c r="D880" i="11" l="1"/>
  <c r="C880" i="11"/>
  <c r="S880" i="11"/>
  <c r="R880" i="11"/>
  <c r="N880" i="11"/>
  <c r="M881" i="11"/>
  <c r="D881" i="11" l="1"/>
  <c r="C881" i="11"/>
  <c r="R881" i="11"/>
  <c r="S881" i="11"/>
  <c r="N881" i="11"/>
  <c r="M882" i="11"/>
  <c r="D882" i="11" l="1"/>
  <c r="C882" i="11"/>
  <c r="S882" i="11"/>
  <c r="R882" i="11"/>
  <c r="N882" i="11"/>
  <c r="M883" i="11"/>
  <c r="D883" i="11" l="1"/>
  <c r="C883" i="11"/>
  <c r="R883" i="11"/>
  <c r="S883" i="11"/>
  <c r="N883" i="11"/>
  <c r="M884" i="11"/>
  <c r="D884" i="11" l="1"/>
  <c r="C884" i="11"/>
  <c r="S884" i="11"/>
  <c r="R884" i="11"/>
  <c r="N884" i="11"/>
  <c r="M885" i="11"/>
  <c r="D885" i="11" l="1"/>
  <c r="C885" i="11"/>
  <c r="R885" i="11"/>
  <c r="S885" i="11"/>
  <c r="N885" i="11"/>
  <c r="M886" i="11"/>
  <c r="D886" i="11" l="1"/>
  <c r="C886" i="11"/>
  <c r="S886" i="11"/>
  <c r="R886" i="11"/>
  <c r="N886" i="11"/>
  <c r="M887" i="11"/>
  <c r="D887" i="11" l="1"/>
  <c r="C887" i="11"/>
  <c r="R887" i="11"/>
  <c r="S887" i="11"/>
  <c r="N887" i="11"/>
  <c r="M888" i="11"/>
  <c r="D888" i="11" l="1"/>
  <c r="C888" i="11"/>
  <c r="S888" i="11"/>
  <c r="R888" i="11"/>
  <c r="N888" i="11"/>
  <c r="M889" i="11"/>
  <c r="D889" i="11" l="1"/>
  <c r="C889" i="11"/>
  <c r="R889" i="11"/>
  <c r="S889" i="11"/>
  <c r="N889" i="11"/>
  <c r="M890" i="11"/>
  <c r="D890" i="11" l="1"/>
  <c r="C890" i="11"/>
  <c r="S890" i="11"/>
  <c r="R890" i="11"/>
  <c r="N890" i="11"/>
  <c r="M891" i="11"/>
  <c r="D891" i="11" l="1"/>
  <c r="C891" i="11"/>
  <c r="R891" i="11"/>
  <c r="S891" i="11"/>
  <c r="N891" i="11"/>
  <c r="M892" i="11"/>
  <c r="D892" i="11" l="1"/>
  <c r="C892" i="11"/>
  <c r="S892" i="11"/>
  <c r="R892" i="11"/>
  <c r="N892" i="11"/>
  <c r="M893" i="11"/>
  <c r="D893" i="11" l="1"/>
  <c r="C893" i="11"/>
  <c r="R893" i="11"/>
  <c r="S893" i="11"/>
  <c r="N893" i="11"/>
  <c r="M894" i="11"/>
  <c r="D894" i="11" l="1"/>
  <c r="C894" i="11"/>
  <c r="S894" i="11"/>
  <c r="R894" i="11"/>
  <c r="N894" i="11"/>
  <c r="M895" i="11"/>
  <c r="D895" i="11" l="1"/>
  <c r="C895" i="11"/>
  <c r="R895" i="11"/>
  <c r="S895" i="11"/>
  <c r="N895" i="11"/>
  <c r="M896" i="11"/>
  <c r="D896" i="11" l="1"/>
  <c r="C896" i="11"/>
  <c r="S896" i="11"/>
  <c r="R896" i="11"/>
  <c r="N896" i="11"/>
  <c r="M897" i="11"/>
  <c r="D897" i="11" l="1"/>
  <c r="C897" i="11"/>
  <c r="R897" i="11"/>
  <c r="S897" i="11"/>
  <c r="N897" i="11"/>
  <c r="M898" i="11"/>
  <c r="D898" i="11" l="1"/>
  <c r="C898" i="11"/>
  <c r="S898" i="11"/>
  <c r="R898" i="11"/>
  <c r="N898" i="11"/>
  <c r="M899" i="11"/>
  <c r="D899" i="11" l="1"/>
  <c r="C899" i="11"/>
  <c r="R899" i="11"/>
  <c r="S899" i="11"/>
  <c r="N899" i="11"/>
  <c r="M900" i="11"/>
  <c r="D900" i="11" l="1"/>
  <c r="C900" i="11"/>
  <c r="S900" i="11"/>
  <c r="R900" i="11"/>
  <c r="N900" i="11"/>
  <c r="M901" i="11"/>
  <c r="D901" i="11" l="1"/>
  <c r="C901" i="11"/>
  <c r="R901" i="11"/>
  <c r="S901" i="11"/>
  <c r="N901" i="11"/>
  <c r="M902" i="11"/>
  <c r="D902" i="11" l="1"/>
  <c r="C902" i="11"/>
  <c r="S902" i="11"/>
  <c r="R902" i="11"/>
  <c r="N902" i="11"/>
  <c r="M903" i="11"/>
  <c r="D903" i="11" l="1"/>
  <c r="C903" i="11"/>
  <c r="R903" i="11"/>
  <c r="S903" i="11"/>
  <c r="N903" i="11"/>
  <c r="M904" i="11"/>
  <c r="D904" i="11" l="1"/>
  <c r="C904" i="11"/>
  <c r="S904" i="11"/>
  <c r="R904" i="11"/>
  <c r="N904" i="11"/>
  <c r="M905" i="11"/>
  <c r="D905" i="11" l="1"/>
  <c r="C905" i="11"/>
  <c r="R905" i="11"/>
  <c r="S905" i="11"/>
  <c r="N905" i="11"/>
  <c r="M906" i="11"/>
  <c r="D906" i="11" l="1"/>
  <c r="C906" i="11"/>
  <c r="S906" i="11"/>
  <c r="R906" i="11"/>
  <c r="N906" i="11"/>
  <c r="M907" i="11"/>
  <c r="D907" i="11" l="1"/>
  <c r="C907" i="11"/>
  <c r="R907" i="11"/>
  <c r="S907" i="11"/>
  <c r="N907" i="11"/>
  <c r="M908" i="11"/>
  <c r="D908" i="11" l="1"/>
  <c r="C908" i="11"/>
  <c r="S908" i="11"/>
  <c r="R908" i="11"/>
  <c r="N908" i="11"/>
  <c r="M909" i="11"/>
  <c r="D909" i="11" l="1"/>
  <c r="C909" i="11"/>
  <c r="R909" i="11"/>
  <c r="S909" i="11"/>
  <c r="N909" i="11"/>
  <c r="M910" i="11"/>
  <c r="D910" i="11" l="1"/>
  <c r="C910" i="11"/>
  <c r="S910" i="11"/>
  <c r="R910" i="11"/>
  <c r="N910" i="11"/>
  <c r="M911" i="11"/>
  <c r="D911" i="11" l="1"/>
  <c r="C911" i="11"/>
  <c r="R911" i="11"/>
  <c r="S911" i="11"/>
  <c r="N911" i="11"/>
  <c r="M912" i="11"/>
  <c r="D912" i="11" l="1"/>
  <c r="C912" i="11"/>
  <c r="S912" i="11"/>
  <c r="R912" i="11"/>
  <c r="N912" i="11"/>
  <c r="M913" i="11"/>
  <c r="D913" i="11" l="1"/>
  <c r="C913" i="11"/>
  <c r="R913" i="11"/>
  <c r="S913" i="11"/>
  <c r="N913" i="11"/>
  <c r="M914" i="11"/>
  <c r="D914" i="11" l="1"/>
  <c r="C914" i="11"/>
  <c r="S914" i="11"/>
  <c r="R914" i="11"/>
  <c r="N914" i="11"/>
  <c r="M915" i="11"/>
  <c r="D915" i="11" l="1"/>
  <c r="C915" i="11"/>
  <c r="R915" i="11"/>
  <c r="S915" i="11"/>
  <c r="N915" i="11"/>
  <c r="M916" i="11"/>
  <c r="D916" i="11" l="1"/>
  <c r="C916" i="11"/>
  <c r="S916" i="11"/>
  <c r="R916" i="11"/>
  <c r="N916" i="11"/>
  <c r="M917" i="11"/>
  <c r="D917" i="11" l="1"/>
  <c r="C917" i="11"/>
  <c r="R917" i="11"/>
  <c r="S917" i="11"/>
  <c r="N917" i="11"/>
  <c r="M918" i="11"/>
  <c r="D918" i="11" l="1"/>
  <c r="C918" i="11"/>
  <c r="S918" i="11"/>
  <c r="R918" i="11"/>
  <c r="N918" i="11"/>
  <c r="M919" i="11"/>
  <c r="D919" i="11" l="1"/>
  <c r="C919" i="11"/>
  <c r="R919" i="11"/>
  <c r="S919" i="11"/>
  <c r="N919" i="11"/>
  <c r="M920" i="11"/>
  <c r="D920" i="11" l="1"/>
  <c r="C920" i="11"/>
  <c r="S920" i="11"/>
  <c r="R920" i="11"/>
  <c r="N920" i="11"/>
  <c r="M921" i="11"/>
  <c r="D921" i="11" l="1"/>
  <c r="C921" i="11"/>
  <c r="R921" i="11"/>
  <c r="S921" i="11"/>
  <c r="N921" i="11"/>
  <c r="M922" i="11"/>
  <c r="D922" i="11" l="1"/>
  <c r="C922" i="11"/>
  <c r="S922" i="11"/>
  <c r="R922" i="11"/>
  <c r="N922" i="11"/>
  <c r="M923" i="11"/>
  <c r="D923" i="11" l="1"/>
  <c r="C923" i="11"/>
  <c r="R923" i="11"/>
  <c r="S923" i="11"/>
  <c r="N923" i="11"/>
  <c r="M924" i="11"/>
  <c r="D924" i="11" l="1"/>
  <c r="C924" i="11"/>
  <c r="S924" i="11"/>
  <c r="R924" i="11"/>
  <c r="N924" i="11"/>
  <c r="M925" i="11"/>
  <c r="D925" i="11" l="1"/>
  <c r="C925" i="11"/>
  <c r="R925" i="11"/>
  <c r="S925" i="11"/>
  <c r="N925" i="11"/>
  <c r="M926" i="11"/>
  <c r="D926" i="11" l="1"/>
  <c r="C926" i="11"/>
  <c r="S926" i="11"/>
  <c r="R926" i="11"/>
  <c r="N926" i="11"/>
  <c r="M927" i="11"/>
  <c r="D927" i="11" l="1"/>
  <c r="C927" i="11"/>
  <c r="R927" i="11"/>
  <c r="S927" i="11"/>
  <c r="N927" i="11"/>
  <c r="M928" i="11"/>
  <c r="D928" i="11" l="1"/>
  <c r="C928" i="11"/>
  <c r="S928" i="11"/>
  <c r="R928" i="11"/>
  <c r="N928" i="11"/>
  <c r="M929" i="11"/>
  <c r="D929" i="11" l="1"/>
  <c r="C929" i="11"/>
  <c r="R929" i="11"/>
  <c r="S929" i="11"/>
  <c r="N929" i="11"/>
  <c r="M930" i="11"/>
  <c r="D930" i="11" l="1"/>
  <c r="C930" i="11"/>
  <c r="S930" i="11"/>
  <c r="R930" i="11"/>
  <c r="N930" i="11"/>
  <c r="M931" i="11"/>
  <c r="D931" i="11" l="1"/>
  <c r="C931" i="11"/>
  <c r="R931" i="11"/>
  <c r="S931" i="11"/>
  <c r="N931" i="11"/>
  <c r="M932" i="11"/>
  <c r="D932" i="11" l="1"/>
  <c r="C932" i="11"/>
  <c r="S932" i="11"/>
  <c r="R932" i="11"/>
  <c r="N932" i="11"/>
  <c r="M933" i="11"/>
  <c r="D933" i="11" l="1"/>
  <c r="C933" i="11"/>
  <c r="R933" i="11"/>
  <c r="S933" i="11"/>
  <c r="N933" i="11"/>
  <c r="M934" i="11"/>
  <c r="D934" i="11" l="1"/>
  <c r="C934" i="11"/>
  <c r="S934" i="11"/>
  <c r="R934" i="11"/>
  <c r="N934" i="11"/>
  <c r="M935" i="11"/>
  <c r="D935" i="11" l="1"/>
  <c r="C935" i="11"/>
  <c r="R935" i="11"/>
  <c r="S935" i="11"/>
  <c r="N935" i="11"/>
  <c r="M936" i="11"/>
  <c r="D936" i="11" l="1"/>
  <c r="C936" i="11"/>
  <c r="S936" i="11"/>
  <c r="R936" i="11"/>
  <c r="N936" i="11"/>
  <c r="M937" i="11"/>
  <c r="D937" i="11" l="1"/>
  <c r="C937" i="11"/>
  <c r="R937" i="11"/>
  <c r="S937" i="11"/>
  <c r="N937" i="11"/>
  <c r="M938" i="11"/>
  <c r="D938" i="11" l="1"/>
  <c r="C938" i="11"/>
  <c r="S938" i="11"/>
  <c r="R938" i="11"/>
  <c r="N938" i="11"/>
  <c r="M939" i="11"/>
  <c r="D939" i="11" l="1"/>
  <c r="C939" i="11"/>
  <c r="R939" i="11"/>
  <c r="S939" i="11"/>
  <c r="N939" i="11"/>
  <c r="M940" i="11"/>
  <c r="D940" i="11" l="1"/>
  <c r="C940" i="11"/>
  <c r="S940" i="11"/>
  <c r="R940" i="11"/>
  <c r="N940" i="11"/>
  <c r="M941" i="11"/>
  <c r="D941" i="11" l="1"/>
  <c r="C941" i="11"/>
  <c r="R941" i="11"/>
  <c r="S941" i="11"/>
  <c r="N941" i="11"/>
  <c r="M942" i="11"/>
  <c r="D942" i="11" l="1"/>
  <c r="C942" i="11"/>
  <c r="S942" i="11"/>
  <c r="R942" i="11"/>
  <c r="N942" i="11"/>
  <c r="M943" i="11"/>
  <c r="D943" i="11" l="1"/>
  <c r="C943" i="11"/>
  <c r="R943" i="11"/>
  <c r="S943" i="11"/>
  <c r="N943" i="11"/>
  <c r="M944" i="11"/>
  <c r="D944" i="11" l="1"/>
  <c r="C944" i="11"/>
  <c r="S944" i="11"/>
  <c r="R944" i="11"/>
  <c r="N944" i="11"/>
  <c r="M945" i="11"/>
  <c r="D945" i="11" l="1"/>
  <c r="C945" i="11"/>
  <c r="R945" i="11"/>
  <c r="S945" i="11"/>
  <c r="N945" i="11"/>
  <c r="M946" i="11"/>
  <c r="D946" i="11" l="1"/>
  <c r="C946" i="11"/>
  <c r="S946" i="11"/>
  <c r="R946" i="11"/>
  <c r="N946" i="11"/>
  <c r="M947" i="11"/>
  <c r="D947" i="11" l="1"/>
  <c r="C947" i="11"/>
  <c r="R947" i="11"/>
  <c r="S947" i="11"/>
  <c r="N947" i="11"/>
  <c r="M948" i="11"/>
  <c r="D948" i="11" l="1"/>
  <c r="C948" i="11"/>
  <c r="S948" i="11"/>
  <c r="R948" i="11"/>
  <c r="N948" i="11"/>
  <c r="M949" i="11"/>
  <c r="D949" i="11" l="1"/>
  <c r="C949" i="11"/>
  <c r="R949" i="11"/>
  <c r="S949" i="11"/>
  <c r="N949" i="11"/>
  <c r="M950" i="11"/>
  <c r="D950" i="11" l="1"/>
  <c r="C950" i="11"/>
  <c r="S950" i="11"/>
  <c r="R950" i="11"/>
  <c r="N950" i="11"/>
  <c r="M951" i="11"/>
  <c r="D951" i="11" l="1"/>
  <c r="C951" i="11"/>
  <c r="R951" i="11"/>
  <c r="S951" i="11"/>
  <c r="N951" i="11"/>
  <c r="M952" i="11"/>
  <c r="D952" i="11" l="1"/>
  <c r="C952" i="11"/>
  <c r="S952" i="11"/>
  <c r="R952" i="11"/>
  <c r="N952" i="11"/>
  <c r="M953" i="11"/>
  <c r="D953" i="11" l="1"/>
  <c r="C953" i="11"/>
  <c r="R953" i="11"/>
  <c r="S953" i="11"/>
  <c r="N953" i="11"/>
  <c r="M954" i="11"/>
  <c r="D954" i="11" l="1"/>
  <c r="C954" i="11"/>
  <c r="S954" i="11"/>
  <c r="R954" i="11"/>
  <c r="N954" i="11"/>
  <c r="M955" i="11"/>
  <c r="D955" i="11" l="1"/>
  <c r="C955" i="11"/>
  <c r="R955" i="11"/>
  <c r="S955" i="11"/>
  <c r="N955" i="11"/>
  <c r="M956" i="11"/>
  <c r="D956" i="11" l="1"/>
  <c r="C956" i="11"/>
  <c r="S956" i="11"/>
  <c r="R956" i="11"/>
  <c r="N956" i="11"/>
  <c r="M957" i="11"/>
  <c r="D957" i="11" l="1"/>
  <c r="C957" i="11"/>
  <c r="R957" i="11"/>
  <c r="S957" i="11"/>
  <c r="N957" i="11"/>
  <c r="M958" i="11"/>
  <c r="D958" i="11" l="1"/>
  <c r="C958" i="11"/>
  <c r="S958" i="11"/>
  <c r="R958" i="11"/>
  <c r="N958" i="11"/>
  <c r="M959" i="11"/>
  <c r="D959" i="11" l="1"/>
  <c r="C959" i="11"/>
  <c r="R959" i="11"/>
  <c r="S959" i="11"/>
  <c r="N959" i="11"/>
  <c r="M960" i="11"/>
  <c r="D960" i="11" l="1"/>
  <c r="C960" i="11"/>
  <c r="S960" i="11"/>
  <c r="R960" i="11"/>
  <c r="N960" i="11"/>
  <c r="M961" i="11"/>
  <c r="D961" i="11" l="1"/>
  <c r="C961" i="11"/>
  <c r="R961" i="11"/>
  <c r="S961" i="11"/>
  <c r="N961" i="11"/>
  <c r="M962" i="11"/>
  <c r="D962" i="11" l="1"/>
  <c r="C962" i="11"/>
  <c r="S962" i="11"/>
  <c r="R962" i="11"/>
  <c r="N962" i="11"/>
  <c r="M963" i="11"/>
  <c r="D963" i="11" l="1"/>
  <c r="C963" i="11"/>
  <c r="R963" i="11"/>
  <c r="S963" i="11"/>
  <c r="N963" i="11"/>
  <c r="M964" i="11"/>
  <c r="D964" i="11" l="1"/>
  <c r="C964" i="11"/>
  <c r="S964" i="11"/>
  <c r="R964" i="11"/>
  <c r="N964" i="11"/>
  <c r="M965" i="11"/>
  <c r="D965" i="11" l="1"/>
  <c r="C965" i="11"/>
  <c r="R965" i="11"/>
  <c r="S965" i="11"/>
  <c r="N965" i="11"/>
  <c r="M966" i="11"/>
  <c r="D966" i="11" l="1"/>
  <c r="C966" i="11"/>
  <c r="S966" i="11"/>
  <c r="R966" i="11"/>
  <c r="N966" i="11"/>
  <c r="M967" i="11"/>
  <c r="D967" i="11" l="1"/>
  <c r="C967" i="11"/>
  <c r="R967" i="11"/>
  <c r="S967" i="11"/>
  <c r="N967" i="11"/>
  <c r="M968" i="11"/>
  <c r="D968" i="11" l="1"/>
  <c r="C968" i="11"/>
  <c r="S968" i="11"/>
  <c r="R968" i="11"/>
  <c r="N968" i="11"/>
  <c r="M969" i="11"/>
  <c r="D969" i="11" l="1"/>
  <c r="C969" i="11"/>
  <c r="R969" i="11"/>
  <c r="S969" i="11"/>
  <c r="N969" i="11"/>
  <c r="M970" i="11"/>
  <c r="D970" i="11" l="1"/>
  <c r="C970" i="11"/>
  <c r="S970" i="11"/>
  <c r="R970" i="11"/>
  <c r="N970" i="11"/>
  <c r="M971" i="11"/>
  <c r="D971" i="11" l="1"/>
  <c r="C971" i="11"/>
  <c r="R971" i="11"/>
  <c r="S971" i="11"/>
  <c r="N971" i="11"/>
  <c r="M972" i="11"/>
  <c r="D972" i="11" l="1"/>
  <c r="C972" i="11"/>
  <c r="S972" i="11"/>
  <c r="R972" i="11"/>
  <c r="N972" i="11"/>
  <c r="M973" i="11"/>
  <c r="D973" i="11" l="1"/>
  <c r="C973" i="11"/>
  <c r="R973" i="11"/>
  <c r="S973" i="11"/>
  <c r="N973" i="11"/>
  <c r="M974" i="11"/>
  <c r="D974" i="11" l="1"/>
  <c r="C974" i="11"/>
  <c r="S974" i="11"/>
  <c r="R974" i="11"/>
  <c r="N974" i="11"/>
  <c r="M975" i="11"/>
  <c r="D975" i="11" l="1"/>
  <c r="C975" i="11"/>
  <c r="R975" i="11"/>
  <c r="S975" i="11"/>
  <c r="N975" i="11"/>
  <c r="M976" i="11"/>
  <c r="D976" i="11" l="1"/>
  <c r="C976" i="11"/>
  <c r="S976" i="11"/>
  <c r="R976" i="11"/>
  <c r="N976" i="11"/>
  <c r="M977" i="11"/>
  <c r="D977" i="11" l="1"/>
  <c r="C977" i="11"/>
  <c r="R977" i="11"/>
  <c r="S977" i="11"/>
  <c r="N977" i="11"/>
  <c r="M978" i="11"/>
  <c r="D978" i="11" l="1"/>
  <c r="C978" i="11"/>
  <c r="S978" i="11"/>
  <c r="R978" i="11"/>
  <c r="N978" i="11"/>
  <c r="M979" i="11"/>
  <c r="D979" i="11" l="1"/>
  <c r="C979" i="11"/>
  <c r="R979" i="11"/>
  <c r="S979" i="11"/>
  <c r="N979" i="11"/>
  <c r="M980" i="11"/>
  <c r="D980" i="11" l="1"/>
  <c r="C980" i="11"/>
  <c r="S980" i="11"/>
  <c r="R980" i="11"/>
  <c r="N980" i="11"/>
  <c r="M981" i="11"/>
  <c r="D981" i="11" l="1"/>
  <c r="C981" i="11"/>
  <c r="R981" i="11"/>
  <c r="S981" i="11"/>
  <c r="N981" i="11"/>
  <c r="M982" i="11"/>
  <c r="D982" i="11" l="1"/>
  <c r="C982" i="11"/>
  <c r="S982" i="11"/>
  <c r="R982" i="11"/>
  <c r="N982" i="11"/>
  <c r="M983" i="11"/>
  <c r="D983" i="11" l="1"/>
  <c r="C983" i="11"/>
  <c r="R983" i="11"/>
  <c r="S983" i="11"/>
  <c r="N983" i="11"/>
  <c r="M984" i="11"/>
  <c r="D984" i="11" l="1"/>
  <c r="C984" i="11"/>
  <c r="S984" i="11"/>
  <c r="R984" i="11"/>
  <c r="N984" i="11"/>
  <c r="M985" i="11"/>
  <c r="D985" i="11" l="1"/>
  <c r="C985" i="11"/>
  <c r="R985" i="11"/>
  <c r="S985" i="11"/>
  <c r="N985" i="11"/>
  <c r="M986" i="11"/>
  <c r="D986" i="11" l="1"/>
  <c r="C986" i="11"/>
  <c r="S986" i="11"/>
  <c r="R986" i="11"/>
  <c r="N986" i="11"/>
  <c r="M987" i="11"/>
  <c r="D987" i="11" l="1"/>
  <c r="C987" i="11"/>
  <c r="R987" i="11"/>
  <c r="S987" i="11"/>
  <c r="N987" i="11"/>
  <c r="M988" i="11"/>
  <c r="D988" i="11" l="1"/>
  <c r="C988" i="11"/>
  <c r="S988" i="11"/>
  <c r="R988" i="11"/>
  <c r="N988" i="11"/>
  <c r="M989" i="11"/>
  <c r="D989" i="11" l="1"/>
  <c r="C989" i="11"/>
  <c r="R989" i="11"/>
  <c r="S989" i="11"/>
  <c r="N989" i="11"/>
  <c r="M990" i="11"/>
  <c r="D990" i="11" l="1"/>
  <c r="C990" i="11"/>
  <c r="S990" i="11"/>
  <c r="R990" i="11"/>
  <c r="N990" i="11"/>
  <c r="M991" i="11"/>
  <c r="D991" i="11" l="1"/>
  <c r="C991" i="11"/>
  <c r="R991" i="11"/>
  <c r="S991" i="11"/>
  <c r="N991" i="11"/>
  <c r="M992" i="11"/>
  <c r="D992" i="11" l="1"/>
  <c r="C992" i="11"/>
  <c r="S992" i="11"/>
  <c r="R992" i="11"/>
  <c r="N992" i="11"/>
  <c r="M993" i="11"/>
  <c r="D993" i="11" l="1"/>
  <c r="C993" i="11"/>
  <c r="R993" i="11"/>
  <c r="S993" i="11"/>
  <c r="N993" i="11"/>
  <c r="M994" i="11"/>
  <c r="D994" i="11" l="1"/>
  <c r="C994" i="11"/>
  <c r="S994" i="11"/>
  <c r="R994" i="11"/>
  <c r="N994" i="11"/>
  <c r="M995" i="11"/>
  <c r="D995" i="11" l="1"/>
  <c r="C995" i="11"/>
  <c r="R995" i="11"/>
  <c r="S995" i="11"/>
  <c r="N995" i="11"/>
  <c r="M996" i="11"/>
  <c r="D996" i="11" l="1"/>
  <c r="C996" i="11"/>
  <c r="S996" i="11"/>
  <c r="R996" i="11"/>
  <c r="N996" i="11"/>
  <c r="M997" i="11"/>
  <c r="D997" i="11" l="1"/>
  <c r="C997" i="11"/>
  <c r="R997" i="11"/>
  <c r="S997" i="11"/>
  <c r="N997" i="11"/>
  <c r="M998" i="11"/>
  <c r="D998" i="11" l="1"/>
  <c r="C998" i="11"/>
  <c r="S998" i="11"/>
  <c r="R998" i="11"/>
  <c r="N998" i="11"/>
  <c r="M999" i="11"/>
  <c r="D999" i="11" l="1"/>
  <c r="C999" i="11"/>
  <c r="R999" i="11"/>
  <c r="S999" i="11"/>
  <c r="N999" i="11"/>
  <c r="M1000" i="11"/>
  <c r="D1000" i="11" l="1"/>
  <c r="C1000" i="11"/>
  <c r="S1000" i="11"/>
  <c r="R1000" i="11"/>
  <c r="N1000" i="11"/>
  <c r="M1001" i="11"/>
  <c r="D1001" i="11" l="1"/>
  <c r="C1001" i="11"/>
  <c r="R1001" i="11"/>
  <c r="S1001" i="11"/>
  <c r="N1001" i="11"/>
  <c r="M1002" i="11"/>
  <c r="D1002" i="11" l="1"/>
  <c r="C1002" i="11"/>
  <c r="S1002" i="11"/>
  <c r="R1002" i="11"/>
  <c r="N1002" i="11"/>
  <c r="M1003" i="11"/>
  <c r="D1003" i="11" l="1"/>
  <c r="C1003" i="11"/>
  <c r="R1003" i="11"/>
  <c r="S1003" i="11"/>
  <c r="N1003" i="11"/>
  <c r="M1004" i="11"/>
  <c r="D1004" i="11" l="1"/>
  <c r="C1004" i="11"/>
  <c r="S1004" i="11"/>
  <c r="R1004" i="11"/>
  <c r="N1004" i="11"/>
  <c r="M1005" i="11"/>
  <c r="D1005" i="11" l="1"/>
  <c r="C1005" i="11"/>
  <c r="R1005" i="11"/>
  <c r="S1005" i="11"/>
  <c r="N1005" i="11"/>
  <c r="M1006" i="11"/>
  <c r="D1006" i="11" l="1"/>
  <c r="C1006" i="11"/>
  <c r="S1006" i="11"/>
  <c r="R1006" i="11"/>
  <c r="N1006" i="11"/>
  <c r="M1007" i="11"/>
  <c r="D1007" i="11" l="1"/>
  <c r="C1007" i="11"/>
  <c r="R1007" i="11"/>
  <c r="S1007" i="11"/>
  <c r="N1007" i="11"/>
  <c r="M1008" i="11"/>
  <c r="D1008" i="11" l="1"/>
  <c r="C1008" i="11"/>
  <c r="S1008" i="11"/>
  <c r="R1008" i="11"/>
  <c r="N1008" i="11"/>
  <c r="M1009" i="11"/>
  <c r="D1009" i="11" l="1"/>
  <c r="C1009" i="11"/>
  <c r="R1009" i="11"/>
  <c r="S1009" i="11"/>
  <c r="N1009" i="11"/>
  <c r="M1010" i="11"/>
  <c r="D1010" i="11" l="1"/>
  <c r="C1010" i="11"/>
  <c r="S1010" i="11"/>
  <c r="R1010" i="11"/>
  <c r="N1010" i="11"/>
  <c r="M1011" i="11"/>
  <c r="D1011" i="11" l="1"/>
  <c r="C1011" i="11"/>
  <c r="R1011" i="11"/>
  <c r="S1011" i="11"/>
  <c r="N1011" i="11"/>
  <c r="M1012" i="11"/>
  <c r="D1012" i="11" l="1"/>
  <c r="C1012" i="11"/>
  <c r="S1012" i="11"/>
  <c r="R1012" i="11"/>
  <c r="N1012" i="11"/>
  <c r="M1013" i="11"/>
  <c r="D1013" i="11" l="1"/>
  <c r="C1013" i="11"/>
  <c r="R1013" i="11"/>
  <c r="S1013" i="11"/>
  <c r="N1013" i="11"/>
  <c r="M1014" i="11"/>
  <c r="D1014" i="11" l="1"/>
  <c r="C1014" i="11"/>
  <c r="S1014" i="11"/>
  <c r="R1014" i="11"/>
  <c r="N1014" i="11"/>
  <c r="M1015" i="11"/>
  <c r="D1015" i="11" l="1"/>
  <c r="C1015" i="11"/>
  <c r="R1015" i="11"/>
  <c r="S1015" i="11"/>
  <c r="N1015" i="11"/>
  <c r="M1016" i="11"/>
  <c r="D1016" i="11" l="1"/>
  <c r="C1016" i="11"/>
  <c r="S1016" i="11"/>
  <c r="R1016" i="11"/>
  <c r="N1016" i="11"/>
  <c r="M1017" i="11"/>
  <c r="D1017" i="11" l="1"/>
  <c r="C1017" i="11"/>
  <c r="R1017" i="11"/>
  <c r="S1017" i="11"/>
  <c r="N1017" i="11"/>
  <c r="M1018" i="11"/>
  <c r="D1018" i="11" l="1"/>
  <c r="C1018" i="11"/>
  <c r="S1018" i="11"/>
  <c r="R1018" i="11"/>
  <c r="N1018" i="11"/>
  <c r="M1019" i="11"/>
  <c r="D1019" i="11" l="1"/>
  <c r="C1019" i="11"/>
  <c r="R1019" i="11"/>
  <c r="S1019" i="11"/>
  <c r="N1019" i="11"/>
  <c r="M1020" i="11"/>
  <c r="D1020" i="11" l="1"/>
  <c r="C1020" i="11"/>
  <c r="S1020" i="11"/>
  <c r="R1020" i="11"/>
  <c r="N1020" i="11"/>
  <c r="M1021" i="11"/>
  <c r="D1021" i="11" l="1"/>
  <c r="C1021" i="11"/>
  <c r="R1021" i="11"/>
  <c r="S1021" i="11"/>
  <c r="N1021" i="11"/>
  <c r="M1022" i="11"/>
  <c r="D1022" i="11" l="1"/>
  <c r="C1022" i="11"/>
  <c r="S1022" i="11"/>
  <c r="R1022" i="11"/>
  <c r="N1022" i="11"/>
  <c r="M1023" i="11"/>
  <c r="D1023" i="11" l="1"/>
  <c r="C1023" i="11"/>
  <c r="R1023" i="11"/>
  <c r="S1023" i="11"/>
  <c r="N1023" i="11"/>
  <c r="M1024" i="11"/>
  <c r="D1024" i="11" l="1"/>
  <c r="C1024" i="11"/>
  <c r="S1024" i="11"/>
  <c r="R1024" i="11"/>
  <c r="N1024" i="11"/>
  <c r="M1025" i="11"/>
  <c r="D1025" i="11" l="1"/>
  <c r="C1025" i="11"/>
  <c r="R1025" i="11"/>
  <c r="S1025" i="11"/>
  <c r="N1025" i="11"/>
  <c r="M1026" i="11"/>
  <c r="D1026" i="11" l="1"/>
  <c r="C1026" i="11"/>
  <c r="S1026" i="11"/>
  <c r="R1026" i="11"/>
  <c r="N1026" i="11"/>
  <c r="M1027" i="11"/>
  <c r="D1027" i="11" l="1"/>
  <c r="C1027" i="11"/>
  <c r="R1027" i="11"/>
  <c r="S1027" i="11"/>
  <c r="N1027" i="11"/>
  <c r="M1028" i="11"/>
  <c r="D1028" i="11" l="1"/>
  <c r="C1028" i="11"/>
  <c r="S1028" i="11"/>
  <c r="R1028" i="11"/>
  <c r="N1028" i="11"/>
  <c r="M1029" i="11"/>
  <c r="D1029" i="11" l="1"/>
  <c r="C1029" i="11"/>
  <c r="R1029" i="11"/>
  <c r="S1029" i="11"/>
  <c r="N1029" i="11"/>
  <c r="M1030" i="11"/>
  <c r="D1030" i="11" l="1"/>
  <c r="C1030" i="11"/>
  <c r="S1030" i="11"/>
  <c r="R1030" i="11"/>
  <c r="N1030" i="11"/>
  <c r="M1031" i="11"/>
  <c r="D1031" i="11" l="1"/>
  <c r="C1031" i="11"/>
  <c r="R1031" i="11"/>
  <c r="S1031" i="11"/>
  <c r="N1031" i="11"/>
  <c r="M1032" i="11"/>
  <c r="D1032" i="11" l="1"/>
  <c r="C1032" i="11"/>
  <c r="S1032" i="11"/>
  <c r="R1032" i="11"/>
  <c r="N1032" i="11"/>
  <c r="M1033" i="11"/>
  <c r="D1033" i="11" l="1"/>
  <c r="C1033" i="11"/>
  <c r="R1033" i="11"/>
  <c r="S1033" i="11"/>
  <c r="N1033" i="11"/>
  <c r="M1034" i="11"/>
  <c r="D1034" i="11" l="1"/>
  <c r="C1034" i="11"/>
  <c r="S1034" i="11"/>
  <c r="R1034" i="11"/>
  <c r="N1034" i="11"/>
  <c r="M1035" i="11"/>
  <c r="D1035" i="11" l="1"/>
  <c r="C1035" i="11"/>
  <c r="R1035" i="11"/>
  <c r="S1035" i="11"/>
  <c r="N1035" i="11"/>
  <c r="M1036" i="11"/>
  <c r="D1036" i="11" l="1"/>
  <c r="C1036" i="11"/>
  <c r="S1036" i="11"/>
  <c r="R1036" i="11"/>
  <c r="N1036" i="11"/>
  <c r="M1037" i="11"/>
  <c r="D1037" i="11" l="1"/>
  <c r="C1037" i="11"/>
  <c r="R1037" i="11"/>
  <c r="S1037" i="11"/>
  <c r="N1037" i="11"/>
  <c r="M1038" i="11"/>
  <c r="D1038" i="11" l="1"/>
  <c r="C1038" i="11"/>
  <c r="S1038" i="11"/>
  <c r="R1038" i="11"/>
  <c r="N1038" i="11"/>
  <c r="M1039" i="11"/>
  <c r="D1039" i="11" l="1"/>
  <c r="C1039" i="11"/>
  <c r="R1039" i="11"/>
  <c r="S1039" i="11"/>
  <c r="N1039" i="11"/>
  <c r="M1040" i="11"/>
  <c r="D1040" i="11" l="1"/>
  <c r="C1040" i="11"/>
  <c r="S1040" i="11"/>
  <c r="R1040" i="11"/>
  <c r="N1040" i="11"/>
  <c r="M1041" i="11"/>
  <c r="D1041" i="11" l="1"/>
  <c r="C1041" i="11"/>
  <c r="R1041" i="11"/>
  <c r="S1041" i="11"/>
  <c r="N1041" i="11"/>
  <c r="M1042" i="11"/>
  <c r="D1042" i="11" l="1"/>
  <c r="C1042" i="11"/>
  <c r="S1042" i="11"/>
  <c r="R1042" i="11"/>
  <c r="N1042" i="11"/>
  <c r="M1043" i="11"/>
  <c r="D1043" i="11" l="1"/>
  <c r="C1043" i="11"/>
  <c r="R1043" i="11"/>
  <c r="S1043" i="11"/>
  <c r="N1043" i="11"/>
  <c r="M1044" i="11"/>
  <c r="D1044" i="11" l="1"/>
  <c r="C1044" i="11"/>
  <c r="S1044" i="11"/>
  <c r="R1044" i="11"/>
  <c r="N1044" i="11"/>
  <c r="M1045" i="11"/>
  <c r="D1045" i="11" l="1"/>
  <c r="C1045" i="11"/>
  <c r="R1045" i="11"/>
  <c r="S1045" i="11"/>
  <c r="N1045" i="11"/>
  <c r="M1046" i="11"/>
  <c r="D1046" i="11" l="1"/>
  <c r="C1046" i="11"/>
  <c r="S1046" i="11"/>
  <c r="R1046" i="11"/>
  <c r="N1046" i="11"/>
  <c r="M1047" i="11"/>
  <c r="D1047" i="11" l="1"/>
  <c r="C1047" i="11"/>
  <c r="R1047" i="11"/>
  <c r="S1047" i="11"/>
  <c r="N1047" i="11"/>
  <c r="M1048" i="11"/>
  <c r="D1048" i="11" l="1"/>
  <c r="C1048" i="11"/>
  <c r="S1048" i="11"/>
  <c r="R1048" i="11"/>
  <c r="N1048" i="11"/>
  <c r="M1049" i="11"/>
  <c r="D1049" i="11" l="1"/>
  <c r="C1049" i="11"/>
  <c r="R1049" i="11"/>
  <c r="S1049" i="11"/>
  <c r="N1049" i="11"/>
  <c r="M1050" i="11"/>
  <c r="D1050" i="11" l="1"/>
  <c r="C1050" i="11"/>
  <c r="S1050" i="11"/>
  <c r="R1050" i="11"/>
  <c r="N1050" i="11"/>
  <c r="M1051" i="11"/>
  <c r="D1051" i="11" l="1"/>
  <c r="C1051" i="11"/>
  <c r="R1051" i="11"/>
  <c r="S1051" i="11"/>
  <c r="N1051" i="11"/>
  <c r="M1052" i="11"/>
  <c r="D1052" i="11" l="1"/>
  <c r="C1052" i="11"/>
  <c r="S1052" i="11"/>
  <c r="R1052" i="11"/>
  <c r="N1052" i="11"/>
  <c r="M1053" i="11"/>
  <c r="D1053" i="11" l="1"/>
  <c r="C1053" i="11"/>
  <c r="R1053" i="11"/>
  <c r="S1053" i="11"/>
  <c r="N1053" i="11"/>
  <c r="M1054" i="11"/>
  <c r="D1054" i="11" l="1"/>
  <c r="C1054" i="11"/>
  <c r="S1054" i="11"/>
  <c r="R1054" i="11"/>
  <c r="N1054" i="11"/>
  <c r="M1055" i="11"/>
  <c r="D1055" i="11" l="1"/>
  <c r="C1055" i="11"/>
  <c r="R1055" i="11"/>
  <c r="S1055" i="11"/>
  <c r="N1055" i="11"/>
  <c r="M1056" i="11"/>
  <c r="D1056" i="11" l="1"/>
  <c r="C1056" i="11"/>
  <c r="S1056" i="11"/>
  <c r="R1056" i="11"/>
  <c r="N1056" i="11"/>
  <c r="M1057" i="11"/>
  <c r="D1057" i="11" l="1"/>
  <c r="C1057" i="11"/>
  <c r="R1057" i="11"/>
  <c r="S1057" i="11"/>
  <c r="N1057" i="11"/>
  <c r="M1058" i="11"/>
  <c r="D1058" i="11" l="1"/>
  <c r="C1058" i="11"/>
  <c r="S1058" i="11"/>
  <c r="R1058" i="11"/>
  <c r="N1058" i="11"/>
  <c r="M1059" i="11"/>
  <c r="D1059" i="11" l="1"/>
  <c r="C1059" i="11"/>
  <c r="R1059" i="11"/>
  <c r="S1059" i="11"/>
  <c r="N1059" i="11"/>
  <c r="M1060" i="11"/>
  <c r="D1060" i="11" l="1"/>
  <c r="C1060" i="11"/>
  <c r="S1060" i="11"/>
  <c r="R1060" i="11"/>
  <c r="N1060" i="11"/>
  <c r="M1061" i="11"/>
  <c r="D1061" i="11" l="1"/>
  <c r="C1061" i="11"/>
  <c r="R1061" i="11"/>
  <c r="S1061" i="11"/>
  <c r="N1061" i="11"/>
  <c r="M1062" i="11"/>
  <c r="D1062" i="11" l="1"/>
  <c r="C1062" i="11"/>
  <c r="S1062" i="11"/>
  <c r="R1062" i="11"/>
  <c r="N1062" i="11"/>
  <c r="M1063" i="11"/>
  <c r="D1063" i="11" l="1"/>
  <c r="C1063" i="11"/>
  <c r="R1063" i="11"/>
  <c r="S1063" i="11"/>
  <c r="N1063" i="11"/>
  <c r="M1064" i="11"/>
  <c r="D1064" i="11" l="1"/>
  <c r="C1064" i="11"/>
  <c r="S1064" i="11"/>
  <c r="R1064" i="11"/>
  <c r="N1064" i="11"/>
  <c r="M1065" i="11"/>
  <c r="D1065" i="11" l="1"/>
  <c r="C1065" i="11"/>
  <c r="R1065" i="11"/>
  <c r="S1065" i="11"/>
  <c r="N1065" i="11"/>
  <c r="M1066" i="11"/>
  <c r="D1066" i="11" l="1"/>
  <c r="C1066" i="11"/>
  <c r="S1066" i="11"/>
  <c r="R1066" i="11"/>
  <c r="N1066" i="11"/>
  <c r="M1067" i="11"/>
  <c r="D1067" i="11" l="1"/>
  <c r="C1067" i="11"/>
  <c r="R1067" i="11"/>
  <c r="S1067" i="11"/>
  <c r="N1067" i="11"/>
  <c r="M1068" i="11"/>
  <c r="D1068" i="11" l="1"/>
  <c r="C1068" i="11"/>
  <c r="S1068" i="11"/>
  <c r="R1068" i="11"/>
  <c r="N1068" i="11"/>
  <c r="M1069" i="11"/>
  <c r="D1069" i="11" l="1"/>
  <c r="C1069" i="11"/>
  <c r="R1069" i="11"/>
  <c r="S1069" i="11"/>
  <c r="N1069" i="11"/>
  <c r="M1070" i="11"/>
  <c r="D1070" i="11" l="1"/>
  <c r="C1070" i="11"/>
  <c r="S1070" i="11"/>
  <c r="R1070" i="11"/>
  <c r="N1070" i="11"/>
  <c r="M1071" i="11"/>
  <c r="D1071" i="11" l="1"/>
  <c r="C1071" i="11"/>
  <c r="R1071" i="11"/>
  <c r="S1071" i="11"/>
  <c r="N1071" i="11"/>
  <c r="M1072" i="11"/>
  <c r="D1072" i="11" l="1"/>
  <c r="C1072" i="11"/>
  <c r="S1072" i="11"/>
  <c r="R1072" i="11"/>
  <c r="N1072" i="11"/>
  <c r="M1073" i="11"/>
  <c r="D1073" i="11" l="1"/>
  <c r="C1073" i="11"/>
  <c r="R1073" i="11"/>
  <c r="S1073" i="11"/>
  <c r="N1073" i="11"/>
  <c r="M1074" i="11"/>
  <c r="D1074" i="11" l="1"/>
  <c r="C1074" i="11"/>
  <c r="S1074" i="11"/>
  <c r="R1074" i="11"/>
  <c r="N1074" i="11"/>
  <c r="M1075" i="11"/>
  <c r="D1075" i="11" l="1"/>
  <c r="C1075" i="11"/>
  <c r="R1075" i="11"/>
  <c r="S1075" i="11"/>
  <c r="N1075" i="11"/>
  <c r="M1076" i="11"/>
  <c r="D1076" i="11" l="1"/>
  <c r="C1076" i="11"/>
  <c r="S1076" i="11"/>
  <c r="R1076" i="11"/>
  <c r="N1076" i="11"/>
  <c r="M1077" i="11"/>
  <c r="D1077" i="11" l="1"/>
  <c r="C1077" i="11"/>
  <c r="R1077" i="11"/>
  <c r="S1077" i="11"/>
  <c r="N1077" i="11"/>
  <c r="M1078" i="11"/>
  <c r="D1078" i="11" l="1"/>
  <c r="C1078" i="11"/>
  <c r="S1078" i="11"/>
  <c r="R1078" i="11"/>
  <c r="N1078" i="11"/>
  <c r="M1079" i="11"/>
  <c r="D1079" i="11" l="1"/>
  <c r="C1079" i="11"/>
  <c r="R1079" i="11"/>
  <c r="S1079" i="11"/>
  <c r="N1079" i="11"/>
  <c r="M1080" i="11"/>
  <c r="D1080" i="11" l="1"/>
  <c r="C1080" i="11"/>
  <c r="S1080" i="11"/>
  <c r="R1080" i="11"/>
  <c r="N1080" i="11"/>
  <c r="M1081" i="11"/>
  <c r="D1081" i="11" l="1"/>
  <c r="C1081" i="11"/>
  <c r="R1081" i="11"/>
  <c r="S1081" i="11"/>
  <c r="N1081" i="11"/>
  <c r="M1082" i="11"/>
  <c r="D1082" i="11" l="1"/>
  <c r="C1082" i="11"/>
  <c r="S1082" i="11"/>
  <c r="R1082" i="11"/>
  <c r="N1082" i="11"/>
  <c r="M1083" i="11"/>
  <c r="D1083" i="11" l="1"/>
  <c r="C1083" i="11"/>
  <c r="R1083" i="11"/>
  <c r="S1083" i="11"/>
  <c r="N1083" i="11"/>
  <c r="M1084" i="11"/>
  <c r="D1084" i="11" l="1"/>
  <c r="C1084" i="11"/>
  <c r="S1084" i="11"/>
  <c r="R1084" i="11"/>
  <c r="N1084" i="11"/>
  <c r="M1085" i="11"/>
  <c r="D1085" i="11" l="1"/>
  <c r="C1085" i="11"/>
  <c r="R1085" i="11"/>
  <c r="S1085" i="11"/>
  <c r="N1085" i="11"/>
  <c r="M1086" i="11"/>
  <c r="D1086" i="11" l="1"/>
  <c r="C1086" i="11"/>
  <c r="S1086" i="11"/>
  <c r="R1086" i="11"/>
  <c r="N1086" i="11"/>
  <c r="M1087" i="11"/>
  <c r="D1087" i="11" l="1"/>
  <c r="C1087" i="11"/>
  <c r="R1087" i="11"/>
  <c r="S1087" i="11"/>
  <c r="N1087" i="11"/>
  <c r="M1088" i="11"/>
  <c r="D1088" i="11" l="1"/>
  <c r="C1088" i="11"/>
  <c r="S1088" i="11"/>
  <c r="R1088" i="11"/>
  <c r="N1088" i="11"/>
  <c r="M1089" i="11"/>
  <c r="D1089" i="11" l="1"/>
  <c r="C1089" i="11"/>
  <c r="R1089" i="11"/>
  <c r="S1089" i="11"/>
  <c r="N1089" i="11"/>
  <c r="M1090" i="11"/>
  <c r="D1090" i="11" l="1"/>
  <c r="C1090" i="11"/>
  <c r="S1090" i="11"/>
  <c r="R1090" i="11"/>
  <c r="N1090" i="11"/>
  <c r="M1091" i="11"/>
  <c r="D1091" i="11" l="1"/>
  <c r="C1091" i="11"/>
  <c r="R1091" i="11"/>
  <c r="S1091" i="11"/>
  <c r="N1091" i="11"/>
  <c r="M1092" i="11"/>
  <c r="D1092" i="11" l="1"/>
  <c r="C1092" i="11"/>
  <c r="S1092" i="11"/>
  <c r="R1092" i="11"/>
  <c r="N1092" i="11"/>
  <c r="M1093" i="11"/>
  <c r="D1093" i="11" l="1"/>
  <c r="C1093" i="11"/>
  <c r="R1093" i="11"/>
  <c r="S1093" i="11"/>
  <c r="N1093" i="11"/>
  <c r="M1094" i="11"/>
  <c r="D1094" i="11" l="1"/>
  <c r="C1094" i="11"/>
  <c r="S1094" i="11"/>
  <c r="R1094" i="11"/>
  <c r="N1094" i="11"/>
  <c r="M1095" i="11"/>
  <c r="D1095" i="11" l="1"/>
  <c r="C1095" i="11"/>
  <c r="R1095" i="11"/>
  <c r="S1095" i="11"/>
  <c r="N1095" i="11"/>
  <c r="M1096" i="11"/>
  <c r="D1096" i="11" l="1"/>
  <c r="C1096" i="11"/>
  <c r="S1096" i="11"/>
  <c r="R1096" i="11"/>
  <c r="N1096" i="11"/>
  <c r="M1097" i="11"/>
  <c r="D1097" i="11" l="1"/>
  <c r="C1097" i="11"/>
  <c r="R1097" i="11"/>
  <c r="S1097" i="11"/>
  <c r="N1097" i="11"/>
  <c r="M1098" i="11"/>
  <c r="D1098" i="11" l="1"/>
  <c r="C1098" i="11"/>
  <c r="S1098" i="11"/>
  <c r="R1098" i="11"/>
  <c r="N1098" i="11"/>
  <c r="M1099" i="11"/>
  <c r="D1099" i="11" l="1"/>
  <c r="C1099" i="11"/>
  <c r="R1099" i="11"/>
  <c r="S1099" i="11"/>
  <c r="N1099" i="11"/>
  <c r="M1100" i="11"/>
  <c r="D1100" i="11" l="1"/>
  <c r="C1100" i="11"/>
  <c r="S1100" i="11"/>
  <c r="R1100" i="11"/>
  <c r="N1100" i="11"/>
  <c r="M1101" i="11"/>
  <c r="D1101" i="11" l="1"/>
  <c r="C1101" i="11"/>
  <c r="R1101" i="11"/>
  <c r="S1101" i="11"/>
  <c r="N1101" i="11"/>
  <c r="M1102" i="11"/>
  <c r="D1102" i="11" l="1"/>
  <c r="C1102" i="11"/>
  <c r="S1102" i="11"/>
  <c r="R1102" i="11"/>
  <c r="N1102" i="11"/>
  <c r="M1103" i="11"/>
  <c r="D1103" i="11" l="1"/>
  <c r="C1103" i="11"/>
  <c r="R1103" i="11"/>
  <c r="S1103" i="11"/>
  <c r="N1103" i="11"/>
  <c r="M1104" i="11"/>
  <c r="D1104" i="11" l="1"/>
  <c r="C1104" i="11"/>
  <c r="S1104" i="11"/>
  <c r="R1104" i="11"/>
  <c r="N1104" i="11"/>
  <c r="M1105" i="11"/>
  <c r="D1105" i="11" l="1"/>
  <c r="C1105" i="11"/>
  <c r="R1105" i="11"/>
  <c r="S1105" i="11"/>
  <c r="N1105" i="11"/>
  <c r="M1106" i="11"/>
  <c r="D1106" i="11" l="1"/>
  <c r="C1106" i="11"/>
  <c r="S1106" i="11"/>
  <c r="R1106" i="11"/>
  <c r="N1106" i="11"/>
  <c r="M1107" i="11"/>
  <c r="D1107" i="11" l="1"/>
  <c r="C1107" i="11"/>
  <c r="R1107" i="11"/>
  <c r="S1107" i="11"/>
  <c r="N1107" i="11"/>
  <c r="M1108" i="11"/>
  <c r="D1108" i="11" l="1"/>
  <c r="C1108" i="11"/>
  <c r="S1108" i="11"/>
  <c r="R1108" i="11"/>
  <c r="N1108" i="11"/>
  <c r="M1109" i="11"/>
  <c r="D1109" i="11" l="1"/>
  <c r="C1109" i="11"/>
  <c r="R1109" i="11"/>
  <c r="S1109" i="11"/>
  <c r="N1109" i="11"/>
  <c r="M1110" i="11"/>
  <c r="D1110" i="11" l="1"/>
  <c r="C1110" i="11"/>
  <c r="S1110" i="11"/>
  <c r="R1110" i="11"/>
  <c r="N1110" i="11"/>
  <c r="M1111" i="11"/>
  <c r="D1111" i="11" l="1"/>
  <c r="C1111" i="11"/>
  <c r="R1111" i="11"/>
  <c r="S1111" i="11"/>
  <c r="N1111" i="11"/>
  <c r="M1112" i="11"/>
  <c r="D1112" i="11" l="1"/>
  <c r="C1112" i="11"/>
  <c r="S1112" i="11"/>
  <c r="R1112" i="11"/>
  <c r="N1112" i="11"/>
  <c r="M1113" i="11"/>
  <c r="D1113" i="11" l="1"/>
  <c r="C1113" i="11"/>
  <c r="R1113" i="11"/>
  <c r="S1113" i="11"/>
  <c r="N1113" i="11"/>
  <c r="M1114" i="11"/>
  <c r="D1114" i="11" l="1"/>
  <c r="C1114" i="11"/>
  <c r="S1114" i="11"/>
  <c r="R1114" i="11"/>
  <c r="N1114" i="11"/>
  <c r="M1115" i="11"/>
  <c r="D1115" i="11" l="1"/>
  <c r="C1115" i="11"/>
  <c r="R1115" i="11"/>
  <c r="S1115" i="11"/>
  <c r="N1115" i="11"/>
  <c r="M1116" i="11"/>
  <c r="D1116" i="11" l="1"/>
  <c r="C1116" i="11"/>
  <c r="S1116" i="11"/>
  <c r="R1116" i="11"/>
  <c r="N1116" i="11"/>
  <c r="M1117" i="11"/>
  <c r="D1117" i="11" l="1"/>
  <c r="C1117" i="11"/>
  <c r="R1117" i="11"/>
  <c r="S1117" i="11"/>
  <c r="N1117" i="11"/>
  <c r="M1118" i="11"/>
  <c r="D1118" i="11" l="1"/>
  <c r="C1118" i="11"/>
  <c r="S1118" i="11"/>
  <c r="R1118" i="11"/>
  <c r="N1118" i="11"/>
  <c r="M1119" i="11"/>
  <c r="D1119" i="11" l="1"/>
  <c r="C1119" i="11"/>
  <c r="R1119" i="11"/>
  <c r="S1119" i="11"/>
  <c r="N1119" i="11"/>
  <c r="M1120" i="11"/>
  <c r="D1120" i="11" l="1"/>
  <c r="C1120" i="11"/>
  <c r="S1120" i="11"/>
  <c r="R1120" i="11"/>
  <c r="N1120" i="11"/>
  <c r="M1121" i="11"/>
  <c r="D1121" i="11" l="1"/>
  <c r="C1121" i="11"/>
  <c r="R1121" i="11"/>
  <c r="S1121" i="11"/>
  <c r="N1121" i="11"/>
  <c r="M1122" i="11"/>
  <c r="D1122" i="11" l="1"/>
  <c r="C1122" i="11"/>
  <c r="S1122" i="11"/>
  <c r="R1122" i="11"/>
  <c r="N1122" i="11"/>
  <c r="M1123" i="11"/>
  <c r="D1123" i="11" l="1"/>
  <c r="C1123" i="11"/>
  <c r="R1123" i="11"/>
  <c r="S1123" i="11"/>
  <c r="N1123" i="11"/>
  <c r="M1124" i="11"/>
  <c r="D1124" i="11" l="1"/>
  <c r="C1124" i="11"/>
  <c r="S1124" i="11"/>
  <c r="R1124" i="11"/>
  <c r="N1124" i="11"/>
  <c r="M1125" i="11"/>
  <c r="D1125" i="11" l="1"/>
  <c r="C1125" i="11"/>
  <c r="R1125" i="11"/>
  <c r="S1125" i="11"/>
  <c r="N1125" i="11"/>
  <c r="M1126" i="11"/>
  <c r="D1126" i="11" l="1"/>
  <c r="C1126" i="11"/>
  <c r="S1126" i="11"/>
  <c r="R1126" i="11"/>
  <c r="N1126" i="11"/>
  <c r="M1127" i="11"/>
  <c r="D1127" i="11" l="1"/>
  <c r="C1127" i="11"/>
  <c r="R1127" i="11"/>
  <c r="S1127" i="11"/>
  <c r="N1127" i="11"/>
  <c r="M1128" i="11"/>
  <c r="D1128" i="11" l="1"/>
  <c r="C1128" i="11"/>
  <c r="S1128" i="11"/>
  <c r="R1128" i="11"/>
  <c r="N1128" i="11"/>
  <c r="M1129" i="11"/>
  <c r="D1129" i="11" l="1"/>
  <c r="C1129" i="11"/>
  <c r="R1129" i="11"/>
  <c r="S1129" i="11"/>
  <c r="N1129" i="11"/>
  <c r="M1130" i="11"/>
  <c r="D1130" i="11" l="1"/>
  <c r="C1130" i="11"/>
  <c r="S1130" i="11"/>
  <c r="R1130" i="11"/>
  <c r="N1130" i="11"/>
  <c r="M1131" i="11"/>
  <c r="D1131" i="11" l="1"/>
  <c r="C1131" i="11"/>
  <c r="R1131" i="11"/>
  <c r="S1131" i="11"/>
  <c r="N1131" i="11"/>
  <c r="M1132" i="11"/>
  <c r="D1132" i="11" l="1"/>
  <c r="C1132" i="11"/>
  <c r="S1132" i="11"/>
  <c r="R1132" i="11"/>
  <c r="N1132" i="11"/>
  <c r="M1133" i="11"/>
  <c r="D1133" i="11" l="1"/>
  <c r="C1133" i="11"/>
  <c r="R1133" i="11"/>
  <c r="S1133" i="11"/>
  <c r="N1133" i="11"/>
  <c r="M1134" i="11"/>
  <c r="D1134" i="11" l="1"/>
  <c r="C1134" i="11"/>
  <c r="S1134" i="11"/>
  <c r="R1134" i="11"/>
  <c r="N1134" i="11"/>
  <c r="M1135" i="11"/>
  <c r="D1135" i="11" l="1"/>
  <c r="C1135" i="11"/>
  <c r="R1135" i="11"/>
  <c r="S1135" i="11"/>
  <c r="N1135" i="11"/>
  <c r="M1136" i="11"/>
  <c r="D1136" i="11" l="1"/>
  <c r="C1136" i="11"/>
  <c r="S1136" i="11"/>
  <c r="R1136" i="11"/>
  <c r="N1136" i="11"/>
  <c r="M1137" i="11"/>
  <c r="D1137" i="11" l="1"/>
  <c r="C1137" i="11"/>
  <c r="R1137" i="11"/>
  <c r="S1137" i="11"/>
  <c r="N1137" i="11"/>
  <c r="M1138" i="11"/>
  <c r="D1138" i="11" l="1"/>
  <c r="C1138" i="11"/>
  <c r="S1138" i="11"/>
  <c r="R1138" i="11"/>
  <c r="N1138" i="11"/>
  <c r="M1139" i="11"/>
  <c r="D1139" i="11" l="1"/>
  <c r="C1139" i="11"/>
  <c r="R1139" i="11"/>
  <c r="S1139" i="11"/>
  <c r="N1139" i="11"/>
  <c r="M1140" i="11"/>
  <c r="D1140" i="11" l="1"/>
  <c r="C1140" i="11"/>
  <c r="S1140" i="11"/>
  <c r="R1140" i="11"/>
  <c r="N1140" i="11"/>
  <c r="M1141" i="11"/>
  <c r="D1141" i="11" l="1"/>
  <c r="C1141" i="11"/>
  <c r="R1141" i="11"/>
  <c r="S1141" i="11"/>
  <c r="N1141" i="11"/>
  <c r="M1142" i="11"/>
  <c r="D1142" i="11" l="1"/>
  <c r="C1142" i="11"/>
  <c r="S1142" i="11"/>
  <c r="R1142" i="11"/>
  <c r="N1142" i="11"/>
  <c r="M1143" i="11"/>
  <c r="D1143" i="11" l="1"/>
  <c r="C1143" i="11"/>
  <c r="R1143" i="11"/>
  <c r="S1143" i="11"/>
  <c r="N1143" i="11"/>
  <c r="M1144" i="11"/>
  <c r="D1144" i="11" l="1"/>
  <c r="C1144" i="11"/>
  <c r="S1144" i="11"/>
  <c r="R1144" i="11"/>
  <c r="N1144" i="11"/>
  <c r="M1145" i="11"/>
  <c r="D1145" i="11" l="1"/>
  <c r="C1145" i="11"/>
  <c r="R1145" i="11"/>
  <c r="S1145" i="11"/>
  <c r="N1145" i="11"/>
  <c r="M1146" i="11"/>
  <c r="D1146" i="11" l="1"/>
  <c r="C1146" i="11"/>
  <c r="S1146" i="11"/>
  <c r="R1146" i="11"/>
  <c r="N1146" i="11"/>
  <c r="M1147" i="11"/>
  <c r="D1147" i="11" l="1"/>
  <c r="C1147" i="11"/>
  <c r="R1147" i="11"/>
  <c r="S1147" i="11"/>
  <c r="N1147" i="11"/>
  <c r="M1148" i="11"/>
  <c r="D1148" i="11" l="1"/>
  <c r="C1148" i="11"/>
  <c r="S1148" i="11"/>
  <c r="R1148" i="11"/>
  <c r="N1148" i="11"/>
  <c r="M1149" i="11"/>
  <c r="D1149" i="11" l="1"/>
  <c r="C1149" i="11"/>
  <c r="R1149" i="11"/>
  <c r="S1149" i="11"/>
  <c r="N1149" i="11"/>
  <c r="M1150" i="11"/>
  <c r="D1150" i="11" l="1"/>
  <c r="C1150" i="11"/>
  <c r="S1150" i="11"/>
  <c r="R1150" i="11"/>
  <c r="N1150" i="11"/>
  <c r="M1151" i="11"/>
  <c r="D1151" i="11" l="1"/>
  <c r="C1151" i="11"/>
  <c r="R1151" i="11"/>
  <c r="S1151" i="11"/>
  <c r="N1151" i="11"/>
  <c r="M1152" i="11"/>
  <c r="D1152" i="11" l="1"/>
  <c r="C1152" i="11"/>
  <c r="S1152" i="11"/>
  <c r="R1152" i="11"/>
  <c r="N1152" i="11"/>
  <c r="M1153" i="11"/>
  <c r="D1153" i="11" l="1"/>
  <c r="C1153" i="11"/>
  <c r="R1153" i="11"/>
  <c r="S1153" i="11"/>
  <c r="N1153" i="11"/>
  <c r="M1154" i="11"/>
  <c r="D1154" i="11" l="1"/>
  <c r="C1154" i="11"/>
  <c r="S1154" i="11"/>
  <c r="R1154" i="11"/>
  <c r="N1154" i="11"/>
  <c r="M1155" i="11"/>
  <c r="D1155" i="11" l="1"/>
  <c r="C1155" i="11"/>
  <c r="R1155" i="11"/>
  <c r="S1155" i="11"/>
  <c r="N1155" i="11"/>
  <c r="M1156" i="11"/>
  <c r="D1156" i="11" l="1"/>
  <c r="C1156" i="11"/>
  <c r="S1156" i="11"/>
  <c r="R1156" i="11"/>
  <c r="N1156" i="11"/>
  <c r="M1157" i="11"/>
  <c r="D1157" i="11" l="1"/>
  <c r="C1157" i="11"/>
  <c r="R1157" i="11"/>
  <c r="S1157" i="11"/>
  <c r="N1157" i="11"/>
  <c r="M1158" i="11"/>
  <c r="D1158" i="11" l="1"/>
  <c r="C1158" i="11"/>
  <c r="S1158" i="11"/>
  <c r="R1158" i="11"/>
  <c r="N1158" i="11"/>
  <c r="M1159" i="11"/>
  <c r="D1159" i="11" l="1"/>
  <c r="C1159" i="11"/>
  <c r="R1159" i="11"/>
  <c r="S1159" i="11"/>
  <c r="N1159" i="11"/>
  <c r="M1160" i="11"/>
  <c r="D1160" i="11" l="1"/>
  <c r="C1160" i="11"/>
  <c r="S1160" i="11"/>
  <c r="R1160" i="11"/>
  <c r="N1160" i="11"/>
  <c r="M1161" i="11"/>
  <c r="D1161" i="11" l="1"/>
  <c r="C1161" i="11"/>
  <c r="R1161" i="11"/>
  <c r="S1161" i="11"/>
  <c r="N1161" i="11"/>
  <c r="M1162" i="11"/>
  <c r="D1162" i="11" l="1"/>
  <c r="C1162" i="11"/>
  <c r="S1162" i="11"/>
  <c r="R1162" i="11"/>
  <c r="N1162" i="11"/>
  <c r="M1163" i="11"/>
  <c r="D1163" i="11" l="1"/>
  <c r="C1163" i="11"/>
  <c r="R1163" i="11"/>
  <c r="S1163" i="11"/>
  <c r="N1163" i="11"/>
  <c r="M1164" i="11"/>
  <c r="D1164" i="11" l="1"/>
  <c r="C1164" i="11"/>
  <c r="S1164" i="11"/>
  <c r="R1164" i="11"/>
  <c r="N1164" i="11"/>
  <c r="M1165" i="11"/>
  <c r="D1165" i="11" l="1"/>
  <c r="C1165" i="11"/>
  <c r="R1165" i="11"/>
  <c r="S1165" i="11"/>
  <c r="N1165" i="11"/>
  <c r="M1166" i="11"/>
  <c r="D1166" i="11" l="1"/>
  <c r="C1166" i="11"/>
  <c r="S1166" i="11"/>
  <c r="R1166" i="11"/>
  <c r="N1166" i="11"/>
  <c r="M1167" i="11"/>
  <c r="D1167" i="11" l="1"/>
  <c r="C1167" i="11"/>
  <c r="R1167" i="11"/>
  <c r="S1167" i="11"/>
  <c r="N1167" i="11"/>
  <c r="M1168" i="11"/>
  <c r="D1168" i="11" l="1"/>
  <c r="C1168" i="11"/>
  <c r="S1168" i="11"/>
  <c r="R1168" i="11"/>
  <c r="N1168" i="11"/>
  <c r="M1169" i="11"/>
  <c r="D1169" i="11" l="1"/>
  <c r="C1169" i="11"/>
  <c r="R1169" i="11"/>
  <c r="S1169" i="11"/>
  <c r="N1169" i="11"/>
  <c r="M1170" i="11"/>
  <c r="D1170" i="11" l="1"/>
  <c r="C1170" i="11"/>
  <c r="S1170" i="11"/>
  <c r="R1170" i="11"/>
  <c r="N1170" i="11"/>
  <c r="M1171" i="11"/>
  <c r="D1171" i="11" l="1"/>
  <c r="C1171" i="11"/>
  <c r="R1171" i="11"/>
  <c r="S1171" i="11"/>
  <c r="N1171" i="11"/>
  <c r="M1172" i="11"/>
  <c r="D1172" i="11" l="1"/>
  <c r="C1172" i="11"/>
  <c r="S1172" i="11"/>
  <c r="R1172" i="11"/>
  <c r="N1172" i="11"/>
  <c r="M1173" i="11"/>
  <c r="D1173" i="11" l="1"/>
  <c r="C1173" i="11"/>
  <c r="R1173" i="11"/>
  <c r="S1173" i="11"/>
  <c r="N1173" i="11"/>
  <c r="M1174" i="11"/>
  <c r="D1174" i="11" l="1"/>
  <c r="C1174" i="11"/>
  <c r="S1174" i="11"/>
  <c r="R1174" i="11"/>
  <c r="N1174" i="11"/>
  <c r="M1175" i="11"/>
  <c r="D1175" i="11" l="1"/>
  <c r="C1175" i="11"/>
  <c r="R1175" i="11"/>
  <c r="S1175" i="11"/>
  <c r="N1175" i="11"/>
  <c r="M1176" i="11"/>
  <c r="D1176" i="11" l="1"/>
  <c r="C1176" i="11"/>
  <c r="S1176" i="11"/>
  <c r="R1176" i="11"/>
  <c r="N1176" i="11"/>
  <c r="M1177" i="11"/>
  <c r="D1177" i="11" l="1"/>
  <c r="C1177" i="11"/>
  <c r="R1177" i="11"/>
  <c r="S1177" i="11"/>
  <c r="N1177" i="11"/>
  <c r="M1178" i="11"/>
  <c r="D1178" i="11" l="1"/>
  <c r="C1178" i="11"/>
  <c r="S1178" i="11"/>
  <c r="R1178" i="11"/>
  <c r="N1178" i="11"/>
  <c r="M1179" i="11"/>
  <c r="D1179" i="11" l="1"/>
  <c r="C1179" i="11"/>
  <c r="R1179" i="11"/>
  <c r="S1179" i="11"/>
  <c r="N1179" i="11"/>
  <c r="M1180" i="11"/>
  <c r="D1180" i="11" l="1"/>
  <c r="C1180" i="11"/>
  <c r="S1180" i="11"/>
  <c r="R1180" i="11"/>
  <c r="N1180" i="11"/>
  <c r="M1181" i="11"/>
  <c r="D1181" i="11" l="1"/>
  <c r="C1181" i="11"/>
  <c r="R1181" i="11"/>
  <c r="S1181" i="11"/>
  <c r="N1181" i="11"/>
  <c r="M1182" i="11"/>
  <c r="D1182" i="11" l="1"/>
  <c r="C1182" i="11"/>
  <c r="S1182" i="11"/>
  <c r="R1182" i="11"/>
  <c r="N1182" i="11"/>
  <c r="M1183" i="11"/>
  <c r="D1183" i="11" l="1"/>
  <c r="C1183" i="11"/>
  <c r="R1183" i="11"/>
  <c r="S1183" i="11"/>
  <c r="N1183" i="11"/>
  <c r="M1184" i="11"/>
  <c r="D1184" i="11" l="1"/>
  <c r="C1184" i="11"/>
  <c r="S1184" i="11"/>
  <c r="R1184" i="11"/>
  <c r="N1184" i="11"/>
  <c r="M1185" i="11"/>
  <c r="D1185" i="11" l="1"/>
  <c r="C1185" i="11"/>
  <c r="R1185" i="11"/>
  <c r="S1185" i="11"/>
  <c r="N1185" i="11"/>
  <c r="M1186" i="11"/>
  <c r="D1186" i="11" l="1"/>
  <c r="C1186" i="11"/>
  <c r="S1186" i="11"/>
  <c r="R1186" i="11"/>
  <c r="N1186" i="11"/>
  <c r="M1187" i="11"/>
  <c r="D1187" i="11" l="1"/>
  <c r="C1187" i="11"/>
  <c r="R1187" i="11"/>
  <c r="S1187" i="11"/>
  <c r="N1187" i="11"/>
  <c r="M1188" i="11"/>
  <c r="D1188" i="11" l="1"/>
  <c r="C1188" i="11"/>
  <c r="S1188" i="11"/>
  <c r="R1188" i="11"/>
  <c r="N1188" i="11"/>
  <c r="M1189" i="11"/>
  <c r="D1189" i="11" l="1"/>
  <c r="C1189" i="11"/>
  <c r="R1189" i="11"/>
  <c r="S1189" i="11"/>
  <c r="N1189" i="11"/>
  <c r="M1190" i="11"/>
  <c r="D1190" i="11" l="1"/>
  <c r="C1190" i="11"/>
  <c r="S1190" i="11"/>
  <c r="R1190" i="11"/>
  <c r="N1190" i="11"/>
  <c r="M1191" i="11"/>
  <c r="D1191" i="11" l="1"/>
  <c r="C1191" i="11"/>
  <c r="R1191" i="11"/>
  <c r="S1191" i="11"/>
  <c r="N1191" i="11"/>
  <c r="M1192" i="11"/>
  <c r="D1192" i="11" l="1"/>
  <c r="C1192" i="11"/>
  <c r="S1192" i="11"/>
  <c r="R1192" i="11"/>
  <c r="N1192" i="11"/>
  <c r="M1193" i="11"/>
  <c r="D1193" i="11" l="1"/>
  <c r="C1193" i="11"/>
  <c r="R1193" i="11"/>
  <c r="S1193" i="11"/>
  <c r="N1193" i="11"/>
  <c r="M1194" i="11"/>
  <c r="D1194" i="11" l="1"/>
  <c r="C1194" i="11"/>
  <c r="S1194" i="11"/>
  <c r="R1194" i="11"/>
  <c r="N1194" i="11"/>
  <c r="M1195" i="11"/>
  <c r="D1195" i="11" l="1"/>
  <c r="C1195" i="11"/>
  <c r="R1195" i="11"/>
  <c r="S1195" i="11"/>
  <c r="N1195" i="11"/>
  <c r="M1196" i="11"/>
  <c r="D1196" i="11" l="1"/>
  <c r="C1196" i="11"/>
  <c r="S1196" i="11"/>
  <c r="R1196" i="11"/>
  <c r="N1196" i="11"/>
  <c r="M1197" i="11"/>
  <c r="D1197" i="11" l="1"/>
  <c r="C1197" i="11"/>
  <c r="R1197" i="11"/>
  <c r="S1197" i="11"/>
  <c r="N1197" i="11"/>
  <c r="M1198" i="11"/>
  <c r="D1198" i="11" l="1"/>
  <c r="C1198" i="11"/>
  <c r="S1198" i="11"/>
  <c r="R1198" i="11"/>
  <c r="N1198" i="11"/>
  <c r="M1199" i="11"/>
  <c r="D1199" i="11" l="1"/>
  <c r="C1199" i="11"/>
  <c r="R1199" i="11"/>
  <c r="S1199" i="11"/>
  <c r="N1199" i="11"/>
  <c r="M1200" i="11"/>
  <c r="D1200" i="11" l="1"/>
  <c r="C1200" i="11"/>
  <c r="S1200" i="11"/>
  <c r="R1200" i="11"/>
  <c r="N1200" i="11"/>
  <c r="M1201" i="11"/>
  <c r="D1201" i="11" l="1"/>
  <c r="C1201" i="11"/>
  <c r="R1201" i="11"/>
  <c r="S1201" i="11"/>
  <c r="N1201" i="11"/>
  <c r="M1202" i="11"/>
  <c r="D1202" i="11" l="1"/>
  <c r="C1202" i="11"/>
  <c r="S1202" i="11"/>
  <c r="R1202" i="11"/>
  <c r="N1202" i="11"/>
  <c r="M1203" i="11"/>
  <c r="D1203" i="11" l="1"/>
  <c r="C1203" i="11"/>
  <c r="R1203" i="11"/>
  <c r="S1203" i="11"/>
  <c r="N1203" i="11"/>
  <c r="M1204" i="11"/>
  <c r="D1204" i="11" l="1"/>
  <c r="C1204" i="11"/>
  <c r="S1204" i="11"/>
  <c r="R1204" i="11"/>
  <c r="N1204" i="11"/>
  <c r="M1205" i="11"/>
  <c r="D1205" i="11" l="1"/>
  <c r="C1205" i="11"/>
  <c r="R1205" i="11"/>
  <c r="S1205" i="11"/>
  <c r="N1205" i="11"/>
  <c r="M1206" i="11"/>
  <c r="D1206" i="11" l="1"/>
  <c r="C1206" i="11"/>
  <c r="S1206" i="11"/>
  <c r="R1206" i="11"/>
  <c r="N1206" i="11"/>
  <c r="M1207" i="11"/>
  <c r="D1207" i="11" l="1"/>
  <c r="C1207" i="11"/>
  <c r="R1207" i="11"/>
  <c r="S1207" i="11"/>
  <c r="N1207" i="11"/>
  <c r="M1208" i="11"/>
  <c r="D1208" i="11" l="1"/>
  <c r="C1208" i="11"/>
  <c r="S1208" i="11"/>
  <c r="R1208" i="11"/>
  <c r="N1208" i="11"/>
  <c r="M1209" i="11"/>
  <c r="D1209" i="11" l="1"/>
  <c r="C1209" i="11"/>
  <c r="R1209" i="11"/>
  <c r="S1209" i="11"/>
  <c r="N1209" i="11"/>
  <c r="M1210" i="11"/>
  <c r="D1210" i="11" l="1"/>
  <c r="C1210" i="11"/>
  <c r="S1210" i="11"/>
  <c r="R1210" i="11"/>
  <c r="N1210" i="11"/>
  <c r="M1211" i="11"/>
  <c r="D1211" i="11" l="1"/>
  <c r="C1211" i="11"/>
  <c r="R1211" i="11"/>
  <c r="S1211" i="11"/>
  <c r="N1211" i="11"/>
  <c r="M1212" i="11"/>
  <c r="D1212" i="11" l="1"/>
  <c r="C1212" i="11"/>
  <c r="S1212" i="11"/>
  <c r="R1212" i="11"/>
  <c r="N1212" i="11"/>
  <c r="M1213" i="11"/>
  <c r="D1213" i="11" l="1"/>
  <c r="C1213" i="11"/>
  <c r="R1213" i="11"/>
  <c r="S1213" i="11"/>
  <c r="N1213" i="11"/>
  <c r="M1214" i="11"/>
  <c r="D1214" i="11" l="1"/>
  <c r="C1214" i="11"/>
  <c r="S1214" i="11"/>
  <c r="R1214" i="11"/>
  <c r="N1214" i="11"/>
  <c r="M1215" i="11"/>
  <c r="D1215" i="11" l="1"/>
  <c r="C1215" i="11"/>
  <c r="R1215" i="11"/>
  <c r="S1215" i="11"/>
  <c r="N1215" i="11"/>
  <c r="M1216" i="11"/>
  <c r="D1216" i="11" l="1"/>
  <c r="C1216" i="11"/>
  <c r="S1216" i="11"/>
  <c r="R1216" i="11"/>
  <c r="N1216" i="11"/>
  <c r="M1217" i="11"/>
  <c r="D1217" i="11" l="1"/>
  <c r="C1217" i="11"/>
  <c r="R1217" i="11"/>
  <c r="S1217" i="11"/>
  <c r="N1217" i="11"/>
  <c r="M1218" i="11"/>
  <c r="D1218" i="11" l="1"/>
  <c r="C1218" i="11"/>
  <c r="S1218" i="11"/>
  <c r="R1218" i="11"/>
  <c r="N1218" i="11"/>
  <c r="M1219" i="11"/>
  <c r="D1219" i="11" l="1"/>
  <c r="C1219" i="11"/>
  <c r="R1219" i="11"/>
  <c r="S1219" i="11"/>
  <c r="N1219" i="11"/>
  <c r="M1220" i="11"/>
  <c r="D1220" i="11" l="1"/>
  <c r="C1220" i="11"/>
  <c r="S1220" i="11"/>
  <c r="R1220" i="11"/>
  <c r="N1220" i="11"/>
  <c r="M1221" i="11"/>
  <c r="D1221" i="11" l="1"/>
  <c r="C1221" i="11"/>
  <c r="R1221" i="11"/>
  <c r="S1221" i="11"/>
  <c r="N1221" i="11"/>
  <c r="M1222" i="11"/>
  <c r="D1222" i="11" l="1"/>
  <c r="C1222" i="11"/>
  <c r="S1222" i="11"/>
  <c r="R1222" i="11"/>
  <c r="N1222" i="11"/>
  <c r="M1223" i="11"/>
  <c r="D1223" i="11" l="1"/>
  <c r="C1223" i="11"/>
  <c r="R1223" i="11"/>
  <c r="S1223" i="11"/>
  <c r="N1223" i="11"/>
  <c r="M1224" i="11"/>
  <c r="D1224" i="11" l="1"/>
  <c r="C1224" i="11"/>
  <c r="S1224" i="11"/>
  <c r="R1224" i="11"/>
  <c r="N1224" i="11"/>
  <c r="M1225" i="11"/>
  <c r="D1225" i="11" l="1"/>
  <c r="C1225" i="11"/>
  <c r="R1225" i="11"/>
  <c r="S1225" i="11"/>
  <c r="N1225" i="11"/>
  <c r="M1226" i="11"/>
  <c r="D1226" i="11" l="1"/>
  <c r="C1226" i="11"/>
  <c r="S1226" i="11"/>
  <c r="R1226" i="11"/>
  <c r="N1226" i="11"/>
  <c r="M1227" i="11"/>
  <c r="D1227" i="11" l="1"/>
  <c r="C1227" i="11"/>
  <c r="R1227" i="11"/>
  <c r="S1227" i="11"/>
  <c r="N1227" i="11"/>
  <c r="M1228" i="11"/>
  <c r="D1228" i="11" l="1"/>
  <c r="C1228" i="11"/>
  <c r="S1228" i="11"/>
  <c r="R1228" i="11"/>
  <c r="N1228" i="11"/>
  <c r="M1229" i="11"/>
  <c r="D1229" i="11" l="1"/>
  <c r="C1229" i="11"/>
  <c r="R1229" i="11"/>
  <c r="S1229" i="11"/>
  <c r="N1229" i="11"/>
  <c r="M1230" i="11"/>
  <c r="D1230" i="11" l="1"/>
  <c r="C1230" i="11"/>
  <c r="S1230" i="11"/>
  <c r="R1230" i="11"/>
  <c r="N1230" i="11"/>
  <c r="M1231" i="11"/>
  <c r="D1231" i="11" l="1"/>
  <c r="C1231" i="11"/>
  <c r="R1231" i="11"/>
  <c r="S1231" i="11"/>
  <c r="N1231" i="11"/>
  <c r="M1232" i="11"/>
  <c r="D1232" i="11" l="1"/>
  <c r="C1232" i="11"/>
  <c r="S1232" i="11"/>
  <c r="R1232" i="11"/>
  <c r="N1232" i="11"/>
  <c r="M1233" i="11"/>
  <c r="D1233" i="11" l="1"/>
  <c r="C1233" i="11"/>
  <c r="R1233" i="11"/>
  <c r="S1233" i="11"/>
  <c r="N1233" i="11"/>
  <c r="M1234" i="11"/>
  <c r="D1234" i="11" l="1"/>
  <c r="C1234" i="11"/>
  <c r="S1234" i="11"/>
  <c r="R1234" i="11"/>
  <c r="N1234" i="11"/>
  <c r="M1235" i="11"/>
  <c r="D1235" i="11" l="1"/>
  <c r="C1235" i="11"/>
  <c r="R1235" i="11"/>
  <c r="S1235" i="11"/>
  <c r="N1235" i="11"/>
  <c r="M1236" i="11"/>
  <c r="D1236" i="11" l="1"/>
  <c r="C1236" i="11"/>
  <c r="S1236" i="11"/>
  <c r="R1236" i="11"/>
  <c r="N1236" i="11"/>
  <c r="M1237" i="11"/>
  <c r="D1237" i="11" l="1"/>
  <c r="C1237" i="11"/>
  <c r="R1237" i="11"/>
  <c r="S1237" i="11"/>
  <c r="N1237" i="11"/>
  <c r="M1238" i="11"/>
  <c r="D1238" i="11" l="1"/>
  <c r="C1238" i="11"/>
  <c r="S1238" i="11"/>
  <c r="R1238" i="11"/>
  <c r="N1238" i="11"/>
  <c r="M1239" i="11"/>
  <c r="D1239" i="11" l="1"/>
  <c r="C1239" i="11"/>
  <c r="R1239" i="11"/>
  <c r="S1239" i="11"/>
  <c r="N1239" i="11"/>
  <c r="M1240" i="11"/>
  <c r="D1240" i="11" l="1"/>
  <c r="C1240" i="11"/>
  <c r="S1240" i="11"/>
  <c r="R1240" i="11"/>
  <c r="N1240" i="11"/>
  <c r="M1241" i="11"/>
  <c r="D1241" i="11" l="1"/>
  <c r="C1241" i="11"/>
  <c r="R1241" i="11"/>
  <c r="S1241" i="11"/>
  <c r="N1241" i="11"/>
  <c r="M1242" i="11"/>
  <c r="D1242" i="11" l="1"/>
  <c r="C1242" i="11"/>
  <c r="S1242" i="11"/>
  <c r="R1242" i="11"/>
  <c r="N1242" i="11"/>
  <c r="M1243" i="11"/>
  <c r="D1243" i="11" l="1"/>
  <c r="C1243" i="11"/>
  <c r="R1243" i="11"/>
  <c r="S1243" i="11"/>
  <c r="N1243" i="11"/>
  <c r="M1244" i="11"/>
  <c r="D1244" i="11" l="1"/>
  <c r="C1244" i="11"/>
  <c r="S1244" i="11"/>
  <c r="R1244" i="11"/>
  <c r="N1244" i="11"/>
  <c r="M1245" i="11"/>
  <c r="D1245" i="11" l="1"/>
  <c r="C1245" i="11"/>
  <c r="R1245" i="11"/>
  <c r="S1245" i="11"/>
  <c r="N1245" i="11"/>
  <c r="M1246" i="11"/>
  <c r="D1246" i="11" l="1"/>
  <c r="C1246" i="11"/>
  <c r="S1246" i="11"/>
  <c r="R1246" i="11"/>
  <c r="N1246" i="11"/>
  <c r="M1247" i="11"/>
  <c r="D1247" i="11" l="1"/>
  <c r="C1247" i="11"/>
  <c r="R1247" i="11"/>
  <c r="S1247" i="11"/>
  <c r="N1247" i="11"/>
  <c r="M1248" i="11"/>
  <c r="D1248" i="11" l="1"/>
  <c r="C1248" i="11"/>
  <c r="S1248" i="11"/>
  <c r="R1248" i="11"/>
  <c r="N1248" i="11"/>
  <c r="M1249" i="11"/>
  <c r="D1249" i="11" l="1"/>
  <c r="C1249" i="11"/>
  <c r="R1249" i="11"/>
  <c r="S1249" i="11"/>
  <c r="N1249" i="11"/>
  <c r="M1250" i="11"/>
  <c r="D1250" i="11" l="1"/>
  <c r="C1250" i="11"/>
  <c r="S1250" i="11"/>
  <c r="R1250" i="11"/>
  <c r="N1250" i="11"/>
  <c r="M1251" i="11"/>
  <c r="D1251" i="11" l="1"/>
  <c r="C1251" i="11"/>
  <c r="R1251" i="11"/>
  <c r="S1251" i="11"/>
  <c r="N1251" i="11"/>
  <c r="M1252" i="11"/>
  <c r="D1252" i="11" l="1"/>
  <c r="C1252" i="11"/>
  <c r="S1252" i="11"/>
  <c r="R1252" i="11"/>
  <c r="N1252" i="11"/>
  <c r="M1253" i="11"/>
  <c r="D1253" i="11" l="1"/>
  <c r="C1253" i="11"/>
  <c r="R1253" i="11"/>
  <c r="S1253" i="11"/>
  <c r="N1253" i="11"/>
  <c r="M1254" i="11"/>
  <c r="D1254" i="11" l="1"/>
  <c r="C1254" i="11"/>
  <c r="S1254" i="11"/>
  <c r="R1254" i="11"/>
  <c r="N1254" i="11"/>
  <c r="M1255" i="11"/>
  <c r="D1255" i="11" l="1"/>
  <c r="C1255" i="11"/>
  <c r="R1255" i="11"/>
  <c r="S1255" i="11"/>
  <c r="N1255" i="11"/>
  <c r="M1256" i="11"/>
  <c r="D1256" i="11" l="1"/>
  <c r="C1256" i="11"/>
  <c r="S1256" i="11"/>
  <c r="R1256" i="11"/>
  <c r="N1256" i="11"/>
  <c r="M1257" i="11"/>
  <c r="D1257" i="11" l="1"/>
  <c r="C1257" i="11"/>
  <c r="R1257" i="11"/>
  <c r="S1257" i="11"/>
  <c r="N1257" i="11"/>
  <c r="M1258" i="11"/>
  <c r="D1258" i="11" l="1"/>
  <c r="C1258" i="11"/>
  <c r="S1258" i="11"/>
  <c r="R1258" i="11"/>
  <c r="N1258" i="11"/>
  <c r="M1259" i="11"/>
  <c r="D1259" i="11" l="1"/>
  <c r="C1259" i="11"/>
  <c r="R1259" i="11"/>
  <c r="S1259" i="11"/>
  <c r="N1259" i="11"/>
  <c r="M1260" i="11"/>
  <c r="D1260" i="11" l="1"/>
  <c r="C1260" i="11"/>
  <c r="S1260" i="11"/>
  <c r="R1260" i="11"/>
  <c r="N1260" i="11"/>
  <c r="M1261" i="11"/>
  <c r="D1261" i="11" l="1"/>
  <c r="C1261" i="11"/>
  <c r="R1261" i="11"/>
  <c r="S1261" i="11"/>
  <c r="N1261" i="11"/>
  <c r="M1262" i="11"/>
  <c r="D1262" i="11" l="1"/>
  <c r="C1262" i="11"/>
  <c r="S1262" i="11"/>
  <c r="R1262" i="11"/>
  <c r="N1262" i="11"/>
  <c r="M1263" i="11"/>
  <c r="D1263" i="11" l="1"/>
  <c r="C1263" i="11"/>
  <c r="R1263" i="11"/>
  <c r="S1263" i="11"/>
  <c r="N1263" i="11"/>
  <c r="M1264" i="11"/>
  <c r="D1264" i="11" l="1"/>
  <c r="C1264" i="11"/>
  <c r="S1264" i="11"/>
  <c r="R1264" i="11"/>
  <c r="N1264" i="11"/>
  <c r="M1265" i="11"/>
  <c r="D1265" i="11" l="1"/>
  <c r="C1265" i="11"/>
  <c r="R1265" i="11"/>
  <c r="S1265" i="11"/>
  <c r="N1265" i="11"/>
  <c r="M1266" i="11"/>
  <c r="D1266" i="11" l="1"/>
  <c r="C1266" i="11"/>
  <c r="S1266" i="11"/>
  <c r="R1266" i="11"/>
  <c r="N1266" i="11"/>
  <c r="M1267" i="11"/>
  <c r="D1267" i="11" l="1"/>
  <c r="C1267" i="11"/>
  <c r="R1267" i="11"/>
  <c r="S1267" i="11"/>
  <c r="N1267" i="11"/>
  <c r="M1268" i="11"/>
  <c r="D1268" i="11" l="1"/>
  <c r="C1268" i="11"/>
  <c r="R1268" i="11"/>
  <c r="S1268" i="11"/>
  <c r="N1268" i="11"/>
  <c r="M1269" i="11"/>
  <c r="D1269" i="11" l="1"/>
  <c r="C1269" i="11"/>
  <c r="R1269" i="11"/>
  <c r="S1269" i="11"/>
  <c r="N1269" i="11"/>
  <c r="M1270" i="11"/>
  <c r="D1270" i="11" l="1"/>
  <c r="C1270" i="11"/>
  <c r="R1270" i="11"/>
  <c r="S1270" i="11"/>
  <c r="N1270" i="11"/>
  <c r="M1271" i="11"/>
  <c r="D1271" i="11" l="1"/>
  <c r="C1271" i="11"/>
  <c r="R1271" i="11"/>
  <c r="S1271" i="11"/>
  <c r="N1271" i="11"/>
  <c r="M1272" i="11"/>
  <c r="D1272" i="11" l="1"/>
  <c r="C1272" i="11"/>
  <c r="R1272" i="11"/>
  <c r="S1272" i="11"/>
  <c r="N1272" i="11"/>
  <c r="M1273" i="11"/>
  <c r="D1273" i="11" l="1"/>
  <c r="C1273" i="11"/>
  <c r="R1273" i="11"/>
  <c r="S1273" i="11"/>
  <c r="N1273" i="11"/>
  <c r="M1274" i="11"/>
  <c r="D1274" i="11" l="1"/>
  <c r="C1274" i="11"/>
  <c r="R1274" i="11"/>
  <c r="S1274" i="11"/>
  <c r="N1274" i="11"/>
  <c r="M1275" i="11"/>
  <c r="D1275" i="11" l="1"/>
  <c r="C1275" i="11"/>
  <c r="R1275" i="11"/>
  <c r="S1275" i="11"/>
  <c r="N1275" i="11"/>
  <c r="M1276" i="11"/>
  <c r="D1276" i="11" l="1"/>
  <c r="C1276" i="11"/>
  <c r="R1276" i="11"/>
  <c r="S1276" i="11"/>
  <c r="N1276" i="11"/>
  <c r="M1277" i="11"/>
  <c r="D1277" i="11" l="1"/>
  <c r="C1277" i="11"/>
  <c r="R1277" i="11"/>
  <c r="S1277" i="11"/>
  <c r="N1277" i="11"/>
  <c r="M1278" i="11"/>
  <c r="D1278" i="11" l="1"/>
  <c r="C1278" i="11"/>
  <c r="R1278" i="11"/>
  <c r="S1278" i="11"/>
  <c r="N1278" i="11"/>
  <c r="M1279" i="11"/>
  <c r="D1279" i="11" l="1"/>
  <c r="C1279" i="11"/>
  <c r="R1279" i="11"/>
  <c r="S1279" i="11"/>
  <c r="N1279" i="11"/>
  <c r="M1280" i="11"/>
  <c r="D1280" i="11" l="1"/>
  <c r="C1280" i="11"/>
  <c r="R1280" i="11"/>
  <c r="S1280" i="11"/>
  <c r="N1280" i="11"/>
  <c r="M1281" i="11"/>
  <c r="D1281" i="11" l="1"/>
  <c r="C1281" i="11"/>
  <c r="R1281" i="11"/>
  <c r="S1281" i="11"/>
  <c r="N1281" i="11"/>
  <c r="M1282" i="11"/>
  <c r="D1282" i="11" l="1"/>
  <c r="C1282" i="11"/>
  <c r="R1282" i="11"/>
  <c r="S1282" i="11"/>
  <c r="N1282" i="11"/>
  <c r="M1283" i="11"/>
  <c r="D1283" i="11" l="1"/>
  <c r="C1283" i="11"/>
  <c r="R1283" i="11"/>
  <c r="S1283" i="11"/>
  <c r="N1283" i="11"/>
  <c r="M1284" i="11"/>
  <c r="D1284" i="11" l="1"/>
  <c r="C1284" i="11"/>
  <c r="R1284" i="11"/>
  <c r="S1284" i="11"/>
  <c r="N1284" i="11"/>
  <c r="M1285" i="11"/>
  <c r="D1285" i="11" l="1"/>
  <c r="C1285" i="11"/>
  <c r="R1285" i="11"/>
  <c r="S1285" i="11"/>
  <c r="N1285" i="11"/>
  <c r="M1286" i="11"/>
  <c r="D1286" i="11" l="1"/>
  <c r="C1286" i="11"/>
  <c r="R1286" i="11"/>
  <c r="S1286" i="11"/>
  <c r="N1286" i="11"/>
  <c r="M1287" i="11"/>
  <c r="D1287" i="11" l="1"/>
  <c r="C1287" i="11"/>
  <c r="R1287" i="11"/>
  <c r="S1287" i="11"/>
  <c r="N1287" i="11"/>
  <c r="M1288" i="11"/>
  <c r="D1288" i="11" l="1"/>
  <c r="C1288" i="11"/>
  <c r="R1288" i="11"/>
  <c r="S1288" i="11"/>
  <c r="N1288" i="11"/>
  <c r="M1289" i="11"/>
  <c r="D1289" i="11" l="1"/>
  <c r="C1289" i="11"/>
  <c r="R1289" i="11"/>
  <c r="S1289" i="11"/>
  <c r="N1289" i="11"/>
  <c r="M1290" i="11"/>
  <c r="D1290" i="11" l="1"/>
  <c r="C1290" i="11"/>
  <c r="R1290" i="11"/>
  <c r="S1290" i="11"/>
  <c r="N1290" i="11"/>
  <c r="M1291" i="11"/>
  <c r="D1291" i="11" l="1"/>
  <c r="C1291" i="11"/>
  <c r="R1291" i="11"/>
  <c r="S1291" i="11"/>
  <c r="N1291" i="11"/>
  <c r="M1292" i="11"/>
  <c r="D1292" i="11" l="1"/>
  <c r="C1292" i="11"/>
  <c r="R1292" i="11"/>
  <c r="S1292" i="11"/>
  <c r="N1292" i="11"/>
  <c r="M1293" i="11"/>
  <c r="D1293" i="11" l="1"/>
  <c r="C1293" i="11"/>
  <c r="R1293" i="11"/>
  <c r="S1293" i="11"/>
  <c r="N1293" i="11"/>
  <c r="M1294" i="11"/>
  <c r="D1294" i="11" l="1"/>
  <c r="C1294" i="11"/>
  <c r="R1294" i="11"/>
  <c r="S1294" i="11"/>
  <c r="N1294" i="11"/>
  <c r="M1295" i="11"/>
  <c r="D1295" i="11" l="1"/>
  <c r="C1295" i="11"/>
  <c r="R1295" i="11"/>
  <c r="S1295" i="11"/>
  <c r="N1295" i="11"/>
  <c r="M1296" i="11"/>
  <c r="D1296" i="11" l="1"/>
  <c r="C1296" i="11"/>
  <c r="R1296" i="11"/>
  <c r="S1296" i="11"/>
  <c r="N1296" i="11"/>
  <c r="M1297" i="11"/>
  <c r="D1297" i="11" l="1"/>
  <c r="C1297" i="11"/>
  <c r="R1297" i="11"/>
  <c r="S1297" i="11"/>
  <c r="N1297" i="11"/>
  <c r="M1298" i="11"/>
  <c r="D1298" i="11" l="1"/>
  <c r="C1298" i="11"/>
  <c r="R1298" i="11"/>
  <c r="S1298" i="11"/>
  <c r="N1298" i="11"/>
  <c r="M1299" i="11"/>
  <c r="D1299" i="11" l="1"/>
  <c r="C1299" i="11"/>
  <c r="R1299" i="11"/>
  <c r="S1299" i="11"/>
  <c r="N1299" i="11"/>
  <c r="M1300" i="11"/>
  <c r="D1300" i="11" l="1"/>
  <c r="C1300" i="11"/>
  <c r="R1300" i="11"/>
  <c r="S1300" i="11"/>
  <c r="N1300" i="11"/>
  <c r="M1301" i="11"/>
  <c r="D1301" i="11" l="1"/>
  <c r="C1301" i="11"/>
  <c r="R1301" i="11"/>
  <c r="S1301" i="11"/>
  <c r="N1301" i="11"/>
  <c r="M1302" i="11"/>
  <c r="D1302" i="11" l="1"/>
  <c r="C1302" i="11"/>
  <c r="R1302" i="11"/>
  <c r="S1302" i="11"/>
  <c r="N1302" i="11"/>
  <c r="M1303" i="11"/>
  <c r="D1303" i="11" l="1"/>
  <c r="C1303" i="11"/>
  <c r="R1303" i="11"/>
  <c r="S1303" i="11"/>
  <c r="N1303" i="11"/>
  <c r="M1304" i="11"/>
  <c r="D1304" i="11" l="1"/>
  <c r="C1304" i="11"/>
  <c r="R1304" i="11"/>
  <c r="S1304" i="11"/>
  <c r="N1304" i="11"/>
  <c r="M1305" i="11"/>
  <c r="D1305" i="11" l="1"/>
  <c r="C1305" i="11"/>
  <c r="R1305" i="11"/>
  <c r="S1305" i="11"/>
  <c r="N1305" i="11"/>
  <c r="M1306" i="11"/>
  <c r="D1306" i="11" l="1"/>
  <c r="C1306" i="11"/>
  <c r="R1306" i="11"/>
  <c r="S1306" i="11"/>
  <c r="N1306" i="11"/>
  <c r="M1307" i="11"/>
  <c r="D1307" i="11" l="1"/>
  <c r="C1307" i="11"/>
  <c r="R1307" i="11"/>
  <c r="S1307" i="11"/>
  <c r="N1307" i="11"/>
  <c r="M1308" i="11"/>
  <c r="D1308" i="11" l="1"/>
  <c r="C1308" i="11"/>
  <c r="R1308" i="11"/>
  <c r="S1308" i="11"/>
  <c r="N1308" i="11"/>
  <c r="M1309" i="11"/>
  <c r="D1309" i="11" l="1"/>
  <c r="C1309" i="11"/>
  <c r="R1309" i="11"/>
  <c r="S1309" i="11"/>
  <c r="N1309" i="11"/>
  <c r="M1310" i="11"/>
  <c r="D1310" i="11" l="1"/>
  <c r="C1310" i="11"/>
  <c r="R1310" i="11"/>
  <c r="S1310" i="11"/>
  <c r="N1310" i="11"/>
  <c r="M1311" i="11"/>
  <c r="D1311" i="11" l="1"/>
  <c r="C1311" i="11"/>
  <c r="R1311" i="11"/>
  <c r="S1311" i="11"/>
  <c r="N1311" i="11"/>
  <c r="M1312" i="11"/>
  <c r="D1312" i="11" l="1"/>
  <c r="C1312" i="11"/>
  <c r="R1312" i="11"/>
  <c r="S1312" i="11"/>
  <c r="N1312" i="11"/>
  <c r="M1313" i="11"/>
  <c r="D1313" i="11" l="1"/>
  <c r="C1313" i="11"/>
  <c r="R1313" i="11"/>
  <c r="S1313" i="11"/>
  <c r="N1313" i="11"/>
  <c r="M1314" i="11"/>
  <c r="D1314" i="11" l="1"/>
  <c r="C1314" i="11"/>
  <c r="R1314" i="11"/>
  <c r="S1314" i="11"/>
  <c r="N1314" i="11"/>
  <c r="M1315" i="11"/>
  <c r="D1315" i="11" l="1"/>
  <c r="C1315" i="11"/>
  <c r="R1315" i="11"/>
  <c r="S1315" i="11"/>
  <c r="N1315" i="11"/>
  <c r="M1316" i="11"/>
  <c r="D1316" i="11" l="1"/>
  <c r="C1316" i="11"/>
  <c r="R1316" i="11"/>
  <c r="S1316" i="11"/>
  <c r="N1316" i="11"/>
  <c r="M1317" i="11"/>
  <c r="D1317" i="11" l="1"/>
  <c r="C1317" i="11"/>
  <c r="R1317" i="11"/>
  <c r="S1317" i="11"/>
  <c r="N1317" i="11"/>
  <c r="M1318" i="11"/>
  <c r="D1318" i="11" l="1"/>
  <c r="C1318" i="11"/>
  <c r="R1318" i="11"/>
  <c r="S1318" i="11"/>
  <c r="N1318" i="11"/>
  <c r="M1319" i="11"/>
  <c r="D1319" i="11" l="1"/>
  <c r="C1319" i="11"/>
  <c r="R1319" i="11"/>
  <c r="S1319" i="11"/>
  <c r="N1319" i="11"/>
  <c r="M1320" i="11"/>
  <c r="D1320" i="11" l="1"/>
  <c r="C1320" i="11"/>
  <c r="R1320" i="11"/>
  <c r="S1320" i="11"/>
  <c r="N1320" i="11"/>
  <c r="M1321" i="11"/>
  <c r="D1321" i="11" l="1"/>
  <c r="C1321" i="11"/>
  <c r="R1321" i="11"/>
  <c r="S1321" i="11"/>
  <c r="N1321" i="11"/>
  <c r="M1322" i="11"/>
  <c r="D1322" i="11" l="1"/>
  <c r="C1322" i="11"/>
  <c r="R1322" i="11"/>
  <c r="S1322" i="11"/>
  <c r="N1322" i="11"/>
  <c r="M1323" i="11"/>
  <c r="D1323" i="11" l="1"/>
  <c r="C1323" i="11"/>
  <c r="R1323" i="11"/>
  <c r="S1323" i="11"/>
  <c r="N1323" i="11"/>
  <c r="M1324" i="11"/>
  <c r="D1324" i="11" l="1"/>
  <c r="C1324" i="11"/>
  <c r="R1324" i="11"/>
  <c r="S1324" i="11"/>
  <c r="N1324" i="11"/>
  <c r="M1325" i="11"/>
  <c r="D1325" i="11" l="1"/>
  <c r="C1325" i="11"/>
  <c r="R1325" i="11"/>
  <c r="S1325" i="11"/>
  <c r="N1325" i="11"/>
  <c r="M1326" i="11"/>
  <c r="D1326" i="11" l="1"/>
  <c r="C1326" i="11"/>
  <c r="R1326" i="11"/>
  <c r="S1326" i="11"/>
  <c r="N1326" i="11"/>
  <c r="M1327" i="11"/>
  <c r="D1327" i="11" l="1"/>
  <c r="C1327" i="11"/>
  <c r="R1327" i="11"/>
  <c r="S1327" i="11"/>
  <c r="N1327" i="11"/>
  <c r="M1328" i="11"/>
  <c r="D1328" i="11" l="1"/>
  <c r="C1328" i="11"/>
  <c r="R1328" i="11"/>
  <c r="S1328" i="11"/>
  <c r="N1328" i="11"/>
  <c r="M1329" i="11"/>
  <c r="D1329" i="11" l="1"/>
  <c r="C1329" i="11"/>
  <c r="R1329" i="11"/>
  <c r="S1329" i="11"/>
  <c r="N1329" i="11"/>
  <c r="M1330" i="11"/>
  <c r="D1330" i="11" l="1"/>
  <c r="C1330" i="11"/>
  <c r="R1330" i="11"/>
  <c r="S1330" i="11"/>
  <c r="N1330" i="11"/>
  <c r="M1331" i="11"/>
  <c r="D1331" i="11" l="1"/>
  <c r="C1331" i="11"/>
  <c r="R1331" i="11"/>
  <c r="S1331" i="11"/>
  <c r="N1331" i="11"/>
  <c r="M1332" i="11"/>
  <c r="D1332" i="11" l="1"/>
  <c r="C1332" i="11"/>
  <c r="R1332" i="11"/>
  <c r="S1332" i="11"/>
  <c r="N1332" i="11"/>
  <c r="M1333" i="11"/>
  <c r="D1333" i="11" l="1"/>
  <c r="C1333" i="11"/>
  <c r="R1333" i="11"/>
  <c r="S1333" i="11"/>
  <c r="N1333" i="11"/>
  <c r="M1334" i="11"/>
  <c r="D1334" i="11" l="1"/>
  <c r="C1334" i="11"/>
  <c r="R1334" i="11"/>
  <c r="S1334" i="11"/>
  <c r="N1334" i="11"/>
  <c r="M1335" i="11"/>
  <c r="D1335" i="11" l="1"/>
  <c r="C1335" i="11"/>
  <c r="R1335" i="11"/>
  <c r="S1335" i="11"/>
  <c r="N1335" i="11"/>
  <c r="M1336" i="11"/>
  <c r="D1336" i="11" l="1"/>
  <c r="C1336" i="11"/>
  <c r="R1336" i="11"/>
  <c r="S1336" i="11"/>
  <c r="N1336" i="11"/>
  <c r="M1337" i="11"/>
  <c r="D1337" i="11" l="1"/>
  <c r="C1337" i="11"/>
  <c r="R1337" i="11"/>
  <c r="S1337" i="11"/>
  <c r="N1337" i="11"/>
  <c r="M1338" i="11"/>
  <c r="D1338" i="11" l="1"/>
  <c r="C1338" i="11"/>
  <c r="R1338" i="11"/>
  <c r="S1338" i="11"/>
  <c r="N1338" i="11"/>
  <c r="M1339" i="11"/>
  <c r="D1339" i="11" l="1"/>
  <c r="C1339" i="11"/>
  <c r="R1339" i="11"/>
  <c r="S1339" i="11"/>
  <c r="N1339" i="11"/>
  <c r="M1340" i="11"/>
  <c r="D1340" i="11" l="1"/>
  <c r="C1340" i="11"/>
  <c r="R1340" i="11"/>
  <c r="S1340" i="11"/>
  <c r="N1340" i="11"/>
  <c r="M1341" i="11"/>
  <c r="D1341" i="11" l="1"/>
  <c r="C1341" i="11"/>
  <c r="R1341" i="11"/>
  <c r="S1341" i="11"/>
  <c r="N1341" i="11"/>
  <c r="M1342" i="11"/>
  <c r="D1342" i="11" l="1"/>
  <c r="C1342" i="11"/>
  <c r="R1342" i="11"/>
  <c r="S1342" i="11"/>
  <c r="N1342" i="11"/>
  <c r="M1343" i="11"/>
  <c r="D1343" i="11" l="1"/>
  <c r="C1343" i="11"/>
  <c r="R1343" i="11"/>
  <c r="S1343" i="11"/>
  <c r="N1343" i="11"/>
  <c r="M1344" i="11"/>
  <c r="D1344" i="11" l="1"/>
  <c r="C1344" i="11"/>
  <c r="R1344" i="11"/>
  <c r="S1344" i="11"/>
  <c r="N1344" i="11"/>
  <c r="M1345" i="11"/>
  <c r="D1345" i="11" l="1"/>
  <c r="C1345" i="11"/>
  <c r="R1345" i="11"/>
  <c r="S1345" i="11"/>
  <c r="N1345" i="11"/>
  <c r="M1346" i="11"/>
  <c r="D1346" i="11" l="1"/>
  <c r="C1346" i="11"/>
  <c r="R1346" i="11"/>
  <c r="S1346" i="11"/>
  <c r="N1346" i="11"/>
  <c r="M1347" i="11"/>
  <c r="D1347" i="11" l="1"/>
  <c r="C1347" i="11"/>
  <c r="R1347" i="11"/>
  <c r="S1347" i="11"/>
  <c r="N1347" i="11"/>
  <c r="M1348" i="11"/>
  <c r="D1348" i="11" l="1"/>
  <c r="C1348" i="11"/>
  <c r="R1348" i="11"/>
  <c r="S1348" i="11"/>
  <c r="N1348" i="11"/>
  <c r="M1349" i="11"/>
  <c r="D1349" i="11" l="1"/>
  <c r="C1349" i="11"/>
  <c r="R1349" i="11"/>
  <c r="S1349" i="11"/>
  <c r="N1349" i="11"/>
  <c r="M1350" i="11"/>
  <c r="D1350" i="11" l="1"/>
  <c r="C1350" i="11"/>
  <c r="R1350" i="11"/>
  <c r="S1350" i="11"/>
  <c r="N1350" i="11"/>
  <c r="M1351" i="11"/>
  <c r="D1351" i="11" l="1"/>
  <c r="C1351" i="11"/>
  <c r="R1351" i="11"/>
  <c r="S1351" i="11"/>
  <c r="N1351" i="11"/>
  <c r="M1352" i="11"/>
  <c r="D1352" i="11" l="1"/>
  <c r="C1352" i="11"/>
  <c r="R1352" i="11"/>
  <c r="S1352" i="11"/>
  <c r="N1352" i="11"/>
  <c r="M1353" i="11"/>
  <c r="D1353" i="11" l="1"/>
  <c r="C1353" i="11"/>
  <c r="R1353" i="11"/>
  <c r="S1353" i="11"/>
  <c r="N1353" i="11"/>
  <c r="M1354" i="11"/>
  <c r="D1354" i="11" l="1"/>
  <c r="C1354" i="11"/>
  <c r="R1354" i="11"/>
  <c r="S1354" i="11"/>
  <c r="N1354" i="11"/>
  <c r="M1355" i="11"/>
  <c r="D1355" i="11" l="1"/>
  <c r="C1355" i="11"/>
  <c r="R1355" i="11"/>
  <c r="S1355" i="11"/>
  <c r="N1355" i="11"/>
  <c r="M1356" i="11"/>
  <c r="D1356" i="11" l="1"/>
  <c r="C1356" i="11"/>
  <c r="R1356" i="11"/>
  <c r="S1356" i="11"/>
  <c r="N1356" i="11"/>
  <c r="M1357" i="11"/>
  <c r="D1357" i="11" l="1"/>
  <c r="C1357" i="11"/>
  <c r="R1357" i="11"/>
  <c r="S1357" i="11"/>
  <c r="N1357" i="11"/>
  <c r="M1358" i="11"/>
  <c r="D1358" i="11" l="1"/>
  <c r="C1358" i="11"/>
  <c r="R1358" i="11"/>
  <c r="S1358" i="11"/>
  <c r="N1358" i="11"/>
  <c r="M1359" i="11"/>
  <c r="D1359" i="11" l="1"/>
  <c r="C1359" i="11"/>
  <c r="R1359" i="11"/>
  <c r="S1359" i="11"/>
  <c r="N1359" i="11"/>
  <c r="M1360" i="11"/>
  <c r="D1360" i="11" l="1"/>
  <c r="C1360" i="11"/>
  <c r="R1360" i="11"/>
  <c r="S1360" i="11"/>
  <c r="N1360" i="11"/>
  <c r="M1361" i="11"/>
  <c r="D1361" i="11" l="1"/>
  <c r="C1361" i="11"/>
  <c r="R1361" i="11"/>
  <c r="S1361" i="11"/>
  <c r="N1361" i="11"/>
  <c r="M1362" i="11"/>
  <c r="D1362" i="11" l="1"/>
  <c r="C1362" i="11"/>
  <c r="R1362" i="11"/>
  <c r="S1362" i="11"/>
  <c r="N1362" i="11"/>
  <c r="M1363" i="11"/>
  <c r="D1363" i="11" l="1"/>
  <c r="C1363" i="11"/>
  <c r="R1363" i="11"/>
  <c r="S1363" i="11"/>
  <c r="N1363" i="11"/>
  <c r="M1364" i="11"/>
  <c r="D1364" i="11" l="1"/>
  <c r="C1364" i="11"/>
  <c r="R1364" i="11"/>
  <c r="S1364" i="11"/>
  <c r="N1364" i="11"/>
  <c r="M1365" i="11"/>
  <c r="D1365" i="11" l="1"/>
  <c r="C1365" i="11"/>
  <c r="R1365" i="11"/>
  <c r="S1365" i="11"/>
  <c r="N1365" i="11"/>
  <c r="M1366" i="11"/>
  <c r="D1366" i="11" l="1"/>
  <c r="C1366" i="11"/>
  <c r="R1366" i="11"/>
  <c r="S1366" i="11"/>
  <c r="N1366" i="11"/>
  <c r="M1367" i="11"/>
  <c r="D1367" i="11" l="1"/>
  <c r="C1367" i="11"/>
  <c r="R1367" i="11"/>
  <c r="S1367" i="11"/>
  <c r="N1367" i="11"/>
  <c r="M1368" i="11"/>
  <c r="D1368" i="11" l="1"/>
  <c r="C1368" i="11"/>
  <c r="S1368" i="11"/>
  <c r="R1368" i="11"/>
  <c r="N1368" i="11"/>
  <c r="M1369" i="11"/>
  <c r="D1369" i="11" l="1"/>
  <c r="C1369" i="11"/>
  <c r="R1369" i="11"/>
  <c r="S1369" i="11"/>
  <c r="N1369" i="11"/>
  <c r="M1370" i="11"/>
  <c r="D1370" i="11" l="1"/>
  <c r="C1370" i="11"/>
  <c r="S1370" i="11"/>
  <c r="R1370" i="11"/>
  <c r="N1370" i="11"/>
  <c r="M1371" i="11"/>
  <c r="D1371" i="11" l="1"/>
  <c r="C1371" i="11"/>
  <c r="R1371" i="11"/>
  <c r="S1371" i="11"/>
  <c r="N1371" i="11"/>
  <c r="M1372" i="11"/>
  <c r="D1372" i="11" l="1"/>
  <c r="C1372" i="11"/>
  <c r="S1372" i="11"/>
  <c r="R1372" i="11"/>
  <c r="N1372" i="11"/>
  <c r="M1373" i="11"/>
  <c r="D1373" i="11" l="1"/>
  <c r="C1373" i="11"/>
  <c r="R1373" i="11"/>
  <c r="S1373" i="11"/>
  <c r="N1373" i="11"/>
  <c r="M1374" i="11"/>
  <c r="D1374" i="11" l="1"/>
  <c r="C1374" i="11"/>
  <c r="S1374" i="11"/>
  <c r="R1374" i="11"/>
  <c r="N1374" i="11"/>
  <c r="M1375" i="11"/>
  <c r="D1375" i="11" l="1"/>
  <c r="C1375" i="11"/>
  <c r="R1375" i="11"/>
  <c r="S1375" i="11"/>
  <c r="N1375" i="11"/>
  <c r="M1376" i="11"/>
  <c r="D1376" i="11" l="1"/>
  <c r="C1376" i="11"/>
  <c r="S1376" i="11"/>
  <c r="R1376" i="11"/>
  <c r="N1376" i="11"/>
  <c r="M1377" i="11"/>
  <c r="D1377" i="11" l="1"/>
  <c r="C1377" i="11"/>
  <c r="R1377" i="11"/>
  <c r="S1377" i="11"/>
  <c r="N1377" i="11"/>
  <c r="M1378" i="11"/>
  <c r="D1378" i="11" l="1"/>
  <c r="C1378" i="11"/>
  <c r="S1378" i="11"/>
  <c r="R1378" i="11"/>
  <c r="N1378" i="11"/>
  <c r="M1379" i="11"/>
  <c r="D1379" i="11" l="1"/>
  <c r="C1379" i="11"/>
  <c r="R1379" i="11"/>
  <c r="S1379" i="11"/>
  <c r="N1379" i="11"/>
  <c r="M1380" i="11"/>
  <c r="D1380" i="11" l="1"/>
  <c r="C1380" i="11"/>
  <c r="S1380" i="11"/>
  <c r="R1380" i="11"/>
  <c r="N1380" i="11"/>
  <c r="M1381" i="11"/>
  <c r="D1381" i="11" l="1"/>
  <c r="C1381" i="11"/>
  <c r="R1381" i="11"/>
  <c r="S1381" i="11"/>
  <c r="N1381" i="11"/>
  <c r="M1382" i="11"/>
  <c r="D1382" i="11" l="1"/>
  <c r="C1382" i="11"/>
  <c r="S1382" i="11"/>
  <c r="R1382" i="11"/>
  <c r="N1382" i="11"/>
  <c r="M1383" i="11"/>
  <c r="D1383" i="11" l="1"/>
  <c r="C1383" i="11"/>
  <c r="R1383" i="11"/>
  <c r="S1383" i="11"/>
  <c r="N1383" i="11"/>
  <c r="M1384" i="11"/>
  <c r="D1384" i="11" l="1"/>
  <c r="C1384" i="11"/>
  <c r="S1384" i="11"/>
  <c r="R1384" i="11"/>
  <c r="N1384" i="11"/>
  <c r="M1385" i="11"/>
  <c r="D1385" i="11" l="1"/>
  <c r="C1385" i="11"/>
  <c r="R1385" i="11"/>
  <c r="S1385" i="11"/>
  <c r="N1385" i="11"/>
  <c r="M1386" i="11"/>
  <c r="D1386" i="11" l="1"/>
  <c r="C1386" i="11"/>
  <c r="S1386" i="11"/>
  <c r="R1386" i="11"/>
  <c r="N1386" i="11"/>
  <c r="M1387" i="11"/>
  <c r="D1387" i="11" l="1"/>
  <c r="C1387" i="11"/>
  <c r="R1387" i="11"/>
  <c r="S1387" i="11"/>
  <c r="N1387" i="11"/>
  <c r="M1388" i="11"/>
  <c r="D1388" i="11" l="1"/>
  <c r="C1388" i="11"/>
  <c r="S1388" i="11"/>
  <c r="R1388" i="11"/>
  <c r="N1388" i="11"/>
  <c r="M1389" i="11"/>
  <c r="D1389" i="11" l="1"/>
  <c r="C1389" i="11"/>
  <c r="R1389" i="11"/>
  <c r="S1389" i="11"/>
  <c r="N1389" i="11"/>
  <c r="M1390" i="11"/>
  <c r="D1390" i="11" l="1"/>
  <c r="C1390" i="11"/>
  <c r="S1390" i="11"/>
  <c r="R1390" i="11"/>
  <c r="N1390" i="11"/>
  <c r="M1391" i="11"/>
  <c r="D1391" i="11" l="1"/>
  <c r="C1391" i="11"/>
  <c r="R1391" i="11"/>
  <c r="S1391" i="11"/>
  <c r="N1391" i="11"/>
  <c r="M1392" i="11"/>
  <c r="D1392" i="11" l="1"/>
  <c r="C1392" i="11"/>
  <c r="S1392" i="11"/>
  <c r="R1392" i="11"/>
  <c r="N1392" i="11"/>
  <c r="M1393" i="11"/>
  <c r="D1393" i="11" l="1"/>
  <c r="C1393" i="11"/>
  <c r="R1393" i="11"/>
  <c r="S1393" i="11"/>
  <c r="N1393" i="11"/>
  <c r="M1394" i="11"/>
  <c r="D1394" i="11" l="1"/>
  <c r="C1394" i="11"/>
  <c r="S1394" i="11"/>
  <c r="R1394" i="11"/>
  <c r="N1394" i="11"/>
  <c r="M1395" i="11"/>
  <c r="D1395" i="11" l="1"/>
  <c r="C1395" i="11"/>
  <c r="R1395" i="11"/>
  <c r="S1395" i="11"/>
  <c r="N1395" i="11"/>
  <c r="M1396" i="11"/>
  <c r="D1396" i="11" l="1"/>
  <c r="C1396" i="11"/>
  <c r="S1396" i="11"/>
  <c r="R1396" i="11"/>
  <c r="N1396" i="11"/>
  <c r="M1397" i="11"/>
  <c r="D1397" i="11" l="1"/>
  <c r="C1397" i="11"/>
  <c r="R1397" i="11"/>
  <c r="S1397" i="11"/>
  <c r="N1397" i="11"/>
  <c r="M1398" i="11"/>
  <c r="D1398" i="11" l="1"/>
  <c r="C1398" i="11"/>
  <c r="S1398" i="11"/>
  <c r="R1398" i="11"/>
  <c r="N1398" i="11"/>
  <c r="M1399" i="11"/>
  <c r="D1399" i="11" l="1"/>
  <c r="C1399" i="11"/>
  <c r="R1399" i="11"/>
  <c r="S1399" i="11"/>
  <c r="N1399" i="11"/>
  <c r="M1400" i="11"/>
  <c r="D1400" i="11" l="1"/>
  <c r="C1400" i="11"/>
  <c r="S1400" i="11"/>
  <c r="R1400" i="11"/>
  <c r="N1400" i="11"/>
  <c r="M1401" i="11"/>
  <c r="D1401" i="11" l="1"/>
  <c r="C1401" i="11"/>
  <c r="R1401" i="11"/>
  <c r="S1401" i="11"/>
  <c r="N1401" i="11"/>
  <c r="M1402" i="11"/>
  <c r="D1402" i="11" l="1"/>
  <c r="C1402" i="11"/>
  <c r="S1402" i="11"/>
  <c r="R1402" i="11"/>
  <c r="N1402" i="11"/>
  <c r="M1403" i="11"/>
  <c r="D1403" i="11" l="1"/>
  <c r="C1403" i="11"/>
  <c r="R1403" i="11"/>
  <c r="S1403" i="11"/>
  <c r="N1403" i="11"/>
  <c r="M1404" i="11"/>
  <c r="D1404" i="11" l="1"/>
  <c r="C1404" i="11"/>
  <c r="S1404" i="11"/>
  <c r="R1404" i="11"/>
  <c r="N1404" i="11"/>
  <c r="M1405" i="11"/>
  <c r="D1405" i="11" l="1"/>
  <c r="C1405" i="11"/>
  <c r="R1405" i="11"/>
  <c r="S1405" i="11"/>
  <c r="N1405" i="11"/>
  <c r="M1406" i="11"/>
  <c r="D1406" i="11" l="1"/>
  <c r="C1406" i="11"/>
  <c r="S1406" i="11"/>
  <c r="R1406" i="11"/>
  <c r="N1406" i="11"/>
  <c r="M1407" i="11"/>
  <c r="D1407" i="11" l="1"/>
  <c r="C1407" i="11"/>
  <c r="R1407" i="11"/>
  <c r="S1407" i="11"/>
  <c r="N1407" i="11"/>
  <c r="M1408" i="11"/>
  <c r="D1408" i="11" l="1"/>
  <c r="C1408" i="11"/>
  <c r="S1408" i="11"/>
  <c r="R1408" i="11"/>
  <c r="N1408" i="11"/>
  <c r="M1409" i="11"/>
  <c r="D1409" i="11" l="1"/>
  <c r="C1409" i="11"/>
  <c r="R1409" i="11"/>
  <c r="S1409" i="11"/>
  <c r="N1409" i="11"/>
  <c r="M1410" i="11"/>
  <c r="D1410" i="11" l="1"/>
  <c r="C1410" i="11"/>
  <c r="S1410" i="11"/>
  <c r="R1410" i="11"/>
  <c r="N1410" i="11"/>
  <c r="M1411" i="11"/>
  <c r="D1411" i="11" l="1"/>
  <c r="C1411" i="11"/>
  <c r="R1411" i="11"/>
  <c r="S1411" i="11"/>
  <c r="N1411" i="11"/>
  <c r="M1412" i="11"/>
  <c r="D1412" i="11" l="1"/>
  <c r="C1412" i="11"/>
  <c r="S1412" i="11"/>
  <c r="R1412" i="11"/>
  <c r="N1412" i="11"/>
  <c r="M1413" i="11"/>
  <c r="D1413" i="11" l="1"/>
  <c r="C1413" i="11"/>
  <c r="R1413" i="11"/>
  <c r="S1413" i="11"/>
  <c r="N1413" i="11"/>
  <c r="M1414" i="11"/>
  <c r="D1414" i="11" l="1"/>
  <c r="C1414" i="11"/>
  <c r="S1414" i="11"/>
  <c r="R1414" i="11"/>
  <c r="N1414" i="11"/>
  <c r="M1415" i="11"/>
  <c r="D1415" i="11" l="1"/>
  <c r="C1415" i="11"/>
  <c r="R1415" i="11"/>
  <c r="S1415" i="11"/>
  <c r="N1415" i="11"/>
  <c r="M1416" i="11"/>
  <c r="D1416" i="11" l="1"/>
  <c r="C1416" i="11"/>
  <c r="S1416" i="11"/>
  <c r="R1416" i="11"/>
  <c r="N1416" i="11"/>
  <c r="M1417" i="11"/>
  <c r="D1417" i="11" l="1"/>
  <c r="C1417" i="11"/>
  <c r="R1417" i="11"/>
  <c r="S1417" i="11"/>
  <c r="N1417" i="11"/>
  <c r="M1418" i="11"/>
  <c r="D1418" i="11" l="1"/>
  <c r="C1418" i="11"/>
  <c r="S1418" i="11"/>
  <c r="R1418" i="11"/>
  <c r="N1418" i="11"/>
  <c r="M1419" i="11"/>
  <c r="D1419" i="11" l="1"/>
  <c r="C1419" i="11"/>
  <c r="R1419" i="11"/>
  <c r="S1419" i="11"/>
  <c r="N1419" i="11"/>
  <c r="M1420" i="11"/>
  <c r="D1420" i="11" l="1"/>
  <c r="C1420" i="11"/>
  <c r="S1420" i="11"/>
  <c r="R1420" i="11"/>
  <c r="N1420" i="11"/>
  <c r="M1421" i="11"/>
  <c r="D1421" i="11" l="1"/>
  <c r="C1421" i="11"/>
  <c r="R1421" i="11"/>
  <c r="S1421" i="11"/>
  <c r="N1421" i="11"/>
  <c r="M1422" i="11"/>
  <c r="D1422" i="11" l="1"/>
  <c r="C1422" i="11"/>
  <c r="S1422" i="11"/>
  <c r="R1422" i="11"/>
  <c r="N1422" i="11"/>
  <c r="M1423" i="11"/>
  <c r="D1423" i="11" l="1"/>
  <c r="C1423" i="11"/>
  <c r="R1423" i="11"/>
  <c r="S1423" i="11"/>
  <c r="N1423" i="11"/>
  <c r="M1424" i="11"/>
  <c r="D1424" i="11" l="1"/>
  <c r="C1424" i="11"/>
  <c r="S1424" i="11"/>
  <c r="R1424" i="11"/>
  <c r="N1424" i="11"/>
  <c r="M1425" i="11"/>
  <c r="D1425" i="11" l="1"/>
  <c r="C1425" i="11"/>
  <c r="R1425" i="11"/>
  <c r="S1425" i="11"/>
  <c r="N1425" i="11"/>
  <c r="M1426" i="11"/>
  <c r="D1426" i="11" l="1"/>
  <c r="C1426" i="11"/>
  <c r="S1426" i="11"/>
  <c r="R1426" i="11"/>
  <c r="N1426" i="11"/>
  <c r="M1427" i="11"/>
  <c r="D1427" i="11" l="1"/>
  <c r="C1427" i="11"/>
  <c r="R1427" i="11"/>
  <c r="S1427" i="11"/>
  <c r="N1427" i="11"/>
  <c r="M1428" i="11"/>
  <c r="D1428" i="11" l="1"/>
  <c r="C1428" i="11"/>
  <c r="S1428" i="11"/>
  <c r="R1428" i="11"/>
  <c r="N1428" i="11"/>
  <c r="M1429" i="11"/>
  <c r="D1429" i="11" l="1"/>
  <c r="C1429" i="11"/>
  <c r="R1429" i="11"/>
  <c r="S1429" i="11"/>
  <c r="N1429" i="11"/>
  <c r="M1430" i="11"/>
  <c r="D1430" i="11" l="1"/>
  <c r="C1430" i="11"/>
  <c r="S1430" i="11"/>
  <c r="R1430" i="11"/>
  <c r="N1430" i="11"/>
  <c r="M1431" i="11"/>
  <c r="D1431" i="11" l="1"/>
  <c r="C1431" i="11"/>
  <c r="R1431" i="11"/>
  <c r="S1431" i="11"/>
  <c r="N1431" i="11"/>
  <c r="M1432" i="11"/>
  <c r="D1432" i="11" l="1"/>
  <c r="C1432" i="11"/>
  <c r="S1432" i="11"/>
  <c r="R1432" i="11"/>
  <c r="N1432" i="11"/>
  <c r="M1433" i="11"/>
  <c r="D1433" i="11" l="1"/>
  <c r="C1433" i="11"/>
  <c r="R1433" i="11"/>
  <c r="S1433" i="11"/>
  <c r="N1433" i="11"/>
  <c r="M1434" i="11"/>
  <c r="D1434" i="11" l="1"/>
  <c r="C1434" i="11"/>
  <c r="S1434" i="11"/>
  <c r="R1434" i="11"/>
  <c r="N1434" i="11"/>
  <c r="M1435" i="11"/>
  <c r="D1435" i="11" l="1"/>
  <c r="C1435" i="11"/>
  <c r="R1435" i="11"/>
  <c r="S1435" i="11"/>
  <c r="N1435" i="11"/>
  <c r="M1436" i="11"/>
  <c r="D1436" i="11" l="1"/>
  <c r="C1436" i="11"/>
  <c r="S1436" i="11"/>
  <c r="R1436" i="11"/>
  <c r="N1436" i="11"/>
  <c r="M1437" i="11"/>
  <c r="D1437" i="11" l="1"/>
  <c r="C1437" i="11"/>
  <c r="R1437" i="11"/>
  <c r="S1437" i="11"/>
  <c r="N1437" i="11"/>
  <c r="M1438" i="11"/>
  <c r="D1438" i="11" l="1"/>
  <c r="C1438" i="11"/>
  <c r="S1438" i="11"/>
  <c r="R1438" i="11"/>
  <c r="N1438" i="11"/>
  <c r="M1439" i="11"/>
  <c r="D1439" i="11" l="1"/>
  <c r="C1439" i="11"/>
  <c r="R1439" i="11"/>
  <c r="S1439" i="11"/>
  <c r="N1439" i="11"/>
  <c r="M1440" i="11"/>
  <c r="D1440" i="11" l="1"/>
  <c r="C1440" i="11"/>
  <c r="S1440" i="11"/>
  <c r="R1440" i="11"/>
  <c r="N1440" i="11"/>
  <c r="M1441" i="11"/>
  <c r="D1441" i="11" l="1"/>
  <c r="C1441" i="11"/>
  <c r="R1441" i="11"/>
  <c r="S1441" i="11"/>
  <c r="N1441" i="11"/>
  <c r="M1442" i="11"/>
  <c r="D1442" i="11" l="1"/>
  <c r="C1442" i="11"/>
  <c r="S1442" i="11"/>
  <c r="R1442" i="11"/>
  <c r="N1442" i="11"/>
  <c r="M1443" i="11"/>
  <c r="D1443" i="11" l="1"/>
  <c r="C1443" i="11"/>
  <c r="R1443" i="11"/>
  <c r="S1443" i="11"/>
  <c r="N1443" i="11"/>
  <c r="M1444" i="11"/>
  <c r="D1444" i="11" l="1"/>
  <c r="C1444" i="11"/>
  <c r="S1444" i="11"/>
  <c r="R1444" i="11"/>
  <c r="N1444" i="11"/>
  <c r="M1445" i="11"/>
  <c r="D1445" i="11" l="1"/>
  <c r="C1445" i="11"/>
  <c r="R1445" i="11"/>
  <c r="S1445" i="11"/>
  <c r="N1445" i="11"/>
  <c r="M1446" i="11"/>
  <c r="D1446" i="11" l="1"/>
  <c r="C1446" i="11"/>
  <c r="S1446" i="11"/>
  <c r="R1446" i="11"/>
  <c r="N1446" i="11"/>
  <c r="M1447" i="11"/>
  <c r="D1447" i="11" l="1"/>
  <c r="C1447" i="11"/>
  <c r="R1447" i="11"/>
  <c r="S1447" i="11"/>
  <c r="N1447" i="11"/>
  <c r="M1448" i="11"/>
  <c r="D1448" i="11" l="1"/>
  <c r="C1448" i="11"/>
  <c r="S1448" i="11"/>
  <c r="R1448" i="11"/>
  <c r="N1448" i="11"/>
  <c r="M1449" i="11"/>
  <c r="D1449" i="11" l="1"/>
  <c r="C1449" i="11"/>
  <c r="R1449" i="11"/>
  <c r="S1449" i="11"/>
  <c r="N1449" i="11"/>
  <c r="M1450" i="11"/>
  <c r="D1450" i="11" l="1"/>
  <c r="C1450" i="11"/>
  <c r="S1450" i="11"/>
  <c r="R1450" i="11"/>
  <c r="N1450" i="11"/>
  <c r="M1451" i="11"/>
  <c r="D1451" i="11" l="1"/>
  <c r="C1451" i="11"/>
  <c r="R1451" i="11"/>
  <c r="S1451" i="11"/>
  <c r="N1451" i="11"/>
  <c r="M1452" i="11"/>
  <c r="D1452" i="11" l="1"/>
  <c r="C1452" i="11"/>
  <c r="S1452" i="11"/>
  <c r="R1452" i="11"/>
  <c r="N1452" i="11"/>
  <c r="M1453" i="11"/>
  <c r="D1453" i="11" l="1"/>
  <c r="C1453" i="11"/>
  <c r="R1453" i="11"/>
  <c r="S1453" i="11"/>
  <c r="N1453" i="11"/>
  <c r="M1454" i="11"/>
  <c r="D1454" i="11" l="1"/>
  <c r="C1454" i="11"/>
  <c r="S1454" i="11"/>
  <c r="R1454" i="11"/>
  <c r="N1454" i="11"/>
  <c r="M1455" i="11"/>
  <c r="D1455" i="11" l="1"/>
  <c r="C1455" i="11"/>
  <c r="R1455" i="11"/>
  <c r="S1455" i="11"/>
  <c r="N1455" i="11"/>
  <c r="M1456" i="11"/>
  <c r="D1456" i="11" l="1"/>
  <c r="C1456" i="11"/>
  <c r="S1456" i="11"/>
  <c r="R1456" i="11"/>
  <c r="N1456" i="11"/>
  <c r="M1457" i="11"/>
  <c r="D1457" i="11" l="1"/>
  <c r="C1457" i="11"/>
  <c r="R1457" i="11"/>
  <c r="S1457" i="11"/>
  <c r="N1457" i="11"/>
  <c r="M1458" i="11"/>
  <c r="D1458" i="11" l="1"/>
  <c r="C1458" i="11"/>
  <c r="S1458" i="11"/>
  <c r="R1458" i="11"/>
  <c r="N1458" i="11"/>
  <c r="M1459" i="11"/>
  <c r="D1459" i="11" l="1"/>
  <c r="C1459" i="11"/>
  <c r="R1459" i="11"/>
  <c r="S1459" i="11"/>
  <c r="N1459" i="11"/>
  <c r="M1460" i="11"/>
  <c r="D1460" i="11" l="1"/>
  <c r="C1460" i="11"/>
  <c r="S1460" i="11"/>
  <c r="R1460" i="11"/>
  <c r="N1460" i="11"/>
  <c r="M1461" i="11"/>
  <c r="D1461" i="11" l="1"/>
  <c r="C1461" i="11"/>
  <c r="R1461" i="11"/>
  <c r="S1461" i="11"/>
  <c r="N1461" i="11"/>
  <c r="M1462" i="11"/>
  <c r="D1462" i="11" l="1"/>
  <c r="C1462" i="11"/>
  <c r="S1462" i="11"/>
  <c r="R1462" i="11"/>
  <c r="N1462" i="11"/>
  <c r="M1463" i="11"/>
  <c r="D1463" i="11" l="1"/>
  <c r="C1463" i="11"/>
  <c r="R1463" i="11"/>
  <c r="S1463" i="11"/>
  <c r="N1463" i="11"/>
  <c r="M1464" i="11"/>
  <c r="D1464" i="11" l="1"/>
  <c r="C1464" i="11"/>
  <c r="S1464" i="11"/>
  <c r="R1464" i="11"/>
  <c r="N1464" i="11"/>
  <c r="M1465" i="11"/>
  <c r="D1465" i="11" l="1"/>
  <c r="C1465" i="11"/>
  <c r="R1465" i="11"/>
  <c r="S1465" i="11"/>
  <c r="N1465" i="11"/>
  <c r="M1466" i="11"/>
  <c r="D1466" i="11" l="1"/>
  <c r="C1466" i="11"/>
  <c r="S1466" i="11"/>
  <c r="R1466" i="11"/>
  <c r="N1466" i="11"/>
  <c r="M1467" i="11"/>
  <c r="D1467" i="11" l="1"/>
  <c r="C1467" i="11"/>
  <c r="R1467" i="11"/>
  <c r="S1467" i="11"/>
  <c r="N1467" i="11"/>
  <c r="M1468" i="11"/>
  <c r="D1468" i="11" l="1"/>
  <c r="C1468" i="11"/>
  <c r="S1468" i="11"/>
  <c r="R1468" i="11"/>
  <c r="N1468" i="11"/>
  <c r="M1469" i="11"/>
  <c r="D1469" i="11" l="1"/>
  <c r="C1469" i="11"/>
  <c r="R1469" i="11"/>
  <c r="S1469" i="11"/>
  <c r="N1469" i="11"/>
  <c r="M1470" i="11"/>
  <c r="D1470" i="11" l="1"/>
  <c r="C1470" i="11"/>
  <c r="S1470" i="11"/>
  <c r="R1470" i="11"/>
  <c r="N1470" i="11"/>
  <c r="M1471" i="11"/>
  <c r="D1471" i="11" l="1"/>
  <c r="C1471" i="11"/>
  <c r="R1471" i="11"/>
  <c r="S1471" i="11"/>
  <c r="N1471" i="11"/>
  <c r="M1472" i="11"/>
  <c r="D1472" i="11" l="1"/>
  <c r="C1472" i="11"/>
  <c r="S1472" i="11"/>
  <c r="R1472" i="11"/>
  <c r="N1472" i="11"/>
  <c r="M1473" i="11"/>
  <c r="D1473" i="11" l="1"/>
  <c r="C1473" i="11"/>
  <c r="R1473" i="11"/>
  <c r="S1473" i="11"/>
  <c r="N1473" i="11"/>
  <c r="M1474" i="11"/>
  <c r="D1474" i="11" l="1"/>
  <c r="C1474" i="11"/>
  <c r="S1474" i="11"/>
  <c r="R1474" i="11"/>
  <c r="N1474" i="11"/>
  <c r="M1475" i="11"/>
  <c r="D1475" i="11" l="1"/>
  <c r="C1475" i="11"/>
  <c r="R1475" i="11"/>
  <c r="S1475" i="11"/>
  <c r="N1475" i="11"/>
  <c r="M1476" i="11"/>
  <c r="D1476" i="11" l="1"/>
  <c r="C1476" i="11"/>
  <c r="S1476" i="11"/>
  <c r="R1476" i="11"/>
  <c r="N1476" i="11"/>
  <c r="M1477" i="11"/>
  <c r="D1477" i="11" l="1"/>
  <c r="C1477" i="11"/>
  <c r="R1477" i="11"/>
  <c r="S1477" i="11"/>
  <c r="N1477" i="11"/>
  <c r="M1478" i="11"/>
  <c r="D1478" i="11" l="1"/>
  <c r="C1478" i="11"/>
  <c r="S1478" i="11"/>
  <c r="R1478" i="11"/>
  <c r="N1478" i="11"/>
  <c r="M1479" i="11"/>
  <c r="D1479" i="11" l="1"/>
  <c r="C1479" i="11"/>
  <c r="R1479" i="11"/>
  <c r="S1479" i="11"/>
  <c r="N1479" i="11"/>
  <c r="M1480" i="11"/>
  <c r="D1480" i="11" l="1"/>
  <c r="C1480" i="11"/>
  <c r="S1480" i="11"/>
  <c r="R1480" i="11"/>
  <c r="N1480" i="11"/>
  <c r="M1481" i="11"/>
  <c r="D1481" i="11" l="1"/>
  <c r="C1481" i="11"/>
  <c r="R1481" i="11"/>
  <c r="S1481" i="11"/>
  <c r="N1481" i="11"/>
  <c r="M1482" i="11"/>
  <c r="D1482" i="11" l="1"/>
  <c r="C1482" i="11"/>
  <c r="S1482" i="11"/>
  <c r="R1482" i="11"/>
  <c r="N1482" i="11"/>
  <c r="M1483" i="11"/>
  <c r="D1483" i="11" l="1"/>
  <c r="C1483" i="11"/>
  <c r="R1483" i="11"/>
  <c r="S1483" i="11"/>
  <c r="N1483" i="11"/>
  <c r="M1484" i="11"/>
  <c r="D1484" i="11" l="1"/>
  <c r="C1484" i="11"/>
  <c r="S1484" i="11"/>
  <c r="R1484" i="11"/>
  <c r="N1484" i="11"/>
  <c r="M1485" i="11"/>
  <c r="D1485" i="11" l="1"/>
  <c r="C1485" i="11"/>
  <c r="R1485" i="11"/>
  <c r="S1485" i="11"/>
  <c r="N1485" i="11"/>
  <c r="M1486" i="11"/>
  <c r="D1486" i="11" l="1"/>
  <c r="C1486" i="11"/>
  <c r="S1486" i="11"/>
  <c r="R1486" i="11"/>
  <c r="N1486" i="11"/>
  <c r="M1487" i="11"/>
  <c r="D1487" i="11" l="1"/>
  <c r="C1487" i="11"/>
  <c r="R1487" i="11"/>
  <c r="S1487" i="11"/>
  <c r="N1487" i="11"/>
  <c r="M1488" i="11"/>
  <c r="D1488" i="11" l="1"/>
  <c r="C1488" i="11"/>
  <c r="S1488" i="11"/>
  <c r="R1488" i="11"/>
  <c r="N1488" i="11"/>
  <c r="M1489" i="11"/>
  <c r="D1489" i="11" l="1"/>
  <c r="C1489" i="11"/>
  <c r="R1489" i="11"/>
  <c r="S1489" i="11"/>
  <c r="N1489" i="11"/>
  <c r="M1490" i="11"/>
  <c r="D1490" i="11" l="1"/>
  <c r="C1490" i="11"/>
  <c r="S1490" i="11"/>
  <c r="R1490" i="11"/>
  <c r="N1490" i="11"/>
  <c r="M1491" i="11"/>
  <c r="D1491" i="11" l="1"/>
  <c r="C1491" i="11"/>
  <c r="R1491" i="11"/>
  <c r="S1491" i="11"/>
  <c r="N1491" i="11"/>
  <c r="M1492" i="11"/>
  <c r="D1492" i="11" l="1"/>
  <c r="C1492" i="11"/>
  <c r="S1492" i="11"/>
  <c r="R1492" i="11"/>
  <c r="N1492" i="11"/>
  <c r="M1493" i="11"/>
  <c r="D1493" i="11" l="1"/>
  <c r="C1493" i="11"/>
  <c r="R1493" i="11"/>
  <c r="S1493" i="11"/>
  <c r="N1493" i="11"/>
  <c r="M1494" i="11"/>
  <c r="D1494" i="11" l="1"/>
  <c r="C1494" i="11"/>
  <c r="S1494" i="11"/>
  <c r="R1494" i="11"/>
  <c r="N1494" i="11"/>
  <c r="M1495" i="11"/>
  <c r="D1495" i="11" l="1"/>
  <c r="C1495" i="11"/>
  <c r="R1495" i="11"/>
  <c r="S1495" i="11"/>
  <c r="N1495" i="11"/>
  <c r="M1496" i="11"/>
  <c r="D1496" i="11" l="1"/>
  <c r="C1496" i="11"/>
  <c r="S1496" i="11"/>
  <c r="R1496" i="11"/>
  <c r="N1496" i="11"/>
  <c r="M1497" i="11"/>
  <c r="D1497" i="11" l="1"/>
  <c r="C1497" i="11"/>
  <c r="R1497" i="11"/>
  <c r="S1497" i="11"/>
  <c r="N1497" i="11"/>
  <c r="M1498" i="11"/>
  <c r="D1498" i="11" l="1"/>
  <c r="C1498" i="11"/>
  <c r="S1498" i="11"/>
  <c r="R1498" i="11"/>
  <c r="N1498" i="11"/>
  <c r="M1499" i="11"/>
  <c r="D1499" i="11" l="1"/>
  <c r="C1499" i="11"/>
  <c r="R1499" i="11"/>
  <c r="S1499" i="11"/>
  <c r="N1499" i="11"/>
  <c r="M1500" i="11"/>
  <c r="D1500" i="11" l="1"/>
  <c r="C1500" i="11"/>
  <c r="S1500" i="11"/>
  <c r="R1500" i="11"/>
  <c r="N1500" i="11"/>
  <c r="M1501" i="11"/>
  <c r="D1501" i="11" l="1"/>
  <c r="C1501" i="11"/>
  <c r="R1501" i="11"/>
  <c r="S1501" i="11"/>
  <c r="N1501" i="11"/>
  <c r="M1502" i="11"/>
  <c r="D1502" i="11" l="1"/>
  <c r="C1502" i="11"/>
  <c r="S1502" i="11"/>
  <c r="R1502" i="11"/>
  <c r="N1502" i="11"/>
  <c r="M1503" i="11"/>
  <c r="D1503" i="11" l="1"/>
  <c r="C1503" i="11"/>
  <c r="R1503" i="11"/>
  <c r="S1503" i="11"/>
  <c r="N1503" i="11"/>
  <c r="M1504" i="11"/>
  <c r="D1504" i="11" l="1"/>
  <c r="C1504" i="11"/>
  <c r="S1504" i="11"/>
  <c r="R1504" i="11"/>
  <c r="N1504" i="11"/>
  <c r="M1505" i="11"/>
  <c r="D1505" i="11" l="1"/>
  <c r="C1505" i="11"/>
  <c r="R1505" i="11"/>
  <c r="S1505" i="11"/>
  <c r="N1505" i="11"/>
  <c r="M1506" i="11"/>
  <c r="D1506" i="11" l="1"/>
  <c r="C1506" i="11"/>
  <c r="S1506" i="11"/>
  <c r="R1506" i="11"/>
  <c r="N1506" i="11"/>
  <c r="M1507" i="11"/>
  <c r="D1507" i="11" l="1"/>
  <c r="C1507" i="11"/>
  <c r="R1507" i="11"/>
  <c r="S1507" i="11"/>
  <c r="N1507" i="11"/>
  <c r="M1508" i="11"/>
  <c r="D1508" i="11" l="1"/>
  <c r="C1508" i="11"/>
  <c r="S1508" i="11"/>
  <c r="R1508" i="11"/>
  <c r="N1508" i="11"/>
  <c r="M1509" i="11"/>
  <c r="D1509" i="11" l="1"/>
  <c r="C1509" i="11"/>
  <c r="R1509" i="11"/>
  <c r="S1509" i="11"/>
  <c r="N1509" i="11"/>
  <c r="M1510" i="11"/>
  <c r="D1510" i="11" l="1"/>
  <c r="C1510" i="11"/>
  <c r="S1510" i="11"/>
  <c r="R1510" i="11"/>
  <c r="N1510" i="11"/>
  <c r="M1511" i="11"/>
  <c r="D1511" i="11" l="1"/>
  <c r="C1511" i="11"/>
  <c r="R1511" i="11"/>
  <c r="S1511" i="11"/>
  <c r="N1511" i="11"/>
  <c r="M1512" i="11"/>
  <c r="D1512" i="11" l="1"/>
  <c r="C1512" i="11"/>
  <c r="S1512" i="11"/>
  <c r="R1512" i="11"/>
  <c r="N1512" i="11"/>
  <c r="M1513" i="11"/>
  <c r="D1513" i="11" l="1"/>
  <c r="C1513" i="11"/>
  <c r="R1513" i="11"/>
  <c r="S1513" i="11"/>
  <c r="N1513" i="11"/>
  <c r="M1514" i="11"/>
  <c r="D1514" i="11" l="1"/>
  <c r="C1514" i="11"/>
  <c r="S1514" i="11"/>
  <c r="R1514" i="11"/>
  <c r="N1514" i="11"/>
  <c r="M1515" i="11"/>
  <c r="D1515" i="11" l="1"/>
  <c r="C1515" i="11"/>
  <c r="R1515" i="11"/>
  <c r="S1515" i="11"/>
  <c r="N1515" i="11"/>
  <c r="M1516" i="11"/>
  <c r="D1516" i="11" l="1"/>
  <c r="C1516" i="11"/>
  <c r="S1516" i="11"/>
  <c r="R1516" i="11"/>
  <c r="N1516" i="11"/>
  <c r="M1517" i="11"/>
  <c r="D1517" i="11" l="1"/>
  <c r="C1517" i="11"/>
  <c r="R1517" i="11"/>
  <c r="S1517" i="11"/>
  <c r="N1517" i="11"/>
  <c r="M1518" i="11"/>
  <c r="D1518" i="11" l="1"/>
  <c r="C1518" i="11"/>
  <c r="S1518" i="11"/>
  <c r="R1518" i="11"/>
  <c r="N1518" i="11"/>
  <c r="M1519" i="11"/>
  <c r="D1519" i="11" l="1"/>
  <c r="C1519" i="11"/>
  <c r="R1519" i="11"/>
  <c r="S1519" i="11"/>
  <c r="N1519" i="11"/>
  <c r="M1520" i="11"/>
  <c r="D1520" i="11" l="1"/>
  <c r="C1520" i="11"/>
  <c r="S1520" i="11"/>
  <c r="R1520" i="11"/>
  <c r="N1520" i="11"/>
  <c r="M1521" i="11"/>
  <c r="D1521" i="11" l="1"/>
  <c r="C1521" i="11"/>
  <c r="R1521" i="11"/>
  <c r="S1521" i="11"/>
  <c r="N1521" i="11"/>
  <c r="M1522" i="11"/>
  <c r="D1522" i="11" l="1"/>
  <c r="C1522" i="11"/>
  <c r="S1522" i="11"/>
  <c r="R1522" i="11"/>
  <c r="N1522" i="11"/>
  <c r="M1523" i="11"/>
  <c r="D1523" i="11" l="1"/>
  <c r="C1523" i="11"/>
  <c r="R1523" i="11"/>
  <c r="S1523" i="11"/>
  <c r="N1523" i="11"/>
  <c r="M1524" i="11"/>
  <c r="D1524" i="11" l="1"/>
  <c r="C1524" i="11"/>
  <c r="S1524" i="11"/>
  <c r="R1524" i="11"/>
  <c r="N1524" i="11"/>
  <c r="M1525" i="11"/>
  <c r="D1525" i="11" l="1"/>
  <c r="C1525" i="11"/>
  <c r="R1525" i="11"/>
  <c r="S1525" i="11"/>
  <c r="N1525" i="11"/>
  <c r="M1526" i="11"/>
  <c r="D1526" i="11" l="1"/>
  <c r="C1526" i="11"/>
  <c r="S1526" i="11"/>
  <c r="R1526" i="11"/>
  <c r="N1526" i="11"/>
  <c r="M1527" i="11"/>
  <c r="D1527" i="11" l="1"/>
  <c r="C1527" i="11"/>
  <c r="R1527" i="11"/>
  <c r="S1527" i="11"/>
  <c r="N1527" i="11"/>
  <c r="M1528" i="11"/>
  <c r="D1528" i="11" l="1"/>
  <c r="C1528" i="11"/>
  <c r="S1528" i="11"/>
  <c r="R1528" i="11"/>
  <c r="N1528" i="11"/>
  <c r="M1529" i="11"/>
  <c r="D1529" i="11" l="1"/>
  <c r="C1529" i="11"/>
  <c r="R1529" i="11"/>
  <c r="S1529" i="11"/>
  <c r="N1529" i="11"/>
  <c r="M1530" i="11"/>
  <c r="D1530" i="11" l="1"/>
  <c r="C1530" i="11"/>
  <c r="S1530" i="11"/>
  <c r="R1530" i="11"/>
  <c r="N1530" i="11"/>
  <c r="M1531" i="11"/>
  <c r="D1531" i="11" l="1"/>
  <c r="C1531" i="11"/>
  <c r="R1531" i="11"/>
  <c r="S1531" i="11"/>
  <c r="N1531" i="11"/>
  <c r="M1532" i="11"/>
  <c r="D1532" i="11" l="1"/>
  <c r="C1532" i="11"/>
  <c r="S1532" i="11"/>
  <c r="R1532" i="11"/>
  <c r="N1532" i="11"/>
  <c r="M1533" i="11"/>
  <c r="D1533" i="11" l="1"/>
  <c r="C1533" i="11"/>
  <c r="R1533" i="11"/>
  <c r="S1533" i="11"/>
  <c r="N1533" i="11"/>
  <c r="M1534" i="11"/>
  <c r="D1534" i="11" l="1"/>
  <c r="C1534" i="11"/>
  <c r="S1534" i="11"/>
  <c r="R1534" i="11"/>
  <c r="N1534" i="11"/>
  <c r="M1535" i="11"/>
  <c r="D1535" i="11" l="1"/>
  <c r="C1535" i="11"/>
  <c r="R1535" i="11"/>
  <c r="S1535" i="11"/>
  <c r="N1535" i="11"/>
  <c r="M1536" i="11"/>
  <c r="D1536" i="11" l="1"/>
  <c r="C1536" i="11"/>
  <c r="S1536" i="11"/>
  <c r="R1536" i="11"/>
  <c r="N1536" i="11"/>
  <c r="M1537" i="11"/>
  <c r="D1537" i="11" l="1"/>
  <c r="C1537" i="11"/>
  <c r="R1537" i="11"/>
  <c r="S1537" i="11"/>
  <c r="N1537" i="11"/>
  <c r="M1538" i="11"/>
  <c r="D1538" i="11" l="1"/>
  <c r="C1538" i="11"/>
  <c r="S1538" i="11"/>
  <c r="R1538" i="11"/>
  <c r="N1538" i="11"/>
  <c r="M1539" i="11"/>
  <c r="D1539" i="11" l="1"/>
  <c r="C1539" i="11"/>
  <c r="R1539" i="11"/>
  <c r="S1539" i="11"/>
  <c r="N1539" i="11"/>
  <c r="M1540" i="11"/>
  <c r="D1540" i="11" l="1"/>
  <c r="C1540" i="11"/>
  <c r="S1540" i="11"/>
  <c r="R1540" i="11"/>
  <c r="N1540" i="11"/>
  <c r="M1541" i="11"/>
  <c r="D1541" i="11" l="1"/>
  <c r="C1541" i="11"/>
  <c r="R1541" i="11"/>
  <c r="S1541" i="11"/>
  <c r="N1541" i="11"/>
  <c r="M1542" i="11"/>
  <c r="D1542" i="11" l="1"/>
  <c r="C1542" i="11"/>
  <c r="S1542" i="11"/>
  <c r="R1542" i="11"/>
  <c r="N1542" i="11"/>
  <c r="M1543" i="11"/>
  <c r="D1543" i="11" l="1"/>
  <c r="C1543" i="11"/>
  <c r="R1543" i="11"/>
  <c r="S1543" i="11"/>
  <c r="N1543" i="11"/>
  <c r="M1544" i="11"/>
  <c r="D1544" i="11" l="1"/>
  <c r="C1544" i="11"/>
  <c r="S1544" i="11"/>
  <c r="R1544" i="11"/>
  <c r="N1544" i="11"/>
  <c r="M1545" i="11"/>
  <c r="D1545" i="11" l="1"/>
  <c r="C1545" i="11"/>
  <c r="R1545" i="11"/>
  <c r="S1545" i="11"/>
  <c r="N1545" i="11"/>
  <c r="M1546" i="11"/>
  <c r="D1546" i="11" l="1"/>
  <c r="C1546" i="11"/>
  <c r="S1546" i="11"/>
  <c r="R1546" i="11"/>
  <c r="N1546" i="11"/>
  <c r="M1547" i="11"/>
  <c r="D1547" i="11" l="1"/>
  <c r="C1547" i="11"/>
  <c r="R1547" i="11"/>
  <c r="S1547" i="11"/>
  <c r="N1547" i="11"/>
  <c r="M1548" i="11"/>
  <c r="D1548" i="11" l="1"/>
  <c r="C1548" i="11"/>
  <c r="S1548" i="11"/>
  <c r="R1548" i="11"/>
  <c r="N1548" i="11"/>
  <c r="M1549" i="11"/>
  <c r="D1549" i="11" l="1"/>
  <c r="C1549" i="11"/>
  <c r="R1549" i="11"/>
  <c r="S1549" i="11"/>
  <c r="N1549" i="11"/>
  <c r="M1550" i="11"/>
  <c r="D1550" i="11" l="1"/>
  <c r="C1550" i="11"/>
  <c r="S1550" i="11"/>
  <c r="R1550" i="11"/>
  <c r="N1550" i="11"/>
  <c r="M1551" i="11"/>
  <c r="D1551" i="11" l="1"/>
  <c r="C1551" i="11"/>
  <c r="R1551" i="11"/>
  <c r="S1551" i="11"/>
  <c r="N1551" i="11"/>
  <c r="M1552" i="11"/>
  <c r="D1552" i="11" l="1"/>
  <c r="C1552" i="11"/>
  <c r="S1552" i="11"/>
  <c r="R1552" i="11"/>
  <c r="N1552" i="11"/>
  <c r="M1553" i="11"/>
  <c r="D1553" i="11" l="1"/>
  <c r="C1553" i="11"/>
  <c r="R1553" i="11"/>
  <c r="S1553" i="11"/>
  <c r="N1553" i="11"/>
  <c r="M1554" i="11"/>
  <c r="D1554" i="11" l="1"/>
  <c r="C1554" i="11"/>
  <c r="S1554" i="11"/>
  <c r="R1554" i="11"/>
  <c r="N1554" i="11"/>
  <c r="M1555" i="11"/>
  <c r="D1555" i="11" l="1"/>
  <c r="C1555" i="11"/>
  <c r="R1555" i="11"/>
  <c r="S1555" i="11"/>
  <c r="N1555" i="11"/>
  <c r="M1556" i="11"/>
  <c r="D1556" i="11" l="1"/>
  <c r="C1556" i="11"/>
  <c r="S1556" i="11"/>
  <c r="R1556" i="11"/>
  <c r="N1556" i="11"/>
  <c r="M1557" i="11"/>
  <c r="D1557" i="11" l="1"/>
  <c r="C1557" i="11"/>
  <c r="R1557" i="11"/>
  <c r="S1557" i="11"/>
  <c r="N1557" i="11"/>
  <c r="M1558" i="11"/>
  <c r="D1558" i="11" l="1"/>
  <c r="C1558" i="11"/>
  <c r="S1558" i="11"/>
  <c r="R1558" i="11"/>
  <c r="N1558" i="11"/>
  <c r="M1559" i="11"/>
  <c r="D1559" i="11" l="1"/>
  <c r="C1559" i="11"/>
  <c r="R1559" i="11"/>
  <c r="S1559" i="11"/>
  <c r="N1559" i="11"/>
  <c r="M1560" i="11"/>
  <c r="D1560" i="11" l="1"/>
  <c r="C1560" i="11"/>
  <c r="S1560" i="11"/>
  <c r="R1560" i="11"/>
  <c r="N1560" i="11"/>
  <c r="M1561" i="11"/>
  <c r="D1561" i="11" l="1"/>
  <c r="C1561" i="11"/>
  <c r="R1561" i="11"/>
  <c r="S1561" i="11"/>
  <c r="N1561" i="11"/>
  <c r="M1562" i="11"/>
  <c r="D1562" i="11" l="1"/>
  <c r="C1562" i="11"/>
  <c r="S1562" i="11"/>
  <c r="R1562" i="11"/>
  <c r="N1562" i="11"/>
  <c r="M1563" i="11"/>
  <c r="D1563" i="11" l="1"/>
  <c r="C1563" i="11"/>
  <c r="R1563" i="11"/>
  <c r="S1563" i="11"/>
  <c r="N1563" i="11"/>
  <c r="M1564" i="11"/>
  <c r="D1564" i="11" l="1"/>
  <c r="C1564" i="11"/>
  <c r="S1564" i="11"/>
  <c r="R1564" i="11"/>
  <c r="N1564" i="11"/>
  <c r="M1565" i="11"/>
  <c r="D1565" i="11" l="1"/>
  <c r="C1565" i="11"/>
  <c r="R1565" i="11"/>
  <c r="S1565" i="11"/>
  <c r="N1565" i="11"/>
  <c r="M1566" i="11"/>
  <c r="D1566" i="11" l="1"/>
  <c r="C1566" i="11"/>
  <c r="S1566" i="11"/>
  <c r="R1566" i="11"/>
  <c r="N1566" i="11"/>
  <c r="M1567" i="11"/>
  <c r="D1567" i="11" l="1"/>
  <c r="C1567" i="11"/>
  <c r="R1567" i="11"/>
  <c r="S1567" i="11"/>
  <c r="N1567" i="11"/>
  <c r="M1568" i="11"/>
  <c r="D1568" i="11" l="1"/>
  <c r="C1568" i="11"/>
  <c r="S1568" i="11"/>
  <c r="R1568" i="11"/>
  <c r="N1568" i="11"/>
  <c r="M1569" i="11"/>
  <c r="D1569" i="11" l="1"/>
  <c r="C1569" i="11"/>
  <c r="R1569" i="11"/>
  <c r="S1569" i="11"/>
  <c r="N1569" i="11"/>
  <c r="M1570" i="11"/>
  <c r="D1570" i="11" l="1"/>
  <c r="C1570" i="11"/>
  <c r="S1570" i="11"/>
  <c r="R1570" i="11"/>
  <c r="N1570" i="11"/>
  <c r="M1571" i="11"/>
  <c r="D1571" i="11" l="1"/>
  <c r="C1571" i="11"/>
  <c r="R1571" i="11"/>
  <c r="S1571" i="11"/>
  <c r="N1571" i="11"/>
  <c r="M1572" i="11"/>
  <c r="D1572" i="11" l="1"/>
  <c r="C1572" i="11"/>
  <c r="S1572" i="11"/>
  <c r="R1572" i="11"/>
  <c r="N1572" i="11"/>
  <c r="M1573" i="11"/>
  <c r="D1573" i="11" l="1"/>
  <c r="C1573" i="11"/>
  <c r="R1573" i="11"/>
  <c r="S1573" i="11"/>
  <c r="N1573" i="11"/>
  <c r="M1574" i="11"/>
  <c r="D1574" i="11" l="1"/>
  <c r="C1574" i="11"/>
  <c r="S1574" i="11"/>
  <c r="R1574" i="11"/>
  <c r="N1574" i="11"/>
  <c r="M1575" i="11"/>
  <c r="D1575" i="11" l="1"/>
  <c r="C1575" i="11"/>
  <c r="R1575" i="11"/>
  <c r="S1575" i="11"/>
  <c r="N1575" i="11"/>
  <c r="M1576" i="11"/>
  <c r="D1576" i="11" l="1"/>
  <c r="C1576" i="11"/>
  <c r="S1576" i="11"/>
  <c r="R1576" i="11"/>
  <c r="N1576" i="11"/>
  <c r="M1577" i="11"/>
  <c r="D1577" i="11" l="1"/>
  <c r="C1577" i="11"/>
  <c r="R1577" i="11"/>
  <c r="S1577" i="11"/>
  <c r="N1577" i="11"/>
  <c r="M1578" i="11"/>
  <c r="D1578" i="11" l="1"/>
  <c r="C1578" i="11"/>
  <c r="S1578" i="11"/>
  <c r="R1578" i="11"/>
  <c r="N1578" i="11"/>
  <c r="M1579" i="11"/>
  <c r="D1579" i="11" l="1"/>
  <c r="C1579" i="11"/>
  <c r="R1579" i="11"/>
  <c r="S1579" i="11"/>
  <c r="N1579" i="11"/>
  <c r="M1580" i="11"/>
  <c r="D1580" i="11" l="1"/>
  <c r="C1580" i="11"/>
  <c r="S1580" i="11"/>
  <c r="R1580" i="11"/>
  <c r="N1580" i="11"/>
  <c r="M1581" i="11"/>
  <c r="D1581" i="11" l="1"/>
  <c r="C1581" i="11"/>
  <c r="R1581" i="11"/>
  <c r="S1581" i="11"/>
  <c r="N1581" i="11"/>
  <c r="M1582" i="11"/>
  <c r="D1582" i="11" l="1"/>
  <c r="C1582" i="11"/>
  <c r="S1582" i="11"/>
  <c r="R1582" i="11"/>
  <c r="N1582" i="11"/>
  <c r="M1583" i="11"/>
  <c r="D1583" i="11" l="1"/>
  <c r="C1583" i="11"/>
  <c r="R1583" i="11"/>
  <c r="S1583" i="11"/>
  <c r="N1583" i="11"/>
  <c r="M1584" i="11"/>
  <c r="D1584" i="11" l="1"/>
  <c r="C1584" i="11"/>
  <c r="S1584" i="11"/>
  <c r="R1584" i="11"/>
  <c r="N1584" i="11"/>
  <c r="M1585" i="11"/>
  <c r="D1585" i="11" l="1"/>
  <c r="C1585" i="11"/>
  <c r="R1585" i="11"/>
  <c r="S1585" i="11"/>
  <c r="N1585" i="11"/>
  <c r="M1586" i="11"/>
  <c r="D1586" i="11" l="1"/>
  <c r="C1586" i="11"/>
  <c r="S1586" i="11"/>
  <c r="R1586" i="11"/>
  <c r="N1586" i="11"/>
  <c r="M1587" i="11"/>
  <c r="D1587" i="11" l="1"/>
  <c r="C1587" i="11"/>
  <c r="R1587" i="11"/>
  <c r="S1587" i="11"/>
  <c r="N1587" i="11"/>
  <c r="M1588" i="11"/>
  <c r="D1588" i="11" l="1"/>
  <c r="C1588" i="11"/>
  <c r="S1588" i="11"/>
  <c r="R1588" i="11"/>
  <c r="N1588" i="11"/>
  <c r="M1589" i="11"/>
  <c r="D1589" i="11" l="1"/>
  <c r="C1589" i="11"/>
  <c r="R1589" i="11"/>
  <c r="S1589" i="11"/>
  <c r="N1589" i="11"/>
  <c r="M1590" i="11"/>
  <c r="D1590" i="11" l="1"/>
  <c r="C1590" i="11"/>
  <c r="S1590" i="11"/>
  <c r="R1590" i="11"/>
  <c r="N1590" i="11"/>
  <c r="M1591" i="11"/>
  <c r="D1591" i="11" l="1"/>
  <c r="C1591" i="11"/>
  <c r="R1591" i="11"/>
  <c r="S1591" i="11"/>
  <c r="N1591" i="11"/>
  <c r="M1592" i="11"/>
  <c r="D1592" i="11" l="1"/>
  <c r="C1592" i="11"/>
  <c r="S1592" i="11"/>
  <c r="R1592" i="11"/>
  <c r="N1592" i="11"/>
  <c r="M1593" i="11"/>
  <c r="D1593" i="11" l="1"/>
  <c r="C1593" i="11"/>
  <c r="R1593" i="11"/>
  <c r="S1593" i="11"/>
  <c r="N1593" i="11"/>
  <c r="M1594" i="11"/>
  <c r="D1594" i="11" l="1"/>
  <c r="C1594" i="11"/>
  <c r="S1594" i="11"/>
  <c r="R1594" i="11"/>
  <c r="N1594" i="11"/>
  <c r="M1595" i="11"/>
  <c r="D1595" i="11" l="1"/>
  <c r="C1595" i="11"/>
  <c r="R1595" i="11"/>
  <c r="S1595" i="11"/>
  <c r="N1595" i="11"/>
  <c r="M1596" i="11"/>
  <c r="D1596" i="11" l="1"/>
  <c r="C1596" i="11"/>
  <c r="S1596" i="11"/>
  <c r="R1596" i="11"/>
  <c r="N1596" i="11"/>
  <c r="M1597" i="11"/>
  <c r="D1597" i="11" l="1"/>
  <c r="C1597" i="11"/>
  <c r="R1597" i="11"/>
  <c r="S1597" i="11"/>
  <c r="N1597" i="11"/>
  <c r="M1598" i="11"/>
  <c r="D1598" i="11" l="1"/>
  <c r="C1598" i="11"/>
  <c r="S1598" i="11"/>
  <c r="R1598" i="11"/>
  <c r="N1598" i="11"/>
  <c r="M1599" i="11"/>
  <c r="D1599" i="11" l="1"/>
  <c r="C1599" i="11"/>
  <c r="R1599" i="11"/>
  <c r="S1599" i="11"/>
  <c r="N1599" i="11"/>
  <c r="M1600" i="11"/>
  <c r="D1600" i="11" l="1"/>
  <c r="C1600" i="11"/>
  <c r="S1600" i="11"/>
  <c r="R1600" i="11"/>
  <c r="N1600" i="11"/>
  <c r="M1601" i="11"/>
  <c r="D1601" i="11" l="1"/>
  <c r="C1601" i="11"/>
  <c r="R1601" i="11"/>
  <c r="S1601" i="11"/>
  <c r="N1601" i="11"/>
  <c r="M1602" i="11"/>
  <c r="D1602" i="11" l="1"/>
  <c r="C1602" i="11"/>
  <c r="S1602" i="11"/>
  <c r="R1602" i="11"/>
  <c r="N1602" i="11"/>
  <c r="M1603" i="11"/>
  <c r="D1603" i="11" l="1"/>
  <c r="C1603" i="11"/>
  <c r="R1603" i="11"/>
  <c r="S1603" i="11"/>
  <c r="N1603" i="11"/>
  <c r="M1604" i="11"/>
  <c r="D1604" i="11" l="1"/>
  <c r="C1604" i="11"/>
  <c r="S1604" i="11"/>
  <c r="R1604" i="11"/>
  <c r="N1604" i="11"/>
  <c r="M1605" i="11"/>
  <c r="D1605" i="11" l="1"/>
  <c r="C1605" i="11"/>
  <c r="R1605" i="11"/>
  <c r="S1605" i="11"/>
  <c r="N1605" i="11"/>
  <c r="M1606" i="11"/>
  <c r="D1606" i="11" l="1"/>
  <c r="C1606" i="11"/>
  <c r="S1606" i="11"/>
  <c r="R1606" i="11"/>
  <c r="N1606" i="11"/>
  <c r="M1607" i="11"/>
  <c r="D1607" i="11" l="1"/>
  <c r="C1607" i="11"/>
  <c r="R1607" i="11"/>
  <c r="S1607" i="11"/>
  <c r="N1607" i="11"/>
  <c r="M1608" i="11"/>
  <c r="D1608" i="11" l="1"/>
  <c r="C1608" i="11"/>
  <c r="S1608" i="11"/>
  <c r="R1608" i="11"/>
  <c r="N1608" i="11"/>
  <c r="M1609" i="11"/>
  <c r="D1609" i="11" l="1"/>
  <c r="C1609" i="11"/>
  <c r="R1609" i="11"/>
  <c r="S1609" i="11"/>
  <c r="N1609" i="11"/>
  <c r="M1610" i="11"/>
  <c r="D1610" i="11" l="1"/>
  <c r="C1610" i="11"/>
  <c r="S1610" i="11"/>
  <c r="R1610" i="11"/>
  <c r="N1610" i="11"/>
  <c r="M1611" i="11"/>
  <c r="D1611" i="11" l="1"/>
  <c r="C1611" i="11"/>
  <c r="R1611" i="11"/>
  <c r="S1611" i="11"/>
  <c r="N1611" i="11"/>
  <c r="M1612" i="11"/>
  <c r="D1612" i="11" l="1"/>
  <c r="C1612" i="11"/>
  <c r="S1612" i="11"/>
  <c r="R1612" i="11"/>
  <c r="N1612" i="11"/>
  <c r="M1613" i="11"/>
  <c r="D1613" i="11" l="1"/>
  <c r="C1613" i="11"/>
  <c r="R1613" i="11"/>
  <c r="S1613" i="11"/>
  <c r="N1613" i="11"/>
  <c r="M1614" i="11"/>
  <c r="D1614" i="11" l="1"/>
  <c r="C1614" i="11"/>
  <c r="S1614" i="11"/>
  <c r="R1614" i="11"/>
  <c r="N1614" i="11"/>
  <c r="M1615" i="11"/>
  <c r="D1615" i="11" l="1"/>
  <c r="C1615" i="11"/>
  <c r="R1615" i="11"/>
  <c r="S1615" i="11"/>
  <c r="N1615" i="11"/>
  <c r="M1616" i="11"/>
  <c r="D1616" i="11" l="1"/>
  <c r="C1616" i="11"/>
  <c r="S1616" i="11"/>
  <c r="R1616" i="11"/>
  <c r="N1616" i="11"/>
  <c r="M1617" i="11"/>
  <c r="D1617" i="11" l="1"/>
  <c r="C1617" i="11"/>
  <c r="R1617" i="11"/>
  <c r="S1617" i="11"/>
  <c r="N1617" i="11"/>
  <c r="M1618" i="11"/>
  <c r="D1618" i="11" l="1"/>
  <c r="C1618" i="11"/>
  <c r="S1618" i="11"/>
  <c r="R1618" i="11"/>
  <c r="N1618" i="11"/>
  <c r="M1619" i="11"/>
  <c r="D1619" i="11" l="1"/>
  <c r="C1619" i="11"/>
  <c r="R1619" i="11"/>
  <c r="S1619" i="11"/>
  <c r="N1619" i="11"/>
  <c r="M1620" i="11"/>
  <c r="D1620" i="11" l="1"/>
  <c r="C1620" i="11"/>
  <c r="S1620" i="11"/>
  <c r="R1620" i="11"/>
  <c r="N1620" i="11"/>
  <c r="M1621" i="11"/>
  <c r="D1621" i="11" l="1"/>
  <c r="C1621" i="11"/>
  <c r="R1621" i="11"/>
  <c r="S1621" i="11"/>
  <c r="N1621" i="11"/>
  <c r="M1622" i="11"/>
  <c r="D1622" i="11" l="1"/>
  <c r="C1622" i="11"/>
  <c r="S1622" i="11"/>
  <c r="R1622" i="11"/>
  <c r="N1622" i="11"/>
  <c r="M1623" i="11"/>
  <c r="D1623" i="11" l="1"/>
  <c r="C1623" i="11"/>
  <c r="R1623" i="11"/>
  <c r="S1623" i="11"/>
  <c r="N1623" i="11"/>
  <c r="M1624" i="11"/>
  <c r="D1624" i="11" l="1"/>
  <c r="C1624" i="11"/>
  <c r="S1624" i="11"/>
  <c r="R1624" i="11"/>
  <c r="N1624" i="11"/>
  <c r="M1625" i="11"/>
  <c r="D1625" i="11" l="1"/>
  <c r="C1625" i="11"/>
  <c r="R1625" i="11"/>
  <c r="S1625" i="11"/>
  <c r="N1625" i="11"/>
  <c r="M1626" i="11"/>
  <c r="D1626" i="11" l="1"/>
  <c r="C1626" i="11"/>
  <c r="S1626" i="11"/>
  <c r="R1626" i="11"/>
  <c r="N1626" i="11"/>
  <c r="M1627" i="11"/>
  <c r="D1627" i="11" l="1"/>
  <c r="C1627" i="11"/>
  <c r="R1627" i="11"/>
  <c r="S1627" i="11"/>
  <c r="N1627" i="11"/>
  <c r="M1628" i="11"/>
  <c r="D1628" i="11" l="1"/>
  <c r="C1628" i="11"/>
  <c r="S1628" i="11"/>
  <c r="R1628" i="11"/>
  <c r="N1628" i="11"/>
  <c r="M1629" i="11"/>
  <c r="D1629" i="11" l="1"/>
  <c r="C1629" i="11"/>
  <c r="R1629" i="11"/>
  <c r="S1629" i="11"/>
  <c r="N1629" i="11"/>
  <c r="M1630" i="11"/>
  <c r="D1630" i="11" l="1"/>
  <c r="C1630" i="11"/>
  <c r="S1630" i="11"/>
  <c r="R1630" i="11"/>
  <c r="N1630" i="11"/>
  <c r="M1631" i="11"/>
  <c r="D1631" i="11" l="1"/>
  <c r="C1631" i="11"/>
  <c r="R1631" i="11"/>
  <c r="S1631" i="11"/>
  <c r="N1631" i="11"/>
  <c r="M1632" i="11"/>
  <c r="D1632" i="11" l="1"/>
  <c r="C1632" i="11"/>
  <c r="S1632" i="11"/>
  <c r="R1632" i="11"/>
  <c r="N1632" i="11"/>
  <c r="M1633" i="11"/>
  <c r="D1633" i="11" l="1"/>
  <c r="C1633" i="11"/>
  <c r="R1633" i="11"/>
  <c r="S1633" i="11"/>
  <c r="N1633" i="11"/>
  <c r="M1634" i="11"/>
  <c r="D1634" i="11" l="1"/>
  <c r="C1634" i="11"/>
  <c r="S1634" i="11"/>
  <c r="R1634" i="11"/>
  <c r="N1634" i="11"/>
  <c r="M1635" i="11"/>
  <c r="D1635" i="11" l="1"/>
  <c r="C1635" i="11"/>
  <c r="R1635" i="11"/>
  <c r="S1635" i="11"/>
  <c r="N1635" i="11"/>
  <c r="M1636" i="11"/>
  <c r="D1636" i="11" l="1"/>
  <c r="C1636" i="11"/>
  <c r="S1636" i="11"/>
  <c r="R1636" i="11"/>
  <c r="N1636" i="11"/>
  <c r="M1637" i="11"/>
  <c r="D1637" i="11" l="1"/>
  <c r="C1637" i="11"/>
  <c r="R1637" i="11"/>
  <c r="S1637" i="11"/>
  <c r="N1637" i="11"/>
  <c r="M1638" i="11"/>
  <c r="D1638" i="11" l="1"/>
  <c r="C1638" i="11"/>
  <c r="S1638" i="11"/>
  <c r="R1638" i="11"/>
  <c r="N1638" i="11"/>
  <c r="M1639" i="11"/>
  <c r="D1639" i="11" l="1"/>
  <c r="C1639" i="11"/>
  <c r="R1639" i="11"/>
  <c r="S1639" i="11"/>
  <c r="N1639" i="11"/>
  <c r="M1640" i="11"/>
  <c r="D1640" i="11" l="1"/>
  <c r="C1640" i="11"/>
  <c r="S1640" i="11"/>
  <c r="R1640" i="11"/>
  <c r="N1640" i="11"/>
  <c r="M1641" i="11"/>
  <c r="D1641" i="11" l="1"/>
  <c r="C1641" i="11"/>
  <c r="R1641" i="11"/>
  <c r="S1641" i="11"/>
  <c r="N1641" i="11"/>
  <c r="M1642" i="11"/>
  <c r="D1642" i="11" l="1"/>
  <c r="C1642" i="11"/>
  <c r="S1642" i="11"/>
  <c r="R1642" i="11"/>
  <c r="N1642" i="11"/>
  <c r="M1643" i="11"/>
  <c r="D1643" i="11" l="1"/>
  <c r="C1643" i="11"/>
  <c r="R1643" i="11"/>
  <c r="S1643" i="11"/>
  <c r="N1643" i="11"/>
  <c r="M1644" i="11"/>
  <c r="D1644" i="11" l="1"/>
  <c r="C1644" i="11"/>
  <c r="S1644" i="11"/>
  <c r="R1644" i="11"/>
  <c r="N1644" i="11"/>
  <c r="M1645" i="11"/>
  <c r="D1645" i="11" l="1"/>
  <c r="C1645" i="11"/>
  <c r="R1645" i="11"/>
  <c r="S1645" i="11"/>
  <c r="N1645" i="11"/>
  <c r="M1646" i="11"/>
  <c r="D1646" i="11" l="1"/>
  <c r="C1646" i="11"/>
  <c r="S1646" i="11"/>
  <c r="R1646" i="11"/>
  <c r="N1646" i="11"/>
  <c r="M1647" i="11"/>
  <c r="D1647" i="11" l="1"/>
  <c r="C1647" i="11"/>
  <c r="R1647" i="11"/>
  <c r="S1647" i="11"/>
  <c r="N1647" i="11"/>
  <c r="M1648" i="11"/>
  <c r="D1648" i="11" l="1"/>
  <c r="C1648" i="11"/>
  <c r="S1648" i="11"/>
  <c r="R1648" i="11"/>
  <c r="N1648" i="11"/>
  <c r="M1649" i="11"/>
  <c r="D1649" i="11" l="1"/>
  <c r="C1649" i="11"/>
  <c r="R1649" i="11"/>
  <c r="S1649" i="11"/>
  <c r="N1649" i="11"/>
  <c r="M1650" i="11"/>
  <c r="D1650" i="11" l="1"/>
  <c r="C1650" i="11"/>
  <c r="S1650" i="11"/>
  <c r="R1650" i="11"/>
  <c r="N1650" i="11"/>
  <c r="M1651" i="11"/>
  <c r="D1651" i="11" l="1"/>
  <c r="C1651" i="11"/>
  <c r="R1651" i="11"/>
  <c r="S1651" i="11"/>
  <c r="N1651" i="11"/>
  <c r="M1652" i="11"/>
  <c r="D1652" i="11" l="1"/>
  <c r="C1652" i="11"/>
  <c r="S1652" i="11"/>
  <c r="R1652" i="11"/>
  <c r="N1652" i="11"/>
  <c r="M1653" i="11"/>
  <c r="D1653" i="11" l="1"/>
  <c r="C1653" i="11"/>
  <c r="R1653" i="11"/>
  <c r="S1653" i="11"/>
  <c r="N1653" i="11"/>
  <c r="M1654" i="11"/>
  <c r="D1654" i="11" l="1"/>
  <c r="C1654" i="11"/>
  <c r="S1654" i="11"/>
  <c r="R1654" i="11"/>
  <c r="N1654" i="11"/>
  <c r="M1655" i="11"/>
  <c r="D1655" i="11" l="1"/>
  <c r="C1655" i="11"/>
  <c r="R1655" i="11"/>
  <c r="S1655" i="11"/>
  <c r="N1655" i="11"/>
  <c r="M1656" i="11"/>
  <c r="D1656" i="11" l="1"/>
  <c r="C1656" i="11"/>
  <c r="S1656" i="11"/>
  <c r="R1656" i="11"/>
  <c r="N1656" i="11"/>
  <c r="M1657" i="11"/>
  <c r="D1657" i="11" l="1"/>
  <c r="C1657" i="11"/>
  <c r="R1657" i="11"/>
  <c r="S1657" i="11"/>
  <c r="N1657" i="11"/>
  <c r="M1658" i="11"/>
  <c r="D1658" i="11" l="1"/>
  <c r="C1658" i="11"/>
  <c r="S1658" i="11"/>
  <c r="R1658" i="11"/>
  <c r="N1658" i="11"/>
  <c r="M1659" i="11"/>
  <c r="D1659" i="11" l="1"/>
  <c r="C1659" i="11"/>
  <c r="R1659" i="11"/>
  <c r="S1659" i="11"/>
  <c r="N1659" i="11"/>
  <c r="M1660" i="11"/>
  <c r="D1660" i="11" l="1"/>
  <c r="C1660" i="11"/>
  <c r="S1660" i="11"/>
  <c r="R1660" i="11"/>
  <c r="N1660" i="11"/>
  <c r="M1661" i="11"/>
  <c r="D1661" i="11" l="1"/>
  <c r="C1661" i="11"/>
  <c r="R1661" i="11"/>
  <c r="S1661" i="11"/>
  <c r="N1661" i="11"/>
  <c r="M1662" i="11"/>
  <c r="D1662" i="11" l="1"/>
  <c r="C1662" i="11"/>
  <c r="S1662" i="11"/>
  <c r="R1662" i="11"/>
  <c r="N1662" i="11"/>
  <c r="M1663" i="11"/>
  <c r="D1663" i="11" l="1"/>
  <c r="C1663" i="11"/>
  <c r="R1663" i="11"/>
  <c r="S1663" i="11"/>
  <c r="N1663" i="11"/>
  <c r="M1664" i="11"/>
  <c r="D1664" i="11" l="1"/>
  <c r="C1664" i="11"/>
  <c r="S1664" i="11"/>
  <c r="R1664" i="11"/>
  <c r="N1664" i="11"/>
  <c r="M1665" i="11"/>
  <c r="D1665" i="11" l="1"/>
  <c r="C1665" i="11"/>
  <c r="R1665" i="11"/>
  <c r="S1665" i="11"/>
  <c r="N1665" i="11"/>
  <c r="M1666" i="11"/>
  <c r="D1666" i="11" l="1"/>
  <c r="C1666" i="11"/>
  <c r="S1666" i="11"/>
  <c r="R1666" i="11"/>
  <c r="N1666" i="11"/>
  <c r="M1667" i="11"/>
  <c r="D1667" i="11" l="1"/>
  <c r="C1667" i="11"/>
  <c r="R1667" i="11"/>
  <c r="S1667" i="11"/>
  <c r="N1667" i="11"/>
  <c r="M1668" i="11"/>
  <c r="D1668" i="11" l="1"/>
  <c r="C1668" i="11"/>
  <c r="S1668" i="11"/>
  <c r="R1668" i="11"/>
  <c r="N1668" i="11"/>
  <c r="M1669" i="11"/>
  <c r="D1669" i="11" l="1"/>
  <c r="C1669" i="11"/>
  <c r="R1669" i="11"/>
  <c r="S1669" i="11"/>
  <c r="N1669" i="11"/>
  <c r="M1670" i="11"/>
  <c r="D1670" i="11" l="1"/>
  <c r="C1670" i="11"/>
  <c r="S1670" i="11"/>
  <c r="R1670" i="11"/>
  <c r="N1670" i="11"/>
  <c r="M1671" i="11"/>
  <c r="D1671" i="11" l="1"/>
  <c r="C1671" i="11"/>
  <c r="R1671" i="11"/>
  <c r="S1671" i="11"/>
  <c r="N1671" i="11"/>
  <c r="M1672" i="11"/>
  <c r="D1672" i="11" l="1"/>
  <c r="C1672" i="11"/>
  <c r="S1672" i="11"/>
  <c r="R1672" i="11"/>
  <c r="N1672" i="11"/>
  <c r="M1673" i="11"/>
  <c r="D1673" i="11" l="1"/>
  <c r="C1673" i="11"/>
  <c r="R1673" i="11"/>
  <c r="S1673" i="11"/>
  <c r="N1673" i="11"/>
  <c r="M1674" i="11"/>
  <c r="D1674" i="11" l="1"/>
  <c r="C1674" i="11"/>
  <c r="S1674" i="11"/>
  <c r="R1674" i="11"/>
  <c r="N1674" i="11"/>
  <c r="M1675" i="11"/>
  <c r="D1675" i="11" l="1"/>
  <c r="C1675" i="11"/>
  <c r="R1675" i="11"/>
  <c r="S1675" i="11"/>
  <c r="N1675" i="11"/>
  <c r="M1676" i="11"/>
  <c r="D1676" i="11" l="1"/>
  <c r="C1676" i="11"/>
  <c r="S1676" i="11"/>
  <c r="R1676" i="11"/>
  <c r="N1676" i="11"/>
  <c r="M1677" i="11"/>
  <c r="D1677" i="11" l="1"/>
  <c r="C1677" i="11"/>
  <c r="R1677" i="11"/>
  <c r="S1677" i="11"/>
  <c r="N1677" i="11"/>
  <c r="M1678" i="11"/>
  <c r="D1678" i="11" l="1"/>
  <c r="C1678" i="11"/>
  <c r="S1678" i="11"/>
  <c r="R1678" i="11"/>
  <c r="N1678" i="11"/>
  <c r="M1679" i="11"/>
  <c r="D1679" i="11" l="1"/>
  <c r="C1679" i="11"/>
  <c r="R1679" i="11"/>
  <c r="S1679" i="11"/>
  <c r="N1679" i="11"/>
  <c r="M1680" i="11"/>
  <c r="D1680" i="11" l="1"/>
  <c r="C1680" i="11"/>
  <c r="S1680" i="11"/>
  <c r="R1680" i="11"/>
  <c r="N1680" i="11"/>
  <c r="M1681" i="11"/>
  <c r="D1681" i="11" l="1"/>
  <c r="C1681" i="11"/>
  <c r="R1681" i="11"/>
  <c r="S1681" i="11"/>
  <c r="N1681" i="11"/>
  <c r="M1682" i="11"/>
  <c r="D1682" i="11" l="1"/>
  <c r="C1682" i="11"/>
  <c r="S1682" i="11"/>
  <c r="R1682" i="11"/>
  <c r="N1682" i="11"/>
  <c r="M1683" i="11"/>
  <c r="D1683" i="11" l="1"/>
  <c r="C1683" i="11"/>
  <c r="R1683" i="11"/>
  <c r="S1683" i="11"/>
  <c r="N1683" i="11"/>
  <c r="M1684" i="11"/>
  <c r="D1684" i="11" l="1"/>
  <c r="C1684" i="11"/>
  <c r="S1684" i="11"/>
  <c r="R1684" i="11"/>
  <c r="N1684" i="11"/>
  <c r="M1685" i="11"/>
  <c r="D1685" i="11" l="1"/>
  <c r="C1685" i="11"/>
  <c r="R1685" i="11"/>
  <c r="S1685" i="11"/>
  <c r="N1685" i="11"/>
  <c r="M1686" i="11"/>
  <c r="D1686" i="11" l="1"/>
  <c r="C1686" i="11"/>
  <c r="S1686" i="11"/>
  <c r="R1686" i="11"/>
  <c r="N1686" i="11"/>
  <c r="M1687" i="11"/>
  <c r="D1687" i="11" l="1"/>
  <c r="C1687" i="11"/>
  <c r="R1687" i="11"/>
  <c r="S1687" i="11"/>
  <c r="N1687" i="11"/>
  <c r="M1688" i="11"/>
  <c r="D1688" i="11" l="1"/>
  <c r="C1688" i="11"/>
  <c r="S1688" i="11"/>
  <c r="R1688" i="11"/>
  <c r="N1688" i="11"/>
  <c r="M1689" i="11"/>
  <c r="D1689" i="11" l="1"/>
  <c r="C1689" i="11"/>
  <c r="R1689" i="11"/>
  <c r="S1689" i="11"/>
  <c r="N1689" i="11"/>
  <c r="M1690" i="11"/>
  <c r="D1690" i="11" l="1"/>
  <c r="C1690" i="11"/>
  <c r="S1690" i="11"/>
  <c r="R1690" i="11"/>
  <c r="N1690" i="11"/>
  <c r="M1691" i="11"/>
  <c r="D1691" i="11" l="1"/>
  <c r="C1691" i="11"/>
  <c r="R1691" i="11"/>
  <c r="S1691" i="11"/>
  <c r="N1691" i="11"/>
  <c r="M1692" i="11"/>
  <c r="D1692" i="11" l="1"/>
  <c r="C1692" i="11"/>
  <c r="S1692" i="11"/>
  <c r="R1692" i="11"/>
  <c r="N1692" i="11"/>
  <c r="M1693" i="11"/>
  <c r="D1693" i="11" l="1"/>
  <c r="C1693" i="11"/>
  <c r="R1693" i="11"/>
  <c r="S1693" i="11"/>
  <c r="N1693" i="11"/>
  <c r="M1694" i="11"/>
  <c r="D1694" i="11" l="1"/>
  <c r="C1694" i="11"/>
  <c r="S1694" i="11"/>
  <c r="R1694" i="11"/>
  <c r="N1694" i="11"/>
  <c r="M1695" i="11"/>
  <c r="D1695" i="11" l="1"/>
  <c r="C1695" i="11"/>
  <c r="R1695" i="11"/>
  <c r="S1695" i="11"/>
  <c r="N1695" i="11"/>
  <c r="M1696" i="11"/>
  <c r="D1696" i="11" l="1"/>
  <c r="C1696" i="11"/>
  <c r="S1696" i="11"/>
  <c r="R1696" i="11"/>
  <c r="N1696" i="11"/>
  <c r="M1697" i="11"/>
  <c r="D1697" i="11" l="1"/>
  <c r="C1697" i="11"/>
  <c r="R1697" i="11"/>
  <c r="S1697" i="11"/>
  <c r="N1697" i="11"/>
  <c r="M1698" i="11"/>
  <c r="D1698" i="11" l="1"/>
  <c r="C1698" i="11"/>
  <c r="S1698" i="11"/>
  <c r="R1698" i="11"/>
  <c r="N1698" i="11"/>
  <c r="M1699" i="11"/>
  <c r="D1699" i="11" l="1"/>
  <c r="C1699" i="11"/>
  <c r="R1699" i="11"/>
  <c r="S1699" i="11"/>
  <c r="N1699" i="11"/>
  <c r="M1700" i="11"/>
  <c r="D1700" i="11" l="1"/>
  <c r="C1700" i="11"/>
  <c r="S1700" i="11"/>
  <c r="R1700" i="11"/>
  <c r="N1700" i="11"/>
  <c r="M1701" i="11"/>
  <c r="D1701" i="11" l="1"/>
  <c r="C1701" i="11"/>
  <c r="R1701" i="11"/>
  <c r="S1701" i="11"/>
  <c r="N1701" i="11"/>
  <c r="M1702" i="11"/>
  <c r="D1702" i="11" l="1"/>
  <c r="C1702" i="11"/>
  <c r="S1702" i="11"/>
  <c r="R1702" i="11"/>
  <c r="N1702" i="11"/>
  <c r="M1703" i="11"/>
  <c r="D1703" i="11" l="1"/>
  <c r="C1703" i="11"/>
  <c r="R1703" i="11"/>
  <c r="S1703" i="11"/>
  <c r="N1703" i="11"/>
  <c r="M1704" i="11"/>
  <c r="D1704" i="11" l="1"/>
  <c r="C1704" i="11"/>
  <c r="S1704" i="11"/>
  <c r="R1704" i="11"/>
  <c r="N1704" i="11"/>
  <c r="M1705" i="11"/>
  <c r="D1705" i="11" l="1"/>
  <c r="C1705" i="11"/>
  <c r="R1705" i="11"/>
  <c r="S1705" i="11"/>
  <c r="N1705" i="11"/>
  <c r="M1706" i="11"/>
  <c r="D1706" i="11" l="1"/>
  <c r="C1706" i="11"/>
  <c r="S1706" i="11"/>
  <c r="R1706" i="11"/>
  <c r="N1706" i="11"/>
  <c r="M1707" i="11"/>
  <c r="D1707" i="11" l="1"/>
  <c r="C1707" i="11"/>
  <c r="R1707" i="11"/>
  <c r="S1707" i="11"/>
  <c r="N1707" i="11"/>
  <c r="M1708" i="11"/>
  <c r="D1708" i="11" l="1"/>
  <c r="C1708" i="11"/>
  <c r="S1708" i="11"/>
  <c r="R1708" i="11"/>
  <c r="N1708" i="11"/>
  <c r="M1709" i="11"/>
  <c r="D1709" i="11" l="1"/>
  <c r="C1709" i="11"/>
  <c r="R1709" i="11"/>
  <c r="S1709" i="11"/>
  <c r="N1709" i="11"/>
  <c r="M1710" i="11"/>
  <c r="D1710" i="11" l="1"/>
  <c r="C1710" i="11"/>
  <c r="S1710" i="11"/>
  <c r="R1710" i="11"/>
  <c r="N1710" i="11"/>
  <c r="M1711" i="11"/>
  <c r="D1711" i="11" l="1"/>
  <c r="C1711" i="11"/>
  <c r="R1711" i="11"/>
  <c r="S1711" i="11"/>
  <c r="N1711" i="11"/>
  <c r="M1712" i="11"/>
  <c r="D1712" i="11" l="1"/>
  <c r="C1712" i="11"/>
  <c r="S1712" i="11"/>
  <c r="R1712" i="11"/>
  <c r="N1712" i="11"/>
  <c r="M1713" i="11"/>
  <c r="D1713" i="11" l="1"/>
  <c r="C1713" i="11"/>
  <c r="R1713" i="11"/>
  <c r="S1713" i="11"/>
  <c r="N1713" i="11"/>
  <c r="M1714" i="11"/>
  <c r="D1714" i="11" l="1"/>
  <c r="C1714" i="11"/>
  <c r="S1714" i="11"/>
  <c r="R1714" i="11"/>
  <c r="N1714" i="11"/>
  <c r="M1715" i="11"/>
  <c r="D1715" i="11" l="1"/>
  <c r="C1715" i="11"/>
  <c r="R1715" i="11"/>
  <c r="S1715" i="11"/>
  <c r="N1715" i="11"/>
  <c r="M1716" i="11"/>
  <c r="D1716" i="11" l="1"/>
  <c r="C1716" i="11"/>
  <c r="S1716" i="11"/>
  <c r="R1716" i="11"/>
  <c r="N1716" i="11"/>
  <c r="M1717" i="11"/>
  <c r="D1717" i="11" l="1"/>
  <c r="C1717" i="11"/>
  <c r="R1717" i="11"/>
  <c r="S1717" i="11"/>
  <c r="N1717" i="11"/>
  <c r="M1718" i="11"/>
  <c r="D1718" i="11" l="1"/>
  <c r="C1718" i="11"/>
  <c r="S1718" i="11"/>
  <c r="R1718" i="11"/>
  <c r="N1718" i="11"/>
  <c r="M1719" i="11"/>
  <c r="D1719" i="11" l="1"/>
  <c r="C1719" i="11"/>
  <c r="R1719" i="11"/>
  <c r="S1719" i="11"/>
  <c r="N1719" i="11"/>
  <c r="M1720" i="11"/>
  <c r="D1720" i="11" l="1"/>
  <c r="C1720" i="11"/>
  <c r="S1720" i="11"/>
  <c r="R1720" i="11"/>
  <c r="N1720" i="11"/>
  <c r="M1721" i="11"/>
  <c r="D1721" i="11" l="1"/>
  <c r="C1721" i="11"/>
  <c r="R1721" i="11"/>
  <c r="S1721" i="11"/>
  <c r="N1721" i="11"/>
  <c r="M1722" i="11"/>
  <c r="D1722" i="11" l="1"/>
  <c r="C1722" i="11"/>
  <c r="S1722" i="11"/>
  <c r="R1722" i="11"/>
  <c r="N1722" i="11"/>
  <c r="M1723" i="11"/>
  <c r="D1723" i="11" l="1"/>
  <c r="C1723" i="11"/>
  <c r="R1723" i="11"/>
  <c r="S1723" i="11"/>
  <c r="N1723" i="11"/>
  <c r="M1724" i="11"/>
  <c r="D1724" i="11" l="1"/>
  <c r="C1724" i="11"/>
  <c r="S1724" i="11"/>
  <c r="R1724" i="11"/>
  <c r="N1724" i="11"/>
  <c r="M1725" i="11"/>
  <c r="D1725" i="11" l="1"/>
  <c r="C1725" i="11"/>
  <c r="R1725" i="11"/>
  <c r="S1725" i="11"/>
  <c r="N1725" i="11"/>
  <c r="M1726" i="11"/>
  <c r="D1726" i="11" l="1"/>
  <c r="C1726" i="11"/>
  <c r="S1726" i="11"/>
  <c r="R1726" i="11"/>
  <c r="N1726" i="11"/>
  <c r="M1727" i="11"/>
  <c r="D1727" i="11" l="1"/>
  <c r="C1727" i="11"/>
  <c r="R1727" i="11"/>
  <c r="S1727" i="11"/>
  <c r="N1727" i="11"/>
  <c r="M1728" i="11"/>
  <c r="D1728" i="11" l="1"/>
  <c r="C1728" i="11"/>
  <c r="S1728" i="11"/>
  <c r="R1728" i="11"/>
  <c r="N1728" i="11"/>
  <c r="M1729" i="11"/>
  <c r="D1729" i="11" l="1"/>
  <c r="C1729" i="11"/>
  <c r="R1729" i="11"/>
  <c r="S1729" i="11"/>
  <c r="N1729" i="11"/>
  <c r="M1730" i="11"/>
  <c r="D1730" i="11" l="1"/>
  <c r="C1730" i="11"/>
  <c r="S1730" i="11"/>
  <c r="R1730" i="11"/>
  <c r="N1730" i="11"/>
  <c r="M1731" i="11"/>
  <c r="D1731" i="11" l="1"/>
  <c r="C1731" i="11"/>
  <c r="R1731" i="11"/>
  <c r="S1731" i="11"/>
  <c r="N1731" i="11"/>
  <c r="M1732" i="11"/>
  <c r="D1732" i="11" l="1"/>
  <c r="C1732" i="11"/>
  <c r="S1732" i="11"/>
  <c r="R1732" i="11"/>
  <c r="N1732" i="11"/>
  <c r="M1733" i="11"/>
  <c r="D1733" i="11" l="1"/>
  <c r="C1733" i="11"/>
  <c r="R1733" i="11"/>
  <c r="S1733" i="11"/>
  <c r="N1733" i="11"/>
  <c r="M1734" i="11"/>
  <c r="D1734" i="11" l="1"/>
  <c r="C1734" i="11"/>
  <c r="S1734" i="11"/>
  <c r="R1734" i="11"/>
  <c r="N1734" i="11"/>
  <c r="M1735" i="11"/>
  <c r="D1735" i="11" l="1"/>
  <c r="C1735" i="11"/>
  <c r="R1735" i="11"/>
  <c r="S1735" i="11"/>
  <c r="N1735" i="11"/>
  <c r="M1736" i="11"/>
  <c r="D1736" i="11" l="1"/>
  <c r="C1736" i="11"/>
  <c r="S1736" i="11"/>
  <c r="R1736" i="11"/>
  <c r="N1736" i="11"/>
  <c r="M1737" i="11"/>
  <c r="D1737" i="11" l="1"/>
  <c r="C1737" i="11"/>
  <c r="R1737" i="11"/>
  <c r="S1737" i="11"/>
  <c r="N1737" i="11"/>
  <c r="M1738" i="11"/>
  <c r="D1738" i="11" l="1"/>
  <c r="C1738" i="11"/>
  <c r="S1738" i="11"/>
  <c r="R1738" i="11"/>
  <c r="N1738" i="11"/>
  <c r="M1739" i="11"/>
  <c r="D1739" i="11" l="1"/>
  <c r="C1739" i="11"/>
  <c r="R1739" i="11"/>
  <c r="S1739" i="11"/>
  <c r="N1739" i="11"/>
  <c r="M1740" i="11"/>
  <c r="D1740" i="11" l="1"/>
  <c r="C1740" i="11"/>
  <c r="S1740" i="11"/>
  <c r="R1740" i="11"/>
  <c r="N1740" i="11"/>
  <c r="M1741" i="11"/>
  <c r="D1741" i="11" l="1"/>
  <c r="C1741" i="11"/>
  <c r="R1741" i="11"/>
  <c r="S1741" i="11"/>
  <c r="N1741" i="11"/>
  <c r="M1742" i="11"/>
  <c r="D1742" i="11" l="1"/>
  <c r="C1742" i="11"/>
  <c r="S1742" i="11"/>
  <c r="R1742" i="11"/>
  <c r="N1742" i="11"/>
  <c r="M1743" i="11"/>
  <c r="D1743" i="11" l="1"/>
  <c r="C1743" i="11"/>
  <c r="R1743" i="11"/>
  <c r="S1743" i="11"/>
  <c r="N1743" i="11"/>
  <c r="M1744" i="11"/>
  <c r="D1744" i="11" l="1"/>
  <c r="C1744" i="11"/>
  <c r="S1744" i="11"/>
  <c r="R1744" i="11"/>
  <c r="N1744" i="11"/>
  <c r="M1745" i="11"/>
  <c r="D1745" i="11" l="1"/>
  <c r="C1745" i="11"/>
  <c r="R1745" i="11"/>
  <c r="S1745" i="11"/>
  <c r="N1745" i="11"/>
  <c r="M1746" i="11"/>
  <c r="D1746" i="11" l="1"/>
  <c r="C1746" i="11"/>
  <c r="S1746" i="11"/>
  <c r="R1746" i="11"/>
  <c r="N1746" i="11"/>
  <c r="M1747" i="11"/>
  <c r="D1747" i="11" l="1"/>
  <c r="C1747" i="11"/>
  <c r="R1747" i="11"/>
  <c r="S1747" i="11"/>
  <c r="N1747" i="11"/>
  <c r="M1748" i="11"/>
  <c r="D1748" i="11" l="1"/>
  <c r="C1748" i="11"/>
  <c r="S1748" i="11"/>
  <c r="R1748" i="11"/>
  <c r="N1748" i="11"/>
  <c r="M1749" i="11"/>
  <c r="D1749" i="11" l="1"/>
  <c r="C1749" i="11"/>
  <c r="R1749" i="11"/>
  <c r="S1749" i="11"/>
  <c r="N1749" i="11"/>
  <c r="M1750" i="11"/>
  <c r="D1750" i="11" l="1"/>
  <c r="C1750" i="11"/>
  <c r="S1750" i="11"/>
  <c r="R1750" i="11"/>
  <c r="N1750" i="11"/>
  <c r="M1751" i="11"/>
  <c r="D1751" i="11" l="1"/>
  <c r="C1751" i="11"/>
  <c r="R1751" i="11"/>
  <c r="S1751" i="11"/>
  <c r="N1751" i="11"/>
  <c r="M1752" i="11"/>
  <c r="D1752" i="11" l="1"/>
  <c r="C1752" i="11"/>
  <c r="S1752" i="11"/>
  <c r="R1752" i="11"/>
  <c r="N1752" i="11"/>
  <c r="M1753" i="11"/>
  <c r="D1753" i="11" l="1"/>
  <c r="C1753" i="11"/>
  <c r="R1753" i="11"/>
  <c r="S1753" i="11"/>
  <c r="N1753" i="11"/>
  <c r="M1754" i="11"/>
  <c r="D1754" i="11" l="1"/>
  <c r="C1754" i="11"/>
  <c r="S1754" i="11"/>
  <c r="R1754" i="11"/>
  <c r="N1754" i="11"/>
  <c r="M1755" i="11"/>
  <c r="D1755" i="11" l="1"/>
  <c r="C1755" i="11"/>
  <c r="R1755" i="11"/>
  <c r="S1755" i="11"/>
  <c r="N1755" i="11"/>
  <c r="M1756" i="11"/>
  <c r="D1756" i="11" l="1"/>
  <c r="C1756" i="11"/>
  <c r="S1756" i="11"/>
  <c r="R1756" i="11"/>
  <c r="N1756" i="11"/>
  <c r="M1757" i="11"/>
  <c r="D1757" i="11" l="1"/>
  <c r="C1757" i="11"/>
  <c r="R1757" i="11"/>
  <c r="S1757" i="11"/>
  <c r="N1757" i="11"/>
  <c r="M1758" i="11"/>
  <c r="D1758" i="11" l="1"/>
  <c r="C1758" i="11"/>
  <c r="S1758" i="11"/>
  <c r="R1758" i="11"/>
  <c r="N1758" i="11"/>
  <c r="M1759" i="11"/>
  <c r="D1759" i="11" l="1"/>
  <c r="C1759" i="11"/>
  <c r="R1759" i="11"/>
  <c r="S1759" i="11"/>
  <c r="N1759" i="11"/>
  <c r="M1760" i="11"/>
  <c r="D1760" i="11" l="1"/>
  <c r="C1760" i="11"/>
  <c r="S1760" i="11"/>
  <c r="R1760" i="11"/>
  <c r="N1760" i="11"/>
  <c r="M1761" i="11"/>
  <c r="D1761" i="11" l="1"/>
  <c r="C1761" i="11"/>
  <c r="R1761" i="11"/>
  <c r="S1761" i="11"/>
  <c r="N1761" i="11"/>
  <c r="M1762" i="11"/>
  <c r="D1762" i="11" l="1"/>
  <c r="C1762" i="11"/>
  <c r="S1762" i="11"/>
  <c r="R1762" i="11"/>
  <c r="N1762" i="11"/>
  <c r="M1763" i="11"/>
  <c r="D1763" i="11" l="1"/>
  <c r="C1763" i="11"/>
  <c r="R1763" i="11"/>
  <c r="S1763" i="11"/>
  <c r="N1763" i="11"/>
  <c r="M1764" i="11"/>
  <c r="D1764" i="11" l="1"/>
  <c r="C1764" i="11"/>
  <c r="S1764" i="11"/>
  <c r="R1764" i="11"/>
  <c r="N1764" i="11"/>
  <c r="M1765" i="11"/>
  <c r="D1765" i="11" l="1"/>
  <c r="C1765" i="11"/>
  <c r="R1765" i="11"/>
  <c r="S1765" i="11"/>
  <c r="N1765" i="11"/>
  <c r="M1766" i="11"/>
  <c r="D1766" i="11" l="1"/>
  <c r="C1766" i="11"/>
  <c r="S1766" i="11"/>
  <c r="R1766" i="11"/>
  <c r="N1766" i="11"/>
  <c r="M1767" i="11"/>
  <c r="D1767" i="11" l="1"/>
  <c r="C1767" i="11"/>
  <c r="R1767" i="11"/>
  <c r="S1767" i="11"/>
  <c r="N1767" i="11"/>
  <c r="M1768" i="11"/>
  <c r="D1768" i="11" l="1"/>
  <c r="C1768" i="11"/>
  <c r="S1768" i="11"/>
  <c r="R1768" i="11"/>
  <c r="N1768" i="11"/>
  <c r="M1769" i="11"/>
  <c r="D1769" i="11" l="1"/>
  <c r="C1769" i="11"/>
  <c r="R1769" i="11"/>
  <c r="S1769" i="11"/>
  <c r="N1769" i="11"/>
  <c r="M1770" i="11"/>
  <c r="D1770" i="11" l="1"/>
  <c r="C1770" i="11"/>
  <c r="S1770" i="11"/>
  <c r="R1770" i="11"/>
  <c r="N1770" i="11"/>
  <c r="M1771" i="11"/>
  <c r="D1771" i="11" l="1"/>
  <c r="C1771" i="11"/>
  <c r="R1771" i="11"/>
  <c r="S1771" i="11"/>
  <c r="N1771" i="11"/>
  <c r="M1772" i="11"/>
  <c r="D1772" i="11" l="1"/>
  <c r="C1772" i="11"/>
  <c r="S1772" i="11"/>
  <c r="R1772" i="11"/>
  <c r="N1772" i="11"/>
  <c r="M1773" i="11"/>
  <c r="D1773" i="11" l="1"/>
  <c r="C1773" i="11"/>
  <c r="R1773" i="11"/>
  <c r="S1773" i="11"/>
  <c r="N1773" i="11"/>
  <c r="M1774" i="11"/>
  <c r="D1774" i="11" l="1"/>
  <c r="C1774" i="11"/>
  <c r="S1774" i="11"/>
  <c r="R1774" i="11"/>
  <c r="N1774" i="11"/>
  <c r="M1775" i="11"/>
  <c r="D1775" i="11" l="1"/>
  <c r="C1775" i="11"/>
  <c r="R1775" i="11"/>
  <c r="S1775" i="11"/>
  <c r="N1775" i="11"/>
  <c r="M1776" i="11"/>
  <c r="D1776" i="11" l="1"/>
  <c r="C1776" i="11"/>
  <c r="S1776" i="11"/>
  <c r="R1776" i="11"/>
  <c r="N1776" i="11"/>
  <c r="M1777" i="11"/>
  <c r="D1777" i="11" l="1"/>
  <c r="C1777" i="11"/>
  <c r="R1777" i="11"/>
  <c r="S1777" i="11"/>
  <c r="N1777" i="11"/>
  <c r="M1778" i="11"/>
  <c r="D1778" i="11" l="1"/>
  <c r="C1778" i="11"/>
  <c r="S1778" i="11"/>
  <c r="R1778" i="11"/>
  <c r="N1778" i="11"/>
  <c r="M1779" i="11"/>
  <c r="D1779" i="11" l="1"/>
  <c r="C1779" i="11"/>
  <c r="R1779" i="11"/>
  <c r="S1779" i="11"/>
  <c r="N1779" i="11"/>
  <c r="M1780" i="11"/>
  <c r="D1780" i="11" l="1"/>
  <c r="C1780" i="11"/>
  <c r="S1780" i="11"/>
  <c r="R1780" i="11"/>
  <c r="N1780" i="11"/>
  <c r="M1781" i="11"/>
  <c r="D1781" i="11" l="1"/>
  <c r="C1781" i="11"/>
  <c r="R1781" i="11"/>
  <c r="S1781" i="11"/>
  <c r="N1781" i="11"/>
  <c r="M1782" i="11"/>
  <c r="D1782" i="11" l="1"/>
  <c r="C1782" i="11"/>
  <c r="S1782" i="11"/>
  <c r="R1782" i="11"/>
  <c r="N1782" i="11"/>
  <c r="M1783" i="11"/>
  <c r="D1783" i="11" l="1"/>
  <c r="C1783" i="11"/>
  <c r="R1783" i="11"/>
  <c r="S1783" i="11"/>
  <c r="N1783" i="11"/>
  <c r="M1784" i="11"/>
  <c r="D1784" i="11" l="1"/>
  <c r="C1784" i="11"/>
  <c r="S1784" i="11"/>
  <c r="R1784" i="11"/>
  <c r="N1784" i="11"/>
  <c r="M1785" i="11"/>
  <c r="D1785" i="11" l="1"/>
  <c r="C1785" i="11"/>
  <c r="R1785" i="11"/>
  <c r="S1785" i="11"/>
  <c r="N1785" i="11"/>
  <c r="M1786" i="11"/>
  <c r="D1786" i="11" l="1"/>
  <c r="C1786" i="11"/>
  <c r="S1786" i="11"/>
  <c r="R1786" i="11"/>
  <c r="N1786" i="11"/>
  <c r="M1787" i="11"/>
  <c r="D1787" i="11" l="1"/>
  <c r="C1787" i="11"/>
  <c r="R1787" i="11"/>
  <c r="S1787" i="11"/>
  <c r="N1787" i="11"/>
  <c r="M1788" i="11"/>
  <c r="D1788" i="11" l="1"/>
  <c r="C1788" i="11"/>
  <c r="S1788" i="11"/>
  <c r="R1788" i="11"/>
  <c r="N1788" i="11"/>
  <c r="M1789" i="11"/>
  <c r="D1789" i="11" l="1"/>
  <c r="C1789" i="11"/>
  <c r="R1789" i="11"/>
  <c r="S1789" i="11"/>
  <c r="N1789" i="11"/>
  <c r="M1790" i="11"/>
  <c r="D1790" i="11" l="1"/>
  <c r="C1790" i="11"/>
  <c r="S1790" i="11"/>
  <c r="R1790" i="11"/>
  <c r="N1790" i="11"/>
  <c r="M1791" i="11"/>
  <c r="D1791" i="11" l="1"/>
  <c r="C1791" i="11"/>
  <c r="R1791" i="11"/>
  <c r="S1791" i="11"/>
  <c r="N1791" i="11"/>
  <c r="M1792" i="11"/>
  <c r="D1792" i="11" l="1"/>
  <c r="C1792" i="11"/>
  <c r="S1792" i="11"/>
  <c r="R1792" i="11"/>
  <c r="N1792" i="11"/>
  <c r="M1793" i="11"/>
  <c r="D1793" i="11" l="1"/>
  <c r="C1793" i="11"/>
  <c r="R1793" i="11"/>
  <c r="S1793" i="11"/>
  <c r="N1793" i="11"/>
  <c r="M1794" i="11"/>
  <c r="D1794" i="11" l="1"/>
  <c r="C1794" i="11"/>
  <c r="S1794" i="11"/>
  <c r="R1794" i="11"/>
  <c r="N1794" i="11"/>
  <c r="M1795" i="11"/>
  <c r="D1795" i="11" l="1"/>
  <c r="C1795" i="11"/>
  <c r="R1795" i="11"/>
  <c r="S1795" i="11"/>
  <c r="N1795" i="11"/>
  <c r="M1796" i="11"/>
  <c r="D1796" i="11" l="1"/>
  <c r="C1796" i="11"/>
  <c r="S1796" i="11"/>
  <c r="R1796" i="11"/>
  <c r="N1796" i="11"/>
  <c r="M1797" i="11"/>
  <c r="D1797" i="11" l="1"/>
  <c r="C1797" i="11"/>
  <c r="R1797" i="11"/>
  <c r="S1797" i="11"/>
  <c r="N1797" i="11"/>
  <c r="M1798" i="11"/>
  <c r="D1798" i="11" l="1"/>
  <c r="C1798" i="11"/>
  <c r="S1798" i="11"/>
  <c r="R1798" i="11"/>
  <c r="N1798" i="11"/>
  <c r="M1799" i="11"/>
  <c r="D1799" i="11" l="1"/>
  <c r="C1799" i="11"/>
  <c r="R1799" i="11"/>
  <c r="S1799" i="11"/>
  <c r="N1799" i="11"/>
  <c r="M1800" i="11"/>
  <c r="D1800" i="11" l="1"/>
  <c r="C1800" i="11"/>
  <c r="S1800" i="11"/>
  <c r="R1800" i="11"/>
  <c r="N1800" i="11"/>
  <c r="M1801" i="11"/>
  <c r="D1801" i="11" l="1"/>
  <c r="C1801" i="11"/>
  <c r="R1801" i="11"/>
  <c r="S1801" i="11"/>
  <c r="N1801" i="11"/>
  <c r="M1802" i="11"/>
  <c r="D1802" i="11" l="1"/>
  <c r="C1802" i="11"/>
  <c r="S1802" i="11"/>
  <c r="R1802" i="11"/>
  <c r="N1802" i="11"/>
  <c r="M1803" i="11"/>
  <c r="D1803" i="11" l="1"/>
  <c r="C1803" i="11"/>
  <c r="R1803" i="11"/>
  <c r="S1803" i="11"/>
  <c r="N1803" i="11"/>
  <c r="M1804" i="11"/>
  <c r="D1804" i="11" l="1"/>
  <c r="C1804" i="11"/>
  <c r="S1804" i="11"/>
  <c r="R1804" i="11"/>
  <c r="N1804" i="11"/>
  <c r="M1805" i="11"/>
  <c r="D1805" i="11" l="1"/>
  <c r="C1805" i="11"/>
  <c r="R1805" i="11"/>
  <c r="S1805" i="11"/>
  <c r="N1805" i="11"/>
  <c r="M1806" i="11"/>
  <c r="D1806" i="11" l="1"/>
  <c r="C1806" i="11"/>
  <c r="S1806" i="11"/>
  <c r="R1806" i="11"/>
  <c r="N1806" i="11"/>
  <c r="M1807" i="11"/>
  <c r="D1807" i="11" l="1"/>
  <c r="C1807" i="11"/>
  <c r="R1807" i="11"/>
  <c r="S1807" i="11"/>
  <c r="N1807" i="11"/>
  <c r="M1808" i="11"/>
  <c r="D1808" i="11" l="1"/>
  <c r="C1808" i="11"/>
  <c r="S1808" i="11"/>
  <c r="R1808" i="11"/>
  <c r="N1808" i="11"/>
  <c r="M1809" i="11"/>
  <c r="D1809" i="11" l="1"/>
  <c r="C1809" i="11"/>
  <c r="R1809" i="11"/>
  <c r="S1809" i="11"/>
  <c r="N1809" i="11"/>
  <c r="M1810" i="11"/>
  <c r="D1810" i="11" l="1"/>
  <c r="C1810" i="11"/>
  <c r="S1810" i="11"/>
  <c r="R1810" i="11"/>
  <c r="N1810" i="11"/>
  <c r="M1811" i="11"/>
  <c r="D1811" i="11" l="1"/>
  <c r="C1811" i="11"/>
  <c r="R1811" i="11"/>
  <c r="S1811" i="11"/>
  <c r="N1811" i="11"/>
  <c r="M1812" i="11"/>
  <c r="D1812" i="11" l="1"/>
  <c r="C1812" i="11"/>
  <c r="S1812" i="11"/>
  <c r="R1812" i="11"/>
  <c r="N1812" i="11"/>
  <c r="M1813" i="11"/>
  <c r="D1813" i="11" l="1"/>
  <c r="C1813" i="11"/>
  <c r="R1813" i="11"/>
  <c r="S1813" i="11"/>
  <c r="N1813" i="11"/>
  <c r="M1814" i="11"/>
  <c r="D1814" i="11" l="1"/>
  <c r="C1814" i="11"/>
  <c r="S1814" i="11"/>
  <c r="R1814" i="11"/>
  <c r="N1814" i="11"/>
  <c r="M1815" i="11"/>
  <c r="D1815" i="11" l="1"/>
  <c r="C1815" i="11"/>
  <c r="R1815" i="11"/>
  <c r="S1815" i="11"/>
  <c r="N1815" i="11"/>
  <c r="M1816" i="11"/>
  <c r="D1816" i="11" l="1"/>
  <c r="C1816" i="11"/>
  <c r="S1816" i="11"/>
  <c r="R1816" i="11"/>
  <c r="N1816" i="11"/>
  <c r="M1817" i="11"/>
  <c r="D1817" i="11" l="1"/>
  <c r="C1817" i="11"/>
  <c r="R1817" i="11"/>
  <c r="S1817" i="11"/>
  <c r="N1817" i="11"/>
  <c r="M1818" i="11"/>
  <c r="D1818" i="11" l="1"/>
  <c r="C1818" i="11"/>
  <c r="S1818" i="11"/>
  <c r="R1818" i="11"/>
  <c r="N1818" i="11"/>
  <c r="M1819" i="11"/>
  <c r="D1819" i="11" l="1"/>
  <c r="C1819" i="11"/>
  <c r="R1819" i="11"/>
  <c r="S1819" i="11"/>
  <c r="N1819" i="11"/>
  <c r="M1820" i="11"/>
  <c r="D1820" i="11" l="1"/>
  <c r="C1820" i="11"/>
  <c r="S1820" i="11"/>
  <c r="R1820" i="11"/>
  <c r="N1820" i="11"/>
  <c r="M1821" i="11"/>
  <c r="D1821" i="11" l="1"/>
  <c r="C1821" i="11"/>
  <c r="R1821" i="11"/>
  <c r="S1821" i="11"/>
  <c r="N1821" i="11"/>
  <c r="M1822" i="11"/>
  <c r="D1822" i="11" l="1"/>
  <c r="C1822" i="11"/>
  <c r="S1822" i="11"/>
  <c r="R1822" i="11"/>
  <c r="N1822" i="11"/>
  <c r="M1823" i="11"/>
  <c r="D1823" i="11" l="1"/>
  <c r="C1823" i="11"/>
  <c r="R1823" i="11"/>
  <c r="S1823" i="11"/>
  <c r="N1823" i="11"/>
  <c r="M1824" i="11"/>
  <c r="D1824" i="11" l="1"/>
  <c r="C1824" i="11"/>
  <c r="S1824" i="11"/>
  <c r="R1824" i="11"/>
  <c r="N1824" i="11"/>
  <c r="M1825" i="11"/>
  <c r="D1825" i="11" l="1"/>
  <c r="C1825" i="11"/>
  <c r="R1825" i="11"/>
  <c r="S1825" i="11"/>
  <c r="N1825" i="11"/>
  <c r="M1826" i="11"/>
  <c r="D1826" i="11" l="1"/>
  <c r="C1826" i="11"/>
  <c r="S1826" i="11"/>
  <c r="R1826" i="11"/>
  <c r="N1826" i="11"/>
  <c r="M1827" i="11"/>
  <c r="D1827" i="11" l="1"/>
  <c r="C1827" i="11"/>
  <c r="R1827" i="11"/>
  <c r="S1827" i="11"/>
  <c r="N1827" i="11"/>
  <c r="M1828" i="11"/>
  <c r="D1828" i="11" l="1"/>
  <c r="C1828" i="11"/>
  <c r="S1828" i="11"/>
  <c r="R1828" i="11"/>
  <c r="N1828" i="11"/>
  <c r="M1829" i="11"/>
  <c r="D1829" i="11" l="1"/>
  <c r="C1829" i="11"/>
  <c r="R1829" i="11"/>
  <c r="S1829" i="11"/>
  <c r="N1829" i="11"/>
  <c r="M1830" i="11"/>
  <c r="D1830" i="11" l="1"/>
  <c r="C1830" i="11"/>
  <c r="S1830" i="11"/>
  <c r="R1830" i="11"/>
  <c r="N1830" i="11"/>
  <c r="M1831" i="11"/>
  <c r="D1831" i="11" l="1"/>
  <c r="C1831" i="11"/>
  <c r="R1831" i="11"/>
  <c r="S1831" i="11"/>
  <c r="N1831" i="11"/>
  <c r="M1832" i="11"/>
  <c r="D1832" i="11" l="1"/>
  <c r="C1832" i="11"/>
  <c r="S1832" i="11"/>
  <c r="R1832" i="11"/>
  <c r="N1832" i="11"/>
  <c r="M1833" i="11"/>
  <c r="D1833" i="11" l="1"/>
  <c r="C1833" i="11"/>
  <c r="R1833" i="11"/>
  <c r="S1833" i="11"/>
  <c r="N1833" i="11"/>
  <c r="M1834" i="11"/>
  <c r="D1834" i="11" l="1"/>
  <c r="C1834" i="11"/>
  <c r="S1834" i="11"/>
  <c r="R1834" i="11"/>
  <c r="N1834" i="11"/>
  <c r="M1835" i="11"/>
  <c r="D1835" i="11" l="1"/>
  <c r="C1835" i="11"/>
  <c r="R1835" i="11"/>
  <c r="S1835" i="11"/>
  <c r="N1835" i="11"/>
  <c r="M1836" i="11"/>
  <c r="D1836" i="11" l="1"/>
  <c r="C1836" i="11"/>
  <c r="S1836" i="11"/>
  <c r="R1836" i="11"/>
  <c r="N1836" i="11"/>
  <c r="M1837" i="11"/>
  <c r="D1837" i="11" l="1"/>
  <c r="C1837" i="11"/>
  <c r="R1837" i="11"/>
  <c r="S1837" i="11"/>
  <c r="N1837" i="11"/>
  <c r="M1838" i="11"/>
  <c r="D1838" i="11" l="1"/>
  <c r="C1838" i="11"/>
  <c r="S1838" i="11"/>
  <c r="R1838" i="11"/>
  <c r="N1838" i="11"/>
  <c r="M1839" i="11"/>
  <c r="D1839" i="11" l="1"/>
  <c r="C1839" i="11"/>
  <c r="R1839" i="11"/>
  <c r="S1839" i="11"/>
  <c r="N1839" i="11"/>
  <c r="M1840" i="11"/>
  <c r="D1840" i="11" l="1"/>
  <c r="C1840" i="11"/>
  <c r="S1840" i="11"/>
  <c r="R1840" i="11"/>
  <c r="N1840" i="11"/>
  <c r="M1841" i="11"/>
  <c r="D1841" i="11" l="1"/>
  <c r="C1841" i="11"/>
  <c r="R1841" i="11"/>
  <c r="S1841" i="11"/>
  <c r="N1841" i="11"/>
  <c r="M1842" i="11"/>
  <c r="D1842" i="11" l="1"/>
  <c r="C1842" i="11"/>
  <c r="S1842" i="11"/>
  <c r="R1842" i="11"/>
  <c r="N1842" i="11"/>
  <c r="M1843" i="11"/>
  <c r="D1843" i="11" l="1"/>
  <c r="C1843" i="11"/>
  <c r="R1843" i="11"/>
  <c r="S1843" i="11"/>
  <c r="N1843" i="11"/>
  <c r="M1844" i="11"/>
  <c r="D1844" i="11" l="1"/>
  <c r="C1844" i="11"/>
  <c r="S1844" i="11"/>
  <c r="R1844" i="11"/>
  <c r="N1844" i="11"/>
  <c r="M1845" i="11"/>
  <c r="D1845" i="11" l="1"/>
  <c r="C1845" i="11"/>
  <c r="R1845" i="11"/>
  <c r="S1845" i="11"/>
  <c r="N1845" i="11"/>
  <c r="M1846" i="11"/>
  <c r="D1846" i="11" l="1"/>
  <c r="C1846" i="11"/>
  <c r="S1846" i="11"/>
  <c r="R1846" i="11"/>
  <c r="N1846" i="11"/>
  <c r="M1847" i="11"/>
  <c r="D1847" i="11" l="1"/>
  <c r="C1847" i="11"/>
  <c r="R1847" i="11"/>
  <c r="S1847" i="11"/>
  <c r="N1847" i="11"/>
  <c r="M1848" i="11"/>
  <c r="D1848" i="11" l="1"/>
  <c r="C1848" i="11"/>
  <c r="S1848" i="11"/>
  <c r="R1848" i="11"/>
  <c r="N1848" i="11"/>
  <c r="M1849" i="11"/>
  <c r="D1849" i="11" l="1"/>
  <c r="C1849" i="11"/>
  <c r="R1849" i="11"/>
  <c r="S1849" i="11"/>
  <c r="N1849" i="11"/>
  <c r="M1850" i="11"/>
  <c r="D1850" i="11" l="1"/>
  <c r="C1850" i="11"/>
  <c r="S1850" i="11"/>
  <c r="R1850" i="11"/>
  <c r="N1850" i="11"/>
  <c r="M1851" i="11"/>
  <c r="D1851" i="11" l="1"/>
  <c r="C1851" i="11"/>
  <c r="R1851" i="11"/>
  <c r="S1851" i="11"/>
  <c r="N1851" i="11"/>
  <c r="M1852" i="11"/>
  <c r="D1852" i="11" l="1"/>
  <c r="C1852" i="11"/>
  <c r="S1852" i="11"/>
  <c r="R1852" i="11"/>
  <c r="N1852" i="11"/>
  <c r="M1853" i="11"/>
  <c r="D1853" i="11" l="1"/>
  <c r="C1853" i="11"/>
  <c r="R1853" i="11"/>
  <c r="S1853" i="11"/>
  <c r="N1853" i="11"/>
  <c r="M1854" i="11"/>
  <c r="D1854" i="11" l="1"/>
  <c r="C1854" i="11"/>
  <c r="S1854" i="11"/>
  <c r="R1854" i="11"/>
  <c r="N1854" i="11"/>
  <c r="M1855" i="11"/>
  <c r="D1855" i="11" l="1"/>
  <c r="C1855" i="11"/>
  <c r="R1855" i="11"/>
  <c r="S1855" i="11"/>
  <c r="N1855" i="11"/>
  <c r="M1856" i="11"/>
  <c r="D1856" i="11" l="1"/>
  <c r="C1856" i="11"/>
  <c r="S1856" i="11"/>
  <c r="R1856" i="11"/>
  <c r="N1856" i="11"/>
  <c r="M1857" i="11"/>
  <c r="D1857" i="11" l="1"/>
  <c r="C1857" i="11"/>
  <c r="R1857" i="11"/>
  <c r="S1857" i="11"/>
  <c r="N1857" i="11"/>
  <c r="M1858" i="11"/>
  <c r="D1858" i="11" l="1"/>
  <c r="C1858" i="11"/>
  <c r="S1858" i="11"/>
  <c r="R1858" i="11"/>
  <c r="N1858" i="11"/>
  <c r="M1859" i="11"/>
  <c r="D1859" i="11" l="1"/>
  <c r="C1859" i="11"/>
  <c r="R1859" i="11"/>
  <c r="S1859" i="11"/>
  <c r="N1859" i="11"/>
  <c r="M1860" i="11"/>
  <c r="D1860" i="11" l="1"/>
  <c r="C1860" i="11"/>
  <c r="S1860" i="11"/>
  <c r="R1860" i="11"/>
  <c r="N1860" i="11"/>
  <c r="M1861" i="11"/>
  <c r="D1861" i="11" l="1"/>
  <c r="C1861" i="11"/>
  <c r="R1861" i="11"/>
  <c r="S1861" i="11"/>
  <c r="N1861" i="11"/>
  <c r="M1862" i="11"/>
  <c r="D1862" i="11" l="1"/>
  <c r="C1862" i="11"/>
  <c r="S1862" i="11"/>
  <c r="R1862" i="11"/>
  <c r="N1862" i="11"/>
  <c r="M1863" i="11"/>
  <c r="D1863" i="11" l="1"/>
  <c r="C1863" i="11"/>
  <c r="R1863" i="11"/>
  <c r="S1863" i="11"/>
  <c r="N1863" i="11"/>
  <c r="M1864" i="11"/>
  <c r="D1864" i="11" l="1"/>
  <c r="C1864" i="11"/>
  <c r="S1864" i="11"/>
  <c r="R1864" i="11"/>
  <c r="N1864" i="11"/>
  <c r="M1865" i="11"/>
  <c r="D1865" i="11" l="1"/>
  <c r="C1865" i="11"/>
  <c r="R1865" i="11"/>
  <c r="S1865" i="11"/>
  <c r="N1865" i="11"/>
  <c r="M1866" i="11"/>
  <c r="D1866" i="11" l="1"/>
  <c r="C1866" i="11"/>
  <c r="S1866" i="11"/>
  <c r="R1866" i="11"/>
  <c r="N1866" i="11"/>
  <c r="M1867" i="11"/>
  <c r="D1867" i="11" l="1"/>
  <c r="C1867" i="11"/>
  <c r="R1867" i="11"/>
  <c r="S1867" i="11"/>
  <c r="N1867" i="11"/>
  <c r="M1868" i="11"/>
  <c r="D1868" i="11" l="1"/>
  <c r="C1868" i="11"/>
  <c r="S1868" i="11"/>
  <c r="R1868" i="11"/>
  <c r="N1868" i="11"/>
  <c r="M1869" i="11"/>
  <c r="D1869" i="11" l="1"/>
  <c r="C1869" i="11"/>
  <c r="R1869" i="11"/>
  <c r="S1869" i="11"/>
  <c r="N1869" i="11"/>
  <c r="M1870" i="11"/>
  <c r="D1870" i="11" l="1"/>
  <c r="C1870" i="11"/>
  <c r="S1870" i="11"/>
  <c r="R1870" i="11"/>
  <c r="N1870" i="11"/>
  <c r="M1871" i="11"/>
  <c r="D1871" i="11" l="1"/>
  <c r="C1871" i="11"/>
  <c r="R1871" i="11"/>
  <c r="S1871" i="11"/>
  <c r="N1871" i="11"/>
  <c r="M1872" i="11"/>
  <c r="D1872" i="11" l="1"/>
  <c r="C1872" i="11"/>
  <c r="S1872" i="11"/>
  <c r="R1872" i="11"/>
  <c r="N1872" i="11"/>
  <c r="M1873" i="11"/>
  <c r="D1873" i="11" l="1"/>
  <c r="C1873" i="11"/>
  <c r="R1873" i="11"/>
  <c r="S1873" i="11"/>
  <c r="N1873" i="11"/>
  <c r="M1874" i="11"/>
  <c r="D1874" i="11" l="1"/>
  <c r="C1874" i="11"/>
  <c r="S1874" i="11"/>
  <c r="R1874" i="11"/>
  <c r="N1874" i="11"/>
  <c r="M1875" i="11"/>
  <c r="D1875" i="11" l="1"/>
  <c r="C1875" i="11"/>
  <c r="R1875" i="11"/>
  <c r="S1875" i="11"/>
  <c r="N1875" i="11"/>
  <c r="M1876" i="11"/>
  <c r="D1876" i="11" l="1"/>
  <c r="C1876" i="11"/>
  <c r="S1876" i="11"/>
  <c r="R1876" i="11"/>
  <c r="N1876" i="11"/>
  <c r="M1877" i="11"/>
  <c r="D1877" i="11" l="1"/>
  <c r="C1877" i="11"/>
  <c r="R1877" i="11"/>
  <c r="S1877" i="11"/>
  <c r="N1877" i="11"/>
  <c r="M1878" i="11"/>
  <c r="D1878" i="11" l="1"/>
  <c r="C1878" i="11"/>
  <c r="S1878" i="11"/>
  <c r="R1878" i="11"/>
  <c r="N1878" i="11"/>
  <c r="M1879" i="11"/>
  <c r="D1879" i="11" l="1"/>
  <c r="C1879" i="11"/>
  <c r="R1879" i="11"/>
  <c r="S1879" i="11"/>
  <c r="N1879" i="11"/>
  <c r="M1880" i="11"/>
  <c r="D1880" i="11" l="1"/>
  <c r="C1880" i="11"/>
  <c r="S1880" i="11"/>
  <c r="R1880" i="11"/>
  <c r="N1880" i="11"/>
  <c r="M1881" i="11"/>
  <c r="D1881" i="11" l="1"/>
  <c r="C1881" i="11"/>
  <c r="R1881" i="11"/>
  <c r="S1881" i="11"/>
  <c r="N1881" i="11"/>
  <c r="M1882" i="11"/>
  <c r="D1882" i="11" l="1"/>
  <c r="C1882" i="11"/>
  <c r="S1882" i="11"/>
  <c r="R1882" i="11"/>
  <c r="N1882" i="11"/>
  <c r="M1883" i="11"/>
  <c r="D1883" i="11" l="1"/>
  <c r="C1883" i="11"/>
  <c r="R1883" i="11"/>
  <c r="S1883" i="11"/>
  <c r="N1883" i="11"/>
  <c r="M1884" i="11"/>
  <c r="D1884" i="11" l="1"/>
  <c r="C1884" i="11"/>
  <c r="S1884" i="11"/>
  <c r="R1884" i="11"/>
  <c r="N1884" i="11"/>
  <c r="M1885" i="11"/>
  <c r="D1885" i="11" l="1"/>
  <c r="C1885" i="11"/>
  <c r="R1885" i="11"/>
  <c r="S1885" i="11"/>
  <c r="N1885" i="11"/>
  <c r="M1886" i="11"/>
  <c r="D1886" i="11" l="1"/>
  <c r="C1886" i="11"/>
  <c r="S1886" i="11"/>
  <c r="R1886" i="11"/>
  <c r="N1886" i="11"/>
  <c r="M1887" i="11"/>
  <c r="D1887" i="11" l="1"/>
  <c r="C1887" i="11"/>
  <c r="R1887" i="11"/>
  <c r="S1887" i="11"/>
  <c r="N1887" i="11"/>
  <c r="M1888" i="11"/>
  <c r="D1888" i="11" l="1"/>
  <c r="C1888" i="11"/>
  <c r="S1888" i="11"/>
  <c r="R1888" i="11"/>
  <c r="N1888" i="11"/>
  <c r="M1889" i="11"/>
  <c r="D1889" i="11" l="1"/>
  <c r="C1889" i="11"/>
  <c r="R1889" i="11"/>
  <c r="S1889" i="11"/>
  <c r="N1889" i="11"/>
  <c r="M1890" i="11"/>
  <c r="D1890" i="11" l="1"/>
  <c r="C1890" i="11"/>
  <c r="S1890" i="11"/>
  <c r="R1890" i="11"/>
  <c r="N1890" i="11"/>
  <c r="M1891" i="11"/>
  <c r="D1891" i="11" l="1"/>
  <c r="C1891" i="11"/>
  <c r="R1891" i="11"/>
  <c r="S1891" i="11"/>
  <c r="N1891" i="11"/>
  <c r="M1892" i="11"/>
  <c r="D1892" i="11" l="1"/>
  <c r="C1892" i="11"/>
  <c r="S1892" i="11"/>
  <c r="R1892" i="11"/>
  <c r="N1892" i="11"/>
  <c r="M1893" i="11"/>
  <c r="D1893" i="11" l="1"/>
  <c r="C1893" i="11"/>
  <c r="R1893" i="11"/>
  <c r="S1893" i="11"/>
  <c r="N1893" i="11"/>
  <c r="M1894" i="11"/>
  <c r="D1894" i="11" l="1"/>
  <c r="C1894" i="11"/>
  <c r="S1894" i="11"/>
  <c r="R1894" i="11"/>
  <c r="N1894" i="11"/>
  <c r="M1895" i="11"/>
  <c r="D1895" i="11" l="1"/>
  <c r="C1895" i="11"/>
  <c r="R1895" i="11"/>
  <c r="S1895" i="11"/>
  <c r="N1895" i="11"/>
  <c r="M1896" i="11"/>
  <c r="D1896" i="11" l="1"/>
  <c r="C1896" i="11"/>
  <c r="S1896" i="11"/>
  <c r="R1896" i="11"/>
  <c r="N1896" i="11"/>
  <c r="M1897" i="11"/>
  <c r="D1897" i="11" l="1"/>
  <c r="C1897" i="11"/>
  <c r="R1897" i="11"/>
  <c r="S1897" i="11"/>
  <c r="N1897" i="11"/>
  <c r="M1898" i="11"/>
  <c r="D1898" i="11" l="1"/>
  <c r="C1898" i="11"/>
  <c r="S1898" i="11"/>
  <c r="R1898" i="11"/>
  <c r="N1898" i="11"/>
  <c r="M1899" i="11"/>
  <c r="D1899" i="11" l="1"/>
  <c r="C1899" i="11"/>
  <c r="R1899" i="11"/>
  <c r="S1899" i="11"/>
  <c r="N1899" i="11"/>
  <c r="M1900" i="11"/>
  <c r="D1900" i="11" l="1"/>
  <c r="C1900" i="11"/>
  <c r="S1900" i="11"/>
  <c r="R1900" i="11"/>
  <c r="N1900" i="11"/>
  <c r="M1901" i="11"/>
  <c r="D1901" i="11" l="1"/>
  <c r="C1901" i="11"/>
  <c r="R1901" i="11"/>
  <c r="S1901" i="11"/>
  <c r="N1901" i="11"/>
  <c r="M1902" i="11"/>
  <c r="D1902" i="11" l="1"/>
  <c r="C1902" i="11"/>
  <c r="S1902" i="11"/>
  <c r="R1902" i="11"/>
  <c r="N1902" i="11"/>
  <c r="M1903" i="11"/>
  <c r="D1903" i="11" l="1"/>
  <c r="C1903" i="11"/>
  <c r="R1903" i="11"/>
  <c r="S1903" i="11"/>
  <c r="N1903" i="11"/>
  <c r="M1904" i="11"/>
  <c r="D1904" i="11" l="1"/>
  <c r="C1904" i="11"/>
  <c r="S1904" i="11"/>
  <c r="R1904" i="11"/>
  <c r="N1904" i="11"/>
  <c r="M1905" i="11"/>
  <c r="D1905" i="11" l="1"/>
  <c r="C1905" i="11"/>
  <c r="R1905" i="11"/>
  <c r="S1905" i="11"/>
  <c r="N1905" i="11"/>
  <c r="M1906" i="11"/>
  <c r="D1906" i="11" l="1"/>
  <c r="C1906" i="11"/>
  <c r="S1906" i="11"/>
  <c r="R1906" i="11"/>
  <c r="N1906" i="11"/>
  <c r="M1907" i="11"/>
  <c r="D1907" i="11" l="1"/>
  <c r="C1907" i="11"/>
  <c r="R1907" i="11"/>
  <c r="S1907" i="11"/>
  <c r="N1907" i="11"/>
  <c r="M1908" i="11"/>
  <c r="D1908" i="11" l="1"/>
  <c r="C1908" i="11"/>
  <c r="S1908" i="11"/>
  <c r="R1908" i="11"/>
  <c r="N1908" i="11"/>
  <c r="M1909" i="11"/>
  <c r="D1909" i="11" l="1"/>
  <c r="C1909" i="11"/>
  <c r="R1909" i="11"/>
  <c r="S1909" i="11"/>
  <c r="N1909" i="11"/>
  <c r="M1910" i="11"/>
  <c r="D1910" i="11" l="1"/>
  <c r="C1910" i="11"/>
  <c r="S1910" i="11"/>
  <c r="R1910" i="11"/>
  <c r="N1910" i="11"/>
  <c r="M1911" i="11"/>
  <c r="D1911" i="11" l="1"/>
  <c r="C1911" i="11"/>
  <c r="R1911" i="11"/>
  <c r="S1911" i="11"/>
  <c r="N1911" i="11"/>
  <c r="M1912" i="11"/>
  <c r="D1912" i="11" l="1"/>
  <c r="C1912" i="11"/>
  <c r="S1912" i="11"/>
  <c r="R1912" i="11"/>
  <c r="N1912" i="11"/>
  <c r="M1913" i="11"/>
  <c r="D1913" i="11" l="1"/>
  <c r="C1913" i="11"/>
  <c r="R1913" i="11"/>
  <c r="S1913" i="11"/>
  <c r="N1913" i="11"/>
  <c r="M1914" i="11"/>
  <c r="D1914" i="11" l="1"/>
  <c r="C1914" i="11"/>
  <c r="S1914" i="11"/>
  <c r="R1914" i="11"/>
  <c r="N1914" i="11"/>
  <c r="M1915" i="11"/>
  <c r="D1915" i="11" l="1"/>
  <c r="C1915" i="11"/>
  <c r="R1915" i="11"/>
  <c r="S1915" i="11"/>
  <c r="N1915" i="11"/>
  <c r="M1916" i="11"/>
  <c r="D1916" i="11" l="1"/>
  <c r="C1916" i="11"/>
  <c r="S1916" i="11"/>
  <c r="R1916" i="11"/>
  <c r="N1916" i="11"/>
  <c r="M1917" i="11"/>
  <c r="D1917" i="11" l="1"/>
  <c r="C1917" i="11"/>
  <c r="R1917" i="11"/>
  <c r="S1917" i="11"/>
  <c r="N1917" i="11"/>
  <c r="M1918" i="11"/>
  <c r="D1918" i="11" l="1"/>
  <c r="C1918" i="11"/>
  <c r="S1918" i="11"/>
  <c r="R1918" i="11"/>
  <c r="N1918" i="11"/>
  <c r="M1919" i="11"/>
  <c r="D1919" i="11" l="1"/>
  <c r="C1919" i="11"/>
  <c r="R1919" i="11"/>
  <c r="S1919" i="11"/>
  <c r="N1919" i="11"/>
  <c r="M1920" i="11"/>
  <c r="D1920" i="11" l="1"/>
  <c r="C1920" i="11"/>
  <c r="S1920" i="11"/>
  <c r="R1920" i="11"/>
  <c r="N1920" i="11"/>
  <c r="M1921" i="11"/>
  <c r="D1921" i="11" l="1"/>
  <c r="C1921" i="11"/>
  <c r="R1921" i="11"/>
  <c r="S1921" i="11"/>
  <c r="N1921" i="11"/>
  <c r="M1922" i="11"/>
  <c r="D1922" i="11" l="1"/>
  <c r="C1922" i="11"/>
  <c r="S1922" i="11"/>
  <c r="R1922" i="11"/>
  <c r="N1922" i="11"/>
  <c r="M1923" i="11"/>
  <c r="D1923" i="11" l="1"/>
  <c r="C1923" i="11"/>
  <c r="R1923" i="11"/>
  <c r="S1923" i="11"/>
  <c r="N1923" i="11"/>
  <c r="M1924" i="11"/>
  <c r="D1924" i="11" l="1"/>
  <c r="C1924" i="11"/>
  <c r="S1924" i="11"/>
  <c r="R1924" i="11"/>
  <c r="N1924" i="11"/>
  <c r="M1925" i="11"/>
  <c r="D1925" i="11" l="1"/>
  <c r="C1925" i="11"/>
  <c r="R1925" i="11"/>
  <c r="S1925" i="11"/>
  <c r="N1925" i="11"/>
  <c r="M1926" i="11"/>
  <c r="D1926" i="11" l="1"/>
  <c r="C1926" i="11"/>
  <c r="S1926" i="11"/>
  <c r="R1926" i="11"/>
  <c r="N1926" i="11"/>
  <c r="M1927" i="11"/>
  <c r="D1927" i="11" l="1"/>
  <c r="C1927" i="11"/>
  <c r="R1927" i="11"/>
  <c r="S1927" i="11"/>
  <c r="N1927" i="11"/>
  <c r="M1928" i="11"/>
  <c r="D1928" i="11" l="1"/>
  <c r="C1928" i="11"/>
  <c r="S1928" i="11"/>
  <c r="R1928" i="11"/>
  <c r="N1928" i="11"/>
  <c r="M1929" i="11"/>
  <c r="D1929" i="11" l="1"/>
  <c r="C1929" i="11"/>
  <c r="R1929" i="11"/>
  <c r="S1929" i="11"/>
  <c r="N1929" i="11"/>
  <c r="M1930" i="11"/>
  <c r="D1930" i="11" l="1"/>
  <c r="C1930" i="11"/>
  <c r="S1930" i="11"/>
  <c r="R1930" i="11"/>
  <c r="N1930" i="11"/>
  <c r="M1931" i="11"/>
  <c r="D1931" i="11" l="1"/>
  <c r="C1931" i="11"/>
  <c r="R1931" i="11"/>
  <c r="S1931" i="11"/>
  <c r="N1931" i="11"/>
  <c r="M1932" i="11"/>
  <c r="D1932" i="11" l="1"/>
  <c r="C1932" i="11"/>
  <c r="S1932" i="11"/>
  <c r="R1932" i="11"/>
  <c r="N1932" i="11"/>
  <c r="M1933" i="11"/>
  <c r="D1933" i="11" l="1"/>
  <c r="C1933" i="11"/>
  <c r="R1933" i="11"/>
  <c r="S1933" i="11"/>
  <c r="N1933" i="11"/>
  <c r="M1934" i="11"/>
  <c r="D1934" i="11" l="1"/>
  <c r="C1934" i="11"/>
  <c r="S1934" i="11"/>
  <c r="R1934" i="11"/>
  <c r="N1934" i="11"/>
  <c r="M1935" i="11"/>
  <c r="D1935" i="11" l="1"/>
  <c r="C1935" i="11"/>
  <c r="R1935" i="11"/>
  <c r="S1935" i="11"/>
  <c r="N1935" i="11"/>
  <c r="M1936" i="11"/>
  <c r="D1936" i="11" l="1"/>
  <c r="C1936" i="11"/>
  <c r="S1936" i="11"/>
  <c r="R1936" i="11"/>
  <c r="N1936" i="11"/>
  <c r="M1937" i="11"/>
  <c r="D1937" i="11" l="1"/>
  <c r="C1937" i="11"/>
  <c r="R1937" i="11"/>
  <c r="S1937" i="11"/>
  <c r="N1937" i="11"/>
  <c r="M1938" i="11"/>
  <c r="D1938" i="11" l="1"/>
  <c r="C1938" i="11"/>
  <c r="S1938" i="11"/>
  <c r="R1938" i="11"/>
  <c r="N1938" i="11"/>
  <c r="M1939" i="11"/>
  <c r="D1939" i="11" l="1"/>
  <c r="C1939" i="11"/>
  <c r="R1939" i="11"/>
  <c r="S1939" i="11"/>
  <c r="N1939" i="11"/>
  <c r="M1940" i="11"/>
  <c r="D1940" i="11" l="1"/>
  <c r="C1940" i="11"/>
  <c r="S1940" i="11"/>
  <c r="R1940" i="11"/>
  <c r="N1940" i="11"/>
  <c r="M1941" i="11"/>
  <c r="D1941" i="11" l="1"/>
  <c r="C1941" i="11"/>
  <c r="R1941" i="11"/>
  <c r="S1941" i="11"/>
  <c r="N1941" i="11"/>
  <c r="M1942" i="11"/>
  <c r="D1942" i="11" l="1"/>
  <c r="C1942" i="11"/>
  <c r="S1942" i="11"/>
  <c r="R1942" i="11"/>
  <c r="N1942" i="11"/>
  <c r="M1943" i="11"/>
  <c r="D1943" i="11" l="1"/>
  <c r="C1943" i="11"/>
  <c r="R1943" i="11"/>
  <c r="S1943" i="11"/>
  <c r="N1943" i="11"/>
  <c r="M1944" i="11"/>
  <c r="D1944" i="11" l="1"/>
  <c r="C1944" i="11"/>
  <c r="S1944" i="11"/>
  <c r="R1944" i="11"/>
  <c r="N1944" i="11"/>
  <c r="M1945" i="11"/>
  <c r="D1945" i="11" l="1"/>
  <c r="C1945" i="11"/>
  <c r="R1945" i="11"/>
  <c r="S1945" i="11"/>
  <c r="N1945" i="11"/>
  <c r="M1946" i="11"/>
  <c r="D1946" i="11" l="1"/>
  <c r="C1946" i="11"/>
  <c r="S1946" i="11"/>
  <c r="R1946" i="11"/>
  <c r="N1946" i="11"/>
  <c r="M1947" i="11"/>
  <c r="D1947" i="11" l="1"/>
  <c r="C1947" i="11"/>
  <c r="R1947" i="11"/>
  <c r="S1947" i="11"/>
  <c r="N1947" i="11"/>
  <c r="M1948" i="11"/>
  <c r="D1948" i="11" l="1"/>
  <c r="C1948" i="11"/>
  <c r="S1948" i="11"/>
  <c r="R1948" i="11"/>
  <c r="N1948" i="11"/>
  <c r="M1949" i="11"/>
  <c r="D1949" i="11" l="1"/>
  <c r="C1949" i="11"/>
  <c r="R1949" i="11"/>
  <c r="S1949" i="11"/>
  <c r="N1949" i="11"/>
  <c r="M1950" i="11"/>
  <c r="D1950" i="11" l="1"/>
  <c r="C1950" i="11"/>
  <c r="S1950" i="11"/>
  <c r="R1950" i="11"/>
  <c r="N1950" i="11"/>
  <c r="M1951" i="11"/>
  <c r="D1951" i="11" l="1"/>
  <c r="C1951" i="11"/>
  <c r="R1951" i="11"/>
  <c r="S1951" i="11"/>
  <c r="N1951" i="11"/>
  <c r="M1952" i="11"/>
  <c r="D1952" i="11" l="1"/>
  <c r="C1952" i="11"/>
  <c r="S1952" i="11"/>
  <c r="R1952" i="11"/>
  <c r="N1952" i="11"/>
  <c r="M1953" i="11"/>
  <c r="D1953" i="11" l="1"/>
  <c r="C1953" i="11"/>
  <c r="R1953" i="11"/>
  <c r="S1953" i="11"/>
  <c r="N1953" i="11"/>
  <c r="M1954" i="11"/>
  <c r="D1954" i="11" l="1"/>
  <c r="C1954" i="11"/>
  <c r="S1954" i="11"/>
  <c r="R1954" i="11"/>
  <c r="N1954" i="11"/>
  <c r="M1955" i="11"/>
  <c r="D1955" i="11" l="1"/>
  <c r="C1955" i="11"/>
  <c r="R1955" i="11"/>
  <c r="S1955" i="11"/>
  <c r="N1955" i="11"/>
  <c r="M1956" i="11"/>
  <c r="D1956" i="11" l="1"/>
  <c r="C1956" i="11"/>
  <c r="S1956" i="11"/>
  <c r="R1956" i="11"/>
  <c r="N1956" i="11"/>
  <c r="M1957" i="11"/>
  <c r="D1957" i="11" l="1"/>
  <c r="C1957" i="11"/>
  <c r="R1957" i="11"/>
  <c r="S1957" i="11"/>
  <c r="N1957" i="11"/>
  <c r="M1958" i="11"/>
  <c r="D1958" i="11" l="1"/>
  <c r="C1958" i="11"/>
  <c r="S1958" i="11"/>
  <c r="R1958" i="11"/>
  <c r="N1958" i="11"/>
  <c r="M1959" i="11"/>
  <c r="D1959" i="11" l="1"/>
  <c r="C1959" i="11"/>
  <c r="R1959" i="11"/>
  <c r="S1959" i="11"/>
  <c r="N1959" i="11"/>
  <c r="M1960" i="11"/>
  <c r="D1960" i="11" l="1"/>
  <c r="C1960" i="11"/>
  <c r="S1960" i="11"/>
  <c r="R1960" i="11"/>
  <c r="N1960" i="11"/>
  <c r="M1961" i="11"/>
  <c r="D1961" i="11" l="1"/>
  <c r="C1961" i="11"/>
  <c r="R1961" i="11"/>
  <c r="S1961" i="11"/>
  <c r="N1961" i="11"/>
  <c r="M1962" i="11"/>
  <c r="D1962" i="11" l="1"/>
  <c r="C1962" i="11"/>
  <c r="S1962" i="11"/>
  <c r="R1962" i="11"/>
  <c r="N1962" i="11"/>
  <c r="M1963" i="11"/>
  <c r="D1963" i="11" l="1"/>
  <c r="C1963" i="11"/>
  <c r="R1963" i="11"/>
  <c r="S1963" i="11"/>
  <c r="N1963" i="11"/>
  <c r="M1964" i="11"/>
  <c r="D1964" i="11" l="1"/>
  <c r="C1964" i="11"/>
  <c r="S1964" i="11"/>
  <c r="R1964" i="11"/>
  <c r="N1964" i="11"/>
  <c r="M1965" i="11"/>
  <c r="D1965" i="11" l="1"/>
  <c r="C1965" i="11"/>
  <c r="R1965" i="11"/>
  <c r="S1965" i="11"/>
  <c r="N1965" i="11"/>
  <c r="M1966" i="11"/>
  <c r="D1966" i="11" l="1"/>
  <c r="C1966" i="11"/>
  <c r="S1966" i="11"/>
  <c r="R1966" i="11"/>
  <c r="N1966" i="11"/>
  <c r="M1967" i="11"/>
  <c r="D1967" i="11" l="1"/>
  <c r="C1967" i="11"/>
  <c r="R1967" i="11"/>
  <c r="S1967" i="11"/>
  <c r="N1967" i="11"/>
  <c r="M1968" i="11"/>
  <c r="D1968" i="11" l="1"/>
  <c r="C1968" i="11"/>
  <c r="S1968" i="11"/>
  <c r="R1968" i="11"/>
  <c r="N1968" i="11"/>
  <c r="M1969" i="11"/>
  <c r="D1969" i="11" l="1"/>
  <c r="C1969" i="11"/>
  <c r="R1969" i="11"/>
  <c r="S1969" i="11"/>
  <c r="N1969" i="11"/>
  <c r="M1970" i="11"/>
  <c r="D1970" i="11" l="1"/>
  <c r="C1970" i="11"/>
  <c r="S1970" i="11"/>
  <c r="R1970" i="11"/>
  <c r="N1970" i="11"/>
  <c r="M1971" i="11"/>
  <c r="D1971" i="11" l="1"/>
  <c r="C1971" i="11"/>
  <c r="R1971" i="11"/>
  <c r="S1971" i="11"/>
  <c r="N1971" i="11"/>
  <c r="M1972" i="11"/>
  <c r="D1972" i="11" l="1"/>
  <c r="C1972" i="11"/>
  <c r="S1972" i="11"/>
  <c r="R1972" i="11"/>
  <c r="N1972" i="11"/>
  <c r="M1973" i="11"/>
  <c r="D1973" i="11" l="1"/>
  <c r="C1973" i="11"/>
  <c r="R1973" i="11"/>
  <c r="S1973" i="11"/>
  <c r="N1973" i="11"/>
  <c r="M1974" i="11"/>
  <c r="D1974" i="11" l="1"/>
  <c r="C1974" i="11"/>
  <c r="S1974" i="11"/>
  <c r="R1974" i="11"/>
  <c r="N1974" i="11"/>
  <c r="M1975" i="11"/>
  <c r="D1975" i="11" l="1"/>
  <c r="C1975" i="11"/>
  <c r="R1975" i="11"/>
  <c r="S1975" i="11"/>
  <c r="N1975" i="11"/>
  <c r="M1976" i="11"/>
  <c r="D1976" i="11" l="1"/>
  <c r="C1976" i="11"/>
  <c r="S1976" i="11"/>
  <c r="R1976" i="11"/>
  <c r="N1976" i="11"/>
  <c r="M1977" i="11"/>
  <c r="D1977" i="11" l="1"/>
  <c r="C1977" i="11"/>
  <c r="R1977" i="11"/>
  <c r="S1977" i="11"/>
  <c r="N1977" i="11"/>
  <c r="M1978" i="11"/>
  <c r="D1978" i="11" l="1"/>
  <c r="C1978" i="11"/>
  <c r="S1978" i="11"/>
  <c r="R1978" i="11"/>
  <c r="N1978" i="11"/>
  <c r="M1979" i="11"/>
  <c r="D1979" i="11" l="1"/>
  <c r="C1979" i="11"/>
  <c r="R1979" i="11"/>
  <c r="S1979" i="11"/>
  <c r="N1979" i="11"/>
  <c r="M1980" i="11"/>
  <c r="D1980" i="11" l="1"/>
  <c r="C1980" i="11"/>
  <c r="S1980" i="11"/>
  <c r="R1980" i="11"/>
  <c r="N1980" i="11"/>
  <c r="M1981" i="11"/>
  <c r="D1981" i="11" l="1"/>
  <c r="C1981" i="11"/>
  <c r="R1981" i="11"/>
  <c r="S1981" i="11"/>
  <c r="N1981" i="11"/>
  <c r="M1982" i="11"/>
  <c r="D1982" i="11" l="1"/>
  <c r="C1982" i="11"/>
  <c r="S1982" i="11"/>
  <c r="R1982" i="11"/>
  <c r="N1982" i="11"/>
  <c r="M1983" i="11"/>
  <c r="D1983" i="11" l="1"/>
  <c r="C1983" i="11"/>
  <c r="R1983" i="11"/>
  <c r="S1983" i="11"/>
  <c r="N1983" i="11"/>
  <c r="M1984" i="11"/>
  <c r="D1984" i="11" l="1"/>
  <c r="C1984" i="11"/>
  <c r="S1984" i="11"/>
  <c r="R1984" i="11"/>
  <c r="N1984" i="11"/>
  <c r="M1985" i="11"/>
  <c r="D1985" i="11" l="1"/>
  <c r="C1985" i="11"/>
  <c r="R1985" i="11"/>
  <c r="S1985" i="11"/>
  <c r="N1985" i="11"/>
  <c r="M1986" i="11"/>
  <c r="D1986" i="11" l="1"/>
  <c r="C1986" i="11"/>
  <c r="S1986" i="11"/>
  <c r="R1986" i="11"/>
  <c r="N1986" i="11"/>
  <c r="M1987" i="11"/>
  <c r="D1987" i="11" l="1"/>
  <c r="C1987" i="11"/>
  <c r="R1987" i="11"/>
  <c r="S1987" i="11"/>
  <c r="N1987" i="11"/>
  <c r="M1988" i="11"/>
  <c r="D1988" i="11" l="1"/>
  <c r="C1988" i="11"/>
  <c r="S1988" i="11"/>
  <c r="R1988" i="11"/>
  <c r="N1988" i="11"/>
  <c r="M1989" i="11"/>
  <c r="D1989" i="11" l="1"/>
  <c r="C1989" i="11"/>
  <c r="R1989" i="11"/>
  <c r="S1989" i="11"/>
  <c r="N1989" i="11"/>
  <c r="M1990" i="11"/>
  <c r="D1990" i="11" l="1"/>
  <c r="C1990" i="11"/>
  <c r="S1990" i="11"/>
  <c r="R1990" i="11"/>
  <c r="N1990" i="11"/>
  <c r="M1991" i="11"/>
  <c r="D1991" i="11" l="1"/>
  <c r="C1991" i="11"/>
  <c r="R1991" i="11"/>
  <c r="S1991" i="11"/>
  <c r="N1991" i="11"/>
  <c r="M1992" i="11"/>
  <c r="D1992" i="11" l="1"/>
  <c r="C1992" i="11"/>
  <c r="S1992" i="11"/>
  <c r="R1992" i="11"/>
  <c r="N1992" i="11"/>
  <c r="M1993" i="11"/>
  <c r="D1993" i="11" l="1"/>
  <c r="C1993" i="11"/>
  <c r="R1993" i="11"/>
  <c r="S1993" i="11"/>
  <c r="N1993" i="11"/>
  <c r="M1994" i="11"/>
  <c r="D1994" i="11" l="1"/>
  <c r="C1994" i="11"/>
  <c r="S1994" i="11"/>
  <c r="R1994" i="11"/>
  <c r="N1994" i="11"/>
  <c r="M1995" i="11"/>
  <c r="D1995" i="11" l="1"/>
  <c r="C1995" i="11"/>
  <c r="R1995" i="11"/>
  <c r="S1995" i="11"/>
  <c r="N1995" i="11"/>
  <c r="M1996" i="11"/>
  <c r="D1996" i="11" l="1"/>
  <c r="C1996" i="11"/>
  <c r="S1996" i="11"/>
  <c r="R1996" i="11"/>
  <c r="N1996" i="11"/>
  <c r="M1997" i="11"/>
  <c r="D1997" i="11" l="1"/>
  <c r="C1997" i="11"/>
  <c r="R1997" i="11"/>
  <c r="S1997" i="11"/>
  <c r="N1997" i="11"/>
  <c r="M1998" i="11"/>
  <c r="D1998" i="11" l="1"/>
  <c r="C1998" i="11"/>
  <c r="S1998" i="11"/>
  <c r="R1998" i="11"/>
  <c r="N1998" i="11"/>
  <c r="M1999" i="11"/>
  <c r="D1999" i="11" l="1"/>
  <c r="C1999" i="11"/>
  <c r="R1999" i="11"/>
  <c r="S1999" i="11"/>
  <c r="N1999" i="11"/>
  <c r="M2000" i="11"/>
  <c r="D2000" i="11" l="1"/>
  <c r="C2000" i="11"/>
  <c r="S2000" i="11"/>
  <c r="R2000" i="11"/>
  <c r="N2000" i="11"/>
  <c r="M2001" i="11"/>
  <c r="D2001" i="11" l="1"/>
  <c r="C2001" i="11"/>
  <c r="R2001" i="11"/>
  <c r="S2001" i="11"/>
  <c r="N2001" i="11"/>
  <c r="M2002" i="11"/>
  <c r="D2002" i="11" l="1"/>
  <c r="C2002" i="11"/>
  <c r="S2002" i="11"/>
  <c r="R2002" i="11"/>
  <c r="N2002" i="11"/>
  <c r="M2003" i="11"/>
  <c r="D2003" i="11" l="1"/>
  <c r="C2003" i="11"/>
  <c r="R2003" i="11"/>
  <c r="S2003" i="11"/>
  <c r="N2003" i="11"/>
  <c r="M2004" i="11"/>
  <c r="D2004" i="11" l="1"/>
  <c r="C2004" i="11"/>
  <c r="S2004" i="11"/>
  <c r="R2004" i="11"/>
  <c r="N2004" i="11"/>
  <c r="M2005" i="11"/>
  <c r="D2005" i="11" l="1"/>
  <c r="C2005" i="11"/>
  <c r="R2005" i="11"/>
  <c r="S2005" i="11"/>
  <c r="N2005" i="11"/>
  <c r="M2006" i="11"/>
  <c r="D2006" i="11" l="1"/>
  <c r="C2006" i="11"/>
  <c r="S2006" i="11"/>
  <c r="R2006" i="11"/>
  <c r="N2006" i="11"/>
  <c r="M2007" i="11"/>
  <c r="D2007" i="11" l="1"/>
  <c r="C2007" i="11"/>
  <c r="R2007" i="11"/>
  <c r="S2007" i="11"/>
  <c r="N2007" i="11"/>
  <c r="M2008" i="11"/>
  <c r="D2008" i="11" l="1"/>
  <c r="C2008" i="11"/>
  <c r="S2008" i="11"/>
  <c r="R2008" i="11"/>
  <c r="N2008" i="11"/>
  <c r="M2009" i="11"/>
  <c r="D2009" i="11" l="1"/>
  <c r="C2009" i="11"/>
  <c r="R2009" i="11"/>
  <c r="S2009" i="11"/>
  <c r="N2009" i="11"/>
  <c r="M2010" i="11"/>
  <c r="D2010" i="11" l="1"/>
  <c r="C2010" i="11"/>
  <c r="S2010" i="11"/>
  <c r="R2010" i="11"/>
  <c r="N2010" i="11"/>
  <c r="M2011" i="11"/>
  <c r="D2011" i="11" l="1"/>
  <c r="C2011" i="11"/>
  <c r="R2011" i="11"/>
  <c r="S2011" i="11"/>
  <c r="N2011" i="11"/>
  <c r="M2012" i="11"/>
  <c r="D2012" i="11" l="1"/>
  <c r="C2012" i="11"/>
  <c r="S2012" i="11"/>
  <c r="R2012" i="11"/>
  <c r="N2012" i="11"/>
  <c r="M2013" i="11"/>
  <c r="D2013" i="11" l="1"/>
  <c r="C2013" i="11"/>
  <c r="R2013" i="11"/>
  <c r="S2013" i="11"/>
  <c r="N2013" i="11"/>
  <c r="M2014" i="11"/>
  <c r="D2014" i="11" l="1"/>
  <c r="C2014" i="11"/>
  <c r="S2014" i="11"/>
  <c r="R2014" i="11"/>
  <c r="N2014" i="11"/>
  <c r="M2015" i="11"/>
  <c r="D2015" i="11" l="1"/>
  <c r="C2015" i="11"/>
  <c r="R2015" i="11"/>
  <c r="S2015" i="11"/>
  <c r="N2015" i="11"/>
  <c r="M2016" i="11"/>
  <c r="D2016" i="11" l="1"/>
  <c r="C2016" i="11"/>
  <c r="S2016" i="11"/>
  <c r="R2016" i="11"/>
  <c r="N2016" i="11"/>
  <c r="M2017" i="11"/>
  <c r="D2017" i="11" l="1"/>
  <c r="C2017" i="11"/>
  <c r="R2017" i="11"/>
  <c r="S2017" i="11"/>
  <c r="N2017" i="11"/>
  <c r="M2018" i="11"/>
  <c r="D2018" i="11" l="1"/>
  <c r="C2018" i="11"/>
  <c r="S2018" i="11"/>
  <c r="R2018" i="11"/>
  <c r="N2018" i="11"/>
  <c r="M2019" i="11"/>
  <c r="D2019" i="11" l="1"/>
  <c r="C2019" i="11"/>
  <c r="R2019" i="11"/>
  <c r="S2019" i="11"/>
  <c r="N2019" i="11"/>
  <c r="M2020" i="11"/>
  <c r="D2020" i="11" l="1"/>
  <c r="C2020" i="11"/>
  <c r="S2020" i="11"/>
  <c r="R2020" i="11"/>
  <c r="N2020" i="11"/>
  <c r="M2021" i="11"/>
  <c r="D2021" i="11" l="1"/>
  <c r="C2021" i="11"/>
  <c r="R2021" i="11"/>
  <c r="S2021" i="11"/>
  <c r="N2021" i="11"/>
  <c r="M2022" i="11"/>
  <c r="D2022" i="11" l="1"/>
  <c r="C2022" i="11"/>
  <c r="S2022" i="11"/>
  <c r="R2022" i="11"/>
  <c r="N2022" i="11"/>
  <c r="M2023" i="11"/>
  <c r="D2023" i="11" l="1"/>
  <c r="C2023" i="11"/>
  <c r="R2023" i="11"/>
  <c r="S2023" i="11"/>
  <c r="N2023" i="11"/>
  <c r="M2024" i="11"/>
  <c r="D2024" i="11" l="1"/>
  <c r="C2024" i="11"/>
  <c r="S2024" i="11"/>
  <c r="R2024" i="11"/>
  <c r="N2024" i="11"/>
  <c r="M2025" i="11"/>
  <c r="D2025" i="11" l="1"/>
  <c r="C2025" i="11"/>
  <c r="R2025" i="11"/>
  <c r="S2025" i="11"/>
  <c r="N2025" i="11"/>
  <c r="M2026" i="11"/>
  <c r="D2026" i="11" l="1"/>
  <c r="C2026" i="11"/>
  <c r="S2026" i="11"/>
  <c r="R2026" i="11"/>
  <c r="N2026" i="11"/>
  <c r="M2027" i="11"/>
  <c r="D2027" i="11" l="1"/>
  <c r="C2027" i="11"/>
  <c r="R2027" i="11"/>
  <c r="S2027" i="11"/>
  <c r="N2027" i="11"/>
  <c r="M2028" i="11"/>
  <c r="D2028" i="11" l="1"/>
  <c r="C2028" i="11"/>
  <c r="S2028" i="11"/>
  <c r="R2028" i="11"/>
  <c r="N2028" i="11"/>
  <c r="M2029" i="11"/>
  <c r="D2029" i="11" l="1"/>
  <c r="C2029" i="11"/>
  <c r="R2029" i="11"/>
  <c r="S2029" i="11"/>
  <c r="N2029" i="11"/>
  <c r="M2030" i="11"/>
  <c r="D2030" i="11" l="1"/>
  <c r="C2030" i="11"/>
  <c r="S2030" i="11"/>
  <c r="R2030" i="11"/>
  <c r="N2030" i="11"/>
  <c r="M2031" i="11"/>
  <c r="D2031" i="11" l="1"/>
  <c r="C2031" i="11"/>
  <c r="R2031" i="11"/>
  <c r="S2031" i="11"/>
  <c r="N2031" i="11"/>
  <c r="M2032" i="11"/>
  <c r="D2032" i="11" l="1"/>
  <c r="C2032" i="11"/>
  <c r="S2032" i="11"/>
  <c r="R2032" i="11"/>
  <c r="N2032" i="11"/>
  <c r="M2033" i="11"/>
  <c r="D2033" i="11" l="1"/>
  <c r="C2033" i="11"/>
  <c r="R2033" i="11"/>
  <c r="S2033" i="11"/>
  <c r="N2033" i="11"/>
  <c r="M2034" i="11"/>
  <c r="D2034" i="11" l="1"/>
  <c r="C2034" i="11"/>
  <c r="S2034" i="11"/>
  <c r="R2034" i="11"/>
  <c r="N2034" i="11"/>
  <c r="M2035" i="11"/>
  <c r="D2035" i="11" l="1"/>
  <c r="C2035" i="11"/>
  <c r="R2035" i="11"/>
  <c r="S2035" i="11"/>
  <c r="N2035" i="11"/>
  <c r="M2036" i="11"/>
  <c r="D2036" i="11" l="1"/>
  <c r="C2036" i="11"/>
  <c r="S2036" i="11"/>
  <c r="R2036" i="11"/>
  <c r="N2036" i="11"/>
  <c r="M2037" i="11"/>
  <c r="D2037" i="11" l="1"/>
  <c r="C2037" i="11"/>
  <c r="R2037" i="11"/>
  <c r="S2037" i="11"/>
  <c r="N2037" i="11"/>
  <c r="M2038" i="11"/>
  <c r="D2038" i="11" l="1"/>
  <c r="C2038" i="11"/>
  <c r="S2038" i="11"/>
  <c r="R2038" i="11"/>
  <c r="N2038" i="11"/>
  <c r="M2039" i="11"/>
  <c r="D2039" i="11" l="1"/>
  <c r="C2039" i="11"/>
  <c r="R2039" i="11"/>
  <c r="S2039" i="11"/>
  <c r="N2039" i="11"/>
  <c r="M2040" i="11"/>
  <c r="D2040" i="11" l="1"/>
  <c r="C2040" i="11"/>
  <c r="S2040" i="11"/>
  <c r="R2040" i="11"/>
  <c r="N2040" i="11"/>
  <c r="M2041" i="11"/>
  <c r="D2041" i="11" l="1"/>
  <c r="C2041" i="11"/>
  <c r="R2041" i="11"/>
  <c r="S2041" i="11"/>
  <c r="N2041" i="11"/>
  <c r="M2042" i="11"/>
  <c r="D2042" i="11" l="1"/>
  <c r="C2042" i="11"/>
  <c r="S2042" i="11"/>
  <c r="R2042" i="11"/>
  <c r="N2042" i="11"/>
  <c r="M2043" i="11"/>
  <c r="D2043" i="11" l="1"/>
  <c r="C2043" i="11"/>
  <c r="R2043" i="11"/>
  <c r="S2043" i="11"/>
  <c r="N2043" i="11"/>
  <c r="M2044" i="11"/>
  <c r="D2044" i="11" l="1"/>
  <c r="C2044" i="11"/>
  <c r="S2044" i="11"/>
  <c r="R2044" i="11"/>
  <c r="N2044" i="11"/>
  <c r="M2045" i="11"/>
  <c r="D2045" i="11" l="1"/>
  <c r="C2045" i="11"/>
  <c r="R2045" i="11"/>
  <c r="S2045" i="11"/>
  <c r="N2045" i="11"/>
  <c r="M2046" i="11"/>
  <c r="D2046" i="11" l="1"/>
  <c r="C2046" i="11"/>
  <c r="S2046" i="11"/>
  <c r="R2046" i="11"/>
  <c r="N2046" i="11"/>
  <c r="M2047" i="11"/>
  <c r="D2047" i="11" l="1"/>
  <c r="C2047" i="11"/>
  <c r="R2047" i="11"/>
  <c r="S2047" i="11"/>
  <c r="N2047" i="11"/>
  <c r="M2048" i="11"/>
  <c r="D2048" i="11" l="1"/>
  <c r="C2048" i="11"/>
  <c r="S2048" i="11"/>
  <c r="R2048" i="11"/>
  <c r="N2048" i="11"/>
  <c r="M2049" i="11"/>
  <c r="D2049" i="11" l="1"/>
  <c r="C2049" i="11"/>
  <c r="R2049" i="11"/>
  <c r="S2049" i="11"/>
  <c r="N2049" i="11"/>
  <c r="M2050" i="11"/>
  <c r="D2050" i="11" l="1"/>
  <c r="C2050" i="11"/>
  <c r="S2050" i="11"/>
  <c r="R2050" i="11"/>
  <c r="N2050" i="11"/>
  <c r="M2051" i="11"/>
  <c r="D2051" i="11" l="1"/>
  <c r="C2051" i="11"/>
  <c r="R2051" i="11"/>
  <c r="S2051" i="11"/>
  <c r="N2051" i="11"/>
  <c r="M2052" i="11"/>
  <c r="D2052" i="11" l="1"/>
  <c r="C2052" i="11"/>
  <c r="S2052" i="11"/>
  <c r="R2052" i="11"/>
  <c r="N2052" i="11"/>
  <c r="M2053" i="11"/>
  <c r="D2053" i="11" l="1"/>
  <c r="C2053" i="11"/>
  <c r="R2053" i="11"/>
  <c r="S2053" i="11"/>
  <c r="N2053" i="11"/>
  <c r="M2054" i="11"/>
  <c r="D2054" i="11" l="1"/>
  <c r="C2054" i="11"/>
  <c r="S2054" i="11"/>
  <c r="R2054" i="11"/>
  <c r="N2054" i="11"/>
  <c r="M2055" i="11"/>
  <c r="D2055" i="11" l="1"/>
  <c r="C2055" i="11"/>
  <c r="R2055" i="11"/>
  <c r="S2055" i="11"/>
  <c r="N2055" i="11"/>
  <c r="M2056" i="11"/>
  <c r="D2056" i="11" l="1"/>
  <c r="C2056" i="11"/>
  <c r="S2056" i="11"/>
  <c r="R2056" i="11"/>
  <c r="N2056" i="11"/>
  <c r="M2057" i="11"/>
  <c r="D2057" i="11" l="1"/>
  <c r="C2057" i="11"/>
  <c r="R2057" i="11"/>
  <c r="S2057" i="11"/>
  <c r="N2057" i="11"/>
  <c r="M2058" i="11"/>
  <c r="D2058" i="11" l="1"/>
  <c r="C2058" i="11"/>
  <c r="S2058" i="11"/>
  <c r="R2058" i="11"/>
  <c r="N2058" i="11"/>
  <c r="M2059" i="11"/>
  <c r="D2059" i="11" l="1"/>
  <c r="C2059" i="11"/>
  <c r="R2059" i="11"/>
  <c r="S2059" i="11"/>
  <c r="N2059" i="11"/>
  <c r="M2060" i="11"/>
  <c r="D2060" i="11" l="1"/>
  <c r="C2060" i="11"/>
  <c r="S2060" i="11"/>
  <c r="R2060" i="11"/>
  <c r="N2060" i="11"/>
  <c r="M2061" i="11"/>
  <c r="D2061" i="11" l="1"/>
  <c r="C2061" i="11"/>
  <c r="R2061" i="11"/>
  <c r="S2061" i="11"/>
  <c r="N2061" i="11"/>
  <c r="M2062" i="11"/>
  <c r="D2062" i="11" l="1"/>
  <c r="C2062" i="11"/>
  <c r="S2062" i="11"/>
  <c r="R2062" i="11"/>
  <c r="N2062" i="11"/>
  <c r="M2063" i="11"/>
  <c r="D2063" i="11" l="1"/>
  <c r="C2063" i="11"/>
  <c r="R2063" i="11"/>
  <c r="S2063" i="11"/>
  <c r="N2063" i="11"/>
  <c r="M2064" i="11"/>
  <c r="D2064" i="11" l="1"/>
  <c r="C2064" i="11"/>
  <c r="S2064" i="11"/>
  <c r="R2064" i="11"/>
  <c r="N2064" i="11"/>
  <c r="M2065" i="11"/>
  <c r="D2065" i="11" l="1"/>
  <c r="C2065" i="11"/>
  <c r="R2065" i="11"/>
  <c r="S2065" i="11"/>
  <c r="N2065" i="11"/>
  <c r="M2066" i="11"/>
  <c r="D2066" i="11" l="1"/>
  <c r="C2066" i="11"/>
  <c r="S2066" i="11"/>
  <c r="R2066" i="11"/>
  <c r="N2066" i="11"/>
  <c r="M2067" i="11"/>
  <c r="D2067" i="11" l="1"/>
  <c r="C2067" i="11"/>
  <c r="R2067" i="11"/>
  <c r="S2067" i="11"/>
  <c r="N2067" i="11"/>
  <c r="M2068" i="11"/>
  <c r="D2068" i="11" l="1"/>
  <c r="C2068" i="11"/>
  <c r="S2068" i="11"/>
  <c r="R2068" i="11"/>
  <c r="N2068" i="11"/>
  <c r="M2069" i="11"/>
  <c r="D2069" i="11" l="1"/>
  <c r="C2069" i="11"/>
  <c r="R2069" i="11"/>
  <c r="S2069" i="11"/>
  <c r="N2069" i="11"/>
  <c r="M2070" i="11"/>
  <c r="D2070" i="11" l="1"/>
  <c r="C2070" i="11"/>
  <c r="S2070" i="11"/>
  <c r="R2070" i="11"/>
  <c r="N2070" i="11"/>
  <c r="M2071" i="11"/>
  <c r="D2071" i="11" l="1"/>
  <c r="C2071" i="11"/>
  <c r="R2071" i="11"/>
  <c r="S2071" i="11"/>
  <c r="N2071" i="11"/>
  <c r="M2072" i="11"/>
  <c r="D2072" i="11" l="1"/>
  <c r="C2072" i="11"/>
  <c r="S2072" i="11"/>
  <c r="R2072" i="11"/>
  <c r="N2072" i="11"/>
  <c r="M2073" i="11"/>
  <c r="D2073" i="11" l="1"/>
  <c r="C2073" i="11"/>
  <c r="R2073" i="11"/>
  <c r="S2073" i="11"/>
  <c r="N2073" i="11"/>
  <c r="M2074" i="11"/>
  <c r="D2074" i="11" l="1"/>
  <c r="C2074" i="11"/>
  <c r="S2074" i="11"/>
  <c r="R2074" i="11"/>
  <c r="N2074" i="11"/>
  <c r="M2075" i="11"/>
  <c r="D2075" i="11" l="1"/>
  <c r="C2075" i="11"/>
  <c r="R2075" i="11"/>
  <c r="S2075" i="11"/>
  <c r="N2075" i="11"/>
  <c r="M2076" i="11"/>
  <c r="D2076" i="11" l="1"/>
  <c r="C2076" i="11"/>
  <c r="S2076" i="11"/>
  <c r="R2076" i="11"/>
  <c r="N2076" i="11"/>
  <c r="M2077" i="11"/>
  <c r="D2077" i="11" l="1"/>
  <c r="C2077" i="11"/>
  <c r="R2077" i="11"/>
  <c r="S2077" i="11"/>
  <c r="N2077" i="11"/>
  <c r="M2078" i="11"/>
  <c r="D2078" i="11" l="1"/>
  <c r="C2078" i="11"/>
  <c r="S2078" i="11"/>
  <c r="R2078" i="11"/>
  <c r="N2078" i="11"/>
  <c r="M2079" i="11"/>
  <c r="D2079" i="11" l="1"/>
  <c r="C2079" i="11"/>
  <c r="R2079" i="11"/>
  <c r="S2079" i="11"/>
  <c r="N2079" i="11"/>
  <c r="M2080" i="11"/>
  <c r="D2080" i="11" l="1"/>
  <c r="C2080" i="11"/>
  <c r="S2080" i="11"/>
  <c r="R2080" i="11"/>
  <c r="N2080" i="11"/>
  <c r="M2081" i="11"/>
  <c r="D2081" i="11" l="1"/>
  <c r="C2081" i="11"/>
  <c r="R2081" i="11"/>
  <c r="S2081" i="11"/>
  <c r="N2081" i="11"/>
  <c r="M2082" i="11"/>
  <c r="D2082" i="11" l="1"/>
  <c r="C2082" i="11"/>
  <c r="S2082" i="11"/>
  <c r="R2082" i="11"/>
  <c r="N2082" i="11"/>
  <c r="M2083" i="11"/>
  <c r="D2083" i="11" l="1"/>
  <c r="C2083" i="11"/>
  <c r="R2083" i="11"/>
  <c r="S2083" i="11"/>
  <c r="N2083" i="11"/>
  <c r="M2084" i="11"/>
  <c r="D2084" i="11" l="1"/>
  <c r="C2084" i="11"/>
  <c r="S2084" i="11"/>
  <c r="R2084" i="11"/>
  <c r="N2084" i="11"/>
  <c r="M2085" i="11"/>
  <c r="D2085" i="11" l="1"/>
  <c r="C2085" i="11"/>
  <c r="R2085" i="11"/>
  <c r="S2085" i="11"/>
  <c r="N2085" i="11"/>
  <c r="M2086" i="11"/>
  <c r="D2086" i="11" l="1"/>
  <c r="C2086" i="11"/>
  <c r="S2086" i="11"/>
  <c r="R2086" i="11"/>
  <c r="N2086" i="11"/>
  <c r="M2087" i="11"/>
  <c r="D2087" i="11" l="1"/>
  <c r="C2087" i="11"/>
  <c r="R2087" i="11"/>
  <c r="S2087" i="11"/>
  <c r="N2087" i="11"/>
  <c r="M2088" i="11"/>
  <c r="D2088" i="11" l="1"/>
  <c r="C2088" i="11"/>
  <c r="S2088" i="11"/>
  <c r="R2088" i="11"/>
  <c r="N2088" i="11"/>
  <c r="M2089" i="11"/>
  <c r="D2089" i="11" l="1"/>
  <c r="C2089" i="11"/>
  <c r="R2089" i="11"/>
  <c r="S2089" i="11"/>
  <c r="N2089" i="11"/>
  <c r="M2090" i="11"/>
  <c r="D2090" i="11" l="1"/>
  <c r="C2090" i="11"/>
  <c r="S2090" i="11"/>
  <c r="R2090" i="11"/>
  <c r="N2090" i="11"/>
  <c r="M2091" i="11"/>
  <c r="D2091" i="11" l="1"/>
  <c r="C2091" i="11"/>
  <c r="R2091" i="11"/>
  <c r="S2091" i="11"/>
  <c r="N2091" i="11"/>
  <c r="M2092" i="11"/>
  <c r="D2092" i="11" l="1"/>
  <c r="C2092" i="11"/>
  <c r="S2092" i="11"/>
  <c r="R2092" i="11"/>
  <c r="N2092" i="11"/>
  <c r="M2093" i="11"/>
  <c r="D2093" i="11" l="1"/>
  <c r="C2093" i="11"/>
  <c r="R2093" i="11"/>
  <c r="S2093" i="11"/>
  <c r="N2093" i="11"/>
  <c r="M2094" i="11"/>
  <c r="D2094" i="11" l="1"/>
  <c r="C2094" i="11"/>
  <c r="S2094" i="11"/>
  <c r="R2094" i="11"/>
  <c r="N2094" i="11"/>
  <c r="M2095" i="11"/>
  <c r="D2095" i="11" l="1"/>
  <c r="C2095" i="11"/>
  <c r="R2095" i="11"/>
  <c r="S2095" i="11"/>
  <c r="N2095" i="11"/>
  <c r="M2096" i="11"/>
  <c r="D2096" i="11" l="1"/>
  <c r="C2096" i="11"/>
  <c r="S2096" i="11"/>
  <c r="R2096" i="11"/>
  <c r="N2096" i="11"/>
  <c r="M2097" i="11"/>
  <c r="D2097" i="11" l="1"/>
  <c r="C2097" i="11"/>
  <c r="R2097" i="11"/>
  <c r="S2097" i="11"/>
  <c r="N2097" i="11"/>
  <c r="M2098" i="11"/>
  <c r="D2098" i="11" l="1"/>
  <c r="C2098" i="11"/>
  <c r="S2098" i="11"/>
  <c r="R2098" i="11"/>
  <c r="N2098" i="11"/>
  <c r="M2099" i="11"/>
  <c r="D2099" i="11" l="1"/>
  <c r="C2099" i="11"/>
  <c r="R2099" i="11"/>
  <c r="S2099" i="11"/>
  <c r="N2099" i="11"/>
  <c r="M2100" i="11"/>
  <c r="D2100" i="11" l="1"/>
  <c r="C2100" i="11"/>
  <c r="S2100" i="11"/>
  <c r="R2100" i="11"/>
  <c r="N2100" i="11"/>
  <c r="M2101" i="11"/>
  <c r="D2101" i="11" l="1"/>
  <c r="C2101" i="11"/>
  <c r="R2101" i="11"/>
  <c r="S2101" i="11"/>
  <c r="N2101" i="11"/>
  <c r="M2102" i="11"/>
  <c r="D2102" i="11" l="1"/>
  <c r="C2102" i="11"/>
  <c r="S2102" i="11"/>
  <c r="R2102" i="11"/>
  <c r="N2102" i="11"/>
  <c r="M2103" i="11"/>
  <c r="D2103" i="11" l="1"/>
  <c r="C2103" i="11"/>
  <c r="R2103" i="11"/>
  <c r="S2103" i="11"/>
  <c r="N2103" i="11"/>
  <c r="M2104" i="11"/>
  <c r="D2104" i="11" l="1"/>
  <c r="C2104" i="11"/>
  <c r="S2104" i="11"/>
  <c r="R2104" i="11"/>
  <c r="N2104" i="11"/>
  <c r="M2105" i="11"/>
  <c r="D2105" i="11" l="1"/>
  <c r="C2105" i="11"/>
  <c r="R2105" i="11"/>
  <c r="S2105" i="11"/>
  <c r="N2105" i="11"/>
  <c r="M2106" i="11"/>
  <c r="D2106" i="11" l="1"/>
  <c r="C2106" i="11"/>
  <c r="S2106" i="11"/>
  <c r="R2106" i="11"/>
  <c r="N2106" i="11"/>
  <c r="M2107" i="11"/>
  <c r="D2107" i="11" l="1"/>
  <c r="C2107" i="11"/>
  <c r="R2107" i="11"/>
  <c r="S2107" i="11"/>
  <c r="N2107" i="11"/>
  <c r="M2108" i="11"/>
  <c r="D2108" i="11" l="1"/>
  <c r="C2108" i="11"/>
  <c r="S2108" i="11"/>
  <c r="R2108" i="11"/>
  <c r="N2108" i="11"/>
  <c r="M2109" i="11"/>
  <c r="D2109" i="11" l="1"/>
  <c r="C2109" i="11"/>
  <c r="R2109" i="11"/>
  <c r="S2109" i="11"/>
  <c r="N2109" i="11"/>
  <c r="M2110" i="11"/>
  <c r="D2110" i="11" l="1"/>
  <c r="C2110" i="11"/>
  <c r="S2110" i="11"/>
  <c r="R2110" i="11"/>
  <c r="N2110" i="11"/>
  <c r="M2111" i="11"/>
  <c r="D2111" i="11" l="1"/>
  <c r="C2111" i="11"/>
  <c r="R2111" i="11"/>
  <c r="S2111" i="11"/>
  <c r="N2111" i="11"/>
  <c r="M2112" i="11"/>
  <c r="D2112" i="11" l="1"/>
  <c r="C2112" i="11"/>
  <c r="S2112" i="11"/>
  <c r="R2112" i="11"/>
  <c r="N2112" i="11"/>
  <c r="M2113" i="11"/>
  <c r="D2113" i="11" l="1"/>
  <c r="C2113" i="11"/>
  <c r="R2113" i="11"/>
  <c r="S2113" i="11"/>
  <c r="N2113" i="11"/>
  <c r="M2114" i="11"/>
  <c r="D2114" i="11" l="1"/>
  <c r="C2114" i="11"/>
  <c r="S2114" i="11"/>
  <c r="R2114" i="11"/>
  <c r="N2114" i="11"/>
  <c r="M2115" i="11"/>
  <c r="D2115" i="11" l="1"/>
  <c r="C2115" i="11"/>
  <c r="R2115" i="11"/>
  <c r="S2115" i="11"/>
  <c r="N2115" i="11"/>
  <c r="M2116" i="11"/>
  <c r="D2116" i="11" l="1"/>
  <c r="C2116" i="11"/>
  <c r="S2116" i="11"/>
  <c r="R2116" i="11"/>
  <c r="N2116" i="11"/>
  <c r="M2117" i="11"/>
  <c r="D2117" i="11" l="1"/>
  <c r="C2117" i="11"/>
  <c r="R2117" i="11"/>
  <c r="S2117" i="11"/>
  <c r="N2117" i="11"/>
  <c r="M2118" i="11"/>
  <c r="D2118" i="11" l="1"/>
  <c r="C2118" i="11"/>
  <c r="S2118" i="11"/>
  <c r="R2118" i="11"/>
  <c r="N2118" i="11"/>
  <c r="M2119" i="11"/>
  <c r="D2119" i="11" l="1"/>
  <c r="C2119" i="11"/>
  <c r="R2119" i="11"/>
  <c r="S2119" i="11"/>
  <c r="N2119" i="11"/>
  <c r="M2120" i="11"/>
  <c r="D2120" i="11" l="1"/>
  <c r="C2120" i="11"/>
  <c r="S2120" i="11"/>
  <c r="R2120" i="11"/>
  <c r="N2120" i="11"/>
  <c r="M2121" i="11"/>
  <c r="D2121" i="11" l="1"/>
  <c r="C2121" i="11"/>
  <c r="R2121" i="11"/>
  <c r="S2121" i="11"/>
  <c r="N2121" i="11"/>
  <c r="M2122" i="11"/>
  <c r="D2122" i="11" l="1"/>
  <c r="C2122" i="11"/>
  <c r="S2122" i="11"/>
  <c r="R2122" i="11"/>
  <c r="N2122" i="11"/>
  <c r="M2123" i="11"/>
  <c r="D2123" i="11" l="1"/>
  <c r="C2123" i="11"/>
  <c r="R2123" i="11"/>
  <c r="S2123" i="11"/>
  <c r="N2123" i="11"/>
  <c r="M2124" i="11"/>
  <c r="D2124" i="11" l="1"/>
  <c r="C2124" i="11"/>
  <c r="S2124" i="11"/>
  <c r="R2124" i="11"/>
  <c r="N2124" i="11"/>
  <c r="M2125" i="11"/>
  <c r="D2125" i="11" l="1"/>
  <c r="C2125" i="11"/>
  <c r="R2125" i="11"/>
  <c r="S2125" i="11"/>
  <c r="N2125" i="11"/>
  <c r="M2126" i="11"/>
  <c r="D2126" i="11" l="1"/>
  <c r="C2126" i="11"/>
  <c r="S2126" i="11"/>
  <c r="R2126" i="11"/>
  <c r="N2126" i="11"/>
  <c r="M2127" i="11"/>
  <c r="D2127" i="11" l="1"/>
  <c r="C2127" i="11"/>
  <c r="R2127" i="11"/>
  <c r="S2127" i="11"/>
  <c r="N2127" i="11"/>
  <c r="M2128" i="11"/>
  <c r="D2128" i="11" l="1"/>
  <c r="C2128" i="11"/>
  <c r="S2128" i="11"/>
  <c r="R2128" i="11"/>
  <c r="N2128" i="11"/>
  <c r="M2129" i="11"/>
  <c r="D2129" i="11" l="1"/>
  <c r="C2129" i="11"/>
  <c r="R2129" i="11"/>
  <c r="S2129" i="11"/>
  <c r="N2129" i="11"/>
  <c r="M2130" i="11"/>
  <c r="D2130" i="11" l="1"/>
  <c r="C2130" i="11"/>
  <c r="S2130" i="11"/>
  <c r="R2130" i="11"/>
  <c r="N2130" i="11"/>
  <c r="M2131" i="11"/>
  <c r="D2131" i="11" l="1"/>
  <c r="C2131" i="11"/>
  <c r="R2131" i="11"/>
  <c r="S2131" i="11"/>
  <c r="N2131" i="11"/>
  <c r="M2132" i="11"/>
  <c r="D2132" i="11" l="1"/>
  <c r="C2132" i="11"/>
  <c r="S2132" i="11"/>
  <c r="R2132" i="11"/>
  <c r="N2132" i="11"/>
  <c r="M2133" i="11"/>
  <c r="D2133" i="11" l="1"/>
  <c r="C2133" i="11"/>
  <c r="R2133" i="11"/>
  <c r="S2133" i="11"/>
  <c r="N2133" i="11"/>
  <c r="M2134" i="11"/>
  <c r="D2134" i="11" l="1"/>
  <c r="C2134" i="11"/>
  <c r="S2134" i="11"/>
  <c r="R2134" i="11"/>
  <c r="N2134" i="11"/>
  <c r="M2135" i="11"/>
  <c r="D2135" i="11" l="1"/>
  <c r="C2135" i="11"/>
  <c r="R2135" i="11"/>
  <c r="S2135" i="11"/>
  <c r="N2135" i="11"/>
  <c r="M2136" i="11"/>
  <c r="D2136" i="11" l="1"/>
  <c r="C2136" i="11"/>
  <c r="S2136" i="11"/>
  <c r="R2136" i="11"/>
  <c r="N2136" i="11"/>
  <c r="M2137" i="11"/>
  <c r="D2137" i="11" l="1"/>
  <c r="C2137" i="11"/>
  <c r="R2137" i="11"/>
  <c r="S2137" i="11"/>
  <c r="N2137" i="11"/>
  <c r="M2138" i="11"/>
  <c r="D2138" i="11" l="1"/>
  <c r="C2138" i="11"/>
  <c r="S2138" i="11"/>
  <c r="R2138" i="11"/>
  <c r="N2138" i="11"/>
  <c r="M2139" i="11"/>
  <c r="D2139" i="11" l="1"/>
  <c r="C2139" i="11"/>
  <c r="R2139" i="11"/>
  <c r="S2139" i="11"/>
  <c r="N2139" i="11"/>
  <c r="M2140" i="11"/>
  <c r="D2140" i="11" l="1"/>
  <c r="C2140" i="11"/>
  <c r="S2140" i="11"/>
  <c r="R2140" i="11"/>
  <c r="N2140" i="11"/>
  <c r="M2141" i="11"/>
  <c r="D2141" i="11" l="1"/>
  <c r="C2141" i="11"/>
  <c r="R2141" i="11"/>
  <c r="S2141" i="11"/>
  <c r="N2141" i="11"/>
  <c r="M2142" i="11"/>
  <c r="D2142" i="11" l="1"/>
  <c r="C2142" i="11"/>
  <c r="S2142" i="11"/>
  <c r="R2142" i="11"/>
  <c r="N2142" i="11"/>
  <c r="M2143" i="11"/>
  <c r="D2143" i="11" l="1"/>
  <c r="C2143" i="11"/>
  <c r="R2143" i="11"/>
  <c r="S2143" i="11"/>
  <c r="N2143" i="11"/>
  <c r="M2144" i="11"/>
  <c r="D2144" i="11" l="1"/>
  <c r="C2144" i="11"/>
  <c r="S2144" i="11"/>
  <c r="R2144" i="11"/>
  <c r="N2144" i="11"/>
  <c r="M2145" i="11"/>
  <c r="D2145" i="11" l="1"/>
  <c r="C2145" i="11"/>
  <c r="R2145" i="11"/>
  <c r="S2145" i="11"/>
  <c r="N2145" i="11"/>
  <c r="M2146" i="11"/>
  <c r="D2146" i="11" l="1"/>
  <c r="C2146" i="11"/>
  <c r="S2146" i="11"/>
  <c r="R2146" i="11"/>
  <c r="N2146" i="11"/>
  <c r="M2147" i="11"/>
  <c r="D2147" i="11" l="1"/>
  <c r="C2147" i="11"/>
  <c r="R2147" i="11"/>
  <c r="S2147" i="11"/>
  <c r="N2147" i="11"/>
  <c r="M2148" i="11"/>
  <c r="D2148" i="11" l="1"/>
  <c r="C2148" i="11"/>
  <c r="S2148" i="11"/>
  <c r="R2148" i="11"/>
  <c r="N2148" i="11"/>
  <c r="M2149" i="11"/>
  <c r="D2149" i="11" l="1"/>
  <c r="C2149" i="11"/>
  <c r="R2149" i="11"/>
  <c r="S2149" i="11"/>
  <c r="N2149" i="11"/>
  <c r="M2150" i="11"/>
  <c r="D2150" i="11" l="1"/>
  <c r="C2150" i="11"/>
  <c r="S2150" i="11"/>
  <c r="R2150" i="11"/>
  <c r="N2150" i="11"/>
  <c r="M2151" i="11"/>
  <c r="D2151" i="11" l="1"/>
  <c r="C2151" i="11"/>
  <c r="R2151" i="11"/>
  <c r="S2151" i="11"/>
  <c r="N2151" i="11"/>
  <c r="M2152" i="11"/>
  <c r="D2152" i="11" l="1"/>
  <c r="C2152" i="11"/>
  <c r="S2152" i="11"/>
  <c r="R2152" i="11"/>
  <c r="N2152" i="11"/>
  <c r="M2153" i="11"/>
  <c r="D2153" i="11" l="1"/>
  <c r="C2153" i="11"/>
  <c r="R2153" i="11"/>
  <c r="S2153" i="11"/>
  <c r="N2153" i="11"/>
  <c r="M2154" i="11"/>
  <c r="D2154" i="11" l="1"/>
  <c r="C2154" i="11"/>
  <c r="S2154" i="11"/>
  <c r="R2154" i="11"/>
  <c r="N2154" i="11"/>
  <c r="M2155" i="11"/>
  <c r="D2155" i="11" l="1"/>
  <c r="C2155" i="11"/>
  <c r="R2155" i="11"/>
  <c r="S2155" i="11"/>
  <c r="N2155" i="11"/>
  <c r="M2156" i="11"/>
  <c r="D2156" i="11" l="1"/>
  <c r="C2156" i="11"/>
  <c r="S2156" i="11"/>
  <c r="R2156" i="11"/>
  <c r="N2156" i="11"/>
  <c r="M2157" i="11"/>
  <c r="D2157" i="11" l="1"/>
  <c r="C2157" i="11"/>
  <c r="R2157" i="11"/>
  <c r="S2157" i="11"/>
  <c r="N2157" i="11"/>
  <c r="M2158" i="11"/>
  <c r="D2158" i="11" l="1"/>
  <c r="C2158" i="11"/>
  <c r="S2158" i="11"/>
  <c r="R2158" i="11"/>
  <c r="N2158" i="11"/>
  <c r="M2159" i="11"/>
  <c r="D2159" i="11" l="1"/>
  <c r="C2159" i="11"/>
  <c r="R2159" i="11"/>
  <c r="S2159" i="11"/>
  <c r="N2159" i="11"/>
  <c r="M2160" i="11"/>
  <c r="D2160" i="11" l="1"/>
  <c r="C2160" i="11"/>
  <c r="S2160" i="11"/>
  <c r="R2160" i="11"/>
  <c r="N2160" i="11"/>
  <c r="M2161" i="11"/>
  <c r="D2161" i="11" l="1"/>
  <c r="C2161" i="11"/>
  <c r="R2161" i="11"/>
  <c r="S2161" i="11"/>
  <c r="N2161" i="11"/>
  <c r="M2162" i="11"/>
  <c r="D2162" i="11" l="1"/>
  <c r="C2162" i="11"/>
  <c r="S2162" i="11"/>
  <c r="R2162" i="11"/>
  <c r="N2162" i="11"/>
  <c r="M2163" i="11"/>
  <c r="D2163" i="11" l="1"/>
  <c r="C2163" i="11"/>
  <c r="R2163" i="11"/>
  <c r="S2163" i="11"/>
  <c r="N2163" i="11"/>
  <c r="M2164" i="11"/>
  <c r="D2164" i="11" l="1"/>
  <c r="C2164" i="11"/>
  <c r="S2164" i="11"/>
  <c r="R2164" i="11"/>
  <c r="N2164" i="11"/>
  <c r="M2165" i="11"/>
  <c r="D2165" i="11" l="1"/>
  <c r="C2165" i="11"/>
  <c r="R2165" i="11"/>
  <c r="S2165" i="11"/>
  <c r="N2165" i="11"/>
  <c r="M2166" i="11"/>
  <c r="D2166" i="11" l="1"/>
  <c r="C2166" i="11"/>
  <c r="S2166" i="11"/>
  <c r="R2166" i="11"/>
  <c r="N2166" i="11"/>
  <c r="M2167" i="11"/>
  <c r="D2167" i="11" l="1"/>
  <c r="C2167" i="11"/>
  <c r="R2167" i="11"/>
  <c r="S2167" i="11"/>
  <c r="N2167" i="11"/>
  <c r="M2168" i="11"/>
  <c r="D2168" i="11" l="1"/>
  <c r="C2168" i="11"/>
  <c r="S2168" i="11"/>
  <c r="R2168" i="11"/>
  <c r="N2168" i="11"/>
  <c r="M2169" i="11"/>
  <c r="D2169" i="11" l="1"/>
  <c r="C2169" i="11"/>
  <c r="R2169" i="11"/>
  <c r="S2169" i="11"/>
  <c r="N2169" i="11"/>
  <c r="M2170" i="11"/>
  <c r="D2170" i="11" l="1"/>
  <c r="C2170" i="11"/>
  <c r="S2170" i="11"/>
  <c r="R2170" i="11"/>
  <c r="N2170" i="11"/>
  <c r="M2171" i="11"/>
  <c r="D2171" i="11" l="1"/>
  <c r="C2171" i="11"/>
  <c r="R2171" i="11"/>
  <c r="S2171" i="11"/>
  <c r="N2171" i="11"/>
  <c r="M2172" i="11"/>
  <c r="D2172" i="11" l="1"/>
  <c r="C2172" i="11"/>
  <c r="S2172" i="11"/>
  <c r="R2172" i="11"/>
  <c r="N2172" i="11"/>
  <c r="M2173" i="11"/>
  <c r="D2173" i="11" l="1"/>
  <c r="C2173" i="11"/>
  <c r="R2173" i="11"/>
  <c r="S2173" i="11"/>
  <c r="N2173" i="11"/>
  <c r="M2174" i="11"/>
  <c r="D2174" i="11" l="1"/>
  <c r="C2174" i="11"/>
  <c r="S2174" i="11"/>
  <c r="R2174" i="11"/>
  <c r="N2174" i="11"/>
  <c r="M2175" i="11"/>
  <c r="D2175" i="11" l="1"/>
  <c r="C2175" i="11"/>
  <c r="R2175" i="11"/>
  <c r="S2175" i="11"/>
  <c r="N2175" i="11"/>
  <c r="M2176" i="11"/>
  <c r="D2176" i="11" l="1"/>
  <c r="C2176" i="11"/>
  <c r="S2176" i="11"/>
  <c r="R2176" i="11"/>
  <c r="N2176" i="11"/>
  <c r="M2177" i="11"/>
  <c r="D2177" i="11" l="1"/>
  <c r="C2177" i="11"/>
  <c r="R2177" i="11"/>
  <c r="S2177" i="11"/>
  <c r="N2177" i="11"/>
  <c r="M2178" i="11"/>
  <c r="D2178" i="11" l="1"/>
  <c r="C2178" i="11"/>
  <c r="S2178" i="11"/>
  <c r="R2178" i="11"/>
  <c r="N2178" i="11"/>
  <c r="M2179" i="11"/>
  <c r="D2179" i="11" l="1"/>
  <c r="C2179" i="11"/>
  <c r="R2179" i="11"/>
  <c r="S2179" i="11"/>
  <c r="N2179" i="11"/>
  <c r="M2180" i="11"/>
  <c r="D2180" i="11" l="1"/>
  <c r="C2180" i="11"/>
  <c r="S2180" i="11"/>
  <c r="R2180" i="11"/>
  <c r="N2180" i="11"/>
  <c r="M2181" i="11"/>
  <c r="D2181" i="11" l="1"/>
  <c r="C2181" i="11"/>
  <c r="R2181" i="11"/>
  <c r="S2181" i="11"/>
  <c r="N2181" i="11"/>
  <c r="M2182" i="11"/>
  <c r="D2182" i="11" l="1"/>
  <c r="C2182" i="11"/>
  <c r="S2182" i="11"/>
  <c r="R2182" i="11"/>
  <c r="N2182" i="11"/>
  <c r="M2183" i="11"/>
  <c r="D2183" i="11" l="1"/>
  <c r="C2183" i="11"/>
  <c r="R2183" i="11"/>
  <c r="S2183" i="11"/>
  <c r="N2183" i="11"/>
  <c r="M2184" i="11"/>
  <c r="D2184" i="11" l="1"/>
  <c r="C2184" i="11"/>
  <c r="S2184" i="11"/>
  <c r="R2184" i="11"/>
  <c r="N2184" i="11"/>
  <c r="M2185" i="11"/>
  <c r="D2185" i="11" l="1"/>
  <c r="C2185" i="11"/>
  <c r="R2185" i="11"/>
  <c r="S2185" i="11"/>
  <c r="N2185" i="11"/>
  <c r="M2186" i="11"/>
  <c r="D2186" i="11" l="1"/>
  <c r="C2186" i="11"/>
  <c r="S2186" i="11"/>
  <c r="R2186" i="11"/>
  <c r="N2186" i="11"/>
  <c r="M2187" i="11"/>
  <c r="D2187" i="11" l="1"/>
  <c r="C2187" i="11"/>
  <c r="R2187" i="11"/>
  <c r="S2187" i="11"/>
  <c r="N2187" i="11"/>
  <c r="M2188" i="11"/>
  <c r="D2188" i="11" l="1"/>
  <c r="C2188" i="11"/>
  <c r="S2188" i="11"/>
  <c r="R2188" i="11"/>
  <c r="N2188" i="11"/>
  <c r="M2189" i="11"/>
  <c r="D2189" i="11" l="1"/>
  <c r="C2189" i="11"/>
  <c r="R2189" i="11"/>
  <c r="S2189" i="11"/>
  <c r="N2189" i="11"/>
  <c r="M2190" i="11"/>
  <c r="D2190" i="11" l="1"/>
  <c r="C2190" i="11"/>
  <c r="S2190" i="11"/>
  <c r="R2190" i="11"/>
  <c r="N2190" i="11"/>
  <c r="M2191" i="11"/>
  <c r="D2191" i="11" l="1"/>
  <c r="C2191" i="11"/>
  <c r="R2191" i="11"/>
  <c r="S2191" i="11"/>
  <c r="N2191" i="11"/>
  <c r="M2192" i="11"/>
  <c r="D2192" i="11" l="1"/>
  <c r="C2192" i="11"/>
  <c r="S2192" i="11"/>
  <c r="R2192" i="11"/>
  <c r="N2192" i="11"/>
  <c r="M2193" i="11"/>
  <c r="D2193" i="11" l="1"/>
  <c r="C2193" i="11"/>
  <c r="R2193" i="11"/>
  <c r="S2193" i="11"/>
  <c r="N2193" i="11"/>
  <c r="M2194" i="11"/>
  <c r="D2194" i="11" l="1"/>
  <c r="C2194" i="11"/>
  <c r="S2194" i="11"/>
  <c r="R2194" i="11"/>
  <c r="N2194" i="11"/>
  <c r="M2195" i="11"/>
  <c r="D2195" i="11" l="1"/>
  <c r="C2195" i="11"/>
  <c r="R2195" i="11"/>
  <c r="S2195" i="11"/>
  <c r="N2195" i="11"/>
  <c r="M2196" i="11"/>
  <c r="D2196" i="11" l="1"/>
  <c r="C2196" i="11"/>
  <c r="S2196" i="11"/>
  <c r="R2196" i="11"/>
  <c r="N2196" i="11"/>
  <c r="M2197" i="11"/>
  <c r="D2197" i="11" l="1"/>
  <c r="C2197" i="11"/>
  <c r="R2197" i="11"/>
  <c r="S2197" i="11"/>
  <c r="N2197" i="11"/>
  <c r="M2198" i="11"/>
  <c r="D2198" i="11" l="1"/>
  <c r="C2198" i="11"/>
  <c r="S2198" i="11"/>
  <c r="R2198" i="11"/>
  <c r="N2198" i="11"/>
  <c r="M2199" i="11"/>
  <c r="D2199" i="11" l="1"/>
  <c r="C2199" i="11"/>
  <c r="R2199" i="11"/>
  <c r="S2199" i="11"/>
  <c r="N2199" i="11"/>
  <c r="M2200" i="11"/>
  <c r="D2200" i="11" l="1"/>
  <c r="C2200" i="11"/>
  <c r="S2200" i="11"/>
  <c r="R2200" i="11"/>
  <c r="N2200" i="11"/>
  <c r="M2201" i="11"/>
  <c r="D2201" i="11" l="1"/>
  <c r="C2201" i="11"/>
  <c r="R2201" i="11"/>
  <c r="S2201" i="11"/>
  <c r="N2201" i="11"/>
  <c r="M2202" i="11"/>
  <c r="D2202" i="11" l="1"/>
  <c r="C2202" i="11"/>
  <c r="S2202" i="11"/>
  <c r="R2202" i="11"/>
  <c r="N2202" i="11"/>
  <c r="M2203" i="11"/>
  <c r="D2203" i="11" l="1"/>
  <c r="C2203" i="11"/>
  <c r="R2203" i="11"/>
  <c r="S2203" i="11"/>
  <c r="N2203" i="11"/>
  <c r="M2204" i="11"/>
  <c r="D2204" i="11" l="1"/>
  <c r="C2204" i="11"/>
  <c r="S2204" i="11"/>
  <c r="R2204" i="11"/>
  <c r="N2204" i="11"/>
  <c r="M2205" i="11"/>
  <c r="D2205" i="11" l="1"/>
  <c r="C2205" i="11"/>
  <c r="R2205" i="11"/>
  <c r="S2205" i="11"/>
  <c r="N2205" i="11"/>
  <c r="M2206" i="11"/>
  <c r="D2206" i="11" l="1"/>
  <c r="C2206" i="11"/>
  <c r="S2206" i="11"/>
  <c r="R2206" i="11"/>
  <c r="N2206" i="11"/>
  <c r="M2207" i="11"/>
  <c r="D2207" i="11" l="1"/>
  <c r="C2207" i="11"/>
  <c r="R2207" i="11"/>
  <c r="S2207" i="11"/>
  <c r="N2207" i="11"/>
  <c r="M2208" i="11"/>
  <c r="D2208" i="11" l="1"/>
  <c r="C2208" i="11"/>
  <c r="S2208" i="11"/>
  <c r="R2208" i="11"/>
  <c r="N2208" i="11"/>
  <c r="M2209" i="11"/>
  <c r="D2209" i="11" l="1"/>
  <c r="C2209" i="11"/>
  <c r="R2209" i="11"/>
  <c r="S2209" i="11"/>
  <c r="N2209" i="11"/>
  <c r="M2210" i="11"/>
  <c r="D2210" i="11" l="1"/>
  <c r="C2210" i="11"/>
  <c r="S2210" i="11"/>
  <c r="R2210" i="11"/>
  <c r="N2210" i="11"/>
  <c r="M2211" i="11"/>
  <c r="D2211" i="11" l="1"/>
  <c r="C2211" i="11"/>
  <c r="R2211" i="11"/>
  <c r="S2211" i="11"/>
  <c r="N2211" i="11"/>
  <c r="M2212" i="11"/>
  <c r="D2212" i="11" l="1"/>
  <c r="C2212" i="11"/>
  <c r="S2212" i="11"/>
  <c r="R2212" i="11"/>
  <c r="N2212" i="11"/>
  <c r="M2213" i="11"/>
  <c r="D2213" i="11" l="1"/>
  <c r="C2213" i="11"/>
  <c r="R2213" i="11"/>
  <c r="S2213" i="11"/>
  <c r="N2213" i="11"/>
  <c r="M2214" i="11"/>
  <c r="D2214" i="11" l="1"/>
  <c r="C2214" i="11"/>
  <c r="S2214" i="11"/>
  <c r="R2214" i="11"/>
  <c r="N2214" i="11"/>
  <c r="M2215" i="11"/>
  <c r="D2215" i="11" l="1"/>
  <c r="C2215" i="11"/>
  <c r="R2215" i="11"/>
  <c r="S2215" i="11"/>
  <c r="N2215" i="11"/>
  <c r="M2216" i="11"/>
  <c r="D2216" i="11" l="1"/>
  <c r="C2216" i="11"/>
  <c r="S2216" i="11"/>
  <c r="R2216" i="11"/>
  <c r="N2216" i="11"/>
  <c r="M2217" i="11"/>
  <c r="D2217" i="11" l="1"/>
  <c r="C2217" i="11"/>
  <c r="R2217" i="11"/>
  <c r="S2217" i="11"/>
  <c r="N2217" i="11"/>
  <c r="M2218" i="11"/>
  <c r="D2218" i="11" l="1"/>
  <c r="C2218" i="11"/>
  <c r="S2218" i="11"/>
  <c r="R2218" i="11"/>
  <c r="N2218" i="11"/>
  <c r="M2219" i="11"/>
  <c r="D2219" i="11" l="1"/>
  <c r="C2219" i="11"/>
  <c r="R2219" i="11"/>
  <c r="S2219" i="11"/>
  <c r="N2219" i="11"/>
  <c r="M2220" i="11"/>
  <c r="D2220" i="11" l="1"/>
  <c r="C2220" i="11"/>
  <c r="S2220" i="11"/>
  <c r="R2220" i="11"/>
  <c r="N2220" i="11"/>
  <c r="M2221" i="11"/>
  <c r="D2221" i="11" l="1"/>
  <c r="C2221" i="11"/>
  <c r="R2221" i="11"/>
  <c r="S2221" i="11"/>
  <c r="N2221" i="11"/>
  <c r="M2222" i="11"/>
  <c r="D2222" i="11" l="1"/>
  <c r="C2222" i="11"/>
  <c r="S2222" i="11"/>
  <c r="R2222" i="11"/>
  <c r="N2222" i="11"/>
  <c r="M2223" i="11"/>
  <c r="D2223" i="11" l="1"/>
  <c r="C2223" i="11"/>
  <c r="R2223" i="11"/>
  <c r="S2223" i="11"/>
  <c r="N2223" i="11"/>
  <c r="M2224" i="11"/>
  <c r="D2224" i="11" l="1"/>
  <c r="C2224" i="11"/>
  <c r="S2224" i="11"/>
  <c r="R2224" i="11"/>
  <c r="N2224" i="11"/>
  <c r="M2225" i="11"/>
  <c r="D2225" i="11" l="1"/>
  <c r="C2225" i="11"/>
  <c r="R2225" i="11"/>
  <c r="S2225" i="11"/>
  <c r="N2225" i="11"/>
  <c r="M2226" i="11"/>
  <c r="D2226" i="11" l="1"/>
  <c r="C2226" i="11"/>
  <c r="S2226" i="11"/>
  <c r="R2226" i="11"/>
  <c r="N2226" i="11"/>
  <c r="M2227" i="11"/>
  <c r="D2227" i="11" l="1"/>
  <c r="C2227" i="11"/>
  <c r="R2227" i="11"/>
  <c r="S2227" i="11"/>
  <c r="N2227" i="11"/>
  <c r="M2228" i="11"/>
  <c r="D2228" i="11" l="1"/>
  <c r="C2228" i="11"/>
  <c r="S2228" i="11"/>
  <c r="R2228" i="11"/>
  <c r="N2228" i="11"/>
  <c r="M2229" i="11"/>
  <c r="D2229" i="11" l="1"/>
  <c r="C2229" i="11"/>
  <c r="R2229" i="11"/>
  <c r="S2229" i="11"/>
  <c r="N2229" i="11"/>
  <c r="M2230" i="11"/>
  <c r="D2230" i="11" l="1"/>
  <c r="C2230" i="11"/>
  <c r="S2230" i="11"/>
  <c r="R2230" i="11"/>
  <c r="N2230" i="11"/>
  <c r="M2231" i="11"/>
  <c r="D2231" i="11" l="1"/>
  <c r="C2231" i="11"/>
  <c r="R2231" i="11"/>
  <c r="S2231" i="11"/>
  <c r="N2231" i="11"/>
  <c r="M2232" i="11"/>
  <c r="D2232" i="11" l="1"/>
  <c r="C2232" i="11"/>
  <c r="S2232" i="11"/>
  <c r="R2232" i="11"/>
  <c r="N2232" i="11"/>
  <c r="M2233" i="11"/>
  <c r="D2233" i="11" l="1"/>
  <c r="C2233" i="11"/>
  <c r="R2233" i="11"/>
  <c r="S2233" i="11"/>
  <c r="N2233" i="11"/>
  <c r="M2234" i="11"/>
  <c r="D2234" i="11" l="1"/>
  <c r="C2234" i="11"/>
  <c r="S2234" i="11"/>
  <c r="R2234" i="11"/>
  <c r="N2234" i="11"/>
  <c r="M2235" i="11"/>
  <c r="D2235" i="11" l="1"/>
  <c r="C2235" i="11"/>
  <c r="R2235" i="11"/>
  <c r="S2235" i="11"/>
  <c r="N2235" i="11"/>
  <c r="M2236" i="11"/>
  <c r="D2236" i="11" l="1"/>
  <c r="C2236" i="11"/>
  <c r="S2236" i="11"/>
  <c r="R2236" i="11"/>
  <c r="N2236" i="11"/>
  <c r="M2237" i="11"/>
  <c r="D2237" i="11" l="1"/>
  <c r="C2237" i="11"/>
  <c r="R2237" i="11"/>
  <c r="S2237" i="11"/>
  <c r="N2237" i="11"/>
  <c r="M2238" i="11"/>
  <c r="D2238" i="11" l="1"/>
  <c r="C2238" i="11"/>
  <c r="S2238" i="11"/>
  <c r="R2238" i="11"/>
  <c r="N2238" i="11"/>
  <c r="M2239" i="11"/>
  <c r="D2239" i="11" l="1"/>
  <c r="C2239" i="11"/>
  <c r="R2239" i="11"/>
  <c r="S2239" i="11"/>
  <c r="N2239" i="11"/>
  <c r="M2240" i="11"/>
  <c r="D2240" i="11" l="1"/>
  <c r="C2240" i="11"/>
  <c r="S2240" i="11"/>
  <c r="R2240" i="11"/>
  <c r="N2240" i="11"/>
  <c r="M2241" i="11"/>
  <c r="D2241" i="11" l="1"/>
  <c r="C2241" i="11"/>
  <c r="R2241" i="11"/>
  <c r="S2241" i="11"/>
  <c r="N2241" i="11"/>
  <c r="M2242" i="11"/>
  <c r="D2242" i="11" l="1"/>
  <c r="C2242" i="11"/>
  <c r="S2242" i="11"/>
  <c r="R2242" i="11"/>
  <c r="N2242" i="11"/>
  <c r="M2243" i="11"/>
  <c r="D2243" i="11" l="1"/>
  <c r="C2243" i="11"/>
  <c r="R2243" i="11"/>
  <c r="S2243" i="11"/>
  <c r="N2243" i="11"/>
  <c r="M2244" i="11"/>
  <c r="D2244" i="11" l="1"/>
  <c r="C2244" i="11"/>
  <c r="S2244" i="11"/>
  <c r="R2244" i="11"/>
  <c r="N2244" i="11"/>
  <c r="M2245" i="11"/>
  <c r="D2245" i="11" l="1"/>
  <c r="C2245" i="11"/>
  <c r="R2245" i="11"/>
  <c r="S2245" i="11"/>
  <c r="N2245" i="11"/>
  <c r="M2246" i="11"/>
  <c r="D2246" i="11" l="1"/>
  <c r="C2246" i="11"/>
  <c r="S2246" i="11"/>
  <c r="R2246" i="11"/>
  <c r="N2246" i="11"/>
  <c r="M2247" i="11"/>
  <c r="D2247" i="11" l="1"/>
  <c r="C2247" i="11"/>
  <c r="R2247" i="11"/>
  <c r="S2247" i="11"/>
  <c r="N2247" i="11"/>
  <c r="M2248" i="11"/>
  <c r="D2248" i="11" l="1"/>
  <c r="C2248" i="11"/>
  <c r="S2248" i="11"/>
  <c r="R2248" i="11"/>
  <c r="N2248" i="11"/>
  <c r="M2249" i="11"/>
  <c r="D2249" i="11" l="1"/>
  <c r="C2249" i="11"/>
  <c r="R2249" i="11"/>
  <c r="S2249" i="11"/>
  <c r="N2249" i="11"/>
  <c r="M2250" i="11"/>
  <c r="D2250" i="11" l="1"/>
  <c r="C2250" i="11"/>
  <c r="S2250" i="11"/>
  <c r="R2250" i="11"/>
  <c r="N2250" i="11"/>
  <c r="M2251" i="11"/>
  <c r="D2251" i="11" l="1"/>
  <c r="C2251" i="11"/>
  <c r="R2251" i="11"/>
  <c r="S2251" i="11"/>
  <c r="N2251" i="11"/>
  <c r="M2252" i="11"/>
  <c r="D2252" i="11" l="1"/>
  <c r="C2252" i="11"/>
  <c r="S2252" i="11"/>
  <c r="R2252" i="11"/>
  <c r="N2252" i="11"/>
  <c r="M2253" i="11"/>
  <c r="D2253" i="11" l="1"/>
  <c r="C2253" i="11"/>
  <c r="R2253" i="11"/>
  <c r="S2253" i="11"/>
  <c r="N2253" i="11"/>
  <c r="M2254" i="11"/>
  <c r="D2254" i="11" l="1"/>
  <c r="C2254" i="11"/>
  <c r="S2254" i="11"/>
  <c r="R2254" i="11"/>
  <c r="N2254" i="11"/>
  <c r="M2255" i="11"/>
  <c r="D2255" i="11" l="1"/>
  <c r="C2255" i="11"/>
  <c r="R2255" i="11"/>
  <c r="S2255" i="11"/>
  <c r="N2255" i="11"/>
  <c r="M2256" i="11"/>
  <c r="D2256" i="11" l="1"/>
  <c r="C2256" i="11"/>
  <c r="S2256" i="11"/>
  <c r="R2256" i="11"/>
  <c r="N2256" i="11"/>
  <c r="M2257" i="11"/>
  <c r="D2257" i="11" l="1"/>
  <c r="C2257" i="11"/>
  <c r="R2257" i="11"/>
  <c r="S2257" i="11"/>
  <c r="N2257" i="11"/>
  <c r="M2258" i="11"/>
  <c r="D2258" i="11" l="1"/>
  <c r="C2258" i="11"/>
  <c r="S2258" i="11"/>
  <c r="R2258" i="11"/>
  <c r="N2258" i="11"/>
  <c r="M2259" i="11"/>
  <c r="D2259" i="11" l="1"/>
  <c r="C2259" i="11"/>
  <c r="R2259" i="11"/>
  <c r="S2259" i="11"/>
  <c r="N2259" i="11"/>
  <c r="M2260" i="11"/>
  <c r="D2260" i="11" l="1"/>
  <c r="C2260" i="11"/>
  <c r="S2260" i="11"/>
  <c r="R2260" i="11"/>
  <c r="N2260" i="11"/>
  <c r="M2261" i="11"/>
  <c r="D2261" i="11" l="1"/>
  <c r="C2261" i="11"/>
  <c r="R2261" i="11"/>
  <c r="S2261" i="11"/>
  <c r="N2261" i="11"/>
  <c r="M2262" i="11"/>
  <c r="D2262" i="11" l="1"/>
  <c r="C2262" i="11"/>
  <c r="S2262" i="11"/>
  <c r="R2262" i="11"/>
  <c r="N2262" i="11"/>
  <c r="M2263" i="11"/>
  <c r="D2263" i="11" l="1"/>
  <c r="C2263" i="11"/>
  <c r="R2263" i="11"/>
  <c r="S2263" i="11"/>
  <c r="N2263" i="11"/>
  <c r="M2264" i="11"/>
  <c r="D2264" i="11" l="1"/>
  <c r="C2264" i="11"/>
  <c r="S2264" i="11"/>
  <c r="R2264" i="11"/>
  <c r="N2264" i="11"/>
  <c r="M2265" i="11"/>
  <c r="D2265" i="11" l="1"/>
  <c r="C2265" i="11"/>
  <c r="R2265" i="11"/>
  <c r="S2265" i="11"/>
  <c r="N2265" i="11"/>
  <c r="M2266" i="11"/>
  <c r="D2266" i="11" l="1"/>
  <c r="C2266" i="11"/>
  <c r="S2266" i="11"/>
  <c r="R2266" i="11"/>
  <c r="N2266" i="11"/>
  <c r="M2267" i="11"/>
  <c r="D2267" i="11" l="1"/>
  <c r="C2267" i="11"/>
  <c r="R2267" i="11"/>
  <c r="S2267" i="11"/>
  <c r="N2267" i="11"/>
  <c r="M2268" i="11"/>
  <c r="D2268" i="11" l="1"/>
  <c r="C2268" i="11"/>
  <c r="S2268" i="11"/>
  <c r="R2268" i="11"/>
  <c r="N2268" i="11"/>
  <c r="M2269" i="11"/>
  <c r="D2269" i="11" l="1"/>
  <c r="C2269" i="11"/>
  <c r="R2269" i="11"/>
  <c r="S2269" i="11"/>
  <c r="N2269" i="11"/>
  <c r="M2270" i="11"/>
  <c r="D2270" i="11" l="1"/>
  <c r="C2270" i="11"/>
  <c r="S2270" i="11"/>
  <c r="R2270" i="11"/>
  <c r="N2270" i="11"/>
  <c r="M2271" i="11"/>
  <c r="D2271" i="11" l="1"/>
  <c r="C2271" i="11"/>
  <c r="R2271" i="11"/>
  <c r="S2271" i="11"/>
  <c r="N2271" i="11"/>
  <c r="M2272" i="11"/>
  <c r="D2272" i="11" l="1"/>
  <c r="C2272" i="11"/>
  <c r="S2272" i="11"/>
  <c r="R2272" i="11"/>
  <c r="N2272" i="11"/>
  <c r="M2273" i="11"/>
  <c r="D2273" i="11" l="1"/>
  <c r="C2273" i="11"/>
  <c r="R2273" i="11"/>
  <c r="S2273" i="11"/>
  <c r="N2273" i="11"/>
  <c r="M2274" i="11"/>
  <c r="D2274" i="11" l="1"/>
  <c r="C2274" i="11"/>
  <c r="S2274" i="11"/>
  <c r="R2274" i="11"/>
  <c r="N2274" i="11"/>
  <c r="M2275" i="11"/>
  <c r="D2275" i="11" l="1"/>
  <c r="C2275" i="11"/>
  <c r="R2275" i="11"/>
  <c r="S2275" i="11"/>
  <c r="N2275" i="11"/>
  <c r="M2276" i="11"/>
  <c r="D2276" i="11" l="1"/>
  <c r="C2276" i="11"/>
  <c r="S2276" i="11"/>
  <c r="R2276" i="11"/>
  <c r="N2276" i="11"/>
  <c r="M2277" i="11"/>
  <c r="D2277" i="11" l="1"/>
  <c r="C2277" i="11"/>
  <c r="R2277" i="11"/>
  <c r="S2277" i="11"/>
  <c r="N2277" i="11"/>
  <c r="M2278" i="11"/>
  <c r="D2278" i="11" l="1"/>
  <c r="C2278" i="11"/>
  <c r="S2278" i="11"/>
  <c r="R2278" i="11"/>
  <c r="N2278" i="11"/>
  <c r="M2279" i="11"/>
  <c r="D2279" i="11" l="1"/>
  <c r="C2279" i="11"/>
  <c r="R2279" i="11"/>
  <c r="S2279" i="11"/>
  <c r="N2279" i="11"/>
  <c r="M2280" i="11"/>
  <c r="D2280" i="11" l="1"/>
  <c r="C2280" i="11"/>
  <c r="S2280" i="11"/>
  <c r="R2280" i="11"/>
  <c r="N2280" i="11"/>
  <c r="M2281" i="11"/>
  <c r="D2281" i="11" l="1"/>
  <c r="C2281" i="11"/>
  <c r="R2281" i="11"/>
  <c r="S2281" i="11"/>
  <c r="N2281" i="11"/>
  <c r="M2282" i="11"/>
  <c r="D2282" i="11" l="1"/>
  <c r="C2282" i="11"/>
  <c r="S2282" i="11"/>
  <c r="R2282" i="11"/>
  <c r="N2282" i="11"/>
  <c r="M2283" i="11"/>
  <c r="D2283" i="11" l="1"/>
  <c r="C2283" i="11"/>
  <c r="R2283" i="11"/>
  <c r="S2283" i="11"/>
  <c r="N2283" i="11"/>
  <c r="M2284" i="11"/>
  <c r="D2284" i="11" l="1"/>
  <c r="C2284" i="11"/>
  <c r="S2284" i="11"/>
  <c r="R2284" i="11"/>
  <c r="N2284" i="11"/>
  <c r="M2285" i="11"/>
  <c r="D2285" i="11" l="1"/>
  <c r="C2285" i="11"/>
  <c r="R2285" i="11"/>
  <c r="S2285" i="11"/>
  <c r="N2285" i="11"/>
  <c r="M2286" i="11"/>
  <c r="D2286" i="11" l="1"/>
  <c r="C2286" i="11"/>
  <c r="S2286" i="11"/>
  <c r="R2286" i="11"/>
  <c r="N2286" i="11"/>
  <c r="M2287" i="11"/>
  <c r="D2287" i="11" l="1"/>
  <c r="C2287" i="11"/>
  <c r="R2287" i="11"/>
  <c r="S2287" i="11"/>
  <c r="N2287" i="11"/>
  <c r="M2288" i="11"/>
  <c r="D2288" i="11" l="1"/>
  <c r="C2288" i="11"/>
  <c r="S2288" i="11"/>
  <c r="R2288" i="11"/>
  <c r="N2288" i="11"/>
  <c r="M2289" i="11"/>
  <c r="D2289" i="11" l="1"/>
  <c r="C2289" i="11"/>
  <c r="R2289" i="11"/>
  <c r="S2289" i="11"/>
  <c r="N2289" i="11"/>
  <c r="M2290" i="11"/>
  <c r="D2290" i="11" l="1"/>
  <c r="C2290" i="11"/>
  <c r="S2290" i="11"/>
  <c r="R2290" i="11"/>
  <c r="N2290" i="11"/>
  <c r="M2291" i="11"/>
  <c r="D2291" i="11" l="1"/>
  <c r="C2291" i="11"/>
  <c r="R2291" i="11"/>
  <c r="S2291" i="11"/>
  <c r="N2291" i="11"/>
  <c r="M2292" i="11"/>
  <c r="D2292" i="11" l="1"/>
  <c r="C2292" i="11"/>
  <c r="S2292" i="11"/>
  <c r="R2292" i="11"/>
  <c r="N2292" i="11"/>
  <c r="M2293" i="11"/>
  <c r="D2293" i="11" l="1"/>
  <c r="C2293" i="11"/>
  <c r="R2293" i="11"/>
  <c r="S2293" i="11"/>
  <c r="N2293" i="11"/>
  <c r="M2294" i="11"/>
  <c r="D2294" i="11" l="1"/>
  <c r="C2294" i="11"/>
  <c r="S2294" i="11"/>
  <c r="R2294" i="11"/>
  <c r="N2294" i="11"/>
  <c r="M2295" i="11"/>
  <c r="D2295" i="11" l="1"/>
  <c r="C2295" i="11"/>
  <c r="R2295" i="11"/>
  <c r="S2295" i="11"/>
  <c r="N2295" i="11"/>
  <c r="M2296" i="11"/>
  <c r="D2296" i="11" l="1"/>
  <c r="C2296" i="11"/>
  <c r="S2296" i="11"/>
  <c r="R2296" i="11"/>
  <c r="N2296" i="11"/>
  <c r="M2297" i="11"/>
  <c r="D2297" i="11" l="1"/>
  <c r="C2297" i="11"/>
  <c r="R2297" i="11"/>
  <c r="S2297" i="11"/>
  <c r="N2297" i="11"/>
  <c r="M2298" i="11"/>
  <c r="D2298" i="11" l="1"/>
  <c r="C2298" i="11"/>
  <c r="S2298" i="11"/>
  <c r="R2298" i="11"/>
  <c r="N2298" i="11"/>
  <c r="M2299" i="11"/>
  <c r="D2299" i="11" l="1"/>
  <c r="C2299" i="11"/>
  <c r="R2299" i="11"/>
  <c r="S2299" i="11"/>
  <c r="N2299" i="11"/>
  <c r="M2300" i="11"/>
  <c r="D2300" i="11" l="1"/>
  <c r="C2300" i="11"/>
  <c r="S2300" i="11"/>
  <c r="R2300" i="11"/>
  <c r="N2300" i="11"/>
  <c r="M2301" i="11"/>
  <c r="D2301" i="11" l="1"/>
  <c r="C2301" i="11"/>
  <c r="R2301" i="11"/>
  <c r="S2301" i="11"/>
  <c r="N2301" i="11"/>
  <c r="M2302" i="11"/>
  <c r="D2302" i="11" l="1"/>
  <c r="C2302" i="11"/>
  <c r="S2302" i="11"/>
  <c r="R2302" i="11"/>
  <c r="N2302" i="11"/>
  <c r="M2303" i="11"/>
  <c r="D2303" i="11" l="1"/>
  <c r="C2303" i="11"/>
  <c r="R2303" i="11"/>
  <c r="S2303" i="11"/>
  <c r="N2303" i="11"/>
  <c r="M2304" i="11"/>
  <c r="D2304" i="11" l="1"/>
  <c r="C2304" i="11"/>
  <c r="S2304" i="11"/>
  <c r="R2304" i="11"/>
  <c r="N2304" i="11"/>
  <c r="M2305" i="11"/>
  <c r="D2305" i="11" l="1"/>
  <c r="C2305" i="11"/>
  <c r="R2305" i="11"/>
  <c r="S2305" i="11"/>
  <c r="N2305" i="11"/>
  <c r="M2306" i="11"/>
  <c r="D2306" i="11" l="1"/>
  <c r="C2306" i="11"/>
  <c r="S2306" i="11"/>
  <c r="R2306" i="11"/>
  <c r="N2306" i="11"/>
  <c r="M2307" i="11"/>
  <c r="D2307" i="11" l="1"/>
  <c r="C2307" i="11"/>
  <c r="R2307" i="11"/>
  <c r="S2307" i="11"/>
  <c r="N2307" i="11"/>
  <c r="M2308" i="11"/>
  <c r="D2308" i="11" l="1"/>
  <c r="C2308" i="11"/>
  <c r="S2308" i="11"/>
  <c r="R2308" i="11"/>
  <c r="N2308" i="11"/>
  <c r="M2309" i="11"/>
  <c r="D2309" i="11" l="1"/>
  <c r="C2309" i="11"/>
  <c r="R2309" i="11"/>
  <c r="S2309" i="11"/>
  <c r="N2309" i="11"/>
  <c r="M2310" i="11"/>
  <c r="D2310" i="11" l="1"/>
  <c r="C2310" i="11"/>
  <c r="S2310" i="11"/>
  <c r="R2310" i="11"/>
  <c r="N2310" i="11"/>
  <c r="M2311" i="11"/>
  <c r="D2311" i="11" l="1"/>
  <c r="C2311" i="11"/>
  <c r="R2311" i="11"/>
  <c r="S2311" i="11"/>
  <c r="N2311" i="11"/>
  <c r="M2312" i="11"/>
  <c r="D2312" i="11" l="1"/>
  <c r="C2312" i="11"/>
  <c r="S2312" i="11"/>
  <c r="R2312" i="11"/>
  <c r="N2312" i="11"/>
  <c r="M2313" i="11"/>
  <c r="D2313" i="11" l="1"/>
  <c r="C2313" i="11"/>
  <c r="R2313" i="11"/>
  <c r="S2313" i="11"/>
  <c r="N2313" i="11"/>
  <c r="M2314" i="11"/>
  <c r="D2314" i="11" l="1"/>
  <c r="C2314" i="11"/>
  <c r="S2314" i="11"/>
  <c r="R2314" i="11"/>
  <c r="N2314" i="11"/>
  <c r="M2315" i="11"/>
  <c r="D2315" i="11" l="1"/>
  <c r="C2315" i="11"/>
  <c r="R2315" i="11"/>
  <c r="S2315" i="11"/>
  <c r="N2315" i="11"/>
  <c r="M2316" i="11"/>
  <c r="D2316" i="11" l="1"/>
  <c r="C2316" i="11"/>
  <c r="S2316" i="11"/>
  <c r="R2316" i="11"/>
  <c r="N2316" i="11"/>
  <c r="M2317" i="11"/>
  <c r="D2317" i="11" l="1"/>
  <c r="C2317" i="11"/>
  <c r="R2317" i="11"/>
  <c r="S2317" i="11"/>
  <c r="N2317" i="11"/>
  <c r="M2318" i="11"/>
  <c r="D2318" i="11" l="1"/>
  <c r="C2318" i="11"/>
  <c r="S2318" i="11"/>
  <c r="R2318" i="11"/>
  <c r="N2318" i="11"/>
  <c r="M2319" i="11"/>
  <c r="D2319" i="11" l="1"/>
  <c r="C2319" i="11"/>
  <c r="R2319" i="11"/>
  <c r="S2319" i="11"/>
  <c r="N2319" i="11"/>
  <c r="M2320" i="11"/>
  <c r="D2320" i="11" l="1"/>
  <c r="C2320" i="11"/>
  <c r="S2320" i="11"/>
  <c r="R2320" i="11"/>
  <c r="N2320" i="11"/>
  <c r="M2321" i="11"/>
  <c r="D2321" i="11" l="1"/>
  <c r="C2321" i="11"/>
  <c r="R2321" i="11"/>
  <c r="S2321" i="11"/>
  <c r="N2321" i="11"/>
  <c r="M2322" i="11"/>
  <c r="D2322" i="11" l="1"/>
  <c r="C2322" i="11"/>
  <c r="S2322" i="11"/>
  <c r="R2322" i="11"/>
  <c r="N2322" i="11"/>
  <c r="M2323" i="11"/>
  <c r="D2323" i="11" l="1"/>
  <c r="C2323" i="11"/>
  <c r="R2323" i="11"/>
  <c r="S2323" i="11"/>
  <c r="N2323" i="11"/>
  <c r="M2324" i="11"/>
  <c r="D2324" i="11" l="1"/>
  <c r="C2324" i="11"/>
  <c r="S2324" i="11"/>
  <c r="R2324" i="11"/>
  <c r="N2324" i="11"/>
  <c r="M2325" i="11"/>
  <c r="D2325" i="11" l="1"/>
  <c r="C2325" i="11"/>
  <c r="R2325" i="11"/>
  <c r="S2325" i="11"/>
  <c r="N2325" i="11"/>
  <c r="M2326" i="11"/>
  <c r="D2326" i="11" l="1"/>
  <c r="C2326" i="11"/>
  <c r="S2326" i="11"/>
  <c r="R2326" i="11"/>
  <c r="N2326" i="11"/>
  <c r="M2327" i="11"/>
  <c r="D2327" i="11" l="1"/>
  <c r="C2327" i="11"/>
  <c r="R2327" i="11"/>
  <c r="S2327" i="11"/>
  <c r="N2327" i="11"/>
  <c r="M2328" i="11"/>
  <c r="D2328" i="11" l="1"/>
  <c r="C2328" i="11"/>
  <c r="S2328" i="11"/>
  <c r="R2328" i="11"/>
  <c r="N2328" i="11"/>
  <c r="M2329" i="11"/>
  <c r="D2329" i="11" l="1"/>
  <c r="C2329" i="11"/>
  <c r="R2329" i="11"/>
  <c r="S2329" i="11"/>
  <c r="N2329" i="11"/>
  <c r="M2330" i="11"/>
  <c r="D2330" i="11" l="1"/>
  <c r="C2330" i="11"/>
  <c r="S2330" i="11"/>
  <c r="R2330" i="11"/>
  <c r="N2330" i="11"/>
  <c r="M2331" i="11"/>
  <c r="D2331" i="11" l="1"/>
  <c r="C2331" i="11"/>
  <c r="R2331" i="11"/>
  <c r="S2331" i="11"/>
  <c r="N2331" i="11"/>
  <c r="M2332" i="11"/>
  <c r="D2332" i="11" l="1"/>
  <c r="C2332" i="11"/>
  <c r="S2332" i="11"/>
  <c r="R2332" i="11"/>
  <c r="N2332" i="11"/>
  <c r="M2333" i="11"/>
  <c r="D2333" i="11" l="1"/>
  <c r="C2333" i="11"/>
  <c r="R2333" i="11"/>
  <c r="S2333" i="11"/>
  <c r="N2333" i="11"/>
  <c r="M2334" i="11"/>
  <c r="D2334" i="11" l="1"/>
  <c r="C2334" i="11"/>
  <c r="S2334" i="11"/>
  <c r="R2334" i="11"/>
  <c r="N2334" i="11"/>
  <c r="M2335" i="11"/>
  <c r="D2335" i="11" l="1"/>
  <c r="C2335" i="11"/>
  <c r="R2335" i="11"/>
  <c r="S2335" i="11"/>
  <c r="N2335" i="11"/>
  <c r="M2336" i="11"/>
  <c r="D2336" i="11" l="1"/>
  <c r="C2336" i="11"/>
  <c r="S2336" i="11"/>
  <c r="R2336" i="11"/>
  <c r="N2336" i="11"/>
  <c r="M2337" i="11"/>
  <c r="D2337" i="11" l="1"/>
  <c r="C2337" i="11"/>
  <c r="R2337" i="11"/>
  <c r="S2337" i="11"/>
  <c r="N2337" i="11"/>
  <c r="M2338" i="11"/>
  <c r="D2338" i="11" l="1"/>
  <c r="C2338" i="11"/>
  <c r="S2338" i="11"/>
  <c r="R2338" i="11"/>
  <c r="N2338" i="11"/>
  <c r="M2339" i="11"/>
  <c r="D2339" i="11" l="1"/>
  <c r="C2339" i="11"/>
  <c r="R2339" i="11"/>
  <c r="S2339" i="11"/>
  <c r="N2339" i="11"/>
  <c r="M2340" i="11"/>
  <c r="D2340" i="11" l="1"/>
  <c r="C2340" i="11"/>
  <c r="S2340" i="11"/>
  <c r="R2340" i="11"/>
  <c r="N2340" i="11"/>
  <c r="M2341" i="11"/>
  <c r="D2341" i="11" l="1"/>
  <c r="C2341" i="11"/>
  <c r="R2341" i="11"/>
  <c r="S2341" i="11"/>
  <c r="N2341" i="11"/>
  <c r="M2342" i="11"/>
  <c r="D2342" i="11" l="1"/>
  <c r="C2342" i="11"/>
  <c r="S2342" i="11"/>
  <c r="R2342" i="11"/>
  <c r="N2342" i="11"/>
  <c r="M2343" i="11"/>
  <c r="D2343" i="11" l="1"/>
  <c r="C2343" i="11"/>
  <c r="R2343" i="11"/>
  <c r="S2343" i="11"/>
  <c r="N2343" i="11"/>
  <c r="M2344" i="11"/>
  <c r="D2344" i="11" l="1"/>
  <c r="C2344" i="11"/>
  <c r="S2344" i="11"/>
  <c r="R2344" i="11"/>
  <c r="N2344" i="11"/>
  <c r="M2345" i="11"/>
  <c r="D2345" i="11" l="1"/>
  <c r="C2345" i="11"/>
  <c r="R2345" i="11"/>
  <c r="S2345" i="11"/>
  <c r="N2345" i="11"/>
  <c r="M2346" i="11"/>
  <c r="D2346" i="11" l="1"/>
  <c r="C2346" i="11"/>
  <c r="S2346" i="11"/>
  <c r="R2346" i="11"/>
  <c r="N2346" i="11"/>
  <c r="M2347" i="11"/>
  <c r="D2347" i="11" l="1"/>
  <c r="C2347" i="11"/>
  <c r="R2347" i="11"/>
  <c r="S2347" i="11"/>
  <c r="N2347" i="11"/>
  <c r="M2348" i="11"/>
  <c r="D2348" i="11" l="1"/>
  <c r="C2348" i="11"/>
  <c r="S2348" i="11"/>
  <c r="R2348" i="11"/>
  <c r="N2348" i="11"/>
  <c r="M2349" i="11"/>
  <c r="D2349" i="11" l="1"/>
  <c r="C2349" i="11"/>
  <c r="R2349" i="11"/>
  <c r="S2349" i="11"/>
  <c r="N2349" i="11"/>
  <c r="M2350" i="11"/>
  <c r="D2350" i="11" l="1"/>
  <c r="C2350" i="11"/>
  <c r="S2350" i="11"/>
  <c r="R2350" i="11"/>
  <c r="N2350" i="11"/>
  <c r="M2351" i="11"/>
  <c r="D2351" i="11" l="1"/>
  <c r="C2351" i="11"/>
  <c r="R2351" i="11"/>
  <c r="S2351" i="11"/>
  <c r="N2351" i="11"/>
  <c r="M2352" i="11"/>
  <c r="D2352" i="11" l="1"/>
  <c r="C2352" i="11"/>
  <c r="S2352" i="11"/>
  <c r="R2352" i="11"/>
  <c r="N2352" i="11"/>
  <c r="M2353" i="11"/>
  <c r="D2353" i="11" l="1"/>
  <c r="C2353" i="11"/>
  <c r="R2353" i="11"/>
  <c r="S2353" i="11"/>
  <c r="N2353" i="11"/>
  <c r="M2354" i="11"/>
  <c r="D2354" i="11" l="1"/>
  <c r="C2354" i="11"/>
  <c r="S2354" i="11"/>
  <c r="R2354" i="11"/>
  <c r="N2354" i="11"/>
  <c r="M2355" i="11"/>
  <c r="D2355" i="11" l="1"/>
  <c r="C2355" i="11"/>
  <c r="R2355" i="11"/>
  <c r="S2355" i="11"/>
  <c r="N2355" i="11"/>
  <c r="M2356" i="11"/>
  <c r="D2356" i="11" l="1"/>
  <c r="C2356" i="11"/>
  <c r="S2356" i="11"/>
  <c r="R2356" i="11"/>
  <c r="N2356" i="11"/>
  <c r="M2357" i="11"/>
  <c r="D2357" i="11" l="1"/>
  <c r="C2357" i="11"/>
  <c r="R2357" i="11"/>
  <c r="S2357" i="11"/>
  <c r="N2357" i="11"/>
  <c r="M2358" i="11"/>
  <c r="D2358" i="11" l="1"/>
  <c r="C2358" i="11"/>
  <c r="S2358" i="11"/>
  <c r="R2358" i="11"/>
  <c r="N2358" i="11"/>
  <c r="M2359" i="11"/>
  <c r="D2359" i="11" l="1"/>
  <c r="C2359" i="11"/>
  <c r="R2359" i="11"/>
  <c r="S2359" i="11"/>
  <c r="N2359" i="11"/>
  <c r="M2360" i="11"/>
  <c r="D2360" i="11" l="1"/>
  <c r="C2360" i="11"/>
  <c r="S2360" i="11"/>
  <c r="R2360" i="11"/>
  <c r="N2360" i="11"/>
  <c r="M2361" i="11"/>
  <c r="D2361" i="11" l="1"/>
  <c r="C2361" i="11"/>
  <c r="R2361" i="11"/>
  <c r="S2361" i="11"/>
  <c r="N2361" i="11"/>
  <c r="M2362" i="11"/>
  <c r="D2362" i="11" l="1"/>
  <c r="C2362" i="11"/>
  <c r="S2362" i="11"/>
  <c r="R2362" i="11"/>
  <c r="N2362" i="11"/>
  <c r="M2363" i="11"/>
  <c r="D2363" i="11" l="1"/>
  <c r="C2363" i="11"/>
  <c r="R2363" i="11"/>
  <c r="S2363" i="11"/>
  <c r="N2363" i="11"/>
  <c r="M2364" i="11"/>
  <c r="D2364" i="11" l="1"/>
  <c r="C2364" i="11"/>
  <c r="S2364" i="11"/>
  <c r="R2364" i="11"/>
  <c r="N2364" i="11"/>
  <c r="M2365" i="11"/>
  <c r="D2365" i="11" l="1"/>
  <c r="C2365" i="11"/>
  <c r="R2365" i="11"/>
  <c r="S2365" i="11"/>
  <c r="N2365" i="11"/>
  <c r="M2366" i="11"/>
  <c r="D2366" i="11" l="1"/>
  <c r="C2366" i="11"/>
  <c r="S2366" i="11"/>
  <c r="R2366" i="11"/>
  <c r="N2366" i="11"/>
  <c r="M2367" i="11"/>
  <c r="D2367" i="11" l="1"/>
  <c r="C2367" i="11"/>
  <c r="R2367" i="11"/>
  <c r="S2367" i="11"/>
  <c r="N2367" i="11"/>
  <c r="M2368" i="11"/>
  <c r="D2368" i="11" l="1"/>
  <c r="C2368" i="11"/>
  <c r="S2368" i="11"/>
  <c r="R2368" i="11"/>
  <c r="N2368" i="11"/>
  <c r="M2369" i="11"/>
  <c r="D2369" i="11" l="1"/>
  <c r="C2369" i="11"/>
  <c r="R2369" i="11"/>
  <c r="S2369" i="11"/>
  <c r="N2369" i="11"/>
  <c r="M2370" i="11"/>
  <c r="D2370" i="11" l="1"/>
  <c r="C2370" i="11"/>
  <c r="S2370" i="11"/>
  <c r="R2370" i="11"/>
  <c r="N2370" i="11"/>
  <c r="M2371" i="11"/>
  <c r="D2371" i="11" l="1"/>
  <c r="C2371" i="11"/>
  <c r="R2371" i="11"/>
  <c r="S2371" i="11"/>
  <c r="N2371" i="11"/>
  <c r="M2372" i="11"/>
  <c r="D2372" i="11" l="1"/>
  <c r="C2372" i="11"/>
  <c r="S2372" i="11"/>
  <c r="R2372" i="11"/>
  <c r="N2372" i="11"/>
  <c r="M2373" i="11"/>
  <c r="D2373" i="11" l="1"/>
  <c r="C2373" i="11"/>
  <c r="R2373" i="11"/>
  <c r="S2373" i="11"/>
  <c r="N2373" i="11"/>
  <c r="M2374" i="11"/>
  <c r="D2374" i="11" l="1"/>
  <c r="C2374" i="11"/>
  <c r="S2374" i="11"/>
  <c r="R2374" i="11"/>
  <c r="N2374" i="11"/>
  <c r="M2375" i="11"/>
  <c r="D2375" i="11" l="1"/>
  <c r="C2375" i="11"/>
  <c r="R2375" i="11"/>
  <c r="S2375" i="11"/>
  <c r="N2375" i="11"/>
  <c r="M2376" i="11"/>
  <c r="D2376" i="11" l="1"/>
  <c r="C2376" i="11"/>
  <c r="S2376" i="11"/>
  <c r="R2376" i="11"/>
  <c r="N2376" i="11"/>
  <c r="M2377" i="11"/>
  <c r="D2377" i="11" l="1"/>
  <c r="C2377" i="11"/>
  <c r="R2377" i="11"/>
  <c r="S2377" i="11"/>
  <c r="N2377" i="11"/>
  <c r="M2378" i="11"/>
  <c r="D2378" i="11" l="1"/>
  <c r="C2378" i="11"/>
  <c r="S2378" i="11"/>
  <c r="R2378" i="11"/>
  <c r="N2378" i="11"/>
  <c r="M2379" i="11"/>
  <c r="D2379" i="11" l="1"/>
  <c r="C2379" i="11"/>
  <c r="R2379" i="11"/>
  <c r="S2379" i="11"/>
  <c r="N2379" i="11"/>
  <c r="M2380" i="11"/>
  <c r="D2380" i="11" l="1"/>
  <c r="C2380" i="11"/>
  <c r="S2380" i="11"/>
  <c r="R2380" i="11"/>
  <c r="N2380" i="11"/>
  <c r="M2381" i="11"/>
  <c r="D2381" i="11" l="1"/>
  <c r="C2381" i="11"/>
  <c r="R2381" i="11"/>
  <c r="S2381" i="11"/>
  <c r="N2381" i="11"/>
  <c r="M2382" i="11"/>
  <c r="D2382" i="11" l="1"/>
  <c r="C2382" i="11"/>
  <c r="S2382" i="11"/>
  <c r="R2382" i="11"/>
  <c r="N2382" i="11"/>
  <c r="M2383" i="11"/>
  <c r="D2383" i="11" l="1"/>
  <c r="C2383" i="11"/>
  <c r="R2383" i="11"/>
  <c r="S2383" i="11"/>
  <c r="N2383" i="11"/>
  <c r="M2384" i="11"/>
  <c r="D2384" i="11" l="1"/>
  <c r="C2384" i="11"/>
  <c r="S2384" i="11"/>
  <c r="R2384" i="11"/>
  <c r="N2384" i="11"/>
  <c r="M2385" i="11"/>
  <c r="D2385" i="11" l="1"/>
  <c r="C2385" i="11"/>
  <c r="R2385" i="11"/>
  <c r="S2385" i="11"/>
  <c r="N2385" i="11"/>
  <c r="M2386" i="11"/>
  <c r="D2386" i="11" l="1"/>
  <c r="C2386" i="11"/>
  <c r="S2386" i="11"/>
  <c r="R2386" i="11"/>
  <c r="N2386" i="11"/>
  <c r="M2387" i="11"/>
  <c r="D2387" i="11" l="1"/>
  <c r="C2387" i="11"/>
  <c r="R2387" i="11"/>
  <c r="S2387" i="11"/>
  <c r="N2387" i="11"/>
  <c r="M2388" i="11"/>
  <c r="D2388" i="11" l="1"/>
  <c r="C2388" i="11"/>
  <c r="S2388" i="11"/>
  <c r="R2388" i="11"/>
  <c r="N2388" i="11"/>
  <c r="M2389" i="11"/>
  <c r="D2389" i="11" l="1"/>
  <c r="C2389" i="11"/>
  <c r="R2389" i="11"/>
  <c r="S2389" i="11"/>
  <c r="N2389" i="11"/>
  <c r="M2390" i="11"/>
  <c r="D2390" i="11" l="1"/>
  <c r="C2390" i="11"/>
  <c r="S2390" i="11"/>
  <c r="R2390" i="11"/>
  <c r="N2390" i="11"/>
  <c r="M2391" i="11"/>
  <c r="D2391" i="11" l="1"/>
  <c r="C2391" i="11"/>
  <c r="R2391" i="11"/>
  <c r="S2391" i="11"/>
  <c r="N2391" i="11"/>
  <c r="M2392" i="11"/>
  <c r="D2392" i="11" l="1"/>
  <c r="C2392" i="11"/>
  <c r="S2392" i="11"/>
  <c r="R2392" i="11"/>
  <c r="N2392" i="11"/>
  <c r="M2393" i="11"/>
  <c r="D2393" i="11" l="1"/>
  <c r="C2393" i="11"/>
  <c r="R2393" i="11"/>
  <c r="S2393" i="11"/>
  <c r="N2393" i="11"/>
  <c r="M2394" i="11"/>
  <c r="D2394" i="11" l="1"/>
  <c r="C2394" i="11"/>
  <c r="S2394" i="11"/>
  <c r="R2394" i="11"/>
  <c r="N2394" i="11"/>
  <c r="M2395" i="11"/>
  <c r="D2395" i="11" l="1"/>
  <c r="C2395" i="11"/>
  <c r="R2395" i="11"/>
  <c r="S2395" i="11"/>
  <c r="N2395" i="11"/>
  <c r="M2396" i="11"/>
  <c r="D2396" i="11" l="1"/>
  <c r="C2396" i="11"/>
  <c r="S2396" i="11"/>
  <c r="R2396" i="11"/>
  <c r="N2396" i="11"/>
  <c r="M2397" i="11"/>
  <c r="D2397" i="11" l="1"/>
  <c r="C2397" i="11"/>
  <c r="R2397" i="11"/>
  <c r="S2397" i="11"/>
  <c r="N2397" i="11"/>
  <c r="M2398" i="11"/>
  <c r="D2398" i="11" l="1"/>
  <c r="C2398" i="11"/>
  <c r="S2398" i="11"/>
  <c r="R2398" i="11"/>
  <c r="N2398" i="11"/>
  <c r="M2399" i="11"/>
  <c r="D2399" i="11" l="1"/>
  <c r="C2399" i="11"/>
  <c r="R2399" i="11"/>
  <c r="S2399" i="11"/>
  <c r="N2399" i="11"/>
  <c r="M2400" i="11"/>
  <c r="D2400" i="11" l="1"/>
  <c r="C2400" i="11"/>
  <c r="S2400" i="11"/>
  <c r="R2400" i="11"/>
  <c r="N2400" i="11"/>
  <c r="M2401" i="11"/>
  <c r="D2401" i="11" l="1"/>
  <c r="C2401" i="11"/>
  <c r="R2401" i="11"/>
  <c r="S2401" i="11"/>
  <c r="N2401" i="11"/>
  <c r="M2402" i="11"/>
  <c r="D2402" i="11" l="1"/>
  <c r="C2402" i="11"/>
  <c r="S2402" i="11"/>
  <c r="R2402" i="11"/>
  <c r="N2402" i="11"/>
  <c r="M2403" i="11"/>
  <c r="D2403" i="11" l="1"/>
  <c r="C2403" i="11"/>
  <c r="R2403" i="11"/>
  <c r="S2403" i="11"/>
  <c r="N2403" i="11"/>
  <c r="M2404" i="11"/>
  <c r="D2404" i="11" l="1"/>
  <c r="C2404" i="11"/>
  <c r="S2404" i="11"/>
  <c r="R2404" i="11"/>
  <c r="N2404" i="11"/>
  <c r="M2405" i="11"/>
  <c r="D2405" i="11" l="1"/>
  <c r="C2405" i="11"/>
  <c r="R2405" i="11"/>
  <c r="S2405" i="11"/>
  <c r="N2405" i="11"/>
  <c r="M2406" i="11"/>
  <c r="D2406" i="11" l="1"/>
  <c r="C2406" i="11"/>
  <c r="S2406" i="11"/>
  <c r="R2406" i="11"/>
  <c r="N2406" i="11"/>
  <c r="M2407" i="11"/>
  <c r="D2407" i="11" l="1"/>
  <c r="C2407" i="11"/>
  <c r="R2407" i="11"/>
  <c r="S2407" i="11"/>
  <c r="N2407" i="11"/>
  <c r="M2408" i="11"/>
  <c r="D2408" i="11" l="1"/>
  <c r="C2408" i="11"/>
  <c r="S2408" i="11"/>
  <c r="R2408" i="11"/>
  <c r="N2408" i="11"/>
  <c r="M2409" i="11"/>
  <c r="D2409" i="11" l="1"/>
  <c r="C2409" i="11"/>
  <c r="R2409" i="11"/>
  <c r="S2409" i="11"/>
  <c r="N2409" i="11"/>
  <c r="M2410" i="11"/>
  <c r="D2410" i="11" l="1"/>
  <c r="C2410" i="11"/>
  <c r="S2410" i="11"/>
  <c r="R2410" i="11"/>
  <c r="N2410" i="11"/>
  <c r="M2411" i="11"/>
  <c r="D2411" i="11" l="1"/>
  <c r="C2411" i="11"/>
  <c r="R2411" i="11"/>
  <c r="S2411" i="11"/>
  <c r="N2411" i="11"/>
  <c r="M2412" i="11"/>
  <c r="D2412" i="11" l="1"/>
  <c r="C2412" i="11"/>
  <c r="S2412" i="11"/>
  <c r="R2412" i="11"/>
  <c r="N2412" i="11"/>
  <c r="M2413" i="11"/>
  <c r="D2413" i="11" l="1"/>
  <c r="C2413" i="11"/>
  <c r="R2413" i="11"/>
  <c r="S2413" i="11"/>
  <c r="N2413" i="11"/>
  <c r="M2414" i="11"/>
  <c r="D2414" i="11" l="1"/>
  <c r="C2414" i="11"/>
  <c r="S2414" i="11"/>
  <c r="R2414" i="11"/>
  <c r="N2414" i="11"/>
  <c r="M2415" i="11"/>
  <c r="D2415" i="11" l="1"/>
  <c r="C2415" i="11"/>
  <c r="R2415" i="11"/>
  <c r="S2415" i="11"/>
  <c r="N2415" i="11"/>
  <c r="M2416" i="11"/>
  <c r="D2416" i="11" l="1"/>
  <c r="C2416" i="11"/>
  <c r="S2416" i="11"/>
  <c r="R2416" i="11"/>
  <c r="N2416" i="11"/>
  <c r="M2417" i="11"/>
  <c r="D2417" i="11" l="1"/>
  <c r="C2417" i="11"/>
  <c r="R2417" i="11"/>
  <c r="S2417" i="11"/>
  <c r="N2417" i="11"/>
  <c r="M2418" i="11"/>
  <c r="D2418" i="11" l="1"/>
  <c r="C2418" i="11"/>
  <c r="S2418" i="11"/>
  <c r="R2418" i="11"/>
  <c r="N2418" i="11"/>
  <c r="M2419" i="11"/>
  <c r="D2419" i="11" l="1"/>
  <c r="C2419" i="11"/>
  <c r="R2419" i="11"/>
  <c r="S2419" i="11"/>
  <c r="N2419" i="11"/>
  <c r="M2420" i="11"/>
  <c r="D2420" i="11" l="1"/>
  <c r="C2420" i="11"/>
  <c r="S2420" i="11"/>
  <c r="R2420" i="11"/>
  <c r="N2420" i="11"/>
  <c r="M2421" i="11"/>
  <c r="D2421" i="11" l="1"/>
  <c r="C2421" i="11"/>
  <c r="R2421" i="11"/>
  <c r="S2421" i="11"/>
  <c r="N2421" i="11"/>
  <c r="M2422" i="11"/>
  <c r="D2422" i="11" l="1"/>
  <c r="C2422" i="11"/>
  <c r="S2422" i="11"/>
  <c r="R2422" i="11"/>
  <c r="N2422" i="11"/>
  <c r="M2423" i="11"/>
  <c r="D2423" i="11" l="1"/>
  <c r="C2423" i="11"/>
  <c r="R2423" i="11"/>
  <c r="S2423" i="11"/>
  <c r="N2423" i="11"/>
  <c r="M2424" i="11"/>
  <c r="D2424" i="11" l="1"/>
  <c r="C2424" i="11"/>
  <c r="S2424" i="11"/>
  <c r="R2424" i="11"/>
  <c r="N2424" i="11"/>
  <c r="M2425" i="11"/>
  <c r="D2425" i="11" l="1"/>
  <c r="C2425" i="11"/>
  <c r="R2425" i="11"/>
  <c r="S2425" i="11"/>
  <c r="N2425" i="11"/>
  <c r="M2426" i="11"/>
  <c r="D2426" i="11" l="1"/>
  <c r="C2426" i="11"/>
  <c r="S2426" i="11"/>
  <c r="R2426" i="11"/>
  <c r="N2426" i="11"/>
  <c r="M2427" i="11"/>
  <c r="D2427" i="11" l="1"/>
  <c r="C2427" i="11"/>
  <c r="R2427" i="11"/>
  <c r="S2427" i="11"/>
  <c r="N2427" i="11"/>
  <c r="M2428" i="11"/>
  <c r="D2428" i="11" l="1"/>
  <c r="C2428" i="11"/>
  <c r="S2428" i="11"/>
  <c r="R2428" i="11"/>
  <c r="N2428" i="11"/>
  <c r="M2429" i="11"/>
  <c r="D2429" i="11" l="1"/>
  <c r="C2429" i="11"/>
  <c r="R2429" i="11"/>
  <c r="S2429" i="11"/>
  <c r="N2429" i="11"/>
  <c r="M2430" i="11"/>
  <c r="D2430" i="11" l="1"/>
  <c r="C2430" i="11"/>
  <c r="S2430" i="11"/>
  <c r="R2430" i="11"/>
  <c r="N2430" i="11"/>
  <c r="M2431" i="11"/>
  <c r="D2431" i="11" l="1"/>
  <c r="C2431" i="11"/>
  <c r="R2431" i="11"/>
  <c r="S2431" i="11"/>
  <c r="N2431" i="11"/>
  <c r="M2432" i="11"/>
  <c r="D2432" i="11" l="1"/>
  <c r="C2432" i="11"/>
  <c r="S2432" i="11"/>
  <c r="R2432" i="11"/>
  <c r="N2432" i="11"/>
  <c r="M2433" i="11"/>
  <c r="D2433" i="11" l="1"/>
  <c r="C2433" i="11"/>
  <c r="R2433" i="11"/>
  <c r="S2433" i="11"/>
  <c r="N2433" i="11"/>
  <c r="M2434" i="11"/>
  <c r="D2434" i="11" l="1"/>
  <c r="C2434" i="11"/>
  <c r="S2434" i="11"/>
  <c r="R2434" i="11"/>
  <c r="N2434" i="11"/>
  <c r="M2435" i="11"/>
  <c r="D2435" i="11" l="1"/>
  <c r="C2435" i="11"/>
  <c r="R2435" i="11"/>
  <c r="S2435" i="11"/>
  <c r="N2435" i="11"/>
  <c r="M2436" i="11"/>
  <c r="D2436" i="11" l="1"/>
  <c r="C2436" i="11"/>
  <c r="S2436" i="11"/>
  <c r="R2436" i="11"/>
  <c r="N2436" i="11"/>
  <c r="M2437" i="11"/>
  <c r="D2437" i="11" l="1"/>
  <c r="C2437" i="11"/>
  <c r="R2437" i="11"/>
  <c r="S2437" i="11"/>
  <c r="N2437" i="11"/>
  <c r="M2438" i="11"/>
  <c r="D2438" i="11" l="1"/>
  <c r="C2438" i="11"/>
  <c r="S2438" i="11"/>
  <c r="R2438" i="11"/>
  <c r="N2438" i="11"/>
  <c r="M2439" i="11"/>
  <c r="D2439" i="11" l="1"/>
  <c r="C2439" i="11"/>
  <c r="R2439" i="11"/>
  <c r="S2439" i="11"/>
  <c r="N2439" i="11"/>
  <c r="M2440" i="11"/>
  <c r="D2440" i="11" l="1"/>
  <c r="C2440" i="11"/>
  <c r="S2440" i="11"/>
  <c r="R2440" i="11"/>
  <c r="N2440" i="11"/>
  <c r="M2441" i="11"/>
  <c r="D2441" i="11" l="1"/>
  <c r="C2441" i="11"/>
  <c r="R2441" i="11"/>
  <c r="S2441" i="11"/>
  <c r="N2441" i="11"/>
  <c r="M2442" i="11"/>
  <c r="D2442" i="11" l="1"/>
  <c r="C2442" i="11"/>
  <c r="S2442" i="11"/>
  <c r="R2442" i="11"/>
  <c r="N2442" i="11"/>
  <c r="M2443" i="11"/>
  <c r="D2443" i="11" l="1"/>
  <c r="C2443" i="11"/>
  <c r="R2443" i="11"/>
  <c r="S2443" i="11"/>
  <c r="N2443" i="11"/>
  <c r="M2444" i="11"/>
  <c r="D2444" i="11" l="1"/>
  <c r="C2444" i="11"/>
  <c r="S2444" i="11"/>
  <c r="R2444" i="11"/>
  <c r="N2444" i="11"/>
  <c r="M2445" i="11"/>
  <c r="D2445" i="11" l="1"/>
  <c r="C2445" i="11"/>
  <c r="R2445" i="11"/>
  <c r="S2445" i="11"/>
  <c r="N2445" i="11"/>
  <c r="M2446" i="11"/>
  <c r="D2446" i="11" l="1"/>
  <c r="C2446" i="11"/>
  <c r="S2446" i="11"/>
  <c r="R2446" i="11"/>
  <c r="N2446" i="11"/>
  <c r="M2447" i="11"/>
  <c r="D2447" i="11" l="1"/>
  <c r="C2447" i="11"/>
  <c r="R2447" i="11"/>
  <c r="S2447" i="11"/>
  <c r="N2447" i="11"/>
  <c r="M2448" i="11"/>
  <c r="D2448" i="11" l="1"/>
  <c r="C2448" i="11"/>
  <c r="S2448" i="11"/>
  <c r="R2448" i="11"/>
  <c r="N2448" i="11"/>
  <c r="M2449" i="11"/>
  <c r="D2449" i="11" l="1"/>
  <c r="C2449" i="11"/>
  <c r="R2449" i="11"/>
  <c r="S2449" i="11"/>
  <c r="N2449" i="11"/>
  <c r="M2450" i="11"/>
  <c r="D2450" i="11" l="1"/>
  <c r="C2450" i="11"/>
  <c r="S2450" i="11"/>
  <c r="R2450" i="11"/>
  <c r="N2450" i="11"/>
  <c r="M2451" i="11"/>
  <c r="D2451" i="11" l="1"/>
  <c r="C2451" i="11"/>
  <c r="R2451" i="11"/>
  <c r="S2451" i="11"/>
  <c r="N2451" i="11"/>
  <c r="M2452" i="11"/>
  <c r="D2452" i="11" l="1"/>
  <c r="C2452" i="11"/>
  <c r="S2452" i="11"/>
  <c r="R2452" i="11"/>
  <c r="N2452" i="11"/>
  <c r="M2453" i="11"/>
  <c r="D2453" i="11" l="1"/>
  <c r="C2453" i="11"/>
  <c r="R2453" i="11"/>
  <c r="S2453" i="11"/>
  <c r="N2453" i="11"/>
  <c r="M2454" i="11"/>
  <c r="D2454" i="11" l="1"/>
  <c r="C2454" i="11"/>
  <c r="S2454" i="11"/>
  <c r="R2454" i="11"/>
  <c r="N2454" i="11"/>
  <c r="M2455" i="11"/>
  <c r="D2455" i="11" l="1"/>
  <c r="C2455" i="11"/>
  <c r="R2455" i="11"/>
  <c r="S2455" i="11"/>
  <c r="N2455" i="11"/>
  <c r="M2456" i="11"/>
  <c r="D2456" i="11" l="1"/>
  <c r="C2456" i="11"/>
  <c r="S2456" i="11"/>
  <c r="R2456" i="11"/>
  <c r="N2456" i="11"/>
  <c r="M2457" i="11"/>
  <c r="D2457" i="11" l="1"/>
  <c r="C2457" i="11"/>
  <c r="R2457" i="11"/>
  <c r="S2457" i="11"/>
  <c r="N2457" i="11"/>
  <c r="M2458" i="11"/>
  <c r="D2458" i="11" l="1"/>
  <c r="C2458" i="11"/>
  <c r="S2458" i="11"/>
  <c r="R2458" i="11"/>
  <c r="N2458" i="11"/>
  <c r="M2459" i="11"/>
  <c r="D2459" i="11" l="1"/>
  <c r="C2459" i="11"/>
  <c r="R2459" i="11"/>
  <c r="S2459" i="11"/>
  <c r="N2459" i="11"/>
  <c r="M2460" i="11"/>
  <c r="D2460" i="11" l="1"/>
  <c r="C2460" i="11"/>
  <c r="S2460" i="11"/>
  <c r="R2460" i="11"/>
  <c r="N2460" i="11"/>
  <c r="M2461" i="11"/>
  <c r="D2461" i="11" l="1"/>
  <c r="C2461" i="11"/>
  <c r="R2461" i="11"/>
  <c r="S2461" i="11"/>
  <c r="N2461" i="11"/>
  <c r="M2462" i="11"/>
  <c r="D2462" i="11" l="1"/>
  <c r="C2462" i="11"/>
  <c r="S2462" i="11"/>
  <c r="R2462" i="11"/>
  <c r="N2462" i="11"/>
  <c r="M2463" i="11"/>
  <c r="D2463" i="11" l="1"/>
  <c r="C2463" i="11"/>
  <c r="R2463" i="11"/>
  <c r="S2463" i="11"/>
  <c r="N2463" i="11"/>
  <c r="M2464" i="11"/>
  <c r="D2464" i="11" l="1"/>
  <c r="C2464" i="11"/>
  <c r="S2464" i="11"/>
  <c r="R2464" i="11"/>
  <c r="N2464" i="11"/>
  <c r="M2465" i="11"/>
  <c r="D2465" i="11" l="1"/>
  <c r="C2465" i="11"/>
  <c r="R2465" i="11"/>
  <c r="S2465" i="11"/>
  <c r="N2465" i="11"/>
  <c r="M2466" i="11"/>
  <c r="D2466" i="11" l="1"/>
  <c r="C2466" i="11"/>
  <c r="S2466" i="11"/>
  <c r="R2466" i="11"/>
  <c r="N2466" i="11"/>
  <c r="M2467" i="11"/>
  <c r="D2467" i="11" l="1"/>
  <c r="C2467" i="11"/>
  <c r="R2467" i="11"/>
  <c r="S2467" i="11"/>
  <c r="N2467" i="11"/>
  <c r="M2468" i="11"/>
  <c r="D2468" i="11" l="1"/>
  <c r="C2468" i="11"/>
  <c r="S2468" i="11"/>
  <c r="R2468" i="11"/>
  <c r="N2468" i="11"/>
  <c r="M2469" i="11"/>
  <c r="D2469" i="11" l="1"/>
  <c r="C2469" i="11"/>
  <c r="R2469" i="11"/>
  <c r="S2469" i="11"/>
  <c r="N2469" i="11"/>
  <c r="M2470" i="11"/>
  <c r="D2470" i="11" l="1"/>
  <c r="C2470" i="11"/>
  <c r="S2470" i="11"/>
  <c r="R2470" i="11"/>
  <c r="N2470" i="11"/>
  <c r="M2471" i="11"/>
  <c r="D2471" i="11" l="1"/>
  <c r="C2471" i="11"/>
  <c r="R2471" i="11"/>
  <c r="S2471" i="11"/>
  <c r="N2471" i="11"/>
  <c r="M2472" i="11"/>
  <c r="D2472" i="11" l="1"/>
  <c r="C2472" i="11"/>
  <c r="S2472" i="11"/>
  <c r="R2472" i="11"/>
  <c r="N2472" i="11"/>
  <c r="M2473" i="11"/>
  <c r="D2473" i="11" l="1"/>
  <c r="C2473" i="11"/>
  <c r="R2473" i="11"/>
  <c r="S2473" i="11"/>
  <c r="N2473" i="11"/>
  <c r="M2474" i="11"/>
  <c r="D2474" i="11" l="1"/>
  <c r="C2474" i="11"/>
  <c r="S2474" i="11"/>
  <c r="R2474" i="11"/>
  <c r="N2474" i="11"/>
  <c r="M2475" i="11"/>
  <c r="D2475" i="11" l="1"/>
  <c r="C2475" i="11"/>
  <c r="R2475" i="11"/>
  <c r="S2475" i="11"/>
  <c r="N2475" i="11"/>
  <c r="M2476" i="11"/>
  <c r="D2476" i="11" l="1"/>
  <c r="C2476" i="11"/>
  <c r="S2476" i="11"/>
  <c r="R2476" i="11"/>
  <c r="N2476" i="11"/>
  <c r="M2477" i="11"/>
  <c r="D2477" i="11" l="1"/>
  <c r="C2477" i="11"/>
  <c r="R2477" i="11"/>
  <c r="S2477" i="11"/>
  <c r="N2477" i="11"/>
  <c r="M2478" i="11"/>
  <c r="D2478" i="11" l="1"/>
  <c r="C2478" i="11"/>
  <c r="S2478" i="11"/>
  <c r="R2478" i="11"/>
  <c r="N2478" i="11"/>
  <c r="M2479" i="11"/>
  <c r="D2479" i="11" l="1"/>
  <c r="C2479" i="11"/>
  <c r="R2479" i="11"/>
  <c r="S2479" i="11"/>
  <c r="N2479" i="11"/>
  <c r="M2480" i="11"/>
  <c r="D2480" i="11" l="1"/>
  <c r="C2480" i="11"/>
  <c r="S2480" i="11"/>
  <c r="R2480" i="11"/>
  <c r="N2480" i="11"/>
  <c r="M2481" i="11"/>
  <c r="D2481" i="11" l="1"/>
  <c r="C2481" i="11"/>
  <c r="R2481" i="11"/>
  <c r="S2481" i="11"/>
  <c r="N2481" i="11"/>
  <c r="M2482" i="11"/>
  <c r="D2482" i="11" l="1"/>
  <c r="C2482" i="11"/>
  <c r="S2482" i="11"/>
  <c r="R2482" i="11"/>
  <c r="N2482" i="11"/>
  <c r="M2483" i="11"/>
  <c r="D2483" i="11" l="1"/>
  <c r="C2483" i="11"/>
  <c r="R2483" i="11"/>
  <c r="S2483" i="11"/>
  <c r="N2483" i="11"/>
  <c r="M2484" i="11"/>
  <c r="D2484" i="11" l="1"/>
  <c r="C2484" i="11"/>
  <c r="S2484" i="11"/>
  <c r="R2484" i="11"/>
  <c r="N2484" i="11"/>
  <c r="M2485" i="11"/>
  <c r="D2485" i="11" l="1"/>
  <c r="C2485" i="11"/>
  <c r="R2485" i="11"/>
  <c r="S2485" i="11"/>
  <c r="N2485" i="11"/>
  <c r="M2486" i="11"/>
  <c r="D2486" i="11" l="1"/>
  <c r="C2486" i="11"/>
  <c r="S2486" i="11"/>
  <c r="R2486" i="11"/>
  <c r="N2486" i="11"/>
  <c r="M2487" i="11"/>
  <c r="D2487" i="11" l="1"/>
  <c r="C2487" i="11"/>
  <c r="R2487" i="11"/>
  <c r="S2487" i="11"/>
  <c r="N2487" i="11"/>
  <c r="M2488" i="11"/>
  <c r="D2488" i="11" l="1"/>
  <c r="C2488" i="11"/>
  <c r="S2488" i="11"/>
  <c r="R2488" i="11"/>
  <c r="N2488" i="11"/>
  <c r="M2489" i="11"/>
  <c r="D2489" i="11" l="1"/>
  <c r="C2489" i="11"/>
  <c r="R2489" i="11"/>
  <c r="S2489" i="11"/>
  <c r="N2489" i="11"/>
  <c r="M2490" i="11"/>
  <c r="D2490" i="11" l="1"/>
  <c r="C2490" i="11"/>
  <c r="S2490" i="11"/>
  <c r="R2490" i="11"/>
  <c r="N2490" i="11"/>
  <c r="M2491" i="11"/>
  <c r="D2491" i="11" l="1"/>
  <c r="C2491" i="11"/>
  <c r="R2491" i="11"/>
  <c r="S2491" i="11"/>
  <c r="N2491" i="11"/>
  <c r="M2492" i="11"/>
  <c r="D2492" i="11" l="1"/>
  <c r="C2492" i="11"/>
  <c r="S2492" i="11"/>
  <c r="R2492" i="11"/>
  <c r="N2492" i="11"/>
  <c r="M2493" i="11"/>
  <c r="D2493" i="11" l="1"/>
  <c r="C2493" i="11"/>
  <c r="R2493" i="11"/>
  <c r="S2493" i="11"/>
  <c r="N2493" i="11"/>
  <c r="M2494" i="11"/>
  <c r="D2494" i="11" l="1"/>
  <c r="C2494" i="11"/>
  <c r="S2494" i="11"/>
  <c r="R2494" i="11"/>
  <c r="N2494" i="11"/>
  <c r="M2495" i="11"/>
  <c r="D2495" i="11" l="1"/>
  <c r="C2495" i="11"/>
  <c r="R2495" i="11"/>
  <c r="S2495" i="11"/>
  <c r="N2495" i="11"/>
  <c r="M2496" i="11"/>
  <c r="D2496" i="11" l="1"/>
  <c r="C2496" i="11"/>
  <c r="S2496" i="11"/>
  <c r="R2496" i="11"/>
  <c r="N2496" i="11"/>
  <c r="M2497" i="11"/>
  <c r="D2497" i="11" l="1"/>
  <c r="C2497" i="11"/>
  <c r="R2497" i="11"/>
  <c r="S2497" i="11"/>
  <c r="N2497" i="11"/>
  <c r="M2498" i="11"/>
  <c r="D2498" i="11" l="1"/>
  <c r="C2498" i="11"/>
  <c r="S2498" i="11"/>
  <c r="R2498" i="11"/>
  <c r="N2498" i="11"/>
  <c r="M2499" i="11"/>
  <c r="D2499" i="11" l="1"/>
  <c r="C2499" i="11"/>
  <c r="R2499" i="11"/>
  <c r="S2499" i="11"/>
  <c r="N2499" i="11"/>
  <c r="M2500" i="11"/>
  <c r="D2500" i="11" l="1"/>
  <c r="C2500" i="11"/>
  <c r="S2500" i="11"/>
  <c r="R2500" i="11"/>
  <c r="N2500" i="11"/>
  <c r="M2501" i="11"/>
  <c r="D2501" i="11" l="1"/>
  <c r="C2501" i="11"/>
  <c r="R2501" i="11"/>
  <c r="S2501" i="11"/>
  <c r="N2501" i="11"/>
  <c r="M2502" i="11"/>
  <c r="D2502" i="11" l="1"/>
  <c r="C2502" i="11"/>
  <c r="S2502" i="11"/>
  <c r="R2502" i="11"/>
  <c r="N2502" i="11"/>
  <c r="M2503" i="11"/>
  <c r="D2503" i="11" l="1"/>
  <c r="C2503" i="11"/>
  <c r="R2503" i="11"/>
  <c r="S2503" i="11"/>
  <c r="N2503" i="11"/>
  <c r="M2504" i="11"/>
  <c r="D2504" i="11" l="1"/>
  <c r="C2504" i="11"/>
  <c r="S2504" i="11"/>
  <c r="R2504" i="11"/>
  <c r="N2504" i="11"/>
  <c r="M2505" i="11"/>
  <c r="D2505" i="11" l="1"/>
  <c r="C2505" i="11"/>
  <c r="R2505" i="11"/>
  <c r="S2505" i="11"/>
  <c r="N2505" i="11"/>
  <c r="M2506" i="11"/>
  <c r="D2506" i="11" l="1"/>
  <c r="C2506" i="11"/>
  <c r="S2506" i="11"/>
  <c r="R2506" i="11"/>
  <c r="N2506" i="11"/>
  <c r="M2507" i="11"/>
  <c r="D2507" i="11" l="1"/>
  <c r="C2507" i="11"/>
  <c r="R2507" i="11"/>
  <c r="S2507" i="11"/>
  <c r="N2507" i="11"/>
  <c r="M2508" i="11"/>
  <c r="D2508" i="11" l="1"/>
  <c r="C2508" i="11"/>
  <c r="S2508" i="11"/>
  <c r="R2508" i="11"/>
  <c r="N2508" i="11"/>
  <c r="M2509" i="11"/>
  <c r="D2509" i="11" l="1"/>
  <c r="C2509" i="11"/>
  <c r="R2509" i="11"/>
  <c r="S2509" i="11"/>
  <c r="N2509" i="11"/>
  <c r="M2510" i="11"/>
  <c r="D2510" i="11" l="1"/>
  <c r="C2510" i="11"/>
  <c r="S2510" i="11"/>
  <c r="R2510" i="11"/>
  <c r="N2510" i="11"/>
  <c r="M2511" i="11"/>
  <c r="D2511" i="11" l="1"/>
  <c r="C2511" i="11"/>
  <c r="R2511" i="11"/>
  <c r="S2511" i="11"/>
  <c r="N2511" i="11"/>
  <c r="M2512" i="11"/>
  <c r="D2512" i="11" l="1"/>
  <c r="C2512" i="11"/>
  <c r="S2512" i="11"/>
  <c r="R2512" i="11"/>
  <c r="N2512" i="11"/>
  <c r="M2513" i="11"/>
  <c r="D2513" i="11" l="1"/>
  <c r="C2513" i="11"/>
  <c r="R2513" i="11"/>
  <c r="S2513" i="11"/>
  <c r="N2513" i="11"/>
  <c r="M2514" i="11"/>
  <c r="D2514" i="11" l="1"/>
  <c r="C2514" i="11"/>
  <c r="S2514" i="11"/>
  <c r="R2514" i="11"/>
  <c r="N2514" i="11"/>
  <c r="M2515" i="11"/>
  <c r="D2515" i="11" l="1"/>
  <c r="C2515" i="11"/>
  <c r="R2515" i="11"/>
  <c r="S2515" i="11"/>
  <c r="N2515" i="11"/>
  <c r="M2516" i="11"/>
  <c r="D2516" i="11" l="1"/>
  <c r="C2516" i="11"/>
  <c r="S2516" i="11"/>
  <c r="R2516" i="11"/>
  <c r="N2516" i="11"/>
  <c r="M2517" i="11"/>
  <c r="D2517" i="11" l="1"/>
  <c r="C2517" i="11"/>
  <c r="R2517" i="11"/>
  <c r="S2517" i="11"/>
  <c r="N2517" i="11"/>
  <c r="M2518" i="11"/>
  <c r="D2518" i="11" l="1"/>
  <c r="C2518" i="11"/>
  <c r="S2518" i="11"/>
  <c r="R2518" i="11"/>
  <c r="N2518" i="11"/>
  <c r="M2519" i="11"/>
  <c r="D2519" i="11" l="1"/>
  <c r="C2519" i="11"/>
  <c r="R2519" i="11"/>
  <c r="S2519" i="11"/>
  <c r="N2519" i="11"/>
  <c r="M2520" i="11"/>
  <c r="D2520" i="11" l="1"/>
  <c r="C2520" i="11"/>
  <c r="S2520" i="11"/>
  <c r="R2520" i="11"/>
  <c r="N2520" i="11"/>
  <c r="M2521" i="11"/>
  <c r="D2521" i="11" l="1"/>
  <c r="C2521" i="11"/>
  <c r="R2521" i="11"/>
  <c r="S2521" i="11"/>
  <c r="N2521" i="11"/>
  <c r="M2522" i="11"/>
  <c r="D2522" i="11" l="1"/>
  <c r="C2522" i="11"/>
  <c r="S2522" i="11"/>
  <c r="R2522" i="11"/>
  <c r="N2522" i="11"/>
  <c r="M2523" i="11"/>
  <c r="D2523" i="11" l="1"/>
  <c r="C2523" i="11"/>
  <c r="R2523" i="11"/>
  <c r="S2523" i="11"/>
  <c r="N2523" i="11"/>
  <c r="M2524" i="11"/>
  <c r="D2524" i="11" l="1"/>
  <c r="C2524" i="11"/>
  <c r="S2524" i="11"/>
  <c r="R2524" i="11"/>
  <c r="N2524" i="11"/>
  <c r="M2525" i="11"/>
  <c r="D2525" i="11" l="1"/>
  <c r="C2525" i="11"/>
  <c r="R2525" i="11"/>
  <c r="S2525" i="11"/>
  <c r="N2525" i="11"/>
  <c r="M2526" i="11"/>
  <c r="D2526" i="11" l="1"/>
  <c r="C2526" i="11"/>
  <c r="S2526" i="11"/>
  <c r="R2526" i="11"/>
  <c r="N2526" i="11"/>
  <c r="M2527" i="11"/>
  <c r="D2527" i="11" l="1"/>
  <c r="C2527" i="11"/>
  <c r="R2527" i="11"/>
  <c r="S2527" i="11"/>
  <c r="N2527" i="11"/>
  <c r="M2528" i="11"/>
  <c r="D2528" i="11" l="1"/>
  <c r="C2528" i="11"/>
  <c r="S2528" i="11"/>
  <c r="R2528" i="11"/>
  <c r="N2528" i="11"/>
  <c r="M2529" i="11"/>
  <c r="D2529" i="11" l="1"/>
  <c r="C2529" i="11"/>
  <c r="R2529" i="11"/>
  <c r="S2529" i="11"/>
  <c r="N2529" i="11"/>
  <c r="M2530" i="11"/>
  <c r="D2530" i="11" l="1"/>
  <c r="C2530" i="11"/>
  <c r="S2530" i="11"/>
  <c r="R2530" i="11"/>
  <c r="N2530" i="11"/>
  <c r="M2531" i="11"/>
  <c r="D2531" i="11" l="1"/>
  <c r="C2531" i="11"/>
  <c r="R2531" i="11"/>
  <c r="S2531" i="11"/>
  <c r="N2531" i="11"/>
  <c r="M2532" i="11"/>
  <c r="D2532" i="11" l="1"/>
  <c r="C2532" i="11"/>
  <c r="S2532" i="11"/>
  <c r="R2532" i="11"/>
  <c r="N2532" i="11"/>
  <c r="M2533" i="11"/>
  <c r="D2533" i="11" l="1"/>
  <c r="C2533" i="11"/>
  <c r="R2533" i="11"/>
  <c r="S2533" i="11"/>
  <c r="N2533" i="11"/>
  <c r="M2534" i="11"/>
  <c r="D2534" i="11" l="1"/>
  <c r="C2534" i="11"/>
  <c r="S2534" i="11"/>
  <c r="R2534" i="11"/>
  <c r="N2534" i="11"/>
  <c r="M2535" i="11"/>
  <c r="D2535" i="11" l="1"/>
  <c r="C2535" i="11"/>
  <c r="R2535" i="11"/>
  <c r="S2535" i="11"/>
  <c r="N2535" i="11"/>
  <c r="M2536" i="11"/>
  <c r="D2536" i="11" l="1"/>
  <c r="C2536" i="11"/>
  <c r="S2536" i="11"/>
  <c r="R2536" i="11"/>
  <c r="N2536" i="11"/>
  <c r="M2537" i="11"/>
  <c r="D2537" i="11" l="1"/>
  <c r="C2537" i="11"/>
  <c r="R2537" i="11"/>
  <c r="S2537" i="11"/>
  <c r="N2537" i="11"/>
  <c r="M2538" i="11"/>
  <c r="D2538" i="11" l="1"/>
  <c r="C2538" i="11"/>
  <c r="S2538" i="11"/>
  <c r="R2538" i="11"/>
  <c r="N2538" i="11"/>
  <c r="M2539" i="11"/>
  <c r="D2539" i="11" l="1"/>
  <c r="C2539" i="11"/>
  <c r="R2539" i="11"/>
  <c r="S2539" i="11"/>
  <c r="N2539" i="11"/>
  <c r="M2540" i="11"/>
  <c r="D2540" i="11" l="1"/>
  <c r="C2540" i="11"/>
  <c r="S2540" i="11"/>
  <c r="R2540" i="11"/>
  <c r="N2540" i="11"/>
  <c r="M2541" i="11"/>
  <c r="D2541" i="11" l="1"/>
  <c r="C2541" i="11"/>
  <c r="R2541" i="11"/>
  <c r="S2541" i="11"/>
  <c r="N2541" i="11"/>
  <c r="M2542" i="11"/>
  <c r="D2542" i="11" l="1"/>
  <c r="C2542" i="11"/>
  <c r="S2542" i="11"/>
  <c r="R2542" i="11"/>
  <c r="N2542" i="11"/>
  <c r="M2543" i="11"/>
  <c r="D2543" i="11" l="1"/>
  <c r="C2543" i="11"/>
  <c r="R2543" i="11"/>
  <c r="S2543" i="11"/>
  <c r="N2543" i="11"/>
  <c r="M2544" i="11"/>
  <c r="D2544" i="11" l="1"/>
  <c r="C2544" i="11"/>
  <c r="S2544" i="11"/>
  <c r="R2544" i="11"/>
  <c r="N2544" i="11"/>
  <c r="M2545" i="11"/>
  <c r="D2545" i="11" l="1"/>
  <c r="C2545" i="11"/>
  <c r="R2545" i="11"/>
  <c r="S2545" i="11"/>
  <c r="N2545" i="11"/>
  <c r="M2546" i="11"/>
  <c r="D2546" i="11" l="1"/>
  <c r="C2546" i="11"/>
  <c r="S2546" i="11"/>
  <c r="R2546" i="11"/>
  <c r="N2546" i="11"/>
  <c r="M2547" i="11"/>
  <c r="D2547" i="11" l="1"/>
  <c r="C2547" i="11"/>
  <c r="R2547" i="11"/>
  <c r="S2547" i="11"/>
  <c r="N2547" i="11"/>
  <c r="M2548" i="11"/>
  <c r="D2548" i="11" l="1"/>
  <c r="C2548" i="11"/>
  <c r="S2548" i="11"/>
  <c r="R2548" i="11"/>
  <c r="N2548" i="11"/>
  <c r="M2549" i="11"/>
  <c r="D2549" i="11" l="1"/>
  <c r="C2549" i="11"/>
  <c r="R2549" i="11"/>
  <c r="S2549" i="11"/>
  <c r="N2549" i="11"/>
  <c r="M2550" i="11"/>
  <c r="D2550" i="11" l="1"/>
  <c r="C2550" i="11"/>
  <c r="S2550" i="11"/>
  <c r="R2550" i="11"/>
  <c r="N2550" i="11"/>
  <c r="M2551" i="11"/>
  <c r="D2551" i="11" l="1"/>
  <c r="C2551" i="11"/>
  <c r="R2551" i="11"/>
  <c r="S2551" i="11"/>
  <c r="N2551" i="11"/>
  <c r="M2552" i="11"/>
  <c r="D2552" i="11" l="1"/>
  <c r="C2552" i="11"/>
  <c r="S2552" i="11"/>
  <c r="R2552" i="11"/>
  <c r="N2552" i="11"/>
  <c r="M2553" i="11"/>
  <c r="D2553" i="11" l="1"/>
  <c r="C2553" i="11"/>
  <c r="R2553" i="11"/>
  <c r="S2553" i="11"/>
  <c r="N2553" i="11"/>
  <c r="M2554" i="11"/>
  <c r="D2554" i="11" l="1"/>
  <c r="C2554" i="11"/>
  <c r="S2554" i="11"/>
  <c r="R2554" i="11"/>
  <c r="N2554" i="11"/>
  <c r="M2555" i="11"/>
  <c r="D2555" i="11" l="1"/>
  <c r="C2555" i="11"/>
  <c r="R2555" i="11"/>
  <c r="S2555" i="11"/>
  <c r="N2555" i="11"/>
  <c r="M2556" i="11"/>
  <c r="D2556" i="11" l="1"/>
  <c r="C2556" i="11"/>
  <c r="S2556" i="11"/>
  <c r="R2556" i="11"/>
  <c r="N2556" i="11"/>
  <c r="M2557" i="11"/>
  <c r="D2557" i="11" l="1"/>
  <c r="C2557" i="11"/>
  <c r="R2557" i="11"/>
  <c r="S2557" i="11"/>
  <c r="N2557" i="11"/>
  <c r="M2558" i="11"/>
  <c r="D2558" i="11" l="1"/>
  <c r="C2558" i="11"/>
  <c r="S2558" i="11"/>
  <c r="R2558" i="11"/>
  <c r="N2558" i="11"/>
  <c r="M2559" i="11"/>
  <c r="D2559" i="11" l="1"/>
  <c r="C2559" i="11"/>
  <c r="R2559" i="11"/>
  <c r="S2559" i="11"/>
  <c r="N2559" i="11"/>
  <c r="M2560" i="11"/>
  <c r="D2560" i="11" l="1"/>
  <c r="C2560" i="11"/>
  <c r="S2560" i="11"/>
  <c r="R2560" i="11"/>
  <c r="N2560" i="11"/>
  <c r="M2561" i="11"/>
  <c r="D2561" i="11" l="1"/>
  <c r="C2561" i="11"/>
  <c r="R2561" i="11"/>
  <c r="S2561" i="11"/>
  <c r="N2561" i="11"/>
  <c r="M2562" i="11"/>
  <c r="D2562" i="11" l="1"/>
  <c r="C2562" i="11"/>
  <c r="S2562" i="11"/>
  <c r="R2562" i="11"/>
  <c r="N2562" i="11"/>
  <c r="M2563" i="11"/>
  <c r="D2563" i="11" l="1"/>
  <c r="C2563" i="11"/>
  <c r="R2563" i="11"/>
  <c r="S2563" i="11"/>
  <c r="N2563" i="11"/>
  <c r="M2564" i="11"/>
  <c r="D2564" i="11" l="1"/>
  <c r="C2564" i="11"/>
  <c r="S2564" i="11"/>
  <c r="R2564" i="11"/>
  <c r="N2564" i="11"/>
  <c r="M2565" i="11"/>
  <c r="D2565" i="11" l="1"/>
  <c r="C2565" i="11"/>
  <c r="R2565" i="11"/>
  <c r="S2565" i="11"/>
  <c r="N2565" i="11"/>
  <c r="M2566" i="11"/>
  <c r="D2566" i="11" l="1"/>
  <c r="C2566" i="11"/>
  <c r="S2566" i="11"/>
  <c r="R2566" i="11"/>
  <c r="N2566" i="11"/>
  <c r="M2567" i="11"/>
  <c r="D2567" i="11" l="1"/>
  <c r="C2567" i="11"/>
  <c r="R2567" i="11"/>
  <c r="S2567" i="11"/>
  <c r="N2567" i="11"/>
  <c r="M2568" i="11"/>
  <c r="D2568" i="11" l="1"/>
  <c r="C2568" i="11"/>
  <c r="S2568" i="11"/>
  <c r="R2568" i="11"/>
  <c r="N2568" i="11"/>
  <c r="M2569" i="11"/>
  <c r="D2569" i="11" l="1"/>
  <c r="C2569" i="11"/>
  <c r="R2569" i="11"/>
  <c r="S2569" i="11"/>
  <c r="N2569" i="11"/>
  <c r="M2570" i="11"/>
  <c r="D2570" i="11" l="1"/>
  <c r="C2570" i="11"/>
  <c r="S2570" i="11"/>
  <c r="R2570" i="11"/>
  <c r="N2570" i="11"/>
  <c r="M2571" i="11"/>
  <c r="D2571" i="11" l="1"/>
  <c r="C2571" i="11"/>
  <c r="R2571" i="11"/>
  <c r="S2571" i="11"/>
  <c r="N2571" i="11"/>
  <c r="M2572" i="11"/>
  <c r="D2572" i="11" l="1"/>
  <c r="C2572" i="11"/>
  <c r="S2572" i="11"/>
  <c r="R2572" i="11"/>
  <c r="N2572" i="11"/>
  <c r="M2573" i="11"/>
  <c r="D2573" i="11" l="1"/>
  <c r="C2573" i="11"/>
  <c r="R2573" i="11"/>
  <c r="S2573" i="11"/>
  <c r="N2573" i="11"/>
  <c r="M2574" i="11"/>
  <c r="D2574" i="11" l="1"/>
  <c r="C2574" i="11"/>
  <c r="S2574" i="11"/>
  <c r="R2574" i="11"/>
  <c r="N2574" i="11"/>
  <c r="M2575" i="11"/>
  <c r="D2575" i="11" l="1"/>
  <c r="C2575" i="11"/>
  <c r="R2575" i="11"/>
  <c r="S2575" i="11"/>
  <c r="N2575" i="11"/>
  <c r="M2576" i="11"/>
  <c r="D2576" i="11" l="1"/>
  <c r="C2576" i="11"/>
  <c r="S2576" i="11"/>
  <c r="R2576" i="11"/>
  <c r="N2576" i="11"/>
  <c r="M2577" i="11"/>
  <c r="D2577" i="11" l="1"/>
  <c r="C2577" i="11"/>
  <c r="R2577" i="11"/>
  <c r="S2577" i="11"/>
  <c r="N2577" i="11"/>
  <c r="M2578" i="11"/>
  <c r="D2578" i="11" l="1"/>
  <c r="C2578" i="11"/>
  <c r="S2578" i="11"/>
  <c r="R2578" i="11"/>
  <c r="N2578" i="11"/>
  <c r="M2579" i="11"/>
  <c r="D2579" i="11" l="1"/>
  <c r="C2579" i="11"/>
  <c r="R2579" i="11"/>
  <c r="S2579" i="11"/>
  <c r="N2579" i="11"/>
  <c r="M2580" i="11"/>
  <c r="D2580" i="11" l="1"/>
  <c r="C2580" i="11"/>
  <c r="S2580" i="11"/>
  <c r="R2580" i="11"/>
  <c r="N2580" i="11"/>
  <c r="M2581" i="11"/>
  <c r="D2581" i="11" l="1"/>
  <c r="C2581" i="11"/>
  <c r="R2581" i="11"/>
  <c r="S2581" i="11"/>
  <c r="N2581" i="11"/>
  <c r="M2582" i="11"/>
  <c r="D2582" i="11" l="1"/>
  <c r="C2582" i="11"/>
  <c r="S2582" i="11"/>
  <c r="R2582" i="11"/>
  <c r="N2582" i="11"/>
  <c r="M2583" i="11"/>
  <c r="D2583" i="11" l="1"/>
  <c r="C2583" i="11"/>
  <c r="R2583" i="11"/>
  <c r="S2583" i="11"/>
  <c r="N2583" i="11"/>
  <c r="M2584" i="11"/>
  <c r="D2584" i="11" l="1"/>
  <c r="C2584" i="11"/>
  <c r="S2584" i="11"/>
  <c r="R2584" i="11"/>
  <c r="N2584" i="11"/>
  <c r="M2585" i="11"/>
  <c r="D2585" i="11" l="1"/>
  <c r="C2585" i="11"/>
  <c r="R2585" i="11"/>
  <c r="S2585" i="11"/>
  <c r="N2585" i="11"/>
  <c r="M2586" i="11"/>
  <c r="D2586" i="11" l="1"/>
  <c r="C2586" i="11"/>
  <c r="S2586" i="11"/>
  <c r="R2586" i="11"/>
  <c r="N2586" i="11"/>
  <c r="M2587" i="11"/>
  <c r="D2587" i="11" l="1"/>
  <c r="C2587" i="11"/>
  <c r="R2587" i="11"/>
  <c r="S2587" i="11"/>
  <c r="N2587" i="11"/>
  <c r="M2588" i="11"/>
  <c r="D2588" i="11" l="1"/>
  <c r="C2588" i="11"/>
  <c r="S2588" i="11"/>
  <c r="R2588" i="11"/>
  <c r="N2588" i="11"/>
  <c r="M2589" i="11"/>
  <c r="D2589" i="11" l="1"/>
  <c r="C2589" i="11"/>
  <c r="R2589" i="11"/>
  <c r="S2589" i="11"/>
  <c r="N2589" i="11"/>
  <c r="M2590" i="11"/>
  <c r="D2590" i="11" l="1"/>
  <c r="C2590" i="11"/>
  <c r="S2590" i="11"/>
  <c r="R2590" i="11"/>
  <c r="N2590" i="11"/>
  <c r="M2591" i="11"/>
  <c r="D2591" i="11" l="1"/>
  <c r="C2591" i="11"/>
  <c r="R2591" i="11"/>
  <c r="S2591" i="11"/>
  <c r="N2591" i="11"/>
  <c r="M2592" i="11"/>
  <c r="D2592" i="11" l="1"/>
  <c r="C2592" i="11"/>
  <c r="S2592" i="11"/>
  <c r="R2592" i="11"/>
  <c r="N2592" i="11"/>
  <c r="M2593" i="11"/>
  <c r="D2593" i="11" l="1"/>
  <c r="C2593" i="11"/>
  <c r="R2593" i="11"/>
  <c r="S2593" i="11"/>
  <c r="N2593" i="11"/>
  <c r="M2594" i="11"/>
  <c r="D2594" i="11" l="1"/>
  <c r="C2594" i="11"/>
  <c r="S2594" i="11"/>
  <c r="R2594" i="11"/>
  <c r="N2594" i="11"/>
  <c r="M2595" i="11"/>
  <c r="D2595" i="11" l="1"/>
  <c r="C2595" i="11"/>
  <c r="R2595" i="11"/>
  <c r="S2595" i="11"/>
  <c r="N2595" i="11"/>
  <c r="M2596" i="11"/>
  <c r="D2596" i="11" l="1"/>
  <c r="C2596" i="11"/>
  <c r="S2596" i="11"/>
  <c r="R2596" i="11"/>
  <c r="N2596" i="11"/>
  <c r="M2597" i="11"/>
  <c r="D2597" i="11" l="1"/>
  <c r="C2597" i="11"/>
  <c r="R2597" i="11"/>
  <c r="S2597" i="11"/>
  <c r="N2597" i="11"/>
  <c r="M2598" i="11"/>
  <c r="D2598" i="11" l="1"/>
  <c r="C2598" i="11"/>
  <c r="S2598" i="11"/>
  <c r="R2598" i="11"/>
  <c r="N2598" i="11"/>
  <c r="M2599" i="11"/>
  <c r="D2599" i="11" l="1"/>
  <c r="C2599" i="11"/>
  <c r="R2599" i="11"/>
  <c r="S2599" i="11"/>
  <c r="N2599" i="11"/>
  <c r="M2600" i="11"/>
  <c r="D2600" i="11" l="1"/>
  <c r="C2600" i="11"/>
  <c r="S2600" i="11"/>
  <c r="R2600" i="11"/>
  <c r="N2600" i="11"/>
  <c r="M2601" i="11"/>
  <c r="D2601" i="11" l="1"/>
  <c r="C2601" i="11"/>
  <c r="R2601" i="11"/>
  <c r="S2601" i="11"/>
  <c r="N2601" i="11"/>
  <c r="M2602" i="11"/>
  <c r="D2602" i="11" l="1"/>
  <c r="C2602" i="11"/>
  <c r="S2602" i="11"/>
  <c r="R2602" i="11"/>
  <c r="N2602" i="11"/>
  <c r="M2603" i="11"/>
  <c r="D2603" i="11" l="1"/>
  <c r="C2603" i="11"/>
  <c r="R2603" i="11"/>
  <c r="S2603" i="11"/>
  <c r="N2603" i="11"/>
  <c r="M2604" i="11"/>
  <c r="D2604" i="11" l="1"/>
  <c r="C2604" i="11"/>
  <c r="S2604" i="11"/>
  <c r="R2604" i="11"/>
  <c r="N2604" i="11"/>
  <c r="M2605" i="11"/>
  <c r="D2605" i="11" l="1"/>
  <c r="C2605" i="11"/>
  <c r="R2605" i="11"/>
  <c r="S2605" i="11"/>
  <c r="N2605" i="11"/>
  <c r="M2606" i="11"/>
  <c r="D2606" i="11" l="1"/>
  <c r="C2606" i="11"/>
  <c r="S2606" i="11"/>
  <c r="R2606" i="11"/>
  <c r="N2606" i="11"/>
  <c r="M2607" i="11"/>
  <c r="D2607" i="11" l="1"/>
  <c r="C2607" i="11"/>
  <c r="R2607" i="11"/>
  <c r="S2607" i="11"/>
  <c r="N2607" i="11"/>
  <c r="M2608" i="11"/>
  <c r="D2608" i="11" l="1"/>
  <c r="C2608" i="11"/>
  <c r="S2608" i="11"/>
  <c r="R2608" i="11"/>
  <c r="N2608" i="11"/>
  <c r="M2609" i="11"/>
  <c r="D2609" i="11" l="1"/>
  <c r="C2609" i="11"/>
  <c r="R2609" i="11"/>
  <c r="S2609" i="11"/>
  <c r="N2609" i="11"/>
  <c r="M2610" i="11"/>
  <c r="D2610" i="11" l="1"/>
  <c r="C2610" i="11"/>
  <c r="S2610" i="11"/>
  <c r="R2610" i="11"/>
  <c r="N2610" i="11"/>
  <c r="M2611" i="11"/>
  <c r="D2611" i="11" l="1"/>
  <c r="C2611" i="11"/>
  <c r="R2611" i="11"/>
  <c r="S2611" i="11"/>
  <c r="N2611" i="11"/>
  <c r="M2612" i="11"/>
  <c r="D2612" i="11" l="1"/>
  <c r="C2612" i="11"/>
  <c r="S2612" i="11"/>
  <c r="R2612" i="11"/>
  <c r="N2612" i="11"/>
  <c r="M2613" i="11"/>
  <c r="D2613" i="11" l="1"/>
  <c r="C2613" i="11"/>
  <c r="R2613" i="11"/>
  <c r="S2613" i="11"/>
  <c r="N2613" i="11"/>
  <c r="M2614" i="11"/>
  <c r="D2614" i="11" l="1"/>
  <c r="C2614" i="11"/>
  <c r="S2614" i="11"/>
  <c r="R2614" i="11"/>
  <c r="N2614" i="11"/>
  <c r="M2615" i="11"/>
  <c r="D2615" i="11" l="1"/>
  <c r="C2615" i="11"/>
  <c r="R2615" i="11"/>
  <c r="S2615" i="11"/>
  <c r="N2615" i="11"/>
  <c r="M2616" i="11"/>
  <c r="D2616" i="11" l="1"/>
  <c r="C2616" i="11"/>
  <c r="S2616" i="11"/>
  <c r="R2616" i="11"/>
  <c r="N2616" i="11"/>
  <c r="M2617" i="11"/>
  <c r="D2617" i="11" l="1"/>
  <c r="C2617" i="11"/>
  <c r="R2617" i="11"/>
  <c r="S2617" i="11"/>
  <c r="N2617" i="11"/>
  <c r="M2618" i="11"/>
  <c r="D2618" i="11" l="1"/>
  <c r="C2618" i="11"/>
  <c r="S2618" i="11"/>
  <c r="R2618" i="11"/>
  <c r="N2618" i="11"/>
  <c r="M2619" i="11"/>
  <c r="D2619" i="11" l="1"/>
  <c r="C2619" i="11"/>
  <c r="R2619" i="11"/>
  <c r="S2619" i="11"/>
  <c r="N2619" i="11"/>
  <c r="M2620" i="11"/>
  <c r="D2620" i="11" l="1"/>
  <c r="C2620" i="11"/>
  <c r="S2620" i="11"/>
  <c r="R2620" i="11"/>
  <c r="N2620" i="11"/>
  <c r="M2621" i="11"/>
  <c r="D2621" i="11" l="1"/>
  <c r="C2621" i="11"/>
  <c r="R2621" i="11"/>
  <c r="S2621" i="11"/>
  <c r="N2621" i="11"/>
  <c r="M2622" i="11"/>
  <c r="D2622" i="11" l="1"/>
  <c r="C2622" i="11"/>
  <c r="S2622" i="11"/>
  <c r="R2622" i="11"/>
  <c r="N2622" i="11"/>
  <c r="M2623" i="11"/>
  <c r="D2623" i="11" l="1"/>
  <c r="C2623" i="11"/>
  <c r="R2623" i="11"/>
  <c r="S2623" i="11"/>
  <c r="N2623" i="11"/>
  <c r="M2624" i="11"/>
  <c r="D2624" i="11" l="1"/>
  <c r="C2624" i="11"/>
  <c r="S2624" i="11"/>
  <c r="R2624" i="11"/>
  <c r="N2624" i="11"/>
  <c r="M2625" i="11"/>
  <c r="D2625" i="11" l="1"/>
  <c r="C2625" i="11"/>
  <c r="R2625" i="11"/>
  <c r="S2625" i="11"/>
  <c r="N2625" i="11"/>
  <c r="M2626" i="11"/>
  <c r="D2626" i="11" l="1"/>
  <c r="C2626" i="11"/>
  <c r="S2626" i="11"/>
  <c r="R2626" i="11"/>
  <c r="N2626" i="11"/>
  <c r="M2627" i="11"/>
  <c r="D2627" i="11" l="1"/>
  <c r="C2627" i="11"/>
  <c r="R2627" i="11"/>
  <c r="S2627" i="11"/>
  <c r="N2627" i="11"/>
  <c r="M2628" i="11"/>
  <c r="D2628" i="11" l="1"/>
  <c r="C2628" i="11"/>
  <c r="S2628" i="11"/>
  <c r="R2628" i="11"/>
  <c r="N2628" i="11"/>
  <c r="M2629" i="11"/>
  <c r="D2629" i="11" l="1"/>
  <c r="C2629" i="11"/>
  <c r="R2629" i="11"/>
  <c r="S2629" i="11"/>
  <c r="N2629" i="11"/>
  <c r="M2630" i="11"/>
  <c r="D2630" i="11" l="1"/>
  <c r="C2630" i="11"/>
  <c r="S2630" i="11"/>
  <c r="R2630" i="11"/>
  <c r="N2630" i="11"/>
  <c r="M2631" i="11"/>
  <c r="D2631" i="11" l="1"/>
  <c r="C2631" i="11"/>
  <c r="R2631" i="11"/>
  <c r="S2631" i="11"/>
  <c r="N2631" i="11"/>
  <c r="M2632" i="11"/>
  <c r="D2632" i="11" l="1"/>
  <c r="C2632" i="11"/>
  <c r="S2632" i="11"/>
  <c r="R2632" i="11"/>
  <c r="N2632" i="11"/>
  <c r="M2633" i="11"/>
  <c r="D2633" i="11" l="1"/>
  <c r="C2633" i="11"/>
  <c r="R2633" i="11"/>
  <c r="S2633" i="11"/>
  <c r="N2633" i="11"/>
  <c r="M2634" i="11"/>
  <c r="D2634" i="11" l="1"/>
  <c r="C2634" i="11"/>
  <c r="S2634" i="11"/>
  <c r="R2634" i="11"/>
  <c r="N2634" i="11"/>
  <c r="M2635" i="11"/>
  <c r="D2635" i="11" l="1"/>
  <c r="C2635" i="11"/>
  <c r="R2635" i="11"/>
  <c r="S2635" i="11"/>
  <c r="N2635" i="11"/>
  <c r="M2636" i="11"/>
  <c r="D2636" i="11" l="1"/>
  <c r="C2636" i="11"/>
  <c r="S2636" i="11"/>
  <c r="R2636" i="11"/>
  <c r="N2636" i="11"/>
  <c r="M2637" i="11"/>
  <c r="D2637" i="11" l="1"/>
  <c r="C2637" i="11"/>
  <c r="R2637" i="11"/>
  <c r="S2637" i="11"/>
  <c r="N2637" i="11"/>
  <c r="M2638" i="11"/>
  <c r="D2638" i="11" l="1"/>
  <c r="C2638" i="11"/>
  <c r="S2638" i="11"/>
  <c r="R2638" i="11"/>
  <c r="N2638" i="11"/>
  <c r="M2639" i="11"/>
  <c r="D2639" i="11" l="1"/>
  <c r="C2639" i="11"/>
  <c r="R2639" i="11"/>
  <c r="S2639" i="11"/>
  <c r="N2639" i="11"/>
  <c r="M2640" i="11"/>
  <c r="D2640" i="11" l="1"/>
  <c r="C2640" i="11"/>
  <c r="S2640" i="11"/>
  <c r="R2640" i="11"/>
  <c r="N2640" i="11"/>
  <c r="M2641" i="11"/>
  <c r="D2641" i="11" l="1"/>
  <c r="C2641" i="11"/>
  <c r="R2641" i="11"/>
  <c r="S2641" i="11"/>
  <c r="N2641" i="11"/>
  <c r="M2642" i="11"/>
  <c r="D2642" i="11" l="1"/>
  <c r="C2642" i="11"/>
  <c r="S2642" i="11"/>
  <c r="R2642" i="11"/>
  <c r="N2642" i="11"/>
  <c r="M2643" i="11"/>
  <c r="D2643" i="11" l="1"/>
  <c r="C2643" i="11"/>
  <c r="R2643" i="11"/>
  <c r="S2643" i="11"/>
  <c r="N2643" i="11"/>
  <c r="M2644" i="11"/>
  <c r="D2644" i="11" l="1"/>
  <c r="C2644" i="11"/>
  <c r="S2644" i="11"/>
  <c r="R2644" i="11"/>
  <c r="N2644" i="11"/>
  <c r="M2645" i="11"/>
  <c r="D2645" i="11" l="1"/>
  <c r="C2645" i="11"/>
  <c r="R2645" i="11"/>
  <c r="S2645" i="11"/>
  <c r="N2645" i="11"/>
  <c r="M2646" i="11"/>
  <c r="D2646" i="11" l="1"/>
  <c r="C2646" i="11"/>
  <c r="S2646" i="11"/>
  <c r="R2646" i="11"/>
  <c r="N2646" i="11"/>
  <c r="M2647" i="11"/>
  <c r="D2647" i="11" l="1"/>
  <c r="C2647" i="11"/>
  <c r="R2647" i="11"/>
  <c r="S2647" i="11"/>
  <c r="N2647" i="11"/>
  <c r="M2648" i="11"/>
  <c r="D2648" i="11" l="1"/>
  <c r="C2648" i="11"/>
  <c r="S2648" i="11"/>
  <c r="R2648" i="11"/>
  <c r="N2648" i="11"/>
  <c r="M2649" i="11"/>
  <c r="D2649" i="11" l="1"/>
  <c r="C2649" i="11"/>
  <c r="R2649" i="11"/>
  <c r="S2649" i="11"/>
  <c r="N2649" i="11"/>
  <c r="M2650" i="11"/>
  <c r="D2650" i="11" l="1"/>
  <c r="C2650" i="11"/>
  <c r="S2650" i="11"/>
  <c r="R2650" i="11"/>
  <c r="N2650" i="11"/>
  <c r="M2651" i="11"/>
  <c r="D2651" i="11" l="1"/>
  <c r="C2651" i="11"/>
  <c r="R2651" i="11"/>
  <c r="S2651" i="11"/>
  <c r="N2651" i="11"/>
  <c r="M2652" i="11"/>
  <c r="D2652" i="11" l="1"/>
  <c r="C2652" i="11"/>
  <c r="S2652" i="11"/>
  <c r="R2652" i="11"/>
  <c r="N2652" i="11"/>
  <c r="M2653" i="11"/>
  <c r="D2653" i="11" l="1"/>
  <c r="C2653" i="11"/>
  <c r="R2653" i="11"/>
  <c r="S2653" i="11"/>
  <c r="N2653" i="11"/>
  <c r="M2654" i="11"/>
  <c r="D2654" i="11" l="1"/>
  <c r="C2654" i="11"/>
  <c r="S2654" i="11"/>
  <c r="R2654" i="11"/>
  <c r="N2654" i="11"/>
  <c r="M2655" i="11"/>
  <c r="D2655" i="11" l="1"/>
  <c r="C2655" i="11"/>
  <c r="R2655" i="11"/>
  <c r="S2655" i="11"/>
  <c r="N2655" i="11"/>
  <c r="M2656" i="11"/>
  <c r="D2656" i="11" l="1"/>
  <c r="C2656" i="11"/>
  <c r="S2656" i="11"/>
  <c r="R2656" i="11"/>
  <c r="N2656" i="11"/>
  <c r="M2657" i="11"/>
  <c r="D2657" i="11" l="1"/>
  <c r="C2657" i="11"/>
  <c r="R2657" i="11"/>
  <c r="S2657" i="11"/>
  <c r="N2657" i="11"/>
  <c r="M2658" i="11"/>
  <c r="D2658" i="11" l="1"/>
  <c r="C2658" i="11"/>
  <c r="S2658" i="11"/>
  <c r="R2658" i="11"/>
  <c r="N2658" i="11"/>
  <c r="M2659" i="11"/>
  <c r="D2659" i="11" l="1"/>
  <c r="C2659" i="11"/>
  <c r="R2659" i="11"/>
  <c r="S2659" i="11"/>
  <c r="N2659" i="11"/>
  <c r="M2660" i="11"/>
  <c r="D2660" i="11" l="1"/>
  <c r="C2660" i="11"/>
  <c r="S2660" i="11"/>
  <c r="R2660" i="11"/>
  <c r="N2660" i="11"/>
  <c r="M2661" i="11"/>
  <c r="D2661" i="11" l="1"/>
  <c r="C2661" i="11"/>
  <c r="R2661" i="11"/>
  <c r="S2661" i="11"/>
  <c r="N2661" i="11"/>
  <c r="M2662" i="11"/>
  <c r="D2662" i="11" l="1"/>
  <c r="C2662" i="11"/>
  <c r="S2662" i="11"/>
  <c r="R2662" i="11"/>
  <c r="N2662" i="11"/>
  <c r="M2663" i="11"/>
  <c r="D2663" i="11" l="1"/>
  <c r="C2663" i="11"/>
  <c r="R2663" i="11"/>
  <c r="S2663" i="11"/>
  <c r="N2663" i="11"/>
  <c r="M2664" i="11"/>
  <c r="D2664" i="11" l="1"/>
  <c r="C2664" i="11"/>
  <c r="S2664" i="11"/>
  <c r="R2664" i="11"/>
  <c r="N2664" i="11"/>
  <c r="M2665" i="11"/>
  <c r="D2665" i="11" l="1"/>
  <c r="C2665" i="11"/>
  <c r="R2665" i="11"/>
  <c r="S2665" i="11"/>
  <c r="N2665" i="11"/>
  <c r="M2666" i="11"/>
  <c r="D2666" i="11" l="1"/>
  <c r="C2666" i="11"/>
  <c r="S2666" i="11"/>
  <c r="R2666" i="11"/>
  <c r="N2666" i="11"/>
  <c r="M2667" i="11"/>
  <c r="D2667" i="11" l="1"/>
  <c r="C2667" i="11"/>
  <c r="R2667" i="11"/>
  <c r="S2667" i="11"/>
  <c r="N2667" i="11"/>
  <c r="M2668" i="11"/>
  <c r="D2668" i="11" l="1"/>
  <c r="C2668" i="11"/>
  <c r="R2668" i="11"/>
  <c r="S2668" i="11"/>
  <c r="N2668" i="11"/>
  <c r="M2669" i="11"/>
  <c r="D2669" i="11" l="1"/>
  <c r="C2669" i="11"/>
  <c r="R2669" i="11"/>
  <c r="S2669" i="11"/>
  <c r="N2669" i="11"/>
  <c r="M2670" i="11"/>
  <c r="D2670" i="11" l="1"/>
  <c r="C2670" i="11"/>
  <c r="S2670" i="11"/>
  <c r="R2670" i="11"/>
  <c r="N2670" i="11"/>
  <c r="M2671" i="11"/>
  <c r="D2671" i="11" l="1"/>
  <c r="C2671" i="11"/>
  <c r="R2671" i="11"/>
  <c r="S2671" i="11"/>
  <c r="N2671" i="11"/>
  <c r="M2672" i="11"/>
  <c r="D2672" i="11" l="1"/>
  <c r="C2672" i="11"/>
  <c r="R2672" i="11"/>
  <c r="S2672" i="11"/>
  <c r="N2672" i="11"/>
  <c r="M2673" i="11"/>
  <c r="D2673" i="11" l="1"/>
  <c r="C2673" i="11"/>
  <c r="R2673" i="11"/>
  <c r="S2673" i="11"/>
  <c r="N2673" i="11"/>
  <c r="M2674" i="11"/>
  <c r="D2674" i="11" l="1"/>
  <c r="C2674" i="11"/>
  <c r="S2674" i="11"/>
  <c r="R2674" i="11"/>
  <c r="N2674" i="11"/>
  <c r="M2675" i="11"/>
  <c r="D2675" i="11" l="1"/>
  <c r="C2675" i="11"/>
  <c r="R2675" i="11"/>
  <c r="S2675" i="11"/>
  <c r="N2675" i="11"/>
  <c r="M2676" i="11"/>
  <c r="D2676" i="11" l="1"/>
  <c r="C2676" i="11"/>
  <c r="R2676" i="11"/>
  <c r="S2676" i="11"/>
  <c r="N2676" i="11"/>
  <c r="M2677" i="11"/>
  <c r="D2677" i="11" l="1"/>
  <c r="C2677" i="11"/>
  <c r="R2677" i="11"/>
  <c r="S2677" i="11"/>
  <c r="N2677" i="11"/>
  <c r="M2678" i="11"/>
  <c r="D2678" i="11" l="1"/>
  <c r="C2678" i="11"/>
  <c r="S2678" i="11"/>
  <c r="R2678" i="11"/>
  <c r="N2678" i="11"/>
  <c r="M2679" i="11"/>
  <c r="D2679" i="11" l="1"/>
  <c r="C2679" i="11"/>
  <c r="R2679" i="11"/>
  <c r="S2679" i="11"/>
  <c r="N2679" i="11"/>
  <c r="M2680" i="11"/>
  <c r="D2680" i="11" l="1"/>
  <c r="C2680" i="11"/>
  <c r="R2680" i="11"/>
  <c r="S2680" i="11"/>
  <c r="N2680" i="11"/>
  <c r="M2681" i="11"/>
  <c r="D2681" i="11" l="1"/>
  <c r="C2681" i="11"/>
  <c r="R2681" i="11"/>
  <c r="S2681" i="11"/>
  <c r="N2681" i="11"/>
  <c r="M2682" i="11"/>
  <c r="D2682" i="11" l="1"/>
  <c r="C2682" i="11"/>
  <c r="S2682" i="11"/>
  <c r="R2682" i="11"/>
  <c r="N2682" i="11"/>
  <c r="M2683" i="11"/>
  <c r="D2683" i="11" l="1"/>
  <c r="C2683" i="11"/>
  <c r="R2683" i="11"/>
  <c r="S2683" i="11"/>
  <c r="N2683" i="11"/>
  <c r="M2684" i="11"/>
  <c r="D2684" i="11" l="1"/>
  <c r="C2684" i="11"/>
  <c r="R2684" i="11"/>
  <c r="S2684" i="11"/>
  <c r="N2684" i="11"/>
  <c r="M2685" i="11"/>
  <c r="D2685" i="11" l="1"/>
  <c r="C2685" i="11"/>
  <c r="R2685" i="11"/>
  <c r="S2685" i="11"/>
  <c r="N2685" i="11"/>
  <c r="M2686" i="11"/>
  <c r="D2686" i="11" l="1"/>
  <c r="C2686" i="11"/>
  <c r="S2686" i="11"/>
  <c r="R2686" i="11"/>
  <c r="N2686" i="11"/>
  <c r="M2687" i="11"/>
  <c r="D2687" i="11" l="1"/>
  <c r="C2687" i="11"/>
  <c r="R2687" i="11"/>
  <c r="S2687" i="11"/>
  <c r="N2687" i="11"/>
  <c r="M2688" i="11"/>
  <c r="D2688" i="11" l="1"/>
  <c r="C2688" i="11"/>
  <c r="R2688" i="11"/>
  <c r="S2688" i="11"/>
  <c r="N2688" i="11"/>
  <c r="M2689" i="11"/>
  <c r="D2689" i="11" l="1"/>
  <c r="C2689" i="11"/>
  <c r="R2689" i="11"/>
  <c r="S2689" i="11"/>
  <c r="N2689" i="11"/>
  <c r="M2690" i="11"/>
  <c r="D2690" i="11" l="1"/>
  <c r="C2690" i="11"/>
  <c r="R2690" i="11"/>
  <c r="S2690" i="11"/>
  <c r="N2690" i="11"/>
  <c r="M2691" i="11"/>
  <c r="D2691" i="11" l="1"/>
  <c r="C2691" i="11"/>
  <c r="R2691" i="11"/>
  <c r="S2691" i="11"/>
  <c r="N2691" i="11"/>
  <c r="M2692" i="11"/>
  <c r="D2692" i="11" l="1"/>
  <c r="C2692" i="11"/>
  <c r="R2692" i="11"/>
  <c r="S2692" i="11"/>
  <c r="N2692" i="11"/>
  <c r="M2693" i="11"/>
  <c r="D2693" i="11" l="1"/>
  <c r="C2693" i="11"/>
  <c r="R2693" i="11"/>
  <c r="S2693" i="11"/>
  <c r="N2693" i="11"/>
  <c r="M2694" i="11"/>
  <c r="D2694" i="11" l="1"/>
  <c r="C2694" i="11"/>
  <c r="R2694" i="11"/>
  <c r="S2694" i="11"/>
  <c r="N2694" i="11"/>
  <c r="M2695" i="11"/>
  <c r="D2695" i="11" l="1"/>
  <c r="C2695" i="11"/>
  <c r="R2695" i="11"/>
  <c r="S2695" i="11"/>
  <c r="N2695" i="11"/>
  <c r="M2696" i="11"/>
  <c r="D2696" i="11" l="1"/>
  <c r="C2696" i="11"/>
  <c r="R2696" i="11"/>
  <c r="S2696" i="11"/>
  <c r="N2696" i="11"/>
  <c r="M2697" i="11"/>
  <c r="D2697" i="11" l="1"/>
  <c r="C2697" i="11"/>
  <c r="R2697" i="11"/>
  <c r="S2697" i="11"/>
  <c r="N2697" i="11"/>
  <c r="M2698" i="11"/>
  <c r="D2698" i="11" l="1"/>
  <c r="C2698" i="11"/>
  <c r="R2698" i="11"/>
  <c r="S2698" i="11"/>
  <c r="N2698" i="11"/>
  <c r="M2699" i="11"/>
  <c r="D2699" i="11" l="1"/>
  <c r="C2699" i="11"/>
  <c r="R2699" i="11"/>
  <c r="S2699" i="11"/>
  <c r="N2699" i="11"/>
  <c r="M2700" i="11"/>
  <c r="D2700" i="11" l="1"/>
  <c r="C2700" i="11"/>
  <c r="R2700" i="11"/>
  <c r="S2700" i="11"/>
  <c r="N2700" i="11"/>
  <c r="M2701" i="11"/>
  <c r="D2701" i="11" l="1"/>
  <c r="C2701" i="11"/>
  <c r="R2701" i="11"/>
  <c r="S2701" i="11"/>
  <c r="N2701" i="11"/>
  <c r="M2702" i="11"/>
  <c r="D2702" i="11" l="1"/>
  <c r="C2702" i="11"/>
  <c r="R2702" i="11"/>
  <c r="S2702" i="11"/>
  <c r="N2702" i="11"/>
  <c r="M2703" i="11"/>
  <c r="D2703" i="11" l="1"/>
  <c r="C2703" i="11"/>
  <c r="R2703" i="11"/>
  <c r="S2703" i="11"/>
  <c r="N2703" i="11"/>
  <c r="M2704" i="11"/>
  <c r="D2704" i="11" l="1"/>
  <c r="C2704" i="11"/>
  <c r="R2704" i="11"/>
  <c r="S2704" i="11"/>
  <c r="N2704" i="11"/>
  <c r="M2705" i="11"/>
  <c r="D2705" i="11" l="1"/>
  <c r="C2705" i="11"/>
  <c r="R2705" i="11"/>
  <c r="S2705" i="11"/>
  <c r="N2705" i="11"/>
  <c r="M2706" i="11"/>
  <c r="D2706" i="11" l="1"/>
  <c r="C2706" i="11"/>
  <c r="R2706" i="11"/>
  <c r="S2706" i="11"/>
  <c r="N2706" i="11"/>
  <c r="M2707" i="11"/>
  <c r="D2707" i="11" l="1"/>
  <c r="C2707" i="11"/>
  <c r="R2707" i="11"/>
  <c r="S2707" i="11"/>
  <c r="N2707" i="11"/>
  <c r="M2708" i="11"/>
  <c r="D2708" i="11" l="1"/>
  <c r="C2708" i="11"/>
  <c r="R2708" i="11"/>
  <c r="S2708" i="11"/>
  <c r="N2708" i="11"/>
  <c r="M2709" i="11"/>
  <c r="D2709" i="11" l="1"/>
  <c r="C2709" i="11"/>
  <c r="R2709" i="11"/>
  <c r="S2709" i="11"/>
  <c r="N2709" i="11"/>
  <c r="M2710" i="11"/>
  <c r="D2710" i="11" l="1"/>
  <c r="C2710" i="11"/>
  <c r="R2710" i="11"/>
  <c r="S2710" i="11"/>
  <c r="N2710" i="11"/>
  <c r="M2711" i="11"/>
  <c r="D2711" i="11" l="1"/>
  <c r="C2711" i="11"/>
  <c r="R2711" i="11"/>
  <c r="S2711" i="11"/>
  <c r="N2711" i="11"/>
  <c r="M2712" i="11"/>
  <c r="D2712" i="11" l="1"/>
  <c r="C2712" i="11"/>
  <c r="R2712" i="11"/>
  <c r="S2712" i="11"/>
  <c r="N2712" i="11"/>
  <c r="M2713" i="11"/>
  <c r="D2713" i="11" l="1"/>
  <c r="C2713" i="11"/>
  <c r="R2713" i="11"/>
  <c r="S2713" i="11"/>
  <c r="N2713" i="11"/>
  <c r="M2714" i="11"/>
  <c r="D2714" i="11" l="1"/>
  <c r="C2714" i="11"/>
  <c r="R2714" i="11"/>
  <c r="S2714" i="11"/>
  <c r="N2714" i="11"/>
  <c r="M2715" i="11"/>
  <c r="D2715" i="11" l="1"/>
  <c r="C2715" i="11"/>
  <c r="R2715" i="11"/>
  <c r="S2715" i="11"/>
  <c r="N2715" i="11"/>
  <c r="M2716" i="11"/>
  <c r="D2716" i="11" l="1"/>
  <c r="C2716" i="11"/>
  <c r="R2716" i="11"/>
  <c r="S2716" i="11"/>
  <c r="N2716" i="11"/>
  <c r="M2717" i="11"/>
  <c r="D2717" i="11" l="1"/>
  <c r="C2717" i="11"/>
  <c r="R2717" i="11"/>
  <c r="S2717" i="11"/>
  <c r="N2717" i="11"/>
  <c r="M2718" i="11"/>
  <c r="D2718" i="11" l="1"/>
  <c r="C2718" i="11"/>
  <c r="R2718" i="11"/>
  <c r="S2718" i="11"/>
  <c r="N2718" i="11"/>
  <c r="M2719" i="11"/>
  <c r="D2719" i="11" l="1"/>
  <c r="C2719" i="11"/>
  <c r="R2719" i="11"/>
  <c r="S2719" i="11"/>
  <c r="N2719" i="11"/>
  <c r="M2720" i="11"/>
  <c r="D2720" i="11" l="1"/>
  <c r="C2720" i="11"/>
  <c r="R2720" i="11"/>
  <c r="S2720" i="11"/>
  <c r="N2720" i="11"/>
  <c r="M2721" i="11"/>
  <c r="D2721" i="11" l="1"/>
  <c r="C2721" i="11"/>
  <c r="R2721" i="11"/>
  <c r="S2721" i="11"/>
  <c r="N2721" i="11"/>
  <c r="M2722" i="11"/>
  <c r="D2722" i="11" l="1"/>
  <c r="C2722" i="11"/>
  <c r="R2722" i="11"/>
  <c r="S2722" i="11"/>
  <c r="N2722" i="11"/>
  <c r="M2723" i="11"/>
  <c r="D2723" i="11" l="1"/>
  <c r="C2723" i="11"/>
  <c r="R2723" i="11"/>
  <c r="S2723" i="11"/>
  <c r="N2723" i="11"/>
  <c r="M2724" i="11"/>
  <c r="D2724" i="11" l="1"/>
  <c r="C2724" i="11"/>
  <c r="R2724" i="11"/>
  <c r="S2724" i="11"/>
  <c r="N2724" i="11"/>
  <c r="M2725" i="11"/>
  <c r="D2725" i="11" l="1"/>
  <c r="C2725" i="11"/>
  <c r="R2725" i="11"/>
  <c r="S2725" i="11"/>
  <c r="N2725" i="11"/>
  <c r="M2726" i="11"/>
  <c r="D2726" i="11" l="1"/>
  <c r="C2726" i="11"/>
  <c r="R2726" i="11"/>
  <c r="S2726" i="11"/>
  <c r="N2726" i="11"/>
  <c r="M2727" i="11"/>
  <c r="D2727" i="11" l="1"/>
  <c r="C2727" i="11"/>
  <c r="R2727" i="11"/>
  <c r="S2727" i="11"/>
  <c r="N2727" i="11"/>
  <c r="M2728" i="11"/>
  <c r="D2728" i="11" l="1"/>
  <c r="C2728" i="11"/>
  <c r="R2728" i="11"/>
  <c r="S2728" i="11"/>
  <c r="N2728" i="11"/>
  <c r="M2729" i="11"/>
  <c r="D2729" i="11" l="1"/>
  <c r="C2729" i="11"/>
  <c r="R2729" i="11"/>
  <c r="S2729" i="11"/>
  <c r="N2729" i="11"/>
  <c r="M2730" i="11"/>
  <c r="D2730" i="11" l="1"/>
  <c r="C2730" i="11"/>
  <c r="R2730" i="11"/>
  <c r="S2730" i="11"/>
  <c r="N2730" i="11"/>
  <c r="M2731" i="11"/>
  <c r="D2731" i="11" l="1"/>
  <c r="C2731" i="11"/>
  <c r="R2731" i="11"/>
  <c r="S2731" i="11"/>
  <c r="N2731" i="11"/>
  <c r="M2732" i="11"/>
  <c r="D2732" i="11" l="1"/>
  <c r="C2732" i="11"/>
  <c r="R2732" i="11"/>
  <c r="S2732" i="11"/>
  <c r="N2732" i="11"/>
  <c r="M2733" i="11"/>
  <c r="D2733" i="11" l="1"/>
  <c r="C2733" i="11"/>
  <c r="R2733" i="11"/>
  <c r="S2733" i="11"/>
  <c r="N2733" i="11"/>
  <c r="M2734" i="11"/>
  <c r="D2734" i="11" l="1"/>
  <c r="C2734" i="11"/>
  <c r="R2734" i="11"/>
  <c r="S2734" i="11"/>
  <c r="N2734" i="11"/>
  <c r="M2735" i="11"/>
  <c r="D2735" i="11" l="1"/>
  <c r="C2735" i="11"/>
  <c r="R2735" i="11"/>
  <c r="S2735" i="11"/>
  <c r="N2735" i="11"/>
  <c r="M2736" i="11"/>
  <c r="D2736" i="11" l="1"/>
  <c r="C2736" i="11"/>
  <c r="R2736" i="11"/>
  <c r="S2736" i="11"/>
  <c r="N2736" i="11"/>
  <c r="M2737" i="11"/>
  <c r="D2737" i="11" l="1"/>
  <c r="C2737" i="11"/>
  <c r="R2737" i="11"/>
  <c r="S2737" i="11"/>
  <c r="N2737" i="11"/>
  <c r="M2738" i="11"/>
  <c r="D2738" i="11" l="1"/>
  <c r="C2738" i="11"/>
  <c r="R2738" i="11"/>
  <c r="S2738" i="11"/>
  <c r="N2738" i="11"/>
  <c r="M2739" i="11"/>
  <c r="D2739" i="11" l="1"/>
  <c r="C2739" i="11"/>
  <c r="R2739" i="11"/>
  <c r="S2739" i="11"/>
  <c r="N2739" i="11"/>
  <c r="M2740" i="11"/>
  <c r="D2740" i="11" l="1"/>
  <c r="C2740" i="11"/>
  <c r="R2740" i="11"/>
  <c r="S2740" i="11"/>
  <c r="N2740" i="11"/>
  <c r="M2741" i="11"/>
  <c r="D2741" i="11" l="1"/>
  <c r="C2741" i="11"/>
  <c r="R2741" i="11"/>
  <c r="S2741" i="11"/>
  <c r="N2741" i="11"/>
  <c r="M2742" i="11"/>
  <c r="D2742" i="11" l="1"/>
  <c r="C2742" i="11"/>
  <c r="R2742" i="11"/>
  <c r="S2742" i="11"/>
  <c r="N2742" i="11"/>
  <c r="M2743" i="11"/>
  <c r="D2743" i="11" l="1"/>
  <c r="C2743" i="11"/>
  <c r="R2743" i="11"/>
  <c r="S2743" i="11"/>
  <c r="N2743" i="11"/>
  <c r="M2744" i="11"/>
  <c r="D2744" i="11" l="1"/>
  <c r="C2744" i="11"/>
  <c r="R2744" i="11"/>
  <c r="S2744" i="11"/>
  <c r="N2744" i="11"/>
  <c r="M2745" i="11"/>
  <c r="D2745" i="11" l="1"/>
  <c r="C2745" i="11"/>
  <c r="R2745" i="11"/>
  <c r="S2745" i="11"/>
  <c r="N2745" i="11"/>
  <c r="M2746" i="11"/>
  <c r="D2746" i="11" l="1"/>
  <c r="C2746" i="11"/>
  <c r="R2746" i="11"/>
  <c r="S2746" i="11"/>
  <c r="N2746" i="11"/>
  <c r="M2747" i="11"/>
  <c r="D2747" i="11" l="1"/>
  <c r="C2747" i="11"/>
  <c r="R2747" i="11"/>
  <c r="S2747" i="11"/>
  <c r="N2747" i="11"/>
  <c r="M2748" i="11"/>
  <c r="D2748" i="11" l="1"/>
  <c r="C2748" i="11"/>
  <c r="R2748" i="11"/>
  <c r="S2748" i="11"/>
  <c r="N2748" i="11"/>
  <c r="M2749" i="11"/>
  <c r="D2749" i="11" l="1"/>
  <c r="C2749" i="11"/>
  <c r="R2749" i="11"/>
  <c r="S2749" i="11"/>
  <c r="N2749" i="11"/>
  <c r="M2750" i="11"/>
  <c r="D2750" i="11" l="1"/>
  <c r="C2750" i="11"/>
  <c r="R2750" i="11"/>
  <c r="S2750" i="11"/>
  <c r="N2750" i="11"/>
  <c r="M2751" i="11"/>
  <c r="D2751" i="11" l="1"/>
  <c r="C2751" i="11"/>
  <c r="R2751" i="11"/>
  <c r="S2751" i="11"/>
  <c r="N2751" i="11"/>
  <c r="M2752" i="11"/>
  <c r="D2752" i="11" l="1"/>
  <c r="C2752" i="11"/>
  <c r="R2752" i="11"/>
  <c r="S2752" i="11"/>
  <c r="N2752" i="11"/>
  <c r="M2753" i="11"/>
  <c r="D2753" i="11" l="1"/>
  <c r="C2753" i="11"/>
  <c r="R2753" i="11"/>
  <c r="S2753" i="11"/>
  <c r="N2753" i="11"/>
  <c r="M2754" i="11"/>
  <c r="D2754" i="11" l="1"/>
  <c r="C2754" i="11"/>
  <c r="R2754" i="11"/>
  <c r="S2754" i="11"/>
  <c r="N2754" i="11"/>
  <c r="M2755" i="11"/>
  <c r="D2755" i="11" l="1"/>
  <c r="C2755" i="11"/>
  <c r="R2755" i="11"/>
  <c r="S2755" i="11"/>
  <c r="N2755" i="11"/>
  <c r="M2756" i="11"/>
  <c r="D2756" i="11" l="1"/>
  <c r="C2756" i="11"/>
  <c r="R2756" i="11"/>
  <c r="S2756" i="11"/>
  <c r="N2756" i="11"/>
  <c r="M2757" i="11"/>
  <c r="D2757" i="11" l="1"/>
  <c r="C2757" i="11"/>
  <c r="R2757" i="11"/>
  <c r="S2757" i="11"/>
  <c r="N2757" i="11"/>
  <c r="M2758" i="11"/>
  <c r="D2758" i="11" l="1"/>
  <c r="C2758" i="11"/>
  <c r="R2758" i="11"/>
  <c r="S2758" i="11"/>
  <c r="N2758" i="11"/>
  <c r="M2759" i="11"/>
  <c r="D2759" i="11" l="1"/>
  <c r="C2759" i="11"/>
  <c r="R2759" i="11"/>
  <c r="S2759" i="11"/>
  <c r="N2759" i="11"/>
  <c r="M2760" i="11"/>
  <c r="D2760" i="11" l="1"/>
  <c r="C2760" i="11"/>
  <c r="R2760" i="11"/>
  <c r="S2760" i="11"/>
  <c r="N2760" i="11"/>
  <c r="M2761" i="11"/>
  <c r="D2761" i="11" l="1"/>
  <c r="C2761" i="11"/>
  <c r="R2761" i="11"/>
  <c r="S2761" i="11"/>
  <c r="N2761" i="11"/>
  <c r="M2762" i="11"/>
  <c r="D2762" i="11" l="1"/>
  <c r="C2762" i="11"/>
  <c r="R2762" i="11"/>
  <c r="S2762" i="11"/>
  <c r="N2762" i="11"/>
  <c r="M2763" i="11"/>
  <c r="D2763" i="11" l="1"/>
  <c r="C2763" i="11"/>
  <c r="R2763" i="11"/>
  <c r="S2763" i="11"/>
  <c r="N2763" i="11"/>
  <c r="M2764" i="11"/>
  <c r="D2764" i="11" l="1"/>
  <c r="C2764" i="11"/>
  <c r="R2764" i="11"/>
  <c r="S2764" i="11"/>
  <c r="N2764" i="11"/>
  <c r="M2765" i="11"/>
  <c r="D2765" i="11" l="1"/>
  <c r="C2765" i="11"/>
  <c r="R2765" i="11"/>
  <c r="S2765" i="11"/>
  <c r="N2765" i="11"/>
  <c r="M2766" i="11"/>
  <c r="D2766" i="11" l="1"/>
  <c r="C2766" i="11"/>
  <c r="R2766" i="11"/>
  <c r="S2766" i="11"/>
  <c r="N2766" i="11"/>
  <c r="M2767" i="11"/>
  <c r="D2767" i="11" l="1"/>
  <c r="C2767" i="11"/>
  <c r="R2767" i="11"/>
  <c r="S2767" i="11"/>
  <c r="N2767" i="11"/>
  <c r="M2768" i="11"/>
  <c r="D2768" i="11" l="1"/>
  <c r="C2768" i="11"/>
  <c r="R2768" i="11"/>
  <c r="S2768" i="11"/>
  <c r="N2768" i="11"/>
  <c r="M2769" i="11"/>
  <c r="D2769" i="11" l="1"/>
  <c r="C2769" i="11"/>
  <c r="R2769" i="11"/>
  <c r="S2769" i="11"/>
  <c r="N2769" i="11"/>
  <c r="M2770" i="11"/>
  <c r="D2770" i="11" l="1"/>
  <c r="C2770" i="11"/>
  <c r="R2770" i="11"/>
  <c r="S2770" i="11"/>
  <c r="N2770" i="11"/>
  <c r="M2771" i="11"/>
  <c r="D2771" i="11" l="1"/>
  <c r="C2771" i="11"/>
  <c r="R2771" i="11"/>
  <c r="S2771" i="11"/>
  <c r="N2771" i="11"/>
  <c r="M2772" i="11"/>
  <c r="D2772" i="11" l="1"/>
  <c r="C2772" i="11"/>
  <c r="R2772" i="11"/>
  <c r="S2772" i="11"/>
  <c r="N2772" i="11"/>
  <c r="M2773" i="11"/>
  <c r="D2773" i="11" l="1"/>
  <c r="C2773" i="11"/>
  <c r="R2773" i="11"/>
  <c r="S2773" i="11"/>
  <c r="N2773" i="11"/>
  <c r="M2774" i="11"/>
  <c r="D2774" i="11" l="1"/>
  <c r="C2774" i="11"/>
  <c r="R2774" i="11"/>
  <c r="S2774" i="11"/>
  <c r="N2774" i="11"/>
  <c r="M2775" i="11"/>
  <c r="D2775" i="11" l="1"/>
  <c r="C2775" i="11"/>
  <c r="R2775" i="11"/>
  <c r="S2775" i="11"/>
  <c r="N2775" i="11"/>
  <c r="M2776" i="11"/>
  <c r="D2776" i="11" l="1"/>
  <c r="C2776" i="11"/>
  <c r="R2776" i="11"/>
  <c r="S2776" i="11"/>
  <c r="N2776" i="11"/>
  <c r="M2777" i="11"/>
  <c r="D2777" i="11" l="1"/>
  <c r="C2777" i="11"/>
  <c r="R2777" i="11"/>
  <c r="S2777" i="11"/>
  <c r="N2777" i="11"/>
  <c r="M2778" i="11"/>
  <c r="D2778" i="11" l="1"/>
  <c r="C2778" i="11"/>
  <c r="R2778" i="11"/>
  <c r="S2778" i="11"/>
  <c r="N2778" i="11"/>
  <c r="M2779" i="11"/>
  <c r="D2779" i="11" l="1"/>
  <c r="C2779" i="11"/>
  <c r="R2779" i="11"/>
  <c r="S2779" i="11"/>
  <c r="N2779" i="11"/>
  <c r="M2780" i="11"/>
  <c r="D2780" i="11" l="1"/>
  <c r="C2780" i="11"/>
  <c r="R2780" i="11"/>
  <c r="S2780" i="11"/>
  <c r="N2780" i="11"/>
  <c r="M2781" i="11"/>
  <c r="D2781" i="11" l="1"/>
  <c r="C2781" i="11"/>
  <c r="R2781" i="11"/>
  <c r="S2781" i="11"/>
  <c r="N2781" i="11"/>
  <c r="M2782" i="11"/>
  <c r="D2782" i="11" l="1"/>
  <c r="C2782" i="11"/>
  <c r="R2782" i="11"/>
  <c r="S2782" i="11"/>
  <c r="N2782" i="11"/>
  <c r="M2783" i="11"/>
  <c r="D2783" i="11" l="1"/>
  <c r="C2783" i="11"/>
  <c r="R2783" i="11"/>
  <c r="S2783" i="11"/>
  <c r="N2783" i="11"/>
  <c r="M2784" i="11"/>
  <c r="D2784" i="11" l="1"/>
  <c r="C2784" i="11"/>
  <c r="R2784" i="11"/>
  <c r="S2784" i="11"/>
  <c r="N2784" i="11"/>
  <c r="M2785" i="11"/>
  <c r="D2785" i="11" l="1"/>
  <c r="C2785" i="11"/>
  <c r="R2785" i="11"/>
  <c r="S2785" i="11"/>
  <c r="N2785" i="11"/>
  <c r="M2786" i="11"/>
  <c r="D2786" i="11" l="1"/>
  <c r="C2786" i="11"/>
  <c r="R2786" i="11"/>
  <c r="S2786" i="11"/>
  <c r="N2786" i="11"/>
  <c r="M2787" i="11"/>
  <c r="D2787" i="11" l="1"/>
  <c r="C2787" i="11"/>
  <c r="R2787" i="11"/>
  <c r="S2787" i="11"/>
  <c r="N2787" i="11"/>
  <c r="M2788" i="11"/>
  <c r="D2788" i="11" l="1"/>
  <c r="C2788" i="11"/>
  <c r="R2788" i="11"/>
  <c r="S2788" i="11"/>
  <c r="N2788" i="11"/>
  <c r="M2789" i="11"/>
  <c r="D2789" i="11" l="1"/>
  <c r="C2789" i="11"/>
  <c r="R2789" i="11"/>
  <c r="S2789" i="11"/>
  <c r="N2789" i="11"/>
  <c r="M2790" i="11"/>
  <c r="D2790" i="11" l="1"/>
  <c r="C2790" i="11"/>
  <c r="R2790" i="11"/>
  <c r="S2790" i="11"/>
  <c r="N2790" i="11"/>
  <c r="M2791" i="11"/>
  <c r="D2791" i="11" l="1"/>
  <c r="C2791" i="11"/>
  <c r="R2791" i="11"/>
  <c r="S2791" i="11"/>
  <c r="N2791" i="11"/>
  <c r="M2792" i="11"/>
  <c r="D2792" i="11" l="1"/>
  <c r="C2792" i="11"/>
  <c r="R2792" i="11"/>
  <c r="S2792" i="11"/>
  <c r="N2792" i="11"/>
  <c r="M2793" i="11"/>
  <c r="D2793" i="11" l="1"/>
  <c r="C2793" i="11"/>
  <c r="R2793" i="11"/>
  <c r="S2793" i="11"/>
  <c r="N2793" i="11"/>
  <c r="M2794" i="11"/>
  <c r="D2794" i="11" l="1"/>
  <c r="C2794" i="11"/>
  <c r="R2794" i="11"/>
  <c r="S2794" i="11"/>
  <c r="N2794" i="11"/>
  <c r="M2795" i="11"/>
  <c r="D2795" i="11" l="1"/>
  <c r="C2795" i="11"/>
  <c r="R2795" i="11"/>
  <c r="S2795" i="11"/>
  <c r="N2795" i="11"/>
  <c r="M2796" i="11"/>
  <c r="D2796" i="11" l="1"/>
  <c r="C2796" i="11"/>
  <c r="R2796" i="11"/>
  <c r="S2796" i="11"/>
  <c r="N2796" i="11"/>
  <c r="M2797" i="11"/>
  <c r="D2797" i="11" l="1"/>
  <c r="C2797" i="11"/>
  <c r="R2797" i="11"/>
  <c r="S2797" i="11"/>
  <c r="N2797" i="11"/>
  <c r="M2798" i="11"/>
  <c r="D2798" i="11" l="1"/>
  <c r="C2798" i="11"/>
  <c r="R2798" i="11"/>
  <c r="S2798" i="11"/>
  <c r="N2798" i="11"/>
  <c r="M2799" i="11"/>
  <c r="D2799" i="11" l="1"/>
  <c r="C2799" i="11"/>
  <c r="R2799" i="11"/>
  <c r="S2799" i="11"/>
  <c r="N2799" i="11"/>
  <c r="M2800" i="11"/>
  <c r="D2800" i="11" l="1"/>
  <c r="C2800" i="11"/>
  <c r="R2800" i="11"/>
  <c r="S2800" i="11"/>
  <c r="N2800" i="11"/>
  <c r="M2801" i="11"/>
  <c r="D2801" i="11" l="1"/>
  <c r="C2801" i="11"/>
  <c r="R2801" i="11"/>
  <c r="S2801" i="11"/>
  <c r="N2801" i="11"/>
  <c r="M2802" i="11"/>
  <c r="D2802" i="11" l="1"/>
  <c r="C2802" i="11"/>
  <c r="R2802" i="11"/>
  <c r="S2802" i="11"/>
  <c r="N2802" i="11"/>
  <c r="M2803" i="11"/>
  <c r="D2803" i="11" l="1"/>
  <c r="C2803" i="11"/>
  <c r="R2803" i="11"/>
  <c r="S2803" i="11"/>
  <c r="N2803" i="11"/>
  <c r="M2804" i="11"/>
  <c r="D2804" i="11" l="1"/>
  <c r="C2804" i="11"/>
  <c r="R2804" i="11"/>
  <c r="S2804" i="11"/>
  <c r="N2804" i="11"/>
  <c r="M2805" i="11"/>
  <c r="D2805" i="11" l="1"/>
  <c r="C2805" i="11"/>
  <c r="R2805" i="11"/>
  <c r="S2805" i="11"/>
  <c r="N2805" i="11"/>
  <c r="M2806" i="11"/>
  <c r="D2806" i="11" l="1"/>
  <c r="C2806" i="11"/>
  <c r="R2806" i="11"/>
  <c r="S2806" i="11"/>
  <c r="N2806" i="11"/>
  <c r="M2807" i="11"/>
  <c r="D2807" i="11" l="1"/>
  <c r="C2807" i="11"/>
  <c r="R2807" i="11"/>
  <c r="S2807" i="11"/>
  <c r="N2807" i="11"/>
  <c r="M2808" i="11"/>
  <c r="D2808" i="11" l="1"/>
  <c r="C2808" i="11"/>
  <c r="R2808" i="11"/>
  <c r="S2808" i="11"/>
  <c r="N2808" i="11"/>
  <c r="M2809" i="11"/>
  <c r="D2809" i="11" l="1"/>
  <c r="C2809" i="11"/>
  <c r="R2809" i="11"/>
  <c r="S2809" i="11"/>
  <c r="N2809" i="11"/>
  <c r="M2810" i="11"/>
  <c r="D2810" i="11" l="1"/>
  <c r="C2810" i="11"/>
  <c r="R2810" i="11"/>
  <c r="S2810" i="11"/>
  <c r="N2810" i="11"/>
  <c r="M2811" i="11"/>
  <c r="D2811" i="11" l="1"/>
  <c r="C2811" i="11"/>
  <c r="R2811" i="11"/>
  <c r="S2811" i="11"/>
  <c r="N2811" i="11"/>
  <c r="M2812" i="11"/>
  <c r="D2812" i="11" l="1"/>
  <c r="C2812" i="11"/>
  <c r="R2812" i="11"/>
  <c r="S2812" i="11"/>
  <c r="N2812" i="11"/>
  <c r="M2813" i="11"/>
  <c r="D2813" i="11" l="1"/>
  <c r="C2813" i="11"/>
  <c r="R2813" i="11"/>
  <c r="S2813" i="11"/>
  <c r="N2813" i="11"/>
  <c r="M2814" i="11"/>
  <c r="D2814" i="11" l="1"/>
  <c r="C2814" i="11"/>
  <c r="R2814" i="11"/>
  <c r="S2814" i="11"/>
  <c r="N2814" i="11"/>
  <c r="M2815" i="11"/>
  <c r="D2815" i="11" l="1"/>
  <c r="C2815" i="11"/>
  <c r="R2815" i="11"/>
  <c r="S2815" i="11"/>
  <c r="N2815" i="11"/>
  <c r="M2816" i="11"/>
  <c r="D2816" i="11" l="1"/>
  <c r="C2816" i="11"/>
  <c r="R2816" i="11"/>
  <c r="S2816" i="11"/>
  <c r="N2816" i="11"/>
  <c r="M2817" i="11"/>
  <c r="D2817" i="11" l="1"/>
  <c r="C2817" i="11"/>
  <c r="R2817" i="11"/>
  <c r="S2817" i="11"/>
  <c r="N2817" i="11"/>
  <c r="M2818" i="11"/>
  <c r="D2818" i="11" l="1"/>
  <c r="C2818" i="11"/>
  <c r="R2818" i="11"/>
  <c r="S2818" i="11"/>
  <c r="N2818" i="11"/>
  <c r="M2819" i="11"/>
  <c r="D2819" i="11" l="1"/>
  <c r="C2819" i="11"/>
  <c r="R2819" i="11"/>
  <c r="S2819" i="11"/>
  <c r="N2819" i="11"/>
  <c r="M2820" i="11"/>
  <c r="D2820" i="11" l="1"/>
  <c r="C2820" i="11"/>
  <c r="R2820" i="11"/>
  <c r="S2820" i="11"/>
  <c r="N2820" i="11"/>
  <c r="M2821" i="11"/>
  <c r="D2821" i="11" l="1"/>
  <c r="C2821" i="11"/>
  <c r="R2821" i="11"/>
  <c r="S2821" i="11"/>
  <c r="N2821" i="11"/>
  <c r="M2822" i="11"/>
  <c r="D2822" i="11" l="1"/>
  <c r="C2822" i="11"/>
  <c r="R2822" i="11"/>
  <c r="S2822" i="11"/>
  <c r="N2822" i="11"/>
  <c r="M2823" i="11"/>
  <c r="D2823" i="11" l="1"/>
  <c r="C2823" i="11"/>
  <c r="R2823" i="11"/>
  <c r="S2823" i="11"/>
  <c r="N2823" i="11"/>
  <c r="M2824" i="11"/>
  <c r="D2824" i="11" l="1"/>
  <c r="C2824" i="11"/>
  <c r="R2824" i="11"/>
  <c r="S2824" i="11"/>
  <c r="N2824" i="11"/>
  <c r="M2825" i="11"/>
  <c r="D2825" i="11" l="1"/>
  <c r="C2825" i="11"/>
  <c r="R2825" i="11"/>
  <c r="S2825" i="11"/>
  <c r="N2825" i="11"/>
  <c r="M2826" i="11"/>
  <c r="D2826" i="11" l="1"/>
  <c r="C2826" i="11"/>
  <c r="R2826" i="11"/>
  <c r="S2826" i="11"/>
  <c r="N2826" i="11"/>
  <c r="M2827" i="11"/>
  <c r="D2827" i="11" l="1"/>
  <c r="C2827" i="11"/>
  <c r="R2827" i="11"/>
  <c r="S2827" i="11"/>
  <c r="N2827" i="11"/>
  <c r="M2828" i="11"/>
  <c r="D2828" i="11" l="1"/>
  <c r="C2828" i="11"/>
  <c r="R2828" i="11"/>
  <c r="S2828" i="11"/>
  <c r="N2828" i="11"/>
  <c r="M2829" i="11"/>
  <c r="D2829" i="11" l="1"/>
  <c r="C2829" i="11"/>
  <c r="R2829" i="11"/>
  <c r="S2829" i="11"/>
  <c r="N2829" i="11"/>
  <c r="M2830" i="11"/>
  <c r="D2830" i="11" l="1"/>
  <c r="C2830" i="11"/>
  <c r="R2830" i="11"/>
  <c r="S2830" i="11"/>
  <c r="N2830" i="11"/>
  <c r="M2831" i="11"/>
  <c r="D2831" i="11" l="1"/>
  <c r="C2831" i="11"/>
  <c r="R2831" i="11"/>
  <c r="S2831" i="11"/>
  <c r="N2831" i="11"/>
  <c r="M2832" i="11"/>
  <c r="D2832" i="11" l="1"/>
  <c r="C2832" i="11"/>
  <c r="R2832" i="11"/>
  <c r="S2832" i="11"/>
  <c r="N2832" i="11"/>
  <c r="M2833" i="11"/>
  <c r="D2833" i="11" l="1"/>
  <c r="C2833" i="11"/>
  <c r="R2833" i="11"/>
  <c r="S2833" i="11"/>
  <c r="N2833" i="11"/>
  <c r="M2834" i="11"/>
  <c r="D2834" i="11" l="1"/>
  <c r="C2834" i="11"/>
  <c r="R2834" i="11"/>
  <c r="S2834" i="11"/>
  <c r="N2834" i="11"/>
  <c r="M2835" i="11"/>
  <c r="D2835" i="11" l="1"/>
  <c r="C2835" i="11"/>
  <c r="R2835" i="11"/>
  <c r="S2835" i="11"/>
  <c r="N2835" i="11"/>
  <c r="M2836" i="11"/>
  <c r="D2836" i="11" l="1"/>
  <c r="C2836" i="11"/>
  <c r="R2836" i="11"/>
  <c r="S2836" i="11"/>
  <c r="N2836" i="11"/>
  <c r="M2837" i="11"/>
  <c r="D2837" i="11" l="1"/>
  <c r="C2837" i="11"/>
  <c r="R2837" i="11"/>
  <c r="S2837" i="11"/>
  <c r="N2837" i="11"/>
  <c r="M2838" i="11"/>
  <c r="D2838" i="11" l="1"/>
  <c r="C2838" i="11"/>
  <c r="R2838" i="11"/>
  <c r="S2838" i="11"/>
  <c r="N2838" i="11"/>
  <c r="M2839" i="11"/>
  <c r="D2839" i="11" l="1"/>
  <c r="C2839" i="11"/>
  <c r="R2839" i="11"/>
  <c r="S2839" i="11"/>
  <c r="N2839" i="11"/>
  <c r="M2840" i="11"/>
  <c r="D2840" i="11" l="1"/>
  <c r="C2840" i="11"/>
  <c r="R2840" i="11"/>
  <c r="S2840" i="11"/>
  <c r="N2840" i="11"/>
  <c r="M2841" i="11"/>
  <c r="D2841" i="11" l="1"/>
  <c r="C2841" i="11"/>
  <c r="R2841" i="11"/>
  <c r="S2841" i="11"/>
  <c r="N2841" i="11"/>
  <c r="M2842" i="11"/>
  <c r="D2842" i="11" l="1"/>
  <c r="C2842" i="11"/>
  <c r="R2842" i="11"/>
  <c r="S2842" i="11"/>
  <c r="N2842" i="11"/>
  <c r="M2843" i="11"/>
  <c r="D2843" i="11" l="1"/>
  <c r="C2843" i="11"/>
  <c r="R2843" i="11"/>
  <c r="S2843" i="11"/>
  <c r="N2843" i="11"/>
  <c r="M2844" i="11"/>
  <c r="D2844" i="11" l="1"/>
  <c r="C2844" i="11"/>
  <c r="R2844" i="11"/>
  <c r="S2844" i="11"/>
  <c r="N2844" i="11"/>
  <c r="M2845" i="11"/>
  <c r="D2845" i="11" l="1"/>
  <c r="C2845" i="11"/>
  <c r="R2845" i="11"/>
  <c r="S2845" i="11"/>
  <c r="N2845" i="11"/>
  <c r="M2846" i="11"/>
  <c r="D2846" i="11" l="1"/>
  <c r="C2846" i="11"/>
  <c r="R2846" i="11"/>
  <c r="S2846" i="11"/>
  <c r="N2846" i="11"/>
  <c r="M2847" i="11"/>
  <c r="D2847" i="11" l="1"/>
  <c r="C2847" i="11"/>
  <c r="R2847" i="11"/>
  <c r="S2847" i="11"/>
  <c r="N2847" i="11"/>
  <c r="M2848" i="11"/>
  <c r="D2848" i="11" l="1"/>
  <c r="C2848" i="11"/>
  <c r="R2848" i="11"/>
  <c r="S2848" i="11"/>
  <c r="N2848" i="11"/>
  <c r="M2849" i="11"/>
  <c r="D2849" i="11" l="1"/>
  <c r="C2849" i="11"/>
  <c r="R2849" i="11"/>
  <c r="S2849" i="11"/>
  <c r="N2849" i="11"/>
  <c r="M2850" i="11"/>
  <c r="D2850" i="11" l="1"/>
  <c r="C2850" i="11"/>
  <c r="R2850" i="11"/>
  <c r="S2850" i="11"/>
  <c r="N2850" i="11"/>
  <c r="M2851" i="11"/>
  <c r="D2851" i="11" l="1"/>
  <c r="C2851" i="11"/>
  <c r="R2851" i="11"/>
  <c r="S2851" i="11"/>
  <c r="N2851" i="11"/>
  <c r="M2852" i="11"/>
  <c r="D2852" i="11" l="1"/>
  <c r="C2852" i="11"/>
  <c r="R2852" i="11"/>
  <c r="S2852" i="11"/>
  <c r="N2852" i="11"/>
  <c r="M2853" i="11"/>
  <c r="D2853" i="11" l="1"/>
  <c r="C2853" i="11"/>
  <c r="R2853" i="11"/>
  <c r="S2853" i="11"/>
  <c r="N2853" i="11"/>
  <c r="M2854" i="11"/>
  <c r="D2854" i="11" l="1"/>
  <c r="C2854" i="11"/>
  <c r="R2854" i="11"/>
  <c r="S2854" i="11"/>
  <c r="N2854" i="11"/>
  <c r="M2855" i="11"/>
  <c r="D2855" i="11" l="1"/>
  <c r="C2855" i="11"/>
  <c r="R2855" i="11"/>
  <c r="S2855" i="11"/>
  <c r="N2855" i="11"/>
  <c r="M2856" i="11"/>
  <c r="D2856" i="11" l="1"/>
  <c r="C2856" i="11"/>
  <c r="R2856" i="11"/>
  <c r="S2856" i="11"/>
  <c r="N2856" i="11"/>
  <c r="M2857" i="11"/>
  <c r="D2857" i="11" l="1"/>
  <c r="C2857" i="11"/>
  <c r="R2857" i="11"/>
  <c r="S2857" i="11"/>
  <c r="N2857" i="11"/>
  <c r="M2858" i="11"/>
  <c r="D2858" i="11" l="1"/>
  <c r="C2858" i="11"/>
  <c r="R2858" i="11"/>
  <c r="S2858" i="11"/>
  <c r="N2858" i="11"/>
  <c r="M2859" i="11"/>
  <c r="D2859" i="11" l="1"/>
  <c r="C2859" i="11"/>
  <c r="R2859" i="11"/>
  <c r="S2859" i="11"/>
  <c r="N2859" i="11"/>
  <c r="M2860" i="11"/>
  <c r="D2860" i="11" l="1"/>
  <c r="C2860" i="11"/>
  <c r="R2860" i="11"/>
  <c r="S2860" i="11"/>
  <c r="N2860" i="11"/>
  <c r="M2861" i="11"/>
  <c r="D2861" i="11" l="1"/>
  <c r="C2861" i="11"/>
  <c r="R2861" i="11"/>
  <c r="S2861" i="11"/>
  <c r="N2861" i="11"/>
  <c r="M2862" i="11"/>
  <c r="D2862" i="11" l="1"/>
  <c r="C2862" i="11"/>
  <c r="R2862" i="11"/>
  <c r="S2862" i="11"/>
  <c r="N2862" i="11"/>
  <c r="M2863" i="11"/>
  <c r="D2863" i="11" l="1"/>
  <c r="C2863" i="11"/>
  <c r="R2863" i="11"/>
  <c r="S2863" i="11"/>
  <c r="N2863" i="11"/>
  <c r="M2864" i="11"/>
  <c r="D2864" i="11" l="1"/>
  <c r="C2864" i="11"/>
  <c r="R2864" i="11"/>
  <c r="S2864" i="11"/>
  <c r="N2864" i="11"/>
  <c r="M2865" i="11"/>
  <c r="D2865" i="11" l="1"/>
  <c r="C2865" i="11"/>
  <c r="R2865" i="11"/>
  <c r="S2865" i="11"/>
  <c r="N2865" i="11"/>
  <c r="M2866" i="11"/>
  <c r="D2866" i="11" l="1"/>
  <c r="C2866" i="11"/>
  <c r="R2866" i="11"/>
  <c r="S2866" i="11"/>
  <c r="N2866" i="11"/>
  <c r="M2867" i="11"/>
  <c r="D2867" i="11" l="1"/>
  <c r="C2867" i="11"/>
  <c r="R2867" i="11"/>
  <c r="S2867" i="11"/>
  <c r="N2867" i="11"/>
  <c r="M2868" i="11"/>
  <c r="D2868" i="11" l="1"/>
  <c r="C2868" i="11"/>
  <c r="R2868" i="11"/>
  <c r="S2868" i="11"/>
  <c r="N2868" i="11"/>
  <c r="M2869" i="11"/>
  <c r="D2869" i="11" l="1"/>
  <c r="C2869" i="11"/>
  <c r="R2869" i="11"/>
  <c r="S2869" i="11"/>
  <c r="N2869" i="11"/>
  <c r="M2870" i="11"/>
  <c r="D2870" i="11" l="1"/>
  <c r="C2870" i="11"/>
  <c r="R2870" i="11"/>
  <c r="S2870" i="11"/>
  <c r="N2870" i="11"/>
  <c r="M2871" i="11"/>
  <c r="D2871" i="11" l="1"/>
  <c r="C2871" i="11"/>
  <c r="R2871" i="11"/>
  <c r="S2871" i="11"/>
  <c r="N2871" i="11"/>
  <c r="M2872" i="11"/>
  <c r="D2872" i="11" l="1"/>
  <c r="C2872" i="11"/>
  <c r="R2872" i="11"/>
  <c r="S2872" i="11"/>
  <c r="N2872" i="11"/>
  <c r="M2873" i="11"/>
  <c r="D2873" i="11" l="1"/>
  <c r="C2873" i="11"/>
  <c r="R2873" i="11"/>
  <c r="S2873" i="11"/>
  <c r="N2873" i="11"/>
  <c r="M2874" i="11"/>
  <c r="D2874" i="11" l="1"/>
  <c r="C2874" i="11"/>
  <c r="R2874" i="11"/>
  <c r="S2874" i="11"/>
  <c r="N2874" i="11"/>
  <c r="M2875" i="11"/>
  <c r="D2875" i="11" l="1"/>
  <c r="C2875" i="11"/>
  <c r="R2875" i="11"/>
  <c r="S2875" i="11"/>
  <c r="N2875" i="11"/>
  <c r="M2876" i="11"/>
  <c r="D2876" i="11" l="1"/>
  <c r="C2876" i="11"/>
  <c r="R2876" i="11"/>
  <c r="S2876" i="11"/>
  <c r="N2876" i="11"/>
  <c r="M2877" i="11"/>
  <c r="D2877" i="11" l="1"/>
  <c r="C2877" i="11"/>
  <c r="R2877" i="11"/>
  <c r="S2877" i="11"/>
  <c r="N2877" i="11"/>
  <c r="M2878" i="11"/>
  <c r="D2878" i="11" l="1"/>
  <c r="C2878" i="11"/>
  <c r="R2878" i="11"/>
  <c r="S2878" i="11"/>
  <c r="N2878" i="11"/>
  <c r="M2879" i="11"/>
  <c r="D2879" i="11" l="1"/>
  <c r="C2879" i="11"/>
  <c r="R2879" i="11"/>
  <c r="S2879" i="11"/>
  <c r="N2879" i="11"/>
  <c r="M2880" i="11"/>
  <c r="D2880" i="11" l="1"/>
  <c r="C2880" i="11"/>
  <c r="R2880" i="11"/>
  <c r="S2880" i="11"/>
  <c r="N2880" i="11"/>
  <c r="M2881" i="11"/>
  <c r="D2881" i="11" l="1"/>
  <c r="C2881" i="11"/>
  <c r="R2881" i="11"/>
  <c r="S2881" i="11"/>
  <c r="N2881" i="11"/>
  <c r="M2882" i="11"/>
  <c r="D2882" i="11" l="1"/>
  <c r="C2882" i="11"/>
  <c r="R2882" i="11"/>
  <c r="S2882" i="11"/>
  <c r="N2882" i="11"/>
  <c r="M2883" i="11"/>
  <c r="D2883" i="11" l="1"/>
  <c r="C2883" i="11"/>
  <c r="R2883" i="11"/>
  <c r="S2883" i="11"/>
  <c r="N2883" i="11"/>
  <c r="M2884" i="11"/>
  <c r="D2884" i="11" l="1"/>
  <c r="C2884" i="11"/>
  <c r="R2884" i="11"/>
  <c r="S2884" i="11"/>
  <c r="N2884" i="11"/>
  <c r="M2885" i="11"/>
  <c r="D2885" i="11" l="1"/>
  <c r="C2885" i="11"/>
  <c r="R2885" i="11"/>
  <c r="S2885" i="11"/>
  <c r="N2885" i="11"/>
  <c r="M2886" i="11"/>
  <c r="D2886" i="11" l="1"/>
  <c r="C2886" i="11"/>
  <c r="R2886" i="11"/>
  <c r="S2886" i="11"/>
  <c r="N2886" i="11"/>
  <c r="M2887" i="11"/>
  <c r="D2887" i="11" l="1"/>
  <c r="C2887" i="11"/>
  <c r="R2887" i="11"/>
  <c r="S2887" i="11"/>
  <c r="N2887" i="11"/>
  <c r="M2888" i="11"/>
  <c r="D2888" i="11" l="1"/>
  <c r="C2888" i="11"/>
  <c r="R2888" i="11"/>
  <c r="S2888" i="11"/>
  <c r="N2888" i="11"/>
  <c r="M2889" i="11"/>
  <c r="D2889" i="11" l="1"/>
  <c r="C2889" i="11"/>
  <c r="R2889" i="11"/>
  <c r="S2889" i="11"/>
  <c r="N2889" i="11"/>
  <c r="M2890" i="11"/>
  <c r="D2890" i="11" l="1"/>
  <c r="C2890" i="11"/>
  <c r="R2890" i="11"/>
  <c r="S2890" i="11"/>
  <c r="N2890" i="11"/>
  <c r="M2891" i="11"/>
  <c r="D2891" i="11" l="1"/>
  <c r="C2891" i="11"/>
  <c r="R2891" i="11"/>
  <c r="S2891" i="11"/>
  <c r="N2891" i="11"/>
  <c r="M2892" i="11"/>
  <c r="D2892" i="11" l="1"/>
  <c r="C2892" i="11"/>
  <c r="R2892" i="11"/>
  <c r="S2892" i="11"/>
  <c r="N2892" i="11"/>
  <c r="M2893" i="11"/>
  <c r="D2893" i="11" l="1"/>
  <c r="C2893" i="11"/>
  <c r="R2893" i="11"/>
  <c r="S2893" i="11"/>
  <c r="N2893" i="11"/>
  <c r="M2894" i="11"/>
  <c r="D2894" i="11" l="1"/>
  <c r="C2894" i="11"/>
  <c r="R2894" i="11"/>
  <c r="S2894" i="11"/>
  <c r="N2894" i="11"/>
  <c r="M2895" i="11"/>
  <c r="D2895" i="11" l="1"/>
  <c r="C2895" i="11"/>
  <c r="R2895" i="11"/>
  <c r="S2895" i="11"/>
  <c r="N2895" i="11"/>
  <c r="M2896" i="11"/>
  <c r="D2896" i="11" l="1"/>
  <c r="C2896" i="11"/>
  <c r="R2896" i="11"/>
  <c r="S2896" i="11"/>
  <c r="N2896" i="11"/>
  <c r="M2897" i="11"/>
  <c r="D2897" i="11" l="1"/>
  <c r="C2897" i="11"/>
  <c r="R2897" i="11"/>
  <c r="S2897" i="11"/>
  <c r="N2897" i="11"/>
  <c r="M2898" i="11"/>
  <c r="D2898" i="11" l="1"/>
  <c r="C2898" i="11"/>
  <c r="R2898" i="11"/>
  <c r="S2898" i="11"/>
  <c r="N2898" i="11"/>
  <c r="M2899" i="11"/>
  <c r="D2899" i="11" l="1"/>
  <c r="C2899" i="11"/>
  <c r="R2899" i="11"/>
  <c r="S2899" i="11"/>
  <c r="N2899" i="11"/>
  <c r="M2900" i="11"/>
  <c r="D2900" i="11" l="1"/>
  <c r="C2900" i="11"/>
  <c r="R2900" i="11"/>
  <c r="S2900" i="11"/>
  <c r="N2900" i="11"/>
  <c r="M2901" i="11"/>
  <c r="D2901" i="11" l="1"/>
  <c r="C2901" i="11"/>
  <c r="R2901" i="11"/>
  <c r="S2901" i="11"/>
  <c r="N2901" i="11"/>
  <c r="M2902" i="11"/>
  <c r="D2902" i="11" l="1"/>
  <c r="C2902" i="11"/>
  <c r="R2902" i="11"/>
  <c r="S2902" i="11"/>
  <c r="N2902" i="11"/>
  <c r="M2903" i="11"/>
  <c r="D2903" i="11" l="1"/>
  <c r="C2903" i="11"/>
  <c r="R2903" i="11"/>
  <c r="S2903" i="11"/>
  <c r="N2903" i="11"/>
  <c r="M2904" i="11"/>
  <c r="D2904" i="11" l="1"/>
  <c r="C2904" i="11"/>
  <c r="R2904" i="11"/>
  <c r="S2904" i="11"/>
  <c r="N2904" i="11"/>
  <c r="M2905" i="11"/>
  <c r="D2905" i="11" l="1"/>
  <c r="C2905" i="11"/>
  <c r="R2905" i="11"/>
  <c r="S2905" i="11"/>
  <c r="N2905" i="11"/>
  <c r="M2906" i="11"/>
  <c r="D2906" i="11" l="1"/>
  <c r="C2906" i="11"/>
  <c r="R2906" i="11"/>
  <c r="S2906" i="11"/>
  <c r="N2906" i="11"/>
  <c r="M2907" i="11"/>
  <c r="D2907" i="11" l="1"/>
  <c r="C2907" i="11"/>
  <c r="R2907" i="11"/>
  <c r="S2907" i="11"/>
  <c r="N2907" i="11"/>
  <c r="M2908" i="11"/>
  <c r="D2908" i="11" l="1"/>
  <c r="C2908" i="11"/>
  <c r="R2908" i="11"/>
  <c r="S2908" i="11"/>
  <c r="N2908" i="11"/>
  <c r="M2909" i="11"/>
  <c r="D2909" i="11" l="1"/>
  <c r="C2909" i="11"/>
  <c r="R2909" i="11"/>
  <c r="S2909" i="11"/>
  <c r="N2909" i="11"/>
  <c r="M2910" i="11"/>
  <c r="D2910" i="11" l="1"/>
  <c r="C2910" i="11"/>
  <c r="R2910" i="11"/>
  <c r="S2910" i="11"/>
  <c r="N2910" i="11"/>
  <c r="M2911" i="11"/>
  <c r="D2911" i="11" l="1"/>
  <c r="C2911" i="11"/>
  <c r="R2911" i="11"/>
  <c r="S2911" i="11"/>
  <c r="N2911" i="11"/>
  <c r="M2912" i="11"/>
  <c r="D2912" i="11" l="1"/>
  <c r="C2912" i="11"/>
  <c r="R2912" i="11"/>
  <c r="S2912" i="11"/>
  <c r="N2912" i="11"/>
  <c r="M2913" i="11"/>
  <c r="D2913" i="11" l="1"/>
  <c r="C2913" i="11"/>
  <c r="R2913" i="11"/>
  <c r="S2913" i="11"/>
  <c r="N2913" i="11"/>
  <c r="M2914" i="11"/>
  <c r="D2914" i="11" l="1"/>
  <c r="C2914" i="11"/>
  <c r="R2914" i="11"/>
  <c r="S2914" i="11"/>
  <c r="N2914" i="11"/>
  <c r="M2915" i="11"/>
  <c r="D2915" i="11" l="1"/>
  <c r="C2915" i="11"/>
  <c r="R2915" i="11"/>
  <c r="S2915" i="11"/>
  <c r="N2915" i="11"/>
  <c r="M2916" i="11"/>
  <c r="D2916" i="11" l="1"/>
  <c r="C2916" i="11"/>
  <c r="R2916" i="11"/>
  <c r="S2916" i="11"/>
  <c r="N2916" i="11"/>
  <c r="M2917" i="11"/>
  <c r="D2917" i="11" l="1"/>
  <c r="C2917" i="11"/>
  <c r="R2917" i="11"/>
  <c r="S2917" i="11"/>
  <c r="N2917" i="11"/>
  <c r="M2918" i="11"/>
  <c r="D2918" i="11" l="1"/>
  <c r="C2918" i="11"/>
  <c r="R2918" i="11"/>
  <c r="S2918" i="11"/>
  <c r="N2918" i="11"/>
  <c r="M2919" i="11"/>
  <c r="D2919" i="11" l="1"/>
  <c r="C2919" i="11"/>
  <c r="R2919" i="11"/>
  <c r="S2919" i="11"/>
  <c r="N2919" i="11"/>
  <c r="M2920" i="11"/>
  <c r="D2920" i="11" l="1"/>
  <c r="C2920" i="11"/>
  <c r="R2920" i="11"/>
  <c r="S2920" i="11"/>
  <c r="N2920" i="11"/>
  <c r="M2921" i="11"/>
  <c r="D2921" i="11" l="1"/>
  <c r="C2921" i="11"/>
  <c r="R2921" i="11"/>
  <c r="S2921" i="11"/>
  <c r="N2921" i="11"/>
  <c r="M2922" i="11"/>
  <c r="D2922" i="11" l="1"/>
  <c r="C2922" i="11"/>
  <c r="R2922" i="11"/>
  <c r="S2922" i="11"/>
  <c r="N2922" i="11"/>
  <c r="M2923" i="11"/>
  <c r="D2923" i="11" l="1"/>
  <c r="C2923" i="11"/>
  <c r="R2923" i="11"/>
  <c r="S2923" i="11"/>
  <c r="N2923" i="11"/>
  <c r="M2924" i="11"/>
  <c r="D2924" i="11" l="1"/>
  <c r="C2924" i="11"/>
  <c r="R2924" i="11"/>
  <c r="S2924" i="11"/>
  <c r="N2924" i="11"/>
  <c r="M2925" i="11"/>
  <c r="D2925" i="11" l="1"/>
  <c r="C2925" i="11"/>
  <c r="R2925" i="11"/>
  <c r="S2925" i="11"/>
  <c r="N2925" i="11"/>
  <c r="M2926" i="11"/>
  <c r="D2926" i="11" l="1"/>
  <c r="C2926" i="11"/>
  <c r="R2926" i="11"/>
  <c r="S2926" i="11"/>
  <c r="N2926" i="11"/>
  <c r="M2927" i="11"/>
  <c r="D2927" i="11" l="1"/>
  <c r="C2927" i="11"/>
  <c r="R2927" i="11"/>
  <c r="S2927" i="11"/>
  <c r="N2927" i="11"/>
  <c r="M2928" i="11"/>
  <c r="D2928" i="11" l="1"/>
  <c r="C2928" i="11"/>
  <c r="R2928" i="11"/>
  <c r="S2928" i="11"/>
  <c r="N2928" i="11"/>
  <c r="M2929" i="11"/>
  <c r="D2929" i="11" l="1"/>
  <c r="C2929" i="11"/>
  <c r="R2929" i="11"/>
  <c r="S2929" i="11"/>
  <c r="N2929" i="11"/>
  <c r="M2930" i="11"/>
  <c r="D2930" i="11" l="1"/>
  <c r="C2930" i="11"/>
  <c r="R2930" i="11"/>
  <c r="S2930" i="11"/>
  <c r="N2930" i="11"/>
  <c r="M2931" i="11"/>
  <c r="D2931" i="11" l="1"/>
  <c r="C2931" i="11"/>
  <c r="R2931" i="11"/>
  <c r="S2931" i="11"/>
  <c r="N2931" i="11"/>
  <c r="M2932" i="11"/>
  <c r="D2932" i="11" l="1"/>
  <c r="C2932" i="11"/>
  <c r="R2932" i="11"/>
  <c r="S2932" i="11"/>
  <c r="N2932" i="11"/>
  <c r="M2933" i="11"/>
  <c r="D2933" i="11" l="1"/>
  <c r="C2933" i="11"/>
  <c r="R2933" i="11"/>
  <c r="S2933" i="11"/>
  <c r="N2933" i="11"/>
  <c r="M2934" i="11"/>
  <c r="D2934" i="11" l="1"/>
  <c r="C2934" i="11"/>
  <c r="R2934" i="11"/>
  <c r="S2934" i="11"/>
  <c r="N2934" i="11"/>
  <c r="M2935" i="11"/>
  <c r="D2935" i="11" l="1"/>
  <c r="C2935" i="11"/>
  <c r="R2935" i="11"/>
  <c r="S2935" i="11"/>
  <c r="N2935" i="11"/>
  <c r="M2936" i="11"/>
  <c r="D2936" i="11" l="1"/>
  <c r="C2936" i="11"/>
  <c r="R2936" i="11"/>
  <c r="S2936" i="11"/>
  <c r="N2936" i="11"/>
  <c r="M2937" i="11"/>
  <c r="D2937" i="11" l="1"/>
  <c r="C2937" i="11"/>
  <c r="R2937" i="11"/>
  <c r="S2937" i="11"/>
  <c r="N2937" i="11"/>
  <c r="M2938" i="11"/>
  <c r="D2938" i="11" l="1"/>
  <c r="C2938" i="11"/>
  <c r="R2938" i="11"/>
  <c r="S2938" i="11"/>
  <c r="N2938" i="11"/>
  <c r="M2939" i="11"/>
  <c r="D2939" i="11" l="1"/>
  <c r="C2939" i="11"/>
  <c r="R2939" i="11"/>
  <c r="S2939" i="11"/>
  <c r="N2939" i="11"/>
  <c r="M2940" i="11"/>
  <c r="D2940" i="11" l="1"/>
  <c r="C2940" i="11"/>
  <c r="R2940" i="11"/>
  <c r="S2940" i="11"/>
  <c r="N2940" i="11"/>
  <c r="M2941" i="11"/>
  <c r="D2941" i="11" l="1"/>
  <c r="C2941" i="11"/>
  <c r="R2941" i="11"/>
  <c r="S2941" i="11"/>
  <c r="N2941" i="11"/>
  <c r="M2942" i="11"/>
  <c r="D2942" i="11" l="1"/>
  <c r="C2942" i="11"/>
  <c r="R2942" i="11"/>
  <c r="S2942" i="11"/>
  <c r="N2942" i="11"/>
  <c r="M2943" i="11"/>
  <c r="D2943" i="11" l="1"/>
  <c r="C2943" i="11"/>
  <c r="R2943" i="11"/>
  <c r="S2943" i="11"/>
  <c r="N2943" i="11"/>
  <c r="M2944" i="11"/>
  <c r="D2944" i="11" l="1"/>
  <c r="C2944" i="11"/>
  <c r="R2944" i="11"/>
  <c r="S2944" i="11"/>
  <c r="N2944" i="11"/>
  <c r="M2945" i="11"/>
  <c r="D2945" i="11" l="1"/>
  <c r="C2945" i="11"/>
  <c r="R2945" i="11"/>
  <c r="S2945" i="11"/>
  <c r="N2945" i="11"/>
  <c r="M2946" i="11"/>
  <c r="D2946" i="11" l="1"/>
  <c r="C2946" i="11"/>
  <c r="R2946" i="11"/>
  <c r="S2946" i="11"/>
  <c r="N2946" i="11"/>
  <c r="M2947" i="11"/>
  <c r="D2947" i="11" l="1"/>
  <c r="C2947" i="11"/>
  <c r="R2947" i="11"/>
  <c r="S2947" i="11"/>
  <c r="N2947" i="11"/>
  <c r="M2948" i="11"/>
  <c r="D2948" i="11" l="1"/>
  <c r="C2948" i="11"/>
  <c r="R2948" i="11"/>
  <c r="S2948" i="11"/>
  <c r="N2948" i="11"/>
  <c r="M2949" i="11"/>
  <c r="D2949" i="11" l="1"/>
  <c r="C2949" i="11"/>
  <c r="R2949" i="11"/>
  <c r="S2949" i="11"/>
  <c r="N2949" i="11"/>
  <c r="M2950" i="11"/>
  <c r="D2950" i="11" l="1"/>
  <c r="C2950" i="11"/>
  <c r="R2950" i="11"/>
  <c r="S2950" i="11"/>
  <c r="N2950" i="11"/>
  <c r="M2951" i="11"/>
  <c r="D2951" i="11" l="1"/>
  <c r="C2951" i="11"/>
  <c r="R2951" i="11"/>
  <c r="S2951" i="11"/>
  <c r="N2951" i="11"/>
  <c r="M2952" i="11"/>
  <c r="D2952" i="11" l="1"/>
  <c r="C2952" i="11"/>
  <c r="R2952" i="11"/>
  <c r="S2952" i="11"/>
  <c r="N2952" i="11"/>
  <c r="M2953" i="11"/>
  <c r="D2953" i="11" l="1"/>
  <c r="C2953" i="11"/>
  <c r="R2953" i="11"/>
  <c r="S2953" i="11"/>
  <c r="N2953" i="11"/>
  <c r="M2954" i="11"/>
  <c r="D2954" i="11" l="1"/>
  <c r="C2954" i="11"/>
  <c r="R2954" i="11"/>
  <c r="S2954" i="11"/>
  <c r="N2954" i="11"/>
  <c r="M2955" i="11"/>
  <c r="D2955" i="11" l="1"/>
  <c r="C2955" i="11"/>
  <c r="R2955" i="11"/>
  <c r="S2955" i="11"/>
  <c r="N2955" i="11"/>
  <c r="M2956" i="11"/>
  <c r="D2956" i="11" l="1"/>
  <c r="C2956" i="11"/>
  <c r="R2956" i="11"/>
  <c r="S2956" i="11"/>
  <c r="N2956" i="11"/>
  <c r="M2957" i="11"/>
  <c r="D2957" i="11" l="1"/>
  <c r="C2957" i="11"/>
  <c r="R2957" i="11"/>
  <c r="S2957" i="11"/>
  <c r="N2957" i="11"/>
  <c r="M2958" i="11"/>
  <c r="D2958" i="11" l="1"/>
  <c r="C2958" i="11"/>
  <c r="R2958" i="11"/>
  <c r="S2958" i="11"/>
  <c r="N2958" i="11"/>
  <c r="M2959" i="11"/>
  <c r="D2959" i="11" l="1"/>
  <c r="C2959" i="11"/>
  <c r="R2959" i="11"/>
  <c r="S2959" i="11"/>
  <c r="N2959" i="11"/>
  <c r="M2960" i="11"/>
  <c r="D2960" i="11" l="1"/>
  <c r="C2960" i="11"/>
  <c r="R2960" i="11"/>
  <c r="S2960" i="11"/>
  <c r="N2960" i="11"/>
  <c r="M2961" i="11"/>
  <c r="D2961" i="11" l="1"/>
  <c r="C2961" i="11"/>
  <c r="R2961" i="11"/>
  <c r="S2961" i="11"/>
  <c r="N2961" i="11"/>
  <c r="M2962" i="11"/>
  <c r="D2962" i="11" l="1"/>
  <c r="C2962" i="11"/>
  <c r="R2962" i="11"/>
  <c r="S2962" i="11"/>
  <c r="N2962" i="11"/>
  <c r="M2963" i="11"/>
  <c r="D2963" i="11" l="1"/>
  <c r="C2963" i="11"/>
  <c r="R2963" i="11"/>
  <c r="S2963" i="11"/>
  <c r="N2963" i="11"/>
  <c r="M2964" i="11"/>
  <c r="D2964" i="11" l="1"/>
  <c r="C2964" i="11"/>
  <c r="R2964" i="11"/>
  <c r="S2964" i="11"/>
  <c r="N2964" i="11"/>
  <c r="M2965" i="11"/>
  <c r="D2965" i="11" l="1"/>
  <c r="C2965" i="11"/>
  <c r="R2965" i="11"/>
  <c r="S2965" i="11"/>
  <c r="N2965" i="11"/>
  <c r="M2966" i="11"/>
  <c r="D2966" i="11" l="1"/>
  <c r="C2966" i="11"/>
  <c r="R2966" i="11"/>
  <c r="S2966" i="11"/>
  <c r="N2966" i="11"/>
  <c r="M2967" i="11"/>
  <c r="D2967" i="11" l="1"/>
  <c r="C2967" i="11"/>
  <c r="R2967" i="11"/>
  <c r="S2967" i="11"/>
  <c r="N2967" i="11"/>
  <c r="M2968" i="11"/>
  <c r="D2968" i="11" l="1"/>
  <c r="C2968" i="11"/>
  <c r="R2968" i="11"/>
  <c r="S2968" i="11"/>
  <c r="N2968" i="11"/>
  <c r="M2969" i="11"/>
  <c r="D2969" i="11" l="1"/>
  <c r="C2969" i="11"/>
  <c r="R2969" i="11"/>
  <c r="S2969" i="11"/>
  <c r="N2969" i="11"/>
  <c r="M2970" i="11"/>
  <c r="D2970" i="11" l="1"/>
  <c r="C2970" i="11"/>
  <c r="R2970" i="11"/>
  <c r="S2970" i="11"/>
  <c r="N2970" i="11"/>
  <c r="M2971" i="11"/>
  <c r="D2971" i="11" l="1"/>
  <c r="C2971" i="11"/>
  <c r="R2971" i="11"/>
  <c r="S2971" i="11"/>
  <c r="N2971" i="11"/>
  <c r="M2972" i="11"/>
  <c r="D2972" i="11" l="1"/>
  <c r="C2972" i="11"/>
  <c r="R2972" i="11"/>
  <c r="S2972" i="11"/>
  <c r="N2972" i="11"/>
  <c r="M2973" i="11"/>
  <c r="D2973" i="11" l="1"/>
  <c r="C2973" i="11"/>
  <c r="R2973" i="11"/>
  <c r="S2973" i="11"/>
  <c r="N2973" i="11"/>
  <c r="M2974" i="11"/>
  <c r="D2974" i="11" l="1"/>
  <c r="C2974" i="11"/>
  <c r="R2974" i="11"/>
  <c r="S2974" i="11"/>
  <c r="N2974" i="11"/>
  <c r="M2975" i="11"/>
  <c r="D2975" i="11" l="1"/>
  <c r="C2975" i="11"/>
  <c r="R2975" i="11"/>
  <c r="S2975" i="11"/>
  <c r="N2975" i="11"/>
  <c r="M2976" i="11"/>
  <c r="D2976" i="11" l="1"/>
  <c r="C2976" i="11"/>
  <c r="R2976" i="11"/>
  <c r="S2976" i="11"/>
  <c r="N2976" i="11"/>
  <c r="M2977" i="11"/>
  <c r="D2977" i="11" l="1"/>
  <c r="C2977" i="11"/>
  <c r="R2977" i="11"/>
  <c r="S2977" i="11"/>
  <c r="N2977" i="11"/>
  <c r="M2978" i="11"/>
  <c r="D2978" i="11" l="1"/>
  <c r="C2978" i="11"/>
  <c r="R2978" i="11"/>
  <c r="S2978" i="11"/>
  <c r="N2978" i="11"/>
  <c r="M2979" i="11"/>
  <c r="D2979" i="11" l="1"/>
  <c r="C2979" i="11"/>
  <c r="R2979" i="11"/>
  <c r="S2979" i="11"/>
  <c r="N2979" i="11"/>
  <c r="M2980" i="11"/>
  <c r="D2980" i="11" l="1"/>
  <c r="C2980" i="11"/>
  <c r="R2980" i="11"/>
  <c r="S2980" i="11"/>
  <c r="N2980" i="11"/>
  <c r="M2981" i="11"/>
  <c r="D2981" i="11" l="1"/>
  <c r="C2981" i="11"/>
  <c r="R2981" i="11"/>
  <c r="S2981" i="11"/>
  <c r="N2981" i="11"/>
  <c r="M2982" i="11"/>
  <c r="D2982" i="11" l="1"/>
  <c r="C2982" i="11"/>
  <c r="R2982" i="11"/>
  <c r="S2982" i="11"/>
  <c r="N2982" i="11"/>
  <c r="M2983" i="11"/>
  <c r="D2983" i="11" l="1"/>
  <c r="C2983" i="11"/>
  <c r="R2983" i="11"/>
  <c r="S2983" i="11"/>
  <c r="N2983" i="11"/>
  <c r="M2984" i="11"/>
  <c r="D2984" i="11" l="1"/>
  <c r="C2984" i="11"/>
  <c r="R2984" i="11"/>
  <c r="S2984" i="11"/>
  <c r="N2984" i="11"/>
  <c r="M2985" i="11"/>
  <c r="D2985" i="11" l="1"/>
  <c r="C2985" i="11"/>
  <c r="R2985" i="11"/>
  <c r="S2985" i="11"/>
  <c r="N2985" i="11"/>
  <c r="M2986" i="11"/>
  <c r="D2986" i="11" l="1"/>
  <c r="C2986" i="11"/>
  <c r="R2986" i="11"/>
  <c r="S2986" i="11"/>
  <c r="N2986" i="11"/>
  <c r="M2987" i="11"/>
  <c r="D2987" i="11" l="1"/>
  <c r="C2987" i="11"/>
  <c r="R2987" i="11"/>
  <c r="S2987" i="11"/>
  <c r="N2987" i="11"/>
  <c r="M2988" i="11"/>
  <c r="D2988" i="11" l="1"/>
  <c r="C2988" i="11"/>
  <c r="R2988" i="11"/>
  <c r="S2988" i="11"/>
  <c r="N2988" i="11"/>
  <c r="M2989" i="11"/>
  <c r="D2989" i="11" l="1"/>
  <c r="C2989" i="11"/>
  <c r="R2989" i="11"/>
  <c r="S2989" i="11"/>
  <c r="N2989" i="11"/>
  <c r="M2990" i="11"/>
  <c r="D2990" i="11" l="1"/>
  <c r="C2990" i="11"/>
  <c r="R2990" i="11"/>
  <c r="S2990" i="11"/>
  <c r="N2990" i="11"/>
  <c r="M2991" i="11"/>
  <c r="D2991" i="11" l="1"/>
  <c r="C2991" i="11"/>
  <c r="R2991" i="11"/>
  <c r="S2991" i="11"/>
  <c r="N2991" i="11"/>
  <c r="M2992" i="11"/>
  <c r="D2992" i="11" l="1"/>
  <c r="C2992" i="11"/>
  <c r="R2992" i="11"/>
  <c r="S2992" i="11"/>
  <c r="N2992" i="11"/>
  <c r="M2993" i="11"/>
  <c r="D2993" i="11" l="1"/>
  <c r="C2993" i="11"/>
  <c r="R2993" i="11"/>
  <c r="S2993" i="11"/>
  <c r="N2993" i="11"/>
  <c r="M2994" i="11"/>
  <c r="D2994" i="11" l="1"/>
  <c r="C2994" i="11"/>
  <c r="R2994" i="11"/>
  <c r="S2994" i="11"/>
  <c r="N2994" i="11"/>
  <c r="M2995" i="11"/>
  <c r="D2995" i="11" l="1"/>
  <c r="C2995" i="11"/>
  <c r="R2995" i="11"/>
  <c r="S2995" i="11"/>
  <c r="N2995" i="11"/>
  <c r="M2996" i="11"/>
  <c r="D2996" i="11" l="1"/>
  <c r="C2996" i="11"/>
  <c r="R2996" i="11"/>
  <c r="S2996" i="11"/>
  <c r="N2996" i="11"/>
  <c r="M2997" i="11"/>
  <c r="D2997" i="11" l="1"/>
  <c r="C2997" i="11"/>
  <c r="R2997" i="11"/>
  <c r="S2997" i="11"/>
  <c r="N2997" i="11"/>
  <c r="M2998" i="11"/>
  <c r="D2998" i="11" l="1"/>
  <c r="C2998" i="11"/>
  <c r="R2998" i="11"/>
  <c r="S2998" i="11"/>
  <c r="N2998" i="11"/>
  <c r="M2999" i="11"/>
  <c r="D2999" i="11" l="1"/>
  <c r="C2999" i="11"/>
  <c r="R2999" i="11"/>
  <c r="S2999" i="11"/>
  <c r="N2999" i="11"/>
  <c r="M3000" i="11"/>
  <c r="D3000" i="11" l="1"/>
  <c r="C3000" i="11"/>
  <c r="R3000" i="11"/>
  <c r="S3000" i="11"/>
  <c r="N3000" i="11"/>
  <c r="M3001" i="11"/>
  <c r="D3001" i="11" l="1"/>
  <c r="C3001" i="11"/>
  <c r="R3001" i="11"/>
  <c r="S3001" i="11"/>
  <c r="N3001" i="11"/>
  <c r="M3002" i="11"/>
  <c r="D3002" i="11" l="1"/>
  <c r="C3002" i="11"/>
  <c r="R3002" i="11"/>
  <c r="S3002" i="11"/>
  <c r="N3002" i="11"/>
  <c r="M3003" i="11"/>
  <c r="D3003" i="11" l="1"/>
  <c r="C3003" i="11"/>
  <c r="R3003" i="11"/>
  <c r="S3003" i="11"/>
  <c r="N3003" i="11"/>
  <c r="M3004" i="11"/>
  <c r="D3004" i="11" l="1"/>
  <c r="C3004" i="11"/>
  <c r="R3004" i="11"/>
  <c r="S3004" i="11"/>
  <c r="N3004" i="11"/>
  <c r="M3005" i="11"/>
  <c r="D3005" i="11" l="1"/>
  <c r="C3005" i="11"/>
  <c r="R3005" i="11"/>
  <c r="S3005" i="11"/>
  <c r="N3005" i="11"/>
  <c r="M3006" i="11"/>
  <c r="D3006" i="11" l="1"/>
  <c r="C3006" i="11"/>
  <c r="R3006" i="11"/>
  <c r="S3006" i="11"/>
  <c r="N3006" i="11"/>
  <c r="M3007" i="11"/>
  <c r="D3007" i="11" l="1"/>
  <c r="C3007" i="11"/>
  <c r="R3007" i="11"/>
  <c r="S3007" i="11"/>
  <c r="N3007" i="11"/>
  <c r="M3008" i="11"/>
  <c r="D3008" i="11" l="1"/>
  <c r="C3008" i="11"/>
  <c r="R3008" i="11"/>
  <c r="S3008" i="11"/>
  <c r="N3008" i="11"/>
  <c r="M3009" i="11"/>
  <c r="D3009" i="11" l="1"/>
  <c r="C3009" i="11"/>
  <c r="R3009" i="11"/>
  <c r="S3009" i="11"/>
  <c r="N3009" i="11"/>
  <c r="M3010" i="11"/>
  <c r="D3010" i="11" l="1"/>
  <c r="C3010" i="11"/>
  <c r="R3010" i="11"/>
  <c r="S3010" i="11"/>
  <c r="N3010" i="11"/>
  <c r="M3011" i="11"/>
  <c r="D3011" i="11" l="1"/>
  <c r="C3011" i="11"/>
  <c r="R3011" i="11"/>
  <c r="S3011" i="11"/>
  <c r="N3011" i="11"/>
  <c r="M3012" i="11"/>
  <c r="D3012" i="11" l="1"/>
  <c r="C3012" i="11"/>
  <c r="R3012" i="11"/>
  <c r="S3012" i="11"/>
  <c r="N3012" i="11"/>
  <c r="M3013" i="11"/>
  <c r="D3013" i="11" l="1"/>
  <c r="C3013" i="11"/>
  <c r="R3013" i="11"/>
  <c r="S3013" i="11"/>
  <c r="N3013" i="11"/>
  <c r="M3014" i="11"/>
  <c r="D3014" i="11" l="1"/>
  <c r="C3014" i="11"/>
  <c r="R3014" i="11"/>
  <c r="S3014" i="11"/>
  <c r="N3014" i="11"/>
  <c r="M3015" i="11"/>
  <c r="D3015" i="11" l="1"/>
  <c r="C3015" i="11"/>
  <c r="R3015" i="11"/>
  <c r="S3015" i="11"/>
  <c r="N3015" i="11"/>
  <c r="M3016" i="11"/>
  <c r="D3016" i="11" l="1"/>
  <c r="C3016" i="11"/>
  <c r="R3016" i="11"/>
  <c r="S3016" i="11"/>
  <c r="N3016" i="11"/>
  <c r="M3017" i="11"/>
  <c r="D3017" i="11" l="1"/>
  <c r="C3017" i="11"/>
  <c r="R3017" i="11"/>
  <c r="S3017" i="11"/>
  <c r="N3017" i="11"/>
  <c r="M3018" i="11"/>
  <c r="D3018" i="11" l="1"/>
  <c r="C3018" i="11"/>
  <c r="R3018" i="11"/>
  <c r="S3018" i="11"/>
  <c r="N3018" i="11"/>
  <c r="M3019" i="11"/>
  <c r="D3019" i="11" l="1"/>
  <c r="C3019" i="11"/>
  <c r="R3019" i="11"/>
  <c r="S3019" i="11"/>
  <c r="N3019" i="11"/>
  <c r="M3020" i="11"/>
  <c r="D3020" i="11" l="1"/>
  <c r="C3020" i="11"/>
  <c r="R3020" i="11"/>
  <c r="S3020" i="11"/>
  <c r="N3020" i="11"/>
  <c r="M3021" i="11"/>
  <c r="D3021" i="11" l="1"/>
  <c r="C3021" i="11"/>
  <c r="R3021" i="11"/>
  <c r="S3021" i="11"/>
  <c r="N3021" i="11"/>
  <c r="M3022" i="11"/>
  <c r="D3022" i="11" l="1"/>
  <c r="C3022" i="11"/>
  <c r="R3022" i="11"/>
  <c r="S3022" i="11"/>
  <c r="N3022" i="11"/>
  <c r="M3023" i="11"/>
  <c r="D3023" i="11" l="1"/>
  <c r="C3023" i="11"/>
  <c r="R3023" i="11"/>
  <c r="S3023" i="11"/>
  <c r="N3023" i="11"/>
  <c r="M3024" i="11"/>
  <c r="D3024" i="11" l="1"/>
  <c r="C3024" i="11"/>
  <c r="R3024" i="11"/>
  <c r="S3024" i="11"/>
  <c r="N3024" i="11"/>
  <c r="M3025" i="11"/>
  <c r="D3025" i="11" l="1"/>
  <c r="C3025" i="11"/>
  <c r="R3025" i="11"/>
  <c r="S3025" i="11"/>
  <c r="N3025" i="11"/>
  <c r="M3026" i="11"/>
  <c r="D3026" i="11" l="1"/>
  <c r="C3026" i="11"/>
  <c r="R3026" i="11"/>
  <c r="S3026" i="11"/>
  <c r="N3026" i="11"/>
  <c r="M3027" i="11"/>
  <c r="D3027" i="11" l="1"/>
  <c r="C3027" i="11"/>
  <c r="R3027" i="11"/>
  <c r="S3027" i="11"/>
  <c r="N3027" i="11"/>
  <c r="M3028" i="11"/>
  <c r="D3028" i="11" l="1"/>
  <c r="C3028" i="11"/>
  <c r="R3028" i="11"/>
  <c r="S3028" i="11"/>
  <c r="N3028" i="11"/>
  <c r="M3029" i="11"/>
  <c r="D3029" i="11" l="1"/>
  <c r="C3029" i="11"/>
  <c r="R3029" i="11"/>
  <c r="S3029" i="11"/>
  <c r="N3029" i="11"/>
  <c r="M3030" i="11"/>
  <c r="D3030" i="11" l="1"/>
  <c r="C3030" i="11"/>
  <c r="R3030" i="11"/>
  <c r="S3030" i="11"/>
  <c r="N3030" i="11"/>
  <c r="M3031" i="11"/>
  <c r="D3031" i="11" l="1"/>
  <c r="C3031" i="11"/>
  <c r="R3031" i="11"/>
  <c r="S3031" i="11"/>
  <c r="N3031" i="11"/>
  <c r="M3032" i="11"/>
  <c r="D3032" i="11" l="1"/>
  <c r="C3032" i="11"/>
  <c r="R3032" i="11"/>
  <c r="S3032" i="11"/>
  <c r="N3032" i="11"/>
  <c r="M3033" i="11"/>
  <c r="D3033" i="11" l="1"/>
  <c r="C3033" i="11"/>
  <c r="R3033" i="11"/>
  <c r="S3033" i="11"/>
  <c r="N3033" i="11"/>
  <c r="M3034" i="11"/>
  <c r="D3034" i="11" l="1"/>
  <c r="C3034" i="11"/>
  <c r="R3034" i="11"/>
  <c r="S3034" i="11"/>
  <c r="N3034" i="11"/>
  <c r="M3035" i="11"/>
  <c r="D3035" i="11" l="1"/>
  <c r="C3035" i="11"/>
  <c r="R3035" i="11"/>
  <c r="S3035" i="11"/>
  <c r="N3035" i="11"/>
  <c r="M3036" i="11"/>
  <c r="D3036" i="11" l="1"/>
  <c r="C3036" i="11"/>
  <c r="R3036" i="11"/>
  <c r="S3036" i="11"/>
  <c r="N3036" i="11"/>
  <c r="M3037" i="11"/>
  <c r="D3037" i="11" l="1"/>
  <c r="C3037" i="11"/>
  <c r="R3037" i="11"/>
  <c r="S3037" i="11"/>
  <c r="N3037" i="11"/>
  <c r="M3038" i="11"/>
  <c r="D3038" i="11" l="1"/>
  <c r="C3038" i="11"/>
  <c r="R3038" i="11"/>
  <c r="S3038" i="11"/>
  <c r="N3038" i="11"/>
  <c r="M3039" i="11"/>
  <c r="D3039" i="11" l="1"/>
  <c r="C3039" i="11"/>
  <c r="R3039" i="11"/>
  <c r="S3039" i="11"/>
  <c r="N3039" i="11"/>
  <c r="M3040" i="11"/>
  <c r="D3040" i="11" l="1"/>
  <c r="C3040" i="11"/>
  <c r="R3040" i="11"/>
  <c r="S3040" i="11"/>
  <c r="N3040" i="11"/>
  <c r="M3041" i="11"/>
  <c r="D3041" i="11" l="1"/>
  <c r="C3041" i="11"/>
  <c r="R3041" i="11"/>
  <c r="S3041" i="11"/>
  <c r="N3041" i="11"/>
  <c r="M3042" i="11"/>
  <c r="D3042" i="11" l="1"/>
  <c r="C3042" i="11"/>
  <c r="R3042" i="11"/>
  <c r="S3042" i="11"/>
  <c r="N3042" i="11"/>
  <c r="M3043" i="11"/>
  <c r="D3043" i="11" l="1"/>
  <c r="C3043" i="11"/>
  <c r="R3043" i="11"/>
  <c r="S3043" i="11"/>
  <c r="N3043" i="11"/>
  <c r="M3044" i="11"/>
  <c r="D3044" i="11" l="1"/>
  <c r="C3044" i="11"/>
  <c r="R3044" i="11"/>
  <c r="S3044" i="11"/>
  <c r="N3044" i="11"/>
  <c r="M3045" i="11"/>
  <c r="D3045" i="11" l="1"/>
  <c r="C3045" i="11"/>
  <c r="R3045" i="11"/>
  <c r="S3045" i="11"/>
  <c r="N3045" i="11"/>
  <c r="M3046" i="11"/>
  <c r="D3046" i="11" l="1"/>
  <c r="C3046" i="11"/>
  <c r="R3046" i="11"/>
  <c r="S3046" i="11"/>
  <c r="N3046" i="11"/>
  <c r="M3047" i="11"/>
  <c r="D3047" i="11" l="1"/>
  <c r="C3047" i="11"/>
  <c r="R3047" i="11"/>
  <c r="S3047" i="11"/>
  <c r="N3047" i="11"/>
  <c r="M3048" i="11"/>
  <c r="D3048" i="11" l="1"/>
  <c r="C3048" i="11"/>
  <c r="R3048" i="11"/>
  <c r="S3048" i="11"/>
  <c r="N3048" i="11"/>
  <c r="M3049" i="11"/>
  <c r="D3049" i="11" l="1"/>
  <c r="C3049" i="11"/>
  <c r="R3049" i="11"/>
  <c r="S3049" i="11"/>
  <c r="N3049" i="11"/>
  <c r="M3050" i="11"/>
  <c r="D3050" i="11" l="1"/>
  <c r="C3050" i="11"/>
  <c r="R3050" i="11"/>
  <c r="S3050" i="11"/>
  <c r="N3050" i="11"/>
  <c r="M3051" i="11"/>
  <c r="D3051" i="11" l="1"/>
  <c r="C3051" i="11"/>
  <c r="R3051" i="11"/>
  <c r="S3051" i="11"/>
  <c r="N3051" i="11"/>
  <c r="M3052" i="11"/>
  <c r="D3052" i="11" l="1"/>
  <c r="C3052" i="11"/>
  <c r="R3052" i="11"/>
  <c r="S3052" i="11"/>
  <c r="N3052" i="11"/>
  <c r="M3053" i="11"/>
  <c r="D3053" i="11" l="1"/>
  <c r="C3053" i="11"/>
  <c r="R3053" i="11"/>
  <c r="S3053" i="11"/>
  <c r="N3053" i="11"/>
  <c r="M3054" i="11"/>
  <c r="D3054" i="11" l="1"/>
  <c r="C3054" i="11"/>
  <c r="R3054" i="11"/>
  <c r="S3054" i="11"/>
  <c r="N3054" i="11"/>
  <c r="M3055" i="11"/>
  <c r="D3055" i="11" l="1"/>
  <c r="C3055" i="11"/>
  <c r="R3055" i="11"/>
  <c r="S3055" i="11"/>
  <c r="N3055" i="11"/>
  <c r="M3056" i="11"/>
  <c r="D3056" i="11" l="1"/>
  <c r="C3056" i="11"/>
  <c r="R3056" i="11"/>
  <c r="S3056" i="11"/>
  <c r="N3056" i="11"/>
  <c r="M3057" i="11"/>
  <c r="D3057" i="11" l="1"/>
  <c r="C3057" i="11"/>
  <c r="R3057" i="11"/>
  <c r="S3057" i="11"/>
  <c r="N3057" i="11"/>
  <c r="M3058" i="11"/>
  <c r="D3058" i="11" l="1"/>
  <c r="C3058" i="11"/>
  <c r="R3058" i="11"/>
  <c r="S3058" i="11"/>
  <c r="N3058" i="11"/>
  <c r="M3059" i="11"/>
  <c r="D3059" i="11" l="1"/>
  <c r="C3059" i="11"/>
  <c r="R3059" i="11"/>
  <c r="S3059" i="11"/>
  <c r="N3059" i="11"/>
  <c r="M3060" i="11"/>
  <c r="D3060" i="11" l="1"/>
  <c r="C3060" i="11"/>
  <c r="R3060" i="11"/>
  <c r="S3060" i="11"/>
  <c r="N3060" i="11"/>
  <c r="M3061" i="11"/>
  <c r="D3061" i="11" l="1"/>
  <c r="C3061" i="11"/>
  <c r="R3061" i="11"/>
  <c r="S3061" i="11"/>
  <c r="N3061" i="11"/>
  <c r="M3062" i="11"/>
  <c r="D3062" i="11" l="1"/>
  <c r="C3062" i="11"/>
  <c r="R3062" i="11"/>
  <c r="S3062" i="11"/>
  <c r="N3062" i="11"/>
  <c r="M3063" i="11"/>
  <c r="D3063" i="11" l="1"/>
  <c r="C3063" i="11"/>
  <c r="R3063" i="11"/>
  <c r="S3063" i="11"/>
  <c r="N3063" i="11"/>
  <c r="M3064" i="11"/>
  <c r="D3064" i="11" l="1"/>
  <c r="C3064" i="11"/>
  <c r="R3064" i="11"/>
  <c r="S3064" i="11"/>
  <c r="N3064" i="11"/>
  <c r="M3065" i="11"/>
  <c r="D3065" i="11" l="1"/>
  <c r="C3065" i="11"/>
  <c r="R3065" i="11"/>
  <c r="S3065" i="11"/>
  <c r="N3065" i="11"/>
  <c r="M3066" i="11"/>
  <c r="D3066" i="11" l="1"/>
  <c r="C3066" i="11"/>
  <c r="R3066" i="11"/>
  <c r="S3066" i="11"/>
  <c r="N3066" i="11"/>
  <c r="M3067" i="11"/>
  <c r="D3067" i="11" l="1"/>
  <c r="C3067" i="11"/>
  <c r="R3067" i="11"/>
  <c r="S3067" i="11"/>
  <c r="N3067" i="11"/>
  <c r="M3068" i="11"/>
  <c r="D3068" i="11" l="1"/>
  <c r="C3068" i="11"/>
  <c r="R3068" i="11"/>
  <c r="S3068" i="11"/>
  <c r="N3068" i="11"/>
  <c r="M3069" i="11"/>
  <c r="D3069" i="11" l="1"/>
  <c r="C3069" i="11"/>
  <c r="R3069" i="11"/>
  <c r="S3069" i="11"/>
  <c r="N3069" i="11"/>
  <c r="M3070" i="11"/>
  <c r="D3070" i="11" l="1"/>
  <c r="C3070" i="11"/>
  <c r="R3070" i="11"/>
  <c r="S3070" i="11"/>
  <c r="N3070" i="11"/>
  <c r="M3071" i="11"/>
  <c r="D3071" i="11" l="1"/>
  <c r="C3071" i="11"/>
  <c r="R3071" i="11"/>
  <c r="S3071" i="11"/>
  <c r="N3071" i="11"/>
  <c r="M3072" i="11"/>
  <c r="D3072" i="11" l="1"/>
  <c r="C3072" i="11"/>
  <c r="R3072" i="11"/>
  <c r="S3072" i="11"/>
  <c r="N3072" i="11"/>
  <c r="M3073" i="11"/>
  <c r="D3073" i="11" l="1"/>
  <c r="C3073" i="11"/>
  <c r="R3073" i="11"/>
  <c r="S3073" i="11"/>
  <c r="N3073" i="11"/>
  <c r="M3074" i="11"/>
  <c r="D3074" i="11" l="1"/>
  <c r="C3074" i="11"/>
  <c r="R3074" i="11"/>
  <c r="S3074" i="11"/>
  <c r="N3074" i="11"/>
  <c r="M3075" i="11"/>
  <c r="D3075" i="11" l="1"/>
  <c r="C3075" i="11"/>
  <c r="R3075" i="11"/>
  <c r="S3075" i="11"/>
  <c r="N3075" i="11"/>
  <c r="M3076" i="11"/>
  <c r="D3076" i="11" l="1"/>
  <c r="C3076" i="11"/>
  <c r="R3076" i="11"/>
  <c r="S3076" i="11"/>
  <c r="N3076" i="11"/>
  <c r="M3077" i="11"/>
  <c r="D3077" i="11" l="1"/>
  <c r="C3077" i="11"/>
  <c r="R3077" i="11"/>
  <c r="S3077" i="11"/>
  <c r="N3077" i="11"/>
  <c r="M3078" i="11"/>
  <c r="D3078" i="11" l="1"/>
  <c r="C3078" i="11"/>
  <c r="R3078" i="11"/>
  <c r="S3078" i="11"/>
  <c r="N3078" i="11"/>
  <c r="M3079" i="11"/>
  <c r="D3079" i="11" l="1"/>
  <c r="C3079" i="11"/>
  <c r="R3079" i="11"/>
  <c r="S3079" i="11"/>
  <c r="N3079" i="11"/>
  <c r="M3080" i="11"/>
  <c r="D3080" i="11" l="1"/>
  <c r="C3080" i="11"/>
  <c r="R3080" i="11"/>
  <c r="S3080" i="11"/>
  <c r="N3080" i="11"/>
  <c r="M3081" i="11"/>
  <c r="D3081" i="11" l="1"/>
  <c r="C3081" i="11"/>
  <c r="R3081" i="11"/>
  <c r="S3081" i="11"/>
  <c r="N3081" i="11"/>
  <c r="M3082" i="11"/>
  <c r="D3082" i="11" l="1"/>
  <c r="C3082" i="11"/>
  <c r="R3082" i="11"/>
  <c r="S3082" i="11"/>
  <c r="N3082" i="11"/>
  <c r="M3083" i="11"/>
  <c r="D3083" i="11" l="1"/>
  <c r="C3083" i="11"/>
  <c r="R3083" i="11"/>
  <c r="S3083" i="11"/>
  <c r="N3083" i="11"/>
  <c r="M3084" i="11"/>
  <c r="D3084" i="11" l="1"/>
  <c r="C3084" i="11"/>
  <c r="R3084" i="11"/>
  <c r="S3084" i="11"/>
  <c r="N3084" i="11"/>
  <c r="M3085" i="11"/>
  <c r="D3085" i="11" l="1"/>
  <c r="C3085" i="11"/>
  <c r="R3085" i="11"/>
  <c r="S3085" i="11"/>
  <c r="N3085" i="11"/>
  <c r="M3086" i="11"/>
  <c r="D3086" i="11" l="1"/>
  <c r="C3086" i="11"/>
  <c r="R3086" i="11"/>
  <c r="S3086" i="11"/>
  <c r="N3086" i="11"/>
  <c r="M3087" i="11"/>
  <c r="D3087" i="11" l="1"/>
  <c r="C3087" i="11"/>
  <c r="R3087" i="11"/>
  <c r="S3087" i="11"/>
  <c r="N3087" i="11"/>
  <c r="M3088" i="11"/>
  <c r="D3088" i="11" l="1"/>
  <c r="C3088" i="11"/>
  <c r="R3088" i="11"/>
  <c r="S3088" i="11"/>
  <c r="N3088" i="11"/>
  <c r="M3089" i="11"/>
  <c r="D3089" i="11" l="1"/>
  <c r="C3089" i="11"/>
  <c r="R3089" i="11"/>
  <c r="S3089" i="11"/>
  <c r="N3089" i="11"/>
  <c r="M3090" i="11"/>
  <c r="D3090" i="11" l="1"/>
  <c r="C3090" i="11"/>
  <c r="R3090" i="11"/>
  <c r="S3090" i="11"/>
  <c r="N3090" i="11"/>
  <c r="M3091" i="11"/>
  <c r="D3091" i="11" l="1"/>
  <c r="C3091" i="11"/>
  <c r="R3091" i="11"/>
  <c r="S3091" i="11"/>
  <c r="N3091" i="11"/>
  <c r="M3092" i="11"/>
  <c r="D3092" i="11" l="1"/>
  <c r="C3092" i="11"/>
  <c r="R3092" i="11"/>
  <c r="S3092" i="11"/>
  <c r="N3092" i="11"/>
  <c r="M3093" i="11"/>
  <c r="D3093" i="11" l="1"/>
  <c r="C3093" i="11"/>
  <c r="R3093" i="11"/>
  <c r="S3093" i="11"/>
  <c r="N3093" i="11"/>
  <c r="M3094" i="11"/>
  <c r="D3094" i="11" l="1"/>
  <c r="C3094" i="11"/>
  <c r="R3094" i="11"/>
  <c r="S3094" i="11"/>
  <c r="N3094" i="11"/>
  <c r="M3095" i="11"/>
  <c r="D3095" i="11" l="1"/>
  <c r="C3095" i="11"/>
  <c r="R3095" i="11"/>
  <c r="S3095" i="11"/>
  <c r="N3095" i="11"/>
  <c r="M3096" i="11"/>
  <c r="D3096" i="11" l="1"/>
  <c r="C3096" i="11"/>
  <c r="R3096" i="11"/>
  <c r="S3096" i="11"/>
  <c r="N3096" i="11"/>
  <c r="M3097" i="11"/>
  <c r="D3097" i="11" l="1"/>
  <c r="C3097" i="11"/>
  <c r="R3097" i="11"/>
  <c r="S3097" i="11"/>
  <c r="N3097" i="11"/>
  <c r="M3098" i="11"/>
  <c r="D3098" i="11" l="1"/>
  <c r="C3098" i="11"/>
  <c r="R3098" i="11"/>
  <c r="S3098" i="11"/>
  <c r="N3098" i="11"/>
  <c r="M3099" i="11"/>
  <c r="D3099" i="11" l="1"/>
  <c r="C3099" i="11"/>
  <c r="R3099" i="11"/>
  <c r="S3099" i="11"/>
  <c r="N3099" i="11"/>
  <c r="M3100" i="11"/>
  <c r="D3100" i="11" l="1"/>
  <c r="C3100" i="11"/>
  <c r="R3100" i="11"/>
  <c r="S3100" i="11"/>
  <c r="N3100" i="11"/>
  <c r="M3101" i="11"/>
  <c r="D3101" i="11" l="1"/>
  <c r="C3101" i="11"/>
  <c r="R3101" i="11"/>
  <c r="S3101" i="11"/>
  <c r="N3101" i="11"/>
  <c r="M3102" i="11"/>
  <c r="D3102" i="11" l="1"/>
  <c r="C3102" i="11"/>
  <c r="R3102" i="11"/>
  <c r="S3102" i="11"/>
  <c r="N3102" i="11"/>
  <c r="M3103" i="11"/>
  <c r="D3103" i="11" l="1"/>
  <c r="C3103" i="11"/>
  <c r="R3103" i="11"/>
  <c r="S3103" i="11"/>
  <c r="N3103" i="11"/>
  <c r="M3104" i="11"/>
  <c r="D3104" i="11" l="1"/>
  <c r="C3104" i="11"/>
  <c r="R3104" i="11"/>
  <c r="S3104" i="11"/>
  <c r="N3104" i="11"/>
  <c r="M3105" i="11"/>
  <c r="D3105" i="11" l="1"/>
  <c r="C3105" i="11"/>
  <c r="R3105" i="11"/>
  <c r="S3105" i="11"/>
  <c r="N3105" i="11"/>
  <c r="M3106" i="11"/>
  <c r="D3106" i="11" l="1"/>
  <c r="C3106" i="11"/>
  <c r="R3106" i="11"/>
  <c r="S3106" i="11"/>
  <c r="N3106" i="11"/>
  <c r="M3107" i="11"/>
  <c r="D3107" i="11" l="1"/>
  <c r="C3107" i="11"/>
  <c r="R3107" i="11"/>
  <c r="S3107" i="11"/>
  <c r="N3107" i="11"/>
  <c r="M3108" i="11"/>
  <c r="D3108" i="11" l="1"/>
  <c r="C3108" i="11"/>
  <c r="R3108" i="11"/>
  <c r="S3108" i="11"/>
  <c r="N3108" i="11"/>
  <c r="M3109" i="11"/>
  <c r="D3109" i="11" l="1"/>
  <c r="C3109" i="11"/>
  <c r="R3109" i="11"/>
  <c r="S3109" i="11"/>
  <c r="N3109" i="11"/>
  <c r="M3110" i="11"/>
  <c r="D3110" i="11" l="1"/>
  <c r="C3110" i="11"/>
  <c r="R3110" i="11"/>
  <c r="S3110" i="11"/>
  <c r="N3110" i="11"/>
  <c r="M3111" i="11"/>
  <c r="D3111" i="11" l="1"/>
  <c r="C3111" i="11"/>
  <c r="R3111" i="11"/>
  <c r="S3111" i="11"/>
  <c r="N3111" i="11"/>
  <c r="M3112" i="11"/>
  <c r="D3112" i="11" l="1"/>
  <c r="C3112" i="11"/>
  <c r="R3112" i="11"/>
  <c r="S3112" i="11"/>
  <c r="N3112" i="11"/>
  <c r="M3113" i="11"/>
  <c r="D3113" i="11" l="1"/>
  <c r="C3113" i="11"/>
  <c r="R3113" i="11"/>
  <c r="S3113" i="11"/>
  <c r="N3113" i="11"/>
  <c r="M3114" i="11"/>
  <c r="D3114" i="11" l="1"/>
  <c r="C3114" i="11"/>
  <c r="R3114" i="11"/>
  <c r="S3114" i="11"/>
  <c r="N3114" i="11"/>
  <c r="M3115" i="11"/>
  <c r="D3115" i="11" l="1"/>
  <c r="C3115" i="11"/>
  <c r="R3115" i="11"/>
  <c r="S3115" i="11"/>
  <c r="N3115" i="11"/>
  <c r="M3116" i="11"/>
  <c r="D3116" i="11" l="1"/>
  <c r="C3116" i="11"/>
  <c r="R3116" i="11"/>
  <c r="S3116" i="11"/>
  <c r="N3116" i="11"/>
  <c r="M3117" i="11"/>
  <c r="D3117" i="11" l="1"/>
  <c r="C3117" i="11"/>
  <c r="R3117" i="11"/>
  <c r="S3117" i="11"/>
  <c r="N3117" i="11"/>
  <c r="M3118" i="11"/>
  <c r="D3118" i="11" l="1"/>
  <c r="C3118" i="11"/>
  <c r="R3118" i="11"/>
  <c r="S3118" i="11"/>
  <c r="N3118" i="11"/>
  <c r="M3119" i="11"/>
  <c r="D3119" i="11" l="1"/>
  <c r="C3119" i="11"/>
  <c r="R3119" i="11"/>
  <c r="S3119" i="11"/>
  <c r="N3119" i="11"/>
  <c r="M3120" i="11"/>
  <c r="D3120" i="11" l="1"/>
  <c r="C3120" i="11"/>
  <c r="R3120" i="11"/>
  <c r="S3120" i="11"/>
  <c r="N3120" i="11"/>
  <c r="M3121" i="11"/>
  <c r="D3121" i="11" l="1"/>
  <c r="C3121" i="11"/>
  <c r="R3121" i="11"/>
  <c r="S3121" i="11"/>
  <c r="N3121" i="11"/>
  <c r="M3122" i="11"/>
  <c r="D3122" i="11" l="1"/>
  <c r="C3122" i="11"/>
  <c r="R3122" i="11"/>
  <c r="S3122" i="11"/>
  <c r="N3122" i="11"/>
  <c r="M3123" i="11"/>
  <c r="D3123" i="11" l="1"/>
  <c r="C3123" i="11"/>
  <c r="R3123" i="11"/>
  <c r="S3123" i="11"/>
  <c r="N3123" i="11"/>
  <c r="M3124" i="11"/>
  <c r="D3124" i="11" l="1"/>
  <c r="C3124" i="11"/>
  <c r="R3124" i="11"/>
  <c r="S3124" i="11"/>
  <c r="N3124" i="11"/>
  <c r="M3125" i="11"/>
  <c r="D3125" i="11" l="1"/>
  <c r="C3125" i="11"/>
  <c r="R3125" i="11"/>
  <c r="S3125" i="11"/>
  <c r="N3125" i="11"/>
  <c r="M3126" i="11"/>
  <c r="D3126" i="11" l="1"/>
  <c r="C3126" i="11"/>
  <c r="R3126" i="11"/>
  <c r="S3126" i="11"/>
  <c r="N3126" i="11"/>
  <c r="M3127" i="11"/>
  <c r="D3127" i="11" l="1"/>
  <c r="C3127" i="11"/>
  <c r="R3127" i="11"/>
  <c r="S3127" i="11"/>
  <c r="N3127" i="11"/>
  <c r="M3128" i="11"/>
  <c r="D3128" i="11" l="1"/>
  <c r="C3128" i="11"/>
  <c r="R3128" i="11"/>
  <c r="S3128" i="11"/>
  <c r="N3128" i="11"/>
  <c r="M3129" i="11"/>
  <c r="D3129" i="11" l="1"/>
  <c r="C3129" i="11"/>
  <c r="R3129" i="11"/>
  <c r="S3129" i="11"/>
  <c r="N3129" i="11"/>
  <c r="M3130" i="11"/>
  <c r="D3130" i="11" l="1"/>
  <c r="C3130" i="11"/>
  <c r="R3130" i="11"/>
  <c r="S3130" i="11"/>
  <c r="N3130" i="11"/>
  <c r="M3131" i="11"/>
  <c r="D3131" i="11" l="1"/>
  <c r="C3131" i="11"/>
  <c r="R3131" i="11"/>
  <c r="S3131" i="11"/>
  <c r="N3131" i="11"/>
  <c r="M3132" i="11"/>
  <c r="D3132" i="11" l="1"/>
  <c r="C3132" i="11"/>
  <c r="R3132" i="11"/>
  <c r="S3132" i="11"/>
  <c r="N3132" i="11"/>
  <c r="M3133" i="11"/>
  <c r="D3133" i="11" l="1"/>
  <c r="C3133" i="11"/>
  <c r="R3133" i="11"/>
  <c r="S3133" i="11"/>
  <c r="N3133" i="11"/>
  <c r="M3134" i="11"/>
  <c r="D3134" i="11" l="1"/>
  <c r="C3134" i="11"/>
  <c r="R3134" i="11"/>
  <c r="S3134" i="11"/>
  <c r="N3134" i="11"/>
  <c r="M3135" i="11"/>
  <c r="D3135" i="11" l="1"/>
  <c r="C3135" i="11"/>
  <c r="R3135" i="11"/>
  <c r="S3135" i="11"/>
  <c r="N3135" i="11"/>
  <c r="M3136" i="11"/>
  <c r="D3136" i="11" l="1"/>
  <c r="C3136" i="11"/>
  <c r="R3136" i="11"/>
  <c r="S3136" i="11"/>
  <c r="N3136" i="11"/>
  <c r="M3137" i="11"/>
  <c r="D3137" i="11" l="1"/>
  <c r="C3137" i="11"/>
  <c r="R3137" i="11"/>
  <c r="S3137" i="11"/>
  <c r="N3137" i="11"/>
  <c r="M3138" i="11"/>
  <c r="D3138" i="11" l="1"/>
  <c r="C3138" i="11"/>
  <c r="R3138" i="11"/>
  <c r="S3138" i="11"/>
  <c r="N3138" i="11"/>
  <c r="M3139" i="11"/>
  <c r="D3139" i="11" l="1"/>
  <c r="C3139" i="11"/>
  <c r="R3139" i="11"/>
  <c r="S3139" i="11"/>
  <c r="N3139" i="11"/>
  <c r="M3140" i="11"/>
  <c r="D3140" i="11" l="1"/>
  <c r="C3140" i="11"/>
  <c r="R3140" i="11"/>
  <c r="S3140" i="11"/>
  <c r="N3140" i="11"/>
  <c r="M3141" i="11"/>
  <c r="D3141" i="11" l="1"/>
  <c r="C3141" i="11"/>
  <c r="R3141" i="11"/>
  <c r="S3141" i="11"/>
  <c r="N3141" i="11"/>
  <c r="M3142" i="11"/>
  <c r="D3142" i="11" l="1"/>
  <c r="C3142" i="11"/>
  <c r="R3142" i="11"/>
  <c r="S3142" i="11"/>
  <c r="N3142" i="11"/>
  <c r="M3143" i="11"/>
  <c r="D3143" i="11" l="1"/>
  <c r="C3143" i="11"/>
  <c r="R3143" i="11"/>
  <c r="S3143" i="11"/>
  <c r="N3143" i="11"/>
  <c r="M3144" i="11"/>
  <c r="D3144" i="11" l="1"/>
  <c r="C3144" i="11"/>
  <c r="R3144" i="11"/>
  <c r="S3144" i="11"/>
  <c r="N3144" i="11"/>
  <c r="M3145" i="11"/>
  <c r="D3145" i="11" l="1"/>
  <c r="C3145" i="11"/>
  <c r="R3145" i="11"/>
  <c r="S3145" i="11"/>
  <c r="N3145" i="11"/>
  <c r="M3146" i="11"/>
  <c r="D3146" i="11" l="1"/>
  <c r="C3146" i="11"/>
  <c r="R3146" i="11"/>
  <c r="S3146" i="11"/>
  <c r="N3146" i="11"/>
  <c r="M3147" i="11"/>
  <c r="D3147" i="11" l="1"/>
  <c r="C3147" i="11"/>
  <c r="R3147" i="11"/>
  <c r="S3147" i="11"/>
  <c r="N3147" i="11"/>
  <c r="M3148" i="11"/>
  <c r="D3148" i="11" l="1"/>
  <c r="C3148" i="11"/>
  <c r="R3148" i="11"/>
  <c r="S3148" i="11"/>
  <c r="N3148" i="11"/>
  <c r="M3149" i="11"/>
  <c r="D3149" i="11" l="1"/>
  <c r="C3149" i="11"/>
  <c r="R3149" i="11"/>
  <c r="S3149" i="11"/>
  <c r="N3149" i="11"/>
  <c r="M3150" i="11"/>
  <c r="D3150" i="11" l="1"/>
  <c r="C3150" i="11"/>
  <c r="R3150" i="11"/>
  <c r="S3150" i="11"/>
  <c r="N3150" i="11"/>
  <c r="M3151" i="11"/>
  <c r="D3151" i="11" l="1"/>
  <c r="C3151" i="11"/>
  <c r="R3151" i="11"/>
  <c r="S3151" i="11"/>
  <c r="N3151" i="11"/>
  <c r="M3152" i="11"/>
  <c r="D3152" i="11" l="1"/>
  <c r="C3152" i="11"/>
  <c r="R3152" i="11"/>
  <c r="S3152" i="11"/>
  <c r="N3152" i="11"/>
  <c r="M3153" i="11"/>
  <c r="D3153" i="11" l="1"/>
  <c r="C3153" i="11"/>
  <c r="R3153" i="11"/>
  <c r="S3153" i="11"/>
  <c r="N3153" i="11"/>
  <c r="M3154" i="11"/>
  <c r="D3154" i="11" l="1"/>
  <c r="C3154" i="11"/>
  <c r="R3154" i="11"/>
  <c r="S3154" i="11"/>
  <c r="N3154" i="11"/>
  <c r="M3155" i="11"/>
  <c r="D3155" i="11" l="1"/>
  <c r="C3155" i="11"/>
  <c r="R3155" i="11"/>
  <c r="S3155" i="11"/>
  <c r="N3155" i="11"/>
  <c r="M3156" i="11"/>
  <c r="D3156" i="11" l="1"/>
  <c r="C3156" i="11"/>
  <c r="R3156" i="11"/>
  <c r="S3156" i="11"/>
  <c r="N3156" i="11"/>
  <c r="M3157" i="11"/>
  <c r="D3157" i="11" l="1"/>
  <c r="C3157" i="11"/>
  <c r="R3157" i="11"/>
  <c r="S3157" i="11"/>
  <c r="N3157" i="11"/>
  <c r="M3158" i="11"/>
  <c r="D3158" i="11" l="1"/>
  <c r="C3158" i="11"/>
  <c r="R3158" i="11"/>
  <c r="S3158" i="11"/>
  <c r="N3158" i="11"/>
  <c r="M3159" i="11"/>
  <c r="D3159" i="11" l="1"/>
  <c r="C3159" i="11"/>
  <c r="R3159" i="11"/>
  <c r="S3159" i="11"/>
  <c r="N3159" i="11"/>
  <c r="M3160" i="11"/>
  <c r="D3160" i="11" l="1"/>
  <c r="C3160" i="11"/>
  <c r="R3160" i="11"/>
  <c r="S3160" i="11"/>
  <c r="N3160" i="11"/>
  <c r="M3161" i="11"/>
  <c r="D3161" i="11" l="1"/>
  <c r="C3161" i="11"/>
  <c r="R3161" i="11"/>
  <c r="S3161" i="11"/>
  <c r="N3161" i="11"/>
  <c r="M3162" i="11"/>
  <c r="D3162" i="11" l="1"/>
  <c r="C3162" i="11"/>
  <c r="R3162" i="11"/>
  <c r="S3162" i="11"/>
  <c r="N3162" i="11"/>
  <c r="M3163" i="11"/>
  <c r="D3163" i="11" l="1"/>
  <c r="C3163" i="11"/>
  <c r="R3163" i="11"/>
  <c r="S3163" i="11"/>
  <c r="N3163" i="11"/>
  <c r="M3164" i="11"/>
  <c r="D3164" i="11" l="1"/>
  <c r="C3164" i="11"/>
  <c r="R3164" i="11"/>
  <c r="S3164" i="11"/>
  <c r="N3164" i="11"/>
  <c r="M3165" i="11"/>
  <c r="D3165" i="11" l="1"/>
  <c r="C3165" i="11"/>
  <c r="R3165" i="11"/>
  <c r="S3165" i="11"/>
  <c r="N3165" i="11"/>
  <c r="M3166" i="11"/>
  <c r="D3166" i="11" l="1"/>
  <c r="C3166" i="11"/>
  <c r="R3166" i="11"/>
  <c r="S3166" i="11"/>
  <c r="N3166" i="11"/>
  <c r="M3167" i="11"/>
  <c r="D3167" i="11" l="1"/>
  <c r="C3167" i="11"/>
  <c r="R3167" i="11"/>
  <c r="S3167" i="11"/>
  <c r="N3167" i="11"/>
  <c r="M3168" i="11"/>
  <c r="D3168" i="11" l="1"/>
  <c r="C3168" i="11"/>
  <c r="R3168" i="11"/>
  <c r="S3168" i="11"/>
  <c r="N3168" i="11"/>
  <c r="M3169" i="11"/>
  <c r="D3169" i="11" l="1"/>
  <c r="C3169" i="11"/>
  <c r="R3169" i="11"/>
  <c r="S3169" i="11"/>
  <c r="N3169" i="11"/>
  <c r="M3170" i="11"/>
  <c r="D3170" i="11" l="1"/>
  <c r="C3170" i="11"/>
  <c r="R3170" i="11"/>
  <c r="S3170" i="11"/>
  <c r="N3170" i="11"/>
  <c r="M3171" i="11"/>
  <c r="D3171" i="11" l="1"/>
  <c r="C3171" i="11"/>
  <c r="R3171" i="11"/>
  <c r="S3171" i="11"/>
  <c r="N3171" i="11"/>
  <c r="M3172" i="11"/>
  <c r="D3172" i="11" l="1"/>
  <c r="C3172" i="11"/>
  <c r="R3172" i="11"/>
  <c r="S3172" i="11"/>
  <c r="N3172" i="11"/>
  <c r="M3173" i="11"/>
  <c r="D3173" i="11" l="1"/>
  <c r="C3173" i="11"/>
  <c r="R3173" i="11"/>
  <c r="S3173" i="11"/>
  <c r="N3173" i="11"/>
  <c r="M3174" i="11"/>
  <c r="D3174" i="11" l="1"/>
  <c r="C3174" i="11"/>
  <c r="R3174" i="11"/>
  <c r="S3174" i="11"/>
  <c r="N3174" i="11"/>
  <c r="M3175" i="11"/>
  <c r="D3175" i="11" l="1"/>
  <c r="C3175" i="11"/>
  <c r="R3175" i="11"/>
  <c r="S3175" i="11"/>
  <c r="N3175" i="11"/>
  <c r="M3176" i="11"/>
  <c r="D3176" i="11" l="1"/>
  <c r="C3176" i="11"/>
  <c r="R3176" i="11"/>
  <c r="S3176" i="11"/>
  <c r="N3176" i="11"/>
  <c r="M3177" i="11"/>
  <c r="D3177" i="11" l="1"/>
  <c r="C3177" i="11"/>
  <c r="R3177" i="11"/>
  <c r="S3177" i="11"/>
  <c r="N3177" i="11"/>
  <c r="M3178" i="11"/>
  <c r="D3178" i="11" l="1"/>
  <c r="C3178" i="11"/>
  <c r="R3178" i="11"/>
  <c r="S3178" i="11"/>
  <c r="N3178" i="11"/>
  <c r="M3179" i="11"/>
  <c r="D3179" i="11" l="1"/>
  <c r="C3179" i="11"/>
  <c r="R3179" i="11"/>
  <c r="S3179" i="11"/>
  <c r="N3179" i="11"/>
  <c r="M3180" i="11"/>
  <c r="D3180" i="11" l="1"/>
  <c r="C3180" i="11"/>
  <c r="R3180" i="11"/>
  <c r="S3180" i="11"/>
  <c r="N3180" i="11"/>
  <c r="M3181" i="11"/>
  <c r="D3181" i="11" l="1"/>
  <c r="C3181" i="11"/>
  <c r="R3181" i="11"/>
  <c r="S3181" i="11"/>
  <c r="N3181" i="11"/>
  <c r="M3182" i="11"/>
  <c r="D3182" i="11" l="1"/>
  <c r="C3182" i="11"/>
  <c r="R3182" i="11"/>
  <c r="S3182" i="11"/>
  <c r="N3182" i="11"/>
  <c r="M3183" i="11"/>
  <c r="D3183" i="11" l="1"/>
  <c r="C3183" i="11"/>
  <c r="R3183" i="11"/>
  <c r="S3183" i="11"/>
  <c r="N3183" i="11"/>
  <c r="M3184" i="11"/>
  <c r="D3184" i="11" l="1"/>
  <c r="C3184" i="11"/>
  <c r="R3184" i="11"/>
  <c r="S3184" i="11"/>
  <c r="N3184" i="11"/>
  <c r="M3185" i="11"/>
  <c r="D3185" i="11" l="1"/>
  <c r="C3185" i="11"/>
  <c r="R3185" i="11"/>
  <c r="S3185" i="11"/>
  <c r="N3185" i="11"/>
  <c r="M3186" i="11"/>
  <c r="D3186" i="11" l="1"/>
  <c r="C3186" i="11"/>
  <c r="R3186" i="11"/>
  <c r="S3186" i="11"/>
  <c r="N3186" i="11"/>
  <c r="M3187" i="11"/>
  <c r="D3187" i="11" l="1"/>
  <c r="C3187" i="11"/>
  <c r="R3187" i="11"/>
  <c r="S3187" i="11"/>
  <c r="N3187" i="11"/>
  <c r="M3188" i="11"/>
  <c r="D3188" i="11" l="1"/>
  <c r="C3188" i="11"/>
  <c r="R3188" i="11"/>
  <c r="S3188" i="11"/>
  <c r="N3188" i="11"/>
  <c r="M3189" i="11"/>
  <c r="D3189" i="11" l="1"/>
  <c r="C3189" i="11"/>
  <c r="R3189" i="11"/>
  <c r="S3189" i="11"/>
  <c r="N3189" i="11"/>
  <c r="M3190" i="11"/>
  <c r="D3190" i="11" l="1"/>
  <c r="C3190" i="11"/>
  <c r="R3190" i="11"/>
  <c r="S3190" i="11"/>
  <c r="N3190" i="11"/>
  <c r="M3191" i="11"/>
  <c r="D3191" i="11" l="1"/>
  <c r="C3191" i="11"/>
  <c r="R3191" i="11"/>
  <c r="S3191" i="11"/>
  <c r="N3191" i="11"/>
  <c r="M3192" i="11"/>
  <c r="D3192" i="11" l="1"/>
  <c r="C3192" i="11"/>
  <c r="R3192" i="11"/>
  <c r="S3192" i="11"/>
  <c r="N3192" i="11"/>
  <c r="M3193" i="11"/>
  <c r="D3193" i="11" l="1"/>
  <c r="C3193" i="11"/>
  <c r="R3193" i="11"/>
  <c r="S3193" i="11"/>
  <c r="N3193" i="11"/>
  <c r="M3194" i="11"/>
  <c r="D3194" i="11" l="1"/>
  <c r="C3194" i="11"/>
  <c r="R3194" i="11"/>
  <c r="S3194" i="11"/>
  <c r="N3194" i="11"/>
  <c r="M3195" i="11"/>
  <c r="D3195" i="11" l="1"/>
  <c r="C3195" i="11"/>
  <c r="R3195" i="11"/>
  <c r="S3195" i="11"/>
  <c r="N3195" i="11"/>
  <c r="M3196" i="11"/>
  <c r="D3196" i="11" l="1"/>
  <c r="C3196" i="11"/>
  <c r="R3196" i="11"/>
  <c r="S3196" i="11"/>
  <c r="N3196" i="11"/>
  <c r="M3197" i="11"/>
  <c r="D3197" i="11" l="1"/>
  <c r="C3197" i="11"/>
  <c r="R3197" i="11"/>
  <c r="S3197" i="11"/>
  <c r="N3197" i="11"/>
  <c r="M3198" i="11"/>
  <c r="D3198" i="11" l="1"/>
  <c r="C3198" i="11"/>
  <c r="R3198" i="11"/>
  <c r="S3198" i="11"/>
  <c r="N3198" i="11"/>
  <c r="M3199" i="11"/>
  <c r="D3199" i="11" l="1"/>
  <c r="C3199" i="11"/>
  <c r="R3199" i="11"/>
  <c r="S3199" i="11"/>
  <c r="N3199" i="11"/>
  <c r="M3200" i="11"/>
  <c r="D3200" i="11" l="1"/>
  <c r="C3200" i="11"/>
  <c r="R3200" i="11"/>
  <c r="S3200" i="11"/>
  <c r="N3200" i="11"/>
  <c r="M3201" i="11"/>
  <c r="D3201" i="11" l="1"/>
  <c r="C3201" i="11"/>
  <c r="R3201" i="11"/>
  <c r="S3201" i="11"/>
  <c r="N3201" i="11"/>
  <c r="M3202" i="11"/>
  <c r="D3202" i="11" l="1"/>
  <c r="C3202" i="11"/>
  <c r="R3202" i="11"/>
  <c r="S3202" i="11"/>
  <c r="N3202" i="11"/>
  <c r="M3203" i="11"/>
  <c r="D3203" i="11" l="1"/>
  <c r="C3203" i="11"/>
  <c r="R3203" i="11"/>
  <c r="S3203" i="11"/>
  <c r="N3203" i="11"/>
  <c r="M3204" i="11"/>
  <c r="D3204" i="11" l="1"/>
  <c r="C3204" i="11"/>
  <c r="R3204" i="11"/>
  <c r="S3204" i="11"/>
  <c r="N3204" i="11"/>
  <c r="M3205" i="11"/>
  <c r="D3205" i="11" l="1"/>
  <c r="C3205" i="11"/>
  <c r="R3205" i="11"/>
  <c r="S3205" i="11"/>
  <c r="N3205" i="11"/>
  <c r="M3206" i="11"/>
  <c r="D3206" i="11" l="1"/>
  <c r="C3206" i="11"/>
  <c r="R3206" i="11"/>
  <c r="S3206" i="11"/>
  <c r="N3206" i="11"/>
  <c r="M3207" i="11"/>
  <c r="D3207" i="11" l="1"/>
  <c r="C3207" i="11"/>
  <c r="R3207" i="11"/>
  <c r="S3207" i="11"/>
  <c r="N3207" i="11"/>
  <c r="M3208" i="11"/>
  <c r="D3208" i="11" l="1"/>
  <c r="C3208" i="11"/>
  <c r="R3208" i="11"/>
  <c r="S3208" i="11"/>
  <c r="N3208" i="11"/>
  <c r="M3209" i="11"/>
  <c r="D3209" i="11" l="1"/>
  <c r="C3209" i="11"/>
  <c r="R3209" i="11"/>
  <c r="S3209" i="11"/>
  <c r="N3209" i="11"/>
  <c r="M3210" i="11"/>
  <c r="D3210" i="11" l="1"/>
  <c r="C3210" i="11"/>
  <c r="R3210" i="11"/>
  <c r="S3210" i="11"/>
  <c r="N3210" i="11"/>
  <c r="M3211" i="11"/>
  <c r="D3211" i="11" l="1"/>
  <c r="C3211" i="11"/>
  <c r="R3211" i="11"/>
  <c r="S3211" i="11"/>
  <c r="N3211" i="11"/>
  <c r="M3212" i="11"/>
  <c r="D3212" i="11" l="1"/>
  <c r="C3212" i="11"/>
  <c r="R3212" i="11"/>
  <c r="S3212" i="11"/>
  <c r="N3212" i="11"/>
  <c r="M3213" i="11"/>
  <c r="D3213" i="11" l="1"/>
  <c r="C3213" i="11"/>
  <c r="R3213" i="11"/>
  <c r="S3213" i="11"/>
  <c r="N3213" i="11"/>
  <c r="M3214" i="11"/>
  <c r="D3214" i="11" l="1"/>
  <c r="C3214" i="11"/>
  <c r="R3214" i="11"/>
  <c r="S3214" i="11"/>
  <c r="N3214" i="11"/>
  <c r="M3215" i="11"/>
  <c r="D3215" i="11" l="1"/>
  <c r="C3215" i="11"/>
  <c r="R3215" i="11"/>
  <c r="S3215" i="11"/>
  <c r="N3215" i="11"/>
  <c r="M3216" i="11"/>
  <c r="D3216" i="11" l="1"/>
  <c r="C3216" i="11"/>
  <c r="R3216" i="11"/>
  <c r="S3216" i="11"/>
  <c r="N3216" i="11"/>
  <c r="M3217" i="11"/>
  <c r="D3217" i="11" l="1"/>
  <c r="C3217" i="11"/>
  <c r="R3217" i="11"/>
  <c r="S3217" i="11"/>
  <c r="N3217" i="11"/>
  <c r="M3218" i="11"/>
  <c r="D3218" i="11" l="1"/>
  <c r="C3218" i="11"/>
  <c r="R3218" i="11"/>
  <c r="S3218" i="11"/>
  <c r="N3218" i="11"/>
  <c r="M3219" i="11"/>
  <c r="D3219" i="11" l="1"/>
  <c r="C3219" i="11"/>
  <c r="R3219" i="11"/>
  <c r="S3219" i="11"/>
  <c r="N3219" i="11"/>
  <c r="M3220" i="11"/>
  <c r="D3220" i="11" l="1"/>
  <c r="C3220" i="11"/>
  <c r="R3220" i="11"/>
  <c r="S3220" i="11"/>
  <c r="N3220" i="11"/>
  <c r="M3221" i="11"/>
  <c r="D3221" i="11" l="1"/>
  <c r="C3221" i="11"/>
  <c r="R3221" i="11"/>
  <c r="S3221" i="11"/>
  <c r="N3221" i="11"/>
  <c r="M3222" i="11"/>
  <c r="D3222" i="11" l="1"/>
  <c r="C3222" i="11"/>
  <c r="R3222" i="11"/>
  <c r="S3222" i="11"/>
  <c r="N3222" i="11"/>
  <c r="M3223" i="11"/>
  <c r="D3223" i="11" l="1"/>
  <c r="C3223" i="11"/>
  <c r="R3223" i="11"/>
  <c r="S3223" i="11"/>
  <c r="N3223" i="11"/>
  <c r="M3224" i="11"/>
  <c r="D3224" i="11" l="1"/>
  <c r="C3224" i="11"/>
  <c r="R3224" i="11"/>
  <c r="S3224" i="11"/>
  <c r="N3224" i="11"/>
  <c r="M3225" i="11"/>
  <c r="D3225" i="11" l="1"/>
  <c r="C3225" i="11"/>
  <c r="R3225" i="11"/>
  <c r="S3225" i="11"/>
  <c r="N3225" i="11"/>
  <c r="M3226" i="11"/>
  <c r="D3226" i="11" l="1"/>
  <c r="C3226" i="11"/>
  <c r="R3226" i="11"/>
  <c r="S3226" i="11"/>
  <c r="N3226" i="11"/>
  <c r="M3227" i="11"/>
  <c r="D3227" i="11" l="1"/>
  <c r="C3227" i="11"/>
  <c r="R3227" i="11"/>
  <c r="S3227" i="11"/>
  <c r="N3227" i="11"/>
  <c r="M3228" i="11"/>
  <c r="D3228" i="11" l="1"/>
  <c r="C3228" i="11"/>
  <c r="R3228" i="11"/>
  <c r="S3228" i="11"/>
  <c r="N3228" i="11"/>
  <c r="M3229" i="11"/>
  <c r="D3229" i="11" l="1"/>
  <c r="C3229" i="11"/>
  <c r="R3229" i="11"/>
  <c r="S3229" i="11"/>
  <c r="N3229" i="11"/>
  <c r="M3230" i="11"/>
  <c r="D3230" i="11" l="1"/>
  <c r="C3230" i="11"/>
  <c r="R3230" i="11"/>
  <c r="S3230" i="11"/>
  <c r="N3230" i="11"/>
  <c r="M3231" i="11"/>
  <c r="D3231" i="11" l="1"/>
  <c r="C3231" i="11"/>
  <c r="R3231" i="11"/>
  <c r="S3231" i="11"/>
  <c r="N3231" i="11"/>
  <c r="M3232" i="11"/>
  <c r="D3232" i="11" l="1"/>
  <c r="C3232" i="11"/>
  <c r="R3232" i="11"/>
  <c r="S3232" i="11"/>
  <c r="N3232" i="11"/>
  <c r="M3233" i="11"/>
  <c r="D3233" i="11" l="1"/>
  <c r="C3233" i="11"/>
  <c r="R3233" i="11"/>
  <c r="S3233" i="11"/>
  <c r="N3233" i="11"/>
  <c r="M3234" i="11"/>
  <c r="D3234" i="11" l="1"/>
  <c r="C3234" i="11"/>
  <c r="R3234" i="11"/>
  <c r="S3234" i="11"/>
  <c r="N3234" i="11"/>
  <c r="M3235" i="11"/>
  <c r="D3235" i="11" l="1"/>
  <c r="C3235" i="11"/>
  <c r="R3235" i="11"/>
  <c r="S3235" i="11"/>
  <c r="N3235" i="11"/>
  <c r="M3236" i="11"/>
  <c r="D3236" i="11" l="1"/>
  <c r="C3236" i="11"/>
  <c r="R3236" i="11"/>
  <c r="S3236" i="11"/>
  <c r="N3236" i="11"/>
  <c r="M3237" i="11"/>
  <c r="D3237" i="11" l="1"/>
  <c r="C3237" i="11"/>
  <c r="R3237" i="11"/>
  <c r="S3237" i="11"/>
  <c r="N3237" i="11"/>
  <c r="M3238" i="11"/>
  <c r="D3238" i="11" l="1"/>
  <c r="C3238" i="11"/>
  <c r="R3238" i="11"/>
  <c r="S3238" i="11"/>
  <c r="N3238" i="11"/>
  <c r="M3239" i="11"/>
  <c r="D3239" i="11" l="1"/>
  <c r="C3239" i="11"/>
  <c r="R3239" i="11"/>
  <c r="S3239" i="11"/>
  <c r="N3239" i="11"/>
  <c r="M3240" i="11"/>
  <c r="D3240" i="11" l="1"/>
  <c r="C3240" i="11"/>
  <c r="R3240" i="11"/>
  <c r="S3240" i="11"/>
  <c r="N3240" i="11"/>
  <c r="M3241" i="11"/>
  <c r="D3241" i="11" l="1"/>
  <c r="C3241" i="11"/>
  <c r="R3241" i="11"/>
  <c r="S3241" i="11"/>
  <c r="N3241" i="11"/>
  <c r="M3242" i="11"/>
  <c r="D3242" i="11" l="1"/>
  <c r="C3242" i="11"/>
  <c r="R3242" i="11"/>
  <c r="S3242" i="11"/>
  <c r="N3242" i="11"/>
  <c r="M3243" i="11"/>
  <c r="D3243" i="11" l="1"/>
  <c r="C3243" i="11"/>
  <c r="R3243" i="11"/>
  <c r="S3243" i="11"/>
  <c r="N3243" i="11"/>
  <c r="M3244" i="11"/>
  <c r="D3244" i="11" l="1"/>
  <c r="C3244" i="11"/>
  <c r="R3244" i="11"/>
  <c r="S3244" i="11"/>
  <c r="N3244" i="11"/>
  <c r="M3245" i="11"/>
  <c r="D3245" i="11" l="1"/>
  <c r="C3245" i="11"/>
  <c r="R3245" i="11"/>
  <c r="S3245" i="11"/>
  <c r="N3245" i="11"/>
  <c r="M3246" i="11"/>
  <c r="D3246" i="11" l="1"/>
  <c r="C3246" i="11"/>
  <c r="R3246" i="11"/>
  <c r="S3246" i="11"/>
  <c r="N3246" i="11"/>
  <c r="M3247" i="11"/>
  <c r="D3247" i="11" l="1"/>
  <c r="C3247" i="11"/>
  <c r="R3247" i="11"/>
  <c r="S3247" i="11"/>
  <c r="N3247" i="11"/>
  <c r="M3248" i="11"/>
  <c r="D3248" i="11" l="1"/>
  <c r="C3248" i="11"/>
  <c r="R3248" i="11"/>
  <c r="S3248" i="11"/>
  <c r="N3248" i="11"/>
  <c r="M3249" i="11"/>
  <c r="D3249" i="11" l="1"/>
  <c r="C3249" i="11"/>
  <c r="R3249" i="11"/>
  <c r="S3249" i="11"/>
  <c r="N3249" i="11"/>
  <c r="M3250" i="11"/>
  <c r="D3250" i="11" l="1"/>
  <c r="C3250" i="11"/>
  <c r="R3250" i="11"/>
  <c r="S3250" i="11"/>
  <c r="N3250" i="11"/>
  <c r="M3251" i="11"/>
  <c r="D3251" i="11" l="1"/>
  <c r="C3251" i="11"/>
  <c r="R3251" i="11"/>
  <c r="S3251" i="11"/>
  <c r="N3251" i="11"/>
  <c r="M3252" i="11"/>
  <c r="D3252" i="11" l="1"/>
  <c r="C3252" i="11"/>
  <c r="R3252" i="11"/>
  <c r="S3252" i="11"/>
  <c r="N3252" i="11"/>
  <c r="M3253" i="11"/>
  <c r="D3253" i="11" l="1"/>
  <c r="C3253" i="11"/>
  <c r="R3253" i="11"/>
  <c r="S3253" i="11"/>
  <c r="N3253" i="11"/>
  <c r="M3254" i="11"/>
  <c r="D3254" i="11" l="1"/>
  <c r="C3254" i="11"/>
  <c r="R3254" i="11"/>
  <c r="S3254" i="11"/>
  <c r="N3254" i="11"/>
  <c r="M3255" i="11"/>
  <c r="D3255" i="11" l="1"/>
  <c r="C3255" i="11"/>
  <c r="R3255" i="11"/>
  <c r="S3255" i="11"/>
  <c r="N3255" i="11"/>
  <c r="M3256" i="11"/>
  <c r="D3256" i="11" l="1"/>
  <c r="C3256" i="11"/>
  <c r="R3256" i="11"/>
  <c r="S3256" i="11"/>
  <c r="N3256" i="11"/>
  <c r="M3257" i="11"/>
  <c r="D3257" i="11" l="1"/>
  <c r="C3257" i="11"/>
  <c r="R3257" i="11"/>
  <c r="S3257" i="11"/>
  <c r="N3257" i="11"/>
  <c r="M3258" i="11"/>
  <c r="D3258" i="11" l="1"/>
  <c r="C3258" i="11"/>
  <c r="R3258" i="11"/>
  <c r="S3258" i="11"/>
  <c r="N3258" i="11"/>
  <c r="M3259" i="11"/>
  <c r="D3259" i="11" l="1"/>
  <c r="C3259" i="11"/>
  <c r="R3259" i="11"/>
  <c r="S3259" i="11"/>
  <c r="N3259" i="11"/>
  <c r="M3260" i="11"/>
  <c r="D3260" i="11" l="1"/>
  <c r="C3260" i="11"/>
  <c r="R3260" i="11"/>
  <c r="S3260" i="11"/>
  <c r="N3260" i="11"/>
  <c r="M3261" i="11"/>
  <c r="D3261" i="11" l="1"/>
  <c r="C3261" i="11"/>
  <c r="R3261" i="11"/>
  <c r="S3261" i="11"/>
  <c r="N3261" i="11"/>
  <c r="M3262" i="11"/>
  <c r="D3262" i="11" l="1"/>
  <c r="C3262" i="11"/>
  <c r="R3262" i="11"/>
  <c r="S3262" i="11"/>
  <c r="N3262" i="11"/>
  <c r="M3263" i="11"/>
  <c r="D3263" i="11" l="1"/>
  <c r="C3263" i="11"/>
  <c r="R3263" i="11"/>
  <c r="S3263" i="11"/>
  <c r="N3263" i="11"/>
  <c r="M3264" i="11"/>
  <c r="D3264" i="11" l="1"/>
  <c r="C3264" i="11"/>
  <c r="R3264" i="11"/>
  <c r="S3264" i="11"/>
  <c r="N3264" i="11"/>
  <c r="M3265" i="11"/>
  <c r="D3265" i="11" l="1"/>
  <c r="C3265" i="11"/>
  <c r="R3265" i="11"/>
  <c r="S3265" i="11"/>
  <c r="N3265" i="11"/>
  <c r="M3266" i="11"/>
  <c r="D3266" i="11" l="1"/>
  <c r="C3266" i="11"/>
  <c r="R3266" i="11"/>
  <c r="S3266" i="11"/>
  <c r="N3266" i="11"/>
  <c r="M3267" i="11"/>
  <c r="D3267" i="11" l="1"/>
  <c r="C3267" i="11"/>
  <c r="R3267" i="11"/>
  <c r="S3267" i="11"/>
  <c r="N3267" i="11"/>
  <c r="M3268" i="11"/>
  <c r="D3268" i="11" l="1"/>
  <c r="C3268" i="11"/>
  <c r="R3268" i="11"/>
  <c r="S3268" i="11"/>
  <c r="N3268" i="11"/>
  <c r="M3269" i="11"/>
  <c r="D3269" i="11" l="1"/>
  <c r="C3269" i="11"/>
  <c r="R3269" i="11"/>
  <c r="S3269" i="11"/>
  <c r="N3269" i="11"/>
  <c r="M3270" i="11"/>
  <c r="D3270" i="11" l="1"/>
  <c r="C3270" i="11"/>
  <c r="R3270" i="11"/>
  <c r="S3270" i="11"/>
  <c r="N3270" i="11"/>
  <c r="M3271" i="11"/>
  <c r="D3271" i="11" l="1"/>
  <c r="C3271" i="11"/>
  <c r="R3271" i="11"/>
  <c r="S3271" i="11"/>
  <c r="N3271" i="11"/>
  <c r="M3272" i="11"/>
  <c r="D3272" i="11" l="1"/>
  <c r="C3272" i="11"/>
  <c r="R3272" i="11"/>
  <c r="S3272" i="11"/>
  <c r="N3272" i="11"/>
  <c r="M3273" i="11"/>
  <c r="D3273" i="11" l="1"/>
  <c r="C3273" i="11"/>
  <c r="R3273" i="11"/>
  <c r="S3273" i="11"/>
  <c r="N3273" i="11"/>
  <c r="M3274" i="11"/>
  <c r="D3274" i="11" l="1"/>
  <c r="C3274" i="11"/>
  <c r="R3274" i="11"/>
  <c r="S3274" i="11"/>
  <c r="N3274" i="11"/>
  <c r="M3275" i="11"/>
  <c r="D3275" i="11" l="1"/>
  <c r="C3275" i="11"/>
  <c r="R3275" i="11"/>
  <c r="S3275" i="11"/>
  <c r="N3275" i="11"/>
  <c r="M3276" i="11"/>
  <c r="D3276" i="11" l="1"/>
  <c r="C3276" i="11"/>
  <c r="R3276" i="11"/>
  <c r="S3276" i="11"/>
  <c r="N3276" i="11"/>
  <c r="M3277" i="11"/>
  <c r="D3277" i="11" l="1"/>
  <c r="C3277" i="11"/>
  <c r="R3277" i="11"/>
  <c r="S3277" i="11"/>
  <c r="N3277" i="11"/>
  <c r="M3278" i="11"/>
  <c r="D3278" i="11" l="1"/>
  <c r="C3278" i="11"/>
  <c r="R3278" i="11"/>
  <c r="S3278" i="11"/>
  <c r="N3278" i="11"/>
  <c r="M3279" i="11"/>
  <c r="D3279" i="11" l="1"/>
  <c r="C3279" i="11"/>
  <c r="R3279" i="11"/>
  <c r="S3279" i="11"/>
  <c r="N3279" i="11"/>
  <c r="M3280" i="11"/>
  <c r="D3280" i="11" l="1"/>
  <c r="C3280" i="11"/>
  <c r="R3280" i="11"/>
  <c r="S3280" i="11"/>
  <c r="N3280" i="11"/>
  <c r="M3281" i="11"/>
  <c r="D3281" i="11" l="1"/>
  <c r="C3281" i="11"/>
  <c r="R3281" i="11"/>
  <c r="S3281" i="11"/>
  <c r="N3281" i="11"/>
  <c r="M3282" i="11"/>
  <c r="D3282" i="11" l="1"/>
  <c r="C3282" i="11"/>
  <c r="R3282" i="11"/>
  <c r="S3282" i="11"/>
  <c r="N3282" i="11"/>
  <c r="M3283" i="11"/>
  <c r="D3283" i="11" l="1"/>
  <c r="C3283" i="11"/>
  <c r="R3283" i="11"/>
  <c r="S3283" i="11"/>
  <c r="N3283" i="11"/>
  <c r="M3284" i="11"/>
  <c r="D3284" i="11" l="1"/>
  <c r="C3284" i="11"/>
  <c r="R3284" i="11"/>
  <c r="S3284" i="11"/>
  <c r="N3284" i="11"/>
  <c r="M3285" i="11"/>
  <c r="D3285" i="11" l="1"/>
  <c r="C3285" i="11"/>
  <c r="R3285" i="11"/>
  <c r="S3285" i="11"/>
  <c r="N3285" i="11"/>
  <c r="M3286" i="11"/>
  <c r="D3286" i="11" l="1"/>
  <c r="C3286" i="11"/>
  <c r="R3286" i="11"/>
  <c r="S3286" i="11"/>
  <c r="N3286" i="11"/>
  <c r="M3287" i="11"/>
  <c r="D3287" i="11" l="1"/>
  <c r="C3287" i="11"/>
  <c r="R3287" i="11"/>
  <c r="S3287" i="11"/>
  <c r="N3287" i="11"/>
  <c r="M3288" i="11"/>
  <c r="D3288" i="11" l="1"/>
  <c r="C3288" i="11"/>
  <c r="R3288" i="11"/>
  <c r="S3288" i="11"/>
  <c r="N3288" i="11"/>
  <c r="M3289" i="11"/>
  <c r="D3289" i="11" l="1"/>
  <c r="C3289" i="11"/>
  <c r="R3289" i="11"/>
  <c r="S3289" i="11"/>
  <c r="N3289" i="11"/>
  <c r="M3290" i="11"/>
  <c r="D3290" i="11" l="1"/>
  <c r="C3290" i="11"/>
  <c r="R3290" i="11"/>
  <c r="S3290" i="11"/>
  <c r="N3290" i="11"/>
  <c r="M3291" i="11"/>
  <c r="D3291" i="11" l="1"/>
  <c r="C3291" i="11"/>
  <c r="R3291" i="11"/>
  <c r="S3291" i="11"/>
  <c r="N3291" i="11"/>
  <c r="M3292" i="11"/>
  <c r="D3292" i="11" l="1"/>
  <c r="C3292" i="11"/>
  <c r="R3292" i="11"/>
  <c r="S3292" i="11"/>
  <c r="N3292" i="11"/>
  <c r="M3293" i="11"/>
  <c r="D3293" i="11" l="1"/>
  <c r="C3293" i="11"/>
  <c r="R3293" i="11"/>
  <c r="S3293" i="11"/>
  <c r="N3293" i="11"/>
  <c r="M3294" i="11"/>
  <c r="D3294" i="11" l="1"/>
  <c r="C3294" i="11"/>
  <c r="R3294" i="11"/>
  <c r="S3294" i="11"/>
  <c r="N3294" i="11"/>
  <c r="M3295" i="11"/>
  <c r="D3295" i="11" l="1"/>
  <c r="C3295" i="11"/>
  <c r="R3295" i="11"/>
  <c r="S3295" i="11"/>
  <c r="N3295" i="11"/>
  <c r="M3296" i="11"/>
  <c r="D3296" i="11" l="1"/>
  <c r="C3296" i="11"/>
  <c r="R3296" i="11"/>
  <c r="S3296" i="11"/>
  <c r="N3296" i="11"/>
  <c r="M3297" i="11"/>
  <c r="D3297" i="11" l="1"/>
  <c r="C3297" i="11"/>
  <c r="R3297" i="11"/>
  <c r="S3297" i="11"/>
  <c r="N3297" i="11"/>
  <c r="M3298" i="11"/>
  <c r="D3298" i="11" l="1"/>
  <c r="C3298" i="11"/>
  <c r="R3298" i="11"/>
  <c r="S3298" i="11"/>
  <c r="N3298" i="11"/>
  <c r="M3299" i="11"/>
  <c r="D3299" i="11" l="1"/>
  <c r="C3299" i="11"/>
  <c r="R3299" i="11"/>
  <c r="S3299" i="11"/>
  <c r="N3299" i="11"/>
  <c r="M3300" i="11"/>
  <c r="D3300" i="11" l="1"/>
  <c r="C3300" i="11"/>
  <c r="R3300" i="11"/>
  <c r="S3300" i="11"/>
  <c r="N3300" i="11"/>
  <c r="M3301" i="11"/>
  <c r="D3301" i="11" l="1"/>
  <c r="C3301" i="11"/>
  <c r="R3301" i="11"/>
  <c r="S3301" i="11"/>
  <c r="N3301" i="11"/>
  <c r="M3302" i="11"/>
  <c r="D3302" i="11" l="1"/>
  <c r="C3302" i="11"/>
  <c r="R3302" i="11"/>
  <c r="S3302" i="11"/>
  <c r="N3302" i="11"/>
  <c r="M3303" i="11"/>
  <c r="D3303" i="11" l="1"/>
  <c r="C3303" i="11"/>
  <c r="R3303" i="11"/>
  <c r="S3303" i="11"/>
  <c r="N3303" i="11"/>
  <c r="M3304" i="11"/>
  <c r="D3304" i="11" l="1"/>
  <c r="C3304" i="11"/>
  <c r="R3304" i="11"/>
  <c r="S3304" i="11"/>
  <c r="N3304" i="11"/>
  <c r="M3305" i="11"/>
  <c r="D3305" i="11" l="1"/>
  <c r="C3305" i="11"/>
  <c r="R3305" i="11"/>
  <c r="S3305" i="11"/>
  <c r="N3305" i="11"/>
  <c r="M3306" i="11"/>
  <c r="D3306" i="11" l="1"/>
  <c r="C3306" i="11"/>
  <c r="R3306" i="11"/>
  <c r="S3306" i="11"/>
  <c r="N3306" i="11"/>
  <c r="M3307" i="11"/>
  <c r="D3307" i="11" l="1"/>
  <c r="C3307" i="11"/>
  <c r="R3307" i="11"/>
  <c r="S3307" i="11"/>
  <c r="N3307" i="11"/>
  <c r="M3308" i="11"/>
  <c r="D3308" i="11" l="1"/>
  <c r="C3308" i="11"/>
  <c r="R3308" i="11"/>
  <c r="S3308" i="11"/>
  <c r="N3308" i="11"/>
  <c r="M3309" i="11"/>
  <c r="D3309" i="11" l="1"/>
  <c r="C3309" i="11"/>
  <c r="R3309" i="11"/>
  <c r="S3309" i="11"/>
  <c r="N3309" i="11"/>
  <c r="M3310" i="11"/>
  <c r="D3310" i="11" l="1"/>
  <c r="C3310" i="11"/>
  <c r="R3310" i="11"/>
  <c r="S3310" i="11"/>
  <c r="N3310" i="11"/>
  <c r="M3311" i="11"/>
  <c r="D3311" i="11" l="1"/>
  <c r="C3311" i="11"/>
  <c r="R3311" i="11"/>
  <c r="S3311" i="11"/>
  <c r="N3311" i="11"/>
  <c r="M3312" i="11"/>
  <c r="D3312" i="11" l="1"/>
  <c r="C3312" i="11"/>
  <c r="R3312" i="11"/>
  <c r="S3312" i="11"/>
  <c r="N3312" i="11"/>
  <c r="M3313" i="11"/>
  <c r="D3313" i="11" l="1"/>
  <c r="C3313" i="11"/>
  <c r="R3313" i="11"/>
  <c r="S3313" i="11"/>
  <c r="N3313" i="11"/>
  <c r="M3314" i="11"/>
  <c r="D3314" i="11" l="1"/>
  <c r="C3314" i="11"/>
  <c r="R3314" i="11"/>
  <c r="S3314" i="11"/>
  <c r="N3314" i="11"/>
  <c r="M3315" i="11"/>
  <c r="D3315" i="11" l="1"/>
  <c r="C3315" i="11"/>
  <c r="R3315" i="11"/>
  <c r="S3315" i="11"/>
  <c r="N3315" i="11"/>
  <c r="M3316" i="11"/>
  <c r="D3316" i="11" l="1"/>
  <c r="C3316" i="11"/>
  <c r="R3316" i="11"/>
  <c r="S3316" i="11"/>
  <c r="N3316" i="11"/>
  <c r="M3317" i="11"/>
  <c r="D3317" i="11" l="1"/>
  <c r="C3317" i="11"/>
  <c r="R3317" i="11"/>
  <c r="S3317" i="11"/>
  <c r="N3317" i="11"/>
  <c r="M3318" i="11"/>
  <c r="D3318" i="11" l="1"/>
  <c r="C3318" i="11"/>
  <c r="R3318" i="11"/>
  <c r="S3318" i="11"/>
  <c r="N3318" i="11"/>
  <c r="M3319" i="11"/>
  <c r="D3319" i="11" l="1"/>
  <c r="C3319" i="11"/>
  <c r="R3319" i="11"/>
  <c r="S3319" i="11"/>
  <c r="N3319" i="11"/>
  <c r="M3320" i="11"/>
  <c r="D3320" i="11" l="1"/>
  <c r="C3320" i="11"/>
  <c r="R3320" i="11"/>
  <c r="S3320" i="11"/>
  <c r="N3320" i="11"/>
  <c r="M3321" i="11"/>
  <c r="D3321" i="11" l="1"/>
  <c r="C3321" i="11"/>
  <c r="R3321" i="11"/>
  <c r="S3321" i="11"/>
  <c r="N3321" i="11"/>
  <c r="M3322" i="11"/>
  <c r="D3322" i="11" l="1"/>
  <c r="C3322" i="11"/>
  <c r="R3322" i="11"/>
  <c r="S3322" i="11"/>
  <c r="N3322" i="11"/>
  <c r="M3323" i="11"/>
  <c r="D3323" i="11" l="1"/>
  <c r="C3323" i="11"/>
  <c r="R3323" i="11"/>
  <c r="S3323" i="11"/>
  <c r="N3323" i="11"/>
  <c r="M3324" i="11"/>
  <c r="D3324" i="11" l="1"/>
  <c r="C3324" i="11"/>
  <c r="R3324" i="11"/>
  <c r="S3324" i="11"/>
  <c r="N3324" i="11"/>
  <c r="M3325" i="11"/>
  <c r="D3325" i="11" l="1"/>
  <c r="C3325" i="11"/>
  <c r="R3325" i="11"/>
  <c r="S3325" i="11"/>
  <c r="N3325" i="11"/>
  <c r="M3326" i="11"/>
  <c r="D3326" i="11" l="1"/>
  <c r="C3326" i="11"/>
  <c r="R3326" i="11"/>
  <c r="S3326" i="11"/>
  <c r="N3326" i="11"/>
  <c r="M3327" i="11"/>
  <c r="D3327" i="11" l="1"/>
  <c r="C3327" i="11"/>
  <c r="R3327" i="11"/>
  <c r="S3327" i="11"/>
  <c r="N3327" i="11"/>
  <c r="M3328" i="11"/>
  <c r="D3328" i="11" l="1"/>
  <c r="C3328" i="11"/>
  <c r="R3328" i="11"/>
  <c r="S3328" i="11"/>
  <c r="N3328" i="11"/>
  <c r="M3329" i="11"/>
  <c r="D3329" i="11" l="1"/>
  <c r="C3329" i="11"/>
  <c r="R3329" i="11"/>
  <c r="S3329" i="11"/>
  <c r="N3329" i="11"/>
  <c r="M3330" i="11"/>
  <c r="D3330" i="11" l="1"/>
  <c r="C3330" i="11"/>
  <c r="R3330" i="11"/>
  <c r="S3330" i="11"/>
  <c r="N3330" i="11"/>
  <c r="M3331" i="11"/>
  <c r="D3331" i="11" l="1"/>
  <c r="C3331" i="11"/>
  <c r="R3331" i="11"/>
  <c r="S3331" i="11"/>
  <c r="N3331" i="11"/>
  <c r="M3332" i="11"/>
  <c r="D3332" i="11" l="1"/>
  <c r="C3332" i="11"/>
  <c r="R3332" i="11"/>
  <c r="S3332" i="11"/>
  <c r="N3332" i="11"/>
  <c r="M3333" i="11"/>
  <c r="D3333" i="11" l="1"/>
  <c r="C3333" i="11"/>
  <c r="R3333" i="11"/>
  <c r="S3333" i="11"/>
  <c r="N3333" i="11"/>
  <c r="M3334" i="11"/>
  <c r="D3334" i="11" l="1"/>
  <c r="C3334" i="11"/>
  <c r="R3334" i="11"/>
  <c r="S3334" i="11"/>
  <c r="N3334" i="11"/>
  <c r="M3335" i="11"/>
  <c r="D3335" i="11" l="1"/>
  <c r="C3335" i="11"/>
  <c r="R3335" i="11"/>
  <c r="S3335" i="11"/>
  <c r="N3335" i="11"/>
  <c r="M3336" i="11"/>
  <c r="D3336" i="11" l="1"/>
  <c r="C3336" i="11"/>
  <c r="R3336" i="11"/>
  <c r="S3336" i="11"/>
  <c r="N3336" i="11"/>
  <c r="M3337" i="11"/>
  <c r="D3337" i="11" l="1"/>
  <c r="C3337" i="11"/>
  <c r="R3337" i="11"/>
  <c r="S3337" i="11"/>
  <c r="N3337" i="11"/>
  <c r="M3338" i="11"/>
  <c r="D3338" i="11" l="1"/>
  <c r="C3338" i="11"/>
  <c r="R3338" i="11"/>
  <c r="S3338" i="11"/>
  <c r="N3338" i="11"/>
  <c r="M3339" i="11"/>
  <c r="D3339" i="11" l="1"/>
  <c r="C3339" i="11"/>
  <c r="R3339" i="11"/>
  <c r="S3339" i="11"/>
  <c r="N3339" i="11"/>
  <c r="M3340" i="11"/>
  <c r="D3340" i="11" l="1"/>
  <c r="C3340" i="11"/>
  <c r="R3340" i="11"/>
  <c r="S3340" i="11"/>
  <c r="N3340" i="11"/>
  <c r="M3341" i="11"/>
  <c r="D3341" i="11" l="1"/>
  <c r="C3341" i="11"/>
  <c r="R3341" i="11"/>
  <c r="S3341" i="11"/>
  <c r="N3341" i="11"/>
  <c r="M3342" i="11"/>
  <c r="D3342" i="11" l="1"/>
  <c r="C3342" i="11"/>
  <c r="R3342" i="11"/>
  <c r="S3342" i="11"/>
  <c r="N3342" i="11"/>
  <c r="M3343" i="11"/>
  <c r="D3343" i="11" l="1"/>
  <c r="C3343" i="11"/>
  <c r="R3343" i="11"/>
  <c r="S3343" i="11"/>
  <c r="N3343" i="11"/>
  <c r="M3344" i="11"/>
  <c r="D3344" i="11" l="1"/>
  <c r="C3344" i="11"/>
  <c r="R3344" i="11"/>
  <c r="S3344" i="11"/>
  <c r="N3344" i="11"/>
  <c r="M3345" i="11"/>
  <c r="D3345" i="11" l="1"/>
  <c r="C3345" i="11"/>
  <c r="R3345" i="11"/>
  <c r="S3345" i="11"/>
  <c r="N3345" i="11"/>
  <c r="M3346" i="11"/>
  <c r="D3346" i="11" l="1"/>
  <c r="C3346" i="11"/>
  <c r="R3346" i="11"/>
  <c r="S3346" i="11"/>
  <c r="N3346" i="11"/>
  <c r="M3347" i="11"/>
  <c r="D3347" i="11" l="1"/>
  <c r="C3347" i="11"/>
  <c r="R3347" i="11"/>
  <c r="S3347" i="11"/>
  <c r="N3347" i="11"/>
  <c r="M3348" i="11"/>
  <c r="D3348" i="11" l="1"/>
  <c r="C3348" i="11"/>
  <c r="R3348" i="11"/>
  <c r="S3348" i="11"/>
  <c r="N3348" i="11"/>
  <c r="M3349" i="11"/>
  <c r="D3349" i="11" l="1"/>
  <c r="C3349" i="11"/>
  <c r="R3349" i="11"/>
  <c r="S3349" i="11"/>
  <c r="N3349" i="11"/>
  <c r="M3350" i="11"/>
  <c r="D3350" i="11" l="1"/>
  <c r="C3350" i="11"/>
  <c r="R3350" i="11"/>
  <c r="S3350" i="11"/>
  <c r="N3350" i="11"/>
  <c r="M3351" i="11"/>
  <c r="D3351" i="11" l="1"/>
  <c r="C3351" i="11"/>
  <c r="R3351" i="11"/>
  <c r="S3351" i="11"/>
  <c r="N3351" i="11"/>
  <c r="M3352" i="11"/>
  <c r="D3352" i="11" l="1"/>
  <c r="C3352" i="11"/>
  <c r="R3352" i="11"/>
  <c r="S3352" i="11"/>
  <c r="N3352" i="11"/>
  <c r="M3353" i="11"/>
  <c r="D3353" i="11" l="1"/>
  <c r="C3353" i="11"/>
  <c r="R3353" i="11"/>
  <c r="S3353" i="11"/>
  <c r="N3353" i="11"/>
  <c r="M3354" i="11"/>
  <c r="D3354" i="11" l="1"/>
  <c r="C3354" i="11"/>
  <c r="R3354" i="11"/>
  <c r="S3354" i="11"/>
  <c r="N3354" i="11"/>
  <c r="M3355" i="11"/>
  <c r="D3355" i="11" l="1"/>
  <c r="C3355" i="11"/>
  <c r="R3355" i="11"/>
  <c r="S3355" i="11"/>
  <c r="N3355" i="11"/>
  <c r="M3356" i="11"/>
  <c r="D3356" i="11" l="1"/>
  <c r="C3356" i="11"/>
  <c r="R3356" i="11"/>
  <c r="S3356" i="11"/>
  <c r="N3356" i="11"/>
  <c r="M3357" i="11"/>
  <c r="D3357" i="11" l="1"/>
  <c r="C3357" i="11"/>
  <c r="R3357" i="11"/>
  <c r="S3357" i="11"/>
  <c r="N3357" i="11"/>
  <c r="M3358" i="11"/>
  <c r="D3358" i="11" l="1"/>
  <c r="C3358" i="11"/>
  <c r="R3358" i="11"/>
  <c r="S3358" i="11"/>
  <c r="N3358" i="11"/>
  <c r="M3359" i="11"/>
  <c r="D3359" i="11" l="1"/>
  <c r="C3359" i="11"/>
  <c r="R3359" i="11"/>
  <c r="S3359" i="11"/>
  <c r="N3359" i="11"/>
  <c r="M3360" i="11"/>
  <c r="D3360" i="11" l="1"/>
  <c r="C3360" i="11"/>
  <c r="R3360" i="11"/>
  <c r="S3360" i="11"/>
  <c r="N3360" i="11"/>
  <c r="M3361" i="11"/>
  <c r="D3361" i="11" l="1"/>
  <c r="C3361" i="11"/>
  <c r="R3361" i="11"/>
  <c r="S3361" i="11"/>
  <c r="N3361" i="11"/>
  <c r="M3362" i="11"/>
  <c r="D3362" i="11" l="1"/>
  <c r="C3362" i="11"/>
  <c r="R3362" i="11"/>
  <c r="S3362" i="11"/>
  <c r="N3362" i="11"/>
  <c r="M3363" i="11"/>
  <c r="D3363" i="11" l="1"/>
  <c r="C3363" i="11"/>
  <c r="R3363" i="11"/>
  <c r="S3363" i="11"/>
  <c r="N3363" i="11"/>
  <c r="M3364" i="11"/>
  <c r="D3364" i="11" l="1"/>
  <c r="C3364" i="11"/>
  <c r="R3364" i="11"/>
  <c r="S3364" i="11"/>
  <c r="N3364" i="11"/>
  <c r="M3365" i="11"/>
  <c r="D3365" i="11" l="1"/>
  <c r="C3365" i="11"/>
  <c r="R3365" i="11"/>
  <c r="S3365" i="11"/>
  <c r="N3365" i="11"/>
  <c r="M3366" i="11"/>
  <c r="D3366" i="11" l="1"/>
  <c r="C3366" i="11"/>
  <c r="R3366" i="11"/>
  <c r="S3366" i="11"/>
  <c r="N3366" i="11"/>
  <c r="M3367" i="11"/>
  <c r="D3367" i="11" l="1"/>
  <c r="C3367" i="11"/>
  <c r="R3367" i="11"/>
  <c r="S3367" i="11"/>
  <c r="N3367" i="11"/>
  <c r="M3368" i="11"/>
  <c r="D3368" i="11" l="1"/>
  <c r="C3368" i="11"/>
  <c r="R3368" i="11"/>
  <c r="S3368" i="11"/>
  <c r="N3368" i="11"/>
  <c r="M3369" i="11"/>
  <c r="D3369" i="11" l="1"/>
  <c r="C3369" i="11"/>
  <c r="R3369" i="11"/>
  <c r="S3369" i="11"/>
  <c r="N3369" i="11"/>
  <c r="M3370" i="11"/>
  <c r="D3370" i="11" l="1"/>
  <c r="C3370" i="11"/>
  <c r="R3370" i="11"/>
  <c r="S3370" i="11"/>
  <c r="N3370" i="11"/>
  <c r="M3371" i="11"/>
  <c r="D3371" i="11" l="1"/>
  <c r="C3371" i="11"/>
  <c r="R3371" i="11"/>
  <c r="S3371" i="11"/>
  <c r="N3371" i="11"/>
  <c r="M3372" i="11"/>
  <c r="D3372" i="11" l="1"/>
  <c r="C3372" i="11"/>
  <c r="R3372" i="11"/>
  <c r="S3372" i="11"/>
  <c r="N3372" i="11"/>
  <c r="M3373" i="11"/>
  <c r="D3373" i="11" l="1"/>
  <c r="C3373" i="11"/>
  <c r="R3373" i="11"/>
  <c r="S3373" i="11"/>
  <c r="N3373" i="11"/>
  <c r="M3374" i="11"/>
  <c r="D3374" i="11" l="1"/>
  <c r="C3374" i="11"/>
  <c r="R3374" i="11"/>
  <c r="S3374" i="11"/>
  <c r="N3374" i="11"/>
  <c r="M3375" i="11"/>
  <c r="D3375" i="11" l="1"/>
  <c r="C3375" i="11"/>
  <c r="R3375" i="11"/>
  <c r="S3375" i="11"/>
  <c r="N3375" i="11"/>
  <c r="M3376" i="11"/>
  <c r="D3376" i="11" l="1"/>
  <c r="C3376" i="11"/>
  <c r="R3376" i="11"/>
  <c r="S3376" i="11"/>
  <c r="N3376" i="11"/>
  <c r="M3377" i="11"/>
  <c r="D3377" i="11" l="1"/>
  <c r="C3377" i="11"/>
  <c r="R3377" i="11"/>
  <c r="S3377" i="11"/>
  <c r="N3377" i="11"/>
  <c r="M3378" i="11"/>
  <c r="D3378" i="11" l="1"/>
  <c r="C3378" i="11"/>
  <c r="R3378" i="11"/>
  <c r="S3378" i="11"/>
  <c r="N3378" i="11"/>
  <c r="M3379" i="11"/>
  <c r="D3379" i="11" l="1"/>
  <c r="C3379" i="11"/>
  <c r="R3379" i="11"/>
  <c r="S3379" i="11"/>
  <c r="N3379" i="11"/>
  <c r="M3380" i="11"/>
  <c r="D3380" i="11" l="1"/>
  <c r="C3380" i="11"/>
  <c r="R3380" i="11"/>
  <c r="S3380" i="11"/>
  <c r="N3380" i="11"/>
  <c r="M3381" i="11"/>
  <c r="D3381" i="11" l="1"/>
  <c r="C3381" i="11"/>
  <c r="R3381" i="11"/>
  <c r="S3381" i="11"/>
  <c r="N3381" i="11"/>
  <c r="M3382" i="11"/>
  <c r="D3382" i="11" l="1"/>
  <c r="C3382" i="11"/>
  <c r="R3382" i="11"/>
  <c r="S3382" i="11"/>
  <c r="N3382" i="11"/>
  <c r="M3383" i="11"/>
  <c r="D3383" i="11" l="1"/>
  <c r="C3383" i="11"/>
  <c r="R3383" i="11"/>
  <c r="S3383" i="11"/>
  <c r="N3383" i="11"/>
  <c r="M3384" i="11"/>
  <c r="D3384" i="11" l="1"/>
  <c r="C3384" i="11"/>
  <c r="R3384" i="11"/>
  <c r="S3384" i="11"/>
  <c r="N3384" i="11"/>
  <c r="M3385" i="11"/>
  <c r="D3385" i="11" l="1"/>
  <c r="C3385" i="11"/>
  <c r="R3385" i="11"/>
  <c r="S3385" i="11"/>
  <c r="N3385" i="11"/>
  <c r="M3386" i="11"/>
  <c r="D3386" i="11" l="1"/>
  <c r="C3386" i="11"/>
  <c r="R3386" i="11"/>
  <c r="S3386" i="11"/>
  <c r="N3386" i="11"/>
  <c r="M3387" i="11"/>
  <c r="D3387" i="11" l="1"/>
  <c r="C3387" i="11"/>
  <c r="R3387" i="11"/>
  <c r="S3387" i="11"/>
  <c r="N3387" i="11"/>
  <c r="M3388" i="11"/>
  <c r="D3388" i="11" l="1"/>
  <c r="C3388" i="11"/>
  <c r="R3388" i="11"/>
  <c r="S3388" i="11"/>
  <c r="N3388" i="11"/>
  <c r="M3389" i="11"/>
  <c r="D3389" i="11" l="1"/>
  <c r="C3389" i="11"/>
  <c r="R3389" i="11"/>
  <c r="S3389" i="11"/>
  <c r="N3389" i="11"/>
  <c r="M3390" i="11"/>
  <c r="D3390" i="11" l="1"/>
  <c r="C3390" i="11"/>
  <c r="R3390" i="11"/>
  <c r="S3390" i="11"/>
  <c r="N3390" i="11"/>
  <c r="M3391" i="11"/>
  <c r="D3391" i="11" l="1"/>
  <c r="C3391" i="11"/>
  <c r="R3391" i="11"/>
  <c r="S3391" i="11"/>
  <c r="N3391" i="11"/>
  <c r="M3392" i="11"/>
  <c r="D3392" i="11" l="1"/>
  <c r="C3392" i="11"/>
  <c r="R3392" i="11"/>
  <c r="S3392" i="11"/>
  <c r="N3392" i="11"/>
  <c r="M3393" i="11"/>
  <c r="D3393" i="11" l="1"/>
  <c r="C3393" i="11"/>
  <c r="R3393" i="11"/>
  <c r="S3393" i="11"/>
  <c r="N3393" i="11"/>
  <c r="M3394" i="11"/>
  <c r="D3394" i="11" l="1"/>
  <c r="C3394" i="11"/>
  <c r="R3394" i="11"/>
  <c r="S3394" i="11"/>
  <c r="N3394" i="11"/>
  <c r="M3395" i="11"/>
  <c r="D3395" i="11" l="1"/>
  <c r="C3395" i="11"/>
  <c r="R3395" i="11"/>
  <c r="S3395" i="11"/>
  <c r="N3395" i="11"/>
  <c r="M3396" i="11"/>
  <c r="D3396" i="11" l="1"/>
  <c r="C3396" i="11"/>
  <c r="R3396" i="11"/>
  <c r="S3396" i="11"/>
  <c r="N3396" i="11"/>
  <c r="M3397" i="11"/>
  <c r="D3397" i="11" l="1"/>
  <c r="C3397" i="11"/>
  <c r="R3397" i="11"/>
  <c r="S3397" i="11"/>
  <c r="N3397" i="11"/>
  <c r="M3398" i="11"/>
  <c r="D3398" i="11" l="1"/>
  <c r="C3398" i="11"/>
  <c r="R3398" i="11"/>
  <c r="S3398" i="11"/>
  <c r="N3398" i="11"/>
  <c r="M3399" i="11"/>
  <c r="D3399" i="11" l="1"/>
  <c r="C3399" i="11"/>
  <c r="R3399" i="11"/>
  <c r="S3399" i="11"/>
  <c r="N3399" i="11"/>
  <c r="M3400" i="11"/>
  <c r="D3400" i="11" l="1"/>
  <c r="C3400" i="11"/>
  <c r="R3400" i="11"/>
  <c r="S3400" i="11"/>
  <c r="N3400" i="11"/>
  <c r="M3401" i="11"/>
  <c r="D3401" i="11" l="1"/>
  <c r="C3401" i="11"/>
  <c r="R3401" i="11"/>
  <c r="S3401" i="11"/>
  <c r="N3401" i="11"/>
  <c r="M3402" i="11"/>
  <c r="D3402" i="11" l="1"/>
  <c r="C3402" i="11"/>
  <c r="R3402" i="11"/>
  <c r="S3402" i="11"/>
  <c r="N3402" i="11"/>
  <c r="M3403" i="11"/>
  <c r="D3403" i="11" l="1"/>
  <c r="C3403" i="11"/>
  <c r="R3403" i="11"/>
  <c r="S3403" i="11"/>
  <c r="N3403" i="11"/>
  <c r="M3404" i="11"/>
  <c r="D3404" i="11" l="1"/>
  <c r="C3404" i="11"/>
  <c r="R3404" i="11"/>
  <c r="S3404" i="11"/>
  <c r="N3404" i="11"/>
  <c r="M3405" i="11"/>
  <c r="D3405" i="11" l="1"/>
  <c r="C3405" i="11"/>
  <c r="R3405" i="11"/>
  <c r="S3405" i="11"/>
  <c r="N3405" i="11"/>
  <c r="M3406" i="11"/>
  <c r="D3406" i="11" l="1"/>
  <c r="C3406" i="11"/>
  <c r="R3406" i="11"/>
  <c r="S3406" i="11"/>
  <c r="N3406" i="11"/>
  <c r="M3407" i="11"/>
  <c r="D3407" i="11" l="1"/>
  <c r="C3407" i="11"/>
  <c r="R3407" i="11"/>
  <c r="S3407" i="11"/>
  <c r="N3407" i="11"/>
  <c r="M3408" i="11"/>
  <c r="D3408" i="11" l="1"/>
  <c r="C3408" i="11"/>
  <c r="R3408" i="11"/>
  <c r="S3408" i="11"/>
  <c r="N3408" i="11"/>
  <c r="M3409" i="11"/>
  <c r="D3409" i="11" l="1"/>
  <c r="C3409" i="11"/>
  <c r="R3409" i="11"/>
  <c r="S3409" i="11"/>
  <c r="N3409" i="11"/>
  <c r="M3410" i="11"/>
  <c r="D3410" i="11" l="1"/>
  <c r="C3410" i="11"/>
  <c r="R3410" i="11"/>
  <c r="S3410" i="11"/>
  <c r="N3410" i="11"/>
  <c r="M3411" i="11"/>
  <c r="D3411" i="11" l="1"/>
  <c r="C3411" i="11"/>
  <c r="R3411" i="11"/>
  <c r="S3411" i="11"/>
  <c r="N3411" i="11"/>
  <c r="M3412" i="11"/>
  <c r="D3412" i="11" l="1"/>
  <c r="C3412" i="11"/>
  <c r="R3412" i="11"/>
  <c r="S3412" i="11"/>
  <c r="N3412" i="11"/>
  <c r="M3413" i="11"/>
  <c r="D3413" i="11" l="1"/>
  <c r="C3413" i="11"/>
  <c r="R3413" i="11"/>
  <c r="S3413" i="11"/>
  <c r="N3413" i="11"/>
  <c r="M3414" i="11"/>
  <c r="D3414" i="11" l="1"/>
  <c r="C3414" i="11"/>
  <c r="R3414" i="11"/>
  <c r="S3414" i="11"/>
  <c r="N3414" i="11"/>
  <c r="M3415" i="11"/>
  <c r="D3415" i="11" l="1"/>
  <c r="C3415" i="11"/>
  <c r="R3415" i="11"/>
  <c r="S3415" i="11"/>
  <c r="N3415" i="11"/>
  <c r="M3416" i="11"/>
  <c r="D3416" i="11" l="1"/>
  <c r="C3416" i="11"/>
  <c r="R3416" i="11"/>
  <c r="S3416" i="11"/>
  <c r="N3416" i="11"/>
  <c r="M3417" i="11"/>
  <c r="D3417" i="11" l="1"/>
  <c r="C3417" i="11"/>
  <c r="R3417" i="11"/>
  <c r="S3417" i="11"/>
  <c r="N3417" i="11"/>
  <c r="M3418" i="11"/>
  <c r="D3418" i="11" l="1"/>
  <c r="C3418" i="11"/>
  <c r="R3418" i="11"/>
  <c r="S3418" i="11"/>
  <c r="N3418" i="11"/>
  <c r="M3419" i="11"/>
  <c r="D3419" i="11" l="1"/>
  <c r="C3419" i="11"/>
  <c r="R3419" i="11"/>
  <c r="S3419" i="11"/>
  <c r="N3419" i="11"/>
  <c r="M3420" i="11"/>
  <c r="D3420" i="11" l="1"/>
  <c r="C3420" i="11"/>
  <c r="R3420" i="11"/>
  <c r="S3420" i="11"/>
  <c r="N3420" i="11"/>
  <c r="M3421" i="11"/>
  <c r="D3421" i="11" l="1"/>
  <c r="C3421" i="11"/>
  <c r="R3421" i="11"/>
  <c r="S3421" i="11"/>
  <c r="N3421" i="11"/>
  <c r="M3422" i="11"/>
  <c r="D3422" i="11" l="1"/>
  <c r="C3422" i="11"/>
  <c r="R3422" i="11"/>
  <c r="S3422" i="11"/>
  <c r="N3422" i="11"/>
  <c r="M3423" i="11"/>
  <c r="D3423" i="11" l="1"/>
  <c r="C3423" i="11"/>
  <c r="R3423" i="11"/>
  <c r="S3423" i="11"/>
  <c r="N3423" i="11"/>
  <c r="M3424" i="11"/>
  <c r="D3424" i="11" l="1"/>
  <c r="C3424" i="11"/>
  <c r="R3424" i="11"/>
  <c r="S3424" i="11"/>
  <c r="N3424" i="11"/>
  <c r="M3425" i="11"/>
  <c r="D3425" i="11" l="1"/>
  <c r="C3425" i="11"/>
  <c r="R3425" i="11"/>
  <c r="S3425" i="11"/>
  <c r="N3425" i="11"/>
  <c r="M3426" i="11"/>
  <c r="D3426" i="11" l="1"/>
  <c r="C3426" i="11"/>
  <c r="R3426" i="11"/>
  <c r="S3426" i="11"/>
  <c r="N3426" i="11"/>
  <c r="M3427" i="11"/>
  <c r="D3427" i="11" l="1"/>
  <c r="C3427" i="11"/>
  <c r="R3427" i="11"/>
  <c r="S3427" i="11"/>
  <c r="N3427" i="11"/>
  <c r="M3428" i="11"/>
  <c r="D3428" i="11" l="1"/>
  <c r="C3428" i="11"/>
  <c r="R3428" i="11"/>
  <c r="S3428" i="11"/>
  <c r="N3428" i="11"/>
  <c r="M3429" i="11"/>
  <c r="D3429" i="11" l="1"/>
  <c r="C3429" i="11"/>
  <c r="R3429" i="11"/>
  <c r="S3429" i="11"/>
  <c r="N3429" i="11"/>
  <c r="M3430" i="11"/>
  <c r="D3430" i="11" l="1"/>
  <c r="C3430" i="11"/>
  <c r="R3430" i="11"/>
  <c r="S3430" i="11"/>
  <c r="N3430" i="11"/>
  <c r="M3431" i="11"/>
  <c r="D3431" i="11" l="1"/>
  <c r="C3431" i="11"/>
  <c r="R3431" i="11"/>
  <c r="S3431" i="11"/>
  <c r="N3431" i="11"/>
  <c r="M3432" i="11"/>
  <c r="D3432" i="11" l="1"/>
  <c r="C3432" i="11"/>
  <c r="R3432" i="11"/>
  <c r="S3432" i="11"/>
  <c r="N3432" i="11"/>
  <c r="M3433" i="11"/>
  <c r="D3433" i="11" l="1"/>
  <c r="C3433" i="11"/>
  <c r="R3433" i="11"/>
  <c r="S3433" i="11"/>
  <c r="N3433" i="11"/>
  <c r="M3434" i="11"/>
  <c r="D3434" i="11" l="1"/>
  <c r="C3434" i="11"/>
  <c r="R3434" i="11"/>
  <c r="S3434" i="11"/>
  <c r="N3434" i="11"/>
  <c r="M3435" i="11"/>
  <c r="D3435" i="11" l="1"/>
  <c r="C3435" i="11"/>
  <c r="R3435" i="11"/>
  <c r="S3435" i="11"/>
  <c r="N3435" i="11"/>
  <c r="M3436" i="11"/>
  <c r="D3436" i="11" l="1"/>
  <c r="C3436" i="11"/>
  <c r="R3436" i="11"/>
  <c r="S3436" i="11"/>
  <c r="N3436" i="11"/>
  <c r="M3437" i="11"/>
  <c r="D3437" i="11" l="1"/>
  <c r="C3437" i="11"/>
  <c r="R3437" i="11"/>
  <c r="S3437" i="11"/>
  <c r="N3437" i="11"/>
  <c r="M3438" i="11"/>
  <c r="D3438" i="11" l="1"/>
  <c r="C3438" i="11"/>
  <c r="R3438" i="11"/>
  <c r="S3438" i="11"/>
  <c r="N3438" i="11"/>
  <c r="M3439" i="11"/>
  <c r="D3439" i="11" l="1"/>
  <c r="C3439" i="11"/>
  <c r="R3439" i="11"/>
  <c r="S3439" i="11"/>
  <c r="N3439" i="11"/>
  <c r="M3440" i="11"/>
  <c r="D3440" i="11" l="1"/>
  <c r="C3440" i="11"/>
  <c r="R3440" i="11"/>
  <c r="S3440" i="11"/>
  <c r="N3440" i="11"/>
  <c r="M3441" i="11"/>
  <c r="D3441" i="11" l="1"/>
  <c r="C3441" i="11"/>
  <c r="R3441" i="11"/>
  <c r="S3441" i="11"/>
  <c r="N3441" i="11"/>
  <c r="M3442" i="11"/>
  <c r="D3442" i="11" l="1"/>
  <c r="C3442" i="11"/>
  <c r="R3442" i="11"/>
  <c r="S3442" i="11"/>
  <c r="N3442" i="11"/>
  <c r="M3443" i="11"/>
  <c r="D3443" i="11" l="1"/>
  <c r="C3443" i="11"/>
  <c r="R3443" i="11"/>
  <c r="S3443" i="11"/>
  <c r="N3443" i="11"/>
  <c r="M3444" i="11"/>
  <c r="D3444" i="11" l="1"/>
  <c r="C3444" i="11"/>
  <c r="R3444" i="11"/>
  <c r="S3444" i="11"/>
  <c r="N3444" i="11"/>
  <c r="M3445" i="11"/>
  <c r="D3445" i="11" l="1"/>
  <c r="C3445" i="11"/>
  <c r="R3445" i="11"/>
  <c r="S3445" i="11"/>
  <c r="N3445" i="11"/>
  <c r="M3446" i="11"/>
  <c r="D3446" i="11" l="1"/>
  <c r="C3446" i="11"/>
  <c r="R3446" i="11"/>
  <c r="S3446" i="11"/>
  <c r="N3446" i="11"/>
  <c r="M3447" i="11"/>
  <c r="D3447" i="11" l="1"/>
  <c r="C3447" i="11"/>
  <c r="R3447" i="11"/>
  <c r="S3447" i="11"/>
  <c r="N3447" i="11"/>
  <c r="M3448" i="11"/>
  <c r="D3448" i="11" l="1"/>
  <c r="C3448" i="11"/>
  <c r="R3448" i="11"/>
  <c r="S3448" i="11"/>
  <c r="N3448" i="11"/>
  <c r="M3449" i="11"/>
  <c r="D3449" i="11" l="1"/>
  <c r="C3449" i="11"/>
  <c r="R3449" i="11"/>
  <c r="S3449" i="11"/>
  <c r="N3449" i="11"/>
  <c r="M3450" i="11"/>
  <c r="D3450" i="11" l="1"/>
  <c r="C3450" i="11"/>
  <c r="R3450" i="11"/>
  <c r="S3450" i="11"/>
  <c r="N3450" i="11"/>
  <c r="M3451" i="11"/>
  <c r="D3451" i="11" l="1"/>
  <c r="C3451" i="11"/>
  <c r="R3451" i="11"/>
  <c r="S3451" i="11"/>
  <c r="N3451" i="11"/>
  <c r="M3452" i="11"/>
  <c r="D3452" i="11" l="1"/>
  <c r="C3452" i="11"/>
  <c r="R3452" i="11"/>
  <c r="S3452" i="11"/>
  <c r="N3452" i="11"/>
  <c r="M3453" i="11"/>
  <c r="D3453" i="11" l="1"/>
  <c r="C3453" i="11"/>
  <c r="R3453" i="11"/>
  <c r="S3453" i="11"/>
  <c r="N3453" i="11"/>
  <c r="M3454" i="11"/>
  <c r="D3454" i="11" l="1"/>
  <c r="C3454" i="11"/>
  <c r="R3454" i="11"/>
  <c r="S3454" i="11"/>
  <c r="N3454" i="11"/>
  <c r="M3455" i="11"/>
  <c r="D3455" i="11" l="1"/>
  <c r="C3455" i="11"/>
  <c r="R3455" i="11"/>
  <c r="S3455" i="11"/>
  <c r="N3455" i="11"/>
  <c r="M3456" i="11"/>
  <c r="D3456" i="11" l="1"/>
  <c r="C3456" i="11"/>
  <c r="R3456" i="11"/>
  <c r="S3456" i="11"/>
  <c r="N3456" i="11"/>
  <c r="M3457" i="11"/>
  <c r="D3457" i="11" l="1"/>
  <c r="C3457" i="11"/>
  <c r="R3457" i="11"/>
  <c r="S3457" i="11"/>
  <c r="N3457" i="11"/>
  <c r="M3458" i="11"/>
  <c r="D3458" i="11" l="1"/>
  <c r="C3458" i="11"/>
  <c r="R3458" i="11"/>
  <c r="S3458" i="11"/>
  <c r="N3458" i="11"/>
  <c r="M3459" i="11"/>
  <c r="D3459" i="11" l="1"/>
  <c r="C3459" i="11"/>
  <c r="R3459" i="11"/>
  <c r="S3459" i="11"/>
  <c r="N3459" i="11"/>
  <c r="M3460" i="11"/>
  <c r="D3460" i="11" l="1"/>
  <c r="C3460" i="11"/>
  <c r="R3460" i="11"/>
  <c r="S3460" i="11"/>
  <c r="N3460" i="11"/>
  <c r="M3461" i="11"/>
  <c r="D3461" i="11" l="1"/>
  <c r="C3461" i="11"/>
  <c r="R3461" i="11"/>
  <c r="S3461" i="11"/>
  <c r="N3461" i="11"/>
  <c r="M3462" i="11"/>
  <c r="D3462" i="11" l="1"/>
  <c r="C3462" i="11"/>
  <c r="R3462" i="11"/>
  <c r="S3462" i="11"/>
  <c r="N3462" i="11"/>
  <c r="M3463" i="11"/>
  <c r="D3463" i="11" l="1"/>
  <c r="C3463" i="11"/>
  <c r="R3463" i="11"/>
  <c r="S3463" i="11"/>
  <c r="N3463" i="11"/>
  <c r="M3464" i="11"/>
  <c r="D3464" i="11" l="1"/>
  <c r="C3464" i="11"/>
  <c r="R3464" i="11"/>
  <c r="S3464" i="11"/>
  <c r="N3464" i="11"/>
  <c r="M3465" i="11"/>
  <c r="D3465" i="11" l="1"/>
  <c r="C3465" i="11"/>
  <c r="R3465" i="11"/>
  <c r="S3465" i="11"/>
  <c r="N3465" i="11"/>
  <c r="M3466" i="11"/>
  <c r="D3466" i="11" l="1"/>
  <c r="C3466" i="11"/>
  <c r="R3466" i="11"/>
  <c r="S3466" i="11"/>
  <c r="N3466" i="11"/>
  <c r="M3467" i="11"/>
  <c r="D3467" i="11" l="1"/>
  <c r="C3467" i="11"/>
  <c r="R3467" i="11"/>
  <c r="S3467" i="11"/>
  <c r="N3467" i="11"/>
  <c r="M3468" i="11"/>
  <c r="D3468" i="11" l="1"/>
  <c r="C3468" i="11"/>
  <c r="R3468" i="11"/>
  <c r="S3468" i="11"/>
  <c r="N3468" i="11"/>
  <c r="M3469" i="11"/>
  <c r="D3469" i="11" l="1"/>
  <c r="C3469" i="11"/>
  <c r="R3469" i="11"/>
  <c r="S3469" i="11"/>
  <c r="N3469" i="11"/>
  <c r="M3470" i="11"/>
  <c r="D3470" i="11" l="1"/>
  <c r="C3470" i="11"/>
  <c r="R3470" i="11"/>
  <c r="S3470" i="11"/>
  <c r="N3470" i="11"/>
  <c r="M3471" i="11"/>
  <c r="D3471" i="11" l="1"/>
  <c r="C3471" i="11"/>
  <c r="R3471" i="11"/>
  <c r="S3471" i="11"/>
  <c r="N3471" i="11"/>
  <c r="M3472" i="11"/>
  <c r="D3472" i="11" l="1"/>
  <c r="C3472" i="11"/>
  <c r="R3472" i="11"/>
  <c r="S3472" i="11"/>
  <c r="N3472" i="11"/>
  <c r="M3473" i="11"/>
  <c r="D3473" i="11" l="1"/>
  <c r="C3473" i="11"/>
  <c r="R3473" i="11"/>
  <c r="S3473" i="11"/>
  <c r="N3473" i="11"/>
  <c r="M3474" i="11"/>
  <c r="D3474" i="11" l="1"/>
  <c r="C3474" i="11"/>
  <c r="R3474" i="11"/>
  <c r="S3474" i="11"/>
  <c r="N3474" i="11"/>
  <c r="M3475" i="11"/>
  <c r="D3475" i="11" l="1"/>
  <c r="C3475" i="11"/>
  <c r="R3475" i="11"/>
  <c r="S3475" i="11"/>
  <c r="N3475" i="11"/>
  <c r="M3476" i="11"/>
  <c r="D3476" i="11" l="1"/>
  <c r="C3476" i="11"/>
  <c r="R3476" i="11"/>
  <c r="S3476" i="11"/>
  <c r="N3476" i="11"/>
  <c r="M3477" i="11"/>
  <c r="D3477" i="11" l="1"/>
  <c r="C3477" i="11"/>
  <c r="R3477" i="11"/>
  <c r="S3477" i="11"/>
  <c r="N3477" i="11"/>
  <c r="M3478" i="11"/>
  <c r="D3478" i="11" l="1"/>
  <c r="C3478" i="11"/>
  <c r="R3478" i="11"/>
  <c r="S3478" i="11"/>
  <c r="N3478" i="11"/>
  <c r="M3479" i="11"/>
  <c r="D3479" i="11" l="1"/>
  <c r="C3479" i="11"/>
  <c r="R3479" i="11"/>
  <c r="S3479" i="11"/>
  <c r="N3479" i="11"/>
  <c r="M3480" i="11"/>
  <c r="D3480" i="11" l="1"/>
  <c r="C3480" i="11"/>
  <c r="R3480" i="11"/>
  <c r="S3480" i="11"/>
  <c r="N3480" i="11"/>
  <c r="M3481" i="11"/>
  <c r="D3481" i="11" l="1"/>
  <c r="C3481" i="11"/>
  <c r="R3481" i="11"/>
  <c r="S3481" i="11"/>
  <c r="N3481" i="11"/>
  <c r="M3482" i="11"/>
  <c r="D3482" i="11" l="1"/>
  <c r="C3482" i="11"/>
  <c r="R3482" i="11"/>
  <c r="S3482" i="11"/>
  <c r="N3482" i="11"/>
  <c r="M3483" i="11"/>
  <c r="D3483" i="11" l="1"/>
  <c r="C3483" i="11"/>
  <c r="R3483" i="11"/>
  <c r="S3483" i="11"/>
  <c r="N3483" i="11"/>
  <c r="M3484" i="11"/>
  <c r="D3484" i="11" l="1"/>
  <c r="C3484" i="11"/>
  <c r="R3484" i="11"/>
  <c r="S3484" i="11"/>
  <c r="N3484" i="11"/>
  <c r="M3485" i="11"/>
  <c r="D3485" i="11" l="1"/>
  <c r="C3485" i="11"/>
  <c r="R3485" i="11"/>
  <c r="S3485" i="11"/>
  <c r="N3485" i="11"/>
  <c r="M3486" i="11"/>
  <c r="D3486" i="11" l="1"/>
  <c r="C3486" i="11"/>
  <c r="R3486" i="11"/>
  <c r="S3486" i="11"/>
  <c r="N3486" i="11"/>
  <c r="M3487" i="11"/>
  <c r="D3487" i="11" l="1"/>
  <c r="C3487" i="11"/>
  <c r="R3487" i="11"/>
  <c r="S3487" i="11"/>
  <c r="N3487" i="11"/>
  <c r="M3488" i="11"/>
  <c r="D3488" i="11" l="1"/>
  <c r="C3488" i="11"/>
  <c r="R3488" i="11"/>
  <c r="S3488" i="11"/>
  <c r="N3488" i="11"/>
  <c r="M3489" i="11"/>
  <c r="D3489" i="11" l="1"/>
  <c r="C3489" i="11"/>
  <c r="R3489" i="11"/>
  <c r="S3489" i="11"/>
  <c r="N3489" i="11"/>
  <c r="M3490" i="11"/>
  <c r="D3490" i="11" l="1"/>
  <c r="C3490" i="11"/>
  <c r="R3490" i="11"/>
  <c r="S3490" i="11"/>
  <c r="N3490" i="11"/>
  <c r="M3491" i="11"/>
  <c r="D3491" i="11" l="1"/>
  <c r="C3491" i="11"/>
  <c r="R3491" i="11"/>
  <c r="S3491" i="11"/>
  <c r="N3491" i="11"/>
  <c r="M3492" i="11"/>
  <c r="D3492" i="11" l="1"/>
  <c r="C3492" i="11"/>
  <c r="R3492" i="11"/>
  <c r="S3492" i="11"/>
  <c r="N3492" i="11"/>
  <c r="M3493" i="11"/>
  <c r="D3493" i="11" l="1"/>
  <c r="C3493" i="11"/>
  <c r="R3493" i="11"/>
  <c r="S3493" i="11"/>
  <c r="N3493" i="11"/>
  <c r="M3494" i="11"/>
  <c r="D3494" i="11" l="1"/>
  <c r="C3494" i="11"/>
  <c r="R3494" i="11"/>
  <c r="S3494" i="11"/>
  <c r="N3494" i="11"/>
  <c r="M3495" i="11"/>
  <c r="D3495" i="11" l="1"/>
  <c r="C3495" i="11"/>
  <c r="R3495" i="11"/>
  <c r="S3495" i="11"/>
  <c r="N3495" i="11"/>
  <c r="M3496" i="11"/>
  <c r="D3496" i="11" l="1"/>
  <c r="C3496" i="11"/>
  <c r="R3496" i="11"/>
  <c r="S3496" i="11"/>
  <c r="N3496" i="11"/>
  <c r="M3497" i="11"/>
  <c r="D3497" i="11" l="1"/>
  <c r="C3497" i="11"/>
  <c r="R3497" i="11"/>
  <c r="S3497" i="11"/>
  <c r="N3497" i="11"/>
  <c r="M3498" i="11"/>
  <c r="D3498" i="11" l="1"/>
  <c r="C3498" i="11"/>
  <c r="R3498" i="11"/>
  <c r="S3498" i="11"/>
  <c r="N3498" i="11"/>
  <c r="M3499" i="11"/>
  <c r="D3499" i="11" l="1"/>
  <c r="C3499" i="11"/>
  <c r="R3499" i="11"/>
  <c r="S3499" i="11"/>
  <c r="N3499" i="11"/>
  <c r="M3500" i="11"/>
  <c r="D3500" i="11" l="1"/>
  <c r="C3500" i="11"/>
  <c r="R3500" i="11"/>
  <c r="S3500" i="11"/>
  <c r="N3500" i="11"/>
  <c r="M3501" i="11"/>
  <c r="D3501" i="11" l="1"/>
  <c r="C3501" i="11"/>
  <c r="R3501" i="11"/>
  <c r="S3501" i="11"/>
  <c r="N3501" i="11"/>
  <c r="M3502" i="11"/>
  <c r="D3502" i="11" l="1"/>
  <c r="C3502" i="11"/>
  <c r="R3502" i="11"/>
  <c r="S3502" i="11"/>
  <c r="N3502" i="11"/>
  <c r="M3503" i="11"/>
  <c r="D3503" i="11" l="1"/>
  <c r="C3503" i="11"/>
  <c r="R3503" i="11"/>
  <c r="S3503" i="11"/>
  <c r="N3503" i="11"/>
  <c r="M3504" i="11"/>
  <c r="D3504" i="11" l="1"/>
  <c r="C3504" i="11"/>
  <c r="R3504" i="11"/>
  <c r="S3504" i="11"/>
  <c r="N3504" i="11"/>
  <c r="M3505" i="11"/>
  <c r="D3505" i="11" l="1"/>
  <c r="C3505" i="11"/>
  <c r="R3505" i="11"/>
  <c r="S3505" i="11"/>
  <c r="N3505" i="11"/>
  <c r="M3506" i="11"/>
  <c r="D3506" i="11" l="1"/>
  <c r="C3506" i="11"/>
  <c r="R3506" i="11"/>
  <c r="S3506" i="11"/>
  <c r="N3506" i="11"/>
  <c r="M3507" i="11"/>
  <c r="D3507" i="11" l="1"/>
  <c r="C3507" i="11"/>
  <c r="R3507" i="11"/>
  <c r="S3507" i="11"/>
  <c r="N3507" i="11"/>
  <c r="M3508" i="11"/>
  <c r="D3508" i="11" l="1"/>
  <c r="C3508" i="11"/>
  <c r="R3508" i="11"/>
  <c r="S3508" i="11"/>
  <c r="N3508" i="11"/>
  <c r="M3509" i="11"/>
  <c r="D3509" i="11" l="1"/>
  <c r="C3509" i="11"/>
  <c r="R3509" i="11"/>
  <c r="S3509" i="11"/>
  <c r="N3509" i="11"/>
  <c r="M3510" i="11"/>
  <c r="D3510" i="11" l="1"/>
  <c r="C3510" i="11"/>
  <c r="R3510" i="11"/>
  <c r="S3510" i="11"/>
  <c r="N3510" i="11"/>
  <c r="M3511" i="11"/>
  <c r="D3511" i="11" l="1"/>
  <c r="C3511" i="11"/>
  <c r="R3511" i="11"/>
  <c r="S3511" i="11"/>
  <c r="N3511" i="11"/>
  <c r="M3512" i="11"/>
  <c r="D3512" i="11" l="1"/>
  <c r="C3512" i="11"/>
  <c r="R3512" i="11"/>
  <c r="S3512" i="11"/>
  <c r="N3512" i="11"/>
  <c r="M3513" i="11"/>
  <c r="D3513" i="11" l="1"/>
  <c r="C3513" i="11"/>
  <c r="R3513" i="11"/>
  <c r="S3513" i="11"/>
  <c r="N3513" i="11"/>
  <c r="M3514" i="11"/>
  <c r="D3514" i="11" l="1"/>
  <c r="C3514" i="11"/>
  <c r="R3514" i="11"/>
  <c r="S3514" i="11"/>
  <c r="N3514" i="11"/>
  <c r="M3515" i="11"/>
  <c r="D3515" i="11" l="1"/>
  <c r="C3515" i="11"/>
  <c r="R3515" i="11"/>
  <c r="S3515" i="11"/>
  <c r="N3515" i="11"/>
  <c r="M3516" i="11"/>
  <c r="D3516" i="11" l="1"/>
  <c r="C3516" i="11"/>
  <c r="R3516" i="11"/>
  <c r="S3516" i="11"/>
  <c r="N3516" i="11"/>
  <c r="M3517" i="11"/>
  <c r="D3517" i="11" l="1"/>
  <c r="C3517" i="11"/>
  <c r="R3517" i="11"/>
  <c r="S3517" i="11"/>
  <c r="N3517" i="11"/>
  <c r="M3518" i="11"/>
  <c r="D3518" i="11" l="1"/>
  <c r="C3518" i="11"/>
  <c r="R3518" i="11"/>
  <c r="S3518" i="11"/>
  <c r="N3518" i="11"/>
  <c r="M3519" i="11"/>
  <c r="D3519" i="11" l="1"/>
  <c r="C3519" i="11"/>
  <c r="R3519" i="11"/>
  <c r="S3519" i="11"/>
  <c r="N3519" i="11"/>
  <c r="M3520" i="11"/>
  <c r="D3520" i="11" l="1"/>
  <c r="C3520" i="11"/>
  <c r="R3520" i="11"/>
  <c r="S3520" i="11"/>
  <c r="N3520" i="11"/>
  <c r="M3521" i="11"/>
  <c r="D3521" i="11" l="1"/>
  <c r="C3521" i="11"/>
  <c r="R3521" i="11"/>
  <c r="S3521" i="11"/>
  <c r="N3521" i="11"/>
  <c r="M3522" i="11"/>
  <c r="D3522" i="11" l="1"/>
  <c r="C3522" i="11"/>
  <c r="R3522" i="11"/>
  <c r="S3522" i="11"/>
  <c r="N3522" i="11"/>
  <c r="M3523" i="11"/>
  <c r="D3523" i="11" l="1"/>
  <c r="C3523" i="11"/>
  <c r="R3523" i="11"/>
  <c r="S3523" i="11"/>
  <c r="N3523" i="11"/>
  <c r="M3524" i="11"/>
  <c r="D3524" i="11" l="1"/>
  <c r="C3524" i="11"/>
  <c r="R3524" i="11"/>
  <c r="S3524" i="11"/>
  <c r="N3524" i="11"/>
  <c r="M3525" i="11"/>
  <c r="D3525" i="11" l="1"/>
  <c r="C3525" i="11"/>
  <c r="R3525" i="11"/>
  <c r="S3525" i="11"/>
  <c r="N3525" i="11"/>
  <c r="M3526" i="11"/>
  <c r="D3526" i="11" l="1"/>
  <c r="C3526" i="11"/>
  <c r="R3526" i="11"/>
  <c r="S3526" i="11"/>
  <c r="N3526" i="11"/>
  <c r="M3527" i="11"/>
  <c r="D3527" i="11" l="1"/>
  <c r="C3527" i="11"/>
  <c r="R3527" i="11"/>
  <c r="S3527" i="11"/>
  <c r="N3527" i="11"/>
  <c r="M3528" i="11"/>
  <c r="D3528" i="11" l="1"/>
  <c r="C3528" i="11"/>
  <c r="R3528" i="11"/>
  <c r="S3528" i="11"/>
  <c r="N3528" i="11"/>
  <c r="M3529" i="11"/>
  <c r="D3529" i="11" l="1"/>
  <c r="C3529" i="11"/>
  <c r="R3529" i="11"/>
  <c r="S3529" i="11"/>
  <c r="N3529" i="11"/>
  <c r="M3530" i="11"/>
  <c r="D3530" i="11" l="1"/>
  <c r="C3530" i="11"/>
  <c r="R3530" i="11"/>
  <c r="S3530" i="11"/>
  <c r="N3530" i="11"/>
  <c r="M3531" i="11"/>
  <c r="D3531" i="11" l="1"/>
  <c r="C3531" i="11"/>
  <c r="R3531" i="11"/>
  <c r="S3531" i="11"/>
  <c r="N3531" i="11"/>
  <c r="M3532" i="11"/>
  <c r="D3532" i="11" l="1"/>
  <c r="C3532" i="11"/>
  <c r="R3532" i="11"/>
  <c r="S3532" i="11"/>
  <c r="N3532" i="11"/>
  <c r="M3533" i="11"/>
  <c r="D3533" i="11" l="1"/>
  <c r="C3533" i="11"/>
  <c r="R3533" i="11"/>
  <c r="S3533" i="11"/>
  <c r="N3533" i="11"/>
  <c r="M3534" i="11"/>
  <c r="D3534" i="11" l="1"/>
  <c r="C3534" i="11"/>
  <c r="R3534" i="11"/>
  <c r="S3534" i="11"/>
  <c r="N3534" i="11"/>
  <c r="M3535" i="11"/>
  <c r="D3535" i="11" l="1"/>
  <c r="C3535" i="11"/>
  <c r="R3535" i="11"/>
  <c r="S3535" i="11"/>
  <c r="N3535" i="11"/>
  <c r="M3536" i="11"/>
  <c r="D3536" i="11" l="1"/>
  <c r="C3536" i="11"/>
  <c r="R3536" i="11"/>
  <c r="S3536" i="11"/>
  <c r="N3536" i="11"/>
  <c r="M3537" i="11"/>
  <c r="D3537" i="11" l="1"/>
  <c r="C3537" i="11"/>
  <c r="R3537" i="11"/>
  <c r="S3537" i="11"/>
  <c r="N3537" i="11"/>
  <c r="M3538" i="11"/>
  <c r="D3538" i="11" l="1"/>
  <c r="C3538" i="11"/>
  <c r="R3538" i="11"/>
  <c r="S3538" i="11"/>
  <c r="N3538" i="11"/>
  <c r="M3539" i="11"/>
  <c r="D3539" i="11" l="1"/>
  <c r="C3539" i="11"/>
  <c r="R3539" i="11"/>
  <c r="S3539" i="11"/>
  <c r="N3539" i="11"/>
  <c r="M3540" i="11"/>
  <c r="D3540" i="11" l="1"/>
  <c r="C3540" i="11"/>
  <c r="R3540" i="11"/>
  <c r="S3540" i="11"/>
  <c r="N3540" i="11"/>
  <c r="M3541" i="11"/>
  <c r="D3541" i="11" l="1"/>
  <c r="C3541" i="11"/>
  <c r="R3541" i="11"/>
  <c r="S3541" i="11"/>
  <c r="N3541" i="11"/>
  <c r="M3542" i="11"/>
  <c r="D3542" i="11" l="1"/>
  <c r="C3542" i="11"/>
  <c r="R3542" i="11"/>
  <c r="S3542" i="11"/>
  <c r="N3542" i="11"/>
  <c r="M3543" i="11"/>
  <c r="D3543" i="11" l="1"/>
  <c r="C3543" i="11"/>
  <c r="R3543" i="11"/>
  <c r="S3543" i="11"/>
  <c r="N3543" i="11"/>
  <c r="M3544" i="11"/>
  <c r="D3544" i="11" l="1"/>
  <c r="C3544" i="11"/>
  <c r="R3544" i="11"/>
  <c r="S3544" i="11"/>
  <c r="N3544" i="11"/>
  <c r="M3545" i="11"/>
  <c r="D3545" i="11" l="1"/>
  <c r="C3545" i="11"/>
  <c r="R3545" i="11"/>
  <c r="S3545" i="11"/>
  <c r="N3545" i="11"/>
  <c r="M3546" i="11"/>
  <c r="D3546" i="11" l="1"/>
  <c r="C3546" i="11"/>
  <c r="R3546" i="11"/>
  <c r="S3546" i="11"/>
  <c r="N3546" i="11"/>
  <c r="M3547" i="11"/>
  <c r="D3547" i="11" l="1"/>
  <c r="C3547" i="11"/>
  <c r="R3547" i="11"/>
  <c r="S3547" i="11"/>
  <c r="N3547" i="11"/>
  <c r="M3548" i="11"/>
  <c r="D3548" i="11" l="1"/>
  <c r="C3548" i="11"/>
  <c r="R3548" i="11"/>
  <c r="S3548" i="11"/>
  <c r="N3548" i="11"/>
  <c r="M3549" i="11"/>
  <c r="D3549" i="11" l="1"/>
  <c r="C3549" i="11"/>
  <c r="R3549" i="11"/>
  <c r="S3549" i="11"/>
  <c r="N3549" i="11"/>
  <c r="M3550" i="11"/>
  <c r="D3550" i="11" l="1"/>
  <c r="C3550" i="11"/>
  <c r="R3550" i="11"/>
  <c r="S3550" i="11"/>
  <c r="N3550" i="11"/>
  <c r="M3551" i="11"/>
  <c r="D3551" i="11" l="1"/>
  <c r="C3551" i="11"/>
  <c r="R3551" i="11"/>
  <c r="S3551" i="11"/>
  <c r="N3551" i="11"/>
  <c r="M3552" i="11"/>
  <c r="D3552" i="11" l="1"/>
  <c r="C3552" i="11"/>
  <c r="R3552" i="11"/>
  <c r="S3552" i="11"/>
  <c r="N3552" i="11"/>
  <c r="M3553" i="11"/>
  <c r="D3553" i="11" l="1"/>
  <c r="C3553" i="11"/>
  <c r="R3553" i="11"/>
  <c r="S3553" i="11"/>
  <c r="N3553" i="11"/>
  <c r="M3554" i="11"/>
  <c r="D3554" i="11" l="1"/>
  <c r="C3554" i="11"/>
  <c r="R3554" i="11"/>
  <c r="S3554" i="11"/>
  <c r="N3554" i="11"/>
  <c r="M3555" i="11"/>
  <c r="D3555" i="11" l="1"/>
  <c r="C3555" i="11"/>
  <c r="R3555" i="11"/>
  <c r="S3555" i="11"/>
  <c r="N3555" i="11"/>
  <c r="M3556" i="11"/>
  <c r="D3556" i="11" l="1"/>
  <c r="C3556" i="11"/>
  <c r="R3556" i="11"/>
  <c r="S3556" i="11"/>
  <c r="N3556" i="11"/>
  <c r="M3557" i="11"/>
  <c r="D3557" i="11" l="1"/>
  <c r="C3557" i="11"/>
  <c r="R3557" i="11"/>
  <c r="S3557" i="11"/>
  <c r="N3557" i="11"/>
  <c r="M3558" i="11"/>
  <c r="D3558" i="11" l="1"/>
  <c r="C3558" i="11"/>
  <c r="R3558" i="11"/>
  <c r="S3558" i="11"/>
  <c r="N3558" i="11"/>
  <c r="M3559" i="11"/>
  <c r="D3559" i="11" l="1"/>
  <c r="C3559" i="11"/>
  <c r="R3559" i="11"/>
  <c r="S3559" i="11"/>
  <c r="N3559" i="11"/>
  <c r="M3560" i="11"/>
  <c r="D3560" i="11" l="1"/>
  <c r="C3560" i="11"/>
  <c r="R3560" i="11"/>
  <c r="S3560" i="11"/>
  <c r="N3560" i="11"/>
  <c r="M3561" i="11"/>
  <c r="D3561" i="11" l="1"/>
  <c r="C3561" i="11"/>
  <c r="R3561" i="11"/>
  <c r="S3561" i="11"/>
  <c r="N3561" i="11"/>
  <c r="M3562" i="11"/>
  <c r="D3562" i="11" l="1"/>
  <c r="C3562" i="11"/>
  <c r="R3562" i="11"/>
  <c r="S3562" i="11"/>
  <c r="N3562" i="11"/>
  <c r="M3563" i="11"/>
  <c r="D3563" i="11" l="1"/>
  <c r="C3563" i="11"/>
  <c r="R3563" i="11"/>
  <c r="S3563" i="11"/>
  <c r="N3563" i="11"/>
  <c r="M3564" i="11"/>
  <c r="D3564" i="11" l="1"/>
  <c r="C3564" i="11"/>
  <c r="R3564" i="11"/>
  <c r="S3564" i="11"/>
  <c r="N3564" i="11"/>
  <c r="M3565" i="11"/>
  <c r="D3565" i="11" l="1"/>
  <c r="C3565" i="11"/>
  <c r="R3565" i="11"/>
  <c r="S3565" i="11"/>
  <c r="N3565" i="11"/>
  <c r="M3566" i="11"/>
  <c r="D3566" i="11" l="1"/>
  <c r="C3566" i="11"/>
  <c r="R3566" i="11"/>
  <c r="S3566" i="11"/>
  <c r="N3566" i="11"/>
  <c r="M3567" i="11"/>
  <c r="D3567" i="11" l="1"/>
  <c r="C3567" i="11"/>
  <c r="R3567" i="11"/>
  <c r="S3567" i="11"/>
  <c r="N3567" i="11"/>
  <c r="M3568" i="11"/>
  <c r="D3568" i="11" l="1"/>
  <c r="C3568" i="11"/>
  <c r="R3568" i="11"/>
  <c r="S3568" i="11"/>
  <c r="N3568" i="11"/>
  <c r="M3569" i="11"/>
  <c r="D3569" i="11" l="1"/>
  <c r="C3569" i="11"/>
  <c r="R3569" i="11"/>
  <c r="S3569" i="11"/>
  <c r="N3569" i="11"/>
  <c r="M3570" i="11"/>
  <c r="D3570" i="11" l="1"/>
  <c r="C3570" i="11"/>
  <c r="R3570" i="11"/>
  <c r="S3570" i="11"/>
  <c r="N3570" i="11"/>
  <c r="M3571" i="11"/>
  <c r="D3571" i="11" l="1"/>
  <c r="C3571" i="11"/>
  <c r="R3571" i="11"/>
  <c r="S3571" i="11"/>
  <c r="N3571" i="11"/>
  <c r="M3572" i="11"/>
  <c r="D3572" i="11" l="1"/>
  <c r="C3572" i="11"/>
  <c r="R3572" i="11"/>
  <c r="S3572" i="11"/>
  <c r="N3572" i="11"/>
  <c r="M3573" i="11"/>
  <c r="D3573" i="11" l="1"/>
  <c r="C3573" i="11"/>
  <c r="R3573" i="11"/>
  <c r="S3573" i="11"/>
  <c r="N3573" i="11"/>
  <c r="M3574" i="11"/>
  <c r="D3574" i="11" l="1"/>
  <c r="C3574" i="11"/>
  <c r="R3574" i="11"/>
  <c r="S3574" i="11"/>
  <c r="N3574" i="11"/>
  <c r="M3575" i="11"/>
  <c r="D3575" i="11" l="1"/>
  <c r="C3575" i="11"/>
  <c r="R3575" i="11"/>
  <c r="S3575" i="11"/>
  <c r="N3575" i="11"/>
  <c r="M3576" i="11"/>
  <c r="D3576" i="11" l="1"/>
  <c r="C3576" i="11"/>
  <c r="R3576" i="11"/>
  <c r="S3576" i="11"/>
  <c r="N3576" i="11"/>
  <c r="M3577" i="11"/>
  <c r="D3577" i="11" l="1"/>
  <c r="C3577" i="11"/>
  <c r="R3577" i="11"/>
  <c r="S3577" i="11"/>
  <c r="N3577" i="11"/>
  <c r="M3578" i="11"/>
  <c r="D3578" i="11" l="1"/>
  <c r="C3578" i="11"/>
  <c r="R3578" i="11"/>
  <c r="S3578" i="11"/>
  <c r="N3578" i="11"/>
  <c r="M3579" i="11"/>
  <c r="D3579" i="11" l="1"/>
  <c r="C3579" i="11"/>
  <c r="R3579" i="11"/>
  <c r="S3579" i="11"/>
  <c r="N3579" i="11"/>
  <c r="M3580" i="11"/>
  <c r="D3580" i="11" l="1"/>
  <c r="C3580" i="11"/>
  <c r="R3580" i="11"/>
  <c r="S3580" i="11"/>
  <c r="N3580" i="11"/>
  <c r="M3581" i="11"/>
  <c r="D3581" i="11" l="1"/>
  <c r="C3581" i="11"/>
  <c r="R3581" i="11"/>
  <c r="S3581" i="11"/>
  <c r="N3581" i="11"/>
  <c r="M3582" i="11"/>
  <c r="D3582" i="11" l="1"/>
  <c r="C3582" i="11"/>
  <c r="R3582" i="11"/>
  <c r="S3582" i="11"/>
  <c r="N3582" i="11"/>
  <c r="M3583" i="11"/>
  <c r="D3583" i="11" l="1"/>
  <c r="C3583" i="11"/>
  <c r="R3583" i="11"/>
  <c r="S3583" i="11"/>
  <c r="N3583" i="11"/>
  <c r="M3584" i="11"/>
  <c r="D3584" i="11" l="1"/>
  <c r="C3584" i="11"/>
  <c r="R3584" i="11"/>
  <c r="S3584" i="11"/>
  <c r="N3584" i="11"/>
  <c r="M3585" i="11"/>
  <c r="D3585" i="11" l="1"/>
  <c r="C3585" i="11"/>
  <c r="R3585" i="11"/>
  <c r="S3585" i="11"/>
  <c r="N3585" i="11"/>
  <c r="M3586" i="11"/>
  <c r="D3586" i="11" l="1"/>
  <c r="C3586" i="11"/>
  <c r="R3586" i="11"/>
  <c r="S3586" i="11"/>
  <c r="N3586" i="11"/>
  <c r="M3587" i="11"/>
  <c r="D3587" i="11" l="1"/>
  <c r="C3587" i="11"/>
  <c r="R3587" i="11"/>
  <c r="S3587" i="11"/>
  <c r="N3587" i="11"/>
  <c r="M3588" i="11"/>
  <c r="D3588" i="11" l="1"/>
  <c r="C3588" i="11"/>
  <c r="R3588" i="11"/>
  <c r="S3588" i="11"/>
  <c r="N3588" i="11"/>
  <c r="M3589" i="11"/>
  <c r="D3589" i="11" l="1"/>
  <c r="C3589" i="11"/>
  <c r="R3589" i="11"/>
  <c r="S3589" i="11"/>
  <c r="N3589" i="11"/>
  <c r="M3590" i="11"/>
  <c r="D3590" i="11" l="1"/>
  <c r="C3590" i="11"/>
  <c r="R3590" i="11"/>
  <c r="S3590" i="11"/>
  <c r="N3590" i="11"/>
  <c r="M3591" i="11"/>
  <c r="D3591" i="11" l="1"/>
  <c r="C3591" i="11"/>
  <c r="R3591" i="11"/>
  <c r="S3591" i="11"/>
  <c r="N3591" i="11"/>
  <c r="M3592" i="11"/>
  <c r="D3592" i="11" l="1"/>
  <c r="C3592" i="11"/>
  <c r="R3592" i="11"/>
  <c r="S3592" i="11"/>
  <c r="N3592" i="11"/>
  <c r="M3593" i="11"/>
  <c r="D3593" i="11" l="1"/>
  <c r="C3593" i="11"/>
  <c r="R3593" i="11"/>
  <c r="S3593" i="11"/>
  <c r="N3593" i="11"/>
  <c r="M3594" i="11"/>
  <c r="D3594" i="11" l="1"/>
  <c r="C3594" i="11"/>
  <c r="R3594" i="11"/>
  <c r="S3594" i="11"/>
  <c r="N3594" i="11"/>
  <c r="M3595" i="11"/>
  <c r="D3595" i="11" l="1"/>
  <c r="C3595" i="11"/>
  <c r="R3595" i="11"/>
  <c r="S3595" i="11"/>
  <c r="N3595" i="11"/>
  <c r="M3596" i="11"/>
  <c r="D3596" i="11" l="1"/>
  <c r="C3596" i="11"/>
  <c r="R3596" i="11"/>
  <c r="S3596" i="11"/>
  <c r="N3596" i="11"/>
  <c r="M3597" i="11"/>
  <c r="D3597" i="11" l="1"/>
  <c r="C3597" i="11"/>
  <c r="R3597" i="11"/>
  <c r="S3597" i="11"/>
  <c r="N3597" i="11"/>
  <c r="M3598" i="11"/>
  <c r="D3598" i="11" l="1"/>
  <c r="C3598" i="11"/>
  <c r="R3598" i="11"/>
  <c r="S3598" i="11"/>
  <c r="N3598" i="11"/>
  <c r="M3599" i="11"/>
  <c r="D3599" i="11" l="1"/>
  <c r="C3599" i="11"/>
  <c r="R3599" i="11"/>
  <c r="S3599" i="11"/>
  <c r="N3599" i="11"/>
  <c r="M3600" i="11"/>
  <c r="D3600" i="11" l="1"/>
  <c r="C3600" i="11"/>
  <c r="R3600" i="11"/>
  <c r="S3600" i="11"/>
  <c r="N3600" i="11"/>
  <c r="M3601" i="11"/>
  <c r="D3601" i="11" l="1"/>
  <c r="C3601" i="11"/>
  <c r="R3601" i="11"/>
  <c r="S3601" i="11"/>
  <c r="N3601" i="11"/>
  <c r="M3602" i="11"/>
  <c r="D3602" i="11" l="1"/>
  <c r="C3602" i="11"/>
  <c r="R3602" i="11"/>
  <c r="S3602" i="11"/>
  <c r="N3602" i="11"/>
  <c r="M3603" i="11"/>
  <c r="D3603" i="11" l="1"/>
  <c r="C3603" i="11"/>
  <c r="R3603" i="11"/>
  <c r="S3603" i="11"/>
  <c r="N3603" i="11"/>
  <c r="M3604" i="11"/>
  <c r="D3604" i="11" l="1"/>
  <c r="C3604" i="11"/>
  <c r="R3604" i="11"/>
  <c r="S3604" i="11"/>
  <c r="N3604" i="11"/>
  <c r="M3605" i="11"/>
  <c r="D3605" i="11" l="1"/>
  <c r="C3605" i="11"/>
  <c r="R3605" i="11"/>
  <c r="S3605" i="11"/>
  <c r="N3605" i="11"/>
  <c r="M3606" i="11"/>
  <c r="D3606" i="11" l="1"/>
  <c r="C3606" i="11"/>
  <c r="R3606" i="11"/>
  <c r="S3606" i="11"/>
  <c r="N3606" i="11"/>
  <c r="M3607" i="11"/>
  <c r="D3607" i="11" l="1"/>
  <c r="C3607" i="11"/>
  <c r="R3607" i="11"/>
  <c r="S3607" i="11"/>
  <c r="N3607" i="11"/>
  <c r="M3608" i="11"/>
  <c r="D3608" i="11" l="1"/>
  <c r="C3608" i="11"/>
  <c r="R3608" i="11"/>
  <c r="S3608" i="11"/>
  <c r="N3608" i="11"/>
  <c r="M3609" i="11"/>
  <c r="D3609" i="11" l="1"/>
  <c r="C3609" i="11"/>
  <c r="R3609" i="11"/>
  <c r="S3609" i="11"/>
  <c r="N3609" i="11"/>
  <c r="M3610" i="11"/>
  <c r="D3610" i="11" l="1"/>
  <c r="C3610" i="11"/>
  <c r="R3610" i="11"/>
  <c r="S3610" i="11"/>
  <c r="N3610" i="11"/>
  <c r="M3611" i="11"/>
  <c r="D3611" i="11" l="1"/>
  <c r="C3611" i="11"/>
  <c r="R3611" i="11"/>
  <c r="S3611" i="11"/>
  <c r="N3611" i="11"/>
  <c r="M3612" i="11"/>
  <c r="D3612" i="11" l="1"/>
  <c r="C3612" i="11"/>
  <c r="R3612" i="11"/>
  <c r="S3612" i="11"/>
  <c r="N3612" i="11"/>
  <c r="M3613" i="11"/>
  <c r="D3613" i="11" l="1"/>
  <c r="C3613" i="11"/>
  <c r="R3613" i="11"/>
  <c r="S3613" i="11"/>
  <c r="N3613" i="11"/>
  <c r="M3614" i="11"/>
  <c r="D3614" i="11" l="1"/>
  <c r="C3614" i="11"/>
  <c r="R3614" i="11"/>
  <c r="S3614" i="11"/>
  <c r="N3614" i="11"/>
  <c r="M3615" i="11"/>
  <c r="D3615" i="11" l="1"/>
  <c r="C3615" i="11"/>
  <c r="R3615" i="11"/>
  <c r="S3615" i="11"/>
  <c r="N3615" i="11"/>
  <c r="M3616" i="11"/>
  <c r="D3616" i="11" l="1"/>
  <c r="C3616" i="11"/>
  <c r="R3616" i="11"/>
  <c r="S3616" i="11"/>
  <c r="N3616" i="11"/>
  <c r="M3617" i="11"/>
  <c r="D3617" i="11" l="1"/>
  <c r="C3617" i="11"/>
  <c r="R3617" i="11"/>
  <c r="S3617" i="11"/>
  <c r="N3617" i="11"/>
  <c r="M3618" i="11"/>
  <c r="D3618" i="11" l="1"/>
  <c r="C3618" i="11"/>
  <c r="R3618" i="11"/>
  <c r="S3618" i="11"/>
  <c r="N3618" i="11"/>
  <c r="M3619" i="11"/>
  <c r="D3619" i="11" l="1"/>
  <c r="C3619" i="11"/>
  <c r="R3619" i="11"/>
  <c r="S3619" i="11"/>
  <c r="N3619" i="11"/>
  <c r="M3620" i="11"/>
  <c r="D3620" i="11" l="1"/>
  <c r="C3620" i="11"/>
  <c r="R3620" i="11"/>
  <c r="S3620" i="11"/>
  <c r="N3620" i="11"/>
  <c r="M3621" i="11"/>
  <c r="D3621" i="11" l="1"/>
  <c r="C3621" i="11"/>
  <c r="R3621" i="11"/>
  <c r="S3621" i="11"/>
  <c r="N3621" i="11"/>
  <c r="M3622" i="11"/>
  <c r="D3622" i="11" l="1"/>
  <c r="C3622" i="11"/>
  <c r="R3622" i="11"/>
  <c r="S3622" i="11"/>
  <c r="N3622" i="11"/>
  <c r="M3623" i="11"/>
  <c r="D3623" i="11" l="1"/>
  <c r="C3623" i="11"/>
  <c r="R3623" i="11"/>
  <c r="S3623" i="11"/>
  <c r="N3623" i="11"/>
  <c r="M3624" i="11"/>
  <c r="D3624" i="11" l="1"/>
  <c r="C3624" i="11"/>
  <c r="R3624" i="11"/>
  <c r="S3624" i="11"/>
  <c r="N3624" i="11"/>
  <c r="M3625" i="11"/>
  <c r="D3625" i="11" l="1"/>
  <c r="C3625" i="11"/>
  <c r="R3625" i="11"/>
  <c r="S3625" i="11"/>
  <c r="N3625" i="11"/>
  <c r="M3626" i="11"/>
  <c r="D3626" i="11" l="1"/>
  <c r="C3626" i="11"/>
  <c r="R3626" i="11"/>
  <c r="S3626" i="11"/>
  <c r="N3626" i="11"/>
  <c r="M3627" i="11"/>
  <c r="D3627" i="11" l="1"/>
  <c r="C3627" i="11"/>
  <c r="R3627" i="11"/>
  <c r="S3627" i="11"/>
  <c r="N3627" i="11"/>
  <c r="M3628" i="11"/>
  <c r="D3628" i="11" l="1"/>
  <c r="C3628" i="11"/>
  <c r="R3628" i="11"/>
  <c r="S3628" i="11"/>
  <c r="N3628" i="11"/>
  <c r="M3629" i="11"/>
  <c r="D3629" i="11" l="1"/>
  <c r="C3629" i="11"/>
  <c r="R3629" i="11"/>
  <c r="S3629" i="11"/>
  <c r="N3629" i="11"/>
  <c r="M3630" i="11"/>
  <c r="D3630" i="11" l="1"/>
  <c r="C3630" i="11"/>
  <c r="R3630" i="11"/>
  <c r="S3630" i="11"/>
  <c r="N3630" i="11"/>
  <c r="M3631" i="11"/>
  <c r="D3631" i="11" l="1"/>
  <c r="C3631" i="11"/>
  <c r="R3631" i="11"/>
  <c r="S3631" i="11"/>
  <c r="N3631" i="11"/>
  <c r="M3632" i="11"/>
  <c r="D3632" i="11" l="1"/>
  <c r="C3632" i="11"/>
  <c r="R3632" i="11"/>
  <c r="S3632" i="11"/>
  <c r="N3632" i="11"/>
  <c r="M3633" i="11"/>
  <c r="D3633" i="11" l="1"/>
  <c r="C3633" i="11"/>
  <c r="R3633" i="11"/>
  <c r="S3633" i="11"/>
  <c r="N3633" i="11"/>
  <c r="M3634" i="11"/>
  <c r="D3634" i="11" l="1"/>
  <c r="C3634" i="11"/>
  <c r="R3634" i="11"/>
  <c r="S3634" i="11"/>
  <c r="N3634" i="11"/>
  <c r="M3635" i="11"/>
  <c r="D3635" i="11" l="1"/>
  <c r="C3635" i="11"/>
  <c r="R3635" i="11"/>
  <c r="S3635" i="11"/>
  <c r="N3635" i="11"/>
  <c r="M3636" i="11"/>
  <c r="D3636" i="11" l="1"/>
  <c r="C3636" i="11"/>
  <c r="R3636" i="11"/>
  <c r="S3636" i="11"/>
  <c r="N3636" i="11"/>
  <c r="M3637" i="11"/>
  <c r="D3637" i="11" l="1"/>
  <c r="C3637" i="11"/>
  <c r="R3637" i="11"/>
  <c r="S3637" i="11"/>
  <c r="N3637" i="11"/>
  <c r="M3638" i="11"/>
  <c r="D3638" i="11" l="1"/>
  <c r="C3638" i="11"/>
  <c r="R3638" i="11"/>
  <c r="S3638" i="11"/>
  <c r="N3638" i="11"/>
  <c r="M3639" i="11"/>
  <c r="D3639" i="11" l="1"/>
  <c r="C3639" i="11"/>
  <c r="R3639" i="11"/>
  <c r="S3639" i="11"/>
  <c r="N3639" i="11"/>
  <c r="M3640" i="11"/>
  <c r="D3640" i="11" l="1"/>
  <c r="C3640" i="11"/>
  <c r="R3640" i="11"/>
  <c r="S3640" i="11"/>
  <c r="N3640" i="11"/>
  <c r="M3641" i="11"/>
  <c r="D3641" i="11" l="1"/>
  <c r="C3641" i="11"/>
  <c r="R3641" i="11"/>
  <c r="S3641" i="11"/>
  <c r="N3641" i="11"/>
  <c r="M3642" i="11"/>
  <c r="D3642" i="11" l="1"/>
  <c r="C3642" i="11"/>
  <c r="R3642" i="11"/>
  <c r="S3642" i="11"/>
  <c r="N3642" i="11"/>
  <c r="M3643" i="11"/>
  <c r="D3643" i="11" l="1"/>
  <c r="C3643" i="11"/>
  <c r="R3643" i="11"/>
  <c r="S3643" i="11"/>
  <c r="N3643" i="11"/>
  <c r="M3644" i="11"/>
  <c r="D3644" i="11" l="1"/>
  <c r="C3644" i="11"/>
  <c r="R3644" i="11"/>
  <c r="S3644" i="11"/>
  <c r="N3644" i="11"/>
  <c r="M3645" i="11"/>
  <c r="D3645" i="11" l="1"/>
  <c r="C3645" i="11"/>
  <c r="R3645" i="11"/>
  <c r="S3645" i="11"/>
  <c r="N3645" i="11"/>
  <c r="M3646" i="11"/>
  <c r="D3646" i="11" l="1"/>
  <c r="C3646" i="11"/>
  <c r="R3646" i="11"/>
  <c r="S3646" i="11"/>
  <c r="N3646" i="11"/>
  <c r="M3647" i="11"/>
  <c r="D3647" i="11" l="1"/>
  <c r="C3647" i="11"/>
  <c r="R3647" i="11"/>
  <c r="S3647" i="11"/>
  <c r="N3647" i="11"/>
  <c r="M3648" i="11"/>
  <c r="D3648" i="11" l="1"/>
  <c r="C3648" i="11"/>
  <c r="R3648" i="11"/>
  <c r="S3648" i="11"/>
  <c r="N3648" i="11"/>
  <c r="M3649" i="11"/>
  <c r="D3649" i="11" l="1"/>
  <c r="C3649" i="11"/>
  <c r="R3649" i="11"/>
  <c r="S3649" i="11"/>
  <c r="N3649" i="11"/>
  <c r="M3650" i="11"/>
  <c r="D3650" i="11" l="1"/>
  <c r="C3650" i="11"/>
  <c r="R3650" i="11"/>
  <c r="S3650" i="11"/>
  <c r="N3650" i="11"/>
  <c r="M3651" i="11"/>
  <c r="D3651" i="11" l="1"/>
  <c r="C3651" i="11"/>
  <c r="R3651" i="11"/>
  <c r="S3651" i="11"/>
  <c r="N3651" i="11"/>
  <c r="M3652" i="11"/>
  <c r="D3652" i="11" l="1"/>
  <c r="C3652" i="11"/>
  <c r="R3652" i="11"/>
  <c r="S3652" i="11"/>
  <c r="N3652" i="11"/>
  <c r="M3653" i="11"/>
  <c r="D3653" i="11" l="1"/>
  <c r="C3653" i="11"/>
  <c r="R3653" i="11"/>
  <c r="S3653" i="11"/>
  <c r="N3653" i="11"/>
  <c r="M3654" i="11"/>
  <c r="D3654" i="11" l="1"/>
  <c r="C3654" i="11"/>
  <c r="R3654" i="11"/>
  <c r="S3654" i="11"/>
  <c r="N3654" i="11"/>
  <c r="M3655" i="11"/>
  <c r="D3655" i="11" l="1"/>
  <c r="C3655" i="11"/>
  <c r="R3655" i="11"/>
  <c r="S3655" i="11"/>
  <c r="N3655" i="11"/>
  <c r="M3656" i="11"/>
  <c r="D3656" i="11" l="1"/>
  <c r="C3656" i="11"/>
  <c r="R3656" i="11"/>
  <c r="S3656" i="11"/>
  <c r="N3656" i="11"/>
  <c r="M3657" i="11"/>
  <c r="D3657" i="11" l="1"/>
  <c r="C3657" i="11"/>
  <c r="R3657" i="11"/>
  <c r="S3657" i="11"/>
  <c r="N3657" i="11"/>
  <c r="M3658" i="11"/>
  <c r="D3658" i="11" l="1"/>
  <c r="C3658" i="11"/>
  <c r="R3658" i="11"/>
  <c r="S3658" i="11"/>
  <c r="N3658" i="11"/>
  <c r="M3659" i="11"/>
  <c r="D3659" i="11" l="1"/>
  <c r="C3659" i="11"/>
  <c r="R3659" i="11"/>
  <c r="S3659" i="11"/>
  <c r="N3659" i="11"/>
  <c r="M3660" i="11"/>
  <c r="D3660" i="11" l="1"/>
  <c r="C3660" i="11"/>
  <c r="R3660" i="11"/>
  <c r="S3660" i="11"/>
  <c r="N3660" i="11"/>
  <c r="M3661" i="11"/>
  <c r="D3661" i="11" l="1"/>
  <c r="C3661" i="11"/>
  <c r="R3661" i="11"/>
  <c r="S3661" i="11"/>
  <c r="N3661" i="11"/>
  <c r="M3662" i="11"/>
  <c r="D3662" i="11" l="1"/>
  <c r="C3662" i="11"/>
  <c r="R3662" i="11"/>
  <c r="S3662" i="11"/>
  <c r="N3662" i="11"/>
  <c r="M3663" i="11"/>
  <c r="D3663" i="11" l="1"/>
  <c r="C3663" i="11"/>
  <c r="R3663" i="11"/>
  <c r="S3663" i="11"/>
  <c r="N3663" i="11"/>
  <c r="M3664" i="11"/>
  <c r="D3664" i="11" l="1"/>
  <c r="C3664" i="11"/>
  <c r="R3664" i="11"/>
  <c r="S3664" i="11"/>
  <c r="N3664" i="11"/>
  <c r="M3665" i="11"/>
  <c r="D3665" i="11" l="1"/>
  <c r="C3665" i="11"/>
  <c r="R3665" i="11"/>
  <c r="S3665" i="11"/>
  <c r="N3665" i="11"/>
  <c r="M3666" i="11"/>
  <c r="D3666" i="11" l="1"/>
  <c r="C3666" i="11"/>
  <c r="R3666" i="11"/>
  <c r="S3666" i="11"/>
  <c r="N3666" i="11"/>
  <c r="M3667" i="11"/>
  <c r="D3667" i="11" l="1"/>
  <c r="C3667" i="11"/>
  <c r="R3667" i="11"/>
  <c r="S3667" i="11"/>
  <c r="N3667" i="11"/>
  <c r="M3668" i="11"/>
  <c r="D3668" i="11" l="1"/>
  <c r="C3668" i="11"/>
  <c r="R3668" i="11"/>
  <c r="S3668" i="11"/>
  <c r="N3668" i="11"/>
  <c r="M3669" i="11"/>
  <c r="D3669" i="11" l="1"/>
  <c r="C3669" i="11"/>
  <c r="R3669" i="11"/>
  <c r="S3669" i="11"/>
  <c r="N3669" i="11"/>
  <c r="M3670" i="11"/>
  <c r="D3670" i="11" l="1"/>
  <c r="C3670" i="11"/>
  <c r="R3670" i="11"/>
  <c r="S3670" i="11"/>
  <c r="N3670" i="11"/>
  <c r="M3671" i="11"/>
  <c r="D3671" i="11" l="1"/>
  <c r="C3671" i="11"/>
  <c r="R3671" i="11"/>
  <c r="S3671" i="11"/>
  <c r="N3671" i="11"/>
  <c r="M3672" i="11"/>
  <c r="D3672" i="11" l="1"/>
  <c r="C3672" i="11"/>
  <c r="R3672" i="11"/>
  <c r="S3672" i="11"/>
  <c r="N3672" i="11"/>
  <c r="M3673" i="11"/>
  <c r="D3673" i="11" l="1"/>
  <c r="C3673" i="11"/>
  <c r="R3673" i="11"/>
  <c r="S3673" i="11"/>
  <c r="N3673" i="11"/>
  <c r="M3674" i="11"/>
  <c r="D3674" i="11" l="1"/>
  <c r="C3674" i="11"/>
  <c r="R3674" i="11"/>
  <c r="S3674" i="11"/>
  <c r="N3674" i="11"/>
  <c r="M3675" i="11"/>
  <c r="D3675" i="11" l="1"/>
  <c r="C3675" i="11"/>
  <c r="R3675" i="11"/>
  <c r="S3675" i="11"/>
  <c r="N3675" i="11"/>
  <c r="M3676" i="11"/>
  <c r="D3676" i="11" l="1"/>
  <c r="C3676" i="11"/>
  <c r="R3676" i="11"/>
  <c r="S3676" i="11"/>
  <c r="N3676" i="11"/>
  <c r="M3677" i="11"/>
  <c r="D3677" i="11" l="1"/>
  <c r="C3677" i="11"/>
  <c r="R3677" i="11"/>
  <c r="S3677" i="11"/>
  <c r="N3677" i="11"/>
  <c r="M3678" i="11"/>
  <c r="D3678" i="11" l="1"/>
  <c r="C3678" i="11"/>
  <c r="R3678" i="11"/>
  <c r="S3678" i="11"/>
  <c r="N3678" i="11"/>
  <c r="M3679" i="11"/>
  <c r="D3679" i="11" l="1"/>
  <c r="C3679" i="11"/>
  <c r="R3679" i="11"/>
  <c r="S3679" i="11"/>
  <c r="N3679" i="11"/>
  <c r="M3680" i="11"/>
  <c r="D3680" i="11" l="1"/>
  <c r="C3680" i="11"/>
  <c r="R3680" i="11"/>
  <c r="S3680" i="11"/>
  <c r="N3680" i="11"/>
  <c r="M3681" i="11"/>
  <c r="D3681" i="11" l="1"/>
  <c r="C3681" i="11"/>
  <c r="R3681" i="11"/>
  <c r="S3681" i="11"/>
  <c r="N3681" i="11"/>
  <c r="M3682" i="11"/>
  <c r="D3682" i="11" l="1"/>
  <c r="C3682" i="11"/>
  <c r="R3682" i="11"/>
  <c r="S3682" i="11"/>
  <c r="N3682" i="11"/>
  <c r="M3683" i="11"/>
  <c r="D3683" i="11" l="1"/>
  <c r="C3683" i="11"/>
  <c r="R3683" i="11"/>
  <c r="S3683" i="11"/>
  <c r="N3683" i="11"/>
  <c r="M3684" i="11"/>
  <c r="D3684" i="11" l="1"/>
  <c r="C3684" i="11"/>
  <c r="R3684" i="11"/>
  <c r="S3684" i="11"/>
  <c r="N3684" i="11"/>
  <c r="M3685" i="11"/>
  <c r="D3685" i="11" l="1"/>
  <c r="C3685" i="11"/>
  <c r="R3685" i="11"/>
  <c r="S3685" i="11"/>
  <c r="N3685" i="11"/>
  <c r="M3686" i="11"/>
  <c r="D3686" i="11" l="1"/>
  <c r="C3686" i="11"/>
  <c r="R3686" i="11"/>
  <c r="S3686" i="11"/>
  <c r="N3686" i="11"/>
  <c r="M3687" i="11"/>
  <c r="D3687" i="11" l="1"/>
  <c r="C3687" i="11"/>
  <c r="R3687" i="11"/>
  <c r="S3687" i="11"/>
  <c r="N3687" i="11"/>
  <c r="M3688" i="11"/>
  <c r="D3688" i="11" l="1"/>
  <c r="C3688" i="11"/>
  <c r="R3688" i="11"/>
  <c r="S3688" i="11"/>
  <c r="N3688" i="11"/>
  <c r="M3689" i="11"/>
  <c r="D3689" i="11" l="1"/>
  <c r="C3689" i="11"/>
  <c r="R3689" i="11"/>
  <c r="S3689" i="11"/>
  <c r="N3689" i="11"/>
  <c r="M3690" i="11"/>
  <c r="D3690" i="11" l="1"/>
  <c r="C3690" i="11"/>
  <c r="R3690" i="11"/>
  <c r="S3690" i="11"/>
  <c r="N3690" i="11"/>
  <c r="M3691" i="11"/>
  <c r="D3691" i="11" l="1"/>
  <c r="C3691" i="11"/>
  <c r="R3691" i="11"/>
  <c r="S3691" i="11"/>
  <c r="N3691" i="11"/>
  <c r="M3692" i="11"/>
  <c r="D3692" i="11" l="1"/>
  <c r="C3692" i="11"/>
  <c r="R3692" i="11"/>
  <c r="S3692" i="11"/>
  <c r="N3692" i="11"/>
  <c r="M3693" i="11"/>
  <c r="D3693" i="11" l="1"/>
  <c r="C3693" i="11"/>
  <c r="R3693" i="11"/>
  <c r="S3693" i="11"/>
  <c r="N3693" i="11"/>
  <c r="M3694" i="11"/>
  <c r="D3694" i="11" l="1"/>
  <c r="C3694" i="11"/>
  <c r="R3694" i="11"/>
  <c r="S3694" i="11"/>
  <c r="N3694" i="11"/>
  <c r="M3695" i="11"/>
  <c r="D3695" i="11" l="1"/>
  <c r="C3695" i="11"/>
  <c r="R3695" i="11"/>
  <c r="S3695" i="11"/>
  <c r="N3695" i="11"/>
  <c r="M3696" i="11"/>
  <c r="D3696" i="11" l="1"/>
  <c r="C3696" i="11"/>
  <c r="R3696" i="11"/>
  <c r="S3696" i="11"/>
  <c r="N3696" i="11"/>
  <c r="M3697" i="11"/>
  <c r="D3697" i="11" l="1"/>
  <c r="C3697" i="11"/>
  <c r="R3697" i="11"/>
  <c r="S3697" i="11"/>
  <c r="N3697" i="11"/>
  <c r="M3698" i="11"/>
  <c r="D3698" i="11" l="1"/>
  <c r="C3698" i="11"/>
  <c r="R3698" i="11"/>
  <c r="S3698" i="11"/>
  <c r="N3698" i="11"/>
  <c r="M3699" i="11"/>
  <c r="D3699" i="11" l="1"/>
  <c r="C3699" i="11"/>
  <c r="R3699" i="11"/>
  <c r="S3699" i="11"/>
  <c r="N3699" i="11"/>
  <c r="M3700" i="11"/>
  <c r="D3700" i="11" l="1"/>
  <c r="C3700" i="11"/>
  <c r="R3700" i="11"/>
  <c r="S3700" i="11"/>
  <c r="N3700" i="11"/>
  <c r="M3701" i="11"/>
  <c r="D3701" i="11" l="1"/>
  <c r="C3701" i="11"/>
  <c r="R3701" i="11"/>
  <c r="S3701" i="11"/>
  <c r="N3701" i="11"/>
  <c r="M3702" i="11"/>
  <c r="D3702" i="11" l="1"/>
  <c r="C3702" i="11"/>
  <c r="R3702" i="11"/>
  <c r="S3702" i="11"/>
  <c r="N3702" i="11"/>
  <c r="M3703" i="11"/>
  <c r="D3703" i="11" l="1"/>
  <c r="C3703" i="11"/>
  <c r="R3703" i="11"/>
  <c r="S3703" i="11"/>
  <c r="N3703" i="11"/>
  <c r="M3704" i="11"/>
  <c r="D3704" i="11" l="1"/>
  <c r="C3704" i="11"/>
  <c r="R3704" i="11"/>
  <c r="S3704" i="11"/>
  <c r="N3704" i="11"/>
  <c r="M3705" i="11"/>
  <c r="D3705" i="11" l="1"/>
  <c r="C3705" i="11"/>
  <c r="R3705" i="11"/>
  <c r="S3705" i="11"/>
  <c r="N3705" i="11"/>
  <c r="M3706" i="11"/>
  <c r="D3706" i="11" l="1"/>
  <c r="C3706" i="11"/>
  <c r="R3706" i="11"/>
  <c r="S3706" i="11"/>
  <c r="N3706" i="11"/>
  <c r="M3707" i="11"/>
  <c r="D3707" i="11" l="1"/>
  <c r="C3707" i="11"/>
  <c r="R3707" i="11"/>
  <c r="S3707" i="11"/>
  <c r="N3707" i="11"/>
  <c r="M3708" i="11"/>
  <c r="D3708" i="11" l="1"/>
  <c r="C3708" i="11"/>
  <c r="R3708" i="11"/>
  <c r="S3708" i="11"/>
  <c r="N3708" i="11"/>
  <c r="M3709" i="11"/>
  <c r="D3709" i="11" l="1"/>
  <c r="C3709" i="11"/>
  <c r="R3709" i="11"/>
  <c r="S3709" i="11"/>
  <c r="N3709" i="11"/>
  <c r="M3710" i="11"/>
  <c r="D3710" i="11" l="1"/>
  <c r="C3710" i="11"/>
  <c r="R3710" i="11"/>
  <c r="S3710" i="11"/>
  <c r="N3710" i="11"/>
  <c r="M3711" i="11"/>
  <c r="D3711" i="11" l="1"/>
  <c r="C3711" i="11"/>
  <c r="R3711" i="11"/>
  <c r="S3711" i="11"/>
  <c r="N3711" i="11"/>
  <c r="M3712" i="11"/>
  <c r="D3712" i="11" l="1"/>
  <c r="C3712" i="11"/>
  <c r="R3712" i="11"/>
  <c r="S3712" i="11"/>
  <c r="N3712" i="11"/>
  <c r="M3713" i="11"/>
  <c r="D3713" i="11" l="1"/>
  <c r="C3713" i="11"/>
  <c r="R3713" i="11"/>
  <c r="S3713" i="11"/>
  <c r="N3713" i="11"/>
  <c r="M3714" i="11"/>
  <c r="D3714" i="11" l="1"/>
  <c r="C3714" i="11"/>
  <c r="R3714" i="11"/>
  <c r="S3714" i="11"/>
  <c r="N3714" i="11"/>
  <c r="M3715" i="11"/>
  <c r="D3715" i="11" l="1"/>
  <c r="C3715" i="11"/>
  <c r="R3715" i="11"/>
  <c r="S3715" i="11"/>
  <c r="N3715" i="11"/>
  <c r="M3716" i="11"/>
  <c r="D3716" i="11" l="1"/>
  <c r="C3716" i="11"/>
  <c r="R3716" i="11"/>
  <c r="S3716" i="11"/>
  <c r="N3716" i="11"/>
  <c r="M3717" i="11"/>
  <c r="D3717" i="11" l="1"/>
  <c r="C3717" i="11"/>
  <c r="R3717" i="11"/>
  <c r="S3717" i="11"/>
  <c r="N3717" i="11"/>
  <c r="M3718" i="11"/>
  <c r="D3718" i="11" l="1"/>
  <c r="C3718" i="11"/>
  <c r="R3718" i="11"/>
  <c r="S3718" i="11"/>
  <c r="N3718" i="11"/>
  <c r="M3719" i="11"/>
  <c r="D3719" i="11" l="1"/>
  <c r="C3719" i="11"/>
  <c r="R3719" i="11"/>
  <c r="S3719" i="11"/>
  <c r="N3719" i="11"/>
  <c r="M3720" i="11"/>
  <c r="D3720" i="11" l="1"/>
  <c r="C3720" i="11"/>
  <c r="R3720" i="11"/>
  <c r="S3720" i="11"/>
  <c r="N3720" i="11"/>
  <c r="M3721" i="11"/>
  <c r="D3721" i="11" l="1"/>
  <c r="C3721" i="11"/>
  <c r="R3721" i="11"/>
  <c r="S3721" i="11"/>
  <c r="N3721" i="11"/>
  <c r="M3722" i="11"/>
  <c r="D3722" i="11" l="1"/>
  <c r="C3722" i="11"/>
  <c r="R3722" i="11"/>
  <c r="S3722" i="11"/>
  <c r="N3722" i="11"/>
  <c r="M3723" i="11"/>
  <c r="D3723" i="11" l="1"/>
  <c r="C3723" i="11"/>
  <c r="R3723" i="11"/>
  <c r="S3723" i="11"/>
  <c r="N3723" i="11"/>
  <c r="M3724" i="11"/>
  <c r="D3724" i="11" l="1"/>
  <c r="C3724" i="11"/>
  <c r="R3724" i="11"/>
  <c r="S3724" i="11"/>
  <c r="N3724" i="11"/>
  <c r="M3725" i="11"/>
  <c r="D3725" i="11" l="1"/>
  <c r="C3725" i="11"/>
  <c r="R3725" i="11"/>
  <c r="S3725" i="11"/>
  <c r="N3725" i="11"/>
  <c r="M3726" i="11"/>
  <c r="D3726" i="11" l="1"/>
  <c r="C3726" i="11"/>
  <c r="R3726" i="11"/>
  <c r="S3726" i="11"/>
  <c r="N3726" i="11"/>
  <c r="M3727" i="11"/>
  <c r="D3727" i="11" l="1"/>
  <c r="C3727" i="11"/>
  <c r="R3727" i="11"/>
  <c r="S3727" i="11"/>
  <c r="N3727" i="11"/>
  <c r="M3728" i="11"/>
  <c r="D3728" i="11" l="1"/>
  <c r="C3728" i="11"/>
  <c r="R3728" i="11"/>
  <c r="S3728" i="11"/>
  <c r="N3728" i="11"/>
  <c r="M3729" i="11"/>
  <c r="D3729" i="11" l="1"/>
  <c r="C3729" i="11"/>
  <c r="R3729" i="11"/>
  <c r="S3729" i="11"/>
  <c r="N3729" i="11"/>
  <c r="M3730" i="11"/>
  <c r="D3730" i="11" l="1"/>
  <c r="C3730" i="11"/>
  <c r="R3730" i="11"/>
  <c r="S3730" i="11"/>
  <c r="N3730" i="11"/>
  <c r="M3731" i="11"/>
  <c r="D3731" i="11" l="1"/>
  <c r="C3731" i="11"/>
  <c r="R3731" i="11"/>
  <c r="S3731" i="11"/>
  <c r="N3731" i="11"/>
  <c r="M3732" i="11"/>
  <c r="D3732" i="11" l="1"/>
  <c r="C3732" i="11"/>
  <c r="R3732" i="11"/>
  <c r="S3732" i="11"/>
  <c r="N3732" i="11"/>
  <c r="M3733" i="11"/>
  <c r="D3733" i="11" l="1"/>
  <c r="C3733" i="11"/>
  <c r="R3733" i="11"/>
  <c r="S3733" i="11"/>
  <c r="N3733" i="11"/>
  <c r="M3734" i="11"/>
  <c r="D3734" i="11" l="1"/>
  <c r="C3734" i="11"/>
  <c r="R3734" i="11"/>
  <c r="S3734" i="11"/>
  <c r="N3734" i="11"/>
  <c r="M3735" i="11"/>
  <c r="D3735" i="11" l="1"/>
  <c r="C3735" i="11"/>
  <c r="R3735" i="11"/>
  <c r="S3735" i="11"/>
  <c r="N3735" i="11"/>
  <c r="M3736" i="11"/>
  <c r="D3736" i="11" l="1"/>
  <c r="C3736" i="11"/>
  <c r="R3736" i="11"/>
  <c r="S3736" i="11"/>
  <c r="N3736" i="11"/>
  <c r="M3737" i="11"/>
  <c r="D3737" i="11" l="1"/>
  <c r="C3737" i="11"/>
  <c r="R3737" i="11"/>
  <c r="S3737" i="11"/>
  <c r="N3737" i="11"/>
  <c r="M3738" i="11"/>
  <c r="D3738" i="11" l="1"/>
  <c r="C3738" i="11"/>
  <c r="R3738" i="11"/>
  <c r="S3738" i="11"/>
  <c r="N3738" i="11"/>
  <c r="M3739" i="11"/>
  <c r="D3739" i="11" l="1"/>
  <c r="C3739" i="11"/>
  <c r="R3739" i="11"/>
  <c r="S3739" i="11"/>
  <c r="N3739" i="11"/>
  <c r="M3740" i="11"/>
  <c r="D3740" i="11" l="1"/>
  <c r="C3740" i="11"/>
  <c r="R3740" i="11"/>
  <c r="S3740" i="11"/>
  <c r="N3740" i="11"/>
  <c r="M3741" i="11"/>
  <c r="D3741" i="11" l="1"/>
  <c r="C3741" i="11"/>
  <c r="R3741" i="11"/>
  <c r="S3741" i="11"/>
  <c r="N3741" i="11"/>
  <c r="M3742" i="11"/>
  <c r="D3742" i="11" l="1"/>
  <c r="C3742" i="11"/>
  <c r="R3742" i="11"/>
  <c r="S3742" i="11"/>
  <c r="N3742" i="11"/>
  <c r="M3743" i="11"/>
  <c r="D3743" i="11" l="1"/>
  <c r="C3743" i="11"/>
  <c r="R3743" i="11"/>
  <c r="S3743" i="11"/>
  <c r="N3743" i="11"/>
  <c r="M3744" i="11"/>
  <c r="D3744" i="11" l="1"/>
  <c r="C3744" i="11"/>
  <c r="R3744" i="11"/>
  <c r="S3744" i="11"/>
  <c r="N3744" i="11"/>
  <c r="M3745" i="11"/>
  <c r="D3745" i="11" l="1"/>
  <c r="C3745" i="11"/>
  <c r="R3745" i="11"/>
  <c r="S3745" i="11"/>
  <c r="N3745" i="11"/>
  <c r="M3746" i="11"/>
  <c r="D3746" i="11" l="1"/>
  <c r="C3746" i="11"/>
  <c r="R3746" i="11"/>
  <c r="S3746" i="11"/>
  <c r="N3746" i="11"/>
  <c r="M3747" i="11"/>
  <c r="D3747" i="11" l="1"/>
  <c r="C3747" i="11"/>
  <c r="R3747" i="11"/>
  <c r="S3747" i="11"/>
  <c r="N3747" i="11"/>
  <c r="M3748" i="11"/>
  <c r="D3748" i="11" l="1"/>
  <c r="C3748" i="11"/>
  <c r="R3748" i="11"/>
  <c r="S3748" i="11"/>
  <c r="N3748" i="11"/>
  <c r="M3749" i="11"/>
  <c r="D3749" i="11" l="1"/>
  <c r="C3749" i="11"/>
  <c r="R3749" i="11"/>
  <c r="S3749" i="11"/>
  <c r="N3749" i="11"/>
  <c r="M3750" i="11"/>
  <c r="D3750" i="11" l="1"/>
  <c r="C3750" i="11"/>
  <c r="R3750" i="11"/>
  <c r="S3750" i="11"/>
  <c r="N3750" i="11"/>
  <c r="M3751" i="11"/>
  <c r="D3751" i="11" l="1"/>
  <c r="C3751" i="11"/>
  <c r="R3751" i="11"/>
  <c r="S3751" i="11"/>
  <c r="N3751" i="11"/>
  <c r="M3752" i="11"/>
  <c r="D3752" i="11" l="1"/>
  <c r="C3752" i="11"/>
  <c r="R3752" i="11"/>
  <c r="S3752" i="11"/>
  <c r="N3752" i="11"/>
  <c r="M3753" i="11"/>
  <c r="D3753" i="11" l="1"/>
  <c r="C3753" i="11"/>
  <c r="R3753" i="11"/>
  <c r="S3753" i="11"/>
  <c r="N3753" i="11"/>
  <c r="M3754" i="11"/>
  <c r="D3754" i="11" l="1"/>
  <c r="C3754" i="11"/>
  <c r="R3754" i="11"/>
  <c r="S3754" i="11"/>
  <c r="N3754" i="11"/>
  <c r="M3755" i="11"/>
  <c r="D3755" i="11" l="1"/>
  <c r="C3755" i="11"/>
  <c r="R3755" i="11"/>
  <c r="S3755" i="11"/>
  <c r="N3755" i="11"/>
  <c r="M3756" i="11"/>
  <c r="D3756" i="11" l="1"/>
  <c r="C3756" i="11"/>
  <c r="R3756" i="11"/>
  <c r="S3756" i="11"/>
  <c r="N3756" i="11"/>
  <c r="M3757" i="11"/>
  <c r="D3757" i="11" l="1"/>
  <c r="C3757" i="11"/>
  <c r="R3757" i="11"/>
  <c r="S3757" i="11"/>
  <c r="N3757" i="11"/>
  <c r="M3758" i="11"/>
  <c r="D3758" i="11" l="1"/>
  <c r="C3758" i="11"/>
  <c r="R3758" i="11"/>
  <c r="S3758" i="11"/>
  <c r="N3758" i="11"/>
  <c r="M3759" i="11"/>
  <c r="D3759" i="11" l="1"/>
  <c r="C3759" i="11"/>
  <c r="R3759" i="11"/>
  <c r="S3759" i="11"/>
  <c r="N3759" i="11"/>
  <c r="M3760" i="11"/>
  <c r="D3760" i="11" l="1"/>
  <c r="C3760" i="11"/>
  <c r="R3760" i="11"/>
  <c r="S3760" i="11"/>
  <c r="N3760" i="11"/>
  <c r="M3761" i="11"/>
  <c r="D3761" i="11" l="1"/>
  <c r="C3761" i="11"/>
  <c r="R3761" i="11"/>
  <c r="S3761" i="11"/>
  <c r="N3761" i="11"/>
  <c r="M3762" i="11"/>
  <c r="D3762" i="11" l="1"/>
  <c r="C3762" i="11"/>
  <c r="R3762" i="11"/>
  <c r="S3762" i="11"/>
  <c r="N3762" i="11"/>
  <c r="M3763" i="11"/>
  <c r="D3763" i="11" l="1"/>
  <c r="C3763" i="11"/>
  <c r="R3763" i="11"/>
  <c r="S3763" i="11"/>
  <c r="N3763" i="11"/>
  <c r="M3764" i="11"/>
  <c r="D3764" i="11" l="1"/>
  <c r="C3764" i="11"/>
  <c r="R3764" i="11"/>
  <c r="S3764" i="11"/>
  <c r="N3764" i="11"/>
  <c r="M3765" i="11"/>
  <c r="D3765" i="11" l="1"/>
  <c r="C3765" i="11"/>
  <c r="R3765" i="11"/>
  <c r="S3765" i="11"/>
  <c r="N3765" i="11"/>
  <c r="M3766" i="11"/>
  <c r="D3766" i="11" l="1"/>
  <c r="C3766" i="11"/>
  <c r="R3766" i="11"/>
  <c r="S3766" i="11"/>
  <c r="N3766" i="11"/>
  <c r="M3767" i="11"/>
  <c r="D3767" i="11" l="1"/>
  <c r="C3767" i="11"/>
  <c r="R3767" i="11"/>
  <c r="S3767" i="11"/>
  <c r="N3767" i="11"/>
  <c r="M3768" i="11"/>
  <c r="D3768" i="11" l="1"/>
  <c r="C3768" i="11"/>
  <c r="R3768" i="11"/>
  <c r="S3768" i="11"/>
  <c r="N3768" i="11"/>
  <c r="M3769" i="11"/>
  <c r="D3769" i="11" l="1"/>
  <c r="C3769" i="11"/>
  <c r="R3769" i="11"/>
  <c r="S3769" i="11"/>
  <c r="N3769" i="11"/>
  <c r="M3770" i="11"/>
  <c r="D3770" i="11" l="1"/>
  <c r="C3770" i="11"/>
  <c r="R3770" i="11"/>
  <c r="S3770" i="11"/>
  <c r="N3770" i="11"/>
  <c r="M3771" i="11"/>
  <c r="D3771" i="11" l="1"/>
  <c r="C3771" i="11"/>
  <c r="R3771" i="11"/>
  <c r="S3771" i="11"/>
  <c r="N3771" i="11"/>
  <c r="M3772" i="11"/>
  <c r="D3772" i="11" l="1"/>
  <c r="C3772" i="11"/>
  <c r="R3772" i="11"/>
  <c r="S3772" i="11"/>
  <c r="N3772" i="11"/>
  <c r="M3773" i="11"/>
  <c r="D3773" i="11" l="1"/>
  <c r="C3773" i="11"/>
  <c r="R3773" i="11"/>
  <c r="S3773" i="11"/>
  <c r="N3773" i="11"/>
  <c r="M3774" i="11"/>
  <c r="D3774" i="11" l="1"/>
  <c r="C3774" i="11"/>
  <c r="R3774" i="11"/>
  <c r="S3774" i="11"/>
  <c r="N3774" i="11"/>
  <c r="M3775" i="11"/>
  <c r="D3775" i="11" l="1"/>
  <c r="C3775" i="11"/>
  <c r="R3775" i="11"/>
  <c r="S3775" i="11"/>
  <c r="N3775" i="11"/>
  <c r="M3776" i="11"/>
  <c r="D3776" i="11" l="1"/>
  <c r="C3776" i="11"/>
  <c r="R3776" i="11"/>
  <c r="S3776" i="11"/>
  <c r="N3776" i="11"/>
  <c r="M3777" i="11"/>
  <c r="D3777" i="11" l="1"/>
  <c r="C3777" i="11"/>
  <c r="R3777" i="11"/>
  <c r="S3777" i="11"/>
  <c r="N3777" i="11"/>
  <c r="M3778" i="11"/>
  <c r="D3778" i="11" l="1"/>
  <c r="C3778" i="11"/>
  <c r="R3778" i="11"/>
  <c r="S3778" i="11"/>
  <c r="N3778" i="11"/>
  <c r="M3779" i="11"/>
  <c r="D3779" i="11" l="1"/>
  <c r="C3779" i="11"/>
  <c r="R3779" i="11"/>
  <c r="S3779" i="11"/>
  <c r="N3779" i="11"/>
  <c r="M3780" i="11"/>
  <c r="D3780" i="11" l="1"/>
  <c r="C3780" i="11"/>
  <c r="R3780" i="11"/>
  <c r="S3780" i="11"/>
  <c r="N3780" i="11"/>
  <c r="M3781" i="11"/>
  <c r="D3781" i="11" l="1"/>
  <c r="C3781" i="11"/>
  <c r="R3781" i="11"/>
  <c r="S3781" i="11"/>
  <c r="N3781" i="11"/>
  <c r="M3782" i="11"/>
  <c r="D3782" i="11" l="1"/>
  <c r="C3782" i="11"/>
  <c r="R3782" i="11"/>
  <c r="S3782" i="11"/>
  <c r="N3782" i="11"/>
  <c r="M3783" i="11"/>
  <c r="D3783" i="11" l="1"/>
  <c r="C3783" i="11"/>
  <c r="R3783" i="11"/>
  <c r="S3783" i="11"/>
  <c r="N3783" i="11"/>
  <c r="M3784" i="11"/>
  <c r="D3784" i="11" l="1"/>
  <c r="C3784" i="11"/>
  <c r="R3784" i="11"/>
  <c r="S3784" i="11"/>
  <c r="N3784" i="11"/>
  <c r="M3785" i="11"/>
  <c r="D3785" i="11" l="1"/>
  <c r="C3785" i="11"/>
  <c r="R3785" i="11"/>
  <c r="S3785" i="11"/>
  <c r="N3785" i="11"/>
  <c r="M3786" i="11"/>
  <c r="D3786" i="11" l="1"/>
  <c r="C3786" i="11"/>
  <c r="R3786" i="11"/>
  <c r="S3786" i="11"/>
  <c r="N3786" i="11"/>
  <c r="M3787" i="11"/>
  <c r="D3787" i="11" l="1"/>
  <c r="C3787" i="11"/>
  <c r="R3787" i="11"/>
  <c r="S3787" i="11"/>
  <c r="N3787" i="11"/>
  <c r="M3788" i="11"/>
  <c r="D3788" i="11" l="1"/>
  <c r="C3788" i="11"/>
  <c r="R3788" i="11"/>
  <c r="S3788" i="11"/>
  <c r="N3788" i="11"/>
  <c r="M3789" i="11"/>
  <c r="D3789" i="11" l="1"/>
  <c r="C3789" i="11"/>
  <c r="R3789" i="11"/>
  <c r="S3789" i="11"/>
  <c r="N3789" i="11"/>
  <c r="M3790" i="11"/>
  <c r="D3790" i="11" l="1"/>
  <c r="C3790" i="11"/>
  <c r="R3790" i="11"/>
  <c r="S3790" i="11"/>
  <c r="N3790" i="11"/>
  <c r="M3791" i="11"/>
  <c r="D3791" i="11" l="1"/>
  <c r="C3791" i="11"/>
  <c r="R3791" i="11"/>
  <c r="S3791" i="11"/>
  <c r="N3791" i="11"/>
  <c r="M3792" i="11"/>
  <c r="D3792" i="11" l="1"/>
  <c r="C3792" i="11"/>
  <c r="R3792" i="11"/>
  <c r="S3792" i="11"/>
  <c r="N3792" i="11"/>
  <c r="M3793" i="11"/>
  <c r="D3793" i="11" l="1"/>
  <c r="C3793" i="11"/>
  <c r="R3793" i="11"/>
  <c r="S3793" i="11"/>
  <c r="N3793" i="11"/>
  <c r="M3794" i="11"/>
  <c r="D3794" i="11" l="1"/>
  <c r="C3794" i="11"/>
  <c r="R3794" i="11"/>
  <c r="S3794" i="11"/>
  <c r="N3794" i="11"/>
  <c r="M3795" i="11"/>
  <c r="D3795" i="11" l="1"/>
  <c r="C3795" i="11"/>
  <c r="R3795" i="11"/>
  <c r="S3795" i="11"/>
  <c r="N3795" i="11"/>
  <c r="M3796" i="11"/>
  <c r="D3796" i="11" l="1"/>
  <c r="C3796" i="11"/>
  <c r="R3796" i="11"/>
  <c r="S3796" i="11"/>
  <c r="N3796" i="11"/>
  <c r="M3797" i="11"/>
  <c r="D3797" i="11" l="1"/>
  <c r="C3797" i="11"/>
  <c r="R3797" i="11"/>
  <c r="S3797" i="11"/>
  <c r="N3797" i="11"/>
  <c r="M3798" i="11"/>
  <c r="D3798" i="11" l="1"/>
  <c r="C3798" i="11"/>
  <c r="R3798" i="11"/>
  <c r="S3798" i="11"/>
  <c r="N3798" i="11"/>
  <c r="M3799" i="11"/>
  <c r="D3799" i="11" l="1"/>
  <c r="C3799" i="11"/>
  <c r="R3799" i="11"/>
  <c r="S3799" i="11"/>
  <c r="N3799" i="11"/>
  <c r="M3800" i="11"/>
  <c r="D3800" i="11" l="1"/>
  <c r="C3800" i="11"/>
  <c r="R3800" i="11"/>
  <c r="S3800" i="11"/>
  <c r="N3800" i="11"/>
  <c r="M3801" i="11"/>
  <c r="D3801" i="11" l="1"/>
  <c r="C3801" i="11"/>
  <c r="R3801" i="11"/>
  <c r="S3801" i="11"/>
  <c r="N3801" i="11"/>
  <c r="M3802" i="11"/>
  <c r="D3802" i="11" l="1"/>
  <c r="C3802" i="11"/>
  <c r="R3802" i="11"/>
  <c r="S3802" i="11"/>
  <c r="N3802" i="11"/>
  <c r="M3803" i="11"/>
  <c r="D3803" i="11" l="1"/>
  <c r="C3803" i="11"/>
  <c r="R3803" i="11"/>
  <c r="S3803" i="11"/>
  <c r="N3803" i="11"/>
  <c r="M3804" i="11"/>
  <c r="D3804" i="11" l="1"/>
  <c r="C3804" i="11"/>
  <c r="R3804" i="11"/>
  <c r="S3804" i="11"/>
  <c r="N3804" i="11"/>
  <c r="M3805" i="11"/>
  <c r="D3805" i="11" l="1"/>
  <c r="C3805" i="11"/>
  <c r="R3805" i="11"/>
  <c r="S3805" i="11"/>
  <c r="N3805" i="11"/>
  <c r="M3806" i="11"/>
  <c r="D3806" i="11" l="1"/>
  <c r="C3806" i="11"/>
  <c r="R3806" i="11"/>
  <c r="S3806" i="11"/>
  <c r="N3806" i="11"/>
  <c r="M3807" i="11"/>
  <c r="D3807" i="11" l="1"/>
  <c r="C3807" i="11"/>
  <c r="R3807" i="11"/>
  <c r="S3807" i="11"/>
  <c r="N3807" i="11"/>
  <c r="M3808" i="11"/>
  <c r="D3808" i="11" l="1"/>
  <c r="C3808" i="11"/>
  <c r="R3808" i="11"/>
  <c r="S3808" i="11"/>
  <c r="N3808" i="11"/>
  <c r="M3809" i="11"/>
  <c r="D3809" i="11" l="1"/>
  <c r="C3809" i="11"/>
  <c r="R3809" i="11"/>
  <c r="S3809" i="11"/>
  <c r="N3809" i="11"/>
  <c r="M3810" i="11"/>
  <c r="D3810" i="11" l="1"/>
  <c r="C3810" i="11"/>
  <c r="R3810" i="11"/>
  <c r="S3810" i="11"/>
  <c r="N3810" i="11"/>
  <c r="M3811" i="11"/>
  <c r="D3811" i="11" l="1"/>
  <c r="C3811" i="11"/>
  <c r="R3811" i="11"/>
  <c r="S3811" i="11"/>
  <c r="N3811" i="11"/>
  <c r="M3812" i="11"/>
  <c r="D3812" i="11" l="1"/>
  <c r="C3812" i="11"/>
  <c r="R3812" i="11"/>
  <c r="S3812" i="11"/>
  <c r="N3812" i="11"/>
  <c r="M3813" i="11"/>
  <c r="D3813" i="11" l="1"/>
  <c r="C3813" i="11"/>
  <c r="R3813" i="11"/>
  <c r="S3813" i="11"/>
  <c r="N3813" i="11"/>
  <c r="M3814" i="11"/>
  <c r="D3814" i="11" l="1"/>
  <c r="C3814" i="11"/>
  <c r="R3814" i="11"/>
  <c r="S3814" i="11"/>
  <c r="N3814" i="11"/>
  <c r="M3815" i="11"/>
  <c r="D3815" i="11" l="1"/>
  <c r="C3815" i="11"/>
  <c r="R3815" i="11"/>
  <c r="S3815" i="11"/>
  <c r="N3815" i="11"/>
  <c r="M3816" i="11"/>
  <c r="D3816" i="11" l="1"/>
  <c r="C3816" i="11"/>
  <c r="R3816" i="11"/>
  <c r="S3816" i="11"/>
  <c r="N3816" i="11"/>
  <c r="M3817" i="11"/>
  <c r="D3817" i="11" l="1"/>
  <c r="C3817" i="11"/>
  <c r="R3817" i="11"/>
  <c r="S3817" i="11"/>
  <c r="N3817" i="11"/>
  <c r="M3818" i="11"/>
  <c r="D3818" i="11" l="1"/>
  <c r="C3818" i="11"/>
  <c r="R3818" i="11"/>
  <c r="S3818" i="11"/>
  <c r="N3818" i="11"/>
  <c r="M3819" i="11"/>
  <c r="D3819" i="11" l="1"/>
  <c r="C3819" i="11"/>
  <c r="R3819" i="11"/>
  <c r="S3819" i="11"/>
  <c r="N3819" i="11"/>
  <c r="M3820" i="11"/>
  <c r="D3820" i="11" l="1"/>
  <c r="C3820" i="11"/>
  <c r="R3820" i="11"/>
  <c r="S3820" i="11"/>
  <c r="N3820" i="11"/>
  <c r="M3821" i="11"/>
  <c r="D3821" i="11" l="1"/>
  <c r="C3821" i="11"/>
  <c r="R3821" i="11"/>
  <c r="S3821" i="11"/>
  <c r="N3821" i="11"/>
  <c r="M3822" i="11"/>
  <c r="D3822" i="11" l="1"/>
  <c r="C3822" i="11"/>
  <c r="R3822" i="11"/>
  <c r="S3822" i="11"/>
  <c r="N3822" i="11"/>
  <c r="M3823" i="11"/>
  <c r="D3823" i="11" l="1"/>
  <c r="C3823" i="11"/>
  <c r="R3823" i="11"/>
  <c r="S3823" i="11"/>
  <c r="N3823" i="11"/>
  <c r="M3824" i="11"/>
  <c r="D3824" i="11" l="1"/>
  <c r="C3824" i="11"/>
  <c r="R3824" i="11"/>
  <c r="S3824" i="11"/>
  <c r="N3824" i="11"/>
  <c r="M3825" i="11"/>
  <c r="D3825" i="11" l="1"/>
  <c r="C3825" i="11"/>
  <c r="R3825" i="11"/>
  <c r="S3825" i="11"/>
  <c r="N3825" i="11"/>
  <c r="M3826" i="11"/>
  <c r="D3826" i="11" l="1"/>
  <c r="C3826" i="11"/>
  <c r="R3826" i="11"/>
  <c r="S3826" i="11"/>
  <c r="N3826" i="11"/>
  <c r="M3827" i="11"/>
  <c r="D3827" i="11" l="1"/>
  <c r="C3827" i="11"/>
  <c r="R3827" i="11"/>
  <c r="S3827" i="11"/>
  <c r="N3827" i="11"/>
  <c r="M3828" i="11"/>
  <c r="D3828" i="11" l="1"/>
  <c r="C3828" i="11"/>
  <c r="R3828" i="11"/>
  <c r="S3828" i="11"/>
  <c r="N3828" i="11"/>
  <c r="M3829" i="11"/>
  <c r="D3829" i="11" l="1"/>
  <c r="C3829" i="11"/>
  <c r="R3829" i="11"/>
  <c r="S3829" i="11"/>
  <c r="N3829" i="11"/>
  <c r="M3830" i="11"/>
  <c r="D3830" i="11" l="1"/>
  <c r="C3830" i="11"/>
  <c r="R3830" i="11"/>
  <c r="S3830" i="11"/>
  <c r="N3830" i="11"/>
  <c r="M3831" i="11"/>
  <c r="D3831" i="11" l="1"/>
  <c r="C3831" i="11"/>
  <c r="R3831" i="11"/>
  <c r="S3831" i="11"/>
  <c r="N3831" i="11"/>
  <c r="M3832" i="11"/>
  <c r="D3832" i="11" l="1"/>
  <c r="C3832" i="11"/>
  <c r="R3832" i="11"/>
  <c r="S3832" i="11"/>
  <c r="N3832" i="11"/>
  <c r="M3833" i="11"/>
  <c r="D3833" i="11" l="1"/>
  <c r="C3833" i="11"/>
  <c r="R3833" i="11"/>
  <c r="S3833" i="11"/>
  <c r="N3833" i="11"/>
  <c r="M3834" i="11"/>
  <c r="D3834" i="11" l="1"/>
  <c r="C3834" i="11"/>
  <c r="R3834" i="11"/>
  <c r="S3834" i="11"/>
  <c r="N3834" i="11"/>
  <c r="M3835" i="11"/>
  <c r="D3835" i="11" l="1"/>
  <c r="C3835" i="11"/>
  <c r="R3835" i="11"/>
  <c r="S3835" i="11"/>
  <c r="N3835" i="11"/>
  <c r="M3836" i="11"/>
  <c r="D3836" i="11" l="1"/>
  <c r="C3836" i="11"/>
  <c r="R3836" i="11"/>
  <c r="S3836" i="11"/>
  <c r="N3836" i="11"/>
  <c r="M3837" i="11"/>
  <c r="D3837" i="11" l="1"/>
  <c r="C3837" i="11"/>
  <c r="R3837" i="11"/>
  <c r="S3837" i="11"/>
  <c r="N3837" i="11"/>
  <c r="M3838" i="11"/>
  <c r="D3838" i="11" l="1"/>
  <c r="C3838" i="11"/>
  <c r="R3838" i="11"/>
  <c r="S3838" i="11"/>
  <c r="N3838" i="11"/>
  <c r="M3839" i="11"/>
  <c r="D3839" i="11" l="1"/>
  <c r="C3839" i="11"/>
  <c r="R3839" i="11"/>
  <c r="S3839" i="11"/>
  <c r="N3839" i="11"/>
  <c r="M3840" i="11"/>
  <c r="D3840" i="11" l="1"/>
  <c r="C3840" i="11"/>
  <c r="R3840" i="11"/>
  <c r="S3840" i="11"/>
  <c r="N3840" i="11"/>
  <c r="M3841" i="11"/>
  <c r="D3841" i="11" l="1"/>
  <c r="C3841" i="11"/>
  <c r="R3841" i="11"/>
  <c r="S3841" i="11"/>
  <c r="N3841" i="11"/>
  <c r="M3842" i="11"/>
  <c r="D3842" i="11" l="1"/>
  <c r="C3842" i="11"/>
  <c r="R3842" i="11"/>
  <c r="S3842" i="11"/>
  <c r="N3842" i="11"/>
  <c r="M3843" i="11"/>
  <c r="D3843" i="11" l="1"/>
  <c r="C3843" i="11"/>
  <c r="R3843" i="11"/>
  <c r="S3843" i="11"/>
  <c r="N3843" i="11"/>
  <c r="M3844" i="11"/>
  <c r="D3844" i="11" l="1"/>
  <c r="C3844" i="11"/>
  <c r="R3844" i="11"/>
  <c r="S3844" i="11"/>
  <c r="N3844" i="11"/>
  <c r="M3845" i="11"/>
  <c r="D3845" i="11" l="1"/>
  <c r="C3845" i="11"/>
  <c r="R3845" i="11"/>
  <c r="S3845" i="11"/>
  <c r="N3845" i="11"/>
  <c r="M3846" i="11"/>
  <c r="D3846" i="11" l="1"/>
  <c r="C3846" i="11"/>
  <c r="R3846" i="11"/>
  <c r="S3846" i="11"/>
  <c r="N3846" i="11"/>
  <c r="M3847" i="11"/>
  <c r="D3847" i="11" l="1"/>
  <c r="C3847" i="11"/>
  <c r="R3847" i="11"/>
  <c r="S3847" i="11"/>
  <c r="N3847" i="11"/>
  <c r="M3848" i="11"/>
  <c r="D3848" i="11" l="1"/>
  <c r="C3848" i="11"/>
  <c r="R3848" i="11"/>
  <c r="S3848" i="11"/>
  <c r="N3848" i="11"/>
  <c r="M3849" i="11"/>
  <c r="D3849" i="11" l="1"/>
  <c r="C3849" i="11"/>
  <c r="R3849" i="11"/>
  <c r="S3849" i="11"/>
  <c r="N3849" i="11"/>
  <c r="M3850" i="11"/>
  <c r="D3850" i="11" l="1"/>
  <c r="C3850" i="11"/>
  <c r="R3850" i="11"/>
  <c r="S3850" i="11"/>
  <c r="N3850" i="11"/>
  <c r="M3851" i="11"/>
  <c r="D3851" i="11" l="1"/>
  <c r="C3851" i="11"/>
  <c r="R3851" i="11"/>
  <c r="S3851" i="11"/>
  <c r="N3851" i="11"/>
  <c r="M3852" i="11"/>
  <c r="D3852" i="11" l="1"/>
  <c r="C3852" i="11"/>
  <c r="R3852" i="11"/>
  <c r="S3852" i="11"/>
  <c r="N3852" i="11"/>
  <c r="M3853" i="11"/>
  <c r="D3853" i="11" l="1"/>
  <c r="C3853" i="11"/>
  <c r="R3853" i="11"/>
  <c r="S3853" i="11"/>
  <c r="N3853" i="11"/>
  <c r="M3854" i="11"/>
  <c r="D3854" i="11" l="1"/>
  <c r="C3854" i="11"/>
  <c r="R3854" i="11"/>
  <c r="S3854" i="11"/>
  <c r="N3854" i="11"/>
  <c r="M3855" i="11"/>
  <c r="D3855" i="11" l="1"/>
  <c r="C3855" i="11"/>
  <c r="R3855" i="11"/>
  <c r="S3855" i="11"/>
  <c r="N3855" i="11"/>
  <c r="M3856" i="11"/>
  <c r="D3856" i="11" l="1"/>
  <c r="C3856" i="11"/>
  <c r="R3856" i="11"/>
  <c r="S3856" i="11"/>
  <c r="N3856" i="11"/>
  <c r="M3857" i="11"/>
  <c r="D3857" i="11" l="1"/>
  <c r="C3857" i="11"/>
  <c r="R3857" i="11"/>
  <c r="S3857" i="11"/>
  <c r="N3857" i="11"/>
  <c r="M3858" i="11"/>
  <c r="D3858" i="11" l="1"/>
  <c r="C3858" i="11"/>
  <c r="R3858" i="11"/>
  <c r="S3858" i="11"/>
  <c r="N3858" i="11"/>
  <c r="M3859" i="11"/>
  <c r="D3859" i="11" l="1"/>
  <c r="C3859" i="11"/>
  <c r="R3859" i="11"/>
  <c r="S3859" i="11"/>
  <c r="N3859" i="11"/>
  <c r="M3860" i="11"/>
  <c r="D3860" i="11" l="1"/>
  <c r="C3860" i="11"/>
  <c r="R3860" i="11"/>
  <c r="S3860" i="11"/>
  <c r="N3860" i="11"/>
  <c r="M3861" i="11"/>
  <c r="D3861" i="11" l="1"/>
  <c r="C3861" i="11"/>
  <c r="R3861" i="11"/>
  <c r="S3861" i="11"/>
  <c r="N3861" i="11"/>
  <c r="M3862" i="11"/>
  <c r="D3862" i="11" l="1"/>
  <c r="C3862" i="11"/>
  <c r="R3862" i="11"/>
  <c r="S3862" i="11"/>
  <c r="N3862" i="11"/>
  <c r="M3863" i="11"/>
  <c r="D3863" i="11" l="1"/>
  <c r="C3863" i="11"/>
  <c r="R3863" i="11"/>
  <c r="S3863" i="11"/>
  <c r="N3863" i="11"/>
  <c r="M3864" i="11"/>
  <c r="D3864" i="11" l="1"/>
  <c r="C3864" i="11"/>
  <c r="R3864" i="11"/>
  <c r="S3864" i="11"/>
  <c r="N3864" i="11"/>
  <c r="M3865" i="11"/>
  <c r="D3865" i="11" l="1"/>
  <c r="C3865" i="11"/>
  <c r="R3865" i="11"/>
  <c r="S3865" i="11"/>
  <c r="N3865" i="11"/>
  <c r="M3866" i="11"/>
  <c r="D3866" i="11" l="1"/>
  <c r="C3866" i="11"/>
  <c r="R3866" i="11"/>
  <c r="S3866" i="11"/>
  <c r="N3866" i="11"/>
  <c r="M3867" i="11"/>
  <c r="D3867" i="11" l="1"/>
  <c r="C3867" i="11"/>
  <c r="R3867" i="11"/>
  <c r="S3867" i="11"/>
  <c r="N3867" i="11"/>
  <c r="M3868" i="11"/>
  <c r="D3868" i="11" l="1"/>
  <c r="C3868" i="11"/>
  <c r="R3868" i="11"/>
  <c r="S3868" i="11"/>
  <c r="N3868" i="11"/>
  <c r="M3869" i="11"/>
  <c r="D3869" i="11" l="1"/>
  <c r="C3869" i="11"/>
  <c r="R3869" i="11"/>
  <c r="S3869" i="11"/>
  <c r="N3869" i="11"/>
  <c r="M3870" i="11"/>
  <c r="D3870" i="11" l="1"/>
  <c r="C3870" i="11"/>
  <c r="R3870" i="11"/>
  <c r="S3870" i="11"/>
  <c r="N3870" i="11"/>
  <c r="M3871" i="11"/>
  <c r="D3871" i="11" l="1"/>
  <c r="C3871" i="11"/>
  <c r="R3871" i="11"/>
  <c r="S3871" i="11"/>
  <c r="N3871" i="11"/>
  <c r="M3872" i="11"/>
  <c r="D3872" i="11" l="1"/>
  <c r="C3872" i="11"/>
  <c r="R3872" i="11"/>
  <c r="S3872" i="11"/>
  <c r="N3872" i="11"/>
  <c r="M3873" i="11"/>
  <c r="D3873" i="11" l="1"/>
  <c r="C3873" i="11"/>
  <c r="R3873" i="11"/>
  <c r="S3873" i="11"/>
  <c r="N3873" i="11"/>
  <c r="M3874" i="11"/>
  <c r="D3874" i="11" l="1"/>
  <c r="C3874" i="11"/>
  <c r="R3874" i="11"/>
  <c r="S3874" i="11"/>
  <c r="N3874" i="11"/>
  <c r="M3875" i="11"/>
  <c r="D3875" i="11" l="1"/>
  <c r="C3875" i="11"/>
  <c r="R3875" i="11"/>
  <c r="S3875" i="11"/>
  <c r="N3875" i="11"/>
  <c r="M3876" i="11"/>
  <c r="D3876" i="11" l="1"/>
  <c r="C3876" i="11"/>
  <c r="R3876" i="11"/>
  <c r="S3876" i="11"/>
  <c r="N3876" i="11"/>
  <c r="M3877" i="11"/>
  <c r="D3877" i="11" l="1"/>
  <c r="C3877" i="11"/>
  <c r="R3877" i="11"/>
  <c r="S3877" i="11"/>
  <c r="N3877" i="11"/>
  <c r="M3878" i="11"/>
  <c r="D3878" i="11" l="1"/>
  <c r="C3878" i="11"/>
  <c r="R3878" i="11"/>
  <c r="S3878" i="11"/>
  <c r="N3878" i="11"/>
  <c r="M3879" i="11"/>
  <c r="D3879" i="11" l="1"/>
  <c r="C3879" i="11"/>
  <c r="R3879" i="11"/>
  <c r="S3879" i="11"/>
  <c r="N3879" i="11"/>
  <c r="M3880" i="11"/>
  <c r="D3880" i="11" l="1"/>
  <c r="C3880" i="11"/>
  <c r="R3880" i="11"/>
  <c r="S3880" i="11"/>
  <c r="N3880" i="11"/>
  <c r="M3881" i="11"/>
  <c r="D3881" i="11" l="1"/>
  <c r="C3881" i="11"/>
  <c r="R3881" i="11"/>
  <c r="S3881" i="11"/>
  <c r="N3881" i="11"/>
  <c r="M3882" i="11"/>
  <c r="D3882" i="11" l="1"/>
  <c r="C3882" i="11"/>
  <c r="R3882" i="11"/>
  <c r="S3882" i="11"/>
  <c r="N3882" i="11"/>
  <c r="M3883" i="11"/>
  <c r="D3883" i="11" l="1"/>
  <c r="C3883" i="11"/>
  <c r="R3883" i="11"/>
  <c r="S3883" i="11"/>
  <c r="N3883" i="11"/>
  <c r="M3884" i="11"/>
  <c r="D3884" i="11" l="1"/>
  <c r="C3884" i="11"/>
  <c r="R3884" i="11"/>
  <c r="S3884" i="11"/>
  <c r="N3884" i="11"/>
  <c r="M3885" i="11"/>
  <c r="D3885" i="11" l="1"/>
  <c r="C3885" i="11"/>
  <c r="R3885" i="11"/>
  <c r="S3885" i="11"/>
  <c r="N3885" i="11"/>
  <c r="M3886" i="11"/>
  <c r="D3886" i="11" l="1"/>
  <c r="C3886" i="11"/>
  <c r="R3886" i="11"/>
  <c r="S3886" i="11"/>
  <c r="N3886" i="11"/>
  <c r="M3887" i="11"/>
  <c r="D3887" i="11" l="1"/>
  <c r="C3887" i="11"/>
  <c r="R3887" i="11"/>
  <c r="S3887" i="11"/>
  <c r="N3887" i="11"/>
  <c r="M3888" i="11"/>
  <c r="D3888" i="11" l="1"/>
  <c r="C3888" i="11"/>
  <c r="R3888" i="11"/>
  <c r="S3888" i="11"/>
  <c r="N3888" i="11"/>
  <c r="M3889" i="11"/>
  <c r="D3889" i="11" l="1"/>
  <c r="C3889" i="11"/>
  <c r="R3889" i="11"/>
  <c r="S3889" i="11"/>
  <c r="N3889" i="11"/>
  <c r="M3890" i="11"/>
  <c r="D3890" i="11" l="1"/>
  <c r="C3890" i="11"/>
  <c r="R3890" i="11"/>
  <c r="S3890" i="11"/>
  <c r="N3890" i="11"/>
  <c r="M3891" i="11"/>
  <c r="D3891" i="11" l="1"/>
  <c r="C3891" i="11"/>
  <c r="R3891" i="11"/>
  <c r="S3891" i="11"/>
  <c r="N3891" i="11"/>
  <c r="M3892" i="11"/>
  <c r="D3892" i="11" l="1"/>
  <c r="C3892" i="11"/>
  <c r="R3892" i="11"/>
  <c r="S3892" i="11"/>
  <c r="N3892" i="11"/>
  <c r="M3893" i="11"/>
  <c r="D3893" i="11" l="1"/>
  <c r="C3893" i="11"/>
  <c r="R3893" i="11"/>
  <c r="S3893" i="11"/>
  <c r="N3893" i="11"/>
  <c r="M3894" i="11"/>
  <c r="D3894" i="11" l="1"/>
  <c r="C3894" i="11"/>
  <c r="R3894" i="11"/>
  <c r="S3894" i="11"/>
  <c r="N3894" i="11"/>
  <c r="M3895" i="11"/>
  <c r="D3895" i="11" l="1"/>
  <c r="C3895" i="11"/>
  <c r="R3895" i="11"/>
  <c r="S3895" i="11"/>
  <c r="N3895" i="11"/>
  <c r="M3896" i="11"/>
  <c r="D3896" i="11" l="1"/>
  <c r="C3896" i="11"/>
  <c r="R3896" i="11"/>
  <c r="S3896" i="11"/>
  <c r="N3896" i="11"/>
  <c r="M3897" i="11"/>
  <c r="D3897" i="11" l="1"/>
  <c r="C3897" i="11"/>
  <c r="R3897" i="11"/>
  <c r="S3897" i="11"/>
  <c r="N3897" i="11"/>
  <c r="M3898" i="11"/>
  <c r="D3898" i="11" l="1"/>
  <c r="C3898" i="11"/>
  <c r="R3898" i="11"/>
  <c r="S3898" i="11"/>
  <c r="N3898" i="11"/>
  <c r="M3899" i="11"/>
  <c r="D3899" i="11" l="1"/>
  <c r="C3899" i="11"/>
  <c r="R3899" i="11"/>
  <c r="S3899" i="11"/>
  <c r="N3899" i="11"/>
  <c r="M3900" i="11"/>
  <c r="D3900" i="11" l="1"/>
  <c r="C3900" i="11"/>
  <c r="R3900" i="11"/>
  <c r="S3900" i="11"/>
  <c r="N3900" i="11"/>
  <c r="M3901" i="11"/>
  <c r="D3901" i="11" l="1"/>
  <c r="C3901" i="11"/>
  <c r="R3901" i="11"/>
  <c r="S3901" i="11"/>
  <c r="N3901" i="11"/>
  <c r="M3902" i="11"/>
  <c r="D3902" i="11" l="1"/>
  <c r="C3902" i="11"/>
  <c r="R3902" i="11"/>
  <c r="S3902" i="11"/>
  <c r="N3902" i="11"/>
  <c r="M3903" i="11"/>
  <c r="D3903" i="11" l="1"/>
  <c r="C3903" i="11"/>
  <c r="R3903" i="11"/>
  <c r="S3903" i="11"/>
  <c r="N3903" i="11"/>
  <c r="M3904" i="11"/>
  <c r="D3904" i="11" l="1"/>
  <c r="C3904" i="11"/>
  <c r="R3904" i="11"/>
  <c r="S3904" i="11"/>
  <c r="N3904" i="11"/>
  <c r="M3905" i="11"/>
  <c r="D3905" i="11" l="1"/>
  <c r="C3905" i="11"/>
  <c r="R3905" i="11"/>
  <c r="S3905" i="11"/>
  <c r="N3905" i="11"/>
  <c r="M3906" i="11"/>
  <c r="D3906" i="11" l="1"/>
  <c r="C3906" i="11"/>
  <c r="R3906" i="11"/>
  <c r="S3906" i="11"/>
  <c r="N3906" i="11"/>
  <c r="M3907" i="11"/>
  <c r="D3907" i="11" l="1"/>
  <c r="C3907" i="11"/>
  <c r="R3907" i="11"/>
  <c r="S3907" i="11"/>
  <c r="N3907" i="11"/>
  <c r="M3908" i="11"/>
  <c r="D3908" i="11" l="1"/>
  <c r="C3908" i="11"/>
  <c r="R3908" i="11"/>
  <c r="S3908" i="11"/>
  <c r="N3908" i="11"/>
  <c r="M3909" i="11"/>
  <c r="D3909" i="11" l="1"/>
  <c r="C3909" i="11"/>
  <c r="R3909" i="11"/>
  <c r="S3909" i="11"/>
  <c r="N3909" i="11"/>
  <c r="M3910" i="11"/>
  <c r="D3910" i="11" l="1"/>
  <c r="C3910" i="11"/>
  <c r="R3910" i="11"/>
  <c r="S3910" i="11"/>
  <c r="N3910" i="11"/>
  <c r="M3911" i="11"/>
  <c r="D3911" i="11" l="1"/>
  <c r="C3911" i="11"/>
  <c r="R3911" i="11"/>
  <c r="S3911" i="11"/>
  <c r="N3911" i="11"/>
  <c r="M3912" i="11"/>
  <c r="D3912" i="11" l="1"/>
  <c r="C3912" i="11"/>
  <c r="R3912" i="11"/>
  <c r="S3912" i="11"/>
  <c r="N3912" i="11"/>
  <c r="M3913" i="11"/>
  <c r="D3913" i="11" l="1"/>
  <c r="C3913" i="11"/>
  <c r="R3913" i="11"/>
  <c r="S3913" i="11"/>
  <c r="N3913" i="11"/>
  <c r="M3914" i="11"/>
  <c r="D3914" i="11" l="1"/>
  <c r="C3914" i="11"/>
  <c r="R3914" i="11"/>
  <c r="S3914" i="11"/>
  <c r="N3914" i="11"/>
  <c r="M3915" i="11"/>
  <c r="D3915" i="11" l="1"/>
  <c r="C3915" i="11"/>
  <c r="R3915" i="11"/>
  <c r="S3915" i="11"/>
  <c r="N3915" i="11"/>
  <c r="M3916" i="11"/>
  <c r="D3916" i="11" l="1"/>
  <c r="C3916" i="11"/>
  <c r="R3916" i="11"/>
  <c r="S3916" i="11"/>
  <c r="N3916" i="11"/>
  <c r="M3917" i="11"/>
  <c r="D3917" i="11" l="1"/>
  <c r="C3917" i="11"/>
  <c r="R3917" i="11"/>
  <c r="S3917" i="11"/>
  <c r="N3917" i="11"/>
  <c r="M3918" i="11"/>
  <c r="D3918" i="11" l="1"/>
  <c r="C3918" i="11"/>
  <c r="R3918" i="11"/>
  <c r="S3918" i="11"/>
  <c r="N3918" i="11"/>
  <c r="M3919" i="11"/>
  <c r="D3919" i="11" l="1"/>
  <c r="C3919" i="11"/>
  <c r="R3919" i="11"/>
  <c r="S3919" i="11"/>
  <c r="N3919" i="11"/>
  <c r="M3920" i="11"/>
  <c r="D3920" i="11" l="1"/>
  <c r="C3920" i="11"/>
  <c r="R3920" i="11"/>
  <c r="S3920" i="11"/>
  <c r="N3920" i="11"/>
  <c r="M3921" i="11"/>
  <c r="D3921" i="11" l="1"/>
  <c r="C3921" i="11"/>
  <c r="R3921" i="11"/>
  <c r="S3921" i="11"/>
  <c r="N3921" i="11"/>
  <c r="M3922" i="11"/>
  <c r="D3922" i="11" l="1"/>
  <c r="C3922" i="11"/>
  <c r="R3922" i="11"/>
  <c r="S3922" i="11"/>
  <c r="N3922" i="11"/>
  <c r="M3923" i="11"/>
  <c r="D3923" i="11" l="1"/>
  <c r="C3923" i="11"/>
  <c r="R3923" i="11"/>
  <c r="S3923" i="11"/>
  <c r="N3923" i="11"/>
  <c r="M3924" i="11"/>
  <c r="D3924" i="11" l="1"/>
  <c r="C3924" i="11"/>
  <c r="R3924" i="11"/>
  <c r="S3924" i="11"/>
  <c r="N3924" i="11"/>
  <c r="M3925" i="11"/>
  <c r="D3925" i="11" l="1"/>
  <c r="C3925" i="11"/>
  <c r="R3925" i="11"/>
  <c r="S3925" i="11"/>
  <c r="N3925" i="11"/>
  <c r="M3926" i="11"/>
  <c r="D3926" i="11" l="1"/>
  <c r="C3926" i="11"/>
  <c r="R3926" i="11"/>
  <c r="S3926" i="11"/>
  <c r="N3926" i="11"/>
  <c r="M3927" i="11"/>
  <c r="D3927" i="11" l="1"/>
  <c r="C3927" i="11"/>
  <c r="R3927" i="11"/>
  <c r="S3927" i="11"/>
  <c r="N3927" i="11"/>
  <c r="M3928" i="11"/>
  <c r="D3928" i="11" l="1"/>
  <c r="C3928" i="11"/>
  <c r="R3928" i="11"/>
  <c r="S3928" i="11"/>
  <c r="N3928" i="11"/>
  <c r="M3929" i="11"/>
  <c r="D3929" i="11" l="1"/>
  <c r="C3929" i="11"/>
  <c r="R3929" i="11"/>
  <c r="S3929" i="11"/>
  <c r="N3929" i="11"/>
  <c r="M3930" i="11"/>
  <c r="D3930" i="11" l="1"/>
  <c r="C3930" i="11"/>
  <c r="R3930" i="11"/>
  <c r="S3930" i="11"/>
  <c r="N3930" i="11"/>
  <c r="M3931" i="11"/>
  <c r="D3931" i="11" l="1"/>
  <c r="C3931" i="11"/>
  <c r="R3931" i="11"/>
  <c r="S3931" i="11"/>
  <c r="N3931" i="11"/>
  <c r="M3932" i="11"/>
  <c r="D3932" i="11" l="1"/>
  <c r="C3932" i="11"/>
  <c r="R3932" i="11"/>
  <c r="S3932" i="11"/>
  <c r="N3932" i="11"/>
  <c r="M3933" i="11"/>
  <c r="D3933" i="11" l="1"/>
  <c r="C3933" i="11"/>
  <c r="R3933" i="11"/>
  <c r="S3933" i="11"/>
  <c r="N3933" i="11"/>
  <c r="M3934" i="11"/>
  <c r="D3934" i="11" l="1"/>
  <c r="C3934" i="11"/>
  <c r="R3934" i="11"/>
  <c r="S3934" i="11"/>
  <c r="N3934" i="11"/>
  <c r="M3935" i="11"/>
  <c r="D3935" i="11" l="1"/>
  <c r="C3935" i="11"/>
  <c r="R3935" i="11"/>
  <c r="S3935" i="11"/>
  <c r="N3935" i="11"/>
  <c r="M3936" i="11"/>
  <c r="D3936" i="11" l="1"/>
  <c r="C3936" i="11"/>
  <c r="R3936" i="11"/>
  <c r="S3936" i="11"/>
  <c r="N3936" i="11"/>
  <c r="M3937" i="11"/>
  <c r="D3937" i="11" l="1"/>
  <c r="C3937" i="11"/>
  <c r="R3937" i="11"/>
  <c r="S3937" i="11"/>
  <c r="N3937" i="11"/>
  <c r="M3938" i="11"/>
  <c r="D3938" i="11" l="1"/>
  <c r="C3938" i="11"/>
  <c r="R3938" i="11"/>
  <c r="S3938" i="11"/>
  <c r="N3938" i="11"/>
  <c r="M3939" i="11"/>
  <c r="D3939" i="11" l="1"/>
  <c r="C3939" i="11"/>
  <c r="R3939" i="11"/>
  <c r="S3939" i="11"/>
  <c r="N3939" i="11"/>
  <c r="M3940" i="11"/>
  <c r="D3940" i="11" l="1"/>
  <c r="C3940" i="11"/>
  <c r="R3940" i="11"/>
  <c r="S3940" i="11"/>
  <c r="N3940" i="11"/>
  <c r="M3941" i="11"/>
  <c r="D3941" i="11" l="1"/>
  <c r="C3941" i="11"/>
  <c r="R3941" i="11"/>
  <c r="S3941" i="11"/>
  <c r="N3941" i="11"/>
  <c r="M3942" i="11"/>
  <c r="D3942" i="11" l="1"/>
  <c r="C3942" i="11"/>
  <c r="R3942" i="11"/>
  <c r="S3942" i="11"/>
  <c r="N3942" i="11"/>
  <c r="M3943" i="11"/>
  <c r="D3943" i="11" l="1"/>
  <c r="C3943" i="11"/>
  <c r="R3943" i="11"/>
  <c r="S3943" i="11"/>
  <c r="N3943" i="11"/>
  <c r="M3944" i="11"/>
  <c r="D3944" i="11" l="1"/>
  <c r="C3944" i="11"/>
  <c r="R3944" i="11"/>
  <c r="S3944" i="11"/>
  <c r="N3944" i="11"/>
  <c r="M3945" i="11"/>
  <c r="D3945" i="11" l="1"/>
  <c r="C3945" i="11"/>
  <c r="R3945" i="11"/>
  <c r="S3945" i="11"/>
  <c r="N3945" i="11"/>
  <c r="M3946" i="11"/>
  <c r="D3946" i="11" l="1"/>
  <c r="C3946" i="11"/>
  <c r="R3946" i="11"/>
  <c r="S3946" i="11"/>
  <c r="N3946" i="11"/>
  <c r="M3947" i="11"/>
  <c r="D3947" i="11" l="1"/>
  <c r="C3947" i="11"/>
  <c r="R3947" i="11"/>
  <c r="S3947" i="11"/>
  <c r="N3947" i="11"/>
  <c r="M3948" i="11"/>
  <c r="D3948" i="11" l="1"/>
  <c r="C3948" i="11"/>
  <c r="R3948" i="11"/>
  <c r="S3948" i="11"/>
  <c r="N3948" i="11"/>
  <c r="M3949" i="11"/>
  <c r="D3949" i="11" l="1"/>
  <c r="C3949" i="11"/>
  <c r="R3949" i="11"/>
  <c r="S3949" i="11"/>
  <c r="N3949" i="11"/>
  <c r="M3950" i="11"/>
  <c r="D3950" i="11" l="1"/>
  <c r="C3950" i="11"/>
  <c r="R3950" i="11"/>
  <c r="S3950" i="11"/>
  <c r="N3950" i="11"/>
  <c r="M3951" i="11"/>
  <c r="D3951" i="11" l="1"/>
  <c r="C3951" i="11"/>
  <c r="R3951" i="11"/>
  <c r="S3951" i="11"/>
  <c r="N3951" i="11"/>
  <c r="M3952" i="11"/>
  <c r="D3952" i="11" l="1"/>
  <c r="C3952" i="11"/>
  <c r="R3952" i="11"/>
  <c r="S3952" i="11"/>
  <c r="N3952" i="11"/>
  <c r="M3953" i="11"/>
  <c r="D3953" i="11" l="1"/>
  <c r="C3953" i="11"/>
  <c r="R3953" i="11"/>
  <c r="S3953" i="11"/>
  <c r="N3953" i="11"/>
  <c r="M3954" i="11"/>
  <c r="D3954" i="11" l="1"/>
  <c r="C3954" i="11"/>
  <c r="R3954" i="11"/>
  <c r="S3954" i="11"/>
  <c r="N3954" i="11"/>
  <c r="M3955" i="11"/>
  <c r="D3955" i="11" l="1"/>
  <c r="C3955" i="11"/>
  <c r="R3955" i="11"/>
  <c r="S3955" i="11"/>
  <c r="N3955" i="11"/>
  <c r="M3956" i="11"/>
  <c r="D3956" i="11" l="1"/>
  <c r="C3956" i="11"/>
  <c r="R3956" i="11"/>
  <c r="S3956" i="11"/>
  <c r="N3956" i="11"/>
  <c r="M3957" i="11"/>
  <c r="D3957" i="11" l="1"/>
  <c r="C3957" i="11"/>
  <c r="R3957" i="11"/>
  <c r="S3957" i="11"/>
  <c r="N3957" i="11"/>
  <c r="M3958" i="11"/>
  <c r="D3958" i="11" l="1"/>
  <c r="C3958" i="11"/>
  <c r="R3958" i="11"/>
  <c r="S3958" i="11"/>
  <c r="N3958" i="11"/>
  <c r="M3959" i="11"/>
  <c r="D3959" i="11" l="1"/>
  <c r="C3959" i="11"/>
  <c r="R3959" i="11"/>
  <c r="S3959" i="11"/>
  <c r="N3959" i="11"/>
  <c r="M3960" i="11"/>
  <c r="D3960" i="11" l="1"/>
  <c r="C3960" i="11"/>
  <c r="R3960" i="11"/>
  <c r="S3960" i="11"/>
  <c r="N3960" i="11"/>
  <c r="M3961" i="11"/>
  <c r="D3961" i="11" l="1"/>
  <c r="C3961" i="11"/>
  <c r="R3961" i="11"/>
  <c r="S3961" i="11"/>
  <c r="N3961" i="11"/>
  <c r="M3962" i="11"/>
  <c r="D3962" i="11" l="1"/>
  <c r="C3962" i="11"/>
  <c r="R3962" i="11"/>
  <c r="S3962" i="11"/>
  <c r="N3962" i="11"/>
  <c r="M3963" i="11"/>
  <c r="D3963" i="11" l="1"/>
  <c r="C3963" i="11"/>
  <c r="R3963" i="11"/>
  <c r="S3963" i="11"/>
  <c r="N3963" i="11"/>
  <c r="M3964" i="11"/>
  <c r="D3964" i="11" l="1"/>
  <c r="C3964" i="11"/>
  <c r="R3964" i="11"/>
  <c r="S3964" i="11"/>
  <c r="N3964" i="11"/>
  <c r="M3965" i="11"/>
  <c r="D3965" i="11" l="1"/>
  <c r="C3965" i="11"/>
  <c r="R3965" i="11"/>
  <c r="S3965" i="11"/>
  <c r="N3965" i="11"/>
  <c r="M3966" i="11"/>
  <c r="D3966" i="11" l="1"/>
  <c r="C3966" i="11"/>
  <c r="R3966" i="11"/>
  <c r="S3966" i="11"/>
  <c r="N3966" i="11"/>
  <c r="M3967" i="11"/>
  <c r="D3967" i="11" l="1"/>
  <c r="C3967" i="11"/>
  <c r="R3967" i="11"/>
  <c r="S3967" i="11"/>
  <c r="N3967" i="11"/>
  <c r="M3968" i="11"/>
  <c r="D3968" i="11" l="1"/>
  <c r="C3968" i="11"/>
  <c r="R3968" i="11"/>
  <c r="S3968" i="11"/>
  <c r="N3968" i="11"/>
  <c r="M3969" i="11"/>
  <c r="D3969" i="11" l="1"/>
  <c r="C3969" i="11"/>
  <c r="R3969" i="11"/>
  <c r="S3969" i="11"/>
  <c r="N3969" i="11"/>
  <c r="M3970" i="11"/>
  <c r="D3970" i="11" l="1"/>
  <c r="C3970" i="11"/>
  <c r="R3970" i="11"/>
  <c r="S3970" i="11"/>
  <c r="N3970" i="11"/>
  <c r="M3971" i="11"/>
  <c r="D3971" i="11" l="1"/>
  <c r="C3971" i="11"/>
  <c r="R3971" i="11"/>
  <c r="S3971" i="11"/>
  <c r="N3971" i="11"/>
  <c r="M3972" i="11"/>
  <c r="D3972" i="11" l="1"/>
  <c r="C3972" i="11"/>
  <c r="R3972" i="11"/>
  <c r="S3972" i="11"/>
  <c r="N3972" i="11"/>
  <c r="M3973" i="11"/>
  <c r="D3973" i="11" l="1"/>
  <c r="C3973" i="11"/>
  <c r="R3973" i="11"/>
  <c r="S3973" i="11"/>
  <c r="N3973" i="11"/>
  <c r="M3974" i="11"/>
  <c r="D3974" i="11" l="1"/>
  <c r="C3974" i="11"/>
  <c r="R3974" i="11"/>
  <c r="S3974" i="11"/>
  <c r="N3974" i="11"/>
  <c r="M3975" i="11"/>
  <c r="D3975" i="11" l="1"/>
  <c r="C3975" i="11"/>
  <c r="R3975" i="11"/>
  <c r="S3975" i="11"/>
  <c r="N3975" i="11"/>
  <c r="M3976" i="11"/>
  <c r="D3976" i="11" l="1"/>
  <c r="C3976" i="11"/>
  <c r="R3976" i="11"/>
  <c r="S3976" i="11"/>
  <c r="N3976" i="11"/>
  <c r="M3977" i="11"/>
  <c r="D3977" i="11" l="1"/>
  <c r="C3977" i="11"/>
  <c r="R3977" i="11"/>
  <c r="S3977" i="11"/>
  <c r="N3977" i="11"/>
  <c r="M3978" i="11"/>
  <c r="D3978" i="11" l="1"/>
  <c r="C3978" i="11"/>
  <c r="R3978" i="11"/>
  <c r="S3978" i="11"/>
  <c r="N3978" i="11"/>
  <c r="M3979" i="11"/>
  <c r="D3979" i="11" l="1"/>
  <c r="C3979" i="11"/>
  <c r="R3979" i="11"/>
  <c r="S3979" i="11"/>
  <c r="N3979" i="11"/>
  <c r="M3980" i="11"/>
  <c r="D3980" i="11" l="1"/>
  <c r="C3980" i="11"/>
  <c r="R3980" i="11"/>
  <c r="S3980" i="11"/>
  <c r="N3980" i="11"/>
  <c r="M3981" i="11"/>
  <c r="D3981" i="11" l="1"/>
  <c r="C3981" i="11"/>
  <c r="R3981" i="11"/>
  <c r="S3981" i="11"/>
  <c r="N3981" i="11"/>
  <c r="M3982" i="11"/>
  <c r="D3982" i="11" l="1"/>
  <c r="C3982" i="11"/>
  <c r="R3982" i="11"/>
  <c r="S3982" i="11"/>
  <c r="N3982" i="11"/>
  <c r="M3983" i="11"/>
  <c r="D3983" i="11" l="1"/>
  <c r="C3983" i="11"/>
  <c r="R3983" i="11"/>
  <c r="S3983" i="11"/>
  <c r="N3983" i="11"/>
  <c r="M3984" i="11"/>
  <c r="D3984" i="11" l="1"/>
  <c r="C3984" i="11"/>
  <c r="R3984" i="11"/>
  <c r="S3984" i="11"/>
  <c r="N3984" i="11"/>
  <c r="M3985" i="11"/>
  <c r="D3985" i="11" l="1"/>
  <c r="C3985" i="11"/>
  <c r="S3985" i="11"/>
  <c r="R3985" i="11"/>
  <c r="N3985" i="11"/>
  <c r="M3986" i="11"/>
  <c r="D3986" i="11" l="1"/>
  <c r="C3986" i="11"/>
  <c r="R3986" i="11"/>
  <c r="S3986" i="11"/>
  <c r="N3986" i="11"/>
  <c r="M3987" i="11"/>
  <c r="D3987" i="11" l="1"/>
  <c r="C3987" i="11"/>
  <c r="S3987" i="11"/>
  <c r="R3987" i="11"/>
  <c r="N3987" i="11"/>
  <c r="M3988" i="11"/>
  <c r="D3988" i="11" l="1"/>
  <c r="C3988" i="11"/>
  <c r="R3988" i="11"/>
  <c r="S3988" i="11"/>
  <c r="N3988" i="11"/>
  <c r="M3989" i="11"/>
  <c r="D3989" i="11" l="1"/>
  <c r="C3989" i="11"/>
  <c r="S3989" i="11"/>
  <c r="R3989" i="11"/>
  <c r="N3989" i="11"/>
  <c r="M3990" i="11"/>
  <c r="D3990" i="11" l="1"/>
  <c r="C3990" i="11"/>
  <c r="R3990" i="11"/>
  <c r="S3990" i="11"/>
  <c r="N3990" i="11"/>
  <c r="M3991" i="11"/>
  <c r="D3991" i="11" l="1"/>
  <c r="C3991" i="11"/>
  <c r="S3991" i="11"/>
  <c r="R3991" i="11"/>
  <c r="N3991" i="11"/>
  <c r="M3992" i="11"/>
  <c r="D3992" i="11" l="1"/>
  <c r="C3992" i="11"/>
  <c r="R3992" i="11"/>
  <c r="S3992" i="11"/>
  <c r="N3992" i="11"/>
  <c r="M3993" i="11"/>
  <c r="D3993" i="11" l="1"/>
  <c r="C3993" i="11"/>
  <c r="S3993" i="11"/>
  <c r="R3993" i="11"/>
  <c r="N3993" i="11"/>
  <c r="M3994" i="11"/>
  <c r="D3994" i="11" l="1"/>
  <c r="C3994" i="11"/>
  <c r="R3994" i="11"/>
  <c r="S3994" i="11"/>
  <c r="N3994" i="11"/>
  <c r="M3995" i="11"/>
  <c r="D3995" i="11" l="1"/>
  <c r="C3995" i="11"/>
  <c r="S3995" i="11"/>
  <c r="R3995" i="11"/>
  <c r="N3995" i="11"/>
  <c r="M3996" i="11"/>
  <c r="D3996" i="11" l="1"/>
  <c r="C3996" i="11"/>
  <c r="R3996" i="11"/>
  <c r="S3996" i="11"/>
  <c r="N3996" i="11"/>
  <c r="M3997" i="11"/>
  <c r="D3997" i="11" l="1"/>
  <c r="C3997" i="11"/>
  <c r="S3997" i="11"/>
  <c r="R3997" i="11"/>
  <c r="N3997" i="11"/>
  <c r="M3998" i="11"/>
  <c r="D3998" i="11" l="1"/>
  <c r="C3998" i="11"/>
  <c r="R3998" i="11"/>
  <c r="S3998" i="11"/>
  <c r="N3998" i="11"/>
  <c r="M3999" i="11"/>
  <c r="D3999" i="11" l="1"/>
  <c r="C3999" i="11"/>
  <c r="S3999" i="11"/>
  <c r="R3999" i="11"/>
  <c r="N3999" i="11"/>
  <c r="M4000" i="11"/>
  <c r="D4000" i="11" l="1"/>
  <c r="C4000" i="11"/>
  <c r="R4000" i="11"/>
  <c r="S4000" i="11"/>
  <c r="N4000" i="11"/>
  <c r="M4001" i="11"/>
  <c r="D4001" i="11" l="1"/>
  <c r="C4001" i="11"/>
  <c r="S4001" i="11"/>
  <c r="R4001" i="11"/>
  <c r="N4001" i="11"/>
  <c r="M4002" i="11"/>
  <c r="D4002" i="11" l="1"/>
  <c r="C4002" i="11"/>
  <c r="R4002" i="11"/>
  <c r="S4002" i="11"/>
  <c r="N4002" i="11"/>
  <c r="M4003" i="11"/>
  <c r="D4003" i="11" l="1"/>
  <c r="C4003" i="11"/>
  <c r="S4003" i="11"/>
  <c r="R4003" i="11"/>
  <c r="N4003" i="11"/>
  <c r="M4004" i="11"/>
  <c r="D4004" i="11" l="1"/>
  <c r="C4004" i="11"/>
  <c r="R4004" i="11"/>
  <c r="S4004" i="11"/>
  <c r="N4004" i="11"/>
  <c r="M4005" i="11"/>
  <c r="D4005" i="11" l="1"/>
  <c r="C4005" i="11"/>
  <c r="S4005" i="11"/>
  <c r="R4005" i="11"/>
  <c r="N4005" i="11"/>
  <c r="M4006" i="11"/>
  <c r="D4006" i="11" l="1"/>
  <c r="C4006" i="11"/>
  <c r="R4006" i="11"/>
  <c r="S4006" i="11"/>
  <c r="N4006" i="11"/>
  <c r="M4007" i="11"/>
  <c r="D4007" i="11" l="1"/>
  <c r="C4007" i="11"/>
  <c r="S4007" i="11"/>
  <c r="R4007" i="11"/>
  <c r="N4007" i="11"/>
  <c r="M4008" i="11"/>
  <c r="D4008" i="11" l="1"/>
  <c r="C4008" i="11"/>
  <c r="R4008" i="11"/>
  <c r="S4008" i="11"/>
  <c r="N4008" i="11"/>
  <c r="M4009" i="11"/>
  <c r="D4009" i="11" l="1"/>
  <c r="C4009" i="11"/>
  <c r="S4009" i="11"/>
  <c r="R4009" i="11"/>
  <c r="N4009" i="11"/>
  <c r="M4010" i="11"/>
  <c r="D4010" i="11" l="1"/>
  <c r="C4010" i="11"/>
  <c r="R4010" i="11"/>
  <c r="S4010" i="11"/>
  <c r="N4010" i="11"/>
  <c r="M4011" i="11"/>
  <c r="D4011" i="11" l="1"/>
  <c r="C4011" i="11"/>
  <c r="S4011" i="11"/>
  <c r="R4011" i="11"/>
  <c r="N4011" i="11"/>
  <c r="M4012" i="11"/>
  <c r="D4012" i="11" l="1"/>
  <c r="C4012" i="11"/>
  <c r="R4012" i="11"/>
  <c r="S4012" i="11"/>
  <c r="N4012" i="11"/>
  <c r="M4013" i="11"/>
  <c r="D4013" i="11" l="1"/>
  <c r="C4013" i="11"/>
  <c r="S4013" i="11"/>
  <c r="R4013" i="11"/>
  <c r="N4013" i="11"/>
  <c r="M4014" i="11"/>
  <c r="D4014" i="11" l="1"/>
  <c r="C4014" i="11"/>
  <c r="R4014" i="11"/>
  <c r="S4014" i="11"/>
  <c r="N4014" i="11"/>
  <c r="M4015" i="11"/>
  <c r="D4015" i="11" l="1"/>
  <c r="C4015" i="11"/>
  <c r="S4015" i="11"/>
  <c r="R4015" i="11"/>
  <c r="N4015" i="11"/>
  <c r="M4016" i="11"/>
  <c r="D4016" i="11" l="1"/>
  <c r="C4016" i="11"/>
  <c r="R4016" i="11"/>
  <c r="S4016" i="11"/>
  <c r="N4016" i="11"/>
  <c r="M4017" i="11"/>
  <c r="D4017" i="11" l="1"/>
  <c r="C4017" i="11"/>
  <c r="S4017" i="11"/>
  <c r="R4017" i="11"/>
  <c r="N4017" i="11"/>
  <c r="M4018" i="11"/>
  <c r="D4018" i="11" l="1"/>
  <c r="C4018" i="11"/>
  <c r="R4018" i="11"/>
  <c r="S4018" i="11"/>
  <c r="N4018" i="11"/>
  <c r="M4019" i="11"/>
  <c r="D4019" i="11" l="1"/>
  <c r="C4019" i="11"/>
  <c r="S4019" i="11"/>
  <c r="R4019" i="11"/>
  <c r="N4019" i="11"/>
  <c r="M4020" i="11"/>
  <c r="D4020" i="11" l="1"/>
  <c r="C4020" i="11"/>
  <c r="R4020" i="11"/>
  <c r="S4020" i="11"/>
  <c r="N4020" i="11"/>
  <c r="M4021" i="11"/>
  <c r="D4021" i="11" l="1"/>
  <c r="C4021" i="11"/>
  <c r="S4021" i="11"/>
  <c r="R4021" i="11"/>
  <c r="N4021" i="11"/>
  <c r="M4022" i="11"/>
  <c r="D4022" i="11" l="1"/>
  <c r="C4022" i="11"/>
  <c r="R4022" i="11"/>
  <c r="S4022" i="11"/>
  <c r="N4022" i="11"/>
  <c r="M4023" i="11"/>
  <c r="D4023" i="11" l="1"/>
  <c r="C4023" i="11"/>
  <c r="S4023" i="11"/>
  <c r="R4023" i="11"/>
  <c r="N4023" i="11"/>
  <c r="M4024" i="11"/>
  <c r="D4024" i="11" l="1"/>
  <c r="C4024" i="11"/>
  <c r="R4024" i="11"/>
  <c r="S4024" i="11"/>
  <c r="N4024" i="11"/>
  <c r="M4025" i="11"/>
  <c r="D4025" i="11" l="1"/>
  <c r="C4025" i="11"/>
  <c r="S4025" i="11"/>
  <c r="R4025" i="11"/>
  <c r="N4025" i="11"/>
  <c r="M4026" i="11"/>
  <c r="D4026" i="11" l="1"/>
  <c r="C4026" i="11"/>
  <c r="R4026" i="11"/>
  <c r="S4026" i="11"/>
  <c r="N4026" i="11"/>
  <c r="M4027" i="11"/>
  <c r="D4027" i="11" l="1"/>
  <c r="C4027" i="11"/>
  <c r="S4027" i="11"/>
  <c r="R4027" i="11"/>
  <c r="N4027" i="11"/>
  <c r="M4028" i="11"/>
  <c r="D4028" i="11" l="1"/>
  <c r="C4028" i="11"/>
  <c r="R4028" i="11"/>
  <c r="S4028" i="11"/>
  <c r="N4028" i="11"/>
  <c r="M4029" i="11"/>
  <c r="D4029" i="11" l="1"/>
  <c r="C4029" i="11"/>
  <c r="S4029" i="11"/>
  <c r="R4029" i="11"/>
  <c r="N4029" i="11"/>
  <c r="M4030" i="11"/>
  <c r="D4030" i="11" l="1"/>
  <c r="C4030" i="11"/>
  <c r="R4030" i="11"/>
  <c r="S4030" i="11"/>
  <c r="N4030" i="11"/>
  <c r="M4031" i="11"/>
  <c r="D4031" i="11" l="1"/>
  <c r="C4031" i="11"/>
  <c r="S4031" i="11"/>
  <c r="R4031" i="11"/>
  <c r="N4031" i="11"/>
  <c r="M4032" i="11"/>
  <c r="D4032" i="11" l="1"/>
  <c r="C4032" i="11"/>
  <c r="R4032" i="11"/>
  <c r="S4032" i="11"/>
  <c r="N4032" i="11"/>
  <c r="M4033" i="11"/>
  <c r="D4033" i="11" l="1"/>
  <c r="C4033" i="11"/>
  <c r="S4033" i="11"/>
  <c r="R4033" i="11"/>
  <c r="N4033" i="11"/>
  <c r="M4034" i="11"/>
  <c r="D4034" i="11" l="1"/>
  <c r="C4034" i="11"/>
  <c r="R4034" i="11"/>
  <c r="S4034" i="11"/>
  <c r="N4034" i="11"/>
  <c r="M4035" i="11"/>
  <c r="D4035" i="11" l="1"/>
  <c r="C4035" i="11"/>
  <c r="S4035" i="11"/>
  <c r="R4035" i="11"/>
  <c r="N4035" i="11"/>
  <c r="M4036" i="11"/>
  <c r="D4036" i="11" l="1"/>
  <c r="C4036" i="11"/>
  <c r="R4036" i="11"/>
  <c r="S4036" i="11"/>
  <c r="N4036" i="11"/>
  <c r="M4037" i="11"/>
  <c r="D4037" i="11" l="1"/>
  <c r="C4037" i="11"/>
  <c r="S4037" i="11"/>
  <c r="R4037" i="11"/>
  <c r="N4037" i="11"/>
  <c r="M4038" i="11"/>
  <c r="D4038" i="11" l="1"/>
  <c r="C4038" i="11"/>
  <c r="R4038" i="11"/>
  <c r="S4038" i="11"/>
  <c r="N4038" i="11"/>
  <c r="M4039" i="11"/>
  <c r="D4039" i="11" l="1"/>
  <c r="C4039" i="11"/>
  <c r="S4039" i="11"/>
  <c r="R4039" i="11"/>
  <c r="N4039" i="11"/>
  <c r="M4040" i="11"/>
  <c r="D4040" i="11" l="1"/>
  <c r="C4040" i="11"/>
  <c r="R4040" i="11"/>
  <c r="S4040" i="11"/>
  <c r="N4040" i="11"/>
  <c r="M4041" i="11"/>
  <c r="D4041" i="11" l="1"/>
  <c r="C4041" i="11"/>
  <c r="S4041" i="11"/>
  <c r="R4041" i="11"/>
  <c r="N4041" i="11"/>
  <c r="M4042" i="11"/>
  <c r="D4042" i="11" l="1"/>
  <c r="C4042" i="11"/>
  <c r="R4042" i="11"/>
  <c r="S4042" i="11"/>
  <c r="N4042" i="11"/>
  <c r="M4043" i="11"/>
  <c r="D4043" i="11" l="1"/>
  <c r="C4043" i="11"/>
  <c r="R4043" i="11"/>
  <c r="S4043" i="11"/>
  <c r="N4043" i="11"/>
  <c r="M4044" i="11"/>
  <c r="D4044" i="11" l="1"/>
  <c r="C4044" i="11"/>
  <c r="R4044" i="11"/>
  <c r="S4044" i="11"/>
  <c r="N4044" i="11"/>
  <c r="M4045" i="11"/>
  <c r="D4045" i="11" l="1"/>
  <c r="C4045" i="11"/>
  <c r="R4045" i="11"/>
  <c r="S4045" i="11"/>
  <c r="N4045" i="11"/>
  <c r="M4046" i="11"/>
  <c r="D4046" i="11" l="1"/>
  <c r="C4046" i="11"/>
  <c r="R4046" i="11"/>
  <c r="S4046" i="11"/>
  <c r="N4046" i="11"/>
  <c r="M4047" i="11"/>
  <c r="D4047" i="11" l="1"/>
  <c r="C4047" i="11"/>
  <c r="R4047" i="11"/>
  <c r="S4047" i="11"/>
  <c r="N4047" i="11"/>
  <c r="M4048" i="11"/>
  <c r="D4048" i="11" l="1"/>
  <c r="C4048" i="11"/>
  <c r="R4048" i="11"/>
  <c r="S4048" i="11"/>
  <c r="N4048" i="11"/>
  <c r="M4049" i="11"/>
  <c r="D4049" i="11" l="1"/>
  <c r="C4049" i="11"/>
  <c r="R4049" i="11"/>
  <c r="S4049" i="11"/>
  <c r="N4049" i="11"/>
  <c r="M4050" i="11"/>
  <c r="D4050" i="11" l="1"/>
  <c r="C4050" i="11"/>
  <c r="R4050" i="11"/>
  <c r="S4050" i="11"/>
  <c r="N4050" i="11"/>
  <c r="M4051" i="11"/>
  <c r="D4051" i="11" l="1"/>
  <c r="C4051" i="11"/>
  <c r="R4051" i="11"/>
  <c r="S4051" i="11"/>
  <c r="N4051" i="11"/>
  <c r="M4052" i="11"/>
  <c r="D4052" i="11" l="1"/>
  <c r="C4052" i="11"/>
  <c r="R4052" i="11"/>
  <c r="S4052" i="11"/>
  <c r="N4052" i="11"/>
  <c r="M4053" i="11"/>
  <c r="D4053" i="11" l="1"/>
  <c r="C4053" i="11"/>
  <c r="R4053" i="11"/>
  <c r="S4053" i="11"/>
  <c r="N4053" i="11"/>
  <c r="M4054" i="11"/>
  <c r="D4054" i="11" l="1"/>
  <c r="C4054" i="11"/>
  <c r="R4054" i="11"/>
  <c r="S4054" i="11"/>
  <c r="N4054" i="11"/>
  <c r="M4055" i="11"/>
  <c r="D4055" i="11" l="1"/>
  <c r="C4055" i="11"/>
  <c r="R4055" i="11"/>
  <c r="S4055" i="11"/>
  <c r="N4055" i="11"/>
  <c r="M4056" i="11"/>
  <c r="D4056" i="11" l="1"/>
  <c r="C4056" i="11"/>
  <c r="R4056" i="11"/>
  <c r="S4056" i="11"/>
  <c r="N4056" i="11"/>
  <c r="M4057" i="11"/>
  <c r="D4057" i="11" l="1"/>
  <c r="C4057" i="11"/>
  <c r="R4057" i="11"/>
  <c r="S4057" i="11"/>
  <c r="N4057" i="11"/>
  <c r="M4058" i="11"/>
  <c r="D4058" i="11" l="1"/>
  <c r="C4058" i="11"/>
  <c r="R4058" i="11"/>
  <c r="S4058" i="11"/>
  <c r="N4058" i="11"/>
  <c r="M4059" i="11"/>
  <c r="D4059" i="11" l="1"/>
  <c r="C4059" i="11"/>
  <c r="R4059" i="11"/>
  <c r="S4059" i="11"/>
  <c r="N4059" i="11"/>
  <c r="M4060" i="11"/>
  <c r="D4060" i="11" l="1"/>
  <c r="C4060" i="11"/>
  <c r="R4060" i="11"/>
  <c r="S4060" i="11"/>
  <c r="N4060" i="11"/>
  <c r="M4061" i="11"/>
  <c r="D4061" i="11" l="1"/>
  <c r="C4061" i="11"/>
  <c r="R4061" i="11"/>
  <c r="S4061" i="11"/>
  <c r="N4061" i="11"/>
  <c r="M4062" i="11"/>
  <c r="D4062" i="11" l="1"/>
  <c r="C4062" i="11"/>
  <c r="R4062" i="11"/>
  <c r="S4062" i="11"/>
  <c r="N4062" i="11"/>
  <c r="M4063" i="11"/>
  <c r="D4063" i="11" l="1"/>
  <c r="C4063" i="11"/>
  <c r="R4063" i="11"/>
  <c r="S4063" i="11"/>
  <c r="N4063" i="11"/>
  <c r="M4064" i="11"/>
  <c r="D4064" i="11" l="1"/>
  <c r="C4064" i="11"/>
  <c r="R4064" i="11"/>
  <c r="S4064" i="11"/>
  <c r="N4064" i="11"/>
  <c r="M4065" i="11"/>
  <c r="D4065" i="11" l="1"/>
  <c r="C4065" i="11"/>
  <c r="R4065" i="11"/>
  <c r="S4065" i="11"/>
  <c r="N4065" i="11"/>
  <c r="M4066" i="11"/>
  <c r="D4066" i="11" l="1"/>
  <c r="C4066" i="11"/>
  <c r="R4066" i="11"/>
  <c r="S4066" i="11"/>
  <c r="N4066" i="11"/>
  <c r="M4067" i="11"/>
  <c r="D4067" i="11" l="1"/>
  <c r="C4067" i="11"/>
  <c r="R4067" i="11"/>
  <c r="S4067" i="11"/>
  <c r="N4067" i="11"/>
  <c r="M4068" i="11"/>
  <c r="D4068" i="11" l="1"/>
  <c r="C4068" i="11"/>
  <c r="R4068" i="11"/>
  <c r="S4068" i="11"/>
  <c r="N4068" i="11"/>
  <c r="M4069" i="11"/>
  <c r="D4069" i="11" l="1"/>
  <c r="C4069" i="11"/>
  <c r="R4069" i="11"/>
  <c r="S4069" i="11"/>
  <c r="N4069" i="11"/>
  <c r="M4070" i="11"/>
  <c r="D4070" i="11" l="1"/>
  <c r="C4070" i="11"/>
  <c r="R4070" i="11"/>
  <c r="S4070" i="11"/>
  <c r="N4070" i="11"/>
  <c r="M4071" i="11"/>
  <c r="D4071" i="11" l="1"/>
  <c r="C4071" i="11"/>
  <c r="R4071" i="11"/>
  <c r="S4071" i="11"/>
  <c r="N4071" i="11"/>
  <c r="M4072" i="11"/>
  <c r="D4072" i="11" l="1"/>
  <c r="C4072" i="11"/>
  <c r="R4072" i="11"/>
  <c r="S4072" i="11"/>
  <c r="N4072" i="11"/>
  <c r="M4073" i="11"/>
  <c r="D4073" i="11" l="1"/>
  <c r="C4073" i="11"/>
  <c r="R4073" i="11"/>
  <c r="S4073" i="11"/>
  <c r="N4073" i="11"/>
  <c r="M4074" i="11"/>
  <c r="D4074" i="11" l="1"/>
  <c r="C4074" i="11"/>
  <c r="R4074" i="11"/>
  <c r="S4074" i="11"/>
  <c r="N4074" i="11"/>
  <c r="M4075" i="11"/>
  <c r="D4075" i="11" l="1"/>
  <c r="C4075" i="11"/>
  <c r="R4075" i="11"/>
  <c r="S4075" i="11"/>
  <c r="N4075" i="11"/>
  <c r="M4076" i="11"/>
  <c r="D4076" i="11" l="1"/>
  <c r="C4076" i="11"/>
  <c r="R4076" i="11"/>
  <c r="S4076" i="11"/>
  <c r="N4076" i="11"/>
  <c r="M4077" i="11"/>
  <c r="D4077" i="11" l="1"/>
  <c r="C4077" i="11"/>
  <c r="R4077" i="11"/>
  <c r="S4077" i="11"/>
  <c r="N4077" i="11"/>
  <c r="M4078" i="11"/>
  <c r="D4078" i="11" l="1"/>
  <c r="C4078" i="11"/>
  <c r="R4078" i="11"/>
  <c r="S4078" i="11"/>
  <c r="N4078" i="11"/>
  <c r="M4079" i="11"/>
  <c r="D4079" i="11" l="1"/>
  <c r="C4079" i="11"/>
  <c r="R4079" i="11"/>
  <c r="S4079" i="11"/>
  <c r="N4079" i="11"/>
  <c r="M4080" i="11"/>
  <c r="D4080" i="11" l="1"/>
  <c r="C4080" i="11"/>
  <c r="R4080" i="11"/>
  <c r="S4080" i="11"/>
  <c r="N4080" i="11"/>
  <c r="M4081" i="11"/>
  <c r="D4081" i="11" l="1"/>
  <c r="C4081" i="11"/>
  <c r="R4081" i="11"/>
  <c r="S4081" i="11"/>
  <c r="N4081" i="11"/>
  <c r="M4082" i="11"/>
  <c r="D4082" i="11" l="1"/>
  <c r="C4082" i="11"/>
  <c r="R4082" i="11"/>
  <c r="S4082" i="11"/>
  <c r="N4082" i="11"/>
  <c r="M4083" i="11"/>
  <c r="D4083" i="11" l="1"/>
  <c r="C4083" i="11"/>
  <c r="R4083" i="11"/>
  <c r="S4083" i="11"/>
  <c r="N4083" i="11"/>
  <c r="M4084" i="11"/>
  <c r="D4084" i="11" l="1"/>
  <c r="C4084" i="11"/>
  <c r="R4084" i="11"/>
  <c r="S4084" i="11"/>
  <c r="N4084" i="11"/>
  <c r="M4085" i="11"/>
  <c r="D4085" i="11" l="1"/>
  <c r="C4085" i="11"/>
  <c r="R4085" i="11"/>
  <c r="S4085" i="11"/>
  <c r="N4085" i="11"/>
  <c r="M4086" i="11"/>
  <c r="D4086" i="11" l="1"/>
  <c r="C4086" i="11"/>
  <c r="R4086" i="11"/>
  <c r="S4086" i="11"/>
  <c r="N4086" i="11"/>
  <c r="M4087" i="11"/>
  <c r="D4087" i="11" l="1"/>
  <c r="C4087" i="11"/>
  <c r="R4087" i="11"/>
  <c r="S4087" i="11"/>
  <c r="N4087" i="11"/>
  <c r="M4088" i="11"/>
  <c r="D4088" i="11" l="1"/>
  <c r="C4088" i="11"/>
  <c r="R4088" i="11"/>
  <c r="S4088" i="11"/>
  <c r="N4088" i="11"/>
  <c r="M4089" i="11"/>
  <c r="D4089" i="11" l="1"/>
  <c r="C4089" i="11"/>
  <c r="R4089" i="11"/>
  <c r="S4089" i="11"/>
  <c r="N4089" i="11"/>
  <c r="M4090" i="11"/>
  <c r="D4090" i="11" l="1"/>
  <c r="C4090" i="11"/>
  <c r="R4090" i="11"/>
  <c r="S4090" i="11"/>
  <c r="N4090" i="11"/>
  <c r="M4091" i="11"/>
  <c r="D4091" i="11" l="1"/>
  <c r="C4091" i="11"/>
  <c r="R4091" i="11"/>
  <c r="S4091" i="11"/>
  <c r="N4091" i="11"/>
  <c r="M4092" i="11"/>
  <c r="D4092" i="11" l="1"/>
  <c r="C4092" i="11"/>
  <c r="R4092" i="11"/>
  <c r="S4092" i="11"/>
  <c r="N4092" i="11"/>
  <c r="M4093" i="11"/>
  <c r="D4093" i="11" l="1"/>
  <c r="C4093" i="11"/>
  <c r="R4093" i="11"/>
  <c r="S4093" i="11"/>
  <c r="N4093" i="11"/>
  <c r="M4094" i="11"/>
  <c r="D4094" i="11" l="1"/>
  <c r="C4094" i="11"/>
  <c r="R4094" i="11"/>
  <c r="S4094" i="11"/>
  <c r="N4094" i="11"/>
  <c r="M4095" i="11"/>
  <c r="D4095" i="11" l="1"/>
  <c r="C4095" i="11"/>
  <c r="R4095" i="11"/>
  <c r="S4095" i="11"/>
  <c r="N4095" i="11"/>
  <c r="M4096" i="11"/>
  <c r="D4096" i="11" l="1"/>
  <c r="C4096" i="11"/>
  <c r="R4096" i="11"/>
  <c r="S4096" i="11"/>
  <c r="N4096" i="11"/>
  <c r="M4097" i="11"/>
  <c r="D4097" i="11" l="1"/>
  <c r="C4097" i="11"/>
  <c r="R4097" i="11"/>
  <c r="S4097" i="11"/>
  <c r="N4097" i="11"/>
  <c r="M4098" i="11"/>
  <c r="D4098" i="11" l="1"/>
  <c r="C4098" i="11"/>
  <c r="R4098" i="11"/>
  <c r="S4098" i="11"/>
  <c r="N4098" i="11"/>
  <c r="M4099" i="11"/>
  <c r="D4099" i="11" l="1"/>
  <c r="C4099" i="11"/>
  <c r="R4099" i="11"/>
  <c r="S4099" i="11"/>
  <c r="N4099" i="11"/>
  <c r="M4100" i="11"/>
  <c r="D4100" i="11" l="1"/>
  <c r="C4100" i="11"/>
  <c r="R4100" i="11"/>
  <c r="S4100" i="11"/>
  <c r="N4100" i="11"/>
  <c r="M4101" i="11"/>
  <c r="D4101" i="11" l="1"/>
  <c r="C4101" i="11"/>
  <c r="R4101" i="11"/>
  <c r="S4101" i="11"/>
  <c r="N4101" i="11"/>
  <c r="M4102" i="11"/>
  <c r="D4102" i="11" l="1"/>
  <c r="C4102" i="11"/>
  <c r="R4102" i="11"/>
  <c r="S4102" i="11"/>
  <c r="N4102" i="11"/>
  <c r="M4103" i="11"/>
  <c r="D4103" i="11" l="1"/>
  <c r="C4103" i="11"/>
  <c r="R4103" i="11"/>
  <c r="S4103" i="11"/>
  <c r="N4103" i="11"/>
  <c r="M4104" i="11"/>
  <c r="D4104" i="11" l="1"/>
  <c r="C4104" i="11"/>
  <c r="R4104" i="11"/>
  <c r="S4104" i="11"/>
  <c r="N4104" i="11"/>
  <c r="M4105" i="11"/>
  <c r="D4105" i="11" l="1"/>
  <c r="C4105" i="11"/>
  <c r="R4105" i="11"/>
  <c r="S4105" i="11"/>
  <c r="N4105" i="11"/>
  <c r="M4106" i="11"/>
  <c r="D4106" i="11" l="1"/>
  <c r="C4106" i="11"/>
  <c r="R4106" i="11"/>
  <c r="S4106" i="11"/>
  <c r="N4106" i="11"/>
  <c r="M4107" i="11"/>
  <c r="D4107" i="11" l="1"/>
  <c r="C4107" i="11"/>
  <c r="R4107" i="11"/>
  <c r="S4107" i="11"/>
  <c r="N4107" i="11"/>
  <c r="M4108" i="11"/>
  <c r="D4108" i="11" l="1"/>
  <c r="C4108" i="11"/>
  <c r="R4108" i="11"/>
  <c r="S4108" i="11"/>
  <c r="N4108" i="11"/>
  <c r="M4109" i="11"/>
  <c r="D4109" i="11" l="1"/>
  <c r="C4109" i="11"/>
  <c r="R4109" i="11"/>
  <c r="S4109" i="11"/>
  <c r="N4109" i="11"/>
  <c r="M4110" i="11"/>
  <c r="D4110" i="11" l="1"/>
  <c r="C4110" i="11"/>
  <c r="R4110" i="11"/>
  <c r="S4110" i="11"/>
  <c r="N4110" i="11"/>
  <c r="M4111" i="11"/>
  <c r="D4111" i="11" l="1"/>
  <c r="C4111" i="11"/>
  <c r="R4111" i="11"/>
  <c r="S4111" i="11"/>
  <c r="N4111" i="11"/>
  <c r="M4112" i="11"/>
  <c r="D4112" i="11" l="1"/>
  <c r="C4112" i="11"/>
  <c r="R4112" i="11"/>
  <c r="S4112" i="11"/>
  <c r="N4112" i="11"/>
  <c r="M4113" i="11"/>
  <c r="D4113" i="11" l="1"/>
  <c r="C4113" i="11"/>
  <c r="R4113" i="11"/>
  <c r="S4113" i="11"/>
  <c r="N4113" i="11"/>
  <c r="M4114" i="11"/>
  <c r="D4114" i="11" l="1"/>
  <c r="C4114" i="11"/>
  <c r="R4114" i="11"/>
  <c r="S4114" i="11"/>
  <c r="N4114" i="11"/>
  <c r="M4115" i="11"/>
  <c r="D4115" i="11" l="1"/>
  <c r="C4115" i="11"/>
  <c r="R4115" i="11"/>
  <c r="S4115" i="11"/>
  <c r="N4115" i="11"/>
  <c r="M4116" i="11"/>
  <c r="D4116" i="11" l="1"/>
  <c r="C4116" i="11"/>
  <c r="R4116" i="11"/>
  <c r="S4116" i="11"/>
  <c r="N4116" i="11"/>
  <c r="M4117" i="11"/>
  <c r="D4117" i="11" l="1"/>
  <c r="C4117" i="11"/>
  <c r="R4117" i="11"/>
  <c r="S4117" i="11"/>
  <c r="N4117" i="11"/>
  <c r="M4118" i="11"/>
  <c r="D4118" i="11" l="1"/>
  <c r="C4118" i="11"/>
  <c r="R4118" i="11"/>
  <c r="S4118" i="11"/>
  <c r="N4118" i="11"/>
  <c r="M4119" i="11"/>
  <c r="D4119" i="11" l="1"/>
  <c r="C4119" i="11"/>
  <c r="R4119" i="11"/>
  <c r="S4119" i="11"/>
  <c r="N4119" i="11"/>
  <c r="M4120" i="11"/>
  <c r="D4120" i="11" l="1"/>
  <c r="C4120" i="11"/>
  <c r="R4120" i="11"/>
  <c r="S4120" i="11"/>
  <c r="N4120" i="11"/>
  <c r="M4121" i="11"/>
  <c r="D4121" i="11" l="1"/>
  <c r="C4121" i="11"/>
  <c r="R4121" i="11"/>
  <c r="S4121" i="11"/>
  <c r="N4121" i="11"/>
  <c r="M4122" i="11"/>
  <c r="D4122" i="11" l="1"/>
  <c r="C4122" i="11"/>
  <c r="R4122" i="11"/>
  <c r="S4122" i="11"/>
  <c r="N4122" i="11"/>
  <c r="M4123" i="11"/>
  <c r="D4123" i="11" l="1"/>
  <c r="C4123" i="11"/>
  <c r="R4123" i="11"/>
  <c r="S4123" i="11"/>
  <c r="N4123" i="11"/>
  <c r="M4124" i="11"/>
  <c r="D4124" i="11" l="1"/>
  <c r="C4124" i="11"/>
  <c r="R4124" i="11"/>
  <c r="S4124" i="11"/>
  <c r="N4124" i="11"/>
  <c r="M4125" i="11"/>
  <c r="D4125" i="11" l="1"/>
  <c r="C4125" i="11"/>
  <c r="R4125" i="11"/>
  <c r="S4125" i="11"/>
  <c r="N4125" i="11"/>
  <c r="M4126" i="11"/>
  <c r="D4126" i="11" l="1"/>
  <c r="C4126" i="11"/>
  <c r="R4126" i="11"/>
  <c r="S4126" i="11"/>
  <c r="N4126" i="11"/>
  <c r="M4127" i="11"/>
  <c r="D4127" i="11" l="1"/>
  <c r="C4127" i="11"/>
  <c r="R4127" i="11"/>
  <c r="S4127" i="11"/>
  <c r="N4127" i="11"/>
  <c r="M4128" i="11"/>
  <c r="D4128" i="11" l="1"/>
  <c r="C4128" i="11"/>
  <c r="R4128" i="11"/>
  <c r="S4128" i="11"/>
  <c r="N4128" i="11"/>
  <c r="M4129" i="11"/>
  <c r="D4129" i="11" l="1"/>
  <c r="C4129" i="11"/>
  <c r="R4129" i="11"/>
  <c r="S4129" i="11"/>
  <c r="N4129" i="11"/>
  <c r="M4130" i="11"/>
  <c r="D4130" i="11" l="1"/>
  <c r="C4130" i="11"/>
  <c r="R4130" i="11"/>
  <c r="S4130" i="11"/>
  <c r="N4130" i="11"/>
  <c r="M4131" i="11"/>
  <c r="D4131" i="11" l="1"/>
  <c r="C4131" i="11"/>
  <c r="R4131" i="11"/>
  <c r="S4131" i="11"/>
  <c r="N4131" i="11"/>
  <c r="M4132" i="11"/>
  <c r="D4132" i="11" l="1"/>
  <c r="C4132" i="11"/>
  <c r="R4132" i="11"/>
  <c r="S4132" i="11"/>
  <c r="N4132" i="11"/>
  <c r="M4133" i="11"/>
  <c r="D4133" i="11" l="1"/>
  <c r="C4133" i="11"/>
  <c r="R4133" i="11"/>
  <c r="S4133" i="11"/>
  <c r="N4133" i="11"/>
  <c r="M4134" i="11"/>
  <c r="D4134" i="11" l="1"/>
  <c r="C4134" i="11"/>
  <c r="R4134" i="11"/>
  <c r="S4134" i="11"/>
  <c r="N4134" i="11"/>
  <c r="M4135" i="11"/>
  <c r="D4135" i="11" l="1"/>
  <c r="C4135" i="11"/>
  <c r="R4135" i="11"/>
  <c r="S4135" i="11"/>
  <c r="N4135" i="11"/>
  <c r="M4136" i="11"/>
  <c r="D4136" i="11" l="1"/>
  <c r="C4136" i="11"/>
  <c r="R4136" i="11"/>
  <c r="S4136" i="11"/>
  <c r="N4136" i="11"/>
  <c r="M4137" i="11"/>
  <c r="D4137" i="11" l="1"/>
  <c r="C4137" i="11"/>
  <c r="R4137" i="11"/>
  <c r="S4137" i="11"/>
  <c r="N4137" i="11"/>
  <c r="M4138" i="11"/>
  <c r="D4138" i="11" l="1"/>
  <c r="C4138" i="11"/>
  <c r="R4138" i="11"/>
  <c r="S4138" i="11"/>
  <c r="N4138" i="11"/>
  <c r="M4139" i="11"/>
  <c r="D4139" i="11" l="1"/>
  <c r="C4139" i="11"/>
  <c r="R4139" i="11"/>
  <c r="S4139" i="11"/>
  <c r="N4139" i="11"/>
  <c r="M4140" i="11"/>
  <c r="D4140" i="11" l="1"/>
  <c r="C4140" i="11"/>
  <c r="R4140" i="11"/>
  <c r="S4140" i="11"/>
  <c r="N4140" i="11"/>
  <c r="M4141" i="11"/>
  <c r="D4141" i="11" l="1"/>
  <c r="C4141" i="11"/>
  <c r="R4141" i="11"/>
  <c r="S4141" i="11"/>
  <c r="N4141" i="11"/>
  <c r="M4142" i="11"/>
  <c r="D4142" i="11" l="1"/>
  <c r="C4142" i="11"/>
  <c r="R4142" i="11"/>
  <c r="S4142" i="11"/>
  <c r="N4142" i="11"/>
  <c r="M4143" i="11"/>
  <c r="D4143" i="11" l="1"/>
  <c r="C4143" i="11"/>
  <c r="R4143" i="11"/>
  <c r="S4143" i="11"/>
  <c r="N4143" i="11"/>
  <c r="M4144" i="11"/>
  <c r="D4144" i="11" l="1"/>
  <c r="C4144" i="11"/>
  <c r="R4144" i="11"/>
  <c r="S4144" i="11"/>
  <c r="N4144" i="11"/>
  <c r="M4145" i="11"/>
  <c r="D4145" i="11" l="1"/>
  <c r="C4145" i="11"/>
  <c r="R4145" i="11"/>
  <c r="S4145" i="11"/>
  <c r="N4145" i="11"/>
  <c r="M4146" i="11"/>
  <c r="D4146" i="11" l="1"/>
  <c r="C4146" i="11"/>
  <c r="R4146" i="11"/>
  <c r="S4146" i="11"/>
  <c r="N4146" i="11"/>
  <c r="M4147" i="11"/>
  <c r="D4147" i="11" l="1"/>
  <c r="C4147" i="11"/>
  <c r="R4147" i="11"/>
  <c r="S4147" i="11"/>
  <c r="N4147" i="11"/>
  <c r="M4148" i="11"/>
  <c r="D4148" i="11" l="1"/>
  <c r="C4148" i="11"/>
  <c r="R4148" i="11"/>
  <c r="S4148" i="11"/>
  <c r="N4148" i="11"/>
  <c r="M4149" i="11"/>
  <c r="D4149" i="11" l="1"/>
  <c r="C4149" i="11"/>
  <c r="R4149" i="11"/>
  <c r="S4149" i="11"/>
  <c r="N4149" i="11"/>
  <c r="M4150" i="11"/>
  <c r="D4150" i="11" l="1"/>
  <c r="C4150" i="11"/>
  <c r="R4150" i="11"/>
  <c r="S4150" i="11"/>
  <c r="N4150" i="11"/>
  <c r="M4151" i="11"/>
  <c r="D4151" i="11" l="1"/>
  <c r="C4151" i="11"/>
  <c r="R4151" i="11"/>
  <c r="S4151" i="11"/>
  <c r="N4151" i="11"/>
  <c r="M4152" i="11"/>
  <c r="D4152" i="11" l="1"/>
  <c r="C4152" i="11"/>
  <c r="R4152" i="11"/>
  <c r="S4152" i="11"/>
  <c r="N4152" i="11"/>
  <c r="M4153" i="11"/>
  <c r="D4153" i="11" l="1"/>
  <c r="C4153" i="11"/>
  <c r="R4153" i="11"/>
  <c r="S4153" i="11"/>
  <c r="N4153" i="11"/>
  <c r="M4154" i="11"/>
  <c r="D4154" i="11" l="1"/>
  <c r="C4154" i="11"/>
  <c r="R4154" i="11"/>
  <c r="S4154" i="11"/>
  <c r="N4154" i="11"/>
  <c r="M4155" i="11"/>
  <c r="D4155" i="11" l="1"/>
  <c r="C4155" i="11"/>
  <c r="R4155" i="11"/>
  <c r="S4155" i="11"/>
  <c r="N4155" i="11"/>
  <c r="M4156" i="11"/>
  <c r="D4156" i="11" l="1"/>
  <c r="C4156" i="11"/>
  <c r="R4156" i="11"/>
  <c r="S4156" i="11"/>
  <c r="N4156" i="11"/>
  <c r="M4157" i="11"/>
  <c r="D4157" i="11" l="1"/>
  <c r="C4157" i="11"/>
  <c r="R4157" i="11"/>
  <c r="S4157" i="11"/>
  <c r="N4157" i="11"/>
  <c r="M4158" i="11"/>
  <c r="D4158" i="11" l="1"/>
  <c r="C4158" i="11"/>
  <c r="R4158" i="11"/>
  <c r="S4158" i="11"/>
  <c r="N4158" i="11"/>
  <c r="M4159" i="11"/>
  <c r="D4159" i="11" l="1"/>
  <c r="C4159" i="11"/>
  <c r="R4159" i="11"/>
  <c r="S4159" i="11"/>
  <c r="N4159" i="11"/>
  <c r="M4160" i="11"/>
  <c r="D4160" i="11" l="1"/>
  <c r="C4160" i="11"/>
  <c r="R4160" i="11"/>
  <c r="S4160" i="11"/>
  <c r="N4160" i="11"/>
  <c r="M4161" i="11"/>
  <c r="D4161" i="11" l="1"/>
  <c r="C4161" i="11"/>
  <c r="R4161" i="11"/>
  <c r="S4161" i="11"/>
  <c r="N4161" i="11"/>
  <c r="M4162" i="11"/>
  <c r="D4162" i="11" l="1"/>
  <c r="C4162" i="11"/>
  <c r="R4162" i="11"/>
  <c r="S4162" i="11"/>
  <c r="N4162" i="11"/>
  <c r="M4163" i="11"/>
  <c r="D4163" i="11" l="1"/>
  <c r="C4163" i="11"/>
  <c r="R4163" i="11"/>
  <c r="S4163" i="11"/>
  <c r="N4163" i="11"/>
  <c r="M4164" i="11"/>
  <c r="D4164" i="11" l="1"/>
  <c r="C4164" i="11"/>
  <c r="R4164" i="11"/>
  <c r="S4164" i="11"/>
  <c r="N4164" i="11"/>
  <c r="M4165" i="11"/>
  <c r="D4165" i="11" l="1"/>
  <c r="C4165" i="11"/>
  <c r="R4165" i="11"/>
  <c r="S4165" i="11"/>
  <c r="N4165" i="11"/>
  <c r="M4166" i="11"/>
  <c r="D4166" i="11" l="1"/>
  <c r="C4166" i="11"/>
  <c r="R4166" i="11"/>
  <c r="S4166" i="11"/>
  <c r="N4166" i="11"/>
  <c r="M4167" i="11"/>
  <c r="D4167" i="11" l="1"/>
  <c r="C4167" i="11"/>
  <c r="R4167" i="11"/>
  <c r="S4167" i="11"/>
  <c r="N4167" i="11"/>
  <c r="M4168" i="11"/>
  <c r="D4168" i="11" l="1"/>
  <c r="C4168" i="11"/>
  <c r="R4168" i="11"/>
  <c r="S4168" i="11"/>
  <c r="N4168" i="11"/>
  <c r="M4169" i="11"/>
  <c r="D4169" i="11" l="1"/>
  <c r="C4169" i="11"/>
  <c r="R4169" i="11"/>
  <c r="S4169" i="11"/>
  <c r="N4169" i="11"/>
  <c r="M4170" i="11"/>
  <c r="D4170" i="11" l="1"/>
  <c r="C4170" i="11"/>
  <c r="R4170" i="11"/>
  <c r="S4170" i="11"/>
  <c r="N4170" i="11"/>
  <c r="M4171" i="11"/>
  <c r="D4171" i="11" l="1"/>
  <c r="C4171" i="11"/>
  <c r="R4171" i="11"/>
  <c r="S4171" i="11"/>
  <c r="N4171" i="11"/>
  <c r="M4172" i="11"/>
  <c r="D4172" i="11" l="1"/>
  <c r="C4172" i="11"/>
  <c r="R4172" i="11"/>
  <c r="S4172" i="11"/>
  <c r="N4172" i="11"/>
  <c r="M4173" i="11"/>
  <c r="D4173" i="11" l="1"/>
  <c r="C4173" i="11"/>
  <c r="R4173" i="11"/>
  <c r="S4173" i="11"/>
  <c r="N4173" i="11"/>
  <c r="M4174" i="11"/>
  <c r="D4174" i="11" l="1"/>
  <c r="C4174" i="11"/>
  <c r="R4174" i="11"/>
  <c r="S4174" i="11"/>
  <c r="N4174" i="11"/>
  <c r="M4175" i="11"/>
  <c r="D4175" i="11" l="1"/>
  <c r="C4175" i="11"/>
  <c r="R4175" i="11"/>
  <c r="S4175" i="11"/>
  <c r="N4175" i="11"/>
  <c r="M4176" i="11"/>
  <c r="D4176" i="11" l="1"/>
  <c r="C4176" i="11"/>
  <c r="R4176" i="11"/>
  <c r="S4176" i="11"/>
  <c r="N4176" i="11"/>
  <c r="M4177" i="11"/>
  <c r="D4177" i="11" l="1"/>
  <c r="C4177" i="11"/>
  <c r="R4177" i="11"/>
  <c r="S4177" i="11"/>
  <c r="N4177" i="11"/>
  <c r="M4178" i="11"/>
  <c r="D4178" i="11" l="1"/>
  <c r="C4178" i="11"/>
  <c r="R4178" i="11"/>
  <c r="S4178" i="11"/>
  <c r="N4178" i="11"/>
  <c r="M4179" i="11"/>
  <c r="D4179" i="11" l="1"/>
  <c r="C4179" i="11"/>
  <c r="R4179" i="11"/>
  <c r="S4179" i="11"/>
  <c r="N4179" i="11"/>
  <c r="M4180" i="11"/>
  <c r="D4180" i="11" l="1"/>
  <c r="C4180" i="11"/>
  <c r="R4180" i="11"/>
  <c r="S4180" i="11"/>
  <c r="N4180" i="11"/>
  <c r="M4181" i="11"/>
  <c r="D4181" i="11" l="1"/>
  <c r="C4181" i="11"/>
  <c r="R4181" i="11"/>
  <c r="S4181" i="11"/>
  <c r="N4181" i="11"/>
  <c r="M4182" i="11"/>
  <c r="D4182" i="11" l="1"/>
  <c r="C4182" i="11"/>
  <c r="R4182" i="11"/>
  <c r="S4182" i="11"/>
  <c r="N4182" i="11"/>
  <c r="M4183" i="11"/>
  <c r="D4183" i="11" l="1"/>
  <c r="C4183" i="11"/>
  <c r="R4183" i="11"/>
  <c r="S4183" i="11"/>
  <c r="N4183" i="11"/>
  <c r="M4184" i="11"/>
  <c r="D4184" i="11" l="1"/>
  <c r="C4184" i="11"/>
  <c r="R4184" i="11"/>
  <c r="S4184" i="11"/>
  <c r="N4184" i="11"/>
  <c r="M4185" i="11"/>
  <c r="D4185" i="11" l="1"/>
  <c r="C4185" i="11"/>
  <c r="R4185" i="11"/>
  <c r="S4185" i="11"/>
  <c r="N4185" i="11"/>
  <c r="M4186" i="11"/>
  <c r="D4186" i="11" l="1"/>
  <c r="C4186" i="11"/>
  <c r="R4186" i="11"/>
  <c r="S4186" i="11"/>
  <c r="N4186" i="11"/>
  <c r="M4187" i="11"/>
  <c r="D4187" i="11" l="1"/>
  <c r="C4187" i="11"/>
  <c r="R4187" i="11"/>
  <c r="S4187" i="11"/>
  <c r="N4187" i="11"/>
  <c r="M4188" i="11"/>
  <c r="D4188" i="11" l="1"/>
  <c r="C4188" i="11"/>
  <c r="R4188" i="11"/>
  <c r="S4188" i="11"/>
  <c r="N4188" i="11"/>
  <c r="M4189" i="11"/>
  <c r="D4189" i="11" l="1"/>
  <c r="C4189" i="11"/>
  <c r="R4189" i="11"/>
  <c r="S4189" i="11"/>
  <c r="N4189" i="11"/>
  <c r="M4190" i="11"/>
  <c r="D4190" i="11" l="1"/>
  <c r="C4190" i="11"/>
  <c r="R4190" i="11"/>
  <c r="S4190" i="11"/>
  <c r="N4190" i="11"/>
  <c r="M4191" i="11"/>
  <c r="D4191" i="11" l="1"/>
  <c r="C4191" i="11"/>
  <c r="R4191" i="11"/>
  <c r="S4191" i="11"/>
  <c r="N4191" i="11"/>
  <c r="M4192" i="11"/>
  <c r="D4192" i="11" l="1"/>
  <c r="C4192" i="11"/>
  <c r="R4192" i="11"/>
  <c r="S4192" i="11"/>
  <c r="N4192" i="11"/>
  <c r="M4193" i="11"/>
  <c r="D4193" i="11" l="1"/>
  <c r="C4193" i="11"/>
  <c r="R4193" i="11"/>
  <c r="S4193" i="11"/>
  <c r="N4193" i="11"/>
  <c r="M4194" i="11"/>
  <c r="D4194" i="11" l="1"/>
  <c r="C4194" i="11"/>
  <c r="R4194" i="11"/>
  <c r="S4194" i="11"/>
  <c r="N4194" i="11"/>
  <c r="M4195" i="11"/>
  <c r="D4195" i="11" l="1"/>
  <c r="C4195" i="11"/>
  <c r="R4195" i="11"/>
  <c r="S4195" i="11"/>
  <c r="N4195" i="11"/>
  <c r="M4196" i="11"/>
  <c r="D4196" i="11" l="1"/>
  <c r="C4196" i="11"/>
  <c r="R4196" i="11"/>
  <c r="S4196" i="11"/>
  <c r="N4196" i="11"/>
  <c r="M4197" i="11"/>
  <c r="D4197" i="11" l="1"/>
  <c r="C4197" i="11"/>
  <c r="R4197" i="11"/>
  <c r="S4197" i="11"/>
  <c r="N4197" i="11"/>
  <c r="M4198" i="11"/>
  <c r="D4198" i="11" l="1"/>
  <c r="C4198" i="11"/>
  <c r="R4198" i="11"/>
  <c r="S4198" i="11"/>
  <c r="N4198" i="11"/>
  <c r="M4199" i="11"/>
  <c r="D4199" i="11" l="1"/>
  <c r="C4199" i="11"/>
  <c r="R4199" i="11"/>
  <c r="S4199" i="11"/>
  <c r="N4199" i="11"/>
  <c r="M4200" i="11"/>
  <c r="D4200" i="11" l="1"/>
  <c r="C4200" i="11"/>
  <c r="R4200" i="11"/>
  <c r="S4200" i="11"/>
  <c r="N4200" i="11"/>
  <c r="M4201" i="11"/>
  <c r="D4201" i="11" l="1"/>
  <c r="C4201" i="11"/>
  <c r="R4201" i="11"/>
  <c r="S4201" i="11"/>
  <c r="N4201" i="11"/>
  <c r="M4202" i="11"/>
  <c r="D4202" i="11" l="1"/>
  <c r="C4202" i="11"/>
  <c r="R4202" i="11"/>
  <c r="S4202" i="11"/>
  <c r="N4202" i="11"/>
  <c r="M4203" i="11"/>
  <c r="D4203" i="11" l="1"/>
  <c r="C4203" i="11"/>
  <c r="R4203" i="11"/>
  <c r="S4203" i="11"/>
  <c r="N4203" i="11"/>
  <c r="M4204" i="11"/>
  <c r="D4204" i="11" l="1"/>
  <c r="C4204" i="11"/>
  <c r="R4204" i="11"/>
  <c r="S4204" i="11"/>
  <c r="N4204" i="11"/>
  <c r="M4205" i="11"/>
  <c r="D4205" i="11" l="1"/>
  <c r="C4205" i="11"/>
  <c r="R4205" i="11"/>
  <c r="S4205" i="11"/>
  <c r="N4205" i="11"/>
  <c r="M4206" i="11"/>
  <c r="D4206" i="11" l="1"/>
  <c r="C4206" i="11"/>
  <c r="R4206" i="11"/>
  <c r="S4206" i="11"/>
  <c r="N4206" i="11"/>
  <c r="M4207" i="11"/>
  <c r="D4207" i="11" l="1"/>
  <c r="C4207" i="11"/>
  <c r="R4207" i="11"/>
  <c r="S4207" i="11"/>
  <c r="N4207" i="11"/>
  <c r="M4208" i="11"/>
  <c r="D4208" i="11" l="1"/>
  <c r="C4208" i="11"/>
  <c r="R4208" i="11"/>
  <c r="S4208" i="11"/>
  <c r="N4208" i="11"/>
  <c r="M4209" i="11"/>
  <c r="D4209" i="11" l="1"/>
  <c r="C4209" i="11"/>
  <c r="R4209" i="11"/>
  <c r="S4209" i="11"/>
  <c r="N4209" i="11"/>
  <c r="M4210" i="11"/>
  <c r="D4210" i="11" l="1"/>
  <c r="C4210" i="11"/>
  <c r="R4210" i="11"/>
  <c r="S4210" i="11"/>
  <c r="N4210" i="11"/>
  <c r="M4211" i="11"/>
  <c r="D4211" i="11" l="1"/>
  <c r="C4211" i="11"/>
  <c r="R4211" i="11"/>
  <c r="S4211" i="11"/>
  <c r="N4211" i="11"/>
  <c r="M4212" i="11"/>
  <c r="D4212" i="11" l="1"/>
  <c r="C4212" i="11"/>
  <c r="R4212" i="11"/>
  <c r="S4212" i="11"/>
  <c r="N4212" i="11"/>
  <c r="M4213" i="11"/>
  <c r="D4213" i="11" l="1"/>
  <c r="C4213" i="11"/>
  <c r="R4213" i="11"/>
  <c r="S4213" i="11"/>
  <c r="N4213" i="11"/>
  <c r="M4214" i="11"/>
  <c r="D4214" i="11" l="1"/>
  <c r="C4214" i="11"/>
  <c r="R4214" i="11"/>
  <c r="S4214" i="11"/>
  <c r="N4214" i="11"/>
  <c r="M4215" i="11"/>
  <c r="D4215" i="11" l="1"/>
  <c r="C4215" i="11"/>
  <c r="R4215" i="11"/>
  <c r="S4215" i="11"/>
  <c r="N4215" i="11"/>
  <c r="M4216" i="11"/>
  <c r="D4216" i="11" l="1"/>
  <c r="C4216" i="11"/>
  <c r="R4216" i="11"/>
  <c r="S4216" i="11"/>
  <c r="N4216" i="11"/>
  <c r="M4217" i="11"/>
  <c r="D4217" i="11" l="1"/>
  <c r="C4217" i="11"/>
  <c r="R4217" i="11"/>
  <c r="S4217" i="11"/>
  <c r="N4217" i="11"/>
  <c r="M4218" i="11"/>
  <c r="D4218" i="11" l="1"/>
  <c r="C4218" i="11"/>
  <c r="R4218" i="11"/>
  <c r="S4218" i="11"/>
  <c r="N4218" i="11"/>
  <c r="M4219" i="11"/>
  <c r="D4219" i="11" l="1"/>
  <c r="C4219" i="11"/>
  <c r="R4219" i="11"/>
  <c r="S4219" i="11"/>
  <c r="N4219" i="11"/>
  <c r="M4220" i="11"/>
  <c r="D4220" i="11" l="1"/>
  <c r="C4220" i="11"/>
  <c r="R4220" i="11"/>
  <c r="S4220" i="11"/>
  <c r="N4220" i="11"/>
  <c r="M4221" i="11"/>
  <c r="D4221" i="11" l="1"/>
  <c r="C4221" i="11"/>
  <c r="R4221" i="11"/>
  <c r="S4221" i="11"/>
  <c r="N4221" i="11"/>
  <c r="M4222" i="11"/>
  <c r="D4222" i="11" l="1"/>
  <c r="C4222" i="11"/>
  <c r="R4222" i="11"/>
  <c r="S4222" i="11"/>
  <c r="N4222" i="11"/>
  <c r="M4223" i="11"/>
  <c r="D4223" i="11" l="1"/>
  <c r="C4223" i="11"/>
  <c r="R4223" i="11"/>
  <c r="S4223" i="11"/>
  <c r="N4223" i="11"/>
  <c r="M4224" i="11"/>
  <c r="D4224" i="11" l="1"/>
  <c r="C4224" i="11"/>
  <c r="R4224" i="11"/>
  <c r="S4224" i="11"/>
  <c r="N4224" i="11"/>
  <c r="M4225" i="11"/>
  <c r="D4225" i="11" l="1"/>
  <c r="C4225" i="11"/>
  <c r="R4225" i="11"/>
  <c r="S4225" i="11"/>
  <c r="N4225" i="11"/>
  <c r="M4226" i="11"/>
  <c r="D4226" i="11" l="1"/>
  <c r="C4226" i="11"/>
  <c r="R4226" i="11"/>
  <c r="S4226" i="11"/>
  <c r="N4226" i="11"/>
  <c r="M4227" i="11"/>
  <c r="D4227" i="11" l="1"/>
  <c r="C4227" i="11"/>
  <c r="R4227" i="11"/>
  <c r="S4227" i="11"/>
  <c r="N4227" i="11"/>
  <c r="M4228" i="11"/>
  <c r="D4228" i="11" l="1"/>
  <c r="C4228" i="11"/>
  <c r="R4228" i="11"/>
  <c r="S4228" i="11"/>
  <c r="N4228" i="11"/>
  <c r="M4229" i="11"/>
  <c r="D4229" i="11" l="1"/>
  <c r="C4229" i="11"/>
  <c r="R4229" i="11"/>
  <c r="S4229" i="11"/>
  <c r="N4229" i="11"/>
  <c r="M4230" i="11"/>
  <c r="D4230" i="11" l="1"/>
  <c r="C4230" i="11"/>
  <c r="R4230" i="11"/>
  <c r="S4230" i="11"/>
  <c r="N4230" i="11"/>
  <c r="M4231" i="11"/>
  <c r="D4231" i="11" l="1"/>
  <c r="C4231" i="11"/>
  <c r="R4231" i="11"/>
  <c r="S4231" i="11"/>
  <c r="N4231" i="11"/>
  <c r="M4232" i="11"/>
  <c r="D4232" i="11" l="1"/>
  <c r="C4232" i="11"/>
  <c r="R4232" i="11"/>
  <c r="S4232" i="11"/>
  <c r="N4232" i="11"/>
  <c r="M4233" i="11"/>
  <c r="D4233" i="11" l="1"/>
  <c r="C4233" i="11"/>
  <c r="R4233" i="11"/>
  <c r="S4233" i="11"/>
  <c r="N4233" i="11"/>
  <c r="M4234" i="11"/>
  <c r="D4234" i="11" l="1"/>
  <c r="C4234" i="11"/>
  <c r="R4234" i="11"/>
  <c r="S4234" i="11"/>
  <c r="N4234" i="11"/>
  <c r="M4235" i="11"/>
  <c r="D4235" i="11" l="1"/>
  <c r="C4235" i="11"/>
  <c r="R4235" i="11"/>
  <c r="S4235" i="11"/>
  <c r="N4235" i="11"/>
  <c r="M4236" i="11"/>
  <c r="D4236" i="11" l="1"/>
  <c r="C4236" i="11"/>
  <c r="R4236" i="11"/>
  <c r="S4236" i="11"/>
  <c r="N4236" i="11"/>
  <c r="M4237" i="11"/>
  <c r="D4237" i="11" l="1"/>
  <c r="C4237" i="11"/>
  <c r="R4237" i="11"/>
  <c r="S4237" i="11"/>
  <c r="N4237" i="11"/>
  <c r="M4238" i="11"/>
  <c r="D4238" i="11" l="1"/>
  <c r="C4238" i="11"/>
  <c r="R4238" i="11"/>
  <c r="S4238" i="11"/>
  <c r="N4238" i="11"/>
  <c r="M4239" i="11"/>
  <c r="D4239" i="11" l="1"/>
  <c r="C4239" i="11"/>
  <c r="R4239" i="11"/>
  <c r="S4239" i="11"/>
  <c r="N4239" i="11"/>
  <c r="M4240" i="11"/>
  <c r="D4240" i="11" l="1"/>
  <c r="C4240" i="11"/>
  <c r="R4240" i="11"/>
  <c r="S4240" i="11"/>
  <c r="N4240" i="11"/>
  <c r="M4241" i="11"/>
  <c r="D4241" i="11" l="1"/>
  <c r="C4241" i="11"/>
  <c r="R4241" i="11"/>
  <c r="S4241" i="11"/>
  <c r="N4241" i="11"/>
  <c r="M4242" i="11"/>
  <c r="D4242" i="11" l="1"/>
  <c r="C4242" i="11"/>
  <c r="R4242" i="11"/>
  <c r="S4242" i="11"/>
  <c r="N4242" i="11"/>
  <c r="M4243" i="11"/>
  <c r="D4243" i="11" l="1"/>
  <c r="C4243" i="11"/>
  <c r="R4243" i="11"/>
  <c r="S4243" i="11"/>
  <c r="N4243" i="11"/>
  <c r="M4244" i="11"/>
  <c r="D4244" i="11" l="1"/>
  <c r="C4244" i="11"/>
  <c r="R4244" i="11"/>
  <c r="S4244" i="11"/>
  <c r="N4244" i="11"/>
  <c r="M4245" i="11"/>
  <c r="D4245" i="11" l="1"/>
  <c r="C4245" i="11"/>
  <c r="R4245" i="11"/>
  <c r="S4245" i="11"/>
  <c r="N4245" i="11"/>
  <c r="M4246" i="11"/>
  <c r="D4246" i="11" l="1"/>
  <c r="C4246" i="11"/>
  <c r="R4246" i="11"/>
  <c r="S4246" i="11"/>
  <c r="N4246" i="11"/>
  <c r="M4247" i="11"/>
  <c r="D4247" i="11" l="1"/>
  <c r="C4247" i="11"/>
  <c r="R4247" i="11"/>
  <c r="S4247" i="11"/>
  <c r="N4247" i="11"/>
  <c r="M4248" i="11"/>
  <c r="D4248" i="11" l="1"/>
  <c r="C4248" i="11"/>
  <c r="R4248" i="11"/>
  <c r="S4248" i="11"/>
  <c r="N4248" i="11"/>
  <c r="M4249" i="11"/>
  <c r="D4249" i="11" l="1"/>
  <c r="C4249" i="11"/>
  <c r="R4249" i="11"/>
  <c r="S4249" i="11"/>
  <c r="N4249" i="11"/>
  <c r="M4250" i="11"/>
  <c r="D4250" i="11" l="1"/>
  <c r="C4250" i="11"/>
  <c r="R4250" i="11"/>
  <c r="S4250" i="11"/>
  <c r="N4250" i="11"/>
  <c r="M4251" i="11"/>
  <c r="D4251" i="11" l="1"/>
  <c r="C4251" i="11"/>
  <c r="R4251" i="11"/>
  <c r="S4251" i="11"/>
  <c r="N4251" i="11"/>
  <c r="M4252" i="11"/>
  <c r="D4252" i="11" l="1"/>
  <c r="C4252" i="11"/>
  <c r="R4252" i="11"/>
  <c r="S4252" i="11"/>
  <c r="N4252" i="11"/>
  <c r="M4253" i="11"/>
  <c r="D4253" i="11" l="1"/>
  <c r="C4253" i="11"/>
  <c r="R4253" i="11"/>
  <c r="S4253" i="11"/>
  <c r="N4253" i="11"/>
  <c r="M4254" i="11"/>
  <c r="D4254" i="11" l="1"/>
  <c r="C4254" i="11"/>
  <c r="R4254" i="11"/>
  <c r="S4254" i="11"/>
  <c r="N4254" i="11"/>
  <c r="M4255" i="11"/>
  <c r="D4255" i="11" l="1"/>
  <c r="C4255" i="11"/>
  <c r="R4255" i="11"/>
  <c r="S4255" i="11"/>
  <c r="N4255" i="11"/>
  <c r="M4256" i="11"/>
  <c r="D4256" i="11" l="1"/>
  <c r="C4256" i="11"/>
  <c r="R4256" i="11"/>
  <c r="S4256" i="11"/>
  <c r="N4256" i="11"/>
  <c r="M4257" i="11"/>
  <c r="D4257" i="11" l="1"/>
  <c r="C4257" i="11"/>
  <c r="R4257" i="11"/>
  <c r="S4257" i="11"/>
  <c r="N4257" i="11"/>
  <c r="M4258" i="11"/>
  <c r="D4258" i="11" l="1"/>
  <c r="C4258" i="11"/>
  <c r="R4258" i="11"/>
  <c r="S4258" i="11"/>
  <c r="N4258" i="11"/>
  <c r="M4259" i="11"/>
  <c r="D4259" i="11" l="1"/>
  <c r="C4259" i="11"/>
  <c r="R4259" i="11"/>
  <c r="S4259" i="11"/>
  <c r="N4259" i="11"/>
  <c r="M4260" i="11"/>
  <c r="D4260" i="11" l="1"/>
  <c r="C4260" i="11"/>
  <c r="R4260" i="11"/>
  <c r="S4260" i="11"/>
  <c r="N4260" i="11"/>
  <c r="M4261" i="11"/>
  <c r="D4261" i="11" l="1"/>
  <c r="C4261" i="11"/>
  <c r="R4261" i="11"/>
  <c r="S4261" i="11"/>
  <c r="N4261" i="11"/>
  <c r="M4262" i="11"/>
  <c r="D4262" i="11" l="1"/>
  <c r="C4262" i="11"/>
  <c r="R4262" i="11"/>
  <c r="S4262" i="11"/>
  <c r="N4262" i="11"/>
  <c r="M4263" i="11"/>
  <c r="D4263" i="11" l="1"/>
  <c r="C4263" i="11"/>
  <c r="R4263" i="11"/>
  <c r="S4263" i="11"/>
  <c r="N4263" i="11"/>
  <c r="M4264" i="11"/>
  <c r="D4264" i="11" l="1"/>
  <c r="C4264" i="11"/>
  <c r="R4264" i="11"/>
  <c r="S4264" i="11"/>
  <c r="N4264" i="11"/>
  <c r="M4265" i="11"/>
  <c r="D4265" i="11" l="1"/>
  <c r="C4265" i="11"/>
  <c r="R4265" i="11"/>
  <c r="S4265" i="11"/>
  <c r="N4265" i="11"/>
  <c r="M4266" i="11"/>
  <c r="D4266" i="11" l="1"/>
  <c r="C4266" i="11"/>
  <c r="R4266" i="11"/>
  <c r="S4266" i="11"/>
  <c r="N4266" i="11"/>
  <c r="M4267" i="11"/>
  <c r="D4267" i="11" l="1"/>
  <c r="C4267" i="11"/>
  <c r="R4267" i="11"/>
  <c r="S4267" i="11"/>
  <c r="N4267" i="11"/>
  <c r="M4268" i="11"/>
  <c r="D4268" i="11" l="1"/>
  <c r="C4268" i="11"/>
  <c r="R4268" i="11"/>
  <c r="S4268" i="11"/>
  <c r="N4268" i="11"/>
  <c r="M4269" i="11"/>
  <c r="D4269" i="11" l="1"/>
  <c r="C4269" i="11"/>
  <c r="R4269" i="11"/>
  <c r="S4269" i="11"/>
  <c r="N4269" i="11"/>
  <c r="M4270" i="11"/>
  <c r="D4270" i="11" l="1"/>
  <c r="C4270" i="11"/>
  <c r="R4270" i="11"/>
  <c r="S4270" i="11"/>
  <c r="N4270" i="11"/>
  <c r="M4271" i="11"/>
  <c r="D4271" i="11" l="1"/>
  <c r="C4271" i="11"/>
  <c r="R4271" i="11"/>
  <c r="S4271" i="11"/>
  <c r="N4271" i="11"/>
  <c r="M4272" i="11"/>
  <c r="D4272" i="11" l="1"/>
  <c r="C4272" i="11"/>
  <c r="R4272" i="11"/>
  <c r="S4272" i="11"/>
  <c r="N4272" i="11"/>
  <c r="M4273" i="11"/>
  <c r="D4273" i="11" l="1"/>
  <c r="C4273" i="11"/>
  <c r="R4273" i="11"/>
  <c r="S4273" i="11"/>
  <c r="N4273" i="11"/>
  <c r="M4274" i="11"/>
  <c r="D4274" i="11" l="1"/>
  <c r="C4274" i="11"/>
  <c r="R4274" i="11"/>
  <c r="S4274" i="11"/>
  <c r="N4274" i="11"/>
  <c r="M4275" i="11"/>
  <c r="D4275" i="11" l="1"/>
  <c r="C4275" i="11"/>
  <c r="R4275" i="11"/>
  <c r="S4275" i="11"/>
  <c r="N4275" i="11"/>
  <c r="M4276" i="11"/>
  <c r="D4276" i="11" l="1"/>
  <c r="C4276" i="11"/>
  <c r="R4276" i="11"/>
  <c r="S4276" i="11"/>
  <c r="N4276" i="11"/>
  <c r="M4277" i="11"/>
  <c r="D4277" i="11" l="1"/>
  <c r="C4277" i="11"/>
  <c r="R4277" i="11"/>
  <c r="S4277" i="11"/>
  <c r="N4277" i="11"/>
  <c r="M4278" i="11"/>
  <c r="D4278" i="11" l="1"/>
  <c r="C4278" i="11"/>
  <c r="R4278" i="11"/>
  <c r="S4278" i="11"/>
  <c r="N4278" i="11"/>
  <c r="M4279" i="11"/>
  <c r="D4279" i="11" l="1"/>
  <c r="C4279" i="11"/>
  <c r="R4279" i="11"/>
  <c r="S4279" i="11"/>
  <c r="N4279" i="11"/>
  <c r="M4280" i="11"/>
  <c r="D4280" i="11" l="1"/>
  <c r="C4280" i="11"/>
  <c r="R4280" i="11"/>
  <c r="S4280" i="11"/>
  <c r="N4280" i="11"/>
  <c r="M4281" i="11"/>
  <c r="D4281" i="11" l="1"/>
  <c r="C4281" i="11"/>
  <c r="R4281" i="11"/>
  <c r="S4281" i="11"/>
  <c r="N4281" i="11"/>
  <c r="M4282" i="11"/>
  <c r="D4282" i="11" l="1"/>
  <c r="C4282" i="11"/>
  <c r="R4282" i="11"/>
  <c r="S4282" i="11"/>
  <c r="N4282" i="11"/>
  <c r="M4283" i="11"/>
  <c r="D4283" i="11" l="1"/>
  <c r="C4283" i="11"/>
  <c r="R4283" i="11"/>
  <c r="S4283" i="11"/>
  <c r="N4283" i="11"/>
  <c r="M4284" i="11"/>
  <c r="D4284" i="11" l="1"/>
  <c r="C4284" i="11"/>
  <c r="R4284" i="11"/>
  <c r="S4284" i="11"/>
  <c r="N4284" i="11"/>
  <c r="M4285" i="11"/>
  <c r="D4285" i="11" l="1"/>
  <c r="C4285" i="11"/>
  <c r="R4285" i="11"/>
  <c r="S4285" i="11"/>
  <c r="N4285" i="11"/>
  <c r="M4286" i="11"/>
  <c r="D4286" i="11" l="1"/>
  <c r="C4286" i="11"/>
  <c r="R4286" i="11"/>
  <c r="S4286" i="11"/>
  <c r="N4286" i="11"/>
  <c r="M4287" i="11"/>
  <c r="D4287" i="11" l="1"/>
  <c r="C4287" i="11"/>
  <c r="R4287" i="11"/>
  <c r="S4287" i="11"/>
  <c r="N4287" i="11"/>
  <c r="M4288" i="11"/>
  <c r="D4288" i="11" l="1"/>
  <c r="C4288" i="11"/>
  <c r="R4288" i="11"/>
  <c r="S4288" i="11"/>
  <c r="N4288" i="11"/>
  <c r="M4289" i="11"/>
  <c r="D4289" i="11" l="1"/>
  <c r="C4289" i="11"/>
  <c r="R4289" i="11"/>
  <c r="S4289" i="11"/>
  <c r="N4289" i="11"/>
  <c r="M4290" i="11"/>
  <c r="D4290" i="11" l="1"/>
  <c r="C4290" i="11"/>
  <c r="R4290" i="11"/>
  <c r="S4290" i="11"/>
  <c r="N4290" i="11"/>
  <c r="M4291" i="11"/>
  <c r="D4291" i="11" l="1"/>
  <c r="C4291" i="11"/>
  <c r="R4291" i="11"/>
  <c r="S4291" i="11"/>
  <c r="N4291" i="11"/>
  <c r="M4292" i="11"/>
  <c r="D4292" i="11" l="1"/>
  <c r="C4292" i="11"/>
  <c r="R4292" i="11"/>
  <c r="S4292" i="11"/>
  <c r="N4292" i="11"/>
  <c r="M4293" i="11"/>
  <c r="D4293" i="11" l="1"/>
  <c r="C4293" i="11"/>
  <c r="R4293" i="11"/>
  <c r="S4293" i="11"/>
  <c r="N4293" i="11"/>
  <c r="M4294" i="11"/>
  <c r="D4294" i="11" l="1"/>
  <c r="C4294" i="11"/>
  <c r="R4294" i="11"/>
  <c r="S4294" i="11"/>
  <c r="N4294" i="11"/>
  <c r="M4295" i="11"/>
  <c r="D4295" i="11" l="1"/>
  <c r="C4295" i="11"/>
  <c r="R4295" i="11"/>
  <c r="S4295" i="11"/>
  <c r="N4295" i="11"/>
  <c r="M4296" i="11"/>
  <c r="D4296" i="11" l="1"/>
  <c r="C4296" i="11"/>
  <c r="R4296" i="11"/>
  <c r="S4296" i="11"/>
  <c r="N4296" i="11"/>
  <c r="M4297" i="11"/>
  <c r="D4297" i="11" l="1"/>
  <c r="C4297" i="11"/>
  <c r="R4297" i="11"/>
  <c r="S4297" i="11"/>
  <c r="N4297" i="11"/>
  <c r="M4298" i="11"/>
  <c r="D4298" i="11" l="1"/>
  <c r="C4298" i="11"/>
  <c r="R4298" i="11"/>
  <c r="S4298" i="11"/>
  <c r="N4298" i="11"/>
  <c r="M4299" i="11"/>
  <c r="D4299" i="11" l="1"/>
  <c r="C4299" i="11"/>
  <c r="R4299" i="11"/>
  <c r="S4299" i="11"/>
  <c r="N4299" i="11"/>
  <c r="M4300" i="11"/>
  <c r="D4300" i="11" l="1"/>
  <c r="C4300" i="11"/>
  <c r="R4300" i="11"/>
  <c r="S4300" i="11"/>
  <c r="N4300" i="11"/>
  <c r="M4301" i="11"/>
  <c r="D4301" i="11" l="1"/>
  <c r="C4301" i="11"/>
  <c r="R4301" i="11"/>
  <c r="S4301" i="11"/>
  <c r="N4301" i="11"/>
  <c r="M4302" i="11"/>
  <c r="D4302" i="11" l="1"/>
  <c r="C4302" i="11"/>
  <c r="R4302" i="11"/>
  <c r="S4302" i="11"/>
  <c r="N4302" i="11"/>
  <c r="M4303" i="11"/>
  <c r="D4303" i="11" l="1"/>
  <c r="C4303" i="11"/>
  <c r="R4303" i="11"/>
  <c r="S4303" i="11"/>
  <c r="N4303" i="11"/>
  <c r="M4304" i="11"/>
  <c r="D4304" i="11" l="1"/>
  <c r="C4304" i="11"/>
  <c r="R4304" i="11"/>
  <c r="S4304" i="11"/>
  <c r="N4304" i="11"/>
  <c r="M4305" i="11"/>
  <c r="D4305" i="11" l="1"/>
  <c r="C4305" i="11"/>
  <c r="R4305" i="11"/>
  <c r="S4305" i="11"/>
  <c r="N4305" i="11"/>
  <c r="M4306" i="11"/>
  <c r="D4306" i="11" l="1"/>
  <c r="C4306" i="11"/>
  <c r="R4306" i="11"/>
  <c r="S4306" i="11"/>
  <c r="N4306" i="11"/>
  <c r="M4307" i="11"/>
  <c r="D4307" i="11" l="1"/>
  <c r="C4307" i="11"/>
  <c r="R4307" i="11"/>
  <c r="S4307" i="11"/>
  <c r="N4307" i="11"/>
  <c r="M4308" i="11"/>
  <c r="D4308" i="11" l="1"/>
  <c r="C4308" i="11"/>
  <c r="R4308" i="11"/>
  <c r="S4308" i="11"/>
  <c r="N4308" i="11"/>
  <c r="M4309" i="11"/>
  <c r="D4309" i="11" l="1"/>
  <c r="C4309" i="11"/>
  <c r="R4309" i="11"/>
  <c r="S4309" i="11"/>
  <c r="N4309" i="11"/>
  <c r="M4310" i="11"/>
  <c r="D4310" i="11" l="1"/>
  <c r="C4310" i="11"/>
  <c r="R4310" i="11"/>
  <c r="S4310" i="11"/>
  <c r="N4310" i="11"/>
  <c r="M4311" i="11"/>
  <c r="D4311" i="11" l="1"/>
  <c r="C4311" i="11"/>
  <c r="R4311" i="11"/>
  <c r="S4311" i="11"/>
  <c r="N4311" i="11"/>
  <c r="M4312" i="11"/>
  <c r="D4312" i="11" l="1"/>
  <c r="C4312" i="11"/>
  <c r="R4312" i="11"/>
  <c r="S4312" i="11"/>
  <c r="N4312" i="11"/>
  <c r="M4313" i="11"/>
  <c r="D4313" i="11" l="1"/>
  <c r="C4313" i="11"/>
  <c r="R4313" i="11"/>
  <c r="S4313" i="11"/>
  <c r="N4313" i="11"/>
  <c r="M4314" i="11"/>
  <c r="D4314" i="11" l="1"/>
  <c r="C4314" i="11"/>
  <c r="R4314" i="11"/>
  <c r="S4314" i="11"/>
  <c r="N4314" i="11"/>
  <c r="M4315" i="11"/>
  <c r="D4315" i="11" l="1"/>
  <c r="C4315" i="11"/>
  <c r="R4315" i="11"/>
  <c r="S4315" i="11"/>
  <c r="N4315" i="11"/>
  <c r="M4316" i="11"/>
  <c r="D4316" i="11" l="1"/>
  <c r="C4316" i="11"/>
  <c r="R4316" i="11"/>
  <c r="S4316" i="11"/>
  <c r="N4316" i="11"/>
  <c r="M4317" i="11"/>
  <c r="D4317" i="11" l="1"/>
  <c r="C4317" i="11"/>
  <c r="R4317" i="11"/>
  <c r="S4317" i="11"/>
  <c r="N4317" i="11"/>
  <c r="M4318" i="11"/>
  <c r="D4318" i="11" l="1"/>
  <c r="C4318" i="11"/>
  <c r="R4318" i="11"/>
  <c r="S4318" i="11"/>
  <c r="N4318" i="11"/>
  <c r="M4319" i="11"/>
  <c r="D4319" i="11" l="1"/>
  <c r="C4319" i="11"/>
  <c r="R4319" i="11"/>
  <c r="S4319" i="11"/>
  <c r="N4319" i="11"/>
  <c r="M4320" i="11"/>
  <c r="D4320" i="11" l="1"/>
  <c r="C4320" i="11"/>
  <c r="R4320" i="11"/>
  <c r="S4320" i="11"/>
  <c r="N4320" i="11"/>
  <c r="M4321" i="11"/>
  <c r="D4321" i="11" l="1"/>
  <c r="C4321" i="11"/>
  <c r="R4321" i="11"/>
  <c r="S4321" i="11"/>
  <c r="N4321" i="11"/>
  <c r="M4322" i="11"/>
  <c r="D4322" i="11" l="1"/>
  <c r="C4322" i="11"/>
  <c r="R4322" i="11"/>
  <c r="S4322" i="11"/>
  <c r="N4322" i="11"/>
  <c r="M4323" i="11"/>
  <c r="D4323" i="11" l="1"/>
  <c r="C4323" i="11"/>
  <c r="R4323" i="11"/>
  <c r="S4323" i="11"/>
  <c r="N4323" i="11"/>
  <c r="M4324" i="11"/>
  <c r="D4324" i="11" l="1"/>
  <c r="C4324" i="11"/>
  <c r="R4324" i="11"/>
  <c r="S4324" i="11"/>
  <c r="N4324" i="11"/>
  <c r="M4325" i="11"/>
  <c r="D4325" i="11" l="1"/>
  <c r="C4325" i="11"/>
  <c r="R4325" i="11"/>
  <c r="S4325" i="11"/>
  <c r="N4325" i="11"/>
  <c r="M4326" i="11"/>
  <c r="D4326" i="11" l="1"/>
  <c r="C4326" i="11"/>
  <c r="R4326" i="11"/>
  <c r="S4326" i="11"/>
  <c r="N4326" i="11"/>
  <c r="M4327" i="11"/>
  <c r="D4327" i="11" l="1"/>
  <c r="C4327" i="11"/>
  <c r="R4327" i="11"/>
  <c r="S4327" i="11"/>
  <c r="N4327" i="11"/>
  <c r="M4328" i="11"/>
  <c r="D4328" i="11" l="1"/>
  <c r="C4328" i="11"/>
  <c r="R4328" i="11"/>
  <c r="S4328" i="11"/>
  <c r="N4328" i="11"/>
  <c r="M4329" i="11"/>
  <c r="D4329" i="11" l="1"/>
  <c r="C4329" i="11"/>
  <c r="R4329" i="11"/>
  <c r="S4329" i="11"/>
  <c r="N4329" i="11"/>
  <c r="M4330" i="11"/>
  <c r="D4330" i="11" l="1"/>
  <c r="C4330" i="11"/>
  <c r="R4330" i="11"/>
  <c r="S4330" i="11"/>
  <c r="N4330" i="11"/>
  <c r="M4331" i="11"/>
  <c r="D4331" i="11" l="1"/>
  <c r="C4331" i="11"/>
  <c r="R4331" i="11"/>
  <c r="S4331" i="11"/>
  <c r="N4331" i="11"/>
  <c r="M4332" i="11"/>
  <c r="D4332" i="11" l="1"/>
  <c r="C4332" i="11"/>
  <c r="R4332" i="11"/>
  <c r="S4332" i="11"/>
  <c r="N4332" i="11"/>
  <c r="M4333" i="11"/>
  <c r="D4333" i="11" l="1"/>
  <c r="C4333" i="11"/>
  <c r="R4333" i="11"/>
  <c r="S4333" i="11"/>
  <c r="N4333" i="11"/>
  <c r="M4334" i="11"/>
  <c r="D4334" i="11" l="1"/>
  <c r="C4334" i="11"/>
  <c r="R4334" i="11"/>
  <c r="S4334" i="11"/>
  <c r="N4334" i="11"/>
  <c r="M4335" i="11"/>
  <c r="D4335" i="11" l="1"/>
  <c r="C4335" i="11"/>
  <c r="R4335" i="11"/>
  <c r="S4335" i="11"/>
  <c r="N4335" i="11"/>
  <c r="M4336" i="11"/>
  <c r="D4336" i="11" l="1"/>
  <c r="C4336" i="11"/>
  <c r="R4336" i="11"/>
  <c r="S4336" i="11"/>
  <c r="N4336" i="11"/>
  <c r="M4337" i="11"/>
  <c r="D4337" i="11" l="1"/>
  <c r="C4337" i="11"/>
  <c r="R4337" i="11"/>
  <c r="S4337" i="11"/>
  <c r="N4337" i="11"/>
  <c r="M4338" i="11"/>
  <c r="D4338" i="11" l="1"/>
  <c r="C4338" i="11"/>
  <c r="R4338" i="11"/>
  <c r="S4338" i="11"/>
  <c r="N4338" i="11"/>
  <c r="M4339" i="11"/>
  <c r="D4339" i="11" l="1"/>
  <c r="C4339" i="11"/>
  <c r="R4339" i="11"/>
  <c r="S4339" i="11"/>
  <c r="N4339" i="11"/>
  <c r="M4340" i="11"/>
  <c r="D4340" i="11" l="1"/>
  <c r="C4340" i="11"/>
  <c r="R4340" i="11"/>
  <c r="S4340" i="11"/>
  <c r="N4340" i="11"/>
  <c r="M4341" i="11"/>
  <c r="D4341" i="11" l="1"/>
  <c r="C4341" i="11"/>
  <c r="R4341" i="11"/>
  <c r="S4341" i="11"/>
  <c r="N4341" i="11"/>
  <c r="M4342" i="11"/>
  <c r="D4342" i="11" l="1"/>
  <c r="C4342" i="11"/>
  <c r="R4342" i="11"/>
  <c r="S4342" i="11"/>
  <c r="N4342" i="11"/>
  <c r="M4343" i="11"/>
  <c r="D4343" i="11" l="1"/>
  <c r="C4343" i="11"/>
  <c r="R4343" i="11"/>
  <c r="S4343" i="11"/>
  <c r="N4343" i="11"/>
  <c r="M4344" i="11"/>
  <c r="D4344" i="11" l="1"/>
  <c r="C4344" i="11"/>
  <c r="R4344" i="11"/>
  <c r="S4344" i="11"/>
  <c r="N4344" i="11"/>
  <c r="M4345" i="11"/>
  <c r="D4345" i="11" l="1"/>
  <c r="C4345" i="11"/>
  <c r="R4345" i="11"/>
  <c r="S4345" i="11"/>
  <c r="N4345" i="11"/>
  <c r="M4346" i="11"/>
  <c r="D4346" i="11" l="1"/>
  <c r="C4346" i="11"/>
  <c r="R4346" i="11"/>
  <c r="S4346" i="11"/>
  <c r="N4346" i="11"/>
  <c r="M4347" i="11"/>
  <c r="D4347" i="11" l="1"/>
  <c r="C4347" i="11"/>
  <c r="R4347" i="11"/>
  <c r="S4347" i="11"/>
  <c r="N4347" i="11"/>
  <c r="M4348" i="11"/>
  <c r="D4348" i="11" l="1"/>
  <c r="C4348" i="11"/>
  <c r="R4348" i="11"/>
  <c r="S4348" i="11"/>
  <c r="N4348" i="11"/>
  <c r="M4349" i="11"/>
  <c r="D4349" i="11" l="1"/>
  <c r="C4349" i="11"/>
  <c r="R4349" i="11"/>
  <c r="S4349" i="11"/>
  <c r="N4349" i="11"/>
  <c r="M4350" i="11"/>
  <c r="D4350" i="11" l="1"/>
  <c r="C4350" i="11"/>
  <c r="R4350" i="11"/>
  <c r="S4350" i="11"/>
  <c r="N4350" i="11"/>
  <c r="M4351" i="11"/>
  <c r="D4351" i="11" l="1"/>
  <c r="C4351" i="11"/>
  <c r="R4351" i="11"/>
  <c r="S4351" i="11"/>
  <c r="N4351" i="11"/>
  <c r="M4352" i="11"/>
  <c r="D4352" i="11" l="1"/>
  <c r="C4352" i="11"/>
  <c r="R4352" i="11"/>
  <c r="S4352" i="11"/>
  <c r="N4352" i="11"/>
  <c r="M4353" i="11"/>
  <c r="D4353" i="11" l="1"/>
  <c r="C4353" i="11"/>
  <c r="R4353" i="11"/>
  <c r="S4353" i="11"/>
  <c r="N4353" i="11"/>
  <c r="M4354" i="11"/>
  <c r="D4354" i="11" l="1"/>
  <c r="C4354" i="11"/>
  <c r="R4354" i="11"/>
  <c r="S4354" i="11"/>
  <c r="N4354" i="11"/>
  <c r="M4355" i="11"/>
  <c r="D4355" i="11" l="1"/>
  <c r="C4355" i="11"/>
  <c r="R4355" i="11"/>
  <c r="S4355" i="11"/>
  <c r="N4355" i="11"/>
  <c r="M4356" i="11"/>
  <c r="D4356" i="11" l="1"/>
  <c r="C4356" i="11"/>
  <c r="R4356" i="11"/>
  <c r="S4356" i="11"/>
  <c r="N4356" i="11"/>
  <c r="M4357" i="11"/>
  <c r="D4357" i="11" l="1"/>
  <c r="C4357" i="11"/>
  <c r="R4357" i="11"/>
  <c r="S4357" i="11"/>
  <c r="N4357" i="11"/>
  <c r="M4358" i="11"/>
  <c r="D4358" i="11" l="1"/>
  <c r="C4358" i="11"/>
  <c r="R4358" i="11"/>
  <c r="S4358" i="11"/>
  <c r="N4358" i="11"/>
  <c r="M4359" i="11"/>
  <c r="D4359" i="11" l="1"/>
  <c r="C4359" i="11"/>
  <c r="R4359" i="11"/>
  <c r="S4359" i="11"/>
  <c r="N4359" i="11"/>
  <c r="M4360" i="11"/>
  <c r="D4360" i="11" l="1"/>
  <c r="C4360" i="11"/>
  <c r="R4360" i="11"/>
  <c r="S4360" i="11"/>
  <c r="N4360" i="11"/>
  <c r="M4361" i="11"/>
  <c r="D4361" i="11" l="1"/>
  <c r="C4361" i="11"/>
  <c r="R4361" i="11"/>
  <c r="S4361" i="11"/>
  <c r="N4361" i="11"/>
  <c r="M4362" i="11"/>
  <c r="D4362" i="11" l="1"/>
  <c r="C4362" i="11"/>
  <c r="R4362" i="11"/>
  <c r="S4362" i="11"/>
  <c r="N4362" i="11"/>
  <c r="M4363" i="11"/>
  <c r="D4363" i="11" l="1"/>
  <c r="C4363" i="11"/>
  <c r="R4363" i="11"/>
  <c r="S4363" i="11"/>
  <c r="N4363" i="11"/>
  <c r="M4364" i="11"/>
  <c r="D4364" i="11" l="1"/>
  <c r="C4364" i="11"/>
  <c r="R4364" i="11"/>
  <c r="S4364" i="11"/>
  <c r="N4364" i="11"/>
  <c r="M4365" i="11"/>
  <c r="D4365" i="11" l="1"/>
  <c r="C4365" i="11"/>
  <c r="R4365" i="11"/>
  <c r="S4365" i="11"/>
  <c r="N4365" i="11"/>
  <c r="M4366" i="11"/>
  <c r="D4366" i="11" l="1"/>
  <c r="C4366" i="11"/>
  <c r="R4366" i="11"/>
  <c r="S4366" i="11"/>
  <c r="N4366" i="11"/>
  <c r="M4367" i="11"/>
  <c r="D4367" i="11" l="1"/>
  <c r="C4367" i="11"/>
  <c r="R4367" i="11"/>
  <c r="S4367" i="11"/>
  <c r="N4367" i="11"/>
  <c r="M4368" i="11"/>
  <c r="D4368" i="11" l="1"/>
  <c r="C4368" i="11"/>
  <c r="R4368" i="11"/>
  <c r="S4368" i="11"/>
  <c r="N4368" i="11"/>
  <c r="M4369" i="11"/>
  <c r="D4369" i="11" l="1"/>
  <c r="C4369" i="11"/>
  <c r="R4369" i="11"/>
  <c r="S4369" i="11"/>
  <c r="N4369" i="11"/>
  <c r="M4370" i="11"/>
  <c r="D4370" i="11" l="1"/>
  <c r="C4370" i="11"/>
  <c r="R4370" i="11"/>
  <c r="S4370" i="11"/>
  <c r="N4370" i="11"/>
  <c r="M4371" i="11"/>
  <c r="D4371" i="11" l="1"/>
  <c r="C4371" i="11"/>
  <c r="R4371" i="11"/>
  <c r="S4371" i="11"/>
  <c r="N4371" i="11"/>
  <c r="M4372" i="11"/>
  <c r="D4372" i="11" l="1"/>
  <c r="C4372" i="11"/>
  <c r="R4372" i="11"/>
  <c r="S4372" i="11"/>
  <c r="N4372" i="11"/>
  <c r="M4373" i="11"/>
  <c r="D4373" i="11" l="1"/>
  <c r="C4373" i="11"/>
  <c r="R4373" i="11"/>
  <c r="S4373" i="11"/>
  <c r="N4373" i="11"/>
  <c r="M4374" i="11"/>
  <c r="D4374" i="11" l="1"/>
  <c r="C4374" i="11"/>
  <c r="R4374" i="11"/>
  <c r="S4374" i="11"/>
  <c r="N4374" i="11"/>
  <c r="M4375" i="11"/>
  <c r="D4375" i="11" l="1"/>
  <c r="C4375" i="11"/>
  <c r="R4375" i="11"/>
  <c r="S4375" i="11"/>
  <c r="N4375" i="11"/>
  <c r="M4376" i="11"/>
  <c r="D4376" i="11" l="1"/>
  <c r="C4376" i="11"/>
  <c r="R4376" i="11"/>
  <c r="S4376" i="11"/>
  <c r="N4376" i="11"/>
  <c r="M4377" i="11"/>
  <c r="D4377" i="11" l="1"/>
  <c r="C4377" i="11"/>
  <c r="R4377" i="11"/>
  <c r="S4377" i="11"/>
  <c r="N4377" i="11"/>
  <c r="M4378" i="11"/>
  <c r="D4378" i="11" l="1"/>
  <c r="C4378" i="11"/>
  <c r="R4378" i="11"/>
  <c r="S4378" i="11"/>
  <c r="N4378" i="11"/>
  <c r="M4379" i="11"/>
  <c r="D4379" i="11" l="1"/>
  <c r="C4379" i="11"/>
  <c r="R4379" i="11"/>
  <c r="S4379" i="11"/>
  <c r="N4379" i="11"/>
  <c r="M4380" i="11"/>
  <c r="D4380" i="11" l="1"/>
  <c r="C4380" i="11"/>
  <c r="R4380" i="11"/>
  <c r="S4380" i="11"/>
  <c r="N4380" i="11"/>
  <c r="M4381" i="11"/>
  <c r="D4381" i="11" l="1"/>
  <c r="C4381" i="11"/>
  <c r="R4381" i="11"/>
  <c r="S4381" i="11"/>
  <c r="N4381" i="11"/>
  <c r="M4382" i="11"/>
  <c r="D4382" i="11" l="1"/>
  <c r="C4382" i="11"/>
  <c r="R4382" i="11"/>
  <c r="S4382" i="11"/>
  <c r="N4382" i="11"/>
  <c r="M4383" i="11"/>
  <c r="D4383" i="11" l="1"/>
  <c r="C4383" i="11"/>
  <c r="R4383" i="11"/>
  <c r="S4383" i="11"/>
  <c r="N4383" i="11"/>
  <c r="M4384" i="11"/>
  <c r="D4384" i="11" l="1"/>
  <c r="C4384" i="11"/>
  <c r="R4384" i="11"/>
  <c r="S4384" i="11"/>
  <c r="N4384" i="11"/>
  <c r="M4385" i="11"/>
  <c r="D4385" i="11" l="1"/>
  <c r="C4385" i="11"/>
  <c r="R4385" i="11"/>
  <c r="S4385" i="11"/>
  <c r="N4385" i="11"/>
  <c r="M4386" i="11"/>
  <c r="D4386" i="11" l="1"/>
  <c r="C4386" i="11"/>
  <c r="R4386" i="11"/>
  <c r="S4386" i="11"/>
  <c r="N4386" i="11"/>
  <c r="M4387" i="11"/>
  <c r="D4387" i="11" l="1"/>
  <c r="C4387" i="11"/>
  <c r="R4387" i="11"/>
  <c r="S4387" i="11"/>
  <c r="N4387" i="11"/>
  <c r="M4388" i="11"/>
  <c r="D4388" i="11" l="1"/>
  <c r="C4388" i="11"/>
  <c r="R4388" i="11"/>
  <c r="S4388" i="11"/>
  <c r="N4388" i="11"/>
  <c r="M4389" i="11"/>
  <c r="D4389" i="11" l="1"/>
  <c r="C4389" i="11"/>
  <c r="R4389" i="11"/>
  <c r="S4389" i="11"/>
  <c r="N4389" i="11"/>
  <c r="M4390" i="11"/>
  <c r="D4390" i="11" l="1"/>
  <c r="C4390" i="11"/>
  <c r="R4390" i="11"/>
  <c r="S4390" i="11"/>
  <c r="N4390" i="11"/>
  <c r="M4391" i="11"/>
  <c r="D4391" i="11" l="1"/>
  <c r="C4391" i="11"/>
  <c r="R4391" i="11"/>
  <c r="S4391" i="11"/>
  <c r="N4391" i="11"/>
  <c r="M4392" i="11"/>
  <c r="D4392" i="11" l="1"/>
  <c r="C4392" i="11"/>
  <c r="R4392" i="11"/>
  <c r="S4392" i="11"/>
  <c r="N4392" i="11"/>
  <c r="M4393" i="11"/>
  <c r="D4393" i="11" l="1"/>
  <c r="C4393" i="11"/>
  <c r="R4393" i="11"/>
  <c r="S4393" i="11"/>
  <c r="N4393" i="11"/>
  <c r="M4394" i="11"/>
  <c r="D4394" i="11" l="1"/>
  <c r="C4394" i="11"/>
  <c r="R4394" i="11"/>
  <c r="S4394" i="11"/>
  <c r="N4394" i="11"/>
  <c r="M4395" i="11"/>
  <c r="D4395" i="11" l="1"/>
  <c r="C4395" i="11"/>
  <c r="R4395" i="11"/>
  <c r="S4395" i="11"/>
  <c r="N4395" i="11"/>
  <c r="M4396" i="11"/>
  <c r="D4396" i="11" l="1"/>
  <c r="C4396" i="11"/>
  <c r="R4396" i="11"/>
  <c r="S4396" i="11"/>
  <c r="N4396" i="11"/>
  <c r="M4397" i="11"/>
  <c r="D4397" i="11" l="1"/>
  <c r="C4397" i="11"/>
  <c r="R4397" i="11"/>
  <c r="S4397" i="11"/>
  <c r="N4397" i="11"/>
  <c r="M4398" i="11"/>
  <c r="D4398" i="11" l="1"/>
  <c r="C4398" i="11"/>
  <c r="R4398" i="11"/>
  <c r="S4398" i="11"/>
  <c r="N4398" i="11"/>
  <c r="M4399" i="11"/>
  <c r="D4399" i="11" l="1"/>
  <c r="C4399" i="11"/>
  <c r="R4399" i="11"/>
  <c r="S4399" i="11"/>
  <c r="N4399" i="11"/>
  <c r="M4400" i="11"/>
  <c r="D4400" i="11" l="1"/>
  <c r="C4400" i="11"/>
  <c r="R4400" i="11"/>
  <c r="S4400" i="11"/>
  <c r="N4400" i="11"/>
  <c r="M4401" i="11"/>
  <c r="D4401" i="11" l="1"/>
  <c r="C4401" i="11"/>
  <c r="R4401" i="11"/>
  <c r="S4401" i="11"/>
  <c r="N4401" i="11"/>
  <c r="M4402" i="11"/>
  <c r="D4402" i="11" l="1"/>
  <c r="C4402" i="11"/>
  <c r="R4402" i="11"/>
  <c r="S4402" i="11"/>
  <c r="N4402" i="11"/>
  <c r="M4403" i="11"/>
  <c r="D4403" i="11" l="1"/>
  <c r="C4403" i="11"/>
  <c r="R4403" i="11"/>
  <c r="S4403" i="11"/>
  <c r="N4403" i="11"/>
  <c r="M4404" i="11"/>
  <c r="D4404" i="11" l="1"/>
  <c r="C4404" i="11"/>
  <c r="R4404" i="11"/>
  <c r="S4404" i="11"/>
  <c r="N4404" i="11"/>
  <c r="M4405" i="11"/>
  <c r="D4405" i="11" l="1"/>
  <c r="C4405" i="11"/>
  <c r="R4405" i="11"/>
  <c r="S4405" i="11"/>
  <c r="N4405" i="11"/>
  <c r="M4406" i="11"/>
  <c r="D4406" i="11" l="1"/>
  <c r="C4406" i="11"/>
  <c r="R4406" i="11"/>
  <c r="S4406" i="11"/>
  <c r="N4406" i="11"/>
  <c r="M4407" i="11"/>
  <c r="D4407" i="11" l="1"/>
  <c r="C4407" i="11"/>
  <c r="R4407" i="11"/>
  <c r="S4407" i="11"/>
  <c r="N4407" i="11"/>
  <c r="M4408" i="11"/>
  <c r="D4408" i="11" l="1"/>
  <c r="C4408" i="11"/>
  <c r="R4408" i="11"/>
  <c r="S4408" i="11"/>
  <c r="N4408" i="11"/>
  <c r="M4409" i="11"/>
  <c r="D4409" i="11" l="1"/>
  <c r="C4409" i="11"/>
  <c r="R4409" i="11"/>
  <c r="S4409" i="11"/>
  <c r="N4409" i="11"/>
  <c r="M4410" i="11"/>
  <c r="D4410" i="11" l="1"/>
  <c r="C4410" i="11"/>
  <c r="R4410" i="11"/>
  <c r="S4410" i="11"/>
  <c r="N4410" i="11"/>
  <c r="M4411" i="11"/>
  <c r="D4411" i="11" l="1"/>
  <c r="C4411" i="11"/>
  <c r="R4411" i="11"/>
  <c r="S4411" i="11"/>
  <c r="N4411" i="11"/>
  <c r="M4412" i="11"/>
  <c r="D4412" i="11" l="1"/>
  <c r="C4412" i="11"/>
  <c r="R4412" i="11"/>
  <c r="S4412" i="11"/>
  <c r="N4412" i="11"/>
  <c r="M4413" i="11"/>
  <c r="D4413" i="11" l="1"/>
  <c r="C4413" i="11"/>
  <c r="R4413" i="11"/>
  <c r="S4413" i="11"/>
  <c r="N4413" i="11"/>
  <c r="M4414" i="11"/>
  <c r="D4414" i="11" l="1"/>
  <c r="C4414" i="11"/>
  <c r="R4414" i="11"/>
  <c r="S4414" i="11"/>
  <c r="N4414" i="11"/>
  <c r="M4415" i="11"/>
  <c r="D4415" i="11" l="1"/>
  <c r="C4415" i="11"/>
  <c r="R4415" i="11"/>
  <c r="S4415" i="11"/>
  <c r="N4415" i="11"/>
  <c r="M4416" i="11"/>
  <c r="D4416" i="11" l="1"/>
  <c r="C4416" i="11"/>
  <c r="R4416" i="11"/>
  <c r="S4416" i="11"/>
  <c r="N4416" i="11"/>
  <c r="M4417" i="11"/>
  <c r="D4417" i="11" l="1"/>
  <c r="C4417" i="11"/>
  <c r="R4417" i="11"/>
  <c r="S4417" i="11"/>
  <c r="N4417" i="11"/>
  <c r="M4418" i="11"/>
  <c r="D4418" i="11" l="1"/>
  <c r="C4418" i="11"/>
  <c r="R4418" i="11"/>
  <c r="S4418" i="11"/>
  <c r="N4418" i="11"/>
  <c r="M4419" i="11"/>
  <c r="D4419" i="11" l="1"/>
  <c r="C4419" i="11"/>
  <c r="R4419" i="11"/>
  <c r="S4419" i="11"/>
  <c r="N4419" i="11"/>
  <c r="M4420" i="11"/>
  <c r="D4420" i="11" l="1"/>
  <c r="C4420" i="11"/>
  <c r="R4420" i="11"/>
  <c r="S4420" i="11"/>
  <c r="N4420" i="11"/>
  <c r="M4421" i="11"/>
  <c r="D4421" i="11" l="1"/>
  <c r="C4421" i="11"/>
  <c r="R4421" i="11"/>
  <c r="S4421" i="11"/>
  <c r="N4421" i="11"/>
  <c r="M4422" i="11"/>
  <c r="D4422" i="11" l="1"/>
  <c r="C4422" i="11"/>
  <c r="R4422" i="11"/>
  <c r="S4422" i="11"/>
  <c r="N4422" i="11"/>
  <c r="M4423" i="11"/>
  <c r="D4423" i="11" l="1"/>
  <c r="C4423" i="11"/>
  <c r="R4423" i="11"/>
  <c r="S4423" i="11"/>
  <c r="N4423" i="11"/>
  <c r="M4424" i="11"/>
  <c r="D4424" i="11" l="1"/>
  <c r="C4424" i="11"/>
  <c r="R4424" i="11"/>
  <c r="S4424" i="11"/>
  <c r="N4424" i="11"/>
  <c r="M4425" i="11"/>
  <c r="D4425" i="11" l="1"/>
  <c r="C4425" i="11"/>
  <c r="R4425" i="11"/>
  <c r="S4425" i="11"/>
  <c r="N4425" i="11"/>
  <c r="M4426" i="11"/>
  <c r="D4426" i="11" l="1"/>
  <c r="C4426" i="11"/>
  <c r="R4426" i="11"/>
  <c r="S4426" i="11"/>
  <c r="N4426" i="11"/>
  <c r="M4427" i="11"/>
  <c r="D4427" i="11" l="1"/>
  <c r="C4427" i="11"/>
  <c r="R4427" i="11"/>
  <c r="S4427" i="11"/>
  <c r="N4427" i="11"/>
  <c r="M4428" i="11"/>
  <c r="D4428" i="11" l="1"/>
  <c r="C4428" i="11"/>
  <c r="R4428" i="11"/>
  <c r="S4428" i="11"/>
  <c r="N4428" i="11"/>
  <c r="M4429" i="11"/>
  <c r="D4429" i="11" l="1"/>
  <c r="C4429" i="11"/>
  <c r="R4429" i="11"/>
  <c r="S4429" i="11"/>
  <c r="N4429" i="11"/>
  <c r="M4430" i="11"/>
  <c r="D4430" i="11" l="1"/>
  <c r="C4430" i="11"/>
  <c r="R4430" i="11"/>
  <c r="S4430" i="11"/>
  <c r="N4430" i="11"/>
  <c r="M4431" i="11"/>
  <c r="D4431" i="11" l="1"/>
  <c r="C4431" i="11"/>
  <c r="R4431" i="11"/>
  <c r="S4431" i="11"/>
  <c r="N4431" i="11"/>
  <c r="M4432" i="11"/>
  <c r="D4432" i="11" l="1"/>
  <c r="C4432" i="11"/>
  <c r="R4432" i="11"/>
  <c r="S4432" i="11"/>
  <c r="N4432" i="11"/>
  <c r="M4433" i="11"/>
  <c r="D4433" i="11" l="1"/>
  <c r="C4433" i="11"/>
  <c r="R4433" i="11"/>
  <c r="S4433" i="11"/>
  <c r="N4433" i="11"/>
  <c r="M4434" i="11"/>
  <c r="D4434" i="11" l="1"/>
  <c r="C4434" i="11"/>
  <c r="R4434" i="11"/>
  <c r="S4434" i="11"/>
  <c r="N4434" i="11"/>
  <c r="M4435" i="11"/>
  <c r="D4435" i="11" l="1"/>
  <c r="C4435" i="11"/>
  <c r="R4435" i="11"/>
  <c r="S4435" i="11"/>
  <c r="N4435" i="11"/>
  <c r="M4436" i="11"/>
  <c r="D4436" i="11" l="1"/>
  <c r="C4436" i="11"/>
  <c r="R4436" i="11"/>
  <c r="S4436" i="11"/>
  <c r="N4436" i="11"/>
  <c r="M4437" i="11"/>
  <c r="D4437" i="11" l="1"/>
  <c r="C4437" i="11"/>
  <c r="R4437" i="11"/>
  <c r="S4437" i="11"/>
  <c r="N4437" i="11"/>
  <c r="M4438" i="11"/>
  <c r="D4438" i="11" l="1"/>
  <c r="C4438" i="11"/>
  <c r="R4438" i="11"/>
  <c r="S4438" i="11"/>
  <c r="N4438" i="11"/>
  <c r="M4439" i="11"/>
  <c r="D4439" i="11" l="1"/>
  <c r="C4439" i="11"/>
  <c r="R4439" i="11"/>
  <c r="S4439" i="11"/>
  <c r="N4439" i="11"/>
  <c r="M4440" i="11"/>
  <c r="D4440" i="11" l="1"/>
  <c r="C4440" i="11"/>
  <c r="R4440" i="11"/>
  <c r="S4440" i="11"/>
  <c r="N4440" i="11"/>
  <c r="M4441" i="11"/>
  <c r="D4441" i="11" l="1"/>
  <c r="C4441" i="11"/>
  <c r="R4441" i="11"/>
  <c r="S4441" i="11"/>
  <c r="N4441" i="11"/>
  <c r="M4442" i="11"/>
  <c r="D4442" i="11" l="1"/>
  <c r="C4442" i="11"/>
  <c r="R4442" i="11"/>
  <c r="S4442" i="11"/>
  <c r="N4442" i="11"/>
  <c r="M4443" i="11"/>
  <c r="D4443" i="11" l="1"/>
  <c r="C4443" i="11"/>
  <c r="R4443" i="11"/>
  <c r="S4443" i="11"/>
  <c r="N4443" i="11"/>
  <c r="M4444" i="11"/>
  <c r="D4444" i="11" l="1"/>
  <c r="C4444" i="11"/>
  <c r="R4444" i="11"/>
  <c r="S4444" i="11"/>
  <c r="N4444" i="11"/>
  <c r="M4445" i="11"/>
  <c r="D4445" i="11" l="1"/>
  <c r="C4445" i="11"/>
  <c r="R4445" i="11"/>
  <c r="S4445" i="11"/>
  <c r="N4445" i="11"/>
  <c r="M4446" i="11"/>
  <c r="D4446" i="11" l="1"/>
  <c r="C4446" i="11"/>
  <c r="R4446" i="11"/>
  <c r="S4446" i="11"/>
  <c r="N4446" i="11"/>
  <c r="M4447" i="11"/>
  <c r="D4447" i="11" l="1"/>
  <c r="C4447" i="11"/>
  <c r="R4447" i="11"/>
  <c r="S4447" i="11"/>
  <c r="N4447" i="11"/>
  <c r="M4448" i="11"/>
  <c r="D4448" i="11" l="1"/>
  <c r="C4448" i="11"/>
  <c r="R4448" i="11"/>
  <c r="S4448" i="11"/>
  <c r="N4448" i="11"/>
  <c r="M4449" i="11"/>
  <c r="D4449" i="11" l="1"/>
  <c r="C4449" i="11"/>
  <c r="R4449" i="11"/>
  <c r="S4449" i="11"/>
  <c r="N4449" i="11"/>
  <c r="M4450" i="11"/>
  <c r="D4450" i="11" l="1"/>
  <c r="C4450" i="11"/>
  <c r="R4450" i="11"/>
  <c r="S4450" i="11"/>
  <c r="N4450" i="11"/>
  <c r="M4451" i="11"/>
  <c r="D4451" i="11" l="1"/>
  <c r="C4451" i="11"/>
  <c r="R4451" i="11"/>
  <c r="S4451" i="11"/>
  <c r="N4451" i="11"/>
  <c r="M4452" i="11"/>
  <c r="D4452" i="11" l="1"/>
  <c r="C4452" i="11"/>
  <c r="R4452" i="11"/>
  <c r="S4452" i="11"/>
  <c r="N4452" i="11"/>
  <c r="M4453" i="11"/>
  <c r="D4453" i="11" l="1"/>
  <c r="C4453" i="11"/>
  <c r="R4453" i="11"/>
  <c r="S4453" i="11"/>
  <c r="N4453" i="11"/>
  <c r="M4454" i="11"/>
  <c r="D4454" i="11" l="1"/>
  <c r="C4454" i="11"/>
  <c r="R4454" i="11"/>
  <c r="S4454" i="11"/>
  <c r="N4454" i="11"/>
  <c r="M4455" i="11"/>
  <c r="D4455" i="11" l="1"/>
  <c r="C4455" i="11"/>
  <c r="R4455" i="11"/>
  <c r="S4455" i="11"/>
  <c r="N4455" i="11"/>
  <c r="M4456" i="11"/>
  <c r="D4456" i="11" l="1"/>
  <c r="C4456" i="11"/>
  <c r="R4456" i="11"/>
  <c r="S4456" i="11"/>
  <c r="N4456" i="11"/>
  <c r="M4457" i="11"/>
  <c r="D4457" i="11" l="1"/>
  <c r="C4457" i="11"/>
  <c r="R4457" i="11"/>
  <c r="S4457" i="11"/>
  <c r="N4457" i="11"/>
  <c r="M4458" i="11"/>
  <c r="D4458" i="11" l="1"/>
  <c r="C4458" i="11"/>
  <c r="R4458" i="11"/>
  <c r="S4458" i="11"/>
  <c r="N4458" i="11"/>
  <c r="M4459" i="11"/>
  <c r="D4459" i="11" l="1"/>
  <c r="C4459" i="11"/>
  <c r="R4459" i="11"/>
  <c r="S4459" i="11"/>
  <c r="N4459" i="11"/>
  <c r="M4460" i="11"/>
  <c r="D4460" i="11" l="1"/>
  <c r="C4460" i="11"/>
  <c r="R4460" i="11"/>
  <c r="S4460" i="11"/>
  <c r="N4460" i="11"/>
  <c r="M4461" i="11"/>
  <c r="D4461" i="11" l="1"/>
  <c r="C4461" i="11"/>
  <c r="R4461" i="11"/>
  <c r="S4461" i="11"/>
  <c r="N4461" i="11"/>
  <c r="M4462" i="11"/>
  <c r="D4462" i="11" l="1"/>
  <c r="C4462" i="11"/>
  <c r="R4462" i="11"/>
  <c r="S4462" i="11"/>
  <c r="N4462" i="11"/>
  <c r="M4463" i="11"/>
  <c r="D4463" i="11" l="1"/>
  <c r="C4463" i="11"/>
  <c r="R4463" i="11"/>
  <c r="S4463" i="11"/>
  <c r="N4463" i="11"/>
  <c r="M4464" i="11"/>
  <c r="D4464" i="11" l="1"/>
  <c r="C4464" i="11"/>
  <c r="R4464" i="11"/>
  <c r="S4464" i="11"/>
  <c r="N4464" i="11"/>
  <c r="M4465" i="11"/>
  <c r="D4465" i="11" l="1"/>
  <c r="C4465" i="11"/>
  <c r="R4465" i="11"/>
  <c r="S4465" i="11"/>
  <c r="N4465" i="11"/>
  <c r="M4466" i="11"/>
  <c r="D4466" i="11" l="1"/>
  <c r="C4466" i="11"/>
  <c r="R4466" i="11"/>
  <c r="S4466" i="11"/>
  <c r="N4466" i="11"/>
  <c r="M4467" i="11"/>
  <c r="D4467" i="11" l="1"/>
  <c r="C4467" i="11"/>
  <c r="R4467" i="11"/>
  <c r="S4467" i="11"/>
  <c r="N4467" i="11"/>
  <c r="M4468" i="11"/>
  <c r="D4468" i="11" l="1"/>
  <c r="C4468" i="11"/>
  <c r="R4468" i="11"/>
  <c r="S4468" i="11"/>
  <c r="N4468" i="11"/>
  <c r="M4469" i="11"/>
  <c r="D4469" i="11" l="1"/>
  <c r="C4469" i="11"/>
  <c r="R4469" i="11"/>
  <c r="S4469" i="11"/>
  <c r="N4469" i="11"/>
  <c r="M4470" i="11"/>
  <c r="D4470" i="11" l="1"/>
  <c r="C4470" i="11"/>
  <c r="R4470" i="11"/>
  <c r="S4470" i="11"/>
  <c r="N4470" i="11"/>
  <c r="M4471" i="11"/>
  <c r="D4471" i="11" l="1"/>
  <c r="C4471" i="11"/>
  <c r="R4471" i="11"/>
  <c r="S4471" i="11"/>
  <c r="N4471" i="11"/>
  <c r="M4472" i="11"/>
  <c r="D4472" i="11" l="1"/>
  <c r="C4472" i="11"/>
  <c r="R4472" i="11"/>
  <c r="S4472" i="11"/>
  <c r="N4472" i="11"/>
  <c r="M4473" i="11"/>
  <c r="D4473" i="11" l="1"/>
  <c r="C4473" i="11"/>
  <c r="R4473" i="11"/>
  <c r="S4473" i="11"/>
  <c r="N4473" i="11"/>
  <c r="M4474" i="11"/>
  <c r="D4474" i="11" l="1"/>
  <c r="C4474" i="11"/>
  <c r="R4474" i="11"/>
  <c r="S4474" i="11"/>
  <c r="N4474" i="11"/>
  <c r="M4475" i="11"/>
  <c r="D4475" i="11" l="1"/>
  <c r="C4475" i="11"/>
  <c r="R4475" i="11"/>
  <c r="S4475" i="11"/>
  <c r="N4475" i="11"/>
  <c r="M4476" i="11"/>
  <c r="D4476" i="11" l="1"/>
  <c r="C4476" i="11"/>
  <c r="R4476" i="11"/>
  <c r="S4476" i="11"/>
  <c r="N4476" i="11"/>
  <c r="M4477" i="11"/>
  <c r="D4477" i="11" l="1"/>
  <c r="C4477" i="11"/>
  <c r="R4477" i="11"/>
  <c r="S4477" i="11"/>
  <c r="N4477" i="11"/>
  <c r="M4478" i="11"/>
  <c r="D4478" i="11" l="1"/>
  <c r="C4478" i="11"/>
  <c r="R4478" i="11"/>
  <c r="S4478" i="11"/>
  <c r="N4478" i="11"/>
  <c r="M4479" i="11"/>
  <c r="D4479" i="11" l="1"/>
  <c r="C4479" i="11"/>
  <c r="R4479" i="11"/>
  <c r="S4479" i="11"/>
  <c r="N4479" i="11"/>
  <c r="M4480" i="11"/>
  <c r="D4480" i="11" l="1"/>
  <c r="C4480" i="11"/>
  <c r="R4480" i="11"/>
  <c r="S4480" i="11"/>
  <c r="N4480" i="11"/>
  <c r="M4481" i="11"/>
  <c r="D4481" i="11" l="1"/>
  <c r="C4481" i="11"/>
  <c r="R4481" i="11"/>
  <c r="S4481" i="11"/>
  <c r="N4481" i="11"/>
  <c r="M4482" i="11"/>
  <c r="D4482" i="11" l="1"/>
  <c r="C4482" i="11"/>
  <c r="R4482" i="11"/>
  <c r="S4482" i="11"/>
  <c r="N4482" i="11"/>
  <c r="M4483" i="11"/>
  <c r="D4483" i="11" l="1"/>
  <c r="C4483" i="11"/>
  <c r="R4483" i="11"/>
  <c r="S4483" i="11"/>
  <c r="N4483" i="11"/>
  <c r="M4484" i="11"/>
  <c r="D4484" i="11" l="1"/>
  <c r="C4484" i="11"/>
  <c r="R4484" i="11"/>
  <c r="S4484" i="11"/>
  <c r="N4484" i="11"/>
  <c r="M4485" i="11"/>
  <c r="D4485" i="11" l="1"/>
  <c r="C4485" i="11"/>
  <c r="R4485" i="11"/>
  <c r="S4485" i="11"/>
  <c r="N4485" i="11"/>
  <c r="M4486" i="11"/>
  <c r="D4486" i="11" l="1"/>
  <c r="C4486" i="11"/>
  <c r="R4486" i="11"/>
  <c r="S4486" i="11"/>
  <c r="N4486" i="11"/>
  <c r="M4487" i="11"/>
  <c r="D4487" i="11" l="1"/>
  <c r="C4487" i="11"/>
  <c r="R4487" i="11"/>
  <c r="S4487" i="11"/>
  <c r="N4487" i="11"/>
  <c r="M4488" i="11"/>
  <c r="D4488" i="11" l="1"/>
  <c r="C4488" i="11"/>
  <c r="R4488" i="11"/>
  <c r="S4488" i="11"/>
  <c r="N4488" i="11"/>
  <c r="M4489" i="11"/>
  <c r="D4489" i="11" l="1"/>
  <c r="C4489" i="11"/>
  <c r="R4489" i="11"/>
  <c r="S4489" i="11"/>
  <c r="N4489" i="11"/>
  <c r="M4490" i="11"/>
  <c r="D4490" i="11" l="1"/>
  <c r="C4490" i="11"/>
  <c r="R4490" i="11"/>
  <c r="S4490" i="11"/>
  <c r="N4490" i="11"/>
  <c r="M4491" i="11"/>
  <c r="D4491" i="11" l="1"/>
  <c r="C4491" i="11"/>
  <c r="R4491" i="11"/>
  <c r="S4491" i="11"/>
  <c r="N4491" i="11"/>
  <c r="M4492" i="11"/>
  <c r="D4492" i="11" l="1"/>
  <c r="C4492" i="11"/>
  <c r="R4492" i="11"/>
  <c r="S4492" i="11"/>
  <c r="N4492" i="11"/>
  <c r="M4493" i="11"/>
  <c r="D4493" i="11" l="1"/>
  <c r="C4493" i="11"/>
  <c r="R4493" i="11"/>
  <c r="S4493" i="11"/>
  <c r="N4493" i="11"/>
  <c r="M4494" i="11"/>
  <c r="D4494" i="11" l="1"/>
  <c r="C4494" i="11"/>
  <c r="R4494" i="11"/>
  <c r="S4494" i="11"/>
  <c r="N4494" i="11"/>
  <c r="M4495" i="11"/>
  <c r="D4495" i="11" l="1"/>
  <c r="C4495" i="11"/>
  <c r="R4495" i="11"/>
  <c r="S4495" i="11"/>
  <c r="N4495" i="11"/>
  <c r="M4496" i="11"/>
  <c r="D4496" i="11" l="1"/>
  <c r="C4496" i="11"/>
  <c r="R4496" i="11"/>
  <c r="S4496" i="11"/>
  <c r="N4496" i="11"/>
  <c r="M4497" i="11"/>
  <c r="D4497" i="11" l="1"/>
  <c r="C4497" i="11"/>
  <c r="R4497" i="11"/>
  <c r="S4497" i="11"/>
  <c r="N4497" i="11"/>
  <c r="M4498" i="11"/>
  <c r="D4498" i="11" l="1"/>
  <c r="C4498" i="11"/>
  <c r="R4498" i="11"/>
  <c r="S4498" i="11"/>
  <c r="N4498" i="11"/>
  <c r="M4499" i="11"/>
  <c r="D4499" i="11" l="1"/>
  <c r="C4499" i="11"/>
  <c r="R4499" i="11"/>
  <c r="S4499" i="11"/>
  <c r="N4499" i="11"/>
  <c r="M4500" i="11"/>
  <c r="D4500" i="11" l="1"/>
  <c r="C4500" i="11"/>
  <c r="R4500" i="11"/>
  <c r="S4500" i="11"/>
  <c r="N4500" i="11"/>
  <c r="M4501" i="11"/>
  <c r="D4501" i="11" l="1"/>
  <c r="C4501" i="11"/>
  <c r="R4501" i="11"/>
  <c r="S4501" i="11"/>
  <c r="N4501" i="11"/>
  <c r="M4502" i="11"/>
  <c r="D4502" i="11" l="1"/>
  <c r="C4502" i="11"/>
  <c r="R4502" i="11"/>
  <c r="S4502" i="11"/>
  <c r="N4502" i="11"/>
  <c r="M4503" i="11"/>
  <c r="D4503" i="11" l="1"/>
  <c r="C4503" i="11"/>
  <c r="R4503" i="11"/>
  <c r="S4503" i="11"/>
  <c r="N4503" i="11"/>
  <c r="M4504" i="11"/>
  <c r="D4504" i="11" l="1"/>
  <c r="C4504" i="11"/>
  <c r="R4504" i="11"/>
  <c r="S4504" i="11"/>
  <c r="N4504" i="11"/>
  <c r="M4505" i="11"/>
  <c r="D4505" i="11" l="1"/>
  <c r="C4505" i="11"/>
  <c r="R4505" i="11"/>
  <c r="S4505" i="11"/>
  <c r="N4505" i="11"/>
  <c r="M4506" i="11"/>
  <c r="D4506" i="11" l="1"/>
  <c r="C4506" i="11"/>
  <c r="R4506" i="11"/>
  <c r="S4506" i="11"/>
  <c r="N4506" i="11"/>
  <c r="M4507" i="11"/>
  <c r="D4507" i="11" l="1"/>
  <c r="C4507" i="11"/>
  <c r="R4507" i="11"/>
  <c r="S4507" i="11"/>
  <c r="N4507" i="11"/>
  <c r="M4508" i="11"/>
  <c r="D4508" i="11" l="1"/>
  <c r="C4508" i="11"/>
  <c r="R4508" i="11"/>
  <c r="S4508" i="11"/>
  <c r="N4508" i="11"/>
  <c r="M4509" i="11"/>
  <c r="D4509" i="11" l="1"/>
  <c r="C4509" i="11"/>
  <c r="R4509" i="11"/>
  <c r="S4509" i="11"/>
  <c r="N4509" i="11"/>
  <c r="M4510" i="11"/>
  <c r="D4510" i="11" l="1"/>
  <c r="C4510" i="11"/>
  <c r="R4510" i="11"/>
  <c r="S4510" i="11"/>
  <c r="N4510" i="11"/>
  <c r="M4511" i="11"/>
  <c r="D4511" i="11" l="1"/>
  <c r="C4511" i="11"/>
  <c r="R4511" i="11"/>
  <c r="S4511" i="11"/>
  <c r="N4511" i="11"/>
  <c r="M4512" i="11"/>
  <c r="D4512" i="11" l="1"/>
  <c r="C4512" i="11"/>
  <c r="R4512" i="11"/>
  <c r="S4512" i="11"/>
  <c r="N4512" i="11"/>
  <c r="M4513" i="11"/>
  <c r="D4513" i="11" l="1"/>
  <c r="C4513" i="11"/>
  <c r="R4513" i="11"/>
  <c r="S4513" i="11"/>
  <c r="N4513" i="11"/>
  <c r="M4514" i="11"/>
  <c r="D4514" i="11" l="1"/>
  <c r="C4514" i="11"/>
  <c r="R4514" i="11"/>
  <c r="S4514" i="11"/>
  <c r="N4514" i="11"/>
  <c r="M4515" i="11"/>
  <c r="D4515" i="11" l="1"/>
  <c r="C4515" i="11"/>
  <c r="R4515" i="11"/>
  <c r="S4515" i="11"/>
  <c r="N4515" i="11"/>
  <c r="M4516" i="11"/>
  <c r="D4516" i="11" l="1"/>
  <c r="C4516" i="11"/>
  <c r="R4516" i="11"/>
  <c r="S4516" i="11"/>
  <c r="N4516" i="11"/>
  <c r="M4517" i="11"/>
  <c r="D4517" i="11" l="1"/>
  <c r="C4517" i="11"/>
  <c r="R4517" i="11"/>
  <c r="S4517" i="11"/>
  <c r="N4517" i="11"/>
  <c r="M4518" i="11"/>
  <c r="D4518" i="11" l="1"/>
  <c r="C4518" i="11"/>
  <c r="R4518" i="11"/>
  <c r="S4518" i="11"/>
  <c r="N4518" i="11"/>
  <c r="M4519" i="11"/>
  <c r="D4519" i="11" l="1"/>
  <c r="C4519" i="11"/>
  <c r="R4519" i="11"/>
  <c r="S4519" i="11"/>
  <c r="N4519" i="11"/>
  <c r="M4520" i="11"/>
  <c r="D4520" i="11" l="1"/>
  <c r="C4520" i="11"/>
  <c r="R4520" i="11"/>
  <c r="S4520" i="11"/>
  <c r="N4520" i="11"/>
  <c r="M4521" i="11"/>
  <c r="D4521" i="11" l="1"/>
  <c r="C4521" i="11"/>
  <c r="R4521" i="11"/>
  <c r="S4521" i="11"/>
  <c r="N4521" i="11"/>
  <c r="M4522" i="11"/>
  <c r="D4522" i="11" l="1"/>
  <c r="C4522" i="11"/>
  <c r="R4522" i="11"/>
  <c r="S4522" i="11"/>
  <c r="N4522" i="11"/>
  <c r="M4523" i="11"/>
  <c r="D4523" i="11" l="1"/>
  <c r="C4523" i="11"/>
  <c r="R4523" i="11"/>
  <c r="S4523" i="11"/>
  <c r="N4523" i="11"/>
  <c r="M4524" i="11"/>
  <c r="D4524" i="11" l="1"/>
  <c r="C4524" i="11"/>
  <c r="R4524" i="11"/>
  <c r="S4524" i="11"/>
  <c r="N4524" i="11"/>
  <c r="M4525" i="11"/>
  <c r="D4525" i="11" l="1"/>
  <c r="C4525" i="11"/>
  <c r="R4525" i="11"/>
  <c r="S4525" i="11"/>
  <c r="N4525" i="11"/>
  <c r="M4526" i="11"/>
  <c r="D4526" i="11" l="1"/>
  <c r="C4526" i="11"/>
  <c r="R4526" i="11"/>
  <c r="S4526" i="11"/>
  <c r="N4526" i="11"/>
  <c r="M4527" i="11"/>
  <c r="D4527" i="11" l="1"/>
  <c r="C4527" i="11"/>
  <c r="R4527" i="11"/>
  <c r="S4527" i="11"/>
  <c r="N4527" i="11"/>
  <c r="M4528" i="11"/>
  <c r="D4528" i="11" l="1"/>
  <c r="C4528" i="11"/>
  <c r="R4528" i="11"/>
  <c r="S4528" i="11"/>
  <c r="N4528" i="11"/>
  <c r="M4529" i="11"/>
  <c r="D4529" i="11" l="1"/>
  <c r="C4529" i="11"/>
  <c r="R4529" i="11"/>
  <c r="S4529" i="11"/>
  <c r="N4529" i="11"/>
  <c r="M4530" i="11"/>
  <c r="D4530" i="11" l="1"/>
  <c r="C4530" i="11"/>
  <c r="R4530" i="11"/>
  <c r="S4530" i="11"/>
  <c r="N4530" i="11"/>
  <c r="M4531" i="11"/>
  <c r="D4531" i="11" l="1"/>
  <c r="C4531" i="11"/>
  <c r="R4531" i="11"/>
  <c r="S4531" i="11"/>
  <c r="N4531" i="11"/>
  <c r="M4532" i="11"/>
  <c r="D4532" i="11" l="1"/>
  <c r="C4532" i="11"/>
  <c r="R4532" i="11"/>
  <c r="S4532" i="11"/>
  <c r="N4532" i="11"/>
  <c r="M4533" i="11"/>
  <c r="D4533" i="11" l="1"/>
  <c r="C4533" i="11"/>
  <c r="R4533" i="11"/>
  <c r="S4533" i="11"/>
  <c r="N4533" i="11"/>
  <c r="M4534" i="11"/>
  <c r="D4534" i="11" l="1"/>
  <c r="C4534" i="11"/>
  <c r="R4534" i="11"/>
  <c r="S4534" i="11"/>
  <c r="N4534" i="11"/>
  <c r="M4535" i="11"/>
  <c r="D4535" i="11" l="1"/>
  <c r="C4535" i="11"/>
  <c r="R4535" i="11"/>
  <c r="S4535" i="11"/>
  <c r="N4535" i="11"/>
  <c r="M4536" i="11"/>
  <c r="D4536" i="11" l="1"/>
  <c r="C4536" i="11"/>
  <c r="R4536" i="11"/>
  <c r="S4536" i="11"/>
  <c r="N4536" i="11"/>
  <c r="M4537" i="11"/>
  <c r="D4537" i="11" l="1"/>
  <c r="C4537" i="11"/>
  <c r="R4537" i="11"/>
  <c r="S4537" i="11"/>
  <c r="N4537" i="11"/>
  <c r="M4538" i="11"/>
  <c r="D4538" i="11" l="1"/>
  <c r="C4538" i="11"/>
  <c r="R4538" i="11"/>
  <c r="S4538" i="11"/>
  <c r="N4538" i="11"/>
  <c r="M4539" i="11"/>
  <c r="D4539" i="11" l="1"/>
  <c r="C4539" i="11"/>
  <c r="R4539" i="11"/>
  <c r="S4539" i="11"/>
  <c r="N4539" i="11"/>
  <c r="M4540" i="11"/>
  <c r="D4540" i="11" l="1"/>
  <c r="C4540" i="11"/>
  <c r="R4540" i="11"/>
  <c r="S4540" i="11"/>
  <c r="N4540" i="11"/>
  <c r="M4541" i="11"/>
  <c r="D4541" i="11" l="1"/>
  <c r="C4541" i="11"/>
  <c r="R4541" i="11"/>
  <c r="S4541" i="11"/>
  <c r="N4541" i="11"/>
  <c r="M4542" i="11"/>
  <c r="D4542" i="11" l="1"/>
  <c r="C4542" i="11"/>
  <c r="R4542" i="11"/>
  <c r="S4542" i="11"/>
  <c r="N4542" i="11"/>
  <c r="M4543" i="11"/>
  <c r="D4543" i="11" l="1"/>
  <c r="C4543" i="11"/>
  <c r="R4543" i="11"/>
  <c r="S4543" i="11"/>
  <c r="N4543" i="11"/>
  <c r="M4544" i="11"/>
  <c r="D4544" i="11" l="1"/>
  <c r="C4544" i="11"/>
  <c r="R4544" i="11"/>
  <c r="S4544" i="11"/>
  <c r="N4544" i="11"/>
  <c r="M4545" i="11"/>
  <c r="D4545" i="11" l="1"/>
  <c r="C4545" i="11"/>
  <c r="R4545" i="11"/>
  <c r="S4545" i="11"/>
  <c r="N4545" i="11"/>
  <c r="M4546" i="11"/>
  <c r="D4546" i="11" l="1"/>
  <c r="C4546" i="11"/>
  <c r="R4546" i="11"/>
  <c r="S4546" i="11"/>
  <c r="N4546" i="11"/>
  <c r="M4547" i="11"/>
  <c r="D4547" i="11" l="1"/>
  <c r="C4547" i="11"/>
  <c r="R4547" i="11"/>
  <c r="S4547" i="11"/>
  <c r="N4547" i="11"/>
  <c r="M4548" i="11"/>
  <c r="D4548" i="11" l="1"/>
  <c r="C4548" i="11"/>
  <c r="R4548" i="11"/>
  <c r="S4548" i="11"/>
  <c r="N4548" i="11"/>
  <c r="M4549" i="11"/>
  <c r="D4549" i="11" l="1"/>
  <c r="C4549" i="11"/>
  <c r="R4549" i="11"/>
  <c r="S4549" i="11"/>
  <c r="N4549" i="11"/>
  <c r="M4550" i="11"/>
  <c r="D4550" i="11" l="1"/>
  <c r="C4550" i="11"/>
  <c r="R4550" i="11"/>
  <c r="S4550" i="11"/>
  <c r="N4550" i="11"/>
  <c r="M4551" i="11"/>
  <c r="D4551" i="11" l="1"/>
  <c r="C4551" i="11"/>
  <c r="R4551" i="11"/>
  <c r="S4551" i="11"/>
  <c r="N4551" i="11"/>
  <c r="M4552" i="11"/>
  <c r="D4552" i="11" l="1"/>
  <c r="C4552" i="11"/>
  <c r="R4552" i="11"/>
  <c r="S4552" i="11"/>
  <c r="N4552" i="11"/>
  <c r="M4553" i="11"/>
  <c r="D4553" i="11" l="1"/>
  <c r="C4553" i="11"/>
  <c r="R4553" i="11"/>
  <c r="S4553" i="11"/>
  <c r="N4553" i="11"/>
  <c r="M4554" i="11"/>
  <c r="D4554" i="11" l="1"/>
  <c r="C4554" i="11"/>
  <c r="R4554" i="11"/>
  <c r="S4554" i="11"/>
  <c r="N4554" i="11"/>
  <c r="M4555" i="11"/>
  <c r="D4555" i="11" l="1"/>
  <c r="C4555" i="11"/>
  <c r="R4555" i="11"/>
  <c r="S4555" i="11"/>
  <c r="N4555" i="11"/>
  <c r="M4556" i="11"/>
  <c r="D4556" i="11" l="1"/>
  <c r="C4556" i="11"/>
  <c r="R4556" i="11"/>
  <c r="S4556" i="11"/>
  <c r="N4556" i="11"/>
  <c r="M4557" i="11"/>
  <c r="D4557" i="11" l="1"/>
  <c r="C4557" i="11"/>
  <c r="R4557" i="11"/>
  <c r="S4557" i="11"/>
  <c r="N4557" i="11"/>
  <c r="M4558" i="11"/>
  <c r="D4558" i="11" l="1"/>
  <c r="C4558" i="11"/>
  <c r="R4558" i="11"/>
  <c r="S4558" i="11"/>
  <c r="N4558" i="11"/>
  <c r="M4559" i="11"/>
  <c r="D4559" i="11" l="1"/>
  <c r="C4559" i="11"/>
  <c r="R4559" i="11"/>
  <c r="S4559" i="11"/>
  <c r="N4559" i="11"/>
  <c r="M4560" i="11"/>
  <c r="D4560" i="11" l="1"/>
  <c r="C4560" i="11"/>
  <c r="R4560" i="11"/>
  <c r="S4560" i="11"/>
  <c r="N4560" i="11"/>
  <c r="M4561" i="11"/>
  <c r="D4561" i="11" l="1"/>
  <c r="C4561" i="11"/>
  <c r="R4561" i="11"/>
  <c r="S4561" i="11"/>
  <c r="N4561" i="11"/>
  <c r="M4562" i="11"/>
  <c r="D4562" i="11" l="1"/>
  <c r="C4562" i="11"/>
  <c r="R4562" i="11"/>
  <c r="S4562" i="11"/>
  <c r="N4562" i="11"/>
  <c r="M4563" i="11"/>
  <c r="D4563" i="11" l="1"/>
  <c r="C4563" i="11"/>
  <c r="R4563" i="11"/>
  <c r="S4563" i="11"/>
  <c r="N4563" i="11"/>
  <c r="M4564" i="11"/>
  <c r="D4564" i="11" l="1"/>
  <c r="C4564" i="11"/>
  <c r="R4564" i="11"/>
  <c r="S4564" i="11"/>
  <c r="N4564" i="11"/>
  <c r="M4565" i="11"/>
  <c r="D4565" i="11" l="1"/>
  <c r="C4565" i="11"/>
  <c r="R4565" i="11"/>
  <c r="S4565" i="11"/>
  <c r="N4565" i="11"/>
  <c r="M4566" i="11"/>
  <c r="D4566" i="11" l="1"/>
  <c r="C4566" i="11"/>
  <c r="R4566" i="11"/>
  <c r="S4566" i="11"/>
  <c r="N4566" i="11"/>
  <c r="M4567" i="11"/>
  <c r="D4567" i="11" l="1"/>
  <c r="C4567" i="11"/>
  <c r="R4567" i="11"/>
  <c r="S4567" i="11"/>
  <c r="N4567" i="11"/>
  <c r="M4568" i="11"/>
  <c r="D4568" i="11" l="1"/>
  <c r="C4568" i="11"/>
  <c r="R4568" i="11"/>
  <c r="S4568" i="11"/>
  <c r="N4568" i="11"/>
  <c r="M4569" i="11"/>
  <c r="D4569" i="11" l="1"/>
  <c r="C4569" i="11"/>
  <c r="R4569" i="11"/>
  <c r="S4569" i="11"/>
  <c r="N4569" i="11"/>
  <c r="M4570" i="11"/>
  <c r="D4570" i="11" l="1"/>
  <c r="C4570" i="11"/>
  <c r="R4570" i="11"/>
  <c r="S4570" i="11"/>
  <c r="N4570" i="11"/>
  <c r="M4571" i="11"/>
  <c r="D4571" i="11" l="1"/>
  <c r="C4571" i="11"/>
  <c r="R4571" i="11"/>
  <c r="S4571" i="11"/>
  <c r="N4571" i="11"/>
  <c r="M4572" i="11"/>
  <c r="D4572" i="11" l="1"/>
  <c r="C4572" i="11"/>
  <c r="R4572" i="11"/>
  <c r="S4572" i="11"/>
  <c r="N4572" i="11"/>
  <c r="M4573" i="11"/>
  <c r="D4573" i="11" l="1"/>
  <c r="C4573" i="11"/>
  <c r="R4573" i="11"/>
  <c r="S4573" i="11"/>
  <c r="N4573" i="11"/>
  <c r="M4574" i="11"/>
  <c r="D4574" i="11" l="1"/>
  <c r="C4574" i="11"/>
  <c r="R4574" i="11"/>
  <c r="S4574" i="11"/>
  <c r="N4574" i="11"/>
  <c r="M4575" i="11"/>
  <c r="D4575" i="11" l="1"/>
  <c r="C4575" i="11"/>
  <c r="R4575" i="11"/>
  <c r="S4575" i="11"/>
  <c r="N4575" i="11"/>
  <c r="M4576" i="11"/>
  <c r="D4576" i="11" l="1"/>
  <c r="C4576" i="11"/>
  <c r="R4576" i="11"/>
  <c r="S4576" i="11"/>
  <c r="N4576" i="11"/>
  <c r="M4577" i="11"/>
  <c r="D4577" i="11" l="1"/>
  <c r="C4577" i="11"/>
  <c r="R4577" i="11"/>
  <c r="S4577" i="11"/>
  <c r="N4577" i="11"/>
  <c r="M4578" i="11"/>
  <c r="D4578" i="11" l="1"/>
  <c r="C4578" i="11"/>
  <c r="R4578" i="11"/>
  <c r="S4578" i="11"/>
  <c r="N4578" i="11"/>
  <c r="M4579" i="11"/>
  <c r="D4579" i="11" l="1"/>
  <c r="C4579" i="11"/>
  <c r="R4579" i="11"/>
  <c r="S4579" i="11"/>
  <c r="N4579" i="11"/>
  <c r="M4580" i="11"/>
  <c r="D4580" i="11" l="1"/>
  <c r="C4580" i="11"/>
  <c r="R4580" i="11"/>
  <c r="S4580" i="11"/>
  <c r="N4580" i="11"/>
  <c r="M4581" i="11"/>
  <c r="D4581" i="11" l="1"/>
  <c r="C4581" i="11"/>
  <c r="R4581" i="11"/>
  <c r="S4581" i="11"/>
  <c r="N4581" i="11"/>
  <c r="M4582" i="11"/>
  <c r="D4582" i="11" l="1"/>
  <c r="C4582" i="11"/>
  <c r="R4582" i="11"/>
  <c r="S4582" i="11"/>
  <c r="N4582" i="11"/>
  <c r="M4583" i="11"/>
  <c r="D4583" i="11" l="1"/>
  <c r="C4583" i="11"/>
  <c r="R4583" i="11"/>
  <c r="S4583" i="11"/>
  <c r="N4583" i="11"/>
  <c r="M4584" i="11"/>
  <c r="D4584" i="11" l="1"/>
  <c r="C4584" i="11"/>
  <c r="R4584" i="11"/>
  <c r="S4584" i="11"/>
  <c r="N4584" i="11"/>
  <c r="M4585" i="11"/>
  <c r="D4585" i="11" l="1"/>
  <c r="C4585" i="11"/>
  <c r="R4585" i="11"/>
  <c r="S4585" i="11"/>
  <c r="N4585" i="11"/>
  <c r="M4586" i="11"/>
  <c r="D4586" i="11" l="1"/>
  <c r="C4586" i="11"/>
  <c r="R4586" i="11"/>
  <c r="S4586" i="11"/>
  <c r="N4586" i="11"/>
  <c r="M4587" i="11"/>
  <c r="D4587" i="11" l="1"/>
  <c r="C4587" i="11"/>
  <c r="R4587" i="11"/>
  <c r="S4587" i="11"/>
  <c r="N4587" i="11"/>
  <c r="M4588" i="11"/>
  <c r="D4588" i="11" l="1"/>
  <c r="C4588" i="11"/>
  <c r="R4588" i="11"/>
  <c r="S4588" i="11"/>
  <c r="N4588" i="11"/>
  <c r="M4589" i="11"/>
  <c r="D4589" i="11" l="1"/>
  <c r="C4589" i="11"/>
  <c r="R4589" i="11"/>
  <c r="S4589" i="11"/>
  <c r="N4589" i="11"/>
  <c r="M4590" i="11"/>
  <c r="D4590" i="11" l="1"/>
  <c r="C4590" i="11"/>
  <c r="R4590" i="11"/>
  <c r="S4590" i="11"/>
  <c r="N4590" i="11"/>
  <c r="M4591" i="11"/>
  <c r="D4591" i="11" l="1"/>
  <c r="C4591" i="11"/>
  <c r="R4591" i="11"/>
  <c r="S4591" i="11"/>
  <c r="N4591" i="11"/>
  <c r="M4592" i="11"/>
  <c r="D4592" i="11" l="1"/>
  <c r="C4592" i="11"/>
  <c r="R4592" i="11"/>
  <c r="S4592" i="11"/>
  <c r="N4592" i="11"/>
  <c r="M4593" i="11"/>
  <c r="D4593" i="11" l="1"/>
  <c r="C4593" i="11"/>
  <c r="R4593" i="11"/>
  <c r="S4593" i="11"/>
  <c r="N4593" i="11"/>
  <c r="M4594" i="11"/>
  <c r="D4594" i="11" l="1"/>
  <c r="C4594" i="11"/>
  <c r="R4594" i="11"/>
  <c r="S4594" i="11"/>
  <c r="N4594" i="11"/>
  <c r="M4595" i="11"/>
  <c r="D4595" i="11" l="1"/>
  <c r="C4595" i="11"/>
  <c r="R4595" i="11"/>
  <c r="S4595" i="11"/>
  <c r="N4595" i="11"/>
  <c r="M4596" i="11"/>
  <c r="D4596" i="11" l="1"/>
  <c r="C4596" i="11"/>
  <c r="R4596" i="11"/>
  <c r="S4596" i="11"/>
  <c r="N4596" i="11"/>
  <c r="M4597" i="11"/>
  <c r="D4597" i="11" l="1"/>
  <c r="C4597" i="11"/>
  <c r="R4597" i="11"/>
  <c r="S4597" i="11"/>
  <c r="N4597" i="11"/>
  <c r="M4598" i="11"/>
  <c r="D4598" i="11" l="1"/>
  <c r="C4598" i="11"/>
  <c r="R4598" i="11"/>
  <c r="S4598" i="11"/>
  <c r="N4598" i="11"/>
  <c r="M4599" i="11"/>
  <c r="D4599" i="11" l="1"/>
  <c r="C4599" i="11"/>
  <c r="R4599" i="11"/>
  <c r="S4599" i="11"/>
  <c r="N4599" i="11"/>
  <c r="M4600" i="11"/>
  <c r="D4600" i="11" l="1"/>
  <c r="C4600" i="11"/>
  <c r="R4600" i="11"/>
  <c r="S4600" i="11"/>
  <c r="N4600" i="11"/>
  <c r="M4601" i="11"/>
  <c r="D4601" i="11" l="1"/>
  <c r="C4601" i="11"/>
  <c r="R4601" i="11"/>
  <c r="S4601" i="11"/>
  <c r="N4601" i="11"/>
  <c r="M4602" i="11"/>
  <c r="D4602" i="11" l="1"/>
  <c r="C4602" i="11"/>
  <c r="R4602" i="11"/>
  <c r="S4602" i="11"/>
  <c r="N4602" i="11"/>
  <c r="M4603" i="11"/>
  <c r="D4603" i="11" l="1"/>
  <c r="C4603" i="11"/>
  <c r="R4603" i="11"/>
  <c r="S4603" i="11"/>
  <c r="N4603" i="11"/>
  <c r="M4604" i="11"/>
  <c r="D4604" i="11" l="1"/>
  <c r="C4604" i="11"/>
  <c r="R4604" i="11"/>
  <c r="S4604" i="11"/>
  <c r="N4604" i="11"/>
  <c r="M4605" i="11"/>
  <c r="D4605" i="11" l="1"/>
  <c r="C4605" i="11"/>
  <c r="R4605" i="11"/>
  <c r="S4605" i="11"/>
  <c r="N4605" i="11"/>
  <c r="M4606" i="11"/>
  <c r="D4606" i="11" l="1"/>
  <c r="C4606" i="11"/>
  <c r="R4606" i="11"/>
  <c r="S4606" i="11"/>
  <c r="N4606" i="11"/>
  <c r="M4607" i="11"/>
  <c r="D4607" i="11" l="1"/>
  <c r="C4607" i="11"/>
  <c r="R4607" i="11"/>
  <c r="S4607" i="11"/>
  <c r="N4607" i="11"/>
  <c r="M4608" i="11"/>
  <c r="D4608" i="11" l="1"/>
  <c r="C4608" i="11"/>
  <c r="R4608" i="11"/>
  <c r="S4608" i="11"/>
  <c r="N4608" i="11"/>
  <c r="M4609" i="11"/>
  <c r="D4609" i="11" l="1"/>
  <c r="C4609" i="11"/>
  <c r="R4609" i="11"/>
  <c r="S4609" i="11"/>
  <c r="N4609" i="11"/>
  <c r="M4610" i="11"/>
  <c r="D4610" i="11" l="1"/>
  <c r="C4610" i="11"/>
  <c r="R4610" i="11"/>
  <c r="S4610" i="11"/>
  <c r="N4610" i="11"/>
  <c r="M4611" i="11"/>
  <c r="D4611" i="11" l="1"/>
  <c r="C4611" i="11"/>
  <c r="R4611" i="11"/>
  <c r="S4611" i="11"/>
  <c r="N4611" i="11"/>
  <c r="M4612" i="11"/>
  <c r="D4612" i="11" l="1"/>
  <c r="C4612" i="11"/>
  <c r="R4612" i="11"/>
  <c r="S4612" i="11"/>
  <c r="N4612" i="11"/>
  <c r="M4613" i="11"/>
  <c r="D4613" i="11" l="1"/>
  <c r="C4613" i="11"/>
  <c r="R4613" i="11"/>
  <c r="S4613" i="11"/>
  <c r="N4613" i="11"/>
  <c r="M4614" i="11"/>
  <c r="D4614" i="11" l="1"/>
  <c r="C4614" i="11"/>
  <c r="R4614" i="11"/>
  <c r="S4614" i="11"/>
  <c r="N4614" i="11"/>
  <c r="M4615" i="11"/>
  <c r="D4615" i="11" l="1"/>
  <c r="C4615" i="11"/>
  <c r="R4615" i="11"/>
  <c r="S4615" i="11"/>
  <c r="N4615" i="11"/>
  <c r="M4616" i="11"/>
  <c r="D4616" i="11" l="1"/>
  <c r="C4616" i="11"/>
  <c r="R4616" i="11"/>
  <c r="S4616" i="11"/>
  <c r="N4616" i="11"/>
  <c r="M4617" i="11"/>
  <c r="D4617" i="11" l="1"/>
  <c r="C4617" i="11"/>
  <c r="R4617" i="11"/>
  <c r="S4617" i="11"/>
  <c r="N4617" i="11"/>
  <c r="M4618" i="11"/>
  <c r="D4618" i="11" l="1"/>
  <c r="C4618" i="11"/>
  <c r="R4618" i="11"/>
  <c r="S4618" i="11"/>
  <c r="N4618" i="11"/>
  <c r="M4619" i="11"/>
  <c r="D4619" i="11" l="1"/>
  <c r="C4619" i="11"/>
  <c r="R4619" i="11"/>
  <c r="S4619" i="11"/>
  <c r="N4619" i="11"/>
  <c r="M4620" i="11"/>
  <c r="D4620" i="11" l="1"/>
  <c r="C4620" i="11"/>
  <c r="R4620" i="11"/>
  <c r="S4620" i="11"/>
  <c r="N4620" i="11"/>
  <c r="M4621" i="11"/>
  <c r="D4621" i="11" l="1"/>
  <c r="C4621" i="11"/>
  <c r="R4621" i="11"/>
  <c r="S4621" i="11"/>
  <c r="N4621" i="11"/>
  <c r="M4622" i="11"/>
  <c r="D4622" i="11" l="1"/>
  <c r="C4622" i="11"/>
  <c r="R4622" i="11"/>
  <c r="S4622" i="11"/>
  <c r="N4622" i="11"/>
  <c r="M4623" i="11"/>
  <c r="D4623" i="11" l="1"/>
  <c r="C4623" i="11"/>
  <c r="R4623" i="11"/>
  <c r="S4623" i="11"/>
  <c r="N4623" i="11"/>
  <c r="M4624" i="11"/>
  <c r="D4624" i="11" l="1"/>
  <c r="C4624" i="11"/>
  <c r="R4624" i="11"/>
  <c r="S4624" i="11"/>
  <c r="N4624" i="11"/>
  <c r="M4625" i="11"/>
  <c r="D4625" i="11" l="1"/>
  <c r="C4625" i="11"/>
  <c r="R4625" i="11"/>
  <c r="S4625" i="11"/>
  <c r="N4625" i="11"/>
  <c r="M4626" i="11"/>
  <c r="D4626" i="11" l="1"/>
  <c r="C4626" i="11"/>
  <c r="R4626" i="11"/>
  <c r="S4626" i="11"/>
  <c r="N4626" i="11"/>
  <c r="M4627" i="11"/>
  <c r="D4627" i="11" l="1"/>
  <c r="C4627" i="11"/>
  <c r="R4627" i="11"/>
  <c r="S4627" i="11"/>
  <c r="N4627" i="11"/>
  <c r="M4628" i="11"/>
  <c r="D4628" i="11" l="1"/>
  <c r="C4628" i="11"/>
  <c r="R4628" i="11"/>
  <c r="S4628" i="11"/>
  <c r="N4628" i="11"/>
  <c r="M4629" i="11"/>
  <c r="D4629" i="11" l="1"/>
  <c r="C4629" i="11"/>
  <c r="R4629" i="11"/>
  <c r="S4629" i="11"/>
  <c r="N4629" i="11"/>
  <c r="M4630" i="11"/>
  <c r="D4630" i="11" l="1"/>
  <c r="C4630" i="11"/>
  <c r="R4630" i="11"/>
  <c r="S4630" i="11"/>
  <c r="N4630" i="11"/>
  <c r="M4631" i="11"/>
  <c r="D4631" i="11" l="1"/>
  <c r="C4631" i="11"/>
  <c r="R4631" i="11"/>
  <c r="S4631" i="11"/>
  <c r="N4631" i="11"/>
  <c r="M4632" i="11"/>
  <c r="D4632" i="11" l="1"/>
  <c r="C4632" i="11"/>
  <c r="R4632" i="11"/>
  <c r="S4632" i="11"/>
  <c r="N4632" i="11"/>
  <c r="M4633" i="11"/>
  <c r="D4633" i="11" l="1"/>
  <c r="C4633" i="11"/>
  <c r="R4633" i="11"/>
  <c r="S4633" i="11"/>
  <c r="N4633" i="11"/>
  <c r="M4634" i="11"/>
  <c r="D4634" i="11" l="1"/>
  <c r="C4634" i="11"/>
  <c r="R4634" i="11"/>
  <c r="S4634" i="11"/>
  <c r="N4634" i="11"/>
  <c r="M4635" i="11"/>
  <c r="D4635" i="11" l="1"/>
  <c r="C4635" i="11"/>
  <c r="R4635" i="11"/>
  <c r="S4635" i="11"/>
  <c r="N4635" i="11"/>
  <c r="M4636" i="11"/>
  <c r="D4636" i="11" l="1"/>
  <c r="C4636" i="11"/>
  <c r="R4636" i="11"/>
  <c r="S4636" i="11"/>
  <c r="N4636" i="11"/>
  <c r="M4637" i="11"/>
  <c r="D4637" i="11" l="1"/>
  <c r="C4637" i="11"/>
  <c r="R4637" i="11"/>
  <c r="S4637" i="11"/>
  <c r="N4637" i="11"/>
  <c r="M4638" i="11"/>
  <c r="D4638" i="11" l="1"/>
  <c r="C4638" i="11"/>
  <c r="R4638" i="11"/>
  <c r="S4638" i="11"/>
  <c r="N4638" i="11"/>
  <c r="M4639" i="11"/>
  <c r="D4639" i="11" l="1"/>
  <c r="C4639" i="11"/>
  <c r="R4639" i="11"/>
  <c r="S4639" i="11"/>
  <c r="N4639" i="11"/>
  <c r="M4640" i="11"/>
  <c r="D4640" i="11" l="1"/>
  <c r="C4640" i="11"/>
  <c r="R4640" i="11"/>
  <c r="S4640" i="11"/>
  <c r="N4640" i="11"/>
  <c r="M4641" i="11"/>
  <c r="D4641" i="11" l="1"/>
  <c r="C4641" i="11"/>
  <c r="R4641" i="11"/>
  <c r="S4641" i="11"/>
  <c r="N4641" i="11"/>
  <c r="M4642" i="11"/>
  <c r="D4642" i="11" l="1"/>
  <c r="C4642" i="11"/>
  <c r="R4642" i="11"/>
  <c r="S4642" i="11"/>
  <c r="N4642" i="11"/>
  <c r="M4643" i="11"/>
  <c r="D4643" i="11" l="1"/>
  <c r="C4643" i="11"/>
  <c r="R4643" i="11"/>
  <c r="S4643" i="11"/>
  <c r="N4643" i="11"/>
  <c r="M4644" i="11"/>
  <c r="D4644" i="11" l="1"/>
  <c r="C4644" i="11"/>
  <c r="R4644" i="11"/>
  <c r="S4644" i="11"/>
  <c r="N4644" i="11"/>
  <c r="M4645" i="11"/>
  <c r="D4645" i="11" l="1"/>
  <c r="C4645" i="11"/>
  <c r="R4645" i="11"/>
  <c r="S4645" i="11"/>
  <c r="N4645" i="11"/>
  <c r="M4646" i="11"/>
  <c r="D4646" i="11" l="1"/>
  <c r="C4646" i="11"/>
  <c r="R4646" i="11"/>
  <c r="S4646" i="11"/>
  <c r="N4646" i="11"/>
  <c r="M4647" i="11"/>
  <c r="D4647" i="11" l="1"/>
  <c r="C4647" i="11"/>
  <c r="R4647" i="11"/>
  <c r="S4647" i="11"/>
  <c r="N4647" i="11"/>
  <c r="M4648" i="11"/>
  <c r="D4648" i="11" l="1"/>
  <c r="C4648" i="11"/>
  <c r="R4648" i="11"/>
  <c r="S4648" i="11"/>
  <c r="N4648" i="11"/>
  <c r="M4649" i="11"/>
  <c r="D4649" i="11" l="1"/>
  <c r="C4649" i="11"/>
  <c r="R4649" i="11"/>
  <c r="S4649" i="11"/>
  <c r="N4649" i="11"/>
  <c r="M4650" i="11"/>
  <c r="D4650" i="11" l="1"/>
  <c r="C4650" i="11"/>
  <c r="R4650" i="11"/>
  <c r="S4650" i="11"/>
  <c r="N4650" i="11"/>
  <c r="M4651" i="11"/>
  <c r="D4651" i="11" l="1"/>
  <c r="C4651" i="11"/>
  <c r="R4651" i="11"/>
  <c r="S4651" i="11"/>
  <c r="N4651" i="11"/>
  <c r="M4652" i="11"/>
  <c r="D4652" i="11" l="1"/>
  <c r="C4652" i="11"/>
  <c r="R4652" i="11"/>
  <c r="S4652" i="11"/>
  <c r="N4652" i="11"/>
  <c r="M4653" i="11"/>
  <c r="D4653" i="11" l="1"/>
  <c r="C4653" i="11"/>
  <c r="R4653" i="11"/>
  <c r="S4653" i="11"/>
  <c r="N4653" i="11"/>
  <c r="M4654" i="11"/>
  <c r="D4654" i="11" l="1"/>
  <c r="C4654" i="11"/>
  <c r="R4654" i="11"/>
  <c r="S4654" i="11"/>
  <c r="N4654" i="11"/>
  <c r="M4655" i="11"/>
  <c r="D4655" i="11" l="1"/>
  <c r="C4655" i="11"/>
  <c r="R4655" i="11"/>
  <c r="S4655" i="11"/>
  <c r="N4655" i="11"/>
  <c r="M4656" i="11"/>
  <c r="D4656" i="11" l="1"/>
  <c r="C4656" i="11"/>
  <c r="R4656" i="11"/>
  <c r="S4656" i="11"/>
  <c r="N4656" i="11"/>
  <c r="M4657" i="11"/>
  <c r="D4657" i="11" l="1"/>
  <c r="C4657" i="11"/>
  <c r="R4657" i="11"/>
  <c r="S4657" i="11"/>
  <c r="N4657" i="11"/>
  <c r="M4658" i="11"/>
  <c r="D4658" i="11" l="1"/>
  <c r="C4658" i="11"/>
  <c r="R4658" i="11"/>
  <c r="S4658" i="11"/>
  <c r="N4658" i="11"/>
  <c r="M4659" i="11"/>
  <c r="D4659" i="11" l="1"/>
  <c r="C4659" i="11"/>
  <c r="R4659" i="11"/>
  <c r="S4659" i="11"/>
  <c r="N4659" i="11"/>
  <c r="M4660" i="11"/>
  <c r="D4660" i="11" l="1"/>
  <c r="C4660" i="11"/>
  <c r="R4660" i="11"/>
  <c r="S4660" i="11"/>
  <c r="N4660" i="11"/>
  <c r="M4661" i="11"/>
  <c r="D4661" i="11" l="1"/>
  <c r="C4661" i="11"/>
  <c r="R4661" i="11"/>
  <c r="S4661" i="11"/>
  <c r="N4661" i="11"/>
  <c r="M4662" i="11"/>
  <c r="D4662" i="11" l="1"/>
  <c r="C4662" i="11"/>
  <c r="R4662" i="11"/>
  <c r="S4662" i="11"/>
  <c r="N4662" i="11"/>
  <c r="M4663" i="11"/>
  <c r="D4663" i="11" l="1"/>
  <c r="C4663" i="11"/>
  <c r="R4663" i="11"/>
  <c r="S4663" i="11"/>
  <c r="N4663" i="11"/>
  <c r="M4664" i="11"/>
  <c r="D4664" i="11" l="1"/>
  <c r="C4664" i="11"/>
  <c r="R4664" i="11"/>
  <c r="S4664" i="11"/>
  <c r="N4664" i="11"/>
  <c r="M4665" i="11"/>
  <c r="D4665" i="11" l="1"/>
  <c r="C4665" i="11"/>
  <c r="R4665" i="11"/>
  <c r="S4665" i="11"/>
  <c r="N4665" i="11"/>
  <c r="M4666" i="11"/>
  <c r="D4666" i="11" l="1"/>
  <c r="C4666" i="11"/>
  <c r="R4666" i="11"/>
  <c r="S4666" i="11"/>
  <c r="N4666" i="11"/>
  <c r="M4667" i="11"/>
  <c r="D4667" i="11" l="1"/>
  <c r="C4667" i="11"/>
  <c r="R4667" i="11"/>
  <c r="S4667" i="11"/>
  <c r="N4667" i="11"/>
  <c r="M4668" i="11"/>
  <c r="D4668" i="11" l="1"/>
  <c r="C4668" i="11"/>
  <c r="R4668" i="11"/>
  <c r="S4668" i="11"/>
  <c r="N4668" i="11"/>
  <c r="M4669" i="11"/>
  <c r="D4669" i="11" l="1"/>
  <c r="C4669" i="11"/>
  <c r="R4669" i="11"/>
  <c r="S4669" i="11"/>
  <c r="N4669" i="11"/>
  <c r="M4670" i="11"/>
  <c r="D4670" i="11" l="1"/>
  <c r="C4670" i="11"/>
  <c r="R4670" i="11"/>
  <c r="S4670" i="11"/>
  <c r="N4670" i="11"/>
  <c r="M4671" i="11"/>
  <c r="D4671" i="11" l="1"/>
  <c r="C4671" i="11"/>
  <c r="R4671" i="11"/>
  <c r="S4671" i="11"/>
  <c r="N4671" i="11"/>
  <c r="M4672" i="11"/>
  <c r="D4672" i="11" l="1"/>
  <c r="C4672" i="11"/>
  <c r="R4672" i="11"/>
  <c r="S4672" i="11"/>
  <c r="N4672" i="11"/>
  <c r="M4673" i="11"/>
  <c r="D4673" i="11" l="1"/>
  <c r="C4673" i="11"/>
  <c r="R4673" i="11"/>
  <c r="S4673" i="11"/>
  <c r="N4673" i="11"/>
  <c r="M4674" i="11"/>
  <c r="D4674" i="11" l="1"/>
  <c r="C4674" i="11"/>
  <c r="R4674" i="11"/>
  <c r="S4674" i="11"/>
  <c r="N4674" i="11"/>
  <c r="M4675" i="11"/>
  <c r="D4675" i="11" l="1"/>
  <c r="C4675" i="11"/>
  <c r="R4675" i="11"/>
  <c r="S4675" i="11"/>
  <c r="N4675" i="11"/>
  <c r="M4676" i="11"/>
  <c r="D4676" i="11" l="1"/>
  <c r="C4676" i="11"/>
  <c r="R4676" i="11"/>
  <c r="S4676" i="11"/>
  <c r="N4676" i="11"/>
  <c r="M4677" i="11"/>
  <c r="D4677" i="11" l="1"/>
  <c r="C4677" i="11"/>
  <c r="R4677" i="11"/>
  <c r="S4677" i="11"/>
  <c r="N4677" i="11"/>
  <c r="M4678" i="11"/>
  <c r="D4678" i="11" l="1"/>
  <c r="C4678" i="11"/>
  <c r="R4678" i="11"/>
  <c r="S4678" i="11"/>
  <c r="N4678" i="11"/>
  <c r="M4679" i="11"/>
  <c r="D4679" i="11" l="1"/>
  <c r="C4679" i="11"/>
  <c r="R4679" i="11"/>
  <c r="S4679" i="11"/>
  <c r="N4679" i="11"/>
  <c r="M4680" i="11"/>
  <c r="D4680" i="11" l="1"/>
  <c r="C4680" i="11"/>
  <c r="R4680" i="11"/>
  <c r="S4680" i="11"/>
  <c r="N4680" i="11"/>
  <c r="M4681" i="11"/>
  <c r="D4681" i="11" l="1"/>
  <c r="C4681" i="11"/>
  <c r="R4681" i="11"/>
  <c r="S4681" i="11"/>
  <c r="N4681" i="11"/>
  <c r="M4682" i="11"/>
  <c r="D4682" i="11" l="1"/>
  <c r="C4682" i="11"/>
  <c r="R4682" i="11"/>
  <c r="S4682" i="11"/>
  <c r="N4682" i="11"/>
  <c r="M4683" i="11"/>
  <c r="D4683" i="11" l="1"/>
  <c r="C4683" i="11"/>
  <c r="R4683" i="11"/>
  <c r="S4683" i="11"/>
  <c r="N4683" i="11"/>
  <c r="M4684" i="11"/>
  <c r="D4684" i="11" l="1"/>
  <c r="C4684" i="11"/>
  <c r="R4684" i="11"/>
  <c r="S4684" i="11"/>
  <c r="N4684" i="11"/>
  <c r="M4685" i="11"/>
  <c r="D4685" i="11" l="1"/>
  <c r="C4685" i="11"/>
  <c r="R4685" i="11"/>
  <c r="S4685" i="11"/>
  <c r="N4685" i="11"/>
  <c r="M4686" i="11"/>
  <c r="D4686" i="11" l="1"/>
  <c r="C4686" i="11"/>
  <c r="R4686" i="11"/>
  <c r="S4686" i="11"/>
  <c r="N4686" i="11"/>
  <c r="M4687" i="11"/>
  <c r="D4687" i="11" l="1"/>
  <c r="C4687" i="11"/>
  <c r="R4687" i="11"/>
  <c r="S4687" i="11"/>
  <c r="N4687" i="11"/>
  <c r="M4688" i="11"/>
  <c r="D4688" i="11" l="1"/>
  <c r="C4688" i="11"/>
  <c r="R4688" i="11"/>
  <c r="S4688" i="11"/>
  <c r="N4688" i="11"/>
  <c r="M4689" i="11"/>
  <c r="D4689" i="11" l="1"/>
  <c r="C4689" i="11"/>
  <c r="R4689" i="11"/>
  <c r="S4689" i="11"/>
  <c r="N4689" i="11"/>
  <c r="M4690" i="11"/>
  <c r="D4690" i="11" l="1"/>
  <c r="C4690" i="11"/>
  <c r="R4690" i="11"/>
  <c r="S4690" i="11"/>
  <c r="N4690" i="11"/>
  <c r="M4691" i="11"/>
  <c r="D4691" i="11" l="1"/>
  <c r="C4691" i="11"/>
  <c r="R4691" i="11"/>
  <c r="S4691" i="11"/>
  <c r="N4691" i="11"/>
  <c r="M4692" i="11"/>
  <c r="D4692" i="11" l="1"/>
  <c r="C4692" i="11"/>
  <c r="R4692" i="11"/>
  <c r="S4692" i="11"/>
  <c r="N4692" i="11"/>
  <c r="M4693" i="11"/>
  <c r="D4693" i="11" l="1"/>
  <c r="C4693" i="11"/>
  <c r="R4693" i="11"/>
  <c r="S4693" i="11"/>
  <c r="N4693" i="11"/>
  <c r="M4694" i="11"/>
  <c r="D4694" i="11" l="1"/>
  <c r="C4694" i="11"/>
  <c r="R4694" i="11"/>
  <c r="S4694" i="11"/>
  <c r="N4694" i="11"/>
  <c r="M4695" i="11"/>
  <c r="D4695" i="11" l="1"/>
  <c r="C4695" i="11"/>
  <c r="R4695" i="11"/>
  <c r="S4695" i="11"/>
  <c r="N4695" i="11"/>
  <c r="M4696" i="11"/>
  <c r="D4696" i="11" l="1"/>
  <c r="C4696" i="11"/>
  <c r="R4696" i="11"/>
  <c r="S4696" i="11"/>
  <c r="N4696" i="11"/>
  <c r="M4697" i="11"/>
  <c r="D4697" i="11" l="1"/>
  <c r="C4697" i="11"/>
  <c r="R4697" i="11"/>
  <c r="S4697" i="11"/>
  <c r="N4697" i="11"/>
  <c r="M4698" i="11"/>
  <c r="D4698" i="11" l="1"/>
  <c r="C4698" i="11"/>
  <c r="R4698" i="11"/>
  <c r="S4698" i="11"/>
  <c r="N4698" i="11"/>
  <c r="M4699" i="11"/>
  <c r="D4699" i="11" l="1"/>
  <c r="C4699" i="11"/>
  <c r="R4699" i="11"/>
  <c r="S4699" i="11"/>
  <c r="N4699" i="11"/>
  <c r="M4700" i="11"/>
  <c r="D4700" i="11" l="1"/>
  <c r="C4700" i="11"/>
  <c r="R4700" i="11"/>
  <c r="S4700" i="11"/>
  <c r="N4700" i="11"/>
  <c r="M4701" i="11"/>
  <c r="D4701" i="11" l="1"/>
  <c r="C4701" i="11"/>
  <c r="R4701" i="11"/>
  <c r="S4701" i="11"/>
  <c r="N4701" i="11"/>
  <c r="M4702" i="11"/>
  <c r="D4702" i="11" l="1"/>
  <c r="C4702" i="11"/>
  <c r="R4702" i="11"/>
  <c r="S4702" i="11"/>
  <c r="N4702" i="11"/>
  <c r="M4703" i="11"/>
  <c r="D4703" i="11" l="1"/>
  <c r="C4703" i="11"/>
  <c r="R4703" i="11"/>
  <c r="S4703" i="11"/>
  <c r="N4703" i="11"/>
  <c r="M4704" i="11"/>
  <c r="D4704" i="11" l="1"/>
  <c r="C4704" i="11"/>
  <c r="R4704" i="11"/>
  <c r="S4704" i="11"/>
  <c r="N4704" i="11"/>
  <c r="M4705" i="11"/>
  <c r="D4705" i="11" l="1"/>
  <c r="C4705" i="11"/>
  <c r="R4705" i="11"/>
  <c r="S4705" i="11"/>
  <c r="N4705" i="11"/>
  <c r="M4706" i="11"/>
  <c r="D4706" i="11" l="1"/>
  <c r="C4706" i="11"/>
  <c r="R4706" i="11"/>
  <c r="S4706" i="11"/>
  <c r="N4706" i="11"/>
  <c r="M4707" i="11"/>
  <c r="D4707" i="11" l="1"/>
  <c r="C4707" i="11"/>
  <c r="R4707" i="11"/>
  <c r="S4707" i="11"/>
  <c r="N4707" i="11"/>
  <c r="M4708" i="11"/>
  <c r="D4708" i="11" l="1"/>
  <c r="C4708" i="11"/>
  <c r="R4708" i="11"/>
  <c r="S4708" i="11"/>
  <c r="N4708" i="11"/>
  <c r="M4709" i="11"/>
  <c r="D4709" i="11" l="1"/>
  <c r="C4709" i="11"/>
  <c r="R4709" i="11"/>
  <c r="S4709" i="11"/>
  <c r="N4709" i="11"/>
  <c r="M4710" i="11"/>
  <c r="D4710" i="11" l="1"/>
  <c r="C4710" i="11"/>
  <c r="R4710" i="11"/>
  <c r="S4710" i="11"/>
  <c r="N4710" i="11"/>
  <c r="M4711" i="11"/>
  <c r="D4711" i="11" l="1"/>
  <c r="C4711" i="11"/>
  <c r="R4711" i="11"/>
  <c r="S4711" i="11"/>
  <c r="N4711" i="11"/>
  <c r="M4712" i="11"/>
  <c r="D4712" i="11" l="1"/>
  <c r="C4712" i="11"/>
  <c r="R4712" i="11"/>
  <c r="S4712" i="11"/>
  <c r="N4712" i="11"/>
  <c r="M4713" i="11"/>
  <c r="D4713" i="11" l="1"/>
  <c r="C4713" i="11"/>
  <c r="R4713" i="11"/>
  <c r="S4713" i="11"/>
  <c r="N4713" i="11"/>
  <c r="M4714" i="11"/>
  <c r="D4714" i="11" l="1"/>
  <c r="C4714" i="11"/>
  <c r="R4714" i="11"/>
  <c r="S4714" i="11"/>
  <c r="N4714" i="11"/>
  <c r="M4715" i="11"/>
  <c r="D4715" i="11" l="1"/>
  <c r="C4715" i="11"/>
  <c r="R4715" i="11"/>
  <c r="S4715" i="11"/>
  <c r="N4715" i="11"/>
  <c r="M4716" i="11"/>
  <c r="D4716" i="11" l="1"/>
  <c r="C4716" i="11"/>
  <c r="R4716" i="11"/>
  <c r="S4716" i="11"/>
  <c r="N4716" i="11"/>
  <c r="M4717" i="11"/>
  <c r="D4717" i="11" l="1"/>
  <c r="C4717" i="11"/>
  <c r="R4717" i="11"/>
  <c r="S4717" i="11"/>
  <c r="N4717" i="11"/>
  <c r="M4718" i="11"/>
  <c r="D4718" i="11" l="1"/>
  <c r="C4718" i="11"/>
  <c r="R4718" i="11"/>
  <c r="S4718" i="11"/>
  <c r="N4718" i="11"/>
  <c r="M4719" i="11"/>
  <c r="D4719" i="11" l="1"/>
  <c r="C4719" i="11"/>
  <c r="R4719" i="11"/>
  <c r="S4719" i="11"/>
  <c r="N4719" i="11"/>
  <c r="M4720" i="11"/>
  <c r="D4720" i="11" l="1"/>
  <c r="C4720" i="11"/>
  <c r="R4720" i="11"/>
  <c r="S4720" i="11"/>
  <c r="N4720" i="11"/>
  <c r="M4721" i="11"/>
  <c r="D4721" i="11" l="1"/>
  <c r="C4721" i="11"/>
  <c r="R4721" i="11"/>
  <c r="S4721" i="11"/>
  <c r="N4721" i="11"/>
  <c r="M4722" i="11"/>
  <c r="D4722" i="11" l="1"/>
  <c r="C4722" i="11"/>
  <c r="R4722" i="11"/>
  <c r="S4722" i="11"/>
  <c r="N4722" i="11"/>
  <c r="M4723" i="11"/>
  <c r="D4723" i="11" l="1"/>
  <c r="C4723" i="11"/>
  <c r="R4723" i="11"/>
  <c r="S4723" i="11"/>
  <c r="N4723" i="11"/>
  <c r="M4724" i="11"/>
  <c r="D4724" i="11" l="1"/>
  <c r="C4724" i="11"/>
  <c r="R4724" i="11"/>
  <c r="S4724" i="11"/>
  <c r="N4724" i="11"/>
  <c r="M4725" i="11"/>
  <c r="D4725" i="11" l="1"/>
  <c r="C4725" i="11"/>
  <c r="R4725" i="11"/>
  <c r="S4725" i="11"/>
  <c r="N4725" i="11"/>
  <c r="M4726" i="11"/>
  <c r="D4726" i="11" l="1"/>
  <c r="C4726" i="11"/>
  <c r="R4726" i="11"/>
  <c r="S4726" i="11"/>
  <c r="N4726" i="11"/>
  <c r="M4727" i="11"/>
  <c r="D4727" i="11" l="1"/>
  <c r="C4727" i="11"/>
  <c r="R4727" i="11"/>
  <c r="S4727" i="11"/>
  <c r="N4727" i="11"/>
  <c r="M4728" i="11"/>
  <c r="D4728" i="11" l="1"/>
  <c r="C4728" i="11"/>
  <c r="R4728" i="11"/>
  <c r="S4728" i="11"/>
  <c r="N4728" i="11"/>
  <c r="M4729" i="11"/>
  <c r="D4729" i="11" l="1"/>
  <c r="C4729" i="11"/>
  <c r="R4729" i="11"/>
  <c r="S4729" i="11"/>
  <c r="N4729" i="11"/>
  <c r="M4730" i="11"/>
  <c r="D4730" i="11" l="1"/>
  <c r="C4730" i="11"/>
  <c r="R4730" i="11"/>
  <c r="S4730" i="11"/>
  <c r="N4730" i="11"/>
  <c r="M4731" i="11"/>
  <c r="D4731" i="11" l="1"/>
  <c r="C4731" i="11"/>
  <c r="R4731" i="11"/>
  <c r="S4731" i="11"/>
  <c r="N4731" i="11"/>
  <c r="M4732" i="11"/>
  <c r="D4732" i="11" l="1"/>
  <c r="C4732" i="11"/>
  <c r="R4732" i="11"/>
  <c r="S4732" i="11"/>
  <c r="N4732" i="11"/>
  <c r="M4733" i="11"/>
  <c r="D4733" i="11" l="1"/>
  <c r="C4733" i="11"/>
  <c r="R4733" i="11"/>
  <c r="S4733" i="11"/>
  <c r="N4733" i="11"/>
  <c r="M4734" i="11"/>
  <c r="D4734" i="11" l="1"/>
  <c r="C4734" i="11"/>
  <c r="R4734" i="11"/>
  <c r="S4734" i="11"/>
  <c r="N4734" i="11"/>
  <c r="M4735" i="11"/>
  <c r="D4735" i="11" l="1"/>
  <c r="C4735" i="11"/>
  <c r="R4735" i="11"/>
  <c r="S4735" i="11"/>
  <c r="N4735" i="11"/>
  <c r="M4736" i="11"/>
  <c r="D4736" i="11" l="1"/>
  <c r="C4736" i="11"/>
  <c r="R4736" i="11"/>
  <c r="S4736" i="11"/>
  <c r="N4736" i="11"/>
  <c r="M4737" i="11"/>
  <c r="D4737" i="11" l="1"/>
  <c r="C4737" i="11"/>
  <c r="R4737" i="11"/>
  <c r="S4737" i="11"/>
  <c r="N4737" i="11"/>
  <c r="M4738" i="11"/>
  <c r="D4738" i="11" l="1"/>
  <c r="C4738" i="11"/>
  <c r="R4738" i="11"/>
  <c r="S4738" i="11"/>
  <c r="N4738" i="11"/>
  <c r="M4739" i="11"/>
  <c r="D4739" i="11" l="1"/>
  <c r="C4739" i="11"/>
  <c r="R4739" i="11"/>
  <c r="S4739" i="11"/>
  <c r="N4739" i="11"/>
  <c r="M4740" i="11"/>
  <c r="D4740" i="11" l="1"/>
  <c r="C4740" i="11"/>
  <c r="R4740" i="11"/>
  <c r="S4740" i="11"/>
  <c r="N4740" i="11"/>
  <c r="M4741" i="11"/>
  <c r="D4741" i="11" l="1"/>
  <c r="C4741" i="11"/>
  <c r="R4741" i="11"/>
  <c r="S4741" i="11"/>
  <c r="N4741" i="11"/>
  <c r="M4742" i="11"/>
  <c r="D4742" i="11" l="1"/>
  <c r="C4742" i="11"/>
  <c r="R4742" i="11"/>
  <c r="S4742" i="11"/>
  <c r="N4742" i="11"/>
  <c r="M4743" i="11"/>
  <c r="D4743" i="11" l="1"/>
  <c r="C4743" i="11"/>
  <c r="R4743" i="11"/>
  <c r="S4743" i="11"/>
  <c r="N4743" i="11"/>
  <c r="M4744" i="11"/>
  <c r="D4744" i="11" l="1"/>
  <c r="C4744" i="11"/>
  <c r="R4744" i="11"/>
  <c r="S4744" i="11"/>
  <c r="N4744" i="11"/>
  <c r="M4745" i="11"/>
  <c r="D4745" i="11" l="1"/>
  <c r="C4745" i="11"/>
  <c r="R4745" i="11"/>
  <c r="S4745" i="11"/>
  <c r="N4745" i="11"/>
  <c r="M4746" i="11"/>
  <c r="D4746" i="11" l="1"/>
  <c r="C4746" i="11"/>
  <c r="R4746" i="11"/>
  <c r="S4746" i="11"/>
  <c r="N4746" i="11"/>
  <c r="M4747" i="11"/>
  <c r="D4747" i="11" l="1"/>
  <c r="C4747" i="11"/>
  <c r="R4747" i="11"/>
  <c r="S4747" i="11"/>
  <c r="N4747" i="11"/>
  <c r="M4748" i="11"/>
  <c r="D4748" i="11" l="1"/>
  <c r="C4748" i="11"/>
  <c r="R4748" i="11"/>
  <c r="S4748" i="11"/>
  <c r="N4748" i="11"/>
  <c r="M4749" i="11"/>
  <c r="D4749" i="11" l="1"/>
  <c r="C4749" i="11"/>
  <c r="R4749" i="11"/>
  <c r="S4749" i="11"/>
  <c r="N4749" i="11"/>
  <c r="M4750" i="11"/>
  <c r="D4750" i="11" l="1"/>
  <c r="C4750" i="11"/>
  <c r="R4750" i="11"/>
  <c r="S4750" i="11"/>
  <c r="N4750" i="11"/>
  <c r="M4751" i="11"/>
  <c r="D4751" i="11" l="1"/>
  <c r="C4751" i="11"/>
  <c r="R4751" i="11"/>
  <c r="S4751" i="11"/>
  <c r="N4751" i="11"/>
  <c r="M4752" i="11"/>
  <c r="D4752" i="11" l="1"/>
  <c r="C4752" i="11"/>
  <c r="R4752" i="11"/>
  <c r="S4752" i="11"/>
  <c r="N4752" i="11"/>
  <c r="M4753" i="11"/>
  <c r="D4753" i="11" l="1"/>
  <c r="C4753" i="11"/>
  <c r="R4753" i="11"/>
  <c r="S4753" i="11"/>
  <c r="N4753" i="11"/>
  <c r="M4754" i="11"/>
  <c r="D4754" i="11" l="1"/>
  <c r="C4754" i="11"/>
  <c r="R4754" i="11"/>
  <c r="S4754" i="11"/>
  <c r="N4754" i="11"/>
  <c r="M4755" i="11"/>
  <c r="D4755" i="11" l="1"/>
  <c r="C4755" i="11"/>
  <c r="R4755" i="11"/>
  <c r="S4755" i="11"/>
  <c r="N4755" i="11"/>
  <c r="M4756" i="11"/>
  <c r="D4756" i="11" l="1"/>
  <c r="C4756" i="11"/>
  <c r="R4756" i="11"/>
  <c r="S4756" i="11"/>
  <c r="N4756" i="11"/>
  <c r="M4757" i="11"/>
  <c r="D4757" i="11" l="1"/>
  <c r="C4757" i="11"/>
  <c r="R4757" i="11"/>
  <c r="S4757" i="11"/>
  <c r="N4757" i="11"/>
  <c r="M4758" i="11"/>
  <c r="D4758" i="11" l="1"/>
  <c r="C4758" i="11"/>
  <c r="R4758" i="11"/>
  <c r="S4758" i="11"/>
  <c r="N4758" i="11"/>
  <c r="M4759" i="11"/>
  <c r="D4759" i="11" l="1"/>
  <c r="C4759" i="11"/>
  <c r="R4759" i="11"/>
  <c r="S4759" i="11"/>
  <c r="N4759" i="11"/>
  <c r="M4760" i="11"/>
  <c r="D4760" i="11" l="1"/>
  <c r="C4760" i="11"/>
  <c r="R4760" i="11"/>
  <c r="S4760" i="11"/>
  <c r="N4760" i="11"/>
  <c r="M4761" i="11"/>
  <c r="D4761" i="11" l="1"/>
  <c r="C4761" i="11"/>
  <c r="R4761" i="11"/>
  <c r="S4761" i="11"/>
  <c r="N4761" i="11"/>
  <c r="M4762" i="11"/>
  <c r="D4762" i="11" l="1"/>
  <c r="C4762" i="11"/>
  <c r="R4762" i="11"/>
  <c r="S4762" i="11"/>
  <c r="N4762" i="11"/>
  <c r="M4763" i="11"/>
  <c r="D4763" i="11" l="1"/>
  <c r="C4763" i="11"/>
  <c r="R4763" i="11"/>
  <c r="S4763" i="11"/>
  <c r="N4763" i="11"/>
  <c r="M4764" i="11"/>
  <c r="D4764" i="11" l="1"/>
  <c r="C4764" i="11"/>
  <c r="R4764" i="11"/>
  <c r="S4764" i="11"/>
  <c r="N4764" i="11"/>
  <c r="M4765" i="11"/>
  <c r="D4765" i="11" l="1"/>
  <c r="C4765" i="11"/>
  <c r="R4765" i="11"/>
  <c r="S4765" i="11"/>
  <c r="N4765" i="11"/>
  <c r="M4766" i="11"/>
  <c r="D4766" i="11" l="1"/>
  <c r="C4766" i="11"/>
  <c r="R4766" i="11"/>
  <c r="S4766" i="11"/>
  <c r="N4766" i="11"/>
  <c r="M4767" i="11"/>
  <c r="D4767" i="11" l="1"/>
  <c r="C4767" i="11"/>
  <c r="R4767" i="11"/>
  <c r="S4767" i="11"/>
  <c r="N4767" i="11"/>
  <c r="M4768" i="11"/>
  <c r="D4768" i="11" l="1"/>
  <c r="C4768" i="11"/>
  <c r="R4768" i="11"/>
  <c r="S4768" i="11"/>
  <c r="N4768" i="11"/>
  <c r="M4769" i="11"/>
  <c r="D4769" i="11" l="1"/>
  <c r="C4769" i="11"/>
  <c r="R4769" i="11"/>
  <c r="S4769" i="11"/>
  <c r="N4769" i="11"/>
  <c r="M4770" i="11"/>
  <c r="D4770" i="11" l="1"/>
  <c r="C4770" i="11"/>
  <c r="R4770" i="11"/>
  <c r="S4770" i="11"/>
  <c r="N4770" i="11"/>
  <c r="M4771" i="11"/>
  <c r="D4771" i="11" l="1"/>
  <c r="C4771" i="11"/>
  <c r="R4771" i="11"/>
  <c r="S4771" i="11"/>
  <c r="N4771" i="11"/>
  <c r="M4772" i="11"/>
  <c r="D4772" i="11" l="1"/>
  <c r="C4772" i="11"/>
  <c r="R4772" i="11"/>
  <c r="S4772" i="11"/>
  <c r="N4772" i="11"/>
  <c r="M4773" i="11"/>
  <c r="D4773" i="11" l="1"/>
  <c r="C4773" i="11"/>
  <c r="R4773" i="11"/>
  <c r="S4773" i="11"/>
  <c r="N4773" i="11"/>
  <c r="M4774" i="11"/>
  <c r="D4774" i="11" l="1"/>
  <c r="C4774" i="11"/>
  <c r="R4774" i="11"/>
  <c r="S4774" i="11"/>
  <c r="N4774" i="11"/>
  <c r="M4775" i="11"/>
  <c r="D4775" i="11" l="1"/>
  <c r="C4775" i="11"/>
  <c r="R4775" i="11"/>
  <c r="S4775" i="11"/>
  <c r="N4775" i="11"/>
  <c r="M4776" i="11"/>
  <c r="D4776" i="11" l="1"/>
  <c r="C4776" i="11"/>
  <c r="R4776" i="11"/>
  <c r="S4776" i="11"/>
  <c r="N4776" i="11"/>
  <c r="M4777" i="11"/>
  <c r="D4777" i="11" l="1"/>
  <c r="C4777" i="11"/>
  <c r="R4777" i="11"/>
  <c r="S4777" i="11"/>
  <c r="N4777" i="11"/>
  <c r="M4778" i="11"/>
  <c r="D4778" i="11" l="1"/>
  <c r="C4778" i="11"/>
  <c r="R4778" i="11"/>
  <c r="S4778" i="11"/>
  <c r="N4778" i="11"/>
  <c r="M4779" i="11"/>
  <c r="D4779" i="11" l="1"/>
  <c r="C4779" i="11"/>
  <c r="R4779" i="11"/>
  <c r="S4779" i="11"/>
  <c r="N4779" i="11"/>
  <c r="M4780" i="11"/>
  <c r="D4780" i="11" l="1"/>
  <c r="C4780" i="11"/>
  <c r="R4780" i="11"/>
  <c r="S4780" i="11"/>
  <c r="N4780" i="11"/>
  <c r="M4781" i="11"/>
  <c r="D4781" i="11" l="1"/>
  <c r="C4781" i="11"/>
  <c r="R4781" i="11"/>
  <c r="S4781" i="11"/>
  <c r="N4781" i="11"/>
  <c r="M4782" i="11"/>
  <c r="D4782" i="11" l="1"/>
  <c r="C4782" i="11"/>
  <c r="R4782" i="11"/>
  <c r="S4782" i="11"/>
  <c r="N4782" i="11"/>
  <c r="M4783" i="11"/>
  <c r="D4783" i="11" l="1"/>
  <c r="C4783" i="11"/>
  <c r="R4783" i="11"/>
  <c r="S4783" i="11"/>
  <c r="N4783" i="11"/>
  <c r="M4784" i="11"/>
  <c r="D4784" i="11" l="1"/>
  <c r="C4784" i="11"/>
  <c r="R4784" i="11"/>
  <c r="S4784" i="11"/>
  <c r="N4784" i="11"/>
  <c r="M4785" i="11"/>
  <c r="D4785" i="11" l="1"/>
  <c r="C4785" i="11"/>
  <c r="R4785" i="11"/>
  <c r="S4785" i="11"/>
  <c r="N4785" i="11"/>
  <c r="M4786" i="11"/>
  <c r="D4786" i="11" l="1"/>
  <c r="C4786" i="11"/>
  <c r="R4786" i="11"/>
  <c r="S4786" i="11"/>
  <c r="N4786" i="11"/>
  <c r="M4787" i="11"/>
  <c r="D4787" i="11" l="1"/>
  <c r="C4787" i="11"/>
  <c r="R4787" i="11"/>
  <c r="S4787" i="11"/>
  <c r="N4787" i="11"/>
  <c r="M4788" i="11"/>
  <c r="D4788" i="11" l="1"/>
  <c r="C4788" i="11"/>
  <c r="R4788" i="11"/>
  <c r="S4788" i="11"/>
  <c r="N4788" i="11"/>
  <c r="M4789" i="11"/>
  <c r="D4789" i="11" l="1"/>
  <c r="C4789" i="11"/>
  <c r="R4789" i="11"/>
  <c r="S4789" i="11"/>
  <c r="N4789" i="11"/>
  <c r="M4790" i="11"/>
  <c r="D4790" i="11" l="1"/>
  <c r="C4790" i="11"/>
  <c r="R4790" i="11"/>
  <c r="S4790" i="11"/>
  <c r="N4790" i="11"/>
  <c r="M4791" i="11"/>
  <c r="D4791" i="11" l="1"/>
  <c r="C4791" i="11"/>
  <c r="R4791" i="11"/>
  <c r="S4791" i="11"/>
  <c r="N4791" i="11"/>
  <c r="M4792" i="11"/>
  <c r="D4792" i="11" l="1"/>
  <c r="C4792" i="11"/>
  <c r="R4792" i="11"/>
  <c r="S4792" i="11"/>
  <c r="N4792" i="11"/>
  <c r="M4793" i="11"/>
  <c r="D4793" i="11" l="1"/>
  <c r="C4793" i="11"/>
  <c r="R4793" i="11"/>
  <c r="S4793" i="11"/>
  <c r="N4793" i="11"/>
  <c r="M4794" i="11"/>
  <c r="D4794" i="11" l="1"/>
  <c r="C4794" i="11"/>
  <c r="R4794" i="11"/>
  <c r="S4794" i="11"/>
  <c r="N4794" i="11"/>
  <c r="M4795" i="11"/>
  <c r="D4795" i="11" l="1"/>
  <c r="C4795" i="11"/>
  <c r="R4795" i="11"/>
  <c r="S4795" i="11"/>
  <c r="N4795" i="11"/>
  <c r="M4796" i="11"/>
  <c r="D4796" i="11" l="1"/>
  <c r="C4796" i="11"/>
  <c r="R4796" i="11"/>
  <c r="S4796" i="11"/>
  <c r="N4796" i="11"/>
  <c r="M4797" i="11"/>
  <c r="D4797" i="11" l="1"/>
  <c r="C4797" i="11"/>
  <c r="R4797" i="11"/>
  <c r="S4797" i="11"/>
  <c r="N4797" i="11"/>
  <c r="M4798" i="11"/>
  <c r="D4798" i="11" l="1"/>
  <c r="C4798" i="11"/>
  <c r="R4798" i="11"/>
  <c r="S4798" i="11"/>
  <c r="N4798" i="11"/>
  <c r="M4799" i="11"/>
  <c r="D4799" i="11" l="1"/>
  <c r="C4799" i="11"/>
  <c r="R4799" i="11"/>
  <c r="S4799" i="11"/>
  <c r="N4799" i="11"/>
  <c r="M4800" i="11"/>
  <c r="D4800" i="11" l="1"/>
  <c r="C4800" i="11"/>
  <c r="R4800" i="11"/>
  <c r="S4800" i="11"/>
  <c r="N4800" i="11"/>
  <c r="M4801" i="11"/>
  <c r="D4801" i="11" l="1"/>
  <c r="C4801" i="11"/>
  <c r="R4801" i="11"/>
  <c r="S4801" i="11"/>
  <c r="N4801" i="11"/>
  <c r="M4802" i="11"/>
  <c r="D4802" i="11" l="1"/>
  <c r="C4802" i="11"/>
  <c r="R4802" i="11"/>
  <c r="S4802" i="11"/>
  <c r="N4802" i="11"/>
  <c r="M4803" i="11"/>
  <c r="D4803" i="11" l="1"/>
  <c r="C4803" i="11"/>
  <c r="R4803" i="11"/>
  <c r="S4803" i="11"/>
  <c r="N4803" i="11"/>
  <c r="M4804" i="11"/>
  <c r="D4804" i="11" l="1"/>
  <c r="C4804" i="11"/>
  <c r="R4804" i="11"/>
  <c r="S4804" i="11"/>
  <c r="N4804" i="11"/>
  <c r="M4805" i="11"/>
  <c r="D4805" i="11" l="1"/>
  <c r="C4805" i="11"/>
  <c r="R4805" i="11"/>
  <c r="S4805" i="11"/>
  <c r="N4805" i="11"/>
  <c r="M4806" i="11"/>
  <c r="D4806" i="11" l="1"/>
  <c r="C4806" i="11"/>
  <c r="R4806" i="11"/>
  <c r="S4806" i="11"/>
  <c r="N4806" i="11"/>
  <c r="M4807" i="11"/>
  <c r="D4807" i="11" l="1"/>
  <c r="C4807" i="11"/>
  <c r="R4807" i="11"/>
  <c r="S4807" i="11"/>
  <c r="N4807" i="11"/>
  <c r="M4808" i="11"/>
  <c r="D4808" i="11" l="1"/>
  <c r="C4808" i="11"/>
  <c r="R4808" i="11"/>
  <c r="S4808" i="11"/>
  <c r="N4808" i="11"/>
  <c r="M4809" i="11"/>
  <c r="D4809" i="11" l="1"/>
  <c r="C4809" i="11"/>
  <c r="R4809" i="11"/>
  <c r="S4809" i="11"/>
  <c r="N4809" i="11"/>
  <c r="M4810" i="11"/>
  <c r="D4810" i="11" l="1"/>
  <c r="C4810" i="11"/>
  <c r="R4810" i="11"/>
  <c r="S4810" i="11"/>
  <c r="N4810" i="11"/>
  <c r="M4811" i="11"/>
  <c r="D4811" i="11" l="1"/>
  <c r="C4811" i="11"/>
  <c r="R4811" i="11"/>
  <c r="S4811" i="11"/>
  <c r="N4811" i="11"/>
  <c r="M4812" i="11"/>
  <c r="D4812" i="11" l="1"/>
  <c r="C4812" i="11"/>
  <c r="R4812" i="11"/>
  <c r="S4812" i="11"/>
  <c r="N4812" i="11"/>
  <c r="M4813" i="11"/>
  <c r="D4813" i="11" l="1"/>
  <c r="C4813" i="11"/>
  <c r="R4813" i="11"/>
  <c r="S4813" i="11"/>
  <c r="N4813" i="11"/>
  <c r="M4814" i="11"/>
  <c r="D4814" i="11" l="1"/>
  <c r="C4814" i="11"/>
  <c r="R4814" i="11"/>
  <c r="S4814" i="11"/>
  <c r="N4814" i="11"/>
  <c r="M4815" i="11"/>
  <c r="D4815" i="11" l="1"/>
  <c r="C4815" i="11"/>
  <c r="R4815" i="11"/>
  <c r="S4815" i="11"/>
  <c r="N4815" i="11"/>
  <c r="M4816" i="11"/>
  <c r="D4816" i="11" l="1"/>
  <c r="C4816" i="11"/>
  <c r="R4816" i="11"/>
  <c r="S4816" i="11"/>
  <c r="N4816" i="11"/>
  <c r="M4817" i="11"/>
  <c r="D4817" i="11" l="1"/>
  <c r="C4817" i="11"/>
  <c r="R4817" i="11"/>
  <c r="S4817" i="11"/>
  <c r="N4817" i="11"/>
  <c r="M4818" i="11"/>
  <c r="D4818" i="11" l="1"/>
  <c r="C4818" i="11"/>
  <c r="R4818" i="11"/>
  <c r="S4818" i="11"/>
  <c r="N4818" i="11"/>
  <c r="M4819" i="11"/>
  <c r="D4819" i="11" l="1"/>
  <c r="C4819" i="11"/>
  <c r="R4819" i="11"/>
  <c r="S4819" i="11"/>
  <c r="N4819" i="11"/>
  <c r="M4820" i="11"/>
  <c r="D4820" i="11" l="1"/>
  <c r="C4820" i="11"/>
  <c r="R4820" i="11"/>
  <c r="S4820" i="11"/>
  <c r="N4820" i="11"/>
  <c r="M4821" i="11"/>
  <c r="D4821" i="11" l="1"/>
  <c r="C4821" i="11"/>
  <c r="R4821" i="11"/>
  <c r="S4821" i="11"/>
  <c r="N4821" i="11"/>
  <c r="M4822" i="11"/>
  <c r="D4822" i="11" l="1"/>
  <c r="C4822" i="11"/>
  <c r="R4822" i="11"/>
  <c r="S4822" i="11"/>
  <c r="N4822" i="11"/>
  <c r="M4823" i="11"/>
  <c r="D4823" i="11" l="1"/>
  <c r="C4823" i="11"/>
  <c r="R4823" i="11"/>
  <c r="S4823" i="11"/>
  <c r="N4823" i="11"/>
  <c r="M4824" i="11"/>
  <c r="D4824" i="11" l="1"/>
  <c r="C4824" i="11"/>
  <c r="R4824" i="11"/>
  <c r="S4824" i="11"/>
  <c r="N4824" i="11"/>
  <c r="M4825" i="11"/>
  <c r="D4825" i="11" l="1"/>
  <c r="C4825" i="11"/>
  <c r="R4825" i="11"/>
  <c r="S4825" i="11"/>
  <c r="N4825" i="11"/>
  <c r="M4826" i="11"/>
  <c r="D4826" i="11" l="1"/>
  <c r="C4826" i="11"/>
  <c r="R4826" i="11"/>
  <c r="S4826" i="11"/>
  <c r="N4826" i="11"/>
  <c r="M4827" i="11"/>
  <c r="D4827" i="11" l="1"/>
  <c r="C4827" i="11"/>
  <c r="R4827" i="11"/>
  <c r="S4827" i="11"/>
  <c r="N4827" i="11"/>
  <c r="M4828" i="11"/>
  <c r="D4828" i="11" l="1"/>
  <c r="C4828" i="11"/>
  <c r="R4828" i="11"/>
  <c r="S4828" i="11"/>
  <c r="N4828" i="11"/>
  <c r="M4829" i="11"/>
  <c r="D4829" i="11" l="1"/>
  <c r="C4829" i="11"/>
  <c r="R4829" i="11"/>
  <c r="S4829" i="11"/>
  <c r="N4829" i="11"/>
  <c r="M4830" i="11"/>
  <c r="D4830" i="11" l="1"/>
  <c r="C4830" i="11"/>
  <c r="R4830" i="11"/>
  <c r="S4830" i="11"/>
  <c r="N4830" i="11"/>
  <c r="M4831" i="11"/>
  <c r="D4831" i="11" l="1"/>
  <c r="C4831" i="11"/>
  <c r="R4831" i="11"/>
  <c r="S4831" i="11"/>
  <c r="N4831" i="11"/>
  <c r="M4832" i="11"/>
  <c r="D4832" i="11" l="1"/>
  <c r="C4832" i="11"/>
  <c r="R4832" i="11"/>
  <c r="S4832" i="11"/>
  <c r="N4832" i="11"/>
  <c r="M4833" i="11"/>
  <c r="D4833" i="11" l="1"/>
  <c r="C4833" i="11"/>
  <c r="R4833" i="11"/>
  <c r="S4833" i="11"/>
  <c r="N4833" i="11"/>
  <c r="M4834" i="11"/>
  <c r="D4834" i="11" l="1"/>
  <c r="C4834" i="11"/>
  <c r="R4834" i="11"/>
  <c r="S4834" i="11"/>
  <c r="N4834" i="11"/>
  <c r="M4835" i="11"/>
  <c r="D4835" i="11" l="1"/>
  <c r="C4835" i="11"/>
  <c r="R4835" i="11"/>
  <c r="S4835" i="11"/>
  <c r="N4835" i="11"/>
  <c r="M4836" i="11"/>
  <c r="D4836" i="11" l="1"/>
  <c r="C4836" i="11"/>
  <c r="R4836" i="11"/>
  <c r="S4836" i="11"/>
  <c r="N4836" i="11"/>
  <c r="M4837" i="11"/>
  <c r="D4837" i="11" l="1"/>
  <c r="C4837" i="11"/>
  <c r="R4837" i="11"/>
  <c r="S4837" i="11"/>
  <c r="N4837" i="11"/>
  <c r="M4838" i="11"/>
  <c r="D4838" i="11" l="1"/>
  <c r="C4838" i="11"/>
  <c r="R4838" i="11"/>
  <c r="S4838" i="11"/>
  <c r="N4838" i="11"/>
  <c r="M4839" i="11"/>
  <c r="D4839" i="11" l="1"/>
  <c r="C4839" i="11"/>
  <c r="R4839" i="11"/>
  <c r="S4839" i="11"/>
  <c r="N4839" i="11"/>
  <c r="M4840" i="11"/>
  <c r="D4840" i="11" l="1"/>
  <c r="C4840" i="11"/>
  <c r="R4840" i="11"/>
  <c r="S4840" i="11"/>
  <c r="N4840" i="11"/>
  <c r="M4841" i="11"/>
  <c r="D4841" i="11" l="1"/>
  <c r="C4841" i="11"/>
  <c r="R4841" i="11"/>
  <c r="S4841" i="11"/>
  <c r="N4841" i="11"/>
  <c r="M4842" i="11"/>
  <c r="D4842" i="11" l="1"/>
  <c r="C4842" i="11"/>
  <c r="R4842" i="11"/>
  <c r="S4842" i="11"/>
  <c r="N4842" i="11"/>
  <c r="M4843" i="11"/>
  <c r="D4843" i="11" l="1"/>
  <c r="C4843" i="11"/>
  <c r="R4843" i="11"/>
  <c r="S4843" i="11"/>
  <c r="N4843" i="11"/>
  <c r="M4844" i="11"/>
  <c r="D4844" i="11" l="1"/>
  <c r="C4844" i="11"/>
  <c r="R4844" i="11"/>
  <c r="S4844" i="11"/>
  <c r="N4844" i="11"/>
  <c r="M4845" i="11"/>
  <c r="D4845" i="11" l="1"/>
  <c r="C4845" i="11"/>
  <c r="R4845" i="11"/>
  <c r="S4845" i="11"/>
  <c r="N4845" i="11"/>
  <c r="M4846" i="11"/>
  <c r="D4846" i="11" l="1"/>
  <c r="C4846" i="11"/>
  <c r="R4846" i="11"/>
  <c r="S4846" i="11"/>
  <c r="N4846" i="11"/>
  <c r="M4847" i="11"/>
  <c r="D4847" i="11" l="1"/>
  <c r="C4847" i="11"/>
  <c r="R4847" i="11"/>
  <c r="S4847" i="11"/>
  <c r="N4847" i="11"/>
  <c r="M4848" i="11"/>
  <c r="D4848" i="11" l="1"/>
  <c r="C4848" i="11"/>
  <c r="R4848" i="11"/>
  <c r="S4848" i="11"/>
  <c r="N4848" i="11"/>
  <c r="M4849" i="11"/>
  <c r="D4849" i="11" l="1"/>
  <c r="C4849" i="11"/>
  <c r="R4849" i="11"/>
  <c r="S4849" i="11"/>
  <c r="N4849" i="11"/>
  <c r="M4850" i="11"/>
  <c r="D4850" i="11" l="1"/>
  <c r="C4850" i="11"/>
  <c r="R4850" i="11"/>
  <c r="S4850" i="11"/>
  <c r="N4850" i="11"/>
  <c r="M4851" i="11"/>
  <c r="D4851" i="11" l="1"/>
  <c r="C4851" i="11"/>
  <c r="R4851" i="11"/>
  <c r="S4851" i="11"/>
  <c r="N4851" i="11"/>
  <c r="M4852" i="11"/>
  <c r="D4852" i="11" l="1"/>
  <c r="C4852" i="11"/>
  <c r="R4852" i="11"/>
  <c r="S4852" i="11"/>
  <c r="N4852" i="11"/>
  <c r="M4853" i="11"/>
  <c r="D4853" i="11" l="1"/>
  <c r="C4853" i="11"/>
  <c r="R4853" i="11"/>
  <c r="S4853" i="11"/>
  <c r="N4853" i="11"/>
  <c r="M4854" i="11"/>
  <c r="D4854" i="11" l="1"/>
  <c r="C4854" i="11"/>
  <c r="R4854" i="11"/>
  <c r="S4854" i="11"/>
  <c r="N4854" i="11"/>
  <c r="M4855" i="11"/>
  <c r="D4855" i="11" l="1"/>
  <c r="C4855" i="11"/>
  <c r="R4855" i="11"/>
  <c r="S4855" i="11"/>
  <c r="N4855" i="11"/>
  <c r="M4856" i="11"/>
  <c r="D4856" i="11" l="1"/>
  <c r="C4856" i="11"/>
  <c r="R4856" i="11"/>
  <c r="S4856" i="11"/>
  <c r="N4856" i="11"/>
  <c r="M4857" i="11"/>
  <c r="D4857" i="11" l="1"/>
  <c r="C4857" i="11"/>
  <c r="R4857" i="11"/>
  <c r="S4857" i="11"/>
  <c r="N4857" i="11"/>
  <c r="M4858" i="11"/>
  <c r="D4858" i="11" l="1"/>
  <c r="C4858" i="11"/>
  <c r="R4858" i="11"/>
  <c r="S4858" i="11"/>
  <c r="N4858" i="11"/>
  <c r="M4859" i="11"/>
  <c r="D4859" i="11" l="1"/>
  <c r="C4859" i="11"/>
  <c r="R4859" i="11"/>
  <c r="S4859" i="11"/>
  <c r="N4859" i="11"/>
  <c r="M4860" i="11"/>
  <c r="D4860" i="11" l="1"/>
  <c r="C4860" i="11"/>
  <c r="R4860" i="11"/>
  <c r="S4860" i="11"/>
  <c r="N4860" i="11"/>
  <c r="M4861" i="11"/>
  <c r="D4861" i="11" l="1"/>
  <c r="C4861" i="11"/>
  <c r="R4861" i="11"/>
  <c r="S4861" i="11"/>
  <c r="N4861" i="11"/>
  <c r="M4862" i="11"/>
  <c r="D4862" i="11" l="1"/>
  <c r="C4862" i="11"/>
  <c r="R4862" i="11"/>
  <c r="S4862" i="11"/>
  <c r="N4862" i="11"/>
  <c r="M4863" i="11"/>
  <c r="D4863" i="11" l="1"/>
  <c r="C4863" i="11"/>
  <c r="R4863" i="11"/>
  <c r="S4863" i="11"/>
  <c r="N4863" i="11"/>
  <c r="M4864" i="11"/>
  <c r="D4864" i="11" l="1"/>
  <c r="C4864" i="11"/>
  <c r="R4864" i="11"/>
  <c r="S4864" i="11"/>
  <c r="N4864" i="11"/>
  <c r="M4865" i="11"/>
  <c r="D4865" i="11" l="1"/>
  <c r="C4865" i="11"/>
  <c r="R4865" i="11"/>
  <c r="S4865" i="11"/>
  <c r="N4865" i="11"/>
  <c r="M4866" i="11"/>
  <c r="D4866" i="11" l="1"/>
  <c r="C4866" i="11"/>
  <c r="R4866" i="11"/>
  <c r="S4866" i="11"/>
  <c r="N4866" i="11"/>
  <c r="M4867" i="11"/>
  <c r="D4867" i="11" l="1"/>
  <c r="C4867" i="11"/>
  <c r="R4867" i="11"/>
  <c r="S4867" i="11"/>
  <c r="N4867" i="11"/>
  <c r="M4868" i="11"/>
  <c r="D4868" i="11" l="1"/>
  <c r="C4868" i="11"/>
  <c r="R4868" i="11"/>
  <c r="S4868" i="11"/>
  <c r="N4868" i="11"/>
  <c r="M4869" i="11"/>
  <c r="D4869" i="11" l="1"/>
  <c r="C4869" i="11"/>
  <c r="R4869" i="11"/>
  <c r="S4869" i="11"/>
  <c r="N4869" i="11"/>
  <c r="M4870" i="11"/>
  <c r="D4870" i="11" l="1"/>
  <c r="C4870" i="11"/>
  <c r="R4870" i="11"/>
  <c r="S4870" i="11"/>
  <c r="N4870" i="11"/>
  <c r="M4871" i="11"/>
  <c r="D4871" i="11" l="1"/>
  <c r="C4871" i="11"/>
  <c r="R4871" i="11"/>
  <c r="S4871" i="11"/>
  <c r="N4871" i="11"/>
  <c r="M4872" i="11"/>
  <c r="D4872" i="11" l="1"/>
  <c r="C4872" i="11"/>
  <c r="R4872" i="11"/>
  <c r="S4872" i="11"/>
  <c r="N4872" i="11"/>
  <c r="M4873" i="11"/>
  <c r="D4873" i="11" l="1"/>
  <c r="C4873" i="11"/>
  <c r="R4873" i="11"/>
  <c r="S4873" i="11"/>
  <c r="N4873" i="11"/>
  <c r="M4874" i="11"/>
  <c r="D4874" i="11" l="1"/>
  <c r="C4874" i="11"/>
  <c r="R4874" i="11"/>
  <c r="S4874" i="11"/>
  <c r="N4874" i="11"/>
  <c r="M4875" i="11"/>
  <c r="D4875" i="11" l="1"/>
  <c r="C4875" i="11"/>
  <c r="R4875" i="11"/>
  <c r="S4875" i="11"/>
  <c r="N4875" i="11"/>
  <c r="M4876" i="11"/>
  <c r="D4876" i="11" l="1"/>
  <c r="C4876" i="11"/>
  <c r="R4876" i="11"/>
  <c r="S4876" i="11"/>
  <c r="N4876" i="11"/>
  <c r="M4877" i="11"/>
  <c r="D4877" i="11" l="1"/>
  <c r="C4877" i="11"/>
  <c r="R4877" i="11"/>
  <c r="S4877" i="11"/>
  <c r="N4877" i="11"/>
  <c r="M4878" i="11"/>
  <c r="D4878" i="11" l="1"/>
  <c r="C4878" i="11"/>
  <c r="R4878" i="11"/>
  <c r="S4878" i="11"/>
  <c r="N4878" i="11"/>
  <c r="M4879" i="11"/>
  <c r="D4879" i="11" l="1"/>
  <c r="C4879" i="11"/>
  <c r="R4879" i="11"/>
  <c r="S4879" i="11"/>
  <c r="N4879" i="11"/>
  <c r="M4880" i="11"/>
  <c r="D4880" i="11" l="1"/>
  <c r="C4880" i="11"/>
  <c r="R4880" i="11"/>
  <c r="S4880" i="11"/>
  <c r="N4880" i="11"/>
  <c r="M4881" i="11"/>
  <c r="D4881" i="11" l="1"/>
  <c r="C4881" i="11"/>
  <c r="R4881" i="11"/>
  <c r="S4881" i="11"/>
  <c r="N4881" i="11"/>
  <c r="M4882" i="11"/>
  <c r="D4882" i="11" l="1"/>
  <c r="C4882" i="11"/>
  <c r="R4882" i="11"/>
  <c r="S4882" i="11"/>
  <c r="N4882" i="11"/>
  <c r="M4883" i="11"/>
  <c r="D4883" i="11" l="1"/>
  <c r="C4883" i="11"/>
  <c r="R4883" i="11"/>
  <c r="S4883" i="11"/>
  <c r="N4883" i="11"/>
  <c r="M4884" i="11"/>
  <c r="D4884" i="11" l="1"/>
  <c r="C4884" i="11"/>
  <c r="R4884" i="11"/>
  <c r="S4884" i="11"/>
  <c r="N4884" i="11"/>
  <c r="M4885" i="11"/>
  <c r="D4885" i="11" l="1"/>
  <c r="C4885" i="11"/>
  <c r="R4885" i="11"/>
  <c r="S4885" i="11"/>
  <c r="N4885" i="11"/>
  <c r="M4886" i="11"/>
  <c r="D4886" i="11" l="1"/>
  <c r="C4886" i="11"/>
  <c r="R4886" i="11"/>
  <c r="S4886" i="11"/>
  <c r="N4886" i="11"/>
  <c r="M4887" i="11"/>
  <c r="D4887" i="11" l="1"/>
  <c r="C4887" i="11"/>
  <c r="R4887" i="11"/>
  <c r="S4887" i="11"/>
  <c r="N4887" i="11"/>
  <c r="M4888" i="11"/>
  <c r="D4888" i="11" l="1"/>
  <c r="C4888" i="11"/>
  <c r="R4888" i="11"/>
  <c r="S4888" i="11"/>
  <c r="N4888" i="11"/>
  <c r="M4889" i="11"/>
  <c r="D4889" i="11" l="1"/>
  <c r="C4889" i="11"/>
  <c r="R4889" i="11"/>
  <c r="S4889" i="11"/>
  <c r="N4889" i="11"/>
  <c r="M4890" i="11"/>
  <c r="D4890" i="11" l="1"/>
  <c r="C4890" i="11"/>
  <c r="R4890" i="11"/>
  <c r="S4890" i="11"/>
  <c r="N4890" i="11"/>
  <c r="M4891" i="11"/>
  <c r="D4891" i="11" l="1"/>
  <c r="C4891" i="11"/>
  <c r="R4891" i="11"/>
  <c r="S4891" i="11"/>
  <c r="N4891" i="11"/>
  <c r="M4892" i="11"/>
  <c r="D4892" i="11" l="1"/>
  <c r="C4892" i="11"/>
  <c r="R4892" i="11"/>
  <c r="S4892" i="11"/>
  <c r="N4892" i="11"/>
  <c r="M4893" i="11"/>
  <c r="D4893" i="11" l="1"/>
  <c r="C4893" i="11"/>
  <c r="R4893" i="11"/>
  <c r="S4893" i="11"/>
  <c r="N4893" i="11"/>
  <c r="M4894" i="11"/>
  <c r="D4894" i="11" l="1"/>
  <c r="C4894" i="11"/>
  <c r="R4894" i="11"/>
  <c r="S4894" i="11"/>
  <c r="N4894" i="11"/>
  <c r="M4895" i="11"/>
  <c r="D4895" i="11" l="1"/>
  <c r="C4895" i="11"/>
  <c r="R4895" i="11"/>
  <c r="S4895" i="11"/>
  <c r="N4895" i="11"/>
  <c r="M4896" i="11"/>
  <c r="D4896" i="11" l="1"/>
  <c r="C4896" i="11"/>
  <c r="R4896" i="11"/>
  <c r="S4896" i="11"/>
  <c r="N4896" i="11"/>
  <c r="M4897" i="11"/>
  <c r="D4897" i="11" l="1"/>
  <c r="C4897" i="11"/>
  <c r="R4897" i="11"/>
  <c r="S4897" i="11"/>
  <c r="N4897" i="11"/>
  <c r="M4898" i="11"/>
  <c r="D4898" i="11" l="1"/>
  <c r="C4898" i="11"/>
  <c r="R4898" i="11"/>
  <c r="S4898" i="11"/>
  <c r="N4898" i="11"/>
  <c r="M4899" i="11"/>
  <c r="D4899" i="11" l="1"/>
  <c r="C4899" i="11"/>
  <c r="R4899" i="11"/>
  <c r="S4899" i="11"/>
  <c r="N4899" i="11"/>
  <c r="M4900" i="11"/>
  <c r="D4900" i="11" l="1"/>
  <c r="C4900" i="11"/>
  <c r="R4900" i="11"/>
  <c r="S4900" i="11"/>
  <c r="N4900" i="11"/>
  <c r="M4901" i="11"/>
  <c r="D4901" i="11" l="1"/>
  <c r="C4901" i="11"/>
  <c r="R4901" i="11"/>
  <c r="S4901" i="11"/>
  <c r="N4901" i="11"/>
  <c r="M4902" i="11"/>
  <c r="D4902" i="11" l="1"/>
  <c r="C4902" i="11"/>
  <c r="R4902" i="11"/>
  <c r="S4902" i="11"/>
  <c r="N4902" i="11"/>
  <c r="M4903" i="11"/>
  <c r="D4903" i="11" l="1"/>
  <c r="C4903" i="11"/>
  <c r="R4903" i="11"/>
  <c r="S4903" i="11"/>
  <c r="N4903" i="11"/>
  <c r="M4904" i="11"/>
  <c r="D4904" i="11" l="1"/>
  <c r="C4904" i="11"/>
  <c r="R4904" i="11"/>
  <c r="S4904" i="11"/>
  <c r="N4904" i="11"/>
  <c r="M4905" i="11"/>
  <c r="D4905" i="11" l="1"/>
  <c r="C4905" i="11"/>
  <c r="R4905" i="11"/>
  <c r="S4905" i="11"/>
  <c r="N4905" i="11"/>
  <c r="M4906" i="11"/>
  <c r="D4906" i="11" l="1"/>
  <c r="C4906" i="11"/>
  <c r="R4906" i="11"/>
  <c r="S4906" i="11"/>
  <c r="N4906" i="11"/>
  <c r="M4907" i="11"/>
  <c r="D4907" i="11" l="1"/>
  <c r="C4907" i="11"/>
  <c r="R4907" i="11"/>
  <c r="S4907" i="11"/>
  <c r="N4907" i="11"/>
  <c r="M4908" i="11"/>
  <c r="D4908" i="11" l="1"/>
  <c r="C4908" i="11"/>
  <c r="R4908" i="11"/>
  <c r="S4908" i="11"/>
  <c r="N4908" i="11"/>
  <c r="M4909" i="11"/>
  <c r="D4909" i="11" l="1"/>
  <c r="C4909" i="11"/>
  <c r="R4909" i="11"/>
  <c r="S4909" i="11"/>
  <c r="N4909" i="11"/>
  <c r="M4910" i="11"/>
  <c r="D4910" i="11" l="1"/>
  <c r="C4910" i="11"/>
  <c r="R4910" i="11"/>
  <c r="S4910" i="11"/>
  <c r="N4910" i="11"/>
  <c r="M4911" i="11"/>
  <c r="D4911" i="11" l="1"/>
  <c r="C4911" i="11"/>
  <c r="R4911" i="11"/>
  <c r="S4911" i="11"/>
  <c r="N4911" i="11"/>
  <c r="M4912" i="11"/>
  <c r="D4912" i="11" l="1"/>
  <c r="C4912" i="11"/>
  <c r="R4912" i="11"/>
  <c r="S4912" i="11"/>
  <c r="N4912" i="11"/>
  <c r="M4913" i="11"/>
  <c r="D4913" i="11" l="1"/>
  <c r="C4913" i="11"/>
  <c r="R4913" i="11"/>
  <c r="S4913" i="11"/>
  <c r="N4913" i="11"/>
  <c r="M4914" i="11"/>
  <c r="D4914" i="11" l="1"/>
  <c r="C4914" i="11"/>
  <c r="R4914" i="11"/>
  <c r="S4914" i="11"/>
  <c r="N4914" i="11"/>
  <c r="M4915" i="11"/>
  <c r="D4915" i="11" l="1"/>
  <c r="C4915" i="11"/>
  <c r="R4915" i="11"/>
  <c r="S4915" i="11"/>
  <c r="N4915" i="11"/>
  <c r="M4916" i="11"/>
  <c r="D4916" i="11" l="1"/>
  <c r="C4916" i="11"/>
  <c r="R4916" i="11"/>
  <c r="S4916" i="11"/>
  <c r="N4916" i="11"/>
  <c r="M4917" i="11"/>
  <c r="D4917" i="11" l="1"/>
  <c r="C4917" i="11"/>
  <c r="R4917" i="11"/>
  <c r="S4917" i="11"/>
  <c r="N4917" i="11"/>
  <c r="M4918" i="11"/>
  <c r="D4918" i="11" l="1"/>
  <c r="C4918" i="11"/>
  <c r="R4918" i="11"/>
  <c r="S4918" i="11"/>
  <c r="N4918" i="11"/>
  <c r="M4919" i="11"/>
  <c r="D4919" i="11" l="1"/>
  <c r="C4919" i="11"/>
  <c r="R4919" i="11"/>
  <c r="S4919" i="11"/>
  <c r="N4919" i="11"/>
  <c r="M4920" i="11"/>
  <c r="D4920" i="11" l="1"/>
  <c r="C4920" i="11"/>
  <c r="R4920" i="11"/>
  <c r="S4920" i="11"/>
  <c r="N4920" i="11"/>
  <c r="M4921" i="11"/>
  <c r="D4921" i="11" l="1"/>
  <c r="C4921" i="11"/>
  <c r="R4921" i="11"/>
  <c r="S4921" i="11"/>
  <c r="N4921" i="11"/>
  <c r="M4922" i="11"/>
  <c r="D4922" i="11" l="1"/>
  <c r="C4922" i="11"/>
  <c r="R4922" i="11"/>
  <c r="S4922" i="11"/>
  <c r="N4922" i="11"/>
  <c r="M4923" i="11"/>
  <c r="D4923" i="11" l="1"/>
  <c r="C4923" i="11"/>
  <c r="R4923" i="11"/>
  <c r="S4923" i="11"/>
  <c r="N4923" i="11"/>
  <c r="M4924" i="11"/>
  <c r="D4924" i="11" l="1"/>
  <c r="C4924" i="11"/>
  <c r="R4924" i="11"/>
  <c r="S4924" i="11"/>
  <c r="N4924" i="11"/>
  <c r="M4925" i="11"/>
  <c r="D4925" i="11" l="1"/>
  <c r="C4925" i="11"/>
  <c r="R4925" i="11"/>
  <c r="S4925" i="11"/>
  <c r="N4925" i="11"/>
  <c r="M4926" i="11"/>
  <c r="D4926" i="11" l="1"/>
  <c r="C4926" i="11"/>
  <c r="R4926" i="11"/>
  <c r="S4926" i="11"/>
  <c r="N4926" i="11"/>
  <c r="M4927" i="11"/>
  <c r="D4927" i="11" l="1"/>
  <c r="C4927" i="11"/>
  <c r="R4927" i="11"/>
  <c r="S4927" i="11"/>
  <c r="N4927" i="11"/>
  <c r="M4928" i="11"/>
  <c r="D4928" i="11" l="1"/>
  <c r="C4928" i="11"/>
  <c r="R4928" i="11"/>
  <c r="S4928" i="11"/>
  <c r="N4928" i="11"/>
  <c r="M4929" i="11"/>
  <c r="D4929" i="11" l="1"/>
  <c r="C4929" i="11"/>
  <c r="R4929" i="11"/>
  <c r="S4929" i="11"/>
  <c r="N4929" i="11"/>
  <c r="M4930" i="11"/>
  <c r="D4930" i="11" l="1"/>
  <c r="C4930" i="11"/>
  <c r="R4930" i="11"/>
  <c r="S4930" i="11"/>
  <c r="N4930" i="11"/>
  <c r="M4931" i="11"/>
  <c r="D4931" i="11" l="1"/>
  <c r="C4931" i="11"/>
  <c r="R4931" i="11"/>
  <c r="S4931" i="11"/>
  <c r="N4931" i="11"/>
  <c r="M4932" i="11"/>
  <c r="D4932" i="11" l="1"/>
  <c r="C4932" i="11"/>
  <c r="R4932" i="11"/>
  <c r="S4932" i="11"/>
  <c r="N4932" i="11"/>
  <c r="M4933" i="11"/>
  <c r="D4933" i="11" l="1"/>
  <c r="C4933" i="11"/>
  <c r="R4933" i="11"/>
  <c r="S4933" i="11"/>
  <c r="N4933" i="11"/>
  <c r="M4934" i="11"/>
  <c r="D4934" i="11" l="1"/>
  <c r="C4934" i="11"/>
  <c r="R4934" i="11"/>
  <c r="S4934" i="11"/>
  <c r="N4934" i="11"/>
  <c r="M4935" i="11"/>
  <c r="D4935" i="11" l="1"/>
  <c r="C4935" i="11"/>
  <c r="R4935" i="11"/>
  <c r="S4935" i="11"/>
  <c r="N4935" i="11"/>
  <c r="M4936" i="11"/>
  <c r="D4936" i="11" l="1"/>
  <c r="C4936" i="11"/>
  <c r="R4936" i="11"/>
  <c r="S4936" i="11"/>
  <c r="N4936" i="11"/>
  <c r="M4937" i="11"/>
  <c r="D4937" i="11" l="1"/>
  <c r="C4937" i="11"/>
  <c r="R4937" i="11"/>
  <c r="S4937" i="11"/>
  <c r="N4937" i="11"/>
  <c r="M4938" i="11"/>
  <c r="D4938" i="11" l="1"/>
  <c r="C4938" i="11"/>
  <c r="R4938" i="11"/>
  <c r="S4938" i="11"/>
  <c r="N4938" i="11"/>
  <c r="M4939" i="11"/>
  <c r="D4939" i="11" l="1"/>
  <c r="C4939" i="11"/>
  <c r="R4939" i="11"/>
  <c r="S4939" i="11"/>
  <c r="N4939" i="11"/>
  <c r="M4940" i="11"/>
  <c r="D4940" i="11" l="1"/>
  <c r="C4940" i="11"/>
  <c r="R4940" i="11"/>
  <c r="S4940" i="11"/>
  <c r="N4940" i="11"/>
  <c r="M4941" i="11"/>
  <c r="D4941" i="11" l="1"/>
  <c r="C4941" i="11"/>
  <c r="R4941" i="11"/>
  <c r="S4941" i="11"/>
  <c r="N4941" i="11"/>
  <c r="M4942" i="11"/>
  <c r="D4942" i="11" l="1"/>
  <c r="C4942" i="11"/>
  <c r="R4942" i="11"/>
  <c r="S4942" i="11"/>
  <c r="N4942" i="11"/>
  <c r="M4943" i="11"/>
  <c r="D4943" i="11" l="1"/>
  <c r="C4943" i="11"/>
  <c r="R4943" i="11"/>
  <c r="S4943" i="11"/>
  <c r="N4943" i="11"/>
  <c r="M4944" i="11"/>
  <c r="D4944" i="11" l="1"/>
  <c r="C4944" i="11"/>
  <c r="R4944" i="11"/>
  <c r="S4944" i="11"/>
  <c r="N4944" i="11"/>
  <c r="M4945" i="11"/>
  <c r="D4945" i="11" l="1"/>
  <c r="C4945" i="11"/>
  <c r="R4945" i="11"/>
  <c r="S4945" i="11"/>
  <c r="N4945" i="11"/>
  <c r="M4946" i="11"/>
  <c r="D4946" i="11" l="1"/>
  <c r="C4946" i="11"/>
  <c r="R4946" i="11"/>
  <c r="S4946" i="11"/>
  <c r="N4946" i="11"/>
  <c r="M4947" i="11"/>
  <c r="D4947" i="11" l="1"/>
  <c r="C4947" i="11"/>
  <c r="R4947" i="11"/>
  <c r="S4947" i="11"/>
  <c r="N4947" i="11"/>
  <c r="M4948" i="11"/>
  <c r="D4948" i="11" l="1"/>
  <c r="C4948" i="11"/>
  <c r="R4948" i="11"/>
  <c r="S4948" i="11"/>
  <c r="N4948" i="11"/>
  <c r="M4949" i="11"/>
  <c r="D4949" i="11" l="1"/>
  <c r="C4949" i="11"/>
  <c r="R4949" i="11"/>
  <c r="S4949" i="11"/>
  <c r="N4949" i="11"/>
  <c r="M4950" i="11"/>
  <c r="D4950" i="11" l="1"/>
  <c r="C4950" i="11"/>
  <c r="R4950" i="11"/>
  <c r="S4950" i="11"/>
  <c r="N4950" i="11"/>
  <c r="M4951" i="11"/>
  <c r="D4951" i="11" l="1"/>
  <c r="C4951" i="11"/>
  <c r="R4951" i="11"/>
  <c r="S4951" i="11"/>
  <c r="N4951" i="11"/>
  <c r="M4952" i="11"/>
  <c r="D4952" i="11" l="1"/>
  <c r="C4952" i="11"/>
  <c r="R4952" i="11"/>
  <c r="S4952" i="11"/>
  <c r="N4952" i="11"/>
  <c r="M4953" i="11"/>
  <c r="D4953" i="11" l="1"/>
  <c r="C4953" i="11"/>
  <c r="R4953" i="11"/>
  <c r="S4953" i="11"/>
  <c r="N4953" i="11"/>
  <c r="M4954" i="11"/>
  <c r="D4954" i="11" l="1"/>
  <c r="C4954" i="11"/>
  <c r="R4954" i="11"/>
  <c r="S4954" i="11"/>
  <c r="N4954" i="11"/>
  <c r="M4955" i="11"/>
  <c r="D4955" i="11" l="1"/>
  <c r="C4955" i="11"/>
  <c r="R4955" i="11"/>
  <c r="S4955" i="11"/>
  <c r="N4955" i="11"/>
  <c r="M4956" i="11"/>
  <c r="D4956" i="11" l="1"/>
  <c r="C4956" i="11"/>
  <c r="R4956" i="11"/>
  <c r="S4956" i="11"/>
  <c r="N4956" i="11"/>
  <c r="M4957" i="11"/>
  <c r="D4957" i="11" l="1"/>
  <c r="C4957" i="11"/>
  <c r="R4957" i="11"/>
  <c r="S4957" i="11"/>
  <c r="N4957" i="11"/>
  <c r="M4958" i="11"/>
  <c r="D4958" i="11" l="1"/>
  <c r="C4958" i="11"/>
  <c r="R4958" i="11"/>
  <c r="S4958" i="11"/>
  <c r="N4958" i="11"/>
  <c r="M4959" i="11"/>
  <c r="D4959" i="11" l="1"/>
  <c r="C4959" i="11"/>
  <c r="R4959" i="11"/>
  <c r="S4959" i="11"/>
  <c r="N4959" i="11"/>
  <c r="M4960" i="11"/>
  <c r="D4960" i="11" l="1"/>
  <c r="C4960" i="11"/>
  <c r="R4960" i="11"/>
  <c r="S4960" i="11"/>
  <c r="N4960" i="11"/>
  <c r="M4961" i="11"/>
  <c r="D4961" i="11" l="1"/>
  <c r="C4961" i="11"/>
  <c r="R4961" i="11"/>
  <c r="S4961" i="11"/>
  <c r="N4961" i="11"/>
  <c r="M4962" i="11"/>
  <c r="D4962" i="11" l="1"/>
  <c r="C4962" i="11"/>
  <c r="R4962" i="11"/>
  <c r="S4962" i="11"/>
  <c r="N4962" i="11"/>
  <c r="M4963" i="11"/>
  <c r="D4963" i="11" l="1"/>
  <c r="C4963" i="11"/>
  <c r="R4963" i="11"/>
  <c r="S4963" i="11"/>
  <c r="N4963" i="11"/>
  <c r="M4964" i="11"/>
  <c r="D4964" i="11" l="1"/>
  <c r="C4964" i="11"/>
  <c r="R4964" i="11"/>
  <c r="S4964" i="11"/>
  <c r="N4964" i="11"/>
  <c r="M4965" i="11"/>
  <c r="D4965" i="11" l="1"/>
  <c r="C4965" i="11"/>
  <c r="R4965" i="11"/>
  <c r="S4965" i="11"/>
  <c r="N4965" i="11"/>
  <c r="M4966" i="11"/>
  <c r="D4966" i="11" l="1"/>
  <c r="C4966" i="11"/>
  <c r="R4966" i="11"/>
  <c r="S4966" i="11"/>
  <c r="N4966" i="11"/>
  <c r="M4967" i="11"/>
  <c r="D4967" i="11" l="1"/>
  <c r="C4967" i="11"/>
  <c r="R4967" i="11"/>
  <c r="S4967" i="11"/>
  <c r="N4967" i="11"/>
  <c r="M4968" i="11"/>
  <c r="D4968" i="11" l="1"/>
  <c r="C4968" i="11"/>
  <c r="R4968" i="11"/>
  <c r="S4968" i="11"/>
  <c r="N4968" i="11"/>
  <c r="M4969" i="11"/>
  <c r="D4969" i="11" l="1"/>
  <c r="C4969" i="11"/>
  <c r="R4969" i="11"/>
  <c r="S4969" i="11"/>
  <c r="N4969" i="11"/>
  <c r="M4970" i="11"/>
  <c r="D4970" i="11" l="1"/>
  <c r="C4970" i="11"/>
  <c r="R4970" i="11"/>
  <c r="S4970" i="11"/>
  <c r="N4970" i="11"/>
  <c r="M4971" i="11"/>
  <c r="D4971" i="11" l="1"/>
  <c r="C4971" i="11"/>
  <c r="R4971" i="11"/>
  <c r="S4971" i="11"/>
  <c r="N4971" i="11"/>
  <c r="M4972" i="11"/>
  <c r="D4972" i="11" l="1"/>
  <c r="C4972" i="11"/>
  <c r="R4972" i="11"/>
  <c r="S4972" i="11"/>
  <c r="N4972" i="11"/>
  <c r="M4973" i="11"/>
  <c r="D4973" i="11" l="1"/>
  <c r="C4973" i="11"/>
  <c r="R4973" i="11"/>
  <c r="S4973" i="11"/>
  <c r="N4973" i="11"/>
  <c r="M4974" i="11"/>
  <c r="D4974" i="11" l="1"/>
  <c r="C4974" i="11"/>
  <c r="R4974" i="11"/>
  <c r="S4974" i="11"/>
  <c r="N4974" i="11"/>
  <c r="M4975" i="11"/>
  <c r="D4975" i="11" l="1"/>
  <c r="C4975" i="11"/>
  <c r="R4975" i="11"/>
  <c r="S4975" i="11"/>
  <c r="N4975" i="11"/>
  <c r="M4976" i="11"/>
  <c r="D4976" i="11" l="1"/>
  <c r="C4976" i="11"/>
  <c r="R4976" i="11"/>
  <c r="S4976" i="11"/>
  <c r="N4976" i="11"/>
  <c r="M4977" i="11"/>
  <c r="D4977" i="11" l="1"/>
  <c r="C4977" i="11"/>
  <c r="R4977" i="11"/>
  <c r="S4977" i="11"/>
  <c r="N4977" i="11"/>
  <c r="M4978" i="11"/>
  <c r="D4978" i="11" l="1"/>
  <c r="C4978" i="11"/>
  <c r="R4978" i="11"/>
  <c r="S4978" i="11"/>
  <c r="N4978" i="11"/>
  <c r="M4979" i="11"/>
  <c r="D4979" i="11" l="1"/>
  <c r="C4979" i="11"/>
  <c r="R4979" i="11"/>
  <c r="S4979" i="11"/>
  <c r="N4979" i="11"/>
  <c r="M4980" i="11"/>
  <c r="D4980" i="11" l="1"/>
  <c r="C4980" i="11"/>
  <c r="R4980" i="11"/>
  <c r="S4980" i="11"/>
  <c r="N4980" i="11"/>
  <c r="M4981" i="11"/>
  <c r="D4981" i="11" l="1"/>
  <c r="C4981" i="11"/>
  <c r="R4981" i="11"/>
  <c r="S4981" i="11"/>
  <c r="N4981" i="11"/>
  <c r="M4982" i="11"/>
  <c r="D4982" i="11" l="1"/>
  <c r="C4982" i="11"/>
  <c r="R4982" i="11"/>
  <c r="S4982" i="11"/>
  <c r="N4982" i="11"/>
  <c r="M4983" i="11"/>
  <c r="D4983" i="11" l="1"/>
  <c r="C4983" i="11"/>
  <c r="R4983" i="11"/>
  <c r="S4983" i="11"/>
  <c r="N4983" i="11"/>
  <c r="M4984" i="11"/>
  <c r="D4984" i="11" l="1"/>
  <c r="C4984" i="11"/>
  <c r="R4984" i="11"/>
  <c r="S4984" i="11"/>
  <c r="N4984" i="11"/>
  <c r="M4985" i="11"/>
  <c r="D4985" i="11" l="1"/>
  <c r="C4985" i="11"/>
  <c r="R4985" i="11"/>
  <c r="S4985" i="11"/>
  <c r="N4985" i="11"/>
  <c r="M4986" i="11"/>
  <c r="D4986" i="11" l="1"/>
  <c r="C4986" i="11"/>
  <c r="R4986" i="11"/>
  <c r="S4986" i="11"/>
  <c r="N4986" i="11"/>
  <c r="M4987" i="11"/>
  <c r="D4987" i="11" l="1"/>
  <c r="C4987" i="11"/>
  <c r="R4987" i="11"/>
  <c r="S4987" i="11"/>
  <c r="N4987" i="11"/>
  <c r="M4988" i="11"/>
  <c r="D4988" i="11" l="1"/>
  <c r="C4988" i="11"/>
  <c r="R4988" i="11"/>
  <c r="S4988" i="11"/>
  <c r="N4988" i="11"/>
  <c r="M4989" i="11"/>
  <c r="D4989" i="11" l="1"/>
  <c r="C4989" i="11"/>
  <c r="R4989" i="11"/>
  <c r="S4989" i="11"/>
  <c r="N4989" i="11"/>
  <c r="M4990" i="11"/>
  <c r="D4990" i="11" l="1"/>
  <c r="C4990" i="11"/>
  <c r="R4990" i="11"/>
  <c r="S4990" i="11"/>
  <c r="N4990" i="11"/>
  <c r="M4991" i="11"/>
  <c r="D4991" i="11" l="1"/>
  <c r="C4991" i="11"/>
  <c r="R4991" i="11"/>
  <c r="S4991" i="11"/>
  <c r="N4991" i="11"/>
  <c r="M4992" i="11"/>
  <c r="D4992" i="11" l="1"/>
  <c r="C4992" i="11"/>
  <c r="R4992" i="11"/>
  <c r="S4992" i="11"/>
  <c r="N4992" i="11"/>
  <c r="M4993" i="11"/>
  <c r="D4993" i="11" l="1"/>
  <c r="C4993" i="11"/>
  <c r="R4993" i="11"/>
  <c r="S4993" i="11"/>
  <c r="N4993" i="11"/>
  <c r="M4994" i="11"/>
  <c r="D4994" i="11" l="1"/>
  <c r="C4994" i="11"/>
  <c r="R4994" i="11"/>
  <c r="S4994" i="11"/>
  <c r="N4994" i="11"/>
  <c r="M4995" i="11"/>
  <c r="D4995" i="11" l="1"/>
  <c r="C4995" i="11"/>
  <c r="R4995" i="11"/>
  <c r="S4995" i="11"/>
  <c r="N4995" i="11"/>
  <c r="M4996" i="11"/>
  <c r="D4996" i="11" l="1"/>
  <c r="C4996" i="11"/>
  <c r="R4996" i="11"/>
  <c r="S4996" i="11"/>
  <c r="N4996" i="11"/>
  <c r="M4997" i="11"/>
  <c r="D4997" i="11" l="1"/>
  <c r="C4997" i="11"/>
  <c r="R4997" i="11"/>
  <c r="S4997" i="11"/>
  <c r="N4997" i="11"/>
  <c r="M4998" i="11"/>
  <c r="D4998" i="11" l="1"/>
  <c r="C4998" i="11"/>
  <c r="R4998" i="11"/>
  <c r="S4998" i="11"/>
  <c r="N4998" i="11"/>
  <c r="M4999" i="11"/>
  <c r="D4999" i="11" l="1"/>
  <c r="C4999" i="11"/>
  <c r="R4999" i="11"/>
  <c r="S4999" i="11"/>
  <c r="N4999" i="11"/>
  <c r="M5000" i="11"/>
  <c r="D5000" i="11" l="1"/>
  <c r="C15" i="5" s="1"/>
  <c r="C5000" i="11"/>
  <c r="C9" i="5" s="1"/>
  <c r="R5000" i="11"/>
  <c r="S5000" i="11"/>
  <c r="I3" i="11" s="1"/>
  <c r="N5000" i="11"/>
  <c r="B45" i="11" s="1"/>
  <c r="K3" i="11" l="1"/>
  <c r="J3" i="11"/>
  <c r="C19" i="5" s="1"/>
  <c r="H3" i="11"/>
  <c r="B2" i="11"/>
  <c r="B1353" i="11"/>
  <c r="B2349" i="11"/>
  <c r="B3434" i="11"/>
  <c r="B3057" i="11"/>
  <c r="B580" i="11"/>
  <c r="B1655" i="11"/>
  <c r="B3623" i="11"/>
  <c r="B853" i="11"/>
  <c r="B2618" i="11"/>
  <c r="B1882" i="11"/>
  <c r="B1456" i="11"/>
  <c r="B3315" i="11"/>
  <c r="B1387" i="11"/>
  <c r="B3432" i="11"/>
  <c r="B1773" i="11"/>
  <c r="B4640" i="11"/>
  <c r="B4911" i="11"/>
  <c r="B868" i="11"/>
  <c r="B735" i="11"/>
  <c r="B2412" i="11"/>
  <c r="B933" i="11"/>
  <c r="B3546" i="11"/>
  <c r="B3043" i="11"/>
  <c r="B3948" i="11"/>
  <c r="B4387" i="11"/>
  <c r="B4974" i="11"/>
  <c r="B1806" i="11"/>
  <c r="B3895" i="11"/>
  <c r="B3525" i="11"/>
  <c r="B2456" i="11"/>
  <c r="B992" i="11"/>
  <c r="B398" i="11"/>
  <c r="B823" i="11"/>
  <c r="B606" i="11"/>
  <c r="B649" i="11"/>
  <c r="B467" i="11"/>
  <c r="B1156" i="11"/>
  <c r="B4286" i="11"/>
  <c r="B4228" i="11"/>
  <c r="B2009" i="11"/>
  <c r="B1520" i="11"/>
  <c r="B1286" i="11"/>
  <c r="B4280" i="11"/>
  <c r="B2544" i="11"/>
  <c r="B994" i="11"/>
  <c r="B3236" i="11"/>
  <c r="B4008" i="11"/>
  <c r="B2402" i="11"/>
  <c r="B2949" i="11"/>
  <c r="B2608" i="11"/>
  <c r="B1479" i="11"/>
  <c r="B3263" i="11"/>
  <c r="B4543" i="11"/>
  <c r="B4191" i="11"/>
  <c r="B4563" i="11"/>
  <c r="B2464" i="11"/>
  <c r="B3979" i="11"/>
  <c r="B3097" i="11"/>
  <c r="B4337" i="11"/>
  <c r="B2762" i="11"/>
  <c r="B802" i="11"/>
  <c r="B4460" i="11"/>
  <c r="B1409" i="11"/>
  <c r="B908" i="11"/>
  <c r="B1722" i="11"/>
  <c r="B2116" i="11"/>
  <c r="B858" i="11"/>
  <c r="B1258" i="11"/>
  <c r="B2260" i="11"/>
  <c r="B3909" i="11"/>
  <c r="B3478" i="11"/>
  <c r="B2682" i="11"/>
  <c r="B169" i="11"/>
  <c r="B1055" i="11"/>
  <c r="B1386" i="11"/>
  <c r="B41" i="11"/>
  <c r="B2568" i="11"/>
  <c r="B1909" i="11"/>
  <c r="B3889" i="11"/>
  <c r="B3576" i="11"/>
  <c r="B810" i="11"/>
  <c r="B4426" i="11"/>
  <c r="B2238" i="11"/>
  <c r="B3395" i="11"/>
  <c r="B4660" i="11"/>
  <c r="B2118" i="11"/>
  <c r="B2006" i="11"/>
  <c r="B3391" i="11"/>
  <c r="B4549" i="11"/>
  <c r="B3824" i="11"/>
  <c r="B4869" i="11"/>
  <c r="B2712" i="11"/>
  <c r="B1222" i="11"/>
  <c r="B2551" i="11"/>
  <c r="B276" i="11"/>
  <c r="B2529" i="11"/>
  <c r="B3712" i="11"/>
  <c r="B3794" i="11"/>
  <c r="B4090" i="11"/>
  <c r="B2829" i="11"/>
  <c r="B516" i="11"/>
  <c r="B1414" i="11"/>
  <c r="B24" i="11"/>
  <c r="B2635" i="11"/>
  <c r="B3405" i="11"/>
  <c r="B1615" i="11"/>
  <c r="B587" i="11"/>
  <c r="B4719" i="11"/>
  <c r="B3187" i="11"/>
  <c r="B741" i="11"/>
  <c r="B3695" i="11"/>
  <c r="B1620" i="11"/>
  <c r="B3881" i="11"/>
  <c r="B1096" i="11"/>
  <c r="B3554" i="11"/>
  <c r="B1315" i="11"/>
  <c r="B4012" i="11"/>
  <c r="B2649" i="11"/>
  <c r="B1952" i="11"/>
  <c r="B2023" i="11"/>
  <c r="B3618" i="11"/>
  <c r="B2387" i="11"/>
  <c r="B4456" i="11"/>
  <c r="B2027" i="11"/>
  <c r="B1233" i="11"/>
  <c r="B4143" i="11"/>
  <c r="B2487" i="11"/>
  <c r="B423" i="11"/>
  <c r="B682" i="11"/>
  <c r="B4870" i="11"/>
  <c r="B1187" i="11"/>
  <c r="B4016" i="11"/>
  <c r="B3697" i="11"/>
  <c r="B4024" i="11"/>
  <c r="B948" i="11"/>
  <c r="B4918" i="11"/>
  <c r="B2012" i="11"/>
  <c r="B3118" i="11"/>
  <c r="B4985" i="11"/>
  <c r="B3748" i="11"/>
  <c r="B1174" i="11"/>
  <c r="B3522" i="11"/>
  <c r="B4635" i="11"/>
  <c r="B2198" i="11"/>
  <c r="B4399" i="11"/>
  <c r="B1412" i="11"/>
  <c r="B3765" i="11"/>
  <c r="B854" i="11"/>
  <c r="B4539" i="11"/>
  <c r="B946" i="11"/>
  <c r="B1778" i="11"/>
  <c r="B2836" i="11"/>
  <c r="B3903" i="11"/>
  <c r="B2787" i="11"/>
  <c r="B3830" i="11"/>
  <c r="B1461" i="11"/>
  <c r="B644" i="11"/>
  <c r="B1172" i="11"/>
  <c r="B2024" i="11"/>
  <c r="B1832" i="11"/>
  <c r="B1493" i="11"/>
  <c r="B2666" i="11"/>
  <c r="B701" i="11"/>
  <c r="B4087" i="11"/>
  <c r="B2554" i="11"/>
  <c r="B264" i="11"/>
  <c r="B2616" i="11"/>
  <c r="B352" i="11"/>
  <c r="B4238" i="11"/>
  <c r="B1612" i="11"/>
  <c r="B894" i="11"/>
  <c r="B2830" i="11"/>
  <c r="B2515" i="11"/>
  <c r="B3640" i="11"/>
  <c r="B3030" i="11"/>
  <c r="B3295" i="11"/>
  <c r="B1708" i="11"/>
  <c r="B3999" i="11"/>
  <c r="B1935" i="11"/>
  <c r="B4662" i="11"/>
  <c r="B2882" i="11"/>
  <c r="B1788" i="11"/>
  <c r="B3780" i="11"/>
  <c r="B1084" i="11"/>
  <c r="B4438" i="11"/>
  <c r="B562" i="11"/>
  <c r="B2448" i="11"/>
  <c r="B4089" i="11"/>
  <c r="B1744" i="11"/>
  <c r="B4793" i="11"/>
  <c r="B2046" i="11"/>
  <c r="B656" i="11"/>
  <c r="B1453" i="11"/>
  <c r="B2480" i="11"/>
  <c r="B2495" i="11"/>
  <c r="B2463" i="11"/>
  <c r="B4707" i="11"/>
  <c r="B1759" i="11"/>
  <c r="B55" i="11"/>
  <c r="B200" i="11"/>
  <c r="B584" i="11"/>
  <c r="B2031" i="11"/>
  <c r="B685" i="11"/>
  <c r="B1327" i="11"/>
  <c r="B634" i="11"/>
  <c r="B4096" i="11"/>
  <c r="B2384" i="11"/>
  <c r="B4153" i="11"/>
  <c r="B1680" i="11"/>
  <c r="B4389" i="11"/>
  <c r="B2716" i="11"/>
  <c r="B237" i="11"/>
  <c r="B2532" i="11"/>
  <c r="B277" i="11"/>
  <c r="B1828" i="11"/>
  <c r="B1913" i="11"/>
  <c r="B2803" i="11"/>
  <c r="B1447" i="11"/>
  <c r="B99" i="11"/>
  <c r="B737" i="11"/>
  <c r="B187" i="11"/>
  <c r="B1351" i="11"/>
  <c r="B3605" i="11"/>
  <c r="B3606" i="11"/>
  <c r="B1865" i="11"/>
  <c r="B4310" i="11"/>
  <c r="B1446" i="11"/>
  <c r="B2113" i="11"/>
  <c r="B2832" i="11"/>
  <c r="B3705" i="11"/>
  <c r="B1710" i="11"/>
  <c r="B4402" i="11"/>
  <c r="B4636" i="11"/>
  <c r="B942" i="11"/>
  <c r="B4709" i="11"/>
  <c r="B2445" i="11"/>
  <c r="B304" i="11"/>
  <c r="B4321" i="11"/>
  <c r="B2052" i="11"/>
  <c r="B2717" i="11"/>
  <c r="B746" i="11"/>
  <c r="B2013" i="11"/>
  <c r="B2114" i="11"/>
  <c r="B4410" i="11"/>
  <c r="B865" i="11"/>
  <c r="B171" i="11"/>
  <c r="B2742" i="11"/>
  <c r="B4127" i="11"/>
  <c r="B2368" i="11"/>
  <c r="B255" i="11"/>
  <c r="B1027" i="11"/>
  <c r="B31" i="11"/>
  <c r="B567" i="11"/>
  <c r="B3216" i="11"/>
  <c r="B2101" i="11"/>
  <c r="B2133" i="11"/>
  <c r="B2344" i="11"/>
  <c r="B1429" i="11"/>
  <c r="B2922" i="11"/>
  <c r="B2864" i="11"/>
  <c r="B1188" i="11"/>
  <c r="B3336" i="11"/>
  <c r="B1098" i="11"/>
  <c r="B1835" i="11"/>
  <c r="B1764" i="11"/>
  <c r="B27" i="11"/>
  <c r="B1319" i="11"/>
  <c r="B115" i="11"/>
  <c r="B2028" i="11"/>
  <c r="B2455" i="11"/>
  <c r="B1430" i="11"/>
  <c r="B2804" i="11"/>
  <c r="B4091" i="11"/>
  <c r="B2100" i="11"/>
  <c r="B1625" i="11"/>
  <c r="B2094" i="11"/>
  <c r="B3773" i="11"/>
  <c r="B1720" i="11"/>
  <c r="B298" i="11"/>
  <c r="B1016" i="11"/>
  <c r="B401" i="11"/>
  <c r="B2205" i="11"/>
  <c r="B1346" i="11"/>
  <c r="B1501" i="11"/>
  <c r="B2964" i="11"/>
  <c r="B4852" i="11"/>
  <c r="B3334" i="11"/>
  <c r="B814" i="11"/>
  <c r="B4895" i="11"/>
  <c r="B2699" i="11"/>
  <c r="B3416" i="11"/>
  <c r="B807" i="11"/>
  <c r="B4332" i="11"/>
  <c r="B4676" i="11"/>
  <c r="B2779" i="11"/>
  <c r="B3149" i="11"/>
  <c r="B2193" i="11"/>
  <c r="B4071" i="11"/>
  <c r="B3449" i="11"/>
  <c r="B850" i="11"/>
  <c r="B4018" i="11"/>
  <c r="B2727" i="11"/>
  <c r="B3750" i="11"/>
  <c r="B2653" i="11"/>
  <c r="B1256" i="11"/>
  <c r="B1949" i="11"/>
  <c r="B3541" i="11"/>
  <c r="B3885" i="11"/>
  <c r="B2951" i="11"/>
  <c r="B1299" i="11"/>
  <c r="B4309" i="11"/>
  <c r="B632" i="11"/>
  <c r="B819" i="11"/>
  <c r="B2356" i="11"/>
  <c r="B2833" i="11"/>
  <c r="B2782" i="11"/>
  <c r="B244" i="11"/>
  <c r="B2078" i="11"/>
  <c r="B396" i="11"/>
  <c r="B2907" i="11"/>
  <c r="B2785" i="11"/>
  <c r="B2203" i="11"/>
  <c r="B3789" i="11"/>
  <c r="B3808" i="11"/>
  <c r="B3556" i="11"/>
  <c r="B650" i="11"/>
  <c r="B4625" i="11"/>
  <c r="B2048" i="11"/>
  <c r="B3306" i="11"/>
  <c r="B2694" i="11"/>
  <c r="B2638" i="11"/>
  <c r="B4069" i="11"/>
  <c r="B878" i="11"/>
  <c r="B4773" i="11"/>
  <c r="B2936" i="11"/>
  <c r="B4568" i="11"/>
  <c r="B1417" i="11"/>
  <c r="B2711" i="11"/>
  <c r="B46" i="11"/>
  <c r="B2007" i="11"/>
  <c r="B974" i="11"/>
  <c r="B2975" i="11"/>
  <c r="B2271" i="11"/>
  <c r="B1028" i="11"/>
  <c r="B1534" i="11"/>
  <c r="B2124" i="11"/>
  <c r="B824" i="11"/>
  <c r="B761" i="11"/>
  <c r="B3312" i="11"/>
  <c r="B4358" i="11"/>
  <c r="B1836" i="11"/>
  <c r="B3871" i="11"/>
  <c r="B1132" i="11"/>
  <c r="B4575" i="11"/>
  <c r="B478" i="11"/>
  <c r="B1539" i="11"/>
  <c r="B306" i="11"/>
  <c r="B837" i="11"/>
  <c r="B3758" i="11"/>
  <c r="B1589" i="11"/>
  <c r="B2645" i="11"/>
  <c r="B825" i="11"/>
  <c r="B1941" i="11"/>
  <c r="B874" i="11"/>
  <c r="B2304" i="11"/>
  <c r="B4158" i="11"/>
  <c r="B1978" i="11"/>
  <c r="B314" i="11"/>
  <c r="B1274" i="11"/>
  <c r="B232" i="11"/>
  <c r="B1151" i="11"/>
  <c r="B1981" i="11"/>
  <c r="B1690" i="11"/>
  <c r="B1948" i="11"/>
  <c r="B986" i="11"/>
  <c r="B131" i="11"/>
  <c r="B391" i="11"/>
  <c r="B1987" i="11"/>
  <c r="B432" i="11"/>
  <c r="B4931" i="11"/>
  <c r="B3775" i="11"/>
  <c r="B3377" i="11"/>
  <c r="B3044" i="11"/>
  <c r="B2251" i="11"/>
  <c r="B3864" i="11"/>
  <c r="B2462" i="11"/>
  <c r="B4277" i="11"/>
  <c r="B4100" i="11"/>
  <c r="B1819" i="11"/>
  <c r="B4173" i="11"/>
  <c r="B1115" i="11"/>
  <c r="B4815" i="11"/>
  <c r="B3995" i="11"/>
  <c r="B2164" i="11"/>
  <c r="B921" i="11"/>
  <c r="B1920" i="11"/>
  <c r="B2609" i="11"/>
  <c r="B1530" i="11"/>
  <c r="B392" i="11"/>
  <c r="B1592" i="11"/>
  <c r="B370" i="11"/>
  <c r="B2737" i="11"/>
  <c r="B4056" i="11"/>
  <c r="B4300" i="11"/>
  <c r="B1235" i="11"/>
  <c r="B4373" i="11"/>
  <c r="B568" i="11"/>
  <c r="B262" i="11"/>
  <c r="B2677" i="11"/>
  <c r="B3953" i="11"/>
  <c r="B991" i="11"/>
  <c r="B4252" i="11"/>
  <c r="B2862" i="11"/>
  <c r="B4956" i="11"/>
  <c r="B1109" i="11"/>
  <c r="B2985" i="11"/>
  <c r="B2612" i="11"/>
  <c r="B4403" i="11"/>
  <c r="B1495" i="11"/>
  <c r="B3267" i="11"/>
  <c r="B205" i="11"/>
  <c r="B3075" i="11"/>
  <c r="B295" i="11"/>
  <c r="B4174" i="11"/>
  <c r="B376" i="11"/>
  <c r="B2239" i="11"/>
  <c r="B2263" i="11"/>
  <c r="B102" i="11"/>
  <c r="B1559" i="11"/>
  <c r="B190" i="11"/>
  <c r="B234" i="11"/>
  <c r="B2191" i="11"/>
  <c r="B482" i="11"/>
  <c r="B1487" i="11"/>
  <c r="B2221" i="11"/>
  <c r="B2416" i="11"/>
  <c r="B594" i="11"/>
  <c r="B4182" i="11"/>
  <c r="B4163" i="11"/>
  <c r="B4886" i="11"/>
  <c r="B1511" i="11"/>
  <c r="B3214" i="11"/>
  <c r="B1246" i="11"/>
  <c r="B269" i="11"/>
  <c r="B2749" i="11"/>
  <c r="B11" i="11"/>
  <c r="B3880" i="11"/>
  <c r="B74" i="11"/>
  <c r="B958" i="11"/>
  <c r="B2318" i="11"/>
  <c r="B2461" i="11"/>
  <c r="B2337" i="11"/>
  <c r="B433" i="11"/>
  <c r="B2639" i="11"/>
  <c r="B226" i="11"/>
  <c r="B4615" i="11"/>
  <c r="B506" i="11"/>
  <c r="B1037" i="11"/>
  <c r="B4014" i="11"/>
  <c r="B2743" i="11"/>
  <c r="B2893" i="11"/>
  <c r="B2818" i="11"/>
  <c r="B4279" i="11"/>
  <c r="B1627" i="11"/>
  <c r="B3384" i="11"/>
  <c r="B1777" i="11"/>
  <c r="B1008" i="11"/>
  <c r="B826" i="11"/>
  <c r="B3476" i="11"/>
  <c r="B4032" i="11"/>
  <c r="B2594" i="11"/>
  <c r="B4462" i="11"/>
  <c r="B2262" i="11"/>
  <c r="B3049" i="11"/>
  <c r="B3438" i="11"/>
  <c r="B609" i="11"/>
  <c r="B4350" i="11"/>
  <c r="B520" i="11"/>
  <c r="B1521" i="11"/>
  <c r="B3177" i="11"/>
  <c r="B1001" i="11"/>
  <c r="B3000" i="11"/>
  <c r="B1607" i="11"/>
  <c r="B1688" i="11"/>
  <c r="B4220" i="11"/>
  <c r="B2200" i="11"/>
  <c r="B4917" i="11"/>
  <c r="B3884" i="11"/>
  <c r="B3086" i="11"/>
  <c r="B2258" i="11"/>
  <c r="B938" i="11"/>
  <c r="B2211" i="11"/>
  <c r="B2041" i="11"/>
  <c r="B4348" i="11"/>
  <c r="B1356" i="11"/>
  <c r="B157" i="11"/>
  <c r="B966" i="11"/>
  <c r="B1839" i="11"/>
  <c r="B2423" i="11"/>
  <c r="B531" i="11"/>
  <c r="B1010" i="11"/>
  <c r="B866" i="11"/>
  <c r="B3616" i="11"/>
  <c r="B2034" i="11"/>
  <c r="B4259" i="11"/>
  <c r="B1583" i="11"/>
  <c r="B3684" i="11"/>
  <c r="B1440" i="11"/>
  <c r="B1169" i="11"/>
  <c r="B2948" i="11"/>
  <c r="B1845" i="11"/>
  <c r="B3709" i="11"/>
  <c r="B3700" i="11"/>
  <c r="B2842" i="11"/>
  <c r="B2536" i="11"/>
  <c r="B2601" i="11"/>
  <c r="B1726" i="11"/>
  <c r="B275" i="11"/>
  <c r="B512" i="11"/>
  <c r="B4863" i="11"/>
  <c r="B4674" i="11"/>
  <c r="B2956" i="11"/>
  <c r="B92" i="11"/>
  <c r="B4783" i="11"/>
  <c r="B3215" i="11"/>
  <c r="B4669" i="11"/>
  <c r="B4819" i="11"/>
  <c r="B485" i="11"/>
  <c r="B4215" i="11"/>
  <c r="B4398" i="11"/>
  <c r="B3350" i="11"/>
  <c r="B2161" i="11"/>
  <c r="B3140" i="11"/>
  <c r="B3774" i="11"/>
  <c r="B4166" i="11"/>
  <c r="B3724" i="11"/>
  <c r="B2016" i="11"/>
  <c r="B1535" i="11"/>
  <c r="B1904" i="11"/>
  <c r="B2702" i="11"/>
  <c r="B3590" i="11"/>
  <c r="B1119" i="11"/>
  <c r="B75" i="11"/>
  <c r="B4794" i="11"/>
  <c r="B1135" i="11"/>
  <c r="B3130" i="11"/>
  <c r="B1970" i="11"/>
  <c r="B4715" i="11"/>
  <c r="B1363" i="11"/>
  <c r="B3672" i="11"/>
  <c r="B2068" i="11"/>
  <c r="B359" i="11"/>
  <c r="B2870" i="11"/>
  <c r="B1538" i="11"/>
  <c r="B4527" i="11"/>
  <c r="B1933" i="11"/>
  <c r="B3573" i="11"/>
  <c r="B2733" i="11"/>
  <c r="B3048" i="11"/>
  <c r="B4148" i="11"/>
  <c r="B3682" i="11"/>
  <c r="B3171" i="11"/>
  <c r="B1146" i="11"/>
  <c r="B4684" i="11"/>
  <c r="B1531" i="11"/>
  <c r="B1668" i="11"/>
  <c r="B1350" i="11"/>
  <c r="B3680" i="11"/>
  <c r="B2695" i="11"/>
  <c r="B2641" i="11"/>
  <c r="B4165" i="11"/>
  <c r="B1247" i="11"/>
  <c r="B1378" i="11"/>
  <c r="B3676" i="11"/>
  <c r="B1881" i="11"/>
  <c r="B4987" i="11"/>
  <c r="B673" i="11"/>
  <c r="B3399" i="11"/>
  <c r="B3009" i="11"/>
  <c r="B1271" i="11"/>
  <c r="B783" i="11"/>
  <c r="B2984" i="11"/>
  <c r="B2935" i="11"/>
  <c r="B2819" i="11"/>
  <c r="B2017" i="11"/>
  <c r="B2564" i="11"/>
  <c r="B2672" i="11"/>
  <c r="B981" i="11"/>
  <c r="B536" i="11"/>
  <c r="B2525" i="11"/>
  <c r="B2747" i="11"/>
  <c r="B3117" i="11"/>
  <c r="B14" i="11"/>
  <c r="B1964" i="11"/>
  <c r="B4698" i="11"/>
  <c r="B3002" i="11"/>
  <c r="B3793" i="11"/>
  <c r="B3759" i="11"/>
  <c r="B1694" i="11"/>
  <c r="B3625" i="11"/>
  <c r="B4599" i="11"/>
  <c r="B3718" i="11"/>
  <c r="B2167" i="11"/>
  <c r="B2937" i="11"/>
  <c r="B1293" i="11"/>
  <c r="B3475" i="11"/>
  <c r="B4272" i="11"/>
  <c r="B3182" i="11"/>
  <c r="B772" i="11"/>
  <c r="B4848" i="11"/>
  <c r="B4422" i="11"/>
  <c r="B2360" i="11"/>
  <c r="B4208" i="11"/>
  <c r="B2064" i="11"/>
  <c r="B1874" i="11"/>
  <c r="B1678" i="11"/>
  <c r="B2915" i="11"/>
  <c r="B3674" i="11"/>
  <c r="B4479" i="11"/>
  <c r="B1856" i="11"/>
  <c r="B2169" i="11"/>
  <c r="B2134" i="11"/>
  <c r="B4559" i="11"/>
  <c r="B3859" i="11"/>
  <c r="B4257" i="11"/>
  <c r="B1739" i="11"/>
  <c r="B2774" i="11"/>
  <c r="B2418" i="11"/>
  <c r="B1403" i="11"/>
  <c r="B1376" i="11"/>
  <c r="B1974" i="11"/>
  <c r="B2374" i="11"/>
  <c r="B3944" i="11"/>
  <c r="B3501" i="11"/>
  <c r="B897" i="11"/>
  <c r="B4533" i="11"/>
  <c r="B2274" i="11"/>
  <c r="B997" i="11"/>
  <c r="B3509" i="11"/>
  <c r="B859" i="11"/>
  <c r="B1067" i="11"/>
  <c r="B2197" i="11"/>
  <c r="B2050" i="11"/>
  <c r="B1061" i="11"/>
  <c r="B1569" i="11"/>
  <c r="B2326" i="11"/>
  <c r="B3739" i="11"/>
  <c r="B4525" i="11"/>
  <c r="B3442" i="11"/>
  <c r="B3459" i="11"/>
  <c r="B595" i="11"/>
  <c r="B1481" i="11"/>
  <c r="B2171" i="11"/>
  <c r="B2355" i="11"/>
  <c r="B4023" i="11"/>
  <c r="B703" i="11"/>
  <c r="B322" i="11"/>
  <c r="B2004" i="11"/>
  <c r="B2002" i="11"/>
  <c r="B4408" i="11"/>
  <c r="B3165" i="11"/>
  <c r="B4882" i="11"/>
  <c r="B2834" i="11"/>
  <c r="B3249" i="11"/>
  <c r="B1348" i="11"/>
  <c r="B17" i="11"/>
  <c r="B33" i="11"/>
  <c r="B435" i="11"/>
  <c r="B3143" i="11"/>
  <c r="B2807" i="11"/>
  <c r="B4579" i="11"/>
  <c r="B1584" i="11"/>
  <c r="B821" i="11"/>
  <c r="B3178" i="11"/>
  <c r="B4147" i="11"/>
  <c r="B2978" i="11"/>
  <c r="B4580" i="11"/>
  <c r="B2160" i="11"/>
  <c r="B191" i="11"/>
  <c r="B3363" i="11"/>
  <c r="B4991" i="11"/>
  <c r="B2391" i="11"/>
  <c r="B3612" i="11"/>
  <c r="B518" i="11"/>
  <c r="B3251" i="11"/>
  <c r="B1986" i="11"/>
  <c r="B2072" i="11"/>
  <c r="B592" i="11"/>
  <c r="B417" i="11"/>
  <c r="B2794" i="11"/>
  <c r="B1859" i="11"/>
  <c r="B1072" i="11"/>
  <c r="B2348" i="11"/>
  <c r="B3890" i="11"/>
  <c r="B201" i="11"/>
  <c r="B1861" i="11"/>
  <c r="B1473" i="11"/>
  <c r="B2149" i="11"/>
  <c r="B1050" i="11"/>
  <c r="B4990" i="11"/>
  <c r="B1895" i="11"/>
  <c r="B3524" i="11"/>
  <c r="B225" i="11"/>
  <c r="B1404" i="11"/>
  <c r="B4502" i="11"/>
  <c r="B97" i="11"/>
  <c r="B1821" i="11"/>
  <c r="B2546" i="11"/>
  <c r="B1025" i="11"/>
  <c r="B4179" i="11"/>
  <c r="B4236" i="11"/>
  <c r="B3568" i="11"/>
  <c r="B4919" i="11"/>
  <c r="B1866" i="11"/>
  <c r="B972" i="11"/>
  <c r="B1330" i="11"/>
  <c r="B3466" i="11"/>
  <c r="B2060" i="11"/>
  <c r="B3973" i="11"/>
  <c r="B3619" i="11"/>
  <c r="B3266" i="11"/>
  <c r="B286" i="11"/>
  <c r="B2662" i="11"/>
  <c r="B20" i="11"/>
  <c r="B1275" i="11"/>
  <c r="B3936" i="11"/>
  <c r="B3584" i="11"/>
  <c r="B2896" i="11"/>
  <c r="B3641" i="11"/>
  <c r="B2192" i="11"/>
  <c r="B3877" i="11"/>
  <c r="B3983" i="11"/>
  <c r="B2634" i="11"/>
  <c r="B4687" i="11"/>
  <c r="B1093" i="11"/>
  <c r="B2306" i="11"/>
  <c r="B792" i="11"/>
  <c r="B2714" i="11"/>
  <c r="B767" i="11"/>
  <c r="B2010" i="11"/>
  <c r="B4946" i="11"/>
  <c r="B2324" i="11"/>
  <c r="B700" i="11"/>
  <c r="B1416" i="11"/>
  <c r="B1706" i="11"/>
  <c r="B681" i="11"/>
  <c r="B471" i="11"/>
  <c r="B112" i="11"/>
  <c r="B4485" i="11"/>
  <c r="B2379" i="11"/>
  <c r="B3736" i="11"/>
  <c r="B1675" i="11"/>
  <c r="B4440" i="11"/>
  <c r="B3331" i="11"/>
  <c r="B3535" i="11"/>
  <c r="B1912" i="11"/>
  <c r="B2963" i="11"/>
  <c r="B256" i="11"/>
  <c r="B1144" i="11"/>
  <c r="B385" i="11"/>
  <c r="B3023" i="11"/>
  <c r="B2752" i="11"/>
  <c r="B1392" i="11"/>
  <c r="B519" i="11"/>
  <c r="B3040" i="11"/>
  <c r="B699" i="11"/>
  <c r="B3862" i="11"/>
  <c r="B3743" i="11"/>
  <c r="B2315" i="11"/>
  <c r="B3800" i="11"/>
  <c r="B1611" i="11"/>
  <c r="B300" i="11"/>
  <c r="B3567" i="11"/>
  <c r="B2758" i="11"/>
  <c r="B2395" i="11"/>
  <c r="B3597" i="11"/>
  <c r="B1691" i="11"/>
  <c r="B4301" i="11"/>
  <c r="B1457" i="11"/>
  <c r="B1433" i="11"/>
  <c r="B2240" i="11"/>
  <c r="B3938" i="11"/>
  <c r="B1536" i="11"/>
  <c r="B2633" i="11"/>
  <c r="B3240" i="11"/>
  <c r="B2148" i="11"/>
  <c r="B263" i="11"/>
  <c r="B2499" i="11"/>
  <c r="B439" i="11"/>
  <c r="B4187" i="11"/>
  <c r="B4831" i="11"/>
  <c r="B2763" i="11"/>
  <c r="B3352" i="11"/>
  <c r="B2974" i="11"/>
  <c r="B2898" i="11"/>
  <c r="B403" i="11"/>
  <c r="B2206" i="11"/>
  <c r="B372" i="11"/>
  <c r="B1502" i="11"/>
  <c r="B596" i="11"/>
  <c r="B3186" i="11"/>
  <c r="B2250" i="11"/>
  <c r="B1209" i="11"/>
  <c r="B1546" i="11"/>
  <c r="B3592" i="11"/>
  <c r="B3473" i="11"/>
  <c r="B1664" i="11"/>
  <c r="B4210" i="11"/>
  <c r="B960" i="11"/>
  <c r="B3829" i="11"/>
  <c r="B1696" i="11"/>
  <c r="B4811" i="11"/>
  <c r="B3335" i="11"/>
  <c r="B4107" i="11"/>
  <c r="B4039" i="11"/>
  <c r="B292" i="11"/>
  <c r="B659" i="11"/>
  <c r="B721" i="11"/>
  <c r="B294" i="11"/>
  <c r="B2598" i="11"/>
  <c r="B28" i="11"/>
  <c r="B3952" i="11"/>
  <c r="B680" i="11"/>
  <c r="B351" i="11"/>
  <c r="B2362" i="11"/>
  <c r="B448" i="11"/>
  <c r="B4365" i="11"/>
  <c r="B4561" i="11"/>
  <c r="B2112" i="11"/>
  <c r="B4962" i="11"/>
  <c r="B1085" i="11"/>
  <c r="B193" i="11"/>
  <c r="B1766" i="11"/>
  <c r="B204" i="11"/>
  <c r="B1062" i="11"/>
  <c r="B404" i="11"/>
  <c r="B1890" i="11"/>
  <c r="B3630" i="11"/>
  <c r="B4537" i="11"/>
  <c r="B1296" i="11"/>
  <c r="B4770" i="11"/>
  <c r="B2381" i="11"/>
  <c r="B1738" i="11"/>
  <c r="B3400" i="11"/>
  <c r="B1034" i="11"/>
  <c r="B2347" i="11"/>
  <c r="B653" i="11"/>
  <c r="B4034" i="11"/>
  <c r="B2076" i="11"/>
  <c r="B1114" i="11"/>
  <c r="B1372" i="11"/>
  <c r="B3190" i="11"/>
  <c r="B3691" i="11"/>
  <c r="B2079" i="11"/>
  <c r="B3683" i="11"/>
  <c r="B2399" i="11"/>
  <c r="B4795" i="11"/>
  <c r="B773" i="11"/>
  <c r="B4836" i="11"/>
  <c r="B2873" i="11"/>
  <c r="B781" i="11"/>
  <c r="B3029" i="11"/>
  <c r="B542" i="11"/>
  <c r="B365" i="11"/>
  <c r="B1265" i="11"/>
  <c r="B2186" i="11"/>
  <c r="B1721" i="11"/>
  <c r="B1482" i="11"/>
  <c r="B165" i="11"/>
  <c r="B2707" i="11"/>
  <c r="B3520" i="11"/>
  <c r="B4265" i="11"/>
  <c r="B2084" i="11"/>
  <c r="B445" i="11"/>
  <c r="B1380" i="11"/>
  <c r="B454" i="11"/>
  <c r="B513" i="11"/>
  <c r="B3876" i="11"/>
  <c r="B219" i="11"/>
  <c r="B2358" i="11"/>
  <c r="B307" i="11"/>
  <c r="B3083" i="11"/>
  <c r="B2527" i="11"/>
  <c r="B4627" i="11"/>
  <c r="B1823" i="11"/>
  <c r="B3380" i="11"/>
  <c r="B1199" i="11"/>
  <c r="B4328" i="11"/>
  <c r="B608" i="11"/>
  <c r="B1903" i="11"/>
  <c r="B557" i="11"/>
  <c r="B1301" i="11"/>
  <c r="B3064" i="11"/>
  <c r="B1445" i="11"/>
  <c r="B228" i="11"/>
  <c r="B2142" i="11"/>
  <c r="B380" i="11"/>
  <c r="B3321" i="11"/>
  <c r="B2595" i="11"/>
  <c r="B2558" i="11"/>
  <c r="B154" i="11"/>
  <c r="B1854" i="11"/>
  <c r="B2155" i="11"/>
  <c r="B490" i="11"/>
  <c r="B1656" i="11"/>
  <c r="B4952" i="11"/>
  <c r="B2162" i="11"/>
  <c r="B3274" i="11"/>
  <c r="B4047" i="11"/>
  <c r="B2570" i="11"/>
  <c r="B4751" i="11"/>
  <c r="B3851" i="11"/>
  <c r="B56" i="11"/>
  <c r="B893" i="11"/>
  <c r="B2138" i="11"/>
  <c r="B2396" i="11"/>
  <c r="B1639" i="11"/>
  <c r="B3020" i="11"/>
  <c r="B561" i="11"/>
  <c r="B4619" i="11"/>
  <c r="B3527" i="11"/>
  <c r="B406" i="11"/>
  <c r="B1036" i="11"/>
  <c r="B1239" i="11"/>
  <c r="B230" i="11"/>
  <c r="B3110" i="11"/>
  <c r="B318" i="11"/>
  <c r="B1632" i="11"/>
  <c r="B4007" i="11"/>
  <c r="B4160" i="11"/>
  <c r="B1554" i="11"/>
  <c r="B4864" i="11"/>
  <c r="B2734" i="11"/>
  <c r="B4131" i="11"/>
  <c r="B1320" i="11"/>
  <c r="B2228" i="11"/>
  <c r="B4947" i="11"/>
  <c r="B1524" i="11"/>
  <c r="B3818" i="11"/>
  <c r="B4493" i="11"/>
  <c r="B602" i="11"/>
  <c r="B4558" i="11"/>
  <c r="B1241" i="11"/>
  <c r="B1471" i="11"/>
  <c r="B2539" i="11"/>
  <c r="B957" i="11"/>
  <c r="B2968" i="11"/>
  <c r="B924" i="11"/>
  <c r="B2264" i="11"/>
  <c r="B259" i="11"/>
  <c r="B4074" i="11"/>
  <c r="B2986" i="11"/>
  <c r="B1439" i="11"/>
  <c r="B3804" i="11"/>
  <c r="B729" i="11"/>
  <c r="B183" i="11"/>
  <c r="B3085" i="11"/>
  <c r="B180" i="11"/>
  <c r="B1126" i="11"/>
  <c r="B388" i="11"/>
  <c r="B652" i="11"/>
  <c r="B1401" i="11"/>
  <c r="B4608" i="11"/>
  <c r="B1872" i="11"/>
  <c r="B4665" i="11"/>
  <c r="B1168" i="11"/>
  <c r="B4901" i="11"/>
  <c r="B2398" i="11"/>
  <c r="B429" i="11"/>
  <c r="B2020" i="11"/>
  <c r="B374" i="11"/>
  <c r="B1316" i="11"/>
  <c r="B2826" i="11"/>
  <c r="B3892" i="11"/>
  <c r="B2255" i="11"/>
  <c r="B434" i="11"/>
  <c r="B1551" i="11"/>
  <c r="B443" i="11"/>
  <c r="B2278" i="11"/>
  <c r="B68" i="11"/>
  <c r="B1574" i="11"/>
  <c r="B260" i="11"/>
  <c r="B111" i="11"/>
  <c r="B2231" i="11"/>
  <c r="B591" i="11"/>
  <c r="B3470" i="11"/>
  <c r="B556" i="11"/>
  <c r="B3813" i="11"/>
  <c r="B661" i="11"/>
  <c r="B3439" i="11"/>
  <c r="B574" i="11"/>
  <c r="B1406" i="11"/>
  <c r="B941" i="11"/>
  <c r="B3027" i="11"/>
  <c r="B2471" i="11"/>
  <c r="B1289" i="11"/>
  <c r="B1767" i="11"/>
  <c r="B59" i="11"/>
  <c r="B577" i="11"/>
  <c r="B4400" i="11"/>
  <c r="B2627" i="11"/>
  <c r="B407" i="11"/>
  <c r="B1923" i="11"/>
  <c r="B456" i="11"/>
  <c r="B2227" i="11"/>
  <c r="B4027" i="11"/>
  <c r="B1707" i="11"/>
  <c r="B816" i="11"/>
  <c r="B2541" i="11"/>
  <c r="B1547" i="11"/>
  <c r="B566" i="11"/>
  <c r="B4566" i="11"/>
  <c r="B2698" i="11"/>
  <c r="B4623" i="11"/>
  <c r="B1994" i="11"/>
  <c r="B85" i="11"/>
  <c r="B3961" i="11"/>
  <c r="B2919" i="11"/>
  <c r="B3714" i="11"/>
  <c r="B2215" i="11"/>
  <c r="B4262" i="11"/>
  <c r="B1714" i="11"/>
  <c r="B2917" i="11"/>
  <c r="B4646" i="11"/>
  <c r="B947" i="11"/>
  <c r="B525" i="11"/>
  <c r="B3099" i="11"/>
  <c r="B3839" i="11"/>
  <c r="B4009" i="11"/>
  <c r="B3047" i="11"/>
  <c r="B4303" i="11"/>
  <c r="B4264" i="11"/>
  <c r="B3129" i="11"/>
  <c r="B1614" i="11"/>
  <c r="B1942" i="11"/>
  <c r="B1711" i="11"/>
  <c r="B2932" i="11"/>
  <c r="B4230" i="11"/>
  <c r="B428" i="11"/>
  <c r="B89" i="11"/>
  <c r="B3136" i="11"/>
  <c r="B447" i="11"/>
  <c r="B3914" i="11"/>
  <c r="B4846" i="11"/>
  <c r="B1328" i="11"/>
  <c r="B4941" i="11"/>
  <c r="B3008" i="11"/>
  <c r="B3530" i="11"/>
  <c r="B4167" i="11"/>
  <c r="B3378" i="11"/>
  <c r="B583" i="11"/>
  <c r="B1000" i="11"/>
  <c r="B1671" i="11"/>
  <c r="B4967" i="11"/>
  <c r="B249" i="11"/>
  <c r="B3387" i="11"/>
  <c r="B3731" i="11"/>
  <c r="B1951" i="11"/>
  <c r="B4137" i="11"/>
  <c r="B4329" i="11"/>
  <c r="B408" i="11"/>
  <c r="B3005" i="11"/>
  <c r="B3445" i="11"/>
  <c r="B716" i="11"/>
  <c r="B4920" i="11"/>
  <c r="B319" i="11"/>
  <c r="B3504" i="11"/>
  <c r="B3896" i="11"/>
  <c r="B213" i="11"/>
  <c r="B3078" i="11"/>
  <c r="B4516" i="11"/>
  <c r="B2966" i="11"/>
  <c r="B3397" i="11"/>
  <c r="B3320" i="11"/>
  <c r="B2918" i="11"/>
  <c r="B4945" i="11"/>
  <c r="B1579" i="11"/>
  <c r="B589" i="11"/>
  <c r="B3565" i="11"/>
  <c r="B2759" i="11"/>
  <c r="B1074" i="11"/>
  <c r="B864" i="11"/>
  <c r="B4362" i="11"/>
  <c r="B2581" i="11"/>
  <c r="B4988" i="11"/>
  <c r="B2531" i="11"/>
  <c r="B3492" i="11"/>
  <c r="B1526" i="11"/>
  <c r="B765" i="11"/>
  <c r="B1284" i="11"/>
  <c r="B449" i="11"/>
  <c r="B1280" i="11"/>
  <c r="B3342" i="11"/>
  <c r="B1552" i="11"/>
  <c r="B4139" i="11"/>
  <c r="B4093" i="11"/>
  <c r="B2513" i="11"/>
  <c r="B160" i="11"/>
  <c r="B1860" i="11"/>
  <c r="B1947" i="11"/>
  <c r="B32" i="11"/>
  <c r="B2884" i="11"/>
  <c r="B4927" i="11"/>
  <c r="B2477" i="11"/>
  <c r="B4912" i="11"/>
  <c r="B2011" i="11"/>
  <c r="B3850" i="11"/>
  <c r="B2338" i="11"/>
  <c r="B1573" i="11"/>
  <c r="B4588" i="11"/>
  <c r="B2838" i="11"/>
  <c r="B4826" i="11"/>
  <c r="B4727" i="11"/>
  <c r="B3710" i="11"/>
  <c r="B2296" i="11"/>
  <c r="B763" i="11"/>
  <c r="B2523" i="11"/>
  <c r="B1558" i="11"/>
  <c r="B3963" i="11"/>
  <c r="B243" i="11"/>
  <c r="B3062" i="11"/>
  <c r="B1100" i="11"/>
  <c r="B1543" i="11"/>
  <c r="B4138" i="11"/>
  <c r="B3104" i="11"/>
  <c r="B1891" i="11"/>
  <c r="B368" i="11"/>
  <c r="B3637" i="11"/>
  <c r="B1864" i="11"/>
  <c r="B1110" i="11"/>
  <c r="B1572" i="11"/>
  <c r="B4331" i="11"/>
  <c r="B3093" i="11"/>
  <c r="B2895" i="11"/>
  <c r="B3512" i="11"/>
  <c r="B4344" i="11"/>
  <c r="B2243" i="11"/>
  <c r="B664" i="11"/>
  <c r="B3940" i="11"/>
  <c r="B4907" i="11"/>
  <c r="B4294" i="11"/>
  <c r="B4677" i="11"/>
  <c r="B3845" i="11"/>
  <c r="B206" i="11"/>
  <c r="B4969" i="11"/>
  <c r="B3620" i="11"/>
  <c r="B3374" i="11"/>
  <c r="B2280" i="11"/>
  <c r="B4585" i="11"/>
  <c r="B3096" i="11"/>
  <c r="B1907" i="11"/>
  <c r="B2498" i="11"/>
  <c r="B3978" i="11"/>
  <c r="B1137" i="11"/>
  <c r="B2308" i="11"/>
  <c r="B492" i="11"/>
  <c r="B782" i="11"/>
  <c r="B3994" i="11"/>
  <c r="B2784" i="11"/>
  <c r="B3939" i="11"/>
  <c r="B3138" i="11"/>
  <c r="B1186" i="11"/>
  <c r="B674" i="11"/>
  <c r="B3135" i="11"/>
  <c r="B2210" i="11"/>
  <c r="B2469" i="11"/>
  <c r="B3467" i="11"/>
  <c r="B64" i="11"/>
  <c r="B1335" i="11"/>
  <c r="B2623" i="11"/>
  <c r="B3123" i="11"/>
  <c r="B1364" i="11"/>
  <c r="B3699" i="11"/>
  <c r="B1458" i="11"/>
  <c r="B788" i="11"/>
  <c r="B1166" i="11"/>
  <c r="B1568" i="11"/>
  <c r="B2405" i="11"/>
  <c r="B2183" i="11"/>
  <c r="B2058" i="11"/>
  <c r="B1173" i="11"/>
  <c r="B1147" i="11"/>
  <c r="B4429" i="11"/>
  <c r="B1818" i="11"/>
  <c r="B4407" i="11"/>
  <c r="B1653" i="11"/>
  <c r="B2837" i="11"/>
  <c r="B605" i="11"/>
  <c r="B355" i="11"/>
  <c r="B4157" i="11"/>
  <c r="B4448" i="11"/>
  <c r="B1157" i="11"/>
  <c r="B3747" i="11"/>
  <c r="B977" i="11"/>
  <c r="B2226" i="11"/>
  <c r="B4550" i="11"/>
  <c r="B3883" i="11"/>
  <c r="B4401" i="11"/>
  <c r="B3526" i="11"/>
  <c r="B4278" i="11"/>
  <c r="B1203" i="11"/>
  <c r="B3316" i="11"/>
  <c r="B3947" i="11"/>
  <c r="B4983" i="11"/>
  <c r="B81" i="11"/>
  <c r="B4805" i="11"/>
  <c r="B4544" i="11"/>
  <c r="B4256" i="11"/>
  <c r="B3803" i="11"/>
  <c r="B1843" i="11"/>
  <c r="B713" i="11"/>
  <c r="B1608" i="11"/>
  <c r="B3308" i="11"/>
  <c r="B534" i="11"/>
  <c r="B883" i="11"/>
  <c r="B4243" i="11"/>
  <c r="B1071" i="11"/>
  <c r="B3604" i="11"/>
  <c r="B4416" i="11"/>
  <c r="B4221" i="11"/>
  <c r="B1683" i="11"/>
  <c r="B4260" i="11"/>
  <c r="B812" i="11"/>
  <c r="B720" i="11"/>
  <c r="B523" i="11"/>
  <c r="B1582" i="11"/>
  <c r="B3456" i="11"/>
  <c r="B4073" i="11"/>
  <c r="B1685" i="11"/>
  <c r="B1533" i="11"/>
  <c r="B2497" i="11"/>
  <c r="B999" i="11"/>
  <c r="B1223" i="11"/>
  <c r="B4094" i="11"/>
  <c r="B3846" i="11"/>
  <c r="B2045" i="11"/>
  <c r="B4656" i="11"/>
  <c r="B663" i="11"/>
  <c r="B1616" i="11"/>
  <c r="B2687" i="11"/>
  <c r="B1056" i="11"/>
  <c r="B2602" i="11"/>
  <c r="B3653" i="11"/>
  <c r="B4475" i="11"/>
  <c r="B4780" i="11"/>
  <c r="B369" i="11"/>
  <c r="B2656" i="11"/>
  <c r="B164" i="11"/>
  <c r="B1750" i="11"/>
  <c r="B1810" i="11"/>
  <c r="B3359" i="11"/>
  <c r="B29" i="11"/>
  <c r="B2501" i="11"/>
  <c r="B2614" i="11"/>
  <c r="B1522" i="11"/>
  <c r="B4513" i="11"/>
  <c r="B4469" i="11"/>
  <c r="B1308" i="11"/>
  <c r="B581" i="11"/>
  <c r="B43" i="11"/>
  <c r="B1220" i="11"/>
  <c r="B4981" i="11"/>
  <c r="B2485" i="11"/>
  <c r="B2244" i="11"/>
  <c r="B3957" i="11"/>
  <c r="B1302" i="11"/>
  <c r="B4151" i="11"/>
  <c r="B2102" i="11"/>
  <c r="B3076" i="11"/>
  <c r="B2820" i="11"/>
  <c r="B2285" i="11"/>
  <c r="B671" i="11"/>
  <c r="B3291" i="11"/>
  <c r="B3042" i="11"/>
  <c r="B3092" i="11"/>
  <c r="B2386" i="11"/>
  <c r="B4726" i="11"/>
  <c r="B4705" i="11"/>
  <c r="B953" i="11"/>
  <c r="B508" i="11"/>
  <c r="B2141" i="11"/>
  <c r="B1602" i="11"/>
  <c r="B1437" i="11"/>
  <c r="B4053" i="11"/>
  <c r="B3756" i="11"/>
  <c r="B3185" i="11"/>
  <c r="B2827" i="11"/>
  <c r="B3288" i="11"/>
  <c r="B2123" i="11"/>
  <c r="B188" i="11"/>
  <c r="B2179" i="11"/>
  <c r="B79" i="11"/>
  <c r="B629" i="11"/>
  <c r="B167" i="11"/>
  <c r="B4996" i="11"/>
  <c r="B3388" i="11"/>
  <c r="B2700" i="11"/>
  <c r="B1045" i="11"/>
  <c r="B3241" i="11"/>
  <c r="B2548" i="11"/>
  <c r="B4369" i="11"/>
  <c r="B961" i="11"/>
  <c r="B2890" i="11"/>
  <c r="B463" i="11"/>
  <c r="B2680" i="11"/>
  <c r="B344" i="11"/>
  <c r="B1976" i="11"/>
  <c r="B2587" i="11"/>
  <c r="B4578" i="11"/>
  <c r="B1052" i="11"/>
  <c r="B2392" i="11"/>
  <c r="B2939" i="11"/>
  <c r="B2166" i="11"/>
  <c r="B1091" i="11"/>
  <c r="B23" i="11"/>
  <c r="B710" i="11"/>
  <c r="B1424" i="11"/>
  <c r="B3746" i="11"/>
  <c r="B722" i="11"/>
  <c r="B1097" i="11"/>
  <c r="B4036" i="11"/>
  <c r="B3205" i="11"/>
  <c r="B1060" i="11"/>
  <c r="B494" i="11"/>
  <c r="B2947" i="11"/>
  <c r="B327" i="11"/>
  <c r="B732" i="11"/>
  <c r="B988" i="11"/>
  <c r="B2328" i="11"/>
  <c r="B2875" i="11"/>
  <c r="B708" i="11"/>
  <c r="B4977" i="11"/>
  <c r="B2015" i="11"/>
  <c r="B2988" i="11"/>
  <c r="B1311" i="11"/>
  <c r="B3932" i="11"/>
  <c r="B2671" i="11"/>
  <c r="B3816" i="11"/>
  <c r="B526" i="11"/>
  <c r="B1391" i="11"/>
  <c r="B698" i="11"/>
  <c r="B791" i="11"/>
  <c r="B4396" i="11"/>
  <c r="B3981" i="11"/>
  <c r="B684" i="11"/>
  <c r="B4046" i="11"/>
  <c r="B4570" i="11"/>
  <c r="B2157" i="11"/>
  <c r="B1178" i="11"/>
  <c r="B1436" i="11"/>
  <c r="B2776" i="11"/>
  <c r="B195" i="11"/>
  <c r="B1748" i="11"/>
  <c r="B2486" i="11"/>
  <c r="B291" i="11"/>
  <c r="B1782" i="11"/>
  <c r="B572" i="11"/>
  <c r="B2053" i="11"/>
  <c r="B3511" i="11"/>
  <c r="B683" i="11"/>
  <c r="B231" i="11"/>
  <c r="B2810" i="11"/>
  <c r="B415" i="11"/>
  <c r="B1519" i="11"/>
  <c r="B611" i="11"/>
  <c r="B809" i="11"/>
  <c r="B50" i="11"/>
  <c r="B4671" i="11"/>
  <c r="B2617" i="11"/>
  <c r="B2701" i="11"/>
  <c r="B1961" i="11"/>
  <c r="B1997" i="11"/>
  <c r="B3686" i="11"/>
  <c r="B1507" i="11"/>
  <c r="B4086" i="11"/>
  <c r="B2815" i="11"/>
  <c r="B2077" i="11"/>
  <c r="B1858" i="11"/>
  <c r="B1491" i="11"/>
  <c r="B3150" i="11"/>
  <c r="B3719" i="11"/>
  <c r="B2642" i="11"/>
  <c r="B3776" i="11"/>
  <c r="B1938" i="11"/>
  <c r="B3996" i="11"/>
  <c r="B1967" i="11"/>
  <c r="B621" i="11"/>
  <c r="B1263" i="11"/>
  <c r="B3074" i="11"/>
  <c r="B4725" i="11"/>
  <c r="B3635" i="11"/>
  <c r="B2748" i="11"/>
  <c r="B4763" i="11"/>
  <c r="B645" i="11"/>
  <c r="B4934" i="11"/>
  <c r="B4933" i="11"/>
  <c r="B4184" i="11"/>
  <c r="B1227" i="11"/>
  <c r="B4888" i="11"/>
  <c r="B1438" i="11"/>
  <c r="B4122" i="11"/>
  <c r="B367" i="11"/>
  <c r="B2298" i="11"/>
  <c r="B472" i="11"/>
  <c r="B1013" i="11"/>
  <c r="B395" i="11"/>
  <c r="B4771" i="11"/>
  <c r="B1652" i="11"/>
  <c r="B3508" i="11"/>
  <c r="B1408" i="11"/>
  <c r="B4734" i="11"/>
  <c r="B1018" i="11"/>
  <c r="B266" i="11"/>
  <c r="B1080" i="11"/>
  <c r="B393" i="11"/>
  <c r="B3591" i="11"/>
  <c r="B796" i="11"/>
  <c r="B1496" i="11"/>
  <c r="B2043" i="11"/>
  <c r="B794" i="11"/>
  <c r="B1339" i="11"/>
  <c r="B202" i="11"/>
  <c r="B619" i="11"/>
  <c r="B247" i="11"/>
  <c r="B2746" i="11"/>
  <c r="B3923" i="11"/>
  <c r="B2341" i="11"/>
  <c r="B4731" i="11"/>
  <c r="B4045" i="11"/>
  <c r="B1243" i="11"/>
  <c r="B4749" i="11"/>
  <c r="B1930" i="11"/>
  <c r="B2209" i="11"/>
  <c r="B3955" i="11"/>
  <c r="B1161" i="11"/>
  <c r="B3159" i="11"/>
  <c r="B4114" i="11"/>
  <c r="B1756" i="11"/>
  <c r="B1208" i="11"/>
  <c r="B377" i="11"/>
  <c r="B3087" i="11"/>
  <c r="B465" i="11"/>
  <c r="B2902" i="11"/>
  <c r="B1983" i="11"/>
  <c r="B4757" i="11"/>
  <c r="B614" i="11"/>
  <c r="B3286" i="11"/>
  <c r="B2470" i="11"/>
  <c r="B4980" i="11"/>
  <c r="B1807" i="11"/>
  <c r="B2422" i="11"/>
  <c r="B299" i="11"/>
  <c r="B1718" i="11"/>
  <c r="B1849" i="11"/>
  <c r="B1138" i="11"/>
  <c r="B3843" i="11"/>
  <c r="B2289" i="11"/>
  <c r="B3001" i="11"/>
  <c r="B3727" i="11"/>
  <c r="B1936" i="11"/>
  <c r="B4601" i="11"/>
  <c r="B3279" i="11"/>
  <c r="B4535" i="11"/>
  <c r="B616" i="11"/>
  <c r="B87" i="11"/>
  <c r="B565" i="11"/>
  <c r="B175" i="11"/>
  <c r="B2196" i="11"/>
  <c r="B1197" i="11"/>
  <c r="B2129" i="11"/>
  <c r="B2676" i="11"/>
  <c r="B4307" i="11"/>
  <c r="B2432" i="11"/>
  <c r="B1006" i="11"/>
  <c r="B4645" i="11"/>
  <c r="B2509" i="11"/>
  <c r="B3072" i="11"/>
  <c r="B995" i="11"/>
  <c r="B4598" i="11"/>
  <c r="B1294" i="11"/>
  <c r="B2589" i="11"/>
  <c r="B1768" i="11"/>
  <c r="B2003" i="11"/>
  <c r="B2977" i="11"/>
  <c r="B1968" i="11"/>
  <c r="B3807" i="11"/>
  <c r="B1196" i="11"/>
  <c r="B4511" i="11"/>
  <c r="B1423" i="11"/>
  <c r="B4921" i="11"/>
  <c r="B278" i="11"/>
  <c r="B1190" i="11"/>
  <c r="B364" i="11"/>
  <c r="B2693" i="11"/>
  <c r="B4124" i="11"/>
  <c r="B1454" i="11"/>
  <c r="B4197" i="11"/>
  <c r="B744" i="11"/>
  <c r="B240" i="11"/>
  <c r="B3082" i="11"/>
  <c r="B2242" i="11"/>
  <c r="B1105" i="11"/>
  <c r="B1204" i="11"/>
  <c r="B3980" i="11"/>
  <c r="B3091" i="11"/>
  <c r="B3144" i="11"/>
  <c r="B4663" i="11"/>
  <c r="B2261" i="11"/>
  <c r="B384" i="11"/>
  <c r="B2703" i="11"/>
  <c r="B15" i="11"/>
  <c r="B1999" i="11"/>
  <c r="B2303" i="11"/>
  <c r="B2812" i="11"/>
  <c r="B4675" i="11"/>
  <c r="B2108" i="11"/>
  <c r="B3414" i="11"/>
  <c r="B4455" i="11"/>
  <c r="B4255" i="11"/>
  <c r="B1803" i="11"/>
  <c r="B4312" i="11"/>
  <c r="B1099" i="11"/>
  <c r="B412" i="11"/>
  <c r="B2545" i="11"/>
  <c r="B3270" i="11"/>
  <c r="B1883" i="11"/>
  <c r="B4109" i="11"/>
  <c r="B1179" i="11"/>
  <c r="B4813" i="11"/>
  <c r="B3483" i="11"/>
  <c r="B3757" i="11"/>
  <c r="B4554" i="11"/>
  <c r="B1831" i="11"/>
  <c r="B51" i="11"/>
  <c r="B2540" i="11"/>
  <c r="B3066" i="11"/>
  <c r="B1053" i="11"/>
  <c r="B3987" i="11"/>
  <c r="B504" i="11"/>
  <c r="B3992" i="11"/>
  <c r="B1537" i="11"/>
  <c r="B2542" i="11"/>
  <c r="B2925" i="11"/>
  <c r="B1838" i="11"/>
  <c r="B172" i="11"/>
  <c r="B818" i="11"/>
  <c r="B4679" i="11"/>
  <c r="B3471" i="11"/>
  <c r="B3146" i="11"/>
  <c r="B4175" i="11"/>
  <c r="B1605" i="11"/>
  <c r="B509" i="11"/>
  <c r="B4113" i="11"/>
  <c r="B3482" i="11"/>
  <c r="B4817" i="11"/>
  <c r="B2182" i="11"/>
  <c r="B1576" i="11"/>
  <c r="B3918" i="11"/>
  <c r="B538" i="11"/>
  <c r="B4622" i="11"/>
  <c r="B2184" i="11"/>
  <c r="B3636" i="11"/>
  <c r="B3204" i="11"/>
  <c r="B94" i="11"/>
  <c r="B1623" i="11"/>
  <c r="B182" i="11"/>
  <c r="B2811" i="11"/>
  <c r="B3019" i="11"/>
  <c r="B5" i="11"/>
  <c r="B693" i="11"/>
  <c r="B159" i="11"/>
  <c r="B642" i="11"/>
  <c r="B3608" i="11"/>
  <c r="B511" i="11"/>
  <c r="B3665" i="11"/>
  <c r="B691" i="11"/>
  <c r="B8" i="11"/>
  <c r="B2731" i="11"/>
  <c r="B84" i="11"/>
  <c r="B3103" i="11"/>
  <c r="B888" i="11"/>
  <c r="B1513" i="11"/>
  <c r="B3982" i="11"/>
  <c r="B3964" i="11"/>
  <c r="B964" i="11"/>
  <c r="B1950" i="11"/>
  <c r="B1812" i="11"/>
  <c r="B1649" i="11"/>
  <c r="B3663" i="11"/>
  <c r="B1122" i="11"/>
  <c r="B2292" i="11"/>
  <c r="B4874" i="11"/>
  <c r="B312" i="11"/>
  <c r="B40" i="11"/>
  <c r="B2778" i="11"/>
  <c r="B3893" i="11"/>
  <c r="B2185" i="11"/>
  <c r="B535" i="11"/>
  <c r="B1057" i="11"/>
  <c r="B4548" i="11"/>
  <c r="B3305" i="11"/>
  <c r="B1980" i="11"/>
  <c r="B4730" i="11"/>
  <c r="B1701" i="11"/>
  <c r="B2533" i="11"/>
  <c r="B4140" i="11"/>
  <c r="B667" i="11"/>
  <c r="B3385" i="11"/>
  <c r="B1033" i="11"/>
  <c r="B2607" i="11"/>
  <c r="B1746" i="11"/>
  <c r="B627" i="11"/>
  <c r="B579" i="11"/>
  <c r="B3164" i="11"/>
  <c r="B3302" i="11"/>
  <c r="B3203" i="11"/>
  <c r="B2670" i="11"/>
  <c r="B2675" i="11"/>
  <c r="B2095" i="11"/>
  <c r="B1587" i="11"/>
  <c r="B4571" i="11"/>
  <c r="B599" i="11"/>
  <c r="B2087" i="11"/>
  <c r="B3162" i="11"/>
  <c r="B1379" i="11"/>
  <c r="B4657" i="11"/>
  <c r="B4367" i="11"/>
  <c r="B4306" i="11"/>
  <c r="B2535" i="11"/>
  <c r="B1026" i="11"/>
  <c r="B3127" i="11"/>
  <c r="B2275" i="11"/>
  <c r="B4342" i="11"/>
  <c r="B949" i="11"/>
  <c r="B4433" i="11"/>
  <c r="B4457" i="11"/>
  <c r="B3440" i="11"/>
  <c r="B598" i="11"/>
  <c r="B1370" i="11"/>
  <c r="B1343" i="11"/>
  <c r="B4913" i="11"/>
  <c r="B4059" i="11"/>
  <c r="B1604" i="11"/>
  <c r="B3089" i="11"/>
  <c r="B2511" i="11"/>
  <c r="B4855" i="11"/>
  <c r="B4747" i="11"/>
  <c r="B4742" i="11"/>
  <c r="B1143" i="11"/>
  <c r="B4285" i="11"/>
  <c r="B2277" i="11"/>
  <c r="B529" i="11"/>
  <c r="B3071" i="11"/>
  <c r="B2994" i="11"/>
  <c r="B1717" i="11"/>
  <c r="B1868" i="11"/>
  <c r="B3563" i="11"/>
  <c r="B2175" i="11"/>
  <c r="B1670" i="11"/>
  <c r="B1770" i="11"/>
  <c r="B1781" i="11"/>
  <c r="B541" i="11"/>
  <c r="B4486" i="11"/>
  <c r="B4459" i="11"/>
  <c r="B2665" i="11"/>
  <c r="B3738" i="11"/>
  <c r="B1637" i="11"/>
  <c r="B4576" i="11"/>
  <c r="B3559" i="11"/>
  <c r="B1898" i="11"/>
  <c r="B2229" i="11"/>
  <c r="B2659" i="11"/>
  <c r="B3443" i="11"/>
  <c r="B588" i="11"/>
  <c r="B1004" i="11"/>
  <c r="B2713" i="11"/>
  <c r="B1629" i="11"/>
  <c r="B3707" i="11"/>
  <c r="B757" i="11"/>
  <c r="B3679" i="11"/>
  <c r="B2692" i="11"/>
  <c r="B4102" i="11"/>
  <c r="B1960" i="11"/>
  <c r="B1550" i="11"/>
  <c r="B430" i="11"/>
  <c r="B1332" i="11"/>
  <c r="B2073" i="11"/>
  <c r="B1079" i="11"/>
  <c r="B1014" i="11"/>
  <c r="B3603" i="11"/>
  <c r="B2103" i="11"/>
  <c r="B2721" i="11"/>
  <c r="B4117" i="11"/>
  <c r="B3518" i="11"/>
  <c r="B3126" i="11"/>
  <c r="B3946" i="11"/>
  <c r="B4577" i="11"/>
  <c r="B1827" i="11"/>
  <c r="B3468" i="11"/>
  <c r="B4293" i="11"/>
  <c r="B4814" i="11"/>
  <c r="B1121" i="11"/>
  <c r="B1017" i="11"/>
  <c r="B4049" i="11"/>
  <c r="B522" i="11"/>
  <c r="B4753" i="11"/>
  <c r="B1597" i="11"/>
  <c r="B543" i="11"/>
  <c r="B2888" i="11"/>
  <c r="B1133" i="11"/>
  <c r="B1252" i="11"/>
  <c r="B4827" i="11"/>
  <c r="B1231" i="11"/>
  <c r="B483" i="11"/>
  <c r="B3102" i="11"/>
  <c r="B1516" i="11"/>
  <c r="B3817" i="11"/>
  <c r="B2691" i="11"/>
  <c r="B498" i="11"/>
  <c r="B695" i="11"/>
  <c r="B103" i="11"/>
  <c r="B4484" i="11"/>
  <c r="B1083" i="11"/>
  <c r="B2415" i="11"/>
  <c r="B623" i="11"/>
  <c r="B1390" i="11"/>
  <c r="B4506" i="11"/>
  <c r="B2769" i="11"/>
  <c r="B980" i="11"/>
  <c r="B2117" i="11"/>
  <c r="B1136" i="11"/>
  <c r="B3212" i="11"/>
  <c r="B2216" i="11"/>
  <c r="B1200" i="11"/>
  <c r="B3101" i="11"/>
  <c r="B1742" i="11"/>
  <c r="B1877" i="11"/>
  <c r="B1762" i="11"/>
  <c r="B1215" i="11"/>
  <c r="B4858" i="11"/>
  <c r="B2492" i="11"/>
  <c r="B3958" i="11"/>
  <c r="B1041" i="11"/>
  <c r="B4323" i="11"/>
  <c r="B4081" i="11"/>
  <c r="B3367" i="11"/>
  <c r="B2441" i="11"/>
  <c r="B3242" i="11"/>
  <c r="B3346" i="11"/>
  <c r="B2724" i="11"/>
  <c r="B1088" i="11"/>
  <c r="B4712" i="11"/>
  <c r="B753" i="11"/>
  <c r="B1483" i="11"/>
  <c r="B3419" i="11"/>
  <c r="B1875" i="11"/>
  <c r="B3318" i="11"/>
  <c r="B990" i="11"/>
  <c r="B1389" i="11"/>
  <c r="B828" i="11"/>
  <c r="B3435" i="11"/>
  <c r="B4557" i="11"/>
  <c r="B3689" i="11"/>
  <c r="B3455" i="11"/>
  <c r="B2507" i="11"/>
  <c r="B4733" i="11"/>
  <c r="B4614" i="11"/>
  <c r="B1805" i="11"/>
  <c r="B2132" i="11"/>
  <c r="B1709" i="11"/>
  <c r="B3825" i="11"/>
  <c r="B3828" i="11"/>
  <c r="B4667" i="11"/>
  <c r="B3193" i="11"/>
  <c r="B1870" i="11"/>
  <c r="B2553" i="11"/>
  <c r="B916" i="11"/>
  <c r="B3571" i="11"/>
  <c r="B3108" i="11"/>
  <c r="B2945" i="11"/>
  <c r="B846" i="11"/>
  <c r="B2745" i="11"/>
  <c r="B2657" i="11"/>
  <c r="B943" i="11"/>
  <c r="B3094" i="11"/>
  <c r="B2738" i="11"/>
  <c r="B2232" i="11"/>
  <c r="B3945" i="11"/>
  <c r="B1698" i="11"/>
  <c r="B1270" i="11"/>
  <c r="B1229" i="11"/>
  <c r="B2681" i="11"/>
  <c r="B1901" i="11"/>
  <c r="B3564" i="11"/>
  <c r="B3383" i="11"/>
  <c r="B1939" i="11"/>
  <c r="B80" i="11"/>
  <c r="B4542" i="11"/>
  <c r="B1237" i="11"/>
  <c r="B3338" i="11"/>
  <c r="B2089" i="11"/>
  <c r="B4668" i="11"/>
  <c r="B940" i="11"/>
  <c r="B4478" i="11"/>
  <c r="B1020" i="11"/>
  <c r="B1245" i="11"/>
  <c r="B4970" i="11"/>
  <c r="B2213" i="11"/>
  <c r="B4776" i="11"/>
  <c r="B4741" i="11"/>
  <c r="B2632" i="11"/>
  <c r="B514" i="11"/>
  <c r="B607" i="11"/>
  <c r="B4843" i="11"/>
  <c r="B151" i="11"/>
  <c r="B3553" i="11"/>
  <c r="B1544" i="11"/>
  <c r="B3227" i="11"/>
  <c r="B3768" i="11"/>
  <c r="B3967" i="11"/>
  <c r="B3925" i="11"/>
  <c r="B2452" i="11"/>
  <c r="B2775" i="11"/>
  <c r="B2082" i="11"/>
  <c r="B4135" i="11"/>
  <c r="B885" i="11"/>
  <c r="B2425" i="11"/>
  <c r="B4451" i="11"/>
  <c r="B1075" i="11"/>
  <c r="B2886" i="11"/>
  <c r="B3010" i="11"/>
  <c r="B2099" i="11"/>
  <c r="B4282" i="11"/>
  <c r="B739" i="11"/>
  <c r="B3730" i="11"/>
  <c r="B2950" i="11"/>
  <c r="B748" i="11"/>
  <c r="B1264" i="11"/>
  <c r="B2995" i="11"/>
  <c r="B4443" i="11"/>
  <c r="B3704" i="11"/>
  <c r="B2000" i="11"/>
  <c r="B4385" i="11"/>
  <c r="B3368" i="11"/>
  <c r="B138" i="11"/>
  <c r="B4643" i="11"/>
  <c r="B3872" i="11"/>
  <c r="B139" i="11"/>
  <c r="B1176" i="11"/>
  <c r="B615" i="11"/>
  <c r="B1394" i="11"/>
  <c r="B1644" i="11"/>
  <c r="B2921" i="11"/>
  <c r="B109" i="11"/>
  <c r="B2673" i="11"/>
  <c r="B2853" i="11"/>
  <c r="B4159" i="11"/>
  <c r="B600" i="11"/>
  <c r="B4541" i="11"/>
  <c r="B1191" i="11"/>
  <c r="B2354" i="11"/>
  <c r="B3782" i="11"/>
  <c r="B337" i="11"/>
  <c r="B1489" i="11"/>
  <c r="B2413" i="11"/>
  <c r="B209" i="11"/>
  <c r="B4000" i="11"/>
  <c r="B1779" i="11"/>
  <c r="B860" i="11"/>
  <c r="B3499" i="11"/>
  <c r="B4879" i="11"/>
  <c r="B3826" i="11"/>
  <c r="B2729" i="11"/>
  <c r="B3167" i="11"/>
  <c r="B1420" i="11"/>
  <c r="B1556" i="11"/>
  <c r="B2549" i="11"/>
  <c r="B173" i="11"/>
  <c r="B1957" i="11"/>
  <c r="B3407" i="11"/>
  <c r="B1674" i="11"/>
  <c r="B3464" i="11"/>
  <c r="B970" i="11"/>
  <c r="B349" i="11"/>
  <c r="B4995" i="11"/>
  <c r="B2686" i="11"/>
  <c r="B1242" i="11"/>
  <c r="B1500" i="11"/>
  <c r="B2840" i="11"/>
  <c r="B798" i="11"/>
  <c r="B4366" i="11"/>
  <c r="B3723" i="11"/>
  <c r="B4423" i="11"/>
  <c r="B2257" i="11"/>
  <c r="B4219" i="11"/>
  <c r="B3771" i="11"/>
  <c r="B150" i="11"/>
  <c r="B2214" i="11"/>
  <c r="B76" i="11"/>
  <c r="B1510" i="11"/>
  <c r="B2282" i="11"/>
  <c r="B3547" i="11"/>
  <c r="B2960" i="11"/>
  <c r="B3577" i="11"/>
  <c r="B2256" i="11"/>
  <c r="B4281" i="11"/>
  <c r="B2037" i="11"/>
  <c r="B418" i="11"/>
  <c r="B3852" i="11"/>
  <c r="B3219" i="11"/>
  <c r="B4556" i="11"/>
  <c r="B2967" i="11"/>
  <c r="B3265" i="11"/>
  <c r="B4171" i="11"/>
  <c r="B3461" i="11"/>
  <c r="B1355" i="11"/>
  <c r="B4760" i="11"/>
  <c r="B688" i="11"/>
  <c r="B3281" i="11"/>
  <c r="B1158" i="11"/>
  <c r="B1617" i="11"/>
  <c r="B1257" i="11"/>
  <c r="B686" i="11"/>
  <c r="B3598" i="11"/>
  <c r="B906" i="11"/>
  <c r="B1268" i="11"/>
  <c r="B3916" i="11"/>
  <c r="B3155" i="11"/>
  <c r="B4620" i="11"/>
  <c r="B1032" i="11"/>
  <c r="B4916" i="11"/>
  <c r="B553" i="11"/>
  <c r="B441" i="11"/>
  <c r="B2575" i="11"/>
  <c r="B258" i="11"/>
  <c r="B833" i="11"/>
  <c r="B3343" i="11"/>
  <c r="B2857" i="11"/>
  <c r="B548" i="11"/>
  <c r="B3798" i="11"/>
  <c r="B1958" i="11"/>
  <c r="B803" i="11"/>
  <c r="B3596" i="11"/>
  <c r="B1966" i="11"/>
  <c r="B3685" i="11"/>
  <c r="B1262" i="11"/>
  <c r="B442" i="11"/>
  <c r="B1642" i="11"/>
  <c r="B1716" i="11"/>
  <c r="B3428" i="11"/>
  <c r="B1012" i="11"/>
  <c r="B3578" i="11"/>
  <c r="B186" i="11"/>
  <c r="B2858" i="11"/>
  <c r="B617" i="11"/>
  <c r="B2825" i="11"/>
  <c r="B2583" i="11"/>
  <c r="B62" i="11"/>
  <c r="B2679" i="11"/>
  <c r="B3360" i="11"/>
  <c r="B4807" i="11"/>
  <c r="B3090" i="11"/>
  <c r="B3328" i="11"/>
  <c r="B1695" i="11"/>
  <c r="B676" i="11"/>
  <c r="B3670" i="11"/>
  <c r="B2889" i="11"/>
  <c r="B4374" i="11"/>
  <c r="B2038" i="11"/>
  <c r="B2152" i="11"/>
  <c r="B1758" i="11"/>
  <c r="B476" i="11"/>
  <c r="B1054" i="11"/>
  <c r="B341" i="11"/>
  <c r="B2352" i="11"/>
  <c r="B1848" i="11"/>
  <c r="B625" i="11"/>
  <c r="B1610" i="11"/>
  <c r="B3528" i="11"/>
  <c r="B2276" i="11"/>
  <c r="B3160" i="11"/>
  <c r="B3366" i="11"/>
  <c r="B2284" i="11"/>
  <c r="B3423" i="11"/>
  <c r="B1580" i="11"/>
  <c r="B290" i="11"/>
  <c r="B3037" i="11"/>
  <c r="B678" i="11"/>
  <c r="B3168" i="11"/>
  <c r="B635" i="11"/>
  <c r="B36" i="11"/>
  <c r="B1285" i="11"/>
  <c r="B1586" i="11"/>
  <c r="B1303" i="11"/>
  <c r="B1804" i="11"/>
  <c r="B2376" i="11"/>
  <c r="B3022" i="11"/>
  <c r="B742" i="11"/>
  <c r="B128" i="11"/>
  <c r="B2140" i="11"/>
  <c r="B1944" i="11"/>
  <c r="B2491" i="11"/>
  <c r="B1240" i="11"/>
  <c r="B638" i="11"/>
  <c r="B2996" i="11"/>
  <c r="B2578" i="11"/>
  <c r="B3840" i="11"/>
  <c r="B1183" i="11"/>
  <c r="B1230" i="11"/>
  <c r="B1553" i="11"/>
  <c r="B324" i="11"/>
  <c r="B2821" i="11"/>
  <c r="B18" i="11"/>
  <c r="B570" i="11"/>
  <c r="B4583" i="11"/>
  <c r="B1601" i="11"/>
  <c r="B1360" i="11"/>
  <c r="B4258" i="11"/>
  <c r="B3239" i="11"/>
  <c r="B3200" i="11"/>
  <c r="B1927" i="11"/>
  <c r="B2323" i="11"/>
  <c r="B3285" i="11"/>
  <c r="B1619" i="11"/>
  <c r="B3989" i="11"/>
  <c r="B3273" i="11"/>
  <c r="B4871" i="11"/>
  <c r="B3026" i="11"/>
  <c r="B3392" i="11"/>
  <c r="B1163" i="11"/>
  <c r="B2521" i="11"/>
  <c r="B1488" i="11"/>
  <c r="B3668" i="11"/>
  <c r="B857" i="11"/>
  <c r="B4380" i="11"/>
  <c r="B578" i="11"/>
  <c r="B3745" i="11"/>
  <c r="B672" i="11"/>
  <c r="B3006" i="11"/>
  <c r="B98" i="11"/>
  <c r="B2302" i="11"/>
  <c r="B2329" i="11"/>
  <c r="B3192" i="11"/>
  <c r="B786" i="11"/>
  <c r="B4530" i="11"/>
  <c r="B1869" i="11"/>
  <c r="B4818" i="11"/>
  <c r="B965" i="11"/>
  <c r="B422" i="11"/>
  <c r="B932" i="11"/>
  <c r="B12" i="11"/>
  <c r="B2370" i="11"/>
  <c r="B4845" i="11"/>
  <c r="B4497" i="11"/>
  <c r="B3223" i="11"/>
  <c r="B3602" i="11"/>
  <c r="B2519" i="11"/>
  <c r="B1886" i="11"/>
  <c r="B3376" i="11"/>
  <c r="B1603" i="11"/>
  <c r="B274" i="11"/>
  <c r="B899" i="11"/>
  <c r="B47" i="11"/>
  <c r="B1867" i="11"/>
  <c r="B4248" i="11"/>
  <c r="B4384" i="11"/>
  <c r="B3783" i="11"/>
  <c r="B3659" i="11"/>
  <c r="B4487" i="11"/>
  <c r="B2719" i="11"/>
  <c r="B1066" i="11"/>
  <c r="B4590" i="11"/>
  <c r="B60" i="11"/>
  <c r="B1638" i="11"/>
  <c r="B236" i="11"/>
  <c r="B718" i="11"/>
  <c r="B2270" i="11"/>
  <c r="B356" i="11"/>
  <c r="B1566" i="11"/>
  <c r="B149" i="11"/>
  <c r="B1840" i="11"/>
  <c r="B867" i="11"/>
  <c r="B4495" i="11"/>
  <c r="B2122" i="11"/>
  <c r="B2233" i="11"/>
  <c r="B2788" i="11"/>
  <c r="B2560" i="11"/>
  <c r="B2493" i="11"/>
  <c r="B2202" i="11"/>
  <c r="B2460" i="11"/>
  <c r="B1498" i="11"/>
  <c r="B67" i="11"/>
  <c r="B1893" i="11"/>
  <c r="B2876" i="11"/>
  <c r="B4595" i="11"/>
  <c r="B2172" i="11"/>
  <c r="B3348" i="11"/>
  <c r="B354" i="11"/>
  <c r="B2718" i="11"/>
  <c r="B252" i="11"/>
  <c r="B2014" i="11"/>
  <c r="B317" i="11"/>
  <c r="B3278" i="11"/>
  <c r="B52" i="11"/>
  <c r="B2373" i="11"/>
  <c r="B309" i="11"/>
  <c r="B1669" i="11"/>
  <c r="B4512" i="11"/>
  <c r="B1267" i="11"/>
  <c r="B2983" i="11"/>
  <c r="B3128" i="11"/>
  <c r="B2279" i="11"/>
  <c r="B4434" i="11"/>
  <c r="B4943" i="11"/>
  <c r="B2440" i="11"/>
  <c r="B2510" i="11"/>
  <c r="B1736" i="11"/>
  <c r="B223" i="11"/>
  <c r="B3347" i="11"/>
  <c r="B2735" i="11"/>
  <c r="B2520" i="11"/>
  <c r="B3067" i="11"/>
  <c r="B1816" i="11"/>
  <c r="B2363" i="11"/>
  <c r="B790" i="11"/>
  <c r="B4465" i="11"/>
  <c r="B1503" i="11"/>
  <c r="B3740" i="11"/>
  <c r="B793" i="11"/>
  <c r="B4444" i="11"/>
  <c r="B1193" i="11"/>
  <c r="B4713" i="11"/>
  <c r="B1700" i="11"/>
  <c r="B3142" i="11"/>
  <c r="B4065" i="11"/>
  <c r="B1985" i="11"/>
  <c r="B4418" i="11"/>
  <c r="B694" i="11"/>
  <c r="B3919" i="11"/>
  <c r="B4395" i="11"/>
  <c r="B2512" i="11"/>
  <c r="B192" i="11"/>
  <c r="B2786" i="11"/>
  <c r="B1089" i="11"/>
  <c r="B288" i="11"/>
  <c r="B944" i="11"/>
  <c r="B733" i="11"/>
  <c r="B1745" i="11"/>
  <c r="B669" i="11"/>
  <c r="B2592" i="11"/>
  <c r="B515" i="11"/>
  <c r="B88" i="11"/>
  <c r="B1314" i="11"/>
  <c r="B1322" i="11"/>
  <c r="B1211" i="11"/>
  <c r="B3764" i="11"/>
  <c r="B923" i="11"/>
  <c r="B3496" i="11"/>
  <c r="B4847" i="11"/>
  <c r="B1125" i="11"/>
  <c r="B2987" i="11"/>
  <c r="B4067" i="11"/>
  <c r="B1731" i="11"/>
  <c r="B2816" i="11"/>
  <c r="B2992" i="11"/>
  <c r="B1578" i="11"/>
  <c r="B852" i="11"/>
  <c r="B34" i="11"/>
  <c r="B4204" i="11"/>
  <c r="B2158" i="11"/>
  <c r="B2773" i="11"/>
  <c r="B2800" i="11"/>
  <c r="B4938" i="11"/>
  <c r="B2913" i="11"/>
  <c r="B1164" i="11"/>
  <c r="B3831" i="11"/>
  <c r="B1106" i="11"/>
  <c r="B3375" i="11"/>
  <c r="B655" i="11"/>
  <c r="B3188" i="11"/>
  <c r="B677" i="11"/>
  <c r="B982" i="11"/>
  <c r="B4391" i="11"/>
  <c r="B1011" i="11"/>
  <c r="B1202" i="11"/>
  <c r="B1086" i="11"/>
  <c r="B3189" i="11"/>
  <c r="B2848" i="11"/>
  <c r="B4327" i="11"/>
  <c r="B2421" i="11"/>
  <c r="B1046" i="11"/>
  <c r="B3949" i="11"/>
  <c r="B1497" i="11"/>
  <c r="B2044" i="11"/>
  <c r="B4458" i="11"/>
  <c r="B1361" i="11"/>
  <c r="B1719" i="11"/>
  <c r="B2871" i="11"/>
  <c r="B4466" i="11"/>
  <c r="B706" i="11"/>
  <c r="B2458" i="11"/>
  <c r="B4181" i="11"/>
  <c r="B834" i="11"/>
  <c r="B804" i="11"/>
  <c r="B613" i="11"/>
  <c r="B239" i="11"/>
  <c r="B1431" i="11"/>
  <c r="B2585" i="11"/>
  <c r="B38" i="11"/>
  <c r="B104" i="11"/>
  <c r="B4661" i="11"/>
  <c r="B2669" i="11"/>
  <c r="B3248" i="11"/>
  <c r="B3322" i="11"/>
  <c r="B4098" i="11"/>
  <c r="B4796" i="11"/>
  <c r="B4849" i="11"/>
  <c r="B1585" i="11"/>
  <c r="B3772" i="11"/>
  <c r="B4524" i="11"/>
  <c r="B2708" i="11"/>
  <c r="B1899" i="11"/>
  <c r="B4785" i="11"/>
  <c r="B4205" i="11"/>
  <c r="B389" i="11"/>
  <c r="B4835" i="11"/>
  <c r="B1594" i="11"/>
  <c r="B4526" i="11"/>
  <c r="B3059" i="11"/>
  <c r="B2993" i="11"/>
  <c r="B1092" i="11"/>
  <c r="B4123" i="11"/>
  <c r="B3654" i="11"/>
  <c r="B4295" i="11"/>
  <c r="B2070" i="11"/>
  <c r="B967" i="11"/>
  <c r="B2953" i="11"/>
  <c r="B2530" i="11"/>
  <c r="B4063" i="11"/>
  <c r="B1113" i="11"/>
  <c r="B2468" i="11"/>
  <c r="B863" i="11"/>
  <c r="B3951" i="11"/>
  <c r="B4060" i="11"/>
  <c r="B3111" i="11"/>
  <c r="B4984" i="11"/>
  <c r="B2459" i="11"/>
  <c r="B2909" i="11"/>
  <c r="B4343" i="11"/>
  <c r="B4875" i="11"/>
  <c r="B563" i="11"/>
  <c r="B3319" i="11"/>
  <c r="B987" i="11"/>
  <c r="B2736" i="11"/>
  <c r="B1514" i="11"/>
  <c r="B4092" i="11"/>
  <c r="B573" i="11"/>
  <c r="B4926" i="11"/>
  <c r="B1924" i="11"/>
  <c r="B892" i="11"/>
  <c r="B4218" i="11"/>
  <c r="B2850" i="11"/>
  <c r="B4066" i="11"/>
  <c r="B913" i="11"/>
  <c r="B329" i="11"/>
  <c r="B1318" i="11"/>
  <c r="B2317" i="11"/>
  <c r="B458" i="11"/>
  <c r="B2938" i="11"/>
  <c r="B383" i="11"/>
  <c r="B2234" i="11"/>
  <c r="B993" i="11"/>
  <c r="B2454" i="11"/>
  <c r="B1780" i="11"/>
  <c r="B3356" i="11"/>
  <c r="B1076" i="11"/>
  <c r="B4108" i="11"/>
  <c r="B4005" i="11"/>
  <c r="B1613" i="11"/>
  <c r="B4070" i="11"/>
  <c r="B909" i="11"/>
  <c r="B426" i="11"/>
  <c r="B3297" i="11"/>
  <c r="B871" i="11"/>
  <c r="B1693" i="11"/>
  <c r="B3194" i="11"/>
  <c r="B989" i="11"/>
  <c r="B4083" i="11"/>
  <c r="B1794" i="11"/>
  <c r="B4997" i="11"/>
  <c r="B2891" i="11"/>
  <c r="B3172" i="11"/>
  <c r="B2187" i="11"/>
  <c r="B3928" i="11"/>
  <c r="B510" i="11"/>
  <c r="B1830" i="11"/>
  <c r="B261" i="11"/>
  <c r="B1797" i="11"/>
  <c r="B3" i="11"/>
  <c r="B122" i="11"/>
  <c r="B1449" i="11"/>
  <c r="B2061" i="11"/>
  <c r="B4193" i="11"/>
  <c r="B2619" i="11"/>
  <c r="B1368" i="11"/>
  <c r="B1915" i="11"/>
  <c r="B1142" i="11"/>
  <c r="B4490" i="11"/>
  <c r="B1647" i="11"/>
  <c r="B4700" i="11"/>
  <c r="B2414" i="11"/>
  <c r="B3197" i="11"/>
  <c r="B2170" i="11"/>
  <c r="B2437" i="11"/>
  <c r="B285" i="11"/>
  <c r="B1733" i="11"/>
  <c r="B19" i="11"/>
  <c r="B2914" i="11"/>
  <c r="B4781" i="11"/>
  <c r="B2057" i="11"/>
  <c r="B2855" i="11"/>
  <c r="B4226" i="11"/>
  <c r="B1357" i="11"/>
  <c r="B1225" i="11"/>
  <c r="B2660" i="11"/>
  <c r="B486" i="11"/>
  <c r="B3011" i="11"/>
  <c r="B311" i="11"/>
  <c r="B3225" i="11"/>
  <c r="B2576" i="11"/>
  <c r="B489" i="11"/>
  <c r="B3230" i="11"/>
  <c r="B140" i="11"/>
  <c r="B2526" i="11"/>
  <c r="B342" i="11"/>
  <c r="B2885" i="11"/>
  <c r="B500" i="11"/>
  <c r="B2181" i="11"/>
  <c r="B4463" i="11"/>
  <c r="B82" i="11"/>
  <c r="B2430" i="11"/>
  <c r="B170" i="11"/>
  <c r="B1460" i="11"/>
  <c r="B4664" i="11"/>
  <c r="B1300" i="11"/>
  <c r="B4454" i="11"/>
  <c r="B2732" i="11"/>
  <c r="B1905" i="11"/>
  <c r="B2959" i="11"/>
  <c r="B3139" i="11"/>
  <c r="B279" i="11"/>
  <c r="B2435" i="11"/>
  <c r="B455" i="11"/>
  <c r="B1715" i="11"/>
  <c r="B4803" i="11"/>
  <c r="B347" i="11"/>
  <c r="B1334" i="11"/>
  <c r="B3243" i="11"/>
  <c r="B2059" i="11"/>
  <c r="B4464" i="11"/>
  <c r="B1155" i="11"/>
  <c r="B215" i="11"/>
  <c r="B2874" i="11"/>
  <c r="B399" i="11"/>
  <c r="B3853" i="11"/>
  <c r="B1532" i="11"/>
  <c r="B221" i="11"/>
  <c r="B1341" i="11"/>
  <c r="B2586" i="11"/>
  <c r="B2844" i="11"/>
  <c r="B101" i="11"/>
  <c r="B996" i="11"/>
  <c r="B4" i="11"/>
  <c r="B2883" i="11"/>
  <c r="B338" i="11"/>
  <c r="B1529" i="11"/>
  <c r="B532" i="11"/>
  <c r="B282" i="11"/>
  <c r="B1338" i="11"/>
  <c r="B224" i="11"/>
  <c r="B3152" i="11"/>
  <c r="B1023" i="11"/>
  <c r="B4691" i="11"/>
  <c r="B2771" i="11"/>
  <c r="B747" i="11"/>
  <c r="B2067" i="11"/>
  <c r="B70" i="11"/>
  <c r="B2165" i="11"/>
  <c r="B4966" i="11"/>
  <c r="B2220" i="11"/>
  <c r="B3487" i="11"/>
  <c r="B2447" i="11"/>
  <c r="B2033" i="11"/>
  <c r="B836" i="11"/>
  <c r="B2300" i="11"/>
  <c r="B3100" i="11"/>
  <c r="B1596" i="11"/>
  <c r="B3926" i="11"/>
  <c r="B3566" i="11"/>
  <c r="B4767" i="11"/>
  <c r="B1291" i="11"/>
  <c r="B4824" i="11"/>
  <c r="B624" i="11"/>
  <c r="B181" i="11"/>
  <c r="B331" i="11"/>
  <c r="B1993" i="11"/>
  <c r="B901" i="11"/>
  <c r="B117" i="11"/>
  <c r="B2404" i="11"/>
  <c r="B325" i="11"/>
  <c r="B1165" i="11"/>
  <c r="B4518" i="11"/>
  <c r="B2668" i="11"/>
  <c r="B2417" i="11"/>
  <c r="B69" i="11"/>
  <c r="B3120" i="11"/>
  <c r="B1784" i="11"/>
  <c r="B497" i="11"/>
  <c r="B2127" i="11"/>
  <c r="B371" i="11"/>
  <c r="B1657" i="11"/>
  <c r="B658" i="11"/>
  <c r="B4693" i="11"/>
  <c r="B4291" i="11"/>
  <c r="B4758" i="11"/>
  <c r="B3587" i="11"/>
  <c r="B420" i="11"/>
  <c r="B4028" i="11"/>
  <c r="B4696" i="11"/>
  <c r="B705" i="11"/>
  <c r="B3157" i="11"/>
  <c r="B926" i="11"/>
  <c r="B3229" i="11"/>
  <c r="B1761" i="11"/>
  <c r="B797" i="11"/>
  <c r="B2281" i="11"/>
  <c r="B558" i="11"/>
  <c r="B3656" i="11"/>
  <c r="B3722" i="11"/>
  <c r="B3070" i="11"/>
  <c r="B90" i="11"/>
  <c r="B2366" i="11"/>
  <c r="B178" i="11"/>
  <c r="B3206" i="11"/>
  <c r="B751" i="11"/>
  <c r="B4942" i="11"/>
  <c r="B4683" i="11"/>
  <c r="B3463" i="11"/>
  <c r="B1160" i="11"/>
  <c r="B3131" i="11"/>
  <c r="B1880" i="11"/>
  <c r="B3505" i="11"/>
  <c r="B2018" i="11"/>
  <c r="B3430" i="11"/>
  <c r="B1549" i="11"/>
  <c r="B4134" i="11"/>
  <c r="B1400" i="11"/>
  <c r="B4015" i="11"/>
  <c r="B776" i="11"/>
  <c r="B1117" i="11"/>
  <c r="B3875" i="11"/>
  <c r="B2620" i="11"/>
  <c r="B1321" i="11"/>
  <c r="B283" i="11"/>
  <c r="B1846" i="11"/>
  <c r="B3930" i="11"/>
  <c r="B2571" i="11"/>
  <c r="B4976" i="11"/>
  <c r="B1667" i="11"/>
  <c r="B143" i="11"/>
  <c r="B555" i="11"/>
  <c r="B271" i="11"/>
  <c r="B3341" i="11"/>
  <c r="B4891" i="11"/>
  <c r="B2382" i="11"/>
  <c r="B2740" i="11"/>
  <c r="B4195" i="11"/>
  <c r="B2036" i="11"/>
  <c r="B4881" i="11"/>
  <c r="B2330" i="11"/>
  <c r="B4779" i="11"/>
  <c r="B2504" i="11"/>
  <c r="B1998" i="11"/>
  <c r="B1800" i="11"/>
  <c r="B2472" i="11"/>
  <c r="B2998" i="11"/>
  <c r="B227" i="11"/>
  <c r="B2294" i="11"/>
  <c r="B315" i="11"/>
  <c r="B3231" i="11"/>
  <c r="B601" i="11"/>
  <c r="B1852" i="11"/>
  <c r="B3716" i="11"/>
  <c r="B1148" i="11"/>
  <c r="B4420" i="11"/>
  <c r="B2969" i="11"/>
  <c r="B4604" i="11"/>
  <c r="B575" i="11"/>
  <c r="B3601" i="11"/>
  <c r="B540" i="11"/>
  <c r="B4305" i="11"/>
  <c r="B207" i="11"/>
  <c r="B1402" i="11"/>
  <c r="B216" i="11"/>
  <c r="B569" i="11"/>
  <c r="B4004" i="11"/>
  <c r="B903" i="11"/>
  <c r="B758" i="11"/>
  <c r="B4428" i="11"/>
  <c r="B2643" i="11"/>
  <c r="B1825" i="11"/>
  <c r="B780" i="11"/>
  <c r="B4404" i="11"/>
  <c r="B2767" i="11"/>
  <c r="B7" i="11"/>
  <c r="B2063" i="11"/>
  <c r="B379" i="11"/>
  <c r="B4850" i="11"/>
  <c r="B2683" i="11"/>
  <c r="B2479" i="11"/>
  <c r="B687" i="11"/>
  <c r="B1775" i="11"/>
  <c r="B1130" i="11"/>
  <c r="B479" i="11"/>
  <c r="B1850" i="11"/>
  <c r="B378" i="11"/>
  <c r="B4877" i="11"/>
  <c r="B4900" i="11"/>
  <c r="B91" i="11"/>
  <c r="B801" i="11"/>
  <c r="B179" i="11"/>
  <c r="B2780" i="11"/>
  <c r="B4051" i="11"/>
  <c r="B3854" i="11"/>
  <c r="B4235" i="11"/>
  <c r="B3911" i="11"/>
  <c r="B3531" i="11"/>
  <c r="B3299" i="11"/>
  <c r="B4245" i="11"/>
  <c r="B696" i="11"/>
  <c r="B4949" i="11"/>
  <c r="B2982" i="11"/>
  <c r="B3325" i="11"/>
  <c r="B2319" i="11"/>
  <c r="B116" i="11"/>
  <c r="B2654" i="11"/>
  <c r="B268" i="11"/>
  <c r="B4992" i="11"/>
  <c r="B2750" i="11"/>
  <c r="B4054" i="11"/>
  <c r="B3210" i="11"/>
  <c r="B4111" i="11"/>
  <c r="B2506" i="11"/>
  <c r="B21" i="11"/>
  <c r="B4540" i="11"/>
  <c r="B4223" i="11"/>
  <c r="B1677" i="11"/>
  <c r="B4006" i="11"/>
  <c r="B973" i="11"/>
  <c r="B4710" i="11"/>
  <c r="B1811" i="11"/>
  <c r="B3797" i="11"/>
  <c r="B1107" i="11"/>
  <c r="B4501" i="11"/>
  <c r="B2901" i="11"/>
  <c r="B2180" i="11"/>
  <c r="B4532" i="11"/>
  <c r="B3207" i="11"/>
  <c r="B4644" i="11"/>
  <c r="B4686" i="11"/>
  <c r="B3221" i="11"/>
  <c r="B1405" i="11"/>
  <c r="B4030" i="11"/>
  <c r="B4789" i="11"/>
  <c r="B4492" i="11"/>
  <c r="B4250" i="11"/>
  <c r="B2722" i="11"/>
  <c r="B1588" i="11"/>
  <c r="B96" i="11"/>
  <c r="B586" i="11"/>
  <c r="B3917" i="11"/>
  <c r="B4521" i="11"/>
  <c r="B2648" i="11"/>
  <c r="B66" i="11"/>
  <c r="B3497" i="11"/>
  <c r="B2906" i="11"/>
  <c r="B851" i="11"/>
  <c r="B3582" i="11"/>
  <c r="B305" i="11"/>
  <c r="B3259" i="11"/>
  <c r="B3838" i="11"/>
  <c r="B2153" i="11"/>
  <c r="B2599" i="11"/>
  <c r="B4897" i="11"/>
  <c r="B4971" i="11"/>
  <c r="B1809" i="11"/>
  <c r="B3402" i="11"/>
  <c r="B3491" i="11"/>
  <c r="B2314" i="11"/>
  <c r="B869" i="11"/>
  <c r="B119" i="11"/>
  <c r="B3990" i="11"/>
  <c r="B963" i="11"/>
  <c r="B3004" i="11"/>
  <c r="B129" i="11"/>
  <c r="B817" i="11"/>
  <c r="B4022" i="11"/>
  <c r="B4476" i="11"/>
  <c r="B4965" i="11"/>
  <c r="B3433" i="11"/>
  <c r="B3412" i="11"/>
  <c r="B618" i="11"/>
  <c r="B4592" i="11"/>
  <c r="B1723" i="11"/>
  <c r="B3122" i="11"/>
  <c r="B876" i="11"/>
  <c r="B3340" i="11"/>
  <c r="B2383" i="11"/>
  <c r="B662" i="11"/>
  <c r="B3696" i="11"/>
  <c r="B1234" i="11"/>
  <c r="B2047" i="11"/>
  <c r="B882" i="11"/>
  <c r="B436" i="11"/>
  <c r="B3617" i="11"/>
  <c r="B2652" i="11"/>
  <c r="B1030" i="11"/>
  <c r="B779" i="11"/>
  <c r="B313" i="11"/>
  <c r="B132" i="11"/>
  <c r="B1073" i="11"/>
  <c r="B3050" i="11"/>
  <c r="B93" i="11"/>
  <c r="B2378" i="11"/>
  <c r="B2290" i="11"/>
  <c r="B3233" i="11"/>
  <c r="B4043" i="11"/>
  <c r="B2866" i="11"/>
  <c r="B4499" i="11"/>
  <c r="B3744" i="11"/>
  <c r="B880" i="11"/>
  <c r="B3311" i="11"/>
  <c r="B2661" i="11"/>
  <c r="B3552" i="11"/>
  <c r="B4470" i="11"/>
  <c r="B1478" i="11"/>
  <c r="B3687" i="11"/>
  <c r="B1646" i="11"/>
  <c r="B3837" i="11"/>
  <c r="B2723" i="11"/>
  <c r="B4406" i="11"/>
  <c r="B2528" i="11"/>
  <c r="B1058" i="11"/>
  <c r="B3815" i="11"/>
  <c r="B719" i="11"/>
  <c r="B1388" i="11"/>
  <c r="B3902" i="11"/>
  <c r="B743" i="11"/>
  <c r="B1946" i="11"/>
  <c r="B2597" i="11"/>
  <c r="B4234" i="11"/>
  <c r="B630" i="11"/>
  <c r="B3770" i="11"/>
  <c r="B3950" i="11"/>
  <c r="B3034" i="11"/>
  <c r="B925" i="11"/>
  <c r="B1002" i="11"/>
  <c r="B3506" i="11"/>
  <c r="B168" i="11"/>
  <c r="B3077" i="11"/>
  <c r="B4376" i="11"/>
  <c r="B3873" i="11"/>
  <c r="B3532" i="11"/>
  <c r="B199" i="11"/>
  <c r="B3261" i="11"/>
  <c r="B2880" i="11"/>
  <c r="B4020" i="11"/>
  <c r="B4412" i="11"/>
  <c r="B1180" i="11"/>
  <c r="B3355" i="11"/>
  <c r="B2550" i="11"/>
  <c r="B3209" i="11"/>
  <c r="B2537" i="11"/>
  <c r="B3836" i="11"/>
  <c r="B1749" i="11"/>
  <c r="B1359" i="11"/>
  <c r="B4144" i="11"/>
  <c r="B931" i="11"/>
  <c r="B4068" i="11"/>
  <c r="B3436" i="11"/>
  <c r="B4017" i="11"/>
  <c r="B738" i="11"/>
  <c r="B1542" i="11"/>
  <c r="B1921" i="11"/>
  <c r="B2217" i="11"/>
  <c r="B2097" i="11"/>
  <c r="B4584" i="11"/>
  <c r="B887" i="11"/>
  <c r="B1776" i="11"/>
  <c r="B4989" i="11"/>
  <c r="B777" i="11"/>
  <c r="B4910" i="11"/>
  <c r="B3500" i="11"/>
  <c r="B3234" i="11"/>
  <c r="B1064" i="11"/>
  <c r="B3196" i="11"/>
  <c r="B3046" i="11"/>
  <c r="B3396" i="11"/>
  <c r="B2428" i="11"/>
  <c r="B2032" i="11"/>
  <c r="B3965" i="11"/>
  <c r="B3819" i="11"/>
  <c r="B3907" i="11"/>
  <c r="B1434" i="11"/>
  <c r="B4838" i="11"/>
  <c r="B152" i="11"/>
  <c r="B3753" i="11"/>
  <c r="B4716" i="11"/>
  <c r="B2021" i="11"/>
  <c r="B2247" i="11"/>
  <c r="B539" i="11"/>
  <c r="B1545" i="11"/>
  <c r="B4392" i="11"/>
  <c r="B3787" i="11"/>
  <c r="B2863" i="11"/>
  <c r="B4806" i="11"/>
  <c r="B142" i="11"/>
  <c r="B2380" i="11"/>
  <c r="B1094" i="11"/>
  <c r="B4587" i="11"/>
  <c r="B769" i="11"/>
  <c r="B242" i="11"/>
  <c r="B4708" i="11"/>
  <c r="B1988" i="11"/>
  <c r="B820" i="11"/>
  <c r="B2081" i="11"/>
  <c r="B2106" i="11"/>
  <c r="B1205" i="11"/>
  <c r="B2626" i="11"/>
  <c r="B3544" i="11"/>
  <c r="B2628" i="11"/>
  <c r="B2579" i="11"/>
  <c r="B912" i="11"/>
  <c r="B2710" i="11"/>
  <c r="B4132" i="11"/>
  <c r="B3834" i="11"/>
  <c r="B4909" i="11"/>
  <c r="B756" i="11"/>
  <c r="B4723" i="11"/>
  <c r="B273" i="11"/>
  <c r="B1844" i="11"/>
  <c r="B2268" i="11"/>
  <c r="B4648" i="11"/>
  <c r="B1162" i="11"/>
  <c r="B4141" i="11"/>
  <c r="B1697" i="11"/>
  <c r="B4330" i="11"/>
  <c r="B647" i="11"/>
  <c r="B3333" i="11"/>
  <c r="B161" i="11"/>
  <c r="B3726" i="11"/>
  <c r="B3858" i="11"/>
  <c r="B2793" i="11"/>
  <c r="B1940" i="11"/>
  <c r="B962" i="11"/>
  <c r="B4351" i="11"/>
  <c r="B759" i="11"/>
  <c r="B1038" i="11"/>
  <c r="B3327" i="11"/>
  <c r="B4079" i="11"/>
  <c r="B2246" i="11"/>
  <c r="B3629" i="11"/>
  <c r="B1333" i="11"/>
  <c r="B3447" i="11"/>
  <c r="B1635" i="11"/>
  <c r="B4011" i="11"/>
  <c r="B1833" i="11"/>
  <c r="B2933" i="11"/>
  <c r="B2039" i="11"/>
  <c r="B4979" i="11"/>
  <c r="B1969" i="11"/>
  <c r="B1973" i="11"/>
  <c r="B3379" i="11"/>
  <c r="B4467" i="11"/>
  <c r="B2814" i="11"/>
  <c r="B1911" i="11"/>
  <c r="B71" i="11"/>
  <c r="B4607" i="11"/>
  <c r="B1829" i="11"/>
  <c r="B4142" i="11"/>
  <c r="B1712" i="11"/>
  <c r="B2655" i="11"/>
  <c r="B2980" i="11"/>
  <c r="B4678" i="11"/>
  <c r="B4188" i="11"/>
  <c r="B4149" i="11"/>
  <c r="B3717" i="11"/>
  <c r="B3971" i="11"/>
  <c r="B2444" i="11"/>
  <c r="B4860" i="11"/>
  <c r="B2451" i="11"/>
  <c r="B1814" i="11"/>
  <c r="B2640" i="11"/>
  <c r="B4095" i="11"/>
  <c r="B3431" i="11"/>
  <c r="B345" i="11"/>
  <c r="B241" i="11"/>
  <c r="B2557" i="11"/>
  <c r="B3326" i="11"/>
  <c r="B2805" i="11"/>
  <c r="B3437" i="11"/>
  <c r="B3462" i="11"/>
  <c r="B3441" i="11"/>
  <c r="B3453" i="11"/>
  <c r="B48" i="11"/>
  <c r="B287" i="11"/>
  <c r="B3489" i="11"/>
  <c r="B530" i="11"/>
  <c r="B3371" i="11"/>
  <c r="B3429" i="11"/>
  <c r="B1808" i="11"/>
  <c r="B144" i="11"/>
  <c r="B2869" i="11"/>
  <c r="B2071" i="11"/>
  <c r="B576" i="11"/>
  <c r="B4902" i="11"/>
  <c r="B4784" i="11"/>
  <c r="B4861" i="11"/>
  <c r="B3645" i="11"/>
  <c r="B2322" i="11"/>
  <c r="B3361" i="11"/>
  <c r="B4788" i="11"/>
  <c r="B4491" i="11"/>
  <c r="B4520" i="11"/>
  <c r="B210" i="11"/>
  <c r="B2751" i="11"/>
  <c r="B507" i="11"/>
  <c r="B4724" i="11"/>
  <c r="B2584" i="11"/>
  <c r="B2394" i="11"/>
  <c r="B3624" i="11"/>
  <c r="B1527" i="11"/>
  <c r="B2574" i="11"/>
  <c r="B4755" i="11"/>
  <c r="B1063" i="11"/>
  <c r="B2476" i="11"/>
  <c r="B2062" i="11"/>
  <c r="B2892" i="11"/>
  <c r="B3017" i="11"/>
  <c r="B2593" i="11"/>
  <c r="B2565" i="11"/>
  <c r="B1752" i="11"/>
  <c r="B25" i="11"/>
  <c r="B2766" i="11"/>
  <c r="B301" i="11"/>
  <c r="B1842" i="11"/>
  <c r="B146" i="11"/>
  <c r="B2388" i="11"/>
  <c r="B4129" i="11"/>
  <c r="B2916" i="11"/>
  <c r="B3115" i="11"/>
  <c r="B4192" i="11"/>
  <c r="B2580" i="11"/>
  <c r="B1824" i="11"/>
  <c r="B3060" i="11"/>
  <c r="B1397" i="11"/>
  <c r="B4080" i="11"/>
  <c r="B2622" i="11"/>
  <c r="B4840" i="11"/>
  <c r="B1888" i="11"/>
  <c r="B4775" i="11"/>
  <c r="B3058" i="11"/>
  <c r="B2293" i="11"/>
  <c r="B4199" i="11"/>
  <c r="B3974" i="11"/>
  <c r="B956" i="11"/>
  <c r="B4655" i="11"/>
  <c r="B3638" i="11"/>
  <c r="B3702" i="11"/>
  <c r="B1442" i="11"/>
  <c r="B3218" i="11"/>
  <c r="B3124" i="11"/>
  <c r="B2514" i="11"/>
  <c r="B3904" i="11"/>
  <c r="B2730" i="11"/>
  <c r="B65" i="11"/>
  <c r="B736" i="11"/>
  <c r="B484" i="11"/>
  <c r="B2245" i="11"/>
  <c r="B357" i="11"/>
  <c r="B212" i="11"/>
  <c r="B2877" i="11"/>
  <c r="B477" i="11"/>
  <c r="B2173" i="11"/>
  <c r="B3276" i="11"/>
  <c r="B3755" i="11"/>
  <c r="B1226" i="11"/>
  <c r="B813" i="11"/>
  <c r="B2824" i="11"/>
  <c r="B1645" i="11"/>
  <c r="B1435" i="11"/>
  <c r="B4338" i="11"/>
  <c r="B1564" i="11"/>
  <c r="B2904" i="11"/>
  <c r="B862" i="11"/>
  <c r="B2678" i="11"/>
  <c r="B4150" i="11"/>
  <c r="B3507" i="11"/>
  <c r="B1276" i="11"/>
  <c r="B4292" i="11"/>
  <c r="B3163" i="11"/>
  <c r="B4950" i="11"/>
  <c r="B460" i="11"/>
  <c r="B1118" i="11"/>
  <c r="B848" i="11"/>
  <c r="B44" i="11"/>
  <c r="B4876" i="11"/>
  <c r="B2195" i="11"/>
  <c r="B3413" i="11"/>
  <c r="B1943" i="11"/>
  <c r="B4349" i="11"/>
  <c r="B762" i="11"/>
  <c r="B411" i="11"/>
  <c r="B1103" i="11"/>
  <c r="B499" i="11"/>
  <c r="B3968" i="11"/>
  <c r="B3644" i="11"/>
  <c r="B1212" i="11"/>
  <c r="B4356" i="11"/>
  <c r="B4035" i="11"/>
  <c r="B3910" i="11"/>
  <c r="B1727" i="11"/>
  <c r="B2305" i="11"/>
  <c r="B670" i="11"/>
  <c r="B3729" i="11"/>
  <c r="B2621" i="11"/>
  <c r="B4908" i="11"/>
  <c r="B3469" i="11"/>
  <c r="B527" i="11"/>
  <c r="B3534" i="11"/>
  <c r="B707" i="11"/>
  <c r="B2859" i="11"/>
  <c r="B726" i="11"/>
  <c r="B935" i="11"/>
  <c r="B163" i="11"/>
  <c r="B2806" i="11"/>
  <c r="B251" i="11"/>
  <c r="B2364" i="11"/>
  <c r="B2900" i="11"/>
  <c r="B1660" i="11"/>
  <c r="B3908" i="11"/>
  <c r="B2375" i="11"/>
  <c r="B203" i="11"/>
  <c r="B4630" i="11"/>
  <c r="B3715" i="11"/>
  <c r="B3025" i="11"/>
  <c r="B2629" i="11"/>
  <c r="B4155" i="11"/>
  <c r="B1822" i="11"/>
  <c r="B628" i="11"/>
  <c r="B1789" i="11"/>
  <c r="B4186" i="11"/>
  <c r="B3386" i="11"/>
  <c r="B3406" i="11"/>
  <c r="B620" i="11"/>
  <c r="B4110" i="11"/>
  <c r="B2696" i="11"/>
  <c r="B4156" i="11"/>
  <c r="B4641" i="11"/>
  <c r="B30" i="11"/>
  <c r="B2135" i="11"/>
  <c r="B118" i="11"/>
  <c r="B734" i="11"/>
  <c r="B2088" i="11"/>
  <c r="B3137" i="11"/>
  <c r="B3154" i="11"/>
  <c r="B3252" i="11"/>
  <c r="B2450" i="11"/>
  <c r="B3452" i="11"/>
  <c r="B2613" i="11"/>
  <c r="B1621" i="11"/>
  <c r="B2154" i="11"/>
  <c r="B917" i="11"/>
  <c r="B3515" i="11"/>
  <c r="B861" i="11"/>
  <c r="B1769" i="11"/>
  <c r="B622" i="11"/>
  <c r="B3662" i="11"/>
  <c r="B2427" i="11"/>
  <c r="B1963" i="11"/>
  <c r="B4743" i="11"/>
  <c r="B1618" i="11"/>
  <c r="B4800" i="11"/>
  <c r="B914" i="11"/>
  <c r="B929" i="11"/>
  <c r="B3179" i="11"/>
  <c r="B308" i="11"/>
  <c r="B1349" i="11"/>
  <c r="B61" i="11"/>
  <c r="B2852" i="11"/>
  <c r="B1310" i="11"/>
  <c r="B546" i="11"/>
  <c r="B1277" i="11"/>
  <c r="B2522" i="11"/>
  <c r="B2249" i="11"/>
  <c r="B1331" i="11"/>
  <c r="B3268" i="11"/>
  <c r="B1928" i="11"/>
  <c r="B1448" i="11"/>
  <c r="B1224" i="11"/>
  <c r="B343" i="11"/>
  <c r="B2562" i="11"/>
  <c r="B1624" i="11"/>
  <c r="B2008" i="11"/>
  <c r="B2555" i="11"/>
  <c r="B1304" i="11"/>
  <c r="B1851" i="11"/>
  <c r="B1317" i="11"/>
  <c r="B3820" i="11"/>
  <c r="B2273" i="11"/>
  <c r="B2267" i="11"/>
  <c r="B3725" i="11"/>
  <c r="B2954" i="11"/>
  <c r="B2429" i="11"/>
  <c r="B564" i="11"/>
  <c r="B1725" i="11"/>
  <c r="B3175" i="11"/>
  <c r="B952" i="11"/>
  <c r="B2481" i="11"/>
  <c r="B4473" i="11"/>
  <c r="B2407" i="11"/>
  <c r="B3410" i="11"/>
  <c r="B1703" i="11"/>
  <c r="B4774" i="11"/>
  <c r="B849" i="11"/>
  <c r="B414" i="11"/>
  <c r="B2051" i="11"/>
  <c r="B416" i="11"/>
  <c r="B1347" i="11"/>
  <c r="B1628" i="11"/>
  <c r="B1432" i="11"/>
  <c r="B1979" i="11"/>
  <c r="B730" i="11"/>
  <c r="B1676" i="11"/>
  <c r="B3647" i="11"/>
  <c r="B4435" i="11"/>
  <c r="B2990" i="11"/>
  <c r="B4828" i="11"/>
  <c r="B2286" i="11"/>
  <c r="B431" i="11"/>
  <c r="B4754" i="11"/>
  <c r="B2083" i="11"/>
  <c r="B4355" i="11"/>
  <c r="B4694" i="11"/>
  <c r="B3651" i="11"/>
  <c r="B3153" i="11"/>
  <c r="B4529" i="11"/>
  <c r="B2822" i="11"/>
  <c r="B4581" i="11"/>
  <c r="B2573" i="11"/>
  <c r="B2929" i="11"/>
  <c r="B2424" i="11"/>
  <c r="B4364" i="11"/>
  <c r="B4804" i="11"/>
  <c r="B3404" i="11"/>
  <c r="B2846" i="11"/>
  <c r="B245" i="11"/>
  <c r="B2813" i="11"/>
  <c r="B493" i="11"/>
  <c r="B4857" i="11"/>
  <c r="B2272" i="11"/>
  <c r="B4431" i="11"/>
  <c r="B2952" i="11"/>
  <c r="B2828" i="11"/>
  <c r="B2248" i="11"/>
  <c r="B462" i="11"/>
  <c r="B176" i="11"/>
  <c r="B4746" i="11"/>
  <c r="B2647" i="11"/>
  <c r="B54" i="11"/>
  <c r="B1244" i="11"/>
  <c r="B2026" i="11"/>
  <c r="B4878" i="11"/>
  <c r="B3145" i="11"/>
  <c r="B4935" i="11"/>
  <c r="B2962" i="11"/>
  <c r="B4963" i="11"/>
  <c r="B267" i="11"/>
  <c r="B214" i="11"/>
  <c r="B1702" i="11"/>
  <c r="B220" i="11"/>
  <c r="B998" i="11"/>
  <c r="B907" i="11"/>
  <c r="B3646" i="11"/>
  <c r="B1466" i="11"/>
  <c r="B208" i="11"/>
  <c r="B764" i="11"/>
  <c r="B296" i="11"/>
  <c r="B1216" i="11"/>
  <c r="B3394" i="11"/>
  <c r="B3095" i="11"/>
  <c r="B4626" i="11"/>
  <c r="B3628" i="11"/>
  <c r="B1480" i="11"/>
  <c r="B1450" i="11"/>
  <c r="B778" i="11"/>
  <c r="B3065" i="11"/>
  <c r="B1150" i="11"/>
  <c r="B3061" i="11"/>
  <c r="B1595" i="11"/>
  <c r="B2927" i="11"/>
  <c r="B891" i="11"/>
  <c r="B2325" i="11"/>
  <c r="B1682" i="11"/>
  <c r="B4736" i="11"/>
  <c r="B978" i="11"/>
  <c r="B3237" i="11"/>
  <c r="B4629" i="11"/>
  <c r="B4610" i="11"/>
  <c r="B1925" i="11"/>
  <c r="B469" i="11"/>
  <c r="B1221" i="11"/>
  <c r="B77" i="11"/>
  <c r="B1873" i="11"/>
  <c r="B4269" i="11"/>
  <c r="B4922" i="11"/>
  <c r="B2343" i="11"/>
  <c r="B3922" i="11"/>
  <c r="B847" i="11"/>
  <c r="B714" i="11"/>
  <c r="B4812" i="11"/>
  <c r="B725" i="11"/>
  <c r="B4885" i="11"/>
  <c r="B709" i="11"/>
  <c r="B326" i="11"/>
  <c r="B4231" i="11"/>
  <c r="B2130" i="11"/>
  <c r="B4288" i="11"/>
  <c r="B1426" i="11"/>
  <c r="B4508" i="11"/>
  <c r="B4037" i="11"/>
  <c r="B4606" i="11"/>
  <c r="B3426" i="11"/>
  <c r="B1600" i="11"/>
  <c r="B4722" i="11"/>
  <c r="B3643" i="11"/>
  <c r="B3959" i="11"/>
  <c r="B3493" i="11"/>
  <c r="B2125" i="11"/>
  <c r="B3558" i="11"/>
  <c r="B1421" i="11"/>
  <c r="B6" i="11"/>
  <c r="B1477" i="11"/>
  <c r="B421" i="11"/>
  <c r="B1444" i="11"/>
  <c r="B446" i="11"/>
  <c r="B2624" i="11"/>
  <c r="B3088" i="11"/>
  <c r="B4042" i="11"/>
  <c r="B2934" i="11"/>
  <c r="B235" i="11"/>
  <c r="B2230" i="11"/>
  <c r="B4639" i="11"/>
  <c r="B971" i="11"/>
  <c r="B375" i="11"/>
  <c r="B552" i="11"/>
  <c r="B95" i="11"/>
  <c r="B501" i="11"/>
  <c r="B976" i="11"/>
  <c r="B1325" i="11"/>
  <c r="B728" i="11"/>
  <c r="B461" i="11"/>
  <c r="B2237" i="11"/>
  <c r="B1104" i="11"/>
  <c r="B2596" i="11"/>
  <c r="B253" i="11"/>
  <c r="B1892" i="11"/>
  <c r="B390" i="11"/>
  <c r="B4239" i="11"/>
  <c r="B3760" i="11"/>
  <c r="B2049" i="11"/>
  <c r="B521" i="11"/>
  <c r="B4792" i="11"/>
  <c r="B4336" i="11"/>
  <c r="B2650" i="11"/>
  <c r="B1894" i="11"/>
  <c r="B3572" i="11"/>
  <c r="B1662" i="11"/>
  <c r="B4101" i="11"/>
  <c r="B1078" i="11"/>
  <c r="B3201" i="11"/>
  <c r="B3580" i="11"/>
  <c r="B3262" i="11"/>
  <c r="B4689" i="11"/>
  <c r="B902" i="11"/>
  <c r="B1305" i="11"/>
  <c r="B1799" i="11"/>
  <c r="B1926" i="11"/>
  <c r="B3451" i="11"/>
  <c r="B2823" i="11"/>
  <c r="B4413" i="11"/>
  <c r="B717" i="11"/>
  <c r="B3446" i="11"/>
  <c r="B2502" i="11"/>
  <c r="B4334" i="11"/>
  <c r="B945" i="11"/>
  <c r="B2547" i="11"/>
  <c r="B4536" i="11"/>
  <c r="B3454" i="11"/>
  <c r="B1757" i="11"/>
  <c r="B4972" i="11"/>
  <c r="B4975" i="11"/>
  <c r="B78" i="11"/>
  <c r="B1681" i="11"/>
  <c r="B289" i="11"/>
  <c r="B39" i="11"/>
  <c r="B1269" i="11"/>
  <c r="B1254" i="11"/>
  <c r="B4982" i="11"/>
  <c r="B502" i="11"/>
  <c r="B2433" i="11"/>
  <c r="B774" i="11"/>
  <c r="B3323" i="11"/>
  <c r="B4200" i="11"/>
  <c r="B1796" i="11"/>
  <c r="B2792" i="11"/>
  <c r="B1541" i="11"/>
  <c r="B3575" i="11"/>
  <c r="B922" i="11"/>
  <c r="B4136" i="11"/>
  <c r="B1015" i="11"/>
  <c r="B1847" i="11"/>
  <c r="B1102" i="11"/>
  <c r="B1044" i="11"/>
  <c r="B2872" i="11"/>
  <c r="B3632" i="11"/>
  <c r="B1443" i="11"/>
  <c r="B799" i="11"/>
  <c r="B3562" i="11"/>
  <c r="B1374" i="11"/>
  <c r="B1382" i="11"/>
  <c r="B4856" i="11"/>
  <c r="B2590" i="11"/>
  <c r="B641" i="11"/>
  <c r="B4320" i="11"/>
  <c r="B2931" i="11"/>
  <c r="B2856" i="11"/>
  <c r="B2556" i="11"/>
  <c r="B3403" i="11"/>
  <c r="B2474" i="11"/>
  <c r="B626" i="11"/>
  <c r="B2236" i="11"/>
  <c r="B2146" i="11"/>
  <c r="B789" i="11"/>
  <c r="B2295" i="11"/>
  <c r="B3372" i="11"/>
  <c r="B3898" i="11"/>
  <c r="B3611" i="11"/>
  <c r="B4162" i="11"/>
  <c r="B4302" i="11"/>
  <c r="B1826" i="11"/>
  <c r="B3694" i="11"/>
  <c r="B1266" i="11"/>
  <c r="B2867" i="11"/>
  <c r="B4415" i="11"/>
  <c r="B3583" i="11"/>
  <c r="B4717" i="11"/>
  <c r="B281" i="11"/>
  <c r="B2912" i="11"/>
  <c r="B3751" i="11"/>
  <c r="B3627" i="11"/>
  <c r="B2439" i="11"/>
  <c r="B4021" i="11"/>
  <c r="B1175" i="11"/>
  <c r="B113" i="11"/>
  <c r="B646" i="11"/>
  <c r="B3891" i="11"/>
  <c r="B533" i="11"/>
  <c r="B4565" i="11"/>
  <c r="B2976" i="11"/>
  <c r="B2791" i="11"/>
  <c r="B4427" i="11"/>
  <c r="B1953" i="11"/>
  <c r="B3134" i="11"/>
  <c r="B2841" i="11"/>
  <c r="B1082" i="11"/>
  <c r="B4284" i="11"/>
  <c r="B4001" i="11"/>
  <c r="B3183" i="11"/>
  <c r="B2566" i="11"/>
  <c r="B785" i="11"/>
  <c r="B3247" i="11"/>
  <c r="B1139" i="11"/>
  <c r="B2111" i="11"/>
  <c r="B1871" i="11"/>
  <c r="B3956" i="11"/>
  <c r="B4651" i="11"/>
  <c r="B136" i="11"/>
  <c r="B1474" i="11"/>
  <c r="B838" i="11"/>
  <c r="B3540" i="11"/>
  <c r="B1312" i="11"/>
  <c r="B3271" i="11"/>
  <c r="B770" i="11"/>
  <c r="B1219" i="11"/>
  <c r="B1633" i="11"/>
  <c r="B3897" i="11"/>
  <c r="B4212" i="11"/>
  <c r="B1692" i="11"/>
  <c r="B4085" i="11"/>
  <c r="B3827" i="11"/>
  <c r="B2999" i="11"/>
  <c r="B4652" i="11"/>
  <c r="B517" i="11"/>
  <c r="B4013" i="11"/>
  <c r="B4261" i="11"/>
  <c r="B2636" i="11"/>
  <c r="B2720" i="11"/>
  <c r="B984" i="11"/>
  <c r="B4461" i="11"/>
  <c r="B120" i="11"/>
  <c r="B4859" i="11"/>
  <c r="B4324" i="11"/>
  <c r="B2741" i="11"/>
  <c r="B2085" i="11"/>
  <c r="B1484" i="11"/>
  <c r="B1298" i="11"/>
  <c r="B2224" i="11"/>
  <c r="B4216" i="11"/>
  <c r="B1261" i="11"/>
  <c r="B832" i="11"/>
  <c r="B1134" i="11"/>
  <c r="B2755" i="11"/>
  <c r="B4862" i="11"/>
  <c r="B3966" i="11"/>
  <c r="B1512" i="11"/>
  <c r="B3339" i="11"/>
  <c r="B3954" i="11"/>
  <c r="B679" i="11"/>
  <c r="B3809" i="11"/>
  <c r="B470" i="11"/>
  <c r="B4903" i="11"/>
  <c r="B1540" i="11"/>
  <c r="B323" i="11"/>
  <c r="B2333" i="11"/>
  <c r="B2851" i="11"/>
  <c r="B1323" i="11"/>
  <c r="B1428" i="11"/>
  <c r="B845" i="11"/>
  <c r="B1876" i="11"/>
  <c r="B4201" i="11"/>
  <c r="B1591" i="11"/>
  <c r="B639" i="11"/>
  <c r="B4642" i="11"/>
  <c r="B1418" i="11"/>
  <c r="B2090" i="11"/>
  <c r="B2854" i="11"/>
  <c r="B334" i="11"/>
  <c r="B545" i="11"/>
  <c r="B1792" i="11"/>
  <c r="B2611" i="11"/>
  <c r="B1506" i="11"/>
  <c r="B4586" i="11"/>
  <c r="B270" i="11"/>
  <c r="B877" i="11"/>
  <c r="B4939" i="11"/>
  <c r="B1931" i="11"/>
  <c r="B4414" i="11"/>
  <c r="B2436" i="11"/>
  <c r="B1123" i="11"/>
  <c r="B2957" i="11"/>
  <c r="B4287" i="11"/>
  <c r="B3692" i="11"/>
  <c r="B2955" i="11"/>
  <c r="B2970" i="11"/>
  <c r="B1112" i="11"/>
  <c r="B4507" i="11"/>
  <c r="B3579" i="11"/>
  <c r="B2426" i="11"/>
  <c r="B822" i="11"/>
  <c r="B3681" i="11"/>
  <c r="B130" i="11"/>
  <c r="B2979" i="11"/>
  <c r="B875" i="11"/>
  <c r="B3390" i="11"/>
  <c r="B2704" i="11"/>
  <c r="B939" i="11"/>
  <c r="B2926" i="11"/>
  <c r="B2781" i="11"/>
  <c r="B4449" i="11"/>
  <c r="B2377" i="11"/>
  <c r="B3198" i="11"/>
  <c r="B3425" i="11"/>
  <c r="B582" i="11"/>
  <c r="B145" i="11"/>
  <c r="B2903" i="11"/>
  <c r="B2508" i="11"/>
  <c r="B2159" i="11"/>
  <c r="B3766" i="11"/>
  <c r="B1577" i="11"/>
  <c r="B3014" i="11"/>
  <c r="B3822" i="11"/>
  <c r="B297" i="11"/>
  <c r="B1741" i="11"/>
  <c r="B787" i="11"/>
  <c r="B3332" i="11"/>
  <c r="B841" i="11"/>
  <c r="B4477" i="11"/>
  <c r="B805" i="11"/>
  <c r="B4246" i="11"/>
  <c r="B2025" i="11"/>
  <c r="B1954" i="11"/>
  <c r="B2397" i="11"/>
  <c r="B1705" i="11"/>
  <c r="B2105" i="11"/>
  <c r="B2559" i="11"/>
  <c r="B126" i="11"/>
  <c r="B528" i="11"/>
  <c r="B750" i="11"/>
  <c r="B4748" i="11"/>
  <c r="B1272" i="11"/>
  <c r="B3502" i="11"/>
  <c r="B1492" i="11"/>
  <c r="B4275" i="11"/>
  <c r="B4653" i="11"/>
  <c r="B2516" i="11"/>
  <c r="B57" i="11"/>
  <c r="B597" i="11"/>
  <c r="B3503" i="11"/>
  <c r="B690" i="11"/>
  <c r="B4589" i="11"/>
  <c r="B1735" i="11"/>
  <c r="B2567" i="11"/>
  <c r="B3119" i="11"/>
  <c r="B3633" i="11"/>
  <c r="B1306" i="11"/>
  <c r="B3560" i="11"/>
  <c r="B2163" i="11"/>
  <c r="B930" i="11"/>
  <c r="B177" i="11"/>
  <c r="B3133" i="11"/>
  <c r="B4999" i="11"/>
  <c r="B2438" i="11"/>
  <c r="B397" i="11"/>
  <c r="B727" i="11"/>
  <c r="B2311" i="11"/>
  <c r="B4339" i="11"/>
  <c r="B1029" i="11"/>
  <c r="B1965" i="11"/>
  <c r="B1783" i="11"/>
  <c r="B1918" i="11"/>
  <c r="B3823" i="11"/>
  <c r="B1214" i="11"/>
  <c r="B2143" i="11"/>
  <c r="B1465" i="11"/>
  <c r="B3960" i="11"/>
  <c r="B1009" i="11"/>
  <c r="B1192" i="11"/>
  <c r="B1593" i="11"/>
  <c r="B3036" i="11"/>
  <c r="B2572" i="11"/>
  <c r="B1599" i="11"/>
  <c r="B2390" i="11"/>
  <c r="B4572" i="11"/>
  <c r="B1081" i="11"/>
  <c r="B3921" i="11"/>
  <c r="B3814" i="11"/>
  <c r="B361" i="11"/>
  <c r="B1900" i="11"/>
  <c r="B4772" i="11"/>
  <c r="B2357" i="11"/>
  <c r="B4739" i="11"/>
  <c r="B1991" i="11"/>
  <c r="B121" i="11"/>
  <c r="B3121" i="11"/>
  <c r="B2860" i="11"/>
  <c r="B881" i="11"/>
  <c r="B2156" i="11"/>
  <c r="B3551" i="11"/>
  <c r="B1476" i="11"/>
  <c r="B3701" i="11"/>
  <c r="B2201" i="11"/>
  <c r="B1724" i="11"/>
  <c r="B3844" i="11"/>
  <c r="B4547" i="11"/>
  <c r="B950" i="11"/>
  <c r="B1517" i="11"/>
  <c r="B2453" i="11"/>
  <c r="B2367" i="11"/>
  <c r="B2839" i="11"/>
  <c r="B4670" i="11"/>
  <c r="B2490" i="11"/>
  <c r="B495" i="11"/>
  <c r="B1786" i="11"/>
  <c r="B410" i="11"/>
  <c r="B1525" i="11"/>
  <c r="B248" i="11"/>
  <c r="B3284" i="11"/>
  <c r="B1140" i="11"/>
  <c r="B4044" i="11"/>
  <c r="B896" i="11"/>
  <c r="B1494" i="11"/>
  <c r="B1292" i="11"/>
  <c r="B904" i="11"/>
  <c r="B1425" i="11"/>
  <c r="B2783" i="11"/>
  <c r="B488" i="11"/>
  <c r="B147" i="11"/>
  <c r="B1398" i="11"/>
  <c r="B1342" i="11"/>
  <c r="B265" i="11"/>
  <c r="B800" i="11"/>
  <c r="B775" i="11"/>
  <c r="B133" i="11"/>
  <c r="B2667" i="11"/>
  <c r="B4206" i="11"/>
  <c r="B4650" i="11"/>
  <c r="B1383" i="11"/>
  <c r="B107" i="11"/>
  <c r="B3254" i="11"/>
  <c r="B3615" i="11"/>
  <c r="B1194" i="11"/>
  <c r="B842" i="11"/>
  <c r="B2449" i="11"/>
  <c r="B1795" i="11"/>
  <c r="B4242" i="11"/>
  <c r="B1116" i="11"/>
  <c r="B920" i="11"/>
  <c r="B1467" i="11"/>
  <c r="B2799" i="11"/>
  <c r="B1358" i="11"/>
  <c r="B4421" i="11"/>
  <c r="B1817" i="11"/>
  <c r="B2478" i="11"/>
  <c r="B3069" i="11"/>
  <c r="B1774" i="11"/>
  <c r="B496" i="11"/>
  <c r="B3693" i="11"/>
  <c r="B4379" i="11"/>
  <c r="B1728" i="11"/>
  <c r="B3698" i="11"/>
  <c r="B1024" i="11"/>
  <c r="B4930" i="11"/>
  <c r="B1992" i="11"/>
  <c r="B936" i="11"/>
  <c r="B1288" i="11"/>
  <c r="B2218" i="11"/>
  <c r="B4841" i="11"/>
  <c r="B1124" i="11"/>
  <c r="B13" i="11"/>
  <c r="B1475" i="11"/>
  <c r="B330" i="11"/>
  <c r="B3420" i="11"/>
  <c r="B4452" i="11"/>
  <c r="B339" i="11"/>
  <c r="B2069" i="11"/>
  <c r="B2664" i="11"/>
  <c r="B1365" i="11"/>
  <c r="B3345" i="11"/>
  <c r="B648" i="11"/>
  <c r="B2465" i="11"/>
  <c r="B1902" i="11"/>
  <c r="B3749" i="11"/>
  <c r="B1658" i="11"/>
  <c r="B4904" i="11"/>
  <c r="B524" i="11"/>
  <c r="B1982" i="11"/>
  <c r="B1131" i="11"/>
  <c r="B1278" i="11"/>
  <c r="B4172" i="11"/>
  <c r="B1640" i="11"/>
  <c r="B937" i="11"/>
  <c r="B2796" i="11"/>
  <c r="B1393" i="11"/>
  <c r="B2092" i="11"/>
  <c r="B473" i="11"/>
  <c r="B3290" i="11"/>
  <c r="B321" i="11"/>
  <c r="B2790" i="11"/>
  <c r="B358" i="11"/>
  <c r="B2086" i="11"/>
  <c r="B108" i="11"/>
  <c r="B3054" i="11"/>
  <c r="B4764" i="11"/>
  <c r="B2350" i="11"/>
  <c r="B3301" i="11"/>
  <c r="B2651" i="11"/>
  <c r="B3887" i="11"/>
  <c r="B4390" i="11"/>
  <c r="B1260" i="11"/>
  <c r="B4447" i="11"/>
  <c r="B3147" i="11"/>
  <c r="B451" i="11"/>
  <c r="B4591" i="11"/>
  <c r="B1734" i="11"/>
  <c r="B830" i="11"/>
  <c r="B4740" i="11"/>
  <c r="B2715" i="11"/>
  <c r="B3277" i="11"/>
  <c r="B1195" i="11"/>
  <c r="B1557" i="11"/>
  <c r="B2410" i="11"/>
  <c r="B855" i="11"/>
  <c r="B3857" i="11"/>
  <c r="B3369" i="11"/>
  <c r="B844" i="11"/>
  <c r="B335" i="11"/>
  <c r="B890" i="11"/>
  <c r="B280" i="11"/>
  <c r="B2488" i="11"/>
  <c r="B3460" i="11"/>
  <c r="B1415" i="11"/>
  <c r="B2835" i="11"/>
  <c r="B4940" i="11"/>
  <c r="B2131" i="11"/>
  <c r="B3477" i="11"/>
  <c r="B4203" i="11"/>
  <c r="B1290" i="11"/>
  <c r="B4531" i="11"/>
  <c r="B1887" i="11"/>
  <c r="B3300" i="11"/>
  <c r="B503" i="11"/>
  <c r="B2894" i="11"/>
  <c r="B2005" i="11"/>
  <c r="B2920" i="11"/>
  <c r="B560" i="11"/>
  <c r="B1654" i="11"/>
  <c r="B459" i="11"/>
  <c r="B4120" i="11"/>
  <c r="B668" i="11"/>
  <c r="B4177" i="11"/>
  <c r="B3610" i="11"/>
  <c r="B4853" i="11"/>
  <c r="B3255" i="11"/>
  <c r="B666" i="11"/>
  <c r="B4494" i="11"/>
  <c r="B1753" i="11"/>
  <c r="B2225" i="11"/>
  <c r="B3116" i="11"/>
  <c r="B2259" i="11"/>
  <c r="B3349" i="11"/>
  <c r="B1555" i="11"/>
  <c r="B134" i="11"/>
  <c r="B3639" i="11"/>
  <c r="B1575" i="11"/>
  <c r="B474" i="11"/>
  <c r="B1679" i="11"/>
  <c r="B427" i="11"/>
  <c r="B975" i="11"/>
  <c r="B2923" i="11"/>
  <c r="B2928" i="11"/>
  <c r="B2115" i="11"/>
  <c r="B400" i="11"/>
  <c r="B1411" i="11"/>
  <c r="B362" i="11"/>
  <c r="B4468" i="11"/>
  <c r="B1295" i="11"/>
  <c r="B340" i="11"/>
  <c r="B1630" i="11"/>
  <c r="B10" i="11"/>
  <c r="B3833" i="11"/>
  <c r="B453" i="11"/>
  <c r="B1232" i="11"/>
  <c r="B3309" i="11"/>
  <c r="B211" i="11"/>
  <c r="B886" i="11"/>
  <c r="B2029" i="11"/>
  <c r="B2389" i="11"/>
  <c r="B4504" i="11"/>
  <c r="B4393" i="11"/>
  <c r="B1631" i="11"/>
  <c r="B135" i="11"/>
  <c r="B1914" i="11"/>
  <c r="B346" i="11"/>
  <c r="B1210" i="11"/>
  <c r="B590" i="11"/>
  <c r="B2494" i="11"/>
  <c r="B162" i="11"/>
  <c r="B1790" i="11"/>
  <c r="B3652" i="11"/>
  <c r="B4340" i="11"/>
  <c r="B4517" i="11"/>
  <c r="B1101" i="11"/>
  <c r="B4582" i="11"/>
  <c r="B2604" i="11"/>
  <c r="B409" i="11"/>
  <c r="B4968" i="11"/>
  <c r="B1381" i="11"/>
  <c r="B1181" i="11"/>
  <c r="B3763" i="11"/>
  <c r="B2684" i="11"/>
  <c r="B4851" i="11"/>
  <c r="B2144" i="11"/>
  <c r="B3495" i="11"/>
  <c r="B4672" i="11"/>
  <c r="B1042" i="11"/>
  <c r="B3109" i="11"/>
  <c r="B2222" i="11"/>
  <c r="B4634" i="11"/>
  <c r="B2942" i="11"/>
  <c r="B106" i="11"/>
  <c r="B1972" i="11"/>
  <c r="B4797" i="11"/>
  <c r="B2744" i="11"/>
  <c r="B336" i="11"/>
  <c r="B2040" i="11"/>
  <c r="B480" i="11"/>
  <c r="B1878" i="11"/>
  <c r="B4326" i="11"/>
  <c r="B3733" i="11"/>
  <c r="B1171" i="11"/>
  <c r="B4437" i="11"/>
  <c r="B919" i="11"/>
  <c r="B1324" i="11"/>
  <c r="B4383" i="11"/>
  <c r="B3211" i="11"/>
  <c r="B1337" i="11"/>
  <c r="B2500" i="11"/>
  <c r="B4844" i="11"/>
  <c r="B4164" i="11"/>
  <c r="B585" i="11"/>
  <c r="B4868" i="11"/>
  <c r="B3523" i="11"/>
  <c r="B3398" i="11"/>
  <c r="B185" i="11"/>
  <c r="B3537" i="11"/>
  <c r="B604" i="11"/>
  <c r="B4241" i="11"/>
  <c r="B2109" i="11"/>
  <c r="B1336" i="11"/>
  <c r="B37" i="11"/>
  <c r="B1508" i="11"/>
  <c r="B438" i="11"/>
  <c r="B806" i="11"/>
  <c r="B3878" i="11"/>
  <c r="B1772" i="11"/>
  <c r="B3935" i="11"/>
  <c r="B1068" i="11"/>
  <c r="B387" i="11"/>
  <c r="B110" i="11"/>
  <c r="B4769" i="11"/>
  <c r="B1659" i="11"/>
  <c r="B1455" i="11"/>
  <c r="B547" i="11"/>
  <c r="B745" i="11"/>
  <c r="B124" i="11"/>
  <c r="B4925" i="11"/>
  <c r="B3148" i="11"/>
  <c r="B100" i="11"/>
  <c r="B1182" i="11"/>
  <c r="B293" i="11"/>
  <c r="B2685" i="11"/>
  <c r="B4612" i="11"/>
  <c r="B1307" i="11"/>
  <c r="B4685" i="11"/>
  <c r="B640" i="11"/>
  <c r="B3012" i="11"/>
  <c r="B148" i="11"/>
  <c r="B3985" i="11"/>
  <c r="B1152" i="11"/>
  <c r="B3906" i="11"/>
  <c r="B3031" i="11"/>
  <c r="B3317" i="11"/>
  <c r="B2208" i="11"/>
  <c r="B4299" i="11"/>
  <c r="B3847" i="11"/>
  <c r="B3595" i="11"/>
  <c r="B4551" i="11"/>
  <c r="B2739" i="11"/>
  <c r="B2577" i="11"/>
  <c r="B1005" i="11"/>
  <c r="B2517" i="11"/>
  <c r="B1855" i="11"/>
  <c r="B1035" i="11"/>
  <c r="B3533" i="11"/>
  <c r="B1755" i="11"/>
  <c r="B4237" i="11"/>
  <c r="B2442" i="11"/>
  <c r="B4345" i="11"/>
  <c r="B3655" i="11"/>
  <c r="B551" i="11"/>
  <c r="B1367" i="11"/>
  <c r="B2080" i="11"/>
  <c r="B4659" i="11"/>
  <c r="B3832" i="11"/>
  <c r="B593" i="11"/>
  <c r="B4720" i="11"/>
  <c r="B2331" i="11"/>
  <c r="B2346" i="11"/>
  <c r="B2887" i="11"/>
  <c r="B4025" i="11"/>
  <c r="B2482" i="11"/>
  <c r="B4961" i="11"/>
  <c r="B1984" i="11"/>
  <c r="B4370" i="11"/>
  <c r="B3752" i="11"/>
  <c r="B4010" i="11"/>
  <c r="B4978" i="11"/>
  <c r="B3835" i="11"/>
  <c r="B1189" i="11"/>
  <c r="B4270" i="11"/>
  <c r="B1077" i="11"/>
  <c r="B1141" i="11"/>
  <c r="B4706" i="11"/>
  <c r="B1791" i="11"/>
  <c r="B3812" i="11"/>
  <c r="B3244" i="11"/>
  <c r="B1590" i="11"/>
  <c r="B3303" i="11"/>
  <c r="B1238" i="11"/>
  <c r="B1863" i="11"/>
  <c r="B3202" i="11"/>
  <c r="B2336" i="11"/>
  <c r="B1087" i="11"/>
  <c r="B2254" i="11"/>
  <c r="B2327" i="11"/>
  <c r="B3972" i="11"/>
  <c r="B1218" i="11"/>
  <c r="B348" i="11"/>
  <c r="B2756" i="11"/>
  <c r="B2543" i="11"/>
  <c r="B1021" i="11"/>
  <c r="B1906" i="11"/>
  <c r="B3409" i="11"/>
  <c r="B731" i="11"/>
  <c r="B2930" i="11"/>
  <c r="B3941" i="11"/>
  <c r="B2615" i="11"/>
  <c r="B3424" i="11"/>
  <c r="B2055" i="11"/>
  <c r="B1916" i="11"/>
  <c r="B4145" i="11"/>
  <c r="B3313" i="11"/>
  <c r="B815" i="11"/>
  <c r="B3867" i="11"/>
  <c r="B1399" i="11"/>
  <c r="B2797" i="11"/>
  <c r="B2288" i="11"/>
  <c r="B918" i="11"/>
  <c r="B3675" i="11"/>
  <c r="B4397" i="11"/>
  <c r="B2054" i="11"/>
  <c r="B3296" i="11"/>
  <c r="B284" i="11"/>
  <c r="B3561" i="11"/>
  <c r="B350" i="11"/>
  <c r="B3688" i="11"/>
  <c r="B2420" i="11"/>
  <c r="B4932" i="11"/>
  <c r="B2503" i="11"/>
  <c r="B985" i="11"/>
  <c r="B3260" i="11"/>
  <c r="B4839" i="11"/>
  <c r="B4821" i="11"/>
  <c r="B1070" i="11"/>
  <c r="B1129" i="11"/>
  <c r="B1765" i="11"/>
  <c r="B2591" i="11"/>
  <c r="B4029" i="11"/>
  <c r="B2789" i="11"/>
  <c r="B4998" i="11"/>
  <c r="B373" i="11"/>
  <c r="B3220" i="11"/>
  <c r="B2120" i="11"/>
  <c r="B2861" i="11"/>
  <c r="B1003" i="11"/>
  <c r="B1048" i="11"/>
  <c r="B3232" i="11"/>
  <c r="B4031" i="11"/>
  <c r="B4453" i="11"/>
  <c r="B4798" i="11"/>
  <c r="B4777" i="11"/>
  <c r="B1990" i="11"/>
  <c r="B238" i="11"/>
  <c r="B197" i="11"/>
  <c r="B4388" i="11"/>
  <c r="B466" i="11"/>
  <c r="B1730" i="11"/>
  <c r="B4128" i="11"/>
  <c r="B4738" i="11"/>
  <c r="B1282" i="11"/>
  <c r="B2637" i="11"/>
  <c r="B2600" i="11"/>
  <c r="B2098" i="11"/>
  <c r="B1340" i="11"/>
  <c r="B1108" i="11"/>
  <c r="B2582" i="11"/>
  <c r="B633" i="11"/>
  <c r="B3650" i="11"/>
  <c r="B1031" i="11"/>
  <c r="B2868" i="11"/>
  <c r="B4194" i="11"/>
  <c r="B3706" i="11"/>
  <c r="B3191" i="11"/>
  <c r="B889" i="11"/>
  <c r="B1095" i="11"/>
  <c r="B3035" i="11"/>
  <c r="B4732" i="11"/>
  <c r="B4273" i="11"/>
  <c r="B3931" i="11"/>
  <c r="B4597" i="11"/>
  <c r="B951" i="11"/>
  <c r="B3310" i="11"/>
  <c r="B3821" i="11"/>
  <c r="B4528" i="11"/>
  <c r="B3314" i="11"/>
  <c r="B2847" i="11"/>
  <c r="B2150" i="11"/>
  <c r="B320" i="11"/>
  <c r="B4833" i="11"/>
  <c r="B3484" i="11"/>
  <c r="B603" i="11"/>
  <c r="B1634" i="11"/>
  <c r="B3886" i="11"/>
  <c r="B1932" i="11"/>
  <c r="B1760" i="11"/>
  <c r="B1996" i="11"/>
  <c r="B692" i="11"/>
  <c r="B155" i="11"/>
  <c r="B2310" i="11"/>
  <c r="B3228" i="11"/>
  <c r="B49" i="11"/>
  <c r="B3586" i="11"/>
  <c r="B4152" i="11"/>
  <c r="B1427" i="11"/>
  <c r="B4209" i="11"/>
  <c r="B1955" i="11"/>
  <c r="B3519" i="11"/>
  <c r="B1975" i="11"/>
  <c r="B1908" i="11"/>
  <c r="B549" i="11"/>
  <c r="B2630" i="11"/>
  <c r="B1650" i="11"/>
  <c r="B3557" i="11"/>
  <c r="B760" i="11"/>
  <c r="B4359" i="11"/>
  <c r="B829" i="11"/>
  <c r="B4954" i="11"/>
  <c r="B3112" i="11"/>
  <c r="B1309" i="11"/>
  <c r="B4711" i="11"/>
  <c r="B3073" i="11"/>
  <c r="B4076" i="11"/>
  <c r="B1737" i="11"/>
  <c r="B1395" i="11"/>
  <c r="B4596" i="11"/>
  <c r="B505" i="11"/>
  <c r="B3937" i="11"/>
  <c r="B3051" i="11"/>
  <c r="B4213" i="11"/>
  <c r="B2603" i="11"/>
  <c r="B2091" i="11"/>
  <c r="B4523" i="11"/>
  <c r="B4405" i="11"/>
  <c r="B1570" i="11"/>
  <c r="B870" i="11"/>
  <c r="B2561" i="11"/>
  <c r="B1177" i="11"/>
  <c r="B1451" i="11"/>
  <c r="B3170" i="11"/>
  <c r="B1022" i="11"/>
  <c r="B1509" i="11"/>
  <c r="B1663" i="11"/>
  <c r="B1463" i="11"/>
  <c r="B4207" i="11"/>
  <c r="B2760" i="11"/>
  <c r="B4196" i="11"/>
  <c r="B2817" i="11"/>
  <c r="B4335" i="11"/>
  <c r="B3915" i="11"/>
  <c r="B402" i="11"/>
  <c r="B4064" i="11"/>
  <c r="B1523" i="11"/>
  <c r="B3105" i="11"/>
  <c r="B4271" i="11"/>
  <c r="B3063" i="11"/>
  <c r="B1699" i="11"/>
  <c r="B3217" i="11"/>
  <c r="B1504" i="11"/>
  <c r="B3068" i="11"/>
  <c r="B1567" i="11"/>
  <c r="B3245" i="11"/>
  <c r="B1763" i="11"/>
  <c r="B4854" i="11"/>
  <c r="B2644" i="11"/>
  <c r="B2400" i="11"/>
  <c r="B4263" i="11"/>
  <c r="B2941" i="11"/>
  <c r="B1995" i="11"/>
  <c r="B1369" i="11"/>
  <c r="B1837" i="11"/>
  <c r="B1469" i="11"/>
  <c r="B2674" i="11"/>
  <c r="B4078" i="11"/>
  <c r="B928" i="11"/>
  <c r="B424" i="11"/>
  <c r="B2096" i="11"/>
  <c r="B2107" i="11"/>
  <c r="B3079" i="11"/>
  <c r="B3790" i="11"/>
  <c r="B3373" i="11"/>
  <c r="B643" i="11"/>
  <c r="B3365" i="11"/>
  <c r="B4229" i="11"/>
  <c r="B4892" i="11"/>
  <c r="B1622" i="11"/>
  <c r="B2754" i="11"/>
  <c r="B4613" i="11"/>
  <c r="B2646" i="11"/>
  <c r="B2910" i="11"/>
  <c r="B3589" i="11"/>
  <c r="B4341" i="11"/>
  <c r="B1184" i="11"/>
  <c r="B3258" i="11"/>
  <c r="B3222" i="11"/>
  <c r="B4268" i="11"/>
  <c r="B2518" i="11"/>
  <c r="B4721" i="11"/>
  <c r="B654" i="11"/>
  <c r="B3382" i="11"/>
  <c r="B1250" i="11"/>
  <c r="B3418" i="11"/>
  <c r="B3213" i="11"/>
  <c r="B4363" i="11"/>
  <c r="B4593" i="11"/>
  <c r="B3781" i="11"/>
  <c r="B2489" i="11"/>
  <c r="B4099" i="11"/>
  <c r="B1971" i="11"/>
  <c r="B2706" i="11"/>
  <c r="B4923" i="11"/>
  <c r="B1366" i="11"/>
  <c r="B968" i="11"/>
  <c r="B4038" i="11"/>
  <c r="B2845" i="11"/>
  <c r="B4959" i="11"/>
  <c r="B233" i="11"/>
  <c r="B394" i="11"/>
  <c r="B481" i="11"/>
  <c r="B1937" i="11"/>
  <c r="B2128" i="11"/>
  <c r="B487" i="11"/>
  <c r="B1704" i="11"/>
  <c r="B2770" i="11"/>
  <c r="B754" i="11"/>
  <c r="B2897" i="11"/>
  <c r="B4357" i="11"/>
  <c r="B405" i="11"/>
  <c r="B4522" i="11"/>
  <c r="B4649" i="11"/>
  <c r="B637" i="11"/>
  <c r="B3548" i="11"/>
  <c r="B2119" i="11"/>
  <c r="B2147" i="11"/>
  <c r="B3708" i="11"/>
  <c r="B3711" i="11"/>
  <c r="B784" i="11"/>
  <c r="B2188" i="11"/>
  <c r="B2207" i="11"/>
  <c r="B1945" i="11"/>
  <c r="B2563" i="11"/>
  <c r="B3448" i="11"/>
  <c r="B2899" i="11"/>
  <c r="B4729" i="11"/>
  <c r="B4251" i="11"/>
  <c r="B2001" i="11"/>
  <c r="B1643" i="11"/>
  <c r="B1732" i="11"/>
  <c r="B1754" i="11"/>
  <c r="B2989" i="11"/>
  <c r="B4718" i="11"/>
  <c r="B795" i="11"/>
  <c r="B1373" i="11"/>
  <c r="B3631" i="11"/>
  <c r="B1128" i="11"/>
  <c r="B2110" i="11"/>
  <c r="B4790" i="11"/>
  <c r="B3427" i="11"/>
  <c r="B73" i="11"/>
  <c r="B724" i="11"/>
  <c r="B3199" i="11"/>
  <c r="B2403" i="11"/>
  <c r="B3235" i="11"/>
  <c r="B3894" i="11"/>
  <c r="B740" i="11"/>
  <c r="B2361" i="11"/>
  <c r="B353" i="11"/>
  <c r="B1051" i="11"/>
  <c r="B915" i="11"/>
  <c r="B1362" i="11"/>
  <c r="B184" i="11"/>
  <c r="B1917" i="11"/>
  <c r="B4442" i="11"/>
  <c r="B1213" i="11"/>
  <c r="B2663" i="11"/>
  <c r="B2610" i="11"/>
  <c r="B1419" i="11"/>
  <c r="B3007" i="11"/>
  <c r="B1352" i="11"/>
  <c r="B1962" i="11"/>
  <c r="B2307" i="11"/>
  <c r="B1751" i="11"/>
  <c r="B166" i="11"/>
  <c r="B1047" i="11"/>
  <c r="B254" i="11"/>
  <c r="B1120" i="11"/>
  <c r="B4519" i="11"/>
  <c r="B3648" i="11"/>
  <c r="B2066" i="11"/>
  <c r="B4352" i="11"/>
  <c r="B3246" i="11"/>
  <c r="B1548" i="11"/>
  <c r="B2342" i="11"/>
  <c r="B468" i="11"/>
  <c r="B2309" i="11"/>
  <c r="B333" i="11"/>
  <c r="B58" i="11"/>
  <c r="B4483" i="11"/>
  <c r="B250" i="11"/>
  <c r="B2168" i="11"/>
  <c r="B440" i="11"/>
  <c r="B1464" i="11"/>
  <c r="B4842" i="11"/>
  <c r="B2199" i="11"/>
  <c r="B3622" i="11"/>
  <c r="B2972" i="11"/>
  <c r="B1561" i="11"/>
  <c r="B2843" i="11"/>
  <c r="B3021" i="11"/>
  <c r="B2139" i="11"/>
  <c r="B3791" i="11"/>
  <c r="B63" i="11"/>
  <c r="B1793" i="11"/>
  <c r="B2176" i="11"/>
  <c r="B4450" i="11"/>
  <c r="B1472" i="11"/>
  <c r="B2042" i="11"/>
  <c r="B328" i="11"/>
  <c r="B2104" i="11"/>
  <c r="B464" i="11"/>
  <c r="B4750" i="11"/>
  <c r="B2411" i="11"/>
  <c r="B3788" i="11"/>
  <c r="B1747" i="11"/>
  <c r="B3861" i="11"/>
  <c r="B1043" i="11"/>
  <c r="B198" i="11"/>
  <c r="B2973" i="11"/>
  <c r="B1040" i="11"/>
  <c r="B425" i="11"/>
  <c r="B1167" i="11"/>
  <c r="B491" i="11"/>
  <c r="B3038" i="11"/>
  <c r="B1560" i="11"/>
  <c r="B3304" i="11"/>
  <c r="B675" i="11"/>
  <c r="B879" i="11"/>
  <c r="B42" i="11"/>
  <c r="B2484" i="11"/>
  <c r="B954" i="11"/>
  <c r="B272" i="11"/>
  <c r="B2552" i="11"/>
  <c r="B360" i="11"/>
  <c r="B3324" i="11"/>
  <c r="B755" i="11"/>
  <c r="B2777" i="11"/>
  <c r="B1201" i="11"/>
  <c r="B4555" i="11"/>
  <c r="B2728" i="11"/>
  <c r="B3855" i="11"/>
  <c r="B22" i="11"/>
  <c r="B3238" i="11"/>
  <c r="B302" i="11"/>
  <c r="B2534" i="11"/>
  <c r="B2831" i="11"/>
  <c r="B475" i="11"/>
  <c r="B3166" i="11"/>
  <c r="B156" i="11"/>
  <c r="B4480" i="11"/>
  <c r="B1563" i="11"/>
  <c r="B3542" i="11"/>
  <c r="B3257" i="11"/>
  <c r="B3599" i="11"/>
  <c r="B3018" i="11"/>
  <c r="B381" i="11"/>
  <c r="B3389" i="11"/>
  <c r="B2971" i="11"/>
  <c r="B444" i="11"/>
  <c r="B1853" i="11"/>
  <c r="B4058" i="11"/>
  <c r="B1149" i="11"/>
  <c r="B2019" i="11"/>
  <c r="B3574" i="11"/>
  <c r="B1090" i="11"/>
  <c r="B1565" i="11"/>
  <c r="B2065" i="11"/>
  <c r="B979" i="11"/>
  <c r="B1743" i="11"/>
  <c r="B419" i="11"/>
  <c r="B1039" i="11"/>
  <c r="B9" i="11"/>
  <c r="B2940" i="11"/>
  <c r="B2269" i="11"/>
  <c r="B2266" i="11"/>
  <c r="B2524" i="11"/>
  <c r="B1562" i="11"/>
  <c r="B1820" i="11"/>
  <c r="B1248" i="11"/>
  <c r="B4346" i="11"/>
  <c r="B3039" i="11"/>
  <c r="B3811" i="11"/>
  <c r="B2335" i="11"/>
  <c r="B4883" i="11"/>
  <c r="B86" i="11"/>
  <c r="B2726" i="11"/>
  <c r="B366" i="11"/>
  <c r="B2022" i="11"/>
  <c r="B3113" i="11"/>
  <c r="B2385" i="11"/>
  <c r="B1170" i="11"/>
  <c r="B2625" i="11"/>
  <c r="B2768" i="11"/>
  <c r="B3769" i="11"/>
  <c r="B4603" i="11"/>
  <c r="B4914" i="11"/>
  <c r="B1413" i="11"/>
  <c r="B53" i="11"/>
  <c r="B657" i="11"/>
  <c r="B141" i="11"/>
  <c r="B4222" i="11"/>
  <c r="B2808" i="11"/>
  <c r="B16" i="11"/>
  <c r="B3151" i="11"/>
  <c r="B457" i="11"/>
  <c r="B4103" i="11"/>
  <c r="B222" i="11"/>
  <c r="B3174" i="11"/>
  <c r="B310" i="11"/>
  <c r="B1787" i="11"/>
  <c r="B386" i="11"/>
  <c r="B610" i="11"/>
  <c r="B3055" i="11"/>
  <c r="B1019" i="11"/>
  <c r="B2351" i="11"/>
  <c r="B559" i="11"/>
  <c r="B3084" i="11"/>
  <c r="B4088" i="11"/>
  <c r="B1518" i="11"/>
  <c r="B4133" i="11"/>
  <c r="B808" i="11"/>
  <c r="B4837" i="11"/>
  <c r="B452" i="11"/>
  <c r="B839" i="11"/>
  <c r="B125" i="11"/>
  <c r="B2340" i="11"/>
  <c r="B3488" i="11"/>
  <c r="B2291" i="11"/>
  <c r="B1959" i="11"/>
  <c r="B35" i="11"/>
  <c r="B1255" i="11"/>
  <c r="B123" i="11"/>
  <c r="B2204" i="11"/>
  <c r="B3888" i="11"/>
  <c r="B4430" i="11"/>
  <c r="B2265" i="11"/>
  <c r="B1713" i="11"/>
  <c r="B1672" i="11"/>
  <c r="B4333" i="11"/>
  <c r="B83" i="11"/>
  <c r="B1910" i="11"/>
  <c r="B363" i="11"/>
  <c r="B1206" i="11"/>
  <c r="B3480" i="11"/>
  <c r="B766" i="11"/>
  <c r="B1313" i="11"/>
  <c r="B1441" i="11"/>
  <c r="B4602" i="11"/>
  <c r="B1687" i="11"/>
  <c r="B174" i="11"/>
  <c r="B983" i="11"/>
  <c r="B4899" i="11"/>
  <c r="B2466" i="11"/>
  <c r="B2194" i="11"/>
  <c r="B4224" i="11"/>
  <c r="B1490" i="11"/>
  <c r="B4928" i="11"/>
  <c r="B2345" i="11"/>
  <c r="B3779" i="11"/>
  <c r="B2801" i="11"/>
  <c r="B2705" i="11"/>
  <c r="B189" i="11"/>
  <c r="B3901" i="11"/>
  <c r="B1499" i="11"/>
  <c r="B332" i="11"/>
  <c r="B2365" i="11"/>
  <c r="B715" i="11"/>
  <c r="B1661" i="11"/>
  <c r="B1598" i="11"/>
  <c r="B4267" i="11"/>
  <c r="B697" i="11"/>
  <c r="B2316" i="11"/>
  <c r="B2312" i="11"/>
  <c r="B959" i="11"/>
  <c r="B4799" i="11"/>
  <c r="B3250" i="11"/>
  <c r="B4319" i="11"/>
  <c r="B3275" i="11"/>
  <c r="B835" i="11"/>
  <c r="B911" i="11"/>
  <c r="B4118" i="11"/>
  <c r="B4227" i="11"/>
  <c r="B4822" i="11"/>
  <c r="B934" i="11"/>
  <c r="B4654" i="11"/>
  <c r="B3513" i="11"/>
  <c r="B2320" i="11"/>
  <c r="B4217" i="11"/>
  <c r="B1198" i="11"/>
  <c r="B137" i="11"/>
  <c r="B1989" i="11"/>
  <c r="B229" i="11"/>
  <c r="B1956" i="11"/>
  <c r="B382" i="11"/>
  <c r="B1279" i="11"/>
  <c r="B2588" i="11"/>
  <c r="B1626" i="11"/>
  <c r="B1884" i="11"/>
  <c r="B1127" i="11"/>
  <c r="B3081" i="11"/>
  <c r="B2765" i="11"/>
  <c r="B3114" i="11"/>
  <c r="B2911" i="11"/>
  <c r="B4019" i="11"/>
  <c r="B1283" i="11"/>
  <c r="B4546" i="11"/>
  <c r="B3195" i="11"/>
  <c r="B2991" i="11"/>
  <c r="B955" i="11"/>
  <c r="B2287" i="11"/>
  <c r="B2879" i="11"/>
  <c r="B1207" i="11"/>
  <c r="B1371" i="11"/>
  <c r="B4621" i="11"/>
  <c r="B704" i="11"/>
  <c r="B3024" i="11"/>
  <c r="B413" i="11"/>
  <c r="B831" i="11"/>
  <c r="B2074" i="11"/>
  <c r="B2332" i="11"/>
  <c r="B3975" i="11"/>
  <c r="B2606" i="11"/>
  <c r="B3669" i="11"/>
  <c r="B612" i="11"/>
  <c r="B3734" i="11"/>
  <c r="B2371" i="11"/>
  <c r="B4782" i="11"/>
  <c r="B2772" i="11"/>
  <c r="B1462" i="11"/>
  <c r="B2219" i="11"/>
  <c r="B752" i="11"/>
  <c r="B840" i="11"/>
  <c r="B3555" i="11"/>
  <c r="B927" i="11"/>
  <c r="B4316" i="11"/>
  <c r="B2798" i="11"/>
  <c r="B303" i="11"/>
  <c r="B72" i="11"/>
  <c r="B1571" i="11"/>
  <c r="B1007" i="11"/>
  <c r="B26" i="11"/>
  <c r="B2878" i="11"/>
  <c r="B114" i="11"/>
  <c r="B3264" i="11"/>
  <c r="B4735" i="11"/>
  <c r="B2189" i="11"/>
  <c r="B3494" i="11"/>
  <c r="B1485" i="11"/>
  <c r="B4198" i="11"/>
  <c r="B2137" i="11"/>
  <c r="B4534" i="11"/>
  <c r="B158" i="11"/>
  <c r="B1111" i="11"/>
  <c r="B246" i="11"/>
  <c r="B2299" i="11"/>
  <c r="B2457" i="11"/>
  <c r="B1375" i="11"/>
  <c r="B3868" i="11"/>
  <c r="B660" i="11"/>
  <c r="B105" i="11"/>
  <c r="B3942" i="11"/>
  <c r="B2802" i="11"/>
  <c r="B1281" i="11"/>
  <c r="B3569" i="11"/>
  <c r="B450" i="11"/>
  <c r="B2151" i="11"/>
  <c r="B1452" i="11"/>
  <c r="B3661" i="11"/>
  <c r="B4471" i="11"/>
  <c r="B4409" i="11"/>
  <c r="B2235" i="11"/>
  <c r="B1253" i="11"/>
  <c r="B3879" i="11"/>
  <c r="B2372" i="11"/>
  <c r="B4605" i="11"/>
  <c r="B2174" i="11"/>
  <c r="B1354" i="11"/>
  <c r="B3581" i="11"/>
  <c r="B2223" i="11"/>
  <c r="B4075" i="11"/>
  <c r="B127" i="11"/>
  <c r="B665" i="11"/>
  <c r="B1802" i="11"/>
  <c r="B2145" i="11"/>
  <c r="B1606" i="11"/>
  <c r="B2136" i="11"/>
  <c r="B4072" i="11"/>
  <c r="B1651" i="11"/>
  <c r="B3180" i="11"/>
  <c r="B217" i="11"/>
  <c r="B3498" i="11"/>
  <c r="B1636" i="11"/>
  <c r="B2190" i="11"/>
  <c r="B3307" i="11"/>
  <c r="B1528" i="11"/>
  <c r="B2538" i="11"/>
  <c r="B1686" i="11"/>
  <c r="B2757" i="11"/>
  <c r="B1065" i="11"/>
  <c r="B544" i="11"/>
  <c r="B2212" i="11"/>
  <c r="B4791" i="11"/>
  <c r="B2467" i="11"/>
  <c r="B1815" i="11"/>
  <c r="B3767" i="11"/>
  <c r="B900" i="11"/>
  <c r="B4728" i="11"/>
  <c r="B2126" i="11"/>
  <c r="B4130" i="11"/>
  <c r="B1344" i="11"/>
  <c r="B4084" i="11"/>
  <c r="B3052" i="11"/>
  <c r="B2075" i="11"/>
  <c r="B1977" i="11"/>
  <c r="B3761" i="11"/>
  <c r="B316" i="11"/>
  <c r="B257" i="11"/>
  <c r="B4964" i="11"/>
  <c r="B4371" i="11"/>
  <c r="B1879" i="11"/>
  <c r="B1251" i="11"/>
  <c r="B1862" i="11"/>
  <c r="B2709" i="11"/>
  <c r="B571" i="11"/>
  <c r="B550" i="11"/>
  <c r="B2658" i="11"/>
  <c r="B1059" i="11"/>
  <c r="B1159" i="11"/>
  <c r="B4647" i="11"/>
  <c r="B4924" i="11"/>
  <c r="B2473" i="11"/>
  <c r="B1885" i="11"/>
  <c r="B2406" i="11"/>
  <c r="B2697" i="11"/>
  <c r="B3015" i="11"/>
  <c r="B4283" i="11"/>
  <c r="B1486" i="11"/>
  <c r="B1505" i="11"/>
  <c r="B3161" i="11"/>
  <c r="B4077" i="11"/>
  <c r="B3107" i="11"/>
  <c r="B1813" i="11"/>
  <c r="B1470" i="11"/>
  <c r="B1145" i="11"/>
  <c r="B631" i="11"/>
  <c r="B3510" i="11"/>
  <c r="B4632" i="11"/>
  <c r="B196" i="11"/>
  <c r="B1185" i="11"/>
  <c r="B1236" i="11"/>
  <c r="B1468" i="11"/>
  <c r="B2419" i="11"/>
  <c r="B2483" i="11"/>
  <c r="B2339" i="11"/>
  <c r="B2505" i="11"/>
  <c r="B1798" i="11"/>
  <c r="B3703" i="11"/>
  <c r="B2443" i="11"/>
  <c r="B2924" i="11"/>
  <c r="B2475" i="11"/>
  <c r="B1459" i="11"/>
  <c r="B2035" i="11"/>
  <c r="B2725" i="11"/>
  <c r="B4244" i="11"/>
  <c r="B4304" i="11"/>
  <c r="B3799" i="11"/>
  <c r="B4354" i="11"/>
  <c r="B3028" i="11"/>
  <c r="B3690" i="11"/>
  <c r="B3677" i="11"/>
  <c r="B1771" i="11"/>
  <c r="B4276" i="11"/>
  <c r="B1834" i="11"/>
  <c r="B194" i="11"/>
  <c r="B2359" i="11"/>
  <c r="B1249" i="11"/>
  <c r="B4703" i="11"/>
  <c r="B4375" i="11"/>
  <c r="B4313" i="11"/>
  <c r="B1153" i="11"/>
  <c r="B4834" i="11"/>
  <c r="B3754" i="11"/>
  <c r="B4786" i="11"/>
  <c r="B4481" i="11"/>
  <c r="B3401" i="11"/>
  <c r="B4865" i="11"/>
  <c r="B1345" i="11"/>
  <c r="B4515" i="11"/>
  <c r="B3912" i="11"/>
  <c r="B1259" i="11"/>
  <c r="B4538" i="11"/>
  <c r="B1896" i="11"/>
  <c r="B4697" i="11"/>
  <c r="B3344" i="11"/>
  <c r="B4545" i="11"/>
  <c r="B3514" i="11"/>
  <c r="B3032" i="11"/>
  <c r="B4353" i="11"/>
  <c r="B3357" i="11"/>
  <c r="B3474" i="11"/>
  <c r="B2241" i="11"/>
  <c r="B3649" i="11"/>
  <c r="B4688" i="11"/>
  <c r="B3924" i="11"/>
  <c r="B4552" i="11"/>
  <c r="B3486" i="11"/>
  <c r="B4880" i="11"/>
  <c r="B1919" i="11"/>
  <c r="B4801" i="11"/>
  <c r="B4744" i="11"/>
  <c r="B4637" i="11"/>
  <c r="B2408" i="11"/>
  <c r="B872" i="11"/>
  <c r="B4802" i="11"/>
  <c r="B4298" i="11"/>
  <c r="B4820" i="11"/>
  <c r="B4737" i="11"/>
  <c r="B3856" i="11"/>
  <c r="B4441" i="11"/>
  <c r="B3660" i="11"/>
  <c r="B3125" i="11"/>
  <c r="B3098" i="11"/>
  <c r="B3283" i="11"/>
  <c r="B2690" i="11"/>
  <c r="B3370" i="11"/>
  <c r="B3593" i="11"/>
  <c r="B4361" i="11"/>
  <c r="B4896" i="11"/>
  <c r="B4368" i="11"/>
  <c r="B4347" i="11"/>
  <c r="B5000" i="11"/>
  <c r="B2401" i="11"/>
  <c r="B827" i="11"/>
  <c r="B3013" i="11"/>
  <c r="B1857" i="11"/>
  <c r="B4183" i="11"/>
  <c r="B4424" i="11"/>
  <c r="B4890" i="11"/>
  <c r="B4322" i="11"/>
  <c r="B2434" i="11"/>
  <c r="B3422" i="11"/>
  <c r="B4386" i="11"/>
  <c r="B3720" i="11"/>
  <c r="B1581" i="11"/>
  <c r="B2121" i="11"/>
  <c r="B856" i="11"/>
  <c r="B712" i="11"/>
  <c r="B2301" i="11"/>
  <c r="B2849" i="11"/>
  <c r="B3866" i="11"/>
  <c r="B3943" i="11"/>
  <c r="B3607" i="11"/>
  <c r="B4247" i="11"/>
  <c r="B3550" i="11"/>
  <c r="B702" i="11"/>
  <c r="B3634" i="11"/>
  <c r="B4180" i="11"/>
  <c r="B4161" i="11"/>
  <c r="B3778" i="11"/>
  <c r="B3673" i="11"/>
  <c r="B2297" i="11"/>
  <c r="B3609" i="11"/>
  <c r="B4190" i="11"/>
  <c r="B636" i="11"/>
  <c r="B4624" i="11"/>
  <c r="B4249" i="11"/>
  <c r="B1785" i="11"/>
  <c r="B4112" i="11"/>
  <c r="B4631" i="11"/>
  <c r="B3657" i="11"/>
  <c r="B2943" i="11"/>
  <c r="B1666" i="11"/>
  <c r="B4178" i="11"/>
  <c r="B2881" i="11"/>
  <c r="B4202" i="11"/>
  <c r="B3869" i="11"/>
  <c r="B4445" i="11"/>
  <c r="B3594" i="11"/>
  <c r="B3796" i="11"/>
  <c r="B4768" i="11"/>
  <c r="B4893" i="11"/>
  <c r="B3141" i="11"/>
  <c r="B4887" i="11"/>
  <c r="B3792" i="11"/>
  <c r="B3934" i="11"/>
  <c r="B3860" i="11"/>
  <c r="B1841" i="11"/>
  <c r="B4057" i="11"/>
  <c r="B3786" i="11"/>
  <c r="B4894" i="11"/>
  <c r="B4062" i="11"/>
  <c r="B4872" i="11"/>
  <c r="B2753" i="11"/>
  <c r="B689" i="11"/>
  <c r="B4611" i="11"/>
  <c r="B2569" i="11"/>
  <c r="B3016" i="11"/>
  <c r="B1641" i="11"/>
  <c r="B2689" i="11"/>
  <c r="B1069" i="11"/>
  <c r="B4382" i="11"/>
  <c r="B4889" i="11"/>
  <c r="B1329" i="11"/>
  <c r="B3882" i="11"/>
  <c r="B4633" i="11"/>
  <c r="B2905" i="11"/>
  <c r="B4993" i="11"/>
  <c r="B1273" i="11"/>
  <c r="B3841" i="11"/>
  <c r="B3874" i="11"/>
  <c r="B969" i="11"/>
  <c r="B3490" i="11"/>
  <c r="B3381" i="11"/>
  <c r="B4325" i="11"/>
  <c r="B2030" i="11"/>
  <c r="B1396" i="11"/>
  <c r="B3282" i="11"/>
  <c r="B4600" i="11"/>
  <c r="B1287" i="11"/>
  <c r="B3777" i="11"/>
  <c r="B3988" i="11"/>
  <c r="B4638" i="11"/>
  <c r="B4701" i="11"/>
  <c r="B1889" i="11"/>
  <c r="B4082" i="11"/>
  <c r="B3536" i="11"/>
  <c r="B3664" i="11"/>
  <c r="B4948" i="11"/>
  <c r="B3728" i="11"/>
  <c r="B4436" i="11"/>
  <c r="B905" i="11"/>
  <c r="B2177" i="11"/>
  <c r="B3479" i="11"/>
  <c r="B1740" i="11"/>
  <c r="B4616" i="11"/>
  <c r="B4825" i="11"/>
  <c r="B4510" i="11"/>
  <c r="B4690" i="11"/>
  <c r="B4574" i="11"/>
  <c r="B4866" i="11"/>
  <c r="B3842" i="11"/>
  <c r="B895" i="11"/>
  <c r="B4116" i="11"/>
  <c r="B4823" i="11"/>
  <c r="B749" i="11"/>
  <c r="B4509" i="11"/>
  <c r="B4681" i="11"/>
  <c r="B4955" i="11"/>
  <c r="B4026" i="11"/>
  <c r="B3795" i="11"/>
  <c r="B3863" i="11"/>
  <c r="B4937" i="11"/>
  <c r="B3411" i="11"/>
  <c r="B3784" i="11"/>
  <c r="B1377" i="11"/>
  <c r="B910" i="11"/>
  <c r="B1384" i="11"/>
  <c r="B3741" i="11"/>
  <c r="B4048" i="11"/>
  <c r="B3184" i="11"/>
  <c r="B4759" i="11"/>
  <c r="B4808" i="11"/>
  <c r="B4682" i="11"/>
  <c r="B3585" i="11"/>
  <c r="B4766" i="11"/>
  <c r="B4055" i="11"/>
  <c r="B4439" i="11"/>
  <c r="B4115" i="11"/>
  <c r="B4311" i="11"/>
  <c r="B4994" i="11"/>
  <c r="B1515" i="11"/>
  <c r="B3805" i="11"/>
  <c r="B4318" i="11"/>
  <c r="B2283" i="11"/>
  <c r="B4168" i="11"/>
  <c r="B4189" i="11"/>
  <c r="B4315" i="11"/>
  <c r="B4314" i="11"/>
  <c r="B3362" i="11"/>
  <c r="B1922" i="11"/>
  <c r="B4154" i="11"/>
  <c r="B3721" i="11"/>
  <c r="B4489" i="11"/>
  <c r="B4052" i="11"/>
  <c r="B4411" i="11"/>
  <c r="B3900" i="11"/>
  <c r="B768" i="11"/>
  <c r="B2631" i="11"/>
  <c r="B3158" i="11"/>
  <c r="B1326" i="11"/>
  <c r="B4973" i="11"/>
  <c r="B4472" i="11"/>
  <c r="B2761" i="11"/>
  <c r="B3810" i="11"/>
  <c r="B2965" i="11"/>
  <c r="B3762" i="11"/>
  <c r="B2321" i="11"/>
  <c r="B3600" i="11"/>
  <c r="B3927" i="11"/>
  <c r="B3933" i="11"/>
  <c r="B3614" i="11"/>
  <c r="B1897" i="11"/>
  <c r="B4810" i="11"/>
  <c r="B4503" i="11"/>
  <c r="B843" i="11"/>
  <c r="B3444" i="11"/>
  <c r="B2409" i="11"/>
  <c r="B3393" i="11"/>
  <c r="B4488" i="11"/>
  <c r="B4944" i="11"/>
  <c r="B4553" i="11"/>
  <c r="B2313" i="11"/>
  <c r="B3181" i="11"/>
  <c r="B4986" i="11"/>
  <c r="B4898" i="11"/>
  <c r="B4211" i="11"/>
  <c r="B1929" i="11"/>
  <c r="B3033" i="11"/>
  <c r="B2093" i="11"/>
  <c r="B3408" i="11"/>
  <c r="B4609" i="11"/>
  <c r="B2353" i="11"/>
  <c r="B3256" i="11"/>
  <c r="B3287" i="11"/>
  <c r="B3358" i="11"/>
  <c r="B4105" i="11"/>
  <c r="B4929" i="11"/>
  <c r="B4953" i="11"/>
  <c r="B3053" i="11"/>
  <c r="B4567" i="11"/>
  <c r="B2795" i="11"/>
  <c r="B3156" i="11"/>
  <c r="B4104" i="11"/>
  <c r="B2252" i="11"/>
  <c r="B2369" i="11"/>
  <c r="B2393" i="11"/>
  <c r="B3173" i="11"/>
  <c r="B3224" i="11"/>
  <c r="B4666" i="11"/>
  <c r="B3353" i="11"/>
  <c r="B4041" i="11"/>
  <c r="B4146" i="11"/>
  <c r="B218" i="11"/>
  <c r="B4762" i="11"/>
  <c r="B3417" i="11"/>
  <c r="B4816" i="11"/>
  <c r="B3986" i="11"/>
  <c r="B2958" i="11"/>
  <c r="B2946" i="11"/>
  <c r="B4884" i="11"/>
  <c r="B3364" i="11"/>
  <c r="B2961" i="11"/>
  <c r="B3802" i="11"/>
  <c r="B4756" i="11"/>
  <c r="B3913" i="11"/>
  <c r="B3899" i="11"/>
  <c r="B3642" i="11"/>
  <c r="B3003" i="11"/>
  <c r="B3626" i="11"/>
  <c r="B2253" i="11"/>
  <c r="B1648" i="11"/>
  <c r="B651" i="11"/>
  <c r="B4915" i="11"/>
  <c r="B4040" i="11"/>
  <c r="B1801" i="11"/>
  <c r="B4699" i="11"/>
  <c r="B4289" i="11"/>
  <c r="B4594" i="11"/>
  <c r="B4482" i="11"/>
  <c r="B4832" i="11"/>
  <c r="B4394" i="11"/>
  <c r="B3865" i="11"/>
  <c r="B4253" i="11"/>
  <c r="B4765" i="11"/>
  <c r="B811" i="11"/>
  <c r="B2809" i="11"/>
  <c r="B3801" i="11"/>
  <c r="B873" i="11"/>
  <c r="B1673" i="11"/>
  <c r="B4432" i="11"/>
  <c r="B1049" i="11"/>
  <c r="B4957" i="11"/>
  <c r="B2446" i="11"/>
  <c r="B3354" i="11"/>
  <c r="B3905" i="11"/>
  <c r="B4787" i="11"/>
  <c r="B4425" i="11"/>
  <c r="B3737" i="11"/>
  <c r="B3292" i="11"/>
  <c r="B3713" i="11"/>
  <c r="B2944" i="11"/>
  <c r="B3293" i="11"/>
  <c r="B554" i="11"/>
  <c r="B3549" i="11"/>
  <c r="B1934" i="11"/>
  <c r="B4673" i="11"/>
  <c r="B2431" i="11"/>
  <c r="B3539" i="11"/>
  <c r="B3472" i="11"/>
  <c r="B4829" i="11"/>
  <c r="B4274" i="11"/>
  <c r="B3289" i="11"/>
  <c r="B3132" i="11"/>
  <c r="B3269" i="11"/>
  <c r="B3485" i="11"/>
  <c r="B4169" i="11"/>
  <c r="B3538" i="11"/>
  <c r="B3176" i="11"/>
  <c r="B4003" i="11"/>
  <c r="B3976" i="11"/>
  <c r="B4050" i="11"/>
  <c r="B3329" i="11"/>
  <c r="B3997" i="11"/>
  <c r="B1729" i="11"/>
  <c r="B3041" i="11"/>
  <c r="B4176" i="11"/>
  <c r="B4867" i="11"/>
  <c r="B2605" i="11"/>
  <c r="B3337" i="11"/>
  <c r="B4695" i="11"/>
  <c r="B4419" i="11"/>
  <c r="B2334" i="11"/>
  <c r="B537" i="11"/>
  <c r="B153" i="11"/>
  <c r="B3517" i="11"/>
  <c r="B2056" i="11"/>
  <c r="B2764" i="11"/>
  <c r="B3516" i="11"/>
  <c r="B4297" i="11"/>
  <c r="B898" i="11"/>
  <c r="B4960" i="11"/>
  <c r="B3849" i="11"/>
  <c r="B3970" i="11"/>
  <c r="B3450" i="11"/>
  <c r="B3351" i="11"/>
  <c r="B3993" i="11"/>
  <c r="B2688" i="11"/>
  <c r="B4360" i="11"/>
  <c r="B4500" i="11"/>
  <c r="B4317" i="11"/>
  <c r="B4474" i="11"/>
  <c r="B1410" i="11"/>
  <c r="B4033" i="11"/>
  <c r="B3294" i="11"/>
  <c r="B4378" i="11"/>
  <c r="B4617" i="11"/>
  <c r="B1217" i="11"/>
  <c r="B1665" i="11"/>
  <c r="B4290" i="11"/>
  <c r="B1422" i="11"/>
  <c r="B4752" i="11"/>
  <c r="B3732" i="11"/>
  <c r="B711" i="11"/>
  <c r="B3465" i="11"/>
  <c r="B3998" i="11"/>
  <c r="B4296" i="11"/>
  <c r="B4372" i="11"/>
  <c r="B3806" i="11"/>
  <c r="B1228" i="11"/>
  <c r="B4097" i="11"/>
  <c r="B4121" i="11"/>
  <c r="B1689" i="11"/>
  <c r="B3226" i="11"/>
  <c r="B884" i="11"/>
  <c r="B4745" i="11"/>
  <c r="B4628" i="11"/>
  <c r="B4061" i="11"/>
  <c r="B2178" i="11"/>
  <c r="B3742" i="11"/>
  <c r="B3671" i="11"/>
  <c r="B4692" i="11"/>
  <c r="B4417" i="11"/>
  <c r="B4704" i="11"/>
  <c r="B4778" i="11"/>
  <c r="B3991" i="11"/>
  <c r="B4232" i="11"/>
  <c r="B3588" i="11"/>
  <c r="B437" i="11"/>
  <c r="B1684" i="11"/>
  <c r="B3621" i="11"/>
  <c r="B4214" i="11"/>
  <c r="B3106" i="11"/>
  <c r="B4905" i="11"/>
  <c r="B1154" i="11"/>
  <c r="B3678" i="11"/>
  <c r="B4106" i="11"/>
  <c r="B2865" i="11"/>
  <c r="B4377" i="11"/>
  <c r="B4381" i="11"/>
  <c r="B3543" i="11"/>
  <c r="B3481" i="11"/>
  <c r="B4266" i="11"/>
  <c r="B3280" i="11"/>
  <c r="B4809" i="11"/>
  <c r="B4573" i="11"/>
  <c r="B3330" i="11"/>
  <c r="B1407" i="11"/>
  <c r="B4185" i="11"/>
  <c r="B1609" i="11"/>
  <c r="B4702" i="11"/>
  <c r="B2981" i="11"/>
  <c r="B1297" i="11"/>
  <c r="B3169" i="11"/>
  <c r="B4446" i="11"/>
  <c r="B4658" i="11"/>
  <c r="B3253" i="11"/>
  <c r="B4560" i="11"/>
  <c r="B3870" i="11"/>
  <c r="B771" i="11"/>
  <c r="B3415" i="11"/>
  <c r="B4002" i="11"/>
  <c r="B3658" i="11"/>
  <c r="B4125" i="11"/>
  <c r="B3545" i="11"/>
  <c r="B4564" i="11"/>
  <c r="B4873" i="11"/>
  <c r="B4119" i="11"/>
  <c r="B3045" i="11"/>
  <c r="B4498" i="11"/>
  <c r="B4830" i="11"/>
  <c r="B3969" i="11"/>
  <c r="B3977" i="11"/>
  <c r="B4233" i="11"/>
  <c r="B4126" i="11"/>
  <c r="B3667" i="11"/>
  <c r="B3570" i="11"/>
  <c r="B4714" i="11"/>
  <c r="B4761" i="11"/>
  <c r="B4569" i="11"/>
  <c r="B3920" i="11"/>
  <c r="B4951" i="11"/>
  <c r="B1385" i="11"/>
  <c r="B3529" i="11"/>
  <c r="B3735" i="11"/>
  <c r="B4618" i="11"/>
  <c r="B2496" i="11"/>
  <c r="B3666" i="11"/>
  <c r="B3458" i="11"/>
  <c r="B4505" i="11"/>
  <c r="B3785" i="11"/>
  <c r="B3848" i="11"/>
  <c r="B3208" i="11"/>
  <c r="B4562" i="11"/>
  <c r="B2908" i="11"/>
  <c r="B4936" i="11"/>
  <c r="B3056" i="11"/>
  <c r="B2997" i="11"/>
  <c r="B4958" i="11"/>
  <c r="B3272" i="11"/>
  <c r="B4240" i="11"/>
  <c r="B4308" i="11"/>
  <c r="B3298" i="11"/>
  <c r="B3962" i="11"/>
  <c r="B3421" i="11"/>
  <c r="B3984" i="11"/>
  <c r="B4496" i="11"/>
  <c r="B4680" i="11"/>
  <c r="B3929" i="11"/>
  <c r="B4170" i="11"/>
  <c r="B3457" i="11"/>
  <c r="B4906" i="11"/>
  <c r="B3613" i="11"/>
  <c r="B4225" i="11"/>
  <c r="B4514" i="11"/>
  <c r="B3521" i="11"/>
  <c r="B723" i="11"/>
  <c r="B4254" i="11"/>
  <c r="B3080" i="11"/>
  <c r="D12" i="15" l="1"/>
  <c r="C10" i="15"/>
  <c r="D11" i="15"/>
  <c r="A2" i="24"/>
  <c r="A2" i="25"/>
  <c r="D4" i="15"/>
  <c r="C4" i="15"/>
  <c r="B18" i="16" l="1"/>
  <c r="G18" i="16" s="1"/>
  <c r="C25" i="16"/>
  <c r="C26" i="16" s="1"/>
  <c r="C12" i="15"/>
  <c r="E18" i="16" l="1"/>
  <c r="F18" i="16"/>
  <c r="H18" i="16"/>
  <c r="H31" i="16"/>
  <c r="G30" i="16"/>
  <c r="E30" i="16"/>
  <c r="H32" i="16"/>
  <c r="G31" i="16"/>
  <c r="F30" i="16"/>
  <c r="G32" i="16"/>
  <c r="F31" i="16"/>
  <c r="E32" i="16"/>
  <c r="F32" i="16"/>
  <c r="H30" i="16"/>
  <c r="E31" i="16"/>
  <c r="C6" i="15"/>
  <c r="C8" i="15"/>
  <c r="C28" i="16" l="1"/>
  <c r="C27" i="16"/>
  <c r="C29" i="16"/>
  <c r="A5" i="25"/>
  <c r="C14" i="5" l="1"/>
  <c r="C16" i="5" l="1"/>
  <c r="C13" i="5"/>
  <c r="A4" i="24" s="1"/>
  <c r="B13" i="4" l="1"/>
  <c r="A5" i="24" s="1"/>
  <c r="A6" i="24" s="1"/>
  <c r="C9" i="15"/>
  <c r="C8" i="5"/>
  <c r="C10" i="24" l="1"/>
  <c r="D19" i="4" s="1"/>
  <c r="A10" i="24"/>
  <c r="B19" i="4" s="1"/>
  <c r="B10" i="24"/>
  <c r="C19" i="4" s="1"/>
  <c r="C10" i="5"/>
  <c r="C7" i="15" s="1"/>
  <c r="C7" i="5"/>
  <c r="A4" i="25" s="1"/>
  <c r="A6" i="25" s="1"/>
  <c r="C10" i="25" l="1"/>
  <c r="D18" i="4" s="1"/>
  <c r="A10" i="25"/>
  <c r="B18" i="4" s="1"/>
  <c r="B10" i="25"/>
  <c r="C18" i="4" s="1"/>
  <c r="C20" i="5" l="1"/>
  <c r="C22" i="5" s="1"/>
  <c r="B7" i="16" l="1"/>
  <c r="B8" i="16" s="1"/>
  <c r="B9" i="16" s="1"/>
  <c r="B25" i="16"/>
  <c r="B26" i="16" s="1"/>
  <c r="C21" i="5"/>
  <c r="C13" i="15" s="1"/>
  <c r="C11" i="15"/>
  <c r="B17" i="16"/>
  <c r="F17" i="16" l="1"/>
  <c r="E17" i="16"/>
  <c r="H17" i="16"/>
  <c r="G17" i="16"/>
  <c r="E24" i="16"/>
  <c r="F25" i="16"/>
  <c r="B28" i="16" s="1"/>
  <c r="B20" i="4" s="1"/>
  <c r="G25" i="16"/>
  <c r="H24" i="16"/>
  <c r="F24" i="16"/>
  <c r="B27" i="16" s="1"/>
  <c r="D20" i="4" s="1"/>
  <c r="H26" i="16"/>
  <c r="E25" i="16"/>
  <c r="E26" i="16"/>
  <c r="H25" i="16"/>
  <c r="G26" i="16"/>
  <c r="F26" i="16"/>
  <c r="B29" i="16" s="1"/>
  <c r="C20" i="4" s="1"/>
  <c r="G24" i="16"/>
  <c r="C11" i="16"/>
  <c r="B10" i="16"/>
  <c r="B11" i="16" s="1"/>
  <c r="B12" i="16" s="1"/>
  <c r="C22" i="4" l="1"/>
  <c r="C23" i="4" s="1"/>
  <c r="B22" i="4"/>
  <c r="D5" i="15" s="1"/>
  <c r="E5" i="15" s="1"/>
  <c r="D22" i="4"/>
  <c r="D23" i="4" s="1"/>
  <c r="D6" i="15" l="1"/>
  <c r="D7" i="15" s="1"/>
  <c r="D10" i="15"/>
  <c r="D13" i="15" s="1"/>
  <c r="D8" i="15"/>
  <c r="D9" i="15" s="1"/>
  <c r="B23" i="4"/>
</calcChain>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1">
    <bk>
      <extLst>
        <ext uri="{3e2802c4-a4d2-4d8b-9148-e3be6c30e623}">
          <xlrd:rvb i="0"/>
        </ext>
      </extLst>
    </bk>
  </futureMetadata>
  <valueMetadata count="1">
    <bk>
      <rc t="1" v="0"/>
    </bk>
  </valueMetadata>
</metadata>
</file>

<file path=xl/sharedStrings.xml><?xml version="1.0" encoding="utf-8"?>
<sst xmlns="http://schemas.openxmlformats.org/spreadsheetml/2006/main" count="2818" uniqueCount="722">
  <si>
    <t>MAKE A SELECTION</t>
  </si>
  <si>
    <t>NOTE: If you are seeing issues with the Macros being enabled because of a security violation, see this link.</t>
  </si>
  <si>
    <t>https://support.microsoft.com/en-us/topic/a-potentially-dangerous-macro-has-been-blocked-0952faa0-37e7-4316-b61d-5b5ed6024216</t>
  </si>
  <si>
    <t>rv</t>
  </si>
  <si>
    <t>virtual machines</t>
  </si>
  <si>
    <t>vCPU</t>
  </si>
  <si>
    <t>vMem</t>
  </si>
  <si>
    <t>Total Storage</t>
  </si>
  <si>
    <t>Used Storage</t>
  </si>
  <si>
    <t>Current On-Premise Environment</t>
  </si>
  <si>
    <t>Azure VMware Solution Including Growth</t>
  </si>
  <si>
    <t>Useable Capacity</t>
  </si>
  <si>
    <t>Design Decisions</t>
  </si>
  <si>
    <t>Configurable Vaue</t>
  </si>
  <si>
    <t>Description</t>
  </si>
  <si>
    <t>Slack Space</t>
  </si>
  <si>
    <t>Generally 25-30%, but in larger environments could be less, typically a 25% number is a good conservative estimate</t>
  </si>
  <si>
    <t>Dedupe / Compression Factor</t>
  </si>
  <si>
    <t>No Deduplication = 1 … Choose the deduplication factor you choose, the recommended factor is 1.3 for a conservative estimate</t>
  </si>
  <si>
    <t>Growth % (Overall)</t>
  </si>
  <si>
    <t>How much growth will the environment have, i.e, 20%, 15%, etc…</t>
  </si>
  <si>
    <t>vSAN Configuration</t>
  </si>
  <si>
    <t>FTT=1, Erasure Coding</t>
  </si>
  <si>
    <t>How many failures to tolerate and would you like to use</t>
  </si>
  <si>
    <t>N+ Configuration</t>
  </si>
  <si>
    <t>Use this to make sure then when / if there is a failure of a node there will always be enough disk, CPU and horsepower to not impact the environment</t>
  </si>
  <si>
    <t>Size for Storage Need or Deployed?</t>
  </si>
  <si>
    <t>Deployed</t>
  </si>
  <si>
    <t>If set to Need, then the storage will be size to support the amount of consumption the customer has across all the VMs, if set to Deployed, then the cluster will be sized to fix the entirety of the VMDKs, regardless of consumption.</t>
  </si>
  <si>
    <t>Storage Growth %</t>
  </si>
  <si>
    <t>Overcommit Ratio of CPU (x:1)</t>
  </si>
  <si>
    <t>If importing from RVTools this number will be what is calculated based on the data in RVTools</t>
  </si>
  <si>
    <t>Overcommit Ratio of Memory (x:1)</t>
  </si>
  <si>
    <t>Number of Hosts To Accommodate CPU</t>
  </si>
  <si>
    <t>Number of Hosts To Accommodate Memory</t>
  </si>
  <si>
    <t xml:space="preserve">Number of Hosts To Accommodate Storage </t>
  </si>
  <si>
    <t>The Number of Hosts Needed Based on the Factors Above</t>
  </si>
  <si>
    <t>Limiting Factor</t>
  </si>
  <si>
    <t>Data Imported From</t>
  </si>
  <si>
    <t>needed VMs</t>
  </si>
  <si>
    <t>Mgmt Overhead</t>
  </si>
  <si>
    <t>total vCPU needed</t>
  </si>
  <si>
    <t>overcommit</t>
  </si>
  <si>
    <t>physical CPUs needed</t>
  </si>
  <si>
    <t>AV36p</t>
  </si>
  <si>
    <t>AV52</t>
  </si>
  <si>
    <t>AV36</t>
  </si>
  <si>
    <t>Storage Need (TB)</t>
  </si>
  <si>
    <t>Storage Need + FTT Factor</t>
  </si>
  <si>
    <t>Storage Need + FTT Factor - Dedupe Factor (TB)</t>
  </si>
  <si>
    <t>Storage Need + FTT Factor - Dedupe Factor + Slack (TB)</t>
  </si>
  <si>
    <t>Storage Need + FTT Factor - Dedupe Factor + Slack + Dedupe Overhead (TB)</t>
  </si>
  <si>
    <t>Storage Need + FTT Factor - Dedupe Factor + Slack + Dedupe Overhead + Misc Overhead (TB)</t>
  </si>
  <si>
    <t xml:space="preserve">FTT=1 </t>
  </si>
  <si>
    <t>FTT=2</t>
  </si>
  <si>
    <t>FTT=2, Erasure Coding</t>
  </si>
  <si>
    <t>Deployed Storage (TB) + Growth - Dedupe and Compression + Mgmt Workloads</t>
  </si>
  <si>
    <t>Deployed Storage Consumed (TB) + Growth - Dedupe and Compression + Mgmt Workloads</t>
  </si>
  <si>
    <t>Need</t>
  </si>
  <si>
    <t>Consumed</t>
  </si>
  <si>
    <t>DEPLOYED</t>
  </si>
  <si>
    <t>Storage Need - Dedupe</t>
  </si>
  <si>
    <t>AV36 Hosts</t>
  </si>
  <si>
    <t xml:space="preserve">AV36P Hosts </t>
  </si>
  <si>
    <t>CONSUMED</t>
  </si>
  <si>
    <t xml:space="preserve">AV52 Hosts </t>
  </si>
  <si>
    <t>Model</t>
  </si>
  <si>
    <t>AV64</t>
  </si>
  <si>
    <t>CPU GHz</t>
  </si>
  <si>
    <t>Number of Processors</t>
  </si>
  <si>
    <t>Core Per Processor</t>
  </si>
  <si>
    <t>Total Cores</t>
  </si>
  <si>
    <t>Memory (GB)</t>
  </si>
  <si>
    <t>Capacity Disk Size (GB)</t>
  </si>
  <si>
    <t>Number of Disks</t>
  </si>
  <si>
    <t>Total RAW Storage (TB)</t>
  </si>
  <si>
    <t>RAW MINUS SLACK</t>
  </si>
  <si>
    <t>SLACK SPACE</t>
  </si>
  <si>
    <t>Useable Storage in TB (RAW-SLACK-OVERHEAD)</t>
  </si>
  <si>
    <t>VMs Per Host</t>
  </si>
  <si>
    <t>Cores</t>
  </si>
  <si>
    <t>Host Memory</t>
  </si>
  <si>
    <t>Hosts From vInfo</t>
  </si>
  <si>
    <t>All CPUs from all the VMs</t>
  </si>
  <si>
    <t>All Memory from All the VMs</t>
  </si>
  <si>
    <t>Capacity MB From vInfo</t>
  </si>
  <si>
    <t>Free MB From vInfo</t>
  </si>
  <si>
    <t>In Use MB From vInfo</t>
  </si>
  <si>
    <t>Options for Dedupe</t>
  </si>
  <si>
    <t>Count of VMs</t>
  </si>
  <si>
    <t>Sum of CPUs</t>
  </si>
  <si>
    <t>Memory Deployed</t>
  </si>
  <si>
    <t>Consumed Storage</t>
  </si>
  <si>
    <t>Storage Capacity</t>
  </si>
  <si>
    <t>Options for CPU Overcommit</t>
  </si>
  <si>
    <t>Current On-Prem Ratio</t>
  </si>
  <si>
    <t>Sizing Input From RVTools</t>
  </si>
  <si>
    <t>VMs</t>
  </si>
  <si>
    <t>Hosts</t>
  </si>
  <si>
    <t>Compute</t>
  </si>
  <si>
    <t>Average vCPU Per VM</t>
  </si>
  <si>
    <t>Total vCPU Deployed</t>
  </si>
  <si>
    <t>Total Physical Cores</t>
  </si>
  <si>
    <t>vCPU:pCPU Overcommit</t>
  </si>
  <si>
    <t>Memory</t>
  </si>
  <si>
    <t>Average vMem per VM (GB)</t>
  </si>
  <si>
    <t>Total vMem Deployed (GB)</t>
  </si>
  <si>
    <t>Total Physical Memory (GB)</t>
  </si>
  <si>
    <t>vMem:pMem Overcommit</t>
  </si>
  <si>
    <t>Storage</t>
  </si>
  <si>
    <t xml:space="preserve">Consumed Storage Across VMs - TB  </t>
  </si>
  <si>
    <t>Storage Deployed to VMs - TB</t>
  </si>
  <si>
    <t>Storage Utilization %</t>
  </si>
  <si>
    <t>Average Storage per VM (GB)</t>
  </si>
  <si>
    <t>Mgmt Reservations</t>
  </si>
  <si>
    <t>total memory needed</t>
  </si>
  <si>
    <t>physical memory needed</t>
  </si>
  <si>
    <t>Host</t>
  </si>
  <si>
    <t>Datacenter</t>
  </si>
  <si>
    <t>Cluster</t>
  </si>
  <si>
    <t>Config status</t>
  </si>
  <si>
    <t>in Maintenance Mode</t>
  </si>
  <si>
    <t>in Quarantine Mode</t>
  </si>
  <si>
    <t>vSAN Fault Domain Name</t>
  </si>
  <si>
    <t>CPU Model</t>
  </si>
  <si>
    <t>Speed</t>
  </si>
  <si>
    <t>HT Available</t>
  </si>
  <si>
    <t>HT Active</t>
  </si>
  <si>
    <t># CPU</t>
  </si>
  <si>
    <t>Cores per CPU</t>
  </si>
  <si>
    <t># Cores</t>
  </si>
  <si>
    <t>CPU usage %</t>
  </si>
  <si>
    <t># Memory</t>
  </si>
  <si>
    <t>Memory usage %</t>
  </si>
  <si>
    <t>Console</t>
  </si>
  <si>
    <t># NICs</t>
  </si>
  <si>
    <t># HBAs</t>
  </si>
  <si>
    <t># VMs total</t>
  </si>
  <si>
    <t># VMs</t>
  </si>
  <si>
    <t>VMs per Core</t>
  </si>
  <si>
    <t># vCPUs</t>
  </si>
  <si>
    <t>vCPUs per Core</t>
  </si>
  <si>
    <t>vRAM</t>
  </si>
  <si>
    <t>VM Used memory</t>
  </si>
  <si>
    <t>VM Memory Swapped</t>
  </si>
  <si>
    <t>VM Memory Ballooned</t>
  </si>
  <si>
    <t>VMotion support</t>
  </si>
  <si>
    <t>Storage VMotion support</t>
  </si>
  <si>
    <t>Current EVC</t>
  </si>
  <si>
    <t>Max EVC</t>
  </si>
  <si>
    <t>Assigned License(s)</t>
  </si>
  <si>
    <t>ATS Heartbeat</t>
  </si>
  <si>
    <t>ATS Locking</t>
  </si>
  <si>
    <t>Current CPU power man. policy</t>
  </si>
  <si>
    <t>Supported CPU power man.</t>
  </si>
  <si>
    <t>Host Power Policy</t>
  </si>
  <si>
    <t>ESX Version</t>
  </si>
  <si>
    <t>Boot time</t>
  </si>
  <si>
    <t>DNS Servers</t>
  </si>
  <si>
    <t>DHCP</t>
  </si>
  <si>
    <t>Domain</t>
  </si>
  <si>
    <t>DNS Search Order</t>
  </si>
  <si>
    <t>NTP Server(s)</t>
  </si>
  <si>
    <t>NTPD running</t>
  </si>
  <si>
    <t>Time Zone</t>
  </si>
  <si>
    <t>Time Zone Name</t>
  </si>
  <si>
    <t>GMT Offset</t>
  </si>
  <si>
    <t>Vendor</t>
  </si>
  <si>
    <t>Serial number</t>
  </si>
  <si>
    <t>Service tag</t>
  </si>
  <si>
    <t>OEM specific string</t>
  </si>
  <si>
    <t>BIOS Vendor</t>
  </si>
  <si>
    <t>BIOS Version</t>
  </si>
  <si>
    <t>BIOS Date</t>
  </si>
  <si>
    <t>Object ID</t>
  </si>
  <si>
    <t>AutoDeploy.MachineIdentity</t>
  </si>
  <si>
    <t>VI SDK Server</t>
  </si>
  <si>
    <t>VI SDK UUID</t>
  </si>
  <si>
    <t>gray</t>
  </si>
  <si>
    <t>False</t>
  </si>
  <si>
    <t>True</t>
  </si>
  <si>
    <t>green</t>
  </si>
  <si>
    <t>intel-broadwell</t>
  </si>
  <si>
    <t>intel-skylake</t>
  </si>
  <si>
    <t>yellow</t>
  </si>
  <si>
    <t>Intel(R) Xeon(R) Gold 6140 CPU @ 2.30GHz</t>
  </si>
  <si>
    <t>Balanced</t>
  </si>
  <si>
    <t>ACPI C-states</t>
  </si>
  <si>
    <t>dynamic</t>
  </si>
  <si>
    <t>UTC</t>
  </si>
  <si>
    <t>Dell Inc.</t>
  </si>
  <si>
    <t>PowerEdge R640</t>
  </si>
  <si>
    <t>19[1]</t>
  </si>
  <si>
    <t>VM</t>
  </si>
  <si>
    <t>Powerstate</t>
  </si>
  <si>
    <t>Template</t>
  </si>
  <si>
    <t>SRM Placeholder</t>
  </si>
  <si>
    <t>DNS Name</t>
  </si>
  <si>
    <t>Connection state</t>
  </si>
  <si>
    <t>Guest state</t>
  </si>
  <si>
    <t>Heartbeat</t>
  </si>
  <si>
    <t>Consolidation Needed</t>
  </si>
  <si>
    <t>PowerOn</t>
  </si>
  <si>
    <t>Suspend time</t>
  </si>
  <si>
    <t>Creation date</t>
  </si>
  <si>
    <t>Change Version</t>
  </si>
  <si>
    <t>CPUs</t>
  </si>
  <si>
    <t>NICs</t>
  </si>
  <si>
    <t>Disks</t>
  </si>
  <si>
    <t>Latency Sensitivity</t>
  </si>
  <si>
    <t>EnableUUID</t>
  </si>
  <si>
    <t>CBT</t>
  </si>
  <si>
    <t>Primary IP Address</t>
  </si>
  <si>
    <t>Network #1</t>
  </si>
  <si>
    <t>Network #2</t>
  </si>
  <si>
    <t>Network #3</t>
  </si>
  <si>
    <t>Network #4</t>
  </si>
  <si>
    <t>Network #5</t>
  </si>
  <si>
    <t>Network #6</t>
  </si>
  <si>
    <t>Network #7</t>
  </si>
  <si>
    <t>Network #8</t>
  </si>
  <si>
    <t>Num Monitors</t>
  </si>
  <si>
    <t>Video Ram KiB</t>
  </si>
  <si>
    <t>Resource pool</t>
  </si>
  <si>
    <t>Folder</t>
  </si>
  <si>
    <t>vApp</t>
  </si>
  <si>
    <t>DAS protection</t>
  </si>
  <si>
    <t>FT State</t>
  </si>
  <si>
    <t>FT Latency</t>
  </si>
  <si>
    <t>FT Bandwidth</t>
  </si>
  <si>
    <t>FT Sec. Latency</t>
  </si>
  <si>
    <t>Provisioned MiB</t>
  </si>
  <si>
    <t>In Use MiB</t>
  </si>
  <si>
    <t>Unshared MiB</t>
  </si>
  <si>
    <t>HA Restart Priority</t>
  </si>
  <si>
    <t>HA Isolation Response</t>
  </si>
  <si>
    <t>HA VM Monitoring</t>
  </si>
  <si>
    <t>Cluster rule(s)</t>
  </si>
  <si>
    <t>Cluster rule name(s)</t>
  </si>
  <si>
    <t>Boot Required</t>
  </si>
  <si>
    <t>Boot delay</t>
  </si>
  <si>
    <t>Boot retry delay</t>
  </si>
  <si>
    <t>Boot retry enabled</t>
  </si>
  <si>
    <t>Boot BIOS setup</t>
  </si>
  <si>
    <t>Firmware</t>
  </si>
  <si>
    <t>HW version</t>
  </si>
  <si>
    <t>HW upgrade status</t>
  </si>
  <si>
    <t>HW upgrade policy</t>
  </si>
  <si>
    <t>HW target</t>
  </si>
  <si>
    <t>Path</t>
  </si>
  <si>
    <t>Log directory</t>
  </si>
  <si>
    <t>Snapshot directory</t>
  </si>
  <si>
    <t>Suspend directory</t>
  </si>
  <si>
    <t>Annotation</t>
  </si>
  <si>
    <t>OS according to the configuration file</t>
  </si>
  <si>
    <t>OS according to the VMware Tools</t>
  </si>
  <si>
    <t>VM ID</t>
  </si>
  <si>
    <t>VM UUID</t>
  </si>
  <si>
    <t>VI SDK Server type</t>
  </si>
  <si>
    <t>VI SDK API Version</t>
  </si>
  <si>
    <t>poweredOn</t>
  </si>
  <si>
    <t>connected</t>
  </si>
  <si>
    <t>running</t>
  </si>
  <si>
    <t>normal</t>
  </si>
  <si>
    <t>notConfigured</t>
  </si>
  <si>
    <t>bios</t>
  </si>
  <si>
    <t>none</t>
  </si>
  <si>
    <t>never</t>
  </si>
  <si>
    <t>SUSE Linux Enterprise 11 (64-bit)</t>
  </si>
  <si>
    <t>poweredOff</t>
  </si>
  <si>
    <t>notRunning</t>
  </si>
  <si>
    <t>Microsoft Windows 10 (64-bit)</t>
  </si>
  <si>
    <t>Microsoft Windows Server 2016 or later (64-bit)</t>
  </si>
  <si>
    <t>Other 2.6.x Linux (64-bit)</t>
  </si>
  <si>
    <t>Microsoft Windows Server 2012 (64-bit)</t>
  </si>
  <si>
    <t>intel-haswell</t>
  </si>
  <si>
    <t>intel-ivybridge</t>
  </si>
  <si>
    <t>Microsoft Windows Server 2008 R2 (64-bit)</t>
  </si>
  <si>
    <t>intel-sandybridge</t>
  </si>
  <si>
    <t>low</t>
  </si>
  <si>
    <t>CATEGORY</t>
  </si>
  <si>
    <t>Windows</t>
  </si>
  <si>
    <t>Linux</t>
  </si>
  <si>
    <t>C:\Users\tredavis\OneDrive - Microsoft\GitHub\Azure VMware Solution\AVS-Sizer\dev\pasgp339vmwvc01.bdx.com.xlsx</t>
  </si>
  <si>
    <t>pasgp339vmwvc01.bdx.com.xlsx</t>
  </si>
  <si>
    <t>apsgtuvms005.bdx.com</t>
  </si>
  <si>
    <t>Tuas</t>
  </si>
  <si>
    <t>Decommission</t>
  </si>
  <si>
    <t>Intel(R) Xeon(R) CPU E5-2660 v2 @ 2.20GHz</t>
  </si>
  <si>
    <t>9143J-#####-#####-#####-AE0L0</t>
  </si>
  <si>
    <t>VMware ESXi 6.5.0 build-16576891</t>
  </si>
  <si>
    <t>10.192.3.26, 10.2.3.83</t>
  </si>
  <si>
    <t>bdx.com</t>
  </si>
  <si>
    <t>time1.global.bdx.com, time2.global.bdx.com, time3.global.bdx.com</t>
  </si>
  <si>
    <t>PowerEdge R720</t>
  </si>
  <si>
    <t>5MXTQ12</t>
  </si>
  <si>
    <t>17[FFFFFFFFFFFFFFFF]</t>
  </si>
  <si>
    <t>2.9.0</t>
  </si>
  <si>
    <t>host-5524</t>
  </si>
  <si>
    <t>pasgp339vmwvc01.bdx.com</t>
  </si>
  <si>
    <t>apsgtuvms007.bdx.com</t>
  </si>
  <si>
    <t>5TP0X02</t>
  </si>
  <si>
    <t>host-5657</t>
  </si>
  <si>
    <t>apsgtuvms008.bdx.com</t>
  </si>
  <si>
    <t>Intel(R) Xeon(R) CPU E5-2690 v2 @ 3.00GHz</t>
  </si>
  <si>
    <t>CCM7F22</t>
  </si>
  <si>
    <t>host-5437</t>
  </si>
  <si>
    <t>apsgtuvms009.bdx.com</t>
  </si>
  <si>
    <t>1DM7F22</t>
  </si>
  <si>
    <t>host-5683</t>
  </si>
  <si>
    <t>apsgtuvms011.bdx.com</t>
  </si>
  <si>
    <t>GMXTQ12</t>
  </si>
  <si>
    <t>host-5701</t>
  </si>
  <si>
    <t>apsgtuvms012.bdx.com</t>
  </si>
  <si>
    <t>Intel(R) Xeon(R) CPU E5-2680 v2 @ 2.80GHz</t>
  </si>
  <si>
    <t>4ZQV622</t>
  </si>
  <si>
    <t>host-5719</t>
  </si>
  <si>
    <t>apsgtuvms013.bdx.com</t>
  </si>
  <si>
    <t>Tuas_Cluster2</t>
  </si>
  <si>
    <t>Intel(R) Xeon(R) CPU E5-2690 v3 @ 2.60GHz</t>
  </si>
  <si>
    <t>5528N-#####-#####-#####-85HM0</t>
  </si>
  <si>
    <t>VMware ESXi 7.0.3 build-20328353</t>
  </si>
  <si>
    <t>PowerEdge R730</t>
  </si>
  <si>
    <t>5MWRY42</t>
  </si>
  <si>
    <t>2.11.0</t>
  </si>
  <si>
    <t>host-5633</t>
  </si>
  <si>
    <t>apsgtuvms014.bdx.com</t>
  </si>
  <si>
    <t>B7WVY42</t>
  </si>
  <si>
    <t>host-5610</t>
  </si>
  <si>
    <t>apsgtuvms015.bdx.com</t>
  </si>
  <si>
    <t>Intel(R) Xeon(R) Gold 6134 CPU @ 3.20GHz</t>
  </si>
  <si>
    <t>PowerEdge R740</t>
  </si>
  <si>
    <t>CXX89V2</t>
  </si>
  <si>
    <t>2.15.1</t>
  </si>
  <si>
    <t>host-5508</t>
  </si>
  <si>
    <t>kulvmwesx03.ap.ad.crbard.com</t>
  </si>
  <si>
    <t>Kulim</t>
  </si>
  <si>
    <t>KulimCluster02</t>
  </si>
  <si>
    <t>Intel(R) Xeon(R) CPU E5-2695 v4 @ 2.10GHz</t>
  </si>
  <si>
    <t>10.192.99.32, 172.26.51.14, 172.21.46.11, 172.26.56.100</t>
  </si>
  <si>
    <t>ap.ad.crbard.com</t>
  </si>
  <si>
    <t>ntp.crbard.com, time1.global.bdx.com, time2.global.bdx.com, time3.global.bdx.com</t>
  </si>
  <si>
    <t>PowerEdge M630 (VRTX)</t>
  </si>
  <si>
    <t>7G9QZL2</t>
  </si>
  <si>
    <t>2.15.0</t>
  </si>
  <si>
    <t>host-5259</t>
  </si>
  <si>
    <t>kulvmwesx04.ap.ad.crbard.com</t>
  </si>
  <si>
    <t>7G8SZL2</t>
  </si>
  <si>
    <t>host-5256</t>
  </si>
  <si>
    <t>kulvmwesx05.ap.ad.crbard.com</t>
  </si>
  <si>
    <t>10.192.99.32, 172.26.51.14</t>
  </si>
  <si>
    <t>7G9NZL2</t>
  </si>
  <si>
    <t>host-4812</t>
  </si>
  <si>
    <t>pvaus010esx01.bdx.com</t>
  </si>
  <si>
    <t>AUS35 - North Ryde</t>
  </si>
  <si>
    <t>AUS35</t>
  </si>
  <si>
    <t>Intel(R) Xeon(R) CPU E5-2640 v3 @ 2.60GHz</t>
  </si>
  <si>
    <t>VMware ESXi 7.0.3 build-19482537</t>
  </si>
  <si>
    <t>10.2.3.85, 10.2.3.83</t>
  </si>
  <si>
    <t>carefusion.com</t>
  </si>
  <si>
    <t>PowerEdge R630</t>
  </si>
  <si>
    <t>CZLV252</t>
  </si>
  <si>
    <t>2.13.0</t>
  </si>
  <si>
    <t>host-1271</t>
  </si>
  <si>
    <t>pvaus010esx02.bdx.com</t>
  </si>
  <si>
    <t>3BNRG52</t>
  </si>
  <si>
    <t>host-1283</t>
  </si>
  <si>
    <t>pvchn120blesx01.bdx.com</t>
  </si>
  <si>
    <t>Shanghai</t>
  </si>
  <si>
    <t>CHN34</t>
  </si>
  <si>
    <t>10.2.3.83, 10.2.3.82</t>
  </si>
  <si>
    <t>BDX.COM</t>
  </si>
  <si>
    <t>BDFTVL2</t>
  </si>
  <si>
    <t>host-1436</t>
  </si>
  <si>
    <t>pvchn120blesx02.bdx.com</t>
  </si>
  <si>
    <t>BDGYVL2</t>
  </si>
  <si>
    <t>host-1404</t>
  </si>
  <si>
    <t>pvchn120blesx03.bdx.com</t>
  </si>
  <si>
    <t>BDGWVL2</t>
  </si>
  <si>
    <t>host-1395</t>
  </si>
  <si>
    <t>pvchn480esx01.bdx.com</t>
  </si>
  <si>
    <t>Suzhou</t>
  </si>
  <si>
    <t>SZ2-Cluster</t>
  </si>
  <si>
    <t>Intel(R) Xeon(R) Gold 6140M CPU @ 2.30GHz</t>
  </si>
  <si>
    <t>B0NY1S2</t>
  </si>
  <si>
    <t>2.14.2</t>
  </si>
  <si>
    <t>host-1326</t>
  </si>
  <si>
    <t>pvchn480esx02.bdx.com</t>
  </si>
  <si>
    <t>B0QZ1S2</t>
  </si>
  <si>
    <t>host-1316</t>
  </si>
  <si>
    <t>pvchn510rmesx01.bdx.com</t>
  </si>
  <si>
    <t>China-Flush</t>
  </si>
  <si>
    <t>China-Flush_chn51</t>
  </si>
  <si>
    <t>Intel(R) Xeon(R) Gold 6240 CPU @ 2.60GHz</t>
  </si>
  <si>
    <t>intel-cascadelake</t>
  </si>
  <si>
    <t>10.2.3.82, 10.2.3.83</t>
  </si>
  <si>
    <t>PVCHN510RMESX01.bdx.com</t>
  </si>
  <si>
    <t>5546Y23</t>
  </si>
  <si>
    <t>host-1365</t>
  </si>
  <si>
    <t>pvchn510rmesx02.bdx.com</t>
  </si>
  <si>
    <t>PVCHN510RMESX02.bdx.com</t>
  </si>
  <si>
    <t>5538Y23</t>
  </si>
  <si>
    <t>host-1354</t>
  </si>
  <si>
    <t>pvind040esx04.carefusion.com</t>
  </si>
  <si>
    <t>IND</t>
  </si>
  <si>
    <t>Chandigarh</t>
  </si>
  <si>
    <t>10.221.4.39, 10.196.4.10</t>
  </si>
  <si>
    <t>8X0R542</t>
  </si>
  <si>
    <t>2.14.0</t>
  </si>
  <si>
    <t>host-1054</t>
  </si>
  <si>
    <t>pvind040esx05.carefusion.com</t>
  </si>
  <si>
    <t>9QTQ542</t>
  </si>
  <si>
    <t>host-1084</t>
  </si>
  <si>
    <t>pvind040esx06.carefusion.com</t>
  </si>
  <si>
    <t>7PTQ542</t>
  </si>
  <si>
    <t>host-1042</t>
  </si>
  <si>
    <t>pvind110rmesx01.bdx.com</t>
  </si>
  <si>
    <t>Bangalore-BDTCI</t>
  </si>
  <si>
    <t>Intel(R) Xeon(R) Gold 6240M CPU @ 2.60GHz</t>
  </si>
  <si>
    <t>B64GY23</t>
  </si>
  <si>
    <t>2.13.3</t>
  </si>
  <si>
    <t>host-1011</t>
  </si>
  <si>
    <t>pvind110rmesx02.bdx.com</t>
  </si>
  <si>
    <t>170G833</t>
  </si>
  <si>
    <t>host-1019</t>
  </si>
  <si>
    <t>pvind110rmesx03.bdx.com</t>
  </si>
  <si>
    <t>BDKJM93</t>
  </si>
  <si>
    <t>host-1031</t>
  </si>
  <si>
    <t>pvmys020blesx01.bdx.com</t>
  </si>
  <si>
    <t>Kuala-Lumpur</t>
  </si>
  <si>
    <t>MYS02_NON-PROD-02</t>
  </si>
  <si>
    <t>PowerEdge M640 (VRTX)</t>
  </si>
  <si>
    <t>476SB03</t>
  </si>
  <si>
    <t>host-1168</t>
  </si>
  <si>
    <t>pvmys020blesx02.bdx.com</t>
  </si>
  <si>
    <t>476QB03</t>
  </si>
  <si>
    <t>host-1176</t>
  </si>
  <si>
    <t>pvmys020esx03.bdx.com</t>
  </si>
  <si>
    <t>MYS02_CLUSTER01</t>
  </si>
  <si>
    <t>Intel(R) Xeon(R) CPU E5-2640 v4 @ 2.40GHz</t>
  </si>
  <si>
    <t>3WR1DK2</t>
  </si>
  <si>
    <t>host-1135</t>
  </si>
  <si>
    <t>pvmys020esx04.bdx.com</t>
  </si>
  <si>
    <t>J51HHJ2</t>
  </si>
  <si>
    <t>host-1132</t>
  </si>
  <si>
    <t>pvmys020kltsc04.bdx.com</t>
  </si>
  <si>
    <t>Intel(R) Xeon(R) CPU E5-2650 v4 @ 2.20GHz</t>
  </si>
  <si>
    <t>VMware ESXi 7.0.3 build-19898904</t>
  </si>
  <si>
    <t>10.242.177.31, 10.190.8.85</t>
  </si>
  <si>
    <t>tock.carefusion.com, tick.carefusion.com</t>
  </si>
  <si>
    <t>PowerEdge T630</t>
  </si>
  <si>
    <t>G83JRD2</t>
  </si>
  <si>
    <t>19[?]</t>
  </si>
  <si>
    <t>host-4329</t>
  </si>
  <si>
    <t>pvsgp330rmesx01.bdx.com</t>
  </si>
  <si>
    <t>3TJ7NX2</t>
  </si>
  <si>
    <t>host-5500</t>
  </si>
  <si>
    <t>pvsgp330rmesx02.bdx.com</t>
  </si>
  <si>
    <t>time1.global.bdx.com, time2.global.bdx.com, time3.global3.bdx.com</t>
  </si>
  <si>
    <t>4FN8NX2</t>
  </si>
  <si>
    <t>host-5552</t>
  </si>
  <si>
    <t>pvsgp330rmesx03.bdx.com</t>
  </si>
  <si>
    <t>5QLBNX2</t>
  </si>
  <si>
    <t>host-5583</t>
  </si>
  <si>
    <t>pvsgp330rmesx04.bdx.com</t>
  </si>
  <si>
    <t>asia.bdx.com</t>
  </si>
  <si>
    <t>asia.bdx.com, bdx.com</t>
  </si>
  <si>
    <t>745N6Z2</t>
  </si>
  <si>
    <t>host-5495</t>
  </si>
  <si>
    <t>pvsgp330rmesx05.bdx.com</t>
  </si>
  <si>
    <t>Intel(R) Xeon(R) Gold 6252 CPU @ 2.10GHz</t>
  </si>
  <si>
    <t>F1LLX53</t>
  </si>
  <si>
    <t>host-5588</t>
  </si>
  <si>
    <t>taivmwesx1.ap.ad.crbard.com</t>
  </si>
  <si>
    <t>Taiwan</t>
  </si>
  <si>
    <t>TaiwanCluster01</t>
  </si>
  <si>
    <t>10.192.99.32, 172.26.51.14, 172.26.56.100, 172.21.11.19</t>
  </si>
  <si>
    <t>5JFCCM2</t>
  </si>
  <si>
    <t>host-9785</t>
  </si>
  <si>
    <t>taivmwesx2.ap.ad.crbard.com</t>
  </si>
  <si>
    <t>94GCCM2</t>
  </si>
  <si>
    <t>host-9808</t>
  </si>
  <si>
    <t xml:space="preserve">min Required EVC Mode Key </t>
  </si>
  <si>
    <t>NB_LAST_BACKUP</t>
  </si>
  <si>
    <t>134267-10.Factory</t>
  </si>
  <si>
    <t>NON_PROD</t>
  </si>
  <si>
    <t>/Kuala-Lumpur</t>
  </si>
  <si>
    <t>[VRTX_VOLUME01] 134267-10.Factory/134267-10.Factory.vmtx</t>
  </si>
  <si>
    <t>[VRTX_VOLUME01] 134267-10.Factory/</t>
  </si>
  <si>
    <t>Microsoft Windows 7 (32-bit)</t>
  </si>
  <si>
    <t>vm-1245</t>
  </si>
  <si>
    <t>421a7a22-bedd-b123-2504-2329fd788520</t>
  </si>
  <si>
    <t>VMware vCenter Server 7.0.3 build-20990077</t>
  </si>
  <si>
    <t>137134-01.Factory</t>
  </si>
  <si>
    <t>[VRTX_VOLUME01] 137134-01.Factory/137134-01.Factory.vmtx</t>
  </si>
  <si>
    <t>[VRTX_VOLUME01] 137134-01.Factory/</t>
  </si>
  <si>
    <t>vm-1196</t>
  </si>
  <si>
    <t>421ab4c3-a84c-377e-f6cf-53e31339cf31</t>
  </si>
  <si>
    <t>2012 ES 1521 AIO</t>
  </si>
  <si>
    <t>ESPRODAIO1441.KLTSC.LOCAL</t>
  </si>
  <si>
    <t>10.221.29.50</t>
  </si>
  <si>
    <t>/Kuala-Lumpur/MYS02_NON-PROD-02/Resources</t>
  </si>
  <si>
    <t>[VRTX_VOLUME02] 2012 ES 1521 AIO/2012 ES 1521 AIO.vmx</t>
  </si>
  <si>
    <t>[VRTX_VOLUME02] 2012 ES 1521 AIO/</t>
  </si>
  <si>
    <t>135977-01 IMG VM WINDOWS 2012 R2 UNIFIED CORE 1.0</t>
  </si>
  <si>
    <t>vm-1204</t>
  </si>
  <si>
    <t>420f8814-9179-cde4-39fd-2b541c0d3ffa</t>
  </si>
  <si>
    <t>4K Console Cert1</t>
  </si>
  <si>
    <t>4K999999S1</t>
  </si>
  <si>
    <t>10.242.183.0</t>
  </si>
  <si>
    <t>/Kuala-Lumpur/pvmys020kltsc04.bdx.com/Resources</t>
  </si>
  <si>
    <t>[Datastore1] 4K Console Cert1/4K Console Cert1.vmx</t>
  </si>
  <si>
    <t>[Datastore1] 4K Console Cert1/</t>
  </si>
  <si>
    <t>Microsoft Windows Server 2003 Standard (32-bit)</t>
  </si>
  <si>
    <t>vm-4361</t>
  </si>
  <si>
    <t>421aa172-aea7-2ec6-e851-4f692d19e8bc</t>
  </si>
  <si>
    <t>4K Console SR4</t>
  </si>
  <si>
    <t>4K987678S1</t>
  </si>
  <si>
    <t>10.221.29.68</t>
  </si>
  <si>
    <t>[Datastore1] 4K Console SR4 [9]/4K Console SR4 [9].vmx</t>
  </si>
  <si>
    <t>[Datastore1] 4K Console SR4 [9]/</t>
  </si>
  <si>
    <t>vm-4348</t>
  </si>
  <si>
    <t>421a21b7-4cde-0423-f016-7682b47ca9ae</t>
  </si>
  <si>
    <t>4K Stn 8 SR4</t>
  </si>
  <si>
    <t>MS4KSTNSR4</t>
  </si>
  <si>
    <t>10.221.29.159</t>
  </si>
  <si>
    <t>[Datastore1] 4K Stn 8 SR4/4K Stn 8 SR4.vmx</t>
  </si>
  <si>
    <t>[Datastore1] 4K Stn 8 SR4/</t>
  </si>
  <si>
    <t>Microsoft Windows XP Professional (32-bit)</t>
  </si>
  <si>
    <t>vm-4347</t>
  </si>
  <si>
    <t>421a63c2-3909-6f47-da0b-43b3d3cf1a28</t>
  </si>
  <si>
    <t>4K WKSTN3 [9]</t>
  </si>
  <si>
    <t>4K111222W1</t>
  </si>
  <si>
    <t>[Datastore1] 4K WKSTN3 [9]/4K WKSTN3 [9].vmx</t>
  </si>
  <si>
    <t>[Datastore1] 4K WKSTN3 [9]/</t>
  </si>
  <si>
    <t>vm-4352</t>
  </si>
  <si>
    <t>421aba00-ef75-c695-5976-c0ec9dc1e17d</t>
  </si>
  <si>
    <t>4KCONSOLE1</t>
  </si>
  <si>
    <t>[Datastore1] 4KCONSOLE1/4KCONSOLE1.vmx</t>
  </si>
  <si>
    <t>[Datastore1] 4KCONSOLE1/</t>
  </si>
  <si>
    <t>vm-4602</t>
  </si>
  <si>
    <t>42318ae4-89a1-2816-58f6-14af342d2b99</t>
  </si>
  <si>
    <t>4K-Console-KGOH-SR5.0</t>
  </si>
  <si>
    <t>4K363668S1</t>
  </si>
  <si>
    <t>[Datastore1] 4K Console SR 5.0/4K Console SR 5.0.vmx</t>
  </si>
  <si>
    <t>[Datastore1] 4K Console SR 5.0/</t>
  </si>
  <si>
    <t>vm-4351</t>
  </si>
  <si>
    <t>421a6661-5a9e-1538-a554-4d0b688307a4</t>
  </si>
  <si>
    <t>4K-Win2016</t>
  </si>
  <si>
    <t>[Datastore1] 4K-Win2016/4K-Win2016.vmtx</t>
  </si>
  <si>
    <t>[Datastore1] 4K-Win2016/</t>
  </si>
  <si>
    <t>vm-4362</t>
  </si>
  <si>
    <t>421a6e22-950f-5897-6109-262ebc6f46ec</t>
  </si>
  <si>
    <t>AARONAIO17</t>
  </si>
  <si>
    <t>AARONAIO17.KLBD01.local</t>
  </si>
  <si>
    <t>10.221.29.100</t>
  </si>
  <si>
    <t>[VRTX_VOLUME01] AARONAIO17/AARONAIO17.vmx</t>
  </si>
  <si>
    <t>[VRTX_VOLUME01] AARONAIO17/</t>
  </si>
  <si>
    <t>Microsoft Windows Server 2019 (64-bit)</t>
  </si>
  <si>
    <t>vm-24536</t>
  </si>
  <si>
    <t>4231f1a4-c9a8-36de-b727-9189f61f1da4</t>
  </si>
  <si>
    <t>AARON-ES17</t>
  </si>
  <si>
    <t>AARONES17.KLTSC.LOCAL</t>
  </si>
  <si>
    <t>10.221.29.20</t>
  </si>
  <si>
    <t>/Kuala-Lumpur/Discovered virtual machine</t>
  </si>
  <si>
    <t>[VRTX_VOLUME01] AARON-ES17/AARON-ES17.vmx</t>
  </si>
  <si>
    <t>[VRTX_VOLUME01] AARON-ES17/</t>
  </si>
  <si>
    <t>vm-24453</t>
  </si>
  <si>
    <t>42314dd6-bcfd-20bc-3853-da169ce7a735</t>
  </si>
  <si>
    <t>AIO International v1.6.1i (Win2016)</t>
  </si>
  <si>
    <t>PSE161i.KLTSC.LOCAL</t>
  </si>
  <si>
    <t>[Datastore1] AIO International v1.6.1i (Win2016)/AIO International v1.6.1i (Win2016).vmx</t>
  </si>
  <si>
    <t>[Datastore1] AIO International v1.6.1i (Win2016)/</t>
  </si>
  <si>
    <t>vm-4353</t>
  </si>
  <si>
    <t>421a9c82-5071-4071-9ad5-d2ab8e4fcc9b</t>
  </si>
  <si>
    <t>APAUSYFP0002</t>
  </si>
  <si>
    <t>APAUSYFP0002.BDX.com</t>
  </si>
  <si>
    <t>10.225.3.23</t>
  </si>
  <si>
    <t>VLAN 3</t>
  </si>
  <si>
    <t>/AUS35 - North Ryde/AUS35/Resources</t>
  </si>
  <si>
    <t>/AUS35 - North Ryde</t>
  </si>
  <si>
    <t>[AUS01_PROD_vnpvmds03] APAUSYFP0002_N/APAUSYFP0002_N.vmx</t>
  </si>
  <si>
    <t>[AUS01_PROD_vnpvmds03] APAUSYFP0002_N/</t>
  </si>
  <si>
    <t>File Server</t>
  </si>
  <si>
    <t>vm-1295</t>
  </si>
  <si>
    <t>564d9897-14af-8051-5779-c5894e166872</t>
  </si>
  <si>
    <t>APAUSYFP0002_Old</t>
  </si>
  <si>
    <t>[AUS01_PROD_vnpvmds03] APAUSYFP0002/APAUSYFP0002.vmx</t>
  </si>
  <si>
    <t>[AUS01_PROD_vnpvmds03] APAUSYFP0002/</t>
  </si>
  <si>
    <t>vm-1289</t>
  </si>
  <si>
    <t>421a565a-98a9-10e4-bad3-5357f32893de</t>
  </si>
  <si>
    <t>APIN00IPAM01</t>
  </si>
  <si>
    <t>VLAN74</t>
  </si>
  <si>
    <t>/IND/Chandigarh/Resources</t>
  </si>
  <si>
    <t>/IND</t>
  </si>
  <si>
    <t>[IND04_PROD_vnpvmds01] APIN00IPAM01/APIN00IPAM01.vmx</t>
  </si>
  <si>
    <t>[IND04_PROD_vnpvmds01] APIN00IPAM01/</t>
  </si>
  <si>
    <t>vm-1102</t>
  </si>
  <si>
    <t>420bfbd8-996f-3f7f-8ace-c6c741c9563d</t>
  </si>
  <si>
    <t>APIND04DC01-NEW</t>
  </si>
  <si>
    <t>[IND04_PROD_vnpvmds01] APIND04DC01-NEW/APIND04DC01-NEW.vmx</t>
  </si>
  <si>
    <t>[IND04_PROD_vnpvmds01] APIND04DC01-NEW/</t>
  </si>
  <si>
    <t>Microsoft Windows Vista (64-bit)</t>
  </si>
  <si>
    <t>vm-1066</t>
  </si>
  <si>
    <t>564d9247-a1d2-19e1-1b02-95f37a30d047</t>
  </si>
  <si>
    <t>ApplicationServer-1441</t>
  </si>
  <si>
    <t>[VRTX_VOLUME01] RDT-Training-Application/RDT-Training-Application.vmtx</t>
  </si>
  <si>
    <t>[VRTX_VOLUME01] RDT-Training-Application/</t>
  </si>
  <si>
    <t>vm-1247</t>
  </si>
  <si>
    <t>421a51d1-f740-ccb1-6a3f-f2186baca4ac</t>
  </si>
  <si>
    <t>APSGINGRAPP01</t>
  </si>
  <si>
    <t>APSGINGRAPP01.BDX.com</t>
  </si>
  <si>
    <t>10.192.3.36</t>
  </si>
  <si>
    <t>VLAN 12</t>
  </si>
  <si>
    <t>/Tuas/Tuas_Cluster2/Resources</t>
  </si>
  <si>
    <t>/Tuas</t>
  </si>
  <si>
    <t>[Tuas_Cluster2-BD-LUN-7] APSGINGRAPP01/APSGINGRAPP01.vmx</t>
  </si>
  <si>
    <t>[Tuas_Cluster2-BD-LUN-7] APSGINGRAPP01/</t>
  </si>
  <si>
    <t>Gurgaon Intranet server -  Online Clinical Proficiency Test BDOne Intranet - India Site BraveHeart Award selection CAB Booking &amp; Approval System Citibank Vendor Payment Communication Expense Tracking Competency Assessment Domestic &amp; International Travel eCCTS Employee Insurance Coverage Confirmation Employee Ledger Balance Confirmation Employee Payment Intimation Flowcytometry Training Tracking &amp; Evaluation GA-IN-India Distributor Excellence Platform (Tally) Hyperion Integration for India Indent Ordering System InService Program for MPS/PAS/NT KAS Idea Online Clinical Proficiency Test Payment Request to Finance Plant Associate Training Record Service Management System Training Records Management (HR)  Application CI Data Owner's Name : Parimal Goel</t>
  </si>
  <si>
    <t>Thu Apr 13 10:00:46 2023 +0800,apsgtubkp01-bkp,Vstorage-Vmware</t>
  </si>
  <si>
    <t>vm-5530</t>
  </si>
  <si>
    <t>423821ba-92b1-2458-838f-a769cdd27828</t>
  </si>
  <si>
    <t>APSGTUAPP015</t>
  </si>
  <si>
    <t>APSGTUAPP015.BDX.com</t>
  </si>
  <si>
    <t>10.192.109.26</t>
  </si>
  <si>
    <t>VLAN 109 - Backup</t>
  </si>
  <si>
    <t>[Tuas_Cluster2-BD-LUN-6] APSGTUAPP015/APSGTUAPP015.vmx</t>
  </si>
  <si>
    <t>[Tuas_Cluster2-BD-LUN-6] APSGTUAPP015/</t>
  </si>
  <si>
    <t>Olikview Server - Application Name Application CI Data Owner's Name Atlassian - Confluence Wiki Katari Chakradhar China Qlikview Dashboard Kai (Kenny) Xie ETL - Greater Asia Wan Sian Chong GAR Daily Sales Reporting Parimal Goel IDE - Eclipse John Jee In-Market Reporting System Wan Sian Chong InMarket Sales dashboard &amp; reports Parimal Goel NPrinting OnDemand Parimal Goel Performance Management System Kent Tak Qlikview - Platform Parimal Goel Subversion_OSMT Katari Chakradhar Trade Sales (To-market) dashboard &amp; reports Parimal Goel</t>
  </si>
  <si>
    <t>Mon Apr 17 14:00:57 2023 +0800,apsgtubkp01-bkp,VMware-APSGTUAPP015</t>
  </si>
  <si>
    <t>vm-5606</t>
  </si>
  <si>
    <t>423855e2-db1e-e5fe-3abd-46ca9d0ed3af</t>
  </si>
  <si>
    <t>APSGTUAVAYAFS01</t>
  </si>
  <si>
    <t>[Tuas_Cluster2-BD-LUN-13] APSGTUAVAYAFS01/APSGTUAVAYAFS01.vmx</t>
  </si>
  <si>
    <t>[Tuas_Cluster2-BD-LUN-13] APSGTUAVAYAFS01/</t>
  </si>
  <si>
    <t>Avaya IP phone file server- HCL-BD-NetworkVoice-Avaya</t>
  </si>
  <si>
    <t>Mon Apr 17 10:00:42 2023 +0800,apsgtubkp01-bkp,Vstorage-Vmware</t>
  </si>
  <si>
    <t>vm-5726</t>
  </si>
  <si>
    <t>564ddc58-cb3a-d5f4-e019-908999a7373e</t>
  </si>
  <si>
    <t>APSGTUCTA01</t>
  </si>
  <si>
    <t>10.192.3.34</t>
  </si>
  <si>
    <t>[Tuas_Cluster2-BD-LUN-17] APSGTUCTA01/APSGTUCTA01.vmx</t>
  </si>
  <si>
    <t>[Tuas_Cluster2-BD-LUN-17] APSGTUCTA01/</t>
  </si>
  <si>
    <t>EMC CTA Data Archiving - HCL-BD-Storage</t>
  </si>
  <si>
    <t>Mon Apr 17 10:00:34 2023 +0800,apsgtubkp01-bkp,Vstorage-Vmware</t>
  </si>
  <si>
    <t>SUSE Linux Enterprise 8/9 (64-bit)</t>
  </si>
  <si>
    <t>vm-5512</t>
  </si>
  <si>
    <t>4221e5a1-ee49-96c3-bac3-caaac926bae8</t>
  </si>
  <si>
    <t>APSGTUDB0003</t>
  </si>
  <si>
    <t>APSGTUDB0003.BDX.com</t>
  </si>
  <si>
    <t>10.192.109.36</t>
  </si>
  <si>
    <t>[Tuas_Cluster2-BD-LUN-9] APSGTUDB0003/APSGTUDB0003.vmx</t>
  </si>
  <si>
    <t>[Tuas_Cluster2-BD-LUN-9] APSGTUDB0003/</t>
  </si>
  <si>
    <t>Centralize SQL 2008 Ent Server - Chong Wan Sian</t>
  </si>
  <si>
    <t>Mon Apr 17 10:00:56 2023 +0800,apsgtubkp01-bkp,Vstorage-Vmware-DB-OSDISK</t>
  </si>
  <si>
    <t>vm-5695</t>
  </si>
  <si>
    <t>42214eea-a910-c9ed-c797-62217c7728c4</t>
  </si>
  <si>
    <t>APSGTUDB0003-ST</t>
  </si>
  <si>
    <t>[Tuas_Cluster2-BD-LUN-12] APSGTUDB0003-ST/APSGTUDB0003-ST.vmx</t>
  </si>
  <si>
    <t>[Tuas_Cluster2-BD-LUN-12] APSGTUDB0003-ST/</t>
  </si>
  <si>
    <t>Centralize SQL 2008 Ent Server Staging - Chong Wan Sian</t>
  </si>
  <si>
    <t>Mon Apr 17 10:00:39 2023 +0800,apsgtubkp01-bkp,Vstorage-Vmware</t>
  </si>
  <si>
    <t>vm-5541</t>
  </si>
  <si>
    <t>42212873-5b44-7dcf-9761-05d77c2f6cc7</t>
  </si>
  <si>
    <t>APSGTUDB0004</t>
  </si>
  <si>
    <t>APSGTUDB0004.BDX.com</t>
  </si>
  <si>
    <t>10.192.3.42</t>
  </si>
  <si>
    <t>[Tuas_Cluster2-BD-LUN-14] APSGTUDB0004/APSGTUDB0004.vmx</t>
  </si>
  <si>
    <t>[Tuas_Cluster2-BD-LUN-14] APSGTUDB0004/</t>
  </si>
  <si>
    <t>Centralize SQL 2012 Ent - Chong Wan Sian</t>
  </si>
  <si>
    <t>Mon Apr 17 10:00:55 2023 +0800,apsgtubkp01-bkp,Vstorage-Vmware-DB-OSDISK</t>
  </si>
  <si>
    <t>vm-5614</t>
  </si>
  <si>
    <t>42382f32-2d11-ed35-c7f8-7ad027122801</t>
  </si>
  <si>
    <t>APSGTUDB0004-ST</t>
  </si>
  <si>
    <t>APSGTUDB0004-ST.BDX.com</t>
  </si>
  <si>
    <t>10.192.3.41</t>
  </si>
  <si>
    <t>[Tuas_Cluster2-BD-LUN-6] APSGTUDB0004-ST/APSGTUDB0004-ST.vmx</t>
  </si>
  <si>
    <t>[Tuas_Cluster2-BD-LUN-6] APSGTUDB0004-ST/</t>
  </si>
  <si>
    <t>Centralize SQL 2012 Ent Staging - Chong Wan Sian</t>
  </si>
  <si>
    <t>Mon Apr 17 10:05:34 2023 +0800,apsgtubkp01-bkp,Vstorage-Vmware-DB-OSDISK</t>
  </si>
  <si>
    <t>vm-5605</t>
  </si>
  <si>
    <t>423810aa-0aa5-e2c2-f81f-b30f5f5f6706</t>
  </si>
  <si>
    <t>APSGTUDES1</t>
  </si>
  <si>
    <t>APSGTUDES1.BDX.com</t>
  </si>
  <si>
    <t>10.192.3.104</t>
  </si>
  <si>
    <t>[Tuas_Cluster2-BD-LUN-10] APSGTUDES1/APSGTUDES1.vmx</t>
  </si>
  <si>
    <t>[Tuas_Cluster2-BD-LUN-10] APSGTUDES1/</t>
  </si>
  <si>
    <t>eHealth DES - HCL-BD-EPT</t>
  </si>
  <si>
    <t>Mon Apr 17 10:01:07 2023 +0800,apsgtubkp01-bkp,Vstorage-Vmware_new</t>
  </si>
  <si>
    <t>vm-5619</t>
  </si>
  <si>
    <t>42217d19-932d-dcd6-89f3-8da10854079e</t>
  </si>
  <si>
    <t>APSGTUDLPEP</t>
  </si>
  <si>
    <t>APSGTUDLPEP.BDX.com</t>
  </si>
  <si>
    <t>10.192.3.125</t>
  </si>
  <si>
    <t>[Tuas_Cluster2-BD-LUN-12] APSGTUDLPEP/APSGTUDLPEP.vmx</t>
  </si>
  <si>
    <t>[Tuas_Cluster2-BD-LUN-12] APSGTUDLPEP/</t>
  </si>
  <si>
    <t>Symantec DLP Endpoint Prevention Application Owner = Erik Bakken CI Data Owner = James Hardy</t>
  </si>
  <si>
    <t>vm-5697</t>
  </si>
  <si>
    <t>42385934-1f3c-bf37-96a4-2509629644b8</t>
  </si>
  <si>
    <t>APSGTUDLPNDP1</t>
  </si>
  <si>
    <t>APSGTUDLPNDP1.BDX.com</t>
  </si>
  <si>
    <t>10.192.3.122</t>
  </si>
  <si>
    <t>[Tuas_Cluster2-BD-LUN-11] APSGTUDLPNDP1/APSGTUDLPNDP1.vmx</t>
  </si>
  <si>
    <t>[Tuas_Cluster2-BD-LUN-11] APSGTUDLPNDP1/</t>
  </si>
  <si>
    <t>Network Discover / Protect - BD GIS</t>
  </si>
  <si>
    <t>vm-5622</t>
  </si>
  <si>
    <t>42385d28-c76c-3e90-9856-b1259da8d9d4</t>
  </si>
  <si>
    <t>APSGTUDLPNDP2</t>
  </si>
  <si>
    <t>APSGTUDLPNDP2.BDX.com</t>
  </si>
  <si>
    <t>10.192.3.123</t>
  </si>
  <si>
    <t>[Tuas_Cluster2-BD-LUN-2] APSGTUDLPNDP2/APSGTUDLPNDP2.vmx</t>
  </si>
  <si>
    <t>[Tuas_Cluster2-BD-LUN-2] APSGTUDLPNDP2/</t>
  </si>
  <si>
    <t>vm-5685</t>
  </si>
  <si>
    <t>423889c4-f0de-e64a-1548-197a7f5b049e</t>
  </si>
  <si>
    <t>APSGTUDLPNDP3</t>
  </si>
  <si>
    <t>APSGTUDLPNDP3.BDX.com</t>
  </si>
  <si>
    <t>10.192.3.124</t>
  </si>
  <si>
    <t>[Tuas_Cluster2-BD-LUN-14] APSGTUDLPNDP3/APSGTUDLPNDP3.vmx</t>
  </si>
  <si>
    <t>[Tuas_Cluster2-BD-LUN-14] APSGTUDLPNDP3/</t>
  </si>
  <si>
    <t>vm-5624</t>
  </si>
  <si>
    <t>42389cde-2e81-ef28-5161-3242097c676b</t>
  </si>
  <si>
    <t>SQL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</si>
</sst>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7">
    <numFmt numFmtId="43" formatCode="_(* #,##0.00_);_(* \(#,##0.00\);_(* &quot;-&quot;??_);_(@_)"/>
    <numFmt numFmtId="164" formatCode="_(* #,##0_);_(* \(#,##0\);_(* &quot;-&quot;??_);_(@_)"/>
    <numFmt numFmtId="165" formatCode="0.0"/>
    <numFmt numFmtId="166" formatCode="_(* #,##0.0_);_(* \(#,##0.0\);_(* &quot;-&quot;??_);_(@_)"/>
    <numFmt numFmtId="167" formatCode="0.0%"/>
    <numFmt numFmtId="168" formatCode="#,##0.0"/>
    <numFmt numFmtId="169" formatCode="yyyy/mm/dd\ hh:mm:ss"/>
  </numFmts>
  <fonts count="29" x14ac:knownFonts="1">
    <font>
      <sz val="10"/>
      <color rgb="FF000000"/>
      <name val="Arial"/>
    </font>
    <font>
      <sz val="11"/>
      <color theme="1"/>
      <name val="Calibri"/>
      <family val="2"/>
      <scheme val="minor"/>
    </font>
    <font>
      <sz val="10"/>
      <name val="Trebuchet MS"/>
      <family val="2"/>
    </font>
    <font>
      <sz val="10"/>
      <name val="Arial"/>
      <family val="2"/>
    </font>
    <font>
      <sz val="10"/>
      <color rgb="FFFF0000"/>
      <name val="Trebuchet MS"/>
      <family val="2"/>
    </font>
    <font>
      <sz val="10"/>
      <color rgb="FF434343"/>
      <name val="Trebuchet MS"/>
      <family val="2"/>
    </font>
    <font>
      <sz val="11"/>
      <color rgb="FF000000"/>
      <name val="Calibri"/>
      <family val="2"/>
    </font>
    <font>
      <sz val="10"/>
      <color rgb="FF000000"/>
      <name val="Arial"/>
      <family val="2"/>
    </font>
    <font>
      <u/>
      <sz val="11"/>
      <color theme="10"/>
      <name val="Calibri"/>
      <family val="2"/>
      <scheme val="minor"/>
    </font>
    <font>
      <sz val="10"/>
      <color rgb="FF000000"/>
      <name val="Arial"/>
      <family val="2"/>
    </font>
    <font>
      <b/>
      <u/>
      <sz val="11"/>
      <color rgb="FF000000"/>
      <name val="Calibri"/>
      <family val="2"/>
    </font>
    <font>
      <b/>
      <sz val="10"/>
      <color rgb="FF000000"/>
      <name val="Arial"/>
      <family val="2"/>
    </font>
    <font>
      <b/>
      <sz val="11"/>
      <color theme="0"/>
      <name val="Calibri"/>
      <family val="2"/>
    </font>
    <font>
      <sz val="11"/>
      <color theme="1"/>
      <name val="Calibri"/>
      <family val="2"/>
    </font>
    <font>
      <sz val="14"/>
      <color theme="0"/>
      <name val="Calibri"/>
      <family val="2"/>
    </font>
    <font>
      <b/>
      <sz val="22"/>
      <color rgb="FF000000"/>
      <name val="Arial"/>
      <family val="2"/>
    </font>
    <font>
      <sz val="8"/>
      <name val="Arial"/>
      <family val="2"/>
    </font>
    <font>
      <sz val="11"/>
      <color theme="0"/>
      <name val="Calibri"/>
      <family val="2"/>
    </font>
    <font>
      <b/>
      <u/>
      <sz val="11"/>
      <color theme="0"/>
      <name val="Calibri"/>
      <family val="2"/>
    </font>
    <font>
      <sz val="10"/>
      <color theme="0"/>
      <name val="Arial"/>
      <family val="2"/>
    </font>
    <font>
      <b/>
      <sz val="11"/>
      <color rgb="FF000000"/>
      <name val="Calibri"/>
      <family val="2"/>
    </font>
    <font>
      <sz val="10"/>
      <color rgb="FF000000"/>
      <name val="Arial"/>
    </font>
    <font>
      <b/>
      <sz val="10"/>
      <name val="Arial"/>
      <family val="2"/>
    </font>
    <font>
      <b/>
      <u/>
      <sz val="10"/>
      <color rgb="FF000000"/>
      <name val="Arial"/>
      <family val="2"/>
    </font>
    <font>
      <b/>
      <u/>
      <sz val="10"/>
      <color rgb="FFFF0000"/>
      <name val="Arial"/>
      <family val="2"/>
    </font>
    <font>
      <b/>
      <sz val="12"/>
      <color rgb="FFFF0000"/>
      <name val="Arial"/>
      <family val="2"/>
    </font>
    <font>
      <u/>
      <sz val="10"/>
      <color theme="10"/>
      <name val="Arial"/>
      <family val="2"/>
    </font>
    <font>
      <b/>
      <sz val="9"/>
      <color rgb="FFFFFFFF"/>
      <name val="Verdana"/>
      <family val="2"/>
    </font>
    <font>
      <sz val="9"/>
      <color rgb="FF000000"/>
      <name val="Verdana"/>
      <family val="2"/>
    </font>
  </fonts>
  <fills count="13">
    <fill>
      <patternFill patternType="none"/>
    </fill>
    <fill>
      <patternFill patternType="gray125"/>
    </fill>
    <fill>
      <patternFill patternType="solid">
        <fgColor theme="9"/>
        <bgColor indexed="64"/>
      </patternFill>
    </fill>
    <fill>
      <patternFill patternType="solid">
        <fgColor theme="0"/>
        <bgColor indexed="64"/>
      </patternFill>
    </fill>
    <fill>
      <patternFill patternType="solid">
        <fgColor theme="4"/>
        <bgColor theme="4"/>
      </patternFill>
    </fill>
    <fill>
      <patternFill patternType="solid">
        <fgColor theme="4"/>
        <bgColor indexed="64"/>
      </patternFill>
    </fill>
    <fill>
      <patternFill patternType="solid">
        <fgColor theme="5"/>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7"/>
        <bgColor indexed="64"/>
      </patternFill>
    </fill>
    <fill>
      <patternFill patternType="solid">
        <fgColor rgb="FFFFFF00"/>
        <bgColor indexed="64"/>
      </patternFill>
    </fill>
    <fill>
      <patternFill patternType="solid">
        <fgColor rgb="FF000000"/>
      </patternFill>
    </fill>
  </fills>
  <borders count="7">
    <border>
      <left/>
      <right/>
      <top/>
      <bottom/>
      <diagonal/>
    </border>
    <border>
      <left/>
      <right/>
      <top/>
      <bottom/>
      <diagonal/>
    </border>
    <border>
      <left style="thin">
        <color theme="4"/>
      </left>
      <right/>
      <top style="thin">
        <color theme="4"/>
      </top>
      <bottom/>
      <diagonal/>
    </border>
    <border>
      <left/>
      <right/>
      <top style="thin">
        <color theme="4"/>
      </top>
      <bottom/>
      <diagonal/>
    </border>
    <border>
      <left/>
      <right style="thin">
        <color theme="4"/>
      </right>
      <top style="thin">
        <color theme="4"/>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s>
  <cellStyleXfs count="11">
    <xf numFmtId="0" fontId="0" fillId="0" borderId="0"/>
    <xf numFmtId="0" fontId="1" fillId="0" borderId="1"/>
    <xf numFmtId="0" fontId="8" fillId="0" borderId="1" applyNumberFormat="0" applyFill="0" applyBorder="0" applyAlignment="0" applyProtection="0"/>
    <xf numFmtId="43" fontId="9" fillId="0" borderId="0" applyFont="0" applyFill="0" applyBorder="0" applyAlignment="0" applyProtection="0"/>
    <xf numFmtId="9" fontId="9" fillId="0" borderId="0" applyFont="0" applyFill="0" applyBorder="0" applyAlignment="0" applyProtection="0"/>
    <xf numFmtId="0" fontId="6" fillId="0" borderId="1" applyBorder="0"/>
    <xf numFmtId="9" fontId="6" fillId="0" borderId="1" applyFont="0" applyFill="0" applyBorder="0" applyAlignment="0" applyProtection="0"/>
    <xf numFmtId="43" fontId="6" fillId="0" borderId="1" applyFont="0" applyFill="0" applyBorder="0" applyAlignment="0" applyProtection="0"/>
    <xf numFmtId="43" fontId="7" fillId="0" borderId="1" applyFont="0" applyFill="0" applyBorder="0" applyAlignment="0" applyProtection="0"/>
    <xf numFmtId="0" fontId="21" fillId="0" borderId="1"/>
    <xf numFmtId="0" fontId="26" fillId="0" borderId="0" applyNumberFormat="0" applyFill="0" applyBorder="0" applyAlignment="0" applyProtection="0"/>
  </cellStyleXfs>
  <cellXfs count="108">
    <xf numFmtId="0" fontId="0" fillId="0" borderId="0" xfId="0"/>
    <xf numFmtId="0" fontId="7" fillId="0" borderId="0" xfId="0" applyFont="1"/>
    <xf numFmtId="0" fontId="6" fillId="0" borderId="1" xfId="5"/>
    <xf numFmtId="0" fontId="10" fillId="0" borderId="1" xfId="5" applyFont="1"/>
    <xf numFmtId="3" fontId="0" fillId="0" borderId="0" xfId="0" applyNumberFormat="1"/>
    <xf numFmtId="0" fontId="0" fillId="0" borderId="0" xfId="0" applyAlignment="1">
      <alignment horizontal="right"/>
    </xf>
    <xf numFmtId="164" fontId="0" fillId="0" borderId="0" xfId="3" applyNumberFormat="1" applyFont="1" applyAlignment="1"/>
    <xf numFmtId="0" fontId="0" fillId="0" borderId="0" xfId="0" applyAlignment="1">
      <alignment horizontal="left"/>
    </xf>
    <xf numFmtId="9" fontId="0" fillId="0" borderId="0" xfId="4" applyFont="1" applyAlignment="1"/>
    <xf numFmtId="0" fontId="6" fillId="0" borderId="1" xfId="5" applyAlignment="1">
      <alignment horizontal="center"/>
    </xf>
    <xf numFmtId="0" fontId="2" fillId="0" borderId="1" xfId="0" applyFont="1" applyBorder="1"/>
    <xf numFmtId="0" fontId="4" fillId="0" borderId="1" xfId="0" applyFont="1" applyBorder="1"/>
    <xf numFmtId="0" fontId="5" fillId="0" borderId="1" xfId="0" applyFont="1" applyBorder="1"/>
    <xf numFmtId="0" fontId="2" fillId="0" borderId="1" xfId="0" applyFont="1" applyBorder="1" applyAlignment="1">
      <alignment horizontal="center"/>
    </xf>
    <xf numFmtId="0" fontId="4" fillId="0" borderId="1" xfId="0" applyFont="1" applyBorder="1" applyAlignment="1">
      <alignment horizontal="center"/>
    </xf>
    <xf numFmtId="0" fontId="12" fillId="4" borderId="2" xfId="5" applyFont="1" applyFill="1" applyBorder="1"/>
    <xf numFmtId="9" fontId="12" fillId="4" borderId="3" xfId="4" applyFont="1" applyFill="1" applyBorder="1" applyAlignment="1">
      <alignment horizontal="center"/>
    </xf>
    <xf numFmtId="0" fontId="13" fillId="0" borderId="2" xfId="5" applyFont="1" applyBorder="1"/>
    <xf numFmtId="0" fontId="2" fillId="0" borderId="4" xfId="0" applyFont="1" applyBorder="1"/>
    <xf numFmtId="0" fontId="13" fillId="0" borderId="3" xfId="5" applyFont="1" applyBorder="1" applyAlignment="1">
      <alignment horizontal="center"/>
    </xf>
    <xf numFmtId="1" fontId="6" fillId="0" borderId="1" xfId="5" applyNumberFormat="1" applyAlignment="1">
      <alignment horizontal="center"/>
    </xf>
    <xf numFmtId="0" fontId="6" fillId="0" borderId="1" xfId="5" applyAlignment="1">
      <alignment wrapText="1"/>
    </xf>
    <xf numFmtId="0" fontId="12" fillId="4" borderId="2" xfId="5" applyFont="1" applyFill="1" applyBorder="1" applyAlignment="1">
      <alignment horizontal="center"/>
    </xf>
    <xf numFmtId="0" fontId="6" fillId="5" borderId="1" xfId="5" applyFill="1"/>
    <xf numFmtId="0" fontId="2" fillId="0" borderId="1" xfId="0" applyFont="1" applyBorder="1" applyAlignment="1">
      <alignment horizontal="left"/>
    </xf>
    <xf numFmtId="2" fontId="2" fillId="0" borderId="1" xfId="0" applyNumberFormat="1" applyFont="1" applyBorder="1"/>
    <xf numFmtId="165" fontId="0" fillId="0" borderId="0" xfId="0" applyNumberFormat="1" applyAlignment="1">
      <alignment horizontal="left"/>
    </xf>
    <xf numFmtId="168" fontId="0" fillId="0" borderId="0" xfId="0" applyNumberFormat="1"/>
    <xf numFmtId="167" fontId="0" fillId="0" borderId="0" xfId="0" applyNumberFormat="1"/>
    <xf numFmtId="0" fontId="0" fillId="9" borderId="0" xfId="0" applyFill="1"/>
    <xf numFmtId="0" fontId="11" fillId="9" borderId="0" xfId="0" applyFont="1" applyFill="1"/>
    <xf numFmtId="164" fontId="0" fillId="0" borderId="0" xfId="3" applyNumberFormat="1" applyFont="1" applyFill="1" applyAlignment="1">
      <alignment horizontal="right"/>
    </xf>
    <xf numFmtId="164" fontId="0" fillId="0" borderId="0" xfId="3" applyNumberFormat="1" applyFont="1" applyFill="1" applyAlignment="1"/>
    <xf numFmtId="3" fontId="0" fillId="0" borderId="0" xfId="0" applyNumberFormat="1" applyAlignment="1">
      <alignment horizontal="right"/>
    </xf>
    <xf numFmtId="168" fontId="0" fillId="0" borderId="0" xfId="0" applyNumberFormat="1" applyAlignment="1">
      <alignment horizontal="right"/>
    </xf>
    <xf numFmtId="168" fontId="6" fillId="0" borderId="0" xfId="0" applyNumberFormat="1" applyFont="1" applyAlignment="1">
      <alignment vertical="center"/>
    </xf>
    <xf numFmtId="0" fontId="7" fillId="10" borderId="0" xfId="0" applyFont="1" applyFill="1" applyAlignment="1">
      <alignment horizontal="center" wrapText="1"/>
    </xf>
    <xf numFmtId="0" fontId="14" fillId="2" borderId="1" xfId="5" applyFont="1" applyFill="1" applyAlignment="1">
      <alignment horizontal="center"/>
    </xf>
    <xf numFmtId="0" fontId="0" fillId="11" borderId="0" xfId="0" applyFill="1"/>
    <xf numFmtId="0" fontId="15" fillId="3" borderId="0" xfId="0" applyFont="1" applyFill="1"/>
    <xf numFmtId="0" fontId="0" fillId="3" borderId="0" xfId="0" applyFill="1"/>
    <xf numFmtId="22" fontId="0" fillId="3" borderId="0" xfId="0" applyNumberFormat="1" applyFill="1"/>
    <xf numFmtId="0" fontId="13" fillId="0" borderId="1" xfId="5" applyFont="1" applyBorder="1"/>
    <xf numFmtId="0" fontId="13" fillId="0" borderId="1" xfId="5" applyFont="1" applyBorder="1" applyAlignment="1">
      <alignment horizontal="center"/>
    </xf>
    <xf numFmtId="2" fontId="0" fillId="0" borderId="0" xfId="0" applyNumberFormat="1"/>
    <xf numFmtId="2" fontId="0" fillId="11" borderId="0" xfId="0" applyNumberFormat="1" applyFill="1"/>
    <xf numFmtId="49" fontId="7" fillId="7" borderId="0" xfId="0" applyNumberFormat="1" applyFont="1" applyFill="1"/>
    <xf numFmtId="49" fontId="0" fillId="0" borderId="0" xfId="0" applyNumberFormat="1"/>
    <xf numFmtId="1" fontId="7" fillId="7" borderId="0" xfId="0" applyNumberFormat="1" applyFont="1" applyFill="1"/>
    <xf numFmtId="1" fontId="0" fillId="8" borderId="0" xfId="0" applyNumberFormat="1" applyFill="1"/>
    <xf numFmtId="1" fontId="11" fillId="6" borderId="0" xfId="0" applyNumberFormat="1" applyFont="1" applyFill="1"/>
    <xf numFmtId="1" fontId="11" fillId="7" borderId="0" xfId="0" applyNumberFormat="1" applyFont="1" applyFill="1"/>
    <xf numFmtId="1" fontId="0" fillId="0" borderId="0" xfId="0" applyNumberFormat="1"/>
    <xf numFmtId="43" fontId="0" fillId="0" borderId="0" xfId="0" applyNumberFormat="1"/>
    <xf numFmtId="0" fontId="3" fillId="0" borderId="0" xfId="0" applyFont="1"/>
    <xf numFmtId="165" fontId="3" fillId="0" borderId="0" xfId="0" applyNumberFormat="1" applyFont="1"/>
    <xf numFmtId="9" fontId="3" fillId="0" borderId="0" xfId="4" applyFont="1" applyAlignment="1"/>
    <xf numFmtId="165" fontId="0" fillId="0" borderId="0" xfId="0" applyNumberFormat="1" applyAlignment="1">
      <alignment horizontal="right"/>
    </xf>
    <xf numFmtId="1" fontId="2" fillId="0" borderId="1" xfId="0" applyNumberFormat="1" applyFont="1" applyBorder="1"/>
    <xf numFmtId="0" fontId="17" fillId="5" borderId="1" xfId="5" applyFont="1" applyFill="1"/>
    <xf numFmtId="2" fontId="17" fillId="5" borderId="1" xfId="5" applyNumberFormat="1" applyFont="1" applyFill="1"/>
    <xf numFmtId="0" fontId="19" fillId="0" borderId="0" xfId="0" applyFont="1"/>
    <xf numFmtId="0" fontId="11" fillId="0" borderId="0" xfId="0" applyFont="1" applyAlignment="1">
      <alignment horizontal="right"/>
    </xf>
    <xf numFmtId="0" fontId="20" fillId="0" borderId="1" xfId="5" applyFont="1"/>
    <xf numFmtId="0" fontId="6" fillId="11" borderId="5" xfId="5" applyFill="1" applyBorder="1"/>
    <xf numFmtId="9" fontId="6" fillId="11" borderId="6" xfId="4" applyFont="1" applyFill="1" applyBorder="1" applyAlignment="1">
      <alignment horizontal="left"/>
    </xf>
    <xf numFmtId="0" fontId="2" fillId="0" borderId="1" xfId="0" quotePrefix="1" applyFont="1" applyBorder="1"/>
    <xf numFmtId="0" fontId="7" fillId="11" borderId="0" xfId="0" applyFont="1" applyFill="1"/>
    <xf numFmtId="0" fontId="6" fillId="0" borderId="1" xfId="0" applyFont="1" applyBorder="1"/>
    <xf numFmtId="9" fontId="13" fillId="2" borderId="3" xfId="4" applyFont="1" applyFill="1" applyBorder="1" applyAlignment="1" applyProtection="1">
      <alignment horizontal="center"/>
      <protection locked="0"/>
    </xf>
    <xf numFmtId="0" fontId="13" fillId="2" borderId="3" xfId="5" applyFont="1" applyFill="1" applyBorder="1" applyAlignment="1" applyProtection="1">
      <alignment horizontal="center"/>
      <protection locked="0"/>
    </xf>
    <xf numFmtId="0" fontId="7" fillId="3" borderId="0" xfId="0" applyFont="1" applyFill="1" applyProtection="1">
      <protection locked="0"/>
    </xf>
    <xf numFmtId="0" fontId="0" fillId="3" borderId="0" xfId="0" applyFill="1" applyProtection="1">
      <protection locked="0"/>
    </xf>
    <xf numFmtId="164" fontId="6" fillId="0" borderId="1" xfId="3" applyNumberFormat="1" applyFont="1" applyBorder="1" applyAlignment="1" applyProtection="1">
      <alignment horizontal="right"/>
      <protection locked="0"/>
    </xf>
    <xf numFmtId="0" fontId="6" fillId="0" borderId="1" xfId="5" applyProtection="1">
      <protection locked="0"/>
    </xf>
    <xf numFmtId="0" fontId="0" fillId="0" borderId="0" xfId="0" applyProtection="1">
      <protection locked="0"/>
    </xf>
    <xf numFmtId="165" fontId="6" fillId="0" borderId="1" xfId="5" applyNumberFormat="1" applyProtection="1">
      <protection locked="0"/>
    </xf>
    <xf numFmtId="3" fontId="6" fillId="0" borderId="1" xfId="5" applyNumberFormat="1" applyProtection="1">
      <protection locked="0"/>
    </xf>
    <xf numFmtId="164" fontId="6" fillId="0" borderId="1" xfId="3" applyNumberFormat="1" applyFont="1" applyFill="1" applyBorder="1" applyAlignment="1" applyProtection="1">
      <alignment horizontal="right"/>
      <protection locked="0"/>
    </xf>
    <xf numFmtId="166" fontId="6" fillId="0" borderId="1" xfId="3" applyNumberFormat="1" applyFont="1" applyFill="1" applyBorder="1" applyAlignment="1" applyProtection="1">
      <alignment horizontal="right"/>
      <protection locked="0"/>
    </xf>
    <xf numFmtId="168" fontId="6" fillId="0" borderId="1" xfId="5" applyNumberFormat="1" applyProtection="1">
      <protection locked="0"/>
    </xf>
    <xf numFmtId="9" fontId="6" fillId="0" borderId="1" xfId="4" applyFont="1" applyBorder="1" applyProtection="1">
      <protection locked="0"/>
    </xf>
    <xf numFmtId="166" fontId="6" fillId="0" borderId="1" xfId="3" applyNumberFormat="1" applyFont="1" applyBorder="1" applyAlignment="1" applyProtection="1">
      <alignment horizontal="right"/>
      <protection locked="0"/>
    </xf>
    <xf numFmtId="165" fontId="0" fillId="0" borderId="0" xfId="3" applyNumberFormat="1" applyFont="1" applyAlignment="1">
      <alignment horizontal="right"/>
    </xf>
    <xf numFmtId="9" fontId="0" fillId="0" borderId="0" xfId="0" applyNumberFormat="1"/>
    <xf numFmtId="0" fontId="11" fillId="0" borderId="0" xfId="0" applyFont="1"/>
    <xf numFmtId="0" fontId="22" fillId="0" borderId="0" xfId="0" applyFont="1"/>
    <xf numFmtId="165" fontId="13" fillId="2" borderId="1" xfId="4" applyNumberFormat="1" applyFont="1" applyFill="1" applyBorder="1" applyAlignment="1" applyProtection="1">
      <alignment horizontal="center"/>
      <protection locked="0"/>
    </xf>
    <xf numFmtId="165" fontId="0" fillId="0" borderId="0" xfId="0" applyNumberFormat="1"/>
    <xf numFmtId="0" fontId="23" fillId="0" borderId="0" xfId="0" applyFont="1" applyAlignment="1">
      <alignment horizontal="center"/>
    </xf>
    <xf numFmtId="0" fontId="26" fillId="3" borderId="0" xfId="10" applyFill="1"/>
    <xf numFmtId="0" fontId="27" fillId="12" borderId="0" xfId="0" applyFont="1" applyFill="1" applyAlignment="1">
      <alignment horizontal="left"/>
    </xf>
    <xf numFmtId="3" fontId="27" fillId="12" borderId="0" xfId="0" applyNumberFormat="1" applyFont="1" applyFill="1" applyAlignment="1">
      <alignment horizontal="left"/>
    </xf>
    <xf numFmtId="4" fontId="27" fillId="12" borderId="0" xfId="0" applyNumberFormat="1" applyFont="1" applyFill="1" applyAlignment="1">
      <alignment horizontal="left"/>
    </xf>
    <xf numFmtId="169" fontId="27" fillId="12" borderId="0" xfId="0" applyNumberFormat="1" applyFont="1" applyFill="1" applyAlignment="1">
      <alignment horizontal="left"/>
    </xf>
    <xf numFmtId="0" fontId="28" fillId="0" borderId="0" xfId="0" applyFont="1"/>
    <xf numFmtId="0" fontId="28" fillId="0" borderId="0" xfId="0" applyFont="1" applyAlignment="1">
      <alignment horizontal="left"/>
    </xf>
    <xf numFmtId="3" fontId="28" fillId="0" borderId="0" xfId="0" applyNumberFormat="1" applyFont="1" applyAlignment="1">
      <alignment horizontal="right"/>
    </xf>
    <xf numFmtId="4" fontId="28" fillId="0" borderId="0" xfId="0" applyNumberFormat="1" applyFont="1" applyAlignment="1">
      <alignment horizontal="right"/>
    </xf>
    <xf numFmtId="169" fontId="28" fillId="0" borderId="0" xfId="0" applyNumberFormat="1" applyFont="1" applyAlignment="1">
      <alignment horizontal="right"/>
    </xf>
    <xf numFmtId="14" fontId="28" fillId="0" borderId="0" xfId="0" quotePrefix="1" applyNumberFormat="1" applyFont="1" applyAlignment="1">
      <alignment horizontal="left"/>
    </xf>
    <xf numFmtId="0" fontId="15" fillId="3" borderId="1" xfId="0" applyFont="1" applyFill="1" applyBorder="1" applyAlignment="1">
      <alignment horizontal="center"/>
    </xf>
    <xf numFmtId="0" fontId="25" fillId="3" borderId="0" xfId="0" applyFont="1" applyFill="1" applyAlignment="1">
      <alignment horizontal="left" wrapText="1"/>
    </xf>
    <xf numFmtId="0" fontId="13" fillId="0" borderId="1" xfId="5" applyFont="1" applyBorder="1" applyAlignment="1">
      <alignment horizontal="left"/>
    </xf>
    <xf numFmtId="0" fontId="2" fillId="0" borderId="1" xfId="0" applyFont="1" applyBorder="1" applyAlignment="1">
      <alignment horizontal="left" vertical="top" wrapText="1"/>
    </xf>
    <xf numFmtId="9" fontId="12" fillId="4" borderId="1" xfId="4" applyFont="1" applyFill="1" applyBorder="1" applyAlignment="1">
      <alignment horizontal="left"/>
    </xf>
    <xf numFmtId="0" fontId="24" fillId="11" borderId="0" xfId="0" applyFont="1" applyFill="1" applyAlignment="1">
      <alignment horizontal="center"/>
    </xf>
    <xf numFmtId="0" fontId="18" fillId="5" borderId="1" xfId="5" applyFont="1" applyFill="1" applyAlignment="1">
      <alignment horizontal="center"/>
    </xf>
  </cellXfs>
  <cellStyles count="11">
    <cellStyle name="Comma" xfId="3" builtinId="3"/>
    <cellStyle name="Comma 2" xfId="7" xr:uid="{DCD1A837-9915-4C39-A223-3CC6F9C62875}"/>
    <cellStyle name="Comma 3" xfId="8" xr:uid="{27985B2F-6CE2-45E5-B753-F2DE28799D2B}"/>
    <cellStyle name="Hyperlink" xfId="10" builtinId="8"/>
    <cellStyle name="Hyperlink 2" xfId="2" xr:uid="{323B4773-3110-402D-B3A1-0F68935BE681}"/>
    <cellStyle name="Normal" xfId="0" builtinId="0"/>
    <cellStyle name="Normal 2" xfId="1" xr:uid="{DECAFA4B-02B8-498A-9296-9002DAFC3432}"/>
    <cellStyle name="Normal 3" xfId="5" xr:uid="{9C18FFFE-F72D-4C36-8FA0-4B27E1FE615E}"/>
    <cellStyle name="Normal 4" xfId="9" xr:uid="{A720AF5F-836A-49D8-B6CC-6624CEB3E3E7}"/>
    <cellStyle name="Percent" xfId="4" builtinId="5"/>
    <cellStyle name="Percent 2" xfId="6" xr:uid="{BCEBE2A7-9756-40F8-958F-517456AA17AC}"/>
  </cellStyles>
  <dxfs count="4">
    <dxf>
      <fill>
        <patternFill>
          <bgColor theme="1"/>
        </patternFill>
      </fill>
    </dxf>
    <dxf>
      <fill>
        <patternFill patternType="solid">
          <fgColor rgb="FFF3F3F3"/>
          <bgColor rgb="FFF3F3F3"/>
        </patternFill>
      </fill>
    </dxf>
    <dxf>
      <fill>
        <patternFill patternType="solid">
          <fgColor rgb="FFFFFFFF"/>
          <bgColor rgb="FFFFFFFF"/>
        </patternFill>
      </fill>
    </dxf>
    <dxf>
      <fill>
        <patternFill patternType="solid">
          <fgColor rgb="FFBDBDBD"/>
          <bgColor rgb="FFBDBDBD"/>
        </patternFill>
      </fill>
    </dxf>
  </dxfs>
  <tableStyles count="1" defaultTableStyle="TableStyleMedium2" defaultPivotStyle="PivotStyleLight16">
    <tableStyle name="Sizer-style" pivot="0" count="3" xr9:uid="{00000000-0011-0000-FFFF-FFFF00000000}">
      <tableStyleElement type="headerRow" dxfId="3"/>
      <tableStyleElement type="firstRowStripe" dxfId="2"/>
      <tableStyleElement type="secondRowStripe" dxfId="1"/>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microsoft.com/office/2017/06/relationships/rdRichValueTypes" Target="richData/rdRichValueTypes.xml"/><Relationship Id="rId3" Type="http://schemas.openxmlformats.org/officeDocument/2006/relationships/worksheet" Target="worksheets/sheet3.xml"/><Relationship Id="rId21"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theme" Target="theme/theme1.xml"/><Relationship Id="rId17" Type="http://schemas.microsoft.com/office/2017/06/relationships/rdRichValueStructure" Target="richData/rdrichvaluestructure.xml"/><Relationship Id="rId2" Type="http://schemas.openxmlformats.org/officeDocument/2006/relationships/worksheet" Target="worksheets/sheet2.xml"/><Relationship Id="rId16" Type="http://schemas.microsoft.com/office/2017/06/relationships/rdRichValue" Target="richData/rdrichvalue.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sheetMetadata" Target="metadata.xml"/><Relationship Id="rId23" Type="http://schemas.openxmlformats.org/officeDocument/2006/relationships/customXml" Target="../customXml/item4.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 Id="rId22" Type="http://schemas.openxmlformats.org/officeDocument/2006/relationships/customXml" Target="../customXml/item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2" Type="http://schemas.openxmlformats.org/officeDocument/2006/relationships/image" Target="../media/image4.svg"/><Relationship Id="rId1" Type="http://schemas.openxmlformats.org/officeDocument/2006/relationships/image" Target="../media/image3.png"/></Relationships>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266700</xdr:colOff>
          <xdr:row>2</xdr:row>
          <xdr:rowOff>279400</xdr:rowOff>
        </xdr:from>
        <xdr:to>
          <xdr:col>9</xdr:col>
          <xdr:colOff>393700</xdr:colOff>
          <xdr:row>8</xdr:row>
          <xdr:rowOff>120650</xdr:rowOff>
        </xdr:to>
        <xdr:sp macro="" textlink="">
          <xdr:nvSpPr>
            <xdr:cNvPr id="1026" name="ImportRVTools"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260350</xdr:colOff>
          <xdr:row>11</xdr:row>
          <xdr:rowOff>133350</xdr:rowOff>
        </xdr:from>
        <xdr:to>
          <xdr:col>9</xdr:col>
          <xdr:colOff>406400</xdr:colOff>
          <xdr:row>18</xdr:row>
          <xdr:rowOff>38100</xdr:rowOff>
        </xdr:to>
        <xdr:sp macro="" textlink="">
          <xdr:nvSpPr>
            <xdr:cNvPr id="1027" name="ManualDataInput"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0</xdr:col>
      <xdr:colOff>547688</xdr:colOff>
      <xdr:row>2</xdr:row>
      <xdr:rowOff>266699</xdr:rowOff>
    </xdr:from>
    <xdr:to>
      <xdr:col>4</xdr:col>
      <xdr:colOff>304801</xdr:colOff>
      <xdr:row>16</xdr:row>
      <xdr:rowOff>141287</xdr:rowOff>
    </xdr:to>
    <xdr:pic>
      <xdr:nvPicPr>
        <xdr:cNvPr id="3" name="Graphic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547688" y="781049"/>
          <a:ext cx="2328863" cy="2328863"/>
        </a:xfrm>
        <a:prstGeom prst="rect">
          <a:avLst/>
        </a:prstGeom>
      </xdr:spPr>
    </xdr:pic>
    <xdr:clientData/>
  </xdr:twoCellAnchor>
</xdr:wsDr>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2</v>
    <v>3</v>
  </rv>
</rvData>
</file>

<file path=xl/richData/rdrichvaluestructure.xml><?xml version="1.0" encoding="utf-8"?>
<rvStructures xmlns="http://schemas.microsoft.com/office/spreadsheetml/2017/richdata" count="1">
  <s t="_error">
    <k n="errorType" t="i"/>
    <k n="subType" t="i"/>
  </s>
</rvStructure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drawing" Target="../drawings/drawing1.xml"/><Relationship Id="rId7" Type="http://schemas.openxmlformats.org/officeDocument/2006/relationships/control" Target="../activeX/activeX2.xml"/><Relationship Id="rId2" Type="http://schemas.openxmlformats.org/officeDocument/2006/relationships/printerSettings" Target="../printerSettings/printerSettings1.bin"/><Relationship Id="rId1" Type="http://schemas.openxmlformats.org/officeDocument/2006/relationships/hyperlink" Target="https://support.microsoft.com/en-us/topic/a-potentially-dangerous-macro-has-been-blocked-0952faa0-37e7-4316-b61d-5b5ed6024216" TargetMode="External"/><Relationship Id="rId6" Type="http://schemas.openxmlformats.org/officeDocument/2006/relationships/image" Target="../media/image1.emf"/><Relationship Id="rId5" Type="http://schemas.openxmlformats.org/officeDocument/2006/relationships/control" Target="../activeX/activeX1.xml"/><Relationship Id="rId4"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
    <tabColor theme="9"/>
  </sheetPr>
  <dimension ref="A2:BB106"/>
  <sheetViews>
    <sheetView workbookViewId="0">
      <selection activeCell="N30" sqref="N30"/>
    </sheetView>
  </sheetViews>
  <sheetFormatPr defaultColWidth="9" defaultRowHeight="12.5" x14ac:dyDescent="0.25"/>
  <cols>
    <col min="1" max="16384" width="9" style="40"/>
  </cols>
  <sheetData>
    <row r="2" spans="1:54" ht="28" x14ac:dyDescent="0.6">
      <c r="A2" s="101" t="s">
        <v>0</v>
      </c>
      <c r="B2" s="101"/>
      <c r="C2" s="101"/>
      <c r="D2" s="101"/>
      <c r="E2" s="101"/>
      <c r="F2" s="101"/>
      <c r="G2" s="101"/>
      <c r="H2" s="101"/>
      <c r="I2" s="101"/>
      <c r="J2" s="101"/>
      <c r="K2" s="101"/>
      <c r="L2" s="101"/>
      <c r="M2" s="101"/>
      <c r="N2" s="101"/>
      <c r="O2" s="101"/>
      <c r="AK2" s="41"/>
      <c r="BB2" s="41"/>
    </row>
    <row r="3" spans="1:54" ht="28" x14ac:dyDescent="0.6">
      <c r="C3" s="39"/>
      <c r="D3" s="39"/>
      <c r="E3" s="39"/>
      <c r="F3" s="39"/>
      <c r="G3" s="39"/>
      <c r="H3" s="39"/>
      <c r="AK3" s="41"/>
      <c r="BB3" s="41"/>
    </row>
    <row r="4" spans="1:54" x14ac:dyDescent="0.25">
      <c r="L4" s="102" t="s">
        <v>1</v>
      </c>
      <c r="M4" s="102"/>
      <c r="N4" s="102"/>
      <c r="O4" s="102"/>
      <c r="P4" s="102"/>
      <c r="AK4" s="41"/>
      <c r="BB4" s="41"/>
    </row>
    <row r="5" spans="1:54" x14ac:dyDescent="0.25">
      <c r="L5" s="102"/>
      <c r="M5" s="102"/>
      <c r="N5" s="102"/>
      <c r="O5" s="102"/>
      <c r="P5" s="102"/>
      <c r="AK5" s="41"/>
      <c r="BB5" s="41"/>
    </row>
    <row r="6" spans="1:54" x14ac:dyDescent="0.25">
      <c r="L6" s="102"/>
      <c r="M6" s="102"/>
      <c r="N6" s="102"/>
      <c r="O6" s="102"/>
      <c r="P6" s="102"/>
      <c r="AK6" s="41"/>
      <c r="BB6" s="41"/>
    </row>
    <row r="7" spans="1:54" x14ac:dyDescent="0.25">
      <c r="L7" s="102"/>
      <c r="M7" s="102"/>
      <c r="N7" s="102"/>
      <c r="O7" s="102"/>
      <c r="P7" s="102"/>
      <c r="AK7" s="41"/>
      <c r="BB7" s="41"/>
    </row>
    <row r="8" spans="1:54" x14ac:dyDescent="0.25">
      <c r="L8" s="90" t="s">
        <v>2</v>
      </c>
      <c r="AK8" s="41"/>
      <c r="BB8" s="41"/>
    </row>
    <row r="9" spans="1:54" x14ac:dyDescent="0.25">
      <c r="AK9" s="41"/>
      <c r="BB9" s="41"/>
    </row>
    <row r="10" spans="1:54" x14ac:dyDescent="0.25">
      <c r="AK10" s="41"/>
      <c r="BB10" s="41"/>
    </row>
    <row r="11" spans="1:54" x14ac:dyDescent="0.25">
      <c r="AK11" s="41"/>
      <c r="BB11" s="41"/>
    </row>
    <row r="12" spans="1:54" x14ac:dyDescent="0.25">
      <c r="AK12" s="41"/>
      <c r="BB12" s="41"/>
    </row>
    <row r="13" spans="1:54" x14ac:dyDescent="0.25">
      <c r="AK13" s="41"/>
      <c r="BB13" s="41"/>
    </row>
    <row r="14" spans="1:54" x14ac:dyDescent="0.25">
      <c r="AK14" s="41"/>
      <c r="BB14" s="41"/>
    </row>
    <row r="15" spans="1:54" x14ac:dyDescent="0.25">
      <c r="AK15" s="41"/>
      <c r="BB15" s="41"/>
    </row>
    <row r="16" spans="1:54" x14ac:dyDescent="0.25">
      <c r="AK16" s="41"/>
      <c r="BB16" s="41"/>
    </row>
    <row r="17" spans="37:54" x14ac:dyDescent="0.25">
      <c r="AK17" s="41"/>
      <c r="BB17" s="41"/>
    </row>
    <row r="18" spans="37:54" x14ac:dyDescent="0.25">
      <c r="AK18" s="41"/>
      <c r="BB18" s="41"/>
    </row>
    <row r="19" spans="37:54" x14ac:dyDescent="0.25">
      <c r="AK19" s="41"/>
      <c r="BB19" s="41"/>
    </row>
    <row r="20" spans="37:54" x14ac:dyDescent="0.25">
      <c r="AK20" s="41"/>
      <c r="BB20" s="41"/>
    </row>
    <row r="21" spans="37:54" x14ac:dyDescent="0.25">
      <c r="AK21" s="41"/>
      <c r="BB21" s="41"/>
    </row>
    <row r="22" spans="37:54" x14ac:dyDescent="0.25">
      <c r="AK22" s="41"/>
      <c r="BB22" s="41"/>
    </row>
    <row r="23" spans="37:54" x14ac:dyDescent="0.25">
      <c r="AK23" s="41"/>
      <c r="BB23" s="41"/>
    </row>
    <row r="24" spans="37:54" x14ac:dyDescent="0.25">
      <c r="AK24" s="41"/>
      <c r="BB24" s="41"/>
    </row>
    <row r="25" spans="37:54" x14ac:dyDescent="0.25">
      <c r="AK25" s="41"/>
      <c r="BB25" s="41"/>
    </row>
    <row r="26" spans="37:54" x14ac:dyDescent="0.25">
      <c r="AK26" s="41"/>
      <c r="BB26" s="41"/>
    </row>
    <row r="27" spans="37:54" x14ac:dyDescent="0.25">
      <c r="AK27" s="41"/>
      <c r="BB27" s="41"/>
    </row>
    <row r="28" spans="37:54" x14ac:dyDescent="0.25">
      <c r="AK28" s="41"/>
      <c r="BB28" s="41"/>
    </row>
    <row r="29" spans="37:54" x14ac:dyDescent="0.25">
      <c r="AK29" s="41"/>
      <c r="BB29" s="41"/>
    </row>
    <row r="99" spans="1:2" x14ac:dyDescent="0.25">
      <c r="A99" s="71" t="s">
        <v>3</v>
      </c>
    </row>
    <row r="100" spans="1:2" x14ac:dyDescent="0.25">
      <c r="A100" s="72">
        <v>10</v>
      </c>
      <c r="B100" s="40" t="s">
        <v>4</v>
      </c>
    </row>
    <row r="101" spans="1:2" x14ac:dyDescent="0.25">
      <c r="A101" s="72">
        <v>4</v>
      </c>
      <c r="B101" s="40" t="s">
        <v>5</v>
      </c>
    </row>
    <row r="102" spans="1:2" x14ac:dyDescent="0.25">
      <c r="A102" s="72">
        <v>256</v>
      </c>
      <c r="B102" s="40" t="s">
        <v>6</v>
      </c>
    </row>
    <row r="103" spans="1:2" x14ac:dyDescent="0.25">
      <c r="A103" s="72">
        <v>500</v>
      </c>
      <c r="B103" s="40" t="s">
        <v>7</v>
      </c>
    </row>
    <row r="104" spans="1:2" x14ac:dyDescent="0.25">
      <c r="A104" s="72">
        <v>1</v>
      </c>
      <c r="B104" s="40" t="s">
        <v>8</v>
      </c>
    </row>
    <row r="105" spans="1:2" x14ac:dyDescent="0.25">
      <c r="A105" s="40" t="s">
        <v>283</v>
      </c>
    </row>
    <row r="106" spans="1:2" x14ac:dyDescent="0.25">
      <c r="A106" s="40" t="s">
        <v>284</v>
      </c>
    </row>
  </sheetData>
  <mergeCells count="2">
    <mergeCell ref="A2:O2"/>
    <mergeCell ref="L4:P7"/>
  </mergeCells>
  <hyperlinks>
    <hyperlink ref="L8" r:id="rId1" xr:uid="{FC7E7CEA-D594-4345-8C4F-00AAA7D07EAE}"/>
  </hyperlinks>
  <pageMargins left="0.7" right="0.7" top="0.75" bottom="0.75" header="0.3" footer="0.3"/>
  <pageSetup orientation="portrait" r:id="rId2"/>
  <drawing r:id="rId3"/>
  <legacyDrawing r:id="rId4"/>
  <controls>
    <mc:AlternateContent xmlns:mc="http://schemas.openxmlformats.org/markup-compatibility/2006">
      <mc:Choice Requires="x14">
        <control shapeId="1027" r:id="rId5" name="ManualDataInput">
          <controlPr defaultSize="0" autoLine="0" r:id="rId6">
            <anchor moveWithCells="1">
              <from>
                <xdr:col>5</xdr:col>
                <xdr:colOff>260350</xdr:colOff>
                <xdr:row>11</xdr:row>
                <xdr:rowOff>133350</xdr:rowOff>
              </from>
              <to>
                <xdr:col>9</xdr:col>
                <xdr:colOff>406400</xdr:colOff>
                <xdr:row>18</xdr:row>
                <xdr:rowOff>38100</xdr:rowOff>
              </to>
            </anchor>
          </controlPr>
        </control>
      </mc:Choice>
      <mc:Fallback>
        <control shapeId="1027" r:id="rId5" name="ManualDataInput"/>
      </mc:Fallback>
    </mc:AlternateContent>
    <mc:AlternateContent xmlns:mc="http://schemas.openxmlformats.org/markup-compatibility/2006">
      <mc:Choice Requires="x14">
        <control shapeId="1026" r:id="rId7" name="ImportRVTools">
          <controlPr defaultSize="0" autoLine="0" r:id="rId8">
            <anchor moveWithCells="1">
              <from>
                <xdr:col>5</xdr:col>
                <xdr:colOff>266700</xdr:colOff>
                <xdr:row>2</xdr:row>
                <xdr:rowOff>279400</xdr:rowOff>
              </from>
              <to>
                <xdr:col>9</xdr:col>
                <xdr:colOff>393700</xdr:colOff>
                <xdr:row>8</xdr:row>
                <xdr:rowOff>120650</xdr:rowOff>
              </to>
            </anchor>
          </controlPr>
        </control>
      </mc:Choice>
      <mc:Fallback>
        <control shapeId="1026" r:id="rId7" name="ImportRVTools"/>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1"/>
  <dimension ref="B2:E13"/>
  <sheetViews>
    <sheetView workbookViewId="0">
      <selection activeCell="D5" sqref="D5"/>
    </sheetView>
  </sheetViews>
  <sheetFormatPr defaultRowHeight="12.5" x14ac:dyDescent="0.25"/>
  <cols>
    <col min="2" max="2" width="30.54296875" bestFit="1" customWidth="1"/>
    <col min="3" max="3" width="12" customWidth="1"/>
    <col min="4" max="4" width="13.26953125" customWidth="1"/>
    <col min="5" max="5" width="8.453125" customWidth="1"/>
  </cols>
  <sheetData>
    <row r="2" spans="2:5" ht="50" x14ac:dyDescent="0.25">
      <c r="C2" s="36" t="s">
        <v>9</v>
      </c>
      <c r="D2" s="36" t="s">
        <v>10</v>
      </c>
    </row>
    <row r="4" spans="2:5" x14ac:dyDescent="0.25">
      <c r="B4" t="str">
        <f>'Sizing Input'!B3</f>
        <v>VMs</v>
      </c>
      <c r="C4">
        <f>'Sizing Input'!C3</f>
        <v>32</v>
      </c>
      <c r="D4">
        <f>ROUNDUP('Sizing Input'!C3*('Turn The Knobs'!B7+1),0)</f>
        <v>32</v>
      </c>
    </row>
    <row r="5" spans="2:5" x14ac:dyDescent="0.25">
      <c r="B5" t="str">
        <f>'Sizing Input'!B4</f>
        <v>Hosts</v>
      </c>
      <c r="C5">
        <f>'Sizing Input'!C4</f>
        <v>39</v>
      </c>
      <c r="D5">
        <f>'Turn The Knobs'!B22</f>
        <v>3</v>
      </c>
      <c r="E5" s="7" t="str">
        <f>IF(D5='Turn The Knobs'!B22,"CS36","CS36m")</f>
        <v>CS36</v>
      </c>
    </row>
    <row r="6" spans="2:5" x14ac:dyDescent="0.25">
      <c r="B6" t="str">
        <f>'Sizing Input'!B9</f>
        <v>Total Physical Cores</v>
      </c>
      <c r="C6" s="4">
        <f>'Sizing Input'!C9</f>
        <v>1120</v>
      </c>
      <c r="D6" s="6" t="b">
        <f>IF(E5='Host Configurations'!B1,'Host Configurations'!B5*'Compare On-Prem to AVS '!D5,IF(E5='Host Configurations'!C1,'Host Configurations'!C5*'Compare On-Prem to AVS '!D5))</f>
        <v>0</v>
      </c>
    </row>
    <row r="7" spans="2:5" x14ac:dyDescent="0.25">
      <c r="B7" t="str">
        <f>'Sizing Input'!B10</f>
        <v>vCPU:pCPU Overcommit</v>
      </c>
      <c r="C7" s="5">
        <f>'Sizing Input'!C10</f>
        <v>1</v>
      </c>
      <c r="D7" s="31">
        <f>IF('Sizing Input'!C9&gt;'Sizing Input'!C8,1,ROUNDUP(('CPU Details'!A4/'Compare On-Prem to AVS '!D6),1)&amp;" : 1")</f>
        <v>1</v>
      </c>
    </row>
    <row r="8" spans="2:5" x14ac:dyDescent="0.25">
      <c r="B8" t="str">
        <f>'Sizing Input'!B15</f>
        <v>Total Physical Memory (GB)</v>
      </c>
      <c r="C8" s="4">
        <f>'Sizing Input'!C15</f>
        <v>14998.981</v>
      </c>
      <c r="D8" s="32" t="b">
        <f>IF(E5='Host Configurations'!B1,'Host Configurations'!B6*'Compare On-Prem to AVS '!D5,IF('Compare On-Prem to AVS '!E5='Host Configurations'!C1,'Host Configurations'!C6*'Compare On-Prem to AVS '!D5))</f>
        <v>0</v>
      </c>
    </row>
    <row r="9" spans="2:5" x14ac:dyDescent="0.25">
      <c r="B9" t="str">
        <f>'Sizing Input'!B16</f>
        <v>vMem:pMem Overcommit</v>
      </c>
      <c r="C9" s="33" t="str">
        <f>'Sizing Input'!C16</f>
        <v>1 : 1</v>
      </c>
      <c r="D9" s="5" t="str">
        <f>IF(D8&gt;'Sizing Input'!C14,1&amp;" : 1",ROUNDUP(('Sizing Input'!C14/'Compare On-Prem to AVS '!D8),1)&amp;" : 1")</f>
        <v>1 : 1</v>
      </c>
    </row>
    <row r="10" spans="2:5" ht="14.5" x14ac:dyDescent="0.25">
      <c r="B10" s="1" t="s">
        <v>11</v>
      </c>
      <c r="C10" s="34" t="e">
        <f>'Storage Details'!#REF!</f>
        <v>#REF!</v>
      </c>
      <c r="D10" s="35" t="b">
        <f>IF('Turn The Knobs'!B10="Deployed",IF(E5='Host Configurations'!B1,'Storage Details'!#REF!,IF(E5='Host Configurations'!C1,'Storage Details'!#REF!)),IF(E5='Host Configurations'!B1,'Storage Details'!#REF!,IF(E5='Host Configurations'!C1,'Storage Details'!#REF!)))</f>
        <v>0</v>
      </c>
    </row>
    <row r="11" spans="2:5" x14ac:dyDescent="0.25">
      <c r="B11" t="str">
        <f>'Sizing Input'!B20</f>
        <v>Storage Deployed to VMs - TB</v>
      </c>
      <c r="C11" s="27">
        <f>'Sizing Input'!C20</f>
        <v>17.545988999999999</v>
      </c>
      <c r="D11" s="27" t="e">
        <f>'Storage Details'!#REF!</f>
        <v>#REF!</v>
      </c>
    </row>
    <row r="12" spans="2:5" x14ac:dyDescent="0.25">
      <c r="B12" t="str">
        <f>'Sizing Input'!B19</f>
        <v xml:space="preserve">Consumed Storage Across VMs - TB  </v>
      </c>
      <c r="C12" s="4">
        <f>'Sizing Input'!C19</f>
        <v>15.122752999999999</v>
      </c>
      <c r="D12" s="4" t="e">
        <f>'Storage Details'!#REF!</f>
        <v>#REF!</v>
      </c>
    </row>
    <row r="13" spans="2:5" x14ac:dyDescent="0.25">
      <c r="B13" t="str">
        <f>'Sizing Input'!B21</f>
        <v>Storage Utilization %</v>
      </c>
      <c r="C13" s="28">
        <f>'Sizing Input'!C21</f>
        <v>0.86189231054459226</v>
      </c>
      <c r="D13" s="28" t="e">
        <f>D12/D10</f>
        <v>#REF!</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8">
    <tabColor theme="9"/>
  </sheetPr>
  <dimension ref="A1:V203"/>
  <sheetViews>
    <sheetView workbookViewId="0">
      <selection activeCell="E18" sqref="E18"/>
    </sheetView>
  </sheetViews>
  <sheetFormatPr defaultColWidth="65.26953125" defaultRowHeight="12.5" x14ac:dyDescent="0.25"/>
  <cols>
    <col min="1" max="1" width="48.54296875" bestFit="1" customWidth="1"/>
    <col min="2" max="2" width="18.1796875" bestFit="1" customWidth="1"/>
    <col min="3" max="4" width="6.81640625" bestFit="1" customWidth="1"/>
  </cols>
  <sheetData>
    <row r="1" spans="1:22" ht="13.5" x14ac:dyDescent="0.35">
      <c r="A1" s="10"/>
      <c r="B1" s="13"/>
      <c r="C1" s="13"/>
      <c r="D1" s="10"/>
      <c r="E1" s="10"/>
      <c r="F1" s="10"/>
      <c r="G1" s="10"/>
      <c r="H1" s="10"/>
      <c r="I1" s="10"/>
      <c r="J1" s="10"/>
      <c r="K1" s="10"/>
      <c r="L1" s="10"/>
      <c r="M1" s="10"/>
      <c r="N1" s="10"/>
      <c r="O1" s="10"/>
      <c r="P1" s="10"/>
      <c r="Q1" s="10"/>
      <c r="R1" s="10"/>
      <c r="S1" s="10"/>
      <c r="T1" s="10"/>
      <c r="U1" s="10"/>
      <c r="V1" s="10"/>
    </row>
    <row r="2" spans="1:22" ht="13.5" x14ac:dyDescent="0.35">
      <c r="A2" s="10"/>
      <c r="B2" s="14"/>
      <c r="C2" s="14"/>
      <c r="D2" s="10"/>
      <c r="E2" s="10"/>
      <c r="F2" s="10"/>
      <c r="G2" s="10"/>
      <c r="H2" s="10"/>
      <c r="I2" s="10"/>
      <c r="J2" s="10"/>
      <c r="K2" s="10"/>
      <c r="L2" s="10"/>
      <c r="M2" s="10"/>
      <c r="N2" s="10"/>
      <c r="O2" s="10"/>
      <c r="P2" s="10"/>
      <c r="Q2" s="10"/>
      <c r="R2" s="10"/>
      <c r="S2" s="10"/>
      <c r="T2" s="10"/>
      <c r="U2" s="10"/>
      <c r="V2" s="10"/>
    </row>
    <row r="3" spans="1:22" ht="13.5" x14ac:dyDescent="0.35">
      <c r="A3" s="11"/>
      <c r="D3" s="12"/>
      <c r="E3" s="12"/>
      <c r="F3" s="10"/>
      <c r="G3" s="10"/>
      <c r="H3" s="10"/>
      <c r="I3" s="10"/>
      <c r="J3" s="10"/>
      <c r="K3" s="10"/>
      <c r="L3" s="10"/>
      <c r="M3" s="10"/>
      <c r="N3" s="10"/>
      <c r="O3" s="10"/>
      <c r="P3" s="10"/>
      <c r="Q3" s="10"/>
      <c r="R3" s="10"/>
      <c r="S3" s="10"/>
      <c r="T3" s="10"/>
      <c r="U3" s="10"/>
      <c r="V3" s="10"/>
    </row>
    <row r="4" spans="1:22" ht="14.5" x14ac:dyDescent="0.35">
      <c r="A4" s="15" t="s">
        <v>12</v>
      </c>
      <c r="B4" s="16" t="s">
        <v>13</v>
      </c>
      <c r="C4" s="105" t="s">
        <v>14</v>
      </c>
      <c r="D4" s="105"/>
      <c r="E4" s="105"/>
      <c r="F4" s="105"/>
      <c r="G4" s="10"/>
      <c r="H4" s="10"/>
      <c r="I4" s="10"/>
      <c r="J4" s="10"/>
      <c r="K4" s="10"/>
      <c r="L4" s="10"/>
      <c r="M4" s="10"/>
      <c r="N4" s="10"/>
      <c r="O4" s="10"/>
      <c r="P4" s="10"/>
      <c r="Q4" s="10"/>
      <c r="R4" s="10"/>
      <c r="S4" s="10"/>
      <c r="T4" s="10"/>
      <c r="U4" s="10"/>
      <c r="V4" s="10"/>
    </row>
    <row r="5" spans="1:22" ht="14.25" customHeight="1" x14ac:dyDescent="0.35">
      <c r="A5" s="17" t="s">
        <v>15</v>
      </c>
      <c r="B5" s="69">
        <v>0.25</v>
      </c>
      <c r="C5" s="104" t="s">
        <v>16</v>
      </c>
      <c r="D5" s="104"/>
      <c r="E5" s="104"/>
      <c r="F5" s="104"/>
      <c r="G5" s="10"/>
      <c r="H5" s="10"/>
      <c r="I5" s="10"/>
      <c r="J5" s="10"/>
      <c r="K5" s="10"/>
      <c r="L5" s="10"/>
      <c r="M5" s="10"/>
      <c r="N5" s="10"/>
      <c r="O5" s="10"/>
      <c r="P5" s="10"/>
      <c r="Q5" s="10"/>
      <c r="R5" s="10"/>
      <c r="S5" s="10"/>
      <c r="T5" s="10"/>
      <c r="U5" s="10"/>
      <c r="V5" s="10"/>
    </row>
    <row r="6" spans="1:22" ht="14.5" x14ac:dyDescent="0.35">
      <c r="A6" s="17" t="s">
        <v>17</v>
      </c>
      <c r="B6" s="70">
        <v>1.3</v>
      </c>
      <c r="C6" s="104" t="s">
        <v>18</v>
      </c>
      <c r="D6" s="104"/>
      <c r="E6" s="104"/>
      <c r="F6" s="104"/>
      <c r="G6" s="10"/>
      <c r="H6" s="10"/>
      <c r="I6" s="10"/>
      <c r="J6" s="10"/>
      <c r="K6" s="10"/>
      <c r="L6" s="10"/>
      <c r="M6" s="10"/>
      <c r="N6" s="10"/>
      <c r="O6" s="10"/>
      <c r="P6" s="10"/>
      <c r="Q6" s="10"/>
      <c r="R6" s="10"/>
      <c r="S6" s="10"/>
      <c r="T6" s="10"/>
      <c r="U6" s="10"/>
      <c r="V6" s="10"/>
    </row>
    <row r="7" spans="1:22" ht="14.5" x14ac:dyDescent="0.35">
      <c r="A7" s="17" t="s">
        <v>19</v>
      </c>
      <c r="B7" s="69">
        <v>0</v>
      </c>
      <c r="C7" s="104" t="s">
        <v>20</v>
      </c>
      <c r="D7" s="104"/>
      <c r="E7" s="104"/>
      <c r="F7" s="104"/>
      <c r="G7" s="10"/>
      <c r="H7" s="10"/>
      <c r="I7" s="10"/>
      <c r="J7" s="10"/>
      <c r="K7" s="10"/>
      <c r="L7" s="10"/>
      <c r="M7" s="10"/>
      <c r="N7" s="10"/>
      <c r="O7" s="10"/>
      <c r="P7" s="10"/>
      <c r="Q7" s="10"/>
      <c r="R7" s="10"/>
      <c r="S7" s="10"/>
      <c r="T7" s="10"/>
      <c r="U7" s="10"/>
      <c r="V7" s="10"/>
    </row>
    <row r="8" spans="1:22" ht="14.5" x14ac:dyDescent="0.35">
      <c r="A8" s="17" t="s">
        <v>21</v>
      </c>
      <c r="B8" s="70" t="s">
        <v>22</v>
      </c>
      <c r="C8" s="104" t="s">
        <v>23</v>
      </c>
      <c r="D8" s="104"/>
      <c r="E8" s="104"/>
      <c r="F8" s="104"/>
      <c r="G8" s="10"/>
      <c r="H8" s="10"/>
      <c r="I8" s="10"/>
      <c r="J8" s="10"/>
      <c r="K8" s="10"/>
      <c r="L8" s="10"/>
      <c r="M8" s="10"/>
      <c r="N8" s="10"/>
      <c r="O8" s="10"/>
      <c r="P8" s="10"/>
      <c r="Q8" s="10"/>
      <c r="R8" s="10"/>
      <c r="S8" s="10"/>
      <c r="T8" s="10"/>
      <c r="U8" s="10"/>
      <c r="V8" s="10"/>
    </row>
    <row r="9" spans="1:22" ht="14.5" x14ac:dyDescent="0.35">
      <c r="A9" s="17" t="s">
        <v>24</v>
      </c>
      <c r="B9" s="70">
        <v>0</v>
      </c>
      <c r="C9" s="104" t="s">
        <v>25</v>
      </c>
      <c r="D9" s="104"/>
      <c r="E9" s="104"/>
      <c r="F9" s="104"/>
      <c r="G9" s="10"/>
      <c r="H9" s="10"/>
      <c r="I9" s="10"/>
      <c r="J9" s="10"/>
      <c r="K9" s="10"/>
      <c r="L9" s="10"/>
      <c r="M9" s="10"/>
      <c r="N9" s="10"/>
      <c r="O9" s="10"/>
      <c r="P9" s="10"/>
      <c r="Q9" s="10"/>
      <c r="R9" s="10"/>
      <c r="S9" s="10"/>
      <c r="T9" s="10"/>
      <c r="U9" s="10"/>
      <c r="V9" s="10"/>
    </row>
    <row r="10" spans="1:22" ht="14.5" x14ac:dyDescent="0.35">
      <c r="A10" s="17" t="s">
        <v>26</v>
      </c>
      <c r="B10" s="70" t="s">
        <v>27</v>
      </c>
      <c r="C10" s="104" t="s">
        <v>28</v>
      </c>
      <c r="D10" s="104"/>
      <c r="E10" s="104"/>
      <c r="F10" s="104"/>
      <c r="G10" s="10"/>
      <c r="H10" s="10"/>
      <c r="I10" s="10"/>
      <c r="J10" s="10"/>
      <c r="K10" s="10"/>
      <c r="L10" s="10"/>
      <c r="M10" s="10"/>
      <c r="N10" s="10"/>
      <c r="O10" s="10"/>
      <c r="P10" s="10"/>
      <c r="Q10" s="10"/>
      <c r="R10" s="10"/>
      <c r="S10" s="10"/>
      <c r="T10" s="10"/>
      <c r="U10" s="10"/>
      <c r="V10" s="10"/>
    </row>
    <row r="11" spans="1:22" ht="14.5" x14ac:dyDescent="0.35">
      <c r="A11" s="17" t="s">
        <v>29</v>
      </c>
      <c r="B11" s="69">
        <v>0</v>
      </c>
      <c r="C11" s="19"/>
      <c r="D11" s="18"/>
      <c r="E11" s="10"/>
      <c r="F11" s="10"/>
      <c r="G11" s="10"/>
      <c r="H11" s="10"/>
      <c r="I11" s="10"/>
      <c r="J11" s="10"/>
      <c r="K11" s="10"/>
      <c r="L11" s="10"/>
      <c r="M11" s="10"/>
      <c r="N11" s="10"/>
      <c r="O11" s="10"/>
      <c r="P11" s="10"/>
      <c r="Q11" s="10"/>
      <c r="R11" s="10"/>
      <c r="S11" s="10"/>
      <c r="T11" s="10"/>
      <c r="U11" s="10"/>
      <c r="V11" s="10"/>
    </row>
    <row r="12" spans="1:22" ht="14.5" x14ac:dyDescent="0.35">
      <c r="A12" s="17" t="s">
        <v>30</v>
      </c>
      <c r="B12" s="87">
        <v>4</v>
      </c>
      <c r="C12" s="103" t="s">
        <v>31</v>
      </c>
      <c r="D12" s="103"/>
      <c r="E12" s="103"/>
      <c r="F12" s="10"/>
      <c r="G12" s="10"/>
      <c r="H12" s="10"/>
      <c r="I12" s="10"/>
      <c r="J12" s="10"/>
      <c r="K12" s="10"/>
      <c r="L12" s="10"/>
      <c r="M12" s="10"/>
      <c r="N12" s="10"/>
      <c r="O12" s="10"/>
      <c r="P12" s="10"/>
      <c r="Q12" s="10"/>
      <c r="R12" s="10"/>
      <c r="S12" s="10"/>
      <c r="T12" s="10"/>
      <c r="U12" s="10"/>
      <c r="V12" s="10"/>
    </row>
    <row r="13" spans="1:22" ht="14.5" x14ac:dyDescent="0.35">
      <c r="A13" s="17" t="s">
        <v>32</v>
      </c>
      <c r="B13" s="87">
        <f>IF('Sizing Input'!C16=0,1,IF('Sizing Input'!C15&gt;'Sizing Input'!C14,1,ROUNDUP(('Sizing Input'!C14/'Sizing Input'!C15),1)))</f>
        <v>1</v>
      </c>
      <c r="C13" s="103" t="s">
        <v>31</v>
      </c>
      <c r="D13" s="103"/>
      <c r="E13" s="103"/>
      <c r="F13" s="10"/>
      <c r="G13" s="10"/>
      <c r="H13" s="10"/>
      <c r="I13" s="10"/>
      <c r="J13" s="10"/>
      <c r="K13" s="10"/>
      <c r="L13" s="10"/>
      <c r="M13" s="10"/>
      <c r="N13" s="10"/>
      <c r="O13" s="10"/>
      <c r="P13" s="10"/>
      <c r="Q13" s="10"/>
      <c r="R13" s="10"/>
      <c r="S13" s="10"/>
      <c r="T13" s="10"/>
      <c r="U13" s="10"/>
      <c r="V13" s="10"/>
    </row>
    <row r="14" spans="1:22" ht="14.5" x14ac:dyDescent="0.35">
      <c r="C14" s="43"/>
      <c r="D14" s="10"/>
      <c r="E14" s="10"/>
      <c r="F14" s="10"/>
      <c r="G14" s="10"/>
      <c r="H14" s="10"/>
      <c r="I14" s="10"/>
      <c r="J14" s="10"/>
      <c r="K14" s="10"/>
      <c r="L14" s="10"/>
      <c r="M14" s="10"/>
      <c r="N14" s="10"/>
      <c r="O14" s="10"/>
      <c r="P14" s="10"/>
      <c r="Q14" s="10"/>
      <c r="R14" s="10"/>
      <c r="S14" s="10"/>
      <c r="T14" s="10"/>
      <c r="U14" s="10"/>
      <c r="V14" s="10"/>
    </row>
    <row r="15" spans="1:22" ht="14.5" x14ac:dyDescent="0.35">
      <c r="A15" s="42"/>
      <c r="B15" s="42"/>
      <c r="C15" s="43"/>
      <c r="D15" s="10"/>
      <c r="E15" s="10"/>
      <c r="F15" s="10"/>
      <c r="G15" s="10"/>
      <c r="H15" s="10"/>
      <c r="I15" s="10"/>
      <c r="J15" s="10"/>
      <c r="K15" s="10"/>
      <c r="L15" s="10"/>
      <c r="M15" s="10"/>
      <c r="N15" s="10"/>
      <c r="O15" s="10"/>
      <c r="P15" s="10"/>
      <c r="Q15" s="10"/>
      <c r="R15" s="10"/>
      <c r="S15" s="10"/>
      <c r="T15" s="10"/>
      <c r="U15" s="10"/>
      <c r="V15" s="10"/>
    </row>
    <row r="16" spans="1:22" ht="13.5" x14ac:dyDescent="0.35">
      <c r="A16" s="10"/>
      <c r="B16" s="13"/>
      <c r="C16" s="13"/>
      <c r="D16" s="10"/>
      <c r="E16" s="66"/>
      <c r="F16" s="10"/>
      <c r="G16" s="10"/>
      <c r="H16" s="10"/>
      <c r="I16" s="10"/>
      <c r="J16" s="10"/>
      <c r="K16" s="10"/>
      <c r="L16" s="10"/>
      <c r="M16" s="10"/>
      <c r="N16" s="10"/>
      <c r="O16" s="10"/>
      <c r="P16" s="10"/>
      <c r="Q16" s="10"/>
      <c r="R16" s="10"/>
      <c r="S16" s="10"/>
      <c r="T16" s="10"/>
      <c r="U16" s="10"/>
      <c r="V16" s="10"/>
    </row>
    <row r="17" spans="1:22" ht="14.5" x14ac:dyDescent="0.35">
      <c r="A17" s="2"/>
      <c r="B17" s="22" t="str">
        <f>'Host Configurations'!B1</f>
        <v>AV36p</v>
      </c>
      <c r="C17" s="22" t="str">
        <f>'Host Configurations'!C1</f>
        <v>AV52</v>
      </c>
      <c r="D17" s="22" t="str">
        <f>'Host Configurations'!D1</f>
        <v>AV64</v>
      </c>
      <c r="E17" s="10"/>
      <c r="F17" s="10"/>
      <c r="G17" s="10"/>
      <c r="H17" s="10"/>
      <c r="I17" s="10"/>
      <c r="J17" s="10"/>
      <c r="K17" s="10"/>
      <c r="L17" s="10"/>
      <c r="M17" s="10"/>
      <c r="N17" s="10"/>
      <c r="O17" s="10"/>
      <c r="P17" s="10"/>
      <c r="Q17" s="10"/>
      <c r="R17" s="10"/>
      <c r="S17" s="10"/>
      <c r="T17" s="10"/>
      <c r="U17" s="10"/>
      <c r="V17" s="10"/>
    </row>
    <row r="18" spans="1:22" ht="14.5" x14ac:dyDescent="0.35">
      <c r="A18" s="2" t="s">
        <v>33</v>
      </c>
      <c r="B18" s="9">
        <f>'CPU Details'!A10+$B$9</f>
        <v>3</v>
      </c>
      <c r="C18" s="9">
        <f>'CPU Details'!B10+$B$9</f>
        <v>2</v>
      </c>
      <c r="D18" s="9">
        <f>'CPU Details'!C10+$B$9</f>
        <v>2</v>
      </c>
      <c r="E18" s="10"/>
      <c r="F18" s="10"/>
      <c r="G18" s="10"/>
      <c r="H18" s="10"/>
      <c r="I18" s="10"/>
      <c r="J18" s="10"/>
      <c r="K18" s="10"/>
      <c r="L18" s="10"/>
      <c r="M18" s="10"/>
      <c r="N18" s="10"/>
      <c r="O18" s="10"/>
      <c r="P18" s="10"/>
      <c r="Q18" s="10"/>
      <c r="R18" s="10"/>
      <c r="S18" s="10"/>
      <c r="T18" s="10"/>
      <c r="U18" s="10"/>
      <c r="V18" s="10"/>
    </row>
    <row r="19" spans="1:22" ht="14.5" x14ac:dyDescent="0.35">
      <c r="A19" s="2" t="s">
        <v>34</v>
      </c>
      <c r="B19" s="9">
        <f>'Memory Details'!A10+$B$9</f>
        <v>1</v>
      </c>
      <c r="C19" s="9">
        <f>'Memory Details'!B10+$B$9</f>
        <v>1</v>
      </c>
      <c r="D19" s="9">
        <f>'Memory Details'!C10+$B$9</f>
        <v>1</v>
      </c>
      <c r="E19" s="10"/>
      <c r="F19" s="10"/>
      <c r="G19" s="10"/>
      <c r="H19" s="10"/>
      <c r="I19" s="10"/>
      <c r="J19" s="10"/>
      <c r="K19" s="10"/>
      <c r="L19" s="10"/>
      <c r="M19" s="10"/>
      <c r="N19" s="10"/>
      <c r="O19" s="10"/>
      <c r="P19" s="10"/>
      <c r="Q19" s="10"/>
      <c r="R19" s="10"/>
      <c r="S19" s="10"/>
      <c r="T19" s="10"/>
      <c r="U19" s="10"/>
      <c r="V19" s="10"/>
    </row>
    <row r="20" spans="1:22" ht="14.5" x14ac:dyDescent="0.35">
      <c r="A20" s="21" t="s">
        <v>35</v>
      </c>
      <c r="B20" s="20">
        <f>IF('START HERE'!A99="manual",'Storage Details'!B28+B9,IF(B10="Deployed",'Storage Details'!B28,'Storage Details'!C28)+B9)</f>
        <v>2</v>
      </c>
      <c r="C20" s="20">
        <f>IF('START HERE'!A99="manual",'Storage Details'!B29+B9,IF(B10="Deployed",'Storage Details'!B29,'Storage Details'!C29)+B9)</f>
        <v>1</v>
      </c>
      <c r="D20" s="20">
        <f>IF('START HERE'!A99="manual",'Storage Details'!B27+B9,IF(B10="Deployed",'Storage Details'!B27,'Storage Details'!C27)+B9)</f>
        <v>1</v>
      </c>
      <c r="E20" s="10"/>
      <c r="F20" s="10"/>
      <c r="G20" s="10"/>
      <c r="H20" s="10"/>
      <c r="I20" s="10"/>
      <c r="J20" s="10"/>
      <c r="K20" s="10"/>
      <c r="L20" s="10"/>
      <c r="M20" s="10"/>
      <c r="N20" s="10"/>
      <c r="O20" s="10"/>
      <c r="P20" s="10"/>
      <c r="Q20" s="10"/>
      <c r="R20" s="10"/>
      <c r="S20" s="10"/>
      <c r="T20" s="10"/>
      <c r="U20" s="10"/>
      <c r="V20" s="10"/>
    </row>
    <row r="21" spans="1:22" ht="13.5" x14ac:dyDescent="0.35">
      <c r="A21" s="10"/>
      <c r="B21" s="13"/>
      <c r="C21" s="13"/>
      <c r="D21" s="10"/>
      <c r="E21" s="10"/>
      <c r="F21" s="10"/>
      <c r="G21" s="10"/>
      <c r="H21" s="10"/>
      <c r="I21" s="10"/>
      <c r="J21" s="10"/>
      <c r="K21" s="10"/>
      <c r="L21" s="10"/>
      <c r="M21" s="10"/>
      <c r="N21" s="10"/>
      <c r="O21" s="10"/>
      <c r="P21" s="10"/>
      <c r="Q21" s="10"/>
      <c r="R21" s="10"/>
      <c r="S21" s="10"/>
      <c r="T21" s="10"/>
      <c r="U21" s="10"/>
      <c r="V21" s="10"/>
    </row>
    <row r="22" spans="1:22" ht="14.5" x14ac:dyDescent="0.35">
      <c r="A22" s="22" t="s">
        <v>36</v>
      </c>
      <c r="B22" s="22">
        <f>MAX(B18:B20)</f>
        <v>3</v>
      </c>
      <c r="C22" s="22">
        <f t="shared" ref="C22:D22" si="0">MAX(C18:C20)</f>
        <v>2</v>
      </c>
      <c r="D22" s="22">
        <f t="shared" si="0"/>
        <v>2</v>
      </c>
      <c r="E22" s="10"/>
      <c r="F22" s="10"/>
      <c r="G22" s="10"/>
      <c r="H22" s="10"/>
      <c r="I22" s="10"/>
      <c r="J22" s="10"/>
      <c r="K22" s="10"/>
      <c r="L22" s="10"/>
      <c r="M22" s="10"/>
      <c r="N22" s="10"/>
      <c r="O22" s="10"/>
      <c r="P22" s="10"/>
      <c r="Q22" s="10"/>
      <c r="R22" s="10"/>
      <c r="S22" s="10"/>
      <c r="T22" s="10"/>
      <c r="U22" s="10"/>
      <c r="V22" s="10"/>
    </row>
    <row r="23" spans="1:22" ht="13.5" x14ac:dyDescent="0.35">
      <c r="A23" s="10" t="s">
        <v>37</v>
      </c>
      <c r="B23" s="13" t="str">
        <f>IF(B22=B20,"Storage",IF(B19=B22,"Memory",IF(B18=B22,"CPU")))</f>
        <v>CPU</v>
      </c>
      <c r="C23" s="13" t="str">
        <f t="shared" ref="C23:D23" si="1">IF(C22=C20,"Storage",IF(C19=C22,"Memory",IF(C18=C22,"CPU")))</f>
        <v>CPU</v>
      </c>
      <c r="D23" s="13" t="str">
        <f t="shared" si="1"/>
        <v>CPU</v>
      </c>
      <c r="E23" s="10"/>
      <c r="F23" s="10"/>
      <c r="G23" s="10"/>
      <c r="H23" s="10"/>
      <c r="I23" s="10"/>
      <c r="J23" s="10"/>
      <c r="K23" s="10"/>
      <c r="L23" s="10"/>
      <c r="M23" s="10"/>
      <c r="N23" s="10"/>
      <c r="O23" s="10"/>
      <c r="P23" s="10"/>
      <c r="Q23" s="10"/>
      <c r="R23" s="10"/>
      <c r="S23" s="10"/>
      <c r="T23" s="10"/>
      <c r="U23" s="10"/>
      <c r="V23" s="10"/>
    </row>
    <row r="24" spans="1:22" ht="13.5" x14ac:dyDescent="0.35">
      <c r="C24" s="13"/>
      <c r="D24" s="10"/>
      <c r="E24" s="10"/>
      <c r="F24" s="10"/>
      <c r="G24" s="10"/>
      <c r="H24" s="10"/>
      <c r="I24" s="10"/>
      <c r="J24" s="10"/>
      <c r="K24" s="10"/>
      <c r="L24" s="10"/>
      <c r="M24" s="10"/>
      <c r="N24" s="10"/>
      <c r="O24" s="10"/>
      <c r="P24" s="10"/>
      <c r="Q24" s="10"/>
      <c r="R24" s="10"/>
      <c r="S24" s="10"/>
      <c r="T24" s="10"/>
      <c r="U24" s="10"/>
      <c r="V24" s="10"/>
    </row>
    <row r="25" spans="1:22" ht="13.5" x14ac:dyDescent="0.35">
      <c r="C25" s="13"/>
      <c r="D25" s="10"/>
      <c r="E25" s="10"/>
      <c r="F25" s="10"/>
      <c r="G25" s="10"/>
      <c r="H25" s="10"/>
      <c r="I25" s="10"/>
      <c r="J25" s="10"/>
      <c r="K25" s="10"/>
      <c r="L25" s="10"/>
      <c r="M25" s="10"/>
      <c r="N25" s="10"/>
      <c r="O25" s="10"/>
      <c r="P25" s="10"/>
      <c r="Q25" s="10"/>
      <c r="R25" s="10"/>
      <c r="S25" s="10"/>
      <c r="T25" s="10"/>
      <c r="U25" s="10"/>
      <c r="V25" s="10"/>
    </row>
    <row r="26" spans="1:22" ht="13.5" x14ac:dyDescent="0.35">
      <c r="A26" s="10" t="s">
        <v>38</v>
      </c>
      <c r="B26" s="13"/>
      <c r="C26" s="13"/>
      <c r="D26" s="10"/>
      <c r="E26" s="10"/>
      <c r="F26" s="10"/>
      <c r="G26" s="10"/>
      <c r="H26" s="10"/>
      <c r="I26" s="10"/>
      <c r="J26" s="10"/>
      <c r="K26" s="10"/>
      <c r="L26" s="10"/>
      <c r="M26" s="10"/>
      <c r="N26" s="10"/>
      <c r="O26" s="10"/>
      <c r="P26" s="10"/>
      <c r="Q26" s="10"/>
      <c r="R26" s="10"/>
      <c r="S26" s="10"/>
      <c r="T26" s="10"/>
      <c r="U26" s="10"/>
      <c r="V26" s="10"/>
    </row>
    <row r="27" spans="1:22" ht="13.5" x14ac:dyDescent="0.35">
      <c r="A27" s="10" t="s">
        <v>284</v>
      </c>
      <c r="B27" s="13"/>
      <c r="C27" s="13"/>
      <c r="D27" s="10"/>
      <c r="E27" s="10"/>
      <c r="F27" s="10"/>
      <c r="G27" s="10"/>
      <c r="H27" s="10"/>
      <c r="I27" s="10"/>
      <c r="J27" s="10"/>
      <c r="K27" s="10"/>
      <c r="L27" s="10"/>
      <c r="M27" s="10"/>
      <c r="N27" s="10"/>
      <c r="O27" s="10"/>
      <c r="P27" s="10"/>
      <c r="Q27" s="10"/>
      <c r="R27" s="10"/>
      <c r="S27" s="10"/>
      <c r="T27" s="10"/>
      <c r="U27" s="10"/>
      <c r="V27" s="10"/>
    </row>
    <row r="28" spans="1:22" ht="13.5" x14ac:dyDescent="0.35">
      <c r="A28" s="10"/>
      <c r="B28" s="13"/>
      <c r="C28" s="13"/>
      <c r="D28" s="10"/>
      <c r="E28" s="10"/>
      <c r="F28" s="10"/>
      <c r="G28" s="10"/>
      <c r="H28" s="10"/>
      <c r="I28" s="10"/>
      <c r="J28" s="10"/>
      <c r="K28" s="10"/>
      <c r="L28" s="10"/>
      <c r="M28" s="10"/>
      <c r="N28" s="10"/>
      <c r="O28" s="10"/>
      <c r="P28" s="10"/>
      <c r="Q28" s="10"/>
      <c r="R28" s="10"/>
      <c r="S28" s="10"/>
      <c r="T28" s="10"/>
      <c r="U28" s="10"/>
      <c r="V28" s="10"/>
    </row>
    <row r="29" spans="1:22" ht="13.5" x14ac:dyDescent="0.35">
      <c r="A29" s="10"/>
      <c r="B29" s="13"/>
      <c r="C29" s="13"/>
      <c r="D29" s="10"/>
      <c r="E29" s="10"/>
      <c r="F29" s="10"/>
      <c r="G29" s="10"/>
      <c r="H29" s="10"/>
      <c r="I29" s="10"/>
      <c r="J29" s="10"/>
      <c r="K29" s="10"/>
      <c r="L29" s="10"/>
      <c r="M29" s="10"/>
      <c r="N29" s="10"/>
      <c r="O29" s="10"/>
      <c r="P29" s="10"/>
      <c r="Q29" s="10"/>
      <c r="R29" s="10"/>
      <c r="S29" s="10"/>
      <c r="T29" s="10"/>
      <c r="U29" s="10"/>
      <c r="V29" s="10"/>
    </row>
    <row r="30" spans="1:22" ht="13.5" x14ac:dyDescent="0.35">
      <c r="A30" s="10"/>
      <c r="B30" s="13"/>
      <c r="C30" s="13"/>
      <c r="D30" s="10"/>
      <c r="E30" s="10"/>
      <c r="F30" s="10"/>
      <c r="G30" s="10"/>
      <c r="H30" s="10"/>
      <c r="I30" s="10"/>
      <c r="J30" s="10"/>
      <c r="K30" s="10"/>
      <c r="L30" s="10"/>
      <c r="M30" s="10"/>
      <c r="N30" s="10"/>
      <c r="O30" s="10"/>
      <c r="P30" s="10"/>
      <c r="Q30" s="10"/>
      <c r="R30" s="10"/>
      <c r="S30" s="10"/>
      <c r="T30" s="10"/>
      <c r="U30" s="10"/>
      <c r="V30" s="10"/>
    </row>
    <row r="31" spans="1:22" ht="13.5" x14ac:dyDescent="0.35">
      <c r="A31" s="10"/>
      <c r="B31" s="13"/>
      <c r="C31" s="13"/>
      <c r="D31" s="10"/>
      <c r="E31" s="10"/>
      <c r="F31" s="10"/>
      <c r="G31" s="10"/>
      <c r="H31" s="10"/>
      <c r="I31" s="10"/>
      <c r="J31" s="10"/>
      <c r="K31" s="10"/>
      <c r="L31" s="10"/>
      <c r="M31" s="10"/>
      <c r="N31" s="10"/>
      <c r="O31" s="10"/>
      <c r="P31" s="10"/>
      <c r="Q31" s="10"/>
      <c r="R31" s="10"/>
      <c r="S31" s="10"/>
      <c r="T31" s="10"/>
      <c r="U31" s="10"/>
      <c r="V31" s="10"/>
    </row>
    <row r="32" spans="1:22" ht="13.5" x14ac:dyDescent="0.35">
      <c r="A32" s="10"/>
      <c r="B32" s="13"/>
      <c r="C32" s="13"/>
      <c r="D32" s="10"/>
      <c r="E32" s="10"/>
      <c r="F32" s="10"/>
      <c r="G32" s="10"/>
      <c r="H32" s="10"/>
      <c r="I32" s="10"/>
      <c r="J32" s="10"/>
      <c r="K32" s="10"/>
      <c r="L32" s="10"/>
      <c r="M32" s="10"/>
      <c r="N32" s="10"/>
      <c r="O32" s="10"/>
      <c r="P32" s="10"/>
      <c r="Q32" s="10"/>
      <c r="R32" s="10"/>
      <c r="S32" s="10"/>
      <c r="T32" s="10"/>
      <c r="U32" s="10"/>
      <c r="V32" s="10"/>
    </row>
    <row r="33" spans="1:22" ht="13.5" x14ac:dyDescent="0.35">
      <c r="A33" s="10"/>
      <c r="B33" s="13"/>
      <c r="C33" s="13"/>
      <c r="D33" s="10"/>
      <c r="E33" s="10"/>
      <c r="F33" s="10"/>
      <c r="G33" s="10"/>
      <c r="H33" s="10"/>
      <c r="I33" s="10"/>
      <c r="J33" s="10"/>
      <c r="K33" s="10"/>
      <c r="L33" s="10"/>
      <c r="M33" s="10"/>
      <c r="N33" s="10"/>
      <c r="O33" s="10"/>
      <c r="P33" s="10"/>
      <c r="Q33" s="10"/>
      <c r="R33" s="10"/>
      <c r="S33" s="10"/>
      <c r="T33" s="10"/>
      <c r="U33" s="10"/>
      <c r="V33" s="10"/>
    </row>
    <row r="34" spans="1:22" ht="13.5" x14ac:dyDescent="0.35">
      <c r="A34" s="10"/>
      <c r="B34" s="13"/>
      <c r="C34" s="13"/>
      <c r="D34" s="10"/>
      <c r="E34" s="10"/>
      <c r="F34" s="10"/>
      <c r="G34" s="10"/>
      <c r="H34" s="10"/>
      <c r="I34" s="10"/>
      <c r="J34" s="10"/>
      <c r="K34" s="10"/>
      <c r="L34" s="10"/>
      <c r="M34" s="10"/>
      <c r="N34" s="10"/>
      <c r="O34" s="10"/>
      <c r="P34" s="10"/>
      <c r="Q34" s="10"/>
      <c r="R34" s="10"/>
      <c r="S34" s="10"/>
      <c r="T34" s="10"/>
      <c r="U34" s="10"/>
      <c r="V34" s="10"/>
    </row>
    <row r="35" spans="1:22" ht="13.5" x14ac:dyDescent="0.35">
      <c r="A35" s="10"/>
      <c r="B35" s="13"/>
      <c r="C35" s="13"/>
      <c r="D35" s="10"/>
      <c r="E35" s="10"/>
      <c r="F35" s="10"/>
      <c r="G35" s="10"/>
      <c r="H35" s="10"/>
      <c r="I35" s="10"/>
      <c r="J35" s="10"/>
      <c r="K35" s="10"/>
      <c r="L35" s="10"/>
      <c r="M35" s="10"/>
      <c r="N35" s="10"/>
      <c r="O35" s="10"/>
      <c r="P35" s="10"/>
      <c r="Q35" s="10"/>
      <c r="R35" s="10"/>
      <c r="S35" s="10"/>
      <c r="T35" s="10"/>
      <c r="U35" s="10"/>
      <c r="V35" s="10"/>
    </row>
    <row r="36" spans="1:22" ht="13.5" x14ac:dyDescent="0.35">
      <c r="A36" s="10"/>
      <c r="B36" s="13"/>
      <c r="C36" s="13"/>
      <c r="D36" s="10"/>
      <c r="E36" s="10"/>
      <c r="F36" s="10"/>
      <c r="G36" s="10"/>
      <c r="H36" s="10"/>
      <c r="I36" s="10"/>
      <c r="J36" s="10"/>
      <c r="K36" s="10"/>
      <c r="L36" s="10"/>
      <c r="M36" s="10"/>
      <c r="N36" s="10"/>
      <c r="O36" s="10"/>
      <c r="P36" s="10"/>
      <c r="Q36" s="10"/>
      <c r="R36" s="10"/>
      <c r="S36" s="10"/>
      <c r="T36" s="10"/>
      <c r="U36" s="10"/>
      <c r="V36" s="10"/>
    </row>
    <row r="37" spans="1:22" ht="13.5" x14ac:dyDescent="0.35">
      <c r="A37" s="10"/>
      <c r="B37" s="13"/>
      <c r="C37" s="13"/>
      <c r="D37" s="10"/>
      <c r="E37" s="10"/>
      <c r="F37" s="10"/>
      <c r="G37" s="10"/>
      <c r="H37" s="10"/>
      <c r="I37" s="10"/>
      <c r="J37" s="10"/>
      <c r="K37" s="10"/>
      <c r="L37" s="10"/>
      <c r="M37" s="10"/>
      <c r="N37" s="10"/>
      <c r="O37" s="10"/>
      <c r="P37" s="10"/>
      <c r="Q37" s="10"/>
      <c r="R37" s="10"/>
      <c r="S37" s="10"/>
      <c r="T37" s="10"/>
      <c r="U37" s="10"/>
      <c r="V37" s="10"/>
    </row>
    <row r="38" spans="1:22" ht="13.5" x14ac:dyDescent="0.35">
      <c r="A38" s="10"/>
      <c r="B38" s="13"/>
      <c r="C38" s="13"/>
      <c r="D38" s="10"/>
      <c r="E38" s="10"/>
      <c r="F38" s="10"/>
      <c r="G38" s="10"/>
      <c r="H38" s="10"/>
      <c r="I38" s="10"/>
      <c r="J38" s="10"/>
      <c r="K38" s="10"/>
      <c r="L38" s="10"/>
      <c r="M38" s="10"/>
      <c r="N38" s="10"/>
      <c r="O38" s="10"/>
      <c r="P38" s="10"/>
      <c r="Q38" s="10"/>
      <c r="R38" s="10"/>
      <c r="S38" s="10"/>
      <c r="T38" s="10"/>
      <c r="U38" s="10"/>
      <c r="V38" s="10"/>
    </row>
    <row r="39" spans="1:22" ht="13.5" x14ac:dyDescent="0.35">
      <c r="A39" s="10"/>
      <c r="B39" s="13"/>
      <c r="C39" s="13"/>
      <c r="D39" s="10"/>
      <c r="E39" s="10"/>
      <c r="F39" s="10"/>
      <c r="G39" s="10"/>
      <c r="H39" s="10"/>
      <c r="I39" s="10"/>
      <c r="J39" s="10"/>
      <c r="K39" s="10"/>
      <c r="L39" s="10"/>
      <c r="M39" s="10"/>
      <c r="N39" s="10"/>
      <c r="O39" s="10"/>
      <c r="P39" s="10"/>
      <c r="Q39" s="10"/>
      <c r="R39" s="10"/>
      <c r="S39" s="10"/>
      <c r="T39" s="10"/>
      <c r="U39" s="10"/>
      <c r="V39" s="10"/>
    </row>
    <row r="40" spans="1:22" ht="13.5" x14ac:dyDescent="0.35">
      <c r="A40" s="10"/>
      <c r="B40" s="13"/>
      <c r="C40" s="13"/>
      <c r="D40" s="10"/>
      <c r="E40" s="10"/>
      <c r="F40" s="10"/>
      <c r="G40" s="10"/>
      <c r="H40" s="10"/>
      <c r="I40" s="10"/>
      <c r="J40" s="10"/>
      <c r="K40" s="10"/>
      <c r="L40" s="10"/>
      <c r="M40" s="10"/>
      <c r="N40" s="10"/>
      <c r="O40" s="10"/>
      <c r="P40" s="10"/>
      <c r="Q40" s="10"/>
      <c r="R40" s="10"/>
      <c r="S40" s="10"/>
      <c r="T40" s="10"/>
      <c r="U40" s="10"/>
      <c r="V40" s="10"/>
    </row>
    <row r="41" spans="1:22" ht="13.5" x14ac:dyDescent="0.35">
      <c r="A41" s="10"/>
      <c r="B41" s="13"/>
      <c r="C41" s="13"/>
      <c r="D41" s="10"/>
      <c r="E41" s="10"/>
      <c r="F41" s="10"/>
      <c r="G41" s="10"/>
      <c r="H41" s="10"/>
      <c r="I41" s="10"/>
      <c r="J41" s="10"/>
      <c r="K41" s="10"/>
      <c r="L41" s="10"/>
      <c r="M41" s="10"/>
      <c r="N41" s="10"/>
      <c r="O41" s="10"/>
      <c r="P41" s="10"/>
      <c r="Q41" s="10"/>
      <c r="R41" s="10"/>
      <c r="S41" s="10"/>
      <c r="T41" s="10"/>
      <c r="U41" s="10"/>
      <c r="V41" s="10"/>
    </row>
    <row r="42" spans="1:22" ht="13.5" x14ac:dyDescent="0.35">
      <c r="A42" s="10"/>
      <c r="B42" s="13"/>
      <c r="C42" s="13"/>
      <c r="D42" s="10"/>
      <c r="E42" s="10"/>
      <c r="F42" s="10"/>
      <c r="G42" s="10"/>
      <c r="H42" s="10"/>
      <c r="I42" s="10"/>
      <c r="J42" s="10"/>
      <c r="K42" s="10"/>
      <c r="L42" s="10"/>
      <c r="M42" s="10"/>
      <c r="N42" s="10"/>
      <c r="O42" s="10"/>
      <c r="P42" s="10"/>
      <c r="Q42" s="10"/>
      <c r="R42" s="10"/>
      <c r="S42" s="10"/>
      <c r="T42" s="10"/>
      <c r="U42" s="10"/>
      <c r="V42" s="10"/>
    </row>
    <row r="43" spans="1:22" ht="13.5" x14ac:dyDescent="0.35">
      <c r="A43" s="10"/>
      <c r="B43" s="13"/>
      <c r="C43" s="13"/>
      <c r="D43" s="10"/>
      <c r="E43" s="10"/>
      <c r="F43" s="10"/>
      <c r="G43" s="10"/>
      <c r="H43" s="10"/>
      <c r="I43" s="10"/>
      <c r="J43" s="10"/>
      <c r="K43" s="10"/>
      <c r="L43" s="10"/>
      <c r="M43" s="10"/>
      <c r="N43" s="10"/>
      <c r="O43" s="10"/>
      <c r="P43" s="10"/>
      <c r="Q43" s="10"/>
      <c r="R43" s="10"/>
      <c r="S43" s="10"/>
      <c r="T43" s="10"/>
      <c r="U43" s="10"/>
      <c r="V43" s="10"/>
    </row>
    <row r="44" spans="1:22" ht="13.5" x14ac:dyDescent="0.35">
      <c r="A44" s="10"/>
      <c r="B44" s="13"/>
      <c r="C44" s="13"/>
      <c r="D44" s="10"/>
      <c r="E44" s="10"/>
      <c r="F44" s="10"/>
      <c r="G44" s="10"/>
      <c r="H44" s="10"/>
      <c r="I44" s="10"/>
      <c r="J44" s="10"/>
      <c r="K44" s="10"/>
      <c r="L44" s="10"/>
      <c r="M44" s="10"/>
      <c r="N44" s="10"/>
      <c r="O44" s="10"/>
      <c r="P44" s="10"/>
      <c r="Q44" s="10"/>
      <c r="R44" s="10"/>
      <c r="S44" s="10"/>
      <c r="T44" s="10"/>
      <c r="U44" s="10"/>
      <c r="V44" s="10"/>
    </row>
    <row r="45" spans="1:22" ht="13.5" x14ac:dyDescent="0.35">
      <c r="A45" s="10"/>
      <c r="B45" s="13"/>
      <c r="C45" s="13"/>
      <c r="D45" s="10"/>
      <c r="E45" s="10"/>
      <c r="F45" s="10"/>
      <c r="G45" s="10"/>
      <c r="H45" s="10"/>
      <c r="I45" s="10"/>
      <c r="J45" s="10"/>
      <c r="K45" s="10"/>
      <c r="L45" s="10"/>
      <c r="M45" s="10"/>
      <c r="N45" s="10"/>
      <c r="O45" s="10"/>
      <c r="P45" s="10"/>
      <c r="Q45" s="10"/>
      <c r="R45" s="10"/>
      <c r="S45" s="10"/>
      <c r="T45" s="10"/>
      <c r="U45" s="10"/>
      <c r="V45" s="10"/>
    </row>
    <row r="46" spans="1:22" ht="13.5" x14ac:dyDescent="0.35">
      <c r="A46" s="10"/>
      <c r="B46" s="13"/>
      <c r="C46" s="13"/>
      <c r="D46" s="10"/>
      <c r="E46" s="10"/>
      <c r="F46" s="10"/>
      <c r="G46" s="10"/>
      <c r="H46" s="10"/>
      <c r="I46" s="10"/>
      <c r="J46" s="10"/>
      <c r="K46" s="10"/>
      <c r="L46" s="10"/>
      <c r="M46" s="10"/>
      <c r="N46" s="10"/>
      <c r="O46" s="10"/>
      <c r="P46" s="10"/>
      <c r="Q46" s="10"/>
      <c r="R46" s="10"/>
      <c r="S46" s="10"/>
      <c r="T46" s="10"/>
      <c r="U46" s="10"/>
      <c r="V46" s="10"/>
    </row>
    <row r="47" spans="1:22" ht="13.5" x14ac:dyDescent="0.35">
      <c r="A47" s="10"/>
      <c r="B47" s="13"/>
      <c r="C47" s="13"/>
      <c r="D47" s="10"/>
      <c r="E47" s="10"/>
      <c r="F47" s="10"/>
      <c r="G47" s="10"/>
      <c r="H47" s="10"/>
      <c r="I47" s="10"/>
      <c r="J47" s="10"/>
      <c r="K47" s="10"/>
      <c r="L47" s="10"/>
      <c r="M47" s="10"/>
      <c r="N47" s="10"/>
      <c r="O47" s="10"/>
      <c r="P47" s="10"/>
      <c r="Q47" s="10"/>
      <c r="R47" s="10"/>
      <c r="S47" s="10"/>
      <c r="T47" s="10"/>
      <c r="U47" s="10"/>
      <c r="V47" s="10"/>
    </row>
    <row r="48" spans="1:22" ht="13.5" x14ac:dyDescent="0.35">
      <c r="A48" s="10"/>
      <c r="B48" s="13"/>
      <c r="C48" s="13"/>
      <c r="D48" s="10"/>
      <c r="E48" s="10"/>
      <c r="F48" s="10"/>
      <c r="G48" s="10"/>
      <c r="H48" s="10"/>
      <c r="I48" s="10"/>
      <c r="J48" s="10"/>
      <c r="K48" s="10"/>
      <c r="L48" s="10"/>
      <c r="M48" s="10"/>
      <c r="N48" s="10"/>
      <c r="O48" s="10"/>
      <c r="P48" s="10"/>
      <c r="Q48" s="10"/>
      <c r="R48" s="10"/>
      <c r="S48" s="10"/>
      <c r="T48" s="10"/>
      <c r="U48" s="10"/>
      <c r="V48" s="10"/>
    </row>
    <row r="49" spans="1:22" ht="13.5" x14ac:dyDescent="0.35">
      <c r="A49" s="10"/>
      <c r="B49" s="13"/>
      <c r="C49" s="13"/>
      <c r="D49" s="10"/>
      <c r="E49" s="10"/>
      <c r="F49" s="10"/>
      <c r="G49" s="10"/>
      <c r="H49" s="10"/>
      <c r="I49" s="10"/>
      <c r="J49" s="10"/>
      <c r="K49" s="10"/>
      <c r="L49" s="10"/>
      <c r="M49" s="10"/>
      <c r="N49" s="10"/>
      <c r="O49" s="10"/>
      <c r="P49" s="10"/>
      <c r="Q49" s="10"/>
      <c r="R49" s="10"/>
      <c r="S49" s="10"/>
      <c r="T49" s="10"/>
      <c r="U49" s="10"/>
      <c r="V49" s="10"/>
    </row>
    <row r="50" spans="1:22" ht="13.5" x14ac:dyDescent="0.35">
      <c r="A50" s="10"/>
      <c r="B50" s="13"/>
      <c r="C50" s="13"/>
      <c r="D50" s="10"/>
      <c r="E50" s="10"/>
      <c r="F50" s="10"/>
      <c r="G50" s="10"/>
      <c r="H50" s="10"/>
      <c r="I50" s="10"/>
      <c r="J50" s="10"/>
      <c r="K50" s="10"/>
      <c r="L50" s="10"/>
      <c r="M50" s="10"/>
      <c r="N50" s="10"/>
      <c r="O50" s="10"/>
      <c r="P50" s="10"/>
      <c r="Q50" s="10"/>
      <c r="R50" s="10"/>
      <c r="S50" s="10"/>
      <c r="T50" s="10"/>
      <c r="U50" s="10"/>
      <c r="V50" s="10"/>
    </row>
    <row r="51" spans="1:22" ht="13.5" x14ac:dyDescent="0.35">
      <c r="A51" s="10"/>
      <c r="B51" s="13"/>
      <c r="C51" s="13"/>
      <c r="D51" s="10"/>
      <c r="E51" s="10"/>
      <c r="F51" s="10"/>
      <c r="G51" s="10"/>
      <c r="H51" s="10"/>
      <c r="I51" s="10"/>
      <c r="J51" s="10"/>
      <c r="K51" s="10"/>
      <c r="L51" s="10"/>
      <c r="M51" s="10"/>
      <c r="N51" s="10"/>
      <c r="O51" s="10"/>
      <c r="P51" s="10"/>
      <c r="Q51" s="10"/>
      <c r="R51" s="10"/>
      <c r="S51" s="10"/>
      <c r="T51" s="10"/>
      <c r="U51" s="10"/>
      <c r="V51" s="10"/>
    </row>
    <row r="52" spans="1:22" ht="13.5" x14ac:dyDescent="0.35">
      <c r="A52" s="10"/>
      <c r="B52" s="13"/>
      <c r="C52" s="13"/>
      <c r="D52" s="10"/>
      <c r="E52" s="10"/>
      <c r="F52" s="10"/>
      <c r="G52" s="10"/>
      <c r="H52" s="10"/>
      <c r="I52" s="10"/>
      <c r="J52" s="10"/>
      <c r="K52" s="10"/>
      <c r="L52" s="10"/>
      <c r="M52" s="10"/>
      <c r="N52" s="10"/>
      <c r="O52" s="10"/>
      <c r="P52" s="10"/>
      <c r="Q52" s="10"/>
      <c r="R52" s="10"/>
      <c r="S52" s="10"/>
      <c r="T52" s="10"/>
      <c r="U52" s="10"/>
      <c r="V52" s="10"/>
    </row>
    <row r="53" spans="1:22" ht="13.5" x14ac:dyDescent="0.35">
      <c r="A53" s="10"/>
      <c r="B53" s="13"/>
      <c r="C53" s="13"/>
      <c r="D53" s="10"/>
      <c r="E53" s="10"/>
      <c r="F53" s="10"/>
      <c r="G53" s="10"/>
      <c r="H53" s="10"/>
      <c r="I53" s="10"/>
      <c r="J53" s="10"/>
      <c r="K53" s="10"/>
      <c r="L53" s="10"/>
      <c r="M53" s="10"/>
      <c r="N53" s="10"/>
      <c r="O53" s="10"/>
      <c r="P53" s="10"/>
      <c r="Q53" s="10"/>
      <c r="R53" s="10"/>
      <c r="S53" s="10"/>
      <c r="T53" s="10"/>
      <c r="U53" s="10"/>
      <c r="V53" s="10"/>
    </row>
    <row r="54" spans="1:22" ht="13.5" x14ac:dyDescent="0.35">
      <c r="A54" s="10"/>
      <c r="B54" s="13"/>
      <c r="C54" s="13"/>
      <c r="D54" s="10"/>
      <c r="E54" s="10"/>
      <c r="F54" s="10"/>
      <c r="G54" s="10"/>
      <c r="H54" s="10"/>
      <c r="I54" s="10"/>
      <c r="J54" s="10"/>
      <c r="K54" s="10"/>
      <c r="L54" s="10"/>
      <c r="M54" s="10"/>
      <c r="N54" s="10"/>
      <c r="O54" s="10"/>
      <c r="P54" s="10"/>
      <c r="Q54" s="10"/>
      <c r="R54" s="10"/>
      <c r="S54" s="10"/>
      <c r="T54" s="10"/>
      <c r="U54" s="10"/>
      <c r="V54" s="10"/>
    </row>
    <row r="55" spans="1:22" ht="13.5" x14ac:dyDescent="0.35">
      <c r="A55" s="10"/>
      <c r="B55" s="13"/>
      <c r="C55" s="13"/>
      <c r="D55" s="10"/>
      <c r="E55" s="10"/>
      <c r="F55" s="10"/>
      <c r="G55" s="10"/>
      <c r="H55" s="10"/>
      <c r="I55" s="10"/>
      <c r="J55" s="10"/>
      <c r="K55" s="10"/>
      <c r="L55" s="10"/>
      <c r="M55" s="10"/>
      <c r="N55" s="10"/>
      <c r="O55" s="10"/>
      <c r="P55" s="10"/>
      <c r="Q55" s="10"/>
      <c r="R55" s="10"/>
      <c r="S55" s="10"/>
      <c r="T55" s="10"/>
      <c r="U55" s="10"/>
      <c r="V55" s="10"/>
    </row>
    <row r="56" spans="1:22" ht="13.5" x14ac:dyDescent="0.35">
      <c r="A56" s="10"/>
      <c r="B56" s="13"/>
      <c r="C56" s="13"/>
      <c r="D56" s="10"/>
      <c r="E56" s="10"/>
      <c r="F56" s="10"/>
      <c r="G56" s="10"/>
      <c r="H56" s="10"/>
      <c r="I56" s="10"/>
      <c r="J56" s="10"/>
      <c r="K56" s="10"/>
      <c r="L56" s="10"/>
      <c r="M56" s="10"/>
      <c r="N56" s="10"/>
      <c r="O56" s="10"/>
      <c r="P56" s="10"/>
      <c r="Q56" s="10"/>
      <c r="R56" s="10"/>
      <c r="S56" s="10"/>
      <c r="T56" s="10"/>
      <c r="U56" s="10"/>
      <c r="V56" s="10"/>
    </row>
    <row r="57" spans="1:22" ht="13.5" x14ac:dyDescent="0.35">
      <c r="A57" s="10"/>
      <c r="B57" s="13"/>
      <c r="C57" s="13"/>
      <c r="D57" s="10"/>
      <c r="E57" s="10"/>
      <c r="F57" s="10"/>
      <c r="G57" s="10"/>
      <c r="H57" s="10"/>
      <c r="I57" s="10"/>
      <c r="J57" s="10"/>
      <c r="K57" s="10"/>
      <c r="L57" s="10"/>
      <c r="M57" s="10"/>
      <c r="N57" s="10"/>
      <c r="O57" s="10"/>
      <c r="P57" s="10"/>
      <c r="Q57" s="10"/>
      <c r="R57" s="10"/>
      <c r="S57" s="10"/>
      <c r="T57" s="10"/>
      <c r="U57" s="10"/>
      <c r="V57" s="10"/>
    </row>
    <row r="58" spans="1:22" ht="13.5" x14ac:dyDescent="0.35">
      <c r="A58" s="10"/>
      <c r="B58" s="13"/>
      <c r="C58" s="13"/>
      <c r="D58" s="10"/>
      <c r="E58" s="10"/>
      <c r="F58" s="10"/>
      <c r="G58" s="10"/>
      <c r="H58" s="10"/>
      <c r="I58" s="10"/>
      <c r="J58" s="10"/>
      <c r="K58" s="10"/>
      <c r="L58" s="10"/>
      <c r="M58" s="10"/>
      <c r="N58" s="10"/>
      <c r="O58" s="10"/>
      <c r="P58" s="10"/>
      <c r="Q58" s="10"/>
      <c r="R58" s="10"/>
      <c r="S58" s="10"/>
      <c r="T58" s="10"/>
      <c r="U58" s="10"/>
      <c r="V58" s="10"/>
    </row>
    <row r="59" spans="1:22" ht="13.5" x14ac:dyDescent="0.35">
      <c r="A59" s="10"/>
      <c r="B59" s="13"/>
      <c r="C59" s="13"/>
      <c r="D59" s="10"/>
      <c r="E59" s="10"/>
      <c r="F59" s="10"/>
      <c r="G59" s="10"/>
      <c r="H59" s="10"/>
      <c r="I59" s="10"/>
      <c r="J59" s="10"/>
      <c r="K59" s="10"/>
      <c r="L59" s="10"/>
      <c r="M59" s="10"/>
      <c r="N59" s="10"/>
      <c r="O59" s="10"/>
      <c r="P59" s="10"/>
      <c r="Q59" s="10"/>
      <c r="R59" s="10"/>
      <c r="S59" s="10"/>
      <c r="T59" s="10"/>
      <c r="U59" s="10"/>
      <c r="V59" s="10"/>
    </row>
    <row r="60" spans="1:22" ht="13.5" x14ac:dyDescent="0.35">
      <c r="A60" s="10"/>
      <c r="B60" s="13"/>
      <c r="C60" s="13"/>
      <c r="D60" s="10"/>
      <c r="E60" s="10"/>
      <c r="F60" s="10"/>
      <c r="G60" s="10"/>
      <c r="H60" s="10"/>
      <c r="I60" s="10"/>
      <c r="J60" s="10"/>
      <c r="K60" s="10"/>
      <c r="L60" s="10"/>
      <c r="M60" s="10"/>
      <c r="N60" s="10"/>
      <c r="O60" s="10"/>
      <c r="P60" s="10"/>
      <c r="Q60" s="10"/>
      <c r="R60" s="10"/>
      <c r="S60" s="10"/>
      <c r="T60" s="10"/>
      <c r="U60" s="10"/>
      <c r="V60" s="10"/>
    </row>
    <row r="61" spans="1:22" ht="13.5" x14ac:dyDescent="0.35">
      <c r="A61" s="10"/>
      <c r="B61" s="13"/>
      <c r="C61" s="13"/>
      <c r="D61" s="10"/>
      <c r="E61" s="10"/>
      <c r="F61" s="10"/>
      <c r="G61" s="10"/>
      <c r="H61" s="10"/>
      <c r="I61" s="10"/>
      <c r="J61" s="10"/>
      <c r="K61" s="10"/>
      <c r="L61" s="10"/>
      <c r="M61" s="10"/>
      <c r="N61" s="10"/>
      <c r="O61" s="10"/>
      <c r="P61" s="10"/>
      <c r="Q61" s="10"/>
      <c r="R61" s="10"/>
      <c r="S61" s="10"/>
      <c r="T61" s="10"/>
      <c r="U61" s="10"/>
      <c r="V61" s="10"/>
    </row>
    <row r="62" spans="1:22" ht="13.5" x14ac:dyDescent="0.35">
      <c r="A62" s="10"/>
      <c r="B62" s="13"/>
      <c r="C62" s="13"/>
      <c r="D62" s="10"/>
      <c r="E62" s="10"/>
      <c r="F62" s="10"/>
      <c r="G62" s="10"/>
      <c r="H62" s="10"/>
      <c r="I62" s="10"/>
      <c r="J62" s="10"/>
      <c r="K62" s="10"/>
      <c r="L62" s="10"/>
      <c r="M62" s="10"/>
      <c r="N62" s="10"/>
      <c r="O62" s="10"/>
      <c r="P62" s="10"/>
      <c r="Q62" s="10"/>
      <c r="R62" s="10"/>
      <c r="S62" s="10"/>
      <c r="T62" s="10"/>
      <c r="U62" s="10"/>
      <c r="V62" s="10"/>
    </row>
    <row r="63" spans="1:22" ht="13.5" x14ac:dyDescent="0.35">
      <c r="A63" s="10"/>
      <c r="B63" s="13"/>
      <c r="C63" s="13"/>
      <c r="D63" s="10"/>
      <c r="E63" s="10"/>
      <c r="F63" s="10"/>
      <c r="G63" s="10"/>
      <c r="H63" s="10"/>
      <c r="I63" s="10"/>
      <c r="J63" s="10"/>
      <c r="K63" s="10"/>
      <c r="L63" s="10"/>
      <c r="M63" s="10"/>
      <c r="N63" s="10"/>
      <c r="O63" s="10"/>
      <c r="P63" s="10"/>
      <c r="Q63" s="10"/>
      <c r="R63" s="10"/>
      <c r="S63" s="10"/>
      <c r="T63" s="10"/>
      <c r="U63" s="10"/>
      <c r="V63" s="10"/>
    </row>
    <row r="64" spans="1:22" ht="13.5" x14ac:dyDescent="0.35">
      <c r="A64" s="10"/>
      <c r="B64" s="13"/>
      <c r="C64" s="13"/>
      <c r="D64" s="10"/>
      <c r="E64" s="10"/>
      <c r="F64" s="10"/>
      <c r="G64" s="10"/>
      <c r="H64" s="10"/>
      <c r="I64" s="10"/>
      <c r="J64" s="10"/>
      <c r="K64" s="10"/>
      <c r="L64" s="10"/>
      <c r="M64" s="10"/>
      <c r="N64" s="10"/>
      <c r="O64" s="10"/>
      <c r="P64" s="10"/>
      <c r="Q64" s="10"/>
      <c r="R64" s="10"/>
      <c r="S64" s="10"/>
      <c r="T64" s="10"/>
      <c r="U64" s="10"/>
      <c r="V64" s="10"/>
    </row>
    <row r="65" spans="1:22" ht="13.5" x14ac:dyDescent="0.35">
      <c r="A65" s="10"/>
      <c r="B65" s="13"/>
      <c r="C65" s="13"/>
      <c r="D65" s="10"/>
      <c r="E65" s="10"/>
      <c r="F65" s="10"/>
      <c r="G65" s="10"/>
      <c r="H65" s="10"/>
      <c r="I65" s="10"/>
      <c r="J65" s="10"/>
      <c r="K65" s="10"/>
      <c r="L65" s="10"/>
      <c r="M65" s="10"/>
      <c r="N65" s="10"/>
      <c r="O65" s="10"/>
      <c r="P65" s="10"/>
      <c r="Q65" s="10"/>
      <c r="R65" s="10"/>
      <c r="S65" s="10"/>
      <c r="T65" s="10"/>
      <c r="U65" s="10"/>
      <c r="V65" s="10"/>
    </row>
    <row r="66" spans="1:22" ht="13.5" x14ac:dyDescent="0.35">
      <c r="A66" s="10"/>
      <c r="B66" s="13"/>
      <c r="C66" s="13"/>
      <c r="D66" s="10"/>
      <c r="E66" s="10"/>
      <c r="F66" s="10"/>
      <c r="G66" s="10"/>
      <c r="H66" s="10"/>
      <c r="I66" s="10"/>
      <c r="J66" s="10"/>
      <c r="K66" s="10"/>
      <c r="L66" s="10"/>
      <c r="M66" s="10"/>
      <c r="N66" s="10"/>
      <c r="O66" s="10"/>
      <c r="P66" s="10"/>
      <c r="Q66" s="10"/>
      <c r="R66" s="10"/>
      <c r="S66" s="10"/>
      <c r="T66" s="10"/>
      <c r="U66" s="10"/>
      <c r="V66" s="10"/>
    </row>
    <row r="67" spans="1:22" ht="13.5" x14ac:dyDescent="0.35">
      <c r="A67" s="10"/>
      <c r="B67" s="13"/>
      <c r="C67" s="13"/>
      <c r="D67" s="10"/>
      <c r="E67" s="10"/>
      <c r="F67" s="10"/>
      <c r="G67" s="10"/>
      <c r="H67" s="10"/>
      <c r="I67" s="10"/>
      <c r="J67" s="10"/>
      <c r="K67" s="10"/>
      <c r="L67" s="10"/>
      <c r="M67" s="10"/>
      <c r="N67" s="10"/>
      <c r="O67" s="10"/>
      <c r="P67" s="10"/>
      <c r="Q67" s="10"/>
      <c r="R67" s="10"/>
      <c r="S67" s="10"/>
      <c r="T67" s="10"/>
      <c r="U67" s="10"/>
      <c r="V67" s="10"/>
    </row>
    <row r="68" spans="1:22" ht="13.5" x14ac:dyDescent="0.35">
      <c r="A68" s="10"/>
      <c r="B68" s="13"/>
      <c r="C68" s="13"/>
      <c r="D68" s="10"/>
      <c r="E68" s="10"/>
      <c r="F68" s="10"/>
      <c r="G68" s="10"/>
      <c r="H68" s="10"/>
      <c r="I68" s="10"/>
      <c r="J68" s="10"/>
      <c r="K68" s="10"/>
      <c r="L68" s="10"/>
      <c r="M68" s="10"/>
      <c r="N68" s="10"/>
      <c r="O68" s="10"/>
      <c r="P68" s="10"/>
      <c r="Q68" s="10"/>
      <c r="R68" s="10"/>
      <c r="S68" s="10"/>
      <c r="T68" s="10"/>
      <c r="U68" s="10"/>
      <c r="V68" s="10"/>
    </row>
    <row r="69" spans="1:22" ht="13.5" x14ac:dyDescent="0.35">
      <c r="A69" s="10"/>
      <c r="B69" s="13"/>
      <c r="C69" s="13"/>
      <c r="D69" s="10"/>
      <c r="E69" s="10"/>
      <c r="F69" s="10"/>
      <c r="G69" s="10"/>
      <c r="H69" s="10"/>
      <c r="I69" s="10"/>
      <c r="J69" s="10"/>
      <c r="K69" s="10"/>
      <c r="L69" s="10"/>
      <c r="M69" s="10"/>
      <c r="N69" s="10"/>
      <c r="O69" s="10"/>
      <c r="P69" s="10"/>
      <c r="Q69" s="10"/>
      <c r="R69" s="10"/>
      <c r="S69" s="10"/>
      <c r="T69" s="10"/>
      <c r="U69" s="10"/>
      <c r="V69" s="10"/>
    </row>
    <row r="70" spans="1:22" ht="13.5" x14ac:dyDescent="0.35">
      <c r="A70" s="10"/>
      <c r="B70" s="13"/>
      <c r="C70" s="13"/>
      <c r="D70" s="10"/>
      <c r="E70" s="10"/>
      <c r="F70" s="10"/>
      <c r="G70" s="10"/>
      <c r="H70" s="10"/>
      <c r="I70" s="10"/>
      <c r="J70" s="10"/>
      <c r="K70" s="10"/>
      <c r="L70" s="10"/>
      <c r="M70" s="10"/>
      <c r="N70" s="10"/>
      <c r="O70" s="10"/>
      <c r="P70" s="10"/>
      <c r="Q70" s="10"/>
      <c r="R70" s="10"/>
      <c r="S70" s="10"/>
      <c r="T70" s="10"/>
      <c r="U70" s="10"/>
      <c r="V70" s="10"/>
    </row>
    <row r="71" spans="1:22" ht="13.5" x14ac:dyDescent="0.35">
      <c r="A71" s="10"/>
      <c r="B71" s="13"/>
      <c r="C71" s="13"/>
      <c r="D71" s="10"/>
      <c r="E71" s="10"/>
      <c r="F71" s="10"/>
      <c r="G71" s="10"/>
      <c r="H71" s="10"/>
      <c r="I71" s="10"/>
      <c r="J71" s="10"/>
      <c r="K71" s="10"/>
      <c r="L71" s="10"/>
      <c r="M71" s="10"/>
      <c r="N71" s="10"/>
      <c r="O71" s="10"/>
      <c r="P71" s="10"/>
      <c r="Q71" s="10"/>
      <c r="R71" s="10"/>
      <c r="S71" s="10"/>
      <c r="T71" s="10"/>
      <c r="U71" s="10"/>
      <c r="V71" s="10"/>
    </row>
    <row r="72" spans="1:22" ht="13.5" x14ac:dyDescent="0.35">
      <c r="A72" s="10"/>
      <c r="B72" s="13"/>
      <c r="C72" s="13"/>
      <c r="D72" s="10"/>
      <c r="E72" s="10"/>
      <c r="F72" s="10"/>
      <c r="G72" s="10"/>
      <c r="H72" s="10"/>
      <c r="I72" s="10"/>
      <c r="J72" s="10"/>
      <c r="K72" s="10"/>
      <c r="L72" s="10"/>
      <c r="M72" s="10"/>
      <c r="N72" s="10"/>
      <c r="O72" s="10"/>
      <c r="P72" s="10"/>
      <c r="Q72" s="10"/>
      <c r="R72" s="10"/>
      <c r="S72" s="10"/>
      <c r="T72" s="10"/>
      <c r="U72" s="10"/>
      <c r="V72" s="10"/>
    </row>
    <row r="73" spans="1:22" ht="13.5" x14ac:dyDescent="0.35">
      <c r="A73" s="10"/>
      <c r="B73" s="13"/>
      <c r="C73" s="13"/>
      <c r="D73" s="10"/>
      <c r="E73" s="10"/>
      <c r="F73" s="10"/>
      <c r="G73" s="10"/>
      <c r="H73" s="10"/>
      <c r="I73" s="10"/>
      <c r="J73" s="10"/>
      <c r="K73" s="10"/>
      <c r="L73" s="10"/>
      <c r="M73" s="10"/>
      <c r="N73" s="10"/>
      <c r="O73" s="10"/>
      <c r="P73" s="10"/>
      <c r="Q73" s="10"/>
      <c r="R73" s="10"/>
      <c r="S73" s="10"/>
      <c r="T73" s="10"/>
      <c r="U73" s="10"/>
      <c r="V73" s="10"/>
    </row>
    <row r="74" spans="1:22" ht="13.5" x14ac:dyDescent="0.35">
      <c r="A74" s="10"/>
      <c r="B74" s="13"/>
      <c r="C74" s="13"/>
      <c r="D74" s="10"/>
      <c r="E74" s="10"/>
      <c r="F74" s="10"/>
      <c r="G74" s="10"/>
      <c r="H74" s="10"/>
      <c r="I74" s="10"/>
      <c r="J74" s="10"/>
      <c r="K74" s="10"/>
      <c r="L74" s="10"/>
      <c r="M74" s="10"/>
      <c r="N74" s="10"/>
      <c r="O74" s="10"/>
      <c r="P74" s="10"/>
      <c r="Q74" s="10"/>
      <c r="R74" s="10"/>
      <c r="S74" s="10"/>
      <c r="T74" s="10"/>
      <c r="U74" s="10"/>
      <c r="V74" s="10"/>
    </row>
    <row r="75" spans="1:22" ht="13.5" x14ac:dyDescent="0.35">
      <c r="A75" s="10"/>
      <c r="B75" s="13"/>
      <c r="C75" s="13"/>
      <c r="D75" s="10"/>
      <c r="E75" s="10"/>
      <c r="F75" s="10"/>
      <c r="G75" s="10"/>
      <c r="H75" s="10"/>
      <c r="I75" s="10"/>
      <c r="J75" s="10"/>
      <c r="K75" s="10"/>
      <c r="L75" s="10"/>
      <c r="M75" s="10"/>
      <c r="N75" s="10"/>
      <c r="O75" s="10"/>
      <c r="P75" s="10"/>
      <c r="Q75" s="10"/>
      <c r="R75" s="10"/>
      <c r="S75" s="10"/>
      <c r="T75" s="10"/>
      <c r="U75" s="10"/>
      <c r="V75" s="10"/>
    </row>
    <row r="76" spans="1:22" ht="13.5" x14ac:dyDescent="0.35">
      <c r="A76" s="10"/>
      <c r="B76" s="13"/>
      <c r="C76" s="13"/>
      <c r="D76" s="10"/>
      <c r="E76" s="10"/>
      <c r="F76" s="10"/>
      <c r="G76" s="10"/>
      <c r="H76" s="10"/>
      <c r="I76" s="10"/>
      <c r="J76" s="10"/>
      <c r="K76" s="10"/>
      <c r="L76" s="10"/>
      <c r="M76" s="10"/>
      <c r="N76" s="10"/>
      <c r="O76" s="10"/>
      <c r="P76" s="10"/>
      <c r="Q76" s="10"/>
      <c r="R76" s="10"/>
      <c r="S76" s="10"/>
      <c r="T76" s="10"/>
      <c r="U76" s="10"/>
      <c r="V76" s="10"/>
    </row>
    <row r="77" spans="1:22" ht="13.5" x14ac:dyDescent="0.35">
      <c r="A77" s="10"/>
      <c r="B77" s="13"/>
      <c r="C77" s="13"/>
      <c r="D77" s="10"/>
      <c r="E77" s="10"/>
      <c r="F77" s="10"/>
      <c r="G77" s="10"/>
      <c r="H77" s="10"/>
      <c r="I77" s="10"/>
      <c r="J77" s="10"/>
      <c r="K77" s="10"/>
      <c r="L77" s="10"/>
      <c r="M77" s="10"/>
      <c r="N77" s="10"/>
      <c r="O77" s="10"/>
      <c r="P77" s="10"/>
      <c r="Q77" s="10"/>
      <c r="R77" s="10"/>
      <c r="S77" s="10"/>
      <c r="T77" s="10"/>
      <c r="U77" s="10"/>
      <c r="V77" s="10"/>
    </row>
    <row r="78" spans="1:22" ht="13.5" x14ac:dyDescent="0.35">
      <c r="A78" s="10"/>
      <c r="B78" s="13"/>
      <c r="C78" s="13"/>
      <c r="D78" s="10"/>
      <c r="E78" s="10"/>
      <c r="F78" s="10"/>
      <c r="G78" s="10"/>
      <c r="H78" s="10"/>
      <c r="I78" s="10"/>
      <c r="J78" s="10"/>
      <c r="K78" s="10"/>
      <c r="L78" s="10"/>
      <c r="M78" s="10"/>
      <c r="N78" s="10"/>
      <c r="O78" s="10"/>
      <c r="P78" s="10"/>
      <c r="Q78" s="10"/>
      <c r="R78" s="10"/>
      <c r="S78" s="10"/>
      <c r="T78" s="10"/>
      <c r="U78" s="10"/>
      <c r="V78" s="10"/>
    </row>
    <row r="79" spans="1:22" ht="13.5" x14ac:dyDescent="0.35">
      <c r="A79" s="10"/>
      <c r="B79" s="13"/>
      <c r="C79" s="13"/>
      <c r="D79" s="10"/>
      <c r="E79" s="10"/>
      <c r="F79" s="10"/>
      <c r="G79" s="10"/>
      <c r="H79" s="10"/>
      <c r="I79" s="10"/>
      <c r="J79" s="10"/>
      <c r="K79" s="10"/>
      <c r="L79" s="10"/>
      <c r="M79" s="10"/>
      <c r="N79" s="10"/>
      <c r="O79" s="10"/>
      <c r="P79" s="10"/>
      <c r="Q79" s="10"/>
      <c r="R79" s="10"/>
      <c r="S79" s="10"/>
      <c r="T79" s="10"/>
      <c r="U79" s="10"/>
      <c r="V79" s="10"/>
    </row>
    <row r="80" spans="1:22" ht="13.5" x14ac:dyDescent="0.35">
      <c r="A80" s="10"/>
      <c r="B80" s="13"/>
      <c r="C80" s="13"/>
      <c r="D80" s="10"/>
      <c r="E80" s="10"/>
      <c r="F80" s="10"/>
      <c r="G80" s="10"/>
      <c r="H80" s="10"/>
      <c r="I80" s="10"/>
      <c r="J80" s="10"/>
      <c r="K80" s="10"/>
      <c r="L80" s="10"/>
      <c r="M80" s="10"/>
      <c r="N80" s="10"/>
      <c r="O80" s="10"/>
      <c r="P80" s="10"/>
      <c r="Q80" s="10"/>
      <c r="R80" s="10"/>
      <c r="S80" s="10"/>
      <c r="T80" s="10"/>
      <c r="U80" s="10"/>
      <c r="V80" s="10"/>
    </row>
    <row r="81" spans="1:22" ht="13.5" x14ac:dyDescent="0.35">
      <c r="A81" s="10"/>
      <c r="B81" s="13"/>
      <c r="C81" s="13"/>
      <c r="D81" s="10"/>
      <c r="E81" s="10"/>
      <c r="F81" s="10"/>
      <c r="G81" s="10"/>
      <c r="H81" s="10"/>
      <c r="I81" s="10"/>
      <c r="J81" s="10"/>
      <c r="K81" s="10"/>
      <c r="L81" s="10"/>
      <c r="M81" s="10"/>
      <c r="N81" s="10"/>
      <c r="O81" s="10"/>
      <c r="P81" s="10"/>
      <c r="Q81" s="10"/>
      <c r="R81" s="10"/>
      <c r="S81" s="10"/>
      <c r="T81" s="10"/>
      <c r="U81" s="10"/>
      <c r="V81" s="10"/>
    </row>
    <row r="82" spans="1:22" ht="13.5" x14ac:dyDescent="0.35">
      <c r="A82" s="10"/>
      <c r="B82" s="13"/>
      <c r="C82" s="13"/>
      <c r="D82" s="10"/>
      <c r="E82" s="10"/>
      <c r="F82" s="10"/>
      <c r="G82" s="10"/>
      <c r="H82" s="10"/>
      <c r="I82" s="10"/>
      <c r="J82" s="10"/>
      <c r="K82" s="10"/>
      <c r="L82" s="10"/>
      <c r="M82" s="10"/>
      <c r="N82" s="10"/>
      <c r="O82" s="10"/>
      <c r="P82" s="10"/>
      <c r="Q82" s="10"/>
      <c r="R82" s="10"/>
      <c r="S82" s="10"/>
      <c r="T82" s="10"/>
      <c r="U82" s="10"/>
      <c r="V82" s="10"/>
    </row>
    <row r="83" spans="1:22" ht="13.5" x14ac:dyDescent="0.35">
      <c r="A83" s="10"/>
      <c r="B83" s="13"/>
      <c r="C83" s="13"/>
      <c r="D83" s="10"/>
      <c r="E83" s="10"/>
      <c r="F83" s="10"/>
      <c r="G83" s="10"/>
      <c r="H83" s="10"/>
      <c r="I83" s="10"/>
      <c r="J83" s="10"/>
      <c r="K83" s="10"/>
      <c r="L83" s="10"/>
      <c r="M83" s="10"/>
      <c r="N83" s="10"/>
      <c r="O83" s="10"/>
      <c r="P83" s="10"/>
      <c r="Q83" s="10"/>
      <c r="R83" s="10"/>
      <c r="S83" s="10"/>
      <c r="T83" s="10"/>
      <c r="U83" s="10"/>
      <c r="V83" s="10"/>
    </row>
    <row r="84" spans="1:22" ht="13.5" x14ac:dyDescent="0.35">
      <c r="A84" s="10"/>
      <c r="B84" s="13"/>
      <c r="C84" s="13"/>
      <c r="D84" s="10"/>
      <c r="E84" s="10"/>
      <c r="F84" s="10"/>
      <c r="G84" s="10"/>
      <c r="H84" s="10"/>
      <c r="I84" s="10"/>
      <c r="J84" s="10"/>
      <c r="K84" s="10"/>
      <c r="L84" s="10"/>
      <c r="M84" s="10"/>
      <c r="N84" s="10"/>
      <c r="O84" s="10"/>
      <c r="P84" s="10"/>
      <c r="Q84" s="10"/>
      <c r="R84" s="10"/>
      <c r="S84" s="10"/>
      <c r="T84" s="10"/>
      <c r="U84" s="10"/>
      <c r="V84" s="10"/>
    </row>
    <row r="85" spans="1:22" ht="13.5" x14ac:dyDescent="0.35">
      <c r="A85" s="10"/>
      <c r="B85" s="13"/>
      <c r="C85" s="13"/>
      <c r="D85" s="10"/>
      <c r="E85" s="10"/>
      <c r="F85" s="10"/>
      <c r="G85" s="10"/>
      <c r="H85" s="10"/>
      <c r="I85" s="10"/>
      <c r="J85" s="10"/>
      <c r="K85" s="10"/>
      <c r="L85" s="10"/>
      <c r="M85" s="10"/>
      <c r="N85" s="10"/>
      <c r="O85" s="10"/>
      <c r="P85" s="10"/>
      <c r="Q85" s="10"/>
      <c r="R85" s="10"/>
      <c r="S85" s="10"/>
      <c r="T85" s="10"/>
      <c r="U85" s="10"/>
      <c r="V85" s="10"/>
    </row>
    <row r="86" spans="1:22" ht="13.5" x14ac:dyDescent="0.35">
      <c r="A86" s="10"/>
      <c r="B86" s="13"/>
      <c r="C86" s="13"/>
      <c r="D86" s="10"/>
      <c r="E86" s="10"/>
      <c r="F86" s="10"/>
      <c r="G86" s="10"/>
      <c r="H86" s="10"/>
      <c r="I86" s="10"/>
      <c r="J86" s="10"/>
      <c r="K86" s="10"/>
      <c r="L86" s="10"/>
      <c r="M86" s="10"/>
      <c r="N86" s="10"/>
      <c r="O86" s="10"/>
      <c r="P86" s="10"/>
      <c r="Q86" s="10"/>
      <c r="R86" s="10"/>
      <c r="S86" s="10"/>
      <c r="T86" s="10"/>
      <c r="U86" s="10"/>
      <c r="V86" s="10"/>
    </row>
    <row r="87" spans="1:22" ht="13.5" x14ac:dyDescent="0.35">
      <c r="A87" s="10"/>
      <c r="B87" s="13"/>
      <c r="C87" s="13"/>
      <c r="D87" s="10"/>
      <c r="E87" s="10"/>
      <c r="F87" s="10"/>
      <c r="G87" s="10"/>
      <c r="H87" s="10"/>
      <c r="I87" s="10"/>
      <c r="J87" s="10"/>
      <c r="K87" s="10"/>
      <c r="L87" s="10"/>
      <c r="M87" s="10"/>
      <c r="N87" s="10"/>
      <c r="O87" s="10"/>
      <c r="P87" s="10"/>
      <c r="Q87" s="10"/>
      <c r="R87" s="10"/>
      <c r="S87" s="10"/>
      <c r="T87" s="10"/>
      <c r="U87" s="10"/>
      <c r="V87" s="10"/>
    </row>
    <row r="88" spans="1:22" ht="13.5" x14ac:dyDescent="0.35">
      <c r="A88" s="10"/>
      <c r="B88" s="13"/>
      <c r="C88" s="13"/>
      <c r="D88" s="10"/>
      <c r="E88" s="10"/>
      <c r="F88" s="10"/>
      <c r="G88" s="10"/>
      <c r="H88" s="10"/>
      <c r="I88" s="10"/>
      <c r="J88" s="10"/>
      <c r="K88" s="10"/>
      <c r="L88" s="10"/>
      <c r="M88" s="10"/>
      <c r="N88" s="10"/>
      <c r="O88" s="10"/>
      <c r="P88" s="10"/>
      <c r="Q88" s="10"/>
      <c r="R88" s="10"/>
      <c r="S88" s="10"/>
      <c r="T88" s="10"/>
      <c r="U88" s="10"/>
      <c r="V88" s="10"/>
    </row>
    <row r="89" spans="1:22" ht="13.5" x14ac:dyDescent="0.35">
      <c r="A89" s="10"/>
      <c r="B89" s="13"/>
      <c r="C89" s="13"/>
      <c r="D89" s="10"/>
      <c r="E89" s="10"/>
      <c r="F89" s="10"/>
      <c r="G89" s="10"/>
      <c r="H89" s="10"/>
      <c r="I89" s="10"/>
      <c r="J89" s="10"/>
      <c r="K89" s="10"/>
      <c r="L89" s="10"/>
      <c r="M89" s="10"/>
      <c r="N89" s="10"/>
      <c r="O89" s="10"/>
      <c r="P89" s="10"/>
      <c r="Q89" s="10"/>
      <c r="R89" s="10"/>
      <c r="S89" s="10"/>
      <c r="T89" s="10"/>
      <c r="U89" s="10"/>
      <c r="V89" s="10"/>
    </row>
    <row r="90" spans="1:22" ht="13.5" x14ac:dyDescent="0.35">
      <c r="A90" s="10"/>
      <c r="B90" s="13"/>
      <c r="C90" s="13"/>
      <c r="D90" s="10"/>
      <c r="E90" s="10"/>
      <c r="F90" s="10"/>
      <c r="G90" s="10"/>
      <c r="H90" s="10"/>
      <c r="I90" s="10"/>
      <c r="J90" s="10"/>
      <c r="K90" s="10"/>
      <c r="L90" s="10"/>
      <c r="M90" s="10"/>
      <c r="N90" s="10"/>
      <c r="O90" s="10"/>
      <c r="P90" s="10"/>
      <c r="Q90" s="10"/>
      <c r="R90" s="10"/>
      <c r="S90" s="10"/>
      <c r="T90" s="10"/>
      <c r="U90" s="10"/>
      <c r="V90" s="10"/>
    </row>
    <row r="91" spans="1:22" ht="13.5" x14ac:dyDescent="0.35">
      <c r="A91" s="10"/>
      <c r="B91" s="13"/>
      <c r="C91" s="13"/>
      <c r="D91" s="10"/>
      <c r="E91" s="10"/>
      <c r="F91" s="10"/>
      <c r="G91" s="10"/>
      <c r="H91" s="10"/>
      <c r="I91" s="10"/>
      <c r="J91" s="10"/>
      <c r="K91" s="10"/>
      <c r="L91" s="10"/>
      <c r="M91" s="10"/>
      <c r="N91" s="10"/>
      <c r="O91" s="10"/>
      <c r="P91" s="10"/>
      <c r="Q91" s="10"/>
      <c r="R91" s="10"/>
      <c r="S91" s="10"/>
      <c r="T91" s="10"/>
      <c r="U91" s="10"/>
      <c r="V91" s="10"/>
    </row>
    <row r="92" spans="1:22" ht="13.5" x14ac:dyDescent="0.35">
      <c r="A92" s="10"/>
      <c r="B92" s="13"/>
      <c r="C92" s="13"/>
      <c r="D92" s="10"/>
      <c r="E92" s="10"/>
      <c r="F92" s="10"/>
      <c r="G92" s="10"/>
      <c r="H92" s="10"/>
      <c r="I92" s="10"/>
      <c r="J92" s="10"/>
      <c r="K92" s="10"/>
      <c r="L92" s="10"/>
      <c r="M92" s="10"/>
      <c r="N92" s="10"/>
      <c r="O92" s="10"/>
      <c r="P92" s="10"/>
      <c r="Q92" s="10"/>
      <c r="R92" s="10"/>
      <c r="S92" s="10"/>
      <c r="T92" s="10"/>
      <c r="U92" s="10"/>
      <c r="V92" s="10"/>
    </row>
    <row r="93" spans="1:22" ht="13.5" x14ac:dyDescent="0.35">
      <c r="A93" s="10"/>
      <c r="B93" s="13"/>
      <c r="C93" s="13"/>
      <c r="D93" s="10"/>
      <c r="E93" s="10"/>
      <c r="F93" s="10"/>
      <c r="G93" s="10"/>
      <c r="H93" s="10"/>
      <c r="I93" s="10"/>
      <c r="J93" s="10"/>
      <c r="K93" s="10"/>
      <c r="L93" s="10"/>
      <c r="M93" s="10"/>
      <c r="N93" s="10"/>
      <c r="O93" s="10"/>
      <c r="P93" s="10"/>
      <c r="Q93" s="10"/>
      <c r="R93" s="10"/>
      <c r="S93" s="10"/>
      <c r="T93" s="10"/>
      <c r="U93" s="10"/>
      <c r="V93" s="10"/>
    </row>
    <row r="94" spans="1:22" ht="13.5" x14ac:dyDescent="0.35">
      <c r="A94" s="10"/>
      <c r="B94" s="13"/>
      <c r="C94" s="13"/>
      <c r="D94" s="10"/>
      <c r="E94" s="10"/>
      <c r="F94" s="10"/>
      <c r="G94" s="10"/>
      <c r="H94" s="10"/>
      <c r="I94" s="10"/>
      <c r="J94" s="10"/>
      <c r="K94" s="10"/>
      <c r="L94" s="10"/>
      <c r="M94" s="10"/>
      <c r="N94" s="10"/>
      <c r="O94" s="10"/>
      <c r="P94" s="10"/>
      <c r="Q94" s="10"/>
      <c r="R94" s="10"/>
      <c r="S94" s="10"/>
      <c r="T94" s="10"/>
      <c r="U94" s="10"/>
      <c r="V94" s="10"/>
    </row>
    <row r="95" spans="1:22" ht="13.5" x14ac:dyDescent="0.35">
      <c r="A95" s="10"/>
      <c r="B95" s="13"/>
      <c r="C95" s="13"/>
      <c r="D95" s="10"/>
      <c r="E95" s="10"/>
      <c r="F95" s="10"/>
      <c r="G95" s="10"/>
      <c r="H95" s="10"/>
      <c r="I95" s="10"/>
      <c r="J95" s="10"/>
      <c r="K95" s="10"/>
      <c r="L95" s="10"/>
      <c r="M95" s="10"/>
      <c r="N95" s="10"/>
      <c r="O95" s="10"/>
      <c r="P95" s="10"/>
      <c r="Q95" s="10"/>
      <c r="R95" s="10"/>
      <c r="S95" s="10"/>
      <c r="T95" s="10"/>
      <c r="U95" s="10"/>
      <c r="V95" s="10"/>
    </row>
    <row r="96" spans="1:22" ht="13.5" x14ac:dyDescent="0.35">
      <c r="A96" s="10"/>
      <c r="B96" s="13"/>
      <c r="C96" s="13"/>
      <c r="D96" s="10"/>
      <c r="E96" s="10"/>
      <c r="F96" s="10"/>
      <c r="G96" s="10"/>
      <c r="H96" s="10"/>
      <c r="I96" s="10"/>
      <c r="J96" s="10"/>
      <c r="K96" s="10"/>
      <c r="L96" s="10"/>
      <c r="M96" s="10"/>
      <c r="N96" s="10"/>
      <c r="O96" s="10"/>
      <c r="P96" s="10"/>
      <c r="Q96" s="10"/>
      <c r="R96" s="10"/>
      <c r="S96" s="10"/>
      <c r="T96" s="10"/>
      <c r="U96" s="10"/>
      <c r="V96" s="10"/>
    </row>
    <row r="97" spans="1:22" ht="13.5" x14ac:dyDescent="0.35">
      <c r="A97" s="10"/>
      <c r="B97" s="13"/>
      <c r="C97" s="13"/>
      <c r="D97" s="10"/>
      <c r="E97" s="10"/>
      <c r="F97" s="10"/>
      <c r="G97" s="10"/>
      <c r="H97" s="10"/>
      <c r="I97" s="10"/>
      <c r="J97" s="10"/>
      <c r="K97" s="10"/>
      <c r="L97" s="10"/>
      <c r="M97" s="10"/>
      <c r="N97" s="10"/>
      <c r="O97" s="10"/>
      <c r="P97" s="10"/>
      <c r="Q97" s="10"/>
      <c r="R97" s="10"/>
      <c r="S97" s="10"/>
      <c r="T97" s="10"/>
      <c r="U97" s="10"/>
      <c r="V97" s="10"/>
    </row>
    <row r="98" spans="1:22" ht="13.5" x14ac:dyDescent="0.35">
      <c r="A98" s="10"/>
      <c r="B98" s="13"/>
      <c r="C98" s="13"/>
      <c r="D98" s="10"/>
      <c r="E98" s="10"/>
      <c r="F98" s="10"/>
      <c r="G98" s="10"/>
      <c r="H98" s="10"/>
      <c r="I98" s="10"/>
      <c r="J98" s="10"/>
      <c r="K98" s="10"/>
      <c r="L98" s="10"/>
      <c r="M98" s="10"/>
      <c r="N98" s="10"/>
      <c r="O98" s="10"/>
      <c r="P98" s="10"/>
      <c r="Q98" s="10"/>
      <c r="R98" s="10"/>
      <c r="S98" s="10"/>
      <c r="T98" s="10"/>
      <c r="U98" s="10"/>
      <c r="V98" s="10"/>
    </row>
    <row r="99" spans="1:22" ht="13.5" x14ac:dyDescent="0.35">
      <c r="A99" s="10"/>
      <c r="B99" s="13"/>
      <c r="C99" s="13"/>
      <c r="D99" s="10"/>
      <c r="E99" s="10"/>
      <c r="F99" s="10"/>
      <c r="G99" s="10"/>
      <c r="H99" s="10"/>
      <c r="I99" s="10"/>
      <c r="J99" s="10"/>
      <c r="K99" s="10"/>
      <c r="L99" s="10"/>
      <c r="M99" s="10"/>
      <c r="N99" s="10"/>
      <c r="O99" s="10"/>
      <c r="P99" s="10"/>
      <c r="Q99" s="10"/>
      <c r="R99" s="10"/>
      <c r="S99" s="10"/>
      <c r="T99" s="10"/>
      <c r="U99" s="10"/>
      <c r="V99" s="10"/>
    </row>
    <row r="100" spans="1:22" ht="13.5" x14ac:dyDescent="0.35">
      <c r="A100" s="10"/>
      <c r="B100" s="13"/>
      <c r="C100" s="13"/>
      <c r="D100" s="10"/>
      <c r="E100" s="10"/>
      <c r="F100" s="10"/>
      <c r="G100" s="10"/>
      <c r="H100" s="10"/>
      <c r="I100" s="10"/>
      <c r="J100" s="10"/>
      <c r="K100" s="10"/>
      <c r="L100" s="10"/>
      <c r="M100" s="10"/>
      <c r="N100" s="10"/>
      <c r="O100" s="10"/>
      <c r="P100" s="10"/>
      <c r="Q100" s="10"/>
      <c r="R100" s="10"/>
      <c r="S100" s="10"/>
      <c r="T100" s="10"/>
      <c r="U100" s="10"/>
      <c r="V100" s="10"/>
    </row>
    <row r="101" spans="1:22" ht="13.5" x14ac:dyDescent="0.35">
      <c r="A101" s="10"/>
      <c r="B101" s="13"/>
      <c r="C101" s="13"/>
      <c r="D101" s="10"/>
      <c r="E101" s="10"/>
      <c r="F101" s="10"/>
      <c r="G101" s="10"/>
      <c r="H101" s="10"/>
      <c r="I101" s="10"/>
      <c r="J101" s="10"/>
      <c r="K101" s="10"/>
      <c r="L101" s="10"/>
      <c r="M101" s="10"/>
      <c r="N101" s="10"/>
      <c r="O101" s="10"/>
      <c r="P101" s="10"/>
      <c r="Q101" s="10"/>
      <c r="R101" s="10"/>
      <c r="S101" s="10"/>
      <c r="T101" s="10"/>
      <c r="U101" s="10"/>
      <c r="V101" s="10"/>
    </row>
    <row r="102" spans="1:22" ht="13.5" x14ac:dyDescent="0.35">
      <c r="A102" s="10"/>
      <c r="B102" s="13"/>
      <c r="C102" s="13"/>
      <c r="D102" s="10"/>
      <c r="E102" s="10"/>
      <c r="F102" s="10"/>
      <c r="G102" s="10"/>
      <c r="H102" s="10"/>
      <c r="I102" s="10"/>
      <c r="J102" s="10"/>
      <c r="K102" s="10"/>
      <c r="L102" s="10"/>
      <c r="M102" s="10"/>
      <c r="N102" s="10"/>
      <c r="O102" s="10"/>
      <c r="P102" s="10"/>
      <c r="Q102" s="10"/>
      <c r="R102" s="10"/>
      <c r="S102" s="10"/>
      <c r="T102" s="10"/>
      <c r="U102" s="10"/>
      <c r="V102" s="10"/>
    </row>
    <row r="103" spans="1:22" ht="13.5" x14ac:dyDescent="0.35">
      <c r="A103" s="10"/>
      <c r="B103" s="13"/>
      <c r="C103" s="13"/>
      <c r="D103" s="10"/>
      <c r="E103" s="10"/>
      <c r="F103" s="10"/>
      <c r="G103" s="10"/>
      <c r="H103" s="10"/>
      <c r="I103" s="10"/>
      <c r="J103" s="10"/>
      <c r="K103" s="10"/>
      <c r="L103" s="10"/>
      <c r="M103" s="10"/>
      <c r="N103" s="10"/>
      <c r="O103" s="10"/>
      <c r="P103" s="10"/>
      <c r="Q103" s="10"/>
      <c r="R103" s="10"/>
      <c r="S103" s="10"/>
      <c r="T103" s="10"/>
      <c r="U103" s="10"/>
      <c r="V103" s="10"/>
    </row>
    <row r="104" spans="1:22" ht="13.5" x14ac:dyDescent="0.35">
      <c r="A104" s="10"/>
      <c r="B104" s="13"/>
      <c r="C104" s="13"/>
      <c r="D104" s="10"/>
      <c r="E104" s="10"/>
      <c r="F104" s="10"/>
      <c r="G104" s="10"/>
      <c r="H104" s="10"/>
      <c r="I104" s="10"/>
      <c r="J104" s="10"/>
      <c r="K104" s="10"/>
      <c r="L104" s="10"/>
      <c r="M104" s="10"/>
      <c r="N104" s="10"/>
      <c r="O104" s="10"/>
      <c r="P104" s="10"/>
      <c r="Q104" s="10"/>
      <c r="R104" s="10"/>
      <c r="S104" s="10"/>
      <c r="T104" s="10"/>
      <c r="U104" s="10"/>
      <c r="V104" s="10"/>
    </row>
    <row r="105" spans="1:22" ht="13.5" x14ac:dyDescent="0.35">
      <c r="A105" s="10"/>
      <c r="B105" s="13"/>
      <c r="C105" s="13"/>
      <c r="D105" s="10"/>
      <c r="E105" s="10"/>
      <c r="F105" s="10"/>
      <c r="G105" s="10"/>
      <c r="H105" s="10"/>
      <c r="I105" s="10"/>
      <c r="J105" s="10"/>
      <c r="K105" s="10"/>
      <c r="L105" s="10"/>
      <c r="M105" s="10"/>
      <c r="N105" s="10"/>
      <c r="O105" s="10"/>
      <c r="P105" s="10"/>
      <c r="Q105" s="10"/>
      <c r="R105" s="10"/>
      <c r="S105" s="10"/>
      <c r="T105" s="10"/>
      <c r="U105" s="10"/>
      <c r="V105" s="10"/>
    </row>
    <row r="106" spans="1:22" ht="13.5" x14ac:dyDescent="0.35">
      <c r="A106" s="10"/>
      <c r="B106" s="13"/>
      <c r="C106" s="13"/>
      <c r="D106" s="10"/>
      <c r="E106" s="10"/>
      <c r="F106" s="10"/>
      <c r="G106" s="10"/>
      <c r="H106" s="10"/>
      <c r="I106" s="10"/>
      <c r="J106" s="10"/>
      <c r="K106" s="10"/>
      <c r="L106" s="10"/>
      <c r="M106" s="10"/>
      <c r="N106" s="10"/>
      <c r="O106" s="10"/>
      <c r="P106" s="10"/>
      <c r="Q106" s="10"/>
      <c r="R106" s="10"/>
      <c r="S106" s="10"/>
      <c r="T106" s="10"/>
      <c r="U106" s="10"/>
      <c r="V106" s="10"/>
    </row>
    <row r="107" spans="1:22" ht="13.5" x14ac:dyDescent="0.35">
      <c r="A107" s="10"/>
      <c r="B107" s="13"/>
      <c r="C107" s="13"/>
      <c r="D107" s="10"/>
      <c r="E107" s="10"/>
      <c r="F107" s="10"/>
      <c r="G107" s="10"/>
      <c r="H107" s="10"/>
      <c r="I107" s="10"/>
      <c r="J107" s="10"/>
      <c r="K107" s="10"/>
      <c r="L107" s="10"/>
      <c r="M107" s="10"/>
      <c r="N107" s="10"/>
      <c r="O107" s="10"/>
      <c r="P107" s="10"/>
      <c r="Q107" s="10"/>
      <c r="R107" s="10"/>
      <c r="S107" s="10"/>
      <c r="T107" s="10"/>
      <c r="U107" s="10"/>
      <c r="V107" s="10"/>
    </row>
    <row r="108" spans="1:22" ht="13.5" x14ac:dyDescent="0.35">
      <c r="A108" s="10"/>
      <c r="B108" s="13"/>
      <c r="C108" s="13"/>
      <c r="D108" s="10"/>
      <c r="E108" s="10"/>
      <c r="F108" s="10"/>
      <c r="G108" s="10"/>
      <c r="H108" s="10"/>
      <c r="I108" s="10"/>
      <c r="J108" s="10"/>
      <c r="K108" s="10"/>
      <c r="L108" s="10"/>
      <c r="M108" s="10"/>
      <c r="N108" s="10"/>
      <c r="O108" s="10"/>
      <c r="P108" s="10"/>
      <c r="Q108" s="10"/>
      <c r="R108" s="10"/>
      <c r="S108" s="10"/>
      <c r="T108" s="10"/>
      <c r="U108" s="10"/>
      <c r="V108" s="10"/>
    </row>
    <row r="109" spans="1:22" ht="13.5" x14ac:dyDescent="0.35">
      <c r="A109" s="10"/>
      <c r="B109" s="13"/>
      <c r="C109" s="13"/>
      <c r="D109" s="10"/>
      <c r="E109" s="10"/>
      <c r="F109" s="10"/>
      <c r="G109" s="10"/>
      <c r="H109" s="10"/>
      <c r="I109" s="10"/>
      <c r="J109" s="10"/>
      <c r="K109" s="10"/>
      <c r="L109" s="10"/>
      <c r="M109" s="10"/>
      <c r="N109" s="10"/>
      <c r="O109" s="10"/>
      <c r="P109" s="10"/>
      <c r="Q109" s="10"/>
      <c r="R109" s="10"/>
      <c r="S109" s="10"/>
      <c r="T109" s="10"/>
      <c r="U109" s="10"/>
      <c r="V109" s="10"/>
    </row>
    <row r="110" spans="1:22" ht="13.5" x14ac:dyDescent="0.35">
      <c r="A110" s="10"/>
      <c r="B110" s="13"/>
      <c r="C110" s="13"/>
      <c r="D110" s="10"/>
      <c r="E110" s="10"/>
      <c r="F110" s="10"/>
      <c r="G110" s="10"/>
      <c r="H110" s="10"/>
      <c r="I110" s="10"/>
      <c r="J110" s="10"/>
      <c r="K110" s="10"/>
      <c r="L110" s="10"/>
      <c r="M110" s="10"/>
      <c r="N110" s="10"/>
      <c r="O110" s="10"/>
      <c r="P110" s="10"/>
      <c r="Q110" s="10"/>
      <c r="R110" s="10"/>
      <c r="S110" s="10"/>
      <c r="T110" s="10"/>
      <c r="U110" s="10"/>
      <c r="V110" s="10"/>
    </row>
    <row r="111" spans="1:22" ht="13.5" x14ac:dyDescent="0.35">
      <c r="A111" s="10"/>
      <c r="B111" s="13"/>
      <c r="C111" s="13"/>
      <c r="D111" s="10"/>
      <c r="E111" s="10"/>
      <c r="F111" s="10"/>
      <c r="G111" s="10"/>
      <c r="H111" s="10"/>
      <c r="I111" s="10"/>
      <c r="J111" s="10"/>
      <c r="K111" s="10"/>
      <c r="L111" s="10"/>
      <c r="M111" s="10"/>
      <c r="N111" s="10"/>
      <c r="O111" s="10"/>
      <c r="P111" s="10"/>
      <c r="Q111" s="10"/>
      <c r="R111" s="10"/>
      <c r="S111" s="10"/>
      <c r="T111" s="10"/>
      <c r="U111" s="10"/>
      <c r="V111" s="10"/>
    </row>
    <row r="112" spans="1:22" ht="13.5" x14ac:dyDescent="0.35">
      <c r="A112" s="10"/>
      <c r="B112" s="13"/>
      <c r="C112" s="13"/>
      <c r="D112" s="10"/>
      <c r="E112" s="10"/>
      <c r="F112" s="10"/>
      <c r="G112" s="10"/>
      <c r="H112" s="10"/>
      <c r="I112" s="10"/>
      <c r="J112" s="10"/>
      <c r="K112" s="10"/>
      <c r="L112" s="10"/>
      <c r="M112" s="10"/>
      <c r="N112" s="10"/>
      <c r="O112" s="10"/>
      <c r="P112" s="10"/>
      <c r="Q112" s="10"/>
      <c r="R112" s="10"/>
      <c r="S112" s="10"/>
      <c r="T112" s="10"/>
      <c r="U112" s="10"/>
      <c r="V112" s="10"/>
    </row>
    <row r="113" spans="1:22" ht="13.5" x14ac:dyDescent="0.35">
      <c r="A113" s="10"/>
      <c r="B113" s="13"/>
      <c r="C113" s="13"/>
      <c r="D113" s="10"/>
      <c r="E113" s="10"/>
      <c r="F113" s="10"/>
      <c r="G113" s="10"/>
      <c r="H113" s="10"/>
      <c r="I113" s="10"/>
      <c r="J113" s="10"/>
      <c r="K113" s="10"/>
      <c r="L113" s="10"/>
      <c r="M113" s="10"/>
      <c r="N113" s="10"/>
      <c r="O113" s="10"/>
      <c r="P113" s="10"/>
      <c r="Q113" s="10"/>
      <c r="R113" s="10"/>
      <c r="S113" s="10"/>
      <c r="T113" s="10"/>
      <c r="U113" s="10"/>
      <c r="V113" s="10"/>
    </row>
    <row r="114" spans="1:22" ht="13.5" x14ac:dyDescent="0.35">
      <c r="A114" s="10"/>
      <c r="B114" s="13"/>
      <c r="C114" s="13"/>
      <c r="D114" s="10"/>
      <c r="E114" s="10"/>
      <c r="F114" s="10"/>
      <c r="G114" s="10"/>
      <c r="H114" s="10"/>
      <c r="I114" s="10"/>
      <c r="J114" s="10"/>
      <c r="K114" s="10"/>
      <c r="L114" s="10"/>
      <c r="M114" s="10"/>
      <c r="N114" s="10"/>
      <c r="O114" s="10"/>
      <c r="P114" s="10"/>
      <c r="Q114" s="10"/>
      <c r="R114" s="10"/>
      <c r="S114" s="10"/>
      <c r="T114" s="10"/>
      <c r="U114" s="10"/>
      <c r="V114" s="10"/>
    </row>
    <row r="115" spans="1:22" ht="13.5" x14ac:dyDescent="0.35">
      <c r="A115" s="10"/>
      <c r="B115" s="13"/>
      <c r="C115" s="13"/>
      <c r="D115" s="10"/>
      <c r="E115" s="10"/>
      <c r="F115" s="10"/>
      <c r="G115" s="10"/>
      <c r="H115" s="10"/>
      <c r="I115" s="10"/>
      <c r="J115" s="10"/>
      <c r="K115" s="10"/>
      <c r="L115" s="10"/>
      <c r="M115" s="10"/>
      <c r="N115" s="10"/>
      <c r="O115" s="10"/>
      <c r="P115" s="10"/>
      <c r="Q115" s="10"/>
      <c r="R115" s="10"/>
      <c r="S115" s="10"/>
      <c r="T115" s="10"/>
      <c r="U115" s="10"/>
      <c r="V115" s="10"/>
    </row>
    <row r="116" spans="1:22" ht="13.5" x14ac:dyDescent="0.35">
      <c r="A116" s="10"/>
      <c r="B116" s="13"/>
      <c r="C116" s="13"/>
      <c r="D116" s="10"/>
      <c r="E116" s="10"/>
      <c r="F116" s="10"/>
      <c r="G116" s="10"/>
      <c r="H116" s="10"/>
      <c r="I116" s="10"/>
      <c r="J116" s="10"/>
      <c r="K116" s="10"/>
      <c r="L116" s="10"/>
      <c r="M116" s="10"/>
      <c r="N116" s="10"/>
      <c r="O116" s="10"/>
      <c r="P116" s="10"/>
      <c r="Q116" s="10"/>
      <c r="R116" s="10"/>
      <c r="S116" s="10"/>
      <c r="T116" s="10"/>
      <c r="U116" s="10"/>
      <c r="V116" s="10"/>
    </row>
    <row r="117" spans="1:22" ht="13.5" x14ac:dyDescent="0.35">
      <c r="A117" s="10"/>
      <c r="B117" s="13"/>
      <c r="C117" s="13"/>
      <c r="D117" s="10"/>
      <c r="E117" s="10"/>
      <c r="F117" s="10"/>
      <c r="G117" s="10"/>
      <c r="H117" s="10"/>
      <c r="I117" s="10"/>
      <c r="J117" s="10"/>
      <c r="K117" s="10"/>
      <c r="L117" s="10"/>
      <c r="M117" s="10"/>
      <c r="N117" s="10"/>
      <c r="O117" s="10"/>
      <c r="P117" s="10"/>
      <c r="Q117" s="10"/>
      <c r="R117" s="10"/>
      <c r="S117" s="10"/>
      <c r="T117" s="10"/>
      <c r="U117" s="10"/>
      <c r="V117" s="10"/>
    </row>
    <row r="118" spans="1:22" ht="13.5" x14ac:dyDescent="0.35">
      <c r="A118" s="10"/>
      <c r="B118" s="13"/>
      <c r="C118" s="13"/>
      <c r="D118" s="10"/>
      <c r="E118" s="10"/>
      <c r="F118" s="10"/>
      <c r="G118" s="10"/>
      <c r="H118" s="10"/>
      <c r="I118" s="10"/>
      <c r="J118" s="10"/>
      <c r="K118" s="10"/>
      <c r="L118" s="10"/>
      <c r="M118" s="10"/>
      <c r="N118" s="10"/>
      <c r="O118" s="10"/>
      <c r="P118" s="10"/>
      <c r="Q118" s="10"/>
      <c r="R118" s="10"/>
      <c r="S118" s="10"/>
      <c r="T118" s="10"/>
      <c r="U118" s="10"/>
      <c r="V118" s="10"/>
    </row>
    <row r="119" spans="1:22" ht="13.5" x14ac:dyDescent="0.35">
      <c r="A119" s="10"/>
      <c r="B119" s="13"/>
      <c r="C119" s="13"/>
      <c r="D119" s="10"/>
      <c r="E119" s="10"/>
      <c r="F119" s="10"/>
      <c r="G119" s="10"/>
      <c r="H119" s="10"/>
      <c r="I119" s="10"/>
      <c r="J119" s="10"/>
      <c r="K119" s="10"/>
      <c r="L119" s="10"/>
      <c r="M119" s="10"/>
      <c r="N119" s="10"/>
      <c r="O119" s="10"/>
      <c r="P119" s="10"/>
      <c r="Q119" s="10"/>
      <c r="R119" s="10"/>
      <c r="S119" s="10"/>
      <c r="T119" s="10"/>
      <c r="U119" s="10"/>
      <c r="V119" s="10"/>
    </row>
    <row r="120" spans="1:22" ht="13.5" x14ac:dyDescent="0.35">
      <c r="A120" s="10"/>
      <c r="B120" s="13"/>
      <c r="C120" s="13"/>
      <c r="D120" s="10"/>
      <c r="E120" s="10"/>
      <c r="F120" s="10"/>
      <c r="G120" s="10"/>
      <c r="H120" s="10"/>
      <c r="I120" s="10"/>
      <c r="J120" s="10"/>
      <c r="K120" s="10"/>
      <c r="L120" s="10"/>
      <c r="M120" s="10"/>
      <c r="N120" s="10"/>
      <c r="O120" s="10"/>
      <c r="P120" s="10"/>
      <c r="Q120" s="10"/>
      <c r="R120" s="10"/>
      <c r="S120" s="10"/>
      <c r="T120" s="10"/>
      <c r="U120" s="10"/>
      <c r="V120" s="10"/>
    </row>
    <row r="121" spans="1:22" ht="13.5" x14ac:dyDescent="0.35">
      <c r="A121" s="10"/>
      <c r="B121" s="13"/>
      <c r="C121" s="13"/>
      <c r="D121" s="10"/>
      <c r="E121" s="10"/>
      <c r="F121" s="10"/>
      <c r="G121" s="10"/>
      <c r="H121" s="10"/>
      <c r="I121" s="10"/>
      <c r="J121" s="10"/>
      <c r="K121" s="10"/>
      <c r="L121" s="10"/>
      <c r="M121" s="10"/>
      <c r="N121" s="10"/>
      <c r="O121" s="10"/>
      <c r="P121" s="10"/>
      <c r="Q121" s="10"/>
      <c r="R121" s="10"/>
      <c r="S121" s="10"/>
      <c r="T121" s="10"/>
      <c r="U121" s="10"/>
      <c r="V121" s="10"/>
    </row>
    <row r="122" spans="1:22" ht="13.5" x14ac:dyDescent="0.35">
      <c r="A122" s="10"/>
      <c r="B122" s="13"/>
      <c r="C122" s="13"/>
      <c r="D122" s="10"/>
      <c r="E122" s="10"/>
      <c r="F122" s="10"/>
      <c r="G122" s="10"/>
      <c r="H122" s="10"/>
      <c r="I122" s="10"/>
      <c r="J122" s="10"/>
      <c r="K122" s="10"/>
      <c r="L122" s="10"/>
      <c r="M122" s="10"/>
      <c r="N122" s="10"/>
      <c r="O122" s="10"/>
      <c r="P122" s="10"/>
      <c r="Q122" s="10"/>
      <c r="R122" s="10"/>
      <c r="S122" s="10"/>
      <c r="T122" s="10"/>
      <c r="U122" s="10"/>
      <c r="V122" s="10"/>
    </row>
    <row r="123" spans="1:22" ht="13.5" x14ac:dyDescent="0.35">
      <c r="A123" s="10"/>
      <c r="B123" s="13"/>
      <c r="C123" s="13"/>
      <c r="D123" s="10"/>
      <c r="E123" s="10"/>
      <c r="F123" s="10"/>
      <c r="G123" s="10"/>
      <c r="H123" s="10"/>
      <c r="I123" s="10"/>
      <c r="J123" s="10"/>
      <c r="K123" s="10"/>
      <c r="L123" s="10"/>
      <c r="M123" s="10"/>
      <c r="N123" s="10"/>
      <c r="O123" s="10"/>
      <c r="P123" s="10"/>
      <c r="Q123" s="10"/>
      <c r="R123" s="10"/>
      <c r="S123" s="10"/>
      <c r="T123" s="10"/>
      <c r="U123" s="10"/>
      <c r="V123" s="10"/>
    </row>
    <row r="124" spans="1:22" ht="13.5" x14ac:dyDescent="0.35">
      <c r="A124" s="10"/>
      <c r="B124" s="13"/>
      <c r="C124" s="13"/>
      <c r="D124" s="10"/>
      <c r="E124" s="10"/>
      <c r="F124" s="10"/>
      <c r="G124" s="10"/>
      <c r="H124" s="10"/>
      <c r="I124" s="10"/>
      <c r="J124" s="10"/>
      <c r="K124" s="10"/>
      <c r="L124" s="10"/>
      <c r="M124" s="10"/>
      <c r="N124" s="10"/>
      <c r="O124" s="10"/>
      <c r="P124" s="10"/>
      <c r="Q124" s="10"/>
      <c r="R124" s="10"/>
      <c r="S124" s="10"/>
      <c r="T124" s="10"/>
      <c r="U124" s="10"/>
      <c r="V124" s="10"/>
    </row>
    <row r="125" spans="1:22" ht="13.5" x14ac:dyDescent="0.35">
      <c r="A125" s="10"/>
      <c r="B125" s="13"/>
      <c r="C125" s="13"/>
      <c r="D125" s="10"/>
      <c r="E125" s="10"/>
      <c r="F125" s="10"/>
      <c r="G125" s="10"/>
      <c r="H125" s="10"/>
      <c r="I125" s="10"/>
      <c r="J125" s="10"/>
      <c r="K125" s="10"/>
      <c r="L125" s="10"/>
      <c r="M125" s="10"/>
      <c r="N125" s="10"/>
      <c r="O125" s="10"/>
      <c r="P125" s="10"/>
      <c r="Q125" s="10"/>
      <c r="R125" s="10"/>
      <c r="S125" s="10"/>
      <c r="T125" s="10"/>
      <c r="U125" s="10"/>
      <c r="V125" s="10"/>
    </row>
    <row r="126" spans="1:22" ht="13.5" x14ac:dyDescent="0.35">
      <c r="A126" s="10"/>
      <c r="B126" s="13"/>
      <c r="C126" s="13"/>
      <c r="D126" s="10"/>
      <c r="E126" s="10"/>
      <c r="F126" s="10"/>
      <c r="G126" s="10"/>
      <c r="H126" s="10"/>
      <c r="I126" s="10"/>
      <c r="J126" s="10"/>
      <c r="K126" s="10"/>
      <c r="L126" s="10"/>
      <c r="M126" s="10"/>
      <c r="N126" s="10"/>
      <c r="O126" s="10"/>
      <c r="P126" s="10"/>
      <c r="Q126" s="10"/>
      <c r="R126" s="10"/>
      <c r="S126" s="10"/>
      <c r="T126" s="10"/>
      <c r="U126" s="10"/>
      <c r="V126" s="10"/>
    </row>
    <row r="127" spans="1:22" ht="13.5" x14ac:dyDescent="0.35">
      <c r="A127" s="10"/>
      <c r="B127" s="13"/>
      <c r="C127" s="13"/>
      <c r="D127" s="10"/>
      <c r="E127" s="10"/>
      <c r="F127" s="10"/>
      <c r="G127" s="10"/>
      <c r="H127" s="10"/>
      <c r="I127" s="10"/>
      <c r="J127" s="10"/>
      <c r="K127" s="10"/>
      <c r="L127" s="10"/>
      <c r="M127" s="10"/>
      <c r="N127" s="10"/>
      <c r="O127" s="10"/>
      <c r="P127" s="10"/>
      <c r="Q127" s="10"/>
      <c r="R127" s="10"/>
      <c r="S127" s="10"/>
      <c r="T127" s="10"/>
      <c r="U127" s="10"/>
      <c r="V127" s="10"/>
    </row>
    <row r="128" spans="1:22" ht="13.5" x14ac:dyDescent="0.35">
      <c r="A128" s="10"/>
      <c r="B128" s="13"/>
      <c r="C128" s="13"/>
      <c r="D128" s="10"/>
      <c r="E128" s="10"/>
      <c r="F128" s="10"/>
      <c r="G128" s="10"/>
      <c r="H128" s="10"/>
      <c r="I128" s="10"/>
      <c r="J128" s="10"/>
      <c r="K128" s="10"/>
      <c r="L128" s="10"/>
      <c r="M128" s="10"/>
      <c r="N128" s="10"/>
      <c r="O128" s="10"/>
      <c r="P128" s="10"/>
      <c r="Q128" s="10"/>
      <c r="R128" s="10"/>
      <c r="S128" s="10"/>
      <c r="T128" s="10"/>
      <c r="U128" s="10"/>
      <c r="V128" s="10"/>
    </row>
    <row r="129" spans="1:22" ht="13.5" x14ac:dyDescent="0.35">
      <c r="A129" s="10"/>
      <c r="B129" s="13"/>
      <c r="C129" s="13"/>
      <c r="D129" s="10"/>
      <c r="E129" s="10"/>
      <c r="F129" s="10"/>
      <c r="G129" s="10"/>
      <c r="H129" s="10"/>
      <c r="I129" s="10"/>
      <c r="J129" s="10"/>
      <c r="K129" s="10"/>
      <c r="L129" s="10"/>
      <c r="M129" s="10"/>
      <c r="N129" s="10"/>
      <c r="O129" s="10"/>
      <c r="P129" s="10"/>
      <c r="Q129" s="10"/>
      <c r="R129" s="10"/>
      <c r="S129" s="10"/>
      <c r="T129" s="10"/>
      <c r="U129" s="10"/>
      <c r="V129" s="10"/>
    </row>
    <row r="130" spans="1:22" ht="13.5" x14ac:dyDescent="0.35">
      <c r="A130" s="10"/>
      <c r="B130" s="13"/>
      <c r="C130" s="13"/>
      <c r="D130" s="10"/>
      <c r="E130" s="10"/>
      <c r="F130" s="10"/>
      <c r="G130" s="10"/>
      <c r="H130" s="10"/>
      <c r="I130" s="10"/>
      <c r="J130" s="10"/>
      <c r="K130" s="10"/>
      <c r="L130" s="10"/>
      <c r="M130" s="10"/>
      <c r="N130" s="10"/>
      <c r="O130" s="10"/>
      <c r="P130" s="10"/>
      <c r="Q130" s="10"/>
      <c r="R130" s="10"/>
      <c r="S130" s="10"/>
      <c r="T130" s="10"/>
      <c r="U130" s="10"/>
      <c r="V130" s="10"/>
    </row>
    <row r="131" spans="1:22" ht="13.5" x14ac:dyDescent="0.35">
      <c r="A131" s="10"/>
      <c r="B131" s="13"/>
      <c r="C131" s="13"/>
      <c r="D131" s="10"/>
      <c r="E131" s="10"/>
      <c r="F131" s="10"/>
      <c r="G131" s="10"/>
      <c r="H131" s="10"/>
      <c r="I131" s="10"/>
      <c r="J131" s="10"/>
      <c r="K131" s="10"/>
      <c r="L131" s="10"/>
      <c r="M131" s="10"/>
      <c r="N131" s="10"/>
      <c r="O131" s="10"/>
      <c r="P131" s="10"/>
      <c r="Q131" s="10"/>
      <c r="R131" s="10"/>
      <c r="S131" s="10"/>
      <c r="T131" s="10"/>
      <c r="U131" s="10"/>
      <c r="V131" s="10"/>
    </row>
    <row r="132" spans="1:22" ht="13.5" x14ac:dyDescent="0.35">
      <c r="A132" s="10"/>
      <c r="B132" s="13"/>
      <c r="C132" s="13"/>
      <c r="D132" s="10"/>
      <c r="E132" s="10"/>
      <c r="F132" s="10"/>
      <c r="G132" s="10"/>
      <c r="H132" s="10"/>
      <c r="I132" s="10"/>
      <c r="J132" s="10"/>
      <c r="K132" s="10"/>
      <c r="L132" s="10"/>
      <c r="M132" s="10"/>
      <c r="N132" s="10"/>
      <c r="O132" s="10"/>
      <c r="P132" s="10"/>
      <c r="Q132" s="10"/>
      <c r="R132" s="10"/>
      <c r="S132" s="10"/>
      <c r="T132" s="10"/>
      <c r="U132" s="10"/>
      <c r="V132" s="10"/>
    </row>
    <row r="133" spans="1:22" ht="13.5" x14ac:dyDescent="0.35">
      <c r="A133" s="10"/>
      <c r="B133" s="13"/>
      <c r="C133" s="13"/>
      <c r="D133" s="10"/>
      <c r="E133" s="10"/>
      <c r="F133" s="10"/>
      <c r="G133" s="10"/>
      <c r="H133" s="10"/>
      <c r="I133" s="10"/>
      <c r="J133" s="10"/>
      <c r="K133" s="10"/>
      <c r="L133" s="10"/>
      <c r="M133" s="10"/>
      <c r="N133" s="10"/>
      <c r="O133" s="10"/>
      <c r="P133" s="10"/>
      <c r="Q133" s="10"/>
      <c r="R133" s="10"/>
      <c r="S133" s="10"/>
      <c r="T133" s="10"/>
      <c r="U133" s="10"/>
      <c r="V133" s="10"/>
    </row>
    <row r="134" spans="1:22" ht="13.5" x14ac:dyDescent="0.35">
      <c r="A134" s="10"/>
      <c r="B134" s="13"/>
      <c r="C134" s="13"/>
      <c r="D134" s="10"/>
      <c r="E134" s="10"/>
      <c r="F134" s="10"/>
      <c r="G134" s="10"/>
      <c r="H134" s="10"/>
      <c r="I134" s="10"/>
      <c r="J134" s="10"/>
      <c r="K134" s="10"/>
      <c r="L134" s="10"/>
      <c r="M134" s="10"/>
      <c r="N134" s="10"/>
      <c r="O134" s="10"/>
      <c r="P134" s="10"/>
      <c r="Q134" s="10"/>
      <c r="R134" s="10"/>
      <c r="S134" s="10"/>
      <c r="T134" s="10"/>
      <c r="U134" s="10"/>
      <c r="V134" s="10"/>
    </row>
    <row r="135" spans="1:22" ht="13.5" x14ac:dyDescent="0.35">
      <c r="A135" s="10"/>
      <c r="B135" s="13"/>
      <c r="C135" s="13"/>
      <c r="D135" s="10"/>
      <c r="E135" s="10"/>
      <c r="F135" s="10"/>
      <c r="G135" s="10"/>
      <c r="H135" s="10"/>
      <c r="I135" s="10"/>
      <c r="J135" s="10"/>
      <c r="K135" s="10"/>
      <c r="L135" s="10"/>
      <c r="M135" s="10"/>
      <c r="N135" s="10"/>
      <c r="O135" s="10"/>
      <c r="P135" s="10"/>
      <c r="Q135" s="10"/>
      <c r="R135" s="10"/>
      <c r="S135" s="10"/>
      <c r="T135" s="10"/>
      <c r="U135" s="10"/>
      <c r="V135" s="10"/>
    </row>
    <row r="136" spans="1:22" ht="13.5" x14ac:dyDescent="0.35">
      <c r="A136" s="10"/>
      <c r="B136" s="13"/>
      <c r="C136" s="13"/>
      <c r="D136" s="10"/>
      <c r="E136" s="10"/>
      <c r="F136" s="10"/>
      <c r="G136" s="10"/>
      <c r="H136" s="10"/>
      <c r="I136" s="10"/>
      <c r="J136" s="10"/>
      <c r="K136" s="10"/>
      <c r="L136" s="10"/>
      <c r="M136" s="10"/>
      <c r="N136" s="10"/>
      <c r="O136" s="10"/>
      <c r="P136" s="10"/>
      <c r="Q136" s="10"/>
      <c r="R136" s="10"/>
      <c r="S136" s="10"/>
      <c r="T136" s="10"/>
      <c r="U136" s="10"/>
      <c r="V136" s="10"/>
    </row>
    <row r="137" spans="1:22" ht="13.5" x14ac:dyDescent="0.35">
      <c r="A137" s="10"/>
      <c r="B137" s="13"/>
      <c r="C137" s="13"/>
      <c r="D137" s="10"/>
      <c r="E137" s="10"/>
      <c r="F137" s="10"/>
      <c r="G137" s="10"/>
      <c r="H137" s="10"/>
      <c r="I137" s="10"/>
      <c r="J137" s="10"/>
      <c r="K137" s="10"/>
      <c r="L137" s="10"/>
      <c r="M137" s="10"/>
      <c r="N137" s="10"/>
      <c r="O137" s="10"/>
      <c r="P137" s="10"/>
      <c r="Q137" s="10"/>
      <c r="R137" s="10"/>
      <c r="S137" s="10"/>
      <c r="T137" s="10"/>
      <c r="U137" s="10"/>
      <c r="V137" s="10"/>
    </row>
    <row r="138" spans="1:22" ht="13.5" x14ac:dyDescent="0.35">
      <c r="A138" s="10"/>
      <c r="B138" s="13"/>
      <c r="C138" s="13"/>
      <c r="D138" s="10"/>
      <c r="E138" s="10"/>
      <c r="F138" s="10"/>
      <c r="G138" s="10"/>
      <c r="H138" s="10"/>
      <c r="I138" s="10"/>
      <c r="J138" s="10"/>
      <c r="K138" s="10"/>
      <c r="L138" s="10"/>
      <c r="M138" s="10"/>
      <c r="N138" s="10"/>
      <c r="O138" s="10"/>
      <c r="P138" s="10"/>
      <c r="Q138" s="10"/>
      <c r="R138" s="10"/>
      <c r="S138" s="10"/>
      <c r="T138" s="10"/>
      <c r="U138" s="10"/>
      <c r="V138" s="10"/>
    </row>
    <row r="139" spans="1:22" ht="13.5" x14ac:dyDescent="0.35">
      <c r="A139" s="10"/>
      <c r="B139" s="13"/>
      <c r="C139" s="13"/>
      <c r="D139" s="10"/>
      <c r="E139" s="10"/>
      <c r="F139" s="10"/>
      <c r="G139" s="10"/>
      <c r="H139" s="10"/>
      <c r="I139" s="10"/>
      <c r="J139" s="10"/>
      <c r="K139" s="10"/>
      <c r="L139" s="10"/>
      <c r="M139" s="10"/>
      <c r="N139" s="10"/>
      <c r="O139" s="10"/>
      <c r="P139" s="10"/>
      <c r="Q139" s="10"/>
      <c r="R139" s="10"/>
      <c r="S139" s="10"/>
      <c r="T139" s="10"/>
      <c r="U139" s="10"/>
      <c r="V139" s="10"/>
    </row>
    <row r="140" spans="1:22" ht="13.5" x14ac:dyDescent="0.35">
      <c r="A140" s="10"/>
      <c r="B140" s="13"/>
      <c r="C140" s="13"/>
      <c r="D140" s="10"/>
      <c r="E140" s="10"/>
      <c r="F140" s="10"/>
      <c r="G140" s="10"/>
      <c r="H140" s="10"/>
      <c r="I140" s="10"/>
      <c r="J140" s="10"/>
      <c r="K140" s="10"/>
      <c r="L140" s="10"/>
      <c r="M140" s="10"/>
      <c r="N140" s="10"/>
      <c r="O140" s="10"/>
      <c r="P140" s="10"/>
      <c r="Q140" s="10"/>
      <c r="R140" s="10"/>
      <c r="S140" s="10"/>
      <c r="T140" s="10"/>
      <c r="U140" s="10"/>
      <c r="V140" s="10"/>
    </row>
    <row r="141" spans="1:22" ht="13.5" x14ac:dyDescent="0.35">
      <c r="A141" s="10"/>
      <c r="B141" s="13"/>
      <c r="C141" s="13"/>
      <c r="D141" s="10"/>
      <c r="E141" s="10"/>
      <c r="F141" s="10"/>
      <c r="G141" s="10"/>
      <c r="H141" s="10"/>
      <c r="I141" s="10"/>
      <c r="J141" s="10"/>
      <c r="K141" s="10"/>
      <c r="L141" s="10"/>
      <c r="M141" s="10"/>
      <c r="N141" s="10"/>
      <c r="O141" s="10"/>
      <c r="P141" s="10"/>
      <c r="Q141" s="10"/>
      <c r="R141" s="10"/>
      <c r="S141" s="10"/>
      <c r="T141" s="10"/>
      <c r="U141" s="10"/>
      <c r="V141" s="10"/>
    </row>
    <row r="142" spans="1:22" ht="13.5" x14ac:dyDescent="0.35">
      <c r="A142" s="10"/>
      <c r="B142" s="13"/>
      <c r="C142" s="13"/>
      <c r="D142" s="10"/>
      <c r="E142" s="10"/>
      <c r="F142" s="10"/>
      <c r="G142" s="10"/>
      <c r="H142" s="10"/>
      <c r="I142" s="10"/>
      <c r="J142" s="10"/>
      <c r="K142" s="10"/>
      <c r="L142" s="10"/>
      <c r="M142" s="10"/>
      <c r="N142" s="10"/>
      <c r="O142" s="10"/>
      <c r="P142" s="10"/>
      <c r="Q142" s="10"/>
      <c r="R142" s="10"/>
      <c r="S142" s="10"/>
      <c r="T142" s="10"/>
      <c r="U142" s="10"/>
      <c r="V142" s="10"/>
    </row>
    <row r="143" spans="1:22" ht="13.5" x14ac:dyDescent="0.35">
      <c r="A143" s="10"/>
      <c r="B143" s="13"/>
      <c r="C143" s="13"/>
      <c r="D143" s="10"/>
      <c r="E143" s="10"/>
      <c r="F143" s="10"/>
      <c r="G143" s="10"/>
      <c r="H143" s="10"/>
      <c r="I143" s="10"/>
      <c r="J143" s="10"/>
      <c r="K143" s="10"/>
      <c r="L143" s="10"/>
      <c r="M143" s="10"/>
      <c r="N143" s="10"/>
      <c r="O143" s="10"/>
      <c r="P143" s="10"/>
      <c r="Q143" s="10"/>
      <c r="R143" s="10"/>
      <c r="S143" s="10"/>
      <c r="T143" s="10"/>
      <c r="U143" s="10"/>
      <c r="V143" s="10"/>
    </row>
    <row r="144" spans="1:22" ht="13.5" x14ac:dyDescent="0.35">
      <c r="A144" s="10"/>
      <c r="B144" s="13"/>
      <c r="C144" s="13"/>
      <c r="D144" s="10"/>
      <c r="E144" s="10"/>
      <c r="F144" s="10"/>
      <c r="G144" s="10"/>
      <c r="H144" s="10"/>
      <c r="I144" s="10"/>
      <c r="J144" s="10"/>
      <c r="K144" s="10"/>
      <c r="L144" s="10"/>
      <c r="M144" s="10"/>
      <c r="N144" s="10"/>
      <c r="O144" s="10"/>
      <c r="P144" s="10"/>
      <c r="Q144" s="10"/>
      <c r="R144" s="10"/>
      <c r="S144" s="10"/>
      <c r="T144" s="10"/>
      <c r="U144" s="10"/>
      <c r="V144" s="10"/>
    </row>
    <row r="145" spans="1:22" ht="13.5" x14ac:dyDescent="0.35">
      <c r="A145" s="10"/>
      <c r="B145" s="13"/>
      <c r="C145" s="13"/>
      <c r="D145" s="10"/>
      <c r="E145" s="10"/>
      <c r="F145" s="10"/>
      <c r="G145" s="10"/>
      <c r="H145" s="10"/>
      <c r="I145" s="10"/>
      <c r="J145" s="10"/>
      <c r="K145" s="10"/>
      <c r="L145" s="10"/>
      <c r="M145" s="10"/>
      <c r="N145" s="10"/>
      <c r="O145" s="10"/>
      <c r="P145" s="10"/>
      <c r="Q145" s="10"/>
      <c r="R145" s="10"/>
      <c r="S145" s="10"/>
      <c r="T145" s="10"/>
      <c r="U145" s="10"/>
      <c r="V145" s="10"/>
    </row>
    <row r="146" spans="1:22" ht="13.5" x14ac:dyDescent="0.35">
      <c r="A146" s="10"/>
      <c r="B146" s="13"/>
      <c r="C146" s="13"/>
      <c r="D146" s="10"/>
      <c r="E146" s="10"/>
      <c r="F146" s="10"/>
      <c r="G146" s="10"/>
      <c r="H146" s="10"/>
      <c r="I146" s="10"/>
      <c r="J146" s="10"/>
      <c r="K146" s="10"/>
      <c r="L146" s="10"/>
      <c r="M146" s="10"/>
      <c r="N146" s="10"/>
      <c r="O146" s="10"/>
      <c r="P146" s="10"/>
      <c r="Q146" s="10"/>
      <c r="R146" s="10"/>
      <c r="S146" s="10"/>
      <c r="T146" s="10"/>
      <c r="U146" s="10"/>
      <c r="V146" s="10"/>
    </row>
    <row r="147" spans="1:22" ht="13.5" x14ac:dyDescent="0.35">
      <c r="A147" s="10"/>
      <c r="B147" s="13"/>
      <c r="C147" s="13"/>
      <c r="D147" s="10"/>
      <c r="E147" s="10"/>
      <c r="F147" s="10"/>
      <c r="G147" s="10"/>
      <c r="H147" s="10"/>
      <c r="I147" s="10"/>
      <c r="J147" s="10"/>
      <c r="K147" s="10"/>
      <c r="L147" s="10"/>
      <c r="M147" s="10"/>
      <c r="N147" s="10"/>
      <c r="O147" s="10"/>
      <c r="P147" s="10"/>
      <c r="Q147" s="10"/>
      <c r="R147" s="10"/>
      <c r="S147" s="10"/>
      <c r="T147" s="10"/>
      <c r="U147" s="10"/>
      <c r="V147" s="10"/>
    </row>
    <row r="148" spans="1:22" ht="13.5" x14ac:dyDescent="0.35">
      <c r="A148" s="10"/>
      <c r="B148" s="13"/>
      <c r="C148" s="13"/>
      <c r="D148" s="10"/>
      <c r="E148" s="10"/>
      <c r="F148" s="10"/>
      <c r="G148" s="10"/>
      <c r="H148" s="10"/>
      <c r="I148" s="10"/>
      <c r="J148" s="10"/>
      <c r="K148" s="10"/>
      <c r="L148" s="10"/>
      <c r="M148" s="10"/>
      <c r="N148" s="10"/>
      <c r="O148" s="10"/>
      <c r="P148" s="10"/>
      <c r="Q148" s="10"/>
      <c r="R148" s="10"/>
      <c r="S148" s="10"/>
      <c r="T148" s="10"/>
      <c r="U148" s="10"/>
      <c r="V148" s="10"/>
    </row>
    <row r="149" spans="1:22" ht="13.5" x14ac:dyDescent="0.35">
      <c r="A149" s="10"/>
      <c r="B149" s="13"/>
      <c r="C149" s="13"/>
      <c r="D149" s="10"/>
      <c r="E149" s="10"/>
      <c r="F149" s="10"/>
      <c r="G149" s="10"/>
      <c r="H149" s="10"/>
      <c r="I149" s="10"/>
      <c r="J149" s="10"/>
      <c r="K149" s="10"/>
      <c r="L149" s="10"/>
      <c r="M149" s="10"/>
      <c r="N149" s="10"/>
      <c r="O149" s="10"/>
      <c r="P149" s="10"/>
      <c r="Q149" s="10"/>
      <c r="R149" s="10"/>
      <c r="S149" s="10"/>
      <c r="T149" s="10"/>
      <c r="U149" s="10"/>
      <c r="V149" s="10"/>
    </row>
    <row r="150" spans="1:22" ht="13.5" x14ac:dyDescent="0.35">
      <c r="A150" s="10"/>
      <c r="B150" s="13"/>
      <c r="C150" s="13"/>
      <c r="D150" s="10"/>
      <c r="E150" s="10"/>
      <c r="F150" s="10"/>
      <c r="G150" s="10"/>
      <c r="H150" s="10"/>
      <c r="I150" s="10"/>
      <c r="J150" s="10"/>
      <c r="K150" s="10"/>
      <c r="L150" s="10"/>
      <c r="M150" s="10"/>
      <c r="N150" s="10"/>
      <c r="O150" s="10"/>
      <c r="P150" s="10"/>
      <c r="Q150" s="10"/>
      <c r="R150" s="10"/>
      <c r="S150" s="10"/>
      <c r="T150" s="10"/>
      <c r="U150" s="10"/>
      <c r="V150" s="10"/>
    </row>
    <row r="151" spans="1:22" ht="13.5" x14ac:dyDescent="0.35">
      <c r="A151" s="10"/>
      <c r="B151" s="13"/>
      <c r="C151" s="13"/>
      <c r="D151" s="10"/>
      <c r="E151" s="10"/>
      <c r="F151" s="10"/>
      <c r="G151" s="10"/>
      <c r="H151" s="10"/>
      <c r="I151" s="10"/>
      <c r="J151" s="10"/>
      <c r="K151" s="10"/>
      <c r="L151" s="10"/>
      <c r="M151" s="10"/>
      <c r="N151" s="10"/>
      <c r="O151" s="10"/>
      <c r="P151" s="10"/>
      <c r="Q151" s="10"/>
      <c r="R151" s="10"/>
      <c r="S151" s="10"/>
      <c r="T151" s="10"/>
      <c r="U151" s="10"/>
      <c r="V151" s="10"/>
    </row>
    <row r="152" spans="1:22" ht="13.5" x14ac:dyDescent="0.35">
      <c r="A152" s="10"/>
      <c r="B152" s="13"/>
      <c r="C152" s="13"/>
      <c r="D152" s="10"/>
      <c r="E152" s="10"/>
      <c r="F152" s="10"/>
      <c r="G152" s="10"/>
      <c r="H152" s="10"/>
      <c r="I152" s="10"/>
      <c r="J152" s="10"/>
      <c r="K152" s="10"/>
      <c r="L152" s="10"/>
      <c r="M152" s="10"/>
      <c r="N152" s="10"/>
      <c r="O152" s="10"/>
      <c r="P152" s="10"/>
      <c r="Q152" s="10"/>
      <c r="R152" s="10"/>
      <c r="S152" s="10"/>
      <c r="T152" s="10"/>
      <c r="U152" s="10"/>
      <c r="V152" s="10"/>
    </row>
    <row r="153" spans="1:22" ht="13.5" x14ac:dyDescent="0.35">
      <c r="A153" s="10"/>
      <c r="B153" s="13"/>
      <c r="C153" s="13"/>
      <c r="D153" s="10"/>
      <c r="E153" s="10"/>
      <c r="F153" s="10"/>
      <c r="G153" s="10"/>
      <c r="H153" s="10"/>
      <c r="I153" s="10"/>
      <c r="J153" s="10"/>
      <c r="K153" s="10"/>
      <c r="L153" s="10"/>
      <c r="M153" s="10"/>
      <c r="N153" s="10"/>
      <c r="O153" s="10"/>
      <c r="P153" s="10"/>
      <c r="Q153" s="10"/>
      <c r="R153" s="10"/>
      <c r="S153" s="10"/>
      <c r="T153" s="10"/>
      <c r="U153" s="10"/>
      <c r="V153" s="10"/>
    </row>
    <row r="154" spans="1:22" ht="13.5" x14ac:dyDescent="0.35">
      <c r="A154" s="10"/>
      <c r="B154" s="13"/>
      <c r="C154" s="13"/>
      <c r="D154" s="10"/>
      <c r="E154" s="10"/>
      <c r="F154" s="10"/>
      <c r="G154" s="10"/>
      <c r="H154" s="10"/>
      <c r="I154" s="10"/>
      <c r="J154" s="10"/>
      <c r="K154" s="10"/>
      <c r="L154" s="10"/>
      <c r="M154" s="10"/>
      <c r="N154" s="10"/>
      <c r="O154" s="10"/>
      <c r="P154" s="10"/>
      <c r="Q154" s="10"/>
      <c r="R154" s="10"/>
      <c r="S154" s="10"/>
      <c r="T154" s="10"/>
      <c r="U154" s="10"/>
      <c r="V154" s="10"/>
    </row>
    <row r="155" spans="1:22" ht="13.5" x14ac:dyDescent="0.35">
      <c r="A155" s="10"/>
      <c r="B155" s="13"/>
      <c r="C155" s="13"/>
      <c r="D155" s="10"/>
      <c r="E155" s="10"/>
      <c r="F155" s="10"/>
      <c r="G155" s="10"/>
      <c r="H155" s="10"/>
      <c r="I155" s="10"/>
      <c r="J155" s="10"/>
      <c r="K155" s="10"/>
      <c r="L155" s="10"/>
      <c r="M155" s="10"/>
      <c r="N155" s="10"/>
      <c r="O155" s="10"/>
      <c r="P155" s="10"/>
      <c r="Q155" s="10"/>
      <c r="R155" s="10"/>
      <c r="S155" s="10"/>
      <c r="T155" s="10"/>
      <c r="U155" s="10"/>
      <c r="V155" s="10"/>
    </row>
    <row r="156" spans="1:22" ht="13.5" x14ac:dyDescent="0.35">
      <c r="A156" s="10"/>
      <c r="B156" s="13"/>
      <c r="C156" s="13"/>
      <c r="D156" s="10"/>
      <c r="E156" s="10"/>
      <c r="F156" s="10"/>
      <c r="G156" s="10"/>
      <c r="H156" s="10"/>
      <c r="I156" s="10"/>
      <c r="J156" s="10"/>
      <c r="K156" s="10"/>
      <c r="L156" s="10"/>
      <c r="M156" s="10"/>
      <c r="N156" s="10"/>
      <c r="O156" s="10"/>
      <c r="P156" s="10"/>
      <c r="Q156" s="10"/>
      <c r="R156" s="10"/>
      <c r="S156" s="10"/>
      <c r="T156" s="10"/>
      <c r="U156" s="10"/>
      <c r="V156" s="10"/>
    </row>
    <row r="157" spans="1:22" ht="13.5" x14ac:dyDescent="0.35">
      <c r="A157" s="10"/>
      <c r="B157" s="13"/>
      <c r="C157" s="13"/>
      <c r="D157" s="10"/>
      <c r="E157" s="10"/>
      <c r="F157" s="10"/>
      <c r="G157" s="10"/>
      <c r="H157" s="10"/>
      <c r="I157" s="10"/>
      <c r="J157" s="10"/>
      <c r="K157" s="10"/>
      <c r="L157" s="10"/>
      <c r="M157" s="10"/>
      <c r="N157" s="10"/>
      <c r="O157" s="10"/>
      <c r="P157" s="10"/>
      <c r="Q157" s="10"/>
      <c r="R157" s="10"/>
      <c r="S157" s="10"/>
      <c r="T157" s="10"/>
      <c r="U157" s="10"/>
      <c r="V157" s="10"/>
    </row>
    <row r="158" spans="1:22" ht="13.5" x14ac:dyDescent="0.35">
      <c r="A158" s="10"/>
      <c r="B158" s="13"/>
      <c r="C158" s="13"/>
      <c r="D158" s="10"/>
      <c r="E158" s="10"/>
      <c r="F158" s="10"/>
      <c r="G158" s="10"/>
      <c r="H158" s="10"/>
      <c r="I158" s="10"/>
      <c r="J158" s="10"/>
      <c r="K158" s="10"/>
      <c r="L158" s="10"/>
      <c r="M158" s="10"/>
      <c r="N158" s="10"/>
      <c r="O158" s="10"/>
      <c r="P158" s="10"/>
      <c r="Q158" s="10"/>
      <c r="R158" s="10"/>
      <c r="S158" s="10"/>
      <c r="T158" s="10"/>
      <c r="U158" s="10"/>
      <c r="V158" s="10"/>
    </row>
    <row r="159" spans="1:22" ht="13.5" x14ac:dyDescent="0.35">
      <c r="A159" s="10"/>
      <c r="B159" s="13"/>
      <c r="C159" s="13"/>
      <c r="D159" s="10"/>
      <c r="E159" s="10"/>
      <c r="F159" s="10"/>
      <c r="G159" s="10"/>
      <c r="H159" s="10"/>
      <c r="I159" s="10"/>
      <c r="J159" s="10"/>
      <c r="K159" s="10"/>
      <c r="L159" s="10"/>
      <c r="M159" s="10"/>
      <c r="N159" s="10"/>
      <c r="O159" s="10"/>
      <c r="P159" s="10"/>
      <c r="Q159" s="10"/>
      <c r="R159" s="10"/>
      <c r="S159" s="10"/>
      <c r="T159" s="10"/>
      <c r="U159" s="10"/>
      <c r="V159" s="10"/>
    </row>
    <row r="160" spans="1:22" ht="13.5" x14ac:dyDescent="0.35">
      <c r="A160" s="10"/>
      <c r="B160" s="13"/>
      <c r="C160" s="13"/>
      <c r="D160" s="10"/>
      <c r="E160" s="10"/>
      <c r="F160" s="10"/>
      <c r="G160" s="10"/>
      <c r="H160" s="10"/>
      <c r="I160" s="10"/>
      <c r="J160" s="10"/>
      <c r="K160" s="10"/>
      <c r="L160" s="10"/>
      <c r="M160" s="10"/>
      <c r="N160" s="10"/>
      <c r="O160" s="10"/>
      <c r="P160" s="10"/>
      <c r="Q160" s="10"/>
      <c r="R160" s="10"/>
      <c r="S160" s="10"/>
      <c r="T160" s="10"/>
      <c r="U160" s="10"/>
      <c r="V160" s="10"/>
    </row>
    <row r="161" spans="1:22" ht="13.5" x14ac:dyDescent="0.35">
      <c r="A161" s="10"/>
      <c r="B161" s="13"/>
      <c r="C161" s="13"/>
      <c r="D161" s="10"/>
      <c r="E161" s="10"/>
      <c r="F161" s="10"/>
      <c r="G161" s="10"/>
      <c r="H161" s="10"/>
      <c r="I161" s="10"/>
      <c r="J161" s="10"/>
      <c r="K161" s="10"/>
      <c r="L161" s="10"/>
      <c r="M161" s="10"/>
      <c r="N161" s="10"/>
      <c r="O161" s="10"/>
      <c r="P161" s="10"/>
      <c r="Q161" s="10"/>
      <c r="R161" s="10"/>
      <c r="S161" s="10"/>
      <c r="T161" s="10"/>
      <c r="U161" s="10"/>
      <c r="V161" s="10"/>
    </row>
    <row r="162" spans="1:22" ht="13.5" x14ac:dyDescent="0.35">
      <c r="A162" s="10"/>
      <c r="B162" s="13"/>
      <c r="C162" s="13"/>
      <c r="D162" s="10"/>
      <c r="E162" s="10"/>
      <c r="F162" s="10"/>
      <c r="G162" s="10"/>
      <c r="H162" s="10"/>
      <c r="I162" s="10"/>
      <c r="J162" s="10"/>
      <c r="K162" s="10"/>
      <c r="L162" s="10"/>
      <c r="M162" s="10"/>
      <c r="N162" s="10"/>
      <c r="O162" s="10"/>
      <c r="P162" s="10"/>
      <c r="Q162" s="10"/>
      <c r="R162" s="10"/>
      <c r="S162" s="10"/>
      <c r="T162" s="10"/>
      <c r="U162" s="10"/>
      <c r="V162" s="10"/>
    </row>
    <row r="163" spans="1:22" ht="13.5" x14ac:dyDescent="0.35">
      <c r="A163" s="10"/>
      <c r="B163" s="13"/>
      <c r="C163" s="13"/>
      <c r="D163" s="10"/>
      <c r="E163" s="10"/>
      <c r="F163" s="10"/>
      <c r="G163" s="10"/>
      <c r="H163" s="10"/>
      <c r="I163" s="10"/>
      <c r="J163" s="10"/>
      <c r="K163" s="10"/>
      <c r="L163" s="10"/>
      <c r="M163" s="10"/>
      <c r="N163" s="10"/>
      <c r="O163" s="10"/>
      <c r="P163" s="10"/>
      <c r="Q163" s="10"/>
      <c r="R163" s="10"/>
      <c r="S163" s="10"/>
      <c r="T163" s="10"/>
      <c r="U163" s="10"/>
      <c r="V163" s="10"/>
    </row>
    <row r="164" spans="1:22" ht="13.5" x14ac:dyDescent="0.35">
      <c r="A164" s="10"/>
      <c r="B164" s="13"/>
      <c r="C164" s="13"/>
      <c r="D164" s="10"/>
      <c r="E164" s="10"/>
      <c r="F164" s="10"/>
      <c r="G164" s="10"/>
      <c r="H164" s="10"/>
      <c r="I164" s="10"/>
      <c r="J164" s="10"/>
      <c r="K164" s="10"/>
      <c r="L164" s="10"/>
      <c r="M164" s="10"/>
      <c r="N164" s="10"/>
      <c r="O164" s="10"/>
      <c r="P164" s="10"/>
      <c r="Q164" s="10"/>
      <c r="R164" s="10"/>
      <c r="S164" s="10"/>
      <c r="T164" s="10"/>
      <c r="U164" s="10"/>
      <c r="V164" s="10"/>
    </row>
    <row r="165" spans="1:22" ht="13.5" x14ac:dyDescent="0.35">
      <c r="A165" s="10"/>
      <c r="B165" s="13"/>
      <c r="C165" s="13"/>
      <c r="D165" s="10"/>
      <c r="E165" s="10"/>
      <c r="F165" s="10"/>
      <c r="G165" s="10"/>
      <c r="H165" s="10"/>
      <c r="I165" s="10"/>
      <c r="J165" s="10"/>
      <c r="K165" s="10"/>
      <c r="L165" s="10"/>
      <c r="M165" s="10"/>
      <c r="N165" s="10"/>
      <c r="O165" s="10"/>
      <c r="P165" s="10"/>
      <c r="Q165" s="10"/>
      <c r="R165" s="10"/>
      <c r="S165" s="10"/>
      <c r="T165" s="10"/>
      <c r="U165" s="10"/>
      <c r="V165" s="10"/>
    </row>
    <row r="166" spans="1:22" ht="13.5" x14ac:dyDescent="0.35">
      <c r="A166" s="10"/>
      <c r="B166" s="13"/>
      <c r="C166" s="13"/>
      <c r="D166" s="10"/>
      <c r="E166" s="10"/>
      <c r="F166" s="10"/>
      <c r="G166" s="10"/>
      <c r="H166" s="10"/>
      <c r="I166" s="10"/>
      <c r="J166" s="10"/>
      <c r="K166" s="10"/>
      <c r="L166" s="10"/>
      <c r="M166" s="10"/>
      <c r="N166" s="10"/>
      <c r="O166" s="10"/>
      <c r="P166" s="10"/>
      <c r="Q166" s="10"/>
      <c r="R166" s="10"/>
      <c r="S166" s="10"/>
      <c r="T166" s="10"/>
      <c r="U166" s="10"/>
      <c r="V166" s="10"/>
    </row>
    <row r="167" spans="1:22" ht="13.5" x14ac:dyDescent="0.35">
      <c r="A167" s="10"/>
      <c r="B167" s="13"/>
      <c r="C167" s="13"/>
      <c r="D167" s="10"/>
      <c r="E167" s="10"/>
      <c r="F167" s="10"/>
      <c r="G167" s="10"/>
      <c r="H167" s="10"/>
      <c r="I167" s="10"/>
      <c r="J167" s="10"/>
      <c r="K167" s="10"/>
      <c r="L167" s="10"/>
      <c r="M167" s="10"/>
      <c r="N167" s="10"/>
      <c r="O167" s="10"/>
      <c r="P167" s="10"/>
      <c r="Q167" s="10"/>
      <c r="R167" s="10"/>
      <c r="S167" s="10"/>
      <c r="T167" s="10"/>
      <c r="U167" s="10"/>
      <c r="V167" s="10"/>
    </row>
    <row r="168" spans="1:22" ht="13.5" x14ac:dyDescent="0.35">
      <c r="A168" s="10"/>
      <c r="B168" s="13"/>
      <c r="C168" s="13"/>
      <c r="D168" s="10"/>
      <c r="E168" s="10"/>
      <c r="F168" s="10"/>
      <c r="G168" s="10"/>
      <c r="H168" s="10"/>
      <c r="I168" s="10"/>
      <c r="J168" s="10"/>
      <c r="K168" s="10"/>
      <c r="L168" s="10"/>
      <c r="M168" s="10"/>
      <c r="N168" s="10"/>
      <c r="O168" s="10"/>
      <c r="P168" s="10"/>
      <c r="Q168" s="10"/>
      <c r="R168" s="10"/>
      <c r="S168" s="10"/>
      <c r="T168" s="10"/>
      <c r="U168" s="10"/>
      <c r="V168" s="10"/>
    </row>
    <row r="169" spans="1:22" ht="13.5" x14ac:dyDescent="0.35">
      <c r="A169" s="10"/>
      <c r="B169" s="13"/>
      <c r="C169" s="13"/>
      <c r="D169" s="10"/>
      <c r="E169" s="10"/>
      <c r="F169" s="10"/>
      <c r="G169" s="10"/>
      <c r="H169" s="10"/>
      <c r="I169" s="10"/>
      <c r="J169" s="10"/>
      <c r="K169" s="10"/>
      <c r="L169" s="10"/>
      <c r="M169" s="10"/>
      <c r="N169" s="10"/>
      <c r="O169" s="10"/>
      <c r="P169" s="10"/>
      <c r="Q169" s="10"/>
      <c r="R169" s="10"/>
      <c r="S169" s="10"/>
      <c r="T169" s="10"/>
      <c r="U169" s="10"/>
      <c r="V169" s="10"/>
    </row>
    <row r="170" spans="1:22" ht="13.5" x14ac:dyDescent="0.35">
      <c r="A170" s="10"/>
      <c r="B170" s="13"/>
      <c r="C170" s="13"/>
      <c r="D170" s="10"/>
      <c r="E170" s="10"/>
      <c r="F170" s="10"/>
      <c r="G170" s="10"/>
      <c r="H170" s="10"/>
      <c r="I170" s="10"/>
      <c r="J170" s="10"/>
      <c r="K170" s="10"/>
      <c r="L170" s="10"/>
      <c r="M170" s="10"/>
      <c r="N170" s="10"/>
      <c r="O170" s="10"/>
      <c r="P170" s="10"/>
      <c r="Q170" s="10"/>
      <c r="R170" s="10"/>
      <c r="S170" s="10"/>
      <c r="T170" s="10"/>
      <c r="U170" s="10"/>
      <c r="V170" s="10"/>
    </row>
    <row r="171" spans="1:22" ht="13.5" x14ac:dyDescent="0.35">
      <c r="A171" s="10"/>
      <c r="B171" s="13"/>
      <c r="C171" s="13"/>
      <c r="D171" s="10"/>
      <c r="E171" s="10"/>
      <c r="F171" s="10"/>
      <c r="G171" s="10"/>
      <c r="H171" s="10"/>
      <c r="I171" s="10"/>
      <c r="J171" s="10"/>
      <c r="K171" s="10"/>
      <c r="L171" s="10"/>
      <c r="M171" s="10"/>
      <c r="N171" s="10"/>
      <c r="O171" s="10"/>
      <c r="P171" s="10"/>
      <c r="Q171" s="10"/>
      <c r="R171" s="10"/>
      <c r="S171" s="10"/>
      <c r="T171" s="10"/>
      <c r="U171" s="10"/>
      <c r="V171" s="10"/>
    </row>
    <row r="172" spans="1:22" ht="13.5" x14ac:dyDescent="0.35">
      <c r="A172" s="10"/>
      <c r="B172" s="13"/>
      <c r="C172" s="13"/>
      <c r="D172" s="10"/>
      <c r="E172" s="10"/>
      <c r="F172" s="10"/>
      <c r="G172" s="10"/>
      <c r="H172" s="10"/>
      <c r="I172" s="10"/>
      <c r="J172" s="10"/>
      <c r="K172" s="10"/>
      <c r="L172" s="10"/>
      <c r="M172" s="10"/>
      <c r="N172" s="10"/>
      <c r="O172" s="10"/>
      <c r="P172" s="10"/>
      <c r="Q172" s="10"/>
      <c r="R172" s="10"/>
      <c r="S172" s="10"/>
      <c r="T172" s="10"/>
      <c r="U172" s="10"/>
      <c r="V172" s="10"/>
    </row>
    <row r="173" spans="1:22" ht="13.5" x14ac:dyDescent="0.35">
      <c r="A173" s="10"/>
      <c r="B173" s="13"/>
      <c r="C173" s="13"/>
      <c r="D173" s="10"/>
      <c r="E173" s="10"/>
      <c r="F173" s="10"/>
      <c r="G173" s="10"/>
      <c r="H173" s="10"/>
      <c r="I173" s="10"/>
      <c r="J173" s="10"/>
      <c r="K173" s="10"/>
      <c r="L173" s="10"/>
      <c r="M173" s="10"/>
      <c r="N173" s="10"/>
      <c r="O173" s="10"/>
      <c r="P173" s="10"/>
      <c r="Q173" s="10"/>
      <c r="R173" s="10"/>
      <c r="S173" s="10"/>
      <c r="T173" s="10"/>
      <c r="U173" s="10"/>
      <c r="V173" s="10"/>
    </row>
    <row r="174" spans="1:22" ht="13.5" x14ac:dyDescent="0.35">
      <c r="A174" s="10"/>
      <c r="B174" s="13"/>
      <c r="C174" s="13"/>
      <c r="D174" s="10"/>
      <c r="E174" s="10"/>
      <c r="F174" s="10"/>
      <c r="G174" s="10"/>
      <c r="H174" s="10"/>
      <c r="I174" s="10"/>
      <c r="J174" s="10"/>
      <c r="K174" s="10"/>
      <c r="L174" s="10"/>
      <c r="M174" s="10"/>
      <c r="N174" s="10"/>
      <c r="O174" s="10"/>
      <c r="P174" s="10"/>
      <c r="Q174" s="10"/>
      <c r="R174" s="10"/>
      <c r="S174" s="10"/>
      <c r="T174" s="10"/>
      <c r="U174" s="10"/>
      <c r="V174" s="10"/>
    </row>
    <row r="175" spans="1:22" ht="13.5" x14ac:dyDescent="0.35">
      <c r="A175" s="10"/>
      <c r="B175" s="13"/>
      <c r="C175" s="13"/>
      <c r="D175" s="10"/>
      <c r="E175" s="10"/>
      <c r="F175" s="10"/>
      <c r="G175" s="10"/>
      <c r="H175" s="10"/>
      <c r="I175" s="10"/>
      <c r="J175" s="10"/>
      <c r="K175" s="10"/>
      <c r="L175" s="10"/>
      <c r="M175" s="10"/>
      <c r="N175" s="10"/>
      <c r="O175" s="10"/>
      <c r="P175" s="10"/>
      <c r="Q175" s="10"/>
      <c r="R175" s="10"/>
      <c r="S175" s="10"/>
      <c r="T175" s="10"/>
      <c r="U175" s="10"/>
      <c r="V175" s="10"/>
    </row>
    <row r="176" spans="1:22" ht="13.5" x14ac:dyDescent="0.35">
      <c r="A176" s="10"/>
      <c r="B176" s="13"/>
      <c r="C176" s="13"/>
      <c r="D176" s="10"/>
      <c r="E176" s="10"/>
      <c r="F176" s="10"/>
      <c r="G176" s="10"/>
      <c r="H176" s="10"/>
      <c r="I176" s="10"/>
      <c r="J176" s="10"/>
      <c r="K176" s="10"/>
      <c r="L176" s="10"/>
      <c r="M176" s="10"/>
      <c r="N176" s="10"/>
      <c r="O176" s="10"/>
      <c r="P176" s="10"/>
      <c r="Q176" s="10"/>
      <c r="R176" s="10"/>
      <c r="S176" s="10"/>
      <c r="T176" s="10"/>
      <c r="U176" s="10"/>
      <c r="V176" s="10"/>
    </row>
    <row r="177" spans="1:22" ht="13.5" x14ac:dyDescent="0.35">
      <c r="A177" s="10"/>
      <c r="B177" s="13"/>
      <c r="C177" s="13"/>
      <c r="D177" s="10"/>
      <c r="E177" s="10"/>
      <c r="F177" s="10"/>
      <c r="G177" s="10"/>
      <c r="H177" s="10"/>
      <c r="I177" s="10"/>
      <c r="J177" s="10"/>
      <c r="K177" s="10"/>
      <c r="L177" s="10"/>
      <c r="M177" s="10"/>
      <c r="N177" s="10"/>
      <c r="O177" s="10"/>
      <c r="P177" s="10"/>
      <c r="Q177" s="10"/>
      <c r="R177" s="10"/>
      <c r="S177" s="10"/>
      <c r="T177" s="10"/>
      <c r="U177" s="10"/>
      <c r="V177" s="10"/>
    </row>
    <row r="178" spans="1:22" ht="13.5" x14ac:dyDescent="0.35">
      <c r="A178" s="10"/>
      <c r="B178" s="13"/>
      <c r="C178" s="13"/>
      <c r="D178" s="10"/>
      <c r="E178" s="10"/>
      <c r="F178" s="10"/>
      <c r="G178" s="10"/>
      <c r="H178" s="10"/>
      <c r="I178" s="10"/>
      <c r="J178" s="10"/>
      <c r="K178" s="10"/>
      <c r="L178" s="10"/>
      <c r="M178" s="10"/>
      <c r="N178" s="10"/>
      <c r="O178" s="10"/>
      <c r="P178" s="10"/>
      <c r="Q178" s="10"/>
      <c r="R178" s="10"/>
      <c r="S178" s="10"/>
      <c r="T178" s="10"/>
      <c r="U178" s="10"/>
      <c r="V178" s="10"/>
    </row>
    <row r="179" spans="1:22" ht="13.5" x14ac:dyDescent="0.35">
      <c r="A179" s="10"/>
      <c r="B179" s="13"/>
      <c r="C179" s="13"/>
      <c r="D179" s="10"/>
      <c r="E179" s="10"/>
      <c r="F179" s="10"/>
      <c r="G179" s="10"/>
      <c r="H179" s="10"/>
      <c r="I179" s="10"/>
      <c r="J179" s="10"/>
      <c r="K179" s="10"/>
      <c r="L179" s="10"/>
      <c r="M179" s="10"/>
      <c r="N179" s="10"/>
      <c r="O179" s="10"/>
      <c r="P179" s="10"/>
      <c r="Q179" s="10"/>
      <c r="R179" s="10"/>
      <c r="S179" s="10"/>
      <c r="T179" s="10"/>
      <c r="U179" s="10"/>
      <c r="V179" s="10"/>
    </row>
    <row r="180" spans="1:22" ht="13.5" x14ac:dyDescent="0.35">
      <c r="A180" s="10"/>
      <c r="B180" s="13"/>
      <c r="C180" s="13"/>
      <c r="D180" s="10"/>
      <c r="E180" s="10"/>
      <c r="F180" s="10"/>
      <c r="G180" s="10"/>
      <c r="H180" s="10"/>
      <c r="I180" s="10"/>
      <c r="J180" s="10"/>
      <c r="K180" s="10"/>
      <c r="L180" s="10"/>
      <c r="M180" s="10"/>
      <c r="N180" s="10"/>
      <c r="O180" s="10"/>
      <c r="P180" s="10"/>
      <c r="Q180" s="10"/>
      <c r="R180" s="10"/>
      <c r="S180" s="10"/>
      <c r="T180" s="10"/>
      <c r="U180" s="10"/>
      <c r="V180" s="10"/>
    </row>
    <row r="181" spans="1:22" ht="13.5" x14ac:dyDescent="0.35">
      <c r="A181" s="10"/>
      <c r="B181" s="13"/>
      <c r="C181" s="13"/>
      <c r="D181" s="10"/>
      <c r="E181" s="10"/>
      <c r="F181" s="10"/>
      <c r="G181" s="10"/>
      <c r="H181" s="10"/>
      <c r="I181" s="10"/>
      <c r="J181" s="10"/>
      <c r="K181" s="10"/>
      <c r="L181" s="10"/>
      <c r="M181" s="10"/>
      <c r="N181" s="10"/>
      <c r="O181" s="10"/>
      <c r="P181" s="10"/>
      <c r="Q181" s="10"/>
      <c r="R181" s="10"/>
      <c r="S181" s="10"/>
      <c r="T181" s="10"/>
      <c r="U181" s="10"/>
      <c r="V181" s="10"/>
    </row>
    <row r="182" spans="1:22" ht="13.5" x14ac:dyDescent="0.35">
      <c r="A182" s="10"/>
      <c r="B182" s="13"/>
      <c r="C182" s="13"/>
      <c r="D182" s="10"/>
      <c r="E182" s="10"/>
      <c r="F182" s="10"/>
      <c r="G182" s="10"/>
      <c r="H182" s="10"/>
      <c r="I182" s="10"/>
      <c r="J182" s="10"/>
      <c r="K182" s="10"/>
      <c r="L182" s="10"/>
      <c r="M182" s="10"/>
      <c r="N182" s="10"/>
      <c r="O182" s="10"/>
      <c r="P182" s="10"/>
      <c r="Q182" s="10"/>
      <c r="R182" s="10"/>
      <c r="S182" s="10"/>
      <c r="T182" s="10"/>
      <c r="U182" s="10"/>
      <c r="V182" s="10"/>
    </row>
    <row r="183" spans="1:22" ht="13.5" x14ac:dyDescent="0.35">
      <c r="A183" s="10"/>
      <c r="B183" s="13"/>
      <c r="C183" s="13"/>
      <c r="D183" s="10"/>
      <c r="E183" s="10"/>
      <c r="F183" s="10"/>
      <c r="G183" s="10"/>
      <c r="H183" s="10"/>
      <c r="I183" s="10"/>
      <c r="J183" s="10"/>
      <c r="K183" s="10"/>
      <c r="L183" s="10"/>
      <c r="M183" s="10"/>
      <c r="N183" s="10"/>
      <c r="O183" s="10"/>
      <c r="P183" s="10"/>
      <c r="Q183" s="10"/>
      <c r="R183" s="10"/>
      <c r="S183" s="10"/>
      <c r="T183" s="10"/>
      <c r="U183" s="10"/>
      <c r="V183" s="10"/>
    </row>
    <row r="184" spans="1:22" ht="13.5" x14ac:dyDescent="0.35">
      <c r="A184" s="10"/>
      <c r="B184" s="13"/>
      <c r="C184" s="13"/>
      <c r="D184" s="10"/>
      <c r="E184" s="10"/>
      <c r="F184" s="10"/>
      <c r="G184" s="10"/>
      <c r="H184" s="10"/>
      <c r="I184" s="10"/>
      <c r="J184" s="10"/>
      <c r="K184" s="10"/>
      <c r="L184" s="10"/>
      <c r="M184" s="10"/>
      <c r="N184" s="10"/>
      <c r="O184" s="10"/>
      <c r="P184" s="10"/>
      <c r="Q184" s="10"/>
      <c r="R184" s="10"/>
      <c r="S184" s="10"/>
      <c r="T184" s="10"/>
      <c r="U184" s="10"/>
      <c r="V184" s="10"/>
    </row>
    <row r="185" spans="1:22" ht="13.5" x14ac:dyDescent="0.35">
      <c r="A185" s="10"/>
      <c r="B185" s="13"/>
      <c r="C185" s="13"/>
      <c r="D185" s="10"/>
      <c r="E185" s="10"/>
      <c r="F185" s="10"/>
      <c r="G185" s="10"/>
      <c r="H185" s="10"/>
      <c r="I185" s="10"/>
      <c r="J185" s="10"/>
      <c r="K185" s="10"/>
      <c r="L185" s="10"/>
      <c r="M185" s="10"/>
      <c r="N185" s="10"/>
      <c r="O185" s="10"/>
      <c r="P185" s="10"/>
      <c r="Q185" s="10"/>
      <c r="R185" s="10"/>
      <c r="S185" s="10"/>
      <c r="T185" s="10"/>
      <c r="U185" s="10"/>
      <c r="V185" s="10"/>
    </row>
    <row r="186" spans="1:22" ht="13.5" x14ac:dyDescent="0.35">
      <c r="A186" s="10"/>
      <c r="B186" s="13"/>
      <c r="C186" s="13"/>
      <c r="D186" s="10"/>
      <c r="E186" s="10"/>
      <c r="F186" s="10"/>
      <c r="G186" s="10"/>
      <c r="H186" s="10"/>
      <c r="I186" s="10"/>
      <c r="J186" s="10"/>
      <c r="K186" s="10"/>
      <c r="L186" s="10"/>
      <c r="M186" s="10"/>
      <c r="N186" s="10"/>
      <c r="O186" s="10"/>
      <c r="P186" s="10"/>
      <c r="Q186" s="10"/>
      <c r="R186" s="10"/>
      <c r="S186" s="10"/>
      <c r="T186" s="10"/>
      <c r="U186" s="10"/>
      <c r="V186" s="10"/>
    </row>
    <row r="187" spans="1:22" ht="13.5" x14ac:dyDescent="0.35">
      <c r="A187" s="10"/>
      <c r="B187" s="13"/>
      <c r="C187" s="13"/>
      <c r="D187" s="10"/>
      <c r="E187" s="10"/>
      <c r="F187" s="10"/>
      <c r="G187" s="10"/>
      <c r="H187" s="10"/>
      <c r="I187" s="10"/>
      <c r="J187" s="10"/>
      <c r="K187" s="10"/>
      <c r="L187" s="10"/>
      <c r="M187" s="10"/>
      <c r="N187" s="10"/>
      <c r="O187" s="10"/>
      <c r="P187" s="10"/>
      <c r="Q187" s="10"/>
      <c r="R187" s="10"/>
      <c r="S187" s="10"/>
      <c r="T187" s="10"/>
      <c r="U187" s="10"/>
      <c r="V187" s="10"/>
    </row>
    <row r="188" spans="1:22" ht="13.5" x14ac:dyDescent="0.35">
      <c r="A188" s="10"/>
      <c r="B188" s="13"/>
      <c r="C188" s="13"/>
      <c r="D188" s="10"/>
      <c r="E188" s="10"/>
      <c r="F188" s="10"/>
      <c r="G188" s="10"/>
      <c r="H188" s="10"/>
      <c r="I188" s="10"/>
      <c r="J188" s="10"/>
      <c r="K188" s="10"/>
      <c r="L188" s="10"/>
      <c r="M188" s="10"/>
      <c r="N188" s="10"/>
      <c r="O188" s="10"/>
      <c r="P188" s="10"/>
      <c r="Q188" s="10"/>
      <c r="R188" s="10"/>
      <c r="S188" s="10"/>
      <c r="T188" s="10"/>
      <c r="U188" s="10"/>
      <c r="V188" s="10"/>
    </row>
    <row r="189" spans="1:22" ht="13.5" x14ac:dyDescent="0.35">
      <c r="A189" s="10"/>
      <c r="B189" s="13"/>
      <c r="C189" s="13"/>
      <c r="D189" s="10"/>
      <c r="E189" s="10"/>
      <c r="F189" s="10"/>
      <c r="G189" s="10"/>
      <c r="H189" s="10"/>
      <c r="I189" s="10"/>
      <c r="J189" s="10"/>
      <c r="K189" s="10"/>
      <c r="L189" s="10"/>
      <c r="M189" s="10"/>
      <c r="N189" s="10"/>
      <c r="O189" s="10"/>
      <c r="P189" s="10"/>
      <c r="Q189" s="10"/>
      <c r="R189" s="10"/>
      <c r="S189" s="10"/>
      <c r="T189" s="10"/>
      <c r="U189" s="10"/>
      <c r="V189" s="10"/>
    </row>
    <row r="190" spans="1:22" ht="13.5" x14ac:dyDescent="0.35">
      <c r="A190" s="10"/>
      <c r="B190" s="13"/>
      <c r="C190" s="13"/>
      <c r="D190" s="10"/>
      <c r="E190" s="10"/>
      <c r="F190" s="10"/>
      <c r="G190" s="10"/>
      <c r="H190" s="10"/>
      <c r="I190" s="10"/>
      <c r="J190" s="10"/>
      <c r="K190" s="10"/>
      <c r="L190" s="10"/>
      <c r="M190" s="10"/>
      <c r="N190" s="10"/>
      <c r="O190" s="10"/>
      <c r="P190" s="10"/>
      <c r="Q190" s="10"/>
      <c r="R190" s="10"/>
      <c r="S190" s="10"/>
      <c r="T190" s="10"/>
      <c r="U190" s="10"/>
      <c r="V190" s="10"/>
    </row>
    <row r="191" spans="1:22" ht="13.5" x14ac:dyDescent="0.35">
      <c r="A191" s="10"/>
      <c r="B191" s="13"/>
      <c r="C191" s="13"/>
      <c r="D191" s="10"/>
      <c r="E191" s="10"/>
      <c r="F191" s="10"/>
      <c r="G191" s="10"/>
      <c r="H191" s="10"/>
      <c r="I191" s="10"/>
      <c r="J191" s="10"/>
      <c r="K191" s="10"/>
      <c r="L191" s="10"/>
      <c r="M191" s="10"/>
      <c r="N191" s="10"/>
      <c r="O191" s="10"/>
      <c r="P191" s="10"/>
      <c r="Q191" s="10"/>
      <c r="R191" s="10"/>
      <c r="S191" s="10"/>
      <c r="T191" s="10"/>
      <c r="U191" s="10"/>
      <c r="V191" s="10"/>
    </row>
    <row r="192" spans="1:22" ht="13.5" x14ac:dyDescent="0.35">
      <c r="A192" s="10"/>
      <c r="B192" s="13"/>
      <c r="C192" s="13"/>
      <c r="D192" s="10"/>
      <c r="E192" s="10"/>
      <c r="F192" s="10"/>
      <c r="G192" s="10"/>
      <c r="H192" s="10"/>
      <c r="I192" s="10"/>
      <c r="J192" s="10"/>
      <c r="K192" s="10"/>
      <c r="L192" s="10"/>
      <c r="M192" s="10"/>
      <c r="N192" s="10"/>
      <c r="O192" s="10"/>
      <c r="P192" s="10"/>
      <c r="Q192" s="10"/>
      <c r="R192" s="10"/>
      <c r="S192" s="10"/>
      <c r="T192" s="10"/>
      <c r="U192" s="10"/>
      <c r="V192" s="10"/>
    </row>
    <row r="193" spans="1:22" ht="13.5" x14ac:dyDescent="0.35">
      <c r="A193" s="10"/>
      <c r="B193" s="13"/>
      <c r="C193" s="13"/>
      <c r="D193" s="10"/>
      <c r="E193" s="10"/>
      <c r="F193" s="10"/>
      <c r="G193" s="10"/>
      <c r="H193" s="10"/>
      <c r="I193" s="10"/>
      <c r="J193" s="10"/>
      <c r="K193" s="10"/>
      <c r="L193" s="10"/>
      <c r="M193" s="10"/>
      <c r="N193" s="10"/>
      <c r="O193" s="10"/>
      <c r="P193" s="10"/>
      <c r="Q193" s="10"/>
      <c r="R193" s="10"/>
      <c r="S193" s="10"/>
      <c r="T193" s="10"/>
      <c r="U193" s="10"/>
      <c r="V193" s="10"/>
    </row>
    <row r="194" spans="1:22" ht="13.5" x14ac:dyDescent="0.35">
      <c r="A194" s="10"/>
      <c r="B194" s="13"/>
      <c r="C194" s="13"/>
      <c r="D194" s="10"/>
      <c r="E194" s="10"/>
      <c r="F194" s="10"/>
      <c r="G194" s="10"/>
      <c r="H194" s="10"/>
      <c r="I194" s="10"/>
      <c r="J194" s="10"/>
      <c r="K194" s="10"/>
      <c r="L194" s="10"/>
      <c r="M194" s="10"/>
      <c r="N194" s="10"/>
      <c r="O194" s="10"/>
      <c r="P194" s="10"/>
      <c r="Q194" s="10"/>
      <c r="R194" s="10"/>
      <c r="S194" s="10"/>
      <c r="T194" s="10"/>
      <c r="U194" s="10"/>
      <c r="V194" s="10"/>
    </row>
    <row r="195" spans="1:22" ht="13.5" x14ac:dyDescent="0.35">
      <c r="A195" s="10"/>
      <c r="B195" s="13"/>
      <c r="C195" s="13"/>
      <c r="D195" s="10"/>
      <c r="E195" s="10"/>
      <c r="F195" s="10"/>
      <c r="G195" s="10"/>
      <c r="H195" s="10"/>
      <c r="I195" s="10"/>
      <c r="J195" s="10"/>
      <c r="K195" s="10"/>
      <c r="L195" s="10"/>
      <c r="M195" s="10"/>
      <c r="N195" s="10"/>
      <c r="O195" s="10"/>
      <c r="P195" s="10"/>
      <c r="Q195" s="10"/>
      <c r="R195" s="10"/>
      <c r="S195" s="10"/>
      <c r="T195" s="10"/>
      <c r="U195" s="10"/>
      <c r="V195" s="10"/>
    </row>
    <row r="196" spans="1:22" ht="13.5" x14ac:dyDescent="0.35">
      <c r="A196" s="10"/>
      <c r="B196" s="13"/>
      <c r="C196" s="13"/>
      <c r="D196" s="10"/>
      <c r="E196" s="10"/>
      <c r="F196" s="10"/>
      <c r="G196" s="10"/>
      <c r="H196" s="10"/>
      <c r="I196" s="10"/>
      <c r="J196" s="10"/>
      <c r="K196" s="10"/>
      <c r="L196" s="10"/>
      <c r="M196" s="10"/>
      <c r="N196" s="10"/>
      <c r="O196" s="10"/>
      <c r="P196" s="10"/>
      <c r="Q196" s="10"/>
      <c r="R196" s="10"/>
      <c r="S196" s="10"/>
      <c r="T196" s="10"/>
      <c r="U196" s="10"/>
      <c r="V196" s="10"/>
    </row>
    <row r="197" spans="1:22" ht="13.5" x14ac:dyDescent="0.35">
      <c r="A197" s="10"/>
      <c r="B197" s="13"/>
      <c r="C197" s="13"/>
      <c r="D197" s="10"/>
      <c r="E197" s="10"/>
      <c r="F197" s="10"/>
      <c r="G197" s="10"/>
      <c r="H197" s="10"/>
      <c r="I197" s="10"/>
      <c r="J197" s="10"/>
      <c r="K197" s="10"/>
      <c r="L197" s="10"/>
      <c r="M197" s="10"/>
      <c r="N197" s="10"/>
      <c r="O197" s="10"/>
      <c r="P197" s="10"/>
      <c r="Q197" s="10"/>
      <c r="R197" s="10"/>
      <c r="S197" s="10"/>
      <c r="T197" s="10"/>
      <c r="U197" s="10"/>
      <c r="V197" s="10"/>
    </row>
    <row r="198" spans="1:22" ht="13.5" x14ac:dyDescent="0.35">
      <c r="A198" s="10"/>
      <c r="B198" s="13"/>
      <c r="C198" s="13"/>
      <c r="D198" s="10"/>
      <c r="E198" s="10"/>
      <c r="F198" s="10"/>
      <c r="G198" s="10"/>
      <c r="H198" s="10"/>
      <c r="I198" s="10"/>
      <c r="J198" s="10"/>
      <c r="K198" s="10"/>
      <c r="L198" s="10"/>
      <c r="M198" s="10"/>
      <c r="N198" s="10"/>
      <c r="O198" s="10"/>
      <c r="P198" s="10"/>
      <c r="Q198" s="10"/>
      <c r="R198" s="10"/>
      <c r="S198" s="10"/>
      <c r="T198" s="10"/>
      <c r="U198" s="10"/>
      <c r="V198" s="10"/>
    </row>
    <row r="199" spans="1:22" ht="13.5" x14ac:dyDescent="0.35">
      <c r="A199" s="10"/>
      <c r="B199" s="13"/>
      <c r="C199" s="13"/>
      <c r="D199" s="10"/>
      <c r="E199" s="10"/>
      <c r="F199" s="10"/>
      <c r="G199" s="10"/>
      <c r="H199" s="10"/>
      <c r="I199" s="10"/>
      <c r="J199" s="10"/>
      <c r="K199" s="10"/>
      <c r="L199" s="10"/>
      <c r="M199" s="10"/>
      <c r="N199" s="10"/>
      <c r="O199" s="10"/>
      <c r="P199" s="10"/>
      <c r="Q199" s="10"/>
      <c r="R199" s="10"/>
      <c r="S199" s="10"/>
      <c r="T199" s="10"/>
      <c r="U199" s="10"/>
      <c r="V199" s="10"/>
    </row>
    <row r="200" spans="1:22" ht="13.5" x14ac:dyDescent="0.35">
      <c r="A200" s="10"/>
      <c r="B200" s="13"/>
      <c r="C200" s="13"/>
      <c r="D200" s="10"/>
      <c r="E200" s="10"/>
      <c r="F200" s="10"/>
      <c r="G200" s="10"/>
      <c r="H200" s="10"/>
      <c r="I200" s="10"/>
      <c r="J200" s="10"/>
      <c r="K200" s="10"/>
      <c r="L200" s="10"/>
      <c r="M200" s="10"/>
      <c r="N200" s="10"/>
      <c r="O200" s="10"/>
      <c r="P200" s="10"/>
      <c r="Q200" s="10"/>
      <c r="R200" s="10"/>
      <c r="S200" s="10"/>
      <c r="T200" s="10"/>
      <c r="U200" s="10"/>
      <c r="V200" s="10"/>
    </row>
    <row r="201" spans="1:22" ht="13.5" x14ac:dyDescent="0.35">
      <c r="A201" s="10"/>
      <c r="B201" s="13"/>
      <c r="C201" s="13"/>
      <c r="D201" s="10"/>
      <c r="E201" s="10"/>
      <c r="F201" s="10"/>
      <c r="G201" s="10"/>
      <c r="H201" s="10"/>
      <c r="I201" s="10"/>
      <c r="J201" s="10"/>
      <c r="K201" s="10"/>
      <c r="L201" s="10"/>
      <c r="M201" s="10"/>
      <c r="N201" s="10"/>
      <c r="O201" s="10"/>
      <c r="P201" s="10"/>
      <c r="Q201" s="10"/>
      <c r="R201" s="10"/>
      <c r="S201" s="10"/>
      <c r="T201" s="10"/>
      <c r="U201" s="10"/>
      <c r="V201" s="10"/>
    </row>
    <row r="202" spans="1:22" ht="13.5" x14ac:dyDescent="0.35">
      <c r="A202" s="10"/>
      <c r="B202" s="13"/>
      <c r="C202" s="13"/>
      <c r="D202" s="10"/>
      <c r="E202" s="10"/>
      <c r="F202" s="10"/>
      <c r="G202" s="10"/>
      <c r="H202" s="10"/>
      <c r="I202" s="10"/>
      <c r="J202" s="10"/>
      <c r="K202" s="10"/>
      <c r="L202" s="10"/>
      <c r="M202" s="10"/>
      <c r="N202" s="10"/>
      <c r="O202" s="10"/>
      <c r="P202" s="10"/>
      <c r="Q202" s="10"/>
      <c r="R202" s="10"/>
      <c r="S202" s="10"/>
      <c r="T202" s="10"/>
      <c r="U202" s="10"/>
      <c r="V202" s="10"/>
    </row>
    <row r="203" spans="1:22" ht="13.5" x14ac:dyDescent="0.35">
      <c r="A203" s="10"/>
      <c r="B203" s="13"/>
      <c r="C203" s="13"/>
      <c r="D203" s="10"/>
      <c r="E203" s="10"/>
      <c r="F203" s="10"/>
      <c r="G203" s="10"/>
      <c r="H203" s="10"/>
      <c r="I203" s="10"/>
      <c r="J203" s="10"/>
      <c r="K203" s="10"/>
      <c r="L203" s="10"/>
      <c r="M203" s="10"/>
      <c r="N203" s="10"/>
      <c r="O203" s="10"/>
      <c r="P203" s="10"/>
      <c r="Q203" s="10"/>
      <c r="R203" s="10"/>
      <c r="S203" s="10"/>
      <c r="T203" s="10"/>
      <c r="U203" s="10"/>
      <c r="V203" s="10"/>
    </row>
  </sheetData>
  <mergeCells count="9">
    <mergeCell ref="C12:E12"/>
    <mergeCell ref="C13:E13"/>
    <mergeCell ref="C9:F9"/>
    <mergeCell ref="C10:F10"/>
    <mergeCell ref="C4:F4"/>
    <mergeCell ref="C5:F5"/>
    <mergeCell ref="C6:F6"/>
    <mergeCell ref="C7:F7"/>
    <mergeCell ref="C8:F8"/>
  </mergeCells>
  <phoneticPr fontId="16" type="noConversion"/>
  <pageMargins left="0.7" right="0.7" top="0.75" bottom="0.75" header="0.3" footer="0.3"/>
  <pageSetup orientation="portrait" horizontalDpi="0" verticalDpi="0" r:id="rId1"/>
  <extLst>
    <ext xmlns:x14="http://schemas.microsoft.com/office/spreadsheetml/2009/9/main" uri="{78C0D931-6437-407d-A8EE-F0AAD7539E65}">
      <x14:conditionalFormattings>
        <x14:conditionalFormatting xmlns:xm="http://schemas.microsoft.com/office/excel/2006/main">
          <x14:cfRule type="expression" priority="1" id="{291D0F7D-DF05-4914-B599-DC9725929E0B}">
            <xm:f>'START HERE'!$A$99="manual"</xm:f>
            <x14:dxf>
              <fill>
                <patternFill>
                  <bgColor theme="1"/>
                </patternFill>
              </fill>
            </x14:dxf>
          </x14:cfRule>
          <xm:sqref>A10:XFD10</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C58DF773-6CA0-4E99-9998-84D1D4951596}">
          <x14:formula1>
            <xm:f>'Host Configurations'!$A$15:$A$18</xm:f>
          </x14:formula1>
          <xm:sqref>B8</xm:sqref>
        </x14:dataValidation>
        <x14:dataValidation type="list" allowBlank="1" showInputMessage="1" xr:uid="{BEA7C972-5441-498C-A1AD-E53E219CBFBA}">
          <x14:formula1>
            <xm:f>Sheet3!$F$11:$F$29</xm:f>
          </x14:formula1>
          <xm:sqref>B12:B13</xm:sqref>
        </x14:dataValidation>
        <x14:dataValidation type="list" allowBlank="1" showInputMessage="1" showErrorMessage="1" xr:uid="{17740EFD-93FC-40D5-9FAC-239F332F75A7}">
          <x14:formula1>
            <xm:f>Sheet3!$X$2:$X$8</xm:f>
          </x14:formula1>
          <xm:sqref>B9</xm:sqref>
        </x14:dataValidation>
        <x14:dataValidation type="list" allowBlank="1" showInputMessage="1" showErrorMessage="1" xr:uid="{7285F9C5-B7B2-40E1-8776-120773EBE5B3}">
          <x14:formula1>
            <xm:f>Sheet3!$F$2:$F$9</xm:f>
          </x14:formula1>
          <xm:sqref>B6</xm:sqref>
        </x14:dataValidation>
        <x14:dataValidation type="list" allowBlank="1" showInputMessage="1" showErrorMessage="1" xr:uid="{9A762173-F1B5-440F-8B4A-3219516F28A8}">
          <x14:formula1>
            <xm:f>Sheet3!$W$2:$W$3</xm:f>
          </x14:formula1>
          <xm:sqref>B10</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5">
    <tabColor rgb="FFC00000"/>
  </sheetPr>
  <dimension ref="A2:C10"/>
  <sheetViews>
    <sheetView workbookViewId="0">
      <selection activeCell="A4" sqref="A4"/>
    </sheetView>
  </sheetViews>
  <sheetFormatPr defaultRowHeight="12.5" x14ac:dyDescent="0.25"/>
  <cols>
    <col min="1" max="1" width="13.26953125" bestFit="1" customWidth="1"/>
  </cols>
  <sheetData>
    <row r="2" spans="1:3" ht="13.5" x14ac:dyDescent="0.35">
      <c r="A2" s="10">
        <f>'Sizing Input'!C3*(1+'Turn The Knobs'!B7)</f>
        <v>32</v>
      </c>
      <c r="B2" s="24" t="s">
        <v>39</v>
      </c>
    </row>
    <row r="3" spans="1:3" ht="13.5" x14ac:dyDescent="0.35">
      <c r="A3" s="10">
        <v>46</v>
      </c>
      <c r="B3" s="24" t="s">
        <v>40</v>
      </c>
    </row>
    <row r="4" spans="1:3" ht="13.5" x14ac:dyDescent="0.35">
      <c r="A4" s="25">
        <f>(A2*'Sizing Input'!C7)</f>
        <v>127</v>
      </c>
      <c r="B4" s="24" t="s">
        <v>41</v>
      </c>
    </row>
    <row r="5" spans="1:3" ht="13.5" x14ac:dyDescent="0.35">
      <c r="A5" s="10">
        <f>IF('Turn The Knobs'!B12="Current On-Prem Ratio",IF('Sizing Input'!C9&gt;'Sizing Input'!C8,1,(('Sizing Input'!C8/'Sizing Input'!C9))),'Turn The Knobs'!B12)</f>
        <v>4</v>
      </c>
      <c r="B5" s="24" t="s">
        <v>42</v>
      </c>
    </row>
    <row r="6" spans="1:3" ht="13.5" x14ac:dyDescent="0.35">
      <c r="A6" s="58">
        <f>ROUNDUP(IF(A5=1,'Sizing Input'!C8*(1+'Turn The Knobs'!B7),(A4/A5)),0)+A3</f>
        <v>78</v>
      </c>
      <c r="B6" s="24" t="s">
        <v>43</v>
      </c>
    </row>
    <row r="7" spans="1:3" x14ac:dyDescent="0.25">
      <c r="B7" s="26"/>
    </row>
    <row r="9" spans="1:3" ht="14.5" x14ac:dyDescent="0.35">
      <c r="A9" s="68" t="s">
        <v>44</v>
      </c>
      <c r="B9" s="68" t="s">
        <v>45</v>
      </c>
      <c r="C9" s="68" t="s">
        <v>46</v>
      </c>
    </row>
    <row r="10" spans="1:3" ht="14.5" x14ac:dyDescent="0.35">
      <c r="A10" s="68">
        <f>ROUNDUP($A$6/'Host Configurations'!B5,0)</f>
        <v>3</v>
      </c>
      <c r="B10" s="68">
        <f>ROUNDUP($A$6/'Host Configurations'!C5,0)</f>
        <v>2</v>
      </c>
      <c r="C10" s="68">
        <f>ROUNDUP($A$6/'Host Configurations'!D5,0)</f>
        <v>2</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2">
    <tabColor rgb="FFC00000"/>
  </sheetPr>
  <dimension ref="A2:J32"/>
  <sheetViews>
    <sheetView zoomScaleNormal="100" workbookViewId="0">
      <selection activeCell="B28" sqref="B28"/>
    </sheetView>
  </sheetViews>
  <sheetFormatPr defaultRowHeight="12.5" x14ac:dyDescent="0.25"/>
  <cols>
    <col min="1" max="1" width="79.54296875" bestFit="1" customWidth="1"/>
    <col min="2" max="2" width="19.81640625" bestFit="1" customWidth="1"/>
    <col min="3" max="3" width="21.1796875" bestFit="1" customWidth="1"/>
    <col min="4" max="4" width="4" customWidth="1"/>
    <col min="5" max="5" width="19" customWidth="1"/>
    <col min="6" max="6" width="11.7265625" bestFit="1" customWidth="1"/>
    <col min="7" max="7" width="19" customWidth="1"/>
    <col min="8" max="8" width="18.1796875" bestFit="1" customWidth="1"/>
  </cols>
  <sheetData>
    <row r="2" spans="1:10" x14ac:dyDescent="0.25">
      <c r="B2" s="8"/>
    </row>
    <row r="3" spans="1:10" x14ac:dyDescent="0.25">
      <c r="A3" s="54" t="str">
        <f>'Turn The Knobs'!A6</f>
        <v>Dedupe / Compression Factor</v>
      </c>
      <c r="B3" s="55">
        <f>'Turn The Knobs'!B6</f>
        <v>1.3</v>
      </c>
    </row>
    <row r="4" spans="1:10" x14ac:dyDescent="0.25">
      <c r="A4" s="54" t="str">
        <f>'Turn The Knobs'!A7</f>
        <v>Growth % (Overall)</v>
      </c>
      <c r="B4" s="56">
        <f>'Turn The Knobs'!B7</f>
        <v>0</v>
      </c>
    </row>
    <row r="5" spans="1:10" x14ac:dyDescent="0.25">
      <c r="A5" s="54" t="s">
        <v>40</v>
      </c>
      <c r="B5" s="55">
        <v>3.8</v>
      </c>
      <c r="I5">
        <v>1</v>
      </c>
    </row>
    <row r="6" spans="1:10" x14ac:dyDescent="0.25">
      <c r="A6" t="str">
        <f>'Turn The Knobs'!A8</f>
        <v>vSAN Configuration</v>
      </c>
      <c r="B6" s="5" t="str">
        <f>'Turn The Knobs'!B8</f>
        <v>FTT=1, Erasure Coding</v>
      </c>
      <c r="C6">
        <f>IF(B6='Host Configurations'!A15,2,(IF(B6='Host Configurations'!A16,1.33,(IF(B6='Host Configurations'!A17,3,(IF(B6='Host Configurations'!A18,1.5,)))))))</f>
        <v>1.33</v>
      </c>
      <c r="I6">
        <v>0.3</v>
      </c>
    </row>
    <row r="7" spans="1:10" x14ac:dyDescent="0.25">
      <c r="A7" s="1" t="s">
        <v>47</v>
      </c>
      <c r="B7" s="57">
        <f>('Sizing Input'!C20)+(B5)+(('Sizing Input'!C20)*B4)</f>
        <v>21.345988999999999</v>
      </c>
      <c r="I7">
        <f>I5-I6</f>
        <v>0.7</v>
      </c>
      <c r="J7">
        <f>I7*100</f>
        <v>70</v>
      </c>
    </row>
    <row r="8" spans="1:10" x14ac:dyDescent="0.25">
      <c r="A8" s="1" t="s">
        <v>48</v>
      </c>
      <c r="B8" s="57">
        <f>B7*C6</f>
        <v>28.390165370000002</v>
      </c>
      <c r="I8">
        <v>345</v>
      </c>
      <c r="J8">
        <f>I8/J7</f>
        <v>4.9285714285714288</v>
      </c>
    </row>
    <row r="9" spans="1:10" x14ac:dyDescent="0.25">
      <c r="A9" s="1" t="s">
        <v>49</v>
      </c>
      <c r="B9" s="57">
        <f>B8/B3</f>
        <v>21.838588746153846</v>
      </c>
      <c r="J9">
        <f>J8*100</f>
        <v>492.85714285714289</v>
      </c>
    </row>
    <row r="10" spans="1:10" x14ac:dyDescent="0.25">
      <c r="A10" s="1" t="s">
        <v>50</v>
      </c>
      <c r="B10" s="83">
        <f>(B9/((1-'Turn The Knobs'!B5)*100))*100</f>
        <v>29.118118328205128</v>
      </c>
    </row>
    <row r="11" spans="1:10" x14ac:dyDescent="0.25">
      <c r="A11" s="1" t="s">
        <v>51</v>
      </c>
      <c r="B11" s="57">
        <f>IF(B3&lt;&gt;1,(B10+(B9*0.05247)),B10)</f>
        <v>30.26398907971582</v>
      </c>
      <c r="C11">
        <f>B9*0.05247</f>
        <v>1.1458707515106923</v>
      </c>
    </row>
    <row r="12" spans="1:10" x14ac:dyDescent="0.25">
      <c r="A12" s="1" t="s">
        <v>52</v>
      </c>
      <c r="B12" s="57">
        <f>IF(B3&lt;&gt;1,(B11+(B9*0.1585)),(B11+(B9*0.04088)))</f>
        <v>33.725405395981205</v>
      </c>
    </row>
    <row r="13" spans="1:10" x14ac:dyDescent="0.25">
      <c r="A13" s="1" t="s">
        <v>11</v>
      </c>
      <c r="B13" s="57"/>
    </row>
    <row r="15" spans="1:10" x14ac:dyDescent="0.25">
      <c r="E15">
        <v>2</v>
      </c>
      <c r="F15">
        <v>1.33</v>
      </c>
      <c r="G15">
        <v>3</v>
      </c>
      <c r="H15">
        <v>1.5</v>
      </c>
    </row>
    <row r="16" spans="1:10" ht="14.5" x14ac:dyDescent="0.35">
      <c r="E16" s="59" t="s">
        <v>53</v>
      </c>
      <c r="F16" s="59" t="s">
        <v>22</v>
      </c>
      <c r="G16" s="59" t="s">
        <v>54</v>
      </c>
      <c r="H16" s="59" t="s">
        <v>55</v>
      </c>
    </row>
    <row r="17" spans="1:9" x14ac:dyDescent="0.25">
      <c r="A17" s="67" t="s">
        <v>56</v>
      </c>
      <c r="B17" s="45">
        <f>((('Sizing Input'!C20)+(B5)+(('Sizing Input'!C19)*B4))/B3)+B5</f>
        <v>20.219991538461539</v>
      </c>
      <c r="C17" t="s">
        <v>27</v>
      </c>
      <c r="E17" s="38">
        <f>$B$17*E15</f>
        <v>40.439983076923077</v>
      </c>
      <c r="F17" s="38">
        <f>$B$17*F15</f>
        <v>26.892588746153848</v>
      </c>
      <c r="G17" s="38">
        <f>$B$17*G15</f>
        <v>60.659974615384613</v>
      </c>
      <c r="H17" s="38">
        <f>$B$17*H15</f>
        <v>30.329987307692306</v>
      </c>
    </row>
    <row r="18" spans="1:9" x14ac:dyDescent="0.25">
      <c r="A18" s="67" t="s">
        <v>57</v>
      </c>
      <c r="B18" s="45">
        <f>((('Sizing Input'!C19)+(B5)+(('Sizing Input'!C19)*B4))/B3)+B5</f>
        <v>18.355963846153845</v>
      </c>
      <c r="C18" t="s">
        <v>58</v>
      </c>
      <c r="E18" s="38">
        <f>$B$18*E15</f>
        <v>36.71192769230769</v>
      </c>
      <c r="F18" s="38">
        <f>$B$18*F15</f>
        <v>24.413431915384614</v>
      </c>
      <c r="G18" s="38">
        <f>$B$18*G15</f>
        <v>55.067891538461538</v>
      </c>
      <c r="H18" s="38">
        <f>$B$18*H15</f>
        <v>27.533945769230769</v>
      </c>
    </row>
    <row r="19" spans="1:9" x14ac:dyDescent="0.25">
      <c r="A19" s="1"/>
      <c r="B19" s="44"/>
    </row>
    <row r="21" spans="1:9" ht="13" x14ac:dyDescent="0.3">
      <c r="B21" s="89" t="s">
        <v>27</v>
      </c>
      <c r="C21" s="89" t="s">
        <v>59</v>
      </c>
      <c r="D21" s="89"/>
    </row>
    <row r="22" spans="1:9" ht="13" x14ac:dyDescent="0.3">
      <c r="A22" s="54" t="s">
        <v>17</v>
      </c>
      <c r="B22">
        <f>'Turn The Knobs'!B6</f>
        <v>1.3</v>
      </c>
      <c r="C22">
        <f>'Turn The Knobs'!B6</f>
        <v>1.3</v>
      </c>
      <c r="E22" s="106" t="s">
        <v>60</v>
      </c>
      <c r="F22" s="106"/>
      <c r="G22" s="106"/>
      <c r="H22" s="106"/>
    </row>
    <row r="23" spans="1:9" ht="14.5" x14ac:dyDescent="0.35">
      <c r="A23" s="54" t="s">
        <v>19</v>
      </c>
      <c r="B23" s="84">
        <f>'Turn The Knobs'!B7</f>
        <v>0</v>
      </c>
      <c r="C23" s="84">
        <f>'Turn The Knobs'!B7</f>
        <v>0</v>
      </c>
      <c r="D23" s="84"/>
      <c r="E23" s="59" t="s">
        <v>53</v>
      </c>
      <c r="F23" s="59" t="s">
        <v>22</v>
      </c>
      <c r="G23" s="59" t="s">
        <v>54</v>
      </c>
      <c r="H23" s="59" t="s">
        <v>55</v>
      </c>
    </row>
    <row r="24" spans="1:9" x14ac:dyDescent="0.25">
      <c r="A24" s="54" t="s">
        <v>40</v>
      </c>
      <c r="B24" s="88">
        <f>B5</f>
        <v>3.8</v>
      </c>
      <c r="C24" s="88">
        <f>B5</f>
        <v>3.8</v>
      </c>
      <c r="D24" s="88"/>
      <c r="E24">
        <f>ROUNDUP(B26/'Host Configurations'!D15,0)</f>
        <v>2</v>
      </c>
      <c r="F24">
        <f>ROUNDUP($B$26/'Host Configurations'!D16,0)</f>
        <v>1</v>
      </c>
      <c r="G24">
        <f>ROUNDUP($B$26/'Host Configurations'!D17,0)</f>
        <v>3</v>
      </c>
      <c r="H24">
        <f>ROUNDUP($B$26/'Host Configurations'!D18,0)</f>
        <v>2</v>
      </c>
      <c r="I24" t="s">
        <v>46</v>
      </c>
    </row>
    <row r="25" spans="1:9" x14ac:dyDescent="0.25">
      <c r="A25" s="1" t="s">
        <v>47</v>
      </c>
      <c r="B25">
        <f>('Sizing Input'!C20)+(B24)+(('Sizing Input'!C20)*B23)</f>
        <v>21.345988999999999</v>
      </c>
      <c r="C25">
        <f>('Sizing Input'!C19)+(B24)+(('Sizing Input'!C19)*B23)</f>
        <v>18.922753</v>
      </c>
      <c r="E25">
        <f>ROUNDUP(B26/'Host Configurations'!B15,0)</f>
        <v>3</v>
      </c>
      <c r="F25">
        <f>ROUNDUP($B$26/'Host Configurations'!B16,0)</f>
        <v>2</v>
      </c>
      <c r="G25">
        <f>ROUNDUP($B$26/'Host Configurations'!B17,0)</f>
        <v>4</v>
      </c>
      <c r="H25">
        <f>ROUNDUP($B$26/'Host Configurations'!B18,0)</f>
        <v>2</v>
      </c>
      <c r="I25" t="s">
        <v>44</v>
      </c>
    </row>
    <row r="26" spans="1:9" x14ac:dyDescent="0.25">
      <c r="A26" s="1" t="s">
        <v>61</v>
      </c>
      <c r="B26">
        <f>(1-(B22-1))*B25</f>
        <v>14.942192299999999</v>
      </c>
      <c r="C26">
        <f>(1-(C22-1))*C25</f>
        <v>13.245927099999999</v>
      </c>
      <c r="E26">
        <f>ROUNDUP(B26/'Host Configurations'!C15,0)</f>
        <v>2</v>
      </c>
      <c r="F26">
        <f>ROUNDUP($B$26/'Host Configurations'!C16,0)</f>
        <v>1</v>
      </c>
      <c r="G26">
        <f>ROUNDUP($B$26/'Host Configurations'!C17,0)</f>
        <v>2</v>
      </c>
      <c r="H26">
        <f>ROUNDUP($B$26/'Host Configurations'!C18,0)</f>
        <v>1</v>
      </c>
      <c r="I26" s="1" t="s">
        <v>45</v>
      </c>
    </row>
    <row r="27" spans="1:9" ht="13" x14ac:dyDescent="0.3">
      <c r="A27" s="86" t="s">
        <v>62</v>
      </c>
      <c r="B27" s="85">
        <f>IF('Turn The Knobs'!B8='Storage Details'!E29,'Storage Details'!E24,IF('Turn The Knobs'!B8='Storage Details'!F23,'Storage Details'!F24,IF('Turn The Knobs'!B8='Storage Details'!G23,'Storage Details'!G24,IF('Turn The Knobs'!B8='Storage Details'!H23,'Storage Details'!H24))))</f>
        <v>1</v>
      </c>
      <c r="C27">
        <f>IF('Turn The Knobs'!B8='Storage Details'!E29,'Storage Details'!E30,IF('Turn The Knobs'!B8='Storage Details'!F23,'Storage Details'!F30,IF('Turn The Knobs'!B8='Storage Details'!G23,'Storage Details'!G30,IF('Turn The Knobs'!B8='Storage Details'!H23,'Storage Details'!H30))))</f>
        <v>1</v>
      </c>
    </row>
    <row r="28" spans="1:9" ht="13" x14ac:dyDescent="0.3">
      <c r="A28" s="86" t="s">
        <v>63</v>
      </c>
      <c r="B28" s="85">
        <f>IF('Turn The Knobs'!B8='Storage Details'!E23,'Storage Details'!E25,IF('Turn The Knobs'!B8='Storage Details'!F23,'Storage Details'!F25,IF('Turn The Knobs'!B8='Storage Details'!G23,'Storage Details'!G25,IF('Turn The Knobs'!B8='Storage Details'!H23,'Storage Details'!H25))))</f>
        <v>2</v>
      </c>
      <c r="C28">
        <f>IF('Turn The Knobs'!B8='Storage Details'!E29,'Storage Details'!E31,IF('Turn The Knobs'!B8='Storage Details'!F29,'Storage Details'!F31,IF('Turn The Knobs'!B8='Storage Details'!G29,'Storage Details'!G31,IF('Turn The Knobs'!B8='Storage Details'!H29,'Storage Details'!H31))))</f>
        <v>2</v>
      </c>
      <c r="E28" s="106" t="s">
        <v>64</v>
      </c>
      <c r="F28" s="106"/>
      <c r="G28" s="106"/>
      <c r="H28" s="106"/>
    </row>
    <row r="29" spans="1:9" ht="14.5" x14ac:dyDescent="0.35">
      <c r="A29" s="86" t="s">
        <v>65</v>
      </c>
      <c r="B29" s="85">
        <f>IF('Turn The Knobs'!B8='Storage Details'!E23,'Storage Details'!E26,IF('Turn The Knobs'!B8='Storage Details'!F23,'Storage Details'!F26,IF('Turn The Knobs'!B8='Storage Details'!G23,'Storage Details'!G26,IF('Turn The Knobs'!B8='Storage Details'!H23,'Storage Details'!H26))))</f>
        <v>1</v>
      </c>
      <c r="C29">
        <f>IF('Turn The Knobs'!B8='Storage Details'!E29,'Storage Details'!E32,IF('Turn The Knobs'!B8='Storage Details'!F23,'Storage Details'!F32,IF('Turn The Knobs'!B8='Storage Details'!G23,'Storage Details'!G32,IF('Turn The Knobs'!B8='Storage Details'!H23,'Storage Details'!H32))))</f>
        <v>1</v>
      </c>
      <c r="E29" s="59" t="s">
        <v>53</v>
      </c>
      <c r="F29" s="59" t="s">
        <v>22</v>
      </c>
      <c r="G29" s="59" t="s">
        <v>54</v>
      </c>
      <c r="H29" s="59" t="s">
        <v>55</v>
      </c>
    </row>
    <row r="30" spans="1:9" x14ac:dyDescent="0.25">
      <c r="A30" s="1"/>
      <c r="E30" s="1">
        <f>ROUNDUP(C26/'Host Configurations'!D15,0)</f>
        <v>2</v>
      </c>
      <c r="F30" s="1">
        <f>ROUNDUP(C26/'Host Configurations'!D16,0)</f>
        <v>1</v>
      </c>
      <c r="G30" s="1">
        <f>ROUNDUP(C26/'Host Configurations'!D17,0)</f>
        <v>2</v>
      </c>
      <c r="H30" s="1">
        <f>ROUNDUP(C26/'Host Configurations'!D18,0)</f>
        <v>1</v>
      </c>
      <c r="I30" t="s">
        <v>46</v>
      </c>
    </row>
    <row r="31" spans="1:9" x14ac:dyDescent="0.25">
      <c r="A31" s="1"/>
      <c r="E31" s="1">
        <f>ROUNDUP(C26/'Host Configurations'!B15,0)</f>
        <v>2</v>
      </c>
      <c r="F31" s="1">
        <f>ROUNDUP(C26/'Host Configurations'!B16,0)</f>
        <v>2</v>
      </c>
      <c r="G31" s="1">
        <f>ROUNDUP(C26/'Host Configurations'!B17,0)</f>
        <v>3</v>
      </c>
      <c r="H31" s="1">
        <f>ROUNDUP(C26/'Host Configurations'!B18,0)</f>
        <v>2</v>
      </c>
      <c r="I31" t="s">
        <v>44</v>
      </c>
    </row>
    <row r="32" spans="1:9" x14ac:dyDescent="0.25">
      <c r="E32" s="1">
        <f>ROUNDUP(C26/'Host Configurations'!C15,0)</f>
        <v>1</v>
      </c>
      <c r="F32" s="1">
        <f>ROUNDUP(C26/'Host Configurations'!C16,0)</f>
        <v>1</v>
      </c>
      <c r="G32" s="1">
        <f>ROUNDUP(C26/'Host Configurations'!C17,0)</f>
        <v>2</v>
      </c>
      <c r="H32" s="1">
        <f>ROUNDUP(C26/'Host Configurations'!C18,0)</f>
        <v>1</v>
      </c>
      <c r="I32" s="1" t="s">
        <v>45</v>
      </c>
    </row>
  </sheetData>
  <mergeCells count="2">
    <mergeCell ref="E22:H22"/>
    <mergeCell ref="E28:H28"/>
  </mergeCell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4">
    <tabColor rgb="FFC00000"/>
  </sheetPr>
  <dimension ref="A1:H29"/>
  <sheetViews>
    <sheetView workbookViewId="0">
      <selection activeCell="I13" sqref="I13"/>
    </sheetView>
  </sheetViews>
  <sheetFormatPr defaultColWidth="11.453125" defaultRowHeight="12.5" x14ac:dyDescent="0.25"/>
  <cols>
    <col min="1" max="1" width="19.26953125" bestFit="1" customWidth="1"/>
    <col min="4" max="4" width="18.453125" customWidth="1"/>
    <col min="5" max="5" width="22.81640625" customWidth="1"/>
    <col min="7" max="7" width="19.54296875" bestFit="1" customWidth="1"/>
    <col min="8" max="8" width="5.7265625" bestFit="1" customWidth="1"/>
  </cols>
  <sheetData>
    <row r="1" spans="1:8" ht="14.5" x14ac:dyDescent="0.35">
      <c r="A1" s="2" t="s">
        <v>66</v>
      </c>
      <c r="B1" s="2" t="s">
        <v>44</v>
      </c>
      <c r="C1" s="2" t="s">
        <v>45</v>
      </c>
      <c r="D1" s="2" t="s">
        <v>67</v>
      </c>
      <c r="E1" s="2"/>
    </row>
    <row r="2" spans="1:8" ht="14.5" x14ac:dyDescent="0.35">
      <c r="A2" s="2" t="s">
        <v>68</v>
      </c>
      <c r="B2" s="2">
        <v>2.6</v>
      </c>
      <c r="C2" s="2">
        <v>2.7</v>
      </c>
      <c r="D2" s="2">
        <v>2.79</v>
      </c>
      <c r="E2" s="2"/>
    </row>
    <row r="3" spans="1:8" ht="14.5" x14ac:dyDescent="0.35">
      <c r="A3" s="2" t="s">
        <v>69</v>
      </c>
      <c r="B3" s="2">
        <v>2</v>
      </c>
      <c r="C3" s="2">
        <v>2</v>
      </c>
      <c r="D3" s="2"/>
      <c r="E3" s="2"/>
    </row>
    <row r="4" spans="1:8" ht="14.5" x14ac:dyDescent="0.35">
      <c r="A4" s="2" t="s">
        <v>70</v>
      </c>
      <c r="B4" s="2">
        <v>18</v>
      </c>
      <c r="C4" s="2">
        <v>26</v>
      </c>
      <c r="D4" s="2"/>
      <c r="E4" s="2"/>
    </row>
    <row r="5" spans="1:8" ht="14.5" x14ac:dyDescent="0.35">
      <c r="A5" s="2" t="s">
        <v>71</v>
      </c>
      <c r="B5" s="2">
        <f>B3*B4</f>
        <v>36</v>
      </c>
      <c r="C5" s="2">
        <f>C3*C4</f>
        <v>52</v>
      </c>
      <c r="D5" s="2">
        <v>64</v>
      </c>
      <c r="E5" s="2"/>
    </row>
    <row r="6" spans="1:8" ht="14.5" x14ac:dyDescent="0.35">
      <c r="A6" s="2" t="s">
        <v>72</v>
      </c>
      <c r="B6" s="2">
        <v>768</v>
      </c>
      <c r="C6" s="2">
        <v>1500</v>
      </c>
      <c r="D6" s="2">
        <v>1024</v>
      </c>
      <c r="E6" s="2"/>
    </row>
    <row r="7" spans="1:8" ht="14.5" x14ac:dyDescent="0.35">
      <c r="A7" s="2" t="s">
        <v>73</v>
      </c>
      <c r="B7" s="2">
        <v>15400</v>
      </c>
      <c r="C7" s="2">
        <v>38400</v>
      </c>
      <c r="D7" s="2">
        <v>15360</v>
      </c>
      <c r="E7" s="2"/>
      <c r="G7" s="1"/>
    </row>
    <row r="8" spans="1:8" ht="14.5" x14ac:dyDescent="0.35">
      <c r="A8" s="2" t="s">
        <v>74</v>
      </c>
      <c r="B8" s="2">
        <v>1</v>
      </c>
      <c r="C8" s="2">
        <v>1</v>
      </c>
      <c r="D8" s="2">
        <v>1</v>
      </c>
      <c r="E8" s="2"/>
      <c r="G8" s="1"/>
    </row>
    <row r="9" spans="1:8" ht="14.5" x14ac:dyDescent="0.35">
      <c r="A9" s="2" t="s">
        <v>75</v>
      </c>
      <c r="B9" s="2">
        <v>19.2</v>
      </c>
      <c r="C9" s="2">
        <f>(C8*C7)/1000</f>
        <v>38.4</v>
      </c>
      <c r="D9" s="2">
        <v>29</v>
      </c>
      <c r="E9" s="2"/>
      <c r="G9" s="1"/>
      <c r="H9" s="2"/>
    </row>
    <row r="10" spans="1:8" ht="14.5" x14ac:dyDescent="0.35">
      <c r="A10" s="2" t="s">
        <v>76</v>
      </c>
      <c r="B10" s="2">
        <f>($B$9*(1-'Turn The Knobs'!B5))</f>
        <v>14.399999999999999</v>
      </c>
      <c r="C10" s="2">
        <f>($C$9*(1-'Turn The Knobs'!B5))</f>
        <v>28.799999999999997</v>
      </c>
      <c r="D10" s="2">
        <v>21.75</v>
      </c>
      <c r="E10" s="2"/>
      <c r="G10" s="1"/>
      <c r="H10" s="2"/>
    </row>
    <row r="11" spans="1:8" ht="14.5" x14ac:dyDescent="0.35">
      <c r="A11" s="2"/>
      <c r="B11" s="2"/>
      <c r="C11" s="2"/>
      <c r="D11" s="2"/>
      <c r="E11" s="2"/>
      <c r="G11" s="1"/>
      <c r="H11" s="2"/>
    </row>
    <row r="12" spans="1:8" ht="14.5" x14ac:dyDescent="0.35">
      <c r="A12" s="2"/>
      <c r="B12" s="2"/>
      <c r="C12" s="2"/>
      <c r="D12" s="2"/>
      <c r="E12" s="2"/>
      <c r="G12" s="1"/>
      <c r="H12" s="2"/>
    </row>
    <row r="13" spans="1:8" ht="14.5" x14ac:dyDescent="0.35">
      <c r="A13" s="2"/>
      <c r="B13" s="2"/>
      <c r="C13" s="2"/>
      <c r="D13" s="2"/>
      <c r="E13" s="64" t="s">
        <v>77</v>
      </c>
      <c r="G13" s="62"/>
      <c r="H13" s="63"/>
    </row>
    <row r="14" spans="1:8" ht="14.5" x14ac:dyDescent="0.35">
      <c r="A14" s="107" t="s">
        <v>78</v>
      </c>
      <c r="B14" s="107"/>
      <c r="C14" s="107"/>
      <c r="D14" s="107"/>
      <c r="E14" s="65">
        <f>'Turn The Knobs'!B5</f>
        <v>0.25</v>
      </c>
      <c r="G14" s="1"/>
    </row>
    <row r="15" spans="1:8" ht="14.5" x14ac:dyDescent="0.35">
      <c r="A15" s="59" t="s">
        <v>53</v>
      </c>
      <c r="B15" s="60">
        <f>$B$10/E15</f>
        <v>7.1999999999999993</v>
      </c>
      <c r="C15" s="60">
        <f>($C$9*(1-$E$14))/E15</f>
        <v>14.399999999999999</v>
      </c>
      <c r="D15" s="60">
        <f>($D$9*(1-$E$14))/E15</f>
        <v>10.875</v>
      </c>
      <c r="E15" s="23">
        <v>2</v>
      </c>
      <c r="G15" s="1"/>
    </row>
    <row r="16" spans="1:8" ht="14.5" x14ac:dyDescent="0.35">
      <c r="A16" s="59" t="s">
        <v>22</v>
      </c>
      <c r="B16" s="60">
        <f t="shared" ref="B16:B18" si="0">$B$10/E16</f>
        <v>10.82706766917293</v>
      </c>
      <c r="C16" s="60">
        <f t="shared" ref="C16:C18" si="1">($C$9*(1-$E$14))/E16</f>
        <v>21.65413533834586</v>
      </c>
      <c r="D16" s="60">
        <f t="shared" ref="D16:D18" si="2">($D$9*(1-$E$14))/E16</f>
        <v>16.353383458646615</v>
      </c>
      <c r="E16" s="23">
        <v>1.33</v>
      </c>
      <c r="G16" s="1"/>
    </row>
    <row r="17" spans="1:7" ht="14.5" x14ac:dyDescent="0.35">
      <c r="A17" s="59" t="s">
        <v>54</v>
      </c>
      <c r="B17" s="60">
        <f t="shared" si="0"/>
        <v>4.8</v>
      </c>
      <c r="C17" s="60">
        <f t="shared" si="1"/>
        <v>9.6</v>
      </c>
      <c r="D17" s="60">
        <f t="shared" si="2"/>
        <v>7.25</v>
      </c>
      <c r="E17" s="23">
        <v>3</v>
      </c>
      <c r="G17" s="1"/>
    </row>
    <row r="18" spans="1:7" ht="14.5" x14ac:dyDescent="0.35">
      <c r="A18" s="59" t="s">
        <v>55</v>
      </c>
      <c r="B18" s="60">
        <f t="shared" si="0"/>
        <v>9.6</v>
      </c>
      <c r="C18" s="60">
        <f t="shared" si="1"/>
        <v>19.2</v>
      </c>
      <c r="D18" s="60">
        <f t="shared" si="2"/>
        <v>14.5</v>
      </c>
      <c r="E18" s="23">
        <v>1.5</v>
      </c>
      <c r="G18" s="1"/>
    </row>
    <row r="19" spans="1:7" x14ac:dyDescent="0.25">
      <c r="A19" s="61"/>
      <c r="B19" s="61"/>
      <c r="C19" s="61"/>
      <c r="D19" s="61"/>
    </row>
    <row r="24" spans="1:7" ht="14.5" x14ac:dyDescent="0.35">
      <c r="A24" s="2"/>
    </row>
    <row r="25" spans="1:7" ht="14.5" x14ac:dyDescent="0.35">
      <c r="A25" s="2"/>
    </row>
    <row r="26" spans="1:7" ht="14.5" x14ac:dyDescent="0.35">
      <c r="A26" s="2"/>
    </row>
    <row r="27" spans="1:7" ht="14.5" x14ac:dyDescent="0.35">
      <c r="A27" s="2"/>
    </row>
    <row r="28" spans="1:7" ht="14.5" x14ac:dyDescent="0.35">
      <c r="A28" s="2"/>
    </row>
    <row r="29" spans="1:7" ht="14.5" x14ac:dyDescent="0.35">
      <c r="A29" s="2"/>
    </row>
  </sheetData>
  <mergeCells count="1">
    <mergeCell ref="A14:D14"/>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dimension ref="A1:Z5048"/>
  <sheetViews>
    <sheetView topLeftCell="P1" workbookViewId="0">
      <selection activeCell="X2" sqref="X2"/>
    </sheetView>
  </sheetViews>
  <sheetFormatPr defaultRowHeight="12.5" x14ac:dyDescent="0.25"/>
  <cols>
    <col min="1" max="1" width="25" style="47" bestFit="1" customWidth="1"/>
    <col min="2" max="2" width="11.453125" style="52" bestFit="1" customWidth="1"/>
    <col min="3" max="3" width="8" style="52" bestFit="1" customWidth="1"/>
    <col min="4" max="4" width="12" style="52" bestFit="1" customWidth="1"/>
    <col min="5" max="5" width="24.26953125" bestFit="1" customWidth="1"/>
    <col min="6" max="6" width="19.453125" bestFit="1" customWidth="1"/>
    <col min="7" max="7" width="11.26953125" customWidth="1"/>
    <col min="8" max="8" width="11.453125" customWidth="1"/>
    <col min="9" max="9" width="15" customWidth="1"/>
    <col min="10" max="10" width="16.453125" bestFit="1" customWidth="1"/>
    <col min="11" max="11" width="14.1796875" customWidth="1"/>
    <col min="12" max="12" width="9" customWidth="1"/>
    <col min="13" max="13" width="9" style="45"/>
    <col min="14" max="14" width="22.1796875" style="38" bestFit="1" customWidth="1"/>
    <col min="15" max="15" width="22.1796875" style="47" bestFit="1" customWidth="1"/>
    <col min="16" max="16" width="9" style="44" bestFit="1" customWidth="1"/>
    <col min="17" max="17" width="10.26953125" style="44" bestFit="1" customWidth="1"/>
    <col min="18" max="18" width="21" bestFit="1" customWidth="1"/>
    <col min="19" max="19" width="22.81640625" bestFit="1" customWidth="1"/>
    <col min="20" max="20" width="22.54296875" bestFit="1" customWidth="1"/>
    <col min="21" max="21" width="24.81640625" bestFit="1" customWidth="1"/>
    <col min="22" max="22" width="36.81640625" bestFit="1" customWidth="1"/>
  </cols>
  <sheetData>
    <row r="1" spans="1:26" ht="13" x14ac:dyDescent="0.3">
      <c r="A1" s="46" t="str">
        <f>'vHosts (Imported)'!A1</f>
        <v>Host</v>
      </c>
      <c r="B1" s="48" t="s">
        <v>79</v>
      </c>
      <c r="C1" s="49" t="s">
        <v>80</v>
      </c>
      <c r="D1" s="50" t="s">
        <v>81</v>
      </c>
      <c r="N1" s="38" t="s">
        <v>82</v>
      </c>
      <c r="R1" t="s">
        <v>83</v>
      </c>
      <c r="S1" t="s">
        <v>84</v>
      </c>
      <c r="T1" t="s">
        <v>85</v>
      </c>
      <c r="U1" s="1" t="s">
        <v>86</v>
      </c>
      <c r="V1" s="1" t="s">
        <v>87</v>
      </c>
    </row>
    <row r="2" spans="1:26" ht="13" x14ac:dyDescent="0.3">
      <c r="A2" s="46" t="str">
        <f>'vHosts (Imported)'!A2</f>
        <v>apsgtuvms005.bdx.com</v>
      </c>
      <c r="B2" s="51">
        <f t="shared" ref="B2:B65" si="0">COUNTIFS(N:N,IF(A2=0,"0",A2))</f>
        <v>0</v>
      </c>
      <c r="C2" s="49">
        <f>HLOOKUP("# Cores",'vHosts (Imported)'!$1:$5000,M2,FALSE)</f>
        <v>20</v>
      </c>
      <c r="D2" s="52">
        <f>HLOOKUP("# Memory",'vHosts (Imported)'!$1:$5000,M2,FALSE)</f>
        <v>262098</v>
      </c>
      <c r="E2" s="30" t="s">
        <v>88</v>
      </c>
      <c r="F2" s="29">
        <v>1</v>
      </c>
      <c r="G2" s="29" t="s">
        <v>89</v>
      </c>
      <c r="H2" s="29" t="s">
        <v>90</v>
      </c>
      <c r="I2" s="29" t="s">
        <v>91</v>
      </c>
      <c r="J2" s="29" t="s">
        <v>92</v>
      </c>
      <c r="K2" s="29" t="s">
        <v>93</v>
      </c>
      <c r="M2" s="45">
        <v>2</v>
      </c>
      <c r="N2" s="38" t="str">
        <f>HLOOKUP("Host",'vInfo (Imported)'!$1:$5000,M2,FALSE)</f>
        <v>pvmys020blesx01.bdx.com</v>
      </c>
      <c r="R2">
        <f>HLOOKUP("CPUs",'vInfo (Imported)'!$1:$5000,M2,FALSE)</f>
        <v>2</v>
      </c>
      <c r="S2">
        <f>HLOOKUP("Memory",'vInfo (Imported)'!$1:$5000,M2,FALSE)</f>
        <v>2048</v>
      </c>
      <c r="T2">
        <f>HLOOKUP("Provisioned MiB",'vInfo (Imported)'!$1:$5000,M2,FALSE)</f>
        <v>36581</v>
      </c>
      <c r="U2">
        <f>T2-V2</f>
        <v>19097</v>
      </c>
      <c r="V2">
        <f>HLOOKUP("In Use MiB",'vInfo (Imported)'!$1:$5000,M2,FALSE)</f>
        <v>17484</v>
      </c>
      <c r="W2" t="s">
        <v>27</v>
      </c>
      <c r="X2">
        <v>0</v>
      </c>
      <c r="Z2">
        <v>1</v>
      </c>
    </row>
    <row r="3" spans="1:26" ht="13" x14ac:dyDescent="0.3">
      <c r="A3" s="46" t="str">
        <f>'vHosts (Imported)'!A3</f>
        <v>apsgtuvms007.bdx.com</v>
      </c>
      <c r="B3" s="51">
        <f t="shared" si="0"/>
        <v>0</v>
      </c>
      <c r="C3" s="49">
        <f>HLOOKUP("# Cores",'vHosts (Imported)'!$1:$5000,M3,FALSE)</f>
        <v>20</v>
      </c>
      <c r="D3" s="52">
        <f>HLOOKUP("# Memory",'vHosts (Imported)'!$1:$5000,M3,FALSE)</f>
        <v>262098</v>
      </c>
      <c r="F3">
        <v>1.3</v>
      </c>
      <c r="G3">
        <f>COUNTA('vInfo (Imported)'!A:A)</f>
        <v>32</v>
      </c>
      <c r="H3">
        <f>SUM(R1:R5000)</f>
        <v>127</v>
      </c>
      <c r="I3">
        <f>SUM(S1:S5000)</f>
        <v>447256</v>
      </c>
      <c r="J3">
        <f>SUM(V1:V5000)</f>
        <v>15122753</v>
      </c>
      <c r="K3">
        <f>SUM(T1:T5000)</f>
        <v>17545989</v>
      </c>
      <c r="M3" s="45">
        <f>M2+1</f>
        <v>3</v>
      </c>
      <c r="N3" s="38" t="str">
        <f>HLOOKUP("Host",'vInfo (Imported)'!$1:$5000,M3,FALSE)</f>
        <v>pvmys020blesx01.bdx.com</v>
      </c>
      <c r="R3">
        <f>HLOOKUP("CPUs",'vInfo (Imported)'!$1:$5000,M3,FALSE)</f>
        <v>4</v>
      </c>
      <c r="S3">
        <f>HLOOKUP("Memory",'vInfo (Imported)'!$1:$5000,M3,FALSE)</f>
        <v>4096</v>
      </c>
      <c r="T3">
        <f>HLOOKUP("Provisioned MiB",'vInfo (Imported)'!$1:$5000,M3,FALSE)</f>
        <v>67315</v>
      </c>
      <c r="U3">
        <f t="shared" ref="U3:U66" si="1">T3-V3</f>
        <v>44323</v>
      </c>
      <c r="V3">
        <f>HLOOKUP("In Use MiB",'vInfo (Imported)'!$1:$5000,M3,FALSE)</f>
        <v>22992</v>
      </c>
      <c r="W3" t="s">
        <v>58</v>
      </c>
      <c r="X3">
        <v>1</v>
      </c>
      <c r="Z3">
        <v>1.5</v>
      </c>
    </row>
    <row r="4" spans="1:26" ht="13" x14ac:dyDescent="0.3">
      <c r="A4" s="46" t="str">
        <f>'vHosts (Imported)'!A4</f>
        <v>apsgtuvms008.bdx.com</v>
      </c>
      <c r="B4" s="51">
        <f t="shared" si="0"/>
        <v>0</v>
      </c>
      <c r="C4" s="49">
        <f>HLOOKUP("# Cores",'vHosts (Imported)'!$1:$5000,M4,FALSE)</f>
        <v>20</v>
      </c>
      <c r="D4" s="52">
        <f>HLOOKUP("# Memory",'vHosts (Imported)'!$1:$5000,M4,FALSE)</f>
        <v>393170</v>
      </c>
      <c r="F4" s="29">
        <v>1.5</v>
      </c>
      <c r="M4" s="45">
        <f t="shared" ref="M4:M67" si="2">M3+1</f>
        <v>4</v>
      </c>
      <c r="N4" s="38" t="str">
        <f>HLOOKUP("Host",'vInfo (Imported)'!$1:$5000,M4,FALSE)</f>
        <v>pvmys020blesx02.bdx.com</v>
      </c>
      <c r="R4">
        <f>HLOOKUP("CPUs",'vInfo (Imported)'!$1:$5000,M4,FALSE)</f>
        <v>4</v>
      </c>
      <c r="S4">
        <f>HLOOKUP("Memory",'vInfo (Imported)'!$1:$5000,M4,FALSE)</f>
        <v>4096</v>
      </c>
      <c r="T4">
        <f>HLOOKUP("Provisioned MiB",'vInfo (Imported)'!$1:$5000,M4,FALSE)</f>
        <v>157788</v>
      </c>
      <c r="U4">
        <f t="shared" si="1"/>
        <v>609</v>
      </c>
      <c r="V4">
        <f>HLOOKUP("In Use MiB",'vInfo (Imported)'!$1:$5000,M4,FALSE)</f>
        <v>157179</v>
      </c>
      <c r="X4">
        <v>2</v>
      </c>
      <c r="Z4">
        <v>2</v>
      </c>
    </row>
    <row r="5" spans="1:26" ht="13" x14ac:dyDescent="0.3">
      <c r="A5" s="46" t="str">
        <f>'vHosts (Imported)'!A5</f>
        <v>apsgtuvms009.bdx.com</v>
      </c>
      <c r="B5" s="51">
        <f t="shared" si="0"/>
        <v>0</v>
      </c>
      <c r="C5" s="49">
        <f>HLOOKUP("# Cores",'vHosts (Imported)'!$1:$5000,M5,FALSE)</f>
        <v>20</v>
      </c>
      <c r="D5" s="52">
        <f>HLOOKUP("# Memory",'vHosts (Imported)'!$1:$5000,M5,FALSE)</f>
        <v>393170</v>
      </c>
      <c r="F5" s="29">
        <v>2</v>
      </c>
      <c r="M5" s="45">
        <f t="shared" si="2"/>
        <v>5</v>
      </c>
      <c r="N5" s="38" t="str">
        <f>HLOOKUP("Host",'vInfo (Imported)'!$1:$5000,M5,FALSE)</f>
        <v>pvmys020kltsc04.bdx.com</v>
      </c>
      <c r="R5">
        <f>HLOOKUP("CPUs",'vInfo (Imported)'!$1:$5000,M5,FALSE)</f>
        <v>1</v>
      </c>
      <c r="S5">
        <f>HLOOKUP("Memory",'vInfo (Imported)'!$1:$5000,M5,FALSE)</f>
        <v>6144</v>
      </c>
      <c r="T5">
        <f>HLOOKUP("Provisioned MiB",'vInfo (Imported)'!$1:$5000,M5,FALSE)</f>
        <v>56667</v>
      </c>
      <c r="U5">
        <f t="shared" si="1"/>
        <v>23606</v>
      </c>
      <c r="V5">
        <f>HLOOKUP("In Use MiB",'vInfo (Imported)'!$1:$5000,M5,FALSE)</f>
        <v>33061</v>
      </c>
      <c r="X5">
        <v>3</v>
      </c>
      <c r="Z5">
        <v>2.5</v>
      </c>
    </row>
    <row r="6" spans="1:26" ht="13" x14ac:dyDescent="0.3">
      <c r="A6" s="46" t="str">
        <f>'vHosts (Imported)'!A6</f>
        <v>apsgtuvms011.bdx.com</v>
      </c>
      <c r="B6" s="51">
        <f t="shared" si="0"/>
        <v>0</v>
      </c>
      <c r="C6" s="49">
        <f>HLOOKUP("# Cores",'vHosts (Imported)'!$1:$5000,M6,FALSE)</f>
        <v>20</v>
      </c>
      <c r="D6" s="52">
        <f>HLOOKUP("# Memory",'vHosts (Imported)'!$1:$5000,M6,FALSE)</f>
        <v>262098</v>
      </c>
      <c r="F6" s="29">
        <v>2.5</v>
      </c>
      <c r="M6" s="45">
        <f t="shared" si="2"/>
        <v>6</v>
      </c>
      <c r="N6" s="38" t="str">
        <f>HLOOKUP("Host",'vInfo (Imported)'!$1:$5000,M6,FALSE)</f>
        <v>pvmys020kltsc04.bdx.com</v>
      </c>
      <c r="R6">
        <f>HLOOKUP("CPUs",'vInfo (Imported)'!$1:$5000,M6,FALSE)</f>
        <v>1</v>
      </c>
      <c r="S6">
        <f>HLOOKUP("Memory",'vInfo (Imported)'!$1:$5000,M6,FALSE)</f>
        <v>6144</v>
      </c>
      <c r="T6">
        <f>HLOOKUP("Provisioned MiB",'vInfo (Imported)'!$1:$5000,M6,FALSE)</f>
        <v>90836</v>
      </c>
      <c r="U6">
        <f t="shared" si="1"/>
        <v>40174</v>
      </c>
      <c r="V6">
        <f>HLOOKUP("In Use MiB",'vInfo (Imported)'!$1:$5000,M6,FALSE)</f>
        <v>50662</v>
      </c>
      <c r="X6">
        <v>4</v>
      </c>
      <c r="Z6">
        <v>3</v>
      </c>
    </row>
    <row r="7" spans="1:26" ht="13" x14ac:dyDescent="0.3">
      <c r="A7" s="46" t="str">
        <f>'vHosts (Imported)'!A7</f>
        <v>apsgtuvms012.bdx.com</v>
      </c>
      <c r="B7" s="51">
        <f t="shared" si="0"/>
        <v>0</v>
      </c>
      <c r="C7" s="49">
        <f>HLOOKUP("# Cores",'vHosts (Imported)'!$1:$5000,M7,FALSE)</f>
        <v>20</v>
      </c>
      <c r="D7" s="52">
        <f>HLOOKUP("# Memory",'vHosts (Imported)'!$1:$5000,M7,FALSE)</f>
        <v>262098</v>
      </c>
      <c r="F7" s="29">
        <v>3</v>
      </c>
      <c r="M7" s="45">
        <f t="shared" si="2"/>
        <v>7</v>
      </c>
      <c r="N7" s="38" t="str">
        <f>HLOOKUP("Host",'vInfo (Imported)'!$1:$5000,M7,FALSE)</f>
        <v>pvmys020kltsc04.bdx.com</v>
      </c>
      <c r="R7">
        <f>HLOOKUP("CPUs",'vInfo (Imported)'!$1:$5000,M7,FALSE)</f>
        <v>1</v>
      </c>
      <c r="S7">
        <f>HLOOKUP("Memory",'vInfo (Imported)'!$1:$5000,M7,FALSE)</f>
        <v>4096</v>
      </c>
      <c r="T7">
        <f>HLOOKUP("Provisioned MiB",'vInfo (Imported)'!$1:$5000,M7,FALSE)</f>
        <v>44684</v>
      </c>
      <c r="U7">
        <f t="shared" si="1"/>
        <v>27783</v>
      </c>
      <c r="V7">
        <f>HLOOKUP("In Use MiB",'vInfo (Imported)'!$1:$5000,M7,FALSE)</f>
        <v>16901</v>
      </c>
      <c r="X7">
        <v>5</v>
      </c>
      <c r="Z7">
        <v>3.5</v>
      </c>
    </row>
    <row r="8" spans="1:26" ht="13" x14ac:dyDescent="0.3">
      <c r="A8" s="46" t="str">
        <f>'vHosts (Imported)'!A8</f>
        <v>apsgtuvms013.bdx.com</v>
      </c>
      <c r="B8" s="51">
        <f t="shared" si="0"/>
        <v>0</v>
      </c>
      <c r="C8" s="49">
        <f>HLOOKUP("# Cores",'vHosts (Imported)'!$1:$5000,M8,FALSE)</f>
        <v>24</v>
      </c>
      <c r="D8" s="52">
        <f>HLOOKUP("# Memory",'vHosts (Imported)'!$1:$5000,M8,FALSE)</f>
        <v>524194</v>
      </c>
      <c r="F8" s="29">
        <v>3.5</v>
      </c>
      <c r="M8" s="45">
        <f t="shared" si="2"/>
        <v>8</v>
      </c>
      <c r="N8" s="38" t="str">
        <f>HLOOKUP("Host",'vInfo (Imported)'!$1:$5000,M8,FALSE)</f>
        <v>pvmys020kltsc04.bdx.com</v>
      </c>
      <c r="R8">
        <f>HLOOKUP("CPUs",'vInfo (Imported)'!$1:$5000,M8,FALSE)</f>
        <v>1</v>
      </c>
      <c r="S8">
        <f>HLOOKUP("Memory",'vInfo (Imported)'!$1:$5000,M8,FALSE)</f>
        <v>7960</v>
      </c>
      <c r="T8">
        <f>HLOOKUP("Provisioned MiB",'vInfo (Imported)'!$1:$5000,M8,FALSE)</f>
        <v>58381</v>
      </c>
      <c r="U8">
        <f t="shared" si="1"/>
        <v>33623</v>
      </c>
      <c r="V8">
        <f>HLOOKUP("In Use MiB",'vInfo (Imported)'!$1:$5000,M8,FALSE)</f>
        <v>24758</v>
      </c>
      <c r="X8">
        <v>6</v>
      </c>
      <c r="Z8">
        <v>4</v>
      </c>
    </row>
    <row r="9" spans="1:26" ht="13" x14ac:dyDescent="0.3">
      <c r="A9" s="46" t="str">
        <f>'vHosts (Imported)'!A9</f>
        <v>apsgtuvms014.bdx.com</v>
      </c>
      <c r="B9" s="51">
        <f t="shared" si="0"/>
        <v>0</v>
      </c>
      <c r="C9" s="49">
        <f>HLOOKUP("# Cores",'vHosts (Imported)'!$1:$5000,M9,FALSE)</f>
        <v>24</v>
      </c>
      <c r="D9" s="52">
        <f>HLOOKUP("# Memory",'vHosts (Imported)'!$1:$5000,M9,FALSE)</f>
        <v>524194</v>
      </c>
      <c r="F9" s="29">
        <v>4</v>
      </c>
      <c r="M9" s="45">
        <f t="shared" si="2"/>
        <v>9</v>
      </c>
      <c r="N9" s="38" t="str">
        <f>HLOOKUP("Host",'vInfo (Imported)'!$1:$5000,M9,FALSE)</f>
        <v>pvmys020kltsc04.bdx.com</v>
      </c>
      <c r="R9">
        <f>HLOOKUP("CPUs",'vInfo (Imported)'!$1:$5000,M9,FALSE)</f>
        <v>2</v>
      </c>
      <c r="S9">
        <f>HLOOKUP("Memory",'vInfo (Imported)'!$1:$5000,M9,FALSE)</f>
        <v>6144</v>
      </c>
      <c r="T9">
        <f>HLOOKUP("Provisioned MiB",'vInfo (Imported)'!$1:$5000,M9,FALSE)</f>
        <v>56564</v>
      </c>
      <c r="U9">
        <f t="shared" si="1"/>
        <v>23605</v>
      </c>
      <c r="V9">
        <f>HLOOKUP("In Use MiB",'vInfo (Imported)'!$1:$5000,M9,FALSE)</f>
        <v>32959</v>
      </c>
      <c r="Z9">
        <v>4.5</v>
      </c>
    </row>
    <row r="10" spans="1:26" ht="13" x14ac:dyDescent="0.3">
      <c r="A10" s="46" t="str">
        <f>'vHosts (Imported)'!A10</f>
        <v>apsgtuvms015.bdx.com</v>
      </c>
      <c r="B10" s="51">
        <f t="shared" si="0"/>
        <v>3</v>
      </c>
      <c r="C10" s="49">
        <f>HLOOKUP("# Cores",'vHosts (Imported)'!$1:$5000,M10,FALSE)</f>
        <v>16</v>
      </c>
      <c r="D10" s="52">
        <f>HLOOKUP("# Memory",'vHosts (Imported)'!$1:$5000,M10,FALSE)</f>
        <v>523892</v>
      </c>
      <c r="E10" t="s">
        <v>94</v>
      </c>
      <c r="F10" s="29" t="s">
        <v>95</v>
      </c>
      <c r="M10" s="45">
        <f t="shared" si="2"/>
        <v>10</v>
      </c>
      <c r="N10" s="38" t="str">
        <f>HLOOKUP("Host",'vInfo (Imported)'!$1:$5000,M10,FALSE)</f>
        <v>pvmys020kltsc04.bdx.com</v>
      </c>
      <c r="R10">
        <f>HLOOKUP("CPUs",'vInfo (Imported)'!$1:$5000,M10,FALSE)</f>
        <v>2</v>
      </c>
      <c r="S10">
        <f>HLOOKUP("Memory",'vInfo (Imported)'!$1:$5000,M10,FALSE)</f>
        <v>4096</v>
      </c>
      <c r="T10">
        <f>HLOOKUP("Provisioned MiB",'vInfo (Imported)'!$1:$5000,M10,FALSE)</f>
        <v>76176</v>
      </c>
      <c r="U10">
        <f t="shared" si="1"/>
        <v>44949</v>
      </c>
      <c r="V10">
        <f>HLOOKUP("In Use MiB",'vInfo (Imported)'!$1:$5000,M10,FALSE)</f>
        <v>31227</v>
      </c>
      <c r="Z10">
        <v>5</v>
      </c>
    </row>
    <row r="11" spans="1:26" ht="13" x14ac:dyDescent="0.3">
      <c r="A11" s="46" t="str">
        <f>'vHosts (Imported)'!A11</f>
        <v>kulvmwesx03.ap.ad.crbard.com</v>
      </c>
      <c r="B11" s="51">
        <f t="shared" si="0"/>
        <v>0</v>
      </c>
      <c r="C11" s="49">
        <f>HLOOKUP("# Cores",'vHosts (Imported)'!$1:$5000,M11,FALSE)</f>
        <v>36</v>
      </c>
      <c r="D11" s="52">
        <f>HLOOKUP("# Memory",'vHosts (Imported)'!$1:$5000,M11,FALSE)</f>
        <v>524192</v>
      </c>
      <c r="F11">
        <v>1</v>
      </c>
      <c r="M11" s="45">
        <f t="shared" si="2"/>
        <v>11</v>
      </c>
      <c r="N11" s="38" t="str">
        <f>HLOOKUP("Host",'vInfo (Imported)'!$1:$5000,M11,FALSE)</f>
        <v>pvmys020kltsc04.bdx.com</v>
      </c>
      <c r="R11">
        <f>HLOOKUP("CPUs",'vInfo (Imported)'!$1:$5000,M11,FALSE)</f>
        <v>2</v>
      </c>
      <c r="S11">
        <f>HLOOKUP("Memory",'vInfo (Imported)'!$1:$5000,M11,FALSE)</f>
        <v>4096</v>
      </c>
      <c r="T11">
        <f>HLOOKUP("Provisioned MiB",'vInfo (Imported)'!$1:$5000,M11,FALSE)</f>
        <v>76116</v>
      </c>
      <c r="U11">
        <f t="shared" si="1"/>
        <v>46122</v>
      </c>
      <c r="V11">
        <f>HLOOKUP("In Use MiB",'vInfo (Imported)'!$1:$5000,M11,FALSE)</f>
        <v>29994</v>
      </c>
      <c r="Z11">
        <v>5.5</v>
      </c>
    </row>
    <row r="12" spans="1:26" ht="13" x14ac:dyDescent="0.3">
      <c r="A12" s="46" t="str">
        <f>'vHosts (Imported)'!A12</f>
        <v>kulvmwesx04.ap.ad.crbard.com</v>
      </c>
      <c r="B12" s="51">
        <f t="shared" si="0"/>
        <v>0</v>
      </c>
      <c r="C12" s="49">
        <f>HLOOKUP("# Cores",'vHosts (Imported)'!$1:$5000,M12,FALSE)</f>
        <v>36</v>
      </c>
      <c r="D12" s="52">
        <f>HLOOKUP("# Memory",'vHosts (Imported)'!$1:$5000,M12,FALSE)</f>
        <v>524192</v>
      </c>
      <c r="F12">
        <v>1.5</v>
      </c>
      <c r="M12" s="45">
        <f t="shared" si="2"/>
        <v>12</v>
      </c>
      <c r="N12" s="38" t="str">
        <f>HLOOKUP("Host",'vInfo (Imported)'!$1:$5000,M12,FALSE)</f>
        <v>pvmys020blesx02.bdx.com</v>
      </c>
      <c r="R12">
        <f>HLOOKUP("CPUs",'vInfo (Imported)'!$1:$5000,M12,FALSE)</f>
        <v>2</v>
      </c>
      <c r="S12">
        <f>HLOOKUP("Memory",'vInfo (Imported)'!$1:$5000,M12,FALSE)</f>
        <v>4096</v>
      </c>
      <c r="T12">
        <f>HLOOKUP("Provisioned MiB",'vInfo (Imported)'!$1:$5000,M12,FALSE)</f>
        <v>127058</v>
      </c>
      <c r="U12">
        <f t="shared" si="1"/>
        <v>92542</v>
      </c>
      <c r="V12">
        <f>HLOOKUP("In Use MiB",'vInfo (Imported)'!$1:$5000,M12,FALSE)</f>
        <v>34516</v>
      </c>
      <c r="Z12">
        <v>6</v>
      </c>
    </row>
    <row r="13" spans="1:26" ht="13" x14ac:dyDescent="0.3">
      <c r="A13" s="46" t="str">
        <f>'vHosts (Imported)'!A13</f>
        <v>kulvmwesx05.ap.ad.crbard.com</v>
      </c>
      <c r="B13" s="51">
        <f t="shared" si="0"/>
        <v>0</v>
      </c>
      <c r="C13" s="49">
        <f>HLOOKUP("# Cores",'vHosts (Imported)'!$1:$5000,M13,FALSE)</f>
        <v>36</v>
      </c>
      <c r="D13" s="52">
        <f>HLOOKUP("# Memory",'vHosts (Imported)'!$1:$5000,M13,FALSE)</f>
        <v>524192</v>
      </c>
      <c r="F13">
        <v>2</v>
      </c>
      <c r="M13" s="45">
        <f t="shared" si="2"/>
        <v>13</v>
      </c>
      <c r="N13" s="38" t="str">
        <f>HLOOKUP("Host",'vInfo (Imported)'!$1:$5000,M13,FALSE)</f>
        <v>pvmys020blesx01.bdx.com</v>
      </c>
      <c r="R13">
        <f>HLOOKUP("CPUs",'vInfo (Imported)'!$1:$5000,M13,FALSE)</f>
        <v>2</v>
      </c>
      <c r="S13">
        <f>HLOOKUP("Memory",'vInfo (Imported)'!$1:$5000,M13,FALSE)</f>
        <v>12288</v>
      </c>
      <c r="T13">
        <f>HLOOKUP("Provisioned MiB",'vInfo (Imported)'!$1:$5000,M13,FALSE)</f>
        <v>196690</v>
      </c>
      <c r="U13">
        <f t="shared" si="1"/>
        <v>153931</v>
      </c>
      <c r="V13">
        <f>HLOOKUP("In Use MiB",'vInfo (Imported)'!$1:$5000,M13,FALSE)</f>
        <v>42759</v>
      </c>
      <c r="Z13">
        <v>6.5</v>
      </c>
    </row>
    <row r="14" spans="1:26" ht="13" x14ac:dyDescent="0.3">
      <c r="A14" s="46" t="str">
        <f>'vHosts (Imported)'!A14</f>
        <v>pvaus010esx01.bdx.com</v>
      </c>
      <c r="B14" s="51">
        <f t="shared" si="0"/>
        <v>1</v>
      </c>
      <c r="C14" s="49">
        <f>HLOOKUP("# Cores",'vHosts (Imported)'!$1:$5000,M14,FALSE)</f>
        <v>16</v>
      </c>
      <c r="D14" s="52">
        <f>HLOOKUP("# Memory",'vHosts (Imported)'!$1:$5000,M14,FALSE)</f>
        <v>261922</v>
      </c>
      <c r="F14">
        <v>2.5</v>
      </c>
      <c r="M14" s="45">
        <f t="shared" si="2"/>
        <v>14</v>
      </c>
      <c r="N14" s="38" t="str">
        <f>HLOOKUP("Host",'vInfo (Imported)'!$1:$5000,M14,FALSE)</f>
        <v>pvmys020kltsc04.bdx.com</v>
      </c>
      <c r="R14">
        <f>HLOOKUP("CPUs",'vInfo (Imported)'!$1:$5000,M14,FALSE)</f>
        <v>4</v>
      </c>
      <c r="S14">
        <f>HLOOKUP("Memory",'vInfo (Imported)'!$1:$5000,M14,FALSE)</f>
        <v>8192</v>
      </c>
      <c r="T14">
        <f>HLOOKUP("Provisioned MiB",'vInfo (Imported)'!$1:$5000,M14,FALSE)</f>
        <v>295257</v>
      </c>
      <c r="U14">
        <f t="shared" si="1"/>
        <v>256432</v>
      </c>
      <c r="V14">
        <f>HLOOKUP("In Use MiB",'vInfo (Imported)'!$1:$5000,M14,FALSE)</f>
        <v>38825</v>
      </c>
      <c r="Z14">
        <v>7</v>
      </c>
    </row>
    <row r="15" spans="1:26" ht="13" x14ac:dyDescent="0.3">
      <c r="A15" s="46" t="str">
        <f>'vHosts (Imported)'!A15</f>
        <v>pvaus010esx02.bdx.com</v>
      </c>
      <c r="B15" s="51">
        <f t="shared" si="0"/>
        <v>1</v>
      </c>
      <c r="C15" s="49">
        <f>HLOOKUP("# Cores",'vHosts (Imported)'!$1:$5000,M15,FALSE)</f>
        <v>16</v>
      </c>
      <c r="D15" s="52">
        <f>HLOOKUP("# Memory",'vHosts (Imported)'!$1:$5000,M15,FALSE)</f>
        <v>261922</v>
      </c>
      <c r="F15">
        <v>3</v>
      </c>
      <c r="M15" s="45">
        <f t="shared" si="2"/>
        <v>15</v>
      </c>
      <c r="N15" s="38" t="str">
        <f>HLOOKUP("Host",'vInfo (Imported)'!$1:$5000,M15,FALSE)</f>
        <v>pvaus010esx02.bdx.com</v>
      </c>
      <c r="R15">
        <f>HLOOKUP("CPUs",'vInfo (Imported)'!$1:$5000,M15,FALSE)</f>
        <v>4</v>
      </c>
      <c r="S15">
        <f>HLOOKUP("Memory",'vInfo (Imported)'!$1:$5000,M15,FALSE)</f>
        <v>8192</v>
      </c>
      <c r="T15">
        <f>HLOOKUP("Provisioned MiB",'vInfo (Imported)'!$1:$5000,M15,FALSE)</f>
        <v>1728997</v>
      </c>
      <c r="U15">
        <f t="shared" si="1"/>
        <v>852720</v>
      </c>
      <c r="V15">
        <f>HLOOKUP("In Use MiB",'vInfo (Imported)'!$1:$5000,M15,FALSE)</f>
        <v>876277</v>
      </c>
      <c r="Z15">
        <v>7.5</v>
      </c>
    </row>
    <row r="16" spans="1:26" ht="13" x14ac:dyDescent="0.3">
      <c r="A16" s="46" t="str">
        <f>'vHosts (Imported)'!A16</f>
        <v>pvchn120blesx01.bdx.com</v>
      </c>
      <c r="B16" s="51">
        <f t="shared" si="0"/>
        <v>0</v>
      </c>
      <c r="C16" s="49">
        <f>HLOOKUP("# Cores",'vHosts (Imported)'!$1:$5000,M16,FALSE)</f>
        <v>36</v>
      </c>
      <c r="D16" s="52">
        <f>HLOOKUP("# Memory",'vHosts (Imported)'!$1:$5000,M16,FALSE)</f>
        <v>524194</v>
      </c>
      <c r="F16">
        <v>3.5</v>
      </c>
      <c r="M16" s="45">
        <f t="shared" si="2"/>
        <v>16</v>
      </c>
      <c r="N16" s="38" t="str">
        <f>HLOOKUP("Host",'vInfo (Imported)'!$1:$5000,M16,FALSE)</f>
        <v>pvaus010esx01.bdx.com</v>
      </c>
      <c r="R16">
        <f>HLOOKUP("CPUs",'vInfo (Imported)'!$1:$5000,M16,FALSE)</f>
        <v>4</v>
      </c>
      <c r="S16">
        <f>HLOOKUP("Memory",'vInfo (Imported)'!$1:$5000,M16,FALSE)</f>
        <v>8192</v>
      </c>
      <c r="T16">
        <f>HLOOKUP("Provisioned MiB",'vInfo (Imported)'!$1:$5000,M16,FALSE)</f>
        <v>930137</v>
      </c>
      <c r="U16">
        <f t="shared" si="1"/>
        <v>119671</v>
      </c>
      <c r="V16">
        <f>HLOOKUP("In Use MiB",'vInfo (Imported)'!$1:$5000,M16,FALSE)</f>
        <v>810466</v>
      </c>
      <c r="Z16">
        <v>8</v>
      </c>
    </row>
    <row r="17" spans="1:26" ht="13" x14ac:dyDescent="0.3">
      <c r="A17" s="46" t="str">
        <f>'vHosts (Imported)'!A17</f>
        <v>pvchn120blesx02.bdx.com</v>
      </c>
      <c r="B17" s="51">
        <f t="shared" si="0"/>
        <v>0</v>
      </c>
      <c r="C17" s="49">
        <f>HLOOKUP("# Cores",'vHosts (Imported)'!$1:$5000,M17,FALSE)</f>
        <v>36</v>
      </c>
      <c r="D17" s="52">
        <f>HLOOKUP("# Memory",'vHosts (Imported)'!$1:$5000,M17,FALSE)</f>
        <v>524194</v>
      </c>
      <c r="F17">
        <v>4</v>
      </c>
      <c r="M17" s="45">
        <f t="shared" si="2"/>
        <v>17</v>
      </c>
      <c r="N17" s="38" t="str">
        <f>HLOOKUP("Host",'vInfo (Imported)'!$1:$5000,M17,FALSE)</f>
        <v>pvind040esx06.carefusion.com</v>
      </c>
      <c r="R17">
        <f>HLOOKUP("CPUs",'vInfo (Imported)'!$1:$5000,M17,FALSE)</f>
        <v>8</v>
      </c>
      <c r="S17">
        <f>HLOOKUP("Memory",'vInfo (Imported)'!$1:$5000,M17,FALSE)</f>
        <v>8192</v>
      </c>
      <c r="T17">
        <f>HLOOKUP("Provisioned MiB",'vInfo (Imported)'!$1:$5000,M17,FALSE)</f>
        <v>204800</v>
      </c>
      <c r="U17">
        <f t="shared" si="1"/>
        <v>186394</v>
      </c>
      <c r="V17">
        <f>HLOOKUP("In Use MiB",'vInfo (Imported)'!$1:$5000,M17,FALSE)</f>
        <v>18406</v>
      </c>
      <c r="Z17">
        <v>8.5</v>
      </c>
    </row>
    <row r="18" spans="1:26" ht="13" x14ac:dyDescent="0.3">
      <c r="A18" s="46" t="str">
        <f>'vHosts (Imported)'!A18</f>
        <v>pvchn120blesx03.bdx.com</v>
      </c>
      <c r="B18" s="51">
        <f t="shared" si="0"/>
        <v>0</v>
      </c>
      <c r="C18" s="49">
        <f>HLOOKUP("# Cores",'vHosts (Imported)'!$1:$5000,M18,FALSE)</f>
        <v>36</v>
      </c>
      <c r="D18" s="52">
        <f>HLOOKUP("# Memory",'vHosts (Imported)'!$1:$5000,M18,FALSE)</f>
        <v>524194</v>
      </c>
      <c r="F18">
        <v>4.5</v>
      </c>
      <c r="M18" s="45">
        <f t="shared" si="2"/>
        <v>18</v>
      </c>
      <c r="N18" s="38" t="str">
        <f>HLOOKUP("Host",'vInfo (Imported)'!$1:$5000,M18,FALSE)</f>
        <v>pvind040esx05.carefusion.com</v>
      </c>
      <c r="R18">
        <f>HLOOKUP("CPUs",'vInfo (Imported)'!$1:$5000,M18,FALSE)</f>
        <v>1</v>
      </c>
      <c r="S18">
        <f>HLOOKUP("Memory",'vInfo (Imported)'!$1:$5000,M18,FALSE)</f>
        <v>1024</v>
      </c>
      <c r="T18">
        <f>HLOOKUP("Provisioned MiB",'vInfo (Imported)'!$1:$5000,M18,FALSE)</f>
        <v>104398</v>
      </c>
      <c r="U18">
        <f t="shared" si="1"/>
        <v>104398</v>
      </c>
      <c r="V18">
        <f>HLOOKUP("In Use MiB",'vInfo (Imported)'!$1:$5000,M18,FALSE)</f>
        <v>0</v>
      </c>
      <c r="Z18">
        <v>9</v>
      </c>
    </row>
    <row r="19" spans="1:26" ht="13" x14ac:dyDescent="0.3">
      <c r="A19" s="46" t="str">
        <f>'vHosts (Imported)'!A19</f>
        <v>pvchn480esx01.bdx.com</v>
      </c>
      <c r="B19" s="51">
        <f t="shared" si="0"/>
        <v>0</v>
      </c>
      <c r="C19" s="49">
        <f>HLOOKUP("# Cores",'vHosts (Imported)'!$1:$5000,M19,FALSE)</f>
        <v>36</v>
      </c>
      <c r="D19" s="52">
        <f>HLOOKUP("# Memory",'vHosts (Imported)'!$1:$5000,M19,FALSE)</f>
        <v>261763</v>
      </c>
      <c r="F19">
        <v>5</v>
      </c>
      <c r="M19" s="45">
        <f t="shared" si="2"/>
        <v>19</v>
      </c>
      <c r="N19" s="38" t="str">
        <f>HLOOKUP("Host",'vInfo (Imported)'!$1:$5000,M19,FALSE)</f>
        <v>pvmys020blesx01.bdx.com</v>
      </c>
      <c r="R19">
        <f>HLOOKUP("CPUs",'vInfo (Imported)'!$1:$5000,M19,FALSE)</f>
        <v>4</v>
      </c>
      <c r="S19">
        <f>HLOOKUP("Memory",'vInfo (Imported)'!$1:$5000,M19,FALSE)</f>
        <v>8192</v>
      </c>
      <c r="T19">
        <f>HLOOKUP("Provisioned MiB",'vInfo (Imported)'!$1:$5000,M19,FALSE)</f>
        <v>160539</v>
      </c>
      <c r="U19">
        <f t="shared" si="1"/>
        <v>99891</v>
      </c>
      <c r="V19">
        <f>HLOOKUP("In Use MiB",'vInfo (Imported)'!$1:$5000,M19,FALSE)</f>
        <v>60648</v>
      </c>
      <c r="Z19">
        <v>9.5</v>
      </c>
    </row>
    <row r="20" spans="1:26" ht="13" x14ac:dyDescent="0.3">
      <c r="A20" s="46" t="str">
        <f>'vHosts (Imported)'!A20</f>
        <v>pvchn480esx02.bdx.com</v>
      </c>
      <c r="B20" s="51">
        <f t="shared" si="0"/>
        <v>0</v>
      </c>
      <c r="C20" s="49">
        <f>HLOOKUP("# Cores",'vHosts (Imported)'!$1:$5000,M20,FALSE)</f>
        <v>36</v>
      </c>
      <c r="D20" s="52">
        <f>HLOOKUP("# Memory",'vHosts (Imported)'!$1:$5000,M20,FALSE)</f>
        <v>261763</v>
      </c>
      <c r="F20">
        <v>5.5</v>
      </c>
      <c r="M20" s="45">
        <f t="shared" si="2"/>
        <v>20</v>
      </c>
      <c r="N20" s="38" t="str">
        <f>HLOOKUP("Host",'vInfo (Imported)'!$1:$5000,M20,FALSE)</f>
        <v>pvsgp330rmesx04.bdx.com</v>
      </c>
      <c r="R20">
        <f>HLOOKUP("CPUs",'vInfo (Imported)'!$1:$5000,M20,FALSE)</f>
        <v>2</v>
      </c>
      <c r="S20">
        <f>HLOOKUP("Memory",'vInfo (Imported)'!$1:$5000,M20,FALSE)</f>
        <v>4096</v>
      </c>
      <c r="T20">
        <f>HLOOKUP("Provisioned MiB",'vInfo (Imported)'!$1:$5000,M20,FALSE)</f>
        <v>434280</v>
      </c>
      <c r="U20">
        <f t="shared" si="1"/>
        <v>215038</v>
      </c>
      <c r="V20">
        <f>HLOOKUP("In Use MiB",'vInfo (Imported)'!$1:$5000,M20,FALSE)</f>
        <v>219242</v>
      </c>
      <c r="Z20">
        <v>10</v>
      </c>
    </row>
    <row r="21" spans="1:26" ht="13" x14ac:dyDescent="0.3">
      <c r="A21" s="46" t="str">
        <f>'vHosts (Imported)'!A21</f>
        <v>pvchn510rmesx01.bdx.com</v>
      </c>
      <c r="B21" s="51">
        <f t="shared" si="0"/>
        <v>0</v>
      </c>
      <c r="C21" s="49">
        <f>HLOOKUP("# Cores",'vHosts (Imported)'!$1:$5000,M21,FALSE)</f>
        <v>36</v>
      </c>
      <c r="D21" s="52">
        <f>HLOOKUP("# Memory",'vHosts (Imported)'!$1:$5000,M21,FALSE)</f>
        <v>523905</v>
      </c>
      <c r="F21">
        <v>6</v>
      </c>
      <c r="M21" s="45">
        <f t="shared" si="2"/>
        <v>21</v>
      </c>
      <c r="N21" s="38" t="str">
        <f>HLOOKUP("Host",'vInfo (Imported)'!$1:$5000,M21,FALSE)</f>
        <v>pvsgp330rmesx05.bdx.com</v>
      </c>
      <c r="R21">
        <f>HLOOKUP("CPUs",'vInfo (Imported)'!$1:$5000,M21,FALSE)</f>
        <v>32</v>
      </c>
      <c r="S21">
        <f>HLOOKUP("Memory",'vInfo (Imported)'!$1:$5000,M21,FALSE)</f>
        <v>143360</v>
      </c>
      <c r="T21">
        <f>HLOOKUP("Provisioned MiB",'vInfo (Imported)'!$1:$5000,M21,FALSE)</f>
        <v>553095</v>
      </c>
      <c r="U21">
        <f t="shared" si="1"/>
        <v>0</v>
      </c>
      <c r="V21">
        <f>HLOOKUP("In Use MiB",'vInfo (Imported)'!$1:$5000,M21,FALSE)</f>
        <v>553095</v>
      </c>
    </row>
    <row r="22" spans="1:26" ht="13" x14ac:dyDescent="0.3">
      <c r="A22" s="46" t="str">
        <f>'vHosts (Imported)'!A22</f>
        <v>pvchn510rmesx02.bdx.com</v>
      </c>
      <c r="B22" s="51">
        <f t="shared" si="0"/>
        <v>0</v>
      </c>
      <c r="C22" s="49">
        <f>HLOOKUP("# Cores",'vHosts (Imported)'!$1:$5000,M22,FALSE)</f>
        <v>36</v>
      </c>
      <c r="D22" s="52">
        <f>HLOOKUP("# Memory",'vHosts (Imported)'!$1:$5000,M22,FALSE)</f>
        <v>523905</v>
      </c>
      <c r="F22">
        <v>6.5</v>
      </c>
      <c r="M22" s="45">
        <f t="shared" si="2"/>
        <v>22</v>
      </c>
      <c r="N22" s="38" t="str">
        <f>HLOOKUP("Host",'vInfo (Imported)'!$1:$5000,M22,FALSE)</f>
        <v>pvsgp330rmesx04.bdx.com</v>
      </c>
      <c r="R22">
        <f>HLOOKUP("CPUs",'vInfo (Imported)'!$1:$5000,M22,FALSE)</f>
        <v>2</v>
      </c>
      <c r="S22">
        <f>HLOOKUP("Memory",'vInfo (Imported)'!$1:$5000,M22,FALSE)</f>
        <v>4096</v>
      </c>
      <c r="T22">
        <f>HLOOKUP("Provisioned MiB",'vInfo (Imported)'!$1:$5000,M22,FALSE)</f>
        <v>116840</v>
      </c>
      <c r="U22">
        <f t="shared" si="1"/>
        <v>0</v>
      </c>
      <c r="V22">
        <f>HLOOKUP("In Use MiB",'vInfo (Imported)'!$1:$5000,M22,FALSE)</f>
        <v>116840</v>
      </c>
    </row>
    <row r="23" spans="1:26" ht="13" x14ac:dyDescent="0.3">
      <c r="A23" s="46" t="str">
        <f>'vHosts (Imported)'!A23</f>
        <v>pvind040esx04.carefusion.com</v>
      </c>
      <c r="B23" s="51">
        <f t="shared" si="0"/>
        <v>0</v>
      </c>
      <c r="C23" s="49">
        <f>HLOOKUP("# Cores",'vHosts (Imported)'!$1:$5000,M23,FALSE)</f>
        <v>16</v>
      </c>
      <c r="D23" s="52">
        <f>HLOOKUP("# Memory",'vHosts (Imported)'!$1:$5000,M23,FALSE)</f>
        <v>261922</v>
      </c>
      <c r="F23">
        <v>7</v>
      </c>
      <c r="M23" s="45">
        <f t="shared" si="2"/>
        <v>23</v>
      </c>
      <c r="N23" s="38" t="str">
        <f>HLOOKUP("Host",'vInfo (Imported)'!$1:$5000,M23,FALSE)</f>
        <v>apsgtuvms015.bdx.com</v>
      </c>
      <c r="R23">
        <f>HLOOKUP("CPUs",'vInfo (Imported)'!$1:$5000,M23,FALSE)</f>
        <v>4</v>
      </c>
      <c r="S23">
        <f>HLOOKUP("Memory",'vInfo (Imported)'!$1:$5000,M23,FALSE)</f>
        <v>16384</v>
      </c>
      <c r="T23">
        <f>HLOOKUP("Provisioned MiB",'vInfo (Imported)'!$1:$5000,M23,FALSE)</f>
        <v>1077769</v>
      </c>
      <c r="U23">
        <f t="shared" si="1"/>
        <v>0</v>
      </c>
      <c r="V23">
        <f>HLOOKUP("In Use MiB",'vInfo (Imported)'!$1:$5000,M23,FALSE)</f>
        <v>1077769</v>
      </c>
    </row>
    <row r="24" spans="1:26" ht="13" x14ac:dyDescent="0.3">
      <c r="A24" s="46" t="str">
        <f>'vHosts (Imported)'!A24</f>
        <v>pvind040esx05.carefusion.com</v>
      </c>
      <c r="B24" s="51">
        <f t="shared" si="0"/>
        <v>1</v>
      </c>
      <c r="C24" s="49">
        <f>HLOOKUP("# Cores",'vHosts (Imported)'!$1:$5000,M24,FALSE)</f>
        <v>16</v>
      </c>
      <c r="D24" s="52">
        <f>HLOOKUP("# Memory",'vHosts (Imported)'!$1:$5000,M24,FALSE)</f>
        <v>261922</v>
      </c>
      <c r="F24">
        <v>7.5</v>
      </c>
      <c r="M24" s="45">
        <f t="shared" si="2"/>
        <v>24</v>
      </c>
      <c r="N24" s="38" t="str">
        <f>HLOOKUP("Host",'vInfo (Imported)'!$1:$5000,M24,FALSE)</f>
        <v>pvsgp330rmesx04.bdx.com</v>
      </c>
      <c r="R24">
        <f>HLOOKUP("CPUs",'vInfo (Imported)'!$1:$5000,M24,FALSE)</f>
        <v>4</v>
      </c>
      <c r="S24">
        <f>HLOOKUP("Memory",'vInfo (Imported)'!$1:$5000,M24,FALSE)</f>
        <v>8192</v>
      </c>
      <c r="T24">
        <f>HLOOKUP("Provisioned MiB",'vInfo (Imported)'!$1:$5000,M24,FALSE)</f>
        <v>776303</v>
      </c>
      <c r="U24">
        <f t="shared" si="1"/>
        <v>0</v>
      </c>
      <c r="V24">
        <f>HLOOKUP("In Use MiB",'vInfo (Imported)'!$1:$5000,M24,FALSE)</f>
        <v>776303</v>
      </c>
    </row>
    <row r="25" spans="1:26" ht="13" x14ac:dyDescent="0.3">
      <c r="A25" s="46" t="str">
        <f>'vHosts (Imported)'!A25</f>
        <v>pvind040esx06.carefusion.com</v>
      </c>
      <c r="B25" s="51">
        <f t="shared" si="0"/>
        <v>1</v>
      </c>
      <c r="C25" s="49">
        <f>HLOOKUP("# Cores",'vHosts (Imported)'!$1:$5000,M25,FALSE)</f>
        <v>16</v>
      </c>
      <c r="D25" s="52">
        <f>HLOOKUP("# Memory",'vHosts (Imported)'!$1:$5000,M25,FALSE)</f>
        <v>261922</v>
      </c>
      <c r="F25">
        <v>8</v>
      </c>
      <c r="M25" s="45">
        <f t="shared" si="2"/>
        <v>25</v>
      </c>
      <c r="N25" s="38" t="str">
        <f>HLOOKUP("Host",'vInfo (Imported)'!$1:$5000,M25,FALSE)</f>
        <v>pvsgp330rmesx04.bdx.com</v>
      </c>
      <c r="R25">
        <f>HLOOKUP("CPUs",'vInfo (Imported)'!$1:$5000,M25,FALSE)</f>
        <v>4</v>
      </c>
      <c r="S25">
        <f>HLOOKUP("Memory",'vInfo (Imported)'!$1:$5000,M25,FALSE)</f>
        <v>8192</v>
      </c>
      <c r="T25">
        <f>HLOOKUP("Provisioned MiB",'vInfo (Imported)'!$1:$5000,M25,FALSE)</f>
        <v>295008</v>
      </c>
      <c r="U25">
        <f t="shared" si="1"/>
        <v>0</v>
      </c>
      <c r="V25">
        <f>HLOOKUP("In Use MiB",'vInfo (Imported)'!$1:$5000,M25,FALSE)</f>
        <v>295008</v>
      </c>
    </row>
    <row r="26" spans="1:26" ht="13" x14ac:dyDescent="0.3">
      <c r="A26" s="46" t="str">
        <f>'vHosts (Imported)'!A26</f>
        <v>pvind110rmesx01.bdx.com</v>
      </c>
      <c r="B26" s="51">
        <f t="shared" si="0"/>
        <v>0</v>
      </c>
      <c r="C26" s="49">
        <f>HLOOKUP("# Cores",'vHosts (Imported)'!$1:$5000,M26,FALSE)</f>
        <v>36</v>
      </c>
      <c r="D26" s="52">
        <f>HLOOKUP("# Memory",'vHosts (Imported)'!$1:$5000,M26,FALSE)</f>
        <v>261756</v>
      </c>
      <c r="F26">
        <v>8.5</v>
      </c>
      <c r="M26" s="45">
        <f t="shared" si="2"/>
        <v>26</v>
      </c>
      <c r="N26" s="38" t="str">
        <f>HLOOKUP("Host",'vInfo (Imported)'!$1:$5000,M26,FALSE)</f>
        <v>pvsgp330rmesx03.bdx.com</v>
      </c>
      <c r="R26">
        <f>HLOOKUP("CPUs",'vInfo (Imported)'!$1:$5000,M26,FALSE)</f>
        <v>6</v>
      </c>
      <c r="S26">
        <f>HLOOKUP("Memory",'vInfo (Imported)'!$1:$5000,M26,FALSE)</f>
        <v>32768</v>
      </c>
      <c r="T26">
        <f>HLOOKUP("Provisioned MiB",'vInfo (Imported)'!$1:$5000,M26,FALSE)</f>
        <v>5900007</v>
      </c>
      <c r="U26">
        <f t="shared" si="1"/>
        <v>38328</v>
      </c>
      <c r="V26">
        <f>HLOOKUP("In Use MiB",'vInfo (Imported)'!$1:$5000,M26,FALSE)</f>
        <v>5861679</v>
      </c>
    </row>
    <row r="27" spans="1:26" ht="13" x14ac:dyDescent="0.3">
      <c r="A27" s="46" t="str">
        <f>'vHosts (Imported)'!A27</f>
        <v>pvind110rmesx02.bdx.com</v>
      </c>
      <c r="B27" s="51">
        <f t="shared" si="0"/>
        <v>0</v>
      </c>
      <c r="C27" s="49">
        <f>HLOOKUP("# Cores",'vHosts (Imported)'!$1:$5000,M27,FALSE)</f>
        <v>36</v>
      </c>
      <c r="D27" s="52">
        <f>HLOOKUP("# Memory",'vHosts (Imported)'!$1:$5000,M27,FALSE)</f>
        <v>261756</v>
      </c>
      <c r="F27">
        <v>9</v>
      </c>
      <c r="M27" s="45">
        <f t="shared" si="2"/>
        <v>27</v>
      </c>
      <c r="N27" s="38" t="str">
        <f>HLOOKUP("Host",'vInfo (Imported)'!$1:$5000,M27,FALSE)</f>
        <v>apsgtuvms015.bdx.com</v>
      </c>
      <c r="R27">
        <f>HLOOKUP("CPUs",'vInfo (Imported)'!$1:$5000,M27,FALSE)</f>
        <v>4</v>
      </c>
      <c r="S27">
        <f>HLOOKUP("Memory",'vInfo (Imported)'!$1:$5000,M27,FALSE)</f>
        <v>32768</v>
      </c>
      <c r="T27">
        <f>HLOOKUP("Provisioned MiB",'vInfo (Imported)'!$1:$5000,M27,FALSE)</f>
        <v>2286671</v>
      </c>
      <c r="U27">
        <f t="shared" si="1"/>
        <v>0</v>
      </c>
      <c r="V27">
        <f>HLOOKUP("In Use MiB",'vInfo (Imported)'!$1:$5000,M27,FALSE)</f>
        <v>2286671</v>
      </c>
    </row>
    <row r="28" spans="1:26" ht="13" x14ac:dyDescent="0.3">
      <c r="A28" s="46" t="str">
        <f>'vHosts (Imported)'!A28</f>
        <v>pvind110rmesx03.bdx.com</v>
      </c>
      <c r="B28" s="51">
        <f t="shared" si="0"/>
        <v>0</v>
      </c>
      <c r="C28" s="49">
        <f>HLOOKUP("# Cores",'vHosts (Imported)'!$1:$5000,M28,FALSE)</f>
        <v>36</v>
      </c>
      <c r="D28" s="52">
        <f>HLOOKUP("# Memory",'vHosts (Imported)'!$1:$5000,M28,FALSE)</f>
        <v>261756</v>
      </c>
      <c r="F28">
        <v>9.5</v>
      </c>
      <c r="M28" s="45">
        <f t="shared" si="2"/>
        <v>28</v>
      </c>
      <c r="N28" s="38" t="str">
        <f>HLOOKUP("Host",'vInfo (Imported)'!$1:$5000,M28,FALSE)</f>
        <v>pvsgp330rmesx03.bdx.com</v>
      </c>
      <c r="R28">
        <f>HLOOKUP("CPUs",'vInfo (Imported)'!$1:$5000,M28,FALSE)</f>
        <v>4</v>
      </c>
      <c r="S28">
        <f>HLOOKUP("Memory",'vInfo (Imported)'!$1:$5000,M28,FALSE)</f>
        <v>24576</v>
      </c>
      <c r="T28">
        <f>HLOOKUP("Provisioned MiB",'vInfo (Imported)'!$1:$5000,M28,FALSE)</f>
        <v>587923</v>
      </c>
      <c r="U28">
        <f t="shared" si="1"/>
        <v>0</v>
      </c>
      <c r="V28">
        <f>HLOOKUP("In Use MiB",'vInfo (Imported)'!$1:$5000,M28,FALSE)</f>
        <v>587923</v>
      </c>
    </row>
    <row r="29" spans="1:26" ht="13" x14ac:dyDescent="0.3">
      <c r="A29" s="46" t="str">
        <f>'vHosts (Imported)'!A29</f>
        <v>pvmys020blesx01.bdx.com</v>
      </c>
      <c r="B29" s="51">
        <f t="shared" si="0"/>
        <v>4</v>
      </c>
      <c r="C29" s="49">
        <f>HLOOKUP("# Cores",'vHosts (Imported)'!$1:$5000,M29,FALSE)</f>
        <v>36</v>
      </c>
      <c r="D29" s="52">
        <f>HLOOKUP("# Memory",'vHosts (Imported)'!$1:$5000,M29,FALSE)</f>
        <v>261765</v>
      </c>
      <c r="F29">
        <v>10</v>
      </c>
      <c r="M29" s="45">
        <f t="shared" si="2"/>
        <v>29</v>
      </c>
      <c r="N29" s="38" t="str">
        <f>HLOOKUP("Host",'vInfo (Imported)'!$1:$5000,M29,FALSE)</f>
        <v>pvsgp330rmesx05.bdx.com</v>
      </c>
      <c r="R29">
        <f>HLOOKUP("CPUs",'vInfo (Imported)'!$1:$5000,M29,FALSE)</f>
        <v>4</v>
      </c>
      <c r="S29">
        <f>HLOOKUP("Memory",'vInfo (Imported)'!$1:$5000,M29,FALSE)</f>
        <v>16384</v>
      </c>
      <c r="T29">
        <f>HLOOKUP("Provisioned MiB",'vInfo (Imported)'!$1:$5000,M29,FALSE)</f>
        <v>262232</v>
      </c>
      <c r="U29">
        <f t="shared" si="1"/>
        <v>0</v>
      </c>
      <c r="V29">
        <f>HLOOKUP("In Use MiB",'vInfo (Imported)'!$1:$5000,M29,FALSE)</f>
        <v>262232</v>
      </c>
    </row>
    <row r="30" spans="1:26" ht="13" x14ac:dyDescent="0.3">
      <c r="A30" s="46" t="str">
        <f>'vHosts (Imported)'!A30</f>
        <v>pvmys020blesx02.bdx.com</v>
      </c>
      <c r="B30" s="51">
        <f t="shared" si="0"/>
        <v>2</v>
      </c>
      <c r="C30" s="49">
        <f>HLOOKUP("# Cores",'vHosts (Imported)'!$1:$5000,M30,FALSE)</f>
        <v>36</v>
      </c>
      <c r="D30" s="52">
        <f>HLOOKUP("# Memory",'vHosts (Imported)'!$1:$5000,M30,FALSE)</f>
        <v>261765</v>
      </c>
      <c r="M30" s="45">
        <f t="shared" si="2"/>
        <v>30</v>
      </c>
      <c r="N30" s="38" t="str">
        <f>HLOOKUP("Host",'vInfo (Imported)'!$1:$5000,M30,FALSE)</f>
        <v>apsgtuvms015.bdx.com</v>
      </c>
      <c r="R30">
        <f>HLOOKUP("CPUs",'vInfo (Imported)'!$1:$5000,M30,FALSE)</f>
        <v>4</v>
      </c>
      <c r="S30">
        <f>HLOOKUP("Memory",'vInfo (Imported)'!$1:$5000,M30,FALSE)</f>
        <v>16384</v>
      </c>
      <c r="T30">
        <f>HLOOKUP("Provisioned MiB",'vInfo (Imported)'!$1:$5000,M30,FALSE)</f>
        <v>262234</v>
      </c>
      <c r="U30">
        <f t="shared" si="1"/>
        <v>0</v>
      </c>
      <c r="V30">
        <f>HLOOKUP("In Use MiB",'vInfo (Imported)'!$1:$5000,M30,FALSE)</f>
        <v>262234</v>
      </c>
    </row>
    <row r="31" spans="1:26" ht="13" x14ac:dyDescent="0.3">
      <c r="A31" s="46" t="str">
        <f>'vHosts (Imported)'!A31</f>
        <v>pvmys020esx03.bdx.com</v>
      </c>
      <c r="B31" s="51">
        <f t="shared" si="0"/>
        <v>0</v>
      </c>
      <c r="C31" s="49">
        <f>HLOOKUP("# Cores",'vHosts (Imported)'!$1:$5000,M31,FALSE)</f>
        <v>20</v>
      </c>
      <c r="D31" s="52">
        <f>HLOOKUP("# Memory",'vHosts (Imported)'!$1:$5000,M31,FALSE)</f>
        <v>261922</v>
      </c>
      <c r="M31" s="45">
        <f t="shared" si="2"/>
        <v>31</v>
      </c>
      <c r="N31" s="38" t="str">
        <f>HLOOKUP("Host",'vInfo (Imported)'!$1:$5000,M31,FALSE)</f>
        <v>pvsgp330rmesx02.bdx.com</v>
      </c>
      <c r="R31">
        <f>HLOOKUP("CPUs",'vInfo (Imported)'!$1:$5000,M31,FALSE)</f>
        <v>4</v>
      </c>
      <c r="S31">
        <f>HLOOKUP("Memory",'vInfo (Imported)'!$1:$5000,M31,FALSE)</f>
        <v>16384</v>
      </c>
      <c r="T31">
        <f>HLOOKUP("Provisioned MiB",'vInfo (Imported)'!$1:$5000,M31,FALSE)</f>
        <v>262235</v>
      </c>
      <c r="U31">
        <f t="shared" si="1"/>
        <v>0</v>
      </c>
      <c r="V31">
        <f>HLOOKUP("In Use MiB",'vInfo (Imported)'!$1:$5000,M31,FALSE)</f>
        <v>262235</v>
      </c>
    </row>
    <row r="32" spans="1:26" ht="13" x14ac:dyDescent="0.3">
      <c r="A32" s="46" t="str">
        <f>'vHosts (Imported)'!A32</f>
        <v>pvmys020esx04.bdx.com</v>
      </c>
      <c r="B32" s="51">
        <f t="shared" si="0"/>
        <v>0</v>
      </c>
      <c r="C32" s="49">
        <f>HLOOKUP("# Cores",'vHosts (Imported)'!$1:$5000,M32,FALSE)</f>
        <v>20</v>
      </c>
      <c r="D32" s="52">
        <f>HLOOKUP("# Memory",'vHosts (Imported)'!$1:$5000,M32,FALSE)</f>
        <v>261922</v>
      </c>
      <c r="M32" s="45">
        <f t="shared" si="2"/>
        <v>32</v>
      </c>
      <c r="N32" s="38" t="str">
        <f>HLOOKUP("Host",'vInfo (Imported)'!$1:$5000,M32,FALSE)</f>
        <v>pvsgp330rmesx05.bdx.com</v>
      </c>
      <c r="R32">
        <f>HLOOKUP("CPUs",'vInfo (Imported)'!$1:$5000,M32,FALSE)</f>
        <v>4</v>
      </c>
      <c r="S32">
        <f>HLOOKUP("Memory",'vInfo (Imported)'!$1:$5000,M32,FALSE)</f>
        <v>16384</v>
      </c>
      <c r="T32">
        <f>HLOOKUP("Provisioned MiB",'vInfo (Imported)'!$1:$5000,M32,FALSE)</f>
        <v>262408</v>
      </c>
      <c r="U32">
        <f t="shared" si="1"/>
        <v>0</v>
      </c>
      <c r="V32">
        <f>HLOOKUP("In Use MiB",'vInfo (Imported)'!$1:$5000,M32,FALSE)</f>
        <v>262408</v>
      </c>
    </row>
    <row r="33" spans="1:22" ht="13" x14ac:dyDescent="0.3">
      <c r="A33" s="46" t="str">
        <f>'vHosts (Imported)'!A33</f>
        <v>pvmys020kltsc04.bdx.com</v>
      </c>
      <c r="B33" s="51">
        <f t="shared" si="0"/>
        <v>8</v>
      </c>
      <c r="C33" s="49">
        <f>HLOOKUP("# Cores",'vHosts (Imported)'!$1:$5000,M33,FALSE)</f>
        <v>12</v>
      </c>
      <c r="D33" s="52">
        <f>HLOOKUP("# Memory",'vHosts (Imported)'!$1:$5000,M33,FALSE)</f>
        <v>65312</v>
      </c>
      <c r="M33" s="45">
        <f t="shared" si="2"/>
        <v>33</v>
      </c>
      <c r="N33" s="38">
        <f>HLOOKUP("Host",'vInfo (Imported)'!$1:$5000,M33,FALSE)</f>
        <v>0</v>
      </c>
      <c r="R33">
        <f>HLOOKUP("CPUs",'vInfo (Imported)'!$1:$5000,M33,FALSE)</f>
        <v>0</v>
      </c>
      <c r="S33">
        <f>HLOOKUP("Memory",'vInfo (Imported)'!$1:$5000,M33,FALSE)</f>
        <v>0</v>
      </c>
      <c r="T33">
        <f>HLOOKUP("Provisioned MiB",'vInfo (Imported)'!$1:$5000,M33,FALSE)</f>
        <v>0</v>
      </c>
      <c r="U33">
        <f t="shared" si="1"/>
        <v>0</v>
      </c>
      <c r="V33">
        <f>HLOOKUP("In Use MiB",'vInfo (Imported)'!$1:$5000,M33,FALSE)</f>
        <v>0</v>
      </c>
    </row>
    <row r="34" spans="1:22" ht="13" x14ac:dyDescent="0.3">
      <c r="A34" s="46" t="str">
        <f>'vHosts (Imported)'!A34</f>
        <v>pvsgp330rmesx01.bdx.com</v>
      </c>
      <c r="B34" s="51">
        <f t="shared" si="0"/>
        <v>0</v>
      </c>
      <c r="C34" s="49">
        <f>HLOOKUP("# Cores",'vHosts (Imported)'!$1:$5000,M34,FALSE)</f>
        <v>36</v>
      </c>
      <c r="D34" s="52">
        <f>HLOOKUP("# Memory",'vHosts (Imported)'!$1:$5000,M34,FALSE)</f>
        <v>523906</v>
      </c>
      <c r="M34" s="45">
        <f t="shared" si="2"/>
        <v>34</v>
      </c>
      <c r="N34" s="38">
        <f>HLOOKUP("Host",'vInfo (Imported)'!$1:$5000,M34,FALSE)</f>
        <v>0</v>
      </c>
      <c r="R34">
        <f>HLOOKUP("CPUs",'vInfo (Imported)'!$1:$5000,M34,FALSE)</f>
        <v>0</v>
      </c>
      <c r="S34">
        <f>HLOOKUP("Memory",'vInfo (Imported)'!$1:$5000,M34,FALSE)</f>
        <v>0</v>
      </c>
      <c r="T34">
        <f>HLOOKUP("Provisioned MiB",'vInfo (Imported)'!$1:$5000,M34,FALSE)</f>
        <v>0</v>
      </c>
      <c r="U34">
        <f t="shared" si="1"/>
        <v>0</v>
      </c>
      <c r="V34">
        <f>HLOOKUP("In Use MiB",'vInfo (Imported)'!$1:$5000,M34,FALSE)</f>
        <v>0</v>
      </c>
    </row>
    <row r="35" spans="1:22" ht="13" x14ac:dyDescent="0.3">
      <c r="A35" s="46" t="str">
        <f>'vHosts (Imported)'!A35</f>
        <v>pvsgp330rmesx02.bdx.com</v>
      </c>
      <c r="B35" s="51">
        <f t="shared" si="0"/>
        <v>1</v>
      </c>
      <c r="C35" s="49">
        <f>HLOOKUP("# Cores",'vHosts (Imported)'!$1:$5000,M35,FALSE)</f>
        <v>36</v>
      </c>
      <c r="D35" s="52">
        <f>HLOOKUP("# Memory",'vHosts (Imported)'!$1:$5000,M35,FALSE)</f>
        <v>523906</v>
      </c>
      <c r="M35" s="45">
        <f t="shared" si="2"/>
        <v>35</v>
      </c>
      <c r="N35" s="38">
        <f>HLOOKUP("Host",'vInfo (Imported)'!$1:$5000,M35,FALSE)</f>
        <v>0</v>
      </c>
      <c r="R35">
        <f>HLOOKUP("CPUs",'vInfo (Imported)'!$1:$5000,M35,FALSE)</f>
        <v>0</v>
      </c>
      <c r="S35">
        <f>HLOOKUP("Memory",'vInfo (Imported)'!$1:$5000,M35,FALSE)</f>
        <v>0</v>
      </c>
      <c r="T35">
        <f>HLOOKUP("Provisioned MiB",'vInfo (Imported)'!$1:$5000,M35,FALSE)</f>
        <v>0</v>
      </c>
      <c r="U35">
        <f t="shared" si="1"/>
        <v>0</v>
      </c>
      <c r="V35">
        <f>HLOOKUP("In Use MiB",'vInfo (Imported)'!$1:$5000,M35,FALSE)</f>
        <v>0</v>
      </c>
    </row>
    <row r="36" spans="1:22" ht="13" x14ac:dyDescent="0.3">
      <c r="A36" s="46" t="str">
        <f>'vHosts (Imported)'!A36</f>
        <v>pvsgp330rmesx03.bdx.com</v>
      </c>
      <c r="B36" s="51">
        <f t="shared" si="0"/>
        <v>2</v>
      </c>
      <c r="C36" s="49">
        <f>HLOOKUP("# Cores",'vHosts (Imported)'!$1:$5000,M36,FALSE)</f>
        <v>36</v>
      </c>
      <c r="D36" s="52">
        <f>HLOOKUP("# Memory",'vHosts (Imported)'!$1:$5000,M36,FALSE)</f>
        <v>523906</v>
      </c>
      <c r="M36" s="45">
        <f t="shared" si="2"/>
        <v>36</v>
      </c>
      <c r="N36" s="38">
        <f>HLOOKUP("Host",'vInfo (Imported)'!$1:$5000,M36,FALSE)</f>
        <v>0</v>
      </c>
      <c r="R36">
        <f>HLOOKUP("CPUs",'vInfo (Imported)'!$1:$5000,M36,FALSE)</f>
        <v>0</v>
      </c>
      <c r="S36">
        <f>HLOOKUP("Memory",'vInfo (Imported)'!$1:$5000,M36,FALSE)</f>
        <v>0</v>
      </c>
      <c r="T36">
        <f>HLOOKUP("Provisioned MiB",'vInfo (Imported)'!$1:$5000,M36,FALSE)</f>
        <v>0</v>
      </c>
      <c r="U36">
        <f t="shared" si="1"/>
        <v>0</v>
      </c>
      <c r="V36">
        <f>HLOOKUP("In Use MiB",'vInfo (Imported)'!$1:$5000,M36,FALSE)</f>
        <v>0</v>
      </c>
    </row>
    <row r="37" spans="1:22" ht="13" x14ac:dyDescent="0.3">
      <c r="A37" s="46" t="str">
        <f>'vHosts (Imported)'!A37</f>
        <v>pvsgp330rmesx04.bdx.com</v>
      </c>
      <c r="B37" s="51">
        <f t="shared" si="0"/>
        <v>4</v>
      </c>
      <c r="C37" s="49">
        <f>HLOOKUP("# Cores",'vHosts (Imported)'!$1:$5000,M37,FALSE)</f>
        <v>36</v>
      </c>
      <c r="D37" s="52">
        <f>HLOOKUP("# Memory",'vHosts (Imported)'!$1:$5000,M37,FALSE)</f>
        <v>523906</v>
      </c>
      <c r="M37" s="45">
        <f t="shared" si="2"/>
        <v>37</v>
      </c>
      <c r="N37" s="38">
        <f>HLOOKUP("Host",'vInfo (Imported)'!$1:$5000,M37,FALSE)</f>
        <v>0</v>
      </c>
      <c r="R37">
        <f>HLOOKUP("CPUs",'vInfo (Imported)'!$1:$5000,M37,FALSE)</f>
        <v>0</v>
      </c>
      <c r="S37">
        <f>HLOOKUP("Memory",'vInfo (Imported)'!$1:$5000,M37,FALSE)</f>
        <v>0</v>
      </c>
      <c r="T37">
        <f>HLOOKUP("Provisioned MiB",'vInfo (Imported)'!$1:$5000,M37,FALSE)</f>
        <v>0</v>
      </c>
      <c r="U37">
        <f t="shared" si="1"/>
        <v>0</v>
      </c>
      <c r="V37">
        <f>HLOOKUP("In Use MiB",'vInfo (Imported)'!$1:$5000,M37,FALSE)</f>
        <v>0</v>
      </c>
    </row>
    <row r="38" spans="1:22" ht="13" x14ac:dyDescent="0.3">
      <c r="A38" s="46" t="str">
        <f>'vHosts (Imported)'!A38</f>
        <v>pvsgp330rmesx05.bdx.com</v>
      </c>
      <c r="B38" s="51">
        <f t="shared" si="0"/>
        <v>3</v>
      </c>
      <c r="C38" s="49">
        <f>HLOOKUP("# Cores",'vHosts (Imported)'!$1:$5000,M38,FALSE)</f>
        <v>48</v>
      </c>
      <c r="D38" s="52">
        <f>HLOOKUP("# Memory",'vHosts (Imported)'!$1:$5000,M38,FALSE)</f>
        <v>523899</v>
      </c>
      <c r="M38" s="45">
        <f t="shared" si="2"/>
        <v>38</v>
      </c>
      <c r="N38" s="38">
        <f>HLOOKUP("Host",'vInfo (Imported)'!$1:$5000,M38,FALSE)</f>
        <v>0</v>
      </c>
      <c r="R38">
        <f>HLOOKUP("CPUs",'vInfo (Imported)'!$1:$5000,M38,FALSE)</f>
        <v>0</v>
      </c>
      <c r="S38">
        <f>HLOOKUP("Memory",'vInfo (Imported)'!$1:$5000,M38,FALSE)</f>
        <v>0</v>
      </c>
      <c r="T38">
        <f>HLOOKUP("Provisioned MiB",'vInfo (Imported)'!$1:$5000,M38,FALSE)</f>
        <v>0</v>
      </c>
      <c r="U38">
        <f t="shared" si="1"/>
        <v>0</v>
      </c>
      <c r="V38">
        <f>HLOOKUP("In Use MiB",'vInfo (Imported)'!$1:$5000,M38,FALSE)</f>
        <v>0</v>
      </c>
    </row>
    <row r="39" spans="1:22" ht="13" x14ac:dyDescent="0.3">
      <c r="A39" s="46" t="str">
        <f>'vHosts (Imported)'!A39</f>
        <v>taivmwesx1.ap.ad.crbard.com</v>
      </c>
      <c r="B39" s="51">
        <f t="shared" si="0"/>
        <v>0</v>
      </c>
      <c r="C39" s="49">
        <f>HLOOKUP("# Cores",'vHosts (Imported)'!$1:$5000,M39,FALSE)</f>
        <v>36</v>
      </c>
      <c r="D39" s="52">
        <f>HLOOKUP("# Memory",'vHosts (Imported)'!$1:$5000,M39,FALSE)</f>
        <v>524194</v>
      </c>
      <c r="M39" s="45">
        <f t="shared" si="2"/>
        <v>39</v>
      </c>
      <c r="N39" s="38">
        <f>HLOOKUP("Host",'vInfo (Imported)'!$1:$5000,M39,FALSE)</f>
        <v>0</v>
      </c>
      <c r="R39">
        <f>HLOOKUP("CPUs",'vInfo (Imported)'!$1:$5000,M39,FALSE)</f>
        <v>0</v>
      </c>
      <c r="S39">
        <f>HLOOKUP("Memory",'vInfo (Imported)'!$1:$5000,M39,FALSE)</f>
        <v>0</v>
      </c>
      <c r="T39">
        <f>HLOOKUP("Provisioned MiB",'vInfo (Imported)'!$1:$5000,M39,FALSE)</f>
        <v>0</v>
      </c>
      <c r="U39">
        <f t="shared" si="1"/>
        <v>0</v>
      </c>
      <c r="V39">
        <f>HLOOKUP("In Use MiB",'vInfo (Imported)'!$1:$5000,M39,FALSE)</f>
        <v>0</v>
      </c>
    </row>
    <row r="40" spans="1:22" ht="13" x14ac:dyDescent="0.3">
      <c r="A40" s="46" t="str">
        <f>'vHosts (Imported)'!A40</f>
        <v>taivmwesx2.ap.ad.crbard.com</v>
      </c>
      <c r="B40" s="51">
        <f t="shared" si="0"/>
        <v>0</v>
      </c>
      <c r="C40" s="49">
        <f>HLOOKUP("# Cores",'vHosts (Imported)'!$1:$5000,M40,FALSE)</f>
        <v>36</v>
      </c>
      <c r="D40" s="52">
        <f>HLOOKUP("# Memory",'vHosts (Imported)'!$1:$5000,M40,FALSE)</f>
        <v>524194</v>
      </c>
      <c r="M40" s="45">
        <f t="shared" si="2"/>
        <v>40</v>
      </c>
      <c r="N40" s="38">
        <f>HLOOKUP("Host",'vInfo (Imported)'!$1:$5000,M40,FALSE)</f>
        <v>0</v>
      </c>
      <c r="R40">
        <f>HLOOKUP("CPUs",'vInfo (Imported)'!$1:$5000,M40,FALSE)</f>
        <v>0</v>
      </c>
      <c r="S40">
        <f>HLOOKUP("Memory",'vInfo (Imported)'!$1:$5000,M40,FALSE)</f>
        <v>0</v>
      </c>
      <c r="T40">
        <f>HLOOKUP("Provisioned MiB",'vInfo (Imported)'!$1:$5000,M40,FALSE)</f>
        <v>0</v>
      </c>
      <c r="U40">
        <f t="shared" si="1"/>
        <v>0</v>
      </c>
      <c r="V40">
        <f>HLOOKUP("In Use MiB",'vInfo (Imported)'!$1:$5000,M40,FALSE)</f>
        <v>0</v>
      </c>
    </row>
    <row r="41" spans="1:22" ht="13" x14ac:dyDescent="0.3">
      <c r="A41" s="46">
        <f>'vHosts (Imported)'!A41</f>
        <v>0</v>
      </c>
      <c r="B41" s="51">
        <f t="shared" si="0"/>
        <v>4968</v>
      </c>
      <c r="C41" s="49">
        <f>HLOOKUP("# Cores",'vHosts (Imported)'!$1:$5000,M41,FALSE)</f>
        <v>0</v>
      </c>
      <c r="D41" s="52">
        <f>HLOOKUP("# Memory",'vHosts (Imported)'!$1:$5000,M41,FALSE)</f>
        <v>0</v>
      </c>
      <c r="M41" s="45">
        <f t="shared" si="2"/>
        <v>41</v>
      </c>
      <c r="N41" s="38">
        <f>HLOOKUP("Host",'vInfo (Imported)'!$1:$5000,M41,FALSE)</f>
        <v>0</v>
      </c>
      <c r="R41">
        <f>HLOOKUP("CPUs",'vInfo (Imported)'!$1:$5000,M41,FALSE)</f>
        <v>0</v>
      </c>
      <c r="S41">
        <f>HLOOKUP("Memory",'vInfo (Imported)'!$1:$5000,M41,FALSE)</f>
        <v>0</v>
      </c>
      <c r="T41">
        <f>HLOOKUP("Provisioned MiB",'vInfo (Imported)'!$1:$5000,M41,FALSE)</f>
        <v>0</v>
      </c>
      <c r="U41">
        <f t="shared" si="1"/>
        <v>0</v>
      </c>
      <c r="V41">
        <f>HLOOKUP("In Use MiB",'vInfo (Imported)'!$1:$5000,M41,FALSE)</f>
        <v>0</v>
      </c>
    </row>
    <row r="42" spans="1:22" ht="13" x14ac:dyDescent="0.3">
      <c r="A42" s="46">
        <f>'vHosts (Imported)'!A42</f>
        <v>0</v>
      </c>
      <c r="B42" s="51">
        <f t="shared" si="0"/>
        <v>4968</v>
      </c>
      <c r="C42" s="49">
        <f>HLOOKUP("# Cores",'vHosts (Imported)'!$1:$5000,M42,FALSE)</f>
        <v>0</v>
      </c>
      <c r="D42" s="52">
        <f>HLOOKUP("# Memory",'vHosts (Imported)'!$1:$5000,M42,FALSE)</f>
        <v>0</v>
      </c>
      <c r="M42" s="45">
        <f t="shared" si="2"/>
        <v>42</v>
      </c>
      <c r="N42" s="38">
        <f>HLOOKUP("Host",'vInfo (Imported)'!$1:$5000,M42,FALSE)</f>
        <v>0</v>
      </c>
      <c r="R42">
        <f>HLOOKUP("CPUs",'vInfo (Imported)'!$1:$5000,M42,FALSE)</f>
        <v>0</v>
      </c>
      <c r="S42">
        <f>HLOOKUP("Memory",'vInfo (Imported)'!$1:$5000,M42,FALSE)</f>
        <v>0</v>
      </c>
      <c r="T42">
        <f>HLOOKUP("Provisioned MiB",'vInfo (Imported)'!$1:$5000,M42,FALSE)</f>
        <v>0</v>
      </c>
      <c r="U42">
        <f t="shared" si="1"/>
        <v>0</v>
      </c>
      <c r="V42">
        <f>HLOOKUP("In Use MiB",'vInfo (Imported)'!$1:$5000,M42,FALSE)</f>
        <v>0</v>
      </c>
    </row>
    <row r="43" spans="1:22" ht="13" x14ac:dyDescent="0.3">
      <c r="A43" s="46">
        <f>'vHosts (Imported)'!A43</f>
        <v>0</v>
      </c>
      <c r="B43" s="51">
        <f t="shared" si="0"/>
        <v>4968</v>
      </c>
      <c r="C43" s="49">
        <f>HLOOKUP("# Cores",'vHosts (Imported)'!$1:$5000,M43,FALSE)</f>
        <v>0</v>
      </c>
      <c r="D43" s="52">
        <f>HLOOKUP("# Memory",'vHosts (Imported)'!$1:$5000,M43,FALSE)</f>
        <v>0</v>
      </c>
      <c r="M43" s="45">
        <f t="shared" si="2"/>
        <v>43</v>
      </c>
      <c r="N43" s="38">
        <f>HLOOKUP("Host",'vInfo (Imported)'!$1:$5000,M43,FALSE)</f>
        <v>0</v>
      </c>
      <c r="R43">
        <f>HLOOKUP("CPUs",'vInfo (Imported)'!$1:$5000,M43,FALSE)</f>
        <v>0</v>
      </c>
      <c r="S43">
        <f>HLOOKUP("Memory",'vInfo (Imported)'!$1:$5000,M43,FALSE)</f>
        <v>0</v>
      </c>
      <c r="T43">
        <f>HLOOKUP("Provisioned MiB",'vInfo (Imported)'!$1:$5000,M43,FALSE)</f>
        <v>0</v>
      </c>
      <c r="U43">
        <f t="shared" si="1"/>
        <v>0</v>
      </c>
      <c r="V43">
        <f>HLOOKUP("In Use MiB",'vInfo (Imported)'!$1:$5000,M43,FALSE)</f>
        <v>0</v>
      </c>
    </row>
    <row r="44" spans="1:22" ht="13" x14ac:dyDescent="0.3">
      <c r="A44" s="46">
        <f>'vHosts (Imported)'!A44</f>
        <v>0</v>
      </c>
      <c r="B44" s="51">
        <f t="shared" si="0"/>
        <v>4968</v>
      </c>
      <c r="C44" s="49">
        <f>HLOOKUP("# Cores",'vHosts (Imported)'!$1:$5000,M44,FALSE)</f>
        <v>0</v>
      </c>
      <c r="D44" s="52">
        <f>HLOOKUP("# Memory",'vHosts (Imported)'!$1:$5000,M44,FALSE)</f>
        <v>0</v>
      </c>
      <c r="M44" s="45">
        <f t="shared" si="2"/>
        <v>44</v>
      </c>
      <c r="N44" s="38">
        <f>HLOOKUP("Host",'vInfo (Imported)'!$1:$5000,M44,FALSE)</f>
        <v>0</v>
      </c>
      <c r="R44">
        <f>HLOOKUP("CPUs",'vInfo (Imported)'!$1:$5000,M44,FALSE)</f>
        <v>0</v>
      </c>
      <c r="S44">
        <f>HLOOKUP("Memory",'vInfo (Imported)'!$1:$5000,M44,FALSE)</f>
        <v>0</v>
      </c>
      <c r="T44">
        <f>HLOOKUP("Provisioned MiB",'vInfo (Imported)'!$1:$5000,M44,FALSE)</f>
        <v>0</v>
      </c>
      <c r="U44">
        <f t="shared" si="1"/>
        <v>0</v>
      </c>
      <c r="V44">
        <f>HLOOKUP("In Use MiB",'vInfo (Imported)'!$1:$5000,M44,FALSE)</f>
        <v>0</v>
      </c>
    </row>
    <row r="45" spans="1:22" ht="13" x14ac:dyDescent="0.3">
      <c r="A45" s="46">
        <f>'vHosts (Imported)'!A45</f>
        <v>0</v>
      </c>
      <c r="B45" s="51">
        <f t="shared" si="0"/>
        <v>4968</v>
      </c>
      <c r="C45" s="49">
        <f>HLOOKUP("# Cores",'vHosts (Imported)'!$1:$5000,M45,FALSE)</f>
        <v>0</v>
      </c>
      <c r="D45" s="52">
        <f>HLOOKUP("# Memory",'vHosts (Imported)'!$1:$5000,M45,FALSE)</f>
        <v>0</v>
      </c>
      <c r="M45" s="45">
        <f t="shared" si="2"/>
        <v>45</v>
      </c>
      <c r="N45" s="38">
        <f>HLOOKUP("Host",'vInfo (Imported)'!$1:$5000,M45,FALSE)</f>
        <v>0</v>
      </c>
      <c r="R45">
        <f>HLOOKUP("CPUs",'vInfo (Imported)'!$1:$5000,M45,FALSE)</f>
        <v>0</v>
      </c>
      <c r="S45">
        <f>HLOOKUP("Memory",'vInfo (Imported)'!$1:$5000,M45,FALSE)</f>
        <v>0</v>
      </c>
      <c r="T45">
        <f>HLOOKUP("Provisioned MiB",'vInfo (Imported)'!$1:$5000,M45,FALSE)</f>
        <v>0</v>
      </c>
      <c r="U45">
        <f t="shared" si="1"/>
        <v>0</v>
      </c>
      <c r="V45">
        <f>HLOOKUP("In Use MiB",'vInfo (Imported)'!$1:$5000,M45,FALSE)</f>
        <v>0</v>
      </c>
    </row>
    <row r="46" spans="1:22" ht="13" x14ac:dyDescent="0.3">
      <c r="A46" s="46">
        <f>'vHosts (Imported)'!A46</f>
        <v>0</v>
      </c>
      <c r="B46" s="51">
        <f t="shared" si="0"/>
        <v>4968</v>
      </c>
      <c r="C46" s="49">
        <f>HLOOKUP("# Cores",'vHosts (Imported)'!$1:$5000,M46,FALSE)</f>
        <v>0</v>
      </c>
      <c r="D46" s="52">
        <f>HLOOKUP("# Memory",'vHosts (Imported)'!$1:$5000,M46,FALSE)</f>
        <v>0</v>
      </c>
      <c r="M46" s="45">
        <f t="shared" si="2"/>
        <v>46</v>
      </c>
      <c r="N46" s="38">
        <f>HLOOKUP("Host",'vInfo (Imported)'!$1:$5000,M46,FALSE)</f>
        <v>0</v>
      </c>
      <c r="R46">
        <f>HLOOKUP("CPUs",'vInfo (Imported)'!$1:$5000,M46,FALSE)</f>
        <v>0</v>
      </c>
      <c r="S46">
        <f>HLOOKUP("Memory",'vInfo (Imported)'!$1:$5000,M46,FALSE)</f>
        <v>0</v>
      </c>
      <c r="T46">
        <f>HLOOKUP("Provisioned MiB",'vInfo (Imported)'!$1:$5000,M46,FALSE)</f>
        <v>0</v>
      </c>
      <c r="U46">
        <f t="shared" si="1"/>
        <v>0</v>
      </c>
      <c r="V46">
        <f>HLOOKUP("In Use MiB",'vInfo (Imported)'!$1:$5000,M46,FALSE)</f>
        <v>0</v>
      </c>
    </row>
    <row r="47" spans="1:22" ht="13" x14ac:dyDescent="0.3">
      <c r="A47" s="46">
        <f>'vHosts (Imported)'!A47</f>
        <v>0</v>
      </c>
      <c r="B47" s="51">
        <f t="shared" si="0"/>
        <v>4968</v>
      </c>
      <c r="C47" s="49">
        <f>HLOOKUP("# Cores",'vHosts (Imported)'!$1:$5000,M47,FALSE)</f>
        <v>0</v>
      </c>
      <c r="D47" s="52">
        <f>HLOOKUP("# Memory",'vHosts (Imported)'!$1:$5000,M47,FALSE)</f>
        <v>0</v>
      </c>
      <c r="M47" s="45">
        <f t="shared" si="2"/>
        <v>47</v>
      </c>
      <c r="N47" s="38">
        <f>HLOOKUP("Host",'vInfo (Imported)'!$1:$5000,M47,FALSE)</f>
        <v>0</v>
      </c>
      <c r="R47">
        <f>HLOOKUP("CPUs",'vInfo (Imported)'!$1:$5000,M47,FALSE)</f>
        <v>0</v>
      </c>
      <c r="S47">
        <f>HLOOKUP("Memory",'vInfo (Imported)'!$1:$5000,M47,FALSE)</f>
        <v>0</v>
      </c>
      <c r="T47">
        <f>HLOOKUP("Provisioned MiB",'vInfo (Imported)'!$1:$5000,M47,FALSE)</f>
        <v>0</v>
      </c>
      <c r="U47">
        <f t="shared" si="1"/>
        <v>0</v>
      </c>
      <c r="V47">
        <f>HLOOKUP("In Use MiB",'vInfo (Imported)'!$1:$5000,M47,FALSE)</f>
        <v>0</v>
      </c>
    </row>
    <row r="48" spans="1:22" ht="13" x14ac:dyDescent="0.3">
      <c r="A48" s="46">
        <f>'vHosts (Imported)'!A48</f>
        <v>0</v>
      </c>
      <c r="B48" s="51">
        <f t="shared" si="0"/>
        <v>4968</v>
      </c>
      <c r="C48" s="49">
        <f>HLOOKUP("# Cores",'vHosts (Imported)'!$1:$5000,M48,FALSE)</f>
        <v>0</v>
      </c>
      <c r="D48" s="52">
        <f>HLOOKUP("# Memory",'vHosts (Imported)'!$1:$5000,M48,FALSE)</f>
        <v>0</v>
      </c>
      <c r="M48" s="45">
        <f t="shared" si="2"/>
        <v>48</v>
      </c>
      <c r="N48" s="38">
        <f>HLOOKUP("Host",'vInfo (Imported)'!$1:$5000,M48,FALSE)</f>
        <v>0</v>
      </c>
      <c r="R48">
        <f>HLOOKUP("CPUs",'vInfo (Imported)'!$1:$5000,M48,FALSE)</f>
        <v>0</v>
      </c>
      <c r="S48">
        <f>HLOOKUP("Memory",'vInfo (Imported)'!$1:$5000,M48,FALSE)</f>
        <v>0</v>
      </c>
      <c r="T48">
        <f>HLOOKUP("Provisioned MiB",'vInfo (Imported)'!$1:$5000,M48,FALSE)</f>
        <v>0</v>
      </c>
      <c r="U48">
        <f t="shared" si="1"/>
        <v>0</v>
      </c>
      <c r="V48">
        <f>HLOOKUP("In Use MiB",'vInfo (Imported)'!$1:$5000,M48,FALSE)</f>
        <v>0</v>
      </c>
    </row>
    <row r="49" spans="1:22" ht="13" x14ac:dyDescent="0.3">
      <c r="A49" s="46">
        <f>'vHosts (Imported)'!A49</f>
        <v>0</v>
      </c>
      <c r="B49" s="51">
        <f t="shared" si="0"/>
        <v>4968</v>
      </c>
      <c r="C49" s="49">
        <f>HLOOKUP("# Cores",'vHosts (Imported)'!$1:$5000,M49,FALSE)</f>
        <v>0</v>
      </c>
      <c r="D49" s="52">
        <f>HLOOKUP("# Memory",'vHosts (Imported)'!$1:$5000,M49,FALSE)</f>
        <v>0</v>
      </c>
      <c r="M49" s="45">
        <f t="shared" si="2"/>
        <v>49</v>
      </c>
      <c r="N49" s="38">
        <f>HLOOKUP("Host",'vInfo (Imported)'!$1:$5000,M49,FALSE)</f>
        <v>0</v>
      </c>
      <c r="R49">
        <f>HLOOKUP("CPUs",'vInfo (Imported)'!$1:$5000,M49,FALSE)</f>
        <v>0</v>
      </c>
      <c r="S49">
        <f>HLOOKUP("Memory",'vInfo (Imported)'!$1:$5000,M49,FALSE)</f>
        <v>0</v>
      </c>
      <c r="T49">
        <f>HLOOKUP("Provisioned MiB",'vInfo (Imported)'!$1:$5000,M49,FALSE)</f>
        <v>0</v>
      </c>
      <c r="U49">
        <f t="shared" si="1"/>
        <v>0</v>
      </c>
      <c r="V49">
        <f>HLOOKUP("In Use MiB",'vInfo (Imported)'!$1:$5000,M49,FALSE)</f>
        <v>0</v>
      </c>
    </row>
    <row r="50" spans="1:22" ht="13" x14ac:dyDescent="0.3">
      <c r="A50" s="46">
        <f>'vHosts (Imported)'!A50</f>
        <v>0</v>
      </c>
      <c r="B50" s="51">
        <f t="shared" si="0"/>
        <v>4968</v>
      </c>
      <c r="C50" s="49">
        <f>HLOOKUP("# Cores",'vHosts (Imported)'!$1:$5000,M50,FALSE)</f>
        <v>0</v>
      </c>
      <c r="D50" s="52">
        <f>HLOOKUP("# Memory",'vHosts (Imported)'!$1:$5000,M50,FALSE)</f>
        <v>0</v>
      </c>
      <c r="M50" s="45">
        <f t="shared" si="2"/>
        <v>50</v>
      </c>
      <c r="N50" s="38">
        <f>HLOOKUP("Host",'vInfo (Imported)'!$1:$5000,M50,FALSE)</f>
        <v>0</v>
      </c>
      <c r="R50">
        <f>HLOOKUP("CPUs",'vInfo (Imported)'!$1:$5000,M50,FALSE)</f>
        <v>0</v>
      </c>
      <c r="S50">
        <f>HLOOKUP("Memory",'vInfo (Imported)'!$1:$5000,M50,FALSE)</f>
        <v>0</v>
      </c>
      <c r="T50">
        <f>HLOOKUP("Provisioned MiB",'vInfo (Imported)'!$1:$5000,M50,FALSE)</f>
        <v>0</v>
      </c>
      <c r="U50">
        <f t="shared" si="1"/>
        <v>0</v>
      </c>
      <c r="V50">
        <f>HLOOKUP("In Use MiB",'vInfo (Imported)'!$1:$5000,M50,FALSE)</f>
        <v>0</v>
      </c>
    </row>
    <row r="51" spans="1:22" ht="13" x14ac:dyDescent="0.3">
      <c r="A51" s="46">
        <f>'vHosts (Imported)'!A51</f>
        <v>0</v>
      </c>
      <c r="B51" s="51">
        <f t="shared" si="0"/>
        <v>4968</v>
      </c>
      <c r="C51" s="49">
        <f>HLOOKUP("# Cores",'vHosts (Imported)'!$1:$5000,M51,FALSE)</f>
        <v>0</v>
      </c>
      <c r="D51" s="52">
        <f>HLOOKUP("# Memory",'vHosts (Imported)'!$1:$5000,M51,FALSE)</f>
        <v>0</v>
      </c>
      <c r="M51" s="45">
        <f t="shared" si="2"/>
        <v>51</v>
      </c>
      <c r="N51" s="38">
        <f>HLOOKUP("Host",'vInfo (Imported)'!$1:$5000,M51,FALSE)</f>
        <v>0</v>
      </c>
      <c r="R51">
        <f>HLOOKUP("CPUs",'vInfo (Imported)'!$1:$5000,M51,FALSE)</f>
        <v>0</v>
      </c>
      <c r="S51">
        <f>HLOOKUP("Memory",'vInfo (Imported)'!$1:$5000,M51,FALSE)</f>
        <v>0</v>
      </c>
      <c r="T51">
        <f>HLOOKUP("Provisioned MiB",'vInfo (Imported)'!$1:$5000,M51,FALSE)</f>
        <v>0</v>
      </c>
      <c r="U51">
        <f t="shared" si="1"/>
        <v>0</v>
      </c>
      <c r="V51">
        <f>HLOOKUP("In Use MiB",'vInfo (Imported)'!$1:$5000,M51,FALSE)</f>
        <v>0</v>
      </c>
    </row>
    <row r="52" spans="1:22" ht="13" x14ac:dyDescent="0.3">
      <c r="A52" s="46">
        <f>'vHosts (Imported)'!A52</f>
        <v>0</v>
      </c>
      <c r="B52" s="51">
        <f t="shared" si="0"/>
        <v>4968</v>
      </c>
      <c r="C52" s="49">
        <f>HLOOKUP("# Cores",'vHosts (Imported)'!$1:$5000,M52,FALSE)</f>
        <v>0</v>
      </c>
      <c r="D52" s="52">
        <f>HLOOKUP("# Memory",'vHosts (Imported)'!$1:$5000,M52,FALSE)</f>
        <v>0</v>
      </c>
      <c r="M52" s="45">
        <f t="shared" si="2"/>
        <v>52</v>
      </c>
      <c r="N52" s="38">
        <f>HLOOKUP("Host",'vInfo (Imported)'!$1:$5000,M52,FALSE)</f>
        <v>0</v>
      </c>
      <c r="R52">
        <f>HLOOKUP("CPUs",'vInfo (Imported)'!$1:$5000,M52,FALSE)</f>
        <v>0</v>
      </c>
      <c r="S52">
        <f>HLOOKUP("Memory",'vInfo (Imported)'!$1:$5000,M52,FALSE)</f>
        <v>0</v>
      </c>
      <c r="T52">
        <f>HLOOKUP("Provisioned MiB",'vInfo (Imported)'!$1:$5000,M52,FALSE)</f>
        <v>0</v>
      </c>
      <c r="U52">
        <f t="shared" si="1"/>
        <v>0</v>
      </c>
      <c r="V52">
        <f>HLOOKUP("In Use MiB",'vInfo (Imported)'!$1:$5000,M52,FALSE)</f>
        <v>0</v>
      </c>
    </row>
    <row r="53" spans="1:22" ht="13" x14ac:dyDescent="0.3">
      <c r="A53" s="46">
        <f>'vHosts (Imported)'!A53</f>
        <v>0</v>
      </c>
      <c r="B53" s="51">
        <f t="shared" si="0"/>
        <v>4968</v>
      </c>
      <c r="C53" s="49">
        <f>HLOOKUP("# Cores",'vHosts (Imported)'!$1:$5000,M53,FALSE)</f>
        <v>0</v>
      </c>
      <c r="D53" s="52">
        <f>HLOOKUP("# Memory",'vHosts (Imported)'!$1:$5000,M53,FALSE)</f>
        <v>0</v>
      </c>
      <c r="M53" s="45">
        <f t="shared" si="2"/>
        <v>53</v>
      </c>
      <c r="N53" s="38">
        <f>HLOOKUP("Host",'vInfo (Imported)'!$1:$5000,M53,FALSE)</f>
        <v>0</v>
      </c>
      <c r="R53">
        <f>HLOOKUP("CPUs",'vInfo (Imported)'!$1:$5000,M53,FALSE)</f>
        <v>0</v>
      </c>
      <c r="S53">
        <f>HLOOKUP("Memory",'vInfo (Imported)'!$1:$5000,M53,FALSE)</f>
        <v>0</v>
      </c>
      <c r="T53">
        <f>HLOOKUP("Provisioned MiB",'vInfo (Imported)'!$1:$5000,M53,FALSE)</f>
        <v>0</v>
      </c>
      <c r="U53">
        <f t="shared" si="1"/>
        <v>0</v>
      </c>
      <c r="V53">
        <f>HLOOKUP("In Use MiB",'vInfo (Imported)'!$1:$5000,M53,FALSE)</f>
        <v>0</v>
      </c>
    </row>
    <row r="54" spans="1:22" ht="13" x14ac:dyDescent="0.3">
      <c r="A54" s="46">
        <f>'vHosts (Imported)'!A54</f>
        <v>0</v>
      </c>
      <c r="B54" s="51">
        <f t="shared" si="0"/>
        <v>4968</v>
      </c>
      <c r="C54" s="49">
        <f>HLOOKUP("# Cores",'vHosts (Imported)'!$1:$5000,M54,FALSE)</f>
        <v>0</v>
      </c>
      <c r="D54" s="52">
        <f>HLOOKUP("# Memory",'vHosts (Imported)'!$1:$5000,M54,FALSE)</f>
        <v>0</v>
      </c>
      <c r="M54" s="45">
        <f t="shared" si="2"/>
        <v>54</v>
      </c>
      <c r="N54" s="38">
        <f>HLOOKUP("Host",'vInfo (Imported)'!$1:$5000,M54,FALSE)</f>
        <v>0</v>
      </c>
      <c r="R54">
        <f>HLOOKUP("CPUs",'vInfo (Imported)'!$1:$5000,M54,FALSE)</f>
        <v>0</v>
      </c>
      <c r="S54">
        <f>HLOOKUP("Memory",'vInfo (Imported)'!$1:$5000,M54,FALSE)</f>
        <v>0</v>
      </c>
      <c r="T54">
        <f>HLOOKUP("Provisioned MiB",'vInfo (Imported)'!$1:$5000,M54,FALSE)</f>
        <v>0</v>
      </c>
      <c r="U54">
        <f t="shared" si="1"/>
        <v>0</v>
      </c>
      <c r="V54">
        <f>HLOOKUP("In Use MiB",'vInfo (Imported)'!$1:$5000,M54,FALSE)</f>
        <v>0</v>
      </c>
    </row>
    <row r="55" spans="1:22" ht="13" x14ac:dyDescent="0.3">
      <c r="A55" s="46">
        <f>'vHosts (Imported)'!A55</f>
        <v>0</v>
      </c>
      <c r="B55" s="51">
        <f t="shared" si="0"/>
        <v>4968</v>
      </c>
      <c r="C55" s="49">
        <f>HLOOKUP("# Cores",'vHosts (Imported)'!$1:$5000,M55,FALSE)</f>
        <v>0</v>
      </c>
      <c r="D55" s="52">
        <f>HLOOKUP("# Memory",'vHosts (Imported)'!$1:$5000,M55,FALSE)</f>
        <v>0</v>
      </c>
      <c r="M55" s="45">
        <f t="shared" si="2"/>
        <v>55</v>
      </c>
      <c r="N55" s="38">
        <f>HLOOKUP("Host",'vInfo (Imported)'!$1:$5000,M55,FALSE)</f>
        <v>0</v>
      </c>
      <c r="R55">
        <f>HLOOKUP("CPUs",'vInfo (Imported)'!$1:$5000,M55,FALSE)</f>
        <v>0</v>
      </c>
      <c r="S55">
        <f>HLOOKUP("Memory",'vInfo (Imported)'!$1:$5000,M55,FALSE)</f>
        <v>0</v>
      </c>
      <c r="T55">
        <f>HLOOKUP("Provisioned MiB",'vInfo (Imported)'!$1:$5000,M55,FALSE)</f>
        <v>0</v>
      </c>
      <c r="U55">
        <f t="shared" si="1"/>
        <v>0</v>
      </c>
      <c r="V55">
        <f>HLOOKUP("In Use MiB",'vInfo (Imported)'!$1:$5000,M55,FALSE)</f>
        <v>0</v>
      </c>
    </row>
    <row r="56" spans="1:22" ht="13" x14ac:dyDescent="0.3">
      <c r="A56" s="46">
        <f>'vHosts (Imported)'!A56</f>
        <v>0</v>
      </c>
      <c r="B56" s="51">
        <f t="shared" si="0"/>
        <v>4968</v>
      </c>
      <c r="C56" s="49">
        <f>HLOOKUP("# Cores",'vHosts (Imported)'!$1:$5000,M56,FALSE)</f>
        <v>0</v>
      </c>
      <c r="D56" s="52">
        <f>HLOOKUP("# Memory",'vHosts (Imported)'!$1:$5000,M56,FALSE)</f>
        <v>0</v>
      </c>
      <c r="M56" s="45">
        <f t="shared" si="2"/>
        <v>56</v>
      </c>
      <c r="N56" s="38">
        <f>HLOOKUP("Host",'vInfo (Imported)'!$1:$5000,M56,FALSE)</f>
        <v>0</v>
      </c>
      <c r="R56">
        <f>HLOOKUP("CPUs",'vInfo (Imported)'!$1:$5000,M56,FALSE)</f>
        <v>0</v>
      </c>
      <c r="S56">
        <f>HLOOKUP("Memory",'vInfo (Imported)'!$1:$5000,M56,FALSE)</f>
        <v>0</v>
      </c>
      <c r="T56">
        <f>HLOOKUP("Provisioned MiB",'vInfo (Imported)'!$1:$5000,M56,FALSE)</f>
        <v>0</v>
      </c>
      <c r="U56">
        <f t="shared" si="1"/>
        <v>0</v>
      </c>
      <c r="V56">
        <f>HLOOKUP("In Use MiB",'vInfo (Imported)'!$1:$5000,M56,FALSE)</f>
        <v>0</v>
      </c>
    </row>
    <row r="57" spans="1:22" ht="13" x14ac:dyDescent="0.3">
      <c r="A57" s="46">
        <f>'vHosts (Imported)'!A57</f>
        <v>0</v>
      </c>
      <c r="B57" s="51">
        <f t="shared" si="0"/>
        <v>4968</v>
      </c>
      <c r="C57" s="49">
        <f>HLOOKUP("# Cores",'vHosts (Imported)'!$1:$5000,M57,FALSE)</f>
        <v>0</v>
      </c>
      <c r="D57" s="52">
        <f>HLOOKUP("# Memory",'vHosts (Imported)'!$1:$5000,M57,FALSE)</f>
        <v>0</v>
      </c>
      <c r="M57" s="45">
        <f t="shared" si="2"/>
        <v>57</v>
      </c>
      <c r="N57" s="38">
        <f>HLOOKUP("Host",'vInfo (Imported)'!$1:$5000,M57,FALSE)</f>
        <v>0</v>
      </c>
      <c r="R57">
        <f>HLOOKUP("CPUs",'vInfo (Imported)'!$1:$5000,M57,FALSE)</f>
        <v>0</v>
      </c>
      <c r="S57">
        <f>HLOOKUP("Memory",'vInfo (Imported)'!$1:$5000,M57,FALSE)</f>
        <v>0</v>
      </c>
      <c r="T57">
        <f>HLOOKUP("Provisioned MiB",'vInfo (Imported)'!$1:$5000,M57,FALSE)</f>
        <v>0</v>
      </c>
      <c r="U57">
        <f t="shared" si="1"/>
        <v>0</v>
      </c>
      <c r="V57">
        <f>HLOOKUP("In Use MiB",'vInfo (Imported)'!$1:$5000,M57,FALSE)</f>
        <v>0</v>
      </c>
    </row>
    <row r="58" spans="1:22" ht="13" x14ac:dyDescent="0.3">
      <c r="A58" s="46">
        <f>'vHosts (Imported)'!A58</f>
        <v>0</v>
      </c>
      <c r="B58" s="51">
        <f t="shared" si="0"/>
        <v>4968</v>
      </c>
      <c r="C58" s="49">
        <f>HLOOKUP("# Cores",'vHosts (Imported)'!$1:$5000,M58,FALSE)</f>
        <v>0</v>
      </c>
      <c r="D58" s="52">
        <f>HLOOKUP("# Memory",'vHosts (Imported)'!$1:$5000,M58,FALSE)</f>
        <v>0</v>
      </c>
      <c r="M58" s="45">
        <f t="shared" si="2"/>
        <v>58</v>
      </c>
      <c r="N58" s="38">
        <f>HLOOKUP("Host",'vInfo (Imported)'!$1:$5000,M58,FALSE)</f>
        <v>0</v>
      </c>
      <c r="R58">
        <f>HLOOKUP("CPUs",'vInfo (Imported)'!$1:$5000,M58,FALSE)</f>
        <v>0</v>
      </c>
      <c r="S58">
        <f>HLOOKUP("Memory",'vInfo (Imported)'!$1:$5000,M58,FALSE)</f>
        <v>0</v>
      </c>
      <c r="T58">
        <f>HLOOKUP("Provisioned MiB",'vInfo (Imported)'!$1:$5000,M58,FALSE)</f>
        <v>0</v>
      </c>
      <c r="U58">
        <f t="shared" si="1"/>
        <v>0</v>
      </c>
      <c r="V58">
        <f>HLOOKUP("In Use MiB",'vInfo (Imported)'!$1:$5000,M58,FALSE)</f>
        <v>0</v>
      </c>
    </row>
    <row r="59" spans="1:22" ht="13" x14ac:dyDescent="0.3">
      <c r="A59" s="46">
        <f>'vHosts (Imported)'!A59</f>
        <v>0</v>
      </c>
      <c r="B59" s="51">
        <f t="shared" si="0"/>
        <v>4968</v>
      </c>
      <c r="C59" s="49">
        <f>HLOOKUP("# Cores",'vHosts (Imported)'!$1:$5000,M59,FALSE)</f>
        <v>0</v>
      </c>
      <c r="D59" s="52">
        <f>HLOOKUP("# Memory",'vHosts (Imported)'!$1:$5000,M59,FALSE)</f>
        <v>0</v>
      </c>
      <c r="M59" s="45">
        <f t="shared" si="2"/>
        <v>59</v>
      </c>
      <c r="N59" s="38">
        <f>HLOOKUP("Host",'vInfo (Imported)'!$1:$5000,M59,FALSE)</f>
        <v>0</v>
      </c>
      <c r="R59">
        <f>HLOOKUP("CPUs",'vInfo (Imported)'!$1:$5000,M59,FALSE)</f>
        <v>0</v>
      </c>
      <c r="S59">
        <f>HLOOKUP("Memory",'vInfo (Imported)'!$1:$5000,M59,FALSE)</f>
        <v>0</v>
      </c>
      <c r="T59">
        <f>HLOOKUP("Provisioned MiB",'vInfo (Imported)'!$1:$5000,M59,FALSE)</f>
        <v>0</v>
      </c>
      <c r="U59">
        <f t="shared" si="1"/>
        <v>0</v>
      </c>
      <c r="V59">
        <f>HLOOKUP("In Use MiB",'vInfo (Imported)'!$1:$5000,M59,FALSE)</f>
        <v>0</v>
      </c>
    </row>
    <row r="60" spans="1:22" ht="13" x14ac:dyDescent="0.3">
      <c r="A60" s="46">
        <f>'vHosts (Imported)'!A60</f>
        <v>0</v>
      </c>
      <c r="B60" s="51">
        <f t="shared" si="0"/>
        <v>4968</v>
      </c>
      <c r="C60" s="49">
        <f>HLOOKUP("# Cores",'vHosts (Imported)'!$1:$5000,M60,FALSE)</f>
        <v>0</v>
      </c>
      <c r="D60" s="52">
        <f>HLOOKUP("# Memory",'vHosts (Imported)'!$1:$5000,M60,FALSE)</f>
        <v>0</v>
      </c>
      <c r="M60" s="45">
        <f t="shared" si="2"/>
        <v>60</v>
      </c>
      <c r="N60" s="38">
        <f>HLOOKUP("Host",'vInfo (Imported)'!$1:$5000,M60,FALSE)</f>
        <v>0</v>
      </c>
      <c r="R60">
        <f>HLOOKUP("CPUs",'vInfo (Imported)'!$1:$5000,M60,FALSE)</f>
        <v>0</v>
      </c>
      <c r="S60">
        <f>HLOOKUP("Memory",'vInfo (Imported)'!$1:$5000,M60,FALSE)</f>
        <v>0</v>
      </c>
      <c r="T60">
        <f>HLOOKUP("Provisioned MiB",'vInfo (Imported)'!$1:$5000,M60,FALSE)</f>
        <v>0</v>
      </c>
      <c r="U60">
        <f t="shared" si="1"/>
        <v>0</v>
      </c>
      <c r="V60">
        <f>HLOOKUP("In Use MiB",'vInfo (Imported)'!$1:$5000,M60,FALSE)</f>
        <v>0</v>
      </c>
    </row>
    <row r="61" spans="1:22" ht="13" x14ac:dyDescent="0.3">
      <c r="A61" s="46">
        <f>'vHosts (Imported)'!A61</f>
        <v>0</v>
      </c>
      <c r="B61" s="51">
        <f t="shared" si="0"/>
        <v>4968</v>
      </c>
      <c r="C61" s="49">
        <f>HLOOKUP("# Cores",'vHosts (Imported)'!$1:$5000,M61,FALSE)</f>
        <v>0</v>
      </c>
      <c r="D61" s="52">
        <f>HLOOKUP("# Memory",'vHosts (Imported)'!$1:$5000,M61,FALSE)</f>
        <v>0</v>
      </c>
      <c r="M61" s="45">
        <f t="shared" si="2"/>
        <v>61</v>
      </c>
      <c r="N61" s="38">
        <f>HLOOKUP("Host",'vInfo (Imported)'!$1:$5000,M61,FALSE)</f>
        <v>0</v>
      </c>
      <c r="R61">
        <f>HLOOKUP("CPUs",'vInfo (Imported)'!$1:$5000,M61,FALSE)</f>
        <v>0</v>
      </c>
      <c r="S61">
        <f>HLOOKUP("Memory",'vInfo (Imported)'!$1:$5000,M61,FALSE)</f>
        <v>0</v>
      </c>
      <c r="T61">
        <f>HLOOKUP("Provisioned MiB",'vInfo (Imported)'!$1:$5000,M61,FALSE)</f>
        <v>0</v>
      </c>
      <c r="U61">
        <f t="shared" si="1"/>
        <v>0</v>
      </c>
      <c r="V61">
        <f>HLOOKUP("In Use MiB",'vInfo (Imported)'!$1:$5000,M61,FALSE)</f>
        <v>0</v>
      </c>
    </row>
    <row r="62" spans="1:22" ht="13" x14ac:dyDescent="0.3">
      <c r="A62" s="46">
        <f>'vHosts (Imported)'!A62</f>
        <v>0</v>
      </c>
      <c r="B62" s="51">
        <f t="shared" si="0"/>
        <v>4968</v>
      </c>
      <c r="C62" s="49">
        <f>HLOOKUP("# Cores",'vHosts (Imported)'!$1:$5000,M62,FALSE)</f>
        <v>0</v>
      </c>
      <c r="D62" s="52">
        <f>HLOOKUP("# Memory",'vHosts (Imported)'!$1:$5000,M62,FALSE)</f>
        <v>0</v>
      </c>
      <c r="M62" s="45">
        <f t="shared" si="2"/>
        <v>62</v>
      </c>
      <c r="N62" s="38">
        <f>HLOOKUP("Host",'vInfo (Imported)'!$1:$5000,M62,FALSE)</f>
        <v>0</v>
      </c>
      <c r="R62">
        <f>HLOOKUP("CPUs",'vInfo (Imported)'!$1:$5000,M62,FALSE)</f>
        <v>0</v>
      </c>
      <c r="S62">
        <f>HLOOKUP("Memory",'vInfo (Imported)'!$1:$5000,M62,FALSE)</f>
        <v>0</v>
      </c>
      <c r="T62">
        <f>HLOOKUP("Provisioned MiB",'vInfo (Imported)'!$1:$5000,M62,FALSE)</f>
        <v>0</v>
      </c>
      <c r="U62">
        <f t="shared" si="1"/>
        <v>0</v>
      </c>
      <c r="V62">
        <f>HLOOKUP("In Use MiB",'vInfo (Imported)'!$1:$5000,M62,FALSE)</f>
        <v>0</v>
      </c>
    </row>
    <row r="63" spans="1:22" ht="13" x14ac:dyDescent="0.3">
      <c r="A63" s="46">
        <f>'vHosts (Imported)'!A63</f>
        <v>0</v>
      </c>
      <c r="B63" s="51">
        <f t="shared" si="0"/>
        <v>4968</v>
      </c>
      <c r="C63" s="49">
        <f>HLOOKUP("# Cores",'vHosts (Imported)'!$1:$5000,M63,FALSE)</f>
        <v>0</v>
      </c>
      <c r="D63" s="52">
        <f>HLOOKUP("# Memory",'vHosts (Imported)'!$1:$5000,M63,FALSE)</f>
        <v>0</v>
      </c>
      <c r="M63" s="45">
        <f t="shared" si="2"/>
        <v>63</v>
      </c>
      <c r="N63" s="38">
        <f>HLOOKUP("Host",'vInfo (Imported)'!$1:$5000,M63,FALSE)</f>
        <v>0</v>
      </c>
      <c r="R63">
        <f>HLOOKUP("CPUs",'vInfo (Imported)'!$1:$5000,M63,FALSE)</f>
        <v>0</v>
      </c>
      <c r="S63">
        <f>HLOOKUP("Memory",'vInfo (Imported)'!$1:$5000,M63,FALSE)</f>
        <v>0</v>
      </c>
      <c r="T63">
        <f>HLOOKUP("Provisioned MiB",'vInfo (Imported)'!$1:$5000,M63,FALSE)</f>
        <v>0</v>
      </c>
      <c r="U63">
        <f t="shared" si="1"/>
        <v>0</v>
      </c>
      <c r="V63">
        <f>HLOOKUP("In Use MiB",'vInfo (Imported)'!$1:$5000,M63,FALSE)</f>
        <v>0</v>
      </c>
    </row>
    <row r="64" spans="1:22" ht="13" x14ac:dyDescent="0.3">
      <c r="A64" s="46">
        <f>'vHosts (Imported)'!A64</f>
        <v>0</v>
      </c>
      <c r="B64" s="51">
        <f t="shared" si="0"/>
        <v>4968</v>
      </c>
      <c r="C64" s="49">
        <f>HLOOKUP("# Cores",'vHosts (Imported)'!$1:$5000,M64,FALSE)</f>
        <v>0</v>
      </c>
      <c r="D64" s="52">
        <f>HLOOKUP("# Memory",'vHosts (Imported)'!$1:$5000,M64,FALSE)</f>
        <v>0</v>
      </c>
      <c r="M64" s="45">
        <f t="shared" si="2"/>
        <v>64</v>
      </c>
      <c r="N64" s="38">
        <f>HLOOKUP("Host",'vInfo (Imported)'!$1:$5000,M64,FALSE)</f>
        <v>0</v>
      </c>
      <c r="R64">
        <f>HLOOKUP("CPUs",'vInfo (Imported)'!$1:$5000,M64,FALSE)</f>
        <v>0</v>
      </c>
      <c r="S64">
        <f>HLOOKUP("Memory",'vInfo (Imported)'!$1:$5000,M64,FALSE)</f>
        <v>0</v>
      </c>
      <c r="T64">
        <f>HLOOKUP("Provisioned MiB",'vInfo (Imported)'!$1:$5000,M64,FALSE)</f>
        <v>0</v>
      </c>
      <c r="U64">
        <f t="shared" si="1"/>
        <v>0</v>
      </c>
      <c r="V64">
        <f>HLOOKUP("In Use MiB",'vInfo (Imported)'!$1:$5000,M64,FALSE)</f>
        <v>0</v>
      </c>
    </row>
    <row r="65" spans="1:22" ht="13" x14ac:dyDescent="0.3">
      <c r="A65" s="46">
        <f>'vHosts (Imported)'!A65</f>
        <v>0</v>
      </c>
      <c r="B65" s="51">
        <f t="shared" si="0"/>
        <v>4968</v>
      </c>
      <c r="C65" s="49">
        <f>HLOOKUP("# Cores",'vHosts (Imported)'!$1:$5000,M65,FALSE)</f>
        <v>0</v>
      </c>
      <c r="D65" s="52">
        <f>HLOOKUP("# Memory",'vHosts (Imported)'!$1:$5000,M65,FALSE)</f>
        <v>0</v>
      </c>
      <c r="M65" s="45">
        <f t="shared" si="2"/>
        <v>65</v>
      </c>
      <c r="N65" s="38">
        <f>HLOOKUP("Host",'vInfo (Imported)'!$1:$5000,M65,FALSE)</f>
        <v>0</v>
      </c>
      <c r="R65">
        <f>HLOOKUP("CPUs",'vInfo (Imported)'!$1:$5000,M65,FALSE)</f>
        <v>0</v>
      </c>
      <c r="S65">
        <f>HLOOKUP("Memory",'vInfo (Imported)'!$1:$5000,M65,FALSE)</f>
        <v>0</v>
      </c>
      <c r="T65">
        <f>HLOOKUP("Provisioned MiB",'vInfo (Imported)'!$1:$5000,M65,FALSE)</f>
        <v>0</v>
      </c>
      <c r="U65">
        <f t="shared" si="1"/>
        <v>0</v>
      </c>
      <c r="V65">
        <f>HLOOKUP("In Use MiB",'vInfo (Imported)'!$1:$5000,M65,FALSE)</f>
        <v>0</v>
      </c>
    </row>
    <row r="66" spans="1:22" ht="13" x14ac:dyDescent="0.3">
      <c r="A66" s="46">
        <f>'vHosts (Imported)'!A66</f>
        <v>0</v>
      </c>
      <c r="B66" s="51">
        <f t="shared" ref="B66:B129" si="3">COUNTIFS(N:N,IF(A66=0,"0",A66))</f>
        <v>4968</v>
      </c>
      <c r="C66" s="49">
        <f>HLOOKUP("# Cores",'vHosts (Imported)'!$1:$5000,M66,FALSE)</f>
        <v>0</v>
      </c>
      <c r="D66" s="52">
        <f>HLOOKUP("# Memory",'vHosts (Imported)'!$1:$5000,M66,FALSE)</f>
        <v>0</v>
      </c>
      <c r="M66" s="45">
        <f t="shared" si="2"/>
        <v>66</v>
      </c>
      <c r="N66" s="38">
        <f>HLOOKUP("Host",'vInfo (Imported)'!$1:$5000,M66,FALSE)</f>
        <v>0</v>
      </c>
      <c r="R66">
        <f>HLOOKUP("CPUs",'vInfo (Imported)'!$1:$5000,M66,FALSE)</f>
        <v>0</v>
      </c>
      <c r="S66">
        <f>HLOOKUP("Memory",'vInfo (Imported)'!$1:$5000,M66,FALSE)</f>
        <v>0</v>
      </c>
      <c r="T66">
        <f>HLOOKUP("Provisioned MiB",'vInfo (Imported)'!$1:$5000,M66,FALSE)</f>
        <v>0</v>
      </c>
      <c r="U66">
        <f t="shared" si="1"/>
        <v>0</v>
      </c>
      <c r="V66">
        <f>HLOOKUP("In Use MiB",'vInfo (Imported)'!$1:$5000,M66,FALSE)</f>
        <v>0</v>
      </c>
    </row>
    <row r="67" spans="1:22" ht="13" x14ac:dyDescent="0.3">
      <c r="A67" s="46">
        <f>'vHosts (Imported)'!A67</f>
        <v>0</v>
      </c>
      <c r="B67" s="51">
        <f t="shared" si="3"/>
        <v>4968</v>
      </c>
      <c r="C67" s="49">
        <f>HLOOKUP("# Cores",'vHosts (Imported)'!$1:$5000,M67,FALSE)</f>
        <v>0</v>
      </c>
      <c r="D67" s="52">
        <f>HLOOKUP("# Memory",'vHosts (Imported)'!$1:$5000,M67,FALSE)</f>
        <v>0</v>
      </c>
      <c r="M67" s="45">
        <f t="shared" si="2"/>
        <v>67</v>
      </c>
      <c r="N67" s="38">
        <f>HLOOKUP("Host",'vInfo (Imported)'!$1:$5000,M67,FALSE)</f>
        <v>0</v>
      </c>
      <c r="R67">
        <f>HLOOKUP("CPUs",'vInfo (Imported)'!$1:$5000,M67,FALSE)</f>
        <v>0</v>
      </c>
      <c r="S67">
        <f>HLOOKUP("Memory",'vInfo (Imported)'!$1:$5000,M67,FALSE)</f>
        <v>0</v>
      </c>
      <c r="T67">
        <f>HLOOKUP("Provisioned MiB",'vInfo (Imported)'!$1:$5000,M67,FALSE)</f>
        <v>0</v>
      </c>
      <c r="U67">
        <f t="shared" ref="U67:U130" si="4">T67-V67</f>
        <v>0</v>
      </c>
      <c r="V67">
        <f>HLOOKUP("In Use MiB",'vInfo (Imported)'!$1:$5000,M67,FALSE)</f>
        <v>0</v>
      </c>
    </row>
    <row r="68" spans="1:22" ht="13" x14ac:dyDescent="0.3">
      <c r="A68" s="46">
        <f>'vHosts (Imported)'!A68</f>
        <v>0</v>
      </c>
      <c r="B68" s="51">
        <f t="shared" si="3"/>
        <v>4968</v>
      </c>
      <c r="C68" s="49">
        <f>HLOOKUP("# Cores",'vHosts (Imported)'!$1:$5000,M68,FALSE)</f>
        <v>0</v>
      </c>
      <c r="D68" s="52">
        <f>HLOOKUP("# Memory",'vHosts (Imported)'!$1:$5000,M68,FALSE)</f>
        <v>0</v>
      </c>
      <c r="M68" s="45">
        <f t="shared" ref="M68:M131" si="5">M67+1</f>
        <v>68</v>
      </c>
      <c r="N68" s="38">
        <f>HLOOKUP("Host",'vInfo (Imported)'!$1:$5000,M68,FALSE)</f>
        <v>0</v>
      </c>
      <c r="R68">
        <f>HLOOKUP("CPUs",'vInfo (Imported)'!$1:$5000,M68,FALSE)</f>
        <v>0</v>
      </c>
      <c r="S68">
        <f>HLOOKUP("Memory",'vInfo (Imported)'!$1:$5000,M68,FALSE)</f>
        <v>0</v>
      </c>
      <c r="T68">
        <f>HLOOKUP("Provisioned MiB",'vInfo (Imported)'!$1:$5000,M68,FALSE)</f>
        <v>0</v>
      </c>
      <c r="U68">
        <f t="shared" si="4"/>
        <v>0</v>
      </c>
      <c r="V68">
        <f>HLOOKUP("In Use MiB",'vInfo (Imported)'!$1:$5000,M68,FALSE)</f>
        <v>0</v>
      </c>
    </row>
    <row r="69" spans="1:22" ht="13" x14ac:dyDescent="0.3">
      <c r="A69" s="46">
        <f>'vHosts (Imported)'!A69</f>
        <v>0</v>
      </c>
      <c r="B69" s="51">
        <f t="shared" si="3"/>
        <v>4968</v>
      </c>
      <c r="C69" s="49">
        <f>HLOOKUP("# Cores",'vHosts (Imported)'!$1:$5000,M69,FALSE)</f>
        <v>0</v>
      </c>
      <c r="D69" s="52">
        <f>HLOOKUP("# Memory",'vHosts (Imported)'!$1:$5000,M69,FALSE)</f>
        <v>0</v>
      </c>
      <c r="M69" s="45">
        <f t="shared" si="5"/>
        <v>69</v>
      </c>
      <c r="N69" s="38">
        <f>HLOOKUP("Host",'vInfo (Imported)'!$1:$5000,M69,FALSE)</f>
        <v>0</v>
      </c>
      <c r="R69">
        <f>HLOOKUP("CPUs",'vInfo (Imported)'!$1:$5000,M69,FALSE)</f>
        <v>0</v>
      </c>
      <c r="S69">
        <f>HLOOKUP("Memory",'vInfo (Imported)'!$1:$5000,M69,FALSE)</f>
        <v>0</v>
      </c>
      <c r="T69">
        <f>HLOOKUP("Provisioned MiB",'vInfo (Imported)'!$1:$5000,M69,FALSE)</f>
        <v>0</v>
      </c>
      <c r="U69">
        <f t="shared" si="4"/>
        <v>0</v>
      </c>
      <c r="V69">
        <f>HLOOKUP("In Use MiB",'vInfo (Imported)'!$1:$5000,M69,FALSE)</f>
        <v>0</v>
      </c>
    </row>
    <row r="70" spans="1:22" ht="13" x14ac:dyDescent="0.3">
      <c r="A70" s="46">
        <f>'vHosts (Imported)'!A70</f>
        <v>0</v>
      </c>
      <c r="B70" s="51">
        <f t="shared" si="3"/>
        <v>4968</v>
      </c>
      <c r="C70" s="49">
        <f>HLOOKUP("# Cores",'vHosts (Imported)'!$1:$5000,M70,FALSE)</f>
        <v>0</v>
      </c>
      <c r="D70" s="52">
        <f>HLOOKUP("# Memory",'vHosts (Imported)'!$1:$5000,M70,FALSE)</f>
        <v>0</v>
      </c>
      <c r="M70" s="45">
        <f t="shared" si="5"/>
        <v>70</v>
      </c>
      <c r="N70" s="38">
        <f>HLOOKUP("Host",'vInfo (Imported)'!$1:$5000,M70,FALSE)</f>
        <v>0</v>
      </c>
      <c r="R70">
        <f>HLOOKUP("CPUs",'vInfo (Imported)'!$1:$5000,M70,FALSE)</f>
        <v>0</v>
      </c>
      <c r="S70">
        <f>HLOOKUP("Memory",'vInfo (Imported)'!$1:$5000,M70,FALSE)</f>
        <v>0</v>
      </c>
      <c r="T70">
        <f>HLOOKUP("Provisioned MiB",'vInfo (Imported)'!$1:$5000,M70,FALSE)</f>
        <v>0</v>
      </c>
      <c r="U70">
        <f t="shared" si="4"/>
        <v>0</v>
      </c>
      <c r="V70">
        <f>HLOOKUP("In Use MiB",'vInfo (Imported)'!$1:$5000,M70,FALSE)</f>
        <v>0</v>
      </c>
    </row>
    <row r="71" spans="1:22" ht="13" x14ac:dyDescent="0.3">
      <c r="A71" s="46">
        <f>'vHosts (Imported)'!A71</f>
        <v>0</v>
      </c>
      <c r="B71" s="51">
        <f t="shared" si="3"/>
        <v>4968</v>
      </c>
      <c r="C71" s="49">
        <f>HLOOKUP("# Cores",'vHosts (Imported)'!$1:$5000,M71,FALSE)</f>
        <v>0</v>
      </c>
      <c r="D71" s="52">
        <f>HLOOKUP("# Memory",'vHosts (Imported)'!$1:$5000,M71,FALSE)</f>
        <v>0</v>
      </c>
      <c r="M71" s="45">
        <f t="shared" si="5"/>
        <v>71</v>
      </c>
      <c r="N71" s="38">
        <f>HLOOKUP("Host",'vInfo (Imported)'!$1:$5000,M71,FALSE)</f>
        <v>0</v>
      </c>
      <c r="R71">
        <f>HLOOKUP("CPUs",'vInfo (Imported)'!$1:$5000,M71,FALSE)</f>
        <v>0</v>
      </c>
      <c r="S71">
        <f>HLOOKUP("Memory",'vInfo (Imported)'!$1:$5000,M71,FALSE)</f>
        <v>0</v>
      </c>
      <c r="T71">
        <f>HLOOKUP("Provisioned MiB",'vInfo (Imported)'!$1:$5000,M71,FALSE)</f>
        <v>0</v>
      </c>
      <c r="U71">
        <f t="shared" si="4"/>
        <v>0</v>
      </c>
      <c r="V71">
        <f>HLOOKUP("In Use MiB",'vInfo (Imported)'!$1:$5000,M71,FALSE)</f>
        <v>0</v>
      </c>
    </row>
    <row r="72" spans="1:22" ht="13" x14ac:dyDescent="0.3">
      <c r="A72" s="46">
        <f>'vHosts (Imported)'!A72</f>
        <v>0</v>
      </c>
      <c r="B72" s="51">
        <f t="shared" si="3"/>
        <v>4968</v>
      </c>
      <c r="C72" s="49">
        <f>HLOOKUP("# Cores",'vHosts (Imported)'!$1:$5000,M72,FALSE)</f>
        <v>0</v>
      </c>
      <c r="D72" s="52">
        <f>HLOOKUP("# Memory",'vHosts (Imported)'!$1:$5000,M72,FALSE)</f>
        <v>0</v>
      </c>
      <c r="M72" s="45">
        <f t="shared" si="5"/>
        <v>72</v>
      </c>
      <c r="N72" s="38">
        <f>HLOOKUP("Host",'vInfo (Imported)'!$1:$5000,M72,FALSE)</f>
        <v>0</v>
      </c>
      <c r="R72">
        <f>HLOOKUP("CPUs",'vInfo (Imported)'!$1:$5000,M72,FALSE)</f>
        <v>0</v>
      </c>
      <c r="S72">
        <f>HLOOKUP("Memory",'vInfo (Imported)'!$1:$5000,M72,FALSE)</f>
        <v>0</v>
      </c>
      <c r="T72">
        <f>HLOOKUP("Provisioned MiB",'vInfo (Imported)'!$1:$5000,M72,FALSE)</f>
        <v>0</v>
      </c>
      <c r="U72">
        <f t="shared" si="4"/>
        <v>0</v>
      </c>
      <c r="V72">
        <f>HLOOKUP("In Use MiB",'vInfo (Imported)'!$1:$5000,M72,FALSE)</f>
        <v>0</v>
      </c>
    </row>
    <row r="73" spans="1:22" ht="13" x14ac:dyDescent="0.3">
      <c r="A73" s="46">
        <f>'vHosts (Imported)'!A73</f>
        <v>0</v>
      </c>
      <c r="B73" s="51">
        <f t="shared" si="3"/>
        <v>4968</v>
      </c>
      <c r="C73" s="49">
        <f>HLOOKUP("# Cores",'vHosts (Imported)'!$1:$5000,M73,FALSE)</f>
        <v>0</v>
      </c>
      <c r="D73" s="52">
        <f>HLOOKUP("# Memory",'vHosts (Imported)'!$1:$5000,M73,FALSE)</f>
        <v>0</v>
      </c>
      <c r="M73" s="45">
        <f t="shared" si="5"/>
        <v>73</v>
      </c>
      <c r="N73" s="38">
        <f>HLOOKUP("Host",'vInfo (Imported)'!$1:$5000,M73,FALSE)</f>
        <v>0</v>
      </c>
      <c r="R73">
        <f>HLOOKUP("CPUs",'vInfo (Imported)'!$1:$5000,M73,FALSE)</f>
        <v>0</v>
      </c>
      <c r="S73">
        <f>HLOOKUP("Memory",'vInfo (Imported)'!$1:$5000,M73,FALSE)</f>
        <v>0</v>
      </c>
      <c r="T73">
        <f>HLOOKUP("Provisioned MiB",'vInfo (Imported)'!$1:$5000,M73,FALSE)</f>
        <v>0</v>
      </c>
      <c r="U73">
        <f t="shared" si="4"/>
        <v>0</v>
      </c>
      <c r="V73">
        <f>HLOOKUP("In Use MiB",'vInfo (Imported)'!$1:$5000,M73,FALSE)</f>
        <v>0</v>
      </c>
    </row>
    <row r="74" spans="1:22" ht="13" x14ac:dyDescent="0.3">
      <c r="A74" s="46">
        <f>'vHosts (Imported)'!A74</f>
        <v>0</v>
      </c>
      <c r="B74" s="51">
        <f t="shared" si="3"/>
        <v>4968</v>
      </c>
      <c r="C74" s="49">
        <f>HLOOKUP("# Cores",'vHosts (Imported)'!$1:$5000,M74,FALSE)</f>
        <v>0</v>
      </c>
      <c r="D74" s="52">
        <f>HLOOKUP("# Memory",'vHosts (Imported)'!$1:$5000,M74,FALSE)</f>
        <v>0</v>
      </c>
      <c r="M74" s="45">
        <f t="shared" si="5"/>
        <v>74</v>
      </c>
      <c r="N74" s="38">
        <f>HLOOKUP("Host",'vInfo (Imported)'!$1:$5000,M74,FALSE)</f>
        <v>0</v>
      </c>
      <c r="R74">
        <f>HLOOKUP("CPUs",'vInfo (Imported)'!$1:$5000,M74,FALSE)</f>
        <v>0</v>
      </c>
      <c r="S74">
        <f>HLOOKUP("Memory",'vInfo (Imported)'!$1:$5000,M74,FALSE)</f>
        <v>0</v>
      </c>
      <c r="T74">
        <f>HLOOKUP("Provisioned MiB",'vInfo (Imported)'!$1:$5000,M74,FALSE)</f>
        <v>0</v>
      </c>
      <c r="U74">
        <f t="shared" si="4"/>
        <v>0</v>
      </c>
      <c r="V74">
        <f>HLOOKUP("In Use MiB",'vInfo (Imported)'!$1:$5000,M74,FALSE)</f>
        <v>0</v>
      </c>
    </row>
    <row r="75" spans="1:22" ht="13" x14ac:dyDescent="0.3">
      <c r="A75" s="46">
        <f>'vHosts (Imported)'!A75</f>
        <v>0</v>
      </c>
      <c r="B75" s="51">
        <f t="shared" si="3"/>
        <v>4968</v>
      </c>
      <c r="C75" s="49">
        <f>HLOOKUP("# Cores",'vHosts (Imported)'!$1:$5000,M75,FALSE)</f>
        <v>0</v>
      </c>
      <c r="D75" s="52">
        <f>HLOOKUP("# Memory",'vHosts (Imported)'!$1:$5000,M75,FALSE)</f>
        <v>0</v>
      </c>
      <c r="M75" s="45">
        <f t="shared" si="5"/>
        <v>75</v>
      </c>
      <c r="N75" s="38">
        <f>HLOOKUP("Host",'vInfo (Imported)'!$1:$5000,M75,FALSE)</f>
        <v>0</v>
      </c>
      <c r="R75">
        <f>HLOOKUP("CPUs",'vInfo (Imported)'!$1:$5000,M75,FALSE)</f>
        <v>0</v>
      </c>
      <c r="S75">
        <f>HLOOKUP("Memory",'vInfo (Imported)'!$1:$5000,M75,FALSE)</f>
        <v>0</v>
      </c>
      <c r="T75">
        <f>HLOOKUP("Provisioned MiB",'vInfo (Imported)'!$1:$5000,M75,FALSE)</f>
        <v>0</v>
      </c>
      <c r="U75">
        <f t="shared" si="4"/>
        <v>0</v>
      </c>
      <c r="V75">
        <f>HLOOKUP("In Use MiB",'vInfo (Imported)'!$1:$5000,M75,FALSE)</f>
        <v>0</v>
      </c>
    </row>
    <row r="76" spans="1:22" ht="13" x14ac:dyDescent="0.3">
      <c r="A76" s="46">
        <f>'vHosts (Imported)'!A76</f>
        <v>0</v>
      </c>
      <c r="B76" s="51">
        <f t="shared" si="3"/>
        <v>4968</v>
      </c>
      <c r="C76" s="49">
        <f>HLOOKUP("# Cores",'vHosts (Imported)'!$1:$5000,M76,FALSE)</f>
        <v>0</v>
      </c>
      <c r="D76" s="52">
        <f>HLOOKUP("# Memory",'vHosts (Imported)'!$1:$5000,M76,FALSE)</f>
        <v>0</v>
      </c>
      <c r="M76" s="45">
        <f t="shared" si="5"/>
        <v>76</v>
      </c>
      <c r="N76" s="38">
        <f>HLOOKUP("Host",'vInfo (Imported)'!$1:$5000,M76,FALSE)</f>
        <v>0</v>
      </c>
      <c r="R76">
        <f>HLOOKUP("CPUs",'vInfo (Imported)'!$1:$5000,M76,FALSE)</f>
        <v>0</v>
      </c>
      <c r="S76">
        <f>HLOOKUP("Memory",'vInfo (Imported)'!$1:$5000,M76,FALSE)</f>
        <v>0</v>
      </c>
      <c r="T76">
        <f>HLOOKUP("Provisioned MiB",'vInfo (Imported)'!$1:$5000,M76,FALSE)</f>
        <v>0</v>
      </c>
      <c r="U76">
        <f t="shared" si="4"/>
        <v>0</v>
      </c>
      <c r="V76">
        <f>HLOOKUP("In Use MiB",'vInfo (Imported)'!$1:$5000,M76,FALSE)</f>
        <v>0</v>
      </c>
    </row>
    <row r="77" spans="1:22" ht="13" x14ac:dyDescent="0.3">
      <c r="A77" s="46">
        <f>'vHosts (Imported)'!A77</f>
        <v>0</v>
      </c>
      <c r="B77" s="51">
        <f t="shared" si="3"/>
        <v>4968</v>
      </c>
      <c r="C77" s="49">
        <f>HLOOKUP("# Cores",'vHosts (Imported)'!$1:$5000,M77,FALSE)</f>
        <v>0</v>
      </c>
      <c r="D77" s="52">
        <f>HLOOKUP("# Memory",'vHosts (Imported)'!$1:$5000,M77,FALSE)</f>
        <v>0</v>
      </c>
      <c r="M77" s="45">
        <f t="shared" si="5"/>
        <v>77</v>
      </c>
      <c r="N77" s="38">
        <f>HLOOKUP("Host",'vInfo (Imported)'!$1:$5000,M77,FALSE)</f>
        <v>0</v>
      </c>
      <c r="R77">
        <f>HLOOKUP("CPUs",'vInfo (Imported)'!$1:$5000,M77,FALSE)</f>
        <v>0</v>
      </c>
      <c r="S77">
        <f>HLOOKUP("Memory",'vInfo (Imported)'!$1:$5000,M77,FALSE)</f>
        <v>0</v>
      </c>
      <c r="T77">
        <f>HLOOKUP("Provisioned MiB",'vInfo (Imported)'!$1:$5000,M77,FALSE)</f>
        <v>0</v>
      </c>
      <c r="U77">
        <f t="shared" si="4"/>
        <v>0</v>
      </c>
      <c r="V77">
        <f>HLOOKUP("In Use MiB",'vInfo (Imported)'!$1:$5000,M77,FALSE)</f>
        <v>0</v>
      </c>
    </row>
    <row r="78" spans="1:22" ht="13" x14ac:dyDescent="0.3">
      <c r="A78" s="46">
        <f>'vHosts (Imported)'!A78</f>
        <v>0</v>
      </c>
      <c r="B78" s="51">
        <f t="shared" si="3"/>
        <v>4968</v>
      </c>
      <c r="C78" s="49">
        <f>HLOOKUP("# Cores",'vHosts (Imported)'!$1:$5000,M78,FALSE)</f>
        <v>0</v>
      </c>
      <c r="D78" s="52">
        <f>HLOOKUP("# Memory",'vHosts (Imported)'!$1:$5000,M78,FALSE)</f>
        <v>0</v>
      </c>
      <c r="M78" s="45">
        <f t="shared" si="5"/>
        <v>78</v>
      </c>
      <c r="N78" s="38">
        <f>HLOOKUP("Host",'vInfo (Imported)'!$1:$5000,M78,FALSE)</f>
        <v>0</v>
      </c>
      <c r="R78">
        <f>HLOOKUP("CPUs",'vInfo (Imported)'!$1:$5000,M78,FALSE)</f>
        <v>0</v>
      </c>
      <c r="S78">
        <f>HLOOKUP("Memory",'vInfo (Imported)'!$1:$5000,M78,FALSE)</f>
        <v>0</v>
      </c>
      <c r="T78">
        <f>HLOOKUP("Provisioned MiB",'vInfo (Imported)'!$1:$5000,M78,FALSE)</f>
        <v>0</v>
      </c>
      <c r="U78">
        <f t="shared" si="4"/>
        <v>0</v>
      </c>
      <c r="V78">
        <f>HLOOKUP("In Use MiB",'vInfo (Imported)'!$1:$5000,M78,FALSE)</f>
        <v>0</v>
      </c>
    </row>
    <row r="79" spans="1:22" ht="13" x14ac:dyDescent="0.3">
      <c r="A79" s="46">
        <f>'vHosts (Imported)'!A79</f>
        <v>0</v>
      </c>
      <c r="B79" s="51">
        <f t="shared" si="3"/>
        <v>4968</v>
      </c>
      <c r="C79" s="49">
        <f>HLOOKUP("# Cores",'vHosts (Imported)'!$1:$5000,M79,FALSE)</f>
        <v>0</v>
      </c>
      <c r="D79" s="52">
        <f>HLOOKUP("# Memory",'vHosts (Imported)'!$1:$5000,M79,FALSE)</f>
        <v>0</v>
      </c>
      <c r="M79" s="45">
        <f t="shared" si="5"/>
        <v>79</v>
      </c>
      <c r="N79" s="38">
        <f>HLOOKUP("Host",'vInfo (Imported)'!$1:$5000,M79,FALSE)</f>
        <v>0</v>
      </c>
      <c r="R79">
        <f>HLOOKUP("CPUs",'vInfo (Imported)'!$1:$5000,M79,FALSE)</f>
        <v>0</v>
      </c>
      <c r="S79">
        <f>HLOOKUP("Memory",'vInfo (Imported)'!$1:$5000,M79,FALSE)</f>
        <v>0</v>
      </c>
      <c r="T79">
        <f>HLOOKUP("Provisioned MiB",'vInfo (Imported)'!$1:$5000,M79,FALSE)</f>
        <v>0</v>
      </c>
      <c r="U79">
        <f t="shared" si="4"/>
        <v>0</v>
      </c>
      <c r="V79">
        <f>HLOOKUP("In Use MiB",'vInfo (Imported)'!$1:$5000,M79,FALSE)</f>
        <v>0</v>
      </c>
    </row>
    <row r="80" spans="1:22" ht="13" x14ac:dyDescent="0.3">
      <c r="A80" s="46">
        <f>'vHosts (Imported)'!A80</f>
        <v>0</v>
      </c>
      <c r="B80" s="51">
        <f t="shared" si="3"/>
        <v>4968</v>
      </c>
      <c r="C80" s="49">
        <f>HLOOKUP("# Cores",'vHosts (Imported)'!$1:$5000,M80,FALSE)</f>
        <v>0</v>
      </c>
      <c r="D80" s="52">
        <f>HLOOKUP("# Memory",'vHosts (Imported)'!$1:$5000,M80,FALSE)</f>
        <v>0</v>
      </c>
      <c r="M80" s="45">
        <f t="shared" si="5"/>
        <v>80</v>
      </c>
      <c r="N80" s="38">
        <f>HLOOKUP("Host",'vInfo (Imported)'!$1:$5000,M80,FALSE)</f>
        <v>0</v>
      </c>
      <c r="R80">
        <f>HLOOKUP("CPUs",'vInfo (Imported)'!$1:$5000,M80,FALSE)</f>
        <v>0</v>
      </c>
      <c r="S80">
        <f>HLOOKUP("Memory",'vInfo (Imported)'!$1:$5000,M80,FALSE)</f>
        <v>0</v>
      </c>
      <c r="T80">
        <f>HLOOKUP("Provisioned MiB",'vInfo (Imported)'!$1:$5000,M80,FALSE)</f>
        <v>0</v>
      </c>
      <c r="U80">
        <f t="shared" si="4"/>
        <v>0</v>
      </c>
      <c r="V80">
        <f>HLOOKUP("In Use MiB",'vInfo (Imported)'!$1:$5000,M80,FALSE)</f>
        <v>0</v>
      </c>
    </row>
    <row r="81" spans="1:22" ht="13" x14ac:dyDescent="0.3">
      <c r="A81" s="46">
        <f>'vHosts (Imported)'!A81</f>
        <v>0</v>
      </c>
      <c r="B81" s="51">
        <f t="shared" si="3"/>
        <v>4968</v>
      </c>
      <c r="C81" s="49">
        <f>HLOOKUP("# Cores",'vHosts (Imported)'!$1:$5000,M81,FALSE)</f>
        <v>0</v>
      </c>
      <c r="D81" s="52">
        <f>HLOOKUP("# Memory",'vHosts (Imported)'!$1:$5000,M81,FALSE)</f>
        <v>0</v>
      </c>
      <c r="M81" s="45">
        <f t="shared" si="5"/>
        <v>81</v>
      </c>
      <c r="N81" s="38">
        <f>HLOOKUP("Host",'vInfo (Imported)'!$1:$5000,M81,FALSE)</f>
        <v>0</v>
      </c>
      <c r="R81">
        <f>HLOOKUP("CPUs",'vInfo (Imported)'!$1:$5000,M81,FALSE)</f>
        <v>0</v>
      </c>
      <c r="S81">
        <f>HLOOKUP("Memory",'vInfo (Imported)'!$1:$5000,M81,FALSE)</f>
        <v>0</v>
      </c>
      <c r="T81">
        <f>HLOOKUP("Provisioned MiB",'vInfo (Imported)'!$1:$5000,M81,FALSE)</f>
        <v>0</v>
      </c>
      <c r="U81">
        <f t="shared" si="4"/>
        <v>0</v>
      </c>
      <c r="V81">
        <f>HLOOKUP("In Use MiB",'vInfo (Imported)'!$1:$5000,M81,FALSE)</f>
        <v>0</v>
      </c>
    </row>
    <row r="82" spans="1:22" ht="13" x14ac:dyDescent="0.3">
      <c r="A82" s="46">
        <f>'vHosts (Imported)'!A82</f>
        <v>0</v>
      </c>
      <c r="B82" s="51">
        <f t="shared" si="3"/>
        <v>4968</v>
      </c>
      <c r="C82" s="49">
        <f>HLOOKUP("# Cores",'vHosts (Imported)'!$1:$5000,M82,FALSE)</f>
        <v>0</v>
      </c>
      <c r="D82" s="52">
        <f>HLOOKUP("# Memory",'vHosts (Imported)'!$1:$5000,M82,FALSE)</f>
        <v>0</v>
      </c>
      <c r="M82" s="45">
        <f t="shared" si="5"/>
        <v>82</v>
      </c>
      <c r="N82" s="38">
        <f>HLOOKUP("Host",'vInfo (Imported)'!$1:$5000,M82,FALSE)</f>
        <v>0</v>
      </c>
      <c r="R82">
        <f>HLOOKUP("CPUs",'vInfo (Imported)'!$1:$5000,M82,FALSE)</f>
        <v>0</v>
      </c>
      <c r="S82">
        <f>HLOOKUP("Memory",'vInfo (Imported)'!$1:$5000,M82,FALSE)</f>
        <v>0</v>
      </c>
      <c r="T82">
        <f>HLOOKUP("Provisioned MiB",'vInfo (Imported)'!$1:$5000,M82,FALSE)</f>
        <v>0</v>
      </c>
      <c r="U82">
        <f t="shared" si="4"/>
        <v>0</v>
      </c>
      <c r="V82">
        <f>HLOOKUP("In Use MiB",'vInfo (Imported)'!$1:$5000,M82,FALSE)</f>
        <v>0</v>
      </c>
    </row>
    <row r="83" spans="1:22" ht="13" x14ac:dyDescent="0.3">
      <c r="A83" s="46">
        <f>'vHosts (Imported)'!A83</f>
        <v>0</v>
      </c>
      <c r="B83" s="51">
        <f t="shared" si="3"/>
        <v>4968</v>
      </c>
      <c r="C83" s="49">
        <f>HLOOKUP("# Cores",'vHosts (Imported)'!$1:$5000,M83,FALSE)</f>
        <v>0</v>
      </c>
      <c r="D83" s="52">
        <f>HLOOKUP("# Memory",'vHosts (Imported)'!$1:$5000,M83,FALSE)</f>
        <v>0</v>
      </c>
      <c r="M83" s="45">
        <f t="shared" si="5"/>
        <v>83</v>
      </c>
      <c r="N83" s="38">
        <f>HLOOKUP("Host",'vInfo (Imported)'!$1:$5000,M83,FALSE)</f>
        <v>0</v>
      </c>
      <c r="R83">
        <f>HLOOKUP("CPUs",'vInfo (Imported)'!$1:$5000,M83,FALSE)</f>
        <v>0</v>
      </c>
      <c r="S83">
        <f>HLOOKUP("Memory",'vInfo (Imported)'!$1:$5000,M83,FALSE)</f>
        <v>0</v>
      </c>
      <c r="T83">
        <f>HLOOKUP("Provisioned MiB",'vInfo (Imported)'!$1:$5000,M83,FALSE)</f>
        <v>0</v>
      </c>
      <c r="U83">
        <f t="shared" si="4"/>
        <v>0</v>
      </c>
      <c r="V83">
        <f>HLOOKUP("In Use MiB",'vInfo (Imported)'!$1:$5000,M83,FALSE)</f>
        <v>0</v>
      </c>
    </row>
    <row r="84" spans="1:22" ht="13" x14ac:dyDescent="0.3">
      <c r="A84" s="46">
        <f>'vHosts (Imported)'!A84</f>
        <v>0</v>
      </c>
      <c r="B84" s="51">
        <f t="shared" si="3"/>
        <v>4968</v>
      </c>
      <c r="C84" s="49">
        <f>HLOOKUP("# Cores",'vHosts (Imported)'!$1:$5000,M84,FALSE)</f>
        <v>0</v>
      </c>
      <c r="D84" s="52">
        <f>HLOOKUP("# Memory",'vHosts (Imported)'!$1:$5000,M84,FALSE)</f>
        <v>0</v>
      </c>
      <c r="M84" s="45">
        <f t="shared" si="5"/>
        <v>84</v>
      </c>
      <c r="N84" s="38">
        <f>HLOOKUP("Host",'vInfo (Imported)'!$1:$5000,M84,FALSE)</f>
        <v>0</v>
      </c>
      <c r="R84">
        <f>HLOOKUP("CPUs",'vInfo (Imported)'!$1:$5000,M84,FALSE)</f>
        <v>0</v>
      </c>
      <c r="S84">
        <f>HLOOKUP("Memory",'vInfo (Imported)'!$1:$5000,M84,FALSE)</f>
        <v>0</v>
      </c>
      <c r="T84">
        <f>HLOOKUP("Provisioned MiB",'vInfo (Imported)'!$1:$5000,M84,FALSE)</f>
        <v>0</v>
      </c>
      <c r="U84">
        <f t="shared" si="4"/>
        <v>0</v>
      </c>
      <c r="V84">
        <f>HLOOKUP("In Use MiB",'vInfo (Imported)'!$1:$5000,M84,FALSE)</f>
        <v>0</v>
      </c>
    </row>
    <row r="85" spans="1:22" ht="13" x14ac:dyDescent="0.3">
      <c r="A85" s="46">
        <f>'vHosts (Imported)'!A85</f>
        <v>0</v>
      </c>
      <c r="B85" s="51">
        <f t="shared" si="3"/>
        <v>4968</v>
      </c>
      <c r="C85" s="49">
        <f>HLOOKUP("# Cores",'vHosts (Imported)'!$1:$5000,M85,FALSE)</f>
        <v>0</v>
      </c>
      <c r="D85" s="52">
        <f>HLOOKUP("# Memory",'vHosts (Imported)'!$1:$5000,M85,FALSE)</f>
        <v>0</v>
      </c>
      <c r="M85" s="45">
        <f t="shared" si="5"/>
        <v>85</v>
      </c>
      <c r="N85" s="38">
        <f>HLOOKUP("Host",'vInfo (Imported)'!$1:$5000,M85,FALSE)</f>
        <v>0</v>
      </c>
      <c r="R85">
        <f>HLOOKUP("CPUs",'vInfo (Imported)'!$1:$5000,M85,FALSE)</f>
        <v>0</v>
      </c>
      <c r="S85">
        <f>HLOOKUP("Memory",'vInfo (Imported)'!$1:$5000,M85,FALSE)</f>
        <v>0</v>
      </c>
      <c r="T85">
        <f>HLOOKUP("Provisioned MiB",'vInfo (Imported)'!$1:$5000,M85,FALSE)</f>
        <v>0</v>
      </c>
      <c r="U85">
        <f t="shared" si="4"/>
        <v>0</v>
      </c>
      <c r="V85">
        <f>HLOOKUP("In Use MiB",'vInfo (Imported)'!$1:$5000,M85,FALSE)</f>
        <v>0</v>
      </c>
    </row>
    <row r="86" spans="1:22" ht="13" x14ac:dyDescent="0.3">
      <c r="A86" s="46">
        <f>'vHosts (Imported)'!A86</f>
        <v>0</v>
      </c>
      <c r="B86" s="51">
        <f t="shared" si="3"/>
        <v>4968</v>
      </c>
      <c r="C86" s="49">
        <f>HLOOKUP("# Cores",'vHosts (Imported)'!$1:$5000,M86,FALSE)</f>
        <v>0</v>
      </c>
      <c r="D86" s="52">
        <f>HLOOKUP("# Memory",'vHosts (Imported)'!$1:$5000,M86,FALSE)</f>
        <v>0</v>
      </c>
      <c r="M86" s="45">
        <f t="shared" si="5"/>
        <v>86</v>
      </c>
      <c r="N86" s="38">
        <f>HLOOKUP("Host",'vInfo (Imported)'!$1:$5000,M86,FALSE)</f>
        <v>0</v>
      </c>
      <c r="R86">
        <f>HLOOKUP("CPUs",'vInfo (Imported)'!$1:$5000,M86,FALSE)</f>
        <v>0</v>
      </c>
      <c r="S86">
        <f>HLOOKUP("Memory",'vInfo (Imported)'!$1:$5000,M86,FALSE)</f>
        <v>0</v>
      </c>
      <c r="T86">
        <f>HLOOKUP("Provisioned MiB",'vInfo (Imported)'!$1:$5000,M86,FALSE)</f>
        <v>0</v>
      </c>
      <c r="U86">
        <f t="shared" si="4"/>
        <v>0</v>
      </c>
      <c r="V86">
        <f>HLOOKUP("In Use MiB",'vInfo (Imported)'!$1:$5000,M86,FALSE)</f>
        <v>0</v>
      </c>
    </row>
    <row r="87" spans="1:22" ht="13" x14ac:dyDescent="0.3">
      <c r="A87" s="46">
        <f>'vHosts (Imported)'!A87</f>
        <v>0</v>
      </c>
      <c r="B87" s="51">
        <f t="shared" si="3"/>
        <v>4968</v>
      </c>
      <c r="C87" s="49">
        <f>HLOOKUP("# Cores",'vHosts (Imported)'!$1:$5000,M87,FALSE)</f>
        <v>0</v>
      </c>
      <c r="D87" s="52">
        <f>HLOOKUP("# Memory",'vHosts (Imported)'!$1:$5000,M87,FALSE)</f>
        <v>0</v>
      </c>
      <c r="M87" s="45">
        <f t="shared" si="5"/>
        <v>87</v>
      </c>
      <c r="N87" s="38">
        <f>HLOOKUP("Host",'vInfo (Imported)'!$1:$5000,M87,FALSE)</f>
        <v>0</v>
      </c>
      <c r="R87">
        <f>HLOOKUP("CPUs",'vInfo (Imported)'!$1:$5000,M87,FALSE)</f>
        <v>0</v>
      </c>
      <c r="S87">
        <f>HLOOKUP("Memory",'vInfo (Imported)'!$1:$5000,M87,FALSE)</f>
        <v>0</v>
      </c>
      <c r="T87">
        <f>HLOOKUP("Provisioned MiB",'vInfo (Imported)'!$1:$5000,M87,FALSE)</f>
        <v>0</v>
      </c>
      <c r="U87">
        <f t="shared" si="4"/>
        <v>0</v>
      </c>
      <c r="V87">
        <f>HLOOKUP("In Use MiB",'vInfo (Imported)'!$1:$5000,M87,FALSE)</f>
        <v>0</v>
      </c>
    </row>
    <row r="88" spans="1:22" ht="13" x14ac:dyDescent="0.3">
      <c r="A88" s="46">
        <f>'vHosts (Imported)'!A88</f>
        <v>0</v>
      </c>
      <c r="B88" s="51">
        <f t="shared" si="3"/>
        <v>4968</v>
      </c>
      <c r="C88" s="49">
        <f>HLOOKUP("# Cores",'vHosts (Imported)'!$1:$5000,M88,FALSE)</f>
        <v>0</v>
      </c>
      <c r="D88" s="52">
        <f>HLOOKUP("# Memory",'vHosts (Imported)'!$1:$5000,M88,FALSE)</f>
        <v>0</v>
      </c>
      <c r="M88" s="45">
        <f t="shared" si="5"/>
        <v>88</v>
      </c>
      <c r="N88" s="38">
        <f>HLOOKUP("Host",'vInfo (Imported)'!$1:$5000,M88,FALSE)</f>
        <v>0</v>
      </c>
      <c r="R88">
        <f>HLOOKUP("CPUs",'vInfo (Imported)'!$1:$5000,M88,FALSE)</f>
        <v>0</v>
      </c>
      <c r="S88">
        <f>HLOOKUP("Memory",'vInfo (Imported)'!$1:$5000,M88,FALSE)</f>
        <v>0</v>
      </c>
      <c r="T88">
        <f>HLOOKUP("Provisioned MiB",'vInfo (Imported)'!$1:$5000,M88,FALSE)</f>
        <v>0</v>
      </c>
      <c r="U88">
        <f t="shared" si="4"/>
        <v>0</v>
      </c>
      <c r="V88">
        <f>HLOOKUP("In Use MiB",'vInfo (Imported)'!$1:$5000,M88,FALSE)</f>
        <v>0</v>
      </c>
    </row>
    <row r="89" spans="1:22" ht="13" x14ac:dyDescent="0.3">
      <c r="A89" s="46">
        <f>'vHosts (Imported)'!A89</f>
        <v>0</v>
      </c>
      <c r="B89" s="51">
        <f t="shared" si="3"/>
        <v>4968</v>
      </c>
      <c r="C89" s="49">
        <f>HLOOKUP("# Cores",'vHosts (Imported)'!$1:$5000,M89,FALSE)</f>
        <v>0</v>
      </c>
      <c r="D89" s="52">
        <f>HLOOKUP("# Memory",'vHosts (Imported)'!$1:$5000,M89,FALSE)</f>
        <v>0</v>
      </c>
      <c r="M89" s="45">
        <f t="shared" si="5"/>
        <v>89</v>
      </c>
      <c r="N89" s="38">
        <f>HLOOKUP("Host",'vInfo (Imported)'!$1:$5000,M89,FALSE)</f>
        <v>0</v>
      </c>
      <c r="R89">
        <f>HLOOKUP("CPUs",'vInfo (Imported)'!$1:$5000,M89,FALSE)</f>
        <v>0</v>
      </c>
      <c r="S89">
        <f>HLOOKUP("Memory",'vInfo (Imported)'!$1:$5000,M89,FALSE)</f>
        <v>0</v>
      </c>
      <c r="T89">
        <f>HLOOKUP("Provisioned MiB",'vInfo (Imported)'!$1:$5000,M89,FALSE)</f>
        <v>0</v>
      </c>
      <c r="U89">
        <f t="shared" si="4"/>
        <v>0</v>
      </c>
      <c r="V89">
        <f>HLOOKUP("In Use MiB",'vInfo (Imported)'!$1:$5000,M89,FALSE)</f>
        <v>0</v>
      </c>
    </row>
    <row r="90" spans="1:22" ht="13" x14ac:dyDescent="0.3">
      <c r="A90" s="46">
        <f>'vHosts (Imported)'!A90</f>
        <v>0</v>
      </c>
      <c r="B90" s="51">
        <f t="shared" si="3"/>
        <v>4968</v>
      </c>
      <c r="C90" s="49">
        <f>HLOOKUP("# Cores",'vHosts (Imported)'!$1:$5000,M90,FALSE)</f>
        <v>0</v>
      </c>
      <c r="D90" s="52">
        <f>HLOOKUP("# Memory",'vHosts (Imported)'!$1:$5000,M90,FALSE)</f>
        <v>0</v>
      </c>
      <c r="M90" s="45">
        <f t="shared" si="5"/>
        <v>90</v>
      </c>
      <c r="N90" s="38">
        <f>HLOOKUP("Host",'vInfo (Imported)'!$1:$5000,M90,FALSE)</f>
        <v>0</v>
      </c>
      <c r="R90">
        <f>HLOOKUP("CPUs",'vInfo (Imported)'!$1:$5000,M90,FALSE)</f>
        <v>0</v>
      </c>
      <c r="S90">
        <f>HLOOKUP("Memory",'vInfo (Imported)'!$1:$5000,M90,FALSE)</f>
        <v>0</v>
      </c>
      <c r="T90">
        <f>HLOOKUP("Provisioned MiB",'vInfo (Imported)'!$1:$5000,M90,FALSE)</f>
        <v>0</v>
      </c>
      <c r="U90">
        <f t="shared" si="4"/>
        <v>0</v>
      </c>
      <c r="V90">
        <f>HLOOKUP("In Use MiB",'vInfo (Imported)'!$1:$5000,M90,FALSE)</f>
        <v>0</v>
      </c>
    </row>
    <row r="91" spans="1:22" ht="13" x14ac:dyDescent="0.3">
      <c r="A91" s="46">
        <f>'vHosts (Imported)'!A91</f>
        <v>0</v>
      </c>
      <c r="B91" s="51">
        <f t="shared" si="3"/>
        <v>4968</v>
      </c>
      <c r="C91" s="49">
        <f>HLOOKUP("# Cores",'vHosts (Imported)'!$1:$5000,M91,FALSE)</f>
        <v>0</v>
      </c>
      <c r="D91" s="52">
        <f>HLOOKUP("# Memory",'vHosts (Imported)'!$1:$5000,M91,FALSE)</f>
        <v>0</v>
      </c>
      <c r="M91" s="45">
        <f t="shared" si="5"/>
        <v>91</v>
      </c>
      <c r="N91" s="38">
        <f>HLOOKUP("Host",'vInfo (Imported)'!$1:$5000,M91,FALSE)</f>
        <v>0</v>
      </c>
      <c r="R91">
        <f>HLOOKUP("CPUs",'vInfo (Imported)'!$1:$5000,M91,FALSE)</f>
        <v>0</v>
      </c>
      <c r="S91">
        <f>HLOOKUP("Memory",'vInfo (Imported)'!$1:$5000,M91,FALSE)</f>
        <v>0</v>
      </c>
      <c r="T91">
        <f>HLOOKUP("Provisioned MiB",'vInfo (Imported)'!$1:$5000,M91,FALSE)</f>
        <v>0</v>
      </c>
      <c r="U91">
        <f t="shared" si="4"/>
        <v>0</v>
      </c>
      <c r="V91">
        <f>HLOOKUP("In Use MiB",'vInfo (Imported)'!$1:$5000,M91,FALSE)</f>
        <v>0</v>
      </c>
    </row>
    <row r="92" spans="1:22" ht="13" x14ac:dyDescent="0.3">
      <c r="A92" s="46">
        <f>'vHosts (Imported)'!A92</f>
        <v>0</v>
      </c>
      <c r="B92" s="51">
        <f t="shared" si="3"/>
        <v>4968</v>
      </c>
      <c r="C92" s="49">
        <f>HLOOKUP("# Cores",'vHosts (Imported)'!$1:$5000,M92,FALSE)</f>
        <v>0</v>
      </c>
      <c r="D92" s="52">
        <f>HLOOKUP("# Memory",'vHosts (Imported)'!$1:$5000,M92,FALSE)</f>
        <v>0</v>
      </c>
      <c r="M92" s="45">
        <f t="shared" si="5"/>
        <v>92</v>
      </c>
      <c r="N92" s="38">
        <f>HLOOKUP("Host",'vInfo (Imported)'!$1:$5000,M92,FALSE)</f>
        <v>0</v>
      </c>
      <c r="R92">
        <f>HLOOKUP("CPUs",'vInfo (Imported)'!$1:$5000,M92,FALSE)</f>
        <v>0</v>
      </c>
      <c r="S92">
        <f>HLOOKUP("Memory",'vInfo (Imported)'!$1:$5000,M92,FALSE)</f>
        <v>0</v>
      </c>
      <c r="T92">
        <f>HLOOKUP("Provisioned MiB",'vInfo (Imported)'!$1:$5000,M92,FALSE)</f>
        <v>0</v>
      </c>
      <c r="U92">
        <f t="shared" si="4"/>
        <v>0</v>
      </c>
      <c r="V92">
        <f>HLOOKUP("In Use MiB",'vInfo (Imported)'!$1:$5000,M92,FALSE)</f>
        <v>0</v>
      </c>
    </row>
    <row r="93" spans="1:22" ht="13" x14ac:dyDescent="0.3">
      <c r="A93" s="46">
        <f>'vHosts (Imported)'!A93</f>
        <v>0</v>
      </c>
      <c r="B93" s="51">
        <f t="shared" si="3"/>
        <v>4968</v>
      </c>
      <c r="C93" s="49">
        <f>HLOOKUP("# Cores",'vHosts (Imported)'!$1:$5000,M93,FALSE)</f>
        <v>0</v>
      </c>
      <c r="D93" s="52">
        <f>HLOOKUP("# Memory",'vHosts (Imported)'!$1:$5000,M93,FALSE)</f>
        <v>0</v>
      </c>
      <c r="M93" s="45">
        <f t="shared" si="5"/>
        <v>93</v>
      </c>
      <c r="N93" s="38">
        <f>HLOOKUP("Host",'vInfo (Imported)'!$1:$5000,M93,FALSE)</f>
        <v>0</v>
      </c>
      <c r="R93">
        <f>HLOOKUP("CPUs",'vInfo (Imported)'!$1:$5000,M93,FALSE)</f>
        <v>0</v>
      </c>
      <c r="S93">
        <f>HLOOKUP("Memory",'vInfo (Imported)'!$1:$5000,M93,FALSE)</f>
        <v>0</v>
      </c>
      <c r="T93">
        <f>HLOOKUP("Provisioned MiB",'vInfo (Imported)'!$1:$5000,M93,FALSE)</f>
        <v>0</v>
      </c>
      <c r="U93">
        <f t="shared" si="4"/>
        <v>0</v>
      </c>
      <c r="V93">
        <f>HLOOKUP("In Use MiB",'vInfo (Imported)'!$1:$5000,M93,FALSE)</f>
        <v>0</v>
      </c>
    </row>
    <row r="94" spans="1:22" ht="13" x14ac:dyDescent="0.3">
      <c r="A94" s="46">
        <f>'vHosts (Imported)'!A94</f>
        <v>0</v>
      </c>
      <c r="B94" s="51">
        <f t="shared" si="3"/>
        <v>4968</v>
      </c>
      <c r="C94" s="49">
        <f>HLOOKUP("# Cores",'vHosts (Imported)'!$1:$5000,M94,FALSE)</f>
        <v>0</v>
      </c>
      <c r="D94" s="52">
        <f>HLOOKUP("# Memory",'vHosts (Imported)'!$1:$5000,M94,FALSE)</f>
        <v>0</v>
      </c>
      <c r="M94" s="45">
        <f t="shared" si="5"/>
        <v>94</v>
      </c>
      <c r="N94" s="38">
        <f>HLOOKUP("Host",'vInfo (Imported)'!$1:$5000,M94,FALSE)</f>
        <v>0</v>
      </c>
      <c r="R94">
        <f>HLOOKUP("CPUs",'vInfo (Imported)'!$1:$5000,M94,FALSE)</f>
        <v>0</v>
      </c>
      <c r="S94">
        <f>HLOOKUP("Memory",'vInfo (Imported)'!$1:$5000,M94,FALSE)</f>
        <v>0</v>
      </c>
      <c r="T94">
        <f>HLOOKUP("Provisioned MiB",'vInfo (Imported)'!$1:$5000,M94,FALSE)</f>
        <v>0</v>
      </c>
      <c r="U94">
        <f t="shared" si="4"/>
        <v>0</v>
      </c>
      <c r="V94">
        <f>HLOOKUP("In Use MiB",'vInfo (Imported)'!$1:$5000,M94,FALSE)</f>
        <v>0</v>
      </c>
    </row>
    <row r="95" spans="1:22" ht="13" x14ac:dyDescent="0.3">
      <c r="A95" s="46">
        <f>'vHosts (Imported)'!A95</f>
        <v>0</v>
      </c>
      <c r="B95" s="51">
        <f t="shared" si="3"/>
        <v>4968</v>
      </c>
      <c r="C95" s="49">
        <f>HLOOKUP("# Cores",'vHosts (Imported)'!$1:$5000,M95,FALSE)</f>
        <v>0</v>
      </c>
      <c r="D95" s="52">
        <f>HLOOKUP("# Memory",'vHosts (Imported)'!$1:$5000,M95,FALSE)</f>
        <v>0</v>
      </c>
      <c r="M95" s="45">
        <f t="shared" si="5"/>
        <v>95</v>
      </c>
      <c r="N95" s="38">
        <f>HLOOKUP("Host",'vInfo (Imported)'!$1:$5000,M95,FALSE)</f>
        <v>0</v>
      </c>
      <c r="R95">
        <f>HLOOKUP("CPUs",'vInfo (Imported)'!$1:$5000,M95,FALSE)</f>
        <v>0</v>
      </c>
      <c r="S95">
        <f>HLOOKUP("Memory",'vInfo (Imported)'!$1:$5000,M95,FALSE)</f>
        <v>0</v>
      </c>
      <c r="T95">
        <f>HLOOKUP("Provisioned MiB",'vInfo (Imported)'!$1:$5000,M95,FALSE)</f>
        <v>0</v>
      </c>
      <c r="U95">
        <f t="shared" si="4"/>
        <v>0</v>
      </c>
      <c r="V95">
        <f>HLOOKUP("In Use MiB",'vInfo (Imported)'!$1:$5000,M95,FALSE)</f>
        <v>0</v>
      </c>
    </row>
    <row r="96" spans="1:22" ht="13" x14ac:dyDescent="0.3">
      <c r="A96" s="46">
        <f>'vHosts (Imported)'!A96</f>
        <v>0</v>
      </c>
      <c r="B96" s="51">
        <f t="shared" si="3"/>
        <v>4968</v>
      </c>
      <c r="C96" s="49">
        <f>HLOOKUP("# Cores",'vHosts (Imported)'!$1:$5000,M96,FALSE)</f>
        <v>0</v>
      </c>
      <c r="D96" s="52">
        <f>HLOOKUP("# Memory",'vHosts (Imported)'!$1:$5000,M96,FALSE)</f>
        <v>0</v>
      </c>
      <c r="M96" s="45">
        <f t="shared" si="5"/>
        <v>96</v>
      </c>
      <c r="N96" s="38">
        <f>HLOOKUP("Host",'vInfo (Imported)'!$1:$5000,M96,FALSE)</f>
        <v>0</v>
      </c>
      <c r="R96">
        <f>HLOOKUP("CPUs",'vInfo (Imported)'!$1:$5000,M96,FALSE)</f>
        <v>0</v>
      </c>
      <c r="S96">
        <f>HLOOKUP("Memory",'vInfo (Imported)'!$1:$5000,M96,FALSE)</f>
        <v>0</v>
      </c>
      <c r="T96">
        <f>HLOOKUP("Provisioned MiB",'vInfo (Imported)'!$1:$5000,M96,FALSE)</f>
        <v>0</v>
      </c>
      <c r="U96">
        <f t="shared" si="4"/>
        <v>0</v>
      </c>
      <c r="V96">
        <f>HLOOKUP("In Use MiB",'vInfo (Imported)'!$1:$5000,M96,FALSE)</f>
        <v>0</v>
      </c>
    </row>
    <row r="97" spans="1:22" ht="13" x14ac:dyDescent="0.3">
      <c r="A97" s="46">
        <f>'vHosts (Imported)'!A97</f>
        <v>0</v>
      </c>
      <c r="B97" s="51">
        <f t="shared" si="3"/>
        <v>4968</v>
      </c>
      <c r="C97" s="49">
        <f>HLOOKUP("# Cores",'vHosts (Imported)'!$1:$5000,M97,FALSE)</f>
        <v>0</v>
      </c>
      <c r="D97" s="52">
        <f>HLOOKUP("# Memory",'vHosts (Imported)'!$1:$5000,M97,FALSE)</f>
        <v>0</v>
      </c>
      <c r="M97" s="45">
        <f t="shared" si="5"/>
        <v>97</v>
      </c>
      <c r="N97" s="38">
        <f>HLOOKUP("Host",'vInfo (Imported)'!$1:$5000,M97,FALSE)</f>
        <v>0</v>
      </c>
      <c r="R97">
        <f>HLOOKUP("CPUs",'vInfo (Imported)'!$1:$5000,M97,FALSE)</f>
        <v>0</v>
      </c>
      <c r="S97">
        <f>HLOOKUP("Memory",'vInfo (Imported)'!$1:$5000,M97,FALSE)</f>
        <v>0</v>
      </c>
      <c r="T97">
        <f>HLOOKUP("Provisioned MiB",'vInfo (Imported)'!$1:$5000,M97,FALSE)</f>
        <v>0</v>
      </c>
      <c r="U97">
        <f t="shared" si="4"/>
        <v>0</v>
      </c>
      <c r="V97">
        <f>HLOOKUP("In Use MiB",'vInfo (Imported)'!$1:$5000,M97,FALSE)</f>
        <v>0</v>
      </c>
    </row>
    <row r="98" spans="1:22" ht="13" x14ac:dyDescent="0.3">
      <c r="A98" s="46">
        <f>'vHosts (Imported)'!A98</f>
        <v>0</v>
      </c>
      <c r="B98" s="51">
        <f t="shared" si="3"/>
        <v>4968</v>
      </c>
      <c r="C98" s="49">
        <f>HLOOKUP("# Cores",'vHosts (Imported)'!$1:$5000,M98,FALSE)</f>
        <v>0</v>
      </c>
      <c r="D98" s="52">
        <f>HLOOKUP("# Memory",'vHosts (Imported)'!$1:$5000,M98,FALSE)</f>
        <v>0</v>
      </c>
      <c r="M98" s="45">
        <f t="shared" si="5"/>
        <v>98</v>
      </c>
      <c r="N98" s="38">
        <f>HLOOKUP("Host",'vInfo (Imported)'!$1:$5000,M98,FALSE)</f>
        <v>0</v>
      </c>
      <c r="R98">
        <f>HLOOKUP("CPUs",'vInfo (Imported)'!$1:$5000,M98,FALSE)</f>
        <v>0</v>
      </c>
      <c r="S98">
        <f>HLOOKUP("Memory",'vInfo (Imported)'!$1:$5000,M98,FALSE)</f>
        <v>0</v>
      </c>
      <c r="T98">
        <f>HLOOKUP("Provisioned MiB",'vInfo (Imported)'!$1:$5000,M98,FALSE)</f>
        <v>0</v>
      </c>
      <c r="U98">
        <f t="shared" si="4"/>
        <v>0</v>
      </c>
      <c r="V98">
        <f>HLOOKUP("In Use MiB",'vInfo (Imported)'!$1:$5000,M98,FALSE)</f>
        <v>0</v>
      </c>
    </row>
    <row r="99" spans="1:22" ht="13" x14ac:dyDescent="0.3">
      <c r="A99" s="46">
        <f>'vHosts (Imported)'!A99</f>
        <v>0</v>
      </c>
      <c r="B99" s="51">
        <f t="shared" si="3"/>
        <v>4968</v>
      </c>
      <c r="C99" s="49">
        <f>HLOOKUP("# Cores",'vHosts (Imported)'!$1:$5000,M99,FALSE)</f>
        <v>0</v>
      </c>
      <c r="D99" s="52">
        <f>HLOOKUP("# Memory",'vHosts (Imported)'!$1:$5000,M99,FALSE)</f>
        <v>0</v>
      </c>
      <c r="M99" s="45">
        <f t="shared" si="5"/>
        <v>99</v>
      </c>
      <c r="N99" s="38">
        <f>HLOOKUP("Host",'vInfo (Imported)'!$1:$5000,M99,FALSE)</f>
        <v>0</v>
      </c>
      <c r="R99">
        <f>HLOOKUP("CPUs",'vInfo (Imported)'!$1:$5000,M99,FALSE)</f>
        <v>0</v>
      </c>
      <c r="S99">
        <f>HLOOKUP("Memory",'vInfo (Imported)'!$1:$5000,M99,FALSE)</f>
        <v>0</v>
      </c>
      <c r="T99">
        <f>HLOOKUP("Provisioned MiB",'vInfo (Imported)'!$1:$5000,M99,FALSE)</f>
        <v>0</v>
      </c>
      <c r="U99">
        <f t="shared" si="4"/>
        <v>0</v>
      </c>
      <c r="V99">
        <f>HLOOKUP("In Use MiB",'vInfo (Imported)'!$1:$5000,M99,FALSE)</f>
        <v>0</v>
      </c>
    </row>
    <row r="100" spans="1:22" ht="13" x14ac:dyDescent="0.3">
      <c r="A100" s="46">
        <f>'vHosts (Imported)'!A100</f>
        <v>0</v>
      </c>
      <c r="B100" s="51">
        <f t="shared" si="3"/>
        <v>4968</v>
      </c>
      <c r="C100" s="49">
        <f>HLOOKUP("# Cores",'vHosts (Imported)'!$1:$5000,M100,FALSE)</f>
        <v>0</v>
      </c>
      <c r="D100" s="52">
        <f>HLOOKUP("# Memory",'vHosts (Imported)'!$1:$5000,M100,FALSE)</f>
        <v>0</v>
      </c>
      <c r="M100" s="45">
        <f t="shared" si="5"/>
        <v>100</v>
      </c>
      <c r="N100" s="38">
        <f>HLOOKUP("Host",'vInfo (Imported)'!$1:$5000,M100,FALSE)</f>
        <v>0</v>
      </c>
      <c r="R100">
        <f>HLOOKUP("CPUs",'vInfo (Imported)'!$1:$5000,M100,FALSE)</f>
        <v>0</v>
      </c>
      <c r="S100">
        <f>HLOOKUP("Memory",'vInfo (Imported)'!$1:$5000,M100,FALSE)</f>
        <v>0</v>
      </c>
      <c r="T100">
        <f>HLOOKUP("Provisioned MiB",'vInfo (Imported)'!$1:$5000,M100,FALSE)</f>
        <v>0</v>
      </c>
      <c r="U100">
        <f t="shared" si="4"/>
        <v>0</v>
      </c>
      <c r="V100">
        <f>HLOOKUP("In Use MiB",'vInfo (Imported)'!$1:$5000,M100,FALSE)</f>
        <v>0</v>
      </c>
    </row>
    <row r="101" spans="1:22" ht="13" x14ac:dyDescent="0.3">
      <c r="A101" s="46">
        <f>'vHosts (Imported)'!A101</f>
        <v>0</v>
      </c>
      <c r="B101" s="51">
        <f t="shared" si="3"/>
        <v>4968</v>
      </c>
      <c r="C101" s="49">
        <f>HLOOKUP("# Cores",'vHosts (Imported)'!$1:$5000,M101,FALSE)</f>
        <v>0</v>
      </c>
      <c r="D101" s="52">
        <f>HLOOKUP("# Memory",'vHosts (Imported)'!$1:$5000,M101,FALSE)</f>
        <v>0</v>
      </c>
      <c r="M101" s="45">
        <f t="shared" si="5"/>
        <v>101</v>
      </c>
      <c r="N101" s="38">
        <f>HLOOKUP("Host",'vInfo (Imported)'!$1:$5000,M101,FALSE)</f>
        <v>0</v>
      </c>
      <c r="R101">
        <f>HLOOKUP("CPUs",'vInfo (Imported)'!$1:$5000,M101,FALSE)</f>
        <v>0</v>
      </c>
      <c r="S101">
        <f>HLOOKUP("Memory",'vInfo (Imported)'!$1:$5000,M101,FALSE)</f>
        <v>0</v>
      </c>
      <c r="T101">
        <f>HLOOKUP("Provisioned MiB",'vInfo (Imported)'!$1:$5000,M101,FALSE)</f>
        <v>0</v>
      </c>
      <c r="U101">
        <f t="shared" si="4"/>
        <v>0</v>
      </c>
      <c r="V101">
        <f>HLOOKUP("In Use MiB",'vInfo (Imported)'!$1:$5000,M101,FALSE)</f>
        <v>0</v>
      </c>
    </row>
    <row r="102" spans="1:22" ht="13" x14ac:dyDescent="0.3">
      <c r="A102" s="46">
        <f>'vHosts (Imported)'!A102</f>
        <v>0</v>
      </c>
      <c r="B102" s="51">
        <f t="shared" si="3"/>
        <v>4968</v>
      </c>
      <c r="C102" s="49">
        <f>HLOOKUP("# Cores",'vHosts (Imported)'!$1:$5000,M102,FALSE)</f>
        <v>0</v>
      </c>
      <c r="D102" s="52">
        <f>HLOOKUP("# Memory",'vHosts (Imported)'!$1:$5000,M102,FALSE)</f>
        <v>0</v>
      </c>
      <c r="M102" s="45">
        <f t="shared" si="5"/>
        <v>102</v>
      </c>
      <c r="N102" s="38">
        <f>HLOOKUP("Host",'vInfo (Imported)'!$1:$5000,M102,FALSE)</f>
        <v>0</v>
      </c>
      <c r="R102">
        <f>HLOOKUP("CPUs",'vInfo (Imported)'!$1:$5000,M102,FALSE)</f>
        <v>0</v>
      </c>
      <c r="S102">
        <f>HLOOKUP("Memory",'vInfo (Imported)'!$1:$5000,M102,FALSE)</f>
        <v>0</v>
      </c>
      <c r="T102">
        <f>HLOOKUP("Provisioned MiB",'vInfo (Imported)'!$1:$5000,M102,FALSE)</f>
        <v>0</v>
      </c>
      <c r="U102">
        <f t="shared" si="4"/>
        <v>0</v>
      </c>
      <c r="V102">
        <f>HLOOKUP("In Use MiB",'vInfo (Imported)'!$1:$5000,M102,FALSE)</f>
        <v>0</v>
      </c>
    </row>
    <row r="103" spans="1:22" ht="13" x14ac:dyDescent="0.3">
      <c r="A103" s="46">
        <f>'vHosts (Imported)'!A103</f>
        <v>0</v>
      </c>
      <c r="B103" s="51">
        <f t="shared" si="3"/>
        <v>4968</v>
      </c>
      <c r="C103" s="49">
        <f>HLOOKUP("# Cores",'vHosts (Imported)'!$1:$5000,M103,FALSE)</f>
        <v>0</v>
      </c>
      <c r="D103" s="52">
        <f>HLOOKUP("# Memory",'vHosts (Imported)'!$1:$5000,M103,FALSE)</f>
        <v>0</v>
      </c>
      <c r="M103" s="45">
        <f t="shared" si="5"/>
        <v>103</v>
      </c>
      <c r="N103" s="38">
        <f>HLOOKUP("Host",'vInfo (Imported)'!$1:$5000,M103,FALSE)</f>
        <v>0</v>
      </c>
      <c r="R103">
        <f>HLOOKUP("CPUs",'vInfo (Imported)'!$1:$5000,M103,FALSE)</f>
        <v>0</v>
      </c>
      <c r="S103">
        <f>HLOOKUP("Memory",'vInfo (Imported)'!$1:$5000,M103,FALSE)</f>
        <v>0</v>
      </c>
      <c r="T103">
        <f>HLOOKUP("Provisioned MiB",'vInfo (Imported)'!$1:$5000,M103,FALSE)</f>
        <v>0</v>
      </c>
      <c r="U103">
        <f t="shared" si="4"/>
        <v>0</v>
      </c>
      <c r="V103">
        <f>HLOOKUP("In Use MiB",'vInfo (Imported)'!$1:$5000,M103,FALSE)</f>
        <v>0</v>
      </c>
    </row>
    <row r="104" spans="1:22" ht="13" x14ac:dyDescent="0.3">
      <c r="A104" s="46">
        <f>'vHosts (Imported)'!A104</f>
        <v>0</v>
      </c>
      <c r="B104" s="51">
        <f t="shared" si="3"/>
        <v>4968</v>
      </c>
      <c r="C104" s="49">
        <f>HLOOKUP("# Cores",'vHosts (Imported)'!$1:$5000,M104,FALSE)</f>
        <v>0</v>
      </c>
      <c r="D104" s="52">
        <f>HLOOKUP("# Memory",'vHosts (Imported)'!$1:$5000,M104,FALSE)</f>
        <v>0</v>
      </c>
      <c r="M104" s="45">
        <f t="shared" si="5"/>
        <v>104</v>
      </c>
      <c r="N104" s="38">
        <f>HLOOKUP("Host",'vInfo (Imported)'!$1:$5000,M104,FALSE)</f>
        <v>0</v>
      </c>
      <c r="R104">
        <f>HLOOKUP("CPUs",'vInfo (Imported)'!$1:$5000,M104,FALSE)</f>
        <v>0</v>
      </c>
      <c r="S104">
        <f>HLOOKUP("Memory",'vInfo (Imported)'!$1:$5000,M104,FALSE)</f>
        <v>0</v>
      </c>
      <c r="T104">
        <f>HLOOKUP("Provisioned MiB",'vInfo (Imported)'!$1:$5000,M104,FALSE)</f>
        <v>0</v>
      </c>
      <c r="U104">
        <f t="shared" si="4"/>
        <v>0</v>
      </c>
      <c r="V104">
        <f>HLOOKUP("In Use MiB",'vInfo (Imported)'!$1:$5000,M104,FALSE)</f>
        <v>0</v>
      </c>
    </row>
    <row r="105" spans="1:22" ht="13" x14ac:dyDescent="0.3">
      <c r="A105" s="46">
        <f>'vHosts (Imported)'!A105</f>
        <v>0</v>
      </c>
      <c r="B105" s="51">
        <f t="shared" si="3"/>
        <v>4968</v>
      </c>
      <c r="C105" s="49">
        <f>HLOOKUP("# Cores",'vHosts (Imported)'!$1:$5000,M105,FALSE)</f>
        <v>0</v>
      </c>
      <c r="D105" s="52">
        <f>HLOOKUP("# Memory",'vHosts (Imported)'!$1:$5000,M105,FALSE)</f>
        <v>0</v>
      </c>
      <c r="M105" s="45">
        <f t="shared" si="5"/>
        <v>105</v>
      </c>
      <c r="N105" s="38">
        <f>HLOOKUP("Host",'vInfo (Imported)'!$1:$5000,M105,FALSE)</f>
        <v>0</v>
      </c>
      <c r="R105">
        <f>HLOOKUP("CPUs",'vInfo (Imported)'!$1:$5000,M105,FALSE)</f>
        <v>0</v>
      </c>
      <c r="S105">
        <f>HLOOKUP("Memory",'vInfo (Imported)'!$1:$5000,M105,FALSE)</f>
        <v>0</v>
      </c>
      <c r="T105">
        <f>HLOOKUP("Provisioned MiB",'vInfo (Imported)'!$1:$5000,M105,FALSE)</f>
        <v>0</v>
      </c>
      <c r="U105">
        <f t="shared" si="4"/>
        <v>0</v>
      </c>
      <c r="V105">
        <f>HLOOKUP("In Use MiB",'vInfo (Imported)'!$1:$5000,M105,FALSE)</f>
        <v>0</v>
      </c>
    </row>
    <row r="106" spans="1:22" ht="13" x14ac:dyDescent="0.3">
      <c r="A106" s="46">
        <f>'vHosts (Imported)'!A106</f>
        <v>0</v>
      </c>
      <c r="B106" s="51">
        <f t="shared" si="3"/>
        <v>4968</v>
      </c>
      <c r="C106" s="49">
        <f>HLOOKUP("# Cores",'vHosts (Imported)'!$1:$5000,M106,FALSE)</f>
        <v>0</v>
      </c>
      <c r="D106" s="52">
        <f>HLOOKUP("# Memory",'vHosts (Imported)'!$1:$5000,M106,FALSE)</f>
        <v>0</v>
      </c>
      <c r="M106" s="45">
        <f t="shared" si="5"/>
        <v>106</v>
      </c>
      <c r="N106" s="38">
        <f>HLOOKUP("Host",'vInfo (Imported)'!$1:$5000,M106,FALSE)</f>
        <v>0</v>
      </c>
      <c r="R106">
        <f>HLOOKUP("CPUs",'vInfo (Imported)'!$1:$5000,M106,FALSE)</f>
        <v>0</v>
      </c>
      <c r="S106">
        <f>HLOOKUP("Memory",'vInfo (Imported)'!$1:$5000,M106,FALSE)</f>
        <v>0</v>
      </c>
      <c r="T106">
        <f>HLOOKUP("Provisioned MiB",'vInfo (Imported)'!$1:$5000,M106,FALSE)</f>
        <v>0</v>
      </c>
      <c r="U106">
        <f t="shared" si="4"/>
        <v>0</v>
      </c>
      <c r="V106">
        <f>HLOOKUP("In Use MiB",'vInfo (Imported)'!$1:$5000,M106,FALSE)</f>
        <v>0</v>
      </c>
    </row>
    <row r="107" spans="1:22" ht="13" x14ac:dyDescent="0.3">
      <c r="A107" s="46">
        <f>'vHosts (Imported)'!A107</f>
        <v>0</v>
      </c>
      <c r="B107" s="51">
        <f t="shared" si="3"/>
        <v>4968</v>
      </c>
      <c r="C107" s="49">
        <f>HLOOKUP("# Cores",'vHosts (Imported)'!$1:$5000,M107,FALSE)</f>
        <v>0</v>
      </c>
      <c r="D107" s="52">
        <f>HLOOKUP("# Memory",'vHosts (Imported)'!$1:$5000,M107,FALSE)</f>
        <v>0</v>
      </c>
      <c r="M107" s="45">
        <f t="shared" si="5"/>
        <v>107</v>
      </c>
      <c r="N107" s="38">
        <f>HLOOKUP("Host",'vInfo (Imported)'!$1:$5000,M107,FALSE)</f>
        <v>0</v>
      </c>
      <c r="R107">
        <f>HLOOKUP("CPUs",'vInfo (Imported)'!$1:$5000,M107,FALSE)</f>
        <v>0</v>
      </c>
      <c r="S107">
        <f>HLOOKUP("Memory",'vInfo (Imported)'!$1:$5000,M107,FALSE)</f>
        <v>0</v>
      </c>
      <c r="T107">
        <f>HLOOKUP("Provisioned MiB",'vInfo (Imported)'!$1:$5000,M107,FALSE)</f>
        <v>0</v>
      </c>
      <c r="U107">
        <f t="shared" si="4"/>
        <v>0</v>
      </c>
      <c r="V107">
        <f>HLOOKUP("In Use MiB",'vInfo (Imported)'!$1:$5000,M107,FALSE)</f>
        <v>0</v>
      </c>
    </row>
    <row r="108" spans="1:22" ht="13" x14ac:dyDescent="0.3">
      <c r="A108" s="46">
        <f>'vHosts (Imported)'!A108</f>
        <v>0</v>
      </c>
      <c r="B108" s="51">
        <f t="shared" si="3"/>
        <v>4968</v>
      </c>
      <c r="C108" s="49">
        <f>HLOOKUP("# Cores",'vHosts (Imported)'!$1:$5000,M108,FALSE)</f>
        <v>0</v>
      </c>
      <c r="D108" s="52">
        <f>HLOOKUP("# Memory",'vHosts (Imported)'!$1:$5000,M108,FALSE)</f>
        <v>0</v>
      </c>
      <c r="M108" s="45">
        <f t="shared" si="5"/>
        <v>108</v>
      </c>
      <c r="N108" s="38">
        <f>HLOOKUP("Host",'vInfo (Imported)'!$1:$5000,M108,FALSE)</f>
        <v>0</v>
      </c>
      <c r="R108">
        <f>HLOOKUP("CPUs",'vInfo (Imported)'!$1:$5000,M108,FALSE)</f>
        <v>0</v>
      </c>
      <c r="S108">
        <f>HLOOKUP("Memory",'vInfo (Imported)'!$1:$5000,M108,FALSE)</f>
        <v>0</v>
      </c>
      <c r="T108">
        <f>HLOOKUP("Provisioned MiB",'vInfo (Imported)'!$1:$5000,M108,FALSE)</f>
        <v>0</v>
      </c>
      <c r="U108">
        <f t="shared" si="4"/>
        <v>0</v>
      </c>
      <c r="V108">
        <f>HLOOKUP("In Use MiB",'vInfo (Imported)'!$1:$5000,M108,FALSE)</f>
        <v>0</v>
      </c>
    </row>
    <row r="109" spans="1:22" ht="13" x14ac:dyDescent="0.3">
      <c r="A109" s="46">
        <f>'vHosts (Imported)'!A109</f>
        <v>0</v>
      </c>
      <c r="B109" s="51">
        <f t="shared" si="3"/>
        <v>4968</v>
      </c>
      <c r="C109" s="49">
        <f>HLOOKUP("# Cores",'vHosts (Imported)'!$1:$5000,M109,FALSE)</f>
        <v>0</v>
      </c>
      <c r="D109" s="52">
        <f>HLOOKUP("# Memory",'vHosts (Imported)'!$1:$5000,M109,FALSE)</f>
        <v>0</v>
      </c>
      <c r="M109" s="45">
        <f t="shared" si="5"/>
        <v>109</v>
      </c>
      <c r="N109" s="38">
        <f>HLOOKUP("Host",'vInfo (Imported)'!$1:$5000,M109,FALSE)</f>
        <v>0</v>
      </c>
      <c r="R109">
        <f>HLOOKUP("CPUs",'vInfo (Imported)'!$1:$5000,M109,FALSE)</f>
        <v>0</v>
      </c>
      <c r="S109">
        <f>HLOOKUP("Memory",'vInfo (Imported)'!$1:$5000,M109,FALSE)</f>
        <v>0</v>
      </c>
      <c r="T109">
        <f>HLOOKUP("Provisioned MiB",'vInfo (Imported)'!$1:$5000,M109,FALSE)</f>
        <v>0</v>
      </c>
      <c r="U109">
        <f t="shared" si="4"/>
        <v>0</v>
      </c>
      <c r="V109">
        <f>HLOOKUP("In Use MiB",'vInfo (Imported)'!$1:$5000,M109,FALSE)</f>
        <v>0</v>
      </c>
    </row>
    <row r="110" spans="1:22" ht="13" x14ac:dyDescent="0.3">
      <c r="A110" s="46">
        <f>'vHosts (Imported)'!A110</f>
        <v>0</v>
      </c>
      <c r="B110" s="51">
        <f t="shared" si="3"/>
        <v>4968</v>
      </c>
      <c r="C110" s="49">
        <f>HLOOKUP("# Cores",'vHosts (Imported)'!$1:$5000,M110,FALSE)</f>
        <v>0</v>
      </c>
      <c r="D110" s="52">
        <f>HLOOKUP("# Memory",'vHosts (Imported)'!$1:$5000,M110,FALSE)</f>
        <v>0</v>
      </c>
      <c r="M110" s="45">
        <f t="shared" si="5"/>
        <v>110</v>
      </c>
      <c r="N110" s="38">
        <f>HLOOKUP("Host",'vInfo (Imported)'!$1:$5000,M110,FALSE)</f>
        <v>0</v>
      </c>
      <c r="R110">
        <f>HLOOKUP("CPUs",'vInfo (Imported)'!$1:$5000,M110,FALSE)</f>
        <v>0</v>
      </c>
      <c r="S110">
        <f>HLOOKUP("Memory",'vInfo (Imported)'!$1:$5000,M110,FALSE)</f>
        <v>0</v>
      </c>
      <c r="T110">
        <f>HLOOKUP("Provisioned MiB",'vInfo (Imported)'!$1:$5000,M110,FALSE)</f>
        <v>0</v>
      </c>
      <c r="U110">
        <f t="shared" si="4"/>
        <v>0</v>
      </c>
      <c r="V110">
        <f>HLOOKUP("In Use MiB",'vInfo (Imported)'!$1:$5000,M110,FALSE)</f>
        <v>0</v>
      </c>
    </row>
    <row r="111" spans="1:22" ht="13" x14ac:dyDescent="0.3">
      <c r="A111" s="46">
        <f>'vHosts (Imported)'!A111</f>
        <v>0</v>
      </c>
      <c r="B111" s="51">
        <f t="shared" si="3"/>
        <v>4968</v>
      </c>
      <c r="C111" s="49">
        <f>HLOOKUP("# Cores",'vHosts (Imported)'!$1:$5000,M111,FALSE)</f>
        <v>0</v>
      </c>
      <c r="D111" s="52">
        <f>HLOOKUP("# Memory",'vHosts (Imported)'!$1:$5000,M111,FALSE)</f>
        <v>0</v>
      </c>
      <c r="M111" s="45">
        <f t="shared" si="5"/>
        <v>111</v>
      </c>
      <c r="N111" s="38">
        <f>HLOOKUP("Host",'vInfo (Imported)'!$1:$5000,M111,FALSE)</f>
        <v>0</v>
      </c>
      <c r="R111">
        <f>HLOOKUP("CPUs",'vInfo (Imported)'!$1:$5000,M111,FALSE)</f>
        <v>0</v>
      </c>
      <c r="S111">
        <f>HLOOKUP("Memory",'vInfo (Imported)'!$1:$5000,M111,FALSE)</f>
        <v>0</v>
      </c>
      <c r="T111">
        <f>HLOOKUP("Provisioned MiB",'vInfo (Imported)'!$1:$5000,M111,FALSE)</f>
        <v>0</v>
      </c>
      <c r="U111">
        <f t="shared" si="4"/>
        <v>0</v>
      </c>
      <c r="V111">
        <f>HLOOKUP("In Use MiB",'vInfo (Imported)'!$1:$5000,M111,FALSE)</f>
        <v>0</v>
      </c>
    </row>
    <row r="112" spans="1:22" ht="13" x14ac:dyDescent="0.3">
      <c r="A112" s="46">
        <f>'vHosts (Imported)'!A112</f>
        <v>0</v>
      </c>
      <c r="B112" s="51">
        <f t="shared" si="3"/>
        <v>4968</v>
      </c>
      <c r="C112" s="49">
        <f>HLOOKUP("# Cores",'vHosts (Imported)'!$1:$5000,M112,FALSE)</f>
        <v>0</v>
      </c>
      <c r="D112" s="52">
        <f>HLOOKUP("# Memory",'vHosts (Imported)'!$1:$5000,M112,FALSE)</f>
        <v>0</v>
      </c>
      <c r="M112" s="45">
        <f t="shared" si="5"/>
        <v>112</v>
      </c>
      <c r="N112" s="38">
        <f>HLOOKUP("Host",'vInfo (Imported)'!$1:$5000,M112,FALSE)</f>
        <v>0</v>
      </c>
      <c r="R112">
        <f>HLOOKUP("CPUs",'vInfo (Imported)'!$1:$5000,M112,FALSE)</f>
        <v>0</v>
      </c>
      <c r="S112">
        <f>HLOOKUP("Memory",'vInfo (Imported)'!$1:$5000,M112,FALSE)</f>
        <v>0</v>
      </c>
      <c r="T112">
        <f>HLOOKUP("Provisioned MiB",'vInfo (Imported)'!$1:$5000,M112,FALSE)</f>
        <v>0</v>
      </c>
      <c r="U112">
        <f t="shared" si="4"/>
        <v>0</v>
      </c>
      <c r="V112">
        <f>HLOOKUP("In Use MiB",'vInfo (Imported)'!$1:$5000,M112,FALSE)</f>
        <v>0</v>
      </c>
    </row>
    <row r="113" spans="1:22" ht="13" x14ac:dyDescent="0.3">
      <c r="A113" s="46">
        <f>'vHosts (Imported)'!A113</f>
        <v>0</v>
      </c>
      <c r="B113" s="51">
        <f t="shared" si="3"/>
        <v>4968</v>
      </c>
      <c r="C113" s="49">
        <f>HLOOKUP("# Cores",'vHosts (Imported)'!$1:$5000,M113,FALSE)</f>
        <v>0</v>
      </c>
      <c r="D113" s="52">
        <f>HLOOKUP("# Memory",'vHosts (Imported)'!$1:$5000,M113,FALSE)</f>
        <v>0</v>
      </c>
      <c r="M113" s="45">
        <f t="shared" si="5"/>
        <v>113</v>
      </c>
      <c r="N113" s="38">
        <f>HLOOKUP("Host",'vInfo (Imported)'!$1:$5000,M113,FALSE)</f>
        <v>0</v>
      </c>
      <c r="R113">
        <f>HLOOKUP("CPUs",'vInfo (Imported)'!$1:$5000,M113,FALSE)</f>
        <v>0</v>
      </c>
      <c r="S113">
        <f>HLOOKUP("Memory",'vInfo (Imported)'!$1:$5000,M113,FALSE)</f>
        <v>0</v>
      </c>
      <c r="T113">
        <f>HLOOKUP("Provisioned MiB",'vInfo (Imported)'!$1:$5000,M113,FALSE)</f>
        <v>0</v>
      </c>
      <c r="U113">
        <f t="shared" si="4"/>
        <v>0</v>
      </c>
      <c r="V113">
        <f>HLOOKUP("In Use MiB",'vInfo (Imported)'!$1:$5000,M113,FALSE)</f>
        <v>0</v>
      </c>
    </row>
    <row r="114" spans="1:22" ht="13" x14ac:dyDescent="0.3">
      <c r="A114" s="46">
        <f>'vHosts (Imported)'!A114</f>
        <v>0</v>
      </c>
      <c r="B114" s="51">
        <f t="shared" si="3"/>
        <v>4968</v>
      </c>
      <c r="C114" s="49">
        <f>HLOOKUP("# Cores",'vHosts (Imported)'!$1:$5000,M114,FALSE)</f>
        <v>0</v>
      </c>
      <c r="D114" s="52">
        <f>HLOOKUP("# Memory",'vHosts (Imported)'!$1:$5000,M114,FALSE)</f>
        <v>0</v>
      </c>
      <c r="M114" s="45">
        <f t="shared" si="5"/>
        <v>114</v>
      </c>
      <c r="N114" s="38">
        <f>HLOOKUP("Host",'vInfo (Imported)'!$1:$5000,M114,FALSE)</f>
        <v>0</v>
      </c>
      <c r="R114">
        <f>HLOOKUP("CPUs",'vInfo (Imported)'!$1:$5000,M114,FALSE)</f>
        <v>0</v>
      </c>
      <c r="S114">
        <f>HLOOKUP("Memory",'vInfo (Imported)'!$1:$5000,M114,FALSE)</f>
        <v>0</v>
      </c>
      <c r="T114">
        <f>HLOOKUP("Provisioned MiB",'vInfo (Imported)'!$1:$5000,M114,FALSE)</f>
        <v>0</v>
      </c>
      <c r="U114">
        <f t="shared" si="4"/>
        <v>0</v>
      </c>
      <c r="V114">
        <f>HLOOKUP("In Use MiB",'vInfo (Imported)'!$1:$5000,M114,FALSE)</f>
        <v>0</v>
      </c>
    </row>
    <row r="115" spans="1:22" ht="13" x14ac:dyDescent="0.3">
      <c r="A115" s="46">
        <f>'vHosts (Imported)'!A115</f>
        <v>0</v>
      </c>
      <c r="B115" s="51">
        <f t="shared" si="3"/>
        <v>4968</v>
      </c>
      <c r="C115" s="49">
        <f>HLOOKUP("# Cores",'vHosts (Imported)'!$1:$5000,M115,FALSE)</f>
        <v>0</v>
      </c>
      <c r="D115" s="52">
        <f>HLOOKUP("# Memory",'vHosts (Imported)'!$1:$5000,M115,FALSE)</f>
        <v>0</v>
      </c>
      <c r="M115" s="45">
        <f t="shared" si="5"/>
        <v>115</v>
      </c>
      <c r="N115" s="38">
        <f>HLOOKUP("Host",'vInfo (Imported)'!$1:$5000,M115,FALSE)</f>
        <v>0</v>
      </c>
      <c r="R115">
        <f>HLOOKUP("CPUs",'vInfo (Imported)'!$1:$5000,M115,FALSE)</f>
        <v>0</v>
      </c>
      <c r="S115">
        <f>HLOOKUP("Memory",'vInfo (Imported)'!$1:$5000,M115,FALSE)</f>
        <v>0</v>
      </c>
      <c r="T115">
        <f>HLOOKUP("Provisioned MiB",'vInfo (Imported)'!$1:$5000,M115,FALSE)</f>
        <v>0</v>
      </c>
      <c r="U115">
        <f t="shared" si="4"/>
        <v>0</v>
      </c>
      <c r="V115">
        <f>HLOOKUP("In Use MiB",'vInfo (Imported)'!$1:$5000,M115,FALSE)</f>
        <v>0</v>
      </c>
    </row>
    <row r="116" spans="1:22" ht="13" x14ac:dyDescent="0.3">
      <c r="A116" s="46">
        <f>'vHosts (Imported)'!A116</f>
        <v>0</v>
      </c>
      <c r="B116" s="51">
        <f t="shared" si="3"/>
        <v>4968</v>
      </c>
      <c r="C116" s="49">
        <f>HLOOKUP("# Cores",'vHosts (Imported)'!$1:$5000,M116,FALSE)</f>
        <v>0</v>
      </c>
      <c r="D116" s="52">
        <f>HLOOKUP("# Memory",'vHosts (Imported)'!$1:$5000,M116,FALSE)</f>
        <v>0</v>
      </c>
      <c r="M116" s="45">
        <f t="shared" si="5"/>
        <v>116</v>
      </c>
      <c r="N116" s="38">
        <f>HLOOKUP("Host",'vInfo (Imported)'!$1:$5000,M116,FALSE)</f>
        <v>0</v>
      </c>
      <c r="R116">
        <f>HLOOKUP("CPUs",'vInfo (Imported)'!$1:$5000,M116,FALSE)</f>
        <v>0</v>
      </c>
      <c r="S116">
        <f>HLOOKUP("Memory",'vInfo (Imported)'!$1:$5000,M116,FALSE)</f>
        <v>0</v>
      </c>
      <c r="T116">
        <f>HLOOKUP("Provisioned MiB",'vInfo (Imported)'!$1:$5000,M116,FALSE)</f>
        <v>0</v>
      </c>
      <c r="U116">
        <f t="shared" si="4"/>
        <v>0</v>
      </c>
      <c r="V116">
        <f>HLOOKUP("In Use MiB",'vInfo (Imported)'!$1:$5000,M116,FALSE)</f>
        <v>0</v>
      </c>
    </row>
    <row r="117" spans="1:22" ht="13" x14ac:dyDescent="0.3">
      <c r="A117" s="46">
        <f>'vHosts (Imported)'!A117</f>
        <v>0</v>
      </c>
      <c r="B117" s="51">
        <f t="shared" si="3"/>
        <v>4968</v>
      </c>
      <c r="C117" s="49">
        <f>HLOOKUP("# Cores",'vHosts (Imported)'!$1:$5000,M117,FALSE)</f>
        <v>0</v>
      </c>
      <c r="D117" s="52">
        <f>HLOOKUP("# Memory",'vHosts (Imported)'!$1:$5000,M117,FALSE)</f>
        <v>0</v>
      </c>
      <c r="M117" s="45">
        <f t="shared" si="5"/>
        <v>117</v>
      </c>
      <c r="N117" s="38">
        <f>HLOOKUP("Host",'vInfo (Imported)'!$1:$5000,M117,FALSE)</f>
        <v>0</v>
      </c>
      <c r="R117">
        <f>HLOOKUP("CPUs",'vInfo (Imported)'!$1:$5000,M117,FALSE)</f>
        <v>0</v>
      </c>
      <c r="S117">
        <f>HLOOKUP("Memory",'vInfo (Imported)'!$1:$5000,M117,FALSE)</f>
        <v>0</v>
      </c>
      <c r="T117">
        <f>HLOOKUP("Provisioned MiB",'vInfo (Imported)'!$1:$5000,M117,FALSE)</f>
        <v>0</v>
      </c>
      <c r="U117">
        <f t="shared" si="4"/>
        <v>0</v>
      </c>
      <c r="V117">
        <f>HLOOKUP("In Use MiB",'vInfo (Imported)'!$1:$5000,M117,FALSE)</f>
        <v>0</v>
      </c>
    </row>
    <row r="118" spans="1:22" ht="13" x14ac:dyDescent="0.3">
      <c r="A118" s="46">
        <f>'vHosts (Imported)'!A118</f>
        <v>0</v>
      </c>
      <c r="B118" s="51">
        <f t="shared" si="3"/>
        <v>4968</v>
      </c>
      <c r="C118" s="49">
        <f>HLOOKUP("# Cores",'vHosts (Imported)'!$1:$5000,M118,FALSE)</f>
        <v>0</v>
      </c>
      <c r="D118" s="52">
        <f>HLOOKUP("# Memory",'vHosts (Imported)'!$1:$5000,M118,FALSE)</f>
        <v>0</v>
      </c>
      <c r="M118" s="45">
        <f t="shared" si="5"/>
        <v>118</v>
      </c>
      <c r="N118" s="38">
        <f>HLOOKUP("Host",'vInfo (Imported)'!$1:$5000,M118,FALSE)</f>
        <v>0</v>
      </c>
      <c r="R118">
        <f>HLOOKUP("CPUs",'vInfo (Imported)'!$1:$5000,M118,FALSE)</f>
        <v>0</v>
      </c>
      <c r="S118">
        <f>HLOOKUP("Memory",'vInfo (Imported)'!$1:$5000,M118,FALSE)</f>
        <v>0</v>
      </c>
      <c r="T118">
        <f>HLOOKUP("Provisioned MiB",'vInfo (Imported)'!$1:$5000,M118,FALSE)</f>
        <v>0</v>
      </c>
      <c r="U118">
        <f t="shared" si="4"/>
        <v>0</v>
      </c>
      <c r="V118">
        <f>HLOOKUP("In Use MiB",'vInfo (Imported)'!$1:$5000,M118,FALSE)</f>
        <v>0</v>
      </c>
    </row>
    <row r="119" spans="1:22" ht="13" x14ac:dyDescent="0.3">
      <c r="A119" s="46">
        <f>'vHosts (Imported)'!A119</f>
        <v>0</v>
      </c>
      <c r="B119" s="51">
        <f t="shared" si="3"/>
        <v>4968</v>
      </c>
      <c r="C119" s="49">
        <f>HLOOKUP("# Cores",'vHosts (Imported)'!$1:$5000,M119,FALSE)</f>
        <v>0</v>
      </c>
      <c r="D119" s="52">
        <f>HLOOKUP("# Memory",'vHosts (Imported)'!$1:$5000,M119,FALSE)</f>
        <v>0</v>
      </c>
      <c r="M119" s="45">
        <f t="shared" si="5"/>
        <v>119</v>
      </c>
      <c r="N119" s="38">
        <f>HLOOKUP("Host",'vInfo (Imported)'!$1:$5000,M119,FALSE)</f>
        <v>0</v>
      </c>
      <c r="R119">
        <f>HLOOKUP("CPUs",'vInfo (Imported)'!$1:$5000,M119,FALSE)</f>
        <v>0</v>
      </c>
      <c r="S119">
        <f>HLOOKUP("Memory",'vInfo (Imported)'!$1:$5000,M119,FALSE)</f>
        <v>0</v>
      </c>
      <c r="T119">
        <f>HLOOKUP("Provisioned MiB",'vInfo (Imported)'!$1:$5000,M119,FALSE)</f>
        <v>0</v>
      </c>
      <c r="U119">
        <f t="shared" si="4"/>
        <v>0</v>
      </c>
      <c r="V119">
        <f>HLOOKUP("In Use MiB",'vInfo (Imported)'!$1:$5000,M119,FALSE)</f>
        <v>0</v>
      </c>
    </row>
    <row r="120" spans="1:22" ht="13" x14ac:dyDescent="0.3">
      <c r="A120" s="46">
        <f>'vHosts (Imported)'!A120</f>
        <v>0</v>
      </c>
      <c r="B120" s="51">
        <f t="shared" si="3"/>
        <v>4968</v>
      </c>
      <c r="C120" s="49">
        <f>HLOOKUP("# Cores",'vHosts (Imported)'!$1:$5000,M120,FALSE)</f>
        <v>0</v>
      </c>
      <c r="D120" s="52">
        <f>HLOOKUP("# Memory",'vHosts (Imported)'!$1:$5000,M120,FALSE)</f>
        <v>0</v>
      </c>
      <c r="M120" s="45">
        <f t="shared" si="5"/>
        <v>120</v>
      </c>
      <c r="N120" s="38">
        <f>HLOOKUP("Host",'vInfo (Imported)'!$1:$5000,M120,FALSE)</f>
        <v>0</v>
      </c>
      <c r="R120">
        <f>HLOOKUP("CPUs",'vInfo (Imported)'!$1:$5000,M120,FALSE)</f>
        <v>0</v>
      </c>
      <c r="S120">
        <f>HLOOKUP("Memory",'vInfo (Imported)'!$1:$5000,M120,FALSE)</f>
        <v>0</v>
      </c>
      <c r="T120">
        <f>HLOOKUP("Provisioned MiB",'vInfo (Imported)'!$1:$5000,M120,FALSE)</f>
        <v>0</v>
      </c>
      <c r="U120">
        <f t="shared" si="4"/>
        <v>0</v>
      </c>
      <c r="V120">
        <f>HLOOKUP("In Use MiB",'vInfo (Imported)'!$1:$5000,M120,FALSE)</f>
        <v>0</v>
      </c>
    </row>
    <row r="121" spans="1:22" ht="13" x14ac:dyDescent="0.3">
      <c r="A121" s="46">
        <f>'vHosts (Imported)'!A121</f>
        <v>0</v>
      </c>
      <c r="B121" s="51">
        <f t="shared" si="3"/>
        <v>4968</v>
      </c>
      <c r="C121" s="49">
        <f>HLOOKUP("# Cores",'vHosts (Imported)'!$1:$5000,M121,FALSE)</f>
        <v>0</v>
      </c>
      <c r="D121" s="52">
        <f>HLOOKUP("# Memory",'vHosts (Imported)'!$1:$5000,M121,FALSE)</f>
        <v>0</v>
      </c>
      <c r="M121" s="45">
        <f t="shared" si="5"/>
        <v>121</v>
      </c>
      <c r="N121" s="38">
        <f>HLOOKUP("Host",'vInfo (Imported)'!$1:$5000,M121,FALSE)</f>
        <v>0</v>
      </c>
      <c r="R121">
        <f>HLOOKUP("CPUs",'vInfo (Imported)'!$1:$5000,M121,FALSE)</f>
        <v>0</v>
      </c>
      <c r="S121">
        <f>HLOOKUP("Memory",'vInfo (Imported)'!$1:$5000,M121,FALSE)</f>
        <v>0</v>
      </c>
      <c r="T121">
        <f>HLOOKUP("Provisioned MiB",'vInfo (Imported)'!$1:$5000,M121,FALSE)</f>
        <v>0</v>
      </c>
      <c r="U121">
        <f t="shared" si="4"/>
        <v>0</v>
      </c>
      <c r="V121">
        <f>HLOOKUP("In Use MiB",'vInfo (Imported)'!$1:$5000,M121,FALSE)</f>
        <v>0</v>
      </c>
    </row>
    <row r="122" spans="1:22" ht="13" x14ac:dyDescent="0.3">
      <c r="A122" s="46">
        <f>'vHosts (Imported)'!A122</f>
        <v>0</v>
      </c>
      <c r="B122" s="51">
        <f t="shared" si="3"/>
        <v>4968</v>
      </c>
      <c r="C122" s="49">
        <f>HLOOKUP("# Cores",'vHosts (Imported)'!$1:$5000,M122,FALSE)</f>
        <v>0</v>
      </c>
      <c r="D122" s="52">
        <f>HLOOKUP("# Memory",'vHosts (Imported)'!$1:$5000,M122,FALSE)</f>
        <v>0</v>
      </c>
      <c r="M122" s="45">
        <f t="shared" si="5"/>
        <v>122</v>
      </c>
      <c r="N122" s="38">
        <f>HLOOKUP("Host",'vInfo (Imported)'!$1:$5000,M122,FALSE)</f>
        <v>0</v>
      </c>
      <c r="R122">
        <f>HLOOKUP("CPUs",'vInfo (Imported)'!$1:$5000,M122,FALSE)</f>
        <v>0</v>
      </c>
      <c r="S122">
        <f>HLOOKUP("Memory",'vInfo (Imported)'!$1:$5000,M122,FALSE)</f>
        <v>0</v>
      </c>
      <c r="T122">
        <f>HLOOKUP("Provisioned MiB",'vInfo (Imported)'!$1:$5000,M122,FALSE)</f>
        <v>0</v>
      </c>
      <c r="U122">
        <f t="shared" si="4"/>
        <v>0</v>
      </c>
      <c r="V122">
        <f>HLOOKUP("In Use MiB",'vInfo (Imported)'!$1:$5000,M122,FALSE)</f>
        <v>0</v>
      </c>
    </row>
    <row r="123" spans="1:22" ht="13" x14ac:dyDescent="0.3">
      <c r="A123" s="46">
        <f>'vHosts (Imported)'!A123</f>
        <v>0</v>
      </c>
      <c r="B123" s="51">
        <f t="shared" si="3"/>
        <v>4968</v>
      </c>
      <c r="C123" s="49">
        <f>HLOOKUP("# Cores",'vHosts (Imported)'!$1:$5000,M123,FALSE)</f>
        <v>0</v>
      </c>
      <c r="D123" s="52">
        <f>HLOOKUP("# Memory",'vHosts (Imported)'!$1:$5000,M123,FALSE)</f>
        <v>0</v>
      </c>
      <c r="M123" s="45">
        <f t="shared" si="5"/>
        <v>123</v>
      </c>
      <c r="N123" s="38">
        <f>HLOOKUP("Host",'vInfo (Imported)'!$1:$5000,M123,FALSE)</f>
        <v>0</v>
      </c>
      <c r="R123">
        <f>HLOOKUP("CPUs",'vInfo (Imported)'!$1:$5000,M123,FALSE)</f>
        <v>0</v>
      </c>
      <c r="S123">
        <f>HLOOKUP("Memory",'vInfo (Imported)'!$1:$5000,M123,FALSE)</f>
        <v>0</v>
      </c>
      <c r="T123">
        <f>HLOOKUP("Provisioned MiB",'vInfo (Imported)'!$1:$5000,M123,FALSE)</f>
        <v>0</v>
      </c>
      <c r="U123">
        <f t="shared" si="4"/>
        <v>0</v>
      </c>
      <c r="V123">
        <f>HLOOKUP("In Use MiB",'vInfo (Imported)'!$1:$5000,M123,FALSE)</f>
        <v>0</v>
      </c>
    </row>
    <row r="124" spans="1:22" ht="13" x14ac:dyDescent="0.3">
      <c r="A124" s="46">
        <f>'vHosts (Imported)'!A124</f>
        <v>0</v>
      </c>
      <c r="B124" s="51">
        <f t="shared" si="3"/>
        <v>4968</v>
      </c>
      <c r="C124" s="49">
        <f>HLOOKUP("# Cores",'vHosts (Imported)'!$1:$5000,M124,FALSE)</f>
        <v>0</v>
      </c>
      <c r="D124" s="52">
        <f>HLOOKUP("# Memory",'vHosts (Imported)'!$1:$5000,M124,FALSE)</f>
        <v>0</v>
      </c>
      <c r="M124" s="45">
        <f t="shared" si="5"/>
        <v>124</v>
      </c>
      <c r="N124" s="38">
        <f>HLOOKUP("Host",'vInfo (Imported)'!$1:$5000,M124,FALSE)</f>
        <v>0</v>
      </c>
      <c r="R124">
        <f>HLOOKUP("CPUs",'vInfo (Imported)'!$1:$5000,M124,FALSE)</f>
        <v>0</v>
      </c>
      <c r="S124">
        <f>HLOOKUP("Memory",'vInfo (Imported)'!$1:$5000,M124,FALSE)</f>
        <v>0</v>
      </c>
      <c r="T124">
        <f>HLOOKUP("Provisioned MiB",'vInfo (Imported)'!$1:$5000,M124,FALSE)</f>
        <v>0</v>
      </c>
      <c r="U124">
        <f t="shared" si="4"/>
        <v>0</v>
      </c>
      <c r="V124">
        <f>HLOOKUP("In Use MiB",'vInfo (Imported)'!$1:$5000,M124,FALSE)</f>
        <v>0</v>
      </c>
    </row>
    <row r="125" spans="1:22" ht="13" x14ac:dyDescent="0.3">
      <c r="A125" s="46">
        <f>'vHosts (Imported)'!A125</f>
        <v>0</v>
      </c>
      <c r="B125" s="51">
        <f t="shared" si="3"/>
        <v>4968</v>
      </c>
      <c r="C125" s="49">
        <f>HLOOKUP("# Cores",'vHosts (Imported)'!$1:$5000,M125,FALSE)</f>
        <v>0</v>
      </c>
      <c r="D125" s="52">
        <f>HLOOKUP("# Memory",'vHosts (Imported)'!$1:$5000,M125,FALSE)</f>
        <v>0</v>
      </c>
      <c r="M125" s="45">
        <f t="shared" si="5"/>
        <v>125</v>
      </c>
      <c r="N125" s="38">
        <f>HLOOKUP("Host",'vInfo (Imported)'!$1:$5000,M125,FALSE)</f>
        <v>0</v>
      </c>
      <c r="R125">
        <f>HLOOKUP("CPUs",'vInfo (Imported)'!$1:$5000,M125,FALSE)</f>
        <v>0</v>
      </c>
      <c r="S125">
        <f>HLOOKUP("Memory",'vInfo (Imported)'!$1:$5000,M125,FALSE)</f>
        <v>0</v>
      </c>
      <c r="T125">
        <f>HLOOKUP("Provisioned MiB",'vInfo (Imported)'!$1:$5000,M125,FALSE)</f>
        <v>0</v>
      </c>
      <c r="U125">
        <f t="shared" si="4"/>
        <v>0</v>
      </c>
      <c r="V125">
        <f>HLOOKUP("In Use MiB",'vInfo (Imported)'!$1:$5000,M125,FALSE)</f>
        <v>0</v>
      </c>
    </row>
    <row r="126" spans="1:22" ht="13" x14ac:dyDescent="0.3">
      <c r="A126" s="46">
        <f>'vHosts (Imported)'!A126</f>
        <v>0</v>
      </c>
      <c r="B126" s="51">
        <f t="shared" si="3"/>
        <v>4968</v>
      </c>
      <c r="C126" s="49">
        <f>HLOOKUP("# Cores",'vHosts (Imported)'!$1:$5000,M126,FALSE)</f>
        <v>0</v>
      </c>
      <c r="D126" s="52">
        <f>HLOOKUP("# Memory",'vHosts (Imported)'!$1:$5000,M126,FALSE)</f>
        <v>0</v>
      </c>
      <c r="M126" s="45">
        <f t="shared" si="5"/>
        <v>126</v>
      </c>
      <c r="N126" s="38">
        <f>HLOOKUP("Host",'vInfo (Imported)'!$1:$5000,M126,FALSE)</f>
        <v>0</v>
      </c>
      <c r="R126">
        <f>HLOOKUP("CPUs",'vInfo (Imported)'!$1:$5000,M126,FALSE)</f>
        <v>0</v>
      </c>
      <c r="S126">
        <f>HLOOKUP("Memory",'vInfo (Imported)'!$1:$5000,M126,FALSE)</f>
        <v>0</v>
      </c>
      <c r="T126">
        <f>HLOOKUP("Provisioned MiB",'vInfo (Imported)'!$1:$5000,M126,FALSE)</f>
        <v>0</v>
      </c>
      <c r="U126">
        <f t="shared" si="4"/>
        <v>0</v>
      </c>
      <c r="V126">
        <f>HLOOKUP("In Use MiB",'vInfo (Imported)'!$1:$5000,M126,FALSE)</f>
        <v>0</v>
      </c>
    </row>
    <row r="127" spans="1:22" ht="13" x14ac:dyDescent="0.3">
      <c r="A127" s="46">
        <f>'vHosts (Imported)'!A127</f>
        <v>0</v>
      </c>
      <c r="B127" s="51">
        <f t="shared" si="3"/>
        <v>4968</v>
      </c>
      <c r="C127" s="49">
        <f>HLOOKUP("# Cores",'vHosts (Imported)'!$1:$5000,M127,FALSE)</f>
        <v>0</v>
      </c>
      <c r="D127" s="52">
        <f>HLOOKUP("# Memory",'vHosts (Imported)'!$1:$5000,M127,FALSE)</f>
        <v>0</v>
      </c>
      <c r="M127" s="45">
        <f t="shared" si="5"/>
        <v>127</v>
      </c>
      <c r="N127" s="38">
        <f>HLOOKUP("Host",'vInfo (Imported)'!$1:$5000,M127,FALSE)</f>
        <v>0</v>
      </c>
      <c r="R127">
        <f>HLOOKUP("CPUs",'vInfo (Imported)'!$1:$5000,M127,FALSE)</f>
        <v>0</v>
      </c>
      <c r="S127">
        <f>HLOOKUP("Memory",'vInfo (Imported)'!$1:$5000,M127,FALSE)</f>
        <v>0</v>
      </c>
      <c r="T127">
        <f>HLOOKUP("Provisioned MiB",'vInfo (Imported)'!$1:$5000,M127,FALSE)</f>
        <v>0</v>
      </c>
      <c r="U127">
        <f t="shared" si="4"/>
        <v>0</v>
      </c>
      <c r="V127">
        <f>HLOOKUP("In Use MiB",'vInfo (Imported)'!$1:$5000,M127,FALSE)</f>
        <v>0</v>
      </c>
    </row>
    <row r="128" spans="1:22" ht="13" x14ac:dyDescent="0.3">
      <c r="A128" s="46">
        <f>'vHosts (Imported)'!A128</f>
        <v>0</v>
      </c>
      <c r="B128" s="51">
        <f t="shared" si="3"/>
        <v>4968</v>
      </c>
      <c r="C128" s="49">
        <f>HLOOKUP("# Cores",'vHosts (Imported)'!$1:$5000,M128,FALSE)</f>
        <v>0</v>
      </c>
      <c r="D128" s="52">
        <f>HLOOKUP("# Memory",'vHosts (Imported)'!$1:$5000,M128,FALSE)</f>
        <v>0</v>
      </c>
      <c r="M128" s="45">
        <f t="shared" si="5"/>
        <v>128</v>
      </c>
      <c r="N128" s="38">
        <f>HLOOKUP("Host",'vInfo (Imported)'!$1:$5000,M128,FALSE)</f>
        <v>0</v>
      </c>
      <c r="R128">
        <f>HLOOKUP("CPUs",'vInfo (Imported)'!$1:$5000,M128,FALSE)</f>
        <v>0</v>
      </c>
      <c r="S128">
        <f>HLOOKUP("Memory",'vInfo (Imported)'!$1:$5000,M128,FALSE)</f>
        <v>0</v>
      </c>
      <c r="T128">
        <f>HLOOKUP("Provisioned MiB",'vInfo (Imported)'!$1:$5000,M128,FALSE)</f>
        <v>0</v>
      </c>
      <c r="U128">
        <f t="shared" si="4"/>
        <v>0</v>
      </c>
      <c r="V128">
        <f>HLOOKUP("In Use MiB",'vInfo (Imported)'!$1:$5000,M128,FALSE)</f>
        <v>0</v>
      </c>
    </row>
    <row r="129" spans="1:22" ht="13" x14ac:dyDescent="0.3">
      <c r="A129" s="46">
        <f>'vHosts (Imported)'!A129</f>
        <v>0</v>
      </c>
      <c r="B129" s="51">
        <f t="shared" si="3"/>
        <v>4968</v>
      </c>
      <c r="C129" s="49">
        <f>HLOOKUP("# Cores",'vHosts (Imported)'!$1:$5000,M129,FALSE)</f>
        <v>0</v>
      </c>
      <c r="D129" s="52">
        <f>HLOOKUP("# Memory",'vHosts (Imported)'!$1:$5000,M129,FALSE)</f>
        <v>0</v>
      </c>
      <c r="M129" s="45">
        <f t="shared" si="5"/>
        <v>129</v>
      </c>
      <c r="N129" s="38">
        <f>HLOOKUP("Host",'vInfo (Imported)'!$1:$5000,M129,FALSE)</f>
        <v>0</v>
      </c>
      <c r="R129">
        <f>HLOOKUP("CPUs",'vInfo (Imported)'!$1:$5000,M129,FALSE)</f>
        <v>0</v>
      </c>
      <c r="S129">
        <f>HLOOKUP("Memory",'vInfo (Imported)'!$1:$5000,M129,FALSE)</f>
        <v>0</v>
      </c>
      <c r="T129">
        <f>HLOOKUP("Provisioned MiB",'vInfo (Imported)'!$1:$5000,M129,FALSE)</f>
        <v>0</v>
      </c>
      <c r="U129">
        <f t="shared" si="4"/>
        <v>0</v>
      </c>
      <c r="V129">
        <f>HLOOKUP("In Use MiB",'vInfo (Imported)'!$1:$5000,M129,FALSE)</f>
        <v>0</v>
      </c>
    </row>
    <row r="130" spans="1:22" ht="13" x14ac:dyDescent="0.3">
      <c r="A130" s="46">
        <f>'vHosts (Imported)'!A130</f>
        <v>0</v>
      </c>
      <c r="B130" s="51">
        <f t="shared" ref="B130:B193" si="6">COUNTIFS(N:N,IF(A130=0,"0",A130))</f>
        <v>4968</v>
      </c>
      <c r="C130" s="49">
        <f>HLOOKUP("# Cores",'vHosts (Imported)'!$1:$5000,M130,FALSE)</f>
        <v>0</v>
      </c>
      <c r="D130" s="52">
        <f>HLOOKUP("# Memory",'vHosts (Imported)'!$1:$5000,M130,FALSE)</f>
        <v>0</v>
      </c>
      <c r="M130" s="45">
        <f t="shared" si="5"/>
        <v>130</v>
      </c>
      <c r="N130" s="38">
        <f>HLOOKUP("Host",'vInfo (Imported)'!$1:$5000,M130,FALSE)</f>
        <v>0</v>
      </c>
      <c r="R130">
        <f>HLOOKUP("CPUs",'vInfo (Imported)'!$1:$5000,M130,FALSE)</f>
        <v>0</v>
      </c>
      <c r="S130">
        <f>HLOOKUP("Memory",'vInfo (Imported)'!$1:$5000,M130,FALSE)</f>
        <v>0</v>
      </c>
      <c r="T130">
        <f>HLOOKUP("Provisioned MiB",'vInfo (Imported)'!$1:$5000,M130,FALSE)</f>
        <v>0</v>
      </c>
      <c r="U130">
        <f t="shared" si="4"/>
        <v>0</v>
      </c>
      <c r="V130">
        <f>HLOOKUP("In Use MiB",'vInfo (Imported)'!$1:$5000,M130,FALSE)</f>
        <v>0</v>
      </c>
    </row>
    <row r="131" spans="1:22" ht="13" x14ac:dyDescent="0.3">
      <c r="A131" s="46">
        <f>'vHosts (Imported)'!A131</f>
        <v>0</v>
      </c>
      <c r="B131" s="51">
        <f t="shared" si="6"/>
        <v>4968</v>
      </c>
      <c r="C131" s="49">
        <f>HLOOKUP("# Cores",'vHosts (Imported)'!$1:$5000,M131,FALSE)</f>
        <v>0</v>
      </c>
      <c r="D131" s="52">
        <f>HLOOKUP("# Memory",'vHosts (Imported)'!$1:$5000,M131,FALSE)</f>
        <v>0</v>
      </c>
      <c r="M131" s="45">
        <f t="shared" si="5"/>
        <v>131</v>
      </c>
      <c r="N131" s="38">
        <f>HLOOKUP("Host",'vInfo (Imported)'!$1:$5000,M131,FALSE)</f>
        <v>0</v>
      </c>
      <c r="R131">
        <f>HLOOKUP("CPUs",'vInfo (Imported)'!$1:$5000,M131,FALSE)</f>
        <v>0</v>
      </c>
      <c r="S131">
        <f>HLOOKUP("Memory",'vInfo (Imported)'!$1:$5000,M131,FALSE)</f>
        <v>0</v>
      </c>
      <c r="T131">
        <f>HLOOKUP("Provisioned MiB",'vInfo (Imported)'!$1:$5000,M131,FALSE)</f>
        <v>0</v>
      </c>
      <c r="U131">
        <f t="shared" ref="U131:U194" si="7">T131-V131</f>
        <v>0</v>
      </c>
      <c r="V131">
        <f>HLOOKUP("In Use MiB",'vInfo (Imported)'!$1:$5000,M131,FALSE)</f>
        <v>0</v>
      </c>
    </row>
    <row r="132" spans="1:22" ht="13" x14ac:dyDescent="0.3">
      <c r="A132" s="46">
        <f>'vHosts (Imported)'!A132</f>
        <v>0</v>
      </c>
      <c r="B132" s="51">
        <f t="shared" si="6"/>
        <v>4968</v>
      </c>
      <c r="C132" s="49">
        <f>HLOOKUP("# Cores",'vHosts (Imported)'!$1:$5000,M132,FALSE)</f>
        <v>0</v>
      </c>
      <c r="D132" s="52">
        <f>HLOOKUP("# Memory",'vHosts (Imported)'!$1:$5000,M132,FALSE)</f>
        <v>0</v>
      </c>
      <c r="M132" s="45">
        <f t="shared" ref="M132:M195" si="8">M131+1</f>
        <v>132</v>
      </c>
      <c r="N132" s="38">
        <f>HLOOKUP("Host",'vInfo (Imported)'!$1:$5000,M132,FALSE)</f>
        <v>0</v>
      </c>
      <c r="R132">
        <f>HLOOKUP("CPUs",'vInfo (Imported)'!$1:$5000,M132,FALSE)</f>
        <v>0</v>
      </c>
      <c r="S132">
        <f>HLOOKUP("Memory",'vInfo (Imported)'!$1:$5000,M132,FALSE)</f>
        <v>0</v>
      </c>
      <c r="T132">
        <f>HLOOKUP("Provisioned MiB",'vInfo (Imported)'!$1:$5000,M132,FALSE)</f>
        <v>0</v>
      </c>
      <c r="U132">
        <f t="shared" si="7"/>
        <v>0</v>
      </c>
      <c r="V132">
        <f>HLOOKUP("In Use MiB",'vInfo (Imported)'!$1:$5000,M132,FALSE)</f>
        <v>0</v>
      </c>
    </row>
    <row r="133" spans="1:22" ht="13" x14ac:dyDescent="0.3">
      <c r="A133" s="46">
        <f>'vHosts (Imported)'!A133</f>
        <v>0</v>
      </c>
      <c r="B133" s="51">
        <f t="shared" si="6"/>
        <v>4968</v>
      </c>
      <c r="C133" s="49">
        <f>HLOOKUP("# Cores",'vHosts (Imported)'!$1:$5000,M133,FALSE)</f>
        <v>0</v>
      </c>
      <c r="D133" s="52">
        <f>HLOOKUP("# Memory",'vHosts (Imported)'!$1:$5000,M133,FALSE)</f>
        <v>0</v>
      </c>
      <c r="M133" s="45">
        <f t="shared" si="8"/>
        <v>133</v>
      </c>
      <c r="N133" s="38">
        <f>HLOOKUP("Host",'vInfo (Imported)'!$1:$5000,M133,FALSE)</f>
        <v>0</v>
      </c>
      <c r="R133">
        <f>HLOOKUP("CPUs",'vInfo (Imported)'!$1:$5000,M133,FALSE)</f>
        <v>0</v>
      </c>
      <c r="S133">
        <f>HLOOKUP("Memory",'vInfo (Imported)'!$1:$5000,M133,FALSE)</f>
        <v>0</v>
      </c>
      <c r="T133">
        <f>HLOOKUP("Provisioned MiB",'vInfo (Imported)'!$1:$5000,M133,FALSE)</f>
        <v>0</v>
      </c>
      <c r="U133">
        <f t="shared" si="7"/>
        <v>0</v>
      </c>
      <c r="V133">
        <f>HLOOKUP("In Use MiB",'vInfo (Imported)'!$1:$5000,M133,FALSE)</f>
        <v>0</v>
      </c>
    </row>
    <row r="134" spans="1:22" ht="13" x14ac:dyDescent="0.3">
      <c r="A134" s="46">
        <f>'vHosts (Imported)'!A134</f>
        <v>0</v>
      </c>
      <c r="B134" s="51">
        <f t="shared" si="6"/>
        <v>4968</v>
      </c>
      <c r="C134" s="49">
        <f>HLOOKUP("# Cores",'vHosts (Imported)'!$1:$5000,M134,FALSE)</f>
        <v>0</v>
      </c>
      <c r="D134" s="52">
        <f>HLOOKUP("# Memory",'vHosts (Imported)'!$1:$5000,M134,FALSE)</f>
        <v>0</v>
      </c>
      <c r="M134" s="45">
        <f t="shared" si="8"/>
        <v>134</v>
      </c>
      <c r="N134" s="38">
        <f>HLOOKUP("Host",'vInfo (Imported)'!$1:$5000,M134,FALSE)</f>
        <v>0</v>
      </c>
      <c r="R134">
        <f>HLOOKUP("CPUs",'vInfo (Imported)'!$1:$5000,M134,FALSE)</f>
        <v>0</v>
      </c>
      <c r="S134">
        <f>HLOOKUP("Memory",'vInfo (Imported)'!$1:$5000,M134,FALSE)</f>
        <v>0</v>
      </c>
      <c r="T134">
        <f>HLOOKUP("Provisioned MiB",'vInfo (Imported)'!$1:$5000,M134,FALSE)</f>
        <v>0</v>
      </c>
      <c r="U134">
        <f t="shared" si="7"/>
        <v>0</v>
      </c>
      <c r="V134">
        <f>HLOOKUP("In Use MiB",'vInfo (Imported)'!$1:$5000,M134,FALSE)</f>
        <v>0</v>
      </c>
    </row>
    <row r="135" spans="1:22" ht="13" x14ac:dyDescent="0.3">
      <c r="A135" s="46">
        <f>'vHosts (Imported)'!A135</f>
        <v>0</v>
      </c>
      <c r="B135" s="51">
        <f t="shared" si="6"/>
        <v>4968</v>
      </c>
      <c r="C135" s="49">
        <f>HLOOKUP("# Cores",'vHosts (Imported)'!$1:$5000,M135,FALSE)</f>
        <v>0</v>
      </c>
      <c r="D135" s="52">
        <f>HLOOKUP("# Memory",'vHosts (Imported)'!$1:$5000,M135,FALSE)</f>
        <v>0</v>
      </c>
      <c r="M135" s="45">
        <f t="shared" si="8"/>
        <v>135</v>
      </c>
      <c r="N135" s="38">
        <f>HLOOKUP("Host",'vInfo (Imported)'!$1:$5000,M135,FALSE)</f>
        <v>0</v>
      </c>
      <c r="R135">
        <f>HLOOKUP("CPUs",'vInfo (Imported)'!$1:$5000,M135,FALSE)</f>
        <v>0</v>
      </c>
      <c r="S135">
        <f>HLOOKUP("Memory",'vInfo (Imported)'!$1:$5000,M135,FALSE)</f>
        <v>0</v>
      </c>
      <c r="T135">
        <f>HLOOKUP("Provisioned MiB",'vInfo (Imported)'!$1:$5000,M135,FALSE)</f>
        <v>0</v>
      </c>
      <c r="U135">
        <f t="shared" si="7"/>
        <v>0</v>
      </c>
      <c r="V135">
        <f>HLOOKUP("In Use MiB",'vInfo (Imported)'!$1:$5000,M135,FALSE)</f>
        <v>0</v>
      </c>
    </row>
    <row r="136" spans="1:22" ht="13" x14ac:dyDescent="0.3">
      <c r="A136" s="46">
        <f>'vHosts (Imported)'!A136</f>
        <v>0</v>
      </c>
      <c r="B136" s="51">
        <f t="shared" si="6"/>
        <v>4968</v>
      </c>
      <c r="C136" s="49">
        <f>HLOOKUP("# Cores",'vHosts (Imported)'!$1:$5000,M136,FALSE)</f>
        <v>0</v>
      </c>
      <c r="D136" s="52">
        <f>HLOOKUP("# Memory",'vHosts (Imported)'!$1:$5000,M136,FALSE)</f>
        <v>0</v>
      </c>
      <c r="M136" s="45">
        <f t="shared" si="8"/>
        <v>136</v>
      </c>
      <c r="N136" s="38">
        <f>HLOOKUP("Host",'vInfo (Imported)'!$1:$5000,M136,FALSE)</f>
        <v>0</v>
      </c>
      <c r="R136">
        <f>HLOOKUP("CPUs",'vInfo (Imported)'!$1:$5000,M136,FALSE)</f>
        <v>0</v>
      </c>
      <c r="S136">
        <f>HLOOKUP("Memory",'vInfo (Imported)'!$1:$5000,M136,FALSE)</f>
        <v>0</v>
      </c>
      <c r="T136">
        <f>HLOOKUP("Provisioned MiB",'vInfo (Imported)'!$1:$5000,M136,FALSE)</f>
        <v>0</v>
      </c>
      <c r="U136">
        <f t="shared" si="7"/>
        <v>0</v>
      </c>
      <c r="V136">
        <f>HLOOKUP("In Use MiB",'vInfo (Imported)'!$1:$5000,M136,FALSE)</f>
        <v>0</v>
      </c>
    </row>
    <row r="137" spans="1:22" ht="13" x14ac:dyDescent="0.3">
      <c r="A137" s="46">
        <f>'vHosts (Imported)'!A137</f>
        <v>0</v>
      </c>
      <c r="B137" s="51">
        <f t="shared" si="6"/>
        <v>4968</v>
      </c>
      <c r="C137" s="49">
        <f>HLOOKUP("# Cores",'vHosts (Imported)'!$1:$5000,M137,FALSE)</f>
        <v>0</v>
      </c>
      <c r="D137" s="52">
        <f>HLOOKUP("# Memory",'vHosts (Imported)'!$1:$5000,M137,FALSE)</f>
        <v>0</v>
      </c>
      <c r="M137" s="45">
        <f t="shared" si="8"/>
        <v>137</v>
      </c>
      <c r="N137" s="38">
        <f>HLOOKUP("Host",'vInfo (Imported)'!$1:$5000,M137,FALSE)</f>
        <v>0</v>
      </c>
      <c r="R137">
        <f>HLOOKUP("CPUs",'vInfo (Imported)'!$1:$5000,M137,FALSE)</f>
        <v>0</v>
      </c>
      <c r="S137">
        <f>HLOOKUP("Memory",'vInfo (Imported)'!$1:$5000,M137,FALSE)</f>
        <v>0</v>
      </c>
      <c r="T137">
        <f>HLOOKUP("Provisioned MiB",'vInfo (Imported)'!$1:$5000,M137,FALSE)</f>
        <v>0</v>
      </c>
      <c r="U137">
        <f t="shared" si="7"/>
        <v>0</v>
      </c>
      <c r="V137">
        <f>HLOOKUP("In Use MiB",'vInfo (Imported)'!$1:$5000,M137,FALSE)</f>
        <v>0</v>
      </c>
    </row>
    <row r="138" spans="1:22" ht="13" x14ac:dyDescent="0.3">
      <c r="A138" s="46">
        <f>'vHosts (Imported)'!A138</f>
        <v>0</v>
      </c>
      <c r="B138" s="51">
        <f t="shared" si="6"/>
        <v>4968</v>
      </c>
      <c r="C138" s="49">
        <f>HLOOKUP("# Cores",'vHosts (Imported)'!$1:$5000,M138,FALSE)</f>
        <v>0</v>
      </c>
      <c r="D138" s="52">
        <f>HLOOKUP("# Memory",'vHosts (Imported)'!$1:$5000,M138,FALSE)</f>
        <v>0</v>
      </c>
      <c r="M138" s="45">
        <f t="shared" si="8"/>
        <v>138</v>
      </c>
      <c r="N138" s="38">
        <f>HLOOKUP("Host",'vInfo (Imported)'!$1:$5000,M138,FALSE)</f>
        <v>0</v>
      </c>
      <c r="R138">
        <f>HLOOKUP("CPUs",'vInfo (Imported)'!$1:$5000,M138,FALSE)</f>
        <v>0</v>
      </c>
      <c r="S138">
        <f>HLOOKUP("Memory",'vInfo (Imported)'!$1:$5000,M138,FALSE)</f>
        <v>0</v>
      </c>
      <c r="T138">
        <f>HLOOKUP("Provisioned MiB",'vInfo (Imported)'!$1:$5000,M138,FALSE)</f>
        <v>0</v>
      </c>
      <c r="U138">
        <f t="shared" si="7"/>
        <v>0</v>
      </c>
      <c r="V138">
        <f>HLOOKUP("In Use MiB",'vInfo (Imported)'!$1:$5000,M138,FALSE)</f>
        <v>0</v>
      </c>
    </row>
    <row r="139" spans="1:22" ht="13" x14ac:dyDescent="0.3">
      <c r="A139" s="46">
        <f>'vHosts (Imported)'!A139</f>
        <v>0</v>
      </c>
      <c r="B139" s="51">
        <f t="shared" si="6"/>
        <v>4968</v>
      </c>
      <c r="C139" s="49">
        <f>HLOOKUP("# Cores",'vHosts (Imported)'!$1:$5000,M139,FALSE)</f>
        <v>0</v>
      </c>
      <c r="D139" s="52">
        <f>HLOOKUP("# Memory",'vHosts (Imported)'!$1:$5000,M139,FALSE)</f>
        <v>0</v>
      </c>
      <c r="M139" s="45">
        <f t="shared" si="8"/>
        <v>139</v>
      </c>
      <c r="N139" s="38">
        <f>HLOOKUP("Host",'vInfo (Imported)'!$1:$5000,M139,FALSE)</f>
        <v>0</v>
      </c>
      <c r="R139">
        <f>HLOOKUP("CPUs",'vInfo (Imported)'!$1:$5000,M139,FALSE)</f>
        <v>0</v>
      </c>
      <c r="S139">
        <f>HLOOKUP("Memory",'vInfo (Imported)'!$1:$5000,M139,FALSE)</f>
        <v>0</v>
      </c>
      <c r="T139">
        <f>HLOOKUP("Provisioned MiB",'vInfo (Imported)'!$1:$5000,M139,FALSE)</f>
        <v>0</v>
      </c>
      <c r="U139">
        <f t="shared" si="7"/>
        <v>0</v>
      </c>
      <c r="V139">
        <f>HLOOKUP("In Use MiB",'vInfo (Imported)'!$1:$5000,M139,FALSE)</f>
        <v>0</v>
      </c>
    </row>
    <row r="140" spans="1:22" ht="13" x14ac:dyDescent="0.3">
      <c r="A140" s="46">
        <f>'vHosts (Imported)'!A140</f>
        <v>0</v>
      </c>
      <c r="B140" s="51">
        <f t="shared" si="6"/>
        <v>4968</v>
      </c>
      <c r="C140" s="49">
        <f>HLOOKUP("# Cores",'vHosts (Imported)'!$1:$5000,M140,FALSE)</f>
        <v>0</v>
      </c>
      <c r="D140" s="52">
        <f>HLOOKUP("# Memory",'vHosts (Imported)'!$1:$5000,M140,FALSE)</f>
        <v>0</v>
      </c>
      <c r="M140" s="45">
        <f t="shared" si="8"/>
        <v>140</v>
      </c>
      <c r="N140" s="38">
        <f>HLOOKUP("Host",'vInfo (Imported)'!$1:$5000,M140,FALSE)</f>
        <v>0</v>
      </c>
      <c r="R140">
        <f>HLOOKUP("CPUs",'vInfo (Imported)'!$1:$5000,M140,FALSE)</f>
        <v>0</v>
      </c>
      <c r="S140">
        <f>HLOOKUP("Memory",'vInfo (Imported)'!$1:$5000,M140,FALSE)</f>
        <v>0</v>
      </c>
      <c r="T140">
        <f>HLOOKUP("Provisioned MiB",'vInfo (Imported)'!$1:$5000,M140,FALSE)</f>
        <v>0</v>
      </c>
      <c r="U140">
        <f t="shared" si="7"/>
        <v>0</v>
      </c>
      <c r="V140">
        <f>HLOOKUP("In Use MiB",'vInfo (Imported)'!$1:$5000,M140,FALSE)</f>
        <v>0</v>
      </c>
    </row>
    <row r="141" spans="1:22" ht="13" x14ac:dyDescent="0.3">
      <c r="A141" s="46">
        <f>'vHosts (Imported)'!A141</f>
        <v>0</v>
      </c>
      <c r="B141" s="51">
        <f t="shared" si="6"/>
        <v>4968</v>
      </c>
      <c r="C141" s="49">
        <f>HLOOKUP("# Cores",'vHosts (Imported)'!$1:$5000,M141,FALSE)</f>
        <v>0</v>
      </c>
      <c r="D141" s="52">
        <f>HLOOKUP("# Memory",'vHosts (Imported)'!$1:$5000,M141,FALSE)</f>
        <v>0</v>
      </c>
      <c r="M141" s="45">
        <f t="shared" si="8"/>
        <v>141</v>
      </c>
      <c r="N141" s="38">
        <f>HLOOKUP("Host",'vInfo (Imported)'!$1:$5000,M141,FALSE)</f>
        <v>0</v>
      </c>
      <c r="R141">
        <f>HLOOKUP("CPUs",'vInfo (Imported)'!$1:$5000,M141,FALSE)</f>
        <v>0</v>
      </c>
      <c r="S141">
        <f>HLOOKUP("Memory",'vInfo (Imported)'!$1:$5000,M141,FALSE)</f>
        <v>0</v>
      </c>
      <c r="T141">
        <f>HLOOKUP("Provisioned MiB",'vInfo (Imported)'!$1:$5000,M141,FALSE)</f>
        <v>0</v>
      </c>
      <c r="U141">
        <f t="shared" si="7"/>
        <v>0</v>
      </c>
      <c r="V141">
        <f>HLOOKUP("In Use MiB",'vInfo (Imported)'!$1:$5000,M141,FALSE)</f>
        <v>0</v>
      </c>
    </row>
    <row r="142" spans="1:22" ht="13" x14ac:dyDescent="0.3">
      <c r="A142" s="46">
        <f>'vHosts (Imported)'!A142</f>
        <v>0</v>
      </c>
      <c r="B142" s="51">
        <f t="shared" si="6"/>
        <v>4968</v>
      </c>
      <c r="C142" s="49">
        <f>HLOOKUP("# Cores",'vHosts (Imported)'!$1:$5000,M142,FALSE)</f>
        <v>0</v>
      </c>
      <c r="D142" s="52">
        <f>HLOOKUP("# Memory",'vHosts (Imported)'!$1:$5000,M142,FALSE)</f>
        <v>0</v>
      </c>
      <c r="M142" s="45">
        <f t="shared" si="8"/>
        <v>142</v>
      </c>
      <c r="N142" s="38">
        <f>HLOOKUP("Host",'vInfo (Imported)'!$1:$5000,M142,FALSE)</f>
        <v>0</v>
      </c>
      <c r="R142">
        <f>HLOOKUP("CPUs",'vInfo (Imported)'!$1:$5000,M142,FALSE)</f>
        <v>0</v>
      </c>
      <c r="S142">
        <f>HLOOKUP("Memory",'vInfo (Imported)'!$1:$5000,M142,FALSE)</f>
        <v>0</v>
      </c>
      <c r="T142">
        <f>HLOOKUP("Provisioned MiB",'vInfo (Imported)'!$1:$5000,M142,FALSE)</f>
        <v>0</v>
      </c>
      <c r="U142">
        <f t="shared" si="7"/>
        <v>0</v>
      </c>
      <c r="V142">
        <f>HLOOKUP("In Use MiB",'vInfo (Imported)'!$1:$5000,M142,FALSE)</f>
        <v>0</v>
      </c>
    </row>
    <row r="143" spans="1:22" ht="13" x14ac:dyDescent="0.3">
      <c r="A143" s="46">
        <f>'vHosts (Imported)'!A143</f>
        <v>0</v>
      </c>
      <c r="B143" s="51">
        <f t="shared" si="6"/>
        <v>4968</v>
      </c>
      <c r="C143" s="49">
        <f>HLOOKUP("# Cores",'vHosts (Imported)'!$1:$5000,M143,FALSE)</f>
        <v>0</v>
      </c>
      <c r="D143" s="52">
        <f>HLOOKUP("# Memory",'vHosts (Imported)'!$1:$5000,M143,FALSE)</f>
        <v>0</v>
      </c>
      <c r="M143" s="45">
        <f t="shared" si="8"/>
        <v>143</v>
      </c>
      <c r="N143" s="38">
        <f>HLOOKUP("Host",'vInfo (Imported)'!$1:$5000,M143,FALSE)</f>
        <v>0</v>
      </c>
      <c r="R143">
        <f>HLOOKUP("CPUs",'vInfo (Imported)'!$1:$5000,M143,FALSE)</f>
        <v>0</v>
      </c>
      <c r="S143">
        <f>HLOOKUP("Memory",'vInfo (Imported)'!$1:$5000,M143,FALSE)</f>
        <v>0</v>
      </c>
      <c r="T143">
        <f>HLOOKUP("Provisioned MiB",'vInfo (Imported)'!$1:$5000,M143,FALSE)</f>
        <v>0</v>
      </c>
      <c r="U143">
        <f t="shared" si="7"/>
        <v>0</v>
      </c>
      <c r="V143">
        <f>HLOOKUP("In Use MiB",'vInfo (Imported)'!$1:$5000,M143,FALSE)</f>
        <v>0</v>
      </c>
    </row>
    <row r="144" spans="1:22" ht="13" x14ac:dyDescent="0.3">
      <c r="A144" s="46">
        <f>'vHosts (Imported)'!A144</f>
        <v>0</v>
      </c>
      <c r="B144" s="51">
        <f t="shared" si="6"/>
        <v>4968</v>
      </c>
      <c r="C144" s="49">
        <f>HLOOKUP("# Cores",'vHosts (Imported)'!$1:$5000,M144,FALSE)</f>
        <v>0</v>
      </c>
      <c r="D144" s="52">
        <f>HLOOKUP("# Memory",'vHosts (Imported)'!$1:$5000,M144,FALSE)</f>
        <v>0</v>
      </c>
      <c r="M144" s="45">
        <f t="shared" si="8"/>
        <v>144</v>
      </c>
      <c r="N144" s="38">
        <f>HLOOKUP("Host",'vInfo (Imported)'!$1:$5000,M144,FALSE)</f>
        <v>0</v>
      </c>
      <c r="R144">
        <f>HLOOKUP("CPUs",'vInfo (Imported)'!$1:$5000,M144,FALSE)</f>
        <v>0</v>
      </c>
      <c r="S144">
        <f>HLOOKUP("Memory",'vInfo (Imported)'!$1:$5000,M144,FALSE)</f>
        <v>0</v>
      </c>
      <c r="T144">
        <f>HLOOKUP("Provisioned MiB",'vInfo (Imported)'!$1:$5000,M144,FALSE)</f>
        <v>0</v>
      </c>
      <c r="U144">
        <f t="shared" si="7"/>
        <v>0</v>
      </c>
      <c r="V144">
        <f>HLOOKUP("In Use MiB",'vInfo (Imported)'!$1:$5000,M144,FALSE)</f>
        <v>0</v>
      </c>
    </row>
    <row r="145" spans="1:22" ht="13" x14ac:dyDescent="0.3">
      <c r="A145" s="46">
        <f>'vHosts (Imported)'!A145</f>
        <v>0</v>
      </c>
      <c r="B145" s="51">
        <f t="shared" si="6"/>
        <v>4968</v>
      </c>
      <c r="C145" s="49">
        <f>HLOOKUP("# Cores",'vHosts (Imported)'!$1:$5000,M145,FALSE)</f>
        <v>0</v>
      </c>
      <c r="D145" s="52">
        <f>HLOOKUP("# Memory",'vHosts (Imported)'!$1:$5000,M145,FALSE)</f>
        <v>0</v>
      </c>
      <c r="M145" s="45">
        <f t="shared" si="8"/>
        <v>145</v>
      </c>
      <c r="N145" s="38">
        <f>HLOOKUP("Host",'vInfo (Imported)'!$1:$5000,M145,FALSE)</f>
        <v>0</v>
      </c>
      <c r="R145">
        <f>HLOOKUP("CPUs",'vInfo (Imported)'!$1:$5000,M145,FALSE)</f>
        <v>0</v>
      </c>
      <c r="S145">
        <f>HLOOKUP("Memory",'vInfo (Imported)'!$1:$5000,M145,FALSE)</f>
        <v>0</v>
      </c>
      <c r="T145">
        <f>HLOOKUP("Provisioned MiB",'vInfo (Imported)'!$1:$5000,M145,FALSE)</f>
        <v>0</v>
      </c>
      <c r="U145">
        <f t="shared" si="7"/>
        <v>0</v>
      </c>
      <c r="V145">
        <f>HLOOKUP("In Use MiB",'vInfo (Imported)'!$1:$5000,M145,FALSE)</f>
        <v>0</v>
      </c>
    </row>
    <row r="146" spans="1:22" ht="13" x14ac:dyDescent="0.3">
      <c r="A146" s="46">
        <f>'vHosts (Imported)'!A146</f>
        <v>0</v>
      </c>
      <c r="B146" s="51">
        <f t="shared" si="6"/>
        <v>4968</v>
      </c>
      <c r="C146" s="49">
        <f>HLOOKUP("# Cores",'vHosts (Imported)'!$1:$5000,M146,FALSE)</f>
        <v>0</v>
      </c>
      <c r="D146" s="52">
        <f>HLOOKUP("# Memory",'vHosts (Imported)'!$1:$5000,M146,FALSE)</f>
        <v>0</v>
      </c>
      <c r="M146" s="45">
        <f t="shared" si="8"/>
        <v>146</v>
      </c>
      <c r="N146" s="38">
        <f>HLOOKUP("Host",'vInfo (Imported)'!$1:$5000,M146,FALSE)</f>
        <v>0</v>
      </c>
      <c r="R146">
        <f>HLOOKUP("CPUs",'vInfo (Imported)'!$1:$5000,M146,FALSE)</f>
        <v>0</v>
      </c>
      <c r="S146">
        <f>HLOOKUP("Memory",'vInfo (Imported)'!$1:$5000,M146,FALSE)</f>
        <v>0</v>
      </c>
      <c r="T146">
        <f>HLOOKUP("Provisioned MiB",'vInfo (Imported)'!$1:$5000,M146,FALSE)</f>
        <v>0</v>
      </c>
      <c r="U146">
        <f t="shared" si="7"/>
        <v>0</v>
      </c>
      <c r="V146">
        <f>HLOOKUP("In Use MiB",'vInfo (Imported)'!$1:$5000,M146,FALSE)</f>
        <v>0</v>
      </c>
    </row>
    <row r="147" spans="1:22" ht="13" x14ac:dyDescent="0.3">
      <c r="A147" s="46">
        <f>'vHosts (Imported)'!A147</f>
        <v>0</v>
      </c>
      <c r="B147" s="51">
        <f t="shared" si="6"/>
        <v>4968</v>
      </c>
      <c r="C147" s="49">
        <f>HLOOKUP("# Cores",'vHosts (Imported)'!$1:$5000,M147,FALSE)</f>
        <v>0</v>
      </c>
      <c r="D147" s="52">
        <f>HLOOKUP("# Memory",'vHosts (Imported)'!$1:$5000,M147,FALSE)</f>
        <v>0</v>
      </c>
      <c r="M147" s="45">
        <f t="shared" si="8"/>
        <v>147</v>
      </c>
      <c r="N147" s="38">
        <f>HLOOKUP("Host",'vInfo (Imported)'!$1:$5000,M147,FALSE)</f>
        <v>0</v>
      </c>
      <c r="R147">
        <f>HLOOKUP("CPUs",'vInfo (Imported)'!$1:$5000,M147,FALSE)</f>
        <v>0</v>
      </c>
      <c r="S147">
        <f>HLOOKUP("Memory",'vInfo (Imported)'!$1:$5000,M147,FALSE)</f>
        <v>0</v>
      </c>
      <c r="T147">
        <f>HLOOKUP("Provisioned MiB",'vInfo (Imported)'!$1:$5000,M147,FALSE)</f>
        <v>0</v>
      </c>
      <c r="U147">
        <f t="shared" si="7"/>
        <v>0</v>
      </c>
      <c r="V147">
        <f>HLOOKUP("In Use MiB",'vInfo (Imported)'!$1:$5000,M147,FALSE)</f>
        <v>0</v>
      </c>
    </row>
    <row r="148" spans="1:22" ht="13" x14ac:dyDescent="0.3">
      <c r="A148" s="46">
        <f>'vHosts (Imported)'!A148</f>
        <v>0</v>
      </c>
      <c r="B148" s="51">
        <f t="shared" si="6"/>
        <v>4968</v>
      </c>
      <c r="C148" s="49">
        <f>HLOOKUP("# Cores",'vHosts (Imported)'!$1:$5000,M148,FALSE)</f>
        <v>0</v>
      </c>
      <c r="D148" s="52">
        <f>HLOOKUP("# Memory",'vHosts (Imported)'!$1:$5000,M148,FALSE)</f>
        <v>0</v>
      </c>
      <c r="M148" s="45">
        <f t="shared" si="8"/>
        <v>148</v>
      </c>
      <c r="N148" s="38">
        <f>HLOOKUP("Host",'vInfo (Imported)'!$1:$5000,M148,FALSE)</f>
        <v>0</v>
      </c>
      <c r="R148">
        <f>HLOOKUP("CPUs",'vInfo (Imported)'!$1:$5000,M148,FALSE)</f>
        <v>0</v>
      </c>
      <c r="S148">
        <f>HLOOKUP("Memory",'vInfo (Imported)'!$1:$5000,M148,FALSE)</f>
        <v>0</v>
      </c>
      <c r="T148">
        <f>HLOOKUP("Provisioned MiB",'vInfo (Imported)'!$1:$5000,M148,FALSE)</f>
        <v>0</v>
      </c>
      <c r="U148">
        <f t="shared" si="7"/>
        <v>0</v>
      </c>
      <c r="V148">
        <f>HLOOKUP("In Use MiB",'vInfo (Imported)'!$1:$5000,M148,FALSE)</f>
        <v>0</v>
      </c>
    </row>
    <row r="149" spans="1:22" ht="13" x14ac:dyDescent="0.3">
      <c r="A149" s="46">
        <f>'vHosts (Imported)'!A149</f>
        <v>0</v>
      </c>
      <c r="B149" s="51">
        <f t="shared" si="6"/>
        <v>4968</v>
      </c>
      <c r="C149" s="49">
        <f>HLOOKUP("# Cores",'vHosts (Imported)'!$1:$5000,M149,FALSE)</f>
        <v>0</v>
      </c>
      <c r="D149" s="52">
        <f>HLOOKUP("# Memory",'vHosts (Imported)'!$1:$5000,M149,FALSE)</f>
        <v>0</v>
      </c>
      <c r="M149" s="45">
        <f t="shared" si="8"/>
        <v>149</v>
      </c>
      <c r="N149" s="38">
        <f>HLOOKUP("Host",'vInfo (Imported)'!$1:$5000,M149,FALSE)</f>
        <v>0</v>
      </c>
      <c r="R149">
        <f>HLOOKUP("CPUs",'vInfo (Imported)'!$1:$5000,M149,FALSE)</f>
        <v>0</v>
      </c>
      <c r="S149">
        <f>HLOOKUP("Memory",'vInfo (Imported)'!$1:$5000,M149,FALSE)</f>
        <v>0</v>
      </c>
      <c r="T149">
        <f>HLOOKUP("Provisioned MiB",'vInfo (Imported)'!$1:$5000,M149,FALSE)</f>
        <v>0</v>
      </c>
      <c r="U149">
        <f t="shared" si="7"/>
        <v>0</v>
      </c>
      <c r="V149">
        <f>HLOOKUP("In Use MiB",'vInfo (Imported)'!$1:$5000,M149,FALSE)</f>
        <v>0</v>
      </c>
    </row>
    <row r="150" spans="1:22" ht="13" x14ac:dyDescent="0.3">
      <c r="A150" s="46">
        <f>'vHosts (Imported)'!A150</f>
        <v>0</v>
      </c>
      <c r="B150" s="51">
        <f t="shared" si="6"/>
        <v>4968</v>
      </c>
      <c r="C150" s="49">
        <f>HLOOKUP("# Cores",'vHosts (Imported)'!$1:$5000,M150,FALSE)</f>
        <v>0</v>
      </c>
      <c r="D150" s="52">
        <f>HLOOKUP("# Memory",'vHosts (Imported)'!$1:$5000,M150,FALSE)</f>
        <v>0</v>
      </c>
      <c r="M150" s="45">
        <f t="shared" si="8"/>
        <v>150</v>
      </c>
      <c r="N150" s="38">
        <f>HLOOKUP("Host",'vInfo (Imported)'!$1:$5000,M150,FALSE)</f>
        <v>0</v>
      </c>
      <c r="R150">
        <f>HLOOKUP("CPUs",'vInfo (Imported)'!$1:$5000,M150,FALSE)</f>
        <v>0</v>
      </c>
      <c r="S150">
        <f>HLOOKUP("Memory",'vInfo (Imported)'!$1:$5000,M150,FALSE)</f>
        <v>0</v>
      </c>
      <c r="T150">
        <f>HLOOKUP("Provisioned MiB",'vInfo (Imported)'!$1:$5000,M150,FALSE)</f>
        <v>0</v>
      </c>
      <c r="U150">
        <f t="shared" si="7"/>
        <v>0</v>
      </c>
      <c r="V150">
        <f>HLOOKUP("In Use MiB",'vInfo (Imported)'!$1:$5000,M150,FALSE)</f>
        <v>0</v>
      </c>
    </row>
    <row r="151" spans="1:22" ht="13" x14ac:dyDescent="0.3">
      <c r="A151" s="46">
        <f>'vHosts (Imported)'!A151</f>
        <v>0</v>
      </c>
      <c r="B151" s="51">
        <f t="shared" si="6"/>
        <v>4968</v>
      </c>
      <c r="C151" s="49">
        <f>HLOOKUP("# Cores",'vHosts (Imported)'!$1:$5000,M151,FALSE)</f>
        <v>0</v>
      </c>
      <c r="D151" s="52">
        <f>HLOOKUP("# Memory",'vHosts (Imported)'!$1:$5000,M151,FALSE)</f>
        <v>0</v>
      </c>
      <c r="M151" s="45">
        <f t="shared" si="8"/>
        <v>151</v>
      </c>
      <c r="N151" s="38">
        <f>HLOOKUP("Host",'vInfo (Imported)'!$1:$5000,M151,FALSE)</f>
        <v>0</v>
      </c>
      <c r="R151">
        <f>HLOOKUP("CPUs",'vInfo (Imported)'!$1:$5000,M151,FALSE)</f>
        <v>0</v>
      </c>
      <c r="S151">
        <f>HLOOKUP("Memory",'vInfo (Imported)'!$1:$5000,M151,FALSE)</f>
        <v>0</v>
      </c>
      <c r="T151">
        <f>HLOOKUP("Provisioned MiB",'vInfo (Imported)'!$1:$5000,M151,FALSE)</f>
        <v>0</v>
      </c>
      <c r="U151">
        <f t="shared" si="7"/>
        <v>0</v>
      </c>
      <c r="V151">
        <f>HLOOKUP("In Use MiB",'vInfo (Imported)'!$1:$5000,M151,FALSE)</f>
        <v>0</v>
      </c>
    </row>
    <row r="152" spans="1:22" ht="13" x14ac:dyDescent="0.3">
      <c r="A152" s="46">
        <f>'vHosts (Imported)'!A152</f>
        <v>0</v>
      </c>
      <c r="B152" s="51">
        <f t="shared" si="6"/>
        <v>4968</v>
      </c>
      <c r="C152" s="49">
        <f>HLOOKUP("# Cores",'vHosts (Imported)'!$1:$5000,M152,FALSE)</f>
        <v>0</v>
      </c>
      <c r="D152" s="52">
        <f>HLOOKUP("# Memory",'vHosts (Imported)'!$1:$5000,M152,FALSE)</f>
        <v>0</v>
      </c>
      <c r="M152" s="45">
        <f t="shared" si="8"/>
        <v>152</v>
      </c>
      <c r="N152" s="38">
        <f>HLOOKUP("Host",'vInfo (Imported)'!$1:$5000,M152,FALSE)</f>
        <v>0</v>
      </c>
      <c r="R152">
        <f>HLOOKUP("CPUs",'vInfo (Imported)'!$1:$5000,M152,FALSE)</f>
        <v>0</v>
      </c>
      <c r="S152">
        <f>HLOOKUP("Memory",'vInfo (Imported)'!$1:$5000,M152,FALSE)</f>
        <v>0</v>
      </c>
      <c r="T152">
        <f>HLOOKUP("Provisioned MiB",'vInfo (Imported)'!$1:$5000,M152,FALSE)</f>
        <v>0</v>
      </c>
      <c r="U152">
        <f t="shared" si="7"/>
        <v>0</v>
      </c>
      <c r="V152">
        <f>HLOOKUP("In Use MiB",'vInfo (Imported)'!$1:$5000,M152,FALSE)</f>
        <v>0</v>
      </c>
    </row>
    <row r="153" spans="1:22" ht="13" x14ac:dyDescent="0.3">
      <c r="A153" s="46">
        <f>'vHosts (Imported)'!A153</f>
        <v>0</v>
      </c>
      <c r="B153" s="51">
        <f t="shared" si="6"/>
        <v>4968</v>
      </c>
      <c r="C153" s="49">
        <f>HLOOKUP("# Cores",'vHosts (Imported)'!$1:$5000,M153,FALSE)</f>
        <v>0</v>
      </c>
      <c r="D153" s="52">
        <f>HLOOKUP("# Memory",'vHosts (Imported)'!$1:$5000,M153,FALSE)</f>
        <v>0</v>
      </c>
      <c r="M153" s="45">
        <f t="shared" si="8"/>
        <v>153</v>
      </c>
      <c r="N153" s="38">
        <f>HLOOKUP("Host",'vInfo (Imported)'!$1:$5000,M153,FALSE)</f>
        <v>0</v>
      </c>
      <c r="R153">
        <f>HLOOKUP("CPUs",'vInfo (Imported)'!$1:$5000,M153,FALSE)</f>
        <v>0</v>
      </c>
      <c r="S153">
        <f>HLOOKUP("Memory",'vInfo (Imported)'!$1:$5000,M153,FALSE)</f>
        <v>0</v>
      </c>
      <c r="T153">
        <f>HLOOKUP("Provisioned MiB",'vInfo (Imported)'!$1:$5000,M153,FALSE)</f>
        <v>0</v>
      </c>
      <c r="U153">
        <f t="shared" si="7"/>
        <v>0</v>
      </c>
      <c r="V153">
        <f>HLOOKUP("In Use MiB",'vInfo (Imported)'!$1:$5000,M153,FALSE)</f>
        <v>0</v>
      </c>
    </row>
    <row r="154" spans="1:22" ht="13" x14ac:dyDescent="0.3">
      <c r="A154" s="46">
        <f>'vHosts (Imported)'!A154</f>
        <v>0</v>
      </c>
      <c r="B154" s="51">
        <f t="shared" si="6"/>
        <v>4968</v>
      </c>
      <c r="C154" s="49">
        <f>HLOOKUP("# Cores",'vHosts (Imported)'!$1:$5000,M154,FALSE)</f>
        <v>0</v>
      </c>
      <c r="D154" s="52">
        <f>HLOOKUP("# Memory",'vHosts (Imported)'!$1:$5000,M154,FALSE)</f>
        <v>0</v>
      </c>
      <c r="M154" s="45">
        <f t="shared" si="8"/>
        <v>154</v>
      </c>
      <c r="N154" s="38">
        <f>HLOOKUP("Host",'vInfo (Imported)'!$1:$5000,M154,FALSE)</f>
        <v>0</v>
      </c>
      <c r="R154">
        <f>HLOOKUP("CPUs",'vInfo (Imported)'!$1:$5000,M154,FALSE)</f>
        <v>0</v>
      </c>
      <c r="S154">
        <f>HLOOKUP("Memory",'vInfo (Imported)'!$1:$5000,M154,FALSE)</f>
        <v>0</v>
      </c>
      <c r="T154">
        <f>HLOOKUP("Provisioned MiB",'vInfo (Imported)'!$1:$5000,M154,FALSE)</f>
        <v>0</v>
      </c>
      <c r="U154">
        <f t="shared" si="7"/>
        <v>0</v>
      </c>
      <c r="V154">
        <f>HLOOKUP("In Use MiB",'vInfo (Imported)'!$1:$5000,M154,FALSE)</f>
        <v>0</v>
      </c>
    </row>
    <row r="155" spans="1:22" ht="13" x14ac:dyDescent="0.3">
      <c r="A155" s="46">
        <f>'vHosts (Imported)'!A155</f>
        <v>0</v>
      </c>
      <c r="B155" s="51">
        <f t="shared" si="6"/>
        <v>4968</v>
      </c>
      <c r="C155" s="49">
        <f>HLOOKUP("# Cores",'vHosts (Imported)'!$1:$5000,M155,FALSE)</f>
        <v>0</v>
      </c>
      <c r="D155" s="52">
        <f>HLOOKUP("# Memory",'vHosts (Imported)'!$1:$5000,M155,FALSE)</f>
        <v>0</v>
      </c>
      <c r="M155" s="45">
        <f t="shared" si="8"/>
        <v>155</v>
      </c>
      <c r="N155" s="38">
        <f>HLOOKUP("Host",'vInfo (Imported)'!$1:$5000,M155,FALSE)</f>
        <v>0</v>
      </c>
      <c r="R155">
        <f>HLOOKUP("CPUs",'vInfo (Imported)'!$1:$5000,M155,FALSE)</f>
        <v>0</v>
      </c>
      <c r="S155">
        <f>HLOOKUP("Memory",'vInfo (Imported)'!$1:$5000,M155,FALSE)</f>
        <v>0</v>
      </c>
      <c r="T155">
        <f>HLOOKUP("Provisioned MiB",'vInfo (Imported)'!$1:$5000,M155,FALSE)</f>
        <v>0</v>
      </c>
      <c r="U155">
        <f t="shared" si="7"/>
        <v>0</v>
      </c>
      <c r="V155">
        <f>HLOOKUP("In Use MiB",'vInfo (Imported)'!$1:$5000,M155,FALSE)</f>
        <v>0</v>
      </c>
    </row>
    <row r="156" spans="1:22" ht="13" x14ac:dyDescent="0.3">
      <c r="A156" s="46">
        <f>'vHosts (Imported)'!A156</f>
        <v>0</v>
      </c>
      <c r="B156" s="51">
        <f t="shared" si="6"/>
        <v>4968</v>
      </c>
      <c r="C156" s="49">
        <f>HLOOKUP("# Cores",'vHosts (Imported)'!$1:$5000,M156,FALSE)</f>
        <v>0</v>
      </c>
      <c r="D156" s="52">
        <f>HLOOKUP("# Memory",'vHosts (Imported)'!$1:$5000,M156,FALSE)</f>
        <v>0</v>
      </c>
      <c r="M156" s="45">
        <f t="shared" si="8"/>
        <v>156</v>
      </c>
      <c r="N156" s="38">
        <f>HLOOKUP("Host",'vInfo (Imported)'!$1:$5000,M156,FALSE)</f>
        <v>0</v>
      </c>
      <c r="R156">
        <f>HLOOKUP("CPUs",'vInfo (Imported)'!$1:$5000,M156,FALSE)</f>
        <v>0</v>
      </c>
      <c r="S156">
        <f>HLOOKUP("Memory",'vInfo (Imported)'!$1:$5000,M156,FALSE)</f>
        <v>0</v>
      </c>
      <c r="T156">
        <f>HLOOKUP("Provisioned MiB",'vInfo (Imported)'!$1:$5000,M156,FALSE)</f>
        <v>0</v>
      </c>
      <c r="U156">
        <f t="shared" si="7"/>
        <v>0</v>
      </c>
      <c r="V156">
        <f>HLOOKUP("In Use MiB",'vInfo (Imported)'!$1:$5000,M156,FALSE)</f>
        <v>0</v>
      </c>
    </row>
    <row r="157" spans="1:22" ht="13" x14ac:dyDescent="0.3">
      <c r="A157" s="46">
        <f>'vHosts (Imported)'!A157</f>
        <v>0</v>
      </c>
      <c r="B157" s="51">
        <f t="shared" si="6"/>
        <v>4968</v>
      </c>
      <c r="C157" s="49">
        <f>HLOOKUP("# Cores",'vHosts (Imported)'!$1:$5000,M157,FALSE)</f>
        <v>0</v>
      </c>
      <c r="D157" s="52">
        <f>HLOOKUP("# Memory",'vHosts (Imported)'!$1:$5000,M157,FALSE)</f>
        <v>0</v>
      </c>
      <c r="M157" s="45">
        <f t="shared" si="8"/>
        <v>157</v>
      </c>
      <c r="N157" s="38">
        <f>HLOOKUP("Host",'vInfo (Imported)'!$1:$5000,M157,FALSE)</f>
        <v>0</v>
      </c>
      <c r="R157">
        <f>HLOOKUP("CPUs",'vInfo (Imported)'!$1:$5000,M157,FALSE)</f>
        <v>0</v>
      </c>
      <c r="S157">
        <f>HLOOKUP("Memory",'vInfo (Imported)'!$1:$5000,M157,FALSE)</f>
        <v>0</v>
      </c>
      <c r="T157">
        <f>HLOOKUP("Provisioned MiB",'vInfo (Imported)'!$1:$5000,M157,FALSE)</f>
        <v>0</v>
      </c>
      <c r="U157">
        <f t="shared" si="7"/>
        <v>0</v>
      </c>
      <c r="V157">
        <f>HLOOKUP("In Use MiB",'vInfo (Imported)'!$1:$5000,M157,FALSE)</f>
        <v>0</v>
      </c>
    </row>
    <row r="158" spans="1:22" ht="13" x14ac:dyDescent="0.3">
      <c r="A158" s="46">
        <f>'vHosts (Imported)'!A158</f>
        <v>0</v>
      </c>
      <c r="B158" s="51">
        <f t="shared" si="6"/>
        <v>4968</v>
      </c>
      <c r="C158" s="49">
        <f>HLOOKUP("# Cores",'vHosts (Imported)'!$1:$5000,M158,FALSE)</f>
        <v>0</v>
      </c>
      <c r="D158" s="52">
        <f>HLOOKUP("# Memory",'vHosts (Imported)'!$1:$5000,M158,FALSE)</f>
        <v>0</v>
      </c>
      <c r="M158" s="45">
        <f t="shared" si="8"/>
        <v>158</v>
      </c>
      <c r="N158" s="38">
        <f>HLOOKUP("Host",'vInfo (Imported)'!$1:$5000,M158,FALSE)</f>
        <v>0</v>
      </c>
      <c r="R158">
        <f>HLOOKUP("CPUs",'vInfo (Imported)'!$1:$5000,M158,FALSE)</f>
        <v>0</v>
      </c>
      <c r="S158">
        <f>HLOOKUP("Memory",'vInfo (Imported)'!$1:$5000,M158,FALSE)</f>
        <v>0</v>
      </c>
      <c r="T158">
        <f>HLOOKUP("Provisioned MiB",'vInfo (Imported)'!$1:$5000,M158,FALSE)</f>
        <v>0</v>
      </c>
      <c r="U158">
        <f t="shared" si="7"/>
        <v>0</v>
      </c>
      <c r="V158">
        <f>HLOOKUP("In Use MiB",'vInfo (Imported)'!$1:$5000,M158,FALSE)</f>
        <v>0</v>
      </c>
    </row>
    <row r="159" spans="1:22" ht="13" x14ac:dyDescent="0.3">
      <c r="A159" s="46">
        <f>'vHosts (Imported)'!A159</f>
        <v>0</v>
      </c>
      <c r="B159" s="51">
        <f t="shared" si="6"/>
        <v>4968</v>
      </c>
      <c r="C159" s="49">
        <f>HLOOKUP("# Cores",'vHosts (Imported)'!$1:$5000,M159,FALSE)</f>
        <v>0</v>
      </c>
      <c r="D159" s="52">
        <f>HLOOKUP("# Memory",'vHosts (Imported)'!$1:$5000,M159,FALSE)</f>
        <v>0</v>
      </c>
      <c r="M159" s="45">
        <f t="shared" si="8"/>
        <v>159</v>
      </c>
      <c r="N159" s="38">
        <f>HLOOKUP("Host",'vInfo (Imported)'!$1:$5000,M159,FALSE)</f>
        <v>0</v>
      </c>
      <c r="R159">
        <f>HLOOKUP("CPUs",'vInfo (Imported)'!$1:$5000,M159,FALSE)</f>
        <v>0</v>
      </c>
      <c r="S159">
        <f>HLOOKUP("Memory",'vInfo (Imported)'!$1:$5000,M159,FALSE)</f>
        <v>0</v>
      </c>
      <c r="T159">
        <f>HLOOKUP("Provisioned MiB",'vInfo (Imported)'!$1:$5000,M159,FALSE)</f>
        <v>0</v>
      </c>
      <c r="U159">
        <f t="shared" si="7"/>
        <v>0</v>
      </c>
      <c r="V159">
        <f>HLOOKUP("In Use MiB",'vInfo (Imported)'!$1:$5000,M159,FALSE)</f>
        <v>0</v>
      </c>
    </row>
    <row r="160" spans="1:22" ht="13" x14ac:dyDescent="0.3">
      <c r="A160" s="46">
        <f>'vHosts (Imported)'!A160</f>
        <v>0</v>
      </c>
      <c r="B160" s="51">
        <f t="shared" si="6"/>
        <v>4968</v>
      </c>
      <c r="C160" s="49">
        <f>HLOOKUP("# Cores",'vHosts (Imported)'!$1:$5000,M160,FALSE)</f>
        <v>0</v>
      </c>
      <c r="D160" s="52">
        <f>HLOOKUP("# Memory",'vHosts (Imported)'!$1:$5000,M160,FALSE)</f>
        <v>0</v>
      </c>
      <c r="M160" s="45">
        <f t="shared" si="8"/>
        <v>160</v>
      </c>
      <c r="N160" s="38">
        <f>HLOOKUP("Host",'vInfo (Imported)'!$1:$5000,M160,FALSE)</f>
        <v>0</v>
      </c>
      <c r="R160">
        <f>HLOOKUP("CPUs",'vInfo (Imported)'!$1:$5000,M160,FALSE)</f>
        <v>0</v>
      </c>
      <c r="S160">
        <f>HLOOKUP("Memory",'vInfo (Imported)'!$1:$5000,M160,FALSE)</f>
        <v>0</v>
      </c>
      <c r="T160">
        <f>HLOOKUP("Provisioned MiB",'vInfo (Imported)'!$1:$5000,M160,FALSE)</f>
        <v>0</v>
      </c>
      <c r="U160">
        <f t="shared" si="7"/>
        <v>0</v>
      </c>
      <c r="V160">
        <f>HLOOKUP("In Use MiB",'vInfo (Imported)'!$1:$5000,M160,FALSE)</f>
        <v>0</v>
      </c>
    </row>
    <row r="161" spans="1:22" ht="13" x14ac:dyDescent="0.3">
      <c r="A161" s="46">
        <f>'vHosts (Imported)'!A161</f>
        <v>0</v>
      </c>
      <c r="B161" s="51">
        <f t="shared" si="6"/>
        <v>4968</v>
      </c>
      <c r="C161" s="49">
        <f>HLOOKUP("# Cores",'vHosts (Imported)'!$1:$5000,M161,FALSE)</f>
        <v>0</v>
      </c>
      <c r="D161" s="52">
        <f>HLOOKUP("# Memory",'vHosts (Imported)'!$1:$5000,M161,FALSE)</f>
        <v>0</v>
      </c>
      <c r="M161" s="45">
        <f t="shared" si="8"/>
        <v>161</v>
      </c>
      <c r="N161" s="38">
        <f>HLOOKUP("Host",'vInfo (Imported)'!$1:$5000,M161,FALSE)</f>
        <v>0</v>
      </c>
      <c r="R161">
        <f>HLOOKUP("CPUs",'vInfo (Imported)'!$1:$5000,M161,FALSE)</f>
        <v>0</v>
      </c>
      <c r="S161">
        <f>HLOOKUP("Memory",'vInfo (Imported)'!$1:$5000,M161,FALSE)</f>
        <v>0</v>
      </c>
      <c r="T161">
        <f>HLOOKUP("Provisioned MiB",'vInfo (Imported)'!$1:$5000,M161,FALSE)</f>
        <v>0</v>
      </c>
      <c r="U161">
        <f t="shared" si="7"/>
        <v>0</v>
      </c>
      <c r="V161">
        <f>HLOOKUP("In Use MiB",'vInfo (Imported)'!$1:$5000,M161,FALSE)</f>
        <v>0</v>
      </c>
    </row>
    <row r="162" spans="1:22" ht="13" x14ac:dyDescent="0.3">
      <c r="A162" s="46">
        <f>'vHosts (Imported)'!A162</f>
        <v>0</v>
      </c>
      <c r="B162" s="51">
        <f t="shared" si="6"/>
        <v>4968</v>
      </c>
      <c r="C162" s="49">
        <f>HLOOKUP("# Cores",'vHosts (Imported)'!$1:$5000,M162,FALSE)</f>
        <v>0</v>
      </c>
      <c r="D162" s="52">
        <f>HLOOKUP("# Memory",'vHosts (Imported)'!$1:$5000,M162,FALSE)</f>
        <v>0</v>
      </c>
      <c r="M162" s="45">
        <f t="shared" si="8"/>
        <v>162</v>
      </c>
      <c r="N162" s="38">
        <f>HLOOKUP("Host",'vInfo (Imported)'!$1:$5000,M162,FALSE)</f>
        <v>0</v>
      </c>
      <c r="R162">
        <f>HLOOKUP("CPUs",'vInfo (Imported)'!$1:$5000,M162,FALSE)</f>
        <v>0</v>
      </c>
      <c r="S162">
        <f>HLOOKUP("Memory",'vInfo (Imported)'!$1:$5000,M162,FALSE)</f>
        <v>0</v>
      </c>
      <c r="T162">
        <f>HLOOKUP("Provisioned MiB",'vInfo (Imported)'!$1:$5000,M162,FALSE)</f>
        <v>0</v>
      </c>
      <c r="U162">
        <f t="shared" si="7"/>
        <v>0</v>
      </c>
      <c r="V162">
        <f>HLOOKUP("In Use MiB",'vInfo (Imported)'!$1:$5000,M162,FALSE)</f>
        <v>0</v>
      </c>
    </row>
    <row r="163" spans="1:22" ht="13" x14ac:dyDescent="0.3">
      <c r="A163" s="46">
        <f>'vHosts (Imported)'!A163</f>
        <v>0</v>
      </c>
      <c r="B163" s="51">
        <f t="shared" si="6"/>
        <v>4968</v>
      </c>
      <c r="C163" s="49">
        <f>HLOOKUP("# Cores",'vHosts (Imported)'!$1:$5000,M163,FALSE)</f>
        <v>0</v>
      </c>
      <c r="D163" s="52">
        <f>HLOOKUP("# Memory",'vHosts (Imported)'!$1:$5000,M163,FALSE)</f>
        <v>0</v>
      </c>
      <c r="M163" s="45">
        <f t="shared" si="8"/>
        <v>163</v>
      </c>
      <c r="N163" s="38">
        <f>HLOOKUP("Host",'vInfo (Imported)'!$1:$5000,M163,FALSE)</f>
        <v>0</v>
      </c>
      <c r="R163">
        <f>HLOOKUP("CPUs",'vInfo (Imported)'!$1:$5000,M163,FALSE)</f>
        <v>0</v>
      </c>
      <c r="S163">
        <f>HLOOKUP("Memory",'vInfo (Imported)'!$1:$5000,M163,FALSE)</f>
        <v>0</v>
      </c>
      <c r="T163">
        <f>HLOOKUP("Provisioned MiB",'vInfo (Imported)'!$1:$5000,M163,FALSE)</f>
        <v>0</v>
      </c>
      <c r="U163">
        <f t="shared" si="7"/>
        <v>0</v>
      </c>
      <c r="V163">
        <f>HLOOKUP("In Use MiB",'vInfo (Imported)'!$1:$5000,M163,FALSE)</f>
        <v>0</v>
      </c>
    </row>
    <row r="164" spans="1:22" ht="13" x14ac:dyDescent="0.3">
      <c r="A164" s="46">
        <f>'vHosts (Imported)'!A164</f>
        <v>0</v>
      </c>
      <c r="B164" s="51">
        <f t="shared" si="6"/>
        <v>4968</v>
      </c>
      <c r="C164" s="49">
        <f>HLOOKUP("# Cores",'vHosts (Imported)'!$1:$5000,M164,FALSE)</f>
        <v>0</v>
      </c>
      <c r="D164" s="52">
        <f>HLOOKUP("# Memory",'vHosts (Imported)'!$1:$5000,M164,FALSE)</f>
        <v>0</v>
      </c>
      <c r="M164" s="45">
        <f t="shared" si="8"/>
        <v>164</v>
      </c>
      <c r="N164" s="38">
        <f>HLOOKUP("Host",'vInfo (Imported)'!$1:$5000,M164,FALSE)</f>
        <v>0</v>
      </c>
      <c r="R164">
        <f>HLOOKUP("CPUs",'vInfo (Imported)'!$1:$5000,M164,FALSE)</f>
        <v>0</v>
      </c>
      <c r="S164">
        <f>HLOOKUP("Memory",'vInfo (Imported)'!$1:$5000,M164,FALSE)</f>
        <v>0</v>
      </c>
      <c r="T164">
        <f>HLOOKUP("Provisioned MiB",'vInfo (Imported)'!$1:$5000,M164,FALSE)</f>
        <v>0</v>
      </c>
      <c r="U164">
        <f t="shared" si="7"/>
        <v>0</v>
      </c>
      <c r="V164">
        <f>HLOOKUP("In Use MiB",'vInfo (Imported)'!$1:$5000,M164,FALSE)</f>
        <v>0</v>
      </c>
    </row>
    <row r="165" spans="1:22" ht="13" x14ac:dyDescent="0.3">
      <c r="A165" s="46">
        <f>'vHosts (Imported)'!A165</f>
        <v>0</v>
      </c>
      <c r="B165" s="51">
        <f t="shared" si="6"/>
        <v>4968</v>
      </c>
      <c r="C165" s="49">
        <f>HLOOKUP("# Cores",'vHosts (Imported)'!$1:$5000,M165,FALSE)</f>
        <v>0</v>
      </c>
      <c r="D165" s="52">
        <f>HLOOKUP("# Memory",'vHosts (Imported)'!$1:$5000,M165,FALSE)</f>
        <v>0</v>
      </c>
      <c r="M165" s="45">
        <f t="shared" si="8"/>
        <v>165</v>
      </c>
      <c r="N165" s="38">
        <f>HLOOKUP("Host",'vInfo (Imported)'!$1:$5000,M165,FALSE)</f>
        <v>0</v>
      </c>
      <c r="R165">
        <f>HLOOKUP("CPUs",'vInfo (Imported)'!$1:$5000,M165,FALSE)</f>
        <v>0</v>
      </c>
      <c r="S165">
        <f>HLOOKUP("Memory",'vInfo (Imported)'!$1:$5000,M165,FALSE)</f>
        <v>0</v>
      </c>
      <c r="T165">
        <f>HLOOKUP("Provisioned MiB",'vInfo (Imported)'!$1:$5000,M165,FALSE)</f>
        <v>0</v>
      </c>
      <c r="U165">
        <f t="shared" si="7"/>
        <v>0</v>
      </c>
      <c r="V165">
        <f>HLOOKUP("In Use MiB",'vInfo (Imported)'!$1:$5000,M165,FALSE)</f>
        <v>0</v>
      </c>
    </row>
    <row r="166" spans="1:22" ht="13" x14ac:dyDescent="0.3">
      <c r="A166" s="46">
        <f>'vHosts (Imported)'!A166</f>
        <v>0</v>
      </c>
      <c r="B166" s="51">
        <f t="shared" si="6"/>
        <v>4968</v>
      </c>
      <c r="C166" s="49">
        <f>HLOOKUP("# Cores",'vHosts (Imported)'!$1:$5000,M166,FALSE)</f>
        <v>0</v>
      </c>
      <c r="D166" s="52">
        <f>HLOOKUP("# Memory",'vHosts (Imported)'!$1:$5000,M166,FALSE)</f>
        <v>0</v>
      </c>
      <c r="M166" s="45">
        <f t="shared" si="8"/>
        <v>166</v>
      </c>
      <c r="N166" s="38">
        <f>HLOOKUP("Host",'vInfo (Imported)'!$1:$5000,M166,FALSE)</f>
        <v>0</v>
      </c>
      <c r="R166">
        <f>HLOOKUP("CPUs",'vInfo (Imported)'!$1:$5000,M166,FALSE)</f>
        <v>0</v>
      </c>
      <c r="S166">
        <f>HLOOKUP("Memory",'vInfo (Imported)'!$1:$5000,M166,FALSE)</f>
        <v>0</v>
      </c>
      <c r="T166">
        <f>HLOOKUP("Provisioned MiB",'vInfo (Imported)'!$1:$5000,M166,FALSE)</f>
        <v>0</v>
      </c>
      <c r="U166">
        <f t="shared" si="7"/>
        <v>0</v>
      </c>
      <c r="V166">
        <f>HLOOKUP("In Use MiB",'vInfo (Imported)'!$1:$5000,M166,FALSE)</f>
        <v>0</v>
      </c>
    </row>
    <row r="167" spans="1:22" ht="13" x14ac:dyDescent="0.3">
      <c r="A167" s="46">
        <f>'vHosts (Imported)'!A167</f>
        <v>0</v>
      </c>
      <c r="B167" s="51">
        <f t="shared" si="6"/>
        <v>4968</v>
      </c>
      <c r="C167" s="49">
        <f>HLOOKUP("# Cores",'vHosts (Imported)'!$1:$5000,M167,FALSE)</f>
        <v>0</v>
      </c>
      <c r="D167" s="52">
        <f>HLOOKUP("# Memory",'vHosts (Imported)'!$1:$5000,M167,FALSE)</f>
        <v>0</v>
      </c>
      <c r="M167" s="45">
        <f t="shared" si="8"/>
        <v>167</v>
      </c>
      <c r="N167" s="38">
        <f>HLOOKUP("Host",'vInfo (Imported)'!$1:$5000,M167,FALSE)</f>
        <v>0</v>
      </c>
      <c r="R167">
        <f>HLOOKUP("CPUs",'vInfo (Imported)'!$1:$5000,M167,FALSE)</f>
        <v>0</v>
      </c>
      <c r="S167">
        <f>HLOOKUP("Memory",'vInfo (Imported)'!$1:$5000,M167,FALSE)</f>
        <v>0</v>
      </c>
      <c r="T167">
        <f>HLOOKUP("Provisioned MiB",'vInfo (Imported)'!$1:$5000,M167,FALSE)</f>
        <v>0</v>
      </c>
      <c r="U167">
        <f t="shared" si="7"/>
        <v>0</v>
      </c>
      <c r="V167">
        <f>HLOOKUP("In Use MiB",'vInfo (Imported)'!$1:$5000,M167,FALSE)</f>
        <v>0</v>
      </c>
    </row>
    <row r="168" spans="1:22" ht="13" x14ac:dyDescent="0.3">
      <c r="A168" s="46">
        <f>'vHosts (Imported)'!A168</f>
        <v>0</v>
      </c>
      <c r="B168" s="51">
        <f t="shared" si="6"/>
        <v>4968</v>
      </c>
      <c r="C168" s="49">
        <f>HLOOKUP("# Cores",'vHosts (Imported)'!$1:$5000,M168,FALSE)</f>
        <v>0</v>
      </c>
      <c r="D168" s="52">
        <f>HLOOKUP("# Memory",'vHosts (Imported)'!$1:$5000,M168,FALSE)</f>
        <v>0</v>
      </c>
      <c r="M168" s="45">
        <f t="shared" si="8"/>
        <v>168</v>
      </c>
      <c r="N168" s="38">
        <f>HLOOKUP("Host",'vInfo (Imported)'!$1:$5000,M168,FALSE)</f>
        <v>0</v>
      </c>
      <c r="R168">
        <f>HLOOKUP("CPUs",'vInfo (Imported)'!$1:$5000,M168,FALSE)</f>
        <v>0</v>
      </c>
      <c r="S168">
        <f>HLOOKUP("Memory",'vInfo (Imported)'!$1:$5000,M168,FALSE)</f>
        <v>0</v>
      </c>
      <c r="T168">
        <f>HLOOKUP("Provisioned MiB",'vInfo (Imported)'!$1:$5000,M168,FALSE)</f>
        <v>0</v>
      </c>
      <c r="U168">
        <f t="shared" si="7"/>
        <v>0</v>
      </c>
      <c r="V168">
        <f>HLOOKUP("In Use MiB",'vInfo (Imported)'!$1:$5000,M168,FALSE)</f>
        <v>0</v>
      </c>
    </row>
    <row r="169" spans="1:22" ht="13" x14ac:dyDescent="0.3">
      <c r="A169" s="46">
        <f>'vHosts (Imported)'!A169</f>
        <v>0</v>
      </c>
      <c r="B169" s="51">
        <f t="shared" si="6"/>
        <v>4968</v>
      </c>
      <c r="C169" s="49">
        <f>HLOOKUP("# Cores",'vHosts (Imported)'!$1:$5000,M169,FALSE)</f>
        <v>0</v>
      </c>
      <c r="D169" s="52">
        <f>HLOOKUP("# Memory",'vHosts (Imported)'!$1:$5000,M169,FALSE)</f>
        <v>0</v>
      </c>
      <c r="M169" s="45">
        <f t="shared" si="8"/>
        <v>169</v>
      </c>
      <c r="N169" s="38">
        <f>HLOOKUP("Host",'vInfo (Imported)'!$1:$5000,M169,FALSE)</f>
        <v>0</v>
      </c>
      <c r="R169">
        <f>HLOOKUP("CPUs",'vInfo (Imported)'!$1:$5000,M169,FALSE)</f>
        <v>0</v>
      </c>
      <c r="S169">
        <f>HLOOKUP("Memory",'vInfo (Imported)'!$1:$5000,M169,FALSE)</f>
        <v>0</v>
      </c>
      <c r="T169">
        <f>HLOOKUP("Provisioned MiB",'vInfo (Imported)'!$1:$5000,M169,FALSE)</f>
        <v>0</v>
      </c>
      <c r="U169">
        <f t="shared" si="7"/>
        <v>0</v>
      </c>
      <c r="V169">
        <f>HLOOKUP("In Use MiB",'vInfo (Imported)'!$1:$5000,M169,FALSE)</f>
        <v>0</v>
      </c>
    </row>
    <row r="170" spans="1:22" ht="13" x14ac:dyDescent="0.3">
      <c r="A170" s="46">
        <f>'vHosts (Imported)'!A170</f>
        <v>0</v>
      </c>
      <c r="B170" s="51">
        <f t="shared" si="6"/>
        <v>4968</v>
      </c>
      <c r="C170" s="49">
        <f>HLOOKUP("# Cores",'vHosts (Imported)'!$1:$5000,M170,FALSE)</f>
        <v>0</v>
      </c>
      <c r="D170" s="52">
        <f>HLOOKUP("# Memory",'vHosts (Imported)'!$1:$5000,M170,FALSE)</f>
        <v>0</v>
      </c>
      <c r="M170" s="45">
        <f t="shared" si="8"/>
        <v>170</v>
      </c>
      <c r="N170" s="38">
        <f>HLOOKUP("Host",'vInfo (Imported)'!$1:$5000,M170,FALSE)</f>
        <v>0</v>
      </c>
      <c r="R170">
        <f>HLOOKUP("CPUs",'vInfo (Imported)'!$1:$5000,M170,FALSE)</f>
        <v>0</v>
      </c>
      <c r="S170">
        <f>HLOOKUP("Memory",'vInfo (Imported)'!$1:$5000,M170,FALSE)</f>
        <v>0</v>
      </c>
      <c r="T170">
        <f>HLOOKUP("Provisioned MiB",'vInfo (Imported)'!$1:$5000,M170,FALSE)</f>
        <v>0</v>
      </c>
      <c r="U170">
        <f t="shared" si="7"/>
        <v>0</v>
      </c>
      <c r="V170">
        <f>HLOOKUP("In Use MiB",'vInfo (Imported)'!$1:$5000,M170,FALSE)</f>
        <v>0</v>
      </c>
    </row>
    <row r="171" spans="1:22" ht="13" x14ac:dyDescent="0.3">
      <c r="A171" s="46">
        <f>'vHosts (Imported)'!A171</f>
        <v>0</v>
      </c>
      <c r="B171" s="51">
        <f t="shared" si="6"/>
        <v>4968</v>
      </c>
      <c r="C171" s="49">
        <f>HLOOKUP("# Cores",'vHosts (Imported)'!$1:$5000,M171,FALSE)</f>
        <v>0</v>
      </c>
      <c r="D171" s="52">
        <f>HLOOKUP("# Memory",'vHosts (Imported)'!$1:$5000,M171,FALSE)</f>
        <v>0</v>
      </c>
      <c r="M171" s="45">
        <f t="shared" si="8"/>
        <v>171</v>
      </c>
      <c r="N171" s="38">
        <f>HLOOKUP("Host",'vInfo (Imported)'!$1:$5000,M171,FALSE)</f>
        <v>0</v>
      </c>
      <c r="R171">
        <f>HLOOKUP("CPUs",'vInfo (Imported)'!$1:$5000,M171,FALSE)</f>
        <v>0</v>
      </c>
      <c r="S171">
        <f>HLOOKUP("Memory",'vInfo (Imported)'!$1:$5000,M171,FALSE)</f>
        <v>0</v>
      </c>
      <c r="T171">
        <f>HLOOKUP("Provisioned MiB",'vInfo (Imported)'!$1:$5000,M171,FALSE)</f>
        <v>0</v>
      </c>
      <c r="U171">
        <f t="shared" si="7"/>
        <v>0</v>
      </c>
      <c r="V171">
        <f>HLOOKUP("In Use MiB",'vInfo (Imported)'!$1:$5000,M171,FALSE)</f>
        <v>0</v>
      </c>
    </row>
    <row r="172" spans="1:22" ht="13" x14ac:dyDescent="0.3">
      <c r="A172" s="46">
        <f>'vHosts (Imported)'!A172</f>
        <v>0</v>
      </c>
      <c r="B172" s="51">
        <f t="shared" si="6"/>
        <v>4968</v>
      </c>
      <c r="C172" s="49">
        <f>HLOOKUP("# Cores",'vHosts (Imported)'!$1:$5000,M172,FALSE)</f>
        <v>0</v>
      </c>
      <c r="D172" s="52">
        <f>HLOOKUP("# Memory",'vHosts (Imported)'!$1:$5000,M172,FALSE)</f>
        <v>0</v>
      </c>
      <c r="M172" s="45">
        <f t="shared" si="8"/>
        <v>172</v>
      </c>
      <c r="N172" s="38">
        <f>HLOOKUP("Host",'vInfo (Imported)'!$1:$5000,M172,FALSE)</f>
        <v>0</v>
      </c>
      <c r="R172">
        <f>HLOOKUP("CPUs",'vInfo (Imported)'!$1:$5000,M172,FALSE)</f>
        <v>0</v>
      </c>
      <c r="S172">
        <f>HLOOKUP("Memory",'vInfo (Imported)'!$1:$5000,M172,FALSE)</f>
        <v>0</v>
      </c>
      <c r="T172">
        <f>HLOOKUP("Provisioned MiB",'vInfo (Imported)'!$1:$5000,M172,FALSE)</f>
        <v>0</v>
      </c>
      <c r="U172">
        <f t="shared" si="7"/>
        <v>0</v>
      </c>
      <c r="V172">
        <f>HLOOKUP("In Use MiB",'vInfo (Imported)'!$1:$5000,M172,FALSE)</f>
        <v>0</v>
      </c>
    </row>
    <row r="173" spans="1:22" ht="13" x14ac:dyDescent="0.3">
      <c r="A173" s="46">
        <f>'vHosts (Imported)'!A173</f>
        <v>0</v>
      </c>
      <c r="B173" s="51">
        <f t="shared" si="6"/>
        <v>4968</v>
      </c>
      <c r="C173" s="49">
        <f>HLOOKUP("# Cores",'vHosts (Imported)'!$1:$5000,M173,FALSE)</f>
        <v>0</v>
      </c>
      <c r="D173" s="52">
        <f>HLOOKUP("# Memory",'vHosts (Imported)'!$1:$5000,M173,FALSE)</f>
        <v>0</v>
      </c>
      <c r="M173" s="45">
        <f t="shared" si="8"/>
        <v>173</v>
      </c>
      <c r="N173" s="38">
        <f>HLOOKUP("Host",'vInfo (Imported)'!$1:$5000,M173,FALSE)</f>
        <v>0</v>
      </c>
      <c r="R173">
        <f>HLOOKUP("CPUs",'vInfo (Imported)'!$1:$5000,M173,FALSE)</f>
        <v>0</v>
      </c>
      <c r="S173">
        <f>HLOOKUP("Memory",'vInfo (Imported)'!$1:$5000,M173,FALSE)</f>
        <v>0</v>
      </c>
      <c r="T173">
        <f>HLOOKUP("Provisioned MiB",'vInfo (Imported)'!$1:$5000,M173,FALSE)</f>
        <v>0</v>
      </c>
      <c r="U173">
        <f t="shared" si="7"/>
        <v>0</v>
      </c>
      <c r="V173">
        <f>HLOOKUP("In Use MiB",'vInfo (Imported)'!$1:$5000,M173,FALSE)</f>
        <v>0</v>
      </c>
    </row>
    <row r="174" spans="1:22" ht="13" x14ac:dyDescent="0.3">
      <c r="A174" s="46">
        <f>'vHosts (Imported)'!A174</f>
        <v>0</v>
      </c>
      <c r="B174" s="51">
        <f t="shared" si="6"/>
        <v>4968</v>
      </c>
      <c r="C174" s="49">
        <f>HLOOKUP("# Cores",'vHosts (Imported)'!$1:$5000,M174,FALSE)</f>
        <v>0</v>
      </c>
      <c r="D174" s="52">
        <f>HLOOKUP("# Memory",'vHosts (Imported)'!$1:$5000,M174,FALSE)</f>
        <v>0</v>
      </c>
      <c r="M174" s="45">
        <f t="shared" si="8"/>
        <v>174</v>
      </c>
      <c r="N174" s="38">
        <f>HLOOKUP("Host",'vInfo (Imported)'!$1:$5000,M174,FALSE)</f>
        <v>0</v>
      </c>
      <c r="R174">
        <f>HLOOKUP("CPUs",'vInfo (Imported)'!$1:$5000,M174,FALSE)</f>
        <v>0</v>
      </c>
      <c r="S174">
        <f>HLOOKUP("Memory",'vInfo (Imported)'!$1:$5000,M174,FALSE)</f>
        <v>0</v>
      </c>
      <c r="T174">
        <f>HLOOKUP("Provisioned MiB",'vInfo (Imported)'!$1:$5000,M174,FALSE)</f>
        <v>0</v>
      </c>
      <c r="U174">
        <f t="shared" si="7"/>
        <v>0</v>
      </c>
      <c r="V174">
        <f>HLOOKUP("In Use MiB",'vInfo (Imported)'!$1:$5000,M174,FALSE)</f>
        <v>0</v>
      </c>
    </row>
    <row r="175" spans="1:22" ht="13" x14ac:dyDescent="0.3">
      <c r="A175" s="46">
        <f>'vHosts (Imported)'!A175</f>
        <v>0</v>
      </c>
      <c r="B175" s="51">
        <f t="shared" si="6"/>
        <v>4968</v>
      </c>
      <c r="C175" s="49">
        <f>HLOOKUP("# Cores",'vHosts (Imported)'!$1:$5000,M175,FALSE)</f>
        <v>0</v>
      </c>
      <c r="D175" s="52">
        <f>HLOOKUP("# Memory",'vHosts (Imported)'!$1:$5000,M175,FALSE)</f>
        <v>0</v>
      </c>
      <c r="M175" s="45">
        <f t="shared" si="8"/>
        <v>175</v>
      </c>
      <c r="N175" s="38">
        <f>HLOOKUP("Host",'vInfo (Imported)'!$1:$5000,M175,FALSE)</f>
        <v>0</v>
      </c>
      <c r="R175">
        <f>HLOOKUP("CPUs",'vInfo (Imported)'!$1:$5000,M175,FALSE)</f>
        <v>0</v>
      </c>
      <c r="S175">
        <f>HLOOKUP("Memory",'vInfo (Imported)'!$1:$5000,M175,FALSE)</f>
        <v>0</v>
      </c>
      <c r="T175">
        <f>HLOOKUP("Provisioned MiB",'vInfo (Imported)'!$1:$5000,M175,FALSE)</f>
        <v>0</v>
      </c>
      <c r="U175">
        <f t="shared" si="7"/>
        <v>0</v>
      </c>
      <c r="V175">
        <f>HLOOKUP("In Use MiB",'vInfo (Imported)'!$1:$5000,M175,FALSE)</f>
        <v>0</v>
      </c>
    </row>
    <row r="176" spans="1:22" ht="13" x14ac:dyDescent="0.3">
      <c r="A176" s="46">
        <f>'vHosts (Imported)'!A176</f>
        <v>0</v>
      </c>
      <c r="B176" s="51">
        <f t="shared" si="6"/>
        <v>4968</v>
      </c>
      <c r="C176" s="49">
        <f>HLOOKUP("# Cores",'vHosts (Imported)'!$1:$5000,M176,FALSE)</f>
        <v>0</v>
      </c>
      <c r="D176" s="52">
        <f>HLOOKUP("# Memory",'vHosts (Imported)'!$1:$5000,M176,FALSE)</f>
        <v>0</v>
      </c>
      <c r="M176" s="45">
        <f t="shared" si="8"/>
        <v>176</v>
      </c>
      <c r="N176" s="38">
        <f>HLOOKUP("Host",'vInfo (Imported)'!$1:$5000,M176,FALSE)</f>
        <v>0</v>
      </c>
      <c r="R176">
        <f>HLOOKUP("CPUs",'vInfo (Imported)'!$1:$5000,M176,FALSE)</f>
        <v>0</v>
      </c>
      <c r="S176">
        <f>HLOOKUP("Memory",'vInfo (Imported)'!$1:$5000,M176,FALSE)</f>
        <v>0</v>
      </c>
      <c r="T176">
        <f>HLOOKUP("Provisioned MiB",'vInfo (Imported)'!$1:$5000,M176,FALSE)</f>
        <v>0</v>
      </c>
      <c r="U176">
        <f t="shared" si="7"/>
        <v>0</v>
      </c>
      <c r="V176">
        <f>HLOOKUP("In Use MiB",'vInfo (Imported)'!$1:$5000,M176,FALSE)</f>
        <v>0</v>
      </c>
    </row>
    <row r="177" spans="1:22" ht="13" x14ac:dyDescent="0.3">
      <c r="A177" s="46">
        <f>'vHosts (Imported)'!A177</f>
        <v>0</v>
      </c>
      <c r="B177" s="51">
        <f t="shared" si="6"/>
        <v>4968</v>
      </c>
      <c r="C177" s="49">
        <f>HLOOKUP("# Cores",'vHosts (Imported)'!$1:$5000,M177,FALSE)</f>
        <v>0</v>
      </c>
      <c r="D177" s="52">
        <f>HLOOKUP("# Memory",'vHosts (Imported)'!$1:$5000,M177,FALSE)</f>
        <v>0</v>
      </c>
      <c r="M177" s="45">
        <f t="shared" si="8"/>
        <v>177</v>
      </c>
      <c r="N177" s="38">
        <f>HLOOKUP("Host",'vInfo (Imported)'!$1:$5000,M177,FALSE)</f>
        <v>0</v>
      </c>
      <c r="R177">
        <f>HLOOKUP("CPUs",'vInfo (Imported)'!$1:$5000,M177,FALSE)</f>
        <v>0</v>
      </c>
      <c r="S177">
        <f>HLOOKUP("Memory",'vInfo (Imported)'!$1:$5000,M177,FALSE)</f>
        <v>0</v>
      </c>
      <c r="T177">
        <f>HLOOKUP("Provisioned MiB",'vInfo (Imported)'!$1:$5000,M177,FALSE)</f>
        <v>0</v>
      </c>
      <c r="U177">
        <f t="shared" si="7"/>
        <v>0</v>
      </c>
      <c r="V177">
        <f>HLOOKUP("In Use MiB",'vInfo (Imported)'!$1:$5000,M177,FALSE)</f>
        <v>0</v>
      </c>
    </row>
    <row r="178" spans="1:22" ht="13" x14ac:dyDescent="0.3">
      <c r="A178" s="46">
        <f>'vHosts (Imported)'!A178</f>
        <v>0</v>
      </c>
      <c r="B178" s="51">
        <f t="shared" si="6"/>
        <v>4968</v>
      </c>
      <c r="C178" s="49">
        <f>HLOOKUP("# Cores",'vHosts (Imported)'!$1:$5000,M178,FALSE)</f>
        <v>0</v>
      </c>
      <c r="D178" s="52">
        <f>HLOOKUP("# Memory",'vHosts (Imported)'!$1:$5000,M178,FALSE)</f>
        <v>0</v>
      </c>
      <c r="M178" s="45">
        <f t="shared" si="8"/>
        <v>178</v>
      </c>
      <c r="N178" s="38">
        <f>HLOOKUP("Host",'vInfo (Imported)'!$1:$5000,M178,FALSE)</f>
        <v>0</v>
      </c>
      <c r="R178">
        <f>HLOOKUP("CPUs",'vInfo (Imported)'!$1:$5000,M178,FALSE)</f>
        <v>0</v>
      </c>
      <c r="S178">
        <f>HLOOKUP("Memory",'vInfo (Imported)'!$1:$5000,M178,FALSE)</f>
        <v>0</v>
      </c>
      <c r="T178">
        <f>HLOOKUP("Provisioned MiB",'vInfo (Imported)'!$1:$5000,M178,FALSE)</f>
        <v>0</v>
      </c>
      <c r="U178">
        <f t="shared" si="7"/>
        <v>0</v>
      </c>
      <c r="V178">
        <f>HLOOKUP("In Use MiB",'vInfo (Imported)'!$1:$5000,M178,FALSE)</f>
        <v>0</v>
      </c>
    </row>
    <row r="179" spans="1:22" ht="13" x14ac:dyDescent="0.3">
      <c r="A179" s="46">
        <f>'vHosts (Imported)'!A179</f>
        <v>0</v>
      </c>
      <c r="B179" s="51">
        <f t="shared" si="6"/>
        <v>4968</v>
      </c>
      <c r="C179" s="49">
        <f>HLOOKUP("# Cores",'vHosts (Imported)'!$1:$5000,M179,FALSE)</f>
        <v>0</v>
      </c>
      <c r="D179" s="52">
        <f>HLOOKUP("# Memory",'vHosts (Imported)'!$1:$5000,M179,FALSE)</f>
        <v>0</v>
      </c>
      <c r="M179" s="45">
        <f t="shared" si="8"/>
        <v>179</v>
      </c>
      <c r="N179" s="38">
        <f>HLOOKUP("Host",'vInfo (Imported)'!$1:$5000,M179,FALSE)</f>
        <v>0</v>
      </c>
      <c r="R179">
        <f>HLOOKUP("CPUs",'vInfo (Imported)'!$1:$5000,M179,FALSE)</f>
        <v>0</v>
      </c>
      <c r="S179">
        <f>HLOOKUP("Memory",'vInfo (Imported)'!$1:$5000,M179,FALSE)</f>
        <v>0</v>
      </c>
      <c r="T179">
        <f>HLOOKUP("Provisioned MiB",'vInfo (Imported)'!$1:$5000,M179,FALSE)</f>
        <v>0</v>
      </c>
      <c r="U179">
        <f t="shared" si="7"/>
        <v>0</v>
      </c>
      <c r="V179">
        <f>HLOOKUP("In Use MiB",'vInfo (Imported)'!$1:$5000,M179,FALSE)</f>
        <v>0</v>
      </c>
    </row>
    <row r="180" spans="1:22" ht="13" x14ac:dyDescent="0.3">
      <c r="A180" s="46">
        <f>'vHosts (Imported)'!A180</f>
        <v>0</v>
      </c>
      <c r="B180" s="51">
        <f t="shared" si="6"/>
        <v>4968</v>
      </c>
      <c r="C180" s="49">
        <f>HLOOKUP("# Cores",'vHosts (Imported)'!$1:$5000,M180,FALSE)</f>
        <v>0</v>
      </c>
      <c r="D180" s="52">
        <f>HLOOKUP("# Memory",'vHosts (Imported)'!$1:$5000,M180,FALSE)</f>
        <v>0</v>
      </c>
      <c r="M180" s="45">
        <f t="shared" si="8"/>
        <v>180</v>
      </c>
      <c r="N180" s="38">
        <f>HLOOKUP("Host",'vInfo (Imported)'!$1:$5000,M180,FALSE)</f>
        <v>0</v>
      </c>
      <c r="R180">
        <f>HLOOKUP("CPUs",'vInfo (Imported)'!$1:$5000,M180,FALSE)</f>
        <v>0</v>
      </c>
      <c r="S180">
        <f>HLOOKUP("Memory",'vInfo (Imported)'!$1:$5000,M180,FALSE)</f>
        <v>0</v>
      </c>
      <c r="T180">
        <f>HLOOKUP("Provisioned MiB",'vInfo (Imported)'!$1:$5000,M180,FALSE)</f>
        <v>0</v>
      </c>
      <c r="U180">
        <f t="shared" si="7"/>
        <v>0</v>
      </c>
      <c r="V180">
        <f>HLOOKUP("In Use MiB",'vInfo (Imported)'!$1:$5000,M180,FALSE)</f>
        <v>0</v>
      </c>
    </row>
    <row r="181" spans="1:22" ht="13" x14ac:dyDescent="0.3">
      <c r="A181" s="46">
        <f>'vHosts (Imported)'!A181</f>
        <v>0</v>
      </c>
      <c r="B181" s="51">
        <f t="shared" si="6"/>
        <v>4968</v>
      </c>
      <c r="C181" s="49">
        <f>HLOOKUP("# Cores",'vHosts (Imported)'!$1:$5000,M181,FALSE)</f>
        <v>0</v>
      </c>
      <c r="D181" s="52">
        <f>HLOOKUP("# Memory",'vHosts (Imported)'!$1:$5000,M181,FALSE)</f>
        <v>0</v>
      </c>
      <c r="M181" s="45">
        <f t="shared" si="8"/>
        <v>181</v>
      </c>
      <c r="N181" s="38">
        <f>HLOOKUP("Host",'vInfo (Imported)'!$1:$5000,M181,FALSE)</f>
        <v>0</v>
      </c>
      <c r="R181">
        <f>HLOOKUP("CPUs",'vInfo (Imported)'!$1:$5000,M181,FALSE)</f>
        <v>0</v>
      </c>
      <c r="S181">
        <f>HLOOKUP("Memory",'vInfo (Imported)'!$1:$5000,M181,FALSE)</f>
        <v>0</v>
      </c>
      <c r="T181">
        <f>HLOOKUP("Provisioned MiB",'vInfo (Imported)'!$1:$5000,M181,FALSE)</f>
        <v>0</v>
      </c>
      <c r="U181">
        <f t="shared" si="7"/>
        <v>0</v>
      </c>
      <c r="V181">
        <f>HLOOKUP("In Use MiB",'vInfo (Imported)'!$1:$5000,M181,FALSE)</f>
        <v>0</v>
      </c>
    </row>
    <row r="182" spans="1:22" ht="13" x14ac:dyDescent="0.3">
      <c r="A182" s="46">
        <f>'vHosts (Imported)'!A182</f>
        <v>0</v>
      </c>
      <c r="B182" s="51">
        <f t="shared" si="6"/>
        <v>4968</v>
      </c>
      <c r="C182" s="49">
        <f>HLOOKUP("# Cores",'vHosts (Imported)'!$1:$5000,M182,FALSE)</f>
        <v>0</v>
      </c>
      <c r="D182" s="52">
        <f>HLOOKUP("# Memory",'vHosts (Imported)'!$1:$5000,M182,FALSE)</f>
        <v>0</v>
      </c>
      <c r="M182" s="45">
        <f t="shared" si="8"/>
        <v>182</v>
      </c>
      <c r="N182" s="38">
        <f>HLOOKUP("Host",'vInfo (Imported)'!$1:$5000,M182,FALSE)</f>
        <v>0</v>
      </c>
      <c r="R182">
        <f>HLOOKUP("CPUs",'vInfo (Imported)'!$1:$5000,M182,FALSE)</f>
        <v>0</v>
      </c>
      <c r="S182">
        <f>HLOOKUP("Memory",'vInfo (Imported)'!$1:$5000,M182,FALSE)</f>
        <v>0</v>
      </c>
      <c r="T182">
        <f>HLOOKUP("Provisioned MiB",'vInfo (Imported)'!$1:$5000,M182,FALSE)</f>
        <v>0</v>
      </c>
      <c r="U182">
        <f t="shared" si="7"/>
        <v>0</v>
      </c>
      <c r="V182">
        <f>HLOOKUP("In Use MiB",'vInfo (Imported)'!$1:$5000,M182,FALSE)</f>
        <v>0</v>
      </c>
    </row>
    <row r="183" spans="1:22" ht="13" x14ac:dyDescent="0.3">
      <c r="A183" s="46">
        <f>'vHosts (Imported)'!A183</f>
        <v>0</v>
      </c>
      <c r="B183" s="51">
        <f t="shared" si="6"/>
        <v>4968</v>
      </c>
      <c r="C183" s="49">
        <f>HLOOKUP("# Cores",'vHosts (Imported)'!$1:$5000,M183,FALSE)</f>
        <v>0</v>
      </c>
      <c r="D183" s="52">
        <f>HLOOKUP("# Memory",'vHosts (Imported)'!$1:$5000,M183,FALSE)</f>
        <v>0</v>
      </c>
      <c r="M183" s="45">
        <f t="shared" si="8"/>
        <v>183</v>
      </c>
      <c r="N183" s="38">
        <f>HLOOKUP("Host",'vInfo (Imported)'!$1:$5000,M183,FALSE)</f>
        <v>0</v>
      </c>
      <c r="R183">
        <f>HLOOKUP("CPUs",'vInfo (Imported)'!$1:$5000,M183,FALSE)</f>
        <v>0</v>
      </c>
      <c r="S183">
        <f>HLOOKUP("Memory",'vInfo (Imported)'!$1:$5000,M183,FALSE)</f>
        <v>0</v>
      </c>
      <c r="T183">
        <f>HLOOKUP("Provisioned MiB",'vInfo (Imported)'!$1:$5000,M183,FALSE)</f>
        <v>0</v>
      </c>
      <c r="U183">
        <f t="shared" si="7"/>
        <v>0</v>
      </c>
      <c r="V183">
        <f>HLOOKUP("In Use MiB",'vInfo (Imported)'!$1:$5000,M183,FALSE)</f>
        <v>0</v>
      </c>
    </row>
    <row r="184" spans="1:22" ht="13" x14ac:dyDescent="0.3">
      <c r="A184" s="46">
        <f>'vHosts (Imported)'!A184</f>
        <v>0</v>
      </c>
      <c r="B184" s="51">
        <f t="shared" si="6"/>
        <v>4968</v>
      </c>
      <c r="C184" s="49">
        <f>HLOOKUP("# Cores",'vHosts (Imported)'!$1:$5000,M184,FALSE)</f>
        <v>0</v>
      </c>
      <c r="D184" s="52">
        <f>HLOOKUP("# Memory",'vHosts (Imported)'!$1:$5000,M184,FALSE)</f>
        <v>0</v>
      </c>
      <c r="M184" s="45">
        <f t="shared" si="8"/>
        <v>184</v>
      </c>
      <c r="N184" s="38">
        <f>HLOOKUP("Host",'vInfo (Imported)'!$1:$5000,M184,FALSE)</f>
        <v>0</v>
      </c>
      <c r="R184">
        <f>HLOOKUP("CPUs",'vInfo (Imported)'!$1:$5000,M184,FALSE)</f>
        <v>0</v>
      </c>
      <c r="S184">
        <f>HLOOKUP("Memory",'vInfo (Imported)'!$1:$5000,M184,FALSE)</f>
        <v>0</v>
      </c>
      <c r="T184">
        <f>HLOOKUP("Provisioned MiB",'vInfo (Imported)'!$1:$5000,M184,FALSE)</f>
        <v>0</v>
      </c>
      <c r="U184">
        <f t="shared" si="7"/>
        <v>0</v>
      </c>
      <c r="V184">
        <f>HLOOKUP("In Use MiB",'vInfo (Imported)'!$1:$5000,M184,FALSE)</f>
        <v>0</v>
      </c>
    </row>
    <row r="185" spans="1:22" ht="13" x14ac:dyDescent="0.3">
      <c r="A185" s="46">
        <f>'vHosts (Imported)'!A185</f>
        <v>0</v>
      </c>
      <c r="B185" s="51">
        <f t="shared" si="6"/>
        <v>4968</v>
      </c>
      <c r="C185" s="49">
        <f>HLOOKUP("# Cores",'vHosts (Imported)'!$1:$5000,M185,FALSE)</f>
        <v>0</v>
      </c>
      <c r="D185" s="52">
        <f>HLOOKUP("# Memory",'vHosts (Imported)'!$1:$5000,M185,FALSE)</f>
        <v>0</v>
      </c>
      <c r="M185" s="45">
        <f t="shared" si="8"/>
        <v>185</v>
      </c>
      <c r="N185" s="38">
        <f>HLOOKUP("Host",'vInfo (Imported)'!$1:$5000,M185,FALSE)</f>
        <v>0</v>
      </c>
      <c r="R185">
        <f>HLOOKUP("CPUs",'vInfo (Imported)'!$1:$5000,M185,FALSE)</f>
        <v>0</v>
      </c>
      <c r="S185">
        <f>HLOOKUP("Memory",'vInfo (Imported)'!$1:$5000,M185,FALSE)</f>
        <v>0</v>
      </c>
      <c r="T185">
        <f>HLOOKUP("Provisioned MiB",'vInfo (Imported)'!$1:$5000,M185,FALSE)</f>
        <v>0</v>
      </c>
      <c r="U185">
        <f t="shared" si="7"/>
        <v>0</v>
      </c>
      <c r="V185">
        <f>HLOOKUP("In Use MiB",'vInfo (Imported)'!$1:$5000,M185,FALSE)</f>
        <v>0</v>
      </c>
    </row>
    <row r="186" spans="1:22" ht="13" x14ac:dyDescent="0.3">
      <c r="A186" s="46">
        <f>'vHosts (Imported)'!A186</f>
        <v>0</v>
      </c>
      <c r="B186" s="51">
        <f t="shared" si="6"/>
        <v>4968</v>
      </c>
      <c r="C186" s="49">
        <f>HLOOKUP("# Cores",'vHosts (Imported)'!$1:$5000,M186,FALSE)</f>
        <v>0</v>
      </c>
      <c r="D186" s="52">
        <f>HLOOKUP("# Memory",'vHosts (Imported)'!$1:$5000,M186,FALSE)</f>
        <v>0</v>
      </c>
      <c r="M186" s="45">
        <f t="shared" si="8"/>
        <v>186</v>
      </c>
      <c r="N186" s="38">
        <f>HLOOKUP("Host",'vInfo (Imported)'!$1:$5000,M186,FALSE)</f>
        <v>0</v>
      </c>
      <c r="R186">
        <f>HLOOKUP("CPUs",'vInfo (Imported)'!$1:$5000,M186,FALSE)</f>
        <v>0</v>
      </c>
      <c r="S186">
        <f>HLOOKUP("Memory",'vInfo (Imported)'!$1:$5000,M186,FALSE)</f>
        <v>0</v>
      </c>
      <c r="T186">
        <f>HLOOKUP("Provisioned MiB",'vInfo (Imported)'!$1:$5000,M186,FALSE)</f>
        <v>0</v>
      </c>
      <c r="U186">
        <f t="shared" si="7"/>
        <v>0</v>
      </c>
      <c r="V186">
        <f>HLOOKUP("In Use MiB",'vInfo (Imported)'!$1:$5000,M186,FALSE)</f>
        <v>0</v>
      </c>
    </row>
    <row r="187" spans="1:22" ht="13" x14ac:dyDescent="0.3">
      <c r="A187" s="46">
        <f>'vHosts (Imported)'!A187</f>
        <v>0</v>
      </c>
      <c r="B187" s="51">
        <f t="shared" si="6"/>
        <v>4968</v>
      </c>
      <c r="C187" s="49">
        <f>HLOOKUP("# Cores",'vHosts (Imported)'!$1:$5000,M187,FALSE)</f>
        <v>0</v>
      </c>
      <c r="D187" s="52">
        <f>HLOOKUP("# Memory",'vHosts (Imported)'!$1:$5000,M187,FALSE)</f>
        <v>0</v>
      </c>
      <c r="M187" s="45">
        <f t="shared" si="8"/>
        <v>187</v>
      </c>
      <c r="N187" s="38">
        <f>HLOOKUP("Host",'vInfo (Imported)'!$1:$5000,M187,FALSE)</f>
        <v>0</v>
      </c>
      <c r="R187">
        <f>HLOOKUP("CPUs",'vInfo (Imported)'!$1:$5000,M187,FALSE)</f>
        <v>0</v>
      </c>
      <c r="S187">
        <f>HLOOKUP("Memory",'vInfo (Imported)'!$1:$5000,M187,FALSE)</f>
        <v>0</v>
      </c>
      <c r="T187">
        <f>HLOOKUP("Provisioned MiB",'vInfo (Imported)'!$1:$5000,M187,FALSE)</f>
        <v>0</v>
      </c>
      <c r="U187">
        <f t="shared" si="7"/>
        <v>0</v>
      </c>
      <c r="V187">
        <f>HLOOKUP("In Use MiB",'vInfo (Imported)'!$1:$5000,M187,FALSE)</f>
        <v>0</v>
      </c>
    </row>
    <row r="188" spans="1:22" ht="13" x14ac:dyDescent="0.3">
      <c r="A188" s="46">
        <f>'vHosts (Imported)'!A188</f>
        <v>0</v>
      </c>
      <c r="B188" s="51">
        <f t="shared" si="6"/>
        <v>4968</v>
      </c>
      <c r="C188" s="49">
        <f>HLOOKUP("# Cores",'vHosts (Imported)'!$1:$5000,M188,FALSE)</f>
        <v>0</v>
      </c>
      <c r="D188" s="52">
        <f>HLOOKUP("# Memory",'vHosts (Imported)'!$1:$5000,M188,FALSE)</f>
        <v>0</v>
      </c>
      <c r="M188" s="45">
        <f t="shared" si="8"/>
        <v>188</v>
      </c>
      <c r="N188" s="38">
        <f>HLOOKUP("Host",'vInfo (Imported)'!$1:$5000,M188,FALSE)</f>
        <v>0</v>
      </c>
      <c r="R188">
        <f>HLOOKUP("CPUs",'vInfo (Imported)'!$1:$5000,M188,FALSE)</f>
        <v>0</v>
      </c>
      <c r="S188">
        <f>HLOOKUP("Memory",'vInfo (Imported)'!$1:$5000,M188,FALSE)</f>
        <v>0</v>
      </c>
      <c r="T188">
        <f>HLOOKUP("Provisioned MiB",'vInfo (Imported)'!$1:$5000,M188,FALSE)</f>
        <v>0</v>
      </c>
      <c r="U188">
        <f t="shared" si="7"/>
        <v>0</v>
      </c>
      <c r="V188">
        <f>HLOOKUP("In Use MiB",'vInfo (Imported)'!$1:$5000,M188,FALSE)</f>
        <v>0</v>
      </c>
    </row>
    <row r="189" spans="1:22" ht="13" x14ac:dyDescent="0.3">
      <c r="A189" s="46">
        <f>'vHosts (Imported)'!A189</f>
        <v>0</v>
      </c>
      <c r="B189" s="51">
        <f t="shared" si="6"/>
        <v>4968</v>
      </c>
      <c r="C189" s="49">
        <f>HLOOKUP("# Cores",'vHosts (Imported)'!$1:$5000,M189,FALSE)</f>
        <v>0</v>
      </c>
      <c r="D189" s="52">
        <f>HLOOKUP("# Memory",'vHosts (Imported)'!$1:$5000,M189,FALSE)</f>
        <v>0</v>
      </c>
      <c r="M189" s="45">
        <f t="shared" si="8"/>
        <v>189</v>
      </c>
      <c r="N189" s="38">
        <f>HLOOKUP("Host",'vInfo (Imported)'!$1:$5000,M189,FALSE)</f>
        <v>0</v>
      </c>
      <c r="R189">
        <f>HLOOKUP("CPUs",'vInfo (Imported)'!$1:$5000,M189,FALSE)</f>
        <v>0</v>
      </c>
      <c r="S189">
        <f>HLOOKUP("Memory",'vInfo (Imported)'!$1:$5000,M189,FALSE)</f>
        <v>0</v>
      </c>
      <c r="T189">
        <f>HLOOKUP("Provisioned MiB",'vInfo (Imported)'!$1:$5000,M189,FALSE)</f>
        <v>0</v>
      </c>
      <c r="U189">
        <f t="shared" si="7"/>
        <v>0</v>
      </c>
      <c r="V189">
        <f>HLOOKUP("In Use MiB",'vInfo (Imported)'!$1:$5000,M189,FALSE)</f>
        <v>0</v>
      </c>
    </row>
    <row r="190" spans="1:22" ht="13" x14ac:dyDescent="0.3">
      <c r="A190" s="46">
        <f>'vHosts (Imported)'!A190</f>
        <v>0</v>
      </c>
      <c r="B190" s="51">
        <f t="shared" si="6"/>
        <v>4968</v>
      </c>
      <c r="C190" s="49">
        <f>HLOOKUP("# Cores",'vHosts (Imported)'!$1:$5000,M190,FALSE)</f>
        <v>0</v>
      </c>
      <c r="D190" s="52">
        <f>HLOOKUP("# Memory",'vHosts (Imported)'!$1:$5000,M190,FALSE)</f>
        <v>0</v>
      </c>
      <c r="M190" s="45">
        <f t="shared" si="8"/>
        <v>190</v>
      </c>
      <c r="N190" s="38">
        <f>HLOOKUP("Host",'vInfo (Imported)'!$1:$5000,M190,FALSE)</f>
        <v>0</v>
      </c>
      <c r="R190">
        <f>HLOOKUP("CPUs",'vInfo (Imported)'!$1:$5000,M190,FALSE)</f>
        <v>0</v>
      </c>
      <c r="S190">
        <f>HLOOKUP("Memory",'vInfo (Imported)'!$1:$5000,M190,FALSE)</f>
        <v>0</v>
      </c>
      <c r="T190">
        <f>HLOOKUP("Provisioned MiB",'vInfo (Imported)'!$1:$5000,M190,FALSE)</f>
        <v>0</v>
      </c>
      <c r="U190">
        <f t="shared" si="7"/>
        <v>0</v>
      </c>
      <c r="V190">
        <f>HLOOKUP("In Use MiB",'vInfo (Imported)'!$1:$5000,M190,FALSE)</f>
        <v>0</v>
      </c>
    </row>
    <row r="191" spans="1:22" ht="13" x14ac:dyDescent="0.3">
      <c r="A191" s="46">
        <f>'vHosts (Imported)'!A191</f>
        <v>0</v>
      </c>
      <c r="B191" s="51">
        <f t="shared" si="6"/>
        <v>4968</v>
      </c>
      <c r="C191" s="49">
        <f>HLOOKUP("# Cores",'vHosts (Imported)'!$1:$5000,M191,FALSE)</f>
        <v>0</v>
      </c>
      <c r="D191" s="52">
        <f>HLOOKUP("# Memory",'vHosts (Imported)'!$1:$5000,M191,FALSE)</f>
        <v>0</v>
      </c>
      <c r="M191" s="45">
        <f t="shared" si="8"/>
        <v>191</v>
      </c>
      <c r="N191" s="38">
        <f>HLOOKUP("Host",'vInfo (Imported)'!$1:$5000,M191,FALSE)</f>
        <v>0</v>
      </c>
      <c r="R191">
        <f>HLOOKUP("CPUs",'vInfo (Imported)'!$1:$5000,M191,FALSE)</f>
        <v>0</v>
      </c>
      <c r="S191">
        <f>HLOOKUP("Memory",'vInfo (Imported)'!$1:$5000,M191,FALSE)</f>
        <v>0</v>
      </c>
      <c r="T191">
        <f>HLOOKUP("Provisioned MiB",'vInfo (Imported)'!$1:$5000,M191,FALSE)</f>
        <v>0</v>
      </c>
      <c r="U191">
        <f t="shared" si="7"/>
        <v>0</v>
      </c>
      <c r="V191">
        <f>HLOOKUP("In Use MiB",'vInfo (Imported)'!$1:$5000,M191,FALSE)</f>
        <v>0</v>
      </c>
    </row>
    <row r="192" spans="1:22" ht="13" x14ac:dyDescent="0.3">
      <c r="A192" s="46">
        <f>'vHosts (Imported)'!A192</f>
        <v>0</v>
      </c>
      <c r="B192" s="51">
        <f t="shared" si="6"/>
        <v>4968</v>
      </c>
      <c r="C192" s="49">
        <f>HLOOKUP("# Cores",'vHosts (Imported)'!$1:$5000,M192,FALSE)</f>
        <v>0</v>
      </c>
      <c r="D192" s="52">
        <f>HLOOKUP("# Memory",'vHosts (Imported)'!$1:$5000,M192,FALSE)</f>
        <v>0</v>
      </c>
      <c r="M192" s="45">
        <f t="shared" si="8"/>
        <v>192</v>
      </c>
      <c r="N192" s="38">
        <f>HLOOKUP("Host",'vInfo (Imported)'!$1:$5000,M192,FALSE)</f>
        <v>0</v>
      </c>
      <c r="R192">
        <f>HLOOKUP("CPUs",'vInfo (Imported)'!$1:$5000,M192,FALSE)</f>
        <v>0</v>
      </c>
      <c r="S192">
        <f>HLOOKUP("Memory",'vInfo (Imported)'!$1:$5000,M192,FALSE)</f>
        <v>0</v>
      </c>
      <c r="T192">
        <f>HLOOKUP("Provisioned MiB",'vInfo (Imported)'!$1:$5000,M192,FALSE)</f>
        <v>0</v>
      </c>
      <c r="U192">
        <f t="shared" si="7"/>
        <v>0</v>
      </c>
      <c r="V192">
        <f>HLOOKUP("In Use MiB",'vInfo (Imported)'!$1:$5000,M192,FALSE)</f>
        <v>0</v>
      </c>
    </row>
    <row r="193" spans="1:22" ht="13" x14ac:dyDescent="0.3">
      <c r="A193" s="46">
        <f>'vHosts (Imported)'!A193</f>
        <v>0</v>
      </c>
      <c r="B193" s="51">
        <f t="shared" si="6"/>
        <v>4968</v>
      </c>
      <c r="C193" s="49">
        <f>HLOOKUP("# Cores",'vHosts (Imported)'!$1:$5000,M193,FALSE)</f>
        <v>0</v>
      </c>
      <c r="D193" s="52">
        <f>HLOOKUP("# Memory",'vHosts (Imported)'!$1:$5000,M193,FALSE)</f>
        <v>0</v>
      </c>
      <c r="M193" s="45">
        <f t="shared" si="8"/>
        <v>193</v>
      </c>
      <c r="N193" s="38">
        <f>HLOOKUP("Host",'vInfo (Imported)'!$1:$5000,M193,FALSE)</f>
        <v>0</v>
      </c>
      <c r="R193">
        <f>HLOOKUP("CPUs",'vInfo (Imported)'!$1:$5000,M193,FALSE)</f>
        <v>0</v>
      </c>
      <c r="S193">
        <f>HLOOKUP("Memory",'vInfo (Imported)'!$1:$5000,M193,FALSE)</f>
        <v>0</v>
      </c>
      <c r="T193">
        <f>HLOOKUP("Provisioned MiB",'vInfo (Imported)'!$1:$5000,M193,FALSE)</f>
        <v>0</v>
      </c>
      <c r="U193">
        <f t="shared" si="7"/>
        <v>0</v>
      </c>
      <c r="V193">
        <f>HLOOKUP("In Use MiB",'vInfo (Imported)'!$1:$5000,M193,FALSE)</f>
        <v>0</v>
      </c>
    </row>
    <row r="194" spans="1:22" ht="13" x14ac:dyDescent="0.3">
      <c r="A194" s="46">
        <f>'vHosts (Imported)'!A194</f>
        <v>0</v>
      </c>
      <c r="B194" s="51">
        <f t="shared" ref="B194:B257" si="9">COUNTIFS(N:N,IF(A194=0,"0",A194))</f>
        <v>4968</v>
      </c>
      <c r="C194" s="49">
        <f>HLOOKUP("# Cores",'vHosts (Imported)'!$1:$5000,M194,FALSE)</f>
        <v>0</v>
      </c>
      <c r="D194" s="52">
        <f>HLOOKUP("# Memory",'vHosts (Imported)'!$1:$5000,M194,FALSE)</f>
        <v>0</v>
      </c>
      <c r="M194" s="45">
        <f t="shared" si="8"/>
        <v>194</v>
      </c>
      <c r="N194" s="38">
        <f>HLOOKUP("Host",'vInfo (Imported)'!$1:$5000,M194,FALSE)</f>
        <v>0</v>
      </c>
      <c r="R194">
        <f>HLOOKUP("CPUs",'vInfo (Imported)'!$1:$5000,M194,FALSE)</f>
        <v>0</v>
      </c>
      <c r="S194">
        <f>HLOOKUP("Memory",'vInfo (Imported)'!$1:$5000,M194,FALSE)</f>
        <v>0</v>
      </c>
      <c r="T194">
        <f>HLOOKUP("Provisioned MiB",'vInfo (Imported)'!$1:$5000,M194,FALSE)</f>
        <v>0</v>
      </c>
      <c r="U194">
        <f t="shared" si="7"/>
        <v>0</v>
      </c>
      <c r="V194">
        <f>HLOOKUP("In Use MiB",'vInfo (Imported)'!$1:$5000,M194,FALSE)</f>
        <v>0</v>
      </c>
    </row>
    <row r="195" spans="1:22" ht="13" x14ac:dyDescent="0.3">
      <c r="A195" s="46">
        <f>'vHosts (Imported)'!A195</f>
        <v>0</v>
      </c>
      <c r="B195" s="51">
        <f t="shared" si="9"/>
        <v>4968</v>
      </c>
      <c r="C195" s="49">
        <f>HLOOKUP("# Cores",'vHosts (Imported)'!$1:$5000,M195,FALSE)</f>
        <v>0</v>
      </c>
      <c r="D195" s="52">
        <f>HLOOKUP("# Memory",'vHosts (Imported)'!$1:$5000,M195,FALSE)</f>
        <v>0</v>
      </c>
      <c r="M195" s="45">
        <f t="shared" si="8"/>
        <v>195</v>
      </c>
      <c r="N195" s="38">
        <f>HLOOKUP("Host",'vInfo (Imported)'!$1:$5000,M195,FALSE)</f>
        <v>0</v>
      </c>
      <c r="R195">
        <f>HLOOKUP("CPUs",'vInfo (Imported)'!$1:$5000,M195,FALSE)</f>
        <v>0</v>
      </c>
      <c r="S195">
        <f>HLOOKUP("Memory",'vInfo (Imported)'!$1:$5000,M195,FALSE)</f>
        <v>0</v>
      </c>
      <c r="T195">
        <f>HLOOKUP("Provisioned MiB",'vInfo (Imported)'!$1:$5000,M195,FALSE)</f>
        <v>0</v>
      </c>
      <c r="U195">
        <f t="shared" ref="U195:U258" si="10">T195-V195</f>
        <v>0</v>
      </c>
      <c r="V195">
        <f>HLOOKUP("In Use MiB",'vInfo (Imported)'!$1:$5000,M195,FALSE)</f>
        <v>0</v>
      </c>
    </row>
    <row r="196" spans="1:22" ht="13" x14ac:dyDescent="0.3">
      <c r="A196" s="46">
        <f>'vHosts (Imported)'!A196</f>
        <v>0</v>
      </c>
      <c r="B196" s="51">
        <f t="shared" si="9"/>
        <v>4968</v>
      </c>
      <c r="C196" s="49">
        <f>HLOOKUP("# Cores",'vHosts (Imported)'!$1:$5000,M196,FALSE)</f>
        <v>0</v>
      </c>
      <c r="D196" s="52">
        <f>HLOOKUP("# Memory",'vHosts (Imported)'!$1:$5000,M196,FALSE)</f>
        <v>0</v>
      </c>
      <c r="M196" s="45">
        <f t="shared" ref="M196:M259" si="11">M195+1</f>
        <v>196</v>
      </c>
      <c r="N196" s="38">
        <f>HLOOKUP("Host",'vInfo (Imported)'!$1:$5000,M196,FALSE)</f>
        <v>0</v>
      </c>
      <c r="R196">
        <f>HLOOKUP("CPUs",'vInfo (Imported)'!$1:$5000,M196,FALSE)</f>
        <v>0</v>
      </c>
      <c r="S196">
        <f>HLOOKUP("Memory",'vInfo (Imported)'!$1:$5000,M196,FALSE)</f>
        <v>0</v>
      </c>
      <c r="T196">
        <f>HLOOKUP("Provisioned MiB",'vInfo (Imported)'!$1:$5000,M196,FALSE)</f>
        <v>0</v>
      </c>
      <c r="U196">
        <f t="shared" si="10"/>
        <v>0</v>
      </c>
      <c r="V196">
        <f>HLOOKUP("In Use MiB",'vInfo (Imported)'!$1:$5000,M196,FALSE)</f>
        <v>0</v>
      </c>
    </row>
    <row r="197" spans="1:22" ht="13" x14ac:dyDescent="0.3">
      <c r="A197" s="46">
        <f>'vHosts (Imported)'!A197</f>
        <v>0</v>
      </c>
      <c r="B197" s="51">
        <f t="shared" si="9"/>
        <v>4968</v>
      </c>
      <c r="C197" s="49">
        <f>HLOOKUP("# Cores",'vHosts (Imported)'!$1:$5000,M197,FALSE)</f>
        <v>0</v>
      </c>
      <c r="D197" s="52">
        <f>HLOOKUP("# Memory",'vHosts (Imported)'!$1:$5000,M197,FALSE)</f>
        <v>0</v>
      </c>
      <c r="M197" s="45">
        <f t="shared" si="11"/>
        <v>197</v>
      </c>
      <c r="N197" s="38">
        <f>HLOOKUP("Host",'vInfo (Imported)'!$1:$5000,M197,FALSE)</f>
        <v>0</v>
      </c>
      <c r="R197">
        <f>HLOOKUP("CPUs",'vInfo (Imported)'!$1:$5000,M197,FALSE)</f>
        <v>0</v>
      </c>
      <c r="S197">
        <f>HLOOKUP("Memory",'vInfo (Imported)'!$1:$5000,M197,FALSE)</f>
        <v>0</v>
      </c>
      <c r="T197">
        <f>HLOOKUP("Provisioned MiB",'vInfo (Imported)'!$1:$5000,M197,FALSE)</f>
        <v>0</v>
      </c>
      <c r="U197">
        <f t="shared" si="10"/>
        <v>0</v>
      </c>
      <c r="V197">
        <f>HLOOKUP("In Use MiB",'vInfo (Imported)'!$1:$5000,M197,FALSE)</f>
        <v>0</v>
      </c>
    </row>
    <row r="198" spans="1:22" ht="13" x14ac:dyDescent="0.3">
      <c r="A198" s="46">
        <f>'vHosts (Imported)'!A198</f>
        <v>0</v>
      </c>
      <c r="B198" s="51">
        <f t="shared" si="9"/>
        <v>4968</v>
      </c>
      <c r="C198" s="49">
        <f>HLOOKUP("# Cores",'vHosts (Imported)'!$1:$5000,M198,FALSE)</f>
        <v>0</v>
      </c>
      <c r="D198" s="52">
        <f>HLOOKUP("# Memory",'vHosts (Imported)'!$1:$5000,M198,FALSE)</f>
        <v>0</v>
      </c>
      <c r="M198" s="45">
        <f t="shared" si="11"/>
        <v>198</v>
      </c>
      <c r="N198" s="38">
        <f>HLOOKUP("Host",'vInfo (Imported)'!$1:$5000,M198,FALSE)</f>
        <v>0</v>
      </c>
      <c r="R198">
        <f>HLOOKUP("CPUs",'vInfo (Imported)'!$1:$5000,M198,FALSE)</f>
        <v>0</v>
      </c>
      <c r="S198">
        <f>HLOOKUP("Memory",'vInfo (Imported)'!$1:$5000,M198,FALSE)</f>
        <v>0</v>
      </c>
      <c r="T198">
        <f>HLOOKUP("Provisioned MiB",'vInfo (Imported)'!$1:$5000,M198,FALSE)</f>
        <v>0</v>
      </c>
      <c r="U198">
        <f t="shared" si="10"/>
        <v>0</v>
      </c>
      <c r="V198">
        <f>HLOOKUP("In Use MiB",'vInfo (Imported)'!$1:$5000,M198,FALSE)</f>
        <v>0</v>
      </c>
    </row>
    <row r="199" spans="1:22" ht="13" x14ac:dyDescent="0.3">
      <c r="A199" s="46">
        <f>'vHosts (Imported)'!A199</f>
        <v>0</v>
      </c>
      <c r="B199" s="51">
        <f t="shared" si="9"/>
        <v>4968</v>
      </c>
      <c r="C199" s="49">
        <f>HLOOKUP("# Cores",'vHosts (Imported)'!$1:$5000,M199,FALSE)</f>
        <v>0</v>
      </c>
      <c r="D199" s="52">
        <f>HLOOKUP("# Memory",'vHosts (Imported)'!$1:$5000,M199,FALSE)</f>
        <v>0</v>
      </c>
      <c r="M199" s="45">
        <f t="shared" si="11"/>
        <v>199</v>
      </c>
      <c r="N199" s="38">
        <f>HLOOKUP("Host",'vInfo (Imported)'!$1:$5000,M199,FALSE)</f>
        <v>0</v>
      </c>
      <c r="R199">
        <f>HLOOKUP("CPUs",'vInfo (Imported)'!$1:$5000,M199,FALSE)</f>
        <v>0</v>
      </c>
      <c r="S199">
        <f>HLOOKUP("Memory",'vInfo (Imported)'!$1:$5000,M199,FALSE)</f>
        <v>0</v>
      </c>
      <c r="T199">
        <f>HLOOKUP("Provisioned MiB",'vInfo (Imported)'!$1:$5000,M199,FALSE)</f>
        <v>0</v>
      </c>
      <c r="U199">
        <f t="shared" si="10"/>
        <v>0</v>
      </c>
      <c r="V199">
        <f>HLOOKUP("In Use MiB",'vInfo (Imported)'!$1:$5000,M199,FALSE)</f>
        <v>0</v>
      </c>
    </row>
    <row r="200" spans="1:22" ht="13" x14ac:dyDescent="0.3">
      <c r="A200" s="46">
        <f>'vHosts (Imported)'!A200</f>
        <v>0</v>
      </c>
      <c r="B200" s="51">
        <f t="shared" si="9"/>
        <v>4968</v>
      </c>
      <c r="C200" s="49">
        <f>HLOOKUP("# Cores",'vHosts (Imported)'!$1:$5000,M200,FALSE)</f>
        <v>0</v>
      </c>
      <c r="D200" s="52">
        <f>HLOOKUP("# Memory",'vHosts (Imported)'!$1:$5000,M200,FALSE)</f>
        <v>0</v>
      </c>
      <c r="M200" s="45">
        <f t="shared" si="11"/>
        <v>200</v>
      </c>
      <c r="N200" s="38">
        <f>HLOOKUP("Host",'vInfo (Imported)'!$1:$5000,M200,FALSE)</f>
        <v>0</v>
      </c>
      <c r="R200">
        <f>HLOOKUP("CPUs",'vInfo (Imported)'!$1:$5000,M200,FALSE)</f>
        <v>0</v>
      </c>
      <c r="S200">
        <f>HLOOKUP("Memory",'vInfo (Imported)'!$1:$5000,M200,FALSE)</f>
        <v>0</v>
      </c>
      <c r="T200">
        <f>HLOOKUP("Provisioned MiB",'vInfo (Imported)'!$1:$5000,M200,FALSE)</f>
        <v>0</v>
      </c>
      <c r="U200">
        <f t="shared" si="10"/>
        <v>0</v>
      </c>
      <c r="V200">
        <f>HLOOKUP("In Use MiB",'vInfo (Imported)'!$1:$5000,M200,FALSE)</f>
        <v>0</v>
      </c>
    </row>
    <row r="201" spans="1:22" ht="13" x14ac:dyDescent="0.3">
      <c r="A201" s="46">
        <f>'vHosts (Imported)'!A201</f>
        <v>0</v>
      </c>
      <c r="B201" s="51">
        <f t="shared" si="9"/>
        <v>4968</v>
      </c>
      <c r="C201" s="49">
        <f>HLOOKUP("# Cores",'vHosts (Imported)'!$1:$5000,M201,FALSE)</f>
        <v>0</v>
      </c>
      <c r="D201" s="52">
        <f>HLOOKUP("# Memory",'vHosts (Imported)'!$1:$5000,M201,FALSE)</f>
        <v>0</v>
      </c>
      <c r="M201" s="45">
        <f t="shared" si="11"/>
        <v>201</v>
      </c>
      <c r="N201" s="38">
        <f>HLOOKUP("Host",'vInfo (Imported)'!$1:$5000,M201,FALSE)</f>
        <v>0</v>
      </c>
      <c r="R201">
        <f>HLOOKUP("CPUs",'vInfo (Imported)'!$1:$5000,M201,FALSE)</f>
        <v>0</v>
      </c>
      <c r="S201">
        <f>HLOOKUP("Memory",'vInfo (Imported)'!$1:$5000,M201,FALSE)</f>
        <v>0</v>
      </c>
      <c r="T201">
        <f>HLOOKUP("Provisioned MiB",'vInfo (Imported)'!$1:$5000,M201,FALSE)</f>
        <v>0</v>
      </c>
      <c r="U201">
        <f t="shared" si="10"/>
        <v>0</v>
      </c>
      <c r="V201">
        <f>HLOOKUP("In Use MiB",'vInfo (Imported)'!$1:$5000,M201,FALSE)</f>
        <v>0</v>
      </c>
    </row>
    <row r="202" spans="1:22" ht="13" x14ac:dyDescent="0.3">
      <c r="A202" s="46">
        <f>'vHosts (Imported)'!A202</f>
        <v>0</v>
      </c>
      <c r="B202" s="51">
        <f t="shared" si="9"/>
        <v>4968</v>
      </c>
      <c r="C202" s="49">
        <f>HLOOKUP("# Cores",'vHosts (Imported)'!$1:$5000,M202,FALSE)</f>
        <v>0</v>
      </c>
      <c r="D202" s="52">
        <f>HLOOKUP("# Memory",'vHosts (Imported)'!$1:$5000,M202,FALSE)</f>
        <v>0</v>
      </c>
      <c r="M202" s="45">
        <f t="shared" si="11"/>
        <v>202</v>
      </c>
      <c r="N202" s="38">
        <f>HLOOKUP("Host",'vInfo (Imported)'!$1:$5000,M202,FALSE)</f>
        <v>0</v>
      </c>
      <c r="R202">
        <f>HLOOKUP("CPUs",'vInfo (Imported)'!$1:$5000,M202,FALSE)</f>
        <v>0</v>
      </c>
      <c r="S202">
        <f>HLOOKUP("Memory",'vInfo (Imported)'!$1:$5000,M202,FALSE)</f>
        <v>0</v>
      </c>
      <c r="T202">
        <f>HLOOKUP("Provisioned MiB",'vInfo (Imported)'!$1:$5000,M202,FALSE)</f>
        <v>0</v>
      </c>
      <c r="U202">
        <f t="shared" si="10"/>
        <v>0</v>
      </c>
      <c r="V202">
        <f>HLOOKUP("In Use MiB",'vInfo (Imported)'!$1:$5000,M202,FALSE)</f>
        <v>0</v>
      </c>
    </row>
    <row r="203" spans="1:22" ht="13" x14ac:dyDescent="0.3">
      <c r="A203" s="46">
        <f>'vHosts (Imported)'!A203</f>
        <v>0</v>
      </c>
      <c r="B203" s="51">
        <f t="shared" si="9"/>
        <v>4968</v>
      </c>
      <c r="C203" s="49">
        <f>HLOOKUP("# Cores",'vHosts (Imported)'!$1:$5000,M203,FALSE)</f>
        <v>0</v>
      </c>
      <c r="D203" s="52">
        <f>HLOOKUP("# Memory",'vHosts (Imported)'!$1:$5000,M203,FALSE)</f>
        <v>0</v>
      </c>
      <c r="M203" s="45">
        <f t="shared" si="11"/>
        <v>203</v>
      </c>
      <c r="N203" s="38">
        <f>HLOOKUP("Host",'vInfo (Imported)'!$1:$5000,M203,FALSE)</f>
        <v>0</v>
      </c>
      <c r="R203">
        <f>HLOOKUP("CPUs",'vInfo (Imported)'!$1:$5000,M203,FALSE)</f>
        <v>0</v>
      </c>
      <c r="S203">
        <f>HLOOKUP("Memory",'vInfo (Imported)'!$1:$5000,M203,FALSE)</f>
        <v>0</v>
      </c>
      <c r="T203">
        <f>HLOOKUP("Provisioned MiB",'vInfo (Imported)'!$1:$5000,M203,FALSE)</f>
        <v>0</v>
      </c>
      <c r="U203">
        <f t="shared" si="10"/>
        <v>0</v>
      </c>
      <c r="V203">
        <f>HLOOKUP("In Use MiB",'vInfo (Imported)'!$1:$5000,M203,FALSE)</f>
        <v>0</v>
      </c>
    </row>
    <row r="204" spans="1:22" ht="13" x14ac:dyDescent="0.3">
      <c r="A204" s="46">
        <f>'vHosts (Imported)'!A204</f>
        <v>0</v>
      </c>
      <c r="B204" s="51">
        <f t="shared" si="9"/>
        <v>4968</v>
      </c>
      <c r="C204" s="49">
        <f>HLOOKUP("# Cores",'vHosts (Imported)'!$1:$5000,M204,FALSE)</f>
        <v>0</v>
      </c>
      <c r="D204" s="52">
        <f>HLOOKUP("# Memory",'vHosts (Imported)'!$1:$5000,M204,FALSE)</f>
        <v>0</v>
      </c>
      <c r="M204" s="45">
        <f t="shared" si="11"/>
        <v>204</v>
      </c>
      <c r="N204" s="38">
        <f>HLOOKUP("Host",'vInfo (Imported)'!$1:$5000,M204,FALSE)</f>
        <v>0</v>
      </c>
      <c r="R204">
        <f>HLOOKUP("CPUs",'vInfo (Imported)'!$1:$5000,M204,FALSE)</f>
        <v>0</v>
      </c>
      <c r="S204">
        <f>HLOOKUP("Memory",'vInfo (Imported)'!$1:$5000,M204,FALSE)</f>
        <v>0</v>
      </c>
      <c r="T204">
        <f>HLOOKUP("Provisioned MiB",'vInfo (Imported)'!$1:$5000,M204,FALSE)</f>
        <v>0</v>
      </c>
      <c r="U204">
        <f t="shared" si="10"/>
        <v>0</v>
      </c>
      <c r="V204">
        <f>HLOOKUP("In Use MiB",'vInfo (Imported)'!$1:$5000,M204,FALSE)</f>
        <v>0</v>
      </c>
    </row>
    <row r="205" spans="1:22" ht="13" x14ac:dyDescent="0.3">
      <c r="A205" s="46">
        <f>'vHosts (Imported)'!A205</f>
        <v>0</v>
      </c>
      <c r="B205" s="51">
        <f t="shared" si="9"/>
        <v>4968</v>
      </c>
      <c r="C205" s="49">
        <f>HLOOKUP("# Cores",'vHosts (Imported)'!$1:$5000,M205,FALSE)</f>
        <v>0</v>
      </c>
      <c r="D205" s="52">
        <f>HLOOKUP("# Memory",'vHosts (Imported)'!$1:$5000,M205,FALSE)</f>
        <v>0</v>
      </c>
      <c r="M205" s="45">
        <f t="shared" si="11"/>
        <v>205</v>
      </c>
      <c r="N205" s="38">
        <f>HLOOKUP("Host",'vInfo (Imported)'!$1:$5000,M205,FALSE)</f>
        <v>0</v>
      </c>
      <c r="R205">
        <f>HLOOKUP("CPUs",'vInfo (Imported)'!$1:$5000,M205,FALSE)</f>
        <v>0</v>
      </c>
      <c r="S205">
        <f>HLOOKUP("Memory",'vInfo (Imported)'!$1:$5000,M205,FALSE)</f>
        <v>0</v>
      </c>
      <c r="T205">
        <f>HLOOKUP("Provisioned MiB",'vInfo (Imported)'!$1:$5000,M205,FALSE)</f>
        <v>0</v>
      </c>
      <c r="U205">
        <f t="shared" si="10"/>
        <v>0</v>
      </c>
      <c r="V205">
        <f>HLOOKUP("In Use MiB",'vInfo (Imported)'!$1:$5000,M205,FALSE)</f>
        <v>0</v>
      </c>
    </row>
    <row r="206" spans="1:22" ht="13" x14ac:dyDescent="0.3">
      <c r="A206" s="46">
        <f>'vHosts (Imported)'!A206</f>
        <v>0</v>
      </c>
      <c r="B206" s="51">
        <f t="shared" si="9"/>
        <v>4968</v>
      </c>
      <c r="C206" s="49">
        <f>HLOOKUP("# Cores",'vHosts (Imported)'!$1:$5000,M206,FALSE)</f>
        <v>0</v>
      </c>
      <c r="D206" s="52">
        <f>HLOOKUP("# Memory",'vHosts (Imported)'!$1:$5000,M206,FALSE)</f>
        <v>0</v>
      </c>
      <c r="M206" s="45">
        <f t="shared" si="11"/>
        <v>206</v>
      </c>
      <c r="N206" s="38">
        <f>HLOOKUP("Host",'vInfo (Imported)'!$1:$5000,M206,FALSE)</f>
        <v>0</v>
      </c>
      <c r="R206">
        <f>HLOOKUP("CPUs",'vInfo (Imported)'!$1:$5000,M206,FALSE)</f>
        <v>0</v>
      </c>
      <c r="S206">
        <f>HLOOKUP("Memory",'vInfo (Imported)'!$1:$5000,M206,FALSE)</f>
        <v>0</v>
      </c>
      <c r="T206">
        <f>HLOOKUP("Provisioned MiB",'vInfo (Imported)'!$1:$5000,M206,FALSE)</f>
        <v>0</v>
      </c>
      <c r="U206">
        <f t="shared" si="10"/>
        <v>0</v>
      </c>
      <c r="V206">
        <f>HLOOKUP("In Use MiB",'vInfo (Imported)'!$1:$5000,M206,FALSE)</f>
        <v>0</v>
      </c>
    </row>
    <row r="207" spans="1:22" ht="13" x14ac:dyDescent="0.3">
      <c r="A207" s="46">
        <f>'vHosts (Imported)'!A207</f>
        <v>0</v>
      </c>
      <c r="B207" s="51">
        <f t="shared" si="9"/>
        <v>4968</v>
      </c>
      <c r="C207" s="49">
        <f>HLOOKUP("# Cores",'vHosts (Imported)'!$1:$5000,M207,FALSE)</f>
        <v>0</v>
      </c>
      <c r="D207" s="52">
        <f>HLOOKUP("# Memory",'vHosts (Imported)'!$1:$5000,M207,FALSE)</f>
        <v>0</v>
      </c>
      <c r="M207" s="45">
        <f t="shared" si="11"/>
        <v>207</v>
      </c>
      <c r="N207" s="38">
        <f>HLOOKUP("Host",'vInfo (Imported)'!$1:$5000,M207,FALSE)</f>
        <v>0</v>
      </c>
      <c r="R207">
        <f>HLOOKUP("CPUs",'vInfo (Imported)'!$1:$5000,M207,FALSE)</f>
        <v>0</v>
      </c>
      <c r="S207">
        <f>HLOOKUP("Memory",'vInfo (Imported)'!$1:$5000,M207,FALSE)</f>
        <v>0</v>
      </c>
      <c r="T207">
        <f>HLOOKUP("Provisioned MiB",'vInfo (Imported)'!$1:$5000,M207,FALSE)</f>
        <v>0</v>
      </c>
      <c r="U207">
        <f t="shared" si="10"/>
        <v>0</v>
      </c>
      <c r="V207">
        <f>HLOOKUP("In Use MiB",'vInfo (Imported)'!$1:$5000,M207,FALSE)</f>
        <v>0</v>
      </c>
    </row>
    <row r="208" spans="1:22" ht="13" x14ac:dyDescent="0.3">
      <c r="A208" s="46">
        <f>'vHosts (Imported)'!A208</f>
        <v>0</v>
      </c>
      <c r="B208" s="51">
        <f t="shared" si="9"/>
        <v>4968</v>
      </c>
      <c r="C208" s="49">
        <f>HLOOKUP("# Cores",'vHosts (Imported)'!$1:$5000,M208,FALSE)</f>
        <v>0</v>
      </c>
      <c r="D208" s="52">
        <f>HLOOKUP("# Memory",'vHosts (Imported)'!$1:$5000,M208,FALSE)</f>
        <v>0</v>
      </c>
      <c r="M208" s="45">
        <f t="shared" si="11"/>
        <v>208</v>
      </c>
      <c r="N208" s="38">
        <f>HLOOKUP("Host",'vInfo (Imported)'!$1:$5000,M208,FALSE)</f>
        <v>0</v>
      </c>
      <c r="R208">
        <f>HLOOKUP("CPUs",'vInfo (Imported)'!$1:$5000,M208,FALSE)</f>
        <v>0</v>
      </c>
      <c r="S208">
        <f>HLOOKUP("Memory",'vInfo (Imported)'!$1:$5000,M208,FALSE)</f>
        <v>0</v>
      </c>
      <c r="T208">
        <f>HLOOKUP("Provisioned MiB",'vInfo (Imported)'!$1:$5000,M208,FALSE)</f>
        <v>0</v>
      </c>
      <c r="U208">
        <f t="shared" si="10"/>
        <v>0</v>
      </c>
      <c r="V208">
        <f>HLOOKUP("In Use MiB",'vInfo (Imported)'!$1:$5000,M208,FALSE)</f>
        <v>0</v>
      </c>
    </row>
    <row r="209" spans="1:22" ht="13" x14ac:dyDescent="0.3">
      <c r="A209" s="46">
        <f>'vHosts (Imported)'!A209</f>
        <v>0</v>
      </c>
      <c r="B209" s="51">
        <f t="shared" si="9"/>
        <v>4968</v>
      </c>
      <c r="C209" s="49">
        <f>HLOOKUP("# Cores",'vHosts (Imported)'!$1:$5000,M209,FALSE)</f>
        <v>0</v>
      </c>
      <c r="D209" s="52">
        <f>HLOOKUP("# Memory",'vHosts (Imported)'!$1:$5000,M209,FALSE)</f>
        <v>0</v>
      </c>
      <c r="M209" s="45">
        <f t="shared" si="11"/>
        <v>209</v>
      </c>
      <c r="N209" s="38">
        <f>HLOOKUP("Host",'vInfo (Imported)'!$1:$5000,M209,FALSE)</f>
        <v>0</v>
      </c>
      <c r="R209">
        <f>HLOOKUP("CPUs",'vInfo (Imported)'!$1:$5000,M209,FALSE)</f>
        <v>0</v>
      </c>
      <c r="S209">
        <f>HLOOKUP("Memory",'vInfo (Imported)'!$1:$5000,M209,FALSE)</f>
        <v>0</v>
      </c>
      <c r="T209">
        <f>HLOOKUP("Provisioned MiB",'vInfo (Imported)'!$1:$5000,M209,FALSE)</f>
        <v>0</v>
      </c>
      <c r="U209">
        <f t="shared" si="10"/>
        <v>0</v>
      </c>
      <c r="V209">
        <f>HLOOKUP("In Use MiB",'vInfo (Imported)'!$1:$5000,M209,FALSE)</f>
        <v>0</v>
      </c>
    </row>
    <row r="210" spans="1:22" ht="13" x14ac:dyDescent="0.3">
      <c r="A210" s="46">
        <f>'vHosts (Imported)'!A210</f>
        <v>0</v>
      </c>
      <c r="B210" s="51">
        <f t="shared" si="9"/>
        <v>4968</v>
      </c>
      <c r="C210" s="49">
        <f>HLOOKUP("# Cores",'vHosts (Imported)'!$1:$5000,M210,FALSE)</f>
        <v>0</v>
      </c>
      <c r="D210" s="52">
        <f>HLOOKUP("# Memory",'vHosts (Imported)'!$1:$5000,M210,FALSE)</f>
        <v>0</v>
      </c>
      <c r="M210" s="45">
        <f t="shared" si="11"/>
        <v>210</v>
      </c>
      <c r="N210" s="38">
        <f>HLOOKUP("Host",'vInfo (Imported)'!$1:$5000,M210,FALSE)</f>
        <v>0</v>
      </c>
      <c r="R210">
        <f>HLOOKUP("CPUs",'vInfo (Imported)'!$1:$5000,M210,FALSE)</f>
        <v>0</v>
      </c>
      <c r="S210">
        <f>HLOOKUP("Memory",'vInfo (Imported)'!$1:$5000,M210,FALSE)</f>
        <v>0</v>
      </c>
      <c r="T210">
        <f>HLOOKUP("Provisioned MiB",'vInfo (Imported)'!$1:$5000,M210,FALSE)</f>
        <v>0</v>
      </c>
      <c r="U210">
        <f t="shared" si="10"/>
        <v>0</v>
      </c>
      <c r="V210">
        <f>HLOOKUP("In Use MiB",'vInfo (Imported)'!$1:$5000,M210,FALSE)</f>
        <v>0</v>
      </c>
    </row>
    <row r="211" spans="1:22" ht="13" x14ac:dyDescent="0.3">
      <c r="A211" s="46">
        <f>'vHosts (Imported)'!A211</f>
        <v>0</v>
      </c>
      <c r="B211" s="51">
        <f t="shared" si="9"/>
        <v>4968</v>
      </c>
      <c r="C211" s="49">
        <f>HLOOKUP("# Cores",'vHosts (Imported)'!$1:$5000,M211,FALSE)</f>
        <v>0</v>
      </c>
      <c r="D211" s="52">
        <f>HLOOKUP("# Memory",'vHosts (Imported)'!$1:$5000,M211,FALSE)</f>
        <v>0</v>
      </c>
      <c r="M211" s="45">
        <f t="shared" si="11"/>
        <v>211</v>
      </c>
      <c r="N211" s="38">
        <f>HLOOKUP("Host",'vInfo (Imported)'!$1:$5000,M211,FALSE)</f>
        <v>0</v>
      </c>
      <c r="R211">
        <f>HLOOKUP("CPUs",'vInfo (Imported)'!$1:$5000,M211,FALSE)</f>
        <v>0</v>
      </c>
      <c r="S211">
        <f>HLOOKUP("Memory",'vInfo (Imported)'!$1:$5000,M211,FALSE)</f>
        <v>0</v>
      </c>
      <c r="T211">
        <f>HLOOKUP("Provisioned MiB",'vInfo (Imported)'!$1:$5000,M211,FALSE)</f>
        <v>0</v>
      </c>
      <c r="U211">
        <f t="shared" si="10"/>
        <v>0</v>
      </c>
      <c r="V211">
        <f>HLOOKUP("In Use MiB",'vInfo (Imported)'!$1:$5000,M211,FALSE)</f>
        <v>0</v>
      </c>
    </row>
    <row r="212" spans="1:22" ht="13" x14ac:dyDescent="0.3">
      <c r="A212" s="46">
        <f>'vHosts (Imported)'!A212</f>
        <v>0</v>
      </c>
      <c r="B212" s="51">
        <f t="shared" si="9"/>
        <v>4968</v>
      </c>
      <c r="C212" s="49">
        <f>HLOOKUP("# Cores",'vHosts (Imported)'!$1:$5000,M212,FALSE)</f>
        <v>0</v>
      </c>
      <c r="D212" s="52">
        <f>HLOOKUP("# Memory",'vHosts (Imported)'!$1:$5000,M212,FALSE)</f>
        <v>0</v>
      </c>
      <c r="M212" s="45">
        <f t="shared" si="11"/>
        <v>212</v>
      </c>
      <c r="N212" s="38">
        <f>HLOOKUP("Host",'vInfo (Imported)'!$1:$5000,M212,FALSE)</f>
        <v>0</v>
      </c>
      <c r="R212">
        <f>HLOOKUP("CPUs",'vInfo (Imported)'!$1:$5000,M212,FALSE)</f>
        <v>0</v>
      </c>
      <c r="S212">
        <f>HLOOKUP("Memory",'vInfo (Imported)'!$1:$5000,M212,FALSE)</f>
        <v>0</v>
      </c>
      <c r="T212">
        <f>HLOOKUP("Provisioned MiB",'vInfo (Imported)'!$1:$5000,M212,FALSE)</f>
        <v>0</v>
      </c>
      <c r="U212">
        <f t="shared" si="10"/>
        <v>0</v>
      </c>
      <c r="V212">
        <f>HLOOKUP("In Use MiB",'vInfo (Imported)'!$1:$5000,M212,FALSE)</f>
        <v>0</v>
      </c>
    </row>
    <row r="213" spans="1:22" ht="13" x14ac:dyDescent="0.3">
      <c r="A213" s="46">
        <f>'vHosts (Imported)'!A213</f>
        <v>0</v>
      </c>
      <c r="B213" s="51">
        <f t="shared" si="9"/>
        <v>4968</v>
      </c>
      <c r="C213" s="49">
        <f>HLOOKUP("# Cores",'vHosts (Imported)'!$1:$5000,M213,FALSE)</f>
        <v>0</v>
      </c>
      <c r="D213" s="52">
        <f>HLOOKUP("# Memory",'vHosts (Imported)'!$1:$5000,M213,FALSE)</f>
        <v>0</v>
      </c>
      <c r="M213" s="45">
        <f t="shared" si="11"/>
        <v>213</v>
      </c>
      <c r="N213" s="38">
        <f>HLOOKUP("Host",'vInfo (Imported)'!$1:$5000,M213,FALSE)</f>
        <v>0</v>
      </c>
      <c r="R213">
        <f>HLOOKUP("CPUs",'vInfo (Imported)'!$1:$5000,M213,FALSE)</f>
        <v>0</v>
      </c>
      <c r="S213">
        <f>HLOOKUP("Memory",'vInfo (Imported)'!$1:$5000,M213,FALSE)</f>
        <v>0</v>
      </c>
      <c r="T213">
        <f>HLOOKUP("Provisioned MiB",'vInfo (Imported)'!$1:$5000,M213,FALSE)</f>
        <v>0</v>
      </c>
      <c r="U213">
        <f t="shared" si="10"/>
        <v>0</v>
      </c>
      <c r="V213">
        <f>HLOOKUP("In Use MiB",'vInfo (Imported)'!$1:$5000,M213,FALSE)</f>
        <v>0</v>
      </c>
    </row>
    <row r="214" spans="1:22" ht="13" x14ac:dyDescent="0.3">
      <c r="A214" s="46">
        <f>'vHosts (Imported)'!A214</f>
        <v>0</v>
      </c>
      <c r="B214" s="51">
        <f t="shared" si="9"/>
        <v>4968</v>
      </c>
      <c r="C214" s="49">
        <f>HLOOKUP("# Cores",'vHosts (Imported)'!$1:$5000,M214,FALSE)</f>
        <v>0</v>
      </c>
      <c r="D214" s="52">
        <f>HLOOKUP("# Memory",'vHosts (Imported)'!$1:$5000,M214,FALSE)</f>
        <v>0</v>
      </c>
      <c r="M214" s="45">
        <f t="shared" si="11"/>
        <v>214</v>
      </c>
      <c r="N214" s="38">
        <f>HLOOKUP("Host",'vInfo (Imported)'!$1:$5000,M214,FALSE)</f>
        <v>0</v>
      </c>
      <c r="R214">
        <f>HLOOKUP("CPUs",'vInfo (Imported)'!$1:$5000,M214,FALSE)</f>
        <v>0</v>
      </c>
      <c r="S214">
        <f>HLOOKUP("Memory",'vInfo (Imported)'!$1:$5000,M214,FALSE)</f>
        <v>0</v>
      </c>
      <c r="T214">
        <f>HLOOKUP("Provisioned MiB",'vInfo (Imported)'!$1:$5000,M214,FALSE)</f>
        <v>0</v>
      </c>
      <c r="U214">
        <f t="shared" si="10"/>
        <v>0</v>
      </c>
      <c r="V214">
        <f>HLOOKUP("In Use MiB",'vInfo (Imported)'!$1:$5000,M214,FALSE)</f>
        <v>0</v>
      </c>
    </row>
    <row r="215" spans="1:22" ht="13" x14ac:dyDescent="0.3">
      <c r="A215" s="46">
        <f>'vHosts (Imported)'!A215</f>
        <v>0</v>
      </c>
      <c r="B215" s="51">
        <f t="shared" si="9"/>
        <v>4968</v>
      </c>
      <c r="C215" s="49">
        <f>HLOOKUP("# Cores",'vHosts (Imported)'!$1:$5000,M215,FALSE)</f>
        <v>0</v>
      </c>
      <c r="D215" s="52">
        <f>HLOOKUP("# Memory",'vHosts (Imported)'!$1:$5000,M215,FALSE)</f>
        <v>0</v>
      </c>
      <c r="M215" s="45">
        <f t="shared" si="11"/>
        <v>215</v>
      </c>
      <c r="N215" s="38">
        <f>HLOOKUP("Host",'vInfo (Imported)'!$1:$5000,M215,FALSE)</f>
        <v>0</v>
      </c>
      <c r="R215">
        <f>HLOOKUP("CPUs",'vInfo (Imported)'!$1:$5000,M215,FALSE)</f>
        <v>0</v>
      </c>
      <c r="S215">
        <f>HLOOKUP("Memory",'vInfo (Imported)'!$1:$5000,M215,FALSE)</f>
        <v>0</v>
      </c>
      <c r="T215">
        <f>HLOOKUP("Provisioned MiB",'vInfo (Imported)'!$1:$5000,M215,FALSE)</f>
        <v>0</v>
      </c>
      <c r="U215">
        <f t="shared" si="10"/>
        <v>0</v>
      </c>
      <c r="V215">
        <f>HLOOKUP("In Use MiB",'vInfo (Imported)'!$1:$5000,M215,FALSE)</f>
        <v>0</v>
      </c>
    </row>
    <row r="216" spans="1:22" ht="13" x14ac:dyDescent="0.3">
      <c r="A216" s="46">
        <f>'vHosts (Imported)'!A216</f>
        <v>0</v>
      </c>
      <c r="B216" s="51">
        <f t="shared" si="9"/>
        <v>4968</v>
      </c>
      <c r="C216" s="49">
        <f>HLOOKUP("# Cores",'vHosts (Imported)'!$1:$5000,M216,FALSE)</f>
        <v>0</v>
      </c>
      <c r="D216" s="52">
        <f>HLOOKUP("# Memory",'vHosts (Imported)'!$1:$5000,M216,FALSE)</f>
        <v>0</v>
      </c>
      <c r="M216" s="45">
        <f t="shared" si="11"/>
        <v>216</v>
      </c>
      <c r="N216" s="38">
        <f>HLOOKUP("Host",'vInfo (Imported)'!$1:$5000,M216,FALSE)</f>
        <v>0</v>
      </c>
      <c r="R216">
        <f>HLOOKUP("CPUs",'vInfo (Imported)'!$1:$5000,M216,FALSE)</f>
        <v>0</v>
      </c>
      <c r="S216">
        <f>HLOOKUP("Memory",'vInfo (Imported)'!$1:$5000,M216,FALSE)</f>
        <v>0</v>
      </c>
      <c r="T216">
        <f>HLOOKUP("Provisioned MiB",'vInfo (Imported)'!$1:$5000,M216,FALSE)</f>
        <v>0</v>
      </c>
      <c r="U216">
        <f t="shared" si="10"/>
        <v>0</v>
      </c>
      <c r="V216">
        <f>HLOOKUP("In Use MiB",'vInfo (Imported)'!$1:$5000,M216,FALSE)</f>
        <v>0</v>
      </c>
    </row>
    <row r="217" spans="1:22" ht="13" x14ac:dyDescent="0.3">
      <c r="A217" s="46">
        <f>'vHosts (Imported)'!A217</f>
        <v>0</v>
      </c>
      <c r="B217" s="51">
        <f t="shared" si="9"/>
        <v>4968</v>
      </c>
      <c r="C217" s="49">
        <f>HLOOKUP("# Cores",'vHosts (Imported)'!$1:$5000,M217,FALSE)</f>
        <v>0</v>
      </c>
      <c r="D217" s="52">
        <f>HLOOKUP("# Memory",'vHosts (Imported)'!$1:$5000,M217,FALSE)</f>
        <v>0</v>
      </c>
      <c r="M217" s="45">
        <f t="shared" si="11"/>
        <v>217</v>
      </c>
      <c r="N217" s="38">
        <f>HLOOKUP("Host",'vInfo (Imported)'!$1:$5000,M217,FALSE)</f>
        <v>0</v>
      </c>
      <c r="R217">
        <f>HLOOKUP("CPUs",'vInfo (Imported)'!$1:$5000,M217,FALSE)</f>
        <v>0</v>
      </c>
      <c r="S217">
        <f>HLOOKUP("Memory",'vInfo (Imported)'!$1:$5000,M217,FALSE)</f>
        <v>0</v>
      </c>
      <c r="T217">
        <f>HLOOKUP("Provisioned MiB",'vInfo (Imported)'!$1:$5000,M217,FALSE)</f>
        <v>0</v>
      </c>
      <c r="U217">
        <f t="shared" si="10"/>
        <v>0</v>
      </c>
      <c r="V217">
        <f>HLOOKUP("In Use MiB",'vInfo (Imported)'!$1:$5000,M217,FALSE)</f>
        <v>0</v>
      </c>
    </row>
    <row r="218" spans="1:22" ht="13" x14ac:dyDescent="0.3">
      <c r="A218" s="46">
        <f>'vHosts (Imported)'!A218</f>
        <v>0</v>
      </c>
      <c r="B218" s="51">
        <f t="shared" si="9"/>
        <v>4968</v>
      </c>
      <c r="C218" s="49">
        <f>HLOOKUP("# Cores",'vHosts (Imported)'!$1:$5000,M218,FALSE)</f>
        <v>0</v>
      </c>
      <c r="D218" s="52">
        <f>HLOOKUP("# Memory",'vHosts (Imported)'!$1:$5000,M218,FALSE)</f>
        <v>0</v>
      </c>
      <c r="M218" s="45">
        <f t="shared" si="11"/>
        <v>218</v>
      </c>
      <c r="N218" s="38">
        <f>HLOOKUP("Host",'vInfo (Imported)'!$1:$5000,M218,FALSE)</f>
        <v>0</v>
      </c>
      <c r="R218">
        <f>HLOOKUP("CPUs",'vInfo (Imported)'!$1:$5000,M218,FALSE)</f>
        <v>0</v>
      </c>
      <c r="S218">
        <f>HLOOKUP("Memory",'vInfo (Imported)'!$1:$5000,M218,FALSE)</f>
        <v>0</v>
      </c>
      <c r="T218">
        <f>HLOOKUP("Provisioned MiB",'vInfo (Imported)'!$1:$5000,M218,FALSE)</f>
        <v>0</v>
      </c>
      <c r="U218">
        <f t="shared" si="10"/>
        <v>0</v>
      </c>
      <c r="V218">
        <f>HLOOKUP("In Use MiB",'vInfo (Imported)'!$1:$5000,M218,FALSE)</f>
        <v>0</v>
      </c>
    </row>
    <row r="219" spans="1:22" ht="13" x14ac:dyDescent="0.3">
      <c r="A219" s="46">
        <f>'vHosts (Imported)'!A219</f>
        <v>0</v>
      </c>
      <c r="B219" s="51">
        <f t="shared" si="9"/>
        <v>4968</v>
      </c>
      <c r="C219" s="49">
        <f>HLOOKUP("# Cores",'vHosts (Imported)'!$1:$5000,M219,FALSE)</f>
        <v>0</v>
      </c>
      <c r="D219" s="52">
        <f>HLOOKUP("# Memory",'vHosts (Imported)'!$1:$5000,M219,FALSE)</f>
        <v>0</v>
      </c>
      <c r="M219" s="45">
        <f t="shared" si="11"/>
        <v>219</v>
      </c>
      <c r="N219" s="38">
        <f>HLOOKUP("Host",'vInfo (Imported)'!$1:$5000,M219,FALSE)</f>
        <v>0</v>
      </c>
      <c r="R219">
        <f>HLOOKUP("CPUs",'vInfo (Imported)'!$1:$5000,M219,FALSE)</f>
        <v>0</v>
      </c>
      <c r="S219">
        <f>HLOOKUP("Memory",'vInfo (Imported)'!$1:$5000,M219,FALSE)</f>
        <v>0</v>
      </c>
      <c r="T219">
        <f>HLOOKUP("Provisioned MiB",'vInfo (Imported)'!$1:$5000,M219,FALSE)</f>
        <v>0</v>
      </c>
      <c r="U219">
        <f t="shared" si="10"/>
        <v>0</v>
      </c>
      <c r="V219">
        <f>HLOOKUP("In Use MiB",'vInfo (Imported)'!$1:$5000,M219,FALSE)</f>
        <v>0</v>
      </c>
    </row>
    <row r="220" spans="1:22" ht="13" x14ac:dyDescent="0.3">
      <c r="A220" s="46">
        <f>'vHosts (Imported)'!A220</f>
        <v>0</v>
      </c>
      <c r="B220" s="51">
        <f t="shared" si="9"/>
        <v>4968</v>
      </c>
      <c r="C220" s="49">
        <f>HLOOKUP("# Cores",'vHosts (Imported)'!$1:$5000,M220,FALSE)</f>
        <v>0</v>
      </c>
      <c r="D220" s="52">
        <f>HLOOKUP("# Memory",'vHosts (Imported)'!$1:$5000,M220,FALSE)</f>
        <v>0</v>
      </c>
      <c r="M220" s="45">
        <f t="shared" si="11"/>
        <v>220</v>
      </c>
      <c r="N220" s="38">
        <f>HLOOKUP("Host",'vInfo (Imported)'!$1:$5000,M220,FALSE)</f>
        <v>0</v>
      </c>
      <c r="R220">
        <f>HLOOKUP("CPUs",'vInfo (Imported)'!$1:$5000,M220,FALSE)</f>
        <v>0</v>
      </c>
      <c r="S220">
        <f>HLOOKUP("Memory",'vInfo (Imported)'!$1:$5000,M220,FALSE)</f>
        <v>0</v>
      </c>
      <c r="T220">
        <f>HLOOKUP("Provisioned MiB",'vInfo (Imported)'!$1:$5000,M220,FALSE)</f>
        <v>0</v>
      </c>
      <c r="U220">
        <f t="shared" si="10"/>
        <v>0</v>
      </c>
      <c r="V220">
        <f>HLOOKUP("In Use MiB",'vInfo (Imported)'!$1:$5000,M220,FALSE)</f>
        <v>0</v>
      </c>
    </row>
    <row r="221" spans="1:22" ht="13" x14ac:dyDescent="0.3">
      <c r="A221" s="46">
        <f>'vHosts (Imported)'!A221</f>
        <v>0</v>
      </c>
      <c r="B221" s="51">
        <f t="shared" si="9"/>
        <v>4968</v>
      </c>
      <c r="C221" s="49">
        <f>HLOOKUP("# Cores",'vHosts (Imported)'!$1:$5000,M221,FALSE)</f>
        <v>0</v>
      </c>
      <c r="D221" s="52">
        <f>HLOOKUP("# Memory",'vHosts (Imported)'!$1:$5000,M221,FALSE)</f>
        <v>0</v>
      </c>
      <c r="M221" s="45">
        <f t="shared" si="11"/>
        <v>221</v>
      </c>
      <c r="N221" s="38">
        <f>HLOOKUP("Host",'vInfo (Imported)'!$1:$5000,M221,FALSE)</f>
        <v>0</v>
      </c>
      <c r="R221">
        <f>HLOOKUP("CPUs",'vInfo (Imported)'!$1:$5000,M221,FALSE)</f>
        <v>0</v>
      </c>
      <c r="S221">
        <f>HLOOKUP("Memory",'vInfo (Imported)'!$1:$5000,M221,FALSE)</f>
        <v>0</v>
      </c>
      <c r="T221">
        <f>HLOOKUP("Provisioned MiB",'vInfo (Imported)'!$1:$5000,M221,FALSE)</f>
        <v>0</v>
      </c>
      <c r="U221">
        <f t="shared" si="10"/>
        <v>0</v>
      </c>
      <c r="V221">
        <f>HLOOKUP("In Use MiB",'vInfo (Imported)'!$1:$5000,M221,FALSE)</f>
        <v>0</v>
      </c>
    </row>
    <row r="222" spans="1:22" ht="13" x14ac:dyDescent="0.3">
      <c r="A222" s="46">
        <f>'vHosts (Imported)'!A222</f>
        <v>0</v>
      </c>
      <c r="B222" s="51">
        <f t="shared" si="9"/>
        <v>4968</v>
      </c>
      <c r="C222" s="49">
        <f>HLOOKUP("# Cores",'vHosts (Imported)'!$1:$5000,M222,FALSE)</f>
        <v>0</v>
      </c>
      <c r="D222" s="52">
        <f>HLOOKUP("# Memory",'vHosts (Imported)'!$1:$5000,M222,FALSE)</f>
        <v>0</v>
      </c>
      <c r="M222" s="45">
        <f t="shared" si="11"/>
        <v>222</v>
      </c>
      <c r="N222" s="38">
        <f>HLOOKUP("Host",'vInfo (Imported)'!$1:$5000,M222,FALSE)</f>
        <v>0</v>
      </c>
      <c r="R222">
        <f>HLOOKUP("CPUs",'vInfo (Imported)'!$1:$5000,M222,FALSE)</f>
        <v>0</v>
      </c>
      <c r="S222">
        <f>HLOOKUP("Memory",'vInfo (Imported)'!$1:$5000,M222,FALSE)</f>
        <v>0</v>
      </c>
      <c r="T222">
        <f>HLOOKUP("Provisioned MiB",'vInfo (Imported)'!$1:$5000,M222,FALSE)</f>
        <v>0</v>
      </c>
      <c r="U222">
        <f t="shared" si="10"/>
        <v>0</v>
      </c>
      <c r="V222">
        <f>HLOOKUP("In Use MiB",'vInfo (Imported)'!$1:$5000,M222,FALSE)</f>
        <v>0</v>
      </c>
    </row>
    <row r="223" spans="1:22" ht="13" x14ac:dyDescent="0.3">
      <c r="A223" s="46">
        <f>'vHosts (Imported)'!A223</f>
        <v>0</v>
      </c>
      <c r="B223" s="51">
        <f t="shared" si="9"/>
        <v>4968</v>
      </c>
      <c r="C223" s="49">
        <f>HLOOKUP("# Cores",'vHosts (Imported)'!$1:$5000,M223,FALSE)</f>
        <v>0</v>
      </c>
      <c r="D223" s="52">
        <f>HLOOKUP("# Memory",'vHosts (Imported)'!$1:$5000,M223,FALSE)</f>
        <v>0</v>
      </c>
      <c r="M223" s="45">
        <f t="shared" si="11"/>
        <v>223</v>
      </c>
      <c r="N223" s="38">
        <f>HLOOKUP("Host",'vInfo (Imported)'!$1:$5000,M223,FALSE)</f>
        <v>0</v>
      </c>
      <c r="R223">
        <f>HLOOKUP("CPUs",'vInfo (Imported)'!$1:$5000,M223,FALSE)</f>
        <v>0</v>
      </c>
      <c r="S223">
        <f>HLOOKUP("Memory",'vInfo (Imported)'!$1:$5000,M223,FALSE)</f>
        <v>0</v>
      </c>
      <c r="T223">
        <f>HLOOKUP("Provisioned MiB",'vInfo (Imported)'!$1:$5000,M223,FALSE)</f>
        <v>0</v>
      </c>
      <c r="U223">
        <f t="shared" si="10"/>
        <v>0</v>
      </c>
      <c r="V223">
        <f>HLOOKUP("In Use MiB",'vInfo (Imported)'!$1:$5000,M223,FALSE)</f>
        <v>0</v>
      </c>
    </row>
    <row r="224" spans="1:22" ht="13" x14ac:dyDescent="0.3">
      <c r="A224" s="46">
        <f>'vHosts (Imported)'!A224</f>
        <v>0</v>
      </c>
      <c r="B224" s="51">
        <f t="shared" si="9"/>
        <v>4968</v>
      </c>
      <c r="C224" s="49">
        <f>HLOOKUP("# Cores",'vHosts (Imported)'!$1:$5000,M224,FALSE)</f>
        <v>0</v>
      </c>
      <c r="D224" s="52">
        <f>HLOOKUP("# Memory",'vHosts (Imported)'!$1:$5000,M224,FALSE)</f>
        <v>0</v>
      </c>
      <c r="M224" s="45">
        <f t="shared" si="11"/>
        <v>224</v>
      </c>
      <c r="N224" s="38">
        <f>HLOOKUP("Host",'vInfo (Imported)'!$1:$5000,M224,FALSE)</f>
        <v>0</v>
      </c>
      <c r="R224">
        <f>HLOOKUP("CPUs",'vInfo (Imported)'!$1:$5000,M224,FALSE)</f>
        <v>0</v>
      </c>
      <c r="S224">
        <f>HLOOKUP("Memory",'vInfo (Imported)'!$1:$5000,M224,FALSE)</f>
        <v>0</v>
      </c>
      <c r="T224">
        <f>HLOOKUP("Provisioned MiB",'vInfo (Imported)'!$1:$5000,M224,FALSE)</f>
        <v>0</v>
      </c>
      <c r="U224">
        <f t="shared" si="10"/>
        <v>0</v>
      </c>
      <c r="V224">
        <f>HLOOKUP("In Use MiB",'vInfo (Imported)'!$1:$5000,M224,FALSE)</f>
        <v>0</v>
      </c>
    </row>
    <row r="225" spans="1:22" ht="13" x14ac:dyDescent="0.3">
      <c r="A225" s="46">
        <f>'vHosts (Imported)'!A225</f>
        <v>0</v>
      </c>
      <c r="B225" s="51">
        <f t="shared" si="9"/>
        <v>4968</v>
      </c>
      <c r="C225" s="49">
        <f>HLOOKUP("# Cores",'vHosts (Imported)'!$1:$5000,M225,FALSE)</f>
        <v>0</v>
      </c>
      <c r="D225" s="52">
        <f>HLOOKUP("# Memory",'vHosts (Imported)'!$1:$5000,M225,FALSE)</f>
        <v>0</v>
      </c>
      <c r="M225" s="45">
        <f t="shared" si="11"/>
        <v>225</v>
      </c>
      <c r="N225" s="38">
        <f>HLOOKUP("Host",'vInfo (Imported)'!$1:$5000,M225,FALSE)</f>
        <v>0</v>
      </c>
      <c r="R225">
        <f>HLOOKUP("CPUs",'vInfo (Imported)'!$1:$5000,M225,FALSE)</f>
        <v>0</v>
      </c>
      <c r="S225">
        <f>HLOOKUP("Memory",'vInfo (Imported)'!$1:$5000,M225,FALSE)</f>
        <v>0</v>
      </c>
      <c r="T225">
        <f>HLOOKUP("Provisioned MiB",'vInfo (Imported)'!$1:$5000,M225,FALSE)</f>
        <v>0</v>
      </c>
      <c r="U225">
        <f t="shared" si="10"/>
        <v>0</v>
      </c>
      <c r="V225">
        <f>HLOOKUP("In Use MiB",'vInfo (Imported)'!$1:$5000,M225,FALSE)</f>
        <v>0</v>
      </c>
    </row>
    <row r="226" spans="1:22" ht="13" x14ac:dyDescent="0.3">
      <c r="A226" s="46">
        <f>'vHosts (Imported)'!A226</f>
        <v>0</v>
      </c>
      <c r="B226" s="51">
        <f t="shared" si="9"/>
        <v>4968</v>
      </c>
      <c r="C226" s="49">
        <f>HLOOKUP("# Cores",'vHosts (Imported)'!$1:$5000,M226,FALSE)</f>
        <v>0</v>
      </c>
      <c r="D226" s="52">
        <f>HLOOKUP("# Memory",'vHosts (Imported)'!$1:$5000,M226,FALSE)</f>
        <v>0</v>
      </c>
      <c r="M226" s="45">
        <f t="shared" si="11"/>
        <v>226</v>
      </c>
      <c r="N226" s="38">
        <f>HLOOKUP("Host",'vInfo (Imported)'!$1:$5000,M226,FALSE)</f>
        <v>0</v>
      </c>
      <c r="R226">
        <f>HLOOKUP("CPUs",'vInfo (Imported)'!$1:$5000,M226,FALSE)</f>
        <v>0</v>
      </c>
      <c r="S226">
        <f>HLOOKUP("Memory",'vInfo (Imported)'!$1:$5000,M226,FALSE)</f>
        <v>0</v>
      </c>
      <c r="T226">
        <f>HLOOKUP("Provisioned MiB",'vInfo (Imported)'!$1:$5000,M226,FALSE)</f>
        <v>0</v>
      </c>
      <c r="U226">
        <f t="shared" si="10"/>
        <v>0</v>
      </c>
      <c r="V226">
        <f>HLOOKUP("In Use MiB",'vInfo (Imported)'!$1:$5000,M226,FALSE)</f>
        <v>0</v>
      </c>
    </row>
    <row r="227" spans="1:22" ht="13" x14ac:dyDescent="0.3">
      <c r="A227" s="46">
        <f>'vHosts (Imported)'!A227</f>
        <v>0</v>
      </c>
      <c r="B227" s="51">
        <f t="shared" si="9"/>
        <v>4968</v>
      </c>
      <c r="C227" s="49">
        <f>HLOOKUP("# Cores",'vHosts (Imported)'!$1:$5000,M227,FALSE)</f>
        <v>0</v>
      </c>
      <c r="D227" s="52">
        <f>HLOOKUP("# Memory",'vHosts (Imported)'!$1:$5000,M227,FALSE)</f>
        <v>0</v>
      </c>
      <c r="M227" s="45">
        <f t="shared" si="11"/>
        <v>227</v>
      </c>
      <c r="N227" s="38">
        <f>HLOOKUP("Host",'vInfo (Imported)'!$1:$5000,M227,FALSE)</f>
        <v>0</v>
      </c>
      <c r="R227">
        <f>HLOOKUP("CPUs",'vInfo (Imported)'!$1:$5000,M227,FALSE)</f>
        <v>0</v>
      </c>
      <c r="S227">
        <f>HLOOKUP("Memory",'vInfo (Imported)'!$1:$5000,M227,FALSE)</f>
        <v>0</v>
      </c>
      <c r="T227">
        <f>HLOOKUP("Provisioned MiB",'vInfo (Imported)'!$1:$5000,M227,FALSE)</f>
        <v>0</v>
      </c>
      <c r="U227">
        <f t="shared" si="10"/>
        <v>0</v>
      </c>
      <c r="V227">
        <f>HLOOKUP("In Use MiB",'vInfo (Imported)'!$1:$5000,M227,FALSE)</f>
        <v>0</v>
      </c>
    </row>
    <row r="228" spans="1:22" ht="13" x14ac:dyDescent="0.3">
      <c r="A228" s="46">
        <f>'vHosts (Imported)'!A228</f>
        <v>0</v>
      </c>
      <c r="B228" s="51">
        <f t="shared" si="9"/>
        <v>4968</v>
      </c>
      <c r="C228" s="49">
        <f>HLOOKUP("# Cores",'vHosts (Imported)'!$1:$5000,M228,FALSE)</f>
        <v>0</v>
      </c>
      <c r="D228" s="52">
        <f>HLOOKUP("# Memory",'vHosts (Imported)'!$1:$5000,M228,FALSE)</f>
        <v>0</v>
      </c>
      <c r="M228" s="45">
        <f t="shared" si="11"/>
        <v>228</v>
      </c>
      <c r="N228" s="38">
        <f>HLOOKUP("Host",'vInfo (Imported)'!$1:$5000,M228,FALSE)</f>
        <v>0</v>
      </c>
      <c r="R228">
        <f>HLOOKUP("CPUs",'vInfo (Imported)'!$1:$5000,M228,FALSE)</f>
        <v>0</v>
      </c>
      <c r="S228">
        <f>HLOOKUP("Memory",'vInfo (Imported)'!$1:$5000,M228,FALSE)</f>
        <v>0</v>
      </c>
      <c r="T228">
        <f>HLOOKUP("Provisioned MiB",'vInfo (Imported)'!$1:$5000,M228,FALSE)</f>
        <v>0</v>
      </c>
      <c r="U228">
        <f t="shared" si="10"/>
        <v>0</v>
      </c>
      <c r="V228">
        <f>HLOOKUP("In Use MiB",'vInfo (Imported)'!$1:$5000,M228,FALSE)</f>
        <v>0</v>
      </c>
    </row>
    <row r="229" spans="1:22" ht="13" x14ac:dyDescent="0.3">
      <c r="A229" s="46">
        <f>'vHosts (Imported)'!A229</f>
        <v>0</v>
      </c>
      <c r="B229" s="51">
        <f t="shared" si="9"/>
        <v>4968</v>
      </c>
      <c r="C229" s="49">
        <f>HLOOKUP("# Cores",'vHosts (Imported)'!$1:$5000,M229,FALSE)</f>
        <v>0</v>
      </c>
      <c r="D229" s="52">
        <f>HLOOKUP("# Memory",'vHosts (Imported)'!$1:$5000,M229,FALSE)</f>
        <v>0</v>
      </c>
      <c r="M229" s="45">
        <f t="shared" si="11"/>
        <v>229</v>
      </c>
      <c r="N229" s="38">
        <f>HLOOKUP("Host",'vInfo (Imported)'!$1:$5000,M229,FALSE)</f>
        <v>0</v>
      </c>
      <c r="R229">
        <f>HLOOKUP("CPUs",'vInfo (Imported)'!$1:$5000,M229,FALSE)</f>
        <v>0</v>
      </c>
      <c r="S229">
        <f>HLOOKUP("Memory",'vInfo (Imported)'!$1:$5000,M229,FALSE)</f>
        <v>0</v>
      </c>
      <c r="T229">
        <f>HLOOKUP("Provisioned MiB",'vInfo (Imported)'!$1:$5000,M229,FALSE)</f>
        <v>0</v>
      </c>
      <c r="U229">
        <f t="shared" si="10"/>
        <v>0</v>
      </c>
      <c r="V229">
        <f>HLOOKUP("In Use MiB",'vInfo (Imported)'!$1:$5000,M229,FALSE)</f>
        <v>0</v>
      </c>
    </row>
    <row r="230" spans="1:22" ht="13" x14ac:dyDescent="0.3">
      <c r="A230" s="46">
        <f>'vHosts (Imported)'!A230</f>
        <v>0</v>
      </c>
      <c r="B230" s="51">
        <f t="shared" si="9"/>
        <v>4968</v>
      </c>
      <c r="C230" s="49">
        <f>HLOOKUP("# Cores",'vHosts (Imported)'!$1:$5000,M230,FALSE)</f>
        <v>0</v>
      </c>
      <c r="D230" s="52">
        <f>HLOOKUP("# Memory",'vHosts (Imported)'!$1:$5000,M230,FALSE)</f>
        <v>0</v>
      </c>
      <c r="M230" s="45">
        <f t="shared" si="11"/>
        <v>230</v>
      </c>
      <c r="N230" s="38">
        <f>HLOOKUP("Host",'vInfo (Imported)'!$1:$5000,M230,FALSE)</f>
        <v>0</v>
      </c>
      <c r="R230">
        <f>HLOOKUP("CPUs",'vInfo (Imported)'!$1:$5000,M230,FALSE)</f>
        <v>0</v>
      </c>
      <c r="S230">
        <f>HLOOKUP("Memory",'vInfo (Imported)'!$1:$5000,M230,FALSE)</f>
        <v>0</v>
      </c>
      <c r="T230">
        <f>HLOOKUP("Provisioned MiB",'vInfo (Imported)'!$1:$5000,M230,FALSE)</f>
        <v>0</v>
      </c>
      <c r="U230">
        <f t="shared" si="10"/>
        <v>0</v>
      </c>
      <c r="V230">
        <f>HLOOKUP("In Use MiB",'vInfo (Imported)'!$1:$5000,M230,FALSE)</f>
        <v>0</v>
      </c>
    </row>
    <row r="231" spans="1:22" ht="13" x14ac:dyDescent="0.3">
      <c r="A231" s="46">
        <f>'vHosts (Imported)'!A231</f>
        <v>0</v>
      </c>
      <c r="B231" s="51">
        <f t="shared" si="9"/>
        <v>4968</v>
      </c>
      <c r="C231" s="49">
        <f>HLOOKUP("# Cores",'vHosts (Imported)'!$1:$5000,M231,FALSE)</f>
        <v>0</v>
      </c>
      <c r="D231" s="52">
        <f>HLOOKUP("# Memory",'vHosts (Imported)'!$1:$5000,M231,FALSE)</f>
        <v>0</v>
      </c>
      <c r="M231" s="45">
        <f t="shared" si="11"/>
        <v>231</v>
      </c>
      <c r="N231" s="38">
        <f>HLOOKUP("Host",'vInfo (Imported)'!$1:$5000,M231,FALSE)</f>
        <v>0</v>
      </c>
      <c r="R231">
        <f>HLOOKUP("CPUs",'vInfo (Imported)'!$1:$5000,M231,FALSE)</f>
        <v>0</v>
      </c>
      <c r="S231">
        <f>HLOOKUP("Memory",'vInfo (Imported)'!$1:$5000,M231,FALSE)</f>
        <v>0</v>
      </c>
      <c r="T231">
        <f>HLOOKUP("Provisioned MiB",'vInfo (Imported)'!$1:$5000,M231,FALSE)</f>
        <v>0</v>
      </c>
      <c r="U231">
        <f t="shared" si="10"/>
        <v>0</v>
      </c>
      <c r="V231">
        <f>HLOOKUP("In Use MiB",'vInfo (Imported)'!$1:$5000,M231,FALSE)</f>
        <v>0</v>
      </c>
    </row>
    <row r="232" spans="1:22" ht="13" x14ac:dyDescent="0.3">
      <c r="A232" s="46">
        <f>'vHosts (Imported)'!A232</f>
        <v>0</v>
      </c>
      <c r="B232" s="51">
        <f t="shared" si="9"/>
        <v>4968</v>
      </c>
      <c r="C232" s="49">
        <f>HLOOKUP("# Cores",'vHosts (Imported)'!$1:$5000,M232,FALSE)</f>
        <v>0</v>
      </c>
      <c r="D232" s="52">
        <f>HLOOKUP("# Memory",'vHosts (Imported)'!$1:$5000,M232,FALSE)</f>
        <v>0</v>
      </c>
      <c r="M232" s="45">
        <f t="shared" si="11"/>
        <v>232</v>
      </c>
      <c r="N232" s="38">
        <f>HLOOKUP("Host",'vInfo (Imported)'!$1:$5000,M232,FALSE)</f>
        <v>0</v>
      </c>
      <c r="R232">
        <f>HLOOKUP("CPUs",'vInfo (Imported)'!$1:$5000,M232,FALSE)</f>
        <v>0</v>
      </c>
      <c r="S232">
        <f>HLOOKUP("Memory",'vInfo (Imported)'!$1:$5000,M232,FALSE)</f>
        <v>0</v>
      </c>
      <c r="T232">
        <f>HLOOKUP("Provisioned MiB",'vInfo (Imported)'!$1:$5000,M232,FALSE)</f>
        <v>0</v>
      </c>
      <c r="U232">
        <f t="shared" si="10"/>
        <v>0</v>
      </c>
      <c r="V232">
        <f>HLOOKUP("In Use MiB",'vInfo (Imported)'!$1:$5000,M232,FALSE)</f>
        <v>0</v>
      </c>
    </row>
    <row r="233" spans="1:22" ht="13" x14ac:dyDescent="0.3">
      <c r="A233" s="46">
        <f>'vHosts (Imported)'!A233</f>
        <v>0</v>
      </c>
      <c r="B233" s="51">
        <f t="shared" si="9"/>
        <v>4968</v>
      </c>
      <c r="C233" s="49">
        <f>HLOOKUP("# Cores",'vHosts (Imported)'!$1:$5000,M233,FALSE)</f>
        <v>0</v>
      </c>
      <c r="D233" s="52">
        <f>HLOOKUP("# Memory",'vHosts (Imported)'!$1:$5000,M233,FALSE)</f>
        <v>0</v>
      </c>
      <c r="M233" s="45">
        <f t="shared" si="11"/>
        <v>233</v>
      </c>
      <c r="N233" s="38">
        <f>HLOOKUP("Host",'vInfo (Imported)'!$1:$5000,M233,FALSE)</f>
        <v>0</v>
      </c>
      <c r="R233">
        <f>HLOOKUP("CPUs",'vInfo (Imported)'!$1:$5000,M233,FALSE)</f>
        <v>0</v>
      </c>
      <c r="S233">
        <f>HLOOKUP("Memory",'vInfo (Imported)'!$1:$5000,M233,FALSE)</f>
        <v>0</v>
      </c>
      <c r="T233">
        <f>HLOOKUP("Provisioned MiB",'vInfo (Imported)'!$1:$5000,M233,FALSE)</f>
        <v>0</v>
      </c>
      <c r="U233">
        <f t="shared" si="10"/>
        <v>0</v>
      </c>
      <c r="V233">
        <f>HLOOKUP("In Use MiB",'vInfo (Imported)'!$1:$5000,M233,FALSE)</f>
        <v>0</v>
      </c>
    </row>
    <row r="234" spans="1:22" ht="13" x14ac:dyDescent="0.3">
      <c r="A234" s="46">
        <f>'vHosts (Imported)'!A234</f>
        <v>0</v>
      </c>
      <c r="B234" s="51">
        <f t="shared" si="9"/>
        <v>4968</v>
      </c>
      <c r="C234" s="49">
        <f>HLOOKUP("# Cores",'vHosts (Imported)'!$1:$5000,M234,FALSE)</f>
        <v>0</v>
      </c>
      <c r="D234" s="52">
        <f>HLOOKUP("# Memory",'vHosts (Imported)'!$1:$5000,M234,FALSE)</f>
        <v>0</v>
      </c>
      <c r="M234" s="45">
        <f t="shared" si="11"/>
        <v>234</v>
      </c>
      <c r="N234" s="38">
        <f>HLOOKUP("Host",'vInfo (Imported)'!$1:$5000,M234,FALSE)</f>
        <v>0</v>
      </c>
      <c r="R234">
        <f>HLOOKUP("CPUs",'vInfo (Imported)'!$1:$5000,M234,FALSE)</f>
        <v>0</v>
      </c>
      <c r="S234">
        <f>HLOOKUP("Memory",'vInfo (Imported)'!$1:$5000,M234,FALSE)</f>
        <v>0</v>
      </c>
      <c r="T234">
        <f>HLOOKUP("Provisioned MiB",'vInfo (Imported)'!$1:$5000,M234,FALSE)</f>
        <v>0</v>
      </c>
      <c r="U234">
        <f t="shared" si="10"/>
        <v>0</v>
      </c>
      <c r="V234">
        <f>HLOOKUP("In Use MiB",'vInfo (Imported)'!$1:$5000,M234,FALSE)</f>
        <v>0</v>
      </c>
    </row>
    <row r="235" spans="1:22" ht="13" x14ac:dyDescent="0.3">
      <c r="A235" s="46">
        <f>'vHosts (Imported)'!A235</f>
        <v>0</v>
      </c>
      <c r="B235" s="51">
        <f t="shared" si="9"/>
        <v>4968</v>
      </c>
      <c r="C235" s="49">
        <f>HLOOKUP("# Cores",'vHosts (Imported)'!$1:$5000,M235,FALSE)</f>
        <v>0</v>
      </c>
      <c r="D235" s="52">
        <f>HLOOKUP("# Memory",'vHosts (Imported)'!$1:$5000,M235,FALSE)</f>
        <v>0</v>
      </c>
      <c r="M235" s="45">
        <f t="shared" si="11"/>
        <v>235</v>
      </c>
      <c r="N235" s="38">
        <f>HLOOKUP("Host",'vInfo (Imported)'!$1:$5000,M235,FALSE)</f>
        <v>0</v>
      </c>
      <c r="R235">
        <f>HLOOKUP("CPUs",'vInfo (Imported)'!$1:$5000,M235,FALSE)</f>
        <v>0</v>
      </c>
      <c r="S235">
        <f>HLOOKUP("Memory",'vInfo (Imported)'!$1:$5000,M235,FALSE)</f>
        <v>0</v>
      </c>
      <c r="T235">
        <f>HLOOKUP("Provisioned MiB",'vInfo (Imported)'!$1:$5000,M235,FALSE)</f>
        <v>0</v>
      </c>
      <c r="U235">
        <f t="shared" si="10"/>
        <v>0</v>
      </c>
      <c r="V235">
        <f>HLOOKUP("In Use MiB",'vInfo (Imported)'!$1:$5000,M235,FALSE)</f>
        <v>0</v>
      </c>
    </row>
    <row r="236" spans="1:22" ht="13" x14ac:dyDescent="0.3">
      <c r="A236" s="46">
        <f>'vHosts (Imported)'!A236</f>
        <v>0</v>
      </c>
      <c r="B236" s="51">
        <f t="shared" si="9"/>
        <v>4968</v>
      </c>
      <c r="C236" s="49">
        <f>HLOOKUP("# Cores",'vHosts (Imported)'!$1:$5000,M236,FALSE)</f>
        <v>0</v>
      </c>
      <c r="D236" s="52">
        <f>HLOOKUP("# Memory",'vHosts (Imported)'!$1:$5000,M236,FALSE)</f>
        <v>0</v>
      </c>
      <c r="M236" s="45">
        <f t="shared" si="11"/>
        <v>236</v>
      </c>
      <c r="N236" s="38">
        <f>HLOOKUP("Host",'vInfo (Imported)'!$1:$5000,M236,FALSE)</f>
        <v>0</v>
      </c>
      <c r="R236">
        <f>HLOOKUP("CPUs",'vInfo (Imported)'!$1:$5000,M236,FALSE)</f>
        <v>0</v>
      </c>
      <c r="S236">
        <f>HLOOKUP("Memory",'vInfo (Imported)'!$1:$5000,M236,FALSE)</f>
        <v>0</v>
      </c>
      <c r="T236">
        <f>HLOOKUP("Provisioned MiB",'vInfo (Imported)'!$1:$5000,M236,FALSE)</f>
        <v>0</v>
      </c>
      <c r="U236">
        <f t="shared" si="10"/>
        <v>0</v>
      </c>
      <c r="V236">
        <f>HLOOKUP("In Use MiB",'vInfo (Imported)'!$1:$5000,M236,FALSE)</f>
        <v>0</v>
      </c>
    </row>
    <row r="237" spans="1:22" ht="13" x14ac:dyDescent="0.3">
      <c r="A237" s="46">
        <f>'vHosts (Imported)'!A237</f>
        <v>0</v>
      </c>
      <c r="B237" s="51">
        <f t="shared" si="9"/>
        <v>4968</v>
      </c>
      <c r="C237" s="49">
        <f>HLOOKUP("# Cores",'vHosts (Imported)'!$1:$5000,M237,FALSE)</f>
        <v>0</v>
      </c>
      <c r="D237" s="52">
        <f>HLOOKUP("# Memory",'vHosts (Imported)'!$1:$5000,M237,FALSE)</f>
        <v>0</v>
      </c>
      <c r="M237" s="45">
        <f t="shared" si="11"/>
        <v>237</v>
      </c>
      <c r="N237" s="38">
        <f>HLOOKUP("Host",'vInfo (Imported)'!$1:$5000,M237,FALSE)</f>
        <v>0</v>
      </c>
      <c r="R237">
        <f>HLOOKUP("CPUs",'vInfo (Imported)'!$1:$5000,M237,FALSE)</f>
        <v>0</v>
      </c>
      <c r="S237">
        <f>HLOOKUP("Memory",'vInfo (Imported)'!$1:$5000,M237,FALSE)</f>
        <v>0</v>
      </c>
      <c r="T237">
        <f>HLOOKUP("Provisioned MiB",'vInfo (Imported)'!$1:$5000,M237,FALSE)</f>
        <v>0</v>
      </c>
      <c r="U237">
        <f t="shared" si="10"/>
        <v>0</v>
      </c>
      <c r="V237">
        <f>HLOOKUP("In Use MiB",'vInfo (Imported)'!$1:$5000,M237,FALSE)</f>
        <v>0</v>
      </c>
    </row>
    <row r="238" spans="1:22" ht="13" x14ac:dyDescent="0.3">
      <c r="A238" s="46">
        <f>'vHosts (Imported)'!A238</f>
        <v>0</v>
      </c>
      <c r="B238" s="51">
        <f t="shared" si="9"/>
        <v>4968</v>
      </c>
      <c r="C238" s="49">
        <f>HLOOKUP("# Cores",'vHosts (Imported)'!$1:$5000,M238,FALSE)</f>
        <v>0</v>
      </c>
      <c r="D238" s="52">
        <f>HLOOKUP("# Memory",'vHosts (Imported)'!$1:$5000,M238,FALSE)</f>
        <v>0</v>
      </c>
      <c r="M238" s="45">
        <f t="shared" si="11"/>
        <v>238</v>
      </c>
      <c r="N238" s="38">
        <f>HLOOKUP("Host",'vInfo (Imported)'!$1:$5000,M238,FALSE)</f>
        <v>0</v>
      </c>
      <c r="R238">
        <f>HLOOKUP("CPUs",'vInfo (Imported)'!$1:$5000,M238,FALSE)</f>
        <v>0</v>
      </c>
      <c r="S238">
        <f>HLOOKUP("Memory",'vInfo (Imported)'!$1:$5000,M238,FALSE)</f>
        <v>0</v>
      </c>
      <c r="T238">
        <f>HLOOKUP("Provisioned MiB",'vInfo (Imported)'!$1:$5000,M238,FALSE)</f>
        <v>0</v>
      </c>
      <c r="U238">
        <f t="shared" si="10"/>
        <v>0</v>
      </c>
      <c r="V238">
        <f>HLOOKUP("In Use MiB",'vInfo (Imported)'!$1:$5000,M238,FALSE)</f>
        <v>0</v>
      </c>
    </row>
    <row r="239" spans="1:22" ht="13" x14ac:dyDescent="0.3">
      <c r="A239" s="46">
        <f>'vHosts (Imported)'!A239</f>
        <v>0</v>
      </c>
      <c r="B239" s="51">
        <f t="shared" si="9"/>
        <v>4968</v>
      </c>
      <c r="C239" s="49">
        <f>HLOOKUP("# Cores",'vHosts (Imported)'!$1:$5000,M239,FALSE)</f>
        <v>0</v>
      </c>
      <c r="D239" s="52">
        <f>HLOOKUP("# Memory",'vHosts (Imported)'!$1:$5000,M239,FALSE)</f>
        <v>0</v>
      </c>
      <c r="M239" s="45">
        <f t="shared" si="11"/>
        <v>239</v>
      </c>
      <c r="N239" s="38">
        <f>HLOOKUP("Host",'vInfo (Imported)'!$1:$5000,M239,FALSE)</f>
        <v>0</v>
      </c>
      <c r="R239">
        <f>HLOOKUP("CPUs",'vInfo (Imported)'!$1:$5000,M239,FALSE)</f>
        <v>0</v>
      </c>
      <c r="S239">
        <f>HLOOKUP("Memory",'vInfo (Imported)'!$1:$5000,M239,FALSE)</f>
        <v>0</v>
      </c>
      <c r="T239">
        <f>HLOOKUP("Provisioned MiB",'vInfo (Imported)'!$1:$5000,M239,FALSE)</f>
        <v>0</v>
      </c>
      <c r="U239">
        <f t="shared" si="10"/>
        <v>0</v>
      </c>
      <c r="V239">
        <f>HLOOKUP("In Use MiB",'vInfo (Imported)'!$1:$5000,M239,FALSE)</f>
        <v>0</v>
      </c>
    </row>
    <row r="240" spans="1:22" ht="13" x14ac:dyDescent="0.3">
      <c r="A240" s="46">
        <f>'vHosts (Imported)'!A240</f>
        <v>0</v>
      </c>
      <c r="B240" s="51">
        <f t="shared" si="9"/>
        <v>4968</v>
      </c>
      <c r="C240" s="49">
        <f>HLOOKUP("# Cores",'vHosts (Imported)'!$1:$5000,M240,FALSE)</f>
        <v>0</v>
      </c>
      <c r="D240" s="52">
        <f>HLOOKUP("# Memory",'vHosts (Imported)'!$1:$5000,M240,FALSE)</f>
        <v>0</v>
      </c>
      <c r="M240" s="45">
        <f t="shared" si="11"/>
        <v>240</v>
      </c>
      <c r="N240" s="38">
        <f>HLOOKUP("Host",'vInfo (Imported)'!$1:$5000,M240,FALSE)</f>
        <v>0</v>
      </c>
      <c r="R240">
        <f>HLOOKUP("CPUs",'vInfo (Imported)'!$1:$5000,M240,FALSE)</f>
        <v>0</v>
      </c>
      <c r="S240">
        <f>HLOOKUP("Memory",'vInfo (Imported)'!$1:$5000,M240,FALSE)</f>
        <v>0</v>
      </c>
      <c r="T240">
        <f>HLOOKUP("Provisioned MiB",'vInfo (Imported)'!$1:$5000,M240,FALSE)</f>
        <v>0</v>
      </c>
      <c r="U240">
        <f t="shared" si="10"/>
        <v>0</v>
      </c>
      <c r="V240">
        <f>HLOOKUP("In Use MiB",'vInfo (Imported)'!$1:$5000,M240,FALSE)</f>
        <v>0</v>
      </c>
    </row>
    <row r="241" spans="1:22" ht="13" x14ac:dyDescent="0.3">
      <c r="A241" s="46">
        <f>'vHosts (Imported)'!A241</f>
        <v>0</v>
      </c>
      <c r="B241" s="51">
        <f t="shared" si="9"/>
        <v>4968</v>
      </c>
      <c r="C241" s="49">
        <f>HLOOKUP("# Cores",'vHosts (Imported)'!$1:$5000,M241,FALSE)</f>
        <v>0</v>
      </c>
      <c r="D241" s="52">
        <f>HLOOKUP("# Memory",'vHosts (Imported)'!$1:$5000,M241,FALSE)</f>
        <v>0</v>
      </c>
      <c r="M241" s="45">
        <f t="shared" si="11"/>
        <v>241</v>
      </c>
      <c r="N241" s="38">
        <f>HLOOKUP("Host",'vInfo (Imported)'!$1:$5000,M241,FALSE)</f>
        <v>0</v>
      </c>
      <c r="R241">
        <f>HLOOKUP("CPUs",'vInfo (Imported)'!$1:$5000,M241,FALSE)</f>
        <v>0</v>
      </c>
      <c r="S241">
        <f>HLOOKUP("Memory",'vInfo (Imported)'!$1:$5000,M241,FALSE)</f>
        <v>0</v>
      </c>
      <c r="T241">
        <f>HLOOKUP("Provisioned MiB",'vInfo (Imported)'!$1:$5000,M241,FALSE)</f>
        <v>0</v>
      </c>
      <c r="U241">
        <f t="shared" si="10"/>
        <v>0</v>
      </c>
      <c r="V241">
        <f>HLOOKUP("In Use MiB",'vInfo (Imported)'!$1:$5000,M241,FALSE)</f>
        <v>0</v>
      </c>
    </row>
    <row r="242" spans="1:22" ht="13" x14ac:dyDescent="0.3">
      <c r="A242" s="46">
        <f>'vHosts (Imported)'!A242</f>
        <v>0</v>
      </c>
      <c r="B242" s="51">
        <f t="shared" si="9"/>
        <v>4968</v>
      </c>
      <c r="C242" s="49">
        <f>HLOOKUP("# Cores",'vHosts (Imported)'!$1:$5000,M242,FALSE)</f>
        <v>0</v>
      </c>
      <c r="D242" s="52">
        <f>HLOOKUP("# Memory",'vHosts (Imported)'!$1:$5000,M242,FALSE)</f>
        <v>0</v>
      </c>
      <c r="M242" s="45">
        <f t="shared" si="11"/>
        <v>242</v>
      </c>
      <c r="N242" s="38">
        <f>HLOOKUP("Host",'vInfo (Imported)'!$1:$5000,M242,FALSE)</f>
        <v>0</v>
      </c>
      <c r="R242">
        <f>HLOOKUP("CPUs",'vInfo (Imported)'!$1:$5000,M242,FALSE)</f>
        <v>0</v>
      </c>
      <c r="S242">
        <f>HLOOKUP("Memory",'vInfo (Imported)'!$1:$5000,M242,FALSE)</f>
        <v>0</v>
      </c>
      <c r="T242">
        <f>HLOOKUP("Provisioned MiB",'vInfo (Imported)'!$1:$5000,M242,FALSE)</f>
        <v>0</v>
      </c>
      <c r="U242">
        <f t="shared" si="10"/>
        <v>0</v>
      </c>
      <c r="V242">
        <f>HLOOKUP("In Use MiB",'vInfo (Imported)'!$1:$5000,M242,FALSE)</f>
        <v>0</v>
      </c>
    </row>
    <row r="243" spans="1:22" ht="13" x14ac:dyDescent="0.3">
      <c r="A243" s="46">
        <f>'vHosts (Imported)'!A243</f>
        <v>0</v>
      </c>
      <c r="B243" s="51">
        <f t="shared" si="9"/>
        <v>4968</v>
      </c>
      <c r="C243" s="49">
        <f>HLOOKUP("# Cores",'vHosts (Imported)'!$1:$5000,M243,FALSE)</f>
        <v>0</v>
      </c>
      <c r="D243" s="52">
        <f>HLOOKUP("# Memory",'vHosts (Imported)'!$1:$5000,M243,FALSE)</f>
        <v>0</v>
      </c>
      <c r="M243" s="45">
        <f t="shared" si="11"/>
        <v>243</v>
      </c>
      <c r="N243" s="38">
        <f>HLOOKUP("Host",'vInfo (Imported)'!$1:$5000,M243,FALSE)</f>
        <v>0</v>
      </c>
      <c r="R243">
        <f>HLOOKUP("CPUs",'vInfo (Imported)'!$1:$5000,M243,FALSE)</f>
        <v>0</v>
      </c>
      <c r="S243">
        <f>HLOOKUP("Memory",'vInfo (Imported)'!$1:$5000,M243,FALSE)</f>
        <v>0</v>
      </c>
      <c r="T243">
        <f>HLOOKUP("Provisioned MiB",'vInfo (Imported)'!$1:$5000,M243,FALSE)</f>
        <v>0</v>
      </c>
      <c r="U243">
        <f t="shared" si="10"/>
        <v>0</v>
      </c>
      <c r="V243">
        <f>HLOOKUP("In Use MiB",'vInfo (Imported)'!$1:$5000,M243,FALSE)</f>
        <v>0</v>
      </c>
    </row>
    <row r="244" spans="1:22" ht="13" x14ac:dyDescent="0.3">
      <c r="A244" s="46">
        <f>'vHosts (Imported)'!A244</f>
        <v>0</v>
      </c>
      <c r="B244" s="51">
        <f t="shared" si="9"/>
        <v>4968</v>
      </c>
      <c r="C244" s="49">
        <f>HLOOKUP("# Cores",'vHosts (Imported)'!$1:$5000,M244,FALSE)</f>
        <v>0</v>
      </c>
      <c r="D244" s="52">
        <f>HLOOKUP("# Memory",'vHosts (Imported)'!$1:$5000,M244,FALSE)</f>
        <v>0</v>
      </c>
      <c r="M244" s="45">
        <f t="shared" si="11"/>
        <v>244</v>
      </c>
      <c r="N244" s="38">
        <f>HLOOKUP("Host",'vInfo (Imported)'!$1:$5000,M244,FALSE)</f>
        <v>0</v>
      </c>
      <c r="R244">
        <f>HLOOKUP("CPUs",'vInfo (Imported)'!$1:$5000,M244,FALSE)</f>
        <v>0</v>
      </c>
      <c r="S244">
        <f>HLOOKUP("Memory",'vInfo (Imported)'!$1:$5000,M244,FALSE)</f>
        <v>0</v>
      </c>
      <c r="T244">
        <f>HLOOKUP("Provisioned MiB",'vInfo (Imported)'!$1:$5000,M244,FALSE)</f>
        <v>0</v>
      </c>
      <c r="U244">
        <f t="shared" si="10"/>
        <v>0</v>
      </c>
      <c r="V244">
        <f>HLOOKUP("In Use MiB",'vInfo (Imported)'!$1:$5000,M244,FALSE)</f>
        <v>0</v>
      </c>
    </row>
    <row r="245" spans="1:22" ht="13" x14ac:dyDescent="0.3">
      <c r="A245" s="46">
        <f>'vHosts (Imported)'!A245</f>
        <v>0</v>
      </c>
      <c r="B245" s="51">
        <f t="shared" si="9"/>
        <v>4968</v>
      </c>
      <c r="C245" s="49">
        <f>HLOOKUP("# Cores",'vHosts (Imported)'!$1:$5000,M245,FALSE)</f>
        <v>0</v>
      </c>
      <c r="D245" s="52">
        <f>HLOOKUP("# Memory",'vHosts (Imported)'!$1:$5000,M245,FALSE)</f>
        <v>0</v>
      </c>
      <c r="M245" s="45">
        <f t="shared" si="11"/>
        <v>245</v>
      </c>
      <c r="N245" s="38">
        <f>HLOOKUP("Host",'vInfo (Imported)'!$1:$5000,M245,FALSE)</f>
        <v>0</v>
      </c>
      <c r="R245">
        <f>HLOOKUP("CPUs",'vInfo (Imported)'!$1:$5000,M245,FALSE)</f>
        <v>0</v>
      </c>
      <c r="S245">
        <f>HLOOKUP("Memory",'vInfo (Imported)'!$1:$5000,M245,FALSE)</f>
        <v>0</v>
      </c>
      <c r="T245">
        <f>HLOOKUP("Provisioned MiB",'vInfo (Imported)'!$1:$5000,M245,FALSE)</f>
        <v>0</v>
      </c>
      <c r="U245">
        <f t="shared" si="10"/>
        <v>0</v>
      </c>
      <c r="V245">
        <f>HLOOKUP("In Use MiB",'vInfo (Imported)'!$1:$5000,M245,FALSE)</f>
        <v>0</v>
      </c>
    </row>
    <row r="246" spans="1:22" ht="13" x14ac:dyDescent="0.3">
      <c r="A246" s="46">
        <f>'vHosts (Imported)'!A246</f>
        <v>0</v>
      </c>
      <c r="B246" s="51">
        <f t="shared" si="9"/>
        <v>4968</v>
      </c>
      <c r="C246" s="49">
        <f>HLOOKUP("# Cores",'vHosts (Imported)'!$1:$5000,M246,FALSE)</f>
        <v>0</v>
      </c>
      <c r="D246" s="52">
        <f>HLOOKUP("# Memory",'vHosts (Imported)'!$1:$5000,M246,FALSE)</f>
        <v>0</v>
      </c>
      <c r="M246" s="45">
        <f t="shared" si="11"/>
        <v>246</v>
      </c>
      <c r="N246" s="38">
        <f>HLOOKUP("Host",'vInfo (Imported)'!$1:$5000,M246,FALSE)</f>
        <v>0</v>
      </c>
      <c r="R246">
        <f>HLOOKUP("CPUs",'vInfo (Imported)'!$1:$5000,M246,FALSE)</f>
        <v>0</v>
      </c>
      <c r="S246">
        <f>HLOOKUP("Memory",'vInfo (Imported)'!$1:$5000,M246,FALSE)</f>
        <v>0</v>
      </c>
      <c r="T246">
        <f>HLOOKUP("Provisioned MiB",'vInfo (Imported)'!$1:$5000,M246,FALSE)</f>
        <v>0</v>
      </c>
      <c r="U246">
        <f t="shared" si="10"/>
        <v>0</v>
      </c>
      <c r="V246">
        <f>HLOOKUP("In Use MiB",'vInfo (Imported)'!$1:$5000,M246,FALSE)</f>
        <v>0</v>
      </c>
    </row>
    <row r="247" spans="1:22" ht="13" x14ac:dyDescent="0.3">
      <c r="A247" s="46">
        <f>'vHosts (Imported)'!A247</f>
        <v>0</v>
      </c>
      <c r="B247" s="51">
        <f t="shared" si="9"/>
        <v>4968</v>
      </c>
      <c r="C247" s="49">
        <f>HLOOKUP("# Cores",'vHosts (Imported)'!$1:$5000,M247,FALSE)</f>
        <v>0</v>
      </c>
      <c r="D247" s="52">
        <f>HLOOKUP("# Memory",'vHosts (Imported)'!$1:$5000,M247,FALSE)</f>
        <v>0</v>
      </c>
      <c r="M247" s="45">
        <f t="shared" si="11"/>
        <v>247</v>
      </c>
      <c r="N247" s="38">
        <f>HLOOKUP("Host",'vInfo (Imported)'!$1:$5000,M247,FALSE)</f>
        <v>0</v>
      </c>
      <c r="R247">
        <f>HLOOKUP("CPUs",'vInfo (Imported)'!$1:$5000,M247,FALSE)</f>
        <v>0</v>
      </c>
      <c r="S247">
        <f>HLOOKUP("Memory",'vInfo (Imported)'!$1:$5000,M247,FALSE)</f>
        <v>0</v>
      </c>
      <c r="T247">
        <f>HLOOKUP("Provisioned MiB",'vInfo (Imported)'!$1:$5000,M247,FALSE)</f>
        <v>0</v>
      </c>
      <c r="U247">
        <f t="shared" si="10"/>
        <v>0</v>
      </c>
      <c r="V247">
        <f>HLOOKUP("In Use MiB",'vInfo (Imported)'!$1:$5000,M247,FALSE)</f>
        <v>0</v>
      </c>
    </row>
    <row r="248" spans="1:22" ht="13" x14ac:dyDescent="0.3">
      <c r="A248" s="46">
        <f>'vHosts (Imported)'!A248</f>
        <v>0</v>
      </c>
      <c r="B248" s="51">
        <f t="shared" si="9"/>
        <v>4968</v>
      </c>
      <c r="C248" s="49">
        <f>HLOOKUP("# Cores",'vHosts (Imported)'!$1:$5000,M248,FALSE)</f>
        <v>0</v>
      </c>
      <c r="D248" s="52">
        <f>HLOOKUP("# Memory",'vHosts (Imported)'!$1:$5000,M248,FALSE)</f>
        <v>0</v>
      </c>
      <c r="M248" s="45">
        <f t="shared" si="11"/>
        <v>248</v>
      </c>
      <c r="N248" s="38">
        <f>HLOOKUP("Host",'vInfo (Imported)'!$1:$5000,M248,FALSE)</f>
        <v>0</v>
      </c>
      <c r="R248">
        <f>HLOOKUP("CPUs",'vInfo (Imported)'!$1:$5000,M248,FALSE)</f>
        <v>0</v>
      </c>
      <c r="S248">
        <f>HLOOKUP("Memory",'vInfo (Imported)'!$1:$5000,M248,FALSE)</f>
        <v>0</v>
      </c>
      <c r="T248">
        <f>HLOOKUP("Provisioned MiB",'vInfo (Imported)'!$1:$5000,M248,FALSE)</f>
        <v>0</v>
      </c>
      <c r="U248">
        <f t="shared" si="10"/>
        <v>0</v>
      </c>
      <c r="V248">
        <f>HLOOKUP("In Use MiB",'vInfo (Imported)'!$1:$5000,M248,FALSE)</f>
        <v>0</v>
      </c>
    </row>
    <row r="249" spans="1:22" ht="13" x14ac:dyDescent="0.3">
      <c r="A249" s="46">
        <f>'vHosts (Imported)'!A249</f>
        <v>0</v>
      </c>
      <c r="B249" s="51">
        <f t="shared" si="9"/>
        <v>4968</v>
      </c>
      <c r="C249" s="49">
        <f>HLOOKUP("# Cores",'vHosts (Imported)'!$1:$5000,M249,FALSE)</f>
        <v>0</v>
      </c>
      <c r="D249" s="52">
        <f>HLOOKUP("# Memory",'vHosts (Imported)'!$1:$5000,M249,FALSE)</f>
        <v>0</v>
      </c>
      <c r="M249" s="45">
        <f t="shared" si="11"/>
        <v>249</v>
      </c>
      <c r="N249" s="38">
        <f>HLOOKUP("Host",'vInfo (Imported)'!$1:$5000,M249,FALSE)</f>
        <v>0</v>
      </c>
      <c r="R249">
        <f>HLOOKUP("CPUs",'vInfo (Imported)'!$1:$5000,M249,FALSE)</f>
        <v>0</v>
      </c>
      <c r="S249">
        <f>HLOOKUP("Memory",'vInfo (Imported)'!$1:$5000,M249,FALSE)</f>
        <v>0</v>
      </c>
      <c r="T249">
        <f>HLOOKUP("Provisioned MiB",'vInfo (Imported)'!$1:$5000,M249,FALSE)</f>
        <v>0</v>
      </c>
      <c r="U249">
        <f t="shared" si="10"/>
        <v>0</v>
      </c>
      <c r="V249">
        <f>HLOOKUP("In Use MiB",'vInfo (Imported)'!$1:$5000,M249,FALSE)</f>
        <v>0</v>
      </c>
    </row>
    <row r="250" spans="1:22" ht="13" x14ac:dyDescent="0.3">
      <c r="A250" s="46">
        <f>'vHosts (Imported)'!A250</f>
        <v>0</v>
      </c>
      <c r="B250" s="51">
        <f t="shared" si="9"/>
        <v>4968</v>
      </c>
      <c r="C250" s="49">
        <f>HLOOKUP("# Cores",'vHosts (Imported)'!$1:$5000,M250,FALSE)</f>
        <v>0</v>
      </c>
      <c r="D250" s="52">
        <f>HLOOKUP("# Memory",'vHosts (Imported)'!$1:$5000,M250,FALSE)</f>
        <v>0</v>
      </c>
      <c r="M250" s="45">
        <f t="shared" si="11"/>
        <v>250</v>
      </c>
      <c r="N250" s="38">
        <f>HLOOKUP("Host",'vInfo (Imported)'!$1:$5000,M250,FALSE)</f>
        <v>0</v>
      </c>
      <c r="R250">
        <f>HLOOKUP("CPUs",'vInfo (Imported)'!$1:$5000,M250,FALSE)</f>
        <v>0</v>
      </c>
      <c r="S250">
        <f>HLOOKUP("Memory",'vInfo (Imported)'!$1:$5000,M250,FALSE)</f>
        <v>0</v>
      </c>
      <c r="T250">
        <f>HLOOKUP("Provisioned MiB",'vInfo (Imported)'!$1:$5000,M250,FALSE)</f>
        <v>0</v>
      </c>
      <c r="U250">
        <f t="shared" si="10"/>
        <v>0</v>
      </c>
      <c r="V250">
        <f>HLOOKUP("In Use MiB",'vInfo (Imported)'!$1:$5000,M250,FALSE)</f>
        <v>0</v>
      </c>
    </row>
    <row r="251" spans="1:22" ht="13" x14ac:dyDescent="0.3">
      <c r="A251" s="46">
        <f>'vHosts (Imported)'!A251</f>
        <v>0</v>
      </c>
      <c r="B251" s="51">
        <f t="shared" si="9"/>
        <v>4968</v>
      </c>
      <c r="C251" s="49">
        <f>HLOOKUP("# Cores",'vHosts (Imported)'!$1:$5000,M251,FALSE)</f>
        <v>0</v>
      </c>
      <c r="D251" s="52">
        <f>HLOOKUP("# Memory",'vHosts (Imported)'!$1:$5000,M251,FALSE)</f>
        <v>0</v>
      </c>
      <c r="M251" s="45">
        <f t="shared" si="11"/>
        <v>251</v>
      </c>
      <c r="N251" s="38">
        <f>HLOOKUP("Host",'vInfo (Imported)'!$1:$5000,M251,FALSE)</f>
        <v>0</v>
      </c>
      <c r="R251">
        <f>HLOOKUP("CPUs",'vInfo (Imported)'!$1:$5000,M251,FALSE)</f>
        <v>0</v>
      </c>
      <c r="S251">
        <f>HLOOKUP("Memory",'vInfo (Imported)'!$1:$5000,M251,FALSE)</f>
        <v>0</v>
      </c>
      <c r="T251">
        <f>HLOOKUP("Provisioned MiB",'vInfo (Imported)'!$1:$5000,M251,FALSE)</f>
        <v>0</v>
      </c>
      <c r="U251">
        <f t="shared" si="10"/>
        <v>0</v>
      </c>
      <c r="V251">
        <f>HLOOKUP("In Use MiB",'vInfo (Imported)'!$1:$5000,M251,FALSE)</f>
        <v>0</v>
      </c>
    </row>
    <row r="252" spans="1:22" ht="13" x14ac:dyDescent="0.3">
      <c r="A252" s="46">
        <f>'vHosts (Imported)'!A252</f>
        <v>0</v>
      </c>
      <c r="B252" s="51">
        <f t="shared" si="9"/>
        <v>4968</v>
      </c>
      <c r="C252" s="49">
        <f>HLOOKUP("# Cores",'vHosts (Imported)'!$1:$5000,M252,FALSE)</f>
        <v>0</v>
      </c>
      <c r="D252" s="52">
        <f>HLOOKUP("# Memory",'vHosts (Imported)'!$1:$5000,M252,FALSE)</f>
        <v>0</v>
      </c>
      <c r="M252" s="45">
        <f t="shared" si="11"/>
        <v>252</v>
      </c>
      <c r="N252" s="38">
        <f>HLOOKUP("Host",'vInfo (Imported)'!$1:$5000,M252,FALSE)</f>
        <v>0</v>
      </c>
      <c r="R252">
        <f>HLOOKUP("CPUs",'vInfo (Imported)'!$1:$5000,M252,FALSE)</f>
        <v>0</v>
      </c>
      <c r="S252">
        <f>HLOOKUP("Memory",'vInfo (Imported)'!$1:$5000,M252,FALSE)</f>
        <v>0</v>
      </c>
      <c r="T252">
        <f>HLOOKUP("Provisioned MiB",'vInfo (Imported)'!$1:$5000,M252,FALSE)</f>
        <v>0</v>
      </c>
      <c r="U252">
        <f t="shared" si="10"/>
        <v>0</v>
      </c>
      <c r="V252">
        <f>HLOOKUP("In Use MiB",'vInfo (Imported)'!$1:$5000,M252,FALSE)</f>
        <v>0</v>
      </c>
    </row>
    <row r="253" spans="1:22" ht="13" x14ac:dyDescent="0.3">
      <c r="A253" s="46">
        <f>'vHosts (Imported)'!A253</f>
        <v>0</v>
      </c>
      <c r="B253" s="51">
        <f t="shared" si="9"/>
        <v>4968</v>
      </c>
      <c r="C253" s="49">
        <f>HLOOKUP("# Cores",'vHosts (Imported)'!$1:$5000,M253,FALSE)</f>
        <v>0</v>
      </c>
      <c r="D253" s="52">
        <f>HLOOKUP("# Memory",'vHosts (Imported)'!$1:$5000,M253,FALSE)</f>
        <v>0</v>
      </c>
      <c r="M253" s="45">
        <f t="shared" si="11"/>
        <v>253</v>
      </c>
      <c r="N253" s="38">
        <f>HLOOKUP("Host",'vInfo (Imported)'!$1:$5000,M253,FALSE)</f>
        <v>0</v>
      </c>
      <c r="R253">
        <f>HLOOKUP("CPUs",'vInfo (Imported)'!$1:$5000,M253,FALSE)</f>
        <v>0</v>
      </c>
      <c r="S253">
        <f>HLOOKUP("Memory",'vInfo (Imported)'!$1:$5000,M253,FALSE)</f>
        <v>0</v>
      </c>
      <c r="T253">
        <f>HLOOKUP("Provisioned MiB",'vInfo (Imported)'!$1:$5000,M253,FALSE)</f>
        <v>0</v>
      </c>
      <c r="U253">
        <f t="shared" si="10"/>
        <v>0</v>
      </c>
      <c r="V253">
        <f>HLOOKUP("In Use MiB",'vInfo (Imported)'!$1:$5000,M253,FALSE)</f>
        <v>0</v>
      </c>
    </row>
    <row r="254" spans="1:22" ht="13" x14ac:dyDescent="0.3">
      <c r="A254" s="46">
        <f>'vHosts (Imported)'!A254</f>
        <v>0</v>
      </c>
      <c r="B254" s="51">
        <f t="shared" si="9"/>
        <v>4968</v>
      </c>
      <c r="C254" s="49">
        <f>HLOOKUP("# Cores",'vHosts (Imported)'!$1:$5000,M254,FALSE)</f>
        <v>0</v>
      </c>
      <c r="D254" s="52">
        <f>HLOOKUP("# Memory",'vHosts (Imported)'!$1:$5000,M254,FALSE)</f>
        <v>0</v>
      </c>
      <c r="M254" s="45">
        <f t="shared" si="11"/>
        <v>254</v>
      </c>
      <c r="N254" s="38">
        <f>HLOOKUP("Host",'vInfo (Imported)'!$1:$5000,M254,FALSE)</f>
        <v>0</v>
      </c>
      <c r="R254">
        <f>HLOOKUP("CPUs",'vInfo (Imported)'!$1:$5000,M254,FALSE)</f>
        <v>0</v>
      </c>
      <c r="S254">
        <f>HLOOKUP("Memory",'vInfo (Imported)'!$1:$5000,M254,FALSE)</f>
        <v>0</v>
      </c>
      <c r="T254">
        <f>HLOOKUP("Provisioned MiB",'vInfo (Imported)'!$1:$5000,M254,FALSE)</f>
        <v>0</v>
      </c>
      <c r="U254">
        <f t="shared" si="10"/>
        <v>0</v>
      </c>
      <c r="V254">
        <f>HLOOKUP("In Use MiB",'vInfo (Imported)'!$1:$5000,M254,FALSE)</f>
        <v>0</v>
      </c>
    </row>
    <row r="255" spans="1:22" ht="13" x14ac:dyDescent="0.3">
      <c r="A255" s="46">
        <f>'vHosts (Imported)'!A255</f>
        <v>0</v>
      </c>
      <c r="B255" s="51">
        <f t="shared" si="9"/>
        <v>4968</v>
      </c>
      <c r="C255" s="49">
        <f>HLOOKUP("# Cores",'vHosts (Imported)'!$1:$5000,M255,FALSE)</f>
        <v>0</v>
      </c>
      <c r="D255" s="52">
        <f>HLOOKUP("# Memory",'vHosts (Imported)'!$1:$5000,M255,FALSE)</f>
        <v>0</v>
      </c>
      <c r="M255" s="45">
        <f t="shared" si="11"/>
        <v>255</v>
      </c>
      <c r="N255" s="38">
        <f>HLOOKUP("Host",'vInfo (Imported)'!$1:$5000,M255,FALSE)</f>
        <v>0</v>
      </c>
      <c r="R255">
        <f>HLOOKUP("CPUs",'vInfo (Imported)'!$1:$5000,M255,FALSE)</f>
        <v>0</v>
      </c>
      <c r="S255">
        <f>HLOOKUP("Memory",'vInfo (Imported)'!$1:$5000,M255,FALSE)</f>
        <v>0</v>
      </c>
      <c r="T255">
        <f>HLOOKUP("Provisioned MiB",'vInfo (Imported)'!$1:$5000,M255,FALSE)</f>
        <v>0</v>
      </c>
      <c r="U255">
        <f t="shared" si="10"/>
        <v>0</v>
      </c>
      <c r="V255">
        <f>HLOOKUP("In Use MiB",'vInfo (Imported)'!$1:$5000,M255,FALSE)</f>
        <v>0</v>
      </c>
    </row>
    <row r="256" spans="1:22" ht="13" x14ac:dyDescent="0.3">
      <c r="A256" s="46">
        <f>'vHosts (Imported)'!A256</f>
        <v>0</v>
      </c>
      <c r="B256" s="51">
        <f t="shared" si="9"/>
        <v>4968</v>
      </c>
      <c r="C256" s="49">
        <f>HLOOKUP("# Cores",'vHosts (Imported)'!$1:$5000,M256,FALSE)</f>
        <v>0</v>
      </c>
      <c r="D256" s="52">
        <f>HLOOKUP("# Memory",'vHosts (Imported)'!$1:$5000,M256,FALSE)</f>
        <v>0</v>
      </c>
      <c r="M256" s="45">
        <f t="shared" si="11"/>
        <v>256</v>
      </c>
      <c r="N256" s="38">
        <f>HLOOKUP("Host",'vInfo (Imported)'!$1:$5000,M256,FALSE)</f>
        <v>0</v>
      </c>
      <c r="R256">
        <f>HLOOKUP("CPUs",'vInfo (Imported)'!$1:$5000,M256,FALSE)</f>
        <v>0</v>
      </c>
      <c r="S256">
        <f>HLOOKUP("Memory",'vInfo (Imported)'!$1:$5000,M256,FALSE)</f>
        <v>0</v>
      </c>
      <c r="T256">
        <f>HLOOKUP("Provisioned MiB",'vInfo (Imported)'!$1:$5000,M256,FALSE)</f>
        <v>0</v>
      </c>
      <c r="U256">
        <f t="shared" si="10"/>
        <v>0</v>
      </c>
      <c r="V256">
        <f>HLOOKUP("In Use MiB",'vInfo (Imported)'!$1:$5000,M256,FALSE)</f>
        <v>0</v>
      </c>
    </row>
    <row r="257" spans="1:22" ht="13" x14ac:dyDescent="0.3">
      <c r="A257" s="46">
        <f>'vHosts (Imported)'!A257</f>
        <v>0</v>
      </c>
      <c r="B257" s="51">
        <f t="shared" si="9"/>
        <v>4968</v>
      </c>
      <c r="C257" s="49">
        <f>HLOOKUP("# Cores",'vHosts (Imported)'!$1:$5000,M257,FALSE)</f>
        <v>0</v>
      </c>
      <c r="D257" s="52">
        <f>HLOOKUP("# Memory",'vHosts (Imported)'!$1:$5000,M257,FALSE)</f>
        <v>0</v>
      </c>
      <c r="M257" s="45">
        <f t="shared" si="11"/>
        <v>257</v>
      </c>
      <c r="N257" s="38">
        <f>HLOOKUP("Host",'vInfo (Imported)'!$1:$5000,M257,FALSE)</f>
        <v>0</v>
      </c>
      <c r="R257">
        <f>HLOOKUP("CPUs",'vInfo (Imported)'!$1:$5000,M257,FALSE)</f>
        <v>0</v>
      </c>
      <c r="S257">
        <f>HLOOKUP("Memory",'vInfo (Imported)'!$1:$5000,M257,FALSE)</f>
        <v>0</v>
      </c>
      <c r="T257">
        <f>HLOOKUP("Provisioned MiB",'vInfo (Imported)'!$1:$5000,M257,FALSE)</f>
        <v>0</v>
      </c>
      <c r="U257">
        <f t="shared" si="10"/>
        <v>0</v>
      </c>
      <c r="V257">
        <f>HLOOKUP("In Use MiB",'vInfo (Imported)'!$1:$5000,M257,FALSE)</f>
        <v>0</v>
      </c>
    </row>
    <row r="258" spans="1:22" ht="13" x14ac:dyDescent="0.3">
      <c r="A258" s="46">
        <f>'vHosts (Imported)'!A258</f>
        <v>0</v>
      </c>
      <c r="B258" s="51">
        <f t="shared" ref="B258:B321" si="12">COUNTIFS(N:N,IF(A258=0,"0",A258))</f>
        <v>4968</v>
      </c>
      <c r="C258" s="49">
        <f>HLOOKUP("# Cores",'vHosts (Imported)'!$1:$5000,M258,FALSE)</f>
        <v>0</v>
      </c>
      <c r="D258" s="52">
        <f>HLOOKUP("# Memory",'vHosts (Imported)'!$1:$5000,M258,FALSE)</f>
        <v>0</v>
      </c>
      <c r="M258" s="45">
        <f t="shared" si="11"/>
        <v>258</v>
      </c>
      <c r="N258" s="38">
        <f>HLOOKUP("Host",'vInfo (Imported)'!$1:$5000,M258,FALSE)</f>
        <v>0</v>
      </c>
      <c r="R258">
        <f>HLOOKUP("CPUs",'vInfo (Imported)'!$1:$5000,M258,FALSE)</f>
        <v>0</v>
      </c>
      <c r="S258">
        <f>HLOOKUP("Memory",'vInfo (Imported)'!$1:$5000,M258,FALSE)</f>
        <v>0</v>
      </c>
      <c r="T258">
        <f>HLOOKUP("Provisioned MiB",'vInfo (Imported)'!$1:$5000,M258,FALSE)</f>
        <v>0</v>
      </c>
      <c r="U258">
        <f t="shared" si="10"/>
        <v>0</v>
      </c>
      <c r="V258">
        <f>HLOOKUP("In Use MiB",'vInfo (Imported)'!$1:$5000,M258,FALSE)</f>
        <v>0</v>
      </c>
    </row>
    <row r="259" spans="1:22" ht="13" x14ac:dyDescent="0.3">
      <c r="A259" s="46">
        <f>'vHosts (Imported)'!A259</f>
        <v>0</v>
      </c>
      <c r="B259" s="51">
        <f t="shared" si="12"/>
        <v>4968</v>
      </c>
      <c r="C259" s="49">
        <f>HLOOKUP("# Cores",'vHosts (Imported)'!$1:$5000,M259,FALSE)</f>
        <v>0</v>
      </c>
      <c r="D259" s="52">
        <f>HLOOKUP("# Memory",'vHosts (Imported)'!$1:$5000,M259,FALSE)</f>
        <v>0</v>
      </c>
      <c r="M259" s="45">
        <f t="shared" si="11"/>
        <v>259</v>
      </c>
      <c r="N259" s="38">
        <f>HLOOKUP("Host",'vInfo (Imported)'!$1:$5000,M259,FALSE)</f>
        <v>0</v>
      </c>
      <c r="R259">
        <f>HLOOKUP("CPUs",'vInfo (Imported)'!$1:$5000,M259,FALSE)</f>
        <v>0</v>
      </c>
      <c r="S259">
        <f>HLOOKUP("Memory",'vInfo (Imported)'!$1:$5000,M259,FALSE)</f>
        <v>0</v>
      </c>
      <c r="T259">
        <f>HLOOKUP("Provisioned MiB",'vInfo (Imported)'!$1:$5000,M259,FALSE)</f>
        <v>0</v>
      </c>
      <c r="U259">
        <f t="shared" ref="U259:U322" si="13">T259-V259</f>
        <v>0</v>
      </c>
      <c r="V259">
        <f>HLOOKUP("In Use MiB",'vInfo (Imported)'!$1:$5000,M259,FALSE)</f>
        <v>0</v>
      </c>
    </row>
    <row r="260" spans="1:22" ht="13" x14ac:dyDescent="0.3">
      <c r="A260" s="46">
        <f>'vHosts (Imported)'!A260</f>
        <v>0</v>
      </c>
      <c r="B260" s="51">
        <f t="shared" si="12"/>
        <v>4968</v>
      </c>
      <c r="C260" s="49">
        <f>HLOOKUP("# Cores",'vHosts (Imported)'!$1:$5000,M260,FALSE)</f>
        <v>0</v>
      </c>
      <c r="D260" s="52">
        <f>HLOOKUP("# Memory",'vHosts (Imported)'!$1:$5000,M260,FALSE)</f>
        <v>0</v>
      </c>
      <c r="M260" s="45">
        <f t="shared" ref="M260:M323" si="14">M259+1</f>
        <v>260</v>
      </c>
      <c r="N260" s="38">
        <f>HLOOKUP("Host",'vInfo (Imported)'!$1:$5000,M260,FALSE)</f>
        <v>0</v>
      </c>
      <c r="R260">
        <f>HLOOKUP("CPUs",'vInfo (Imported)'!$1:$5000,M260,FALSE)</f>
        <v>0</v>
      </c>
      <c r="S260">
        <f>HLOOKUP("Memory",'vInfo (Imported)'!$1:$5000,M260,FALSE)</f>
        <v>0</v>
      </c>
      <c r="T260">
        <f>HLOOKUP("Provisioned MiB",'vInfo (Imported)'!$1:$5000,M260,FALSE)</f>
        <v>0</v>
      </c>
      <c r="U260">
        <f t="shared" si="13"/>
        <v>0</v>
      </c>
      <c r="V260">
        <f>HLOOKUP("In Use MiB",'vInfo (Imported)'!$1:$5000,M260,FALSE)</f>
        <v>0</v>
      </c>
    </row>
    <row r="261" spans="1:22" ht="13" x14ac:dyDescent="0.3">
      <c r="A261" s="46">
        <f>'vHosts (Imported)'!A261</f>
        <v>0</v>
      </c>
      <c r="B261" s="51">
        <f t="shared" si="12"/>
        <v>4968</v>
      </c>
      <c r="C261" s="49">
        <f>HLOOKUP("# Cores",'vHosts (Imported)'!$1:$5000,M261,FALSE)</f>
        <v>0</v>
      </c>
      <c r="D261" s="52">
        <f>HLOOKUP("# Memory",'vHosts (Imported)'!$1:$5000,M261,FALSE)</f>
        <v>0</v>
      </c>
      <c r="M261" s="45">
        <f t="shared" si="14"/>
        <v>261</v>
      </c>
      <c r="N261" s="38">
        <f>HLOOKUP("Host",'vInfo (Imported)'!$1:$5000,M261,FALSE)</f>
        <v>0</v>
      </c>
      <c r="R261">
        <f>HLOOKUP("CPUs",'vInfo (Imported)'!$1:$5000,M261,FALSE)</f>
        <v>0</v>
      </c>
      <c r="S261">
        <f>HLOOKUP("Memory",'vInfo (Imported)'!$1:$5000,M261,FALSE)</f>
        <v>0</v>
      </c>
      <c r="T261">
        <f>HLOOKUP("Provisioned MiB",'vInfo (Imported)'!$1:$5000,M261,FALSE)</f>
        <v>0</v>
      </c>
      <c r="U261">
        <f t="shared" si="13"/>
        <v>0</v>
      </c>
      <c r="V261">
        <f>HLOOKUP("In Use MiB",'vInfo (Imported)'!$1:$5000,M261,FALSE)</f>
        <v>0</v>
      </c>
    </row>
    <row r="262" spans="1:22" ht="13" x14ac:dyDescent="0.3">
      <c r="A262" s="46">
        <f>'vHosts (Imported)'!A262</f>
        <v>0</v>
      </c>
      <c r="B262" s="51">
        <f t="shared" si="12"/>
        <v>4968</v>
      </c>
      <c r="C262" s="49">
        <f>HLOOKUP("# Cores",'vHosts (Imported)'!$1:$5000,M262,FALSE)</f>
        <v>0</v>
      </c>
      <c r="D262" s="52">
        <f>HLOOKUP("# Memory",'vHosts (Imported)'!$1:$5000,M262,FALSE)</f>
        <v>0</v>
      </c>
      <c r="M262" s="45">
        <f t="shared" si="14"/>
        <v>262</v>
      </c>
      <c r="N262" s="38">
        <f>HLOOKUP("Host",'vInfo (Imported)'!$1:$5000,M262,FALSE)</f>
        <v>0</v>
      </c>
      <c r="R262">
        <f>HLOOKUP("CPUs",'vInfo (Imported)'!$1:$5000,M262,FALSE)</f>
        <v>0</v>
      </c>
      <c r="S262">
        <f>HLOOKUP("Memory",'vInfo (Imported)'!$1:$5000,M262,FALSE)</f>
        <v>0</v>
      </c>
      <c r="T262">
        <f>HLOOKUP("Provisioned MiB",'vInfo (Imported)'!$1:$5000,M262,FALSE)</f>
        <v>0</v>
      </c>
      <c r="U262">
        <f t="shared" si="13"/>
        <v>0</v>
      </c>
      <c r="V262">
        <f>HLOOKUP("In Use MiB",'vInfo (Imported)'!$1:$5000,M262,FALSE)</f>
        <v>0</v>
      </c>
    </row>
    <row r="263" spans="1:22" ht="13" x14ac:dyDescent="0.3">
      <c r="A263" s="46">
        <f>'vHosts (Imported)'!A263</f>
        <v>0</v>
      </c>
      <c r="B263" s="51">
        <f t="shared" si="12"/>
        <v>4968</v>
      </c>
      <c r="C263" s="49">
        <f>HLOOKUP("# Cores",'vHosts (Imported)'!$1:$5000,M263,FALSE)</f>
        <v>0</v>
      </c>
      <c r="D263" s="52">
        <f>HLOOKUP("# Memory",'vHosts (Imported)'!$1:$5000,M263,FALSE)</f>
        <v>0</v>
      </c>
      <c r="M263" s="45">
        <f t="shared" si="14"/>
        <v>263</v>
      </c>
      <c r="N263" s="38">
        <f>HLOOKUP("Host",'vInfo (Imported)'!$1:$5000,M263,FALSE)</f>
        <v>0</v>
      </c>
      <c r="R263">
        <f>HLOOKUP("CPUs",'vInfo (Imported)'!$1:$5000,M263,FALSE)</f>
        <v>0</v>
      </c>
      <c r="S263">
        <f>HLOOKUP("Memory",'vInfo (Imported)'!$1:$5000,M263,FALSE)</f>
        <v>0</v>
      </c>
      <c r="T263">
        <f>HLOOKUP("Provisioned MiB",'vInfo (Imported)'!$1:$5000,M263,FALSE)</f>
        <v>0</v>
      </c>
      <c r="U263">
        <f t="shared" si="13"/>
        <v>0</v>
      </c>
      <c r="V263">
        <f>HLOOKUP("In Use MiB",'vInfo (Imported)'!$1:$5000,M263,FALSE)</f>
        <v>0</v>
      </c>
    </row>
    <row r="264" spans="1:22" ht="13" x14ac:dyDescent="0.3">
      <c r="A264" s="46">
        <f>'vHosts (Imported)'!A264</f>
        <v>0</v>
      </c>
      <c r="B264" s="51">
        <f t="shared" si="12"/>
        <v>4968</v>
      </c>
      <c r="C264" s="49">
        <f>HLOOKUP("# Cores",'vHosts (Imported)'!$1:$5000,M264,FALSE)</f>
        <v>0</v>
      </c>
      <c r="D264" s="52">
        <f>HLOOKUP("# Memory",'vHosts (Imported)'!$1:$5000,M264,FALSE)</f>
        <v>0</v>
      </c>
      <c r="M264" s="45">
        <f t="shared" si="14"/>
        <v>264</v>
      </c>
      <c r="N264" s="38">
        <f>HLOOKUP("Host",'vInfo (Imported)'!$1:$5000,M264,FALSE)</f>
        <v>0</v>
      </c>
      <c r="R264">
        <f>HLOOKUP("CPUs",'vInfo (Imported)'!$1:$5000,M264,FALSE)</f>
        <v>0</v>
      </c>
      <c r="S264">
        <f>HLOOKUP("Memory",'vInfo (Imported)'!$1:$5000,M264,FALSE)</f>
        <v>0</v>
      </c>
      <c r="T264">
        <f>HLOOKUP("Provisioned MiB",'vInfo (Imported)'!$1:$5000,M264,FALSE)</f>
        <v>0</v>
      </c>
      <c r="U264">
        <f t="shared" si="13"/>
        <v>0</v>
      </c>
      <c r="V264">
        <f>HLOOKUP("In Use MiB",'vInfo (Imported)'!$1:$5000,M264,FALSE)</f>
        <v>0</v>
      </c>
    </row>
    <row r="265" spans="1:22" ht="13" x14ac:dyDescent="0.3">
      <c r="A265" s="46">
        <f>'vHosts (Imported)'!A265</f>
        <v>0</v>
      </c>
      <c r="B265" s="51">
        <f t="shared" si="12"/>
        <v>4968</v>
      </c>
      <c r="C265" s="49">
        <f>HLOOKUP("# Cores",'vHosts (Imported)'!$1:$5000,M265,FALSE)</f>
        <v>0</v>
      </c>
      <c r="D265" s="52">
        <f>HLOOKUP("# Memory",'vHosts (Imported)'!$1:$5000,M265,FALSE)</f>
        <v>0</v>
      </c>
      <c r="M265" s="45">
        <f t="shared" si="14"/>
        <v>265</v>
      </c>
      <c r="N265" s="38">
        <f>HLOOKUP("Host",'vInfo (Imported)'!$1:$5000,M265,FALSE)</f>
        <v>0</v>
      </c>
      <c r="R265">
        <f>HLOOKUP("CPUs",'vInfo (Imported)'!$1:$5000,M265,FALSE)</f>
        <v>0</v>
      </c>
      <c r="S265">
        <f>HLOOKUP("Memory",'vInfo (Imported)'!$1:$5000,M265,FALSE)</f>
        <v>0</v>
      </c>
      <c r="T265">
        <f>HLOOKUP("Provisioned MiB",'vInfo (Imported)'!$1:$5000,M265,FALSE)</f>
        <v>0</v>
      </c>
      <c r="U265">
        <f t="shared" si="13"/>
        <v>0</v>
      </c>
      <c r="V265">
        <f>HLOOKUP("In Use MiB",'vInfo (Imported)'!$1:$5000,M265,FALSE)</f>
        <v>0</v>
      </c>
    </row>
    <row r="266" spans="1:22" ht="13" x14ac:dyDescent="0.3">
      <c r="A266" s="46">
        <f>'vHosts (Imported)'!A266</f>
        <v>0</v>
      </c>
      <c r="B266" s="51">
        <f t="shared" si="12"/>
        <v>4968</v>
      </c>
      <c r="C266" s="49">
        <f>HLOOKUP("# Cores",'vHosts (Imported)'!$1:$5000,M266,FALSE)</f>
        <v>0</v>
      </c>
      <c r="D266" s="52">
        <f>HLOOKUP("# Memory",'vHosts (Imported)'!$1:$5000,M266,FALSE)</f>
        <v>0</v>
      </c>
      <c r="M266" s="45">
        <f t="shared" si="14"/>
        <v>266</v>
      </c>
      <c r="N266" s="38">
        <f>HLOOKUP("Host",'vInfo (Imported)'!$1:$5000,M266,FALSE)</f>
        <v>0</v>
      </c>
      <c r="R266">
        <f>HLOOKUP("CPUs",'vInfo (Imported)'!$1:$5000,M266,FALSE)</f>
        <v>0</v>
      </c>
      <c r="S266">
        <f>HLOOKUP("Memory",'vInfo (Imported)'!$1:$5000,M266,FALSE)</f>
        <v>0</v>
      </c>
      <c r="T266">
        <f>HLOOKUP("Provisioned MiB",'vInfo (Imported)'!$1:$5000,M266,FALSE)</f>
        <v>0</v>
      </c>
      <c r="U266">
        <f t="shared" si="13"/>
        <v>0</v>
      </c>
      <c r="V266">
        <f>HLOOKUP("In Use MiB",'vInfo (Imported)'!$1:$5000,M266,FALSE)</f>
        <v>0</v>
      </c>
    </row>
    <row r="267" spans="1:22" ht="13" x14ac:dyDescent="0.3">
      <c r="A267" s="46">
        <f>'vHosts (Imported)'!A267</f>
        <v>0</v>
      </c>
      <c r="B267" s="51">
        <f t="shared" si="12"/>
        <v>4968</v>
      </c>
      <c r="C267" s="49">
        <f>HLOOKUP("# Cores",'vHosts (Imported)'!$1:$5000,M267,FALSE)</f>
        <v>0</v>
      </c>
      <c r="D267" s="52">
        <f>HLOOKUP("# Memory",'vHosts (Imported)'!$1:$5000,M267,FALSE)</f>
        <v>0</v>
      </c>
      <c r="M267" s="45">
        <f t="shared" si="14"/>
        <v>267</v>
      </c>
      <c r="N267" s="38">
        <f>HLOOKUP("Host",'vInfo (Imported)'!$1:$5000,M267,FALSE)</f>
        <v>0</v>
      </c>
      <c r="R267">
        <f>HLOOKUP("CPUs",'vInfo (Imported)'!$1:$5000,M267,FALSE)</f>
        <v>0</v>
      </c>
      <c r="S267">
        <f>HLOOKUP("Memory",'vInfo (Imported)'!$1:$5000,M267,FALSE)</f>
        <v>0</v>
      </c>
      <c r="T267">
        <f>HLOOKUP("Provisioned MiB",'vInfo (Imported)'!$1:$5000,M267,FALSE)</f>
        <v>0</v>
      </c>
      <c r="U267">
        <f t="shared" si="13"/>
        <v>0</v>
      </c>
      <c r="V267">
        <f>HLOOKUP("In Use MiB",'vInfo (Imported)'!$1:$5000,M267,FALSE)</f>
        <v>0</v>
      </c>
    </row>
    <row r="268" spans="1:22" ht="13" x14ac:dyDescent="0.3">
      <c r="A268" s="46">
        <f>'vHosts (Imported)'!A268</f>
        <v>0</v>
      </c>
      <c r="B268" s="51">
        <f t="shared" si="12"/>
        <v>4968</v>
      </c>
      <c r="C268" s="49">
        <f>HLOOKUP("# Cores",'vHosts (Imported)'!$1:$5000,M268,FALSE)</f>
        <v>0</v>
      </c>
      <c r="D268" s="52">
        <f>HLOOKUP("# Memory",'vHosts (Imported)'!$1:$5000,M268,FALSE)</f>
        <v>0</v>
      </c>
      <c r="M268" s="45">
        <f t="shared" si="14"/>
        <v>268</v>
      </c>
      <c r="N268" s="38">
        <f>HLOOKUP("Host",'vInfo (Imported)'!$1:$5000,M268,FALSE)</f>
        <v>0</v>
      </c>
      <c r="R268">
        <f>HLOOKUP("CPUs",'vInfo (Imported)'!$1:$5000,M268,FALSE)</f>
        <v>0</v>
      </c>
      <c r="S268">
        <f>HLOOKUP("Memory",'vInfo (Imported)'!$1:$5000,M268,FALSE)</f>
        <v>0</v>
      </c>
      <c r="T268">
        <f>HLOOKUP("Provisioned MiB",'vInfo (Imported)'!$1:$5000,M268,FALSE)</f>
        <v>0</v>
      </c>
      <c r="U268">
        <f t="shared" si="13"/>
        <v>0</v>
      </c>
      <c r="V268">
        <f>HLOOKUP("In Use MiB",'vInfo (Imported)'!$1:$5000,M268,FALSE)</f>
        <v>0</v>
      </c>
    </row>
    <row r="269" spans="1:22" ht="13" x14ac:dyDescent="0.3">
      <c r="A269" s="46">
        <f>'vHosts (Imported)'!A269</f>
        <v>0</v>
      </c>
      <c r="B269" s="51">
        <f t="shared" si="12"/>
        <v>4968</v>
      </c>
      <c r="C269" s="49">
        <f>HLOOKUP("# Cores",'vHosts (Imported)'!$1:$5000,M269,FALSE)</f>
        <v>0</v>
      </c>
      <c r="D269" s="52">
        <f>HLOOKUP("# Memory",'vHosts (Imported)'!$1:$5000,M269,FALSE)</f>
        <v>0</v>
      </c>
      <c r="M269" s="45">
        <f t="shared" si="14"/>
        <v>269</v>
      </c>
      <c r="N269" s="38">
        <f>HLOOKUP("Host",'vInfo (Imported)'!$1:$5000,M269,FALSE)</f>
        <v>0</v>
      </c>
      <c r="R269">
        <f>HLOOKUP("CPUs",'vInfo (Imported)'!$1:$5000,M269,FALSE)</f>
        <v>0</v>
      </c>
      <c r="S269">
        <f>HLOOKUP("Memory",'vInfo (Imported)'!$1:$5000,M269,FALSE)</f>
        <v>0</v>
      </c>
      <c r="T269">
        <f>HLOOKUP("Provisioned MiB",'vInfo (Imported)'!$1:$5000,M269,FALSE)</f>
        <v>0</v>
      </c>
      <c r="U269">
        <f t="shared" si="13"/>
        <v>0</v>
      </c>
      <c r="V269">
        <f>HLOOKUP("In Use MiB",'vInfo (Imported)'!$1:$5000,M269,FALSE)</f>
        <v>0</v>
      </c>
    </row>
    <row r="270" spans="1:22" ht="13" x14ac:dyDescent="0.3">
      <c r="A270" s="46">
        <f>'vHosts (Imported)'!A270</f>
        <v>0</v>
      </c>
      <c r="B270" s="51">
        <f t="shared" si="12"/>
        <v>4968</v>
      </c>
      <c r="C270" s="49">
        <f>HLOOKUP("# Cores",'vHosts (Imported)'!$1:$5000,M270,FALSE)</f>
        <v>0</v>
      </c>
      <c r="D270" s="52">
        <f>HLOOKUP("# Memory",'vHosts (Imported)'!$1:$5000,M270,FALSE)</f>
        <v>0</v>
      </c>
      <c r="M270" s="45">
        <f t="shared" si="14"/>
        <v>270</v>
      </c>
      <c r="N270" s="38">
        <f>HLOOKUP("Host",'vInfo (Imported)'!$1:$5000,M270,FALSE)</f>
        <v>0</v>
      </c>
      <c r="R270">
        <f>HLOOKUP("CPUs",'vInfo (Imported)'!$1:$5000,M270,FALSE)</f>
        <v>0</v>
      </c>
      <c r="S270">
        <f>HLOOKUP("Memory",'vInfo (Imported)'!$1:$5000,M270,FALSE)</f>
        <v>0</v>
      </c>
      <c r="T270">
        <f>HLOOKUP("Provisioned MiB",'vInfo (Imported)'!$1:$5000,M270,FALSE)</f>
        <v>0</v>
      </c>
      <c r="U270">
        <f t="shared" si="13"/>
        <v>0</v>
      </c>
      <c r="V270">
        <f>HLOOKUP("In Use MiB",'vInfo (Imported)'!$1:$5000,M270,FALSE)</f>
        <v>0</v>
      </c>
    </row>
    <row r="271" spans="1:22" ht="13" x14ac:dyDescent="0.3">
      <c r="A271" s="46">
        <f>'vHosts (Imported)'!A271</f>
        <v>0</v>
      </c>
      <c r="B271" s="51">
        <f t="shared" si="12"/>
        <v>4968</v>
      </c>
      <c r="C271" s="49">
        <f>HLOOKUP("# Cores",'vHosts (Imported)'!$1:$5000,M271,FALSE)</f>
        <v>0</v>
      </c>
      <c r="D271" s="52">
        <f>HLOOKUP("# Memory",'vHosts (Imported)'!$1:$5000,M271,FALSE)</f>
        <v>0</v>
      </c>
      <c r="M271" s="45">
        <f t="shared" si="14"/>
        <v>271</v>
      </c>
      <c r="N271" s="38">
        <f>HLOOKUP("Host",'vInfo (Imported)'!$1:$5000,M271,FALSE)</f>
        <v>0</v>
      </c>
      <c r="R271">
        <f>HLOOKUP("CPUs",'vInfo (Imported)'!$1:$5000,M271,FALSE)</f>
        <v>0</v>
      </c>
      <c r="S271">
        <f>HLOOKUP("Memory",'vInfo (Imported)'!$1:$5000,M271,FALSE)</f>
        <v>0</v>
      </c>
      <c r="T271">
        <f>HLOOKUP("Provisioned MiB",'vInfo (Imported)'!$1:$5000,M271,FALSE)</f>
        <v>0</v>
      </c>
      <c r="U271">
        <f t="shared" si="13"/>
        <v>0</v>
      </c>
      <c r="V271">
        <f>HLOOKUP("In Use MiB",'vInfo (Imported)'!$1:$5000,M271,FALSE)</f>
        <v>0</v>
      </c>
    </row>
    <row r="272" spans="1:22" ht="13" x14ac:dyDescent="0.3">
      <c r="A272" s="46">
        <f>'vHosts (Imported)'!A272</f>
        <v>0</v>
      </c>
      <c r="B272" s="51">
        <f t="shared" si="12"/>
        <v>4968</v>
      </c>
      <c r="C272" s="49">
        <f>HLOOKUP("# Cores",'vHosts (Imported)'!$1:$5000,M272,FALSE)</f>
        <v>0</v>
      </c>
      <c r="D272" s="52">
        <f>HLOOKUP("# Memory",'vHosts (Imported)'!$1:$5000,M272,FALSE)</f>
        <v>0</v>
      </c>
      <c r="M272" s="45">
        <f t="shared" si="14"/>
        <v>272</v>
      </c>
      <c r="N272" s="38">
        <f>HLOOKUP("Host",'vInfo (Imported)'!$1:$5000,M272,FALSE)</f>
        <v>0</v>
      </c>
      <c r="R272">
        <f>HLOOKUP("CPUs",'vInfo (Imported)'!$1:$5000,M272,FALSE)</f>
        <v>0</v>
      </c>
      <c r="S272">
        <f>HLOOKUP("Memory",'vInfo (Imported)'!$1:$5000,M272,FALSE)</f>
        <v>0</v>
      </c>
      <c r="T272">
        <f>HLOOKUP("Provisioned MiB",'vInfo (Imported)'!$1:$5000,M272,FALSE)</f>
        <v>0</v>
      </c>
      <c r="U272">
        <f t="shared" si="13"/>
        <v>0</v>
      </c>
      <c r="V272">
        <f>HLOOKUP("In Use MiB",'vInfo (Imported)'!$1:$5000,M272,FALSE)</f>
        <v>0</v>
      </c>
    </row>
    <row r="273" spans="1:22" ht="13" x14ac:dyDescent="0.3">
      <c r="A273" s="46">
        <f>'vHosts (Imported)'!A273</f>
        <v>0</v>
      </c>
      <c r="B273" s="51">
        <f t="shared" si="12"/>
        <v>4968</v>
      </c>
      <c r="C273" s="49">
        <f>HLOOKUP("# Cores",'vHosts (Imported)'!$1:$5000,M273,FALSE)</f>
        <v>0</v>
      </c>
      <c r="D273" s="52">
        <f>HLOOKUP("# Memory",'vHosts (Imported)'!$1:$5000,M273,FALSE)</f>
        <v>0</v>
      </c>
      <c r="M273" s="45">
        <f t="shared" si="14"/>
        <v>273</v>
      </c>
      <c r="N273" s="38">
        <f>HLOOKUP("Host",'vInfo (Imported)'!$1:$5000,M273,FALSE)</f>
        <v>0</v>
      </c>
      <c r="R273">
        <f>HLOOKUP("CPUs",'vInfo (Imported)'!$1:$5000,M273,FALSE)</f>
        <v>0</v>
      </c>
      <c r="S273">
        <f>HLOOKUP("Memory",'vInfo (Imported)'!$1:$5000,M273,FALSE)</f>
        <v>0</v>
      </c>
      <c r="T273">
        <f>HLOOKUP("Provisioned MiB",'vInfo (Imported)'!$1:$5000,M273,FALSE)</f>
        <v>0</v>
      </c>
      <c r="U273">
        <f t="shared" si="13"/>
        <v>0</v>
      </c>
      <c r="V273">
        <f>HLOOKUP("In Use MiB",'vInfo (Imported)'!$1:$5000,M273,FALSE)</f>
        <v>0</v>
      </c>
    </row>
    <row r="274" spans="1:22" ht="13" x14ac:dyDescent="0.3">
      <c r="A274" s="46">
        <f>'vHosts (Imported)'!A274</f>
        <v>0</v>
      </c>
      <c r="B274" s="51">
        <f t="shared" si="12"/>
        <v>4968</v>
      </c>
      <c r="C274" s="49">
        <f>HLOOKUP("# Cores",'vHosts (Imported)'!$1:$5000,M274,FALSE)</f>
        <v>0</v>
      </c>
      <c r="D274" s="52">
        <f>HLOOKUP("# Memory",'vHosts (Imported)'!$1:$5000,M274,FALSE)</f>
        <v>0</v>
      </c>
      <c r="M274" s="45">
        <f t="shared" si="14"/>
        <v>274</v>
      </c>
      <c r="N274" s="38">
        <f>HLOOKUP("Host",'vInfo (Imported)'!$1:$5000,M274,FALSE)</f>
        <v>0</v>
      </c>
      <c r="R274">
        <f>HLOOKUP("CPUs",'vInfo (Imported)'!$1:$5000,M274,FALSE)</f>
        <v>0</v>
      </c>
      <c r="S274">
        <f>HLOOKUP("Memory",'vInfo (Imported)'!$1:$5000,M274,FALSE)</f>
        <v>0</v>
      </c>
      <c r="T274">
        <f>HLOOKUP("Provisioned MiB",'vInfo (Imported)'!$1:$5000,M274,FALSE)</f>
        <v>0</v>
      </c>
      <c r="U274">
        <f t="shared" si="13"/>
        <v>0</v>
      </c>
      <c r="V274">
        <f>HLOOKUP("In Use MiB",'vInfo (Imported)'!$1:$5000,M274,FALSE)</f>
        <v>0</v>
      </c>
    </row>
    <row r="275" spans="1:22" ht="13" x14ac:dyDescent="0.3">
      <c r="A275" s="46">
        <f>'vHosts (Imported)'!A275</f>
        <v>0</v>
      </c>
      <c r="B275" s="51">
        <f t="shared" si="12"/>
        <v>4968</v>
      </c>
      <c r="C275" s="49">
        <f>HLOOKUP("# Cores",'vHosts (Imported)'!$1:$5000,M275,FALSE)</f>
        <v>0</v>
      </c>
      <c r="D275" s="52">
        <f>HLOOKUP("# Memory",'vHosts (Imported)'!$1:$5000,M275,FALSE)</f>
        <v>0</v>
      </c>
      <c r="M275" s="45">
        <f t="shared" si="14"/>
        <v>275</v>
      </c>
      <c r="N275" s="38">
        <f>HLOOKUP("Host",'vInfo (Imported)'!$1:$5000,M275,FALSE)</f>
        <v>0</v>
      </c>
      <c r="R275">
        <f>HLOOKUP("CPUs",'vInfo (Imported)'!$1:$5000,M275,FALSE)</f>
        <v>0</v>
      </c>
      <c r="S275">
        <f>HLOOKUP("Memory",'vInfo (Imported)'!$1:$5000,M275,FALSE)</f>
        <v>0</v>
      </c>
      <c r="T275">
        <f>HLOOKUP("Provisioned MiB",'vInfo (Imported)'!$1:$5000,M275,FALSE)</f>
        <v>0</v>
      </c>
      <c r="U275">
        <f t="shared" si="13"/>
        <v>0</v>
      </c>
      <c r="V275">
        <f>HLOOKUP("In Use MiB",'vInfo (Imported)'!$1:$5000,M275,FALSE)</f>
        <v>0</v>
      </c>
    </row>
    <row r="276" spans="1:22" ht="13" x14ac:dyDescent="0.3">
      <c r="A276" s="46">
        <f>'vHosts (Imported)'!A276</f>
        <v>0</v>
      </c>
      <c r="B276" s="51">
        <f t="shared" si="12"/>
        <v>4968</v>
      </c>
      <c r="C276" s="49">
        <f>HLOOKUP("# Cores",'vHosts (Imported)'!$1:$5000,M276,FALSE)</f>
        <v>0</v>
      </c>
      <c r="D276" s="52">
        <f>HLOOKUP("# Memory",'vHosts (Imported)'!$1:$5000,M276,FALSE)</f>
        <v>0</v>
      </c>
      <c r="M276" s="45">
        <f t="shared" si="14"/>
        <v>276</v>
      </c>
      <c r="N276" s="38">
        <f>HLOOKUP("Host",'vInfo (Imported)'!$1:$5000,M276,FALSE)</f>
        <v>0</v>
      </c>
      <c r="R276">
        <f>HLOOKUP("CPUs",'vInfo (Imported)'!$1:$5000,M276,FALSE)</f>
        <v>0</v>
      </c>
      <c r="S276">
        <f>HLOOKUP("Memory",'vInfo (Imported)'!$1:$5000,M276,FALSE)</f>
        <v>0</v>
      </c>
      <c r="T276">
        <f>HLOOKUP("Provisioned MiB",'vInfo (Imported)'!$1:$5000,M276,FALSE)</f>
        <v>0</v>
      </c>
      <c r="U276">
        <f t="shared" si="13"/>
        <v>0</v>
      </c>
      <c r="V276">
        <f>HLOOKUP("In Use MiB",'vInfo (Imported)'!$1:$5000,M276,FALSE)</f>
        <v>0</v>
      </c>
    </row>
    <row r="277" spans="1:22" ht="13" x14ac:dyDescent="0.3">
      <c r="A277" s="46">
        <f>'vHosts (Imported)'!A277</f>
        <v>0</v>
      </c>
      <c r="B277" s="51">
        <f t="shared" si="12"/>
        <v>4968</v>
      </c>
      <c r="C277" s="49">
        <f>HLOOKUP("# Cores",'vHosts (Imported)'!$1:$5000,M277,FALSE)</f>
        <v>0</v>
      </c>
      <c r="D277" s="52">
        <f>HLOOKUP("# Memory",'vHosts (Imported)'!$1:$5000,M277,FALSE)</f>
        <v>0</v>
      </c>
      <c r="M277" s="45">
        <f t="shared" si="14"/>
        <v>277</v>
      </c>
      <c r="N277" s="38">
        <f>HLOOKUP("Host",'vInfo (Imported)'!$1:$5000,M277,FALSE)</f>
        <v>0</v>
      </c>
      <c r="R277">
        <f>HLOOKUP("CPUs",'vInfo (Imported)'!$1:$5000,M277,FALSE)</f>
        <v>0</v>
      </c>
      <c r="S277">
        <f>HLOOKUP("Memory",'vInfo (Imported)'!$1:$5000,M277,FALSE)</f>
        <v>0</v>
      </c>
      <c r="T277">
        <f>HLOOKUP("Provisioned MiB",'vInfo (Imported)'!$1:$5000,M277,FALSE)</f>
        <v>0</v>
      </c>
      <c r="U277">
        <f t="shared" si="13"/>
        <v>0</v>
      </c>
      <c r="V277">
        <f>HLOOKUP("In Use MiB",'vInfo (Imported)'!$1:$5000,M277,FALSE)</f>
        <v>0</v>
      </c>
    </row>
    <row r="278" spans="1:22" ht="13" x14ac:dyDescent="0.3">
      <c r="A278" s="46">
        <f>'vHosts (Imported)'!A278</f>
        <v>0</v>
      </c>
      <c r="B278" s="51">
        <f t="shared" si="12"/>
        <v>4968</v>
      </c>
      <c r="C278" s="49">
        <f>HLOOKUP("# Cores",'vHosts (Imported)'!$1:$5000,M278,FALSE)</f>
        <v>0</v>
      </c>
      <c r="D278" s="52">
        <f>HLOOKUP("# Memory",'vHosts (Imported)'!$1:$5000,M278,FALSE)</f>
        <v>0</v>
      </c>
      <c r="M278" s="45">
        <f t="shared" si="14"/>
        <v>278</v>
      </c>
      <c r="N278" s="38">
        <f>HLOOKUP("Host",'vInfo (Imported)'!$1:$5000,M278,FALSE)</f>
        <v>0</v>
      </c>
      <c r="R278">
        <f>HLOOKUP("CPUs",'vInfo (Imported)'!$1:$5000,M278,FALSE)</f>
        <v>0</v>
      </c>
      <c r="S278">
        <f>HLOOKUP("Memory",'vInfo (Imported)'!$1:$5000,M278,FALSE)</f>
        <v>0</v>
      </c>
      <c r="T278">
        <f>HLOOKUP("Provisioned MiB",'vInfo (Imported)'!$1:$5000,M278,FALSE)</f>
        <v>0</v>
      </c>
      <c r="U278">
        <f t="shared" si="13"/>
        <v>0</v>
      </c>
      <c r="V278">
        <f>HLOOKUP("In Use MiB",'vInfo (Imported)'!$1:$5000,M278,FALSE)</f>
        <v>0</v>
      </c>
    </row>
    <row r="279" spans="1:22" ht="13" x14ac:dyDescent="0.3">
      <c r="A279" s="46">
        <f>'vHosts (Imported)'!A279</f>
        <v>0</v>
      </c>
      <c r="B279" s="51">
        <f t="shared" si="12"/>
        <v>4968</v>
      </c>
      <c r="C279" s="49">
        <f>HLOOKUP("# Cores",'vHosts (Imported)'!$1:$5000,M279,FALSE)</f>
        <v>0</v>
      </c>
      <c r="D279" s="52">
        <f>HLOOKUP("# Memory",'vHosts (Imported)'!$1:$5000,M279,FALSE)</f>
        <v>0</v>
      </c>
      <c r="M279" s="45">
        <f t="shared" si="14"/>
        <v>279</v>
      </c>
      <c r="N279" s="38">
        <f>HLOOKUP("Host",'vInfo (Imported)'!$1:$5000,M279,FALSE)</f>
        <v>0</v>
      </c>
      <c r="R279">
        <f>HLOOKUP("CPUs",'vInfo (Imported)'!$1:$5000,M279,FALSE)</f>
        <v>0</v>
      </c>
      <c r="S279">
        <f>HLOOKUP("Memory",'vInfo (Imported)'!$1:$5000,M279,FALSE)</f>
        <v>0</v>
      </c>
      <c r="T279">
        <f>HLOOKUP("Provisioned MiB",'vInfo (Imported)'!$1:$5000,M279,FALSE)</f>
        <v>0</v>
      </c>
      <c r="U279">
        <f t="shared" si="13"/>
        <v>0</v>
      </c>
      <c r="V279">
        <f>HLOOKUP("In Use MiB",'vInfo (Imported)'!$1:$5000,M279,FALSE)</f>
        <v>0</v>
      </c>
    </row>
    <row r="280" spans="1:22" ht="13" x14ac:dyDescent="0.3">
      <c r="A280" s="46">
        <f>'vHosts (Imported)'!A280</f>
        <v>0</v>
      </c>
      <c r="B280" s="51">
        <f t="shared" si="12"/>
        <v>4968</v>
      </c>
      <c r="C280" s="49">
        <f>HLOOKUP("# Cores",'vHosts (Imported)'!$1:$5000,M280,FALSE)</f>
        <v>0</v>
      </c>
      <c r="D280" s="52">
        <f>HLOOKUP("# Memory",'vHosts (Imported)'!$1:$5000,M280,FALSE)</f>
        <v>0</v>
      </c>
      <c r="M280" s="45">
        <f t="shared" si="14"/>
        <v>280</v>
      </c>
      <c r="N280" s="38">
        <f>HLOOKUP("Host",'vInfo (Imported)'!$1:$5000,M280,FALSE)</f>
        <v>0</v>
      </c>
      <c r="R280">
        <f>HLOOKUP("CPUs",'vInfo (Imported)'!$1:$5000,M280,FALSE)</f>
        <v>0</v>
      </c>
      <c r="S280">
        <f>HLOOKUP("Memory",'vInfo (Imported)'!$1:$5000,M280,FALSE)</f>
        <v>0</v>
      </c>
      <c r="T280">
        <f>HLOOKUP("Provisioned MiB",'vInfo (Imported)'!$1:$5000,M280,FALSE)</f>
        <v>0</v>
      </c>
      <c r="U280">
        <f t="shared" si="13"/>
        <v>0</v>
      </c>
      <c r="V280">
        <f>HLOOKUP("In Use MiB",'vInfo (Imported)'!$1:$5000,M280,FALSE)</f>
        <v>0</v>
      </c>
    </row>
    <row r="281" spans="1:22" ht="13" x14ac:dyDescent="0.3">
      <c r="A281" s="46">
        <f>'vHosts (Imported)'!A281</f>
        <v>0</v>
      </c>
      <c r="B281" s="51">
        <f t="shared" si="12"/>
        <v>4968</v>
      </c>
      <c r="C281" s="49">
        <f>HLOOKUP("# Cores",'vHosts (Imported)'!$1:$5000,M281,FALSE)</f>
        <v>0</v>
      </c>
      <c r="D281" s="52">
        <f>HLOOKUP("# Memory",'vHosts (Imported)'!$1:$5000,M281,FALSE)</f>
        <v>0</v>
      </c>
      <c r="M281" s="45">
        <f t="shared" si="14"/>
        <v>281</v>
      </c>
      <c r="N281" s="38">
        <f>HLOOKUP("Host",'vInfo (Imported)'!$1:$5000,M281,FALSE)</f>
        <v>0</v>
      </c>
      <c r="R281">
        <f>HLOOKUP("CPUs",'vInfo (Imported)'!$1:$5000,M281,FALSE)</f>
        <v>0</v>
      </c>
      <c r="S281">
        <f>HLOOKUP("Memory",'vInfo (Imported)'!$1:$5000,M281,FALSE)</f>
        <v>0</v>
      </c>
      <c r="T281">
        <f>HLOOKUP("Provisioned MiB",'vInfo (Imported)'!$1:$5000,M281,FALSE)</f>
        <v>0</v>
      </c>
      <c r="U281">
        <f t="shared" si="13"/>
        <v>0</v>
      </c>
      <c r="V281">
        <f>HLOOKUP("In Use MiB",'vInfo (Imported)'!$1:$5000,M281,FALSE)</f>
        <v>0</v>
      </c>
    </row>
    <row r="282" spans="1:22" ht="13" x14ac:dyDescent="0.3">
      <c r="A282" s="46">
        <f>'vHosts (Imported)'!A282</f>
        <v>0</v>
      </c>
      <c r="B282" s="51">
        <f t="shared" si="12"/>
        <v>4968</v>
      </c>
      <c r="C282" s="49">
        <f>HLOOKUP("# Cores",'vHosts (Imported)'!$1:$5000,M282,FALSE)</f>
        <v>0</v>
      </c>
      <c r="D282" s="52">
        <f>HLOOKUP("# Memory",'vHosts (Imported)'!$1:$5000,M282,FALSE)</f>
        <v>0</v>
      </c>
      <c r="M282" s="45">
        <f t="shared" si="14"/>
        <v>282</v>
      </c>
      <c r="N282" s="38">
        <f>HLOOKUP("Host",'vInfo (Imported)'!$1:$5000,M282,FALSE)</f>
        <v>0</v>
      </c>
      <c r="R282">
        <f>HLOOKUP("CPUs",'vInfo (Imported)'!$1:$5000,M282,FALSE)</f>
        <v>0</v>
      </c>
      <c r="S282">
        <f>HLOOKUP("Memory",'vInfo (Imported)'!$1:$5000,M282,FALSE)</f>
        <v>0</v>
      </c>
      <c r="T282">
        <f>HLOOKUP("Provisioned MiB",'vInfo (Imported)'!$1:$5000,M282,FALSE)</f>
        <v>0</v>
      </c>
      <c r="U282">
        <f t="shared" si="13"/>
        <v>0</v>
      </c>
      <c r="V282">
        <f>HLOOKUP("In Use MiB",'vInfo (Imported)'!$1:$5000,M282,FALSE)</f>
        <v>0</v>
      </c>
    </row>
    <row r="283" spans="1:22" ht="13" x14ac:dyDescent="0.3">
      <c r="A283" s="46">
        <f>'vHosts (Imported)'!A283</f>
        <v>0</v>
      </c>
      <c r="B283" s="51">
        <f t="shared" si="12"/>
        <v>4968</v>
      </c>
      <c r="C283" s="49">
        <f>HLOOKUP("# Cores",'vHosts (Imported)'!$1:$5000,M283,FALSE)</f>
        <v>0</v>
      </c>
      <c r="D283" s="52">
        <f>HLOOKUP("# Memory",'vHosts (Imported)'!$1:$5000,M283,FALSE)</f>
        <v>0</v>
      </c>
      <c r="M283" s="45">
        <f t="shared" si="14"/>
        <v>283</v>
      </c>
      <c r="N283" s="38">
        <f>HLOOKUP("Host",'vInfo (Imported)'!$1:$5000,M283,FALSE)</f>
        <v>0</v>
      </c>
      <c r="R283">
        <f>HLOOKUP("CPUs",'vInfo (Imported)'!$1:$5000,M283,FALSE)</f>
        <v>0</v>
      </c>
      <c r="S283">
        <f>HLOOKUP("Memory",'vInfo (Imported)'!$1:$5000,M283,FALSE)</f>
        <v>0</v>
      </c>
      <c r="T283">
        <f>HLOOKUP("Provisioned MiB",'vInfo (Imported)'!$1:$5000,M283,FALSE)</f>
        <v>0</v>
      </c>
      <c r="U283">
        <f t="shared" si="13"/>
        <v>0</v>
      </c>
      <c r="V283">
        <f>HLOOKUP("In Use MiB",'vInfo (Imported)'!$1:$5000,M283,FALSE)</f>
        <v>0</v>
      </c>
    </row>
    <row r="284" spans="1:22" ht="13" x14ac:dyDescent="0.3">
      <c r="A284" s="46">
        <f>'vHosts (Imported)'!A284</f>
        <v>0</v>
      </c>
      <c r="B284" s="51">
        <f t="shared" si="12"/>
        <v>4968</v>
      </c>
      <c r="C284" s="49">
        <f>HLOOKUP("# Cores",'vHosts (Imported)'!$1:$5000,M284,FALSE)</f>
        <v>0</v>
      </c>
      <c r="D284" s="52">
        <f>HLOOKUP("# Memory",'vHosts (Imported)'!$1:$5000,M284,FALSE)</f>
        <v>0</v>
      </c>
      <c r="M284" s="45">
        <f t="shared" si="14"/>
        <v>284</v>
      </c>
      <c r="N284" s="38">
        <f>HLOOKUP("Host",'vInfo (Imported)'!$1:$5000,M284,FALSE)</f>
        <v>0</v>
      </c>
      <c r="R284">
        <f>HLOOKUP("CPUs",'vInfo (Imported)'!$1:$5000,M284,FALSE)</f>
        <v>0</v>
      </c>
      <c r="S284">
        <f>HLOOKUP("Memory",'vInfo (Imported)'!$1:$5000,M284,FALSE)</f>
        <v>0</v>
      </c>
      <c r="T284">
        <f>HLOOKUP("Provisioned MiB",'vInfo (Imported)'!$1:$5000,M284,FALSE)</f>
        <v>0</v>
      </c>
      <c r="U284">
        <f t="shared" si="13"/>
        <v>0</v>
      </c>
      <c r="V284">
        <f>HLOOKUP("In Use MiB",'vInfo (Imported)'!$1:$5000,M284,FALSE)</f>
        <v>0</v>
      </c>
    </row>
    <row r="285" spans="1:22" ht="13" x14ac:dyDescent="0.3">
      <c r="A285" s="46">
        <f>'vHosts (Imported)'!A285</f>
        <v>0</v>
      </c>
      <c r="B285" s="51">
        <f t="shared" si="12"/>
        <v>4968</v>
      </c>
      <c r="C285" s="49">
        <f>HLOOKUP("# Cores",'vHosts (Imported)'!$1:$5000,M285,FALSE)</f>
        <v>0</v>
      </c>
      <c r="D285" s="52">
        <f>HLOOKUP("# Memory",'vHosts (Imported)'!$1:$5000,M285,FALSE)</f>
        <v>0</v>
      </c>
      <c r="M285" s="45">
        <f t="shared" si="14"/>
        <v>285</v>
      </c>
      <c r="N285" s="38">
        <f>HLOOKUP("Host",'vInfo (Imported)'!$1:$5000,M285,FALSE)</f>
        <v>0</v>
      </c>
      <c r="R285">
        <f>HLOOKUP("CPUs",'vInfo (Imported)'!$1:$5000,M285,FALSE)</f>
        <v>0</v>
      </c>
      <c r="S285">
        <f>HLOOKUP("Memory",'vInfo (Imported)'!$1:$5000,M285,FALSE)</f>
        <v>0</v>
      </c>
      <c r="T285">
        <f>HLOOKUP("Provisioned MiB",'vInfo (Imported)'!$1:$5000,M285,FALSE)</f>
        <v>0</v>
      </c>
      <c r="U285">
        <f t="shared" si="13"/>
        <v>0</v>
      </c>
      <c r="V285">
        <f>HLOOKUP("In Use MiB",'vInfo (Imported)'!$1:$5000,M285,FALSE)</f>
        <v>0</v>
      </c>
    </row>
    <row r="286" spans="1:22" ht="13" x14ac:dyDescent="0.3">
      <c r="A286" s="46">
        <f>'vHosts (Imported)'!A286</f>
        <v>0</v>
      </c>
      <c r="B286" s="51">
        <f t="shared" si="12"/>
        <v>4968</v>
      </c>
      <c r="C286" s="49">
        <f>HLOOKUP("# Cores",'vHosts (Imported)'!$1:$5000,M286,FALSE)</f>
        <v>0</v>
      </c>
      <c r="D286" s="52">
        <f>HLOOKUP("# Memory",'vHosts (Imported)'!$1:$5000,M286,FALSE)</f>
        <v>0</v>
      </c>
      <c r="M286" s="45">
        <f t="shared" si="14"/>
        <v>286</v>
      </c>
      <c r="N286" s="38">
        <f>HLOOKUP("Host",'vInfo (Imported)'!$1:$5000,M286,FALSE)</f>
        <v>0</v>
      </c>
      <c r="R286">
        <f>HLOOKUP("CPUs",'vInfo (Imported)'!$1:$5000,M286,FALSE)</f>
        <v>0</v>
      </c>
      <c r="S286">
        <f>HLOOKUP("Memory",'vInfo (Imported)'!$1:$5000,M286,FALSE)</f>
        <v>0</v>
      </c>
      <c r="T286">
        <f>HLOOKUP("Provisioned MiB",'vInfo (Imported)'!$1:$5000,M286,FALSE)</f>
        <v>0</v>
      </c>
      <c r="U286">
        <f t="shared" si="13"/>
        <v>0</v>
      </c>
      <c r="V286">
        <f>HLOOKUP("In Use MiB",'vInfo (Imported)'!$1:$5000,M286,FALSE)</f>
        <v>0</v>
      </c>
    </row>
    <row r="287" spans="1:22" ht="13" x14ac:dyDescent="0.3">
      <c r="A287" s="46">
        <f>'vHosts (Imported)'!A287</f>
        <v>0</v>
      </c>
      <c r="B287" s="51">
        <f t="shared" si="12"/>
        <v>4968</v>
      </c>
      <c r="C287" s="49">
        <f>HLOOKUP("# Cores",'vHosts (Imported)'!$1:$5000,M287,FALSE)</f>
        <v>0</v>
      </c>
      <c r="D287" s="52">
        <f>HLOOKUP("# Memory",'vHosts (Imported)'!$1:$5000,M287,FALSE)</f>
        <v>0</v>
      </c>
      <c r="M287" s="45">
        <f t="shared" si="14"/>
        <v>287</v>
      </c>
      <c r="N287" s="38">
        <f>HLOOKUP("Host",'vInfo (Imported)'!$1:$5000,M287,FALSE)</f>
        <v>0</v>
      </c>
      <c r="R287">
        <f>HLOOKUP("CPUs",'vInfo (Imported)'!$1:$5000,M287,FALSE)</f>
        <v>0</v>
      </c>
      <c r="S287">
        <f>HLOOKUP("Memory",'vInfo (Imported)'!$1:$5000,M287,FALSE)</f>
        <v>0</v>
      </c>
      <c r="T287">
        <f>HLOOKUP("Provisioned MiB",'vInfo (Imported)'!$1:$5000,M287,FALSE)</f>
        <v>0</v>
      </c>
      <c r="U287">
        <f t="shared" si="13"/>
        <v>0</v>
      </c>
      <c r="V287">
        <f>HLOOKUP("In Use MiB",'vInfo (Imported)'!$1:$5000,M287,FALSE)</f>
        <v>0</v>
      </c>
    </row>
    <row r="288" spans="1:22" ht="13" x14ac:dyDescent="0.3">
      <c r="A288" s="46">
        <f>'vHosts (Imported)'!A288</f>
        <v>0</v>
      </c>
      <c r="B288" s="51">
        <f t="shared" si="12"/>
        <v>4968</v>
      </c>
      <c r="C288" s="49">
        <f>HLOOKUP("# Cores",'vHosts (Imported)'!$1:$5000,M288,FALSE)</f>
        <v>0</v>
      </c>
      <c r="D288" s="52">
        <f>HLOOKUP("# Memory",'vHosts (Imported)'!$1:$5000,M288,FALSE)</f>
        <v>0</v>
      </c>
      <c r="M288" s="45">
        <f t="shared" si="14"/>
        <v>288</v>
      </c>
      <c r="N288" s="38">
        <f>HLOOKUP("Host",'vInfo (Imported)'!$1:$5000,M288,FALSE)</f>
        <v>0</v>
      </c>
      <c r="R288">
        <f>HLOOKUP("CPUs",'vInfo (Imported)'!$1:$5000,M288,FALSE)</f>
        <v>0</v>
      </c>
      <c r="S288">
        <f>HLOOKUP("Memory",'vInfo (Imported)'!$1:$5000,M288,FALSE)</f>
        <v>0</v>
      </c>
      <c r="T288">
        <f>HLOOKUP("Provisioned MiB",'vInfo (Imported)'!$1:$5000,M288,FALSE)</f>
        <v>0</v>
      </c>
      <c r="U288">
        <f t="shared" si="13"/>
        <v>0</v>
      </c>
      <c r="V288">
        <f>HLOOKUP("In Use MiB",'vInfo (Imported)'!$1:$5000,M288,FALSE)</f>
        <v>0</v>
      </c>
    </row>
    <row r="289" spans="1:22" ht="13" x14ac:dyDescent="0.3">
      <c r="A289" s="46">
        <f>'vHosts (Imported)'!A289</f>
        <v>0</v>
      </c>
      <c r="B289" s="51">
        <f t="shared" si="12"/>
        <v>4968</v>
      </c>
      <c r="C289" s="49">
        <f>HLOOKUP("# Cores",'vHosts (Imported)'!$1:$5000,M289,FALSE)</f>
        <v>0</v>
      </c>
      <c r="D289" s="52">
        <f>HLOOKUP("# Memory",'vHosts (Imported)'!$1:$5000,M289,FALSE)</f>
        <v>0</v>
      </c>
      <c r="M289" s="45">
        <f t="shared" si="14"/>
        <v>289</v>
      </c>
      <c r="N289" s="38">
        <f>HLOOKUP("Host",'vInfo (Imported)'!$1:$5000,M289,FALSE)</f>
        <v>0</v>
      </c>
      <c r="R289">
        <f>HLOOKUP("CPUs",'vInfo (Imported)'!$1:$5000,M289,FALSE)</f>
        <v>0</v>
      </c>
      <c r="S289">
        <f>HLOOKUP("Memory",'vInfo (Imported)'!$1:$5000,M289,FALSE)</f>
        <v>0</v>
      </c>
      <c r="T289">
        <f>HLOOKUP("Provisioned MiB",'vInfo (Imported)'!$1:$5000,M289,FALSE)</f>
        <v>0</v>
      </c>
      <c r="U289">
        <f t="shared" si="13"/>
        <v>0</v>
      </c>
      <c r="V289">
        <f>HLOOKUP("In Use MiB",'vInfo (Imported)'!$1:$5000,M289,FALSE)</f>
        <v>0</v>
      </c>
    </row>
    <row r="290" spans="1:22" ht="13" x14ac:dyDescent="0.3">
      <c r="A290" s="46">
        <f>'vHosts (Imported)'!A290</f>
        <v>0</v>
      </c>
      <c r="B290" s="51">
        <f t="shared" si="12"/>
        <v>4968</v>
      </c>
      <c r="C290" s="49">
        <f>HLOOKUP("# Cores",'vHosts (Imported)'!$1:$5000,M290,FALSE)</f>
        <v>0</v>
      </c>
      <c r="D290" s="52">
        <f>HLOOKUP("# Memory",'vHosts (Imported)'!$1:$5000,M290,FALSE)</f>
        <v>0</v>
      </c>
      <c r="M290" s="45">
        <f t="shared" si="14"/>
        <v>290</v>
      </c>
      <c r="N290" s="38">
        <f>HLOOKUP("Host",'vInfo (Imported)'!$1:$5000,M290,FALSE)</f>
        <v>0</v>
      </c>
      <c r="R290">
        <f>HLOOKUP("CPUs",'vInfo (Imported)'!$1:$5000,M290,FALSE)</f>
        <v>0</v>
      </c>
      <c r="S290">
        <f>HLOOKUP("Memory",'vInfo (Imported)'!$1:$5000,M290,FALSE)</f>
        <v>0</v>
      </c>
      <c r="T290">
        <f>HLOOKUP("Provisioned MiB",'vInfo (Imported)'!$1:$5000,M290,FALSE)</f>
        <v>0</v>
      </c>
      <c r="U290">
        <f t="shared" si="13"/>
        <v>0</v>
      </c>
      <c r="V290">
        <f>HLOOKUP("In Use MiB",'vInfo (Imported)'!$1:$5000,M290,FALSE)</f>
        <v>0</v>
      </c>
    </row>
    <row r="291" spans="1:22" ht="13" x14ac:dyDescent="0.3">
      <c r="A291" s="46">
        <f>'vHosts (Imported)'!A291</f>
        <v>0</v>
      </c>
      <c r="B291" s="51">
        <f t="shared" si="12"/>
        <v>4968</v>
      </c>
      <c r="C291" s="49">
        <f>HLOOKUP("# Cores",'vHosts (Imported)'!$1:$5000,M291,FALSE)</f>
        <v>0</v>
      </c>
      <c r="D291" s="52">
        <f>HLOOKUP("# Memory",'vHosts (Imported)'!$1:$5000,M291,FALSE)</f>
        <v>0</v>
      </c>
      <c r="M291" s="45">
        <f t="shared" si="14"/>
        <v>291</v>
      </c>
      <c r="N291" s="38">
        <f>HLOOKUP("Host",'vInfo (Imported)'!$1:$5000,M291,FALSE)</f>
        <v>0</v>
      </c>
      <c r="R291">
        <f>HLOOKUP("CPUs",'vInfo (Imported)'!$1:$5000,M291,FALSE)</f>
        <v>0</v>
      </c>
      <c r="S291">
        <f>HLOOKUP("Memory",'vInfo (Imported)'!$1:$5000,M291,FALSE)</f>
        <v>0</v>
      </c>
      <c r="T291">
        <f>HLOOKUP("Provisioned MiB",'vInfo (Imported)'!$1:$5000,M291,FALSE)</f>
        <v>0</v>
      </c>
      <c r="U291">
        <f t="shared" si="13"/>
        <v>0</v>
      </c>
      <c r="V291">
        <f>HLOOKUP("In Use MiB",'vInfo (Imported)'!$1:$5000,M291,FALSE)</f>
        <v>0</v>
      </c>
    </row>
    <row r="292" spans="1:22" ht="13" x14ac:dyDescent="0.3">
      <c r="A292" s="46">
        <f>'vHosts (Imported)'!A292</f>
        <v>0</v>
      </c>
      <c r="B292" s="51">
        <f t="shared" si="12"/>
        <v>4968</v>
      </c>
      <c r="C292" s="49">
        <f>HLOOKUP("# Cores",'vHosts (Imported)'!$1:$5000,M292,FALSE)</f>
        <v>0</v>
      </c>
      <c r="D292" s="52">
        <f>HLOOKUP("# Memory",'vHosts (Imported)'!$1:$5000,M292,FALSE)</f>
        <v>0</v>
      </c>
      <c r="M292" s="45">
        <f t="shared" si="14"/>
        <v>292</v>
      </c>
      <c r="N292" s="38">
        <f>HLOOKUP("Host",'vInfo (Imported)'!$1:$5000,M292,FALSE)</f>
        <v>0</v>
      </c>
      <c r="R292">
        <f>HLOOKUP("CPUs",'vInfo (Imported)'!$1:$5000,M292,FALSE)</f>
        <v>0</v>
      </c>
      <c r="S292">
        <f>HLOOKUP("Memory",'vInfo (Imported)'!$1:$5000,M292,FALSE)</f>
        <v>0</v>
      </c>
      <c r="T292">
        <f>HLOOKUP("Provisioned MiB",'vInfo (Imported)'!$1:$5000,M292,FALSE)</f>
        <v>0</v>
      </c>
      <c r="U292">
        <f t="shared" si="13"/>
        <v>0</v>
      </c>
      <c r="V292">
        <f>HLOOKUP("In Use MiB",'vInfo (Imported)'!$1:$5000,M292,FALSE)</f>
        <v>0</v>
      </c>
    </row>
    <row r="293" spans="1:22" ht="13" x14ac:dyDescent="0.3">
      <c r="A293" s="46">
        <f>'vHosts (Imported)'!A293</f>
        <v>0</v>
      </c>
      <c r="B293" s="51">
        <f t="shared" si="12"/>
        <v>4968</v>
      </c>
      <c r="C293" s="49">
        <f>HLOOKUP("# Cores",'vHosts (Imported)'!$1:$5000,M293,FALSE)</f>
        <v>0</v>
      </c>
      <c r="D293" s="52">
        <f>HLOOKUP("# Memory",'vHosts (Imported)'!$1:$5000,M293,FALSE)</f>
        <v>0</v>
      </c>
      <c r="M293" s="45">
        <f t="shared" si="14"/>
        <v>293</v>
      </c>
      <c r="N293" s="38">
        <f>HLOOKUP("Host",'vInfo (Imported)'!$1:$5000,M293,FALSE)</f>
        <v>0</v>
      </c>
      <c r="R293">
        <f>HLOOKUP("CPUs",'vInfo (Imported)'!$1:$5000,M293,FALSE)</f>
        <v>0</v>
      </c>
      <c r="S293">
        <f>HLOOKUP("Memory",'vInfo (Imported)'!$1:$5000,M293,FALSE)</f>
        <v>0</v>
      </c>
      <c r="T293">
        <f>HLOOKUP("Provisioned MiB",'vInfo (Imported)'!$1:$5000,M293,FALSE)</f>
        <v>0</v>
      </c>
      <c r="U293">
        <f t="shared" si="13"/>
        <v>0</v>
      </c>
      <c r="V293">
        <f>HLOOKUP("In Use MiB",'vInfo (Imported)'!$1:$5000,M293,FALSE)</f>
        <v>0</v>
      </c>
    </row>
    <row r="294" spans="1:22" ht="13" x14ac:dyDescent="0.3">
      <c r="A294" s="46">
        <f>'vHosts (Imported)'!A294</f>
        <v>0</v>
      </c>
      <c r="B294" s="51">
        <f t="shared" si="12"/>
        <v>4968</v>
      </c>
      <c r="C294" s="49">
        <f>HLOOKUP("# Cores",'vHosts (Imported)'!$1:$5000,M294,FALSE)</f>
        <v>0</v>
      </c>
      <c r="D294" s="52">
        <f>HLOOKUP("# Memory",'vHosts (Imported)'!$1:$5000,M294,FALSE)</f>
        <v>0</v>
      </c>
      <c r="M294" s="45">
        <f t="shared" si="14"/>
        <v>294</v>
      </c>
      <c r="N294" s="38">
        <f>HLOOKUP("Host",'vInfo (Imported)'!$1:$5000,M294,FALSE)</f>
        <v>0</v>
      </c>
      <c r="R294">
        <f>HLOOKUP("CPUs",'vInfo (Imported)'!$1:$5000,M294,FALSE)</f>
        <v>0</v>
      </c>
      <c r="S294">
        <f>HLOOKUP("Memory",'vInfo (Imported)'!$1:$5000,M294,FALSE)</f>
        <v>0</v>
      </c>
      <c r="T294">
        <f>HLOOKUP("Provisioned MiB",'vInfo (Imported)'!$1:$5000,M294,FALSE)</f>
        <v>0</v>
      </c>
      <c r="U294">
        <f t="shared" si="13"/>
        <v>0</v>
      </c>
      <c r="V294">
        <f>HLOOKUP("In Use MiB",'vInfo (Imported)'!$1:$5000,M294,FALSE)</f>
        <v>0</v>
      </c>
    </row>
    <row r="295" spans="1:22" ht="13" x14ac:dyDescent="0.3">
      <c r="A295" s="46">
        <f>'vHosts (Imported)'!A295</f>
        <v>0</v>
      </c>
      <c r="B295" s="51">
        <f t="shared" si="12"/>
        <v>4968</v>
      </c>
      <c r="C295" s="49">
        <f>HLOOKUP("# Cores",'vHosts (Imported)'!$1:$5000,M295,FALSE)</f>
        <v>0</v>
      </c>
      <c r="D295" s="52">
        <f>HLOOKUP("# Memory",'vHosts (Imported)'!$1:$5000,M295,FALSE)</f>
        <v>0</v>
      </c>
      <c r="M295" s="45">
        <f t="shared" si="14"/>
        <v>295</v>
      </c>
      <c r="N295" s="38">
        <f>HLOOKUP("Host",'vInfo (Imported)'!$1:$5000,M295,FALSE)</f>
        <v>0</v>
      </c>
      <c r="R295">
        <f>HLOOKUP("CPUs",'vInfo (Imported)'!$1:$5000,M295,FALSE)</f>
        <v>0</v>
      </c>
      <c r="S295">
        <f>HLOOKUP("Memory",'vInfo (Imported)'!$1:$5000,M295,FALSE)</f>
        <v>0</v>
      </c>
      <c r="T295">
        <f>HLOOKUP("Provisioned MiB",'vInfo (Imported)'!$1:$5000,M295,FALSE)</f>
        <v>0</v>
      </c>
      <c r="U295">
        <f t="shared" si="13"/>
        <v>0</v>
      </c>
      <c r="V295">
        <f>HLOOKUP("In Use MiB",'vInfo (Imported)'!$1:$5000,M295,FALSE)</f>
        <v>0</v>
      </c>
    </row>
    <row r="296" spans="1:22" ht="13" x14ac:dyDescent="0.3">
      <c r="A296" s="46">
        <f>'vHosts (Imported)'!A296</f>
        <v>0</v>
      </c>
      <c r="B296" s="51">
        <f t="shared" si="12"/>
        <v>4968</v>
      </c>
      <c r="C296" s="49">
        <f>HLOOKUP("# Cores",'vHosts (Imported)'!$1:$5000,M296,FALSE)</f>
        <v>0</v>
      </c>
      <c r="D296" s="52">
        <f>HLOOKUP("# Memory",'vHosts (Imported)'!$1:$5000,M296,FALSE)</f>
        <v>0</v>
      </c>
      <c r="M296" s="45">
        <f t="shared" si="14"/>
        <v>296</v>
      </c>
      <c r="N296" s="38">
        <f>HLOOKUP("Host",'vInfo (Imported)'!$1:$5000,M296,FALSE)</f>
        <v>0</v>
      </c>
      <c r="R296">
        <f>HLOOKUP("CPUs",'vInfo (Imported)'!$1:$5000,M296,FALSE)</f>
        <v>0</v>
      </c>
      <c r="S296">
        <f>HLOOKUP("Memory",'vInfo (Imported)'!$1:$5000,M296,FALSE)</f>
        <v>0</v>
      </c>
      <c r="T296">
        <f>HLOOKUP("Provisioned MiB",'vInfo (Imported)'!$1:$5000,M296,FALSE)</f>
        <v>0</v>
      </c>
      <c r="U296">
        <f t="shared" si="13"/>
        <v>0</v>
      </c>
      <c r="V296">
        <f>HLOOKUP("In Use MiB",'vInfo (Imported)'!$1:$5000,M296,FALSE)</f>
        <v>0</v>
      </c>
    </row>
    <row r="297" spans="1:22" ht="13" x14ac:dyDescent="0.3">
      <c r="A297" s="46">
        <f>'vHosts (Imported)'!A297</f>
        <v>0</v>
      </c>
      <c r="B297" s="51">
        <f t="shared" si="12"/>
        <v>4968</v>
      </c>
      <c r="C297" s="49">
        <f>HLOOKUP("# Cores",'vHosts (Imported)'!$1:$5000,M297,FALSE)</f>
        <v>0</v>
      </c>
      <c r="D297" s="52">
        <f>HLOOKUP("# Memory",'vHosts (Imported)'!$1:$5000,M297,FALSE)</f>
        <v>0</v>
      </c>
      <c r="M297" s="45">
        <f t="shared" si="14"/>
        <v>297</v>
      </c>
      <c r="N297" s="38">
        <f>HLOOKUP("Host",'vInfo (Imported)'!$1:$5000,M297,FALSE)</f>
        <v>0</v>
      </c>
      <c r="R297">
        <f>HLOOKUP("CPUs",'vInfo (Imported)'!$1:$5000,M297,FALSE)</f>
        <v>0</v>
      </c>
      <c r="S297">
        <f>HLOOKUP("Memory",'vInfo (Imported)'!$1:$5000,M297,FALSE)</f>
        <v>0</v>
      </c>
      <c r="T297">
        <f>HLOOKUP("Provisioned MiB",'vInfo (Imported)'!$1:$5000,M297,FALSE)</f>
        <v>0</v>
      </c>
      <c r="U297">
        <f t="shared" si="13"/>
        <v>0</v>
      </c>
      <c r="V297">
        <f>HLOOKUP("In Use MiB",'vInfo (Imported)'!$1:$5000,M297,FALSE)</f>
        <v>0</v>
      </c>
    </row>
    <row r="298" spans="1:22" ht="13" x14ac:dyDescent="0.3">
      <c r="A298" s="46">
        <f>'vHosts (Imported)'!A298</f>
        <v>0</v>
      </c>
      <c r="B298" s="51">
        <f t="shared" si="12"/>
        <v>4968</v>
      </c>
      <c r="C298" s="49">
        <f>HLOOKUP("# Cores",'vHosts (Imported)'!$1:$5000,M298,FALSE)</f>
        <v>0</v>
      </c>
      <c r="D298" s="52">
        <f>HLOOKUP("# Memory",'vHosts (Imported)'!$1:$5000,M298,FALSE)</f>
        <v>0</v>
      </c>
      <c r="M298" s="45">
        <f t="shared" si="14"/>
        <v>298</v>
      </c>
      <c r="N298" s="38">
        <f>HLOOKUP("Host",'vInfo (Imported)'!$1:$5000,M298,FALSE)</f>
        <v>0</v>
      </c>
      <c r="R298">
        <f>HLOOKUP("CPUs",'vInfo (Imported)'!$1:$5000,M298,FALSE)</f>
        <v>0</v>
      </c>
      <c r="S298">
        <f>HLOOKUP("Memory",'vInfo (Imported)'!$1:$5000,M298,FALSE)</f>
        <v>0</v>
      </c>
      <c r="T298">
        <f>HLOOKUP("Provisioned MiB",'vInfo (Imported)'!$1:$5000,M298,FALSE)</f>
        <v>0</v>
      </c>
      <c r="U298">
        <f t="shared" si="13"/>
        <v>0</v>
      </c>
      <c r="V298">
        <f>HLOOKUP("In Use MiB",'vInfo (Imported)'!$1:$5000,M298,FALSE)</f>
        <v>0</v>
      </c>
    </row>
    <row r="299" spans="1:22" ht="13" x14ac:dyDescent="0.3">
      <c r="A299" s="46">
        <f>'vHosts (Imported)'!A299</f>
        <v>0</v>
      </c>
      <c r="B299" s="51">
        <f t="shared" si="12"/>
        <v>4968</v>
      </c>
      <c r="C299" s="49">
        <f>HLOOKUP("# Cores",'vHosts (Imported)'!$1:$5000,M299,FALSE)</f>
        <v>0</v>
      </c>
      <c r="D299" s="52">
        <f>HLOOKUP("# Memory",'vHosts (Imported)'!$1:$5000,M299,FALSE)</f>
        <v>0</v>
      </c>
      <c r="M299" s="45">
        <f t="shared" si="14"/>
        <v>299</v>
      </c>
      <c r="N299" s="38">
        <f>HLOOKUP("Host",'vInfo (Imported)'!$1:$5000,M299,FALSE)</f>
        <v>0</v>
      </c>
      <c r="R299">
        <f>HLOOKUP("CPUs",'vInfo (Imported)'!$1:$5000,M299,FALSE)</f>
        <v>0</v>
      </c>
      <c r="S299">
        <f>HLOOKUP("Memory",'vInfo (Imported)'!$1:$5000,M299,FALSE)</f>
        <v>0</v>
      </c>
      <c r="T299">
        <f>HLOOKUP("Provisioned MiB",'vInfo (Imported)'!$1:$5000,M299,FALSE)</f>
        <v>0</v>
      </c>
      <c r="U299">
        <f t="shared" si="13"/>
        <v>0</v>
      </c>
      <c r="V299">
        <f>HLOOKUP("In Use MiB",'vInfo (Imported)'!$1:$5000,M299,FALSE)</f>
        <v>0</v>
      </c>
    </row>
    <row r="300" spans="1:22" ht="13" x14ac:dyDescent="0.3">
      <c r="A300" s="46">
        <f>'vHosts (Imported)'!A300</f>
        <v>0</v>
      </c>
      <c r="B300" s="51">
        <f t="shared" si="12"/>
        <v>4968</v>
      </c>
      <c r="C300" s="49">
        <f>HLOOKUP("# Cores",'vHosts (Imported)'!$1:$5000,M300,FALSE)</f>
        <v>0</v>
      </c>
      <c r="D300" s="52">
        <f>HLOOKUP("# Memory",'vHosts (Imported)'!$1:$5000,M300,FALSE)</f>
        <v>0</v>
      </c>
      <c r="M300" s="45">
        <f t="shared" si="14"/>
        <v>300</v>
      </c>
      <c r="N300" s="38">
        <f>HLOOKUP("Host",'vInfo (Imported)'!$1:$5000,M300,FALSE)</f>
        <v>0</v>
      </c>
      <c r="R300">
        <f>HLOOKUP("CPUs",'vInfo (Imported)'!$1:$5000,M300,FALSE)</f>
        <v>0</v>
      </c>
      <c r="S300">
        <f>HLOOKUP("Memory",'vInfo (Imported)'!$1:$5000,M300,FALSE)</f>
        <v>0</v>
      </c>
      <c r="T300">
        <f>HLOOKUP("Provisioned MiB",'vInfo (Imported)'!$1:$5000,M300,FALSE)</f>
        <v>0</v>
      </c>
      <c r="U300">
        <f t="shared" si="13"/>
        <v>0</v>
      </c>
      <c r="V300">
        <f>HLOOKUP("In Use MiB",'vInfo (Imported)'!$1:$5000,M300,FALSE)</f>
        <v>0</v>
      </c>
    </row>
    <row r="301" spans="1:22" ht="13" x14ac:dyDescent="0.3">
      <c r="A301" s="46">
        <f>'vHosts (Imported)'!A301</f>
        <v>0</v>
      </c>
      <c r="B301" s="51">
        <f t="shared" si="12"/>
        <v>4968</v>
      </c>
      <c r="C301" s="49">
        <f>HLOOKUP("# Cores",'vHosts (Imported)'!$1:$5000,M301,FALSE)</f>
        <v>0</v>
      </c>
      <c r="D301" s="52">
        <f>HLOOKUP("# Memory",'vHosts (Imported)'!$1:$5000,M301,FALSE)</f>
        <v>0</v>
      </c>
      <c r="M301" s="45">
        <f t="shared" si="14"/>
        <v>301</v>
      </c>
      <c r="N301" s="38">
        <f>HLOOKUP("Host",'vInfo (Imported)'!$1:$5000,M301,FALSE)</f>
        <v>0</v>
      </c>
      <c r="R301">
        <f>HLOOKUP("CPUs",'vInfo (Imported)'!$1:$5000,M301,FALSE)</f>
        <v>0</v>
      </c>
      <c r="S301">
        <f>HLOOKUP("Memory",'vInfo (Imported)'!$1:$5000,M301,FALSE)</f>
        <v>0</v>
      </c>
      <c r="T301">
        <f>HLOOKUP("Provisioned MiB",'vInfo (Imported)'!$1:$5000,M301,FALSE)</f>
        <v>0</v>
      </c>
      <c r="U301">
        <f t="shared" si="13"/>
        <v>0</v>
      </c>
      <c r="V301">
        <f>HLOOKUP("In Use MiB",'vInfo (Imported)'!$1:$5000,M301,FALSE)</f>
        <v>0</v>
      </c>
    </row>
    <row r="302" spans="1:22" ht="13" x14ac:dyDescent="0.3">
      <c r="A302" s="46">
        <f>'vHosts (Imported)'!A302</f>
        <v>0</v>
      </c>
      <c r="B302" s="51">
        <f t="shared" si="12"/>
        <v>4968</v>
      </c>
      <c r="C302" s="49">
        <f>HLOOKUP("# Cores",'vHosts (Imported)'!$1:$5000,M302,FALSE)</f>
        <v>0</v>
      </c>
      <c r="D302" s="52">
        <f>HLOOKUP("# Memory",'vHosts (Imported)'!$1:$5000,M302,FALSE)</f>
        <v>0</v>
      </c>
      <c r="M302" s="45">
        <f t="shared" si="14"/>
        <v>302</v>
      </c>
      <c r="N302" s="38">
        <f>HLOOKUP("Host",'vInfo (Imported)'!$1:$5000,M302,FALSE)</f>
        <v>0</v>
      </c>
      <c r="R302">
        <f>HLOOKUP("CPUs",'vInfo (Imported)'!$1:$5000,M302,FALSE)</f>
        <v>0</v>
      </c>
      <c r="S302">
        <f>HLOOKUP("Memory",'vInfo (Imported)'!$1:$5000,M302,FALSE)</f>
        <v>0</v>
      </c>
      <c r="T302">
        <f>HLOOKUP("Provisioned MiB",'vInfo (Imported)'!$1:$5000,M302,FALSE)</f>
        <v>0</v>
      </c>
      <c r="U302">
        <f t="shared" si="13"/>
        <v>0</v>
      </c>
      <c r="V302">
        <f>HLOOKUP("In Use MiB",'vInfo (Imported)'!$1:$5000,M302,FALSE)</f>
        <v>0</v>
      </c>
    </row>
    <row r="303" spans="1:22" ht="13" x14ac:dyDescent="0.3">
      <c r="A303" s="46">
        <f>'vHosts (Imported)'!A303</f>
        <v>0</v>
      </c>
      <c r="B303" s="51">
        <f t="shared" si="12"/>
        <v>4968</v>
      </c>
      <c r="C303" s="49">
        <f>HLOOKUP("# Cores",'vHosts (Imported)'!$1:$5000,M303,FALSE)</f>
        <v>0</v>
      </c>
      <c r="D303" s="52">
        <f>HLOOKUP("# Memory",'vHosts (Imported)'!$1:$5000,M303,FALSE)</f>
        <v>0</v>
      </c>
      <c r="M303" s="45">
        <f t="shared" si="14"/>
        <v>303</v>
      </c>
      <c r="N303" s="38">
        <f>HLOOKUP("Host",'vInfo (Imported)'!$1:$5000,M303,FALSE)</f>
        <v>0</v>
      </c>
      <c r="R303">
        <f>HLOOKUP("CPUs",'vInfo (Imported)'!$1:$5000,M303,FALSE)</f>
        <v>0</v>
      </c>
      <c r="S303">
        <f>HLOOKUP("Memory",'vInfo (Imported)'!$1:$5000,M303,FALSE)</f>
        <v>0</v>
      </c>
      <c r="T303">
        <f>HLOOKUP("Provisioned MiB",'vInfo (Imported)'!$1:$5000,M303,FALSE)</f>
        <v>0</v>
      </c>
      <c r="U303">
        <f t="shared" si="13"/>
        <v>0</v>
      </c>
      <c r="V303">
        <f>HLOOKUP("In Use MiB",'vInfo (Imported)'!$1:$5000,M303,FALSE)</f>
        <v>0</v>
      </c>
    </row>
    <row r="304" spans="1:22" ht="13" x14ac:dyDescent="0.3">
      <c r="A304" s="46">
        <f>'vHosts (Imported)'!A304</f>
        <v>0</v>
      </c>
      <c r="B304" s="51">
        <f t="shared" si="12"/>
        <v>4968</v>
      </c>
      <c r="C304" s="49">
        <f>HLOOKUP("# Cores",'vHosts (Imported)'!$1:$5000,M304,FALSE)</f>
        <v>0</v>
      </c>
      <c r="D304" s="52">
        <f>HLOOKUP("# Memory",'vHosts (Imported)'!$1:$5000,M304,FALSE)</f>
        <v>0</v>
      </c>
      <c r="M304" s="45">
        <f t="shared" si="14"/>
        <v>304</v>
      </c>
      <c r="N304" s="38">
        <f>HLOOKUP("Host",'vInfo (Imported)'!$1:$5000,M304,FALSE)</f>
        <v>0</v>
      </c>
      <c r="R304">
        <f>HLOOKUP("CPUs",'vInfo (Imported)'!$1:$5000,M304,FALSE)</f>
        <v>0</v>
      </c>
      <c r="S304">
        <f>HLOOKUP("Memory",'vInfo (Imported)'!$1:$5000,M304,FALSE)</f>
        <v>0</v>
      </c>
      <c r="T304">
        <f>HLOOKUP("Provisioned MiB",'vInfo (Imported)'!$1:$5000,M304,FALSE)</f>
        <v>0</v>
      </c>
      <c r="U304">
        <f t="shared" si="13"/>
        <v>0</v>
      </c>
      <c r="V304">
        <f>HLOOKUP("In Use MiB",'vInfo (Imported)'!$1:$5000,M304,FALSE)</f>
        <v>0</v>
      </c>
    </row>
    <row r="305" spans="1:22" ht="13" x14ac:dyDescent="0.3">
      <c r="A305" s="46">
        <f>'vHosts (Imported)'!A305</f>
        <v>0</v>
      </c>
      <c r="B305" s="51">
        <f t="shared" si="12"/>
        <v>4968</v>
      </c>
      <c r="C305" s="49">
        <f>HLOOKUP("# Cores",'vHosts (Imported)'!$1:$5000,M305,FALSE)</f>
        <v>0</v>
      </c>
      <c r="D305" s="52">
        <f>HLOOKUP("# Memory",'vHosts (Imported)'!$1:$5000,M305,FALSE)</f>
        <v>0</v>
      </c>
      <c r="M305" s="45">
        <f t="shared" si="14"/>
        <v>305</v>
      </c>
      <c r="N305" s="38">
        <f>HLOOKUP("Host",'vInfo (Imported)'!$1:$5000,M305,FALSE)</f>
        <v>0</v>
      </c>
      <c r="R305">
        <f>HLOOKUP("CPUs",'vInfo (Imported)'!$1:$5000,M305,FALSE)</f>
        <v>0</v>
      </c>
      <c r="S305">
        <f>HLOOKUP("Memory",'vInfo (Imported)'!$1:$5000,M305,FALSE)</f>
        <v>0</v>
      </c>
      <c r="T305">
        <f>HLOOKUP("Provisioned MiB",'vInfo (Imported)'!$1:$5000,M305,FALSE)</f>
        <v>0</v>
      </c>
      <c r="U305">
        <f t="shared" si="13"/>
        <v>0</v>
      </c>
      <c r="V305">
        <f>HLOOKUP("In Use MiB",'vInfo (Imported)'!$1:$5000,M305,FALSE)</f>
        <v>0</v>
      </c>
    </row>
    <row r="306" spans="1:22" ht="13" x14ac:dyDescent="0.3">
      <c r="A306" s="46">
        <f>'vHosts (Imported)'!A306</f>
        <v>0</v>
      </c>
      <c r="B306" s="51">
        <f t="shared" si="12"/>
        <v>4968</v>
      </c>
      <c r="C306" s="49">
        <f>HLOOKUP("# Cores",'vHosts (Imported)'!$1:$5000,M306,FALSE)</f>
        <v>0</v>
      </c>
      <c r="D306" s="52">
        <f>HLOOKUP("# Memory",'vHosts (Imported)'!$1:$5000,M306,FALSE)</f>
        <v>0</v>
      </c>
      <c r="M306" s="45">
        <f t="shared" si="14"/>
        <v>306</v>
      </c>
      <c r="N306" s="38">
        <f>HLOOKUP("Host",'vInfo (Imported)'!$1:$5000,M306,FALSE)</f>
        <v>0</v>
      </c>
      <c r="R306">
        <f>HLOOKUP("CPUs",'vInfo (Imported)'!$1:$5000,M306,FALSE)</f>
        <v>0</v>
      </c>
      <c r="S306">
        <f>HLOOKUP("Memory",'vInfo (Imported)'!$1:$5000,M306,FALSE)</f>
        <v>0</v>
      </c>
      <c r="T306">
        <f>HLOOKUP("Provisioned MiB",'vInfo (Imported)'!$1:$5000,M306,FALSE)</f>
        <v>0</v>
      </c>
      <c r="U306">
        <f t="shared" si="13"/>
        <v>0</v>
      </c>
      <c r="V306">
        <f>HLOOKUP("In Use MiB",'vInfo (Imported)'!$1:$5000,M306,FALSE)</f>
        <v>0</v>
      </c>
    </row>
    <row r="307" spans="1:22" ht="13" x14ac:dyDescent="0.3">
      <c r="A307" s="46">
        <f>'vHosts (Imported)'!A307</f>
        <v>0</v>
      </c>
      <c r="B307" s="51">
        <f t="shared" si="12"/>
        <v>4968</v>
      </c>
      <c r="C307" s="49">
        <f>HLOOKUP("# Cores",'vHosts (Imported)'!$1:$5000,M307,FALSE)</f>
        <v>0</v>
      </c>
      <c r="D307" s="52">
        <f>HLOOKUP("# Memory",'vHosts (Imported)'!$1:$5000,M307,FALSE)</f>
        <v>0</v>
      </c>
      <c r="M307" s="45">
        <f t="shared" si="14"/>
        <v>307</v>
      </c>
      <c r="N307" s="38">
        <f>HLOOKUP("Host",'vInfo (Imported)'!$1:$5000,M307,FALSE)</f>
        <v>0</v>
      </c>
      <c r="R307">
        <f>HLOOKUP("CPUs",'vInfo (Imported)'!$1:$5000,M307,FALSE)</f>
        <v>0</v>
      </c>
      <c r="S307">
        <f>HLOOKUP("Memory",'vInfo (Imported)'!$1:$5000,M307,FALSE)</f>
        <v>0</v>
      </c>
      <c r="T307">
        <f>HLOOKUP("Provisioned MiB",'vInfo (Imported)'!$1:$5000,M307,FALSE)</f>
        <v>0</v>
      </c>
      <c r="U307">
        <f t="shared" si="13"/>
        <v>0</v>
      </c>
      <c r="V307">
        <f>HLOOKUP("In Use MiB",'vInfo (Imported)'!$1:$5000,M307,FALSE)</f>
        <v>0</v>
      </c>
    </row>
    <row r="308" spans="1:22" ht="13" x14ac:dyDescent="0.3">
      <c r="A308" s="46">
        <f>'vHosts (Imported)'!A308</f>
        <v>0</v>
      </c>
      <c r="B308" s="51">
        <f t="shared" si="12"/>
        <v>4968</v>
      </c>
      <c r="C308" s="49">
        <f>HLOOKUP("# Cores",'vHosts (Imported)'!$1:$5000,M308,FALSE)</f>
        <v>0</v>
      </c>
      <c r="D308" s="52">
        <f>HLOOKUP("# Memory",'vHosts (Imported)'!$1:$5000,M308,FALSE)</f>
        <v>0</v>
      </c>
      <c r="M308" s="45">
        <f t="shared" si="14"/>
        <v>308</v>
      </c>
      <c r="N308" s="38">
        <f>HLOOKUP("Host",'vInfo (Imported)'!$1:$5000,M308,FALSE)</f>
        <v>0</v>
      </c>
      <c r="R308">
        <f>HLOOKUP("CPUs",'vInfo (Imported)'!$1:$5000,M308,FALSE)</f>
        <v>0</v>
      </c>
      <c r="S308">
        <f>HLOOKUP("Memory",'vInfo (Imported)'!$1:$5000,M308,FALSE)</f>
        <v>0</v>
      </c>
      <c r="T308">
        <f>HLOOKUP("Provisioned MiB",'vInfo (Imported)'!$1:$5000,M308,FALSE)</f>
        <v>0</v>
      </c>
      <c r="U308">
        <f t="shared" si="13"/>
        <v>0</v>
      </c>
      <c r="V308">
        <f>HLOOKUP("In Use MiB",'vInfo (Imported)'!$1:$5000,M308,FALSE)</f>
        <v>0</v>
      </c>
    </row>
    <row r="309" spans="1:22" ht="13" x14ac:dyDescent="0.3">
      <c r="A309" s="46">
        <f>'vHosts (Imported)'!A309</f>
        <v>0</v>
      </c>
      <c r="B309" s="51">
        <f t="shared" si="12"/>
        <v>4968</v>
      </c>
      <c r="C309" s="49">
        <f>HLOOKUP("# Cores",'vHosts (Imported)'!$1:$5000,M309,FALSE)</f>
        <v>0</v>
      </c>
      <c r="D309" s="52">
        <f>HLOOKUP("# Memory",'vHosts (Imported)'!$1:$5000,M309,FALSE)</f>
        <v>0</v>
      </c>
      <c r="M309" s="45">
        <f t="shared" si="14"/>
        <v>309</v>
      </c>
      <c r="N309" s="38">
        <f>HLOOKUP("Host",'vInfo (Imported)'!$1:$5000,M309,FALSE)</f>
        <v>0</v>
      </c>
      <c r="R309">
        <f>HLOOKUP("CPUs",'vInfo (Imported)'!$1:$5000,M309,FALSE)</f>
        <v>0</v>
      </c>
      <c r="S309">
        <f>HLOOKUP("Memory",'vInfo (Imported)'!$1:$5000,M309,FALSE)</f>
        <v>0</v>
      </c>
      <c r="T309">
        <f>HLOOKUP("Provisioned MiB",'vInfo (Imported)'!$1:$5000,M309,FALSE)</f>
        <v>0</v>
      </c>
      <c r="U309">
        <f t="shared" si="13"/>
        <v>0</v>
      </c>
      <c r="V309">
        <f>HLOOKUP("In Use MiB",'vInfo (Imported)'!$1:$5000,M309,FALSE)</f>
        <v>0</v>
      </c>
    </row>
    <row r="310" spans="1:22" ht="13" x14ac:dyDescent="0.3">
      <c r="A310" s="46">
        <f>'vHosts (Imported)'!A310</f>
        <v>0</v>
      </c>
      <c r="B310" s="51">
        <f t="shared" si="12"/>
        <v>4968</v>
      </c>
      <c r="C310" s="49">
        <f>HLOOKUP("# Cores",'vHosts (Imported)'!$1:$5000,M310,FALSE)</f>
        <v>0</v>
      </c>
      <c r="D310" s="52">
        <f>HLOOKUP("# Memory",'vHosts (Imported)'!$1:$5000,M310,FALSE)</f>
        <v>0</v>
      </c>
      <c r="M310" s="45">
        <f t="shared" si="14"/>
        <v>310</v>
      </c>
      <c r="N310" s="38">
        <f>HLOOKUP("Host",'vInfo (Imported)'!$1:$5000,M310,FALSE)</f>
        <v>0</v>
      </c>
      <c r="R310">
        <f>HLOOKUP("CPUs",'vInfo (Imported)'!$1:$5000,M310,FALSE)</f>
        <v>0</v>
      </c>
      <c r="S310">
        <f>HLOOKUP("Memory",'vInfo (Imported)'!$1:$5000,M310,FALSE)</f>
        <v>0</v>
      </c>
      <c r="T310">
        <f>HLOOKUP("Provisioned MiB",'vInfo (Imported)'!$1:$5000,M310,FALSE)</f>
        <v>0</v>
      </c>
      <c r="U310">
        <f t="shared" si="13"/>
        <v>0</v>
      </c>
      <c r="V310">
        <f>HLOOKUP("In Use MiB",'vInfo (Imported)'!$1:$5000,M310,FALSE)</f>
        <v>0</v>
      </c>
    </row>
    <row r="311" spans="1:22" ht="13" x14ac:dyDescent="0.3">
      <c r="A311" s="46">
        <f>'vHosts (Imported)'!A311</f>
        <v>0</v>
      </c>
      <c r="B311" s="51">
        <f t="shared" si="12"/>
        <v>4968</v>
      </c>
      <c r="C311" s="49">
        <f>HLOOKUP("# Cores",'vHosts (Imported)'!$1:$5000,M311,FALSE)</f>
        <v>0</v>
      </c>
      <c r="D311" s="52">
        <f>HLOOKUP("# Memory",'vHosts (Imported)'!$1:$5000,M311,FALSE)</f>
        <v>0</v>
      </c>
      <c r="M311" s="45">
        <f t="shared" si="14"/>
        <v>311</v>
      </c>
      <c r="N311" s="38">
        <f>HLOOKUP("Host",'vInfo (Imported)'!$1:$5000,M311,FALSE)</f>
        <v>0</v>
      </c>
      <c r="R311">
        <f>HLOOKUP("CPUs",'vInfo (Imported)'!$1:$5000,M311,FALSE)</f>
        <v>0</v>
      </c>
      <c r="S311">
        <f>HLOOKUP("Memory",'vInfo (Imported)'!$1:$5000,M311,FALSE)</f>
        <v>0</v>
      </c>
      <c r="T311">
        <f>HLOOKUP("Provisioned MiB",'vInfo (Imported)'!$1:$5000,M311,FALSE)</f>
        <v>0</v>
      </c>
      <c r="U311">
        <f t="shared" si="13"/>
        <v>0</v>
      </c>
      <c r="V311">
        <f>HLOOKUP("In Use MiB",'vInfo (Imported)'!$1:$5000,M311,FALSE)</f>
        <v>0</v>
      </c>
    </row>
    <row r="312" spans="1:22" ht="13" x14ac:dyDescent="0.3">
      <c r="A312" s="46">
        <f>'vHosts (Imported)'!A312</f>
        <v>0</v>
      </c>
      <c r="B312" s="51">
        <f t="shared" si="12"/>
        <v>4968</v>
      </c>
      <c r="C312" s="49">
        <f>HLOOKUP("# Cores",'vHosts (Imported)'!$1:$5000,M312,FALSE)</f>
        <v>0</v>
      </c>
      <c r="D312" s="52">
        <f>HLOOKUP("# Memory",'vHosts (Imported)'!$1:$5000,M312,FALSE)</f>
        <v>0</v>
      </c>
      <c r="M312" s="45">
        <f t="shared" si="14"/>
        <v>312</v>
      </c>
      <c r="N312" s="38">
        <f>HLOOKUP("Host",'vInfo (Imported)'!$1:$5000,M312,FALSE)</f>
        <v>0</v>
      </c>
      <c r="R312">
        <f>HLOOKUP("CPUs",'vInfo (Imported)'!$1:$5000,M312,FALSE)</f>
        <v>0</v>
      </c>
      <c r="S312">
        <f>HLOOKUP("Memory",'vInfo (Imported)'!$1:$5000,M312,FALSE)</f>
        <v>0</v>
      </c>
      <c r="T312">
        <f>HLOOKUP("Provisioned MiB",'vInfo (Imported)'!$1:$5000,M312,FALSE)</f>
        <v>0</v>
      </c>
      <c r="U312">
        <f t="shared" si="13"/>
        <v>0</v>
      </c>
      <c r="V312">
        <f>HLOOKUP("In Use MiB",'vInfo (Imported)'!$1:$5000,M312,FALSE)</f>
        <v>0</v>
      </c>
    </row>
    <row r="313" spans="1:22" ht="13" x14ac:dyDescent="0.3">
      <c r="A313" s="46">
        <f>'vHosts (Imported)'!A313</f>
        <v>0</v>
      </c>
      <c r="B313" s="51">
        <f t="shared" si="12"/>
        <v>4968</v>
      </c>
      <c r="C313" s="49">
        <f>HLOOKUP("# Cores",'vHosts (Imported)'!$1:$5000,M313,FALSE)</f>
        <v>0</v>
      </c>
      <c r="D313" s="52">
        <f>HLOOKUP("# Memory",'vHosts (Imported)'!$1:$5000,M313,FALSE)</f>
        <v>0</v>
      </c>
      <c r="M313" s="45">
        <f t="shared" si="14"/>
        <v>313</v>
      </c>
      <c r="N313" s="38">
        <f>HLOOKUP("Host",'vInfo (Imported)'!$1:$5000,M313,FALSE)</f>
        <v>0</v>
      </c>
      <c r="R313">
        <f>HLOOKUP("CPUs",'vInfo (Imported)'!$1:$5000,M313,FALSE)</f>
        <v>0</v>
      </c>
      <c r="S313">
        <f>HLOOKUP("Memory",'vInfo (Imported)'!$1:$5000,M313,FALSE)</f>
        <v>0</v>
      </c>
      <c r="T313">
        <f>HLOOKUP("Provisioned MiB",'vInfo (Imported)'!$1:$5000,M313,FALSE)</f>
        <v>0</v>
      </c>
      <c r="U313">
        <f t="shared" si="13"/>
        <v>0</v>
      </c>
      <c r="V313">
        <f>HLOOKUP("In Use MiB",'vInfo (Imported)'!$1:$5000,M313,FALSE)</f>
        <v>0</v>
      </c>
    </row>
    <row r="314" spans="1:22" ht="13" x14ac:dyDescent="0.3">
      <c r="A314" s="46">
        <f>'vHosts (Imported)'!A314</f>
        <v>0</v>
      </c>
      <c r="B314" s="51">
        <f t="shared" si="12"/>
        <v>4968</v>
      </c>
      <c r="C314" s="49">
        <f>HLOOKUP("# Cores",'vHosts (Imported)'!$1:$5000,M314,FALSE)</f>
        <v>0</v>
      </c>
      <c r="D314" s="52">
        <f>HLOOKUP("# Memory",'vHosts (Imported)'!$1:$5000,M314,FALSE)</f>
        <v>0</v>
      </c>
      <c r="M314" s="45">
        <f t="shared" si="14"/>
        <v>314</v>
      </c>
      <c r="N314" s="38">
        <f>HLOOKUP("Host",'vInfo (Imported)'!$1:$5000,M314,FALSE)</f>
        <v>0</v>
      </c>
      <c r="R314">
        <f>HLOOKUP("CPUs",'vInfo (Imported)'!$1:$5000,M314,FALSE)</f>
        <v>0</v>
      </c>
      <c r="S314">
        <f>HLOOKUP("Memory",'vInfo (Imported)'!$1:$5000,M314,FALSE)</f>
        <v>0</v>
      </c>
      <c r="T314">
        <f>HLOOKUP("Provisioned MiB",'vInfo (Imported)'!$1:$5000,M314,FALSE)</f>
        <v>0</v>
      </c>
      <c r="U314">
        <f t="shared" si="13"/>
        <v>0</v>
      </c>
      <c r="V314">
        <f>HLOOKUP("In Use MiB",'vInfo (Imported)'!$1:$5000,M314,FALSE)</f>
        <v>0</v>
      </c>
    </row>
    <row r="315" spans="1:22" ht="13" x14ac:dyDescent="0.3">
      <c r="A315" s="46">
        <f>'vHosts (Imported)'!A315</f>
        <v>0</v>
      </c>
      <c r="B315" s="51">
        <f t="shared" si="12"/>
        <v>4968</v>
      </c>
      <c r="C315" s="49">
        <f>HLOOKUP("# Cores",'vHosts (Imported)'!$1:$5000,M315,FALSE)</f>
        <v>0</v>
      </c>
      <c r="D315" s="52">
        <f>HLOOKUP("# Memory",'vHosts (Imported)'!$1:$5000,M315,FALSE)</f>
        <v>0</v>
      </c>
      <c r="M315" s="45">
        <f t="shared" si="14"/>
        <v>315</v>
      </c>
      <c r="N315" s="38">
        <f>HLOOKUP("Host",'vInfo (Imported)'!$1:$5000,M315,FALSE)</f>
        <v>0</v>
      </c>
      <c r="R315">
        <f>HLOOKUP("CPUs",'vInfo (Imported)'!$1:$5000,M315,FALSE)</f>
        <v>0</v>
      </c>
      <c r="S315">
        <f>HLOOKUP("Memory",'vInfo (Imported)'!$1:$5000,M315,FALSE)</f>
        <v>0</v>
      </c>
      <c r="T315">
        <f>HLOOKUP("Provisioned MiB",'vInfo (Imported)'!$1:$5000,M315,FALSE)</f>
        <v>0</v>
      </c>
      <c r="U315">
        <f t="shared" si="13"/>
        <v>0</v>
      </c>
      <c r="V315">
        <f>HLOOKUP("In Use MiB",'vInfo (Imported)'!$1:$5000,M315,FALSE)</f>
        <v>0</v>
      </c>
    </row>
    <row r="316" spans="1:22" ht="13" x14ac:dyDescent="0.3">
      <c r="A316" s="46">
        <f>'vHosts (Imported)'!A316</f>
        <v>0</v>
      </c>
      <c r="B316" s="51">
        <f t="shared" si="12"/>
        <v>4968</v>
      </c>
      <c r="C316" s="49">
        <f>HLOOKUP("# Cores",'vHosts (Imported)'!$1:$5000,M316,FALSE)</f>
        <v>0</v>
      </c>
      <c r="D316" s="52">
        <f>HLOOKUP("# Memory",'vHosts (Imported)'!$1:$5000,M316,FALSE)</f>
        <v>0</v>
      </c>
      <c r="M316" s="45">
        <f t="shared" si="14"/>
        <v>316</v>
      </c>
      <c r="N316" s="38">
        <f>HLOOKUP("Host",'vInfo (Imported)'!$1:$5000,M316,FALSE)</f>
        <v>0</v>
      </c>
      <c r="R316">
        <f>HLOOKUP("CPUs",'vInfo (Imported)'!$1:$5000,M316,FALSE)</f>
        <v>0</v>
      </c>
      <c r="S316">
        <f>HLOOKUP("Memory",'vInfo (Imported)'!$1:$5000,M316,FALSE)</f>
        <v>0</v>
      </c>
      <c r="T316">
        <f>HLOOKUP("Provisioned MiB",'vInfo (Imported)'!$1:$5000,M316,FALSE)</f>
        <v>0</v>
      </c>
      <c r="U316">
        <f t="shared" si="13"/>
        <v>0</v>
      </c>
      <c r="V316">
        <f>HLOOKUP("In Use MiB",'vInfo (Imported)'!$1:$5000,M316,FALSE)</f>
        <v>0</v>
      </c>
    </row>
    <row r="317" spans="1:22" ht="13" x14ac:dyDescent="0.3">
      <c r="A317" s="46">
        <f>'vHosts (Imported)'!A317</f>
        <v>0</v>
      </c>
      <c r="B317" s="51">
        <f t="shared" si="12"/>
        <v>4968</v>
      </c>
      <c r="C317" s="49">
        <f>HLOOKUP("# Cores",'vHosts (Imported)'!$1:$5000,M317,FALSE)</f>
        <v>0</v>
      </c>
      <c r="D317" s="52">
        <f>HLOOKUP("# Memory",'vHosts (Imported)'!$1:$5000,M317,FALSE)</f>
        <v>0</v>
      </c>
      <c r="M317" s="45">
        <f t="shared" si="14"/>
        <v>317</v>
      </c>
      <c r="N317" s="38">
        <f>HLOOKUP("Host",'vInfo (Imported)'!$1:$5000,M317,FALSE)</f>
        <v>0</v>
      </c>
      <c r="R317">
        <f>HLOOKUP("CPUs",'vInfo (Imported)'!$1:$5000,M317,FALSE)</f>
        <v>0</v>
      </c>
      <c r="S317">
        <f>HLOOKUP("Memory",'vInfo (Imported)'!$1:$5000,M317,FALSE)</f>
        <v>0</v>
      </c>
      <c r="T317">
        <f>HLOOKUP("Provisioned MiB",'vInfo (Imported)'!$1:$5000,M317,FALSE)</f>
        <v>0</v>
      </c>
      <c r="U317">
        <f t="shared" si="13"/>
        <v>0</v>
      </c>
      <c r="V317">
        <f>HLOOKUP("In Use MiB",'vInfo (Imported)'!$1:$5000,M317,FALSE)</f>
        <v>0</v>
      </c>
    </row>
    <row r="318" spans="1:22" ht="13" x14ac:dyDescent="0.3">
      <c r="A318" s="46">
        <f>'vHosts (Imported)'!A318</f>
        <v>0</v>
      </c>
      <c r="B318" s="51">
        <f t="shared" si="12"/>
        <v>4968</v>
      </c>
      <c r="C318" s="49">
        <f>HLOOKUP("# Cores",'vHosts (Imported)'!$1:$5000,M318,FALSE)</f>
        <v>0</v>
      </c>
      <c r="D318" s="52">
        <f>HLOOKUP("# Memory",'vHosts (Imported)'!$1:$5000,M318,FALSE)</f>
        <v>0</v>
      </c>
      <c r="M318" s="45">
        <f t="shared" si="14"/>
        <v>318</v>
      </c>
      <c r="N318" s="38">
        <f>HLOOKUP("Host",'vInfo (Imported)'!$1:$5000,M318,FALSE)</f>
        <v>0</v>
      </c>
      <c r="R318">
        <f>HLOOKUP("CPUs",'vInfo (Imported)'!$1:$5000,M318,FALSE)</f>
        <v>0</v>
      </c>
      <c r="S318">
        <f>HLOOKUP("Memory",'vInfo (Imported)'!$1:$5000,M318,FALSE)</f>
        <v>0</v>
      </c>
      <c r="T318">
        <f>HLOOKUP("Provisioned MiB",'vInfo (Imported)'!$1:$5000,M318,FALSE)</f>
        <v>0</v>
      </c>
      <c r="U318">
        <f t="shared" si="13"/>
        <v>0</v>
      </c>
      <c r="V318">
        <f>HLOOKUP("In Use MiB",'vInfo (Imported)'!$1:$5000,M318,FALSE)</f>
        <v>0</v>
      </c>
    </row>
    <row r="319" spans="1:22" ht="13" x14ac:dyDescent="0.3">
      <c r="A319" s="46">
        <f>'vHosts (Imported)'!A319</f>
        <v>0</v>
      </c>
      <c r="B319" s="51">
        <f t="shared" si="12"/>
        <v>4968</v>
      </c>
      <c r="C319" s="49">
        <f>HLOOKUP("# Cores",'vHosts (Imported)'!$1:$5000,M319,FALSE)</f>
        <v>0</v>
      </c>
      <c r="D319" s="52">
        <f>HLOOKUP("# Memory",'vHosts (Imported)'!$1:$5000,M319,FALSE)</f>
        <v>0</v>
      </c>
      <c r="M319" s="45">
        <f t="shared" si="14"/>
        <v>319</v>
      </c>
      <c r="N319" s="38">
        <f>HLOOKUP("Host",'vInfo (Imported)'!$1:$5000,M319,FALSE)</f>
        <v>0</v>
      </c>
      <c r="R319">
        <f>HLOOKUP("CPUs",'vInfo (Imported)'!$1:$5000,M319,FALSE)</f>
        <v>0</v>
      </c>
      <c r="S319">
        <f>HLOOKUP("Memory",'vInfo (Imported)'!$1:$5000,M319,FALSE)</f>
        <v>0</v>
      </c>
      <c r="T319">
        <f>HLOOKUP("Provisioned MiB",'vInfo (Imported)'!$1:$5000,M319,FALSE)</f>
        <v>0</v>
      </c>
      <c r="U319">
        <f t="shared" si="13"/>
        <v>0</v>
      </c>
      <c r="V319">
        <f>HLOOKUP("In Use MiB",'vInfo (Imported)'!$1:$5000,M319,FALSE)</f>
        <v>0</v>
      </c>
    </row>
    <row r="320" spans="1:22" ht="13" x14ac:dyDescent="0.3">
      <c r="A320" s="46">
        <f>'vHosts (Imported)'!A320</f>
        <v>0</v>
      </c>
      <c r="B320" s="51">
        <f t="shared" si="12"/>
        <v>4968</v>
      </c>
      <c r="C320" s="49">
        <f>HLOOKUP("# Cores",'vHosts (Imported)'!$1:$5000,M320,FALSE)</f>
        <v>0</v>
      </c>
      <c r="D320" s="52">
        <f>HLOOKUP("# Memory",'vHosts (Imported)'!$1:$5000,M320,FALSE)</f>
        <v>0</v>
      </c>
      <c r="M320" s="45">
        <f t="shared" si="14"/>
        <v>320</v>
      </c>
      <c r="N320" s="38">
        <f>HLOOKUP("Host",'vInfo (Imported)'!$1:$5000,M320,FALSE)</f>
        <v>0</v>
      </c>
      <c r="R320">
        <f>HLOOKUP("CPUs",'vInfo (Imported)'!$1:$5000,M320,FALSE)</f>
        <v>0</v>
      </c>
      <c r="S320">
        <f>HLOOKUP("Memory",'vInfo (Imported)'!$1:$5000,M320,FALSE)</f>
        <v>0</v>
      </c>
      <c r="T320">
        <f>HLOOKUP("Provisioned MiB",'vInfo (Imported)'!$1:$5000,M320,FALSE)</f>
        <v>0</v>
      </c>
      <c r="U320">
        <f t="shared" si="13"/>
        <v>0</v>
      </c>
      <c r="V320">
        <f>HLOOKUP("In Use MiB",'vInfo (Imported)'!$1:$5000,M320,FALSE)</f>
        <v>0</v>
      </c>
    </row>
    <row r="321" spans="1:22" ht="13" x14ac:dyDescent="0.3">
      <c r="A321" s="46">
        <f>'vHosts (Imported)'!A321</f>
        <v>0</v>
      </c>
      <c r="B321" s="51">
        <f t="shared" si="12"/>
        <v>4968</v>
      </c>
      <c r="C321" s="49">
        <f>HLOOKUP("# Cores",'vHosts (Imported)'!$1:$5000,M321,FALSE)</f>
        <v>0</v>
      </c>
      <c r="D321" s="52">
        <f>HLOOKUP("# Memory",'vHosts (Imported)'!$1:$5000,M321,FALSE)</f>
        <v>0</v>
      </c>
      <c r="M321" s="45">
        <f t="shared" si="14"/>
        <v>321</v>
      </c>
      <c r="N321" s="38">
        <f>HLOOKUP("Host",'vInfo (Imported)'!$1:$5000,M321,FALSE)</f>
        <v>0</v>
      </c>
      <c r="R321">
        <f>HLOOKUP("CPUs",'vInfo (Imported)'!$1:$5000,M321,FALSE)</f>
        <v>0</v>
      </c>
      <c r="S321">
        <f>HLOOKUP("Memory",'vInfo (Imported)'!$1:$5000,M321,FALSE)</f>
        <v>0</v>
      </c>
      <c r="T321">
        <f>HLOOKUP("Provisioned MiB",'vInfo (Imported)'!$1:$5000,M321,FALSE)</f>
        <v>0</v>
      </c>
      <c r="U321">
        <f t="shared" si="13"/>
        <v>0</v>
      </c>
      <c r="V321">
        <f>HLOOKUP("In Use MiB",'vInfo (Imported)'!$1:$5000,M321,FALSE)</f>
        <v>0</v>
      </c>
    </row>
    <row r="322" spans="1:22" ht="13" x14ac:dyDescent="0.3">
      <c r="A322" s="46">
        <f>'vHosts (Imported)'!A322</f>
        <v>0</v>
      </c>
      <c r="B322" s="51">
        <f t="shared" ref="B322:B385" si="15">COUNTIFS(N:N,IF(A322=0,"0",A322))</f>
        <v>4968</v>
      </c>
      <c r="C322" s="49">
        <f>HLOOKUP("# Cores",'vHosts (Imported)'!$1:$5000,M322,FALSE)</f>
        <v>0</v>
      </c>
      <c r="D322" s="52">
        <f>HLOOKUP("# Memory",'vHosts (Imported)'!$1:$5000,M322,FALSE)</f>
        <v>0</v>
      </c>
      <c r="M322" s="45">
        <f t="shared" si="14"/>
        <v>322</v>
      </c>
      <c r="N322" s="38">
        <f>HLOOKUP("Host",'vInfo (Imported)'!$1:$5000,M322,FALSE)</f>
        <v>0</v>
      </c>
      <c r="R322">
        <f>HLOOKUP("CPUs",'vInfo (Imported)'!$1:$5000,M322,FALSE)</f>
        <v>0</v>
      </c>
      <c r="S322">
        <f>HLOOKUP("Memory",'vInfo (Imported)'!$1:$5000,M322,FALSE)</f>
        <v>0</v>
      </c>
      <c r="T322">
        <f>HLOOKUP("Provisioned MiB",'vInfo (Imported)'!$1:$5000,M322,FALSE)</f>
        <v>0</v>
      </c>
      <c r="U322">
        <f t="shared" si="13"/>
        <v>0</v>
      </c>
      <c r="V322">
        <f>HLOOKUP("In Use MiB",'vInfo (Imported)'!$1:$5000,M322,FALSE)</f>
        <v>0</v>
      </c>
    </row>
    <row r="323" spans="1:22" ht="13" x14ac:dyDescent="0.3">
      <c r="A323" s="46">
        <f>'vHosts (Imported)'!A323</f>
        <v>0</v>
      </c>
      <c r="B323" s="51">
        <f t="shared" si="15"/>
        <v>4968</v>
      </c>
      <c r="C323" s="49">
        <f>HLOOKUP("# Cores",'vHosts (Imported)'!$1:$5000,M323,FALSE)</f>
        <v>0</v>
      </c>
      <c r="D323" s="52">
        <f>HLOOKUP("# Memory",'vHosts (Imported)'!$1:$5000,M323,FALSE)</f>
        <v>0</v>
      </c>
      <c r="M323" s="45">
        <f t="shared" si="14"/>
        <v>323</v>
      </c>
      <c r="N323" s="38">
        <f>HLOOKUP("Host",'vInfo (Imported)'!$1:$5000,M323,FALSE)</f>
        <v>0</v>
      </c>
      <c r="R323">
        <f>HLOOKUP("CPUs",'vInfo (Imported)'!$1:$5000,M323,FALSE)</f>
        <v>0</v>
      </c>
      <c r="S323">
        <f>HLOOKUP("Memory",'vInfo (Imported)'!$1:$5000,M323,FALSE)</f>
        <v>0</v>
      </c>
      <c r="T323">
        <f>HLOOKUP("Provisioned MiB",'vInfo (Imported)'!$1:$5000,M323,FALSE)</f>
        <v>0</v>
      </c>
      <c r="U323">
        <f t="shared" ref="U323:U386" si="16">T323-V323</f>
        <v>0</v>
      </c>
      <c r="V323">
        <f>HLOOKUP("In Use MiB",'vInfo (Imported)'!$1:$5000,M323,FALSE)</f>
        <v>0</v>
      </c>
    </row>
    <row r="324" spans="1:22" ht="13" x14ac:dyDescent="0.3">
      <c r="A324" s="46">
        <f>'vHosts (Imported)'!A324</f>
        <v>0</v>
      </c>
      <c r="B324" s="51">
        <f t="shared" si="15"/>
        <v>4968</v>
      </c>
      <c r="C324" s="49">
        <f>HLOOKUP("# Cores",'vHosts (Imported)'!$1:$5000,M324,FALSE)</f>
        <v>0</v>
      </c>
      <c r="D324" s="52">
        <f>HLOOKUP("# Memory",'vHosts (Imported)'!$1:$5000,M324,FALSE)</f>
        <v>0</v>
      </c>
      <c r="M324" s="45">
        <f t="shared" ref="M324:M387" si="17">M323+1</f>
        <v>324</v>
      </c>
      <c r="N324" s="38">
        <f>HLOOKUP("Host",'vInfo (Imported)'!$1:$5000,M324,FALSE)</f>
        <v>0</v>
      </c>
      <c r="R324">
        <f>HLOOKUP("CPUs",'vInfo (Imported)'!$1:$5000,M324,FALSE)</f>
        <v>0</v>
      </c>
      <c r="S324">
        <f>HLOOKUP("Memory",'vInfo (Imported)'!$1:$5000,M324,FALSE)</f>
        <v>0</v>
      </c>
      <c r="T324">
        <f>HLOOKUP("Provisioned MiB",'vInfo (Imported)'!$1:$5000,M324,FALSE)</f>
        <v>0</v>
      </c>
      <c r="U324">
        <f t="shared" si="16"/>
        <v>0</v>
      </c>
      <c r="V324">
        <f>HLOOKUP("In Use MiB",'vInfo (Imported)'!$1:$5000,M324,FALSE)</f>
        <v>0</v>
      </c>
    </row>
    <row r="325" spans="1:22" ht="13" x14ac:dyDescent="0.3">
      <c r="A325" s="46">
        <f>'vHosts (Imported)'!A325</f>
        <v>0</v>
      </c>
      <c r="B325" s="51">
        <f t="shared" si="15"/>
        <v>4968</v>
      </c>
      <c r="C325" s="49">
        <f>HLOOKUP("# Cores",'vHosts (Imported)'!$1:$5000,M325,FALSE)</f>
        <v>0</v>
      </c>
      <c r="D325" s="52">
        <f>HLOOKUP("# Memory",'vHosts (Imported)'!$1:$5000,M325,FALSE)</f>
        <v>0</v>
      </c>
      <c r="M325" s="45">
        <f t="shared" si="17"/>
        <v>325</v>
      </c>
      <c r="N325" s="38">
        <f>HLOOKUP("Host",'vInfo (Imported)'!$1:$5000,M325,FALSE)</f>
        <v>0</v>
      </c>
      <c r="R325">
        <f>HLOOKUP("CPUs",'vInfo (Imported)'!$1:$5000,M325,FALSE)</f>
        <v>0</v>
      </c>
      <c r="S325">
        <f>HLOOKUP("Memory",'vInfo (Imported)'!$1:$5000,M325,FALSE)</f>
        <v>0</v>
      </c>
      <c r="T325">
        <f>HLOOKUP("Provisioned MiB",'vInfo (Imported)'!$1:$5000,M325,FALSE)</f>
        <v>0</v>
      </c>
      <c r="U325">
        <f t="shared" si="16"/>
        <v>0</v>
      </c>
      <c r="V325">
        <f>HLOOKUP("In Use MiB",'vInfo (Imported)'!$1:$5000,M325,FALSE)</f>
        <v>0</v>
      </c>
    </row>
    <row r="326" spans="1:22" ht="13" x14ac:dyDescent="0.3">
      <c r="A326" s="46">
        <f>'vHosts (Imported)'!A326</f>
        <v>0</v>
      </c>
      <c r="B326" s="51">
        <f t="shared" si="15"/>
        <v>4968</v>
      </c>
      <c r="C326" s="49">
        <f>HLOOKUP("# Cores",'vHosts (Imported)'!$1:$5000,M326,FALSE)</f>
        <v>0</v>
      </c>
      <c r="D326" s="52">
        <f>HLOOKUP("# Memory",'vHosts (Imported)'!$1:$5000,M326,FALSE)</f>
        <v>0</v>
      </c>
      <c r="M326" s="45">
        <f t="shared" si="17"/>
        <v>326</v>
      </c>
      <c r="N326" s="38">
        <f>HLOOKUP("Host",'vInfo (Imported)'!$1:$5000,M326,FALSE)</f>
        <v>0</v>
      </c>
      <c r="R326">
        <f>HLOOKUP("CPUs",'vInfo (Imported)'!$1:$5000,M326,FALSE)</f>
        <v>0</v>
      </c>
      <c r="S326">
        <f>HLOOKUP("Memory",'vInfo (Imported)'!$1:$5000,M326,FALSE)</f>
        <v>0</v>
      </c>
      <c r="T326">
        <f>HLOOKUP("Provisioned MiB",'vInfo (Imported)'!$1:$5000,M326,FALSE)</f>
        <v>0</v>
      </c>
      <c r="U326">
        <f t="shared" si="16"/>
        <v>0</v>
      </c>
      <c r="V326">
        <f>HLOOKUP("In Use MiB",'vInfo (Imported)'!$1:$5000,M326,FALSE)</f>
        <v>0</v>
      </c>
    </row>
    <row r="327" spans="1:22" ht="13" x14ac:dyDescent="0.3">
      <c r="A327" s="46">
        <f>'vHosts (Imported)'!A327</f>
        <v>0</v>
      </c>
      <c r="B327" s="51">
        <f t="shared" si="15"/>
        <v>4968</v>
      </c>
      <c r="C327" s="49">
        <f>HLOOKUP("# Cores",'vHosts (Imported)'!$1:$5000,M327,FALSE)</f>
        <v>0</v>
      </c>
      <c r="D327" s="52">
        <f>HLOOKUP("# Memory",'vHosts (Imported)'!$1:$5000,M327,FALSE)</f>
        <v>0</v>
      </c>
      <c r="M327" s="45">
        <f t="shared" si="17"/>
        <v>327</v>
      </c>
      <c r="N327" s="38">
        <f>HLOOKUP("Host",'vInfo (Imported)'!$1:$5000,M327,FALSE)</f>
        <v>0</v>
      </c>
      <c r="R327">
        <f>HLOOKUP("CPUs",'vInfo (Imported)'!$1:$5000,M327,FALSE)</f>
        <v>0</v>
      </c>
      <c r="S327">
        <f>HLOOKUP("Memory",'vInfo (Imported)'!$1:$5000,M327,FALSE)</f>
        <v>0</v>
      </c>
      <c r="T327">
        <f>HLOOKUP("Provisioned MiB",'vInfo (Imported)'!$1:$5000,M327,FALSE)</f>
        <v>0</v>
      </c>
      <c r="U327">
        <f t="shared" si="16"/>
        <v>0</v>
      </c>
      <c r="V327">
        <f>HLOOKUP("In Use MiB",'vInfo (Imported)'!$1:$5000,M327,FALSE)</f>
        <v>0</v>
      </c>
    </row>
    <row r="328" spans="1:22" ht="13" x14ac:dyDescent="0.3">
      <c r="A328" s="46">
        <f>'vHosts (Imported)'!A328</f>
        <v>0</v>
      </c>
      <c r="B328" s="51">
        <f t="shared" si="15"/>
        <v>4968</v>
      </c>
      <c r="C328" s="49">
        <f>HLOOKUP("# Cores",'vHosts (Imported)'!$1:$5000,M328,FALSE)</f>
        <v>0</v>
      </c>
      <c r="D328" s="52">
        <f>HLOOKUP("# Memory",'vHosts (Imported)'!$1:$5000,M328,FALSE)</f>
        <v>0</v>
      </c>
      <c r="M328" s="45">
        <f t="shared" si="17"/>
        <v>328</v>
      </c>
      <c r="N328" s="38">
        <f>HLOOKUP("Host",'vInfo (Imported)'!$1:$5000,M328,FALSE)</f>
        <v>0</v>
      </c>
      <c r="R328">
        <f>HLOOKUP("CPUs",'vInfo (Imported)'!$1:$5000,M328,FALSE)</f>
        <v>0</v>
      </c>
      <c r="S328">
        <f>HLOOKUP("Memory",'vInfo (Imported)'!$1:$5000,M328,FALSE)</f>
        <v>0</v>
      </c>
      <c r="T328">
        <f>HLOOKUP("Provisioned MiB",'vInfo (Imported)'!$1:$5000,M328,FALSE)</f>
        <v>0</v>
      </c>
      <c r="U328">
        <f t="shared" si="16"/>
        <v>0</v>
      </c>
      <c r="V328">
        <f>HLOOKUP("In Use MiB",'vInfo (Imported)'!$1:$5000,M328,FALSE)</f>
        <v>0</v>
      </c>
    </row>
    <row r="329" spans="1:22" ht="13" x14ac:dyDescent="0.3">
      <c r="A329" s="46">
        <f>'vHosts (Imported)'!A329</f>
        <v>0</v>
      </c>
      <c r="B329" s="51">
        <f t="shared" si="15"/>
        <v>4968</v>
      </c>
      <c r="C329" s="49">
        <f>HLOOKUP("# Cores",'vHosts (Imported)'!$1:$5000,M329,FALSE)</f>
        <v>0</v>
      </c>
      <c r="D329" s="52">
        <f>HLOOKUP("# Memory",'vHosts (Imported)'!$1:$5000,M329,FALSE)</f>
        <v>0</v>
      </c>
      <c r="M329" s="45">
        <f t="shared" si="17"/>
        <v>329</v>
      </c>
      <c r="N329" s="38">
        <f>HLOOKUP("Host",'vInfo (Imported)'!$1:$5000,M329,FALSE)</f>
        <v>0</v>
      </c>
      <c r="R329">
        <f>HLOOKUP("CPUs",'vInfo (Imported)'!$1:$5000,M329,FALSE)</f>
        <v>0</v>
      </c>
      <c r="S329">
        <f>HLOOKUP("Memory",'vInfo (Imported)'!$1:$5000,M329,FALSE)</f>
        <v>0</v>
      </c>
      <c r="T329">
        <f>HLOOKUP("Provisioned MiB",'vInfo (Imported)'!$1:$5000,M329,FALSE)</f>
        <v>0</v>
      </c>
      <c r="U329">
        <f t="shared" si="16"/>
        <v>0</v>
      </c>
      <c r="V329">
        <f>HLOOKUP("In Use MiB",'vInfo (Imported)'!$1:$5000,M329,FALSE)</f>
        <v>0</v>
      </c>
    </row>
    <row r="330" spans="1:22" ht="13" x14ac:dyDescent="0.3">
      <c r="A330" s="46">
        <f>'vHosts (Imported)'!A330</f>
        <v>0</v>
      </c>
      <c r="B330" s="51">
        <f t="shared" si="15"/>
        <v>4968</v>
      </c>
      <c r="C330" s="49">
        <f>HLOOKUP("# Cores",'vHosts (Imported)'!$1:$5000,M330,FALSE)</f>
        <v>0</v>
      </c>
      <c r="D330" s="52">
        <f>HLOOKUP("# Memory",'vHosts (Imported)'!$1:$5000,M330,FALSE)</f>
        <v>0</v>
      </c>
      <c r="M330" s="45">
        <f t="shared" si="17"/>
        <v>330</v>
      </c>
      <c r="N330" s="38">
        <f>HLOOKUP("Host",'vInfo (Imported)'!$1:$5000,M330,FALSE)</f>
        <v>0</v>
      </c>
      <c r="R330">
        <f>HLOOKUP("CPUs",'vInfo (Imported)'!$1:$5000,M330,FALSE)</f>
        <v>0</v>
      </c>
      <c r="S330">
        <f>HLOOKUP("Memory",'vInfo (Imported)'!$1:$5000,M330,FALSE)</f>
        <v>0</v>
      </c>
      <c r="T330">
        <f>HLOOKUP("Provisioned MiB",'vInfo (Imported)'!$1:$5000,M330,FALSE)</f>
        <v>0</v>
      </c>
      <c r="U330">
        <f t="shared" si="16"/>
        <v>0</v>
      </c>
      <c r="V330">
        <f>HLOOKUP("In Use MiB",'vInfo (Imported)'!$1:$5000,M330,FALSE)</f>
        <v>0</v>
      </c>
    </row>
    <row r="331" spans="1:22" ht="13" x14ac:dyDescent="0.3">
      <c r="A331" s="46">
        <f>'vHosts (Imported)'!A331</f>
        <v>0</v>
      </c>
      <c r="B331" s="51">
        <f t="shared" si="15"/>
        <v>4968</v>
      </c>
      <c r="C331" s="49">
        <f>HLOOKUP("# Cores",'vHosts (Imported)'!$1:$5000,M331,FALSE)</f>
        <v>0</v>
      </c>
      <c r="D331" s="52">
        <f>HLOOKUP("# Memory",'vHosts (Imported)'!$1:$5000,M331,FALSE)</f>
        <v>0</v>
      </c>
      <c r="M331" s="45">
        <f t="shared" si="17"/>
        <v>331</v>
      </c>
      <c r="N331" s="38">
        <f>HLOOKUP("Host",'vInfo (Imported)'!$1:$5000,M331,FALSE)</f>
        <v>0</v>
      </c>
      <c r="R331">
        <f>HLOOKUP("CPUs",'vInfo (Imported)'!$1:$5000,M331,FALSE)</f>
        <v>0</v>
      </c>
      <c r="S331">
        <f>HLOOKUP("Memory",'vInfo (Imported)'!$1:$5000,M331,FALSE)</f>
        <v>0</v>
      </c>
      <c r="T331">
        <f>HLOOKUP("Provisioned MiB",'vInfo (Imported)'!$1:$5000,M331,FALSE)</f>
        <v>0</v>
      </c>
      <c r="U331">
        <f t="shared" si="16"/>
        <v>0</v>
      </c>
      <c r="V331">
        <f>HLOOKUP("In Use MiB",'vInfo (Imported)'!$1:$5000,M331,FALSE)</f>
        <v>0</v>
      </c>
    </row>
    <row r="332" spans="1:22" ht="13" x14ac:dyDescent="0.3">
      <c r="A332" s="46">
        <f>'vHosts (Imported)'!A332</f>
        <v>0</v>
      </c>
      <c r="B332" s="51">
        <f t="shared" si="15"/>
        <v>4968</v>
      </c>
      <c r="C332" s="49">
        <f>HLOOKUP("# Cores",'vHosts (Imported)'!$1:$5000,M332,FALSE)</f>
        <v>0</v>
      </c>
      <c r="D332" s="52">
        <f>HLOOKUP("# Memory",'vHosts (Imported)'!$1:$5000,M332,FALSE)</f>
        <v>0</v>
      </c>
      <c r="M332" s="45">
        <f t="shared" si="17"/>
        <v>332</v>
      </c>
      <c r="N332" s="38">
        <f>HLOOKUP("Host",'vInfo (Imported)'!$1:$5000,M332,FALSE)</f>
        <v>0</v>
      </c>
      <c r="R332">
        <f>HLOOKUP("CPUs",'vInfo (Imported)'!$1:$5000,M332,FALSE)</f>
        <v>0</v>
      </c>
      <c r="S332">
        <f>HLOOKUP("Memory",'vInfo (Imported)'!$1:$5000,M332,FALSE)</f>
        <v>0</v>
      </c>
      <c r="T332">
        <f>HLOOKUP("Provisioned MiB",'vInfo (Imported)'!$1:$5000,M332,FALSE)</f>
        <v>0</v>
      </c>
      <c r="U332">
        <f t="shared" si="16"/>
        <v>0</v>
      </c>
      <c r="V332">
        <f>HLOOKUP("In Use MiB",'vInfo (Imported)'!$1:$5000,M332,FALSE)</f>
        <v>0</v>
      </c>
    </row>
    <row r="333" spans="1:22" ht="13" x14ac:dyDescent="0.3">
      <c r="A333" s="46">
        <f>'vHosts (Imported)'!A333</f>
        <v>0</v>
      </c>
      <c r="B333" s="51">
        <f t="shared" si="15"/>
        <v>4968</v>
      </c>
      <c r="C333" s="49">
        <f>HLOOKUP("# Cores",'vHosts (Imported)'!$1:$5000,M333,FALSE)</f>
        <v>0</v>
      </c>
      <c r="D333" s="52">
        <f>HLOOKUP("# Memory",'vHosts (Imported)'!$1:$5000,M333,FALSE)</f>
        <v>0</v>
      </c>
      <c r="M333" s="45">
        <f t="shared" si="17"/>
        <v>333</v>
      </c>
      <c r="N333" s="38">
        <f>HLOOKUP("Host",'vInfo (Imported)'!$1:$5000,M333,FALSE)</f>
        <v>0</v>
      </c>
      <c r="R333">
        <f>HLOOKUP("CPUs",'vInfo (Imported)'!$1:$5000,M333,FALSE)</f>
        <v>0</v>
      </c>
      <c r="S333">
        <f>HLOOKUP("Memory",'vInfo (Imported)'!$1:$5000,M333,FALSE)</f>
        <v>0</v>
      </c>
      <c r="T333">
        <f>HLOOKUP("Provisioned MiB",'vInfo (Imported)'!$1:$5000,M333,FALSE)</f>
        <v>0</v>
      </c>
      <c r="U333">
        <f t="shared" si="16"/>
        <v>0</v>
      </c>
      <c r="V333">
        <f>HLOOKUP("In Use MiB",'vInfo (Imported)'!$1:$5000,M333,FALSE)</f>
        <v>0</v>
      </c>
    </row>
    <row r="334" spans="1:22" ht="13" x14ac:dyDescent="0.3">
      <c r="A334" s="46">
        <f>'vHosts (Imported)'!A334</f>
        <v>0</v>
      </c>
      <c r="B334" s="51">
        <f t="shared" si="15"/>
        <v>4968</v>
      </c>
      <c r="C334" s="49">
        <f>HLOOKUP("# Cores",'vHosts (Imported)'!$1:$5000,M334,FALSE)</f>
        <v>0</v>
      </c>
      <c r="D334" s="52">
        <f>HLOOKUP("# Memory",'vHosts (Imported)'!$1:$5000,M334,FALSE)</f>
        <v>0</v>
      </c>
      <c r="M334" s="45">
        <f t="shared" si="17"/>
        <v>334</v>
      </c>
      <c r="N334" s="38">
        <f>HLOOKUP("Host",'vInfo (Imported)'!$1:$5000,M334,FALSE)</f>
        <v>0</v>
      </c>
      <c r="R334">
        <f>HLOOKUP("CPUs",'vInfo (Imported)'!$1:$5000,M334,FALSE)</f>
        <v>0</v>
      </c>
      <c r="S334">
        <f>HLOOKUP("Memory",'vInfo (Imported)'!$1:$5000,M334,FALSE)</f>
        <v>0</v>
      </c>
      <c r="T334">
        <f>HLOOKUP("Provisioned MiB",'vInfo (Imported)'!$1:$5000,M334,FALSE)</f>
        <v>0</v>
      </c>
      <c r="U334">
        <f t="shared" si="16"/>
        <v>0</v>
      </c>
      <c r="V334">
        <f>HLOOKUP("In Use MiB",'vInfo (Imported)'!$1:$5000,M334,FALSE)</f>
        <v>0</v>
      </c>
    </row>
    <row r="335" spans="1:22" ht="13" x14ac:dyDescent="0.3">
      <c r="A335" s="46">
        <f>'vHosts (Imported)'!A335</f>
        <v>0</v>
      </c>
      <c r="B335" s="51">
        <f t="shared" si="15"/>
        <v>4968</v>
      </c>
      <c r="C335" s="49">
        <f>HLOOKUP("# Cores",'vHosts (Imported)'!$1:$5000,M335,FALSE)</f>
        <v>0</v>
      </c>
      <c r="D335" s="52">
        <f>HLOOKUP("# Memory",'vHosts (Imported)'!$1:$5000,M335,FALSE)</f>
        <v>0</v>
      </c>
      <c r="M335" s="45">
        <f t="shared" si="17"/>
        <v>335</v>
      </c>
      <c r="N335" s="38">
        <f>HLOOKUP("Host",'vInfo (Imported)'!$1:$5000,M335,FALSE)</f>
        <v>0</v>
      </c>
      <c r="R335">
        <f>HLOOKUP("CPUs",'vInfo (Imported)'!$1:$5000,M335,FALSE)</f>
        <v>0</v>
      </c>
      <c r="S335">
        <f>HLOOKUP("Memory",'vInfo (Imported)'!$1:$5000,M335,FALSE)</f>
        <v>0</v>
      </c>
      <c r="T335">
        <f>HLOOKUP("Provisioned MiB",'vInfo (Imported)'!$1:$5000,M335,FALSE)</f>
        <v>0</v>
      </c>
      <c r="U335">
        <f t="shared" si="16"/>
        <v>0</v>
      </c>
      <c r="V335">
        <f>HLOOKUP("In Use MiB",'vInfo (Imported)'!$1:$5000,M335,FALSE)</f>
        <v>0</v>
      </c>
    </row>
    <row r="336" spans="1:22" ht="13" x14ac:dyDescent="0.3">
      <c r="A336" s="46">
        <f>'vHosts (Imported)'!A336</f>
        <v>0</v>
      </c>
      <c r="B336" s="51">
        <f t="shared" si="15"/>
        <v>4968</v>
      </c>
      <c r="C336" s="49">
        <f>HLOOKUP("# Cores",'vHosts (Imported)'!$1:$5000,M336,FALSE)</f>
        <v>0</v>
      </c>
      <c r="D336" s="52">
        <f>HLOOKUP("# Memory",'vHosts (Imported)'!$1:$5000,M336,FALSE)</f>
        <v>0</v>
      </c>
      <c r="M336" s="45">
        <f t="shared" si="17"/>
        <v>336</v>
      </c>
      <c r="N336" s="38">
        <f>HLOOKUP("Host",'vInfo (Imported)'!$1:$5000,M336,FALSE)</f>
        <v>0</v>
      </c>
      <c r="R336">
        <f>HLOOKUP("CPUs",'vInfo (Imported)'!$1:$5000,M336,FALSE)</f>
        <v>0</v>
      </c>
      <c r="S336">
        <f>HLOOKUP("Memory",'vInfo (Imported)'!$1:$5000,M336,FALSE)</f>
        <v>0</v>
      </c>
      <c r="T336">
        <f>HLOOKUP("Provisioned MiB",'vInfo (Imported)'!$1:$5000,M336,FALSE)</f>
        <v>0</v>
      </c>
      <c r="U336">
        <f t="shared" si="16"/>
        <v>0</v>
      </c>
      <c r="V336">
        <f>HLOOKUP("In Use MiB",'vInfo (Imported)'!$1:$5000,M336,FALSE)</f>
        <v>0</v>
      </c>
    </row>
    <row r="337" spans="1:22" ht="13" x14ac:dyDescent="0.3">
      <c r="A337" s="46">
        <f>'vHosts (Imported)'!A337</f>
        <v>0</v>
      </c>
      <c r="B337" s="51">
        <f t="shared" si="15"/>
        <v>4968</v>
      </c>
      <c r="C337" s="49">
        <f>HLOOKUP("# Cores",'vHosts (Imported)'!$1:$5000,M337,FALSE)</f>
        <v>0</v>
      </c>
      <c r="D337" s="52">
        <f>HLOOKUP("# Memory",'vHosts (Imported)'!$1:$5000,M337,FALSE)</f>
        <v>0</v>
      </c>
      <c r="M337" s="45">
        <f t="shared" si="17"/>
        <v>337</v>
      </c>
      <c r="N337" s="38">
        <f>HLOOKUP("Host",'vInfo (Imported)'!$1:$5000,M337,FALSE)</f>
        <v>0</v>
      </c>
      <c r="R337">
        <f>HLOOKUP("CPUs",'vInfo (Imported)'!$1:$5000,M337,FALSE)</f>
        <v>0</v>
      </c>
      <c r="S337">
        <f>HLOOKUP("Memory",'vInfo (Imported)'!$1:$5000,M337,FALSE)</f>
        <v>0</v>
      </c>
      <c r="T337">
        <f>HLOOKUP("Provisioned MiB",'vInfo (Imported)'!$1:$5000,M337,FALSE)</f>
        <v>0</v>
      </c>
      <c r="U337">
        <f t="shared" si="16"/>
        <v>0</v>
      </c>
      <c r="V337">
        <f>HLOOKUP("In Use MiB",'vInfo (Imported)'!$1:$5000,M337,FALSE)</f>
        <v>0</v>
      </c>
    </row>
    <row r="338" spans="1:22" ht="13" x14ac:dyDescent="0.3">
      <c r="A338" s="46">
        <f>'vHosts (Imported)'!A338</f>
        <v>0</v>
      </c>
      <c r="B338" s="51">
        <f t="shared" si="15"/>
        <v>4968</v>
      </c>
      <c r="C338" s="49">
        <f>HLOOKUP("# Cores",'vHosts (Imported)'!$1:$5000,M338,FALSE)</f>
        <v>0</v>
      </c>
      <c r="D338" s="52">
        <f>HLOOKUP("# Memory",'vHosts (Imported)'!$1:$5000,M338,FALSE)</f>
        <v>0</v>
      </c>
      <c r="M338" s="45">
        <f t="shared" si="17"/>
        <v>338</v>
      </c>
      <c r="N338" s="38">
        <f>HLOOKUP("Host",'vInfo (Imported)'!$1:$5000,M338,FALSE)</f>
        <v>0</v>
      </c>
      <c r="R338">
        <f>HLOOKUP("CPUs",'vInfo (Imported)'!$1:$5000,M338,FALSE)</f>
        <v>0</v>
      </c>
      <c r="S338">
        <f>HLOOKUP("Memory",'vInfo (Imported)'!$1:$5000,M338,FALSE)</f>
        <v>0</v>
      </c>
      <c r="T338">
        <f>HLOOKUP("Provisioned MiB",'vInfo (Imported)'!$1:$5000,M338,FALSE)</f>
        <v>0</v>
      </c>
      <c r="U338">
        <f t="shared" si="16"/>
        <v>0</v>
      </c>
      <c r="V338">
        <f>HLOOKUP("In Use MiB",'vInfo (Imported)'!$1:$5000,M338,FALSE)</f>
        <v>0</v>
      </c>
    </row>
    <row r="339" spans="1:22" ht="13" x14ac:dyDescent="0.3">
      <c r="A339" s="46">
        <f>'vHosts (Imported)'!A339</f>
        <v>0</v>
      </c>
      <c r="B339" s="51">
        <f t="shared" si="15"/>
        <v>4968</v>
      </c>
      <c r="C339" s="49">
        <f>HLOOKUP("# Cores",'vHosts (Imported)'!$1:$5000,M339,FALSE)</f>
        <v>0</v>
      </c>
      <c r="D339" s="52">
        <f>HLOOKUP("# Memory",'vHosts (Imported)'!$1:$5000,M339,FALSE)</f>
        <v>0</v>
      </c>
      <c r="M339" s="45">
        <f t="shared" si="17"/>
        <v>339</v>
      </c>
      <c r="N339" s="38">
        <f>HLOOKUP("Host",'vInfo (Imported)'!$1:$5000,M339,FALSE)</f>
        <v>0</v>
      </c>
      <c r="R339">
        <f>HLOOKUP("CPUs",'vInfo (Imported)'!$1:$5000,M339,FALSE)</f>
        <v>0</v>
      </c>
      <c r="S339">
        <f>HLOOKUP("Memory",'vInfo (Imported)'!$1:$5000,M339,FALSE)</f>
        <v>0</v>
      </c>
      <c r="T339">
        <f>HLOOKUP("Provisioned MiB",'vInfo (Imported)'!$1:$5000,M339,FALSE)</f>
        <v>0</v>
      </c>
      <c r="U339">
        <f t="shared" si="16"/>
        <v>0</v>
      </c>
      <c r="V339">
        <f>HLOOKUP("In Use MiB",'vInfo (Imported)'!$1:$5000,M339,FALSE)</f>
        <v>0</v>
      </c>
    </row>
    <row r="340" spans="1:22" ht="13" x14ac:dyDescent="0.3">
      <c r="A340" s="46">
        <f>'vHosts (Imported)'!A340</f>
        <v>0</v>
      </c>
      <c r="B340" s="51">
        <f t="shared" si="15"/>
        <v>4968</v>
      </c>
      <c r="C340" s="49">
        <f>HLOOKUP("# Cores",'vHosts (Imported)'!$1:$5000,M340,FALSE)</f>
        <v>0</v>
      </c>
      <c r="D340" s="52">
        <f>HLOOKUP("# Memory",'vHosts (Imported)'!$1:$5000,M340,FALSE)</f>
        <v>0</v>
      </c>
      <c r="M340" s="45">
        <f t="shared" si="17"/>
        <v>340</v>
      </c>
      <c r="N340" s="38">
        <f>HLOOKUP("Host",'vInfo (Imported)'!$1:$5000,M340,FALSE)</f>
        <v>0</v>
      </c>
      <c r="R340">
        <f>HLOOKUP("CPUs",'vInfo (Imported)'!$1:$5000,M340,FALSE)</f>
        <v>0</v>
      </c>
      <c r="S340">
        <f>HLOOKUP("Memory",'vInfo (Imported)'!$1:$5000,M340,FALSE)</f>
        <v>0</v>
      </c>
      <c r="T340">
        <f>HLOOKUP("Provisioned MiB",'vInfo (Imported)'!$1:$5000,M340,FALSE)</f>
        <v>0</v>
      </c>
      <c r="U340">
        <f t="shared" si="16"/>
        <v>0</v>
      </c>
      <c r="V340">
        <f>HLOOKUP("In Use MiB",'vInfo (Imported)'!$1:$5000,M340,FALSE)</f>
        <v>0</v>
      </c>
    </row>
    <row r="341" spans="1:22" ht="13" x14ac:dyDescent="0.3">
      <c r="A341" s="46">
        <f>'vHosts (Imported)'!A341</f>
        <v>0</v>
      </c>
      <c r="B341" s="51">
        <f t="shared" si="15"/>
        <v>4968</v>
      </c>
      <c r="C341" s="49">
        <f>HLOOKUP("# Cores",'vHosts (Imported)'!$1:$5000,M341,FALSE)</f>
        <v>0</v>
      </c>
      <c r="D341" s="52">
        <f>HLOOKUP("# Memory",'vHosts (Imported)'!$1:$5000,M341,FALSE)</f>
        <v>0</v>
      </c>
      <c r="M341" s="45">
        <f t="shared" si="17"/>
        <v>341</v>
      </c>
      <c r="N341" s="38">
        <f>HLOOKUP("Host",'vInfo (Imported)'!$1:$5000,M341,FALSE)</f>
        <v>0</v>
      </c>
      <c r="R341">
        <f>HLOOKUP("CPUs",'vInfo (Imported)'!$1:$5000,M341,FALSE)</f>
        <v>0</v>
      </c>
      <c r="S341">
        <f>HLOOKUP("Memory",'vInfo (Imported)'!$1:$5000,M341,FALSE)</f>
        <v>0</v>
      </c>
      <c r="T341">
        <f>HLOOKUP("Provisioned MiB",'vInfo (Imported)'!$1:$5000,M341,FALSE)</f>
        <v>0</v>
      </c>
      <c r="U341">
        <f t="shared" si="16"/>
        <v>0</v>
      </c>
      <c r="V341">
        <f>HLOOKUP("In Use MiB",'vInfo (Imported)'!$1:$5000,M341,FALSE)</f>
        <v>0</v>
      </c>
    </row>
    <row r="342" spans="1:22" ht="13" x14ac:dyDescent="0.3">
      <c r="A342" s="46">
        <f>'vHosts (Imported)'!A342</f>
        <v>0</v>
      </c>
      <c r="B342" s="51">
        <f t="shared" si="15"/>
        <v>4968</v>
      </c>
      <c r="C342" s="49">
        <f>HLOOKUP("# Cores",'vHosts (Imported)'!$1:$5000,M342,FALSE)</f>
        <v>0</v>
      </c>
      <c r="D342" s="52">
        <f>HLOOKUP("# Memory",'vHosts (Imported)'!$1:$5000,M342,FALSE)</f>
        <v>0</v>
      </c>
      <c r="M342" s="45">
        <f t="shared" si="17"/>
        <v>342</v>
      </c>
      <c r="N342" s="38">
        <f>HLOOKUP("Host",'vInfo (Imported)'!$1:$5000,M342,FALSE)</f>
        <v>0</v>
      </c>
      <c r="R342">
        <f>HLOOKUP("CPUs",'vInfo (Imported)'!$1:$5000,M342,FALSE)</f>
        <v>0</v>
      </c>
      <c r="S342">
        <f>HLOOKUP("Memory",'vInfo (Imported)'!$1:$5000,M342,FALSE)</f>
        <v>0</v>
      </c>
      <c r="T342">
        <f>HLOOKUP("Provisioned MiB",'vInfo (Imported)'!$1:$5000,M342,FALSE)</f>
        <v>0</v>
      </c>
      <c r="U342">
        <f t="shared" si="16"/>
        <v>0</v>
      </c>
      <c r="V342">
        <f>HLOOKUP("In Use MiB",'vInfo (Imported)'!$1:$5000,M342,FALSE)</f>
        <v>0</v>
      </c>
    </row>
    <row r="343" spans="1:22" ht="13" x14ac:dyDescent="0.3">
      <c r="A343" s="46">
        <f>'vHosts (Imported)'!A343</f>
        <v>0</v>
      </c>
      <c r="B343" s="51">
        <f t="shared" si="15"/>
        <v>4968</v>
      </c>
      <c r="C343" s="49">
        <f>HLOOKUP("# Cores",'vHosts (Imported)'!$1:$5000,M343,FALSE)</f>
        <v>0</v>
      </c>
      <c r="D343" s="52">
        <f>HLOOKUP("# Memory",'vHosts (Imported)'!$1:$5000,M343,FALSE)</f>
        <v>0</v>
      </c>
      <c r="M343" s="45">
        <f t="shared" si="17"/>
        <v>343</v>
      </c>
      <c r="N343" s="38">
        <f>HLOOKUP("Host",'vInfo (Imported)'!$1:$5000,M343,FALSE)</f>
        <v>0</v>
      </c>
      <c r="R343">
        <f>HLOOKUP("CPUs",'vInfo (Imported)'!$1:$5000,M343,FALSE)</f>
        <v>0</v>
      </c>
      <c r="S343">
        <f>HLOOKUP("Memory",'vInfo (Imported)'!$1:$5000,M343,FALSE)</f>
        <v>0</v>
      </c>
      <c r="T343">
        <f>HLOOKUP("Provisioned MiB",'vInfo (Imported)'!$1:$5000,M343,FALSE)</f>
        <v>0</v>
      </c>
      <c r="U343">
        <f t="shared" si="16"/>
        <v>0</v>
      </c>
      <c r="V343">
        <f>HLOOKUP("In Use MiB",'vInfo (Imported)'!$1:$5000,M343,FALSE)</f>
        <v>0</v>
      </c>
    </row>
    <row r="344" spans="1:22" ht="13" x14ac:dyDescent="0.3">
      <c r="A344" s="46">
        <f>'vHosts (Imported)'!A344</f>
        <v>0</v>
      </c>
      <c r="B344" s="51">
        <f t="shared" si="15"/>
        <v>4968</v>
      </c>
      <c r="C344" s="49">
        <f>HLOOKUP("# Cores",'vHosts (Imported)'!$1:$5000,M344,FALSE)</f>
        <v>0</v>
      </c>
      <c r="D344" s="52">
        <f>HLOOKUP("# Memory",'vHosts (Imported)'!$1:$5000,M344,FALSE)</f>
        <v>0</v>
      </c>
      <c r="M344" s="45">
        <f t="shared" si="17"/>
        <v>344</v>
      </c>
      <c r="N344" s="38">
        <f>HLOOKUP("Host",'vInfo (Imported)'!$1:$5000,M344,FALSE)</f>
        <v>0</v>
      </c>
      <c r="R344">
        <f>HLOOKUP("CPUs",'vInfo (Imported)'!$1:$5000,M344,FALSE)</f>
        <v>0</v>
      </c>
      <c r="S344">
        <f>HLOOKUP("Memory",'vInfo (Imported)'!$1:$5000,M344,FALSE)</f>
        <v>0</v>
      </c>
      <c r="T344">
        <f>HLOOKUP("Provisioned MiB",'vInfo (Imported)'!$1:$5000,M344,FALSE)</f>
        <v>0</v>
      </c>
      <c r="U344">
        <f t="shared" si="16"/>
        <v>0</v>
      </c>
      <c r="V344">
        <f>HLOOKUP("In Use MiB",'vInfo (Imported)'!$1:$5000,M344,FALSE)</f>
        <v>0</v>
      </c>
    </row>
    <row r="345" spans="1:22" ht="13" x14ac:dyDescent="0.3">
      <c r="A345" s="46">
        <f>'vHosts (Imported)'!A345</f>
        <v>0</v>
      </c>
      <c r="B345" s="51">
        <f t="shared" si="15"/>
        <v>4968</v>
      </c>
      <c r="C345" s="49">
        <f>HLOOKUP("# Cores",'vHosts (Imported)'!$1:$5000,M345,FALSE)</f>
        <v>0</v>
      </c>
      <c r="D345" s="52">
        <f>HLOOKUP("# Memory",'vHosts (Imported)'!$1:$5000,M345,FALSE)</f>
        <v>0</v>
      </c>
      <c r="M345" s="45">
        <f t="shared" si="17"/>
        <v>345</v>
      </c>
      <c r="N345" s="38">
        <f>HLOOKUP("Host",'vInfo (Imported)'!$1:$5000,M345,FALSE)</f>
        <v>0</v>
      </c>
      <c r="R345">
        <f>HLOOKUP("CPUs",'vInfo (Imported)'!$1:$5000,M345,FALSE)</f>
        <v>0</v>
      </c>
      <c r="S345">
        <f>HLOOKUP("Memory",'vInfo (Imported)'!$1:$5000,M345,FALSE)</f>
        <v>0</v>
      </c>
      <c r="T345">
        <f>HLOOKUP("Provisioned MiB",'vInfo (Imported)'!$1:$5000,M345,FALSE)</f>
        <v>0</v>
      </c>
      <c r="U345">
        <f t="shared" si="16"/>
        <v>0</v>
      </c>
      <c r="V345">
        <f>HLOOKUP("In Use MiB",'vInfo (Imported)'!$1:$5000,M345,FALSE)</f>
        <v>0</v>
      </c>
    </row>
    <row r="346" spans="1:22" ht="13" x14ac:dyDescent="0.3">
      <c r="A346" s="46">
        <f>'vHosts (Imported)'!A346</f>
        <v>0</v>
      </c>
      <c r="B346" s="51">
        <f t="shared" si="15"/>
        <v>4968</v>
      </c>
      <c r="C346" s="49">
        <f>HLOOKUP("# Cores",'vHosts (Imported)'!$1:$5000,M346,FALSE)</f>
        <v>0</v>
      </c>
      <c r="D346" s="52">
        <f>HLOOKUP("# Memory",'vHosts (Imported)'!$1:$5000,M346,FALSE)</f>
        <v>0</v>
      </c>
      <c r="M346" s="45">
        <f t="shared" si="17"/>
        <v>346</v>
      </c>
      <c r="N346" s="38">
        <f>HLOOKUP("Host",'vInfo (Imported)'!$1:$5000,M346,FALSE)</f>
        <v>0</v>
      </c>
      <c r="R346">
        <f>HLOOKUP("CPUs",'vInfo (Imported)'!$1:$5000,M346,FALSE)</f>
        <v>0</v>
      </c>
      <c r="S346">
        <f>HLOOKUP("Memory",'vInfo (Imported)'!$1:$5000,M346,FALSE)</f>
        <v>0</v>
      </c>
      <c r="T346">
        <f>HLOOKUP("Provisioned MiB",'vInfo (Imported)'!$1:$5000,M346,FALSE)</f>
        <v>0</v>
      </c>
      <c r="U346">
        <f t="shared" si="16"/>
        <v>0</v>
      </c>
      <c r="V346">
        <f>HLOOKUP("In Use MiB",'vInfo (Imported)'!$1:$5000,M346,FALSE)</f>
        <v>0</v>
      </c>
    </row>
    <row r="347" spans="1:22" ht="13" x14ac:dyDescent="0.3">
      <c r="A347" s="46">
        <f>'vHosts (Imported)'!A347</f>
        <v>0</v>
      </c>
      <c r="B347" s="51">
        <f t="shared" si="15"/>
        <v>4968</v>
      </c>
      <c r="C347" s="49">
        <f>HLOOKUP("# Cores",'vHosts (Imported)'!$1:$5000,M347,FALSE)</f>
        <v>0</v>
      </c>
      <c r="D347" s="52">
        <f>HLOOKUP("# Memory",'vHosts (Imported)'!$1:$5000,M347,FALSE)</f>
        <v>0</v>
      </c>
      <c r="M347" s="45">
        <f t="shared" si="17"/>
        <v>347</v>
      </c>
      <c r="N347" s="38">
        <f>HLOOKUP("Host",'vInfo (Imported)'!$1:$5000,M347,FALSE)</f>
        <v>0</v>
      </c>
      <c r="R347">
        <f>HLOOKUP("CPUs",'vInfo (Imported)'!$1:$5000,M347,FALSE)</f>
        <v>0</v>
      </c>
      <c r="S347">
        <f>HLOOKUP("Memory",'vInfo (Imported)'!$1:$5000,M347,FALSE)</f>
        <v>0</v>
      </c>
      <c r="T347">
        <f>HLOOKUP("Provisioned MiB",'vInfo (Imported)'!$1:$5000,M347,FALSE)</f>
        <v>0</v>
      </c>
      <c r="U347">
        <f t="shared" si="16"/>
        <v>0</v>
      </c>
      <c r="V347">
        <f>HLOOKUP("In Use MiB",'vInfo (Imported)'!$1:$5000,M347,FALSE)</f>
        <v>0</v>
      </c>
    </row>
    <row r="348" spans="1:22" ht="13" x14ac:dyDescent="0.3">
      <c r="A348" s="46">
        <f>'vHosts (Imported)'!A348</f>
        <v>0</v>
      </c>
      <c r="B348" s="51">
        <f t="shared" si="15"/>
        <v>4968</v>
      </c>
      <c r="C348" s="49">
        <f>HLOOKUP("# Cores",'vHosts (Imported)'!$1:$5000,M348,FALSE)</f>
        <v>0</v>
      </c>
      <c r="D348" s="52">
        <f>HLOOKUP("# Memory",'vHosts (Imported)'!$1:$5000,M348,FALSE)</f>
        <v>0</v>
      </c>
      <c r="M348" s="45">
        <f t="shared" si="17"/>
        <v>348</v>
      </c>
      <c r="N348" s="38">
        <f>HLOOKUP("Host",'vInfo (Imported)'!$1:$5000,M348,FALSE)</f>
        <v>0</v>
      </c>
      <c r="R348">
        <f>HLOOKUP("CPUs",'vInfo (Imported)'!$1:$5000,M348,FALSE)</f>
        <v>0</v>
      </c>
      <c r="S348">
        <f>HLOOKUP("Memory",'vInfo (Imported)'!$1:$5000,M348,FALSE)</f>
        <v>0</v>
      </c>
      <c r="T348">
        <f>HLOOKUP("Provisioned MiB",'vInfo (Imported)'!$1:$5000,M348,FALSE)</f>
        <v>0</v>
      </c>
      <c r="U348">
        <f t="shared" si="16"/>
        <v>0</v>
      </c>
      <c r="V348">
        <f>HLOOKUP("In Use MiB",'vInfo (Imported)'!$1:$5000,M348,FALSE)</f>
        <v>0</v>
      </c>
    </row>
    <row r="349" spans="1:22" ht="13" x14ac:dyDescent="0.3">
      <c r="A349" s="46">
        <f>'vHosts (Imported)'!A349</f>
        <v>0</v>
      </c>
      <c r="B349" s="51">
        <f t="shared" si="15"/>
        <v>4968</v>
      </c>
      <c r="C349" s="49">
        <f>HLOOKUP("# Cores",'vHosts (Imported)'!$1:$5000,M349,FALSE)</f>
        <v>0</v>
      </c>
      <c r="D349" s="52">
        <f>HLOOKUP("# Memory",'vHosts (Imported)'!$1:$5000,M349,FALSE)</f>
        <v>0</v>
      </c>
      <c r="M349" s="45">
        <f t="shared" si="17"/>
        <v>349</v>
      </c>
      <c r="N349" s="38">
        <f>HLOOKUP("Host",'vInfo (Imported)'!$1:$5000,M349,FALSE)</f>
        <v>0</v>
      </c>
      <c r="R349">
        <f>HLOOKUP("CPUs",'vInfo (Imported)'!$1:$5000,M349,FALSE)</f>
        <v>0</v>
      </c>
      <c r="S349">
        <f>HLOOKUP("Memory",'vInfo (Imported)'!$1:$5000,M349,FALSE)</f>
        <v>0</v>
      </c>
      <c r="T349">
        <f>HLOOKUP("Provisioned MiB",'vInfo (Imported)'!$1:$5000,M349,FALSE)</f>
        <v>0</v>
      </c>
      <c r="U349">
        <f t="shared" si="16"/>
        <v>0</v>
      </c>
      <c r="V349">
        <f>HLOOKUP("In Use MiB",'vInfo (Imported)'!$1:$5000,M349,FALSE)</f>
        <v>0</v>
      </c>
    </row>
    <row r="350" spans="1:22" ht="13" x14ac:dyDescent="0.3">
      <c r="A350" s="46">
        <f>'vHosts (Imported)'!A350</f>
        <v>0</v>
      </c>
      <c r="B350" s="51">
        <f t="shared" si="15"/>
        <v>4968</v>
      </c>
      <c r="C350" s="49">
        <f>HLOOKUP("# Cores",'vHosts (Imported)'!$1:$5000,M350,FALSE)</f>
        <v>0</v>
      </c>
      <c r="D350" s="52">
        <f>HLOOKUP("# Memory",'vHosts (Imported)'!$1:$5000,M350,FALSE)</f>
        <v>0</v>
      </c>
      <c r="M350" s="45">
        <f t="shared" si="17"/>
        <v>350</v>
      </c>
      <c r="N350" s="38">
        <f>HLOOKUP("Host",'vInfo (Imported)'!$1:$5000,M350,FALSE)</f>
        <v>0</v>
      </c>
      <c r="R350">
        <f>HLOOKUP("CPUs",'vInfo (Imported)'!$1:$5000,M350,FALSE)</f>
        <v>0</v>
      </c>
      <c r="S350">
        <f>HLOOKUP("Memory",'vInfo (Imported)'!$1:$5000,M350,FALSE)</f>
        <v>0</v>
      </c>
      <c r="T350">
        <f>HLOOKUP("Provisioned MiB",'vInfo (Imported)'!$1:$5000,M350,FALSE)</f>
        <v>0</v>
      </c>
      <c r="U350">
        <f t="shared" si="16"/>
        <v>0</v>
      </c>
      <c r="V350">
        <f>HLOOKUP("In Use MiB",'vInfo (Imported)'!$1:$5000,M350,FALSE)</f>
        <v>0</v>
      </c>
    </row>
    <row r="351" spans="1:22" ht="13" x14ac:dyDescent="0.3">
      <c r="A351" s="46">
        <f>'vHosts (Imported)'!A351</f>
        <v>0</v>
      </c>
      <c r="B351" s="51">
        <f t="shared" si="15"/>
        <v>4968</v>
      </c>
      <c r="C351" s="49">
        <f>HLOOKUP("# Cores",'vHosts (Imported)'!$1:$5000,M351,FALSE)</f>
        <v>0</v>
      </c>
      <c r="D351" s="52">
        <f>HLOOKUP("# Memory",'vHosts (Imported)'!$1:$5000,M351,FALSE)</f>
        <v>0</v>
      </c>
      <c r="M351" s="45">
        <f t="shared" si="17"/>
        <v>351</v>
      </c>
      <c r="N351" s="38">
        <f>HLOOKUP("Host",'vInfo (Imported)'!$1:$5000,M351,FALSE)</f>
        <v>0</v>
      </c>
      <c r="R351">
        <f>HLOOKUP("CPUs",'vInfo (Imported)'!$1:$5000,M351,FALSE)</f>
        <v>0</v>
      </c>
      <c r="S351">
        <f>HLOOKUP("Memory",'vInfo (Imported)'!$1:$5000,M351,FALSE)</f>
        <v>0</v>
      </c>
      <c r="T351">
        <f>HLOOKUP("Provisioned MiB",'vInfo (Imported)'!$1:$5000,M351,FALSE)</f>
        <v>0</v>
      </c>
      <c r="U351">
        <f t="shared" si="16"/>
        <v>0</v>
      </c>
      <c r="V351">
        <f>HLOOKUP("In Use MiB",'vInfo (Imported)'!$1:$5000,M351,FALSE)</f>
        <v>0</v>
      </c>
    </row>
    <row r="352" spans="1:22" ht="13" x14ac:dyDescent="0.3">
      <c r="A352" s="46">
        <f>'vHosts (Imported)'!A352</f>
        <v>0</v>
      </c>
      <c r="B352" s="51">
        <f t="shared" si="15"/>
        <v>4968</v>
      </c>
      <c r="C352" s="49">
        <f>HLOOKUP("# Cores",'vHosts (Imported)'!$1:$5000,M352,FALSE)</f>
        <v>0</v>
      </c>
      <c r="D352" s="52">
        <f>HLOOKUP("# Memory",'vHosts (Imported)'!$1:$5000,M352,FALSE)</f>
        <v>0</v>
      </c>
      <c r="M352" s="45">
        <f t="shared" si="17"/>
        <v>352</v>
      </c>
      <c r="N352" s="38">
        <f>HLOOKUP("Host",'vInfo (Imported)'!$1:$5000,M352,FALSE)</f>
        <v>0</v>
      </c>
      <c r="R352">
        <f>HLOOKUP("CPUs",'vInfo (Imported)'!$1:$5000,M352,FALSE)</f>
        <v>0</v>
      </c>
      <c r="S352">
        <f>HLOOKUP("Memory",'vInfo (Imported)'!$1:$5000,M352,FALSE)</f>
        <v>0</v>
      </c>
      <c r="T352">
        <f>HLOOKUP("Provisioned MiB",'vInfo (Imported)'!$1:$5000,M352,FALSE)</f>
        <v>0</v>
      </c>
      <c r="U352">
        <f t="shared" si="16"/>
        <v>0</v>
      </c>
      <c r="V352">
        <f>HLOOKUP("In Use MiB",'vInfo (Imported)'!$1:$5000,M352,FALSE)</f>
        <v>0</v>
      </c>
    </row>
    <row r="353" spans="1:22" ht="13" x14ac:dyDescent="0.3">
      <c r="A353" s="46">
        <f>'vHosts (Imported)'!A353</f>
        <v>0</v>
      </c>
      <c r="B353" s="51">
        <f t="shared" si="15"/>
        <v>4968</v>
      </c>
      <c r="C353" s="49">
        <f>HLOOKUP("# Cores",'vHosts (Imported)'!$1:$5000,M353,FALSE)</f>
        <v>0</v>
      </c>
      <c r="D353" s="52">
        <f>HLOOKUP("# Memory",'vHosts (Imported)'!$1:$5000,M353,FALSE)</f>
        <v>0</v>
      </c>
      <c r="M353" s="45">
        <f t="shared" si="17"/>
        <v>353</v>
      </c>
      <c r="N353" s="38">
        <f>HLOOKUP("Host",'vInfo (Imported)'!$1:$5000,M353,FALSE)</f>
        <v>0</v>
      </c>
      <c r="R353">
        <f>HLOOKUP("CPUs",'vInfo (Imported)'!$1:$5000,M353,FALSE)</f>
        <v>0</v>
      </c>
      <c r="S353">
        <f>HLOOKUP("Memory",'vInfo (Imported)'!$1:$5000,M353,FALSE)</f>
        <v>0</v>
      </c>
      <c r="T353">
        <f>HLOOKUP("Provisioned MiB",'vInfo (Imported)'!$1:$5000,M353,FALSE)</f>
        <v>0</v>
      </c>
      <c r="U353">
        <f t="shared" si="16"/>
        <v>0</v>
      </c>
      <c r="V353">
        <f>HLOOKUP("In Use MiB",'vInfo (Imported)'!$1:$5000,M353,FALSE)</f>
        <v>0</v>
      </c>
    </row>
    <row r="354" spans="1:22" ht="13" x14ac:dyDescent="0.3">
      <c r="A354" s="46">
        <f>'vHosts (Imported)'!A354</f>
        <v>0</v>
      </c>
      <c r="B354" s="51">
        <f t="shared" si="15"/>
        <v>4968</v>
      </c>
      <c r="C354" s="49">
        <f>HLOOKUP("# Cores",'vHosts (Imported)'!$1:$5000,M354,FALSE)</f>
        <v>0</v>
      </c>
      <c r="D354" s="52">
        <f>HLOOKUP("# Memory",'vHosts (Imported)'!$1:$5000,M354,FALSE)</f>
        <v>0</v>
      </c>
      <c r="M354" s="45">
        <f t="shared" si="17"/>
        <v>354</v>
      </c>
      <c r="N354" s="38">
        <f>HLOOKUP("Host",'vInfo (Imported)'!$1:$5000,M354,FALSE)</f>
        <v>0</v>
      </c>
      <c r="R354">
        <f>HLOOKUP("CPUs",'vInfo (Imported)'!$1:$5000,M354,FALSE)</f>
        <v>0</v>
      </c>
      <c r="S354">
        <f>HLOOKUP("Memory",'vInfo (Imported)'!$1:$5000,M354,FALSE)</f>
        <v>0</v>
      </c>
      <c r="T354">
        <f>HLOOKUP("Provisioned MiB",'vInfo (Imported)'!$1:$5000,M354,FALSE)</f>
        <v>0</v>
      </c>
      <c r="U354">
        <f t="shared" si="16"/>
        <v>0</v>
      </c>
      <c r="V354">
        <f>HLOOKUP("In Use MiB",'vInfo (Imported)'!$1:$5000,M354,FALSE)</f>
        <v>0</v>
      </c>
    </row>
    <row r="355" spans="1:22" ht="13" x14ac:dyDescent="0.3">
      <c r="A355" s="46">
        <f>'vHosts (Imported)'!A355</f>
        <v>0</v>
      </c>
      <c r="B355" s="51">
        <f t="shared" si="15"/>
        <v>4968</v>
      </c>
      <c r="C355" s="49">
        <f>HLOOKUP("# Cores",'vHosts (Imported)'!$1:$5000,M355,FALSE)</f>
        <v>0</v>
      </c>
      <c r="D355" s="52">
        <f>HLOOKUP("# Memory",'vHosts (Imported)'!$1:$5000,M355,FALSE)</f>
        <v>0</v>
      </c>
      <c r="M355" s="45">
        <f t="shared" si="17"/>
        <v>355</v>
      </c>
      <c r="N355" s="38">
        <f>HLOOKUP("Host",'vInfo (Imported)'!$1:$5000,M355,FALSE)</f>
        <v>0</v>
      </c>
      <c r="R355">
        <f>HLOOKUP("CPUs",'vInfo (Imported)'!$1:$5000,M355,FALSE)</f>
        <v>0</v>
      </c>
      <c r="S355">
        <f>HLOOKUP("Memory",'vInfo (Imported)'!$1:$5000,M355,FALSE)</f>
        <v>0</v>
      </c>
      <c r="T355">
        <f>HLOOKUP("Provisioned MiB",'vInfo (Imported)'!$1:$5000,M355,FALSE)</f>
        <v>0</v>
      </c>
      <c r="U355">
        <f t="shared" si="16"/>
        <v>0</v>
      </c>
      <c r="V355">
        <f>HLOOKUP("In Use MiB",'vInfo (Imported)'!$1:$5000,M355,FALSE)</f>
        <v>0</v>
      </c>
    </row>
    <row r="356" spans="1:22" ht="13" x14ac:dyDescent="0.3">
      <c r="A356" s="46">
        <f>'vHosts (Imported)'!A356</f>
        <v>0</v>
      </c>
      <c r="B356" s="51">
        <f t="shared" si="15"/>
        <v>4968</v>
      </c>
      <c r="C356" s="49">
        <f>HLOOKUP("# Cores",'vHosts (Imported)'!$1:$5000,M356,FALSE)</f>
        <v>0</v>
      </c>
      <c r="D356" s="52">
        <f>HLOOKUP("# Memory",'vHosts (Imported)'!$1:$5000,M356,FALSE)</f>
        <v>0</v>
      </c>
      <c r="M356" s="45">
        <f t="shared" si="17"/>
        <v>356</v>
      </c>
      <c r="N356" s="38">
        <f>HLOOKUP("Host",'vInfo (Imported)'!$1:$5000,M356,FALSE)</f>
        <v>0</v>
      </c>
      <c r="R356">
        <f>HLOOKUP("CPUs",'vInfo (Imported)'!$1:$5000,M356,FALSE)</f>
        <v>0</v>
      </c>
      <c r="S356">
        <f>HLOOKUP("Memory",'vInfo (Imported)'!$1:$5000,M356,FALSE)</f>
        <v>0</v>
      </c>
      <c r="T356">
        <f>HLOOKUP("Provisioned MiB",'vInfo (Imported)'!$1:$5000,M356,FALSE)</f>
        <v>0</v>
      </c>
      <c r="U356">
        <f t="shared" si="16"/>
        <v>0</v>
      </c>
      <c r="V356">
        <f>HLOOKUP("In Use MiB",'vInfo (Imported)'!$1:$5000,M356,FALSE)</f>
        <v>0</v>
      </c>
    </row>
    <row r="357" spans="1:22" ht="13" x14ac:dyDescent="0.3">
      <c r="A357" s="46">
        <f>'vHosts (Imported)'!A357</f>
        <v>0</v>
      </c>
      <c r="B357" s="51">
        <f t="shared" si="15"/>
        <v>4968</v>
      </c>
      <c r="C357" s="49">
        <f>HLOOKUP("# Cores",'vHosts (Imported)'!$1:$5000,M357,FALSE)</f>
        <v>0</v>
      </c>
      <c r="D357" s="52">
        <f>HLOOKUP("# Memory",'vHosts (Imported)'!$1:$5000,M357,FALSE)</f>
        <v>0</v>
      </c>
      <c r="M357" s="45">
        <f t="shared" si="17"/>
        <v>357</v>
      </c>
      <c r="N357" s="38">
        <f>HLOOKUP("Host",'vInfo (Imported)'!$1:$5000,M357,FALSE)</f>
        <v>0</v>
      </c>
      <c r="R357">
        <f>HLOOKUP("CPUs",'vInfo (Imported)'!$1:$5000,M357,FALSE)</f>
        <v>0</v>
      </c>
      <c r="S357">
        <f>HLOOKUP("Memory",'vInfo (Imported)'!$1:$5000,M357,FALSE)</f>
        <v>0</v>
      </c>
      <c r="T357">
        <f>HLOOKUP("Provisioned MiB",'vInfo (Imported)'!$1:$5000,M357,FALSE)</f>
        <v>0</v>
      </c>
      <c r="U357">
        <f t="shared" si="16"/>
        <v>0</v>
      </c>
      <c r="V357">
        <f>HLOOKUP("In Use MiB",'vInfo (Imported)'!$1:$5000,M357,FALSE)</f>
        <v>0</v>
      </c>
    </row>
    <row r="358" spans="1:22" ht="13" x14ac:dyDescent="0.3">
      <c r="A358" s="46">
        <f>'vHosts (Imported)'!A358</f>
        <v>0</v>
      </c>
      <c r="B358" s="51">
        <f t="shared" si="15"/>
        <v>4968</v>
      </c>
      <c r="C358" s="49">
        <f>HLOOKUP("# Cores",'vHosts (Imported)'!$1:$5000,M358,FALSE)</f>
        <v>0</v>
      </c>
      <c r="D358" s="52">
        <f>HLOOKUP("# Memory",'vHosts (Imported)'!$1:$5000,M358,FALSE)</f>
        <v>0</v>
      </c>
      <c r="M358" s="45">
        <f t="shared" si="17"/>
        <v>358</v>
      </c>
      <c r="N358" s="38">
        <f>HLOOKUP("Host",'vInfo (Imported)'!$1:$5000,M358,FALSE)</f>
        <v>0</v>
      </c>
      <c r="R358">
        <f>HLOOKUP("CPUs",'vInfo (Imported)'!$1:$5000,M358,FALSE)</f>
        <v>0</v>
      </c>
      <c r="S358">
        <f>HLOOKUP("Memory",'vInfo (Imported)'!$1:$5000,M358,FALSE)</f>
        <v>0</v>
      </c>
      <c r="T358">
        <f>HLOOKUP("Provisioned MiB",'vInfo (Imported)'!$1:$5000,M358,FALSE)</f>
        <v>0</v>
      </c>
      <c r="U358">
        <f t="shared" si="16"/>
        <v>0</v>
      </c>
      <c r="V358">
        <f>HLOOKUP("In Use MiB",'vInfo (Imported)'!$1:$5000,M358,FALSE)</f>
        <v>0</v>
      </c>
    </row>
    <row r="359" spans="1:22" ht="13" x14ac:dyDescent="0.3">
      <c r="A359" s="46">
        <f>'vHosts (Imported)'!A359</f>
        <v>0</v>
      </c>
      <c r="B359" s="51">
        <f t="shared" si="15"/>
        <v>4968</v>
      </c>
      <c r="C359" s="49">
        <f>HLOOKUP("# Cores",'vHosts (Imported)'!$1:$5000,M359,FALSE)</f>
        <v>0</v>
      </c>
      <c r="D359" s="52">
        <f>HLOOKUP("# Memory",'vHosts (Imported)'!$1:$5000,M359,FALSE)</f>
        <v>0</v>
      </c>
      <c r="M359" s="45">
        <f t="shared" si="17"/>
        <v>359</v>
      </c>
      <c r="N359" s="38">
        <f>HLOOKUP("Host",'vInfo (Imported)'!$1:$5000,M359,FALSE)</f>
        <v>0</v>
      </c>
      <c r="R359">
        <f>HLOOKUP("CPUs",'vInfo (Imported)'!$1:$5000,M359,FALSE)</f>
        <v>0</v>
      </c>
      <c r="S359">
        <f>HLOOKUP("Memory",'vInfo (Imported)'!$1:$5000,M359,FALSE)</f>
        <v>0</v>
      </c>
      <c r="T359">
        <f>HLOOKUP("Provisioned MiB",'vInfo (Imported)'!$1:$5000,M359,FALSE)</f>
        <v>0</v>
      </c>
      <c r="U359">
        <f t="shared" si="16"/>
        <v>0</v>
      </c>
      <c r="V359">
        <f>HLOOKUP("In Use MiB",'vInfo (Imported)'!$1:$5000,M359,FALSE)</f>
        <v>0</v>
      </c>
    </row>
    <row r="360" spans="1:22" ht="13" x14ac:dyDescent="0.3">
      <c r="A360" s="46">
        <f>'vHosts (Imported)'!A360</f>
        <v>0</v>
      </c>
      <c r="B360" s="51">
        <f t="shared" si="15"/>
        <v>4968</v>
      </c>
      <c r="C360" s="49">
        <f>HLOOKUP("# Cores",'vHosts (Imported)'!$1:$5000,M360,FALSE)</f>
        <v>0</v>
      </c>
      <c r="D360" s="52">
        <f>HLOOKUP("# Memory",'vHosts (Imported)'!$1:$5000,M360,FALSE)</f>
        <v>0</v>
      </c>
      <c r="M360" s="45">
        <f t="shared" si="17"/>
        <v>360</v>
      </c>
      <c r="N360" s="38">
        <f>HLOOKUP("Host",'vInfo (Imported)'!$1:$5000,M360,FALSE)</f>
        <v>0</v>
      </c>
      <c r="R360">
        <f>HLOOKUP("CPUs",'vInfo (Imported)'!$1:$5000,M360,FALSE)</f>
        <v>0</v>
      </c>
      <c r="S360">
        <f>HLOOKUP("Memory",'vInfo (Imported)'!$1:$5000,M360,FALSE)</f>
        <v>0</v>
      </c>
      <c r="T360">
        <f>HLOOKUP("Provisioned MiB",'vInfo (Imported)'!$1:$5000,M360,FALSE)</f>
        <v>0</v>
      </c>
      <c r="U360">
        <f t="shared" si="16"/>
        <v>0</v>
      </c>
      <c r="V360">
        <f>HLOOKUP("In Use MiB",'vInfo (Imported)'!$1:$5000,M360,FALSE)</f>
        <v>0</v>
      </c>
    </row>
    <row r="361" spans="1:22" ht="13" x14ac:dyDescent="0.3">
      <c r="A361" s="46">
        <f>'vHosts (Imported)'!A361</f>
        <v>0</v>
      </c>
      <c r="B361" s="51">
        <f t="shared" si="15"/>
        <v>4968</v>
      </c>
      <c r="C361" s="49">
        <f>HLOOKUP("# Cores",'vHosts (Imported)'!$1:$5000,M361,FALSE)</f>
        <v>0</v>
      </c>
      <c r="D361" s="52">
        <f>HLOOKUP("# Memory",'vHosts (Imported)'!$1:$5000,M361,FALSE)</f>
        <v>0</v>
      </c>
      <c r="M361" s="45">
        <f t="shared" si="17"/>
        <v>361</v>
      </c>
      <c r="N361" s="38">
        <f>HLOOKUP("Host",'vInfo (Imported)'!$1:$5000,M361,FALSE)</f>
        <v>0</v>
      </c>
      <c r="R361">
        <f>HLOOKUP("CPUs",'vInfo (Imported)'!$1:$5000,M361,FALSE)</f>
        <v>0</v>
      </c>
      <c r="S361">
        <f>HLOOKUP("Memory",'vInfo (Imported)'!$1:$5000,M361,FALSE)</f>
        <v>0</v>
      </c>
      <c r="T361">
        <f>HLOOKUP("Provisioned MiB",'vInfo (Imported)'!$1:$5000,M361,FALSE)</f>
        <v>0</v>
      </c>
      <c r="U361">
        <f t="shared" si="16"/>
        <v>0</v>
      </c>
      <c r="V361">
        <f>HLOOKUP("In Use MiB",'vInfo (Imported)'!$1:$5000,M361,FALSE)</f>
        <v>0</v>
      </c>
    </row>
    <row r="362" spans="1:22" ht="13" x14ac:dyDescent="0.3">
      <c r="A362" s="46">
        <f>'vHosts (Imported)'!A362</f>
        <v>0</v>
      </c>
      <c r="B362" s="51">
        <f t="shared" si="15"/>
        <v>4968</v>
      </c>
      <c r="C362" s="49">
        <f>HLOOKUP("# Cores",'vHosts (Imported)'!$1:$5000,M362,FALSE)</f>
        <v>0</v>
      </c>
      <c r="D362" s="52">
        <f>HLOOKUP("# Memory",'vHosts (Imported)'!$1:$5000,M362,FALSE)</f>
        <v>0</v>
      </c>
      <c r="M362" s="45">
        <f t="shared" si="17"/>
        <v>362</v>
      </c>
      <c r="N362" s="38">
        <f>HLOOKUP("Host",'vInfo (Imported)'!$1:$5000,M362,FALSE)</f>
        <v>0</v>
      </c>
      <c r="R362">
        <f>HLOOKUP("CPUs",'vInfo (Imported)'!$1:$5000,M362,FALSE)</f>
        <v>0</v>
      </c>
      <c r="S362">
        <f>HLOOKUP("Memory",'vInfo (Imported)'!$1:$5000,M362,FALSE)</f>
        <v>0</v>
      </c>
      <c r="T362">
        <f>HLOOKUP("Provisioned MiB",'vInfo (Imported)'!$1:$5000,M362,FALSE)</f>
        <v>0</v>
      </c>
      <c r="U362">
        <f t="shared" si="16"/>
        <v>0</v>
      </c>
      <c r="V362">
        <f>HLOOKUP("In Use MiB",'vInfo (Imported)'!$1:$5000,M362,FALSE)</f>
        <v>0</v>
      </c>
    </row>
    <row r="363" spans="1:22" ht="13" x14ac:dyDescent="0.3">
      <c r="A363" s="46">
        <f>'vHosts (Imported)'!A363</f>
        <v>0</v>
      </c>
      <c r="B363" s="51">
        <f t="shared" si="15"/>
        <v>4968</v>
      </c>
      <c r="C363" s="49">
        <f>HLOOKUP("# Cores",'vHosts (Imported)'!$1:$5000,M363,FALSE)</f>
        <v>0</v>
      </c>
      <c r="D363" s="52">
        <f>HLOOKUP("# Memory",'vHosts (Imported)'!$1:$5000,M363,FALSE)</f>
        <v>0</v>
      </c>
      <c r="M363" s="45">
        <f t="shared" si="17"/>
        <v>363</v>
      </c>
      <c r="N363" s="38">
        <f>HLOOKUP("Host",'vInfo (Imported)'!$1:$5000,M363,FALSE)</f>
        <v>0</v>
      </c>
      <c r="R363">
        <f>HLOOKUP("CPUs",'vInfo (Imported)'!$1:$5000,M363,FALSE)</f>
        <v>0</v>
      </c>
      <c r="S363">
        <f>HLOOKUP("Memory",'vInfo (Imported)'!$1:$5000,M363,FALSE)</f>
        <v>0</v>
      </c>
      <c r="T363">
        <f>HLOOKUP("Provisioned MiB",'vInfo (Imported)'!$1:$5000,M363,FALSE)</f>
        <v>0</v>
      </c>
      <c r="U363">
        <f t="shared" si="16"/>
        <v>0</v>
      </c>
      <c r="V363">
        <f>HLOOKUP("In Use MiB",'vInfo (Imported)'!$1:$5000,M363,FALSE)</f>
        <v>0</v>
      </c>
    </row>
    <row r="364" spans="1:22" ht="13" x14ac:dyDescent="0.3">
      <c r="A364" s="46">
        <f>'vHosts (Imported)'!A364</f>
        <v>0</v>
      </c>
      <c r="B364" s="51">
        <f t="shared" si="15"/>
        <v>4968</v>
      </c>
      <c r="C364" s="49">
        <f>HLOOKUP("# Cores",'vHosts (Imported)'!$1:$5000,M364,FALSE)</f>
        <v>0</v>
      </c>
      <c r="D364" s="52">
        <f>HLOOKUP("# Memory",'vHosts (Imported)'!$1:$5000,M364,FALSE)</f>
        <v>0</v>
      </c>
      <c r="M364" s="45">
        <f t="shared" si="17"/>
        <v>364</v>
      </c>
      <c r="N364" s="38">
        <f>HLOOKUP("Host",'vInfo (Imported)'!$1:$5000,M364,FALSE)</f>
        <v>0</v>
      </c>
      <c r="R364">
        <f>HLOOKUP("CPUs",'vInfo (Imported)'!$1:$5000,M364,FALSE)</f>
        <v>0</v>
      </c>
      <c r="S364">
        <f>HLOOKUP("Memory",'vInfo (Imported)'!$1:$5000,M364,FALSE)</f>
        <v>0</v>
      </c>
      <c r="T364">
        <f>HLOOKUP("Provisioned MiB",'vInfo (Imported)'!$1:$5000,M364,FALSE)</f>
        <v>0</v>
      </c>
      <c r="U364">
        <f t="shared" si="16"/>
        <v>0</v>
      </c>
      <c r="V364">
        <f>HLOOKUP("In Use MiB",'vInfo (Imported)'!$1:$5000,M364,FALSE)</f>
        <v>0</v>
      </c>
    </row>
    <row r="365" spans="1:22" ht="13" x14ac:dyDescent="0.3">
      <c r="A365" s="46">
        <f>'vHosts (Imported)'!A365</f>
        <v>0</v>
      </c>
      <c r="B365" s="51">
        <f t="shared" si="15"/>
        <v>4968</v>
      </c>
      <c r="C365" s="49">
        <f>HLOOKUP("# Cores",'vHosts (Imported)'!$1:$5000,M365,FALSE)</f>
        <v>0</v>
      </c>
      <c r="D365" s="52">
        <f>HLOOKUP("# Memory",'vHosts (Imported)'!$1:$5000,M365,FALSE)</f>
        <v>0</v>
      </c>
      <c r="M365" s="45">
        <f t="shared" si="17"/>
        <v>365</v>
      </c>
      <c r="N365" s="38">
        <f>HLOOKUP("Host",'vInfo (Imported)'!$1:$5000,M365,FALSE)</f>
        <v>0</v>
      </c>
      <c r="R365">
        <f>HLOOKUP("CPUs",'vInfo (Imported)'!$1:$5000,M365,FALSE)</f>
        <v>0</v>
      </c>
      <c r="S365">
        <f>HLOOKUP("Memory",'vInfo (Imported)'!$1:$5000,M365,FALSE)</f>
        <v>0</v>
      </c>
      <c r="T365">
        <f>HLOOKUP("Provisioned MiB",'vInfo (Imported)'!$1:$5000,M365,FALSE)</f>
        <v>0</v>
      </c>
      <c r="U365">
        <f t="shared" si="16"/>
        <v>0</v>
      </c>
      <c r="V365">
        <f>HLOOKUP("In Use MiB",'vInfo (Imported)'!$1:$5000,M365,FALSE)</f>
        <v>0</v>
      </c>
    </row>
    <row r="366" spans="1:22" ht="13" x14ac:dyDescent="0.3">
      <c r="A366" s="46">
        <f>'vHosts (Imported)'!A366</f>
        <v>0</v>
      </c>
      <c r="B366" s="51">
        <f t="shared" si="15"/>
        <v>4968</v>
      </c>
      <c r="C366" s="49">
        <f>HLOOKUP("# Cores",'vHosts (Imported)'!$1:$5000,M366,FALSE)</f>
        <v>0</v>
      </c>
      <c r="D366" s="52">
        <f>HLOOKUP("# Memory",'vHosts (Imported)'!$1:$5000,M366,FALSE)</f>
        <v>0</v>
      </c>
      <c r="M366" s="45">
        <f t="shared" si="17"/>
        <v>366</v>
      </c>
      <c r="N366" s="38">
        <f>HLOOKUP("Host",'vInfo (Imported)'!$1:$5000,M366,FALSE)</f>
        <v>0</v>
      </c>
      <c r="R366">
        <f>HLOOKUP("CPUs",'vInfo (Imported)'!$1:$5000,M366,FALSE)</f>
        <v>0</v>
      </c>
      <c r="S366">
        <f>HLOOKUP("Memory",'vInfo (Imported)'!$1:$5000,M366,FALSE)</f>
        <v>0</v>
      </c>
      <c r="T366">
        <f>HLOOKUP("Provisioned MiB",'vInfo (Imported)'!$1:$5000,M366,FALSE)</f>
        <v>0</v>
      </c>
      <c r="U366">
        <f t="shared" si="16"/>
        <v>0</v>
      </c>
      <c r="V366">
        <f>HLOOKUP("In Use MiB",'vInfo (Imported)'!$1:$5000,M366,FALSE)</f>
        <v>0</v>
      </c>
    </row>
    <row r="367" spans="1:22" ht="13" x14ac:dyDescent="0.3">
      <c r="A367" s="46">
        <f>'vHosts (Imported)'!A367</f>
        <v>0</v>
      </c>
      <c r="B367" s="51">
        <f t="shared" si="15"/>
        <v>4968</v>
      </c>
      <c r="C367" s="49">
        <f>HLOOKUP("# Cores",'vHosts (Imported)'!$1:$5000,M367,FALSE)</f>
        <v>0</v>
      </c>
      <c r="D367" s="52">
        <f>HLOOKUP("# Memory",'vHosts (Imported)'!$1:$5000,M367,FALSE)</f>
        <v>0</v>
      </c>
      <c r="M367" s="45">
        <f t="shared" si="17"/>
        <v>367</v>
      </c>
      <c r="N367" s="38">
        <f>HLOOKUP("Host",'vInfo (Imported)'!$1:$5000,M367,FALSE)</f>
        <v>0</v>
      </c>
      <c r="R367">
        <f>HLOOKUP("CPUs",'vInfo (Imported)'!$1:$5000,M367,FALSE)</f>
        <v>0</v>
      </c>
      <c r="S367">
        <f>HLOOKUP("Memory",'vInfo (Imported)'!$1:$5000,M367,FALSE)</f>
        <v>0</v>
      </c>
      <c r="T367">
        <f>HLOOKUP("Provisioned MiB",'vInfo (Imported)'!$1:$5000,M367,FALSE)</f>
        <v>0</v>
      </c>
      <c r="U367">
        <f t="shared" si="16"/>
        <v>0</v>
      </c>
      <c r="V367">
        <f>HLOOKUP("In Use MiB",'vInfo (Imported)'!$1:$5000,M367,FALSE)</f>
        <v>0</v>
      </c>
    </row>
    <row r="368" spans="1:22" ht="13" x14ac:dyDescent="0.3">
      <c r="A368" s="46">
        <f>'vHosts (Imported)'!A368</f>
        <v>0</v>
      </c>
      <c r="B368" s="51">
        <f t="shared" si="15"/>
        <v>4968</v>
      </c>
      <c r="C368" s="49">
        <f>HLOOKUP("# Cores",'vHosts (Imported)'!$1:$5000,M368,FALSE)</f>
        <v>0</v>
      </c>
      <c r="D368" s="52">
        <f>HLOOKUP("# Memory",'vHosts (Imported)'!$1:$5000,M368,FALSE)</f>
        <v>0</v>
      </c>
      <c r="M368" s="45">
        <f t="shared" si="17"/>
        <v>368</v>
      </c>
      <c r="N368" s="38">
        <f>HLOOKUP("Host",'vInfo (Imported)'!$1:$5000,M368,FALSE)</f>
        <v>0</v>
      </c>
      <c r="R368">
        <f>HLOOKUP("CPUs",'vInfo (Imported)'!$1:$5000,M368,FALSE)</f>
        <v>0</v>
      </c>
      <c r="S368">
        <f>HLOOKUP("Memory",'vInfo (Imported)'!$1:$5000,M368,FALSE)</f>
        <v>0</v>
      </c>
      <c r="T368">
        <f>HLOOKUP("Provisioned MiB",'vInfo (Imported)'!$1:$5000,M368,FALSE)</f>
        <v>0</v>
      </c>
      <c r="U368">
        <f t="shared" si="16"/>
        <v>0</v>
      </c>
      <c r="V368">
        <f>HLOOKUP("In Use MiB",'vInfo (Imported)'!$1:$5000,M368,FALSE)</f>
        <v>0</v>
      </c>
    </row>
    <row r="369" spans="1:22" ht="13" x14ac:dyDescent="0.3">
      <c r="A369" s="46">
        <f>'vHosts (Imported)'!A369</f>
        <v>0</v>
      </c>
      <c r="B369" s="51">
        <f t="shared" si="15"/>
        <v>4968</v>
      </c>
      <c r="C369" s="49">
        <f>HLOOKUP("# Cores",'vHosts (Imported)'!$1:$5000,M369,FALSE)</f>
        <v>0</v>
      </c>
      <c r="D369" s="52">
        <f>HLOOKUP("# Memory",'vHosts (Imported)'!$1:$5000,M369,FALSE)</f>
        <v>0</v>
      </c>
      <c r="M369" s="45">
        <f t="shared" si="17"/>
        <v>369</v>
      </c>
      <c r="N369" s="38">
        <f>HLOOKUP("Host",'vInfo (Imported)'!$1:$5000,M369,FALSE)</f>
        <v>0</v>
      </c>
      <c r="R369">
        <f>HLOOKUP("CPUs",'vInfo (Imported)'!$1:$5000,M369,FALSE)</f>
        <v>0</v>
      </c>
      <c r="S369">
        <f>HLOOKUP("Memory",'vInfo (Imported)'!$1:$5000,M369,FALSE)</f>
        <v>0</v>
      </c>
      <c r="T369">
        <f>HLOOKUP("Provisioned MiB",'vInfo (Imported)'!$1:$5000,M369,FALSE)</f>
        <v>0</v>
      </c>
      <c r="U369">
        <f t="shared" si="16"/>
        <v>0</v>
      </c>
      <c r="V369">
        <f>HLOOKUP("In Use MiB",'vInfo (Imported)'!$1:$5000,M369,FALSE)</f>
        <v>0</v>
      </c>
    </row>
    <row r="370" spans="1:22" ht="13" x14ac:dyDescent="0.3">
      <c r="A370" s="46">
        <f>'vHosts (Imported)'!A370</f>
        <v>0</v>
      </c>
      <c r="B370" s="51">
        <f t="shared" si="15"/>
        <v>4968</v>
      </c>
      <c r="C370" s="49">
        <f>HLOOKUP("# Cores",'vHosts (Imported)'!$1:$5000,M370,FALSE)</f>
        <v>0</v>
      </c>
      <c r="D370" s="52">
        <f>HLOOKUP("# Memory",'vHosts (Imported)'!$1:$5000,M370,FALSE)</f>
        <v>0</v>
      </c>
      <c r="M370" s="45">
        <f t="shared" si="17"/>
        <v>370</v>
      </c>
      <c r="N370" s="38">
        <f>HLOOKUP("Host",'vInfo (Imported)'!$1:$5000,M370,FALSE)</f>
        <v>0</v>
      </c>
      <c r="R370">
        <f>HLOOKUP("CPUs",'vInfo (Imported)'!$1:$5000,M370,FALSE)</f>
        <v>0</v>
      </c>
      <c r="S370">
        <f>HLOOKUP("Memory",'vInfo (Imported)'!$1:$5000,M370,FALSE)</f>
        <v>0</v>
      </c>
      <c r="T370">
        <f>HLOOKUP("Provisioned MiB",'vInfo (Imported)'!$1:$5000,M370,FALSE)</f>
        <v>0</v>
      </c>
      <c r="U370">
        <f t="shared" si="16"/>
        <v>0</v>
      </c>
      <c r="V370">
        <f>HLOOKUP("In Use MiB",'vInfo (Imported)'!$1:$5000,M370,FALSE)</f>
        <v>0</v>
      </c>
    </row>
    <row r="371" spans="1:22" ht="13" x14ac:dyDescent="0.3">
      <c r="A371" s="46">
        <f>'vHosts (Imported)'!A371</f>
        <v>0</v>
      </c>
      <c r="B371" s="51">
        <f t="shared" si="15"/>
        <v>4968</v>
      </c>
      <c r="C371" s="49">
        <f>HLOOKUP("# Cores",'vHosts (Imported)'!$1:$5000,M371,FALSE)</f>
        <v>0</v>
      </c>
      <c r="D371" s="52">
        <f>HLOOKUP("# Memory",'vHosts (Imported)'!$1:$5000,M371,FALSE)</f>
        <v>0</v>
      </c>
      <c r="M371" s="45">
        <f t="shared" si="17"/>
        <v>371</v>
      </c>
      <c r="N371" s="38">
        <f>HLOOKUP("Host",'vInfo (Imported)'!$1:$5000,M371,FALSE)</f>
        <v>0</v>
      </c>
      <c r="R371">
        <f>HLOOKUP("CPUs",'vInfo (Imported)'!$1:$5000,M371,FALSE)</f>
        <v>0</v>
      </c>
      <c r="S371">
        <f>HLOOKUP("Memory",'vInfo (Imported)'!$1:$5000,M371,FALSE)</f>
        <v>0</v>
      </c>
      <c r="T371">
        <f>HLOOKUP("Provisioned MiB",'vInfo (Imported)'!$1:$5000,M371,FALSE)</f>
        <v>0</v>
      </c>
      <c r="U371">
        <f t="shared" si="16"/>
        <v>0</v>
      </c>
      <c r="V371">
        <f>HLOOKUP("In Use MiB",'vInfo (Imported)'!$1:$5000,M371,FALSE)</f>
        <v>0</v>
      </c>
    </row>
    <row r="372" spans="1:22" ht="13" x14ac:dyDescent="0.3">
      <c r="A372" s="46">
        <f>'vHosts (Imported)'!A372</f>
        <v>0</v>
      </c>
      <c r="B372" s="51">
        <f t="shared" si="15"/>
        <v>4968</v>
      </c>
      <c r="C372" s="49">
        <f>HLOOKUP("# Cores",'vHosts (Imported)'!$1:$5000,M372,FALSE)</f>
        <v>0</v>
      </c>
      <c r="D372" s="52">
        <f>HLOOKUP("# Memory",'vHosts (Imported)'!$1:$5000,M372,FALSE)</f>
        <v>0</v>
      </c>
      <c r="M372" s="45">
        <f t="shared" si="17"/>
        <v>372</v>
      </c>
      <c r="N372" s="38">
        <f>HLOOKUP("Host",'vInfo (Imported)'!$1:$5000,M372,FALSE)</f>
        <v>0</v>
      </c>
      <c r="R372">
        <f>HLOOKUP("CPUs",'vInfo (Imported)'!$1:$5000,M372,FALSE)</f>
        <v>0</v>
      </c>
      <c r="S372">
        <f>HLOOKUP("Memory",'vInfo (Imported)'!$1:$5000,M372,FALSE)</f>
        <v>0</v>
      </c>
      <c r="T372">
        <f>HLOOKUP("Provisioned MiB",'vInfo (Imported)'!$1:$5000,M372,FALSE)</f>
        <v>0</v>
      </c>
      <c r="U372">
        <f t="shared" si="16"/>
        <v>0</v>
      </c>
      <c r="V372">
        <f>HLOOKUP("In Use MiB",'vInfo (Imported)'!$1:$5000,M372,FALSE)</f>
        <v>0</v>
      </c>
    </row>
    <row r="373" spans="1:22" ht="13" x14ac:dyDescent="0.3">
      <c r="A373" s="46">
        <f>'vHosts (Imported)'!A373</f>
        <v>0</v>
      </c>
      <c r="B373" s="51">
        <f t="shared" si="15"/>
        <v>4968</v>
      </c>
      <c r="C373" s="49">
        <f>HLOOKUP("# Cores",'vHosts (Imported)'!$1:$5000,M373,FALSE)</f>
        <v>0</v>
      </c>
      <c r="D373" s="52">
        <f>HLOOKUP("# Memory",'vHosts (Imported)'!$1:$5000,M373,FALSE)</f>
        <v>0</v>
      </c>
      <c r="M373" s="45">
        <f t="shared" si="17"/>
        <v>373</v>
      </c>
      <c r="N373" s="38">
        <f>HLOOKUP("Host",'vInfo (Imported)'!$1:$5000,M373,FALSE)</f>
        <v>0</v>
      </c>
      <c r="R373">
        <f>HLOOKUP("CPUs",'vInfo (Imported)'!$1:$5000,M373,FALSE)</f>
        <v>0</v>
      </c>
      <c r="S373">
        <f>HLOOKUP("Memory",'vInfo (Imported)'!$1:$5000,M373,FALSE)</f>
        <v>0</v>
      </c>
      <c r="T373">
        <f>HLOOKUP("Provisioned MiB",'vInfo (Imported)'!$1:$5000,M373,FALSE)</f>
        <v>0</v>
      </c>
      <c r="U373">
        <f t="shared" si="16"/>
        <v>0</v>
      </c>
      <c r="V373">
        <f>HLOOKUP("In Use MiB",'vInfo (Imported)'!$1:$5000,M373,FALSE)</f>
        <v>0</v>
      </c>
    </row>
    <row r="374" spans="1:22" ht="13" x14ac:dyDescent="0.3">
      <c r="A374" s="46">
        <f>'vHosts (Imported)'!A374</f>
        <v>0</v>
      </c>
      <c r="B374" s="51">
        <f t="shared" si="15"/>
        <v>4968</v>
      </c>
      <c r="C374" s="49">
        <f>HLOOKUP("# Cores",'vHosts (Imported)'!$1:$5000,M374,FALSE)</f>
        <v>0</v>
      </c>
      <c r="D374" s="52">
        <f>HLOOKUP("# Memory",'vHosts (Imported)'!$1:$5000,M374,FALSE)</f>
        <v>0</v>
      </c>
      <c r="M374" s="45">
        <f t="shared" si="17"/>
        <v>374</v>
      </c>
      <c r="N374" s="38">
        <f>HLOOKUP("Host",'vInfo (Imported)'!$1:$5000,M374,FALSE)</f>
        <v>0</v>
      </c>
      <c r="R374">
        <f>HLOOKUP("CPUs",'vInfo (Imported)'!$1:$5000,M374,FALSE)</f>
        <v>0</v>
      </c>
      <c r="S374">
        <f>HLOOKUP("Memory",'vInfo (Imported)'!$1:$5000,M374,FALSE)</f>
        <v>0</v>
      </c>
      <c r="T374">
        <f>HLOOKUP("Provisioned MiB",'vInfo (Imported)'!$1:$5000,M374,FALSE)</f>
        <v>0</v>
      </c>
      <c r="U374">
        <f t="shared" si="16"/>
        <v>0</v>
      </c>
      <c r="V374">
        <f>HLOOKUP("In Use MiB",'vInfo (Imported)'!$1:$5000,M374,FALSE)</f>
        <v>0</v>
      </c>
    </row>
    <row r="375" spans="1:22" ht="13" x14ac:dyDescent="0.3">
      <c r="A375" s="46">
        <f>'vHosts (Imported)'!A375</f>
        <v>0</v>
      </c>
      <c r="B375" s="51">
        <f t="shared" si="15"/>
        <v>4968</v>
      </c>
      <c r="C375" s="49">
        <f>HLOOKUP("# Cores",'vHosts (Imported)'!$1:$5000,M375,FALSE)</f>
        <v>0</v>
      </c>
      <c r="D375" s="52">
        <f>HLOOKUP("# Memory",'vHosts (Imported)'!$1:$5000,M375,FALSE)</f>
        <v>0</v>
      </c>
      <c r="M375" s="45">
        <f t="shared" si="17"/>
        <v>375</v>
      </c>
      <c r="N375" s="38">
        <f>HLOOKUP("Host",'vInfo (Imported)'!$1:$5000,M375,FALSE)</f>
        <v>0</v>
      </c>
      <c r="R375">
        <f>HLOOKUP("CPUs",'vInfo (Imported)'!$1:$5000,M375,FALSE)</f>
        <v>0</v>
      </c>
      <c r="S375">
        <f>HLOOKUP("Memory",'vInfo (Imported)'!$1:$5000,M375,FALSE)</f>
        <v>0</v>
      </c>
      <c r="T375">
        <f>HLOOKUP("Provisioned MiB",'vInfo (Imported)'!$1:$5000,M375,FALSE)</f>
        <v>0</v>
      </c>
      <c r="U375">
        <f t="shared" si="16"/>
        <v>0</v>
      </c>
      <c r="V375">
        <f>HLOOKUP("In Use MiB",'vInfo (Imported)'!$1:$5000,M375,FALSE)</f>
        <v>0</v>
      </c>
    </row>
    <row r="376" spans="1:22" ht="13" x14ac:dyDescent="0.3">
      <c r="A376" s="46">
        <f>'vHosts (Imported)'!A376</f>
        <v>0</v>
      </c>
      <c r="B376" s="51">
        <f t="shared" si="15"/>
        <v>4968</v>
      </c>
      <c r="C376" s="49">
        <f>HLOOKUP("# Cores",'vHosts (Imported)'!$1:$5000,M376,FALSE)</f>
        <v>0</v>
      </c>
      <c r="D376" s="52">
        <f>HLOOKUP("# Memory",'vHosts (Imported)'!$1:$5000,M376,FALSE)</f>
        <v>0</v>
      </c>
      <c r="M376" s="45">
        <f t="shared" si="17"/>
        <v>376</v>
      </c>
      <c r="N376" s="38">
        <f>HLOOKUP("Host",'vInfo (Imported)'!$1:$5000,M376,FALSE)</f>
        <v>0</v>
      </c>
      <c r="R376">
        <f>HLOOKUP("CPUs",'vInfo (Imported)'!$1:$5000,M376,FALSE)</f>
        <v>0</v>
      </c>
      <c r="S376">
        <f>HLOOKUP("Memory",'vInfo (Imported)'!$1:$5000,M376,FALSE)</f>
        <v>0</v>
      </c>
      <c r="T376">
        <f>HLOOKUP("Provisioned MiB",'vInfo (Imported)'!$1:$5000,M376,FALSE)</f>
        <v>0</v>
      </c>
      <c r="U376">
        <f t="shared" si="16"/>
        <v>0</v>
      </c>
      <c r="V376">
        <f>HLOOKUP("In Use MiB",'vInfo (Imported)'!$1:$5000,M376,FALSE)</f>
        <v>0</v>
      </c>
    </row>
    <row r="377" spans="1:22" ht="13" x14ac:dyDescent="0.3">
      <c r="A377" s="46">
        <f>'vHosts (Imported)'!A377</f>
        <v>0</v>
      </c>
      <c r="B377" s="51">
        <f t="shared" si="15"/>
        <v>4968</v>
      </c>
      <c r="C377" s="49">
        <f>HLOOKUP("# Cores",'vHosts (Imported)'!$1:$5000,M377,FALSE)</f>
        <v>0</v>
      </c>
      <c r="D377" s="52">
        <f>HLOOKUP("# Memory",'vHosts (Imported)'!$1:$5000,M377,FALSE)</f>
        <v>0</v>
      </c>
      <c r="M377" s="45">
        <f t="shared" si="17"/>
        <v>377</v>
      </c>
      <c r="N377" s="38">
        <f>HLOOKUP("Host",'vInfo (Imported)'!$1:$5000,M377,FALSE)</f>
        <v>0</v>
      </c>
      <c r="R377">
        <f>HLOOKUP("CPUs",'vInfo (Imported)'!$1:$5000,M377,FALSE)</f>
        <v>0</v>
      </c>
      <c r="S377">
        <f>HLOOKUP("Memory",'vInfo (Imported)'!$1:$5000,M377,FALSE)</f>
        <v>0</v>
      </c>
      <c r="T377">
        <f>HLOOKUP("Provisioned MiB",'vInfo (Imported)'!$1:$5000,M377,FALSE)</f>
        <v>0</v>
      </c>
      <c r="U377">
        <f t="shared" si="16"/>
        <v>0</v>
      </c>
      <c r="V377">
        <f>HLOOKUP("In Use MiB",'vInfo (Imported)'!$1:$5000,M377,FALSE)</f>
        <v>0</v>
      </c>
    </row>
    <row r="378" spans="1:22" ht="13" x14ac:dyDescent="0.3">
      <c r="A378" s="46">
        <f>'vHosts (Imported)'!A378</f>
        <v>0</v>
      </c>
      <c r="B378" s="51">
        <f t="shared" si="15"/>
        <v>4968</v>
      </c>
      <c r="C378" s="49">
        <f>HLOOKUP("# Cores",'vHosts (Imported)'!$1:$5000,M378,FALSE)</f>
        <v>0</v>
      </c>
      <c r="D378" s="52">
        <f>HLOOKUP("# Memory",'vHosts (Imported)'!$1:$5000,M378,FALSE)</f>
        <v>0</v>
      </c>
      <c r="M378" s="45">
        <f t="shared" si="17"/>
        <v>378</v>
      </c>
      <c r="N378" s="38">
        <f>HLOOKUP("Host",'vInfo (Imported)'!$1:$5000,M378,FALSE)</f>
        <v>0</v>
      </c>
      <c r="R378">
        <f>HLOOKUP("CPUs",'vInfo (Imported)'!$1:$5000,M378,FALSE)</f>
        <v>0</v>
      </c>
      <c r="S378">
        <f>HLOOKUP("Memory",'vInfo (Imported)'!$1:$5000,M378,FALSE)</f>
        <v>0</v>
      </c>
      <c r="T378">
        <f>HLOOKUP("Provisioned MiB",'vInfo (Imported)'!$1:$5000,M378,FALSE)</f>
        <v>0</v>
      </c>
      <c r="U378">
        <f t="shared" si="16"/>
        <v>0</v>
      </c>
      <c r="V378">
        <f>HLOOKUP("In Use MiB",'vInfo (Imported)'!$1:$5000,M378,FALSE)</f>
        <v>0</v>
      </c>
    </row>
    <row r="379" spans="1:22" ht="13" x14ac:dyDescent="0.3">
      <c r="A379" s="46">
        <f>'vHosts (Imported)'!A379</f>
        <v>0</v>
      </c>
      <c r="B379" s="51">
        <f t="shared" si="15"/>
        <v>4968</v>
      </c>
      <c r="C379" s="49">
        <f>HLOOKUP("# Cores",'vHosts (Imported)'!$1:$5000,M379,FALSE)</f>
        <v>0</v>
      </c>
      <c r="D379" s="52">
        <f>HLOOKUP("# Memory",'vHosts (Imported)'!$1:$5000,M379,FALSE)</f>
        <v>0</v>
      </c>
      <c r="M379" s="45">
        <f t="shared" si="17"/>
        <v>379</v>
      </c>
      <c r="N379" s="38">
        <f>HLOOKUP("Host",'vInfo (Imported)'!$1:$5000,M379,FALSE)</f>
        <v>0</v>
      </c>
      <c r="R379">
        <f>HLOOKUP("CPUs",'vInfo (Imported)'!$1:$5000,M379,FALSE)</f>
        <v>0</v>
      </c>
      <c r="S379">
        <f>HLOOKUP("Memory",'vInfo (Imported)'!$1:$5000,M379,FALSE)</f>
        <v>0</v>
      </c>
      <c r="T379">
        <f>HLOOKUP("Provisioned MiB",'vInfo (Imported)'!$1:$5000,M379,FALSE)</f>
        <v>0</v>
      </c>
      <c r="U379">
        <f t="shared" si="16"/>
        <v>0</v>
      </c>
      <c r="V379">
        <f>HLOOKUP("In Use MiB",'vInfo (Imported)'!$1:$5000,M379,FALSE)</f>
        <v>0</v>
      </c>
    </row>
    <row r="380" spans="1:22" ht="13" x14ac:dyDescent="0.3">
      <c r="A380" s="46">
        <f>'vHosts (Imported)'!A380</f>
        <v>0</v>
      </c>
      <c r="B380" s="51">
        <f t="shared" si="15"/>
        <v>4968</v>
      </c>
      <c r="C380" s="49">
        <f>HLOOKUP("# Cores",'vHosts (Imported)'!$1:$5000,M380,FALSE)</f>
        <v>0</v>
      </c>
      <c r="D380" s="52">
        <f>HLOOKUP("# Memory",'vHosts (Imported)'!$1:$5000,M380,FALSE)</f>
        <v>0</v>
      </c>
      <c r="M380" s="45">
        <f t="shared" si="17"/>
        <v>380</v>
      </c>
      <c r="N380" s="38">
        <f>HLOOKUP("Host",'vInfo (Imported)'!$1:$5000,M380,FALSE)</f>
        <v>0</v>
      </c>
      <c r="R380">
        <f>HLOOKUP("CPUs",'vInfo (Imported)'!$1:$5000,M380,FALSE)</f>
        <v>0</v>
      </c>
      <c r="S380">
        <f>HLOOKUP("Memory",'vInfo (Imported)'!$1:$5000,M380,FALSE)</f>
        <v>0</v>
      </c>
      <c r="T380">
        <f>HLOOKUP("Provisioned MiB",'vInfo (Imported)'!$1:$5000,M380,FALSE)</f>
        <v>0</v>
      </c>
      <c r="U380">
        <f t="shared" si="16"/>
        <v>0</v>
      </c>
      <c r="V380">
        <f>HLOOKUP("In Use MiB",'vInfo (Imported)'!$1:$5000,M380,FALSE)</f>
        <v>0</v>
      </c>
    </row>
    <row r="381" spans="1:22" ht="13" x14ac:dyDescent="0.3">
      <c r="A381" s="46">
        <f>'vHosts (Imported)'!A381</f>
        <v>0</v>
      </c>
      <c r="B381" s="51">
        <f t="shared" si="15"/>
        <v>4968</v>
      </c>
      <c r="C381" s="49">
        <f>HLOOKUP("# Cores",'vHosts (Imported)'!$1:$5000,M381,FALSE)</f>
        <v>0</v>
      </c>
      <c r="D381" s="52">
        <f>HLOOKUP("# Memory",'vHosts (Imported)'!$1:$5000,M381,FALSE)</f>
        <v>0</v>
      </c>
      <c r="M381" s="45">
        <f t="shared" si="17"/>
        <v>381</v>
      </c>
      <c r="N381" s="38">
        <f>HLOOKUP("Host",'vInfo (Imported)'!$1:$5000,M381,FALSE)</f>
        <v>0</v>
      </c>
      <c r="R381">
        <f>HLOOKUP("CPUs",'vInfo (Imported)'!$1:$5000,M381,FALSE)</f>
        <v>0</v>
      </c>
      <c r="S381">
        <f>HLOOKUP("Memory",'vInfo (Imported)'!$1:$5000,M381,FALSE)</f>
        <v>0</v>
      </c>
      <c r="T381">
        <f>HLOOKUP("Provisioned MiB",'vInfo (Imported)'!$1:$5000,M381,FALSE)</f>
        <v>0</v>
      </c>
      <c r="U381">
        <f t="shared" si="16"/>
        <v>0</v>
      </c>
      <c r="V381">
        <f>HLOOKUP("In Use MiB",'vInfo (Imported)'!$1:$5000,M381,FALSE)</f>
        <v>0</v>
      </c>
    </row>
    <row r="382" spans="1:22" ht="13" x14ac:dyDescent="0.3">
      <c r="A382" s="46">
        <f>'vHosts (Imported)'!A382</f>
        <v>0</v>
      </c>
      <c r="B382" s="51">
        <f t="shared" si="15"/>
        <v>4968</v>
      </c>
      <c r="C382" s="49">
        <f>HLOOKUP("# Cores",'vHosts (Imported)'!$1:$5000,M382,FALSE)</f>
        <v>0</v>
      </c>
      <c r="D382" s="52">
        <f>HLOOKUP("# Memory",'vHosts (Imported)'!$1:$5000,M382,FALSE)</f>
        <v>0</v>
      </c>
      <c r="M382" s="45">
        <f t="shared" si="17"/>
        <v>382</v>
      </c>
      <c r="N382" s="38">
        <f>HLOOKUP("Host",'vInfo (Imported)'!$1:$5000,M382,FALSE)</f>
        <v>0</v>
      </c>
      <c r="R382">
        <f>HLOOKUP("CPUs",'vInfo (Imported)'!$1:$5000,M382,FALSE)</f>
        <v>0</v>
      </c>
      <c r="S382">
        <f>HLOOKUP("Memory",'vInfo (Imported)'!$1:$5000,M382,FALSE)</f>
        <v>0</v>
      </c>
      <c r="T382">
        <f>HLOOKUP("Provisioned MiB",'vInfo (Imported)'!$1:$5000,M382,FALSE)</f>
        <v>0</v>
      </c>
      <c r="U382">
        <f t="shared" si="16"/>
        <v>0</v>
      </c>
      <c r="V382">
        <f>HLOOKUP("In Use MiB",'vInfo (Imported)'!$1:$5000,M382,FALSE)</f>
        <v>0</v>
      </c>
    </row>
    <row r="383" spans="1:22" ht="13" x14ac:dyDescent="0.3">
      <c r="A383" s="46">
        <f>'vHosts (Imported)'!A383</f>
        <v>0</v>
      </c>
      <c r="B383" s="51">
        <f t="shared" si="15"/>
        <v>4968</v>
      </c>
      <c r="C383" s="49">
        <f>HLOOKUP("# Cores",'vHosts (Imported)'!$1:$5000,M383,FALSE)</f>
        <v>0</v>
      </c>
      <c r="D383" s="52">
        <f>HLOOKUP("# Memory",'vHosts (Imported)'!$1:$5000,M383,FALSE)</f>
        <v>0</v>
      </c>
      <c r="M383" s="45">
        <f t="shared" si="17"/>
        <v>383</v>
      </c>
      <c r="N383" s="38">
        <f>HLOOKUP("Host",'vInfo (Imported)'!$1:$5000,M383,FALSE)</f>
        <v>0</v>
      </c>
      <c r="R383">
        <f>HLOOKUP("CPUs",'vInfo (Imported)'!$1:$5000,M383,FALSE)</f>
        <v>0</v>
      </c>
      <c r="S383">
        <f>HLOOKUP("Memory",'vInfo (Imported)'!$1:$5000,M383,FALSE)</f>
        <v>0</v>
      </c>
      <c r="T383">
        <f>HLOOKUP("Provisioned MiB",'vInfo (Imported)'!$1:$5000,M383,FALSE)</f>
        <v>0</v>
      </c>
      <c r="U383">
        <f t="shared" si="16"/>
        <v>0</v>
      </c>
      <c r="V383">
        <f>HLOOKUP("In Use MiB",'vInfo (Imported)'!$1:$5000,M383,FALSE)</f>
        <v>0</v>
      </c>
    </row>
    <row r="384" spans="1:22" ht="13" x14ac:dyDescent="0.3">
      <c r="A384" s="46">
        <f>'vHosts (Imported)'!A384</f>
        <v>0</v>
      </c>
      <c r="B384" s="51">
        <f t="shared" si="15"/>
        <v>4968</v>
      </c>
      <c r="C384" s="49">
        <f>HLOOKUP("# Cores",'vHosts (Imported)'!$1:$5000,M384,FALSE)</f>
        <v>0</v>
      </c>
      <c r="D384" s="52">
        <f>HLOOKUP("# Memory",'vHosts (Imported)'!$1:$5000,M384,FALSE)</f>
        <v>0</v>
      </c>
      <c r="M384" s="45">
        <f t="shared" si="17"/>
        <v>384</v>
      </c>
      <c r="N384" s="38">
        <f>HLOOKUP("Host",'vInfo (Imported)'!$1:$5000,M384,FALSE)</f>
        <v>0</v>
      </c>
      <c r="R384">
        <f>HLOOKUP("CPUs",'vInfo (Imported)'!$1:$5000,M384,FALSE)</f>
        <v>0</v>
      </c>
      <c r="S384">
        <f>HLOOKUP("Memory",'vInfo (Imported)'!$1:$5000,M384,FALSE)</f>
        <v>0</v>
      </c>
      <c r="T384">
        <f>HLOOKUP("Provisioned MiB",'vInfo (Imported)'!$1:$5000,M384,FALSE)</f>
        <v>0</v>
      </c>
      <c r="U384">
        <f t="shared" si="16"/>
        <v>0</v>
      </c>
      <c r="V384">
        <f>HLOOKUP("In Use MiB",'vInfo (Imported)'!$1:$5000,M384,FALSE)</f>
        <v>0</v>
      </c>
    </row>
    <row r="385" spans="1:22" ht="13" x14ac:dyDescent="0.3">
      <c r="A385" s="46">
        <f>'vHosts (Imported)'!A385</f>
        <v>0</v>
      </c>
      <c r="B385" s="51">
        <f t="shared" si="15"/>
        <v>4968</v>
      </c>
      <c r="C385" s="49">
        <f>HLOOKUP("# Cores",'vHosts (Imported)'!$1:$5000,M385,FALSE)</f>
        <v>0</v>
      </c>
      <c r="D385" s="52">
        <f>HLOOKUP("# Memory",'vHosts (Imported)'!$1:$5000,M385,FALSE)</f>
        <v>0</v>
      </c>
      <c r="M385" s="45">
        <f t="shared" si="17"/>
        <v>385</v>
      </c>
      <c r="N385" s="38">
        <f>HLOOKUP("Host",'vInfo (Imported)'!$1:$5000,M385,FALSE)</f>
        <v>0</v>
      </c>
      <c r="R385">
        <f>HLOOKUP("CPUs",'vInfo (Imported)'!$1:$5000,M385,FALSE)</f>
        <v>0</v>
      </c>
      <c r="S385">
        <f>HLOOKUP("Memory",'vInfo (Imported)'!$1:$5000,M385,FALSE)</f>
        <v>0</v>
      </c>
      <c r="T385">
        <f>HLOOKUP("Provisioned MiB",'vInfo (Imported)'!$1:$5000,M385,FALSE)</f>
        <v>0</v>
      </c>
      <c r="U385">
        <f t="shared" si="16"/>
        <v>0</v>
      </c>
      <c r="V385">
        <f>HLOOKUP("In Use MiB",'vInfo (Imported)'!$1:$5000,M385,FALSE)</f>
        <v>0</v>
      </c>
    </row>
    <row r="386" spans="1:22" ht="13" x14ac:dyDescent="0.3">
      <c r="A386" s="46">
        <f>'vHosts (Imported)'!A386</f>
        <v>0</v>
      </c>
      <c r="B386" s="51">
        <f t="shared" ref="B386:B449" si="18">COUNTIFS(N:N,IF(A386=0,"0",A386))</f>
        <v>4968</v>
      </c>
      <c r="C386" s="49">
        <f>HLOOKUP("# Cores",'vHosts (Imported)'!$1:$5000,M386,FALSE)</f>
        <v>0</v>
      </c>
      <c r="D386" s="52">
        <f>HLOOKUP("# Memory",'vHosts (Imported)'!$1:$5000,M386,FALSE)</f>
        <v>0</v>
      </c>
      <c r="M386" s="45">
        <f t="shared" si="17"/>
        <v>386</v>
      </c>
      <c r="N386" s="38">
        <f>HLOOKUP("Host",'vInfo (Imported)'!$1:$5000,M386,FALSE)</f>
        <v>0</v>
      </c>
      <c r="R386">
        <f>HLOOKUP("CPUs",'vInfo (Imported)'!$1:$5000,M386,FALSE)</f>
        <v>0</v>
      </c>
      <c r="S386">
        <f>HLOOKUP("Memory",'vInfo (Imported)'!$1:$5000,M386,FALSE)</f>
        <v>0</v>
      </c>
      <c r="T386">
        <f>HLOOKUP("Provisioned MiB",'vInfo (Imported)'!$1:$5000,M386,FALSE)</f>
        <v>0</v>
      </c>
      <c r="U386">
        <f t="shared" si="16"/>
        <v>0</v>
      </c>
      <c r="V386">
        <f>HLOOKUP("In Use MiB",'vInfo (Imported)'!$1:$5000,M386,FALSE)</f>
        <v>0</v>
      </c>
    </row>
    <row r="387" spans="1:22" ht="13" x14ac:dyDescent="0.3">
      <c r="A387" s="46">
        <f>'vHosts (Imported)'!A387</f>
        <v>0</v>
      </c>
      <c r="B387" s="51">
        <f t="shared" si="18"/>
        <v>4968</v>
      </c>
      <c r="C387" s="49">
        <f>HLOOKUP("# Cores",'vHosts (Imported)'!$1:$5000,M387,FALSE)</f>
        <v>0</v>
      </c>
      <c r="D387" s="52">
        <f>HLOOKUP("# Memory",'vHosts (Imported)'!$1:$5000,M387,FALSE)</f>
        <v>0</v>
      </c>
      <c r="M387" s="45">
        <f t="shared" si="17"/>
        <v>387</v>
      </c>
      <c r="N387" s="38">
        <f>HLOOKUP("Host",'vInfo (Imported)'!$1:$5000,M387,FALSE)</f>
        <v>0</v>
      </c>
      <c r="R387">
        <f>HLOOKUP("CPUs",'vInfo (Imported)'!$1:$5000,M387,FALSE)</f>
        <v>0</v>
      </c>
      <c r="S387">
        <f>HLOOKUP("Memory",'vInfo (Imported)'!$1:$5000,M387,FALSE)</f>
        <v>0</v>
      </c>
      <c r="T387">
        <f>HLOOKUP("Provisioned MiB",'vInfo (Imported)'!$1:$5000,M387,FALSE)</f>
        <v>0</v>
      </c>
      <c r="U387">
        <f t="shared" ref="U387:U450" si="19">T387-V387</f>
        <v>0</v>
      </c>
      <c r="V387">
        <f>HLOOKUP("In Use MiB",'vInfo (Imported)'!$1:$5000,M387,FALSE)</f>
        <v>0</v>
      </c>
    </row>
    <row r="388" spans="1:22" ht="13" x14ac:dyDescent="0.3">
      <c r="A388" s="46">
        <f>'vHosts (Imported)'!A388</f>
        <v>0</v>
      </c>
      <c r="B388" s="51">
        <f t="shared" si="18"/>
        <v>4968</v>
      </c>
      <c r="C388" s="49">
        <f>HLOOKUP("# Cores",'vHosts (Imported)'!$1:$5000,M388,FALSE)</f>
        <v>0</v>
      </c>
      <c r="D388" s="52">
        <f>HLOOKUP("# Memory",'vHosts (Imported)'!$1:$5000,M388,FALSE)</f>
        <v>0</v>
      </c>
      <c r="M388" s="45">
        <f t="shared" ref="M388:M451" si="20">M387+1</f>
        <v>388</v>
      </c>
      <c r="N388" s="38">
        <f>HLOOKUP("Host",'vInfo (Imported)'!$1:$5000,M388,FALSE)</f>
        <v>0</v>
      </c>
      <c r="R388">
        <f>HLOOKUP("CPUs",'vInfo (Imported)'!$1:$5000,M388,FALSE)</f>
        <v>0</v>
      </c>
      <c r="S388">
        <f>HLOOKUP("Memory",'vInfo (Imported)'!$1:$5000,M388,FALSE)</f>
        <v>0</v>
      </c>
      <c r="T388">
        <f>HLOOKUP("Provisioned MiB",'vInfo (Imported)'!$1:$5000,M388,FALSE)</f>
        <v>0</v>
      </c>
      <c r="U388">
        <f t="shared" si="19"/>
        <v>0</v>
      </c>
      <c r="V388">
        <f>HLOOKUP("In Use MiB",'vInfo (Imported)'!$1:$5000,M388,FALSE)</f>
        <v>0</v>
      </c>
    </row>
    <row r="389" spans="1:22" ht="13" x14ac:dyDescent="0.3">
      <c r="A389" s="46">
        <f>'vHosts (Imported)'!A389</f>
        <v>0</v>
      </c>
      <c r="B389" s="51">
        <f t="shared" si="18"/>
        <v>4968</v>
      </c>
      <c r="C389" s="49">
        <f>HLOOKUP("# Cores",'vHosts (Imported)'!$1:$5000,M389,FALSE)</f>
        <v>0</v>
      </c>
      <c r="D389" s="52">
        <f>HLOOKUP("# Memory",'vHosts (Imported)'!$1:$5000,M389,FALSE)</f>
        <v>0</v>
      </c>
      <c r="M389" s="45">
        <f t="shared" si="20"/>
        <v>389</v>
      </c>
      <c r="N389" s="38">
        <f>HLOOKUP("Host",'vInfo (Imported)'!$1:$5000,M389,FALSE)</f>
        <v>0</v>
      </c>
      <c r="R389">
        <f>HLOOKUP("CPUs",'vInfo (Imported)'!$1:$5000,M389,FALSE)</f>
        <v>0</v>
      </c>
      <c r="S389">
        <f>HLOOKUP("Memory",'vInfo (Imported)'!$1:$5000,M389,FALSE)</f>
        <v>0</v>
      </c>
      <c r="T389">
        <f>HLOOKUP("Provisioned MiB",'vInfo (Imported)'!$1:$5000,M389,FALSE)</f>
        <v>0</v>
      </c>
      <c r="U389">
        <f t="shared" si="19"/>
        <v>0</v>
      </c>
      <c r="V389">
        <f>HLOOKUP("In Use MiB",'vInfo (Imported)'!$1:$5000,M389,FALSE)</f>
        <v>0</v>
      </c>
    </row>
    <row r="390" spans="1:22" ht="13" x14ac:dyDescent="0.3">
      <c r="A390" s="46">
        <f>'vHosts (Imported)'!A390</f>
        <v>0</v>
      </c>
      <c r="B390" s="51">
        <f t="shared" si="18"/>
        <v>4968</v>
      </c>
      <c r="C390" s="49">
        <f>HLOOKUP("# Cores",'vHosts (Imported)'!$1:$5000,M390,FALSE)</f>
        <v>0</v>
      </c>
      <c r="D390" s="52">
        <f>HLOOKUP("# Memory",'vHosts (Imported)'!$1:$5000,M390,FALSE)</f>
        <v>0</v>
      </c>
      <c r="M390" s="45">
        <f t="shared" si="20"/>
        <v>390</v>
      </c>
      <c r="N390" s="38">
        <f>HLOOKUP("Host",'vInfo (Imported)'!$1:$5000,M390,FALSE)</f>
        <v>0</v>
      </c>
      <c r="R390">
        <f>HLOOKUP("CPUs",'vInfo (Imported)'!$1:$5000,M390,FALSE)</f>
        <v>0</v>
      </c>
      <c r="S390">
        <f>HLOOKUP("Memory",'vInfo (Imported)'!$1:$5000,M390,FALSE)</f>
        <v>0</v>
      </c>
      <c r="T390">
        <f>HLOOKUP("Provisioned MiB",'vInfo (Imported)'!$1:$5000,M390,FALSE)</f>
        <v>0</v>
      </c>
      <c r="U390">
        <f t="shared" si="19"/>
        <v>0</v>
      </c>
      <c r="V390">
        <f>HLOOKUP("In Use MiB",'vInfo (Imported)'!$1:$5000,M390,FALSE)</f>
        <v>0</v>
      </c>
    </row>
    <row r="391" spans="1:22" ht="13" x14ac:dyDescent="0.3">
      <c r="A391" s="46">
        <f>'vHosts (Imported)'!A391</f>
        <v>0</v>
      </c>
      <c r="B391" s="51">
        <f t="shared" si="18"/>
        <v>4968</v>
      </c>
      <c r="C391" s="49">
        <f>HLOOKUP("# Cores",'vHosts (Imported)'!$1:$5000,M391,FALSE)</f>
        <v>0</v>
      </c>
      <c r="D391" s="52">
        <f>HLOOKUP("# Memory",'vHosts (Imported)'!$1:$5000,M391,FALSE)</f>
        <v>0</v>
      </c>
      <c r="M391" s="45">
        <f t="shared" si="20"/>
        <v>391</v>
      </c>
      <c r="N391" s="38">
        <f>HLOOKUP("Host",'vInfo (Imported)'!$1:$5000,M391,FALSE)</f>
        <v>0</v>
      </c>
      <c r="R391">
        <f>HLOOKUP("CPUs",'vInfo (Imported)'!$1:$5000,M391,FALSE)</f>
        <v>0</v>
      </c>
      <c r="S391">
        <f>HLOOKUP("Memory",'vInfo (Imported)'!$1:$5000,M391,FALSE)</f>
        <v>0</v>
      </c>
      <c r="T391">
        <f>HLOOKUP("Provisioned MiB",'vInfo (Imported)'!$1:$5000,M391,FALSE)</f>
        <v>0</v>
      </c>
      <c r="U391">
        <f t="shared" si="19"/>
        <v>0</v>
      </c>
      <c r="V391">
        <f>HLOOKUP("In Use MiB",'vInfo (Imported)'!$1:$5000,M391,FALSE)</f>
        <v>0</v>
      </c>
    </row>
    <row r="392" spans="1:22" ht="13" x14ac:dyDescent="0.3">
      <c r="A392" s="46">
        <f>'vHosts (Imported)'!A392</f>
        <v>0</v>
      </c>
      <c r="B392" s="51">
        <f t="shared" si="18"/>
        <v>4968</v>
      </c>
      <c r="C392" s="49">
        <f>HLOOKUP("# Cores",'vHosts (Imported)'!$1:$5000,M392,FALSE)</f>
        <v>0</v>
      </c>
      <c r="D392" s="52">
        <f>HLOOKUP("# Memory",'vHosts (Imported)'!$1:$5000,M392,FALSE)</f>
        <v>0</v>
      </c>
      <c r="M392" s="45">
        <f t="shared" si="20"/>
        <v>392</v>
      </c>
      <c r="N392" s="38">
        <f>HLOOKUP("Host",'vInfo (Imported)'!$1:$5000,M392,FALSE)</f>
        <v>0</v>
      </c>
      <c r="R392">
        <f>HLOOKUP("CPUs",'vInfo (Imported)'!$1:$5000,M392,FALSE)</f>
        <v>0</v>
      </c>
      <c r="S392">
        <f>HLOOKUP("Memory",'vInfo (Imported)'!$1:$5000,M392,FALSE)</f>
        <v>0</v>
      </c>
      <c r="T392">
        <f>HLOOKUP("Provisioned MiB",'vInfo (Imported)'!$1:$5000,M392,FALSE)</f>
        <v>0</v>
      </c>
      <c r="U392">
        <f t="shared" si="19"/>
        <v>0</v>
      </c>
      <c r="V392">
        <f>HLOOKUP("In Use MiB",'vInfo (Imported)'!$1:$5000,M392,FALSE)</f>
        <v>0</v>
      </c>
    </row>
    <row r="393" spans="1:22" ht="13" x14ac:dyDescent="0.3">
      <c r="A393" s="46">
        <f>'vHosts (Imported)'!A393</f>
        <v>0</v>
      </c>
      <c r="B393" s="51">
        <f t="shared" si="18"/>
        <v>4968</v>
      </c>
      <c r="C393" s="49">
        <f>HLOOKUP("# Cores",'vHosts (Imported)'!$1:$5000,M393,FALSE)</f>
        <v>0</v>
      </c>
      <c r="D393" s="52">
        <f>HLOOKUP("# Memory",'vHosts (Imported)'!$1:$5000,M393,FALSE)</f>
        <v>0</v>
      </c>
      <c r="M393" s="45">
        <f t="shared" si="20"/>
        <v>393</v>
      </c>
      <c r="N393" s="38">
        <f>HLOOKUP("Host",'vInfo (Imported)'!$1:$5000,M393,FALSE)</f>
        <v>0</v>
      </c>
      <c r="R393">
        <f>HLOOKUP("CPUs",'vInfo (Imported)'!$1:$5000,M393,FALSE)</f>
        <v>0</v>
      </c>
      <c r="S393">
        <f>HLOOKUP("Memory",'vInfo (Imported)'!$1:$5000,M393,FALSE)</f>
        <v>0</v>
      </c>
      <c r="T393">
        <f>HLOOKUP("Provisioned MiB",'vInfo (Imported)'!$1:$5000,M393,FALSE)</f>
        <v>0</v>
      </c>
      <c r="U393">
        <f t="shared" si="19"/>
        <v>0</v>
      </c>
      <c r="V393">
        <f>HLOOKUP("In Use MiB",'vInfo (Imported)'!$1:$5000,M393,FALSE)</f>
        <v>0</v>
      </c>
    </row>
    <row r="394" spans="1:22" ht="13" x14ac:dyDescent="0.3">
      <c r="A394" s="46">
        <f>'vHosts (Imported)'!A394</f>
        <v>0</v>
      </c>
      <c r="B394" s="51">
        <f t="shared" si="18"/>
        <v>4968</v>
      </c>
      <c r="C394" s="49">
        <f>HLOOKUP("# Cores",'vHosts (Imported)'!$1:$5000,M394,FALSE)</f>
        <v>0</v>
      </c>
      <c r="D394" s="52">
        <f>HLOOKUP("# Memory",'vHosts (Imported)'!$1:$5000,M394,FALSE)</f>
        <v>0</v>
      </c>
      <c r="M394" s="45">
        <f t="shared" si="20"/>
        <v>394</v>
      </c>
      <c r="N394" s="38">
        <f>HLOOKUP("Host",'vInfo (Imported)'!$1:$5000,M394,FALSE)</f>
        <v>0</v>
      </c>
      <c r="R394">
        <f>HLOOKUP("CPUs",'vInfo (Imported)'!$1:$5000,M394,FALSE)</f>
        <v>0</v>
      </c>
      <c r="S394">
        <f>HLOOKUP("Memory",'vInfo (Imported)'!$1:$5000,M394,FALSE)</f>
        <v>0</v>
      </c>
      <c r="T394">
        <f>HLOOKUP("Provisioned MiB",'vInfo (Imported)'!$1:$5000,M394,FALSE)</f>
        <v>0</v>
      </c>
      <c r="U394">
        <f t="shared" si="19"/>
        <v>0</v>
      </c>
      <c r="V394">
        <f>HLOOKUP("In Use MiB",'vInfo (Imported)'!$1:$5000,M394,FALSE)</f>
        <v>0</v>
      </c>
    </row>
    <row r="395" spans="1:22" ht="13" x14ac:dyDescent="0.3">
      <c r="A395" s="46">
        <f>'vHosts (Imported)'!A395</f>
        <v>0</v>
      </c>
      <c r="B395" s="51">
        <f t="shared" si="18"/>
        <v>4968</v>
      </c>
      <c r="C395" s="49">
        <f>HLOOKUP("# Cores",'vHosts (Imported)'!$1:$5000,M395,FALSE)</f>
        <v>0</v>
      </c>
      <c r="D395" s="52">
        <f>HLOOKUP("# Memory",'vHosts (Imported)'!$1:$5000,M395,FALSE)</f>
        <v>0</v>
      </c>
      <c r="M395" s="45">
        <f t="shared" si="20"/>
        <v>395</v>
      </c>
      <c r="N395" s="38">
        <f>HLOOKUP("Host",'vInfo (Imported)'!$1:$5000,M395,FALSE)</f>
        <v>0</v>
      </c>
      <c r="R395">
        <f>HLOOKUP("CPUs",'vInfo (Imported)'!$1:$5000,M395,FALSE)</f>
        <v>0</v>
      </c>
      <c r="S395">
        <f>HLOOKUP("Memory",'vInfo (Imported)'!$1:$5000,M395,FALSE)</f>
        <v>0</v>
      </c>
      <c r="T395">
        <f>HLOOKUP("Provisioned MiB",'vInfo (Imported)'!$1:$5000,M395,FALSE)</f>
        <v>0</v>
      </c>
      <c r="U395">
        <f t="shared" si="19"/>
        <v>0</v>
      </c>
      <c r="V395">
        <f>HLOOKUP("In Use MiB",'vInfo (Imported)'!$1:$5000,M395,FALSE)</f>
        <v>0</v>
      </c>
    </row>
    <row r="396" spans="1:22" ht="13" x14ac:dyDescent="0.3">
      <c r="A396" s="46">
        <f>'vHosts (Imported)'!A396</f>
        <v>0</v>
      </c>
      <c r="B396" s="51">
        <f t="shared" si="18"/>
        <v>4968</v>
      </c>
      <c r="C396" s="49">
        <f>HLOOKUP("# Cores",'vHosts (Imported)'!$1:$5000,M396,FALSE)</f>
        <v>0</v>
      </c>
      <c r="D396" s="52">
        <f>HLOOKUP("# Memory",'vHosts (Imported)'!$1:$5000,M396,FALSE)</f>
        <v>0</v>
      </c>
      <c r="M396" s="45">
        <f t="shared" si="20"/>
        <v>396</v>
      </c>
      <c r="N396" s="38">
        <f>HLOOKUP("Host",'vInfo (Imported)'!$1:$5000,M396,FALSE)</f>
        <v>0</v>
      </c>
      <c r="R396">
        <f>HLOOKUP("CPUs",'vInfo (Imported)'!$1:$5000,M396,FALSE)</f>
        <v>0</v>
      </c>
      <c r="S396">
        <f>HLOOKUP("Memory",'vInfo (Imported)'!$1:$5000,M396,FALSE)</f>
        <v>0</v>
      </c>
      <c r="T396">
        <f>HLOOKUP("Provisioned MiB",'vInfo (Imported)'!$1:$5000,M396,FALSE)</f>
        <v>0</v>
      </c>
      <c r="U396">
        <f t="shared" si="19"/>
        <v>0</v>
      </c>
      <c r="V396">
        <f>HLOOKUP("In Use MiB",'vInfo (Imported)'!$1:$5000,M396,FALSE)</f>
        <v>0</v>
      </c>
    </row>
    <row r="397" spans="1:22" ht="13" x14ac:dyDescent="0.3">
      <c r="A397" s="46">
        <f>'vHosts (Imported)'!A397</f>
        <v>0</v>
      </c>
      <c r="B397" s="51">
        <f t="shared" si="18"/>
        <v>4968</v>
      </c>
      <c r="C397" s="49">
        <f>HLOOKUP("# Cores",'vHosts (Imported)'!$1:$5000,M397,FALSE)</f>
        <v>0</v>
      </c>
      <c r="D397" s="52">
        <f>HLOOKUP("# Memory",'vHosts (Imported)'!$1:$5000,M397,FALSE)</f>
        <v>0</v>
      </c>
      <c r="M397" s="45">
        <f t="shared" si="20"/>
        <v>397</v>
      </c>
      <c r="N397" s="38">
        <f>HLOOKUP("Host",'vInfo (Imported)'!$1:$5000,M397,FALSE)</f>
        <v>0</v>
      </c>
      <c r="R397">
        <f>HLOOKUP("CPUs",'vInfo (Imported)'!$1:$5000,M397,FALSE)</f>
        <v>0</v>
      </c>
      <c r="S397">
        <f>HLOOKUP("Memory",'vInfo (Imported)'!$1:$5000,M397,FALSE)</f>
        <v>0</v>
      </c>
      <c r="T397">
        <f>HLOOKUP("Provisioned MiB",'vInfo (Imported)'!$1:$5000,M397,FALSE)</f>
        <v>0</v>
      </c>
      <c r="U397">
        <f t="shared" si="19"/>
        <v>0</v>
      </c>
      <c r="V397">
        <f>HLOOKUP("In Use MiB",'vInfo (Imported)'!$1:$5000,M397,FALSE)</f>
        <v>0</v>
      </c>
    </row>
    <row r="398" spans="1:22" ht="13" x14ac:dyDescent="0.3">
      <c r="A398" s="46">
        <f>'vHosts (Imported)'!A398</f>
        <v>0</v>
      </c>
      <c r="B398" s="51">
        <f t="shared" si="18"/>
        <v>4968</v>
      </c>
      <c r="C398" s="49">
        <f>HLOOKUP("# Cores",'vHosts (Imported)'!$1:$5000,M398,FALSE)</f>
        <v>0</v>
      </c>
      <c r="D398" s="52">
        <f>HLOOKUP("# Memory",'vHosts (Imported)'!$1:$5000,M398,FALSE)</f>
        <v>0</v>
      </c>
      <c r="M398" s="45">
        <f t="shared" si="20"/>
        <v>398</v>
      </c>
      <c r="N398" s="38">
        <f>HLOOKUP("Host",'vInfo (Imported)'!$1:$5000,M398,FALSE)</f>
        <v>0</v>
      </c>
      <c r="R398">
        <f>HLOOKUP("CPUs",'vInfo (Imported)'!$1:$5000,M398,FALSE)</f>
        <v>0</v>
      </c>
      <c r="S398">
        <f>HLOOKUP("Memory",'vInfo (Imported)'!$1:$5000,M398,FALSE)</f>
        <v>0</v>
      </c>
      <c r="T398">
        <f>HLOOKUP("Provisioned MiB",'vInfo (Imported)'!$1:$5000,M398,FALSE)</f>
        <v>0</v>
      </c>
      <c r="U398">
        <f t="shared" si="19"/>
        <v>0</v>
      </c>
      <c r="V398">
        <f>HLOOKUP("In Use MiB",'vInfo (Imported)'!$1:$5000,M398,FALSE)</f>
        <v>0</v>
      </c>
    </row>
    <row r="399" spans="1:22" ht="13" x14ac:dyDescent="0.3">
      <c r="A399" s="46">
        <f>'vHosts (Imported)'!A399</f>
        <v>0</v>
      </c>
      <c r="B399" s="51">
        <f t="shared" si="18"/>
        <v>4968</v>
      </c>
      <c r="C399" s="49">
        <f>HLOOKUP("# Cores",'vHosts (Imported)'!$1:$5000,M399,FALSE)</f>
        <v>0</v>
      </c>
      <c r="D399" s="52">
        <f>HLOOKUP("# Memory",'vHosts (Imported)'!$1:$5000,M399,FALSE)</f>
        <v>0</v>
      </c>
      <c r="M399" s="45">
        <f t="shared" si="20"/>
        <v>399</v>
      </c>
      <c r="N399" s="38">
        <f>HLOOKUP("Host",'vInfo (Imported)'!$1:$5000,M399,FALSE)</f>
        <v>0</v>
      </c>
      <c r="R399">
        <f>HLOOKUP("CPUs",'vInfo (Imported)'!$1:$5000,M399,FALSE)</f>
        <v>0</v>
      </c>
      <c r="S399">
        <f>HLOOKUP("Memory",'vInfo (Imported)'!$1:$5000,M399,FALSE)</f>
        <v>0</v>
      </c>
      <c r="T399">
        <f>HLOOKUP("Provisioned MiB",'vInfo (Imported)'!$1:$5000,M399,FALSE)</f>
        <v>0</v>
      </c>
      <c r="U399">
        <f t="shared" si="19"/>
        <v>0</v>
      </c>
      <c r="V399">
        <f>HLOOKUP("In Use MiB",'vInfo (Imported)'!$1:$5000,M399,FALSE)</f>
        <v>0</v>
      </c>
    </row>
    <row r="400" spans="1:22" ht="13" x14ac:dyDescent="0.3">
      <c r="A400" s="46">
        <f>'vHosts (Imported)'!A400</f>
        <v>0</v>
      </c>
      <c r="B400" s="51">
        <f t="shared" si="18"/>
        <v>4968</v>
      </c>
      <c r="C400" s="49">
        <f>HLOOKUP("# Cores",'vHosts (Imported)'!$1:$5000,M400,FALSE)</f>
        <v>0</v>
      </c>
      <c r="D400" s="52">
        <f>HLOOKUP("# Memory",'vHosts (Imported)'!$1:$5000,M400,FALSE)</f>
        <v>0</v>
      </c>
      <c r="M400" s="45">
        <f t="shared" si="20"/>
        <v>400</v>
      </c>
      <c r="N400" s="38">
        <f>HLOOKUP("Host",'vInfo (Imported)'!$1:$5000,M400,FALSE)</f>
        <v>0</v>
      </c>
      <c r="R400">
        <f>HLOOKUP("CPUs",'vInfo (Imported)'!$1:$5000,M400,FALSE)</f>
        <v>0</v>
      </c>
      <c r="S400">
        <f>HLOOKUP("Memory",'vInfo (Imported)'!$1:$5000,M400,FALSE)</f>
        <v>0</v>
      </c>
      <c r="T400">
        <f>HLOOKUP("Provisioned MiB",'vInfo (Imported)'!$1:$5000,M400,FALSE)</f>
        <v>0</v>
      </c>
      <c r="U400">
        <f t="shared" si="19"/>
        <v>0</v>
      </c>
      <c r="V400">
        <f>HLOOKUP("In Use MiB",'vInfo (Imported)'!$1:$5000,M400,FALSE)</f>
        <v>0</v>
      </c>
    </row>
    <row r="401" spans="1:22" ht="13" x14ac:dyDescent="0.3">
      <c r="A401" s="46">
        <f>'vHosts (Imported)'!A401</f>
        <v>0</v>
      </c>
      <c r="B401" s="51">
        <f t="shared" si="18"/>
        <v>4968</v>
      </c>
      <c r="C401" s="49">
        <f>HLOOKUP("# Cores",'vHosts (Imported)'!$1:$5000,M401,FALSE)</f>
        <v>0</v>
      </c>
      <c r="D401" s="52">
        <f>HLOOKUP("# Memory",'vHosts (Imported)'!$1:$5000,M401,FALSE)</f>
        <v>0</v>
      </c>
      <c r="M401" s="45">
        <f t="shared" si="20"/>
        <v>401</v>
      </c>
      <c r="N401" s="38">
        <f>HLOOKUP("Host",'vInfo (Imported)'!$1:$5000,M401,FALSE)</f>
        <v>0</v>
      </c>
      <c r="R401">
        <f>HLOOKUP("CPUs",'vInfo (Imported)'!$1:$5000,M401,FALSE)</f>
        <v>0</v>
      </c>
      <c r="S401">
        <f>HLOOKUP("Memory",'vInfo (Imported)'!$1:$5000,M401,FALSE)</f>
        <v>0</v>
      </c>
      <c r="T401">
        <f>HLOOKUP("Provisioned MiB",'vInfo (Imported)'!$1:$5000,M401,FALSE)</f>
        <v>0</v>
      </c>
      <c r="U401">
        <f t="shared" si="19"/>
        <v>0</v>
      </c>
      <c r="V401">
        <f>HLOOKUP("In Use MiB",'vInfo (Imported)'!$1:$5000,M401,FALSE)</f>
        <v>0</v>
      </c>
    </row>
    <row r="402" spans="1:22" ht="13" x14ac:dyDescent="0.3">
      <c r="A402" s="46">
        <f>'vHosts (Imported)'!A402</f>
        <v>0</v>
      </c>
      <c r="B402" s="51">
        <f t="shared" si="18"/>
        <v>4968</v>
      </c>
      <c r="C402" s="49">
        <f>HLOOKUP("# Cores",'vHosts (Imported)'!$1:$5000,M402,FALSE)</f>
        <v>0</v>
      </c>
      <c r="D402" s="52">
        <f>HLOOKUP("# Memory",'vHosts (Imported)'!$1:$5000,M402,FALSE)</f>
        <v>0</v>
      </c>
      <c r="M402" s="45">
        <f t="shared" si="20"/>
        <v>402</v>
      </c>
      <c r="N402" s="38">
        <f>HLOOKUP("Host",'vInfo (Imported)'!$1:$5000,M402,FALSE)</f>
        <v>0</v>
      </c>
      <c r="R402">
        <f>HLOOKUP("CPUs",'vInfo (Imported)'!$1:$5000,M402,FALSE)</f>
        <v>0</v>
      </c>
      <c r="S402">
        <f>HLOOKUP("Memory",'vInfo (Imported)'!$1:$5000,M402,FALSE)</f>
        <v>0</v>
      </c>
      <c r="T402">
        <f>HLOOKUP("Provisioned MiB",'vInfo (Imported)'!$1:$5000,M402,FALSE)</f>
        <v>0</v>
      </c>
      <c r="U402">
        <f t="shared" si="19"/>
        <v>0</v>
      </c>
      <c r="V402">
        <f>HLOOKUP("In Use MiB",'vInfo (Imported)'!$1:$5000,M402,FALSE)</f>
        <v>0</v>
      </c>
    </row>
    <row r="403" spans="1:22" ht="13" x14ac:dyDescent="0.3">
      <c r="A403" s="46">
        <f>'vHosts (Imported)'!A403</f>
        <v>0</v>
      </c>
      <c r="B403" s="51">
        <f t="shared" si="18"/>
        <v>4968</v>
      </c>
      <c r="C403" s="49">
        <f>HLOOKUP("# Cores",'vHosts (Imported)'!$1:$5000,M403,FALSE)</f>
        <v>0</v>
      </c>
      <c r="D403" s="52">
        <f>HLOOKUP("# Memory",'vHosts (Imported)'!$1:$5000,M403,FALSE)</f>
        <v>0</v>
      </c>
      <c r="M403" s="45">
        <f t="shared" si="20"/>
        <v>403</v>
      </c>
      <c r="N403" s="38">
        <f>HLOOKUP("Host",'vInfo (Imported)'!$1:$5000,M403,FALSE)</f>
        <v>0</v>
      </c>
      <c r="R403">
        <f>HLOOKUP("CPUs",'vInfo (Imported)'!$1:$5000,M403,FALSE)</f>
        <v>0</v>
      </c>
      <c r="S403">
        <f>HLOOKUP("Memory",'vInfo (Imported)'!$1:$5000,M403,FALSE)</f>
        <v>0</v>
      </c>
      <c r="T403">
        <f>HLOOKUP("Provisioned MiB",'vInfo (Imported)'!$1:$5000,M403,FALSE)</f>
        <v>0</v>
      </c>
      <c r="U403">
        <f t="shared" si="19"/>
        <v>0</v>
      </c>
      <c r="V403">
        <f>HLOOKUP("In Use MiB",'vInfo (Imported)'!$1:$5000,M403,FALSE)</f>
        <v>0</v>
      </c>
    </row>
    <row r="404" spans="1:22" ht="13" x14ac:dyDescent="0.3">
      <c r="A404" s="46">
        <f>'vHosts (Imported)'!A404</f>
        <v>0</v>
      </c>
      <c r="B404" s="51">
        <f t="shared" si="18"/>
        <v>4968</v>
      </c>
      <c r="C404" s="49">
        <f>HLOOKUP("# Cores",'vHosts (Imported)'!$1:$5000,M404,FALSE)</f>
        <v>0</v>
      </c>
      <c r="D404" s="52">
        <f>HLOOKUP("# Memory",'vHosts (Imported)'!$1:$5000,M404,FALSE)</f>
        <v>0</v>
      </c>
      <c r="M404" s="45">
        <f t="shared" si="20"/>
        <v>404</v>
      </c>
      <c r="N404" s="38">
        <f>HLOOKUP("Host",'vInfo (Imported)'!$1:$5000,M404,FALSE)</f>
        <v>0</v>
      </c>
      <c r="R404">
        <f>HLOOKUP("CPUs",'vInfo (Imported)'!$1:$5000,M404,FALSE)</f>
        <v>0</v>
      </c>
      <c r="S404">
        <f>HLOOKUP("Memory",'vInfo (Imported)'!$1:$5000,M404,FALSE)</f>
        <v>0</v>
      </c>
      <c r="T404">
        <f>HLOOKUP("Provisioned MiB",'vInfo (Imported)'!$1:$5000,M404,FALSE)</f>
        <v>0</v>
      </c>
      <c r="U404">
        <f t="shared" si="19"/>
        <v>0</v>
      </c>
      <c r="V404">
        <f>HLOOKUP("In Use MiB",'vInfo (Imported)'!$1:$5000,M404,FALSE)</f>
        <v>0</v>
      </c>
    </row>
    <row r="405" spans="1:22" ht="13" x14ac:dyDescent="0.3">
      <c r="A405" s="46">
        <f>'vHosts (Imported)'!A405</f>
        <v>0</v>
      </c>
      <c r="B405" s="51">
        <f t="shared" si="18"/>
        <v>4968</v>
      </c>
      <c r="C405" s="49">
        <f>HLOOKUP("# Cores",'vHosts (Imported)'!$1:$5000,M405,FALSE)</f>
        <v>0</v>
      </c>
      <c r="D405" s="52">
        <f>HLOOKUP("# Memory",'vHosts (Imported)'!$1:$5000,M405,FALSE)</f>
        <v>0</v>
      </c>
      <c r="M405" s="45">
        <f t="shared" si="20"/>
        <v>405</v>
      </c>
      <c r="N405" s="38">
        <f>HLOOKUP("Host",'vInfo (Imported)'!$1:$5000,M405,FALSE)</f>
        <v>0</v>
      </c>
      <c r="R405">
        <f>HLOOKUP("CPUs",'vInfo (Imported)'!$1:$5000,M405,FALSE)</f>
        <v>0</v>
      </c>
      <c r="S405">
        <f>HLOOKUP("Memory",'vInfo (Imported)'!$1:$5000,M405,FALSE)</f>
        <v>0</v>
      </c>
      <c r="T405">
        <f>HLOOKUP("Provisioned MiB",'vInfo (Imported)'!$1:$5000,M405,FALSE)</f>
        <v>0</v>
      </c>
      <c r="U405">
        <f t="shared" si="19"/>
        <v>0</v>
      </c>
      <c r="V405">
        <f>HLOOKUP("In Use MiB",'vInfo (Imported)'!$1:$5000,M405,FALSE)</f>
        <v>0</v>
      </c>
    </row>
    <row r="406" spans="1:22" ht="13" x14ac:dyDescent="0.3">
      <c r="A406" s="46">
        <f>'vHosts (Imported)'!A406</f>
        <v>0</v>
      </c>
      <c r="B406" s="51">
        <f t="shared" si="18"/>
        <v>4968</v>
      </c>
      <c r="C406" s="49">
        <f>HLOOKUP("# Cores",'vHosts (Imported)'!$1:$5000,M406,FALSE)</f>
        <v>0</v>
      </c>
      <c r="D406" s="52">
        <f>HLOOKUP("# Memory",'vHosts (Imported)'!$1:$5000,M406,FALSE)</f>
        <v>0</v>
      </c>
      <c r="M406" s="45">
        <f t="shared" si="20"/>
        <v>406</v>
      </c>
      <c r="N406" s="38">
        <f>HLOOKUP("Host",'vInfo (Imported)'!$1:$5000,M406,FALSE)</f>
        <v>0</v>
      </c>
      <c r="R406">
        <f>HLOOKUP("CPUs",'vInfo (Imported)'!$1:$5000,M406,FALSE)</f>
        <v>0</v>
      </c>
      <c r="S406">
        <f>HLOOKUP("Memory",'vInfo (Imported)'!$1:$5000,M406,FALSE)</f>
        <v>0</v>
      </c>
      <c r="T406">
        <f>HLOOKUP("Provisioned MiB",'vInfo (Imported)'!$1:$5000,M406,FALSE)</f>
        <v>0</v>
      </c>
      <c r="U406">
        <f t="shared" si="19"/>
        <v>0</v>
      </c>
      <c r="V406">
        <f>HLOOKUP("In Use MiB",'vInfo (Imported)'!$1:$5000,M406,FALSE)</f>
        <v>0</v>
      </c>
    </row>
    <row r="407" spans="1:22" ht="13" x14ac:dyDescent="0.3">
      <c r="A407" s="46">
        <f>'vHosts (Imported)'!A407</f>
        <v>0</v>
      </c>
      <c r="B407" s="51">
        <f t="shared" si="18"/>
        <v>4968</v>
      </c>
      <c r="C407" s="49">
        <f>HLOOKUP("# Cores",'vHosts (Imported)'!$1:$5000,M407,FALSE)</f>
        <v>0</v>
      </c>
      <c r="D407" s="52">
        <f>HLOOKUP("# Memory",'vHosts (Imported)'!$1:$5000,M407,FALSE)</f>
        <v>0</v>
      </c>
      <c r="M407" s="45">
        <f t="shared" si="20"/>
        <v>407</v>
      </c>
      <c r="N407" s="38">
        <f>HLOOKUP("Host",'vInfo (Imported)'!$1:$5000,M407,FALSE)</f>
        <v>0</v>
      </c>
      <c r="R407">
        <f>HLOOKUP("CPUs",'vInfo (Imported)'!$1:$5000,M407,FALSE)</f>
        <v>0</v>
      </c>
      <c r="S407">
        <f>HLOOKUP("Memory",'vInfo (Imported)'!$1:$5000,M407,FALSE)</f>
        <v>0</v>
      </c>
      <c r="T407">
        <f>HLOOKUP("Provisioned MiB",'vInfo (Imported)'!$1:$5000,M407,FALSE)</f>
        <v>0</v>
      </c>
      <c r="U407">
        <f t="shared" si="19"/>
        <v>0</v>
      </c>
      <c r="V407">
        <f>HLOOKUP("In Use MiB",'vInfo (Imported)'!$1:$5000,M407,FALSE)</f>
        <v>0</v>
      </c>
    </row>
    <row r="408" spans="1:22" ht="13" x14ac:dyDescent="0.3">
      <c r="A408" s="46">
        <f>'vHosts (Imported)'!A408</f>
        <v>0</v>
      </c>
      <c r="B408" s="51">
        <f t="shared" si="18"/>
        <v>4968</v>
      </c>
      <c r="C408" s="49">
        <f>HLOOKUP("# Cores",'vHosts (Imported)'!$1:$5000,M408,FALSE)</f>
        <v>0</v>
      </c>
      <c r="D408" s="52">
        <f>HLOOKUP("# Memory",'vHosts (Imported)'!$1:$5000,M408,FALSE)</f>
        <v>0</v>
      </c>
      <c r="M408" s="45">
        <f t="shared" si="20"/>
        <v>408</v>
      </c>
      <c r="N408" s="38">
        <f>HLOOKUP("Host",'vInfo (Imported)'!$1:$5000,M408,FALSE)</f>
        <v>0</v>
      </c>
      <c r="R408">
        <f>HLOOKUP("CPUs",'vInfo (Imported)'!$1:$5000,M408,FALSE)</f>
        <v>0</v>
      </c>
      <c r="S408">
        <f>HLOOKUP("Memory",'vInfo (Imported)'!$1:$5000,M408,FALSE)</f>
        <v>0</v>
      </c>
      <c r="T408">
        <f>HLOOKUP("Provisioned MiB",'vInfo (Imported)'!$1:$5000,M408,FALSE)</f>
        <v>0</v>
      </c>
      <c r="U408">
        <f t="shared" si="19"/>
        <v>0</v>
      </c>
      <c r="V408">
        <f>HLOOKUP("In Use MiB",'vInfo (Imported)'!$1:$5000,M408,FALSE)</f>
        <v>0</v>
      </c>
    </row>
    <row r="409" spans="1:22" ht="13" x14ac:dyDescent="0.3">
      <c r="A409" s="46">
        <f>'vHosts (Imported)'!A409</f>
        <v>0</v>
      </c>
      <c r="B409" s="51">
        <f t="shared" si="18"/>
        <v>4968</v>
      </c>
      <c r="C409" s="49">
        <f>HLOOKUP("# Cores",'vHosts (Imported)'!$1:$5000,M409,FALSE)</f>
        <v>0</v>
      </c>
      <c r="D409" s="52">
        <f>HLOOKUP("# Memory",'vHosts (Imported)'!$1:$5000,M409,FALSE)</f>
        <v>0</v>
      </c>
      <c r="M409" s="45">
        <f t="shared" si="20"/>
        <v>409</v>
      </c>
      <c r="N409" s="38">
        <f>HLOOKUP("Host",'vInfo (Imported)'!$1:$5000,M409,FALSE)</f>
        <v>0</v>
      </c>
      <c r="R409">
        <f>HLOOKUP("CPUs",'vInfo (Imported)'!$1:$5000,M409,FALSE)</f>
        <v>0</v>
      </c>
      <c r="S409">
        <f>HLOOKUP("Memory",'vInfo (Imported)'!$1:$5000,M409,FALSE)</f>
        <v>0</v>
      </c>
      <c r="T409">
        <f>HLOOKUP("Provisioned MiB",'vInfo (Imported)'!$1:$5000,M409,FALSE)</f>
        <v>0</v>
      </c>
      <c r="U409">
        <f t="shared" si="19"/>
        <v>0</v>
      </c>
      <c r="V409">
        <f>HLOOKUP("In Use MiB",'vInfo (Imported)'!$1:$5000,M409,FALSE)</f>
        <v>0</v>
      </c>
    </row>
    <row r="410" spans="1:22" ht="13" x14ac:dyDescent="0.3">
      <c r="A410" s="46">
        <f>'vHosts (Imported)'!A410</f>
        <v>0</v>
      </c>
      <c r="B410" s="51">
        <f t="shared" si="18"/>
        <v>4968</v>
      </c>
      <c r="C410" s="49">
        <f>HLOOKUP("# Cores",'vHosts (Imported)'!$1:$5000,M410,FALSE)</f>
        <v>0</v>
      </c>
      <c r="D410" s="52">
        <f>HLOOKUP("# Memory",'vHosts (Imported)'!$1:$5000,M410,FALSE)</f>
        <v>0</v>
      </c>
      <c r="M410" s="45">
        <f t="shared" si="20"/>
        <v>410</v>
      </c>
      <c r="N410" s="38">
        <f>HLOOKUP("Host",'vInfo (Imported)'!$1:$5000,M410,FALSE)</f>
        <v>0</v>
      </c>
      <c r="R410">
        <f>HLOOKUP("CPUs",'vInfo (Imported)'!$1:$5000,M410,FALSE)</f>
        <v>0</v>
      </c>
      <c r="S410">
        <f>HLOOKUP("Memory",'vInfo (Imported)'!$1:$5000,M410,FALSE)</f>
        <v>0</v>
      </c>
      <c r="T410">
        <f>HLOOKUP("Provisioned MiB",'vInfo (Imported)'!$1:$5000,M410,FALSE)</f>
        <v>0</v>
      </c>
      <c r="U410">
        <f t="shared" si="19"/>
        <v>0</v>
      </c>
      <c r="V410">
        <f>HLOOKUP("In Use MiB",'vInfo (Imported)'!$1:$5000,M410,FALSE)</f>
        <v>0</v>
      </c>
    </row>
    <row r="411" spans="1:22" ht="13" x14ac:dyDescent="0.3">
      <c r="A411" s="46">
        <f>'vHosts (Imported)'!A411</f>
        <v>0</v>
      </c>
      <c r="B411" s="51">
        <f t="shared" si="18"/>
        <v>4968</v>
      </c>
      <c r="C411" s="49">
        <f>HLOOKUP("# Cores",'vHosts (Imported)'!$1:$5000,M411,FALSE)</f>
        <v>0</v>
      </c>
      <c r="D411" s="52">
        <f>HLOOKUP("# Memory",'vHosts (Imported)'!$1:$5000,M411,FALSE)</f>
        <v>0</v>
      </c>
      <c r="M411" s="45">
        <f t="shared" si="20"/>
        <v>411</v>
      </c>
      <c r="N411" s="38">
        <f>HLOOKUP("Host",'vInfo (Imported)'!$1:$5000,M411,FALSE)</f>
        <v>0</v>
      </c>
      <c r="R411">
        <f>HLOOKUP("CPUs",'vInfo (Imported)'!$1:$5000,M411,FALSE)</f>
        <v>0</v>
      </c>
      <c r="S411">
        <f>HLOOKUP("Memory",'vInfo (Imported)'!$1:$5000,M411,FALSE)</f>
        <v>0</v>
      </c>
      <c r="T411">
        <f>HLOOKUP("Provisioned MiB",'vInfo (Imported)'!$1:$5000,M411,FALSE)</f>
        <v>0</v>
      </c>
      <c r="U411">
        <f t="shared" si="19"/>
        <v>0</v>
      </c>
      <c r="V411">
        <f>HLOOKUP("In Use MiB",'vInfo (Imported)'!$1:$5000,M411,FALSE)</f>
        <v>0</v>
      </c>
    </row>
    <row r="412" spans="1:22" ht="13" x14ac:dyDescent="0.3">
      <c r="A412" s="46">
        <f>'vHosts (Imported)'!A412</f>
        <v>0</v>
      </c>
      <c r="B412" s="51">
        <f t="shared" si="18"/>
        <v>4968</v>
      </c>
      <c r="C412" s="49">
        <f>HLOOKUP("# Cores",'vHosts (Imported)'!$1:$5000,M412,FALSE)</f>
        <v>0</v>
      </c>
      <c r="D412" s="52">
        <f>HLOOKUP("# Memory",'vHosts (Imported)'!$1:$5000,M412,FALSE)</f>
        <v>0</v>
      </c>
      <c r="M412" s="45">
        <f t="shared" si="20"/>
        <v>412</v>
      </c>
      <c r="N412" s="38">
        <f>HLOOKUP("Host",'vInfo (Imported)'!$1:$5000,M412,FALSE)</f>
        <v>0</v>
      </c>
      <c r="R412">
        <f>HLOOKUP("CPUs",'vInfo (Imported)'!$1:$5000,M412,FALSE)</f>
        <v>0</v>
      </c>
      <c r="S412">
        <f>HLOOKUP("Memory",'vInfo (Imported)'!$1:$5000,M412,FALSE)</f>
        <v>0</v>
      </c>
      <c r="T412">
        <f>HLOOKUP("Provisioned MiB",'vInfo (Imported)'!$1:$5000,M412,FALSE)</f>
        <v>0</v>
      </c>
      <c r="U412">
        <f t="shared" si="19"/>
        <v>0</v>
      </c>
      <c r="V412">
        <f>HLOOKUP("In Use MiB",'vInfo (Imported)'!$1:$5000,M412,FALSE)</f>
        <v>0</v>
      </c>
    </row>
    <row r="413" spans="1:22" ht="13" x14ac:dyDescent="0.3">
      <c r="A413" s="46">
        <f>'vHosts (Imported)'!A413</f>
        <v>0</v>
      </c>
      <c r="B413" s="51">
        <f t="shared" si="18"/>
        <v>4968</v>
      </c>
      <c r="C413" s="49">
        <f>HLOOKUP("# Cores",'vHosts (Imported)'!$1:$5000,M413,FALSE)</f>
        <v>0</v>
      </c>
      <c r="D413" s="52">
        <f>HLOOKUP("# Memory",'vHosts (Imported)'!$1:$5000,M413,FALSE)</f>
        <v>0</v>
      </c>
      <c r="M413" s="45">
        <f t="shared" si="20"/>
        <v>413</v>
      </c>
      <c r="N413" s="38">
        <f>HLOOKUP("Host",'vInfo (Imported)'!$1:$5000,M413,FALSE)</f>
        <v>0</v>
      </c>
      <c r="R413">
        <f>HLOOKUP("CPUs",'vInfo (Imported)'!$1:$5000,M413,FALSE)</f>
        <v>0</v>
      </c>
      <c r="S413">
        <f>HLOOKUP("Memory",'vInfo (Imported)'!$1:$5000,M413,FALSE)</f>
        <v>0</v>
      </c>
      <c r="T413">
        <f>HLOOKUP("Provisioned MiB",'vInfo (Imported)'!$1:$5000,M413,FALSE)</f>
        <v>0</v>
      </c>
      <c r="U413">
        <f t="shared" si="19"/>
        <v>0</v>
      </c>
      <c r="V413">
        <f>HLOOKUP("In Use MiB",'vInfo (Imported)'!$1:$5000,M413,FALSE)</f>
        <v>0</v>
      </c>
    </row>
    <row r="414" spans="1:22" ht="13" x14ac:dyDescent="0.3">
      <c r="A414" s="46">
        <f>'vHosts (Imported)'!A414</f>
        <v>0</v>
      </c>
      <c r="B414" s="51">
        <f t="shared" si="18"/>
        <v>4968</v>
      </c>
      <c r="C414" s="49">
        <f>HLOOKUP("# Cores",'vHosts (Imported)'!$1:$5000,M414,FALSE)</f>
        <v>0</v>
      </c>
      <c r="D414" s="52">
        <f>HLOOKUP("# Memory",'vHosts (Imported)'!$1:$5000,M414,FALSE)</f>
        <v>0</v>
      </c>
      <c r="M414" s="45">
        <f t="shared" si="20"/>
        <v>414</v>
      </c>
      <c r="N414" s="38">
        <f>HLOOKUP("Host",'vInfo (Imported)'!$1:$5000,M414,FALSE)</f>
        <v>0</v>
      </c>
      <c r="R414">
        <f>HLOOKUP("CPUs",'vInfo (Imported)'!$1:$5000,M414,FALSE)</f>
        <v>0</v>
      </c>
      <c r="S414">
        <f>HLOOKUP("Memory",'vInfo (Imported)'!$1:$5000,M414,FALSE)</f>
        <v>0</v>
      </c>
      <c r="T414">
        <f>HLOOKUP("Provisioned MiB",'vInfo (Imported)'!$1:$5000,M414,FALSE)</f>
        <v>0</v>
      </c>
      <c r="U414">
        <f t="shared" si="19"/>
        <v>0</v>
      </c>
      <c r="V414">
        <f>HLOOKUP("In Use MiB",'vInfo (Imported)'!$1:$5000,M414,FALSE)</f>
        <v>0</v>
      </c>
    </row>
    <row r="415" spans="1:22" ht="13" x14ac:dyDescent="0.3">
      <c r="A415" s="46">
        <f>'vHosts (Imported)'!A415</f>
        <v>0</v>
      </c>
      <c r="B415" s="51">
        <f t="shared" si="18"/>
        <v>4968</v>
      </c>
      <c r="C415" s="49">
        <f>HLOOKUP("# Cores",'vHosts (Imported)'!$1:$5000,M415,FALSE)</f>
        <v>0</v>
      </c>
      <c r="D415" s="52">
        <f>HLOOKUP("# Memory",'vHosts (Imported)'!$1:$5000,M415,FALSE)</f>
        <v>0</v>
      </c>
      <c r="M415" s="45">
        <f t="shared" si="20"/>
        <v>415</v>
      </c>
      <c r="N415" s="38">
        <f>HLOOKUP("Host",'vInfo (Imported)'!$1:$5000,M415,FALSE)</f>
        <v>0</v>
      </c>
      <c r="R415">
        <f>HLOOKUP("CPUs",'vInfo (Imported)'!$1:$5000,M415,FALSE)</f>
        <v>0</v>
      </c>
      <c r="S415">
        <f>HLOOKUP("Memory",'vInfo (Imported)'!$1:$5000,M415,FALSE)</f>
        <v>0</v>
      </c>
      <c r="T415">
        <f>HLOOKUP("Provisioned MiB",'vInfo (Imported)'!$1:$5000,M415,FALSE)</f>
        <v>0</v>
      </c>
      <c r="U415">
        <f t="shared" si="19"/>
        <v>0</v>
      </c>
      <c r="V415">
        <f>HLOOKUP("In Use MiB",'vInfo (Imported)'!$1:$5000,M415,FALSE)</f>
        <v>0</v>
      </c>
    </row>
    <row r="416" spans="1:22" ht="13" x14ac:dyDescent="0.3">
      <c r="A416" s="46">
        <f>'vHosts (Imported)'!A416</f>
        <v>0</v>
      </c>
      <c r="B416" s="51">
        <f t="shared" si="18"/>
        <v>4968</v>
      </c>
      <c r="C416" s="49">
        <f>HLOOKUP("# Cores",'vHosts (Imported)'!$1:$5000,M416,FALSE)</f>
        <v>0</v>
      </c>
      <c r="D416" s="52">
        <f>HLOOKUP("# Memory",'vHosts (Imported)'!$1:$5000,M416,FALSE)</f>
        <v>0</v>
      </c>
      <c r="M416" s="45">
        <f t="shared" si="20"/>
        <v>416</v>
      </c>
      <c r="N416" s="38">
        <f>HLOOKUP("Host",'vInfo (Imported)'!$1:$5000,M416,FALSE)</f>
        <v>0</v>
      </c>
      <c r="R416">
        <f>HLOOKUP("CPUs",'vInfo (Imported)'!$1:$5000,M416,FALSE)</f>
        <v>0</v>
      </c>
      <c r="S416">
        <f>HLOOKUP("Memory",'vInfo (Imported)'!$1:$5000,M416,FALSE)</f>
        <v>0</v>
      </c>
      <c r="T416">
        <f>HLOOKUP("Provisioned MiB",'vInfo (Imported)'!$1:$5000,M416,FALSE)</f>
        <v>0</v>
      </c>
      <c r="U416">
        <f t="shared" si="19"/>
        <v>0</v>
      </c>
      <c r="V416">
        <f>HLOOKUP("In Use MiB",'vInfo (Imported)'!$1:$5000,M416,FALSE)</f>
        <v>0</v>
      </c>
    </row>
    <row r="417" spans="1:22" ht="13" x14ac:dyDescent="0.3">
      <c r="A417" s="46">
        <f>'vHosts (Imported)'!A417</f>
        <v>0</v>
      </c>
      <c r="B417" s="51">
        <f t="shared" si="18"/>
        <v>4968</v>
      </c>
      <c r="C417" s="49">
        <f>HLOOKUP("# Cores",'vHosts (Imported)'!$1:$5000,M417,FALSE)</f>
        <v>0</v>
      </c>
      <c r="D417" s="52">
        <f>HLOOKUP("# Memory",'vHosts (Imported)'!$1:$5000,M417,FALSE)</f>
        <v>0</v>
      </c>
      <c r="M417" s="45">
        <f t="shared" si="20"/>
        <v>417</v>
      </c>
      <c r="N417" s="38">
        <f>HLOOKUP("Host",'vInfo (Imported)'!$1:$5000,M417,FALSE)</f>
        <v>0</v>
      </c>
      <c r="R417">
        <f>HLOOKUP("CPUs",'vInfo (Imported)'!$1:$5000,M417,FALSE)</f>
        <v>0</v>
      </c>
      <c r="S417">
        <f>HLOOKUP("Memory",'vInfo (Imported)'!$1:$5000,M417,FALSE)</f>
        <v>0</v>
      </c>
      <c r="T417">
        <f>HLOOKUP("Provisioned MiB",'vInfo (Imported)'!$1:$5000,M417,FALSE)</f>
        <v>0</v>
      </c>
      <c r="U417">
        <f t="shared" si="19"/>
        <v>0</v>
      </c>
      <c r="V417">
        <f>HLOOKUP("In Use MiB",'vInfo (Imported)'!$1:$5000,M417,FALSE)</f>
        <v>0</v>
      </c>
    </row>
    <row r="418" spans="1:22" ht="13" x14ac:dyDescent="0.3">
      <c r="A418" s="46">
        <f>'vHosts (Imported)'!A418</f>
        <v>0</v>
      </c>
      <c r="B418" s="51">
        <f t="shared" si="18"/>
        <v>4968</v>
      </c>
      <c r="C418" s="49">
        <f>HLOOKUP("# Cores",'vHosts (Imported)'!$1:$5000,M418,FALSE)</f>
        <v>0</v>
      </c>
      <c r="D418" s="52">
        <f>HLOOKUP("# Memory",'vHosts (Imported)'!$1:$5000,M418,FALSE)</f>
        <v>0</v>
      </c>
      <c r="M418" s="45">
        <f t="shared" si="20"/>
        <v>418</v>
      </c>
      <c r="N418" s="38">
        <f>HLOOKUP("Host",'vInfo (Imported)'!$1:$5000,M418,FALSE)</f>
        <v>0</v>
      </c>
      <c r="R418">
        <f>HLOOKUP("CPUs",'vInfo (Imported)'!$1:$5000,M418,FALSE)</f>
        <v>0</v>
      </c>
      <c r="S418">
        <f>HLOOKUP("Memory",'vInfo (Imported)'!$1:$5000,M418,FALSE)</f>
        <v>0</v>
      </c>
      <c r="T418">
        <f>HLOOKUP("Provisioned MiB",'vInfo (Imported)'!$1:$5000,M418,FALSE)</f>
        <v>0</v>
      </c>
      <c r="U418">
        <f t="shared" si="19"/>
        <v>0</v>
      </c>
      <c r="V418">
        <f>HLOOKUP("In Use MiB",'vInfo (Imported)'!$1:$5000,M418,FALSE)</f>
        <v>0</v>
      </c>
    </row>
    <row r="419" spans="1:22" ht="13" x14ac:dyDescent="0.3">
      <c r="A419" s="46">
        <f>'vHosts (Imported)'!A419</f>
        <v>0</v>
      </c>
      <c r="B419" s="51">
        <f t="shared" si="18"/>
        <v>4968</v>
      </c>
      <c r="C419" s="49">
        <f>HLOOKUP("# Cores",'vHosts (Imported)'!$1:$5000,M419,FALSE)</f>
        <v>0</v>
      </c>
      <c r="D419" s="52">
        <f>HLOOKUP("# Memory",'vHosts (Imported)'!$1:$5000,M419,FALSE)</f>
        <v>0</v>
      </c>
      <c r="M419" s="45">
        <f t="shared" si="20"/>
        <v>419</v>
      </c>
      <c r="N419" s="38">
        <f>HLOOKUP("Host",'vInfo (Imported)'!$1:$5000,M419,FALSE)</f>
        <v>0</v>
      </c>
      <c r="R419">
        <f>HLOOKUP("CPUs",'vInfo (Imported)'!$1:$5000,M419,FALSE)</f>
        <v>0</v>
      </c>
      <c r="S419">
        <f>HLOOKUP("Memory",'vInfo (Imported)'!$1:$5000,M419,FALSE)</f>
        <v>0</v>
      </c>
      <c r="T419">
        <f>HLOOKUP("Provisioned MiB",'vInfo (Imported)'!$1:$5000,M419,FALSE)</f>
        <v>0</v>
      </c>
      <c r="U419">
        <f t="shared" si="19"/>
        <v>0</v>
      </c>
      <c r="V419">
        <f>HLOOKUP("In Use MiB",'vInfo (Imported)'!$1:$5000,M419,FALSE)</f>
        <v>0</v>
      </c>
    </row>
    <row r="420" spans="1:22" ht="13" x14ac:dyDescent="0.3">
      <c r="A420" s="46">
        <f>'vHosts (Imported)'!A420</f>
        <v>0</v>
      </c>
      <c r="B420" s="51">
        <f t="shared" si="18"/>
        <v>4968</v>
      </c>
      <c r="C420" s="49">
        <f>HLOOKUP("# Cores",'vHosts (Imported)'!$1:$5000,M420,FALSE)</f>
        <v>0</v>
      </c>
      <c r="D420" s="52">
        <f>HLOOKUP("# Memory",'vHosts (Imported)'!$1:$5000,M420,FALSE)</f>
        <v>0</v>
      </c>
      <c r="M420" s="45">
        <f t="shared" si="20"/>
        <v>420</v>
      </c>
      <c r="N420" s="38">
        <f>HLOOKUP("Host",'vInfo (Imported)'!$1:$5000,M420,FALSE)</f>
        <v>0</v>
      </c>
      <c r="R420">
        <f>HLOOKUP("CPUs",'vInfo (Imported)'!$1:$5000,M420,FALSE)</f>
        <v>0</v>
      </c>
      <c r="S420">
        <f>HLOOKUP("Memory",'vInfo (Imported)'!$1:$5000,M420,FALSE)</f>
        <v>0</v>
      </c>
      <c r="T420">
        <f>HLOOKUP("Provisioned MiB",'vInfo (Imported)'!$1:$5000,M420,FALSE)</f>
        <v>0</v>
      </c>
      <c r="U420">
        <f t="shared" si="19"/>
        <v>0</v>
      </c>
      <c r="V420">
        <f>HLOOKUP("In Use MiB",'vInfo (Imported)'!$1:$5000,M420,FALSE)</f>
        <v>0</v>
      </c>
    </row>
    <row r="421" spans="1:22" ht="13" x14ac:dyDescent="0.3">
      <c r="A421" s="46">
        <f>'vHosts (Imported)'!A421</f>
        <v>0</v>
      </c>
      <c r="B421" s="51">
        <f t="shared" si="18"/>
        <v>4968</v>
      </c>
      <c r="C421" s="49">
        <f>HLOOKUP("# Cores",'vHosts (Imported)'!$1:$5000,M421,FALSE)</f>
        <v>0</v>
      </c>
      <c r="D421" s="52">
        <f>HLOOKUP("# Memory",'vHosts (Imported)'!$1:$5000,M421,FALSE)</f>
        <v>0</v>
      </c>
      <c r="M421" s="45">
        <f t="shared" si="20"/>
        <v>421</v>
      </c>
      <c r="N421" s="38">
        <f>HLOOKUP("Host",'vInfo (Imported)'!$1:$5000,M421,FALSE)</f>
        <v>0</v>
      </c>
      <c r="R421">
        <f>HLOOKUP("CPUs",'vInfo (Imported)'!$1:$5000,M421,FALSE)</f>
        <v>0</v>
      </c>
      <c r="S421">
        <f>HLOOKUP("Memory",'vInfo (Imported)'!$1:$5000,M421,FALSE)</f>
        <v>0</v>
      </c>
      <c r="T421">
        <f>HLOOKUP("Provisioned MiB",'vInfo (Imported)'!$1:$5000,M421,FALSE)</f>
        <v>0</v>
      </c>
      <c r="U421">
        <f t="shared" si="19"/>
        <v>0</v>
      </c>
      <c r="V421">
        <f>HLOOKUP("In Use MiB",'vInfo (Imported)'!$1:$5000,M421,FALSE)</f>
        <v>0</v>
      </c>
    </row>
    <row r="422" spans="1:22" ht="13" x14ac:dyDescent="0.3">
      <c r="A422" s="46">
        <f>'vHosts (Imported)'!A422</f>
        <v>0</v>
      </c>
      <c r="B422" s="51">
        <f t="shared" si="18"/>
        <v>4968</v>
      </c>
      <c r="C422" s="49">
        <f>HLOOKUP("# Cores",'vHosts (Imported)'!$1:$5000,M422,FALSE)</f>
        <v>0</v>
      </c>
      <c r="D422" s="52">
        <f>HLOOKUP("# Memory",'vHosts (Imported)'!$1:$5000,M422,FALSE)</f>
        <v>0</v>
      </c>
      <c r="M422" s="45">
        <f t="shared" si="20"/>
        <v>422</v>
      </c>
      <c r="N422" s="38">
        <f>HLOOKUP("Host",'vInfo (Imported)'!$1:$5000,M422,FALSE)</f>
        <v>0</v>
      </c>
      <c r="R422">
        <f>HLOOKUP("CPUs",'vInfo (Imported)'!$1:$5000,M422,FALSE)</f>
        <v>0</v>
      </c>
      <c r="S422">
        <f>HLOOKUP("Memory",'vInfo (Imported)'!$1:$5000,M422,FALSE)</f>
        <v>0</v>
      </c>
      <c r="T422">
        <f>HLOOKUP("Provisioned MiB",'vInfo (Imported)'!$1:$5000,M422,FALSE)</f>
        <v>0</v>
      </c>
      <c r="U422">
        <f t="shared" si="19"/>
        <v>0</v>
      </c>
      <c r="V422">
        <f>HLOOKUP("In Use MiB",'vInfo (Imported)'!$1:$5000,M422,FALSE)</f>
        <v>0</v>
      </c>
    </row>
    <row r="423" spans="1:22" ht="13" x14ac:dyDescent="0.3">
      <c r="A423" s="46">
        <f>'vHosts (Imported)'!A423</f>
        <v>0</v>
      </c>
      <c r="B423" s="51">
        <f t="shared" si="18"/>
        <v>4968</v>
      </c>
      <c r="C423" s="49">
        <f>HLOOKUP("# Cores",'vHosts (Imported)'!$1:$5000,M423,FALSE)</f>
        <v>0</v>
      </c>
      <c r="D423" s="52">
        <f>HLOOKUP("# Memory",'vHosts (Imported)'!$1:$5000,M423,FALSE)</f>
        <v>0</v>
      </c>
      <c r="M423" s="45">
        <f t="shared" si="20"/>
        <v>423</v>
      </c>
      <c r="N423" s="38">
        <f>HLOOKUP("Host",'vInfo (Imported)'!$1:$5000,M423,FALSE)</f>
        <v>0</v>
      </c>
      <c r="R423">
        <f>HLOOKUP("CPUs",'vInfo (Imported)'!$1:$5000,M423,FALSE)</f>
        <v>0</v>
      </c>
      <c r="S423">
        <f>HLOOKUP("Memory",'vInfo (Imported)'!$1:$5000,M423,FALSE)</f>
        <v>0</v>
      </c>
      <c r="T423">
        <f>HLOOKUP("Provisioned MiB",'vInfo (Imported)'!$1:$5000,M423,FALSE)</f>
        <v>0</v>
      </c>
      <c r="U423">
        <f t="shared" si="19"/>
        <v>0</v>
      </c>
      <c r="V423">
        <f>HLOOKUP("In Use MiB",'vInfo (Imported)'!$1:$5000,M423,FALSE)</f>
        <v>0</v>
      </c>
    </row>
    <row r="424" spans="1:22" ht="13" x14ac:dyDescent="0.3">
      <c r="A424" s="46">
        <f>'vHosts (Imported)'!A424</f>
        <v>0</v>
      </c>
      <c r="B424" s="51">
        <f t="shared" si="18"/>
        <v>4968</v>
      </c>
      <c r="C424" s="49">
        <f>HLOOKUP("# Cores",'vHosts (Imported)'!$1:$5000,M424,FALSE)</f>
        <v>0</v>
      </c>
      <c r="D424" s="52">
        <f>HLOOKUP("# Memory",'vHosts (Imported)'!$1:$5000,M424,FALSE)</f>
        <v>0</v>
      </c>
      <c r="M424" s="45">
        <f t="shared" si="20"/>
        <v>424</v>
      </c>
      <c r="N424" s="38">
        <f>HLOOKUP("Host",'vInfo (Imported)'!$1:$5000,M424,FALSE)</f>
        <v>0</v>
      </c>
      <c r="R424">
        <f>HLOOKUP("CPUs",'vInfo (Imported)'!$1:$5000,M424,FALSE)</f>
        <v>0</v>
      </c>
      <c r="S424">
        <f>HLOOKUP("Memory",'vInfo (Imported)'!$1:$5000,M424,FALSE)</f>
        <v>0</v>
      </c>
      <c r="T424">
        <f>HLOOKUP("Provisioned MiB",'vInfo (Imported)'!$1:$5000,M424,FALSE)</f>
        <v>0</v>
      </c>
      <c r="U424">
        <f t="shared" si="19"/>
        <v>0</v>
      </c>
      <c r="V424">
        <f>HLOOKUP("In Use MiB",'vInfo (Imported)'!$1:$5000,M424,FALSE)</f>
        <v>0</v>
      </c>
    </row>
    <row r="425" spans="1:22" ht="13" x14ac:dyDescent="0.3">
      <c r="A425" s="46">
        <f>'vHosts (Imported)'!A425</f>
        <v>0</v>
      </c>
      <c r="B425" s="51">
        <f t="shared" si="18"/>
        <v>4968</v>
      </c>
      <c r="C425" s="49">
        <f>HLOOKUP("# Cores",'vHosts (Imported)'!$1:$5000,M425,FALSE)</f>
        <v>0</v>
      </c>
      <c r="D425" s="52">
        <f>HLOOKUP("# Memory",'vHosts (Imported)'!$1:$5000,M425,FALSE)</f>
        <v>0</v>
      </c>
      <c r="M425" s="45">
        <f t="shared" si="20"/>
        <v>425</v>
      </c>
      <c r="N425" s="38">
        <f>HLOOKUP("Host",'vInfo (Imported)'!$1:$5000,M425,FALSE)</f>
        <v>0</v>
      </c>
      <c r="R425">
        <f>HLOOKUP("CPUs",'vInfo (Imported)'!$1:$5000,M425,FALSE)</f>
        <v>0</v>
      </c>
      <c r="S425">
        <f>HLOOKUP("Memory",'vInfo (Imported)'!$1:$5000,M425,FALSE)</f>
        <v>0</v>
      </c>
      <c r="T425">
        <f>HLOOKUP("Provisioned MiB",'vInfo (Imported)'!$1:$5000,M425,FALSE)</f>
        <v>0</v>
      </c>
      <c r="U425">
        <f t="shared" si="19"/>
        <v>0</v>
      </c>
      <c r="V425">
        <f>HLOOKUP("In Use MiB",'vInfo (Imported)'!$1:$5000,M425,FALSE)</f>
        <v>0</v>
      </c>
    </row>
    <row r="426" spans="1:22" ht="13" x14ac:dyDescent="0.3">
      <c r="A426" s="46">
        <f>'vHosts (Imported)'!A426</f>
        <v>0</v>
      </c>
      <c r="B426" s="51">
        <f t="shared" si="18"/>
        <v>4968</v>
      </c>
      <c r="C426" s="49">
        <f>HLOOKUP("# Cores",'vHosts (Imported)'!$1:$5000,M426,FALSE)</f>
        <v>0</v>
      </c>
      <c r="D426" s="52">
        <f>HLOOKUP("# Memory",'vHosts (Imported)'!$1:$5000,M426,FALSE)</f>
        <v>0</v>
      </c>
      <c r="M426" s="45">
        <f t="shared" si="20"/>
        <v>426</v>
      </c>
      <c r="N426" s="38">
        <f>HLOOKUP("Host",'vInfo (Imported)'!$1:$5000,M426,FALSE)</f>
        <v>0</v>
      </c>
      <c r="R426">
        <f>HLOOKUP("CPUs",'vInfo (Imported)'!$1:$5000,M426,FALSE)</f>
        <v>0</v>
      </c>
      <c r="S426">
        <f>HLOOKUP("Memory",'vInfo (Imported)'!$1:$5000,M426,FALSE)</f>
        <v>0</v>
      </c>
      <c r="T426">
        <f>HLOOKUP("Provisioned MiB",'vInfo (Imported)'!$1:$5000,M426,FALSE)</f>
        <v>0</v>
      </c>
      <c r="U426">
        <f t="shared" si="19"/>
        <v>0</v>
      </c>
      <c r="V426">
        <f>HLOOKUP("In Use MiB",'vInfo (Imported)'!$1:$5000,M426,FALSE)</f>
        <v>0</v>
      </c>
    </row>
    <row r="427" spans="1:22" ht="13" x14ac:dyDescent="0.3">
      <c r="A427" s="46">
        <f>'vHosts (Imported)'!A427</f>
        <v>0</v>
      </c>
      <c r="B427" s="51">
        <f t="shared" si="18"/>
        <v>4968</v>
      </c>
      <c r="C427" s="49">
        <f>HLOOKUP("# Cores",'vHosts (Imported)'!$1:$5000,M427,FALSE)</f>
        <v>0</v>
      </c>
      <c r="D427" s="52">
        <f>HLOOKUP("# Memory",'vHosts (Imported)'!$1:$5000,M427,FALSE)</f>
        <v>0</v>
      </c>
      <c r="M427" s="45">
        <f t="shared" si="20"/>
        <v>427</v>
      </c>
      <c r="N427" s="38">
        <f>HLOOKUP("Host",'vInfo (Imported)'!$1:$5000,M427,FALSE)</f>
        <v>0</v>
      </c>
      <c r="R427">
        <f>HLOOKUP("CPUs",'vInfo (Imported)'!$1:$5000,M427,FALSE)</f>
        <v>0</v>
      </c>
      <c r="S427">
        <f>HLOOKUP("Memory",'vInfo (Imported)'!$1:$5000,M427,FALSE)</f>
        <v>0</v>
      </c>
      <c r="T427">
        <f>HLOOKUP("Provisioned MiB",'vInfo (Imported)'!$1:$5000,M427,FALSE)</f>
        <v>0</v>
      </c>
      <c r="U427">
        <f t="shared" si="19"/>
        <v>0</v>
      </c>
      <c r="V427">
        <f>HLOOKUP("In Use MiB",'vInfo (Imported)'!$1:$5000,M427,FALSE)</f>
        <v>0</v>
      </c>
    </row>
    <row r="428" spans="1:22" ht="13" x14ac:dyDescent="0.3">
      <c r="A428" s="46">
        <f>'vHosts (Imported)'!A428</f>
        <v>0</v>
      </c>
      <c r="B428" s="51">
        <f t="shared" si="18"/>
        <v>4968</v>
      </c>
      <c r="C428" s="49">
        <f>HLOOKUP("# Cores",'vHosts (Imported)'!$1:$5000,M428,FALSE)</f>
        <v>0</v>
      </c>
      <c r="D428" s="52">
        <f>HLOOKUP("# Memory",'vHosts (Imported)'!$1:$5000,M428,FALSE)</f>
        <v>0</v>
      </c>
      <c r="M428" s="45">
        <f t="shared" si="20"/>
        <v>428</v>
      </c>
      <c r="N428" s="38">
        <f>HLOOKUP("Host",'vInfo (Imported)'!$1:$5000,M428,FALSE)</f>
        <v>0</v>
      </c>
      <c r="R428">
        <f>HLOOKUP("CPUs",'vInfo (Imported)'!$1:$5000,M428,FALSE)</f>
        <v>0</v>
      </c>
      <c r="S428">
        <f>HLOOKUP("Memory",'vInfo (Imported)'!$1:$5000,M428,FALSE)</f>
        <v>0</v>
      </c>
      <c r="T428">
        <f>HLOOKUP("Provisioned MiB",'vInfo (Imported)'!$1:$5000,M428,FALSE)</f>
        <v>0</v>
      </c>
      <c r="U428">
        <f t="shared" si="19"/>
        <v>0</v>
      </c>
      <c r="V428">
        <f>HLOOKUP("In Use MiB",'vInfo (Imported)'!$1:$5000,M428,FALSE)</f>
        <v>0</v>
      </c>
    </row>
    <row r="429" spans="1:22" ht="13" x14ac:dyDescent="0.3">
      <c r="A429" s="46">
        <f>'vHosts (Imported)'!A429</f>
        <v>0</v>
      </c>
      <c r="B429" s="51">
        <f t="shared" si="18"/>
        <v>4968</v>
      </c>
      <c r="C429" s="49">
        <f>HLOOKUP("# Cores",'vHosts (Imported)'!$1:$5000,M429,FALSE)</f>
        <v>0</v>
      </c>
      <c r="D429" s="52">
        <f>HLOOKUP("# Memory",'vHosts (Imported)'!$1:$5000,M429,FALSE)</f>
        <v>0</v>
      </c>
      <c r="M429" s="45">
        <f t="shared" si="20"/>
        <v>429</v>
      </c>
      <c r="N429" s="38">
        <f>HLOOKUP("Host",'vInfo (Imported)'!$1:$5000,M429,FALSE)</f>
        <v>0</v>
      </c>
      <c r="R429">
        <f>HLOOKUP("CPUs",'vInfo (Imported)'!$1:$5000,M429,FALSE)</f>
        <v>0</v>
      </c>
      <c r="S429">
        <f>HLOOKUP("Memory",'vInfo (Imported)'!$1:$5000,M429,FALSE)</f>
        <v>0</v>
      </c>
      <c r="T429">
        <f>HLOOKUP("Provisioned MiB",'vInfo (Imported)'!$1:$5000,M429,FALSE)</f>
        <v>0</v>
      </c>
      <c r="U429">
        <f t="shared" si="19"/>
        <v>0</v>
      </c>
      <c r="V429">
        <f>HLOOKUP("In Use MiB",'vInfo (Imported)'!$1:$5000,M429,FALSE)</f>
        <v>0</v>
      </c>
    </row>
    <row r="430" spans="1:22" ht="13" x14ac:dyDescent="0.3">
      <c r="A430" s="46">
        <f>'vHosts (Imported)'!A430</f>
        <v>0</v>
      </c>
      <c r="B430" s="51">
        <f t="shared" si="18"/>
        <v>4968</v>
      </c>
      <c r="C430" s="49">
        <f>HLOOKUP("# Cores",'vHosts (Imported)'!$1:$5000,M430,FALSE)</f>
        <v>0</v>
      </c>
      <c r="D430" s="52">
        <f>HLOOKUP("# Memory",'vHosts (Imported)'!$1:$5000,M430,FALSE)</f>
        <v>0</v>
      </c>
      <c r="M430" s="45">
        <f t="shared" si="20"/>
        <v>430</v>
      </c>
      <c r="N430" s="38">
        <f>HLOOKUP("Host",'vInfo (Imported)'!$1:$5000,M430,FALSE)</f>
        <v>0</v>
      </c>
      <c r="R430">
        <f>HLOOKUP("CPUs",'vInfo (Imported)'!$1:$5000,M430,FALSE)</f>
        <v>0</v>
      </c>
      <c r="S430">
        <f>HLOOKUP("Memory",'vInfo (Imported)'!$1:$5000,M430,FALSE)</f>
        <v>0</v>
      </c>
      <c r="T430">
        <f>HLOOKUP("Provisioned MiB",'vInfo (Imported)'!$1:$5000,M430,FALSE)</f>
        <v>0</v>
      </c>
      <c r="U430">
        <f t="shared" si="19"/>
        <v>0</v>
      </c>
      <c r="V430">
        <f>HLOOKUP("In Use MiB",'vInfo (Imported)'!$1:$5000,M430,FALSE)</f>
        <v>0</v>
      </c>
    </row>
    <row r="431" spans="1:22" ht="13" x14ac:dyDescent="0.3">
      <c r="A431" s="46">
        <f>'vHosts (Imported)'!A431</f>
        <v>0</v>
      </c>
      <c r="B431" s="51">
        <f t="shared" si="18"/>
        <v>4968</v>
      </c>
      <c r="C431" s="49">
        <f>HLOOKUP("# Cores",'vHosts (Imported)'!$1:$5000,M431,FALSE)</f>
        <v>0</v>
      </c>
      <c r="D431" s="52">
        <f>HLOOKUP("# Memory",'vHosts (Imported)'!$1:$5000,M431,FALSE)</f>
        <v>0</v>
      </c>
      <c r="M431" s="45">
        <f t="shared" si="20"/>
        <v>431</v>
      </c>
      <c r="N431" s="38">
        <f>HLOOKUP("Host",'vInfo (Imported)'!$1:$5000,M431,FALSE)</f>
        <v>0</v>
      </c>
      <c r="R431">
        <f>HLOOKUP("CPUs",'vInfo (Imported)'!$1:$5000,M431,FALSE)</f>
        <v>0</v>
      </c>
      <c r="S431">
        <f>HLOOKUP("Memory",'vInfo (Imported)'!$1:$5000,M431,FALSE)</f>
        <v>0</v>
      </c>
      <c r="T431">
        <f>HLOOKUP("Provisioned MiB",'vInfo (Imported)'!$1:$5000,M431,FALSE)</f>
        <v>0</v>
      </c>
      <c r="U431">
        <f t="shared" si="19"/>
        <v>0</v>
      </c>
      <c r="V431">
        <f>HLOOKUP("In Use MiB",'vInfo (Imported)'!$1:$5000,M431,FALSE)</f>
        <v>0</v>
      </c>
    </row>
    <row r="432" spans="1:22" ht="13" x14ac:dyDescent="0.3">
      <c r="A432" s="46">
        <f>'vHosts (Imported)'!A432</f>
        <v>0</v>
      </c>
      <c r="B432" s="51">
        <f t="shared" si="18"/>
        <v>4968</v>
      </c>
      <c r="C432" s="49">
        <f>HLOOKUP("# Cores",'vHosts (Imported)'!$1:$5000,M432,FALSE)</f>
        <v>0</v>
      </c>
      <c r="D432" s="52">
        <f>HLOOKUP("# Memory",'vHosts (Imported)'!$1:$5000,M432,FALSE)</f>
        <v>0</v>
      </c>
      <c r="M432" s="45">
        <f t="shared" si="20"/>
        <v>432</v>
      </c>
      <c r="N432" s="38">
        <f>HLOOKUP("Host",'vInfo (Imported)'!$1:$5000,M432,FALSE)</f>
        <v>0</v>
      </c>
      <c r="R432">
        <f>HLOOKUP("CPUs",'vInfo (Imported)'!$1:$5000,M432,FALSE)</f>
        <v>0</v>
      </c>
      <c r="S432">
        <f>HLOOKUP("Memory",'vInfo (Imported)'!$1:$5000,M432,FALSE)</f>
        <v>0</v>
      </c>
      <c r="T432">
        <f>HLOOKUP("Provisioned MiB",'vInfo (Imported)'!$1:$5000,M432,FALSE)</f>
        <v>0</v>
      </c>
      <c r="U432">
        <f t="shared" si="19"/>
        <v>0</v>
      </c>
      <c r="V432">
        <f>HLOOKUP("In Use MiB",'vInfo (Imported)'!$1:$5000,M432,FALSE)</f>
        <v>0</v>
      </c>
    </row>
    <row r="433" spans="1:22" ht="13" x14ac:dyDescent="0.3">
      <c r="A433" s="46">
        <f>'vHosts (Imported)'!A433</f>
        <v>0</v>
      </c>
      <c r="B433" s="51">
        <f t="shared" si="18"/>
        <v>4968</v>
      </c>
      <c r="C433" s="49">
        <f>HLOOKUP("# Cores",'vHosts (Imported)'!$1:$5000,M433,FALSE)</f>
        <v>0</v>
      </c>
      <c r="D433" s="52">
        <f>HLOOKUP("# Memory",'vHosts (Imported)'!$1:$5000,M433,FALSE)</f>
        <v>0</v>
      </c>
      <c r="M433" s="45">
        <f t="shared" si="20"/>
        <v>433</v>
      </c>
      <c r="N433" s="38">
        <f>HLOOKUP("Host",'vInfo (Imported)'!$1:$5000,M433,FALSE)</f>
        <v>0</v>
      </c>
      <c r="R433">
        <f>HLOOKUP("CPUs",'vInfo (Imported)'!$1:$5000,M433,FALSE)</f>
        <v>0</v>
      </c>
      <c r="S433">
        <f>HLOOKUP("Memory",'vInfo (Imported)'!$1:$5000,M433,FALSE)</f>
        <v>0</v>
      </c>
      <c r="T433">
        <f>HLOOKUP("Provisioned MiB",'vInfo (Imported)'!$1:$5000,M433,FALSE)</f>
        <v>0</v>
      </c>
      <c r="U433">
        <f t="shared" si="19"/>
        <v>0</v>
      </c>
      <c r="V433">
        <f>HLOOKUP("In Use MiB",'vInfo (Imported)'!$1:$5000,M433,FALSE)</f>
        <v>0</v>
      </c>
    </row>
    <row r="434" spans="1:22" ht="13" x14ac:dyDescent="0.3">
      <c r="A434" s="46">
        <f>'vHosts (Imported)'!A434</f>
        <v>0</v>
      </c>
      <c r="B434" s="51">
        <f t="shared" si="18"/>
        <v>4968</v>
      </c>
      <c r="C434" s="49">
        <f>HLOOKUP("# Cores",'vHosts (Imported)'!$1:$5000,M434,FALSE)</f>
        <v>0</v>
      </c>
      <c r="D434" s="52">
        <f>HLOOKUP("# Memory",'vHosts (Imported)'!$1:$5000,M434,FALSE)</f>
        <v>0</v>
      </c>
      <c r="M434" s="45">
        <f t="shared" si="20"/>
        <v>434</v>
      </c>
      <c r="N434" s="38">
        <f>HLOOKUP("Host",'vInfo (Imported)'!$1:$5000,M434,FALSE)</f>
        <v>0</v>
      </c>
      <c r="R434">
        <f>HLOOKUP("CPUs",'vInfo (Imported)'!$1:$5000,M434,FALSE)</f>
        <v>0</v>
      </c>
      <c r="S434">
        <f>HLOOKUP("Memory",'vInfo (Imported)'!$1:$5000,M434,FALSE)</f>
        <v>0</v>
      </c>
      <c r="T434">
        <f>HLOOKUP("Provisioned MiB",'vInfo (Imported)'!$1:$5000,M434,FALSE)</f>
        <v>0</v>
      </c>
      <c r="U434">
        <f t="shared" si="19"/>
        <v>0</v>
      </c>
      <c r="V434">
        <f>HLOOKUP("In Use MiB",'vInfo (Imported)'!$1:$5000,M434,FALSE)</f>
        <v>0</v>
      </c>
    </row>
    <row r="435" spans="1:22" ht="13" x14ac:dyDescent="0.3">
      <c r="A435" s="46">
        <f>'vHosts (Imported)'!A435</f>
        <v>0</v>
      </c>
      <c r="B435" s="51">
        <f t="shared" si="18"/>
        <v>4968</v>
      </c>
      <c r="C435" s="49">
        <f>HLOOKUP("# Cores",'vHosts (Imported)'!$1:$5000,M435,FALSE)</f>
        <v>0</v>
      </c>
      <c r="D435" s="52">
        <f>HLOOKUP("# Memory",'vHosts (Imported)'!$1:$5000,M435,FALSE)</f>
        <v>0</v>
      </c>
      <c r="M435" s="45">
        <f t="shared" si="20"/>
        <v>435</v>
      </c>
      <c r="N435" s="38">
        <f>HLOOKUP("Host",'vInfo (Imported)'!$1:$5000,M435,FALSE)</f>
        <v>0</v>
      </c>
      <c r="R435">
        <f>HLOOKUP("CPUs",'vInfo (Imported)'!$1:$5000,M435,FALSE)</f>
        <v>0</v>
      </c>
      <c r="S435">
        <f>HLOOKUP("Memory",'vInfo (Imported)'!$1:$5000,M435,FALSE)</f>
        <v>0</v>
      </c>
      <c r="T435">
        <f>HLOOKUP("Provisioned MiB",'vInfo (Imported)'!$1:$5000,M435,FALSE)</f>
        <v>0</v>
      </c>
      <c r="U435">
        <f t="shared" si="19"/>
        <v>0</v>
      </c>
      <c r="V435">
        <f>HLOOKUP("In Use MiB",'vInfo (Imported)'!$1:$5000,M435,FALSE)</f>
        <v>0</v>
      </c>
    </row>
    <row r="436" spans="1:22" ht="13" x14ac:dyDescent="0.3">
      <c r="A436" s="46">
        <f>'vHosts (Imported)'!A436</f>
        <v>0</v>
      </c>
      <c r="B436" s="51">
        <f t="shared" si="18"/>
        <v>4968</v>
      </c>
      <c r="C436" s="49">
        <f>HLOOKUP("# Cores",'vHosts (Imported)'!$1:$5000,M436,FALSE)</f>
        <v>0</v>
      </c>
      <c r="D436" s="52">
        <f>HLOOKUP("# Memory",'vHosts (Imported)'!$1:$5000,M436,FALSE)</f>
        <v>0</v>
      </c>
      <c r="M436" s="45">
        <f t="shared" si="20"/>
        <v>436</v>
      </c>
      <c r="N436" s="38">
        <f>HLOOKUP("Host",'vInfo (Imported)'!$1:$5000,M436,FALSE)</f>
        <v>0</v>
      </c>
      <c r="R436">
        <f>HLOOKUP("CPUs",'vInfo (Imported)'!$1:$5000,M436,FALSE)</f>
        <v>0</v>
      </c>
      <c r="S436">
        <f>HLOOKUP("Memory",'vInfo (Imported)'!$1:$5000,M436,FALSE)</f>
        <v>0</v>
      </c>
      <c r="T436">
        <f>HLOOKUP("Provisioned MiB",'vInfo (Imported)'!$1:$5000,M436,FALSE)</f>
        <v>0</v>
      </c>
      <c r="U436">
        <f t="shared" si="19"/>
        <v>0</v>
      </c>
      <c r="V436">
        <f>HLOOKUP("In Use MiB",'vInfo (Imported)'!$1:$5000,M436,FALSE)</f>
        <v>0</v>
      </c>
    </row>
    <row r="437" spans="1:22" ht="13" x14ac:dyDescent="0.3">
      <c r="A437" s="46">
        <f>'vHosts (Imported)'!A437</f>
        <v>0</v>
      </c>
      <c r="B437" s="51">
        <f t="shared" si="18"/>
        <v>4968</v>
      </c>
      <c r="C437" s="49">
        <f>HLOOKUP("# Cores",'vHosts (Imported)'!$1:$5000,M437,FALSE)</f>
        <v>0</v>
      </c>
      <c r="D437" s="52">
        <f>HLOOKUP("# Memory",'vHosts (Imported)'!$1:$5000,M437,FALSE)</f>
        <v>0</v>
      </c>
      <c r="M437" s="45">
        <f t="shared" si="20"/>
        <v>437</v>
      </c>
      <c r="N437" s="38">
        <f>HLOOKUP("Host",'vInfo (Imported)'!$1:$5000,M437,FALSE)</f>
        <v>0</v>
      </c>
      <c r="R437">
        <f>HLOOKUP("CPUs",'vInfo (Imported)'!$1:$5000,M437,FALSE)</f>
        <v>0</v>
      </c>
      <c r="S437">
        <f>HLOOKUP("Memory",'vInfo (Imported)'!$1:$5000,M437,FALSE)</f>
        <v>0</v>
      </c>
      <c r="T437">
        <f>HLOOKUP("Provisioned MiB",'vInfo (Imported)'!$1:$5000,M437,FALSE)</f>
        <v>0</v>
      </c>
      <c r="U437">
        <f t="shared" si="19"/>
        <v>0</v>
      </c>
      <c r="V437">
        <f>HLOOKUP("In Use MiB",'vInfo (Imported)'!$1:$5000,M437,FALSE)</f>
        <v>0</v>
      </c>
    </row>
    <row r="438" spans="1:22" ht="13" x14ac:dyDescent="0.3">
      <c r="A438" s="46">
        <f>'vHosts (Imported)'!A438</f>
        <v>0</v>
      </c>
      <c r="B438" s="51">
        <f t="shared" si="18"/>
        <v>4968</v>
      </c>
      <c r="C438" s="49">
        <f>HLOOKUP("# Cores",'vHosts (Imported)'!$1:$5000,M438,FALSE)</f>
        <v>0</v>
      </c>
      <c r="D438" s="52">
        <f>HLOOKUP("# Memory",'vHosts (Imported)'!$1:$5000,M438,FALSE)</f>
        <v>0</v>
      </c>
      <c r="M438" s="45">
        <f t="shared" si="20"/>
        <v>438</v>
      </c>
      <c r="N438" s="38">
        <f>HLOOKUP("Host",'vInfo (Imported)'!$1:$5000,M438,FALSE)</f>
        <v>0</v>
      </c>
      <c r="R438">
        <f>HLOOKUP("CPUs",'vInfo (Imported)'!$1:$5000,M438,FALSE)</f>
        <v>0</v>
      </c>
      <c r="S438">
        <f>HLOOKUP("Memory",'vInfo (Imported)'!$1:$5000,M438,FALSE)</f>
        <v>0</v>
      </c>
      <c r="T438">
        <f>HLOOKUP("Provisioned MiB",'vInfo (Imported)'!$1:$5000,M438,FALSE)</f>
        <v>0</v>
      </c>
      <c r="U438">
        <f t="shared" si="19"/>
        <v>0</v>
      </c>
      <c r="V438">
        <f>HLOOKUP("In Use MiB",'vInfo (Imported)'!$1:$5000,M438,FALSE)</f>
        <v>0</v>
      </c>
    </row>
    <row r="439" spans="1:22" ht="13" x14ac:dyDescent="0.3">
      <c r="A439" s="46">
        <f>'vHosts (Imported)'!A439</f>
        <v>0</v>
      </c>
      <c r="B439" s="51">
        <f t="shared" si="18"/>
        <v>4968</v>
      </c>
      <c r="C439" s="49">
        <f>HLOOKUP("# Cores",'vHosts (Imported)'!$1:$5000,M439,FALSE)</f>
        <v>0</v>
      </c>
      <c r="D439" s="52">
        <f>HLOOKUP("# Memory",'vHosts (Imported)'!$1:$5000,M439,FALSE)</f>
        <v>0</v>
      </c>
      <c r="M439" s="45">
        <f t="shared" si="20"/>
        <v>439</v>
      </c>
      <c r="N439" s="38">
        <f>HLOOKUP("Host",'vInfo (Imported)'!$1:$5000,M439,FALSE)</f>
        <v>0</v>
      </c>
      <c r="R439">
        <f>HLOOKUP("CPUs",'vInfo (Imported)'!$1:$5000,M439,FALSE)</f>
        <v>0</v>
      </c>
      <c r="S439">
        <f>HLOOKUP("Memory",'vInfo (Imported)'!$1:$5000,M439,FALSE)</f>
        <v>0</v>
      </c>
      <c r="T439">
        <f>HLOOKUP("Provisioned MiB",'vInfo (Imported)'!$1:$5000,M439,FALSE)</f>
        <v>0</v>
      </c>
      <c r="U439">
        <f t="shared" si="19"/>
        <v>0</v>
      </c>
      <c r="V439">
        <f>HLOOKUP("In Use MiB",'vInfo (Imported)'!$1:$5000,M439,FALSE)</f>
        <v>0</v>
      </c>
    </row>
    <row r="440" spans="1:22" ht="13" x14ac:dyDescent="0.3">
      <c r="A440" s="46">
        <f>'vHosts (Imported)'!A440</f>
        <v>0</v>
      </c>
      <c r="B440" s="51">
        <f t="shared" si="18"/>
        <v>4968</v>
      </c>
      <c r="C440" s="49">
        <f>HLOOKUP("# Cores",'vHosts (Imported)'!$1:$5000,M440,FALSE)</f>
        <v>0</v>
      </c>
      <c r="D440" s="52">
        <f>HLOOKUP("# Memory",'vHosts (Imported)'!$1:$5000,M440,FALSE)</f>
        <v>0</v>
      </c>
      <c r="M440" s="45">
        <f t="shared" si="20"/>
        <v>440</v>
      </c>
      <c r="N440" s="38">
        <f>HLOOKUP("Host",'vInfo (Imported)'!$1:$5000,M440,FALSE)</f>
        <v>0</v>
      </c>
      <c r="R440">
        <f>HLOOKUP("CPUs",'vInfo (Imported)'!$1:$5000,M440,FALSE)</f>
        <v>0</v>
      </c>
      <c r="S440">
        <f>HLOOKUP("Memory",'vInfo (Imported)'!$1:$5000,M440,FALSE)</f>
        <v>0</v>
      </c>
      <c r="T440">
        <f>HLOOKUP("Provisioned MiB",'vInfo (Imported)'!$1:$5000,M440,FALSE)</f>
        <v>0</v>
      </c>
      <c r="U440">
        <f t="shared" si="19"/>
        <v>0</v>
      </c>
      <c r="V440">
        <f>HLOOKUP("In Use MiB",'vInfo (Imported)'!$1:$5000,M440,FALSE)</f>
        <v>0</v>
      </c>
    </row>
    <row r="441" spans="1:22" ht="13" x14ac:dyDescent="0.3">
      <c r="A441" s="46">
        <f>'vHosts (Imported)'!A441</f>
        <v>0</v>
      </c>
      <c r="B441" s="51">
        <f t="shared" si="18"/>
        <v>4968</v>
      </c>
      <c r="C441" s="49">
        <f>HLOOKUP("# Cores",'vHosts (Imported)'!$1:$5000,M441,FALSE)</f>
        <v>0</v>
      </c>
      <c r="D441" s="52">
        <f>HLOOKUP("# Memory",'vHosts (Imported)'!$1:$5000,M441,FALSE)</f>
        <v>0</v>
      </c>
      <c r="M441" s="45">
        <f t="shared" si="20"/>
        <v>441</v>
      </c>
      <c r="N441" s="38">
        <f>HLOOKUP("Host",'vInfo (Imported)'!$1:$5000,M441,FALSE)</f>
        <v>0</v>
      </c>
      <c r="R441">
        <f>HLOOKUP("CPUs",'vInfo (Imported)'!$1:$5000,M441,FALSE)</f>
        <v>0</v>
      </c>
      <c r="S441">
        <f>HLOOKUP("Memory",'vInfo (Imported)'!$1:$5000,M441,FALSE)</f>
        <v>0</v>
      </c>
      <c r="T441">
        <f>HLOOKUP("Provisioned MiB",'vInfo (Imported)'!$1:$5000,M441,FALSE)</f>
        <v>0</v>
      </c>
      <c r="U441">
        <f t="shared" si="19"/>
        <v>0</v>
      </c>
      <c r="V441">
        <f>HLOOKUP("In Use MiB",'vInfo (Imported)'!$1:$5000,M441,FALSE)</f>
        <v>0</v>
      </c>
    </row>
    <row r="442" spans="1:22" ht="13" x14ac:dyDescent="0.3">
      <c r="A442" s="46">
        <f>'vHosts (Imported)'!A442</f>
        <v>0</v>
      </c>
      <c r="B442" s="51">
        <f t="shared" si="18"/>
        <v>4968</v>
      </c>
      <c r="C442" s="49">
        <f>HLOOKUP("# Cores",'vHosts (Imported)'!$1:$5000,M442,FALSE)</f>
        <v>0</v>
      </c>
      <c r="D442" s="52">
        <f>HLOOKUP("# Memory",'vHosts (Imported)'!$1:$5000,M442,FALSE)</f>
        <v>0</v>
      </c>
      <c r="M442" s="45">
        <f t="shared" si="20"/>
        <v>442</v>
      </c>
      <c r="N442" s="38">
        <f>HLOOKUP("Host",'vInfo (Imported)'!$1:$5000,M442,FALSE)</f>
        <v>0</v>
      </c>
      <c r="R442">
        <f>HLOOKUP("CPUs",'vInfo (Imported)'!$1:$5000,M442,FALSE)</f>
        <v>0</v>
      </c>
      <c r="S442">
        <f>HLOOKUP("Memory",'vInfo (Imported)'!$1:$5000,M442,FALSE)</f>
        <v>0</v>
      </c>
      <c r="T442">
        <f>HLOOKUP("Provisioned MiB",'vInfo (Imported)'!$1:$5000,M442,FALSE)</f>
        <v>0</v>
      </c>
      <c r="U442">
        <f t="shared" si="19"/>
        <v>0</v>
      </c>
      <c r="V442">
        <f>HLOOKUP("In Use MiB",'vInfo (Imported)'!$1:$5000,M442,FALSE)</f>
        <v>0</v>
      </c>
    </row>
    <row r="443" spans="1:22" ht="13" x14ac:dyDescent="0.3">
      <c r="A443" s="46">
        <f>'vHosts (Imported)'!A443</f>
        <v>0</v>
      </c>
      <c r="B443" s="51">
        <f t="shared" si="18"/>
        <v>4968</v>
      </c>
      <c r="C443" s="49">
        <f>HLOOKUP("# Cores",'vHosts (Imported)'!$1:$5000,M443,FALSE)</f>
        <v>0</v>
      </c>
      <c r="D443" s="52">
        <f>HLOOKUP("# Memory",'vHosts (Imported)'!$1:$5000,M443,FALSE)</f>
        <v>0</v>
      </c>
      <c r="M443" s="45">
        <f t="shared" si="20"/>
        <v>443</v>
      </c>
      <c r="N443" s="38">
        <f>HLOOKUP("Host",'vInfo (Imported)'!$1:$5000,M443,FALSE)</f>
        <v>0</v>
      </c>
      <c r="R443">
        <f>HLOOKUP("CPUs",'vInfo (Imported)'!$1:$5000,M443,FALSE)</f>
        <v>0</v>
      </c>
      <c r="S443">
        <f>HLOOKUP("Memory",'vInfo (Imported)'!$1:$5000,M443,FALSE)</f>
        <v>0</v>
      </c>
      <c r="T443">
        <f>HLOOKUP("Provisioned MiB",'vInfo (Imported)'!$1:$5000,M443,FALSE)</f>
        <v>0</v>
      </c>
      <c r="U443">
        <f t="shared" si="19"/>
        <v>0</v>
      </c>
      <c r="V443">
        <f>HLOOKUP("In Use MiB",'vInfo (Imported)'!$1:$5000,M443,FALSE)</f>
        <v>0</v>
      </c>
    </row>
    <row r="444" spans="1:22" ht="13" x14ac:dyDescent="0.3">
      <c r="A444" s="46">
        <f>'vHosts (Imported)'!A444</f>
        <v>0</v>
      </c>
      <c r="B444" s="51">
        <f t="shared" si="18"/>
        <v>4968</v>
      </c>
      <c r="C444" s="49">
        <f>HLOOKUP("# Cores",'vHosts (Imported)'!$1:$5000,M444,FALSE)</f>
        <v>0</v>
      </c>
      <c r="D444" s="52">
        <f>HLOOKUP("# Memory",'vHosts (Imported)'!$1:$5000,M444,FALSE)</f>
        <v>0</v>
      </c>
      <c r="M444" s="45">
        <f t="shared" si="20"/>
        <v>444</v>
      </c>
      <c r="N444" s="38">
        <f>HLOOKUP("Host",'vInfo (Imported)'!$1:$5000,M444,FALSE)</f>
        <v>0</v>
      </c>
      <c r="R444">
        <f>HLOOKUP("CPUs",'vInfo (Imported)'!$1:$5000,M444,FALSE)</f>
        <v>0</v>
      </c>
      <c r="S444">
        <f>HLOOKUP("Memory",'vInfo (Imported)'!$1:$5000,M444,FALSE)</f>
        <v>0</v>
      </c>
      <c r="T444">
        <f>HLOOKUP("Provisioned MiB",'vInfo (Imported)'!$1:$5000,M444,FALSE)</f>
        <v>0</v>
      </c>
      <c r="U444">
        <f t="shared" si="19"/>
        <v>0</v>
      </c>
      <c r="V444">
        <f>HLOOKUP("In Use MiB",'vInfo (Imported)'!$1:$5000,M444,FALSE)</f>
        <v>0</v>
      </c>
    </row>
    <row r="445" spans="1:22" ht="13" x14ac:dyDescent="0.3">
      <c r="A445" s="46">
        <f>'vHosts (Imported)'!A445</f>
        <v>0</v>
      </c>
      <c r="B445" s="51">
        <f t="shared" si="18"/>
        <v>4968</v>
      </c>
      <c r="C445" s="49">
        <f>HLOOKUP("# Cores",'vHosts (Imported)'!$1:$5000,M445,FALSE)</f>
        <v>0</v>
      </c>
      <c r="D445" s="52">
        <f>HLOOKUP("# Memory",'vHosts (Imported)'!$1:$5000,M445,FALSE)</f>
        <v>0</v>
      </c>
      <c r="M445" s="45">
        <f t="shared" si="20"/>
        <v>445</v>
      </c>
      <c r="N445" s="38">
        <f>HLOOKUP("Host",'vInfo (Imported)'!$1:$5000,M445,FALSE)</f>
        <v>0</v>
      </c>
      <c r="R445">
        <f>HLOOKUP("CPUs",'vInfo (Imported)'!$1:$5000,M445,FALSE)</f>
        <v>0</v>
      </c>
      <c r="S445">
        <f>HLOOKUP("Memory",'vInfo (Imported)'!$1:$5000,M445,FALSE)</f>
        <v>0</v>
      </c>
      <c r="T445">
        <f>HLOOKUP("Provisioned MiB",'vInfo (Imported)'!$1:$5000,M445,FALSE)</f>
        <v>0</v>
      </c>
      <c r="U445">
        <f t="shared" si="19"/>
        <v>0</v>
      </c>
      <c r="V445">
        <f>HLOOKUP("In Use MiB",'vInfo (Imported)'!$1:$5000,M445,FALSE)</f>
        <v>0</v>
      </c>
    </row>
    <row r="446" spans="1:22" ht="13" x14ac:dyDescent="0.3">
      <c r="A446" s="46">
        <f>'vHosts (Imported)'!A446</f>
        <v>0</v>
      </c>
      <c r="B446" s="51">
        <f t="shared" si="18"/>
        <v>4968</v>
      </c>
      <c r="C446" s="49">
        <f>HLOOKUP("# Cores",'vHosts (Imported)'!$1:$5000,M446,FALSE)</f>
        <v>0</v>
      </c>
      <c r="D446" s="52">
        <f>HLOOKUP("# Memory",'vHosts (Imported)'!$1:$5000,M446,FALSE)</f>
        <v>0</v>
      </c>
      <c r="M446" s="45">
        <f t="shared" si="20"/>
        <v>446</v>
      </c>
      <c r="N446" s="38">
        <f>HLOOKUP("Host",'vInfo (Imported)'!$1:$5000,M446,FALSE)</f>
        <v>0</v>
      </c>
      <c r="R446">
        <f>HLOOKUP("CPUs",'vInfo (Imported)'!$1:$5000,M446,FALSE)</f>
        <v>0</v>
      </c>
      <c r="S446">
        <f>HLOOKUP("Memory",'vInfo (Imported)'!$1:$5000,M446,FALSE)</f>
        <v>0</v>
      </c>
      <c r="T446">
        <f>HLOOKUP("Provisioned MiB",'vInfo (Imported)'!$1:$5000,M446,FALSE)</f>
        <v>0</v>
      </c>
      <c r="U446">
        <f t="shared" si="19"/>
        <v>0</v>
      </c>
      <c r="V446">
        <f>HLOOKUP("In Use MiB",'vInfo (Imported)'!$1:$5000,M446,FALSE)</f>
        <v>0</v>
      </c>
    </row>
    <row r="447" spans="1:22" ht="13" x14ac:dyDescent="0.3">
      <c r="A447" s="46">
        <f>'vHosts (Imported)'!A447</f>
        <v>0</v>
      </c>
      <c r="B447" s="51">
        <f t="shared" si="18"/>
        <v>4968</v>
      </c>
      <c r="C447" s="49">
        <f>HLOOKUP("# Cores",'vHosts (Imported)'!$1:$5000,M447,FALSE)</f>
        <v>0</v>
      </c>
      <c r="D447" s="52">
        <f>HLOOKUP("# Memory",'vHosts (Imported)'!$1:$5000,M447,FALSE)</f>
        <v>0</v>
      </c>
      <c r="M447" s="45">
        <f t="shared" si="20"/>
        <v>447</v>
      </c>
      <c r="N447" s="38">
        <f>HLOOKUP("Host",'vInfo (Imported)'!$1:$5000,M447,FALSE)</f>
        <v>0</v>
      </c>
      <c r="R447">
        <f>HLOOKUP("CPUs",'vInfo (Imported)'!$1:$5000,M447,FALSE)</f>
        <v>0</v>
      </c>
      <c r="S447">
        <f>HLOOKUP("Memory",'vInfo (Imported)'!$1:$5000,M447,FALSE)</f>
        <v>0</v>
      </c>
      <c r="T447">
        <f>HLOOKUP("Provisioned MiB",'vInfo (Imported)'!$1:$5000,M447,FALSE)</f>
        <v>0</v>
      </c>
      <c r="U447">
        <f t="shared" si="19"/>
        <v>0</v>
      </c>
      <c r="V447">
        <f>HLOOKUP("In Use MiB",'vInfo (Imported)'!$1:$5000,M447,FALSE)</f>
        <v>0</v>
      </c>
    </row>
    <row r="448" spans="1:22" ht="13" x14ac:dyDescent="0.3">
      <c r="A448" s="46">
        <f>'vHosts (Imported)'!A448</f>
        <v>0</v>
      </c>
      <c r="B448" s="51">
        <f t="shared" si="18"/>
        <v>4968</v>
      </c>
      <c r="C448" s="49">
        <f>HLOOKUP("# Cores",'vHosts (Imported)'!$1:$5000,M448,FALSE)</f>
        <v>0</v>
      </c>
      <c r="D448" s="52">
        <f>HLOOKUP("# Memory",'vHosts (Imported)'!$1:$5000,M448,FALSE)</f>
        <v>0</v>
      </c>
      <c r="M448" s="45">
        <f t="shared" si="20"/>
        <v>448</v>
      </c>
      <c r="N448" s="38">
        <f>HLOOKUP("Host",'vInfo (Imported)'!$1:$5000,M448,FALSE)</f>
        <v>0</v>
      </c>
      <c r="R448">
        <f>HLOOKUP("CPUs",'vInfo (Imported)'!$1:$5000,M448,FALSE)</f>
        <v>0</v>
      </c>
      <c r="S448">
        <f>HLOOKUP("Memory",'vInfo (Imported)'!$1:$5000,M448,FALSE)</f>
        <v>0</v>
      </c>
      <c r="T448">
        <f>HLOOKUP("Provisioned MiB",'vInfo (Imported)'!$1:$5000,M448,FALSE)</f>
        <v>0</v>
      </c>
      <c r="U448">
        <f t="shared" si="19"/>
        <v>0</v>
      </c>
      <c r="V448">
        <f>HLOOKUP("In Use MiB",'vInfo (Imported)'!$1:$5000,M448,FALSE)</f>
        <v>0</v>
      </c>
    </row>
    <row r="449" spans="1:22" ht="13" x14ac:dyDescent="0.3">
      <c r="A449" s="46">
        <f>'vHosts (Imported)'!A449</f>
        <v>0</v>
      </c>
      <c r="B449" s="51">
        <f t="shared" si="18"/>
        <v>4968</v>
      </c>
      <c r="C449" s="49">
        <f>HLOOKUP("# Cores",'vHosts (Imported)'!$1:$5000,M449,FALSE)</f>
        <v>0</v>
      </c>
      <c r="D449" s="52">
        <f>HLOOKUP("# Memory",'vHosts (Imported)'!$1:$5000,M449,FALSE)</f>
        <v>0</v>
      </c>
      <c r="M449" s="45">
        <f t="shared" si="20"/>
        <v>449</v>
      </c>
      <c r="N449" s="38">
        <f>HLOOKUP("Host",'vInfo (Imported)'!$1:$5000,M449,FALSE)</f>
        <v>0</v>
      </c>
      <c r="R449">
        <f>HLOOKUP("CPUs",'vInfo (Imported)'!$1:$5000,M449,FALSE)</f>
        <v>0</v>
      </c>
      <c r="S449">
        <f>HLOOKUP("Memory",'vInfo (Imported)'!$1:$5000,M449,FALSE)</f>
        <v>0</v>
      </c>
      <c r="T449">
        <f>HLOOKUP("Provisioned MiB",'vInfo (Imported)'!$1:$5000,M449,FALSE)</f>
        <v>0</v>
      </c>
      <c r="U449">
        <f t="shared" si="19"/>
        <v>0</v>
      </c>
      <c r="V449">
        <f>HLOOKUP("In Use MiB",'vInfo (Imported)'!$1:$5000,M449,FALSE)</f>
        <v>0</v>
      </c>
    </row>
    <row r="450" spans="1:22" ht="13" x14ac:dyDescent="0.3">
      <c r="A450" s="46">
        <f>'vHosts (Imported)'!A450</f>
        <v>0</v>
      </c>
      <c r="B450" s="51">
        <f t="shared" ref="B450:B513" si="21">COUNTIFS(N:N,IF(A450=0,"0",A450))</f>
        <v>4968</v>
      </c>
      <c r="C450" s="49">
        <f>HLOOKUP("# Cores",'vHosts (Imported)'!$1:$5000,M450,FALSE)</f>
        <v>0</v>
      </c>
      <c r="D450" s="52">
        <f>HLOOKUP("# Memory",'vHosts (Imported)'!$1:$5000,M450,FALSE)</f>
        <v>0</v>
      </c>
      <c r="M450" s="45">
        <f t="shared" si="20"/>
        <v>450</v>
      </c>
      <c r="N450" s="38">
        <f>HLOOKUP("Host",'vInfo (Imported)'!$1:$5000,M450,FALSE)</f>
        <v>0</v>
      </c>
      <c r="R450">
        <f>HLOOKUP("CPUs",'vInfo (Imported)'!$1:$5000,M450,FALSE)</f>
        <v>0</v>
      </c>
      <c r="S450">
        <f>HLOOKUP("Memory",'vInfo (Imported)'!$1:$5000,M450,FALSE)</f>
        <v>0</v>
      </c>
      <c r="T450">
        <f>HLOOKUP("Provisioned MiB",'vInfo (Imported)'!$1:$5000,M450,FALSE)</f>
        <v>0</v>
      </c>
      <c r="U450">
        <f t="shared" si="19"/>
        <v>0</v>
      </c>
      <c r="V450">
        <f>HLOOKUP("In Use MiB",'vInfo (Imported)'!$1:$5000,M450,FALSE)</f>
        <v>0</v>
      </c>
    </row>
    <row r="451" spans="1:22" ht="13" x14ac:dyDescent="0.3">
      <c r="A451" s="46">
        <f>'vHosts (Imported)'!A451</f>
        <v>0</v>
      </c>
      <c r="B451" s="51">
        <f t="shared" si="21"/>
        <v>4968</v>
      </c>
      <c r="C451" s="49">
        <f>HLOOKUP("# Cores",'vHosts (Imported)'!$1:$5000,M451,FALSE)</f>
        <v>0</v>
      </c>
      <c r="D451" s="52">
        <f>HLOOKUP("# Memory",'vHosts (Imported)'!$1:$5000,M451,FALSE)</f>
        <v>0</v>
      </c>
      <c r="M451" s="45">
        <f t="shared" si="20"/>
        <v>451</v>
      </c>
      <c r="N451" s="38">
        <f>HLOOKUP("Host",'vInfo (Imported)'!$1:$5000,M451,FALSE)</f>
        <v>0</v>
      </c>
      <c r="R451">
        <f>HLOOKUP("CPUs",'vInfo (Imported)'!$1:$5000,M451,FALSE)</f>
        <v>0</v>
      </c>
      <c r="S451">
        <f>HLOOKUP("Memory",'vInfo (Imported)'!$1:$5000,M451,FALSE)</f>
        <v>0</v>
      </c>
      <c r="T451">
        <f>HLOOKUP("Provisioned MiB",'vInfo (Imported)'!$1:$5000,M451,FALSE)</f>
        <v>0</v>
      </c>
      <c r="U451">
        <f t="shared" ref="U451:U514" si="22">T451-V451</f>
        <v>0</v>
      </c>
      <c r="V451">
        <f>HLOOKUP("In Use MiB",'vInfo (Imported)'!$1:$5000,M451,FALSE)</f>
        <v>0</v>
      </c>
    </row>
    <row r="452" spans="1:22" ht="13" x14ac:dyDescent="0.3">
      <c r="A452" s="46">
        <f>'vHosts (Imported)'!A452</f>
        <v>0</v>
      </c>
      <c r="B452" s="51">
        <f t="shared" si="21"/>
        <v>4968</v>
      </c>
      <c r="C452" s="49">
        <f>HLOOKUP("# Cores",'vHosts (Imported)'!$1:$5000,M452,FALSE)</f>
        <v>0</v>
      </c>
      <c r="D452" s="52">
        <f>HLOOKUP("# Memory",'vHosts (Imported)'!$1:$5000,M452,FALSE)</f>
        <v>0</v>
      </c>
      <c r="M452" s="45">
        <f t="shared" ref="M452:M515" si="23">M451+1</f>
        <v>452</v>
      </c>
      <c r="N452" s="38">
        <f>HLOOKUP("Host",'vInfo (Imported)'!$1:$5000,M452,FALSE)</f>
        <v>0</v>
      </c>
      <c r="R452">
        <f>HLOOKUP("CPUs",'vInfo (Imported)'!$1:$5000,M452,FALSE)</f>
        <v>0</v>
      </c>
      <c r="S452">
        <f>HLOOKUP("Memory",'vInfo (Imported)'!$1:$5000,M452,FALSE)</f>
        <v>0</v>
      </c>
      <c r="T452">
        <f>HLOOKUP("Provisioned MiB",'vInfo (Imported)'!$1:$5000,M452,FALSE)</f>
        <v>0</v>
      </c>
      <c r="U452">
        <f t="shared" si="22"/>
        <v>0</v>
      </c>
      <c r="V452">
        <f>HLOOKUP("In Use MiB",'vInfo (Imported)'!$1:$5000,M452,FALSE)</f>
        <v>0</v>
      </c>
    </row>
    <row r="453" spans="1:22" ht="13" x14ac:dyDescent="0.3">
      <c r="A453" s="46">
        <f>'vHosts (Imported)'!A453</f>
        <v>0</v>
      </c>
      <c r="B453" s="51">
        <f t="shared" si="21"/>
        <v>4968</v>
      </c>
      <c r="C453" s="49">
        <f>HLOOKUP("# Cores",'vHosts (Imported)'!$1:$5000,M453,FALSE)</f>
        <v>0</v>
      </c>
      <c r="D453" s="52">
        <f>HLOOKUP("# Memory",'vHosts (Imported)'!$1:$5000,M453,FALSE)</f>
        <v>0</v>
      </c>
      <c r="M453" s="45">
        <f t="shared" si="23"/>
        <v>453</v>
      </c>
      <c r="N453" s="38">
        <f>HLOOKUP("Host",'vInfo (Imported)'!$1:$5000,M453,FALSE)</f>
        <v>0</v>
      </c>
      <c r="R453">
        <f>HLOOKUP("CPUs",'vInfo (Imported)'!$1:$5000,M453,FALSE)</f>
        <v>0</v>
      </c>
      <c r="S453">
        <f>HLOOKUP("Memory",'vInfo (Imported)'!$1:$5000,M453,FALSE)</f>
        <v>0</v>
      </c>
      <c r="T453">
        <f>HLOOKUP("Provisioned MiB",'vInfo (Imported)'!$1:$5000,M453,FALSE)</f>
        <v>0</v>
      </c>
      <c r="U453">
        <f t="shared" si="22"/>
        <v>0</v>
      </c>
      <c r="V453">
        <f>HLOOKUP("In Use MiB",'vInfo (Imported)'!$1:$5000,M453,FALSE)</f>
        <v>0</v>
      </c>
    </row>
    <row r="454" spans="1:22" ht="13" x14ac:dyDescent="0.3">
      <c r="A454" s="46">
        <f>'vHosts (Imported)'!A454</f>
        <v>0</v>
      </c>
      <c r="B454" s="51">
        <f t="shared" si="21"/>
        <v>4968</v>
      </c>
      <c r="C454" s="49">
        <f>HLOOKUP("# Cores",'vHosts (Imported)'!$1:$5000,M454,FALSE)</f>
        <v>0</v>
      </c>
      <c r="D454" s="52">
        <f>HLOOKUP("# Memory",'vHosts (Imported)'!$1:$5000,M454,FALSE)</f>
        <v>0</v>
      </c>
      <c r="M454" s="45">
        <f t="shared" si="23"/>
        <v>454</v>
      </c>
      <c r="N454" s="38">
        <f>HLOOKUP("Host",'vInfo (Imported)'!$1:$5000,M454,FALSE)</f>
        <v>0</v>
      </c>
      <c r="R454">
        <f>HLOOKUP("CPUs",'vInfo (Imported)'!$1:$5000,M454,FALSE)</f>
        <v>0</v>
      </c>
      <c r="S454">
        <f>HLOOKUP("Memory",'vInfo (Imported)'!$1:$5000,M454,FALSE)</f>
        <v>0</v>
      </c>
      <c r="T454">
        <f>HLOOKUP("Provisioned MiB",'vInfo (Imported)'!$1:$5000,M454,FALSE)</f>
        <v>0</v>
      </c>
      <c r="U454">
        <f t="shared" si="22"/>
        <v>0</v>
      </c>
      <c r="V454">
        <f>HLOOKUP("In Use MiB",'vInfo (Imported)'!$1:$5000,M454,FALSE)</f>
        <v>0</v>
      </c>
    </row>
    <row r="455" spans="1:22" ht="13" x14ac:dyDescent="0.3">
      <c r="A455" s="46">
        <f>'vHosts (Imported)'!A455</f>
        <v>0</v>
      </c>
      <c r="B455" s="51">
        <f t="shared" si="21"/>
        <v>4968</v>
      </c>
      <c r="C455" s="49">
        <f>HLOOKUP("# Cores",'vHosts (Imported)'!$1:$5000,M455,FALSE)</f>
        <v>0</v>
      </c>
      <c r="D455" s="52">
        <f>HLOOKUP("# Memory",'vHosts (Imported)'!$1:$5000,M455,FALSE)</f>
        <v>0</v>
      </c>
      <c r="M455" s="45">
        <f t="shared" si="23"/>
        <v>455</v>
      </c>
      <c r="N455" s="38">
        <f>HLOOKUP("Host",'vInfo (Imported)'!$1:$5000,M455,FALSE)</f>
        <v>0</v>
      </c>
      <c r="R455">
        <f>HLOOKUP("CPUs",'vInfo (Imported)'!$1:$5000,M455,FALSE)</f>
        <v>0</v>
      </c>
      <c r="S455">
        <f>HLOOKUP("Memory",'vInfo (Imported)'!$1:$5000,M455,FALSE)</f>
        <v>0</v>
      </c>
      <c r="T455">
        <f>HLOOKUP("Provisioned MiB",'vInfo (Imported)'!$1:$5000,M455,FALSE)</f>
        <v>0</v>
      </c>
      <c r="U455">
        <f t="shared" si="22"/>
        <v>0</v>
      </c>
      <c r="V455">
        <f>HLOOKUP("In Use MiB",'vInfo (Imported)'!$1:$5000,M455,FALSE)</f>
        <v>0</v>
      </c>
    </row>
    <row r="456" spans="1:22" ht="13" x14ac:dyDescent="0.3">
      <c r="A456" s="46">
        <f>'vHosts (Imported)'!A456</f>
        <v>0</v>
      </c>
      <c r="B456" s="51">
        <f t="shared" si="21"/>
        <v>4968</v>
      </c>
      <c r="C456" s="49">
        <f>HLOOKUP("# Cores",'vHosts (Imported)'!$1:$5000,M456,FALSE)</f>
        <v>0</v>
      </c>
      <c r="D456" s="52">
        <f>HLOOKUP("# Memory",'vHosts (Imported)'!$1:$5000,M456,FALSE)</f>
        <v>0</v>
      </c>
      <c r="M456" s="45">
        <f t="shared" si="23"/>
        <v>456</v>
      </c>
      <c r="N456" s="38">
        <f>HLOOKUP("Host",'vInfo (Imported)'!$1:$5000,M456,FALSE)</f>
        <v>0</v>
      </c>
      <c r="R456">
        <f>HLOOKUP("CPUs",'vInfo (Imported)'!$1:$5000,M456,FALSE)</f>
        <v>0</v>
      </c>
      <c r="S456">
        <f>HLOOKUP("Memory",'vInfo (Imported)'!$1:$5000,M456,FALSE)</f>
        <v>0</v>
      </c>
      <c r="T456">
        <f>HLOOKUP("Provisioned MiB",'vInfo (Imported)'!$1:$5000,M456,FALSE)</f>
        <v>0</v>
      </c>
      <c r="U456">
        <f t="shared" si="22"/>
        <v>0</v>
      </c>
      <c r="V456">
        <f>HLOOKUP("In Use MiB",'vInfo (Imported)'!$1:$5000,M456,FALSE)</f>
        <v>0</v>
      </c>
    </row>
    <row r="457" spans="1:22" ht="13" x14ac:dyDescent="0.3">
      <c r="A457" s="46">
        <f>'vHosts (Imported)'!A457</f>
        <v>0</v>
      </c>
      <c r="B457" s="51">
        <f t="shared" si="21"/>
        <v>4968</v>
      </c>
      <c r="C457" s="49">
        <f>HLOOKUP("# Cores",'vHosts (Imported)'!$1:$5000,M457,FALSE)</f>
        <v>0</v>
      </c>
      <c r="D457" s="52">
        <f>HLOOKUP("# Memory",'vHosts (Imported)'!$1:$5000,M457,FALSE)</f>
        <v>0</v>
      </c>
      <c r="M457" s="45">
        <f t="shared" si="23"/>
        <v>457</v>
      </c>
      <c r="N457" s="38">
        <f>HLOOKUP("Host",'vInfo (Imported)'!$1:$5000,M457,FALSE)</f>
        <v>0</v>
      </c>
      <c r="R457">
        <f>HLOOKUP("CPUs",'vInfo (Imported)'!$1:$5000,M457,FALSE)</f>
        <v>0</v>
      </c>
      <c r="S457">
        <f>HLOOKUP("Memory",'vInfo (Imported)'!$1:$5000,M457,FALSE)</f>
        <v>0</v>
      </c>
      <c r="T457">
        <f>HLOOKUP("Provisioned MiB",'vInfo (Imported)'!$1:$5000,M457,FALSE)</f>
        <v>0</v>
      </c>
      <c r="U457">
        <f t="shared" si="22"/>
        <v>0</v>
      </c>
      <c r="V457">
        <f>HLOOKUP("In Use MiB",'vInfo (Imported)'!$1:$5000,M457,FALSE)</f>
        <v>0</v>
      </c>
    </row>
    <row r="458" spans="1:22" ht="13" x14ac:dyDescent="0.3">
      <c r="A458" s="46">
        <f>'vHosts (Imported)'!A458</f>
        <v>0</v>
      </c>
      <c r="B458" s="51">
        <f t="shared" si="21"/>
        <v>4968</v>
      </c>
      <c r="C458" s="49">
        <f>HLOOKUP("# Cores",'vHosts (Imported)'!$1:$5000,M458,FALSE)</f>
        <v>0</v>
      </c>
      <c r="D458" s="52">
        <f>HLOOKUP("# Memory",'vHosts (Imported)'!$1:$5000,M458,FALSE)</f>
        <v>0</v>
      </c>
      <c r="M458" s="45">
        <f t="shared" si="23"/>
        <v>458</v>
      </c>
      <c r="N458" s="38">
        <f>HLOOKUP("Host",'vInfo (Imported)'!$1:$5000,M458,FALSE)</f>
        <v>0</v>
      </c>
      <c r="R458">
        <f>HLOOKUP("CPUs",'vInfo (Imported)'!$1:$5000,M458,FALSE)</f>
        <v>0</v>
      </c>
      <c r="S458">
        <f>HLOOKUP("Memory",'vInfo (Imported)'!$1:$5000,M458,FALSE)</f>
        <v>0</v>
      </c>
      <c r="T458">
        <f>HLOOKUP("Provisioned MiB",'vInfo (Imported)'!$1:$5000,M458,FALSE)</f>
        <v>0</v>
      </c>
      <c r="U458">
        <f t="shared" si="22"/>
        <v>0</v>
      </c>
      <c r="V458">
        <f>HLOOKUP("In Use MiB",'vInfo (Imported)'!$1:$5000,M458,FALSE)</f>
        <v>0</v>
      </c>
    </row>
    <row r="459" spans="1:22" ht="13" x14ac:dyDescent="0.3">
      <c r="A459" s="46">
        <f>'vHosts (Imported)'!A459</f>
        <v>0</v>
      </c>
      <c r="B459" s="51">
        <f t="shared" si="21"/>
        <v>4968</v>
      </c>
      <c r="C459" s="49">
        <f>HLOOKUP("# Cores",'vHosts (Imported)'!$1:$5000,M459,FALSE)</f>
        <v>0</v>
      </c>
      <c r="D459" s="52">
        <f>HLOOKUP("# Memory",'vHosts (Imported)'!$1:$5000,M459,FALSE)</f>
        <v>0</v>
      </c>
      <c r="M459" s="45">
        <f t="shared" si="23"/>
        <v>459</v>
      </c>
      <c r="N459" s="38">
        <f>HLOOKUP("Host",'vInfo (Imported)'!$1:$5000,M459,FALSE)</f>
        <v>0</v>
      </c>
      <c r="R459">
        <f>HLOOKUP("CPUs",'vInfo (Imported)'!$1:$5000,M459,FALSE)</f>
        <v>0</v>
      </c>
      <c r="S459">
        <f>HLOOKUP("Memory",'vInfo (Imported)'!$1:$5000,M459,FALSE)</f>
        <v>0</v>
      </c>
      <c r="T459">
        <f>HLOOKUP("Provisioned MiB",'vInfo (Imported)'!$1:$5000,M459,FALSE)</f>
        <v>0</v>
      </c>
      <c r="U459">
        <f t="shared" si="22"/>
        <v>0</v>
      </c>
      <c r="V459">
        <f>HLOOKUP("In Use MiB",'vInfo (Imported)'!$1:$5000,M459,FALSE)</f>
        <v>0</v>
      </c>
    </row>
    <row r="460" spans="1:22" ht="13" x14ac:dyDescent="0.3">
      <c r="A460" s="46">
        <f>'vHosts (Imported)'!A460</f>
        <v>0</v>
      </c>
      <c r="B460" s="51">
        <f t="shared" si="21"/>
        <v>4968</v>
      </c>
      <c r="C460" s="49">
        <f>HLOOKUP("# Cores",'vHosts (Imported)'!$1:$5000,M460,FALSE)</f>
        <v>0</v>
      </c>
      <c r="D460" s="52">
        <f>HLOOKUP("# Memory",'vHosts (Imported)'!$1:$5000,M460,FALSE)</f>
        <v>0</v>
      </c>
      <c r="M460" s="45">
        <f t="shared" si="23"/>
        <v>460</v>
      </c>
      <c r="N460" s="38">
        <f>HLOOKUP("Host",'vInfo (Imported)'!$1:$5000,M460,FALSE)</f>
        <v>0</v>
      </c>
      <c r="R460">
        <f>HLOOKUP("CPUs",'vInfo (Imported)'!$1:$5000,M460,FALSE)</f>
        <v>0</v>
      </c>
      <c r="S460">
        <f>HLOOKUP("Memory",'vInfo (Imported)'!$1:$5000,M460,FALSE)</f>
        <v>0</v>
      </c>
      <c r="T460">
        <f>HLOOKUP("Provisioned MiB",'vInfo (Imported)'!$1:$5000,M460,FALSE)</f>
        <v>0</v>
      </c>
      <c r="U460">
        <f t="shared" si="22"/>
        <v>0</v>
      </c>
      <c r="V460">
        <f>HLOOKUP("In Use MiB",'vInfo (Imported)'!$1:$5000,M460,FALSE)</f>
        <v>0</v>
      </c>
    </row>
    <row r="461" spans="1:22" ht="13" x14ac:dyDescent="0.3">
      <c r="A461" s="46">
        <f>'vHosts (Imported)'!A461</f>
        <v>0</v>
      </c>
      <c r="B461" s="51">
        <f t="shared" si="21"/>
        <v>4968</v>
      </c>
      <c r="C461" s="49">
        <f>HLOOKUP("# Cores",'vHosts (Imported)'!$1:$5000,M461,FALSE)</f>
        <v>0</v>
      </c>
      <c r="D461" s="52">
        <f>HLOOKUP("# Memory",'vHosts (Imported)'!$1:$5000,M461,FALSE)</f>
        <v>0</v>
      </c>
      <c r="M461" s="45">
        <f t="shared" si="23"/>
        <v>461</v>
      </c>
      <c r="N461" s="38">
        <f>HLOOKUP("Host",'vInfo (Imported)'!$1:$5000,M461,FALSE)</f>
        <v>0</v>
      </c>
      <c r="R461">
        <f>HLOOKUP("CPUs",'vInfo (Imported)'!$1:$5000,M461,FALSE)</f>
        <v>0</v>
      </c>
      <c r="S461">
        <f>HLOOKUP("Memory",'vInfo (Imported)'!$1:$5000,M461,FALSE)</f>
        <v>0</v>
      </c>
      <c r="T461">
        <f>HLOOKUP("Provisioned MiB",'vInfo (Imported)'!$1:$5000,M461,FALSE)</f>
        <v>0</v>
      </c>
      <c r="U461">
        <f t="shared" si="22"/>
        <v>0</v>
      </c>
      <c r="V461">
        <f>HLOOKUP("In Use MiB",'vInfo (Imported)'!$1:$5000,M461,FALSE)</f>
        <v>0</v>
      </c>
    </row>
    <row r="462" spans="1:22" ht="13" x14ac:dyDescent="0.3">
      <c r="A462" s="46">
        <f>'vHosts (Imported)'!A462</f>
        <v>0</v>
      </c>
      <c r="B462" s="51">
        <f t="shared" si="21"/>
        <v>4968</v>
      </c>
      <c r="C462" s="49">
        <f>HLOOKUP("# Cores",'vHosts (Imported)'!$1:$5000,M462,FALSE)</f>
        <v>0</v>
      </c>
      <c r="D462" s="52">
        <f>HLOOKUP("# Memory",'vHosts (Imported)'!$1:$5000,M462,FALSE)</f>
        <v>0</v>
      </c>
      <c r="M462" s="45">
        <f t="shared" si="23"/>
        <v>462</v>
      </c>
      <c r="N462" s="38">
        <f>HLOOKUP("Host",'vInfo (Imported)'!$1:$5000,M462,FALSE)</f>
        <v>0</v>
      </c>
      <c r="R462">
        <f>HLOOKUP("CPUs",'vInfo (Imported)'!$1:$5000,M462,FALSE)</f>
        <v>0</v>
      </c>
      <c r="S462">
        <f>HLOOKUP("Memory",'vInfo (Imported)'!$1:$5000,M462,FALSE)</f>
        <v>0</v>
      </c>
      <c r="T462">
        <f>HLOOKUP("Provisioned MiB",'vInfo (Imported)'!$1:$5000,M462,FALSE)</f>
        <v>0</v>
      </c>
      <c r="U462">
        <f t="shared" si="22"/>
        <v>0</v>
      </c>
      <c r="V462">
        <f>HLOOKUP("In Use MiB",'vInfo (Imported)'!$1:$5000,M462,FALSE)</f>
        <v>0</v>
      </c>
    </row>
    <row r="463" spans="1:22" ht="13" x14ac:dyDescent="0.3">
      <c r="A463" s="46">
        <f>'vHosts (Imported)'!A463</f>
        <v>0</v>
      </c>
      <c r="B463" s="51">
        <f t="shared" si="21"/>
        <v>4968</v>
      </c>
      <c r="C463" s="49">
        <f>HLOOKUP("# Cores",'vHosts (Imported)'!$1:$5000,M463,FALSE)</f>
        <v>0</v>
      </c>
      <c r="D463" s="52">
        <f>HLOOKUP("# Memory",'vHosts (Imported)'!$1:$5000,M463,FALSE)</f>
        <v>0</v>
      </c>
      <c r="M463" s="45">
        <f t="shared" si="23"/>
        <v>463</v>
      </c>
      <c r="N463" s="38">
        <f>HLOOKUP("Host",'vInfo (Imported)'!$1:$5000,M463,FALSE)</f>
        <v>0</v>
      </c>
      <c r="R463">
        <f>HLOOKUP("CPUs",'vInfo (Imported)'!$1:$5000,M463,FALSE)</f>
        <v>0</v>
      </c>
      <c r="S463">
        <f>HLOOKUP("Memory",'vInfo (Imported)'!$1:$5000,M463,FALSE)</f>
        <v>0</v>
      </c>
      <c r="T463">
        <f>HLOOKUP("Provisioned MiB",'vInfo (Imported)'!$1:$5000,M463,FALSE)</f>
        <v>0</v>
      </c>
      <c r="U463">
        <f t="shared" si="22"/>
        <v>0</v>
      </c>
      <c r="V463">
        <f>HLOOKUP("In Use MiB",'vInfo (Imported)'!$1:$5000,M463,FALSE)</f>
        <v>0</v>
      </c>
    </row>
    <row r="464" spans="1:22" ht="13" x14ac:dyDescent="0.3">
      <c r="A464" s="46">
        <f>'vHosts (Imported)'!A464</f>
        <v>0</v>
      </c>
      <c r="B464" s="51">
        <f t="shared" si="21"/>
        <v>4968</v>
      </c>
      <c r="C464" s="49">
        <f>HLOOKUP("# Cores",'vHosts (Imported)'!$1:$5000,M464,FALSE)</f>
        <v>0</v>
      </c>
      <c r="D464" s="52">
        <f>HLOOKUP("# Memory",'vHosts (Imported)'!$1:$5000,M464,FALSE)</f>
        <v>0</v>
      </c>
      <c r="M464" s="45">
        <f t="shared" si="23"/>
        <v>464</v>
      </c>
      <c r="N464" s="38">
        <f>HLOOKUP("Host",'vInfo (Imported)'!$1:$5000,M464,FALSE)</f>
        <v>0</v>
      </c>
      <c r="R464">
        <f>HLOOKUP("CPUs",'vInfo (Imported)'!$1:$5000,M464,FALSE)</f>
        <v>0</v>
      </c>
      <c r="S464">
        <f>HLOOKUP("Memory",'vInfo (Imported)'!$1:$5000,M464,FALSE)</f>
        <v>0</v>
      </c>
      <c r="T464">
        <f>HLOOKUP("Provisioned MiB",'vInfo (Imported)'!$1:$5000,M464,FALSE)</f>
        <v>0</v>
      </c>
      <c r="U464">
        <f t="shared" si="22"/>
        <v>0</v>
      </c>
      <c r="V464">
        <f>HLOOKUP("In Use MiB",'vInfo (Imported)'!$1:$5000,M464,FALSE)</f>
        <v>0</v>
      </c>
    </row>
    <row r="465" spans="1:22" ht="13" x14ac:dyDescent="0.3">
      <c r="A465" s="46">
        <f>'vHosts (Imported)'!A465</f>
        <v>0</v>
      </c>
      <c r="B465" s="51">
        <f t="shared" si="21"/>
        <v>4968</v>
      </c>
      <c r="C465" s="49">
        <f>HLOOKUP("# Cores",'vHosts (Imported)'!$1:$5000,M465,FALSE)</f>
        <v>0</v>
      </c>
      <c r="D465" s="52">
        <f>HLOOKUP("# Memory",'vHosts (Imported)'!$1:$5000,M465,FALSE)</f>
        <v>0</v>
      </c>
      <c r="M465" s="45">
        <f t="shared" si="23"/>
        <v>465</v>
      </c>
      <c r="N465" s="38">
        <f>HLOOKUP("Host",'vInfo (Imported)'!$1:$5000,M465,FALSE)</f>
        <v>0</v>
      </c>
      <c r="R465">
        <f>HLOOKUP("CPUs",'vInfo (Imported)'!$1:$5000,M465,FALSE)</f>
        <v>0</v>
      </c>
      <c r="S465">
        <f>HLOOKUP("Memory",'vInfo (Imported)'!$1:$5000,M465,FALSE)</f>
        <v>0</v>
      </c>
      <c r="T465">
        <f>HLOOKUP("Provisioned MiB",'vInfo (Imported)'!$1:$5000,M465,FALSE)</f>
        <v>0</v>
      </c>
      <c r="U465">
        <f t="shared" si="22"/>
        <v>0</v>
      </c>
      <c r="V465">
        <f>HLOOKUP("In Use MiB",'vInfo (Imported)'!$1:$5000,M465,FALSE)</f>
        <v>0</v>
      </c>
    </row>
    <row r="466" spans="1:22" ht="13" x14ac:dyDescent="0.3">
      <c r="A466" s="46">
        <f>'vHosts (Imported)'!A466</f>
        <v>0</v>
      </c>
      <c r="B466" s="51">
        <f t="shared" si="21"/>
        <v>4968</v>
      </c>
      <c r="C466" s="49">
        <f>HLOOKUP("# Cores",'vHosts (Imported)'!$1:$5000,M466,FALSE)</f>
        <v>0</v>
      </c>
      <c r="D466" s="52">
        <f>HLOOKUP("# Memory",'vHosts (Imported)'!$1:$5000,M466,FALSE)</f>
        <v>0</v>
      </c>
      <c r="M466" s="45">
        <f t="shared" si="23"/>
        <v>466</v>
      </c>
      <c r="N466" s="38">
        <f>HLOOKUP("Host",'vInfo (Imported)'!$1:$5000,M466,FALSE)</f>
        <v>0</v>
      </c>
      <c r="R466">
        <f>HLOOKUP("CPUs",'vInfo (Imported)'!$1:$5000,M466,FALSE)</f>
        <v>0</v>
      </c>
      <c r="S466">
        <f>HLOOKUP("Memory",'vInfo (Imported)'!$1:$5000,M466,FALSE)</f>
        <v>0</v>
      </c>
      <c r="T466">
        <f>HLOOKUP("Provisioned MiB",'vInfo (Imported)'!$1:$5000,M466,FALSE)</f>
        <v>0</v>
      </c>
      <c r="U466">
        <f t="shared" si="22"/>
        <v>0</v>
      </c>
      <c r="V466">
        <f>HLOOKUP("In Use MiB",'vInfo (Imported)'!$1:$5000,M466,FALSE)</f>
        <v>0</v>
      </c>
    </row>
    <row r="467" spans="1:22" ht="13" x14ac:dyDescent="0.3">
      <c r="A467" s="46">
        <f>'vHosts (Imported)'!A467</f>
        <v>0</v>
      </c>
      <c r="B467" s="51">
        <f t="shared" si="21"/>
        <v>4968</v>
      </c>
      <c r="C467" s="49">
        <f>HLOOKUP("# Cores",'vHosts (Imported)'!$1:$5000,M467,FALSE)</f>
        <v>0</v>
      </c>
      <c r="D467" s="52">
        <f>HLOOKUP("# Memory",'vHosts (Imported)'!$1:$5000,M467,FALSE)</f>
        <v>0</v>
      </c>
      <c r="M467" s="45">
        <f t="shared" si="23"/>
        <v>467</v>
      </c>
      <c r="N467" s="38">
        <f>HLOOKUP("Host",'vInfo (Imported)'!$1:$5000,M467,FALSE)</f>
        <v>0</v>
      </c>
      <c r="R467">
        <f>HLOOKUP("CPUs",'vInfo (Imported)'!$1:$5000,M467,FALSE)</f>
        <v>0</v>
      </c>
      <c r="S467">
        <f>HLOOKUP("Memory",'vInfo (Imported)'!$1:$5000,M467,FALSE)</f>
        <v>0</v>
      </c>
      <c r="T467">
        <f>HLOOKUP("Provisioned MiB",'vInfo (Imported)'!$1:$5000,M467,FALSE)</f>
        <v>0</v>
      </c>
      <c r="U467">
        <f t="shared" si="22"/>
        <v>0</v>
      </c>
      <c r="V467">
        <f>HLOOKUP("In Use MiB",'vInfo (Imported)'!$1:$5000,M467,FALSE)</f>
        <v>0</v>
      </c>
    </row>
    <row r="468" spans="1:22" ht="13" x14ac:dyDescent="0.3">
      <c r="A468" s="46">
        <f>'vHosts (Imported)'!A468</f>
        <v>0</v>
      </c>
      <c r="B468" s="51">
        <f t="shared" si="21"/>
        <v>4968</v>
      </c>
      <c r="C468" s="49">
        <f>HLOOKUP("# Cores",'vHosts (Imported)'!$1:$5000,M468,FALSE)</f>
        <v>0</v>
      </c>
      <c r="D468" s="52">
        <f>HLOOKUP("# Memory",'vHosts (Imported)'!$1:$5000,M468,FALSE)</f>
        <v>0</v>
      </c>
      <c r="M468" s="45">
        <f t="shared" si="23"/>
        <v>468</v>
      </c>
      <c r="N468" s="38">
        <f>HLOOKUP("Host",'vInfo (Imported)'!$1:$5000,M468,FALSE)</f>
        <v>0</v>
      </c>
      <c r="R468">
        <f>HLOOKUP("CPUs",'vInfo (Imported)'!$1:$5000,M468,FALSE)</f>
        <v>0</v>
      </c>
      <c r="S468">
        <f>HLOOKUP("Memory",'vInfo (Imported)'!$1:$5000,M468,FALSE)</f>
        <v>0</v>
      </c>
      <c r="T468">
        <f>HLOOKUP("Provisioned MiB",'vInfo (Imported)'!$1:$5000,M468,FALSE)</f>
        <v>0</v>
      </c>
      <c r="U468">
        <f t="shared" si="22"/>
        <v>0</v>
      </c>
      <c r="V468">
        <f>HLOOKUP("In Use MiB",'vInfo (Imported)'!$1:$5000,M468,FALSE)</f>
        <v>0</v>
      </c>
    </row>
    <row r="469" spans="1:22" ht="13" x14ac:dyDescent="0.3">
      <c r="A469" s="46">
        <f>'vHosts (Imported)'!A469</f>
        <v>0</v>
      </c>
      <c r="B469" s="51">
        <f t="shared" si="21"/>
        <v>4968</v>
      </c>
      <c r="C469" s="49">
        <f>HLOOKUP("# Cores",'vHosts (Imported)'!$1:$5000,M469,FALSE)</f>
        <v>0</v>
      </c>
      <c r="D469" s="52">
        <f>HLOOKUP("# Memory",'vHosts (Imported)'!$1:$5000,M469,FALSE)</f>
        <v>0</v>
      </c>
      <c r="M469" s="45">
        <f t="shared" si="23"/>
        <v>469</v>
      </c>
      <c r="N469" s="38">
        <f>HLOOKUP("Host",'vInfo (Imported)'!$1:$5000,M469,FALSE)</f>
        <v>0</v>
      </c>
      <c r="R469">
        <f>HLOOKUP("CPUs",'vInfo (Imported)'!$1:$5000,M469,FALSE)</f>
        <v>0</v>
      </c>
      <c r="S469">
        <f>HLOOKUP("Memory",'vInfo (Imported)'!$1:$5000,M469,FALSE)</f>
        <v>0</v>
      </c>
      <c r="T469">
        <f>HLOOKUP("Provisioned MiB",'vInfo (Imported)'!$1:$5000,M469,FALSE)</f>
        <v>0</v>
      </c>
      <c r="U469">
        <f t="shared" si="22"/>
        <v>0</v>
      </c>
      <c r="V469">
        <f>HLOOKUP("In Use MiB",'vInfo (Imported)'!$1:$5000,M469,FALSE)</f>
        <v>0</v>
      </c>
    </row>
    <row r="470" spans="1:22" ht="13" x14ac:dyDescent="0.3">
      <c r="A470" s="46">
        <f>'vHosts (Imported)'!A470</f>
        <v>0</v>
      </c>
      <c r="B470" s="51">
        <f t="shared" si="21"/>
        <v>4968</v>
      </c>
      <c r="C470" s="49">
        <f>HLOOKUP("# Cores",'vHosts (Imported)'!$1:$5000,M470,FALSE)</f>
        <v>0</v>
      </c>
      <c r="D470" s="52">
        <f>HLOOKUP("# Memory",'vHosts (Imported)'!$1:$5000,M470,FALSE)</f>
        <v>0</v>
      </c>
      <c r="M470" s="45">
        <f t="shared" si="23"/>
        <v>470</v>
      </c>
      <c r="N470" s="38">
        <f>HLOOKUP("Host",'vInfo (Imported)'!$1:$5000,M470,FALSE)</f>
        <v>0</v>
      </c>
      <c r="R470">
        <f>HLOOKUP("CPUs",'vInfo (Imported)'!$1:$5000,M470,FALSE)</f>
        <v>0</v>
      </c>
      <c r="S470">
        <f>HLOOKUP("Memory",'vInfo (Imported)'!$1:$5000,M470,FALSE)</f>
        <v>0</v>
      </c>
      <c r="T470">
        <f>HLOOKUP("Provisioned MiB",'vInfo (Imported)'!$1:$5000,M470,FALSE)</f>
        <v>0</v>
      </c>
      <c r="U470">
        <f t="shared" si="22"/>
        <v>0</v>
      </c>
      <c r="V470">
        <f>HLOOKUP("In Use MiB",'vInfo (Imported)'!$1:$5000,M470,FALSE)</f>
        <v>0</v>
      </c>
    </row>
    <row r="471" spans="1:22" ht="13" x14ac:dyDescent="0.3">
      <c r="A471" s="46">
        <f>'vHosts (Imported)'!A471</f>
        <v>0</v>
      </c>
      <c r="B471" s="51">
        <f t="shared" si="21"/>
        <v>4968</v>
      </c>
      <c r="C471" s="49">
        <f>HLOOKUP("# Cores",'vHosts (Imported)'!$1:$5000,M471,FALSE)</f>
        <v>0</v>
      </c>
      <c r="D471" s="52">
        <f>HLOOKUP("# Memory",'vHosts (Imported)'!$1:$5000,M471,FALSE)</f>
        <v>0</v>
      </c>
      <c r="M471" s="45">
        <f t="shared" si="23"/>
        <v>471</v>
      </c>
      <c r="N471" s="38">
        <f>HLOOKUP("Host",'vInfo (Imported)'!$1:$5000,M471,FALSE)</f>
        <v>0</v>
      </c>
      <c r="R471">
        <f>HLOOKUP("CPUs",'vInfo (Imported)'!$1:$5000,M471,FALSE)</f>
        <v>0</v>
      </c>
      <c r="S471">
        <f>HLOOKUP("Memory",'vInfo (Imported)'!$1:$5000,M471,FALSE)</f>
        <v>0</v>
      </c>
      <c r="T471">
        <f>HLOOKUP("Provisioned MiB",'vInfo (Imported)'!$1:$5000,M471,FALSE)</f>
        <v>0</v>
      </c>
      <c r="U471">
        <f t="shared" si="22"/>
        <v>0</v>
      </c>
      <c r="V471">
        <f>HLOOKUP("In Use MiB",'vInfo (Imported)'!$1:$5000,M471,FALSE)</f>
        <v>0</v>
      </c>
    </row>
    <row r="472" spans="1:22" ht="13" x14ac:dyDescent="0.3">
      <c r="A472" s="46">
        <f>'vHosts (Imported)'!A472</f>
        <v>0</v>
      </c>
      <c r="B472" s="51">
        <f t="shared" si="21"/>
        <v>4968</v>
      </c>
      <c r="C472" s="49">
        <f>HLOOKUP("# Cores",'vHosts (Imported)'!$1:$5000,M472,FALSE)</f>
        <v>0</v>
      </c>
      <c r="D472" s="52">
        <f>HLOOKUP("# Memory",'vHosts (Imported)'!$1:$5000,M472,FALSE)</f>
        <v>0</v>
      </c>
      <c r="M472" s="45">
        <f t="shared" si="23"/>
        <v>472</v>
      </c>
      <c r="N472" s="38">
        <f>HLOOKUP("Host",'vInfo (Imported)'!$1:$5000,M472,FALSE)</f>
        <v>0</v>
      </c>
      <c r="R472">
        <f>HLOOKUP("CPUs",'vInfo (Imported)'!$1:$5000,M472,FALSE)</f>
        <v>0</v>
      </c>
      <c r="S472">
        <f>HLOOKUP("Memory",'vInfo (Imported)'!$1:$5000,M472,FALSE)</f>
        <v>0</v>
      </c>
      <c r="T472">
        <f>HLOOKUP("Provisioned MiB",'vInfo (Imported)'!$1:$5000,M472,FALSE)</f>
        <v>0</v>
      </c>
      <c r="U472">
        <f t="shared" si="22"/>
        <v>0</v>
      </c>
      <c r="V472">
        <f>HLOOKUP("In Use MiB",'vInfo (Imported)'!$1:$5000,M472,FALSE)</f>
        <v>0</v>
      </c>
    </row>
    <row r="473" spans="1:22" ht="13" x14ac:dyDescent="0.3">
      <c r="A473" s="46">
        <f>'vHosts (Imported)'!A473</f>
        <v>0</v>
      </c>
      <c r="B473" s="51">
        <f t="shared" si="21"/>
        <v>4968</v>
      </c>
      <c r="C473" s="49">
        <f>HLOOKUP("# Cores",'vHosts (Imported)'!$1:$5000,M473,FALSE)</f>
        <v>0</v>
      </c>
      <c r="D473" s="52">
        <f>HLOOKUP("# Memory",'vHosts (Imported)'!$1:$5000,M473,FALSE)</f>
        <v>0</v>
      </c>
      <c r="M473" s="45">
        <f t="shared" si="23"/>
        <v>473</v>
      </c>
      <c r="N473" s="38">
        <f>HLOOKUP("Host",'vInfo (Imported)'!$1:$5000,M473,FALSE)</f>
        <v>0</v>
      </c>
      <c r="R473">
        <f>HLOOKUP("CPUs",'vInfo (Imported)'!$1:$5000,M473,FALSE)</f>
        <v>0</v>
      </c>
      <c r="S473">
        <f>HLOOKUP("Memory",'vInfo (Imported)'!$1:$5000,M473,FALSE)</f>
        <v>0</v>
      </c>
      <c r="T473">
        <f>HLOOKUP("Provisioned MiB",'vInfo (Imported)'!$1:$5000,M473,FALSE)</f>
        <v>0</v>
      </c>
      <c r="U473">
        <f t="shared" si="22"/>
        <v>0</v>
      </c>
      <c r="V473">
        <f>HLOOKUP("In Use MiB",'vInfo (Imported)'!$1:$5000,M473,FALSE)</f>
        <v>0</v>
      </c>
    </row>
    <row r="474" spans="1:22" ht="13" x14ac:dyDescent="0.3">
      <c r="A474" s="46">
        <f>'vHosts (Imported)'!A474</f>
        <v>0</v>
      </c>
      <c r="B474" s="51">
        <f t="shared" si="21"/>
        <v>4968</v>
      </c>
      <c r="C474" s="49">
        <f>HLOOKUP("# Cores",'vHosts (Imported)'!$1:$5000,M474,FALSE)</f>
        <v>0</v>
      </c>
      <c r="D474" s="52">
        <f>HLOOKUP("# Memory",'vHosts (Imported)'!$1:$5000,M474,FALSE)</f>
        <v>0</v>
      </c>
      <c r="M474" s="45">
        <f t="shared" si="23"/>
        <v>474</v>
      </c>
      <c r="N474" s="38">
        <f>HLOOKUP("Host",'vInfo (Imported)'!$1:$5000,M474,FALSE)</f>
        <v>0</v>
      </c>
      <c r="R474">
        <f>HLOOKUP("CPUs",'vInfo (Imported)'!$1:$5000,M474,FALSE)</f>
        <v>0</v>
      </c>
      <c r="S474">
        <f>HLOOKUP("Memory",'vInfo (Imported)'!$1:$5000,M474,FALSE)</f>
        <v>0</v>
      </c>
      <c r="T474">
        <f>HLOOKUP("Provisioned MiB",'vInfo (Imported)'!$1:$5000,M474,FALSE)</f>
        <v>0</v>
      </c>
      <c r="U474">
        <f t="shared" si="22"/>
        <v>0</v>
      </c>
      <c r="V474">
        <f>HLOOKUP("In Use MiB",'vInfo (Imported)'!$1:$5000,M474,FALSE)</f>
        <v>0</v>
      </c>
    </row>
    <row r="475" spans="1:22" ht="13" x14ac:dyDescent="0.3">
      <c r="A475" s="46">
        <f>'vHosts (Imported)'!A475</f>
        <v>0</v>
      </c>
      <c r="B475" s="51">
        <f t="shared" si="21"/>
        <v>4968</v>
      </c>
      <c r="C475" s="49">
        <f>HLOOKUP("# Cores",'vHosts (Imported)'!$1:$5000,M475,FALSE)</f>
        <v>0</v>
      </c>
      <c r="D475" s="52">
        <f>HLOOKUP("# Memory",'vHosts (Imported)'!$1:$5000,M475,FALSE)</f>
        <v>0</v>
      </c>
      <c r="M475" s="45">
        <f t="shared" si="23"/>
        <v>475</v>
      </c>
      <c r="N475" s="38">
        <f>HLOOKUP("Host",'vInfo (Imported)'!$1:$5000,M475,FALSE)</f>
        <v>0</v>
      </c>
      <c r="R475">
        <f>HLOOKUP("CPUs",'vInfo (Imported)'!$1:$5000,M475,FALSE)</f>
        <v>0</v>
      </c>
      <c r="S475">
        <f>HLOOKUP("Memory",'vInfo (Imported)'!$1:$5000,M475,FALSE)</f>
        <v>0</v>
      </c>
      <c r="T475">
        <f>HLOOKUP("Provisioned MiB",'vInfo (Imported)'!$1:$5000,M475,FALSE)</f>
        <v>0</v>
      </c>
      <c r="U475">
        <f t="shared" si="22"/>
        <v>0</v>
      </c>
      <c r="V475">
        <f>HLOOKUP("In Use MiB",'vInfo (Imported)'!$1:$5000,M475,FALSE)</f>
        <v>0</v>
      </c>
    </row>
    <row r="476" spans="1:22" ht="13" x14ac:dyDescent="0.3">
      <c r="A476" s="46">
        <f>'vHosts (Imported)'!A476</f>
        <v>0</v>
      </c>
      <c r="B476" s="51">
        <f t="shared" si="21"/>
        <v>4968</v>
      </c>
      <c r="C476" s="49">
        <f>HLOOKUP("# Cores",'vHosts (Imported)'!$1:$5000,M476,FALSE)</f>
        <v>0</v>
      </c>
      <c r="D476" s="52">
        <f>HLOOKUP("# Memory",'vHosts (Imported)'!$1:$5000,M476,FALSE)</f>
        <v>0</v>
      </c>
      <c r="M476" s="45">
        <f t="shared" si="23"/>
        <v>476</v>
      </c>
      <c r="N476" s="38">
        <f>HLOOKUP("Host",'vInfo (Imported)'!$1:$5000,M476,FALSE)</f>
        <v>0</v>
      </c>
      <c r="R476">
        <f>HLOOKUP("CPUs",'vInfo (Imported)'!$1:$5000,M476,FALSE)</f>
        <v>0</v>
      </c>
      <c r="S476">
        <f>HLOOKUP("Memory",'vInfo (Imported)'!$1:$5000,M476,FALSE)</f>
        <v>0</v>
      </c>
      <c r="T476">
        <f>HLOOKUP("Provisioned MiB",'vInfo (Imported)'!$1:$5000,M476,FALSE)</f>
        <v>0</v>
      </c>
      <c r="U476">
        <f t="shared" si="22"/>
        <v>0</v>
      </c>
      <c r="V476">
        <f>HLOOKUP("In Use MiB",'vInfo (Imported)'!$1:$5000,M476,FALSE)</f>
        <v>0</v>
      </c>
    </row>
    <row r="477" spans="1:22" ht="13" x14ac:dyDescent="0.3">
      <c r="A477" s="46">
        <f>'vHosts (Imported)'!A477</f>
        <v>0</v>
      </c>
      <c r="B477" s="51">
        <f t="shared" si="21"/>
        <v>4968</v>
      </c>
      <c r="C477" s="49">
        <f>HLOOKUP("# Cores",'vHosts (Imported)'!$1:$5000,M477,FALSE)</f>
        <v>0</v>
      </c>
      <c r="D477" s="52">
        <f>HLOOKUP("# Memory",'vHosts (Imported)'!$1:$5000,M477,FALSE)</f>
        <v>0</v>
      </c>
      <c r="M477" s="45">
        <f t="shared" si="23"/>
        <v>477</v>
      </c>
      <c r="N477" s="38">
        <f>HLOOKUP("Host",'vInfo (Imported)'!$1:$5000,M477,FALSE)</f>
        <v>0</v>
      </c>
      <c r="R477">
        <f>HLOOKUP("CPUs",'vInfo (Imported)'!$1:$5000,M477,FALSE)</f>
        <v>0</v>
      </c>
      <c r="S477">
        <f>HLOOKUP("Memory",'vInfo (Imported)'!$1:$5000,M477,FALSE)</f>
        <v>0</v>
      </c>
      <c r="T477">
        <f>HLOOKUP("Provisioned MiB",'vInfo (Imported)'!$1:$5000,M477,FALSE)</f>
        <v>0</v>
      </c>
      <c r="U477">
        <f t="shared" si="22"/>
        <v>0</v>
      </c>
      <c r="V477">
        <f>HLOOKUP("In Use MiB",'vInfo (Imported)'!$1:$5000,M477,FALSE)</f>
        <v>0</v>
      </c>
    </row>
    <row r="478" spans="1:22" ht="13" x14ac:dyDescent="0.3">
      <c r="A478" s="46">
        <f>'vHosts (Imported)'!A478</f>
        <v>0</v>
      </c>
      <c r="B478" s="51">
        <f t="shared" si="21"/>
        <v>4968</v>
      </c>
      <c r="C478" s="49">
        <f>HLOOKUP("# Cores",'vHosts (Imported)'!$1:$5000,M478,FALSE)</f>
        <v>0</v>
      </c>
      <c r="D478" s="52">
        <f>HLOOKUP("# Memory",'vHosts (Imported)'!$1:$5000,M478,FALSE)</f>
        <v>0</v>
      </c>
      <c r="M478" s="45">
        <f t="shared" si="23"/>
        <v>478</v>
      </c>
      <c r="N478" s="38">
        <f>HLOOKUP("Host",'vInfo (Imported)'!$1:$5000,M478,FALSE)</f>
        <v>0</v>
      </c>
      <c r="R478">
        <f>HLOOKUP("CPUs",'vInfo (Imported)'!$1:$5000,M478,FALSE)</f>
        <v>0</v>
      </c>
      <c r="S478">
        <f>HLOOKUP("Memory",'vInfo (Imported)'!$1:$5000,M478,FALSE)</f>
        <v>0</v>
      </c>
      <c r="T478">
        <f>HLOOKUP("Provisioned MiB",'vInfo (Imported)'!$1:$5000,M478,FALSE)</f>
        <v>0</v>
      </c>
      <c r="U478">
        <f t="shared" si="22"/>
        <v>0</v>
      </c>
      <c r="V478">
        <f>HLOOKUP("In Use MiB",'vInfo (Imported)'!$1:$5000,M478,FALSE)</f>
        <v>0</v>
      </c>
    </row>
    <row r="479" spans="1:22" ht="13" x14ac:dyDescent="0.3">
      <c r="A479" s="46">
        <f>'vHosts (Imported)'!A479</f>
        <v>0</v>
      </c>
      <c r="B479" s="51">
        <f t="shared" si="21"/>
        <v>4968</v>
      </c>
      <c r="C479" s="49">
        <f>HLOOKUP("# Cores",'vHosts (Imported)'!$1:$5000,M479,FALSE)</f>
        <v>0</v>
      </c>
      <c r="D479" s="52">
        <f>HLOOKUP("# Memory",'vHosts (Imported)'!$1:$5000,M479,FALSE)</f>
        <v>0</v>
      </c>
      <c r="M479" s="45">
        <f t="shared" si="23"/>
        <v>479</v>
      </c>
      <c r="N479" s="38">
        <f>HLOOKUP("Host",'vInfo (Imported)'!$1:$5000,M479,FALSE)</f>
        <v>0</v>
      </c>
      <c r="R479">
        <f>HLOOKUP("CPUs",'vInfo (Imported)'!$1:$5000,M479,FALSE)</f>
        <v>0</v>
      </c>
      <c r="S479">
        <f>HLOOKUP("Memory",'vInfo (Imported)'!$1:$5000,M479,FALSE)</f>
        <v>0</v>
      </c>
      <c r="T479">
        <f>HLOOKUP("Provisioned MiB",'vInfo (Imported)'!$1:$5000,M479,FALSE)</f>
        <v>0</v>
      </c>
      <c r="U479">
        <f t="shared" si="22"/>
        <v>0</v>
      </c>
      <c r="V479">
        <f>HLOOKUP("In Use MiB",'vInfo (Imported)'!$1:$5000,M479,FALSE)</f>
        <v>0</v>
      </c>
    </row>
    <row r="480" spans="1:22" ht="13" x14ac:dyDescent="0.3">
      <c r="A480" s="46">
        <f>'vHosts (Imported)'!A480</f>
        <v>0</v>
      </c>
      <c r="B480" s="51">
        <f t="shared" si="21"/>
        <v>4968</v>
      </c>
      <c r="C480" s="49">
        <f>HLOOKUP("# Cores",'vHosts (Imported)'!$1:$5000,M480,FALSE)</f>
        <v>0</v>
      </c>
      <c r="D480" s="52">
        <f>HLOOKUP("# Memory",'vHosts (Imported)'!$1:$5000,M480,FALSE)</f>
        <v>0</v>
      </c>
      <c r="M480" s="45">
        <f t="shared" si="23"/>
        <v>480</v>
      </c>
      <c r="N480" s="38">
        <f>HLOOKUP("Host",'vInfo (Imported)'!$1:$5000,M480,FALSE)</f>
        <v>0</v>
      </c>
      <c r="R480">
        <f>HLOOKUP("CPUs",'vInfo (Imported)'!$1:$5000,M480,FALSE)</f>
        <v>0</v>
      </c>
      <c r="S480">
        <f>HLOOKUP("Memory",'vInfo (Imported)'!$1:$5000,M480,FALSE)</f>
        <v>0</v>
      </c>
      <c r="T480">
        <f>HLOOKUP("Provisioned MiB",'vInfo (Imported)'!$1:$5000,M480,FALSE)</f>
        <v>0</v>
      </c>
      <c r="U480">
        <f t="shared" si="22"/>
        <v>0</v>
      </c>
      <c r="V480">
        <f>HLOOKUP("In Use MiB",'vInfo (Imported)'!$1:$5000,M480,FALSE)</f>
        <v>0</v>
      </c>
    </row>
    <row r="481" spans="1:22" ht="13" x14ac:dyDescent="0.3">
      <c r="A481" s="46">
        <f>'vHosts (Imported)'!A481</f>
        <v>0</v>
      </c>
      <c r="B481" s="51">
        <f t="shared" si="21"/>
        <v>4968</v>
      </c>
      <c r="C481" s="49">
        <f>HLOOKUP("# Cores",'vHosts (Imported)'!$1:$5000,M481,FALSE)</f>
        <v>0</v>
      </c>
      <c r="D481" s="52">
        <f>HLOOKUP("# Memory",'vHosts (Imported)'!$1:$5000,M481,FALSE)</f>
        <v>0</v>
      </c>
      <c r="M481" s="45">
        <f t="shared" si="23"/>
        <v>481</v>
      </c>
      <c r="N481" s="38">
        <f>HLOOKUP("Host",'vInfo (Imported)'!$1:$5000,M481,FALSE)</f>
        <v>0</v>
      </c>
      <c r="R481">
        <f>HLOOKUP("CPUs",'vInfo (Imported)'!$1:$5000,M481,FALSE)</f>
        <v>0</v>
      </c>
      <c r="S481">
        <f>HLOOKUP("Memory",'vInfo (Imported)'!$1:$5000,M481,FALSE)</f>
        <v>0</v>
      </c>
      <c r="T481">
        <f>HLOOKUP("Provisioned MiB",'vInfo (Imported)'!$1:$5000,M481,FALSE)</f>
        <v>0</v>
      </c>
      <c r="U481">
        <f t="shared" si="22"/>
        <v>0</v>
      </c>
      <c r="V481">
        <f>HLOOKUP("In Use MiB",'vInfo (Imported)'!$1:$5000,M481,FALSE)</f>
        <v>0</v>
      </c>
    </row>
    <row r="482" spans="1:22" ht="13" x14ac:dyDescent="0.3">
      <c r="A482" s="46">
        <f>'vHosts (Imported)'!A482</f>
        <v>0</v>
      </c>
      <c r="B482" s="51">
        <f t="shared" si="21"/>
        <v>4968</v>
      </c>
      <c r="C482" s="49">
        <f>HLOOKUP("# Cores",'vHosts (Imported)'!$1:$5000,M482,FALSE)</f>
        <v>0</v>
      </c>
      <c r="D482" s="52">
        <f>HLOOKUP("# Memory",'vHosts (Imported)'!$1:$5000,M482,FALSE)</f>
        <v>0</v>
      </c>
      <c r="M482" s="45">
        <f t="shared" si="23"/>
        <v>482</v>
      </c>
      <c r="N482" s="38">
        <f>HLOOKUP("Host",'vInfo (Imported)'!$1:$5000,M482,FALSE)</f>
        <v>0</v>
      </c>
      <c r="R482">
        <f>HLOOKUP("CPUs",'vInfo (Imported)'!$1:$5000,M482,FALSE)</f>
        <v>0</v>
      </c>
      <c r="S482">
        <f>HLOOKUP("Memory",'vInfo (Imported)'!$1:$5000,M482,FALSE)</f>
        <v>0</v>
      </c>
      <c r="T482">
        <f>HLOOKUP("Provisioned MiB",'vInfo (Imported)'!$1:$5000,M482,FALSE)</f>
        <v>0</v>
      </c>
      <c r="U482">
        <f t="shared" si="22"/>
        <v>0</v>
      </c>
      <c r="V482">
        <f>HLOOKUP("In Use MiB",'vInfo (Imported)'!$1:$5000,M482,FALSE)</f>
        <v>0</v>
      </c>
    </row>
    <row r="483" spans="1:22" ht="13" x14ac:dyDescent="0.3">
      <c r="A483" s="46">
        <f>'vHosts (Imported)'!A483</f>
        <v>0</v>
      </c>
      <c r="B483" s="51">
        <f t="shared" si="21"/>
        <v>4968</v>
      </c>
      <c r="C483" s="49">
        <f>HLOOKUP("# Cores",'vHosts (Imported)'!$1:$5000,M483,FALSE)</f>
        <v>0</v>
      </c>
      <c r="D483" s="52">
        <f>HLOOKUP("# Memory",'vHosts (Imported)'!$1:$5000,M483,FALSE)</f>
        <v>0</v>
      </c>
      <c r="M483" s="45">
        <f t="shared" si="23"/>
        <v>483</v>
      </c>
      <c r="N483" s="38">
        <f>HLOOKUP("Host",'vInfo (Imported)'!$1:$5000,M483,FALSE)</f>
        <v>0</v>
      </c>
      <c r="R483">
        <f>HLOOKUP("CPUs",'vInfo (Imported)'!$1:$5000,M483,FALSE)</f>
        <v>0</v>
      </c>
      <c r="S483">
        <f>HLOOKUP("Memory",'vInfo (Imported)'!$1:$5000,M483,FALSE)</f>
        <v>0</v>
      </c>
      <c r="T483">
        <f>HLOOKUP("Provisioned MiB",'vInfo (Imported)'!$1:$5000,M483,FALSE)</f>
        <v>0</v>
      </c>
      <c r="U483">
        <f t="shared" si="22"/>
        <v>0</v>
      </c>
      <c r="V483">
        <f>HLOOKUP("In Use MiB",'vInfo (Imported)'!$1:$5000,M483,FALSE)</f>
        <v>0</v>
      </c>
    </row>
    <row r="484" spans="1:22" ht="13" x14ac:dyDescent="0.3">
      <c r="A484" s="46">
        <f>'vHosts (Imported)'!A484</f>
        <v>0</v>
      </c>
      <c r="B484" s="51">
        <f t="shared" si="21"/>
        <v>4968</v>
      </c>
      <c r="C484" s="49">
        <f>HLOOKUP("# Cores",'vHosts (Imported)'!$1:$5000,M484,FALSE)</f>
        <v>0</v>
      </c>
      <c r="D484" s="52">
        <f>HLOOKUP("# Memory",'vHosts (Imported)'!$1:$5000,M484,FALSE)</f>
        <v>0</v>
      </c>
      <c r="M484" s="45">
        <f t="shared" si="23"/>
        <v>484</v>
      </c>
      <c r="N484" s="38">
        <f>HLOOKUP("Host",'vInfo (Imported)'!$1:$5000,M484,FALSE)</f>
        <v>0</v>
      </c>
      <c r="R484">
        <f>HLOOKUP("CPUs",'vInfo (Imported)'!$1:$5000,M484,FALSE)</f>
        <v>0</v>
      </c>
      <c r="S484">
        <f>HLOOKUP("Memory",'vInfo (Imported)'!$1:$5000,M484,FALSE)</f>
        <v>0</v>
      </c>
      <c r="T484">
        <f>HLOOKUP("Provisioned MiB",'vInfo (Imported)'!$1:$5000,M484,FALSE)</f>
        <v>0</v>
      </c>
      <c r="U484">
        <f t="shared" si="22"/>
        <v>0</v>
      </c>
      <c r="V484">
        <f>HLOOKUP("In Use MiB",'vInfo (Imported)'!$1:$5000,M484,FALSE)</f>
        <v>0</v>
      </c>
    </row>
    <row r="485" spans="1:22" ht="13" x14ac:dyDescent="0.3">
      <c r="A485" s="46">
        <f>'vHosts (Imported)'!A485</f>
        <v>0</v>
      </c>
      <c r="B485" s="51">
        <f t="shared" si="21"/>
        <v>4968</v>
      </c>
      <c r="C485" s="49">
        <f>HLOOKUP("# Cores",'vHosts (Imported)'!$1:$5000,M485,FALSE)</f>
        <v>0</v>
      </c>
      <c r="D485" s="52">
        <f>HLOOKUP("# Memory",'vHosts (Imported)'!$1:$5000,M485,FALSE)</f>
        <v>0</v>
      </c>
      <c r="M485" s="45">
        <f t="shared" si="23"/>
        <v>485</v>
      </c>
      <c r="N485" s="38">
        <f>HLOOKUP("Host",'vInfo (Imported)'!$1:$5000,M485,FALSE)</f>
        <v>0</v>
      </c>
      <c r="R485">
        <f>HLOOKUP("CPUs",'vInfo (Imported)'!$1:$5000,M485,FALSE)</f>
        <v>0</v>
      </c>
      <c r="S485">
        <f>HLOOKUP("Memory",'vInfo (Imported)'!$1:$5000,M485,FALSE)</f>
        <v>0</v>
      </c>
      <c r="T485">
        <f>HLOOKUP("Provisioned MiB",'vInfo (Imported)'!$1:$5000,M485,FALSE)</f>
        <v>0</v>
      </c>
      <c r="U485">
        <f t="shared" si="22"/>
        <v>0</v>
      </c>
      <c r="V485">
        <f>HLOOKUP("In Use MiB",'vInfo (Imported)'!$1:$5000,M485,FALSE)</f>
        <v>0</v>
      </c>
    </row>
    <row r="486" spans="1:22" ht="13" x14ac:dyDescent="0.3">
      <c r="A486" s="46">
        <f>'vHosts (Imported)'!A486</f>
        <v>0</v>
      </c>
      <c r="B486" s="51">
        <f t="shared" si="21"/>
        <v>4968</v>
      </c>
      <c r="C486" s="49">
        <f>HLOOKUP("# Cores",'vHosts (Imported)'!$1:$5000,M486,FALSE)</f>
        <v>0</v>
      </c>
      <c r="D486" s="52">
        <f>HLOOKUP("# Memory",'vHosts (Imported)'!$1:$5000,M486,FALSE)</f>
        <v>0</v>
      </c>
      <c r="M486" s="45">
        <f t="shared" si="23"/>
        <v>486</v>
      </c>
      <c r="N486" s="38">
        <f>HLOOKUP("Host",'vInfo (Imported)'!$1:$5000,M486,FALSE)</f>
        <v>0</v>
      </c>
      <c r="R486">
        <f>HLOOKUP("CPUs",'vInfo (Imported)'!$1:$5000,M486,FALSE)</f>
        <v>0</v>
      </c>
      <c r="S486">
        <f>HLOOKUP("Memory",'vInfo (Imported)'!$1:$5000,M486,FALSE)</f>
        <v>0</v>
      </c>
      <c r="T486">
        <f>HLOOKUP("Provisioned MiB",'vInfo (Imported)'!$1:$5000,M486,FALSE)</f>
        <v>0</v>
      </c>
      <c r="U486">
        <f t="shared" si="22"/>
        <v>0</v>
      </c>
      <c r="V486">
        <f>HLOOKUP("In Use MiB",'vInfo (Imported)'!$1:$5000,M486,FALSE)</f>
        <v>0</v>
      </c>
    </row>
    <row r="487" spans="1:22" ht="13" x14ac:dyDescent="0.3">
      <c r="A487" s="46">
        <f>'vHosts (Imported)'!A487</f>
        <v>0</v>
      </c>
      <c r="B487" s="51">
        <f t="shared" si="21"/>
        <v>4968</v>
      </c>
      <c r="C487" s="49">
        <f>HLOOKUP("# Cores",'vHosts (Imported)'!$1:$5000,M487,FALSE)</f>
        <v>0</v>
      </c>
      <c r="D487" s="52">
        <f>HLOOKUP("# Memory",'vHosts (Imported)'!$1:$5000,M487,FALSE)</f>
        <v>0</v>
      </c>
      <c r="M487" s="45">
        <f t="shared" si="23"/>
        <v>487</v>
      </c>
      <c r="N487" s="38">
        <f>HLOOKUP("Host",'vInfo (Imported)'!$1:$5000,M487,FALSE)</f>
        <v>0</v>
      </c>
      <c r="R487">
        <f>HLOOKUP("CPUs",'vInfo (Imported)'!$1:$5000,M487,FALSE)</f>
        <v>0</v>
      </c>
      <c r="S487">
        <f>HLOOKUP("Memory",'vInfo (Imported)'!$1:$5000,M487,FALSE)</f>
        <v>0</v>
      </c>
      <c r="T487">
        <f>HLOOKUP("Provisioned MiB",'vInfo (Imported)'!$1:$5000,M487,FALSE)</f>
        <v>0</v>
      </c>
      <c r="U487">
        <f t="shared" si="22"/>
        <v>0</v>
      </c>
      <c r="V487">
        <f>HLOOKUP("In Use MiB",'vInfo (Imported)'!$1:$5000,M487,FALSE)</f>
        <v>0</v>
      </c>
    </row>
    <row r="488" spans="1:22" ht="13" x14ac:dyDescent="0.3">
      <c r="A488" s="46">
        <f>'vHosts (Imported)'!A488</f>
        <v>0</v>
      </c>
      <c r="B488" s="51">
        <f t="shared" si="21"/>
        <v>4968</v>
      </c>
      <c r="C488" s="49">
        <f>HLOOKUP("# Cores",'vHosts (Imported)'!$1:$5000,M488,FALSE)</f>
        <v>0</v>
      </c>
      <c r="D488" s="52">
        <f>HLOOKUP("# Memory",'vHosts (Imported)'!$1:$5000,M488,FALSE)</f>
        <v>0</v>
      </c>
      <c r="M488" s="45">
        <f t="shared" si="23"/>
        <v>488</v>
      </c>
      <c r="N488" s="38">
        <f>HLOOKUP("Host",'vInfo (Imported)'!$1:$5000,M488,FALSE)</f>
        <v>0</v>
      </c>
      <c r="R488">
        <f>HLOOKUP("CPUs",'vInfo (Imported)'!$1:$5000,M488,FALSE)</f>
        <v>0</v>
      </c>
      <c r="S488">
        <f>HLOOKUP("Memory",'vInfo (Imported)'!$1:$5000,M488,FALSE)</f>
        <v>0</v>
      </c>
      <c r="T488">
        <f>HLOOKUP("Provisioned MiB",'vInfo (Imported)'!$1:$5000,M488,FALSE)</f>
        <v>0</v>
      </c>
      <c r="U488">
        <f t="shared" si="22"/>
        <v>0</v>
      </c>
      <c r="V488">
        <f>HLOOKUP("In Use MiB",'vInfo (Imported)'!$1:$5000,M488,FALSE)</f>
        <v>0</v>
      </c>
    </row>
    <row r="489" spans="1:22" ht="13" x14ac:dyDescent="0.3">
      <c r="A489" s="46">
        <f>'vHosts (Imported)'!A489</f>
        <v>0</v>
      </c>
      <c r="B489" s="51">
        <f t="shared" si="21"/>
        <v>4968</v>
      </c>
      <c r="C489" s="49">
        <f>HLOOKUP("# Cores",'vHosts (Imported)'!$1:$5000,M489,FALSE)</f>
        <v>0</v>
      </c>
      <c r="D489" s="52">
        <f>HLOOKUP("# Memory",'vHosts (Imported)'!$1:$5000,M489,FALSE)</f>
        <v>0</v>
      </c>
      <c r="M489" s="45">
        <f t="shared" si="23"/>
        <v>489</v>
      </c>
      <c r="N489" s="38">
        <f>HLOOKUP("Host",'vInfo (Imported)'!$1:$5000,M489,FALSE)</f>
        <v>0</v>
      </c>
      <c r="R489">
        <f>HLOOKUP("CPUs",'vInfo (Imported)'!$1:$5000,M489,FALSE)</f>
        <v>0</v>
      </c>
      <c r="S489">
        <f>HLOOKUP("Memory",'vInfo (Imported)'!$1:$5000,M489,FALSE)</f>
        <v>0</v>
      </c>
      <c r="T489">
        <f>HLOOKUP("Provisioned MiB",'vInfo (Imported)'!$1:$5000,M489,FALSE)</f>
        <v>0</v>
      </c>
      <c r="U489">
        <f t="shared" si="22"/>
        <v>0</v>
      </c>
      <c r="V489">
        <f>HLOOKUP("In Use MiB",'vInfo (Imported)'!$1:$5000,M489,FALSE)</f>
        <v>0</v>
      </c>
    </row>
    <row r="490" spans="1:22" ht="13" x14ac:dyDescent="0.3">
      <c r="A490" s="46">
        <f>'vHosts (Imported)'!A490</f>
        <v>0</v>
      </c>
      <c r="B490" s="51">
        <f t="shared" si="21"/>
        <v>4968</v>
      </c>
      <c r="C490" s="49">
        <f>HLOOKUP("# Cores",'vHosts (Imported)'!$1:$5000,M490,FALSE)</f>
        <v>0</v>
      </c>
      <c r="D490" s="52">
        <f>HLOOKUP("# Memory",'vHosts (Imported)'!$1:$5000,M490,FALSE)</f>
        <v>0</v>
      </c>
      <c r="M490" s="45">
        <f t="shared" si="23"/>
        <v>490</v>
      </c>
      <c r="N490" s="38">
        <f>HLOOKUP("Host",'vInfo (Imported)'!$1:$5000,M490,FALSE)</f>
        <v>0</v>
      </c>
      <c r="R490">
        <f>HLOOKUP("CPUs",'vInfo (Imported)'!$1:$5000,M490,FALSE)</f>
        <v>0</v>
      </c>
      <c r="S490">
        <f>HLOOKUP("Memory",'vInfo (Imported)'!$1:$5000,M490,FALSE)</f>
        <v>0</v>
      </c>
      <c r="T490">
        <f>HLOOKUP("Provisioned MiB",'vInfo (Imported)'!$1:$5000,M490,FALSE)</f>
        <v>0</v>
      </c>
      <c r="U490">
        <f t="shared" si="22"/>
        <v>0</v>
      </c>
      <c r="V490">
        <f>HLOOKUP("In Use MiB",'vInfo (Imported)'!$1:$5000,M490,FALSE)</f>
        <v>0</v>
      </c>
    </row>
    <row r="491" spans="1:22" ht="13" x14ac:dyDescent="0.3">
      <c r="A491" s="46">
        <f>'vHosts (Imported)'!A491</f>
        <v>0</v>
      </c>
      <c r="B491" s="51">
        <f t="shared" si="21"/>
        <v>4968</v>
      </c>
      <c r="C491" s="49">
        <f>HLOOKUP("# Cores",'vHosts (Imported)'!$1:$5000,M491,FALSE)</f>
        <v>0</v>
      </c>
      <c r="D491" s="52">
        <f>HLOOKUP("# Memory",'vHosts (Imported)'!$1:$5000,M491,FALSE)</f>
        <v>0</v>
      </c>
      <c r="M491" s="45">
        <f t="shared" si="23"/>
        <v>491</v>
      </c>
      <c r="N491" s="38">
        <f>HLOOKUP("Host",'vInfo (Imported)'!$1:$5000,M491,FALSE)</f>
        <v>0</v>
      </c>
      <c r="R491">
        <f>HLOOKUP("CPUs",'vInfo (Imported)'!$1:$5000,M491,FALSE)</f>
        <v>0</v>
      </c>
      <c r="S491">
        <f>HLOOKUP("Memory",'vInfo (Imported)'!$1:$5000,M491,FALSE)</f>
        <v>0</v>
      </c>
      <c r="T491">
        <f>HLOOKUP("Provisioned MiB",'vInfo (Imported)'!$1:$5000,M491,FALSE)</f>
        <v>0</v>
      </c>
      <c r="U491">
        <f t="shared" si="22"/>
        <v>0</v>
      </c>
      <c r="V491">
        <f>HLOOKUP("In Use MiB",'vInfo (Imported)'!$1:$5000,M491,FALSE)</f>
        <v>0</v>
      </c>
    </row>
    <row r="492" spans="1:22" ht="13" x14ac:dyDescent="0.3">
      <c r="A492" s="46">
        <f>'vHosts (Imported)'!A492</f>
        <v>0</v>
      </c>
      <c r="B492" s="51">
        <f t="shared" si="21"/>
        <v>4968</v>
      </c>
      <c r="C492" s="49">
        <f>HLOOKUP("# Cores",'vHosts (Imported)'!$1:$5000,M492,FALSE)</f>
        <v>0</v>
      </c>
      <c r="D492" s="52">
        <f>HLOOKUP("# Memory",'vHosts (Imported)'!$1:$5000,M492,FALSE)</f>
        <v>0</v>
      </c>
      <c r="M492" s="45">
        <f t="shared" si="23"/>
        <v>492</v>
      </c>
      <c r="N492" s="38">
        <f>HLOOKUP("Host",'vInfo (Imported)'!$1:$5000,M492,FALSE)</f>
        <v>0</v>
      </c>
      <c r="R492">
        <f>HLOOKUP("CPUs",'vInfo (Imported)'!$1:$5000,M492,FALSE)</f>
        <v>0</v>
      </c>
      <c r="S492">
        <f>HLOOKUP("Memory",'vInfo (Imported)'!$1:$5000,M492,FALSE)</f>
        <v>0</v>
      </c>
      <c r="T492">
        <f>HLOOKUP("Provisioned MiB",'vInfo (Imported)'!$1:$5000,M492,FALSE)</f>
        <v>0</v>
      </c>
      <c r="U492">
        <f t="shared" si="22"/>
        <v>0</v>
      </c>
      <c r="V492">
        <f>HLOOKUP("In Use MiB",'vInfo (Imported)'!$1:$5000,M492,FALSE)</f>
        <v>0</v>
      </c>
    </row>
    <row r="493" spans="1:22" ht="13" x14ac:dyDescent="0.3">
      <c r="A493" s="46">
        <f>'vHosts (Imported)'!A493</f>
        <v>0</v>
      </c>
      <c r="B493" s="51">
        <f t="shared" si="21"/>
        <v>4968</v>
      </c>
      <c r="C493" s="49">
        <f>HLOOKUP("# Cores",'vHosts (Imported)'!$1:$5000,M493,FALSE)</f>
        <v>0</v>
      </c>
      <c r="D493" s="52">
        <f>HLOOKUP("# Memory",'vHosts (Imported)'!$1:$5000,M493,FALSE)</f>
        <v>0</v>
      </c>
      <c r="M493" s="45">
        <f t="shared" si="23"/>
        <v>493</v>
      </c>
      <c r="N493" s="38">
        <f>HLOOKUP("Host",'vInfo (Imported)'!$1:$5000,M493,FALSE)</f>
        <v>0</v>
      </c>
      <c r="R493">
        <f>HLOOKUP("CPUs",'vInfo (Imported)'!$1:$5000,M493,FALSE)</f>
        <v>0</v>
      </c>
      <c r="S493">
        <f>HLOOKUP("Memory",'vInfo (Imported)'!$1:$5000,M493,FALSE)</f>
        <v>0</v>
      </c>
      <c r="T493">
        <f>HLOOKUP("Provisioned MiB",'vInfo (Imported)'!$1:$5000,M493,FALSE)</f>
        <v>0</v>
      </c>
      <c r="U493">
        <f t="shared" si="22"/>
        <v>0</v>
      </c>
      <c r="V493">
        <f>HLOOKUP("In Use MiB",'vInfo (Imported)'!$1:$5000,M493,FALSE)</f>
        <v>0</v>
      </c>
    </row>
    <row r="494" spans="1:22" ht="13" x14ac:dyDescent="0.3">
      <c r="A494" s="46">
        <f>'vHosts (Imported)'!A494</f>
        <v>0</v>
      </c>
      <c r="B494" s="51">
        <f t="shared" si="21"/>
        <v>4968</v>
      </c>
      <c r="C494" s="49">
        <f>HLOOKUP("# Cores",'vHosts (Imported)'!$1:$5000,M494,FALSE)</f>
        <v>0</v>
      </c>
      <c r="D494" s="52">
        <f>HLOOKUP("# Memory",'vHosts (Imported)'!$1:$5000,M494,FALSE)</f>
        <v>0</v>
      </c>
      <c r="M494" s="45">
        <f t="shared" si="23"/>
        <v>494</v>
      </c>
      <c r="N494" s="38">
        <f>HLOOKUP("Host",'vInfo (Imported)'!$1:$5000,M494,FALSE)</f>
        <v>0</v>
      </c>
      <c r="R494">
        <f>HLOOKUP("CPUs",'vInfo (Imported)'!$1:$5000,M494,FALSE)</f>
        <v>0</v>
      </c>
      <c r="S494">
        <f>HLOOKUP("Memory",'vInfo (Imported)'!$1:$5000,M494,FALSE)</f>
        <v>0</v>
      </c>
      <c r="T494">
        <f>HLOOKUP("Provisioned MiB",'vInfo (Imported)'!$1:$5000,M494,FALSE)</f>
        <v>0</v>
      </c>
      <c r="U494">
        <f t="shared" si="22"/>
        <v>0</v>
      </c>
      <c r="V494">
        <f>HLOOKUP("In Use MiB",'vInfo (Imported)'!$1:$5000,M494,FALSE)</f>
        <v>0</v>
      </c>
    </row>
    <row r="495" spans="1:22" ht="13" x14ac:dyDescent="0.3">
      <c r="A495" s="46">
        <f>'vHosts (Imported)'!A495</f>
        <v>0</v>
      </c>
      <c r="B495" s="51">
        <f t="shared" si="21"/>
        <v>4968</v>
      </c>
      <c r="C495" s="49">
        <f>HLOOKUP("# Cores",'vHosts (Imported)'!$1:$5000,M495,FALSE)</f>
        <v>0</v>
      </c>
      <c r="D495" s="52">
        <f>HLOOKUP("# Memory",'vHosts (Imported)'!$1:$5000,M495,FALSE)</f>
        <v>0</v>
      </c>
      <c r="M495" s="45">
        <f t="shared" si="23"/>
        <v>495</v>
      </c>
      <c r="N495" s="38">
        <f>HLOOKUP("Host",'vInfo (Imported)'!$1:$5000,M495,FALSE)</f>
        <v>0</v>
      </c>
      <c r="R495">
        <f>HLOOKUP("CPUs",'vInfo (Imported)'!$1:$5000,M495,FALSE)</f>
        <v>0</v>
      </c>
      <c r="S495">
        <f>HLOOKUP("Memory",'vInfo (Imported)'!$1:$5000,M495,FALSE)</f>
        <v>0</v>
      </c>
      <c r="T495">
        <f>HLOOKUP("Provisioned MiB",'vInfo (Imported)'!$1:$5000,M495,FALSE)</f>
        <v>0</v>
      </c>
      <c r="U495">
        <f t="shared" si="22"/>
        <v>0</v>
      </c>
      <c r="V495">
        <f>HLOOKUP("In Use MiB",'vInfo (Imported)'!$1:$5000,M495,FALSE)</f>
        <v>0</v>
      </c>
    </row>
    <row r="496" spans="1:22" ht="13" x14ac:dyDescent="0.3">
      <c r="A496" s="46">
        <f>'vHosts (Imported)'!A496</f>
        <v>0</v>
      </c>
      <c r="B496" s="51">
        <f t="shared" si="21"/>
        <v>4968</v>
      </c>
      <c r="C496" s="49">
        <f>HLOOKUP("# Cores",'vHosts (Imported)'!$1:$5000,M496,FALSE)</f>
        <v>0</v>
      </c>
      <c r="D496" s="52">
        <f>HLOOKUP("# Memory",'vHosts (Imported)'!$1:$5000,M496,FALSE)</f>
        <v>0</v>
      </c>
      <c r="M496" s="45">
        <f t="shared" si="23"/>
        <v>496</v>
      </c>
      <c r="N496" s="38">
        <f>HLOOKUP("Host",'vInfo (Imported)'!$1:$5000,M496,FALSE)</f>
        <v>0</v>
      </c>
      <c r="R496">
        <f>HLOOKUP("CPUs",'vInfo (Imported)'!$1:$5000,M496,FALSE)</f>
        <v>0</v>
      </c>
      <c r="S496">
        <f>HLOOKUP("Memory",'vInfo (Imported)'!$1:$5000,M496,FALSE)</f>
        <v>0</v>
      </c>
      <c r="T496">
        <f>HLOOKUP("Provisioned MiB",'vInfo (Imported)'!$1:$5000,M496,FALSE)</f>
        <v>0</v>
      </c>
      <c r="U496">
        <f t="shared" si="22"/>
        <v>0</v>
      </c>
      <c r="V496">
        <f>HLOOKUP("In Use MiB",'vInfo (Imported)'!$1:$5000,M496,FALSE)</f>
        <v>0</v>
      </c>
    </row>
    <row r="497" spans="1:22" ht="13" x14ac:dyDescent="0.3">
      <c r="A497" s="46">
        <f>'vHosts (Imported)'!A497</f>
        <v>0</v>
      </c>
      <c r="B497" s="51">
        <f t="shared" si="21"/>
        <v>4968</v>
      </c>
      <c r="C497" s="49">
        <f>HLOOKUP("# Cores",'vHosts (Imported)'!$1:$5000,M497,FALSE)</f>
        <v>0</v>
      </c>
      <c r="D497" s="52">
        <f>HLOOKUP("# Memory",'vHosts (Imported)'!$1:$5000,M497,FALSE)</f>
        <v>0</v>
      </c>
      <c r="M497" s="45">
        <f t="shared" si="23"/>
        <v>497</v>
      </c>
      <c r="N497" s="38">
        <f>HLOOKUP("Host",'vInfo (Imported)'!$1:$5000,M497,FALSE)</f>
        <v>0</v>
      </c>
      <c r="R497">
        <f>HLOOKUP("CPUs",'vInfo (Imported)'!$1:$5000,M497,FALSE)</f>
        <v>0</v>
      </c>
      <c r="S497">
        <f>HLOOKUP("Memory",'vInfo (Imported)'!$1:$5000,M497,FALSE)</f>
        <v>0</v>
      </c>
      <c r="T497">
        <f>HLOOKUP("Provisioned MiB",'vInfo (Imported)'!$1:$5000,M497,FALSE)</f>
        <v>0</v>
      </c>
      <c r="U497">
        <f t="shared" si="22"/>
        <v>0</v>
      </c>
      <c r="V497">
        <f>HLOOKUP("In Use MiB",'vInfo (Imported)'!$1:$5000,M497,FALSE)</f>
        <v>0</v>
      </c>
    </row>
    <row r="498" spans="1:22" ht="13" x14ac:dyDescent="0.3">
      <c r="A498" s="46">
        <f>'vHosts (Imported)'!A498</f>
        <v>0</v>
      </c>
      <c r="B498" s="51">
        <f t="shared" si="21"/>
        <v>4968</v>
      </c>
      <c r="C498" s="49">
        <f>HLOOKUP("# Cores",'vHosts (Imported)'!$1:$5000,M498,FALSE)</f>
        <v>0</v>
      </c>
      <c r="D498" s="52">
        <f>HLOOKUP("# Memory",'vHosts (Imported)'!$1:$5000,M498,FALSE)</f>
        <v>0</v>
      </c>
      <c r="M498" s="45">
        <f t="shared" si="23"/>
        <v>498</v>
      </c>
      <c r="N498" s="38">
        <f>HLOOKUP("Host",'vInfo (Imported)'!$1:$5000,M498,FALSE)</f>
        <v>0</v>
      </c>
      <c r="R498">
        <f>HLOOKUP("CPUs",'vInfo (Imported)'!$1:$5000,M498,FALSE)</f>
        <v>0</v>
      </c>
      <c r="S498">
        <f>HLOOKUP("Memory",'vInfo (Imported)'!$1:$5000,M498,FALSE)</f>
        <v>0</v>
      </c>
      <c r="T498">
        <f>HLOOKUP("Provisioned MiB",'vInfo (Imported)'!$1:$5000,M498,FALSE)</f>
        <v>0</v>
      </c>
      <c r="U498">
        <f t="shared" si="22"/>
        <v>0</v>
      </c>
      <c r="V498">
        <f>HLOOKUP("In Use MiB",'vInfo (Imported)'!$1:$5000,M498,FALSE)</f>
        <v>0</v>
      </c>
    </row>
    <row r="499" spans="1:22" ht="13" x14ac:dyDescent="0.3">
      <c r="A499" s="46">
        <f>'vHosts (Imported)'!A499</f>
        <v>0</v>
      </c>
      <c r="B499" s="51">
        <f t="shared" si="21"/>
        <v>4968</v>
      </c>
      <c r="C499" s="49">
        <f>HLOOKUP("# Cores",'vHosts (Imported)'!$1:$5000,M499,FALSE)</f>
        <v>0</v>
      </c>
      <c r="D499" s="52">
        <f>HLOOKUP("# Memory",'vHosts (Imported)'!$1:$5000,M499,FALSE)</f>
        <v>0</v>
      </c>
      <c r="M499" s="45">
        <f t="shared" si="23"/>
        <v>499</v>
      </c>
      <c r="N499" s="38">
        <f>HLOOKUP("Host",'vInfo (Imported)'!$1:$5000,M499,FALSE)</f>
        <v>0</v>
      </c>
      <c r="R499">
        <f>HLOOKUP("CPUs",'vInfo (Imported)'!$1:$5000,M499,FALSE)</f>
        <v>0</v>
      </c>
      <c r="S499">
        <f>HLOOKUP("Memory",'vInfo (Imported)'!$1:$5000,M499,FALSE)</f>
        <v>0</v>
      </c>
      <c r="T499">
        <f>HLOOKUP("Provisioned MiB",'vInfo (Imported)'!$1:$5000,M499,FALSE)</f>
        <v>0</v>
      </c>
      <c r="U499">
        <f t="shared" si="22"/>
        <v>0</v>
      </c>
      <c r="V499">
        <f>HLOOKUP("In Use MiB",'vInfo (Imported)'!$1:$5000,M499,FALSE)</f>
        <v>0</v>
      </c>
    </row>
    <row r="500" spans="1:22" ht="13" x14ac:dyDescent="0.3">
      <c r="A500" s="46">
        <f>'vHosts (Imported)'!A500</f>
        <v>0</v>
      </c>
      <c r="B500" s="51">
        <f t="shared" si="21"/>
        <v>4968</v>
      </c>
      <c r="C500" s="49">
        <f>HLOOKUP("# Cores",'vHosts (Imported)'!$1:$5000,M500,FALSE)</f>
        <v>0</v>
      </c>
      <c r="D500" s="52">
        <f>HLOOKUP("# Memory",'vHosts (Imported)'!$1:$5000,M500,FALSE)</f>
        <v>0</v>
      </c>
      <c r="M500" s="45">
        <f t="shared" si="23"/>
        <v>500</v>
      </c>
      <c r="N500" s="38">
        <f>HLOOKUP("Host",'vInfo (Imported)'!$1:$5000,M500,FALSE)</f>
        <v>0</v>
      </c>
      <c r="R500">
        <f>HLOOKUP("CPUs",'vInfo (Imported)'!$1:$5000,M500,FALSE)</f>
        <v>0</v>
      </c>
      <c r="S500">
        <f>HLOOKUP("Memory",'vInfo (Imported)'!$1:$5000,M500,FALSE)</f>
        <v>0</v>
      </c>
      <c r="T500">
        <f>HLOOKUP("Provisioned MiB",'vInfo (Imported)'!$1:$5000,M500,FALSE)</f>
        <v>0</v>
      </c>
      <c r="U500">
        <f t="shared" si="22"/>
        <v>0</v>
      </c>
      <c r="V500">
        <f>HLOOKUP("In Use MiB",'vInfo (Imported)'!$1:$5000,M500,FALSE)</f>
        <v>0</v>
      </c>
    </row>
    <row r="501" spans="1:22" ht="13" x14ac:dyDescent="0.3">
      <c r="A501" s="46">
        <f>'vHosts (Imported)'!A501</f>
        <v>0</v>
      </c>
      <c r="B501" s="51">
        <f t="shared" si="21"/>
        <v>4968</v>
      </c>
      <c r="C501" s="49">
        <f>HLOOKUP("# Cores",'vHosts (Imported)'!$1:$5000,M501,FALSE)</f>
        <v>0</v>
      </c>
      <c r="D501" s="52">
        <f>HLOOKUP("# Memory",'vHosts (Imported)'!$1:$5000,M501,FALSE)</f>
        <v>0</v>
      </c>
      <c r="M501" s="45">
        <f t="shared" si="23"/>
        <v>501</v>
      </c>
      <c r="N501" s="38">
        <f>HLOOKUP("Host",'vInfo (Imported)'!$1:$5000,M501,FALSE)</f>
        <v>0</v>
      </c>
      <c r="R501">
        <f>HLOOKUP("CPUs",'vInfo (Imported)'!$1:$5000,M501,FALSE)</f>
        <v>0</v>
      </c>
      <c r="S501">
        <f>HLOOKUP("Memory",'vInfo (Imported)'!$1:$5000,M501,FALSE)</f>
        <v>0</v>
      </c>
      <c r="T501">
        <f>HLOOKUP("Provisioned MiB",'vInfo (Imported)'!$1:$5000,M501,FALSE)</f>
        <v>0</v>
      </c>
      <c r="U501">
        <f t="shared" si="22"/>
        <v>0</v>
      </c>
      <c r="V501">
        <f>HLOOKUP("In Use MiB",'vInfo (Imported)'!$1:$5000,M501,FALSE)</f>
        <v>0</v>
      </c>
    </row>
    <row r="502" spans="1:22" ht="13" x14ac:dyDescent="0.3">
      <c r="A502" s="46">
        <f>'vHosts (Imported)'!A502</f>
        <v>0</v>
      </c>
      <c r="B502" s="51">
        <f t="shared" si="21"/>
        <v>4968</v>
      </c>
      <c r="C502" s="49">
        <f>HLOOKUP("# Cores",'vHosts (Imported)'!$1:$5000,M502,FALSE)</f>
        <v>0</v>
      </c>
      <c r="D502" s="52">
        <f>HLOOKUP("# Memory",'vHosts (Imported)'!$1:$5000,M502,FALSE)</f>
        <v>0</v>
      </c>
      <c r="M502" s="45">
        <f t="shared" si="23"/>
        <v>502</v>
      </c>
      <c r="N502" s="38">
        <f>HLOOKUP("Host",'vInfo (Imported)'!$1:$5000,M502,FALSE)</f>
        <v>0</v>
      </c>
      <c r="R502">
        <f>HLOOKUP("CPUs",'vInfo (Imported)'!$1:$5000,M502,FALSE)</f>
        <v>0</v>
      </c>
      <c r="S502">
        <f>HLOOKUP("Memory",'vInfo (Imported)'!$1:$5000,M502,FALSE)</f>
        <v>0</v>
      </c>
      <c r="T502">
        <f>HLOOKUP("Provisioned MiB",'vInfo (Imported)'!$1:$5000,M502,FALSE)</f>
        <v>0</v>
      </c>
      <c r="U502">
        <f t="shared" si="22"/>
        <v>0</v>
      </c>
      <c r="V502">
        <f>HLOOKUP("In Use MiB",'vInfo (Imported)'!$1:$5000,M502,FALSE)</f>
        <v>0</v>
      </c>
    </row>
    <row r="503" spans="1:22" ht="13" x14ac:dyDescent="0.3">
      <c r="A503" s="46">
        <f>'vHosts (Imported)'!A503</f>
        <v>0</v>
      </c>
      <c r="B503" s="51">
        <f t="shared" si="21"/>
        <v>4968</v>
      </c>
      <c r="C503" s="49">
        <f>HLOOKUP("# Cores",'vHosts (Imported)'!$1:$5000,M503,FALSE)</f>
        <v>0</v>
      </c>
      <c r="D503" s="52">
        <f>HLOOKUP("# Memory",'vHosts (Imported)'!$1:$5000,M503,FALSE)</f>
        <v>0</v>
      </c>
      <c r="M503" s="45">
        <f t="shared" si="23"/>
        <v>503</v>
      </c>
      <c r="N503" s="38">
        <f>HLOOKUP("Host",'vInfo (Imported)'!$1:$5000,M503,FALSE)</f>
        <v>0</v>
      </c>
      <c r="R503">
        <f>HLOOKUP("CPUs",'vInfo (Imported)'!$1:$5000,M503,FALSE)</f>
        <v>0</v>
      </c>
      <c r="S503">
        <f>HLOOKUP("Memory",'vInfo (Imported)'!$1:$5000,M503,FALSE)</f>
        <v>0</v>
      </c>
      <c r="T503">
        <f>HLOOKUP("Provisioned MiB",'vInfo (Imported)'!$1:$5000,M503,FALSE)</f>
        <v>0</v>
      </c>
      <c r="U503">
        <f t="shared" si="22"/>
        <v>0</v>
      </c>
      <c r="V503">
        <f>HLOOKUP("In Use MiB",'vInfo (Imported)'!$1:$5000,M503,FALSE)</f>
        <v>0</v>
      </c>
    </row>
    <row r="504" spans="1:22" ht="13" x14ac:dyDescent="0.3">
      <c r="A504" s="46">
        <f>'vHosts (Imported)'!A504</f>
        <v>0</v>
      </c>
      <c r="B504" s="51">
        <f t="shared" si="21"/>
        <v>4968</v>
      </c>
      <c r="C504" s="49">
        <f>HLOOKUP("# Cores",'vHosts (Imported)'!$1:$5000,M504,FALSE)</f>
        <v>0</v>
      </c>
      <c r="D504" s="52">
        <f>HLOOKUP("# Memory",'vHosts (Imported)'!$1:$5000,M504,FALSE)</f>
        <v>0</v>
      </c>
      <c r="M504" s="45">
        <f t="shared" si="23"/>
        <v>504</v>
      </c>
      <c r="N504" s="38">
        <f>HLOOKUP("Host",'vInfo (Imported)'!$1:$5000,M504,FALSE)</f>
        <v>0</v>
      </c>
      <c r="R504">
        <f>HLOOKUP("CPUs",'vInfo (Imported)'!$1:$5000,M504,FALSE)</f>
        <v>0</v>
      </c>
      <c r="S504">
        <f>HLOOKUP("Memory",'vInfo (Imported)'!$1:$5000,M504,FALSE)</f>
        <v>0</v>
      </c>
      <c r="T504">
        <f>HLOOKUP("Provisioned MiB",'vInfo (Imported)'!$1:$5000,M504,FALSE)</f>
        <v>0</v>
      </c>
      <c r="U504">
        <f t="shared" si="22"/>
        <v>0</v>
      </c>
      <c r="V504">
        <f>HLOOKUP("In Use MiB",'vInfo (Imported)'!$1:$5000,M504,FALSE)</f>
        <v>0</v>
      </c>
    </row>
    <row r="505" spans="1:22" ht="13" x14ac:dyDescent="0.3">
      <c r="A505" s="46">
        <f>'vHosts (Imported)'!A505</f>
        <v>0</v>
      </c>
      <c r="B505" s="51">
        <f t="shared" si="21"/>
        <v>4968</v>
      </c>
      <c r="C505" s="49">
        <f>HLOOKUP("# Cores",'vHosts (Imported)'!$1:$5000,M505,FALSE)</f>
        <v>0</v>
      </c>
      <c r="D505" s="52">
        <f>HLOOKUP("# Memory",'vHosts (Imported)'!$1:$5000,M505,FALSE)</f>
        <v>0</v>
      </c>
      <c r="M505" s="45">
        <f t="shared" si="23"/>
        <v>505</v>
      </c>
      <c r="N505" s="38">
        <f>HLOOKUP("Host",'vInfo (Imported)'!$1:$5000,M505,FALSE)</f>
        <v>0</v>
      </c>
      <c r="R505">
        <f>HLOOKUP("CPUs",'vInfo (Imported)'!$1:$5000,M505,FALSE)</f>
        <v>0</v>
      </c>
      <c r="S505">
        <f>HLOOKUP("Memory",'vInfo (Imported)'!$1:$5000,M505,FALSE)</f>
        <v>0</v>
      </c>
      <c r="T505">
        <f>HLOOKUP("Provisioned MiB",'vInfo (Imported)'!$1:$5000,M505,FALSE)</f>
        <v>0</v>
      </c>
      <c r="U505">
        <f t="shared" si="22"/>
        <v>0</v>
      </c>
      <c r="V505">
        <f>HLOOKUP("In Use MiB",'vInfo (Imported)'!$1:$5000,M505,FALSE)</f>
        <v>0</v>
      </c>
    </row>
    <row r="506" spans="1:22" ht="13" x14ac:dyDescent="0.3">
      <c r="A506" s="46">
        <f>'vHosts (Imported)'!A506</f>
        <v>0</v>
      </c>
      <c r="B506" s="51">
        <f t="shared" si="21"/>
        <v>4968</v>
      </c>
      <c r="C506" s="49">
        <f>HLOOKUP("# Cores",'vHosts (Imported)'!$1:$5000,M506,FALSE)</f>
        <v>0</v>
      </c>
      <c r="D506" s="52">
        <f>HLOOKUP("# Memory",'vHosts (Imported)'!$1:$5000,M506,FALSE)</f>
        <v>0</v>
      </c>
      <c r="M506" s="45">
        <f t="shared" si="23"/>
        <v>506</v>
      </c>
      <c r="N506" s="38">
        <f>HLOOKUP("Host",'vInfo (Imported)'!$1:$5000,M506,FALSE)</f>
        <v>0</v>
      </c>
      <c r="R506">
        <f>HLOOKUP("CPUs",'vInfo (Imported)'!$1:$5000,M506,FALSE)</f>
        <v>0</v>
      </c>
      <c r="S506">
        <f>HLOOKUP("Memory",'vInfo (Imported)'!$1:$5000,M506,FALSE)</f>
        <v>0</v>
      </c>
      <c r="T506">
        <f>HLOOKUP("Provisioned MiB",'vInfo (Imported)'!$1:$5000,M506,FALSE)</f>
        <v>0</v>
      </c>
      <c r="U506">
        <f t="shared" si="22"/>
        <v>0</v>
      </c>
      <c r="V506">
        <f>HLOOKUP("In Use MiB",'vInfo (Imported)'!$1:$5000,M506,FALSE)</f>
        <v>0</v>
      </c>
    </row>
    <row r="507" spans="1:22" ht="13" x14ac:dyDescent="0.3">
      <c r="A507" s="46">
        <f>'vHosts (Imported)'!A507</f>
        <v>0</v>
      </c>
      <c r="B507" s="51">
        <f t="shared" si="21"/>
        <v>4968</v>
      </c>
      <c r="C507" s="49">
        <f>HLOOKUP("# Cores",'vHosts (Imported)'!$1:$5000,M507,FALSE)</f>
        <v>0</v>
      </c>
      <c r="D507" s="52">
        <f>HLOOKUP("# Memory",'vHosts (Imported)'!$1:$5000,M507,FALSE)</f>
        <v>0</v>
      </c>
      <c r="M507" s="45">
        <f t="shared" si="23"/>
        <v>507</v>
      </c>
      <c r="N507" s="38">
        <f>HLOOKUP("Host",'vInfo (Imported)'!$1:$5000,M507,FALSE)</f>
        <v>0</v>
      </c>
      <c r="R507">
        <f>HLOOKUP("CPUs",'vInfo (Imported)'!$1:$5000,M507,FALSE)</f>
        <v>0</v>
      </c>
      <c r="S507">
        <f>HLOOKUP("Memory",'vInfo (Imported)'!$1:$5000,M507,FALSE)</f>
        <v>0</v>
      </c>
      <c r="T507">
        <f>HLOOKUP("Provisioned MiB",'vInfo (Imported)'!$1:$5000,M507,FALSE)</f>
        <v>0</v>
      </c>
      <c r="U507">
        <f t="shared" si="22"/>
        <v>0</v>
      </c>
      <c r="V507">
        <f>HLOOKUP("In Use MiB",'vInfo (Imported)'!$1:$5000,M507,FALSE)</f>
        <v>0</v>
      </c>
    </row>
    <row r="508" spans="1:22" ht="13" x14ac:dyDescent="0.3">
      <c r="A508" s="46">
        <f>'vHosts (Imported)'!A508</f>
        <v>0</v>
      </c>
      <c r="B508" s="51">
        <f t="shared" si="21"/>
        <v>4968</v>
      </c>
      <c r="C508" s="49">
        <f>HLOOKUP("# Cores",'vHosts (Imported)'!$1:$5000,M508,FALSE)</f>
        <v>0</v>
      </c>
      <c r="D508" s="52">
        <f>HLOOKUP("# Memory",'vHosts (Imported)'!$1:$5000,M508,FALSE)</f>
        <v>0</v>
      </c>
      <c r="M508" s="45">
        <f t="shared" si="23"/>
        <v>508</v>
      </c>
      <c r="N508" s="38">
        <f>HLOOKUP("Host",'vInfo (Imported)'!$1:$5000,M508,FALSE)</f>
        <v>0</v>
      </c>
      <c r="R508">
        <f>HLOOKUP("CPUs",'vInfo (Imported)'!$1:$5000,M508,FALSE)</f>
        <v>0</v>
      </c>
      <c r="S508">
        <f>HLOOKUP("Memory",'vInfo (Imported)'!$1:$5000,M508,FALSE)</f>
        <v>0</v>
      </c>
      <c r="T508">
        <f>HLOOKUP("Provisioned MiB",'vInfo (Imported)'!$1:$5000,M508,FALSE)</f>
        <v>0</v>
      </c>
      <c r="U508">
        <f t="shared" si="22"/>
        <v>0</v>
      </c>
      <c r="V508">
        <f>HLOOKUP("In Use MiB",'vInfo (Imported)'!$1:$5000,M508,FALSE)</f>
        <v>0</v>
      </c>
    </row>
    <row r="509" spans="1:22" ht="13" x14ac:dyDescent="0.3">
      <c r="A509" s="46">
        <f>'vHosts (Imported)'!A509</f>
        <v>0</v>
      </c>
      <c r="B509" s="51">
        <f t="shared" si="21"/>
        <v>4968</v>
      </c>
      <c r="C509" s="49">
        <f>HLOOKUP("# Cores",'vHosts (Imported)'!$1:$5000,M509,FALSE)</f>
        <v>0</v>
      </c>
      <c r="D509" s="52">
        <f>HLOOKUP("# Memory",'vHosts (Imported)'!$1:$5000,M509,FALSE)</f>
        <v>0</v>
      </c>
      <c r="M509" s="45">
        <f t="shared" si="23"/>
        <v>509</v>
      </c>
      <c r="N509" s="38">
        <f>HLOOKUP("Host",'vInfo (Imported)'!$1:$5000,M509,FALSE)</f>
        <v>0</v>
      </c>
      <c r="R509">
        <f>HLOOKUP("CPUs",'vInfo (Imported)'!$1:$5000,M509,FALSE)</f>
        <v>0</v>
      </c>
      <c r="S509">
        <f>HLOOKUP("Memory",'vInfo (Imported)'!$1:$5000,M509,FALSE)</f>
        <v>0</v>
      </c>
      <c r="T509">
        <f>HLOOKUP("Provisioned MiB",'vInfo (Imported)'!$1:$5000,M509,FALSE)</f>
        <v>0</v>
      </c>
      <c r="U509">
        <f t="shared" si="22"/>
        <v>0</v>
      </c>
      <c r="V509">
        <f>HLOOKUP("In Use MiB",'vInfo (Imported)'!$1:$5000,M509,FALSE)</f>
        <v>0</v>
      </c>
    </row>
    <row r="510" spans="1:22" ht="13" x14ac:dyDescent="0.3">
      <c r="A510" s="46">
        <f>'vHosts (Imported)'!A510</f>
        <v>0</v>
      </c>
      <c r="B510" s="51">
        <f t="shared" si="21"/>
        <v>4968</v>
      </c>
      <c r="C510" s="49">
        <f>HLOOKUP("# Cores",'vHosts (Imported)'!$1:$5000,M510,FALSE)</f>
        <v>0</v>
      </c>
      <c r="D510" s="52">
        <f>HLOOKUP("# Memory",'vHosts (Imported)'!$1:$5000,M510,FALSE)</f>
        <v>0</v>
      </c>
      <c r="M510" s="45">
        <f t="shared" si="23"/>
        <v>510</v>
      </c>
      <c r="N510" s="38">
        <f>HLOOKUP("Host",'vInfo (Imported)'!$1:$5000,M510,FALSE)</f>
        <v>0</v>
      </c>
      <c r="R510">
        <f>HLOOKUP("CPUs",'vInfo (Imported)'!$1:$5000,M510,FALSE)</f>
        <v>0</v>
      </c>
      <c r="S510">
        <f>HLOOKUP("Memory",'vInfo (Imported)'!$1:$5000,M510,FALSE)</f>
        <v>0</v>
      </c>
      <c r="T510">
        <f>HLOOKUP("Provisioned MiB",'vInfo (Imported)'!$1:$5000,M510,FALSE)</f>
        <v>0</v>
      </c>
      <c r="U510">
        <f t="shared" si="22"/>
        <v>0</v>
      </c>
      <c r="V510">
        <f>HLOOKUP("In Use MiB",'vInfo (Imported)'!$1:$5000,M510,FALSE)</f>
        <v>0</v>
      </c>
    </row>
    <row r="511" spans="1:22" ht="13" x14ac:dyDescent="0.3">
      <c r="A511" s="46">
        <f>'vHosts (Imported)'!A511</f>
        <v>0</v>
      </c>
      <c r="B511" s="51">
        <f t="shared" si="21"/>
        <v>4968</v>
      </c>
      <c r="C511" s="49">
        <f>HLOOKUP("# Cores",'vHosts (Imported)'!$1:$5000,M511,FALSE)</f>
        <v>0</v>
      </c>
      <c r="D511" s="52">
        <f>HLOOKUP("# Memory",'vHosts (Imported)'!$1:$5000,M511,FALSE)</f>
        <v>0</v>
      </c>
      <c r="M511" s="45">
        <f t="shared" si="23"/>
        <v>511</v>
      </c>
      <c r="N511" s="38">
        <f>HLOOKUP("Host",'vInfo (Imported)'!$1:$5000,M511,FALSE)</f>
        <v>0</v>
      </c>
      <c r="R511">
        <f>HLOOKUP("CPUs",'vInfo (Imported)'!$1:$5000,M511,FALSE)</f>
        <v>0</v>
      </c>
      <c r="S511">
        <f>HLOOKUP("Memory",'vInfo (Imported)'!$1:$5000,M511,FALSE)</f>
        <v>0</v>
      </c>
      <c r="T511">
        <f>HLOOKUP("Provisioned MiB",'vInfo (Imported)'!$1:$5000,M511,FALSE)</f>
        <v>0</v>
      </c>
      <c r="U511">
        <f t="shared" si="22"/>
        <v>0</v>
      </c>
      <c r="V511">
        <f>HLOOKUP("In Use MiB",'vInfo (Imported)'!$1:$5000,M511,FALSE)</f>
        <v>0</v>
      </c>
    </row>
    <row r="512" spans="1:22" ht="13" x14ac:dyDescent="0.3">
      <c r="A512" s="46">
        <f>'vHosts (Imported)'!A512</f>
        <v>0</v>
      </c>
      <c r="B512" s="51">
        <f t="shared" si="21"/>
        <v>4968</v>
      </c>
      <c r="C512" s="49">
        <f>HLOOKUP("# Cores",'vHosts (Imported)'!$1:$5000,M512,FALSE)</f>
        <v>0</v>
      </c>
      <c r="D512" s="52">
        <f>HLOOKUP("# Memory",'vHosts (Imported)'!$1:$5000,M512,FALSE)</f>
        <v>0</v>
      </c>
      <c r="M512" s="45">
        <f t="shared" si="23"/>
        <v>512</v>
      </c>
      <c r="N512" s="38">
        <f>HLOOKUP("Host",'vInfo (Imported)'!$1:$5000,M512,FALSE)</f>
        <v>0</v>
      </c>
      <c r="R512">
        <f>HLOOKUP("CPUs",'vInfo (Imported)'!$1:$5000,M512,FALSE)</f>
        <v>0</v>
      </c>
      <c r="S512">
        <f>HLOOKUP("Memory",'vInfo (Imported)'!$1:$5000,M512,FALSE)</f>
        <v>0</v>
      </c>
      <c r="T512">
        <f>HLOOKUP("Provisioned MiB",'vInfo (Imported)'!$1:$5000,M512,FALSE)</f>
        <v>0</v>
      </c>
      <c r="U512">
        <f t="shared" si="22"/>
        <v>0</v>
      </c>
      <c r="V512">
        <f>HLOOKUP("In Use MiB",'vInfo (Imported)'!$1:$5000,M512,FALSE)</f>
        <v>0</v>
      </c>
    </row>
    <row r="513" spans="1:22" ht="13" x14ac:dyDescent="0.3">
      <c r="A513" s="46">
        <f>'vHosts (Imported)'!A513</f>
        <v>0</v>
      </c>
      <c r="B513" s="51">
        <f t="shared" si="21"/>
        <v>4968</v>
      </c>
      <c r="C513" s="49">
        <f>HLOOKUP("# Cores",'vHosts (Imported)'!$1:$5000,M513,FALSE)</f>
        <v>0</v>
      </c>
      <c r="D513" s="52">
        <f>HLOOKUP("# Memory",'vHosts (Imported)'!$1:$5000,M513,FALSE)</f>
        <v>0</v>
      </c>
      <c r="M513" s="45">
        <f t="shared" si="23"/>
        <v>513</v>
      </c>
      <c r="N513" s="38">
        <f>HLOOKUP("Host",'vInfo (Imported)'!$1:$5000,M513,FALSE)</f>
        <v>0</v>
      </c>
      <c r="R513">
        <f>HLOOKUP("CPUs",'vInfo (Imported)'!$1:$5000,M513,FALSE)</f>
        <v>0</v>
      </c>
      <c r="S513">
        <f>HLOOKUP("Memory",'vInfo (Imported)'!$1:$5000,M513,FALSE)</f>
        <v>0</v>
      </c>
      <c r="T513">
        <f>HLOOKUP("Provisioned MiB",'vInfo (Imported)'!$1:$5000,M513,FALSE)</f>
        <v>0</v>
      </c>
      <c r="U513">
        <f t="shared" si="22"/>
        <v>0</v>
      </c>
      <c r="V513">
        <f>HLOOKUP("In Use MiB",'vInfo (Imported)'!$1:$5000,M513,FALSE)</f>
        <v>0</v>
      </c>
    </row>
    <row r="514" spans="1:22" ht="13" x14ac:dyDescent="0.3">
      <c r="A514" s="46">
        <f>'vHosts (Imported)'!A514</f>
        <v>0</v>
      </c>
      <c r="B514" s="51">
        <f t="shared" ref="B514:B577" si="24">COUNTIFS(N:N,IF(A514=0,"0",A514))</f>
        <v>4968</v>
      </c>
      <c r="C514" s="49">
        <f>HLOOKUP("# Cores",'vHosts (Imported)'!$1:$5000,M514,FALSE)</f>
        <v>0</v>
      </c>
      <c r="D514" s="52">
        <f>HLOOKUP("# Memory",'vHosts (Imported)'!$1:$5000,M514,FALSE)</f>
        <v>0</v>
      </c>
      <c r="M514" s="45">
        <f t="shared" si="23"/>
        <v>514</v>
      </c>
      <c r="N514" s="38">
        <f>HLOOKUP("Host",'vInfo (Imported)'!$1:$5000,M514,FALSE)</f>
        <v>0</v>
      </c>
      <c r="R514">
        <f>HLOOKUP("CPUs",'vInfo (Imported)'!$1:$5000,M514,FALSE)</f>
        <v>0</v>
      </c>
      <c r="S514">
        <f>HLOOKUP("Memory",'vInfo (Imported)'!$1:$5000,M514,FALSE)</f>
        <v>0</v>
      </c>
      <c r="T514">
        <f>HLOOKUP("Provisioned MiB",'vInfo (Imported)'!$1:$5000,M514,FALSE)</f>
        <v>0</v>
      </c>
      <c r="U514">
        <f t="shared" si="22"/>
        <v>0</v>
      </c>
      <c r="V514">
        <f>HLOOKUP("In Use MiB",'vInfo (Imported)'!$1:$5000,M514,FALSE)</f>
        <v>0</v>
      </c>
    </row>
    <row r="515" spans="1:22" ht="13" x14ac:dyDescent="0.3">
      <c r="A515" s="46">
        <f>'vHosts (Imported)'!A515</f>
        <v>0</v>
      </c>
      <c r="B515" s="51">
        <f t="shared" si="24"/>
        <v>4968</v>
      </c>
      <c r="C515" s="49">
        <f>HLOOKUP("# Cores",'vHosts (Imported)'!$1:$5000,M515,FALSE)</f>
        <v>0</v>
      </c>
      <c r="D515" s="52">
        <f>HLOOKUP("# Memory",'vHosts (Imported)'!$1:$5000,M515,FALSE)</f>
        <v>0</v>
      </c>
      <c r="M515" s="45">
        <f t="shared" si="23"/>
        <v>515</v>
      </c>
      <c r="N515" s="38">
        <f>HLOOKUP("Host",'vInfo (Imported)'!$1:$5000,M515,FALSE)</f>
        <v>0</v>
      </c>
      <c r="R515">
        <f>HLOOKUP("CPUs",'vInfo (Imported)'!$1:$5000,M515,FALSE)</f>
        <v>0</v>
      </c>
      <c r="S515">
        <f>HLOOKUP("Memory",'vInfo (Imported)'!$1:$5000,M515,FALSE)</f>
        <v>0</v>
      </c>
      <c r="T515">
        <f>HLOOKUP("Provisioned MiB",'vInfo (Imported)'!$1:$5000,M515,FALSE)</f>
        <v>0</v>
      </c>
      <c r="U515">
        <f t="shared" ref="U515:U578" si="25">T515-V515</f>
        <v>0</v>
      </c>
      <c r="V515">
        <f>HLOOKUP("In Use MiB",'vInfo (Imported)'!$1:$5000,M515,FALSE)</f>
        <v>0</v>
      </c>
    </row>
    <row r="516" spans="1:22" ht="13" x14ac:dyDescent="0.3">
      <c r="A516" s="46">
        <f>'vHosts (Imported)'!A516</f>
        <v>0</v>
      </c>
      <c r="B516" s="51">
        <f t="shared" si="24"/>
        <v>4968</v>
      </c>
      <c r="C516" s="49">
        <f>HLOOKUP("# Cores",'vHosts (Imported)'!$1:$5000,M516,FALSE)</f>
        <v>0</v>
      </c>
      <c r="D516" s="52">
        <f>HLOOKUP("# Memory",'vHosts (Imported)'!$1:$5000,M516,FALSE)</f>
        <v>0</v>
      </c>
      <c r="M516" s="45">
        <f t="shared" ref="M516:M579" si="26">M515+1</f>
        <v>516</v>
      </c>
      <c r="N516" s="38">
        <f>HLOOKUP("Host",'vInfo (Imported)'!$1:$5000,M516,FALSE)</f>
        <v>0</v>
      </c>
      <c r="R516">
        <f>HLOOKUP("CPUs",'vInfo (Imported)'!$1:$5000,M516,FALSE)</f>
        <v>0</v>
      </c>
      <c r="S516">
        <f>HLOOKUP("Memory",'vInfo (Imported)'!$1:$5000,M516,FALSE)</f>
        <v>0</v>
      </c>
      <c r="T516">
        <f>HLOOKUP("Provisioned MiB",'vInfo (Imported)'!$1:$5000,M516,FALSE)</f>
        <v>0</v>
      </c>
      <c r="U516">
        <f t="shared" si="25"/>
        <v>0</v>
      </c>
      <c r="V516">
        <f>HLOOKUP("In Use MiB",'vInfo (Imported)'!$1:$5000,M516,FALSE)</f>
        <v>0</v>
      </c>
    </row>
    <row r="517" spans="1:22" ht="13" x14ac:dyDescent="0.3">
      <c r="A517" s="46">
        <f>'vHosts (Imported)'!A517</f>
        <v>0</v>
      </c>
      <c r="B517" s="51">
        <f t="shared" si="24"/>
        <v>4968</v>
      </c>
      <c r="C517" s="49">
        <f>HLOOKUP("# Cores",'vHosts (Imported)'!$1:$5000,M517,FALSE)</f>
        <v>0</v>
      </c>
      <c r="D517" s="52">
        <f>HLOOKUP("# Memory",'vHosts (Imported)'!$1:$5000,M517,FALSE)</f>
        <v>0</v>
      </c>
      <c r="M517" s="45">
        <f t="shared" si="26"/>
        <v>517</v>
      </c>
      <c r="N517" s="38">
        <f>HLOOKUP("Host",'vInfo (Imported)'!$1:$5000,M517,FALSE)</f>
        <v>0</v>
      </c>
      <c r="R517">
        <f>HLOOKUP("CPUs",'vInfo (Imported)'!$1:$5000,M517,FALSE)</f>
        <v>0</v>
      </c>
      <c r="S517">
        <f>HLOOKUP("Memory",'vInfo (Imported)'!$1:$5000,M517,FALSE)</f>
        <v>0</v>
      </c>
      <c r="T517">
        <f>HLOOKUP("Provisioned MiB",'vInfo (Imported)'!$1:$5000,M517,FALSE)</f>
        <v>0</v>
      </c>
      <c r="U517">
        <f t="shared" si="25"/>
        <v>0</v>
      </c>
      <c r="V517">
        <f>HLOOKUP("In Use MiB",'vInfo (Imported)'!$1:$5000,M517,FALSE)</f>
        <v>0</v>
      </c>
    </row>
    <row r="518" spans="1:22" ht="13" x14ac:dyDescent="0.3">
      <c r="A518" s="46">
        <f>'vHosts (Imported)'!A518</f>
        <v>0</v>
      </c>
      <c r="B518" s="51">
        <f t="shared" si="24"/>
        <v>4968</v>
      </c>
      <c r="C518" s="49">
        <f>HLOOKUP("# Cores",'vHosts (Imported)'!$1:$5000,M518,FALSE)</f>
        <v>0</v>
      </c>
      <c r="D518" s="52">
        <f>HLOOKUP("# Memory",'vHosts (Imported)'!$1:$5000,M518,FALSE)</f>
        <v>0</v>
      </c>
      <c r="M518" s="45">
        <f t="shared" si="26"/>
        <v>518</v>
      </c>
      <c r="N518" s="38">
        <f>HLOOKUP("Host",'vInfo (Imported)'!$1:$5000,M518,FALSE)</f>
        <v>0</v>
      </c>
      <c r="R518">
        <f>HLOOKUP("CPUs",'vInfo (Imported)'!$1:$5000,M518,FALSE)</f>
        <v>0</v>
      </c>
      <c r="S518">
        <f>HLOOKUP("Memory",'vInfo (Imported)'!$1:$5000,M518,FALSE)</f>
        <v>0</v>
      </c>
      <c r="T518">
        <f>HLOOKUP("Provisioned MiB",'vInfo (Imported)'!$1:$5000,M518,FALSE)</f>
        <v>0</v>
      </c>
      <c r="U518">
        <f t="shared" si="25"/>
        <v>0</v>
      </c>
      <c r="V518">
        <f>HLOOKUP("In Use MiB",'vInfo (Imported)'!$1:$5000,M518,FALSE)</f>
        <v>0</v>
      </c>
    </row>
    <row r="519" spans="1:22" ht="13" x14ac:dyDescent="0.3">
      <c r="A519" s="46">
        <f>'vHosts (Imported)'!A519</f>
        <v>0</v>
      </c>
      <c r="B519" s="51">
        <f t="shared" si="24"/>
        <v>4968</v>
      </c>
      <c r="C519" s="49">
        <f>HLOOKUP("# Cores",'vHosts (Imported)'!$1:$5000,M519,FALSE)</f>
        <v>0</v>
      </c>
      <c r="D519" s="52">
        <f>HLOOKUP("# Memory",'vHosts (Imported)'!$1:$5000,M519,FALSE)</f>
        <v>0</v>
      </c>
      <c r="M519" s="45">
        <f t="shared" si="26"/>
        <v>519</v>
      </c>
      <c r="N519" s="38">
        <f>HLOOKUP("Host",'vInfo (Imported)'!$1:$5000,M519,FALSE)</f>
        <v>0</v>
      </c>
      <c r="R519">
        <f>HLOOKUP("CPUs",'vInfo (Imported)'!$1:$5000,M519,FALSE)</f>
        <v>0</v>
      </c>
      <c r="S519">
        <f>HLOOKUP("Memory",'vInfo (Imported)'!$1:$5000,M519,FALSE)</f>
        <v>0</v>
      </c>
      <c r="T519">
        <f>HLOOKUP("Provisioned MiB",'vInfo (Imported)'!$1:$5000,M519,FALSE)</f>
        <v>0</v>
      </c>
      <c r="U519">
        <f t="shared" si="25"/>
        <v>0</v>
      </c>
      <c r="V519">
        <f>HLOOKUP("In Use MiB",'vInfo (Imported)'!$1:$5000,M519,FALSE)</f>
        <v>0</v>
      </c>
    </row>
    <row r="520" spans="1:22" ht="13" x14ac:dyDescent="0.3">
      <c r="A520" s="46">
        <f>'vHosts (Imported)'!A520</f>
        <v>0</v>
      </c>
      <c r="B520" s="51">
        <f t="shared" si="24"/>
        <v>4968</v>
      </c>
      <c r="C520" s="49">
        <f>HLOOKUP("# Cores",'vHosts (Imported)'!$1:$5000,M520,FALSE)</f>
        <v>0</v>
      </c>
      <c r="D520" s="52">
        <f>HLOOKUP("# Memory",'vHosts (Imported)'!$1:$5000,M520,FALSE)</f>
        <v>0</v>
      </c>
      <c r="M520" s="45">
        <f t="shared" si="26"/>
        <v>520</v>
      </c>
      <c r="N520" s="38">
        <f>HLOOKUP("Host",'vInfo (Imported)'!$1:$5000,M520,FALSE)</f>
        <v>0</v>
      </c>
      <c r="R520">
        <f>HLOOKUP("CPUs",'vInfo (Imported)'!$1:$5000,M520,FALSE)</f>
        <v>0</v>
      </c>
      <c r="S520">
        <f>HLOOKUP("Memory",'vInfo (Imported)'!$1:$5000,M520,FALSE)</f>
        <v>0</v>
      </c>
      <c r="T520">
        <f>HLOOKUP("Provisioned MiB",'vInfo (Imported)'!$1:$5000,M520,FALSE)</f>
        <v>0</v>
      </c>
      <c r="U520">
        <f t="shared" si="25"/>
        <v>0</v>
      </c>
      <c r="V520">
        <f>HLOOKUP("In Use MiB",'vInfo (Imported)'!$1:$5000,M520,FALSE)</f>
        <v>0</v>
      </c>
    </row>
    <row r="521" spans="1:22" ht="13" x14ac:dyDescent="0.3">
      <c r="A521" s="46">
        <f>'vHosts (Imported)'!A521</f>
        <v>0</v>
      </c>
      <c r="B521" s="51">
        <f t="shared" si="24"/>
        <v>4968</v>
      </c>
      <c r="C521" s="49">
        <f>HLOOKUP("# Cores",'vHosts (Imported)'!$1:$5000,M521,FALSE)</f>
        <v>0</v>
      </c>
      <c r="D521" s="52">
        <f>HLOOKUP("# Memory",'vHosts (Imported)'!$1:$5000,M521,FALSE)</f>
        <v>0</v>
      </c>
      <c r="M521" s="45">
        <f t="shared" si="26"/>
        <v>521</v>
      </c>
      <c r="N521" s="38">
        <f>HLOOKUP("Host",'vInfo (Imported)'!$1:$5000,M521,FALSE)</f>
        <v>0</v>
      </c>
      <c r="R521">
        <f>HLOOKUP("CPUs",'vInfo (Imported)'!$1:$5000,M521,FALSE)</f>
        <v>0</v>
      </c>
      <c r="S521">
        <f>HLOOKUP("Memory",'vInfo (Imported)'!$1:$5000,M521,FALSE)</f>
        <v>0</v>
      </c>
      <c r="T521">
        <f>HLOOKUP("Provisioned MiB",'vInfo (Imported)'!$1:$5000,M521,FALSE)</f>
        <v>0</v>
      </c>
      <c r="U521">
        <f t="shared" si="25"/>
        <v>0</v>
      </c>
      <c r="V521">
        <f>HLOOKUP("In Use MiB",'vInfo (Imported)'!$1:$5000,M521,FALSE)</f>
        <v>0</v>
      </c>
    </row>
    <row r="522" spans="1:22" ht="13" x14ac:dyDescent="0.3">
      <c r="A522" s="46">
        <f>'vHosts (Imported)'!A522</f>
        <v>0</v>
      </c>
      <c r="B522" s="51">
        <f t="shared" si="24"/>
        <v>4968</v>
      </c>
      <c r="C522" s="49">
        <f>HLOOKUP("# Cores",'vHosts (Imported)'!$1:$5000,M522,FALSE)</f>
        <v>0</v>
      </c>
      <c r="D522" s="52">
        <f>HLOOKUP("# Memory",'vHosts (Imported)'!$1:$5000,M522,FALSE)</f>
        <v>0</v>
      </c>
      <c r="M522" s="45">
        <f t="shared" si="26"/>
        <v>522</v>
      </c>
      <c r="N522" s="38">
        <f>HLOOKUP("Host",'vInfo (Imported)'!$1:$5000,M522,FALSE)</f>
        <v>0</v>
      </c>
      <c r="R522">
        <f>HLOOKUP("CPUs",'vInfo (Imported)'!$1:$5000,M522,FALSE)</f>
        <v>0</v>
      </c>
      <c r="S522">
        <f>HLOOKUP("Memory",'vInfo (Imported)'!$1:$5000,M522,FALSE)</f>
        <v>0</v>
      </c>
      <c r="T522">
        <f>HLOOKUP("Provisioned MiB",'vInfo (Imported)'!$1:$5000,M522,FALSE)</f>
        <v>0</v>
      </c>
      <c r="U522">
        <f t="shared" si="25"/>
        <v>0</v>
      </c>
      <c r="V522">
        <f>HLOOKUP("In Use MiB",'vInfo (Imported)'!$1:$5000,M522,FALSE)</f>
        <v>0</v>
      </c>
    </row>
    <row r="523" spans="1:22" ht="13" x14ac:dyDescent="0.3">
      <c r="A523" s="46">
        <f>'vHosts (Imported)'!A523</f>
        <v>0</v>
      </c>
      <c r="B523" s="51">
        <f t="shared" si="24"/>
        <v>4968</v>
      </c>
      <c r="C523" s="49">
        <f>HLOOKUP("# Cores",'vHosts (Imported)'!$1:$5000,M523,FALSE)</f>
        <v>0</v>
      </c>
      <c r="D523" s="52">
        <f>HLOOKUP("# Memory",'vHosts (Imported)'!$1:$5000,M523,FALSE)</f>
        <v>0</v>
      </c>
      <c r="M523" s="45">
        <f t="shared" si="26"/>
        <v>523</v>
      </c>
      <c r="N523" s="38">
        <f>HLOOKUP("Host",'vInfo (Imported)'!$1:$5000,M523,FALSE)</f>
        <v>0</v>
      </c>
      <c r="R523">
        <f>HLOOKUP("CPUs",'vInfo (Imported)'!$1:$5000,M523,FALSE)</f>
        <v>0</v>
      </c>
      <c r="S523">
        <f>HLOOKUP("Memory",'vInfo (Imported)'!$1:$5000,M523,FALSE)</f>
        <v>0</v>
      </c>
      <c r="T523">
        <f>HLOOKUP("Provisioned MiB",'vInfo (Imported)'!$1:$5000,M523,FALSE)</f>
        <v>0</v>
      </c>
      <c r="U523">
        <f t="shared" si="25"/>
        <v>0</v>
      </c>
      <c r="V523">
        <f>HLOOKUP("In Use MiB",'vInfo (Imported)'!$1:$5000,M523,FALSE)</f>
        <v>0</v>
      </c>
    </row>
    <row r="524" spans="1:22" ht="13" x14ac:dyDescent="0.3">
      <c r="A524" s="46">
        <f>'vHosts (Imported)'!A524</f>
        <v>0</v>
      </c>
      <c r="B524" s="51">
        <f t="shared" si="24"/>
        <v>4968</v>
      </c>
      <c r="C524" s="49">
        <f>HLOOKUP("# Cores",'vHosts (Imported)'!$1:$5000,M524,FALSE)</f>
        <v>0</v>
      </c>
      <c r="D524" s="52">
        <f>HLOOKUP("# Memory",'vHosts (Imported)'!$1:$5000,M524,FALSE)</f>
        <v>0</v>
      </c>
      <c r="M524" s="45">
        <f t="shared" si="26"/>
        <v>524</v>
      </c>
      <c r="N524" s="38">
        <f>HLOOKUP("Host",'vInfo (Imported)'!$1:$5000,M524,FALSE)</f>
        <v>0</v>
      </c>
      <c r="R524">
        <f>HLOOKUP("CPUs",'vInfo (Imported)'!$1:$5000,M524,FALSE)</f>
        <v>0</v>
      </c>
      <c r="S524">
        <f>HLOOKUP("Memory",'vInfo (Imported)'!$1:$5000,M524,FALSE)</f>
        <v>0</v>
      </c>
      <c r="T524">
        <f>HLOOKUP("Provisioned MiB",'vInfo (Imported)'!$1:$5000,M524,FALSE)</f>
        <v>0</v>
      </c>
      <c r="U524">
        <f t="shared" si="25"/>
        <v>0</v>
      </c>
      <c r="V524">
        <f>HLOOKUP("In Use MiB",'vInfo (Imported)'!$1:$5000,M524,FALSE)</f>
        <v>0</v>
      </c>
    </row>
    <row r="525" spans="1:22" ht="13" x14ac:dyDescent="0.3">
      <c r="A525" s="46">
        <f>'vHosts (Imported)'!A525</f>
        <v>0</v>
      </c>
      <c r="B525" s="51">
        <f t="shared" si="24"/>
        <v>4968</v>
      </c>
      <c r="C525" s="49">
        <f>HLOOKUP("# Cores",'vHosts (Imported)'!$1:$5000,M525,FALSE)</f>
        <v>0</v>
      </c>
      <c r="D525" s="52">
        <f>HLOOKUP("# Memory",'vHosts (Imported)'!$1:$5000,M525,FALSE)</f>
        <v>0</v>
      </c>
      <c r="M525" s="45">
        <f t="shared" si="26"/>
        <v>525</v>
      </c>
      <c r="N525" s="38">
        <f>HLOOKUP("Host",'vInfo (Imported)'!$1:$5000,M525,FALSE)</f>
        <v>0</v>
      </c>
      <c r="R525">
        <f>HLOOKUP("CPUs",'vInfo (Imported)'!$1:$5000,M525,FALSE)</f>
        <v>0</v>
      </c>
      <c r="S525">
        <f>HLOOKUP("Memory",'vInfo (Imported)'!$1:$5000,M525,FALSE)</f>
        <v>0</v>
      </c>
      <c r="T525">
        <f>HLOOKUP("Provisioned MiB",'vInfo (Imported)'!$1:$5000,M525,FALSE)</f>
        <v>0</v>
      </c>
      <c r="U525">
        <f t="shared" si="25"/>
        <v>0</v>
      </c>
      <c r="V525">
        <f>HLOOKUP("In Use MiB",'vInfo (Imported)'!$1:$5000,M525,FALSE)</f>
        <v>0</v>
      </c>
    </row>
    <row r="526" spans="1:22" ht="13" x14ac:dyDescent="0.3">
      <c r="A526" s="46">
        <f>'vHosts (Imported)'!A526</f>
        <v>0</v>
      </c>
      <c r="B526" s="51">
        <f t="shared" si="24"/>
        <v>4968</v>
      </c>
      <c r="C526" s="49">
        <f>HLOOKUP("# Cores",'vHosts (Imported)'!$1:$5000,M526,FALSE)</f>
        <v>0</v>
      </c>
      <c r="D526" s="52">
        <f>HLOOKUP("# Memory",'vHosts (Imported)'!$1:$5000,M526,FALSE)</f>
        <v>0</v>
      </c>
      <c r="M526" s="45">
        <f t="shared" si="26"/>
        <v>526</v>
      </c>
      <c r="N526" s="38">
        <f>HLOOKUP("Host",'vInfo (Imported)'!$1:$5000,M526,FALSE)</f>
        <v>0</v>
      </c>
      <c r="R526">
        <f>HLOOKUP("CPUs",'vInfo (Imported)'!$1:$5000,M526,FALSE)</f>
        <v>0</v>
      </c>
      <c r="S526">
        <f>HLOOKUP("Memory",'vInfo (Imported)'!$1:$5000,M526,FALSE)</f>
        <v>0</v>
      </c>
      <c r="T526">
        <f>HLOOKUP("Provisioned MiB",'vInfo (Imported)'!$1:$5000,M526,FALSE)</f>
        <v>0</v>
      </c>
      <c r="U526">
        <f t="shared" si="25"/>
        <v>0</v>
      </c>
      <c r="V526">
        <f>HLOOKUP("In Use MiB",'vInfo (Imported)'!$1:$5000,M526,FALSE)</f>
        <v>0</v>
      </c>
    </row>
    <row r="527" spans="1:22" ht="13" x14ac:dyDescent="0.3">
      <c r="A527" s="46">
        <f>'vHosts (Imported)'!A527</f>
        <v>0</v>
      </c>
      <c r="B527" s="51">
        <f t="shared" si="24"/>
        <v>4968</v>
      </c>
      <c r="C527" s="49">
        <f>HLOOKUP("# Cores",'vHosts (Imported)'!$1:$5000,M527,FALSE)</f>
        <v>0</v>
      </c>
      <c r="D527" s="52">
        <f>HLOOKUP("# Memory",'vHosts (Imported)'!$1:$5000,M527,FALSE)</f>
        <v>0</v>
      </c>
      <c r="M527" s="45">
        <f t="shared" si="26"/>
        <v>527</v>
      </c>
      <c r="N527" s="38">
        <f>HLOOKUP("Host",'vInfo (Imported)'!$1:$5000,M527,FALSE)</f>
        <v>0</v>
      </c>
      <c r="R527">
        <f>HLOOKUP("CPUs",'vInfo (Imported)'!$1:$5000,M527,FALSE)</f>
        <v>0</v>
      </c>
      <c r="S527">
        <f>HLOOKUP("Memory",'vInfo (Imported)'!$1:$5000,M527,FALSE)</f>
        <v>0</v>
      </c>
      <c r="T527">
        <f>HLOOKUP("Provisioned MiB",'vInfo (Imported)'!$1:$5000,M527,FALSE)</f>
        <v>0</v>
      </c>
      <c r="U527">
        <f t="shared" si="25"/>
        <v>0</v>
      </c>
      <c r="V527">
        <f>HLOOKUP("In Use MiB",'vInfo (Imported)'!$1:$5000,M527,FALSE)</f>
        <v>0</v>
      </c>
    </row>
    <row r="528" spans="1:22" ht="13" x14ac:dyDescent="0.3">
      <c r="A528" s="46">
        <f>'vHosts (Imported)'!A528</f>
        <v>0</v>
      </c>
      <c r="B528" s="51">
        <f t="shared" si="24"/>
        <v>4968</v>
      </c>
      <c r="C528" s="49">
        <f>HLOOKUP("# Cores",'vHosts (Imported)'!$1:$5000,M528,FALSE)</f>
        <v>0</v>
      </c>
      <c r="D528" s="52">
        <f>HLOOKUP("# Memory",'vHosts (Imported)'!$1:$5000,M528,FALSE)</f>
        <v>0</v>
      </c>
      <c r="M528" s="45">
        <f t="shared" si="26"/>
        <v>528</v>
      </c>
      <c r="N528" s="38">
        <f>HLOOKUP("Host",'vInfo (Imported)'!$1:$5000,M528,FALSE)</f>
        <v>0</v>
      </c>
      <c r="R528">
        <f>HLOOKUP("CPUs",'vInfo (Imported)'!$1:$5000,M528,FALSE)</f>
        <v>0</v>
      </c>
      <c r="S528">
        <f>HLOOKUP("Memory",'vInfo (Imported)'!$1:$5000,M528,FALSE)</f>
        <v>0</v>
      </c>
      <c r="T528">
        <f>HLOOKUP("Provisioned MiB",'vInfo (Imported)'!$1:$5000,M528,FALSE)</f>
        <v>0</v>
      </c>
      <c r="U528">
        <f t="shared" si="25"/>
        <v>0</v>
      </c>
      <c r="V528">
        <f>HLOOKUP("In Use MiB",'vInfo (Imported)'!$1:$5000,M528,FALSE)</f>
        <v>0</v>
      </c>
    </row>
    <row r="529" spans="1:22" ht="13" x14ac:dyDescent="0.3">
      <c r="A529" s="46">
        <f>'vHosts (Imported)'!A529</f>
        <v>0</v>
      </c>
      <c r="B529" s="51">
        <f t="shared" si="24"/>
        <v>4968</v>
      </c>
      <c r="C529" s="49">
        <f>HLOOKUP("# Cores",'vHosts (Imported)'!$1:$5000,M529,FALSE)</f>
        <v>0</v>
      </c>
      <c r="D529" s="52">
        <f>HLOOKUP("# Memory",'vHosts (Imported)'!$1:$5000,M529,FALSE)</f>
        <v>0</v>
      </c>
      <c r="M529" s="45">
        <f t="shared" si="26"/>
        <v>529</v>
      </c>
      <c r="N529" s="38">
        <f>HLOOKUP("Host",'vInfo (Imported)'!$1:$5000,M529,FALSE)</f>
        <v>0</v>
      </c>
      <c r="R529">
        <f>HLOOKUP("CPUs",'vInfo (Imported)'!$1:$5000,M529,FALSE)</f>
        <v>0</v>
      </c>
      <c r="S529">
        <f>HLOOKUP("Memory",'vInfo (Imported)'!$1:$5000,M529,FALSE)</f>
        <v>0</v>
      </c>
      <c r="T529">
        <f>HLOOKUP("Provisioned MiB",'vInfo (Imported)'!$1:$5000,M529,FALSE)</f>
        <v>0</v>
      </c>
      <c r="U529">
        <f t="shared" si="25"/>
        <v>0</v>
      </c>
      <c r="V529">
        <f>HLOOKUP("In Use MiB",'vInfo (Imported)'!$1:$5000,M529,FALSE)</f>
        <v>0</v>
      </c>
    </row>
    <row r="530" spans="1:22" ht="13" x14ac:dyDescent="0.3">
      <c r="A530" s="46">
        <f>'vHosts (Imported)'!A530</f>
        <v>0</v>
      </c>
      <c r="B530" s="51">
        <f t="shared" si="24"/>
        <v>4968</v>
      </c>
      <c r="C530" s="49">
        <f>HLOOKUP("# Cores",'vHosts (Imported)'!$1:$5000,M530,FALSE)</f>
        <v>0</v>
      </c>
      <c r="D530" s="52">
        <f>HLOOKUP("# Memory",'vHosts (Imported)'!$1:$5000,M530,FALSE)</f>
        <v>0</v>
      </c>
      <c r="M530" s="45">
        <f t="shared" si="26"/>
        <v>530</v>
      </c>
      <c r="N530" s="38">
        <f>HLOOKUP("Host",'vInfo (Imported)'!$1:$5000,M530,FALSE)</f>
        <v>0</v>
      </c>
      <c r="R530">
        <f>HLOOKUP("CPUs",'vInfo (Imported)'!$1:$5000,M530,FALSE)</f>
        <v>0</v>
      </c>
      <c r="S530">
        <f>HLOOKUP("Memory",'vInfo (Imported)'!$1:$5000,M530,FALSE)</f>
        <v>0</v>
      </c>
      <c r="T530">
        <f>HLOOKUP("Provisioned MiB",'vInfo (Imported)'!$1:$5000,M530,FALSE)</f>
        <v>0</v>
      </c>
      <c r="U530">
        <f t="shared" si="25"/>
        <v>0</v>
      </c>
      <c r="V530">
        <f>HLOOKUP("In Use MiB",'vInfo (Imported)'!$1:$5000,M530,FALSE)</f>
        <v>0</v>
      </c>
    </row>
    <row r="531" spans="1:22" ht="13" x14ac:dyDescent="0.3">
      <c r="A531" s="46">
        <f>'vHosts (Imported)'!A531</f>
        <v>0</v>
      </c>
      <c r="B531" s="51">
        <f t="shared" si="24"/>
        <v>4968</v>
      </c>
      <c r="C531" s="49">
        <f>HLOOKUP("# Cores",'vHosts (Imported)'!$1:$5000,M531,FALSE)</f>
        <v>0</v>
      </c>
      <c r="D531" s="52">
        <f>HLOOKUP("# Memory",'vHosts (Imported)'!$1:$5000,M531,FALSE)</f>
        <v>0</v>
      </c>
      <c r="M531" s="45">
        <f t="shared" si="26"/>
        <v>531</v>
      </c>
      <c r="N531" s="38">
        <f>HLOOKUP("Host",'vInfo (Imported)'!$1:$5000,M531,FALSE)</f>
        <v>0</v>
      </c>
      <c r="R531">
        <f>HLOOKUP("CPUs",'vInfo (Imported)'!$1:$5000,M531,FALSE)</f>
        <v>0</v>
      </c>
      <c r="S531">
        <f>HLOOKUP("Memory",'vInfo (Imported)'!$1:$5000,M531,FALSE)</f>
        <v>0</v>
      </c>
      <c r="T531">
        <f>HLOOKUP("Provisioned MiB",'vInfo (Imported)'!$1:$5000,M531,FALSE)</f>
        <v>0</v>
      </c>
      <c r="U531">
        <f t="shared" si="25"/>
        <v>0</v>
      </c>
      <c r="V531">
        <f>HLOOKUP("In Use MiB",'vInfo (Imported)'!$1:$5000,M531,FALSE)</f>
        <v>0</v>
      </c>
    </row>
    <row r="532" spans="1:22" ht="13" x14ac:dyDescent="0.3">
      <c r="A532" s="46">
        <f>'vHosts (Imported)'!A532</f>
        <v>0</v>
      </c>
      <c r="B532" s="51">
        <f t="shared" si="24"/>
        <v>4968</v>
      </c>
      <c r="C532" s="49">
        <f>HLOOKUP("# Cores",'vHosts (Imported)'!$1:$5000,M532,FALSE)</f>
        <v>0</v>
      </c>
      <c r="D532" s="52">
        <f>HLOOKUP("# Memory",'vHosts (Imported)'!$1:$5000,M532,FALSE)</f>
        <v>0</v>
      </c>
      <c r="M532" s="45">
        <f t="shared" si="26"/>
        <v>532</v>
      </c>
      <c r="N532" s="38">
        <f>HLOOKUP("Host",'vInfo (Imported)'!$1:$5000,M532,FALSE)</f>
        <v>0</v>
      </c>
      <c r="R532">
        <f>HLOOKUP("CPUs",'vInfo (Imported)'!$1:$5000,M532,FALSE)</f>
        <v>0</v>
      </c>
      <c r="S532">
        <f>HLOOKUP("Memory",'vInfo (Imported)'!$1:$5000,M532,FALSE)</f>
        <v>0</v>
      </c>
      <c r="T532">
        <f>HLOOKUP("Provisioned MiB",'vInfo (Imported)'!$1:$5000,M532,FALSE)</f>
        <v>0</v>
      </c>
      <c r="U532">
        <f t="shared" si="25"/>
        <v>0</v>
      </c>
      <c r="V532">
        <f>HLOOKUP("In Use MiB",'vInfo (Imported)'!$1:$5000,M532,FALSE)</f>
        <v>0</v>
      </c>
    </row>
    <row r="533" spans="1:22" ht="13" x14ac:dyDescent="0.3">
      <c r="A533" s="46">
        <f>'vHosts (Imported)'!A533</f>
        <v>0</v>
      </c>
      <c r="B533" s="51">
        <f t="shared" si="24"/>
        <v>4968</v>
      </c>
      <c r="C533" s="49">
        <f>HLOOKUP("# Cores",'vHosts (Imported)'!$1:$5000,M533,FALSE)</f>
        <v>0</v>
      </c>
      <c r="D533" s="52">
        <f>HLOOKUP("# Memory",'vHosts (Imported)'!$1:$5000,M533,FALSE)</f>
        <v>0</v>
      </c>
      <c r="M533" s="45">
        <f t="shared" si="26"/>
        <v>533</v>
      </c>
      <c r="N533" s="38">
        <f>HLOOKUP("Host",'vInfo (Imported)'!$1:$5000,M533,FALSE)</f>
        <v>0</v>
      </c>
      <c r="R533">
        <f>HLOOKUP("CPUs",'vInfo (Imported)'!$1:$5000,M533,FALSE)</f>
        <v>0</v>
      </c>
      <c r="S533">
        <f>HLOOKUP("Memory",'vInfo (Imported)'!$1:$5000,M533,FALSE)</f>
        <v>0</v>
      </c>
      <c r="T533">
        <f>HLOOKUP("Provisioned MiB",'vInfo (Imported)'!$1:$5000,M533,FALSE)</f>
        <v>0</v>
      </c>
      <c r="U533">
        <f t="shared" si="25"/>
        <v>0</v>
      </c>
      <c r="V533">
        <f>HLOOKUP("In Use MiB",'vInfo (Imported)'!$1:$5000,M533,FALSE)</f>
        <v>0</v>
      </c>
    </row>
    <row r="534" spans="1:22" ht="13" x14ac:dyDescent="0.3">
      <c r="A534" s="46">
        <f>'vHosts (Imported)'!A534</f>
        <v>0</v>
      </c>
      <c r="B534" s="51">
        <f t="shared" si="24"/>
        <v>4968</v>
      </c>
      <c r="C534" s="49">
        <f>HLOOKUP("# Cores",'vHosts (Imported)'!$1:$5000,M534,FALSE)</f>
        <v>0</v>
      </c>
      <c r="D534" s="52">
        <f>HLOOKUP("# Memory",'vHosts (Imported)'!$1:$5000,M534,FALSE)</f>
        <v>0</v>
      </c>
      <c r="M534" s="45">
        <f t="shared" si="26"/>
        <v>534</v>
      </c>
      <c r="N534" s="38">
        <f>HLOOKUP("Host",'vInfo (Imported)'!$1:$5000,M534,FALSE)</f>
        <v>0</v>
      </c>
      <c r="R534">
        <f>HLOOKUP("CPUs",'vInfo (Imported)'!$1:$5000,M534,FALSE)</f>
        <v>0</v>
      </c>
      <c r="S534">
        <f>HLOOKUP("Memory",'vInfo (Imported)'!$1:$5000,M534,FALSE)</f>
        <v>0</v>
      </c>
      <c r="T534">
        <f>HLOOKUP("Provisioned MiB",'vInfo (Imported)'!$1:$5000,M534,FALSE)</f>
        <v>0</v>
      </c>
      <c r="U534">
        <f t="shared" si="25"/>
        <v>0</v>
      </c>
      <c r="V534">
        <f>HLOOKUP("In Use MiB",'vInfo (Imported)'!$1:$5000,M534,FALSE)</f>
        <v>0</v>
      </c>
    </row>
    <row r="535" spans="1:22" ht="13" x14ac:dyDescent="0.3">
      <c r="A535" s="46">
        <f>'vHosts (Imported)'!A535</f>
        <v>0</v>
      </c>
      <c r="B535" s="51">
        <f t="shared" si="24"/>
        <v>4968</v>
      </c>
      <c r="C535" s="49">
        <f>HLOOKUP("# Cores",'vHosts (Imported)'!$1:$5000,M535,FALSE)</f>
        <v>0</v>
      </c>
      <c r="D535" s="52">
        <f>HLOOKUP("# Memory",'vHosts (Imported)'!$1:$5000,M535,FALSE)</f>
        <v>0</v>
      </c>
      <c r="M535" s="45">
        <f t="shared" si="26"/>
        <v>535</v>
      </c>
      <c r="N535" s="38">
        <f>HLOOKUP("Host",'vInfo (Imported)'!$1:$5000,M535,FALSE)</f>
        <v>0</v>
      </c>
      <c r="R535">
        <f>HLOOKUP("CPUs",'vInfo (Imported)'!$1:$5000,M535,FALSE)</f>
        <v>0</v>
      </c>
      <c r="S535">
        <f>HLOOKUP("Memory",'vInfo (Imported)'!$1:$5000,M535,FALSE)</f>
        <v>0</v>
      </c>
      <c r="T535">
        <f>HLOOKUP("Provisioned MiB",'vInfo (Imported)'!$1:$5000,M535,FALSE)</f>
        <v>0</v>
      </c>
      <c r="U535">
        <f t="shared" si="25"/>
        <v>0</v>
      </c>
      <c r="V535">
        <f>HLOOKUP("In Use MiB",'vInfo (Imported)'!$1:$5000,M535,FALSE)</f>
        <v>0</v>
      </c>
    </row>
    <row r="536" spans="1:22" ht="13" x14ac:dyDescent="0.3">
      <c r="A536" s="46">
        <f>'vHosts (Imported)'!A536</f>
        <v>0</v>
      </c>
      <c r="B536" s="51">
        <f t="shared" si="24"/>
        <v>4968</v>
      </c>
      <c r="C536" s="49">
        <f>HLOOKUP("# Cores",'vHosts (Imported)'!$1:$5000,M536,FALSE)</f>
        <v>0</v>
      </c>
      <c r="D536" s="52">
        <f>HLOOKUP("# Memory",'vHosts (Imported)'!$1:$5000,M536,FALSE)</f>
        <v>0</v>
      </c>
      <c r="M536" s="45">
        <f t="shared" si="26"/>
        <v>536</v>
      </c>
      <c r="N536" s="38">
        <f>HLOOKUP("Host",'vInfo (Imported)'!$1:$5000,M536,FALSE)</f>
        <v>0</v>
      </c>
      <c r="R536">
        <f>HLOOKUP("CPUs",'vInfo (Imported)'!$1:$5000,M536,FALSE)</f>
        <v>0</v>
      </c>
      <c r="S536">
        <f>HLOOKUP("Memory",'vInfo (Imported)'!$1:$5000,M536,FALSE)</f>
        <v>0</v>
      </c>
      <c r="T536">
        <f>HLOOKUP("Provisioned MiB",'vInfo (Imported)'!$1:$5000,M536,FALSE)</f>
        <v>0</v>
      </c>
      <c r="U536">
        <f t="shared" si="25"/>
        <v>0</v>
      </c>
      <c r="V536">
        <f>HLOOKUP("In Use MiB",'vInfo (Imported)'!$1:$5000,M536,FALSE)</f>
        <v>0</v>
      </c>
    </row>
    <row r="537" spans="1:22" ht="13" x14ac:dyDescent="0.3">
      <c r="A537" s="46">
        <f>'vHosts (Imported)'!A537</f>
        <v>0</v>
      </c>
      <c r="B537" s="51">
        <f t="shared" si="24"/>
        <v>4968</v>
      </c>
      <c r="C537" s="49">
        <f>HLOOKUP("# Cores",'vHosts (Imported)'!$1:$5000,M537,FALSE)</f>
        <v>0</v>
      </c>
      <c r="D537" s="52">
        <f>HLOOKUP("# Memory",'vHosts (Imported)'!$1:$5000,M537,FALSE)</f>
        <v>0</v>
      </c>
      <c r="M537" s="45">
        <f t="shared" si="26"/>
        <v>537</v>
      </c>
      <c r="N537" s="38">
        <f>HLOOKUP("Host",'vInfo (Imported)'!$1:$5000,M537,FALSE)</f>
        <v>0</v>
      </c>
      <c r="R537">
        <f>HLOOKUP("CPUs",'vInfo (Imported)'!$1:$5000,M537,FALSE)</f>
        <v>0</v>
      </c>
      <c r="S537">
        <f>HLOOKUP("Memory",'vInfo (Imported)'!$1:$5000,M537,FALSE)</f>
        <v>0</v>
      </c>
      <c r="T537">
        <f>HLOOKUP("Provisioned MiB",'vInfo (Imported)'!$1:$5000,M537,FALSE)</f>
        <v>0</v>
      </c>
      <c r="U537">
        <f t="shared" si="25"/>
        <v>0</v>
      </c>
      <c r="V537">
        <f>HLOOKUP("In Use MiB",'vInfo (Imported)'!$1:$5000,M537,FALSE)</f>
        <v>0</v>
      </c>
    </row>
    <row r="538" spans="1:22" ht="13" x14ac:dyDescent="0.3">
      <c r="A538" s="46">
        <f>'vHosts (Imported)'!A538</f>
        <v>0</v>
      </c>
      <c r="B538" s="51">
        <f t="shared" si="24"/>
        <v>4968</v>
      </c>
      <c r="C538" s="49">
        <f>HLOOKUP("# Cores",'vHosts (Imported)'!$1:$5000,M538,FALSE)</f>
        <v>0</v>
      </c>
      <c r="D538" s="52">
        <f>HLOOKUP("# Memory",'vHosts (Imported)'!$1:$5000,M538,FALSE)</f>
        <v>0</v>
      </c>
      <c r="M538" s="45">
        <f t="shared" si="26"/>
        <v>538</v>
      </c>
      <c r="N538" s="38">
        <f>HLOOKUP("Host",'vInfo (Imported)'!$1:$5000,M538,FALSE)</f>
        <v>0</v>
      </c>
      <c r="R538">
        <f>HLOOKUP("CPUs",'vInfo (Imported)'!$1:$5000,M538,FALSE)</f>
        <v>0</v>
      </c>
      <c r="S538">
        <f>HLOOKUP("Memory",'vInfo (Imported)'!$1:$5000,M538,FALSE)</f>
        <v>0</v>
      </c>
      <c r="T538">
        <f>HLOOKUP("Provisioned MiB",'vInfo (Imported)'!$1:$5000,M538,FALSE)</f>
        <v>0</v>
      </c>
      <c r="U538">
        <f t="shared" si="25"/>
        <v>0</v>
      </c>
      <c r="V538">
        <f>HLOOKUP("In Use MiB",'vInfo (Imported)'!$1:$5000,M538,FALSE)</f>
        <v>0</v>
      </c>
    </row>
    <row r="539" spans="1:22" ht="13" x14ac:dyDescent="0.3">
      <c r="A539" s="46">
        <f>'vHosts (Imported)'!A539</f>
        <v>0</v>
      </c>
      <c r="B539" s="51">
        <f t="shared" si="24"/>
        <v>4968</v>
      </c>
      <c r="C539" s="49">
        <f>HLOOKUP("# Cores",'vHosts (Imported)'!$1:$5000,M539,FALSE)</f>
        <v>0</v>
      </c>
      <c r="D539" s="52">
        <f>HLOOKUP("# Memory",'vHosts (Imported)'!$1:$5000,M539,FALSE)</f>
        <v>0</v>
      </c>
      <c r="M539" s="45">
        <f t="shared" si="26"/>
        <v>539</v>
      </c>
      <c r="N539" s="38">
        <f>HLOOKUP("Host",'vInfo (Imported)'!$1:$5000,M539,FALSE)</f>
        <v>0</v>
      </c>
      <c r="R539">
        <f>HLOOKUP("CPUs",'vInfo (Imported)'!$1:$5000,M539,FALSE)</f>
        <v>0</v>
      </c>
      <c r="S539">
        <f>HLOOKUP("Memory",'vInfo (Imported)'!$1:$5000,M539,FALSE)</f>
        <v>0</v>
      </c>
      <c r="T539">
        <f>HLOOKUP("Provisioned MiB",'vInfo (Imported)'!$1:$5000,M539,FALSE)</f>
        <v>0</v>
      </c>
      <c r="U539">
        <f t="shared" si="25"/>
        <v>0</v>
      </c>
      <c r="V539">
        <f>HLOOKUP("In Use MiB",'vInfo (Imported)'!$1:$5000,M539,FALSE)</f>
        <v>0</v>
      </c>
    </row>
    <row r="540" spans="1:22" ht="13" x14ac:dyDescent="0.3">
      <c r="A540" s="46">
        <f>'vHosts (Imported)'!A540</f>
        <v>0</v>
      </c>
      <c r="B540" s="51">
        <f t="shared" si="24"/>
        <v>4968</v>
      </c>
      <c r="C540" s="49">
        <f>HLOOKUP("# Cores",'vHosts (Imported)'!$1:$5000,M540,FALSE)</f>
        <v>0</v>
      </c>
      <c r="D540" s="52">
        <f>HLOOKUP("# Memory",'vHosts (Imported)'!$1:$5000,M540,FALSE)</f>
        <v>0</v>
      </c>
      <c r="M540" s="45">
        <f t="shared" si="26"/>
        <v>540</v>
      </c>
      <c r="N540" s="38">
        <f>HLOOKUP("Host",'vInfo (Imported)'!$1:$5000,M540,FALSE)</f>
        <v>0</v>
      </c>
      <c r="R540">
        <f>HLOOKUP("CPUs",'vInfo (Imported)'!$1:$5000,M540,FALSE)</f>
        <v>0</v>
      </c>
      <c r="S540">
        <f>HLOOKUP("Memory",'vInfo (Imported)'!$1:$5000,M540,FALSE)</f>
        <v>0</v>
      </c>
      <c r="T540">
        <f>HLOOKUP("Provisioned MiB",'vInfo (Imported)'!$1:$5000,M540,FALSE)</f>
        <v>0</v>
      </c>
      <c r="U540">
        <f t="shared" si="25"/>
        <v>0</v>
      </c>
      <c r="V540">
        <f>HLOOKUP("In Use MiB",'vInfo (Imported)'!$1:$5000,M540,FALSE)</f>
        <v>0</v>
      </c>
    </row>
    <row r="541" spans="1:22" ht="13" x14ac:dyDescent="0.3">
      <c r="A541" s="46">
        <f>'vHosts (Imported)'!A541</f>
        <v>0</v>
      </c>
      <c r="B541" s="51">
        <f t="shared" si="24"/>
        <v>4968</v>
      </c>
      <c r="C541" s="49">
        <f>HLOOKUP("# Cores",'vHosts (Imported)'!$1:$5000,M541,FALSE)</f>
        <v>0</v>
      </c>
      <c r="D541" s="52">
        <f>HLOOKUP("# Memory",'vHosts (Imported)'!$1:$5000,M541,FALSE)</f>
        <v>0</v>
      </c>
      <c r="M541" s="45">
        <f t="shared" si="26"/>
        <v>541</v>
      </c>
      <c r="N541" s="38">
        <f>HLOOKUP("Host",'vInfo (Imported)'!$1:$5000,M541,FALSE)</f>
        <v>0</v>
      </c>
      <c r="R541">
        <f>HLOOKUP("CPUs",'vInfo (Imported)'!$1:$5000,M541,FALSE)</f>
        <v>0</v>
      </c>
      <c r="S541">
        <f>HLOOKUP("Memory",'vInfo (Imported)'!$1:$5000,M541,FALSE)</f>
        <v>0</v>
      </c>
      <c r="T541">
        <f>HLOOKUP("Provisioned MiB",'vInfo (Imported)'!$1:$5000,M541,FALSE)</f>
        <v>0</v>
      </c>
      <c r="U541">
        <f t="shared" si="25"/>
        <v>0</v>
      </c>
      <c r="V541">
        <f>HLOOKUP("In Use MiB",'vInfo (Imported)'!$1:$5000,M541,FALSE)</f>
        <v>0</v>
      </c>
    </row>
    <row r="542" spans="1:22" ht="13" x14ac:dyDescent="0.3">
      <c r="A542" s="46">
        <f>'vHosts (Imported)'!A542</f>
        <v>0</v>
      </c>
      <c r="B542" s="51">
        <f t="shared" si="24"/>
        <v>4968</v>
      </c>
      <c r="C542" s="49">
        <f>HLOOKUP("# Cores",'vHosts (Imported)'!$1:$5000,M542,FALSE)</f>
        <v>0</v>
      </c>
      <c r="D542" s="52">
        <f>HLOOKUP("# Memory",'vHosts (Imported)'!$1:$5000,M542,FALSE)</f>
        <v>0</v>
      </c>
      <c r="M542" s="45">
        <f t="shared" si="26"/>
        <v>542</v>
      </c>
      <c r="N542" s="38">
        <f>HLOOKUP("Host",'vInfo (Imported)'!$1:$5000,M542,FALSE)</f>
        <v>0</v>
      </c>
      <c r="R542">
        <f>HLOOKUP("CPUs",'vInfo (Imported)'!$1:$5000,M542,FALSE)</f>
        <v>0</v>
      </c>
      <c r="S542">
        <f>HLOOKUP("Memory",'vInfo (Imported)'!$1:$5000,M542,FALSE)</f>
        <v>0</v>
      </c>
      <c r="T542">
        <f>HLOOKUP("Provisioned MiB",'vInfo (Imported)'!$1:$5000,M542,FALSE)</f>
        <v>0</v>
      </c>
      <c r="U542">
        <f t="shared" si="25"/>
        <v>0</v>
      </c>
      <c r="V542">
        <f>HLOOKUP("In Use MiB",'vInfo (Imported)'!$1:$5000,M542,FALSE)</f>
        <v>0</v>
      </c>
    </row>
    <row r="543" spans="1:22" ht="13" x14ac:dyDescent="0.3">
      <c r="A543" s="46">
        <f>'vHosts (Imported)'!A543</f>
        <v>0</v>
      </c>
      <c r="B543" s="51">
        <f t="shared" si="24"/>
        <v>4968</v>
      </c>
      <c r="C543" s="49">
        <f>HLOOKUP("# Cores",'vHosts (Imported)'!$1:$5000,M543,FALSE)</f>
        <v>0</v>
      </c>
      <c r="D543" s="52">
        <f>HLOOKUP("# Memory",'vHosts (Imported)'!$1:$5000,M543,FALSE)</f>
        <v>0</v>
      </c>
      <c r="M543" s="45">
        <f t="shared" si="26"/>
        <v>543</v>
      </c>
      <c r="N543" s="38">
        <f>HLOOKUP("Host",'vInfo (Imported)'!$1:$5000,M543,FALSE)</f>
        <v>0</v>
      </c>
      <c r="R543">
        <f>HLOOKUP("CPUs",'vInfo (Imported)'!$1:$5000,M543,FALSE)</f>
        <v>0</v>
      </c>
      <c r="S543">
        <f>HLOOKUP("Memory",'vInfo (Imported)'!$1:$5000,M543,FALSE)</f>
        <v>0</v>
      </c>
      <c r="T543">
        <f>HLOOKUP("Provisioned MiB",'vInfo (Imported)'!$1:$5000,M543,FALSE)</f>
        <v>0</v>
      </c>
      <c r="U543">
        <f t="shared" si="25"/>
        <v>0</v>
      </c>
      <c r="V543">
        <f>HLOOKUP("In Use MiB",'vInfo (Imported)'!$1:$5000,M543,FALSE)</f>
        <v>0</v>
      </c>
    </row>
    <row r="544" spans="1:22" ht="13" x14ac:dyDescent="0.3">
      <c r="A544" s="46">
        <f>'vHosts (Imported)'!A544</f>
        <v>0</v>
      </c>
      <c r="B544" s="51">
        <f t="shared" si="24"/>
        <v>4968</v>
      </c>
      <c r="C544" s="49">
        <f>HLOOKUP("# Cores",'vHosts (Imported)'!$1:$5000,M544,FALSE)</f>
        <v>0</v>
      </c>
      <c r="D544" s="52">
        <f>HLOOKUP("# Memory",'vHosts (Imported)'!$1:$5000,M544,FALSE)</f>
        <v>0</v>
      </c>
      <c r="M544" s="45">
        <f t="shared" si="26"/>
        <v>544</v>
      </c>
      <c r="N544" s="38">
        <f>HLOOKUP("Host",'vInfo (Imported)'!$1:$5000,M544,FALSE)</f>
        <v>0</v>
      </c>
      <c r="R544">
        <f>HLOOKUP("CPUs",'vInfo (Imported)'!$1:$5000,M544,FALSE)</f>
        <v>0</v>
      </c>
      <c r="S544">
        <f>HLOOKUP("Memory",'vInfo (Imported)'!$1:$5000,M544,FALSE)</f>
        <v>0</v>
      </c>
      <c r="T544">
        <f>HLOOKUP("Provisioned MiB",'vInfo (Imported)'!$1:$5000,M544,FALSE)</f>
        <v>0</v>
      </c>
      <c r="U544">
        <f t="shared" si="25"/>
        <v>0</v>
      </c>
      <c r="V544">
        <f>HLOOKUP("In Use MiB",'vInfo (Imported)'!$1:$5000,M544,FALSE)</f>
        <v>0</v>
      </c>
    </row>
    <row r="545" spans="1:22" ht="13" x14ac:dyDescent="0.3">
      <c r="A545" s="46">
        <f>'vHosts (Imported)'!A545</f>
        <v>0</v>
      </c>
      <c r="B545" s="51">
        <f t="shared" si="24"/>
        <v>4968</v>
      </c>
      <c r="C545" s="49">
        <f>HLOOKUP("# Cores",'vHosts (Imported)'!$1:$5000,M545,FALSE)</f>
        <v>0</v>
      </c>
      <c r="D545" s="52">
        <f>HLOOKUP("# Memory",'vHosts (Imported)'!$1:$5000,M545,FALSE)</f>
        <v>0</v>
      </c>
      <c r="M545" s="45">
        <f t="shared" si="26"/>
        <v>545</v>
      </c>
      <c r="N545" s="38">
        <f>HLOOKUP("Host",'vInfo (Imported)'!$1:$5000,M545,FALSE)</f>
        <v>0</v>
      </c>
      <c r="R545">
        <f>HLOOKUP("CPUs",'vInfo (Imported)'!$1:$5000,M545,FALSE)</f>
        <v>0</v>
      </c>
      <c r="S545">
        <f>HLOOKUP("Memory",'vInfo (Imported)'!$1:$5000,M545,FALSE)</f>
        <v>0</v>
      </c>
      <c r="T545">
        <f>HLOOKUP("Provisioned MiB",'vInfo (Imported)'!$1:$5000,M545,FALSE)</f>
        <v>0</v>
      </c>
      <c r="U545">
        <f t="shared" si="25"/>
        <v>0</v>
      </c>
      <c r="V545">
        <f>HLOOKUP("In Use MiB",'vInfo (Imported)'!$1:$5000,M545,FALSE)</f>
        <v>0</v>
      </c>
    </row>
    <row r="546" spans="1:22" ht="13" x14ac:dyDescent="0.3">
      <c r="A546" s="46">
        <f>'vHosts (Imported)'!A546</f>
        <v>0</v>
      </c>
      <c r="B546" s="51">
        <f t="shared" si="24"/>
        <v>4968</v>
      </c>
      <c r="C546" s="49">
        <f>HLOOKUP("# Cores",'vHosts (Imported)'!$1:$5000,M546,FALSE)</f>
        <v>0</v>
      </c>
      <c r="D546" s="52">
        <f>HLOOKUP("# Memory",'vHosts (Imported)'!$1:$5000,M546,FALSE)</f>
        <v>0</v>
      </c>
      <c r="M546" s="45">
        <f t="shared" si="26"/>
        <v>546</v>
      </c>
      <c r="N546" s="38">
        <f>HLOOKUP("Host",'vInfo (Imported)'!$1:$5000,M546,FALSE)</f>
        <v>0</v>
      </c>
      <c r="R546">
        <f>HLOOKUP("CPUs",'vInfo (Imported)'!$1:$5000,M546,FALSE)</f>
        <v>0</v>
      </c>
      <c r="S546">
        <f>HLOOKUP("Memory",'vInfo (Imported)'!$1:$5000,M546,FALSE)</f>
        <v>0</v>
      </c>
      <c r="T546">
        <f>HLOOKUP("Provisioned MiB",'vInfo (Imported)'!$1:$5000,M546,FALSE)</f>
        <v>0</v>
      </c>
      <c r="U546">
        <f t="shared" si="25"/>
        <v>0</v>
      </c>
      <c r="V546">
        <f>HLOOKUP("In Use MiB",'vInfo (Imported)'!$1:$5000,M546,FALSE)</f>
        <v>0</v>
      </c>
    </row>
    <row r="547" spans="1:22" ht="13" x14ac:dyDescent="0.3">
      <c r="A547" s="46">
        <f>'vHosts (Imported)'!A547</f>
        <v>0</v>
      </c>
      <c r="B547" s="51">
        <f t="shared" si="24"/>
        <v>4968</v>
      </c>
      <c r="C547" s="49">
        <f>HLOOKUP("# Cores",'vHosts (Imported)'!$1:$5000,M547,FALSE)</f>
        <v>0</v>
      </c>
      <c r="D547" s="52">
        <f>HLOOKUP("# Memory",'vHosts (Imported)'!$1:$5000,M547,FALSE)</f>
        <v>0</v>
      </c>
      <c r="M547" s="45">
        <f t="shared" si="26"/>
        <v>547</v>
      </c>
      <c r="N547" s="38">
        <f>HLOOKUP("Host",'vInfo (Imported)'!$1:$5000,M547,FALSE)</f>
        <v>0</v>
      </c>
      <c r="R547">
        <f>HLOOKUP("CPUs",'vInfo (Imported)'!$1:$5000,M547,FALSE)</f>
        <v>0</v>
      </c>
      <c r="S547">
        <f>HLOOKUP("Memory",'vInfo (Imported)'!$1:$5000,M547,FALSE)</f>
        <v>0</v>
      </c>
      <c r="T547">
        <f>HLOOKUP("Provisioned MiB",'vInfo (Imported)'!$1:$5000,M547,FALSE)</f>
        <v>0</v>
      </c>
      <c r="U547">
        <f t="shared" si="25"/>
        <v>0</v>
      </c>
      <c r="V547">
        <f>HLOOKUP("In Use MiB",'vInfo (Imported)'!$1:$5000,M547,FALSE)</f>
        <v>0</v>
      </c>
    </row>
    <row r="548" spans="1:22" ht="13" x14ac:dyDescent="0.3">
      <c r="A548" s="46">
        <f>'vHosts (Imported)'!A548</f>
        <v>0</v>
      </c>
      <c r="B548" s="51">
        <f t="shared" si="24"/>
        <v>4968</v>
      </c>
      <c r="C548" s="49">
        <f>HLOOKUP("# Cores",'vHosts (Imported)'!$1:$5000,M548,FALSE)</f>
        <v>0</v>
      </c>
      <c r="D548" s="52">
        <f>HLOOKUP("# Memory",'vHosts (Imported)'!$1:$5000,M548,FALSE)</f>
        <v>0</v>
      </c>
      <c r="M548" s="45">
        <f t="shared" si="26"/>
        <v>548</v>
      </c>
      <c r="N548" s="38">
        <f>HLOOKUP("Host",'vInfo (Imported)'!$1:$5000,M548,FALSE)</f>
        <v>0</v>
      </c>
      <c r="R548">
        <f>HLOOKUP("CPUs",'vInfo (Imported)'!$1:$5000,M548,FALSE)</f>
        <v>0</v>
      </c>
      <c r="S548">
        <f>HLOOKUP("Memory",'vInfo (Imported)'!$1:$5000,M548,FALSE)</f>
        <v>0</v>
      </c>
      <c r="T548">
        <f>HLOOKUP("Provisioned MiB",'vInfo (Imported)'!$1:$5000,M548,FALSE)</f>
        <v>0</v>
      </c>
      <c r="U548">
        <f t="shared" si="25"/>
        <v>0</v>
      </c>
      <c r="V548">
        <f>HLOOKUP("In Use MiB",'vInfo (Imported)'!$1:$5000,M548,FALSE)</f>
        <v>0</v>
      </c>
    </row>
    <row r="549" spans="1:22" ht="13" x14ac:dyDescent="0.3">
      <c r="A549" s="46">
        <f>'vHosts (Imported)'!A549</f>
        <v>0</v>
      </c>
      <c r="B549" s="51">
        <f t="shared" si="24"/>
        <v>4968</v>
      </c>
      <c r="C549" s="49">
        <f>HLOOKUP("# Cores",'vHosts (Imported)'!$1:$5000,M549,FALSE)</f>
        <v>0</v>
      </c>
      <c r="D549" s="52">
        <f>HLOOKUP("# Memory",'vHosts (Imported)'!$1:$5000,M549,FALSE)</f>
        <v>0</v>
      </c>
      <c r="M549" s="45">
        <f t="shared" si="26"/>
        <v>549</v>
      </c>
      <c r="N549" s="38">
        <f>HLOOKUP("Host",'vInfo (Imported)'!$1:$5000,M549,FALSE)</f>
        <v>0</v>
      </c>
      <c r="R549">
        <f>HLOOKUP("CPUs",'vInfo (Imported)'!$1:$5000,M549,FALSE)</f>
        <v>0</v>
      </c>
      <c r="S549">
        <f>HLOOKUP("Memory",'vInfo (Imported)'!$1:$5000,M549,FALSE)</f>
        <v>0</v>
      </c>
      <c r="T549">
        <f>HLOOKUP("Provisioned MiB",'vInfo (Imported)'!$1:$5000,M549,FALSE)</f>
        <v>0</v>
      </c>
      <c r="U549">
        <f t="shared" si="25"/>
        <v>0</v>
      </c>
      <c r="V549">
        <f>HLOOKUP("In Use MiB",'vInfo (Imported)'!$1:$5000,M549,FALSE)</f>
        <v>0</v>
      </c>
    </row>
    <row r="550" spans="1:22" ht="13" x14ac:dyDescent="0.3">
      <c r="A550" s="46">
        <f>'vHosts (Imported)'!A550</f>
        <v>0</v>
      </c>
      <c r="B550" s="51">
        <f t="shared" si="24"/>
        <v>4968</v>
      </c>
      <c r="C550" s="49">
        <f>HLOOKUP("# Cores",'vHosts (Imported)'!$1:$5000,M550,FALSE)</f>
        <v>0</v>
      </c>
      <c r="D550" s="52">
        <f>HLOOKUP("# Memory",'vHosts (Imported)'!$1:$5000,M550,FALSE)</f>
        <v>0</v>
      </c>
      <c r="M550" s="45">
        <f t="shared" si="26"/>
        <v>550</v>
      </c>
      <c r="N550" s="38">
        <f>HLOOKUP("Host",'vInfo (Imported)'!$1:$5000,M550,FALSE)</f>
        <v>0</v>
      </c>
      <c r="R550">
        <f>HLOOKUP("CPUs",'vInfo (Imported)'!$1:$5000,M550,FALSE)</f>
        <v>0</v>
      </c>
      <c r="S550">
        <f>HLOOKUP("Memory",'vInfo (Imported)'!$1:$5000,M550,FALSE)</f>
        <v>0</v>
      </c>
      <c r="T550">
        <f>HLOOKUP("Provisioned MiB",'vInfo (Imported)'!$1:$5000,M550,FALSE)</f>
        <v>0</v>
      </c>
      <c r="U550">
        <f t="shared" si="25"/>
        <v>0</v>
      </c>
      <c r="V550">
        <f>HLOOKUP("In Use MiB",'vInfo (Imported)'!$1:$5000,M550,FALSE)</f>
        <v>0</v>
      </c>
    </row>
    <row r="551" spans="1:22" ht="13" x14ac:dyDescent="0.3">
      <c r="A551" s="46">
        <f>'vHosts (Imported)'!A551</f>
        <v>0</v>
      </c>
      <c r="B551" s="51">
        <f t="shared" si="24"/>
        <v>4968</v>
      </c>
      <c r="C551" s="49">
        <f>HLOOKUP("# Cores",'vHosts (Imported)'!$1:$5000,M551,FALSE)</f>
        <v>0</v>
      </c>
      <c r="D551" s="52">
        <f>HLOOKUP("# Memory",'vHosts (Imported)'!$1:$5000,M551,FALSE)</f>
        <v>0</v>
      </c>
      <c r="M551" s="45">
        <f t="shared" si="26"/>
        <v>551</v>
      </c>
      <c r="N551" s="38">
        <f>HLOOKUP("Host",'vInfo (Imported)'!$1:$5000,M551,FALSE)</f>
        <v>0</v>
      </c>
      <c r="R551">
        <f>HLOOKUP("CPUs",'vInfo (Imported)'!$1:$5000,M551,FALSE)</f>
        <v>0</v>
      </c>
      <c r="S551">
        <f>HLOOKUP("Memory",'vInfo (Imported)'!$1:$5000,M551,FALSE)</f>
        <v>0</v>
      </c>
      <c r="T551">
        <f>HLOOKUP("Provisioned MiB",'vInfo (Imported)'!$1:$5000,M551,FALSE)</f>
        <v>0</v>
      </c>
      <c r="U551">
        <f t="shared" si="25"/>
        <v>0</v>
      </c>
      <c r="V551">
        <f>HLOOKUP("In Use MiB",'vInfo (Imported)'!$1:$5000,M551,FALSE)</f>
        <v>0</v>
      </c>
    </row>
    <row r="552" spans="1:22" ht="13" x14ac:dyDescent="0.3">
      <c r="A552" s="46">
        <f>'vHosts (Imported)'!A552</f>
        <v>0</v>
      </c>
      <c r="B552" s="51">
        <f t="shared" si="24"/>
        <v>4968</v>
      </c>
      <c r="C552" s="49">
        <f>HLOOKUP("# Cores",'vHosts (Imported)'!$1:$5000,M552,FALSE)</f>
        <v>0</v>
      </c>
      <c r="D552" s="52">
        <f>HLOOKUP("# Memory",'vHosts (Imported)'!$1:$5000,M552,FALSE)</f>
        <v>0</v>
      </c>
      <c r="M552" s="45">
        <f t="shared" si="26"/>
        <v>552</v>
      </c>
      <c r="N552" s="38">
        <f>HLOOKUP("Host",'vInfo (Imported)'!$1:$5000,M552,FALSE)</f>
        <v>0</v>
      </c>
      <c r="R552">
        <f>HLOOKUP("CPUs",'vInfo (Imported)'!$1:$5000,M552,FALSE)</f>
        <v>0</v>
      </c>
      <c r="S552">
        <f>HLOOKUP("Memory",'vInfo (Imported)'!$1:$5000,M552,FALSE)</f>
        <v>0</v>
      </c>
      <c r="T552">
        <f>HLOOKUP("Provisioned MiB",'vInfo (Imported)'!$1:$5000,M552,FALSE)</f>
        <v>0</v>
      </c>
      <c r="U552">
        <f t="shared" si="25"/>
        <v>0</v>
      </c>
      <c r="V552">
        <f>HLOOKUP("In Use MiB",'vInfo (Imported)'!$1:$5000,M552,FALSE)</f>
        <v>0</v>
      </c>
    </row>
    <row r="553" spans="1:22" ht="13" x14ac:dyDescent="0.3">
      <c r="A553" s="46">
        <f>'vHosts (Imported)'!A553</f>
        <v>0</v>
      </c>
      <c r="B553" s="51">
        <f t="shared" si="24"/>
        <v>4968</v>
      </c>
      <c r="C553" s="49">
        <f>HLOOKUP("# Cores",'vHosts (Imported)'!$1:$5000,M553,FALSE)</f>
        <v>0</v>
      </c>
      <c r="D553" s="52">
        <f>HLOOKUP("# Memory",'vHosts (Imported)'!$1:$5000,M553,FALSE)</f>
        <v>0</v>
      </c>
      <c r="M553" s="45">
        <f t="shared" si="26"/>
        <v>553</v>
      </c>
      <c r="N553" s="38">
        <f>HLOOKUP("Host",'vInfo (Imported)'!$1:$5000,M553,FALSE)</f>
        <v>0</v>
      </c>
      <c r="R553">
        <f>HLOOKUP("CPUs",'vInfo (Imported)'!$1:$5000,M553,FALSE)</f>
        <v>0</v>
      </c>
      <c r="S553">
        <f>HLOOKUP("Memory",'vInfo (Imported)'!$1:$5000,M553,FALSE)</f>
        <v>0</v>
      </c>
      <c r="T553">
        <f>HLOOKUP("Provisioned MiB",'vInfo (Imported)'!$1:$5000,M553,FALSE)</f>
        <v>0</v>
      </c>
      <c r="U553">
        <f t="shared" si="25"/>
        <v>0</v>
      </c>
      <c r="V553">
        <f>HLOOKUP("In Use MiB",'vInfo (Imported)'!$1:$5000,M553,FALSE)</f>
        <v>0</v>
      </c>
    </row>
    <row r="554" spans="1:22" ht="13" x14ac:dyDescent="0.3">
      <c r="A554" s="46">
        <f>'vHosts (Imported)'!A554</f>
        <v>0</v>
      </c>
      <c r="B554" s="51">
        <f t="shared" si="24"/>
        <v>4968</v>
      </c>
      <c r="C554" s="49">
        <f>HLOOKUP("# Cores",'vHosts (Imported)'!$1:$5000,M554,FALSE)</f>
        <v>0</v>
      </c>
      <c r="D554" s="52">
        <f>HLOOKUP("# Memory",'vHosts (Imported)'!$1:$5000,M554,FALSE)</f>
        <v>0</v>
      </c>
      <c r="M554" s="45">
        <f t="shared" si="26"/>
        <v>554</v>
      </c>
      <c r="N554" s="38">
        <f>HLOOKUP("Host",'vInfo (Imported)'!$1:$5000,M554,FALSE)</f>
        <v>0</v>
      </c>
      <c r="R554">
        <f>HLOOKUP("CPUs",'vInfo (Imported)'!$1:$5000,M554,FALSE)</f>
        <v>0</v>
      </c>
      <c r="S554">
        <f>HLOOKUP("Memory",'vInfo (Imported)'!$1:$5000,M554,FALSE)</f>
        <v>0</v>
      </c>
      <c r="T554">
        <f>HLOOKUP("Provisioned MiB",'vInfo (Imported)'!$1:$5000,M554,FALSE)</f>
        <v>0</v>
      </c>
      <c r="U554">
        <f t="shared" si="25"/>
        <v>0</v>
      </c>
      <c r="V554">
        <f>HLOOKUP("In Use MiB",'vInfo (Imported)'!$1:$5000,M554,FALSE)</f>
        <v>0</v>
      </c>
    </row>
    <row r="555" spans="1:22" ht="13" x14ac:dyDescent="0.3">
      <c r="A555" s="46">
        <f>'vHosts (Imported)'!A555</f>
        <v>0</v>
      </c>
      <c r="B555" s="51">
        <f t="shared" si="24"/>
        <v>4968</v>
      </c>
      <c r="C555" s="49">
        <f>HLOOKUP("# Cores",'vHosts (Imported)'!$1:$5000,M555,FALSE)</f>
        <v>0</v>
      </c>
      <c r="D555" s="52">
        <f>HLOOKUP("# Memory",'vHosts (Imported)'!$1:$5000,M555,FALSE)</f>
        <v>0</v>
      </c>
      <c r="M555" s="45">
        <f t="shared" si="26"/>
        <v>555</v>
      </c>
      <c r="N555" s="38">
        <f>HLOOKUP("Host",'vInfo (Imported)'!$1:$5000,M555,FALSE)</f>
        <v>0</v>
      </c>
      <c r="R555">
        <f>HLOOKUP("CPUs",'vInfo (Imported)'!$1:$5000,M555,FALSE)</f>
        <v>0</v>
      </c>
      <c r="S555">
        <f>HLOOKUP("Memory",'vInfo (Imported)'!$1:$5000,M555,FALSE)</f>
        <v>0</v>
      </c>
      <c r="T555">
        <f>HLOOKUP("Provisioned MiB",'vInfo (Imported)'!$1:$5000,M555,FALSE)</f>
        <v>0</v>
      </c>
      <c r="U555">
        <f t="shared" si="25"/>
        <v>0</v>
      </c>
      <c r="V555">
        <f>HLOOKUP("In Use MiB",'vInfo (Imported)'!$1:$5000,M555,FALSE)</f>
        <v>0</v>
      </c>
    </row>
    <row r="556" spans="1:22" ht="13" x14ac:dyDescent="0.3">
      <c r="A556" s="46">
        <f>'vHosts (Imported)'!A556</f>
        <v>0</v>
      </c>
      <c r="B556" s="51">
        <f t="shared" si="24"/>
        <v>4968</v>
      </c>
      <c r="C556" s="49">
        <f>HLOOKUP("# Cores",'vHosts (Imported)'!$1:$5000,M556,FALSE)</f>
        <v>0</v>
      </c>
      <c r="D556" s="52">
        <f>HLOOKUP("# Memory",'vHosts (Imported)'!$1:$5000,M556,FALSE)</f>
        <v>0</v>
      </c>
      <c r="M556" s="45">
        <f t="shared" si="26"/>
        <v>556</v>
      </c>
      <c r="N556" s="38">
        <f>HLOOKUP("Host",'vInfo (Imported)'!$1:$5000,M556,FALSE)</f>
        <v>0</v>
      </c>
      <c r="R556">
        <f>HLOOKUP("CPUs",'vInfo (Imported)'!$1:$5000,M556,FALSE)</f>
        <v>0</v>
      </c>
      <c r="S556">
        <f>HLOOKUP("Memory",'vInfo (Imported)'!$1:$5000,M556,FALSE)</f>
        <v>0</v>
      </c>
      <c r="T556">
        <f>HLOOKUP("Provisioned MiB",'vInfo (Imported)'!$1:$5000,M556,FALSE)</f>
        <v>0</v>
      </c>
      <c r="U556">
        <f t="shared" si="25"/>
        <v>0</v>
      </c>
      <c r="V556">
        <f>HLOOKUP("In Use MiB",'vInfo (Imported)'!$1:$5000,M556,FALSE)</f>
        <v>0</v>
      </c>
    </row>
    <row r="557" spans="1:22" ht="13" x14ac:dyDescent="0.3">
      <c r="A557" s="46">
        <f>'vHosts (Imported)'!A557</f>
        <v>0</v>
      </c>
      <c r="B557" s="51">
        <f t="shared" si="24"/>
        <v>4968</v>
      </c>
      <c r="C557" s="49">
        <f>HLOOKUP("# Cores",'vHosts (Imported)'!$1:$5000,M557,FALSE)</f>
        <v>0</v>
      </c>
      <c r="D557" s="52">
        <f>HLOOKUP("# Memory",'vHosts (Imported)'!$1:$5000,M557,FALSE)</f>
        <v>0</v>
      </c>
      <c r="M557" s="45">
        <f t="shared" si="26"/>
        <v>557</v>
      </c>
      <c r="N557" s="38">
        <f>HLOOKUP("Host",'vInfo (Imported)'!$1:$5000,M557,FALSE)</f>
        <v>0</v>
      </c>
      <c r="R557">
        <f>HLOOKUP("CPUs",'vInfo (Imported)'!$1:$5000,M557,FALSE)</f>
        <v>0</v>
      </c>
      <c r="S557">
        <f>HLOOKUP("Memory",'vInfo (Imported)'!$1:$5000,M557,FALSE)</f>
        <v>0</v>
      </c>
      <c r="T557">
        <f>HLOOKUP("Provisioned MiB",'vInfo (Imported)'!$1:$5000,M557,FALSE)</f>
        <v>0</v>
      </c>
      <c r="U557">
        <f t="shared" si="25"/>
        <v>0</v>
      </c>
      <c r="V557">
        <f>HLOOKUP("In Use MiB",'vInfo (Imported)'!$1:$5000,M557,FALSE)</f>
        <v>0</v>
      </c>
    </row>
    <row r="558" spans="1:22" ht="13" x14ac:dyDescent="0.3">
      <c r="A558" s="46">
        <f>'vHosts (Imported)'!A558</f>
        <v>0</v>
      </c>
      <c r="B558" s="51">
        <f t="shared" si="24"/>
        <v>4968</v>
      </c>
      <c r="C558" s="49">
        <f>HLOOKUP("# Cores",'vHosts (Imported)'!$1:$5000,M558,FALSE)</f>
        <v>0</v>
      </c>
      <c r="D558" s="52">
        <f>HLOOKUP("# Memory",'vHosts (Imported)'!$1:$5000,M558,FALSE)</f>
        <v>0</v>
      </c>
      <c r="M558" s="45">
        <f t="shared" si="26"/>
        <v>558</v>
      </c>
      <c r="N558" s="38">
        <f>HLOOKUP("Host",'vInfo (Imported)'!$1:$5000,M558,FALSE)</f>
        <v>0</v>
      </c>
      <c r="R558">
        <f>HLOOKUP("CPUs",'vInfo (Imported)'!$1:$5000,M558,FALSE)</f>
        <v>0</v>
      </c>
      <c r="S558">
        <f>HLOOKUP("Memory",'vInfo (Imported)'!$1:$5000,M558,FALSE)</f>
        <v>0</v>
      </c>
      <c r="T558">
        <f>HLOOKUP("Provisioned MiB",'vInfo (Imported)'!$1:$5000,M558,FALSE)</f>
        <v>0</v>
      </c>
      <c r="U558">
        <f t="shared" si="25"/>
        <v>0</v>
      </c>
      <c r="V558">
        <f>HLOOKUP("In Use MiB",'vInfo (Imported)'!$1:$5000,M558,FALSE)</f>
        <v>0</v>
      </c>
    </row>
    <row r="559" spans="1:22" ht="13" x14ac:dyDescent="0.3">
      <c r="A559" s="46">
        <f>'vHosts (Imported)'!A559</f>
        <v>0</v>
      </c>
      <c r="B559" s="51">
        <f t="shared" si="24"/>
        <v>4968</v>
      </c>
      <c r="C559" s="49">
        <f>HLOOKUP("# Cores",'vHosts (Imported)'!$1:$5000,M559,FALSE)</f>
        <v>0</v>
      </c>
      <c r="D559" s="52">
        <f>HLOOKUP("# Memory",'vHosts (Imported)'!$1:$5000,M559,FALSE)</f>
        <v>0</v>
      </c>
      <c r="M559" s="45">
        <f t="shared" si="26"/>
        <v>559</v>
      </c>
      <c r="N559" s="38">
        <f>HLOOKUP("Host",'vInfo (Imported)'!$1:$5000,M559,FALSE)</f>
        <v>0</v>
      </c>
      <c r="R559">
        <f>HLOOKUP("CPUs",'vInfo (Imported)'!$1:$5000,M559,FALSE)</f>
        <v>0</v>
      </c>
      <c r="S559">
        <f>HLOOKUP("Memory",'vInfo (Imported)'!$1:$5000,M559,FALSE)</f>
        <v>0</v>
      </c>
      <c r="T559">
        <f>HLOOKUP("Provisioned MiB",'vInfo (Imported)'!$1:$5000,M559,FALSE)</f>
        <v>0</v>
      </c>
      <c r="U559">
        <f t="shared" si="25"/>
        <v>0</v>
      </c>
      <c r="V559">
        <f>HLOOKUP("In Use MiB",'vInfo (Imported)'!$1:$5000,M559,FALSE)</f>
        <v>0</v>
      </c>
    </row>
    <row r="560" spans="1:22" ht="13" x14ac:dyDescent="0.3">
      <c r="A560" s="46">
        <f>'vHosts (Imported)'!A560</f>
        <v>0</v>
      </c>
      <c r="B560" s="51">
        <f t="shared" si="24"/>
        <v>4968</v>
      </c>
      <c r="C560" s="49">
        <f>HLOOKUP("# Cores",'vHosts (Imported)'!$1:$5000,M560,FALSE)</f>
        <v>0</v>
      </c>
      <c r="D560" s="52">
        <f>HLOOKUP("# Memory",'vHosts (Imported)'!$1:$5000,M560,FALSE)</f>
        <v>0</v>
      </c>
      <c r="M560" s="45">
        <f t="shared" si="26"/>
        <v>560</v>
      </c>
      <c r="N560" s="38">
        <f>HLOOKUP("Host",'vInfo (Imported)'!$1:$5000,M560,FALSE)</f>
        <v>0</v>
      </c>
      <c r="R560">
        <f>HLOOKUP("CPUs",'vInfo (Imported)'!$1:$5000,M560,FALSE)</f>
        <v>0</v>
      </c>
      <c r="S560">
        <f>HLOOKUP("Memory",'vInfo (Imported)'!$1:$5000,M560,FALSE)</f>
        <v>0</v>
      </c>
      <c r="T560">
        <f>HLOOKUP("Provisioned MiB",'vInfo (Imported)'!$1:$5000,M560,FALSE)</f>
        <v>0</v>
      </c>
      <c r="U560">
        <f t="shared" si="25"/>
        <v>0</v>
      </c>
      <c r="V560">
        <f>HLOOKUP("In Use MiB",'vInfo (Imported)'!$1:$5000,M560,FALSE)</f>
        <v>0</v>
      </c>
    </row>
    <row r="561" spans="1:22" ht="13" x14ac:dyDescent="0.3">
      <c r="A561" s="46">
        <f>'vHosts (Imported)'!A561</f>
        <v>0</v>
      </c>
      <c r="B561" s="51">
        <f t="shared" si="24"/>
        <v>4968</v>
      </c>
      <c r="C561" s="49">
        <f>HLOOKUP("# Cores",'vHosts (Imported)'!$1:$5000,M561,FALSE)</f>
        <v>0</v>
      </c>
      <c r="D561" s="52">
        <f>HLOOKUP("# Memory",'vHosts (Imported)'!$1:$5000,M561,FALSE)</f>
        <v>0</v>
      </c>
      <c r="M561" s="45">
        <f t="shared" si="26"/>
        <v>561</v>
      </c>
      <c r="N561" s="38">
        <f>HLOOKUP("Host",'vInfo (Imported)'!$1:$5000,M561,FALSE)</f>
        <v>0</v>
      </c>
      <c r="R561">
        <f>HLOOKUP("CPUs",'vInfo (Imported)'!$1:$5000,M561,FALSE)</f>
        <v>0</v>
      </c>
      <c r="S561">
        <f>HLOOKUP("Memory",'vInfo (Imported)'!$1:$5000,M561,FALSE)</f>
        <v>0</v>
      </c>
      <c r="T561">
        <f>HLOOKUP("Provisioned MiB",'vInfo (Imported)'!$1:$5000,M561,FALSE)</f>
        <v>0</v>
      </c>
      <c r="U561">
        <f t="shared" si="25"/>
        <v>0</v>
      </c>
      <c r="V561">
        <f>HLOOKUP("In Use MiB",'vInfo (Imported)'!$1:$5000,M561,FALSE)</f>
        <v>0</v>
      </c>
    </row>
    <row r="562" spans="1:22" ht="13" x14ac:dyDescent="0.3">
      <c r="A562" s="46">
        <f>'vHosts (Imported)'!A562</f>
        <v>0</v>
      </c>
      <c r="B562" s="51">
        <f t="shared" si="24"/>
        <v>4968</v>
      </c>
      <c r="C562" s="49">
        <f>HLOOKUP("# Cores",'vHosts (Imported)'!$1:$5000,M562,FALSE)</f>
        <v>0</v>
      </c>
      <c r="D562" s="52">
        <f>HLOOKUP("# Memory",'vHosts (Imported)'!$1:$5000,M562,FALSE)</f>
        <v>0</v>
      </c>
      <c r="M562" s="45">
        <f t="shared" si="26"/>
        <v>562</v>
      </c>
      <c r="N562" s="38">
        <f>HLOOKUP("Host",'vInfo (Imported)'!$1:$5000,M562,FALSE)</f>
        <v>0</v>
      </c>
      <c r="R562">
        <f>HLOOKUP("CPUs",'vInfo (Imported)'!$1:$5000,M562,FALSE)</f>
        <v>0</v>
      </c>
      <c r="S562">
        <f>HLOOKUP("Memory",'vInfo (Imported)'!$1:$5000,M562,FALSE)</f>
        <v>0</v>
      </c>
      <c r="T562">
        <f>HLOOKUP("Provisioned MiB",'vInfo (Imported)'!$1:$5000,M562,FALSE)</f>
        <v>0</v>
      </c>
      <c r="U562">
        <f t="shared" si="25"/>
        <v>0</v>
      </c>
      <c r="V562">
        <f>HLOOKUP("In Use MiB",'vInfo (Imported)'!$1:$5000,M562,FALSE)</f>
        <v>0</v>
      </c>
    </row>
    <row r="563" spans="1:22" ht="13" x14ac:dyDescent="0.3">
      <c r="A563" s="46">
        <f>'vHosts (Imported)'!A563</f>
        <v>0</v>
      </c>
      <c r="B563" s="51">
        <f t="shared" si="24"/>
        <v>4968</v>
      </c>
      <c r="C563" s="49">
        <f>HLOOKUP("# Cores",'vHosts (Imported)'!$1:$5000,M563,FALSE)</f>
        <v>0</v>
      </c>
      <c r="D563" s="52">
        <f>HLOOKUP("# Memory",'vHosts (Imported)'!$1:$5000,M563,FALSE)</f>
        <v>0</v>
      </c>
      <c r="M563" s="45">
        <f t="shared" si="26"/>
        <v>563</v>
      </c>
      <c r="N563" s="38">
        <f>HLOOKUP("Host",'vInfo (Imported)'!$1:$5000,M563,FALSE)</f>
        <v>0</v>
      </c>
      <c r="R563">
        <f>HLOOKUP("CPUs",'vInfo (Imported)'!$1:$5000,M563,FALSE)</f>
        <v>0</v>
      </c>
      <c r="S563">
        <f>HLOOKUP("Memory",'vInfo (Imported)'!$1:$5000,M563,FALSE)</f>
        <v>0</v>
      </c>
      <c r="T563">
        <f>HLOOKUP("Provisioned MiB",'vInfo (Imported)'!$1:$5000,M563,FALSE)</f>
        <v>0</v>
      </c>
      <c r="U563">
        <f t="shared" si="25"/>
        <v>0</v>
      </c>
      <c r="V563">
        <f>HLOOKUP("In Use MiB",'vInfo (Imported)'!$1:$5000,M563,FALSE)</f>
        <v>0</v>
      </c>
    </row>
    <row r="564" spans="1:22" ht="13" x14ac:dyDescent="0.3">
      <c r="A564" s="46">
        <f>'vHosts (Imported)'!A564</f>
        <v>0</v>
      </c>
      <c r="B564" s="51">
        <f t="shared" si="24"/>
        <v>4968</v>
      </c>
      <c r="C564" s="49">
        <f>HLOOKUP("# Cores",'vHosts (Imported)'!$1:$5000,M564,FALSE)</f>
        <v>0</v>
      </c>
      <c r="D564" s="52">
        <f>HLOOKUP("# Memory",'vHosts (Imported)'!$1:$5000,M564,FALSE)</f>
        <v>0</v>
      </c>
      <c r="M564" s="45">
        <f t="shared" si="26"/>
        <v>564</v>
      </c>
      <c r="N564" s="38">
        <f>HLOOKUP("Host",'vInfo (Imported)'!$1:$5000,M564,FALSE)</f>
        <v>0</v>
      </c>
      <c r="R564">
        <f>HLOOKUP("CPUs",'vInfo (Imported)'!$1:$5000,M564,FALSE)</f>
        <v>0</v>
      </c>
      <c r="S564">
        <f>HLOOKUP("Memory",'vInfo (Imported)'!$1:$5000,M564,FALSE)</f>
        <v>0</v>
      </c>
      <c r="T564">
        <f>HLOOKUP("Provisioned MiB",'vInfo (Imported)'!$1:$5000,M564,FALSE)</f>
        <v>0</v>
      </c>
      <c r="U564">
        <f t="shared" si="25"/>
        <v>0</v>
      </c>
      <c r="V564">
        <f>HLOOKUP("In Use MiB",'vInfo (Imported)'!$1:$5000,M564,FALSE)</f>
        <v>0</v>
      </c>
    </row>
    <row r="565" spans="1:22" ht="13" x14ac:dyDescent="0.3">
      <c r="A565" s="46">
        <f>'vHosts (Imported)'!A565</f>
        <v>0</v>
      </c>
      <c r="B565" s="51">
        <f t="shared" si="24"/>
        <v>4968</v>
      </c>
      <c r="C565" s="49">
        <f>HLOOKUP("# Cores",'vHosts (Imported)'!$1:$5000,M565,FALSE)</f>
        <v>0</v>
      </c>
      <c r="D565" s="52">
        <f>HLOOKUP("# Memory",'vHosts (Imported)'!$1:$5000,M565,FALSE)</f>
        <v>0</v>
      </c>
      <c r="M565" s="45">
        <f t="shared" si="26"/>
        <v>565</v>
      </c>
      <c r="N565" s="38">
        <f>HLOOKUP("Host",'vInfo (Imported)'!$1:$5000,M565,FALSE)</f>
        <v>0</v>
      </c>
      <c r="R565">
        <f>HLOOKUP("CPUs",'vInfo (Imported)'!$1:$5000,M565,FALSE)</f>
        <v>0</v>
      </c>
      <c r="S565">
        <f>HLOOKUP("Memory",'vInfo (Imported)'!$1:$5000,M565,FALSE)</f>
        <v>0</v>
      </c>
      <c r="T565">
        <f>HLOOKUP("Provisioned MiB",'vInfo (Imported)'!$1:$5000,M565,FALSE)</f>
        <v>0</v>
      </c>
      <c r="U565">
        <f t="shared" si="25"/>
        <v>0</v>
      </c>
      <c r="V565">
        <f>HLOOKUP("In Use MiB",'vInfo (Imported)'!$1:$5000,M565,FALSE)</f>
        <v>0</v>
      </c>
    </row>
    <row r="566" spans="1:22" ht="13" x14ac:dyDescent="0.3">
      <c r="A566" s="46">
        <f>'vHosts (Imported)'!A566</f>
        <v>0</v>
      </c>
      <c r="B566" s="51">
        <f t="shared" si="24"/>
        <v>4968</v>
      </c>
      <c r="C566" s="49">
        <f>HLOOKUP("# Cores",'vHosts (Imported)'!$1:$5000,M566,FALSE)</f>
        <v>0</v>
      </c>
      <c r="D566" s="52">
        <f>HLOOKUP("# Memory",'vHosts (Imported)'!$1:$5000,M566,FALSE)</f>
        <v>0</v>
      </c>
      <c r="M566" s="45">
        <f t="shared" si="26"/>
        <v>566</v>
      </c>
      <c r="N566" s="38">
        <f>HLOOKUP("Host",'vInfo (Imported)'!$1:$5000,M566,FALSE)</f>
        <v>0</v>
      </c>
      <c r="R566">
        <f>HLOOKUP("CPUs",'vInfo (Imported)'!$1:$5000,M566,FALSE)</f>
        <v>0</v>
      </c>
      <c r="S566">
        <f>HLOOKUP("Memory",'vInfo (Imported)'!$1:$5000,M566,FALSE)</f>
        <v>0</v>
      </c>
      <c r="T566">
        <f>HLOOKUP("Provisioned MiB",'vInfo (Imported)'!$1:$5000,M566,FALSE)</f>
        <v>0</v>
      </c>
      <c r="U566">
        <f t="shared" si="25"/>
        <v>0</v>
      </c>
      <c r="V566">
        <f>HLOOKUP("In Use MiB",'vInfo (Imported)'!$1:$5000,M566,FALSE)</f>
        <v>0</v>
      </c>
    </row>
    <row r="567" spans="1:22" ht="13" x14ac:dyDescent="0.3">
      <c r="A567" s="46">
        <f>'vHosts (Imported)'!A567</f>
        <v>0</v>
      </c>
      <c r="B567" s="51">
        <f t="shared" si="24"/>
        <v>4968</v>
      </c>
      <c r="C567" s="49">
        <f>HLOOKUP("# Cores",'vHosts (Imported)'!$1:$5000,M567,FALSE)</f>
        <v>0</v>
      </c>
      <c r="D567" s="52">
        <f>HLOOKUP("# Memory",'vHosts (Imported)'!$1:$5000,M567,FALSE)</f>
        <v>0</v>
      </c>
      <c r="M567" s="45">
        <f t="shared" si="26"/>
        <v>567</v>
      </c>
      <c r="N567" s="38">
        <f>HLOOKUP("Host",'vInfo (Imported)'!$1:$5000,M567,FALSE)</f>
        <v>0</v>
      </c>
      <c r="R567">
        <f>HLOOKUP("CPUs",'vInfo (Imported)'!$1:$5000,M567,FALSE)</f>
        <v>0</v>
      </c>
      <c r="S567">
        <f>HLOOKUP("Memory",'vInfo (Imported)'!$1:$5000,M567,FALSE)</f>
        <v>0</v>
      </c>
      <c r="T567">
        <f>HLOOKUP("Provisioned MiB",'vInfo (Imported)'!$1:$5000,M567,FALSE)</f>
        <v>0</v>
      </c>
      <c r="U567">
        <f t="shared" si="25"/>
        <v>0</v>
      </c>
      <c r="V567">
        <f>HLOOKUP("In Use MiB",'vInfo (Imported)'!$1:$5000,M567,FALSE)</f>
        <v>0</v>
      </c>
    </row>
    <row r="568" spans="1:22" ht="13" x14ac:dyDescent="0.3">
      <c r="A568" s="46">
        <f>'vHosts (Imported)'!A568</f>
        <v>0</v>
      </c>
      <c r="B568" s="51">
        <f t="shared" si="24"/>
        <v>4968</v>
      </c>
      <c r="C568" s="49">
        <f>HLOOKUP("# Cores",'vHosts (Imported)'!$1:$5000,M568,FALSE)</f>
        <v>0</v>
      </c>
      <c r="D568" s="52">
        <f>HLOOKUP("# Memory",'vHosts (Imported)'!$1:$5000,M568,FALSE)</f>
        <v>0</v>
      </c>
      <c r="M568" s="45">
        <f t="shared" si="26"/>
        <v>568</v>
      </c>
      <c r="N568" s="38">
        <f>HLOOKUP("Host",'vInfo (Imported)'!$1:$5000,M568,FALSE)</f>
        <v>0</v>
      </c>
      <c r="R568">
        <f>HLOOKUP("CPUs",'vInfo (Imported)'!$1:$5000,M568,FALSE)</f>
        <v>0</v>
      </c>
      <c r="S568">
        <f>HLOOKUP("Memory",'vInfo (Imported)'!$1:$5000,M568,FALSE)</f>
        <v>0</v>
      </c>
      <c r="T568">
        <f>HLOOKUP("Provisioned MiB",'vInfo (Imported)'!$1:$5000,M568,FALSE)</f>
        <v>0</v>
      </c>
      <c r="U568">
        <f t="shared" si="25"/>
        <v>0</v>
      </c>
      <c r="V568">
        <f>HLOOKUP("In Use MiB",'vInfo (Imported)'!$1:$5000,M568,FALSE)</f>
        <v>0</v>
      </c>
    </row>
    <row r="569" spans="1:22" ht="13" x14ac:dyDescent="0.3">
      <c r="A569" s="46">
        <f>'vHosts (Imported)'!A569</f>
        <v>0</v>
      </c>
      <c r="B569" s="51">
        <f t="shared" si="24"/>
        <v>4968</v>
      </c>
      <c r="C569" s="49">
        <f>HLOOKUP("# Cores",'vHosts (Imported)'!$1:$5000,M569,FALSE)</f>
        <v>0</v>
      </c>
      <c r="D569" s="52">
        <f>HLOOKUP("# Memory",'vHosts (Imported)'!$1:$5000,M569,FALSE)</f>
        <v>0</v>
      </c>
      <c r="M569" s="45">
        <f t="shared" si="26"/>
        <v>569</v>
      </c>
      <c r="N569" s="38">
        <f>HLOOKUP("Host",'vInfo (Imported)'!$1:$5000,M569,FALSE)</f>
        <v>0</v>
      </c>
      <c r="R569">
        <f>HLOOKUP("CPUs",'vInfo (Imported)'!$1:$5000,M569,FALSE)</f>
        <v>0</v>
      </c>
      <c r="S569">
        <f>HLOOKUP("Memory",'vInfo (Imported)'!$1:$5000,M569,FALSE)</f>
        <v>0</v>
      </c>
      <c r="T569">
        <f>HLOOKUP("Provisioned MiB",'vInfo (Imported)'!$1:$5000,M569,FALSE)</f>
        <v>0</v>
      </c>
      <c r="U569">
        <f t="shared" si="25"/>
        <v>0</v>
      </c>
      <c r="V569">
        <f>HLOOKUP("In Use MiB",'vInfo (Imported)'!$1:$5000,M569,FALSE)</f>
        <v>0</v>
      </c>
    </row>
    <row r="570" spans="1:22" ht="13" x14ac:dyDescent="0.3">
      <c r="A570" s="46">
        <f>'vHosts (Imported)'!A570</f>
        <v>0</v>
      </c>
      <c r="B570" s="51">
        <f t="shared" si="24"/>
        <v>4968</v>
      </c>
      <c r="C570" s="49">
        <f>HLOOKUP("# Cores",'vHosts (Imported)'!$1:$5000,M570,FALSE)</f>
        <v>0</v>
      </c>
      <c r="D570" s="52">
        <f>HLOOKUP("# Memory",'vHosts (Imported)'!$1:$5000,M570,FALSE)</f>
        <v>0</v>
      </c>
      <c r="M570" s="45">
        <f t="shared" si="26"/>
        <v>570</v>
      </c>
      <c r="N570" s="38">
        <f>HLOOKUP("Host",'vInfo (Imported)'!$1:$5000,M570,FALSE)</f>
        <v>0</v>
      </c>
      <c r="R570">
        <f>HLOOKUP("CPUs",'vInfo (Imported)'!$1:$5000,M570,FALSE)</f>
        <v>0</v>
      </c>
      <c r="S570">
        <f>HLOOKUP("Memory",'vInfo (Imported)'!$1:$5000,M570,FALSE)</f>
        <v>0</v>
      </c>
      <c r="T570">
        <f>HLOOKUP("Provisioned MiB",'vInfo (Imported)'!$1:$5000,M570,FALSE)</f>
        <v>0</v>
      </c>
      <c r="U570">
        <f t="shared" si="25"/>
        <v>0</v>
      </c>
      <c r="V570">
        <f>HLOOKUP("In Use MiB",'vInfo (Imported)'!$1:$5000,M570,FALSE)</f>
        <v>0</v>
      </c>
    </row>
    <row r="571" spans="1:22" ht="13" x14ac:dyDescent="0.3">
      <c r="A571" s="46">
        <f>'vHosts (Imported)'!A571</f>
        <v>0</v>
      </c>
      <c r="B571" s="51">
        <f t="shared" si="24"/>
        <v>4968</v>
      </c>
      <c r="C571" s="49">
        <f>HLOOKUP("# Cores",'vHosts (Imported)'!$1:$5000,M571,FALSE)</f>
        <v>0</v>
      </c>
      <c r="D571" s="52">
        <f>HLOOKUP("# Memory",'vHosts (Imported)'!$1:$5000,M571,FALSE)</f>
        <v>0</v>
      </c>
      <c r="M571" s="45">
        <f t="shared" si="26"/>
        <v>571</v>
      </c>
      <c r="N571" s="38">
        <f>HLOOKUP("Host",'vInfo (Imported)'!$1:$5000,M571,FALSE)</f>
        <v>0</v>
      </c>
      <c r="R571">
        <f>HLOOKUP("CPUs",'vInfo (Imported)'!$1:$5000,M571,FALSE)</f>
        <v>0</v>
      </c>
      <c r="S571">
        <f>HLOOKUP("Memory",'vInfo (Imported)'!$1:$5000,M571,FALSE)</f>
        <v>0</v>
      </c>
      <c r="T571">
        <f>HLOOKUP("Provisioned MiB",'vInfo (Imported)'!$1:$5000,M571,FALSE)</f>
        <v>0</v>
      </c>
      <c r="U571">
        <f t="shared" si="25"/>
        <v>0</v>
      </c>
      <c r="V571">
        <f>HLOOKUP("In Use MiB",'vInfo (Imported)'!$1:$5000,M571,FALSE)</f>
        <v>0</v>
      </c>
    </row>
    <row r="572" spans="1:22" ht="13" x14ac:dyDescent="0.3">
      <c r="A572" s="46">
        <f>'vHosts (Imported)'!A572</f>
        <v>0</v>
      </c>
      <c r="B572" s="51">
        <f t="shared" si="24"/>
        <v>4968</v>
      </c>
      <c r="C572" s="49">
        <f>HLOOKUP("# Cores",'vHosts (Imported)'!$1:$5000,M572,FALSE)</f>
        <v>0</v>
      </c>
      <c r="D572" s="52">
        <f>HLOOKUP("# Memory",'vHosts (Imported)'!$1:$5000,M572,FALSE)</f>
        <v>0</v>
      </c>
      <c r="M572" s="45">
        <f t="shared" si="26"/>
        <v>572</v>
      </c>
      <c r="N572" s="38">
        <f>HLOOKUP("Host",'vInfo (Imported)'!$1:$5000,M572,FALSE)</f>
        <v>0</v>
      </c>
      <c r="R572">
        <f>HLOOKUP("CPUs",'vInfo (Imported)'!$1:$5000,M572,FALSE)</f>
        <v>0</v>
      </c>
      <c r="S572">
        <f>HLOOKUP("Memory",'vInfo (Imported)'!$1:$5000,M572,FALSE)</f>
        <v>0</v>
      </c>
      <c r="T572">
        <f>HLOOKUP("Provisioned MiB",'vInfo (Imported)'!$1:$5000,M572,FALSE)</f>
        <v>0</v>
      </c>
      <c r="U572">
        <f t="shared" si="25"/>
        <v>0</v>
      </c>
      <c r="V572">
        <f>HLOOKUP("In Use MiB",'vInfo (Imported)'!$1:$5000,M572,FALSE)</f>
        <v>0</v>
      </c>
    </row>
    <row r="573" spans="1:22" ht="13" x14ac:dyDescent="0.3">
      <c r="A573" s="46">
        <f>'vHosts (Imported)'!A573</f>
        <v>0</v>
      </c>
      <c r="B573" s="51">
        <f t="shared" si="24"/>
        <v>4968</v>
      </c>
      <c r="C573" s="49">
        <f>HLOOKUP("# Cores",'vHosts (Imported)'!$1:$5000,M573,FALSE)</f>
        <v>0</v>
      </c>
      <c r="D573" s="52">
        <f>HLOOKUP("# Memory",'vHosts (Imported)'!$1:$5000,M573,FALSE)</f>
        <v>0</v>
      </c>
      <c r="M573" s="45">
        <f t="shared" si="26"/>
        <v>573</v>
      </c>
      <c r="N573" s="38">
        <f>HLOOKUP("Host",'vInfo (Imported)'!$1:$5000,M573,FALSE)</f>
        <v>0</v>
      </c>
      <c r="R573">
        <f>HLOOKUP("CPUs",'vInfo (Imported)'!$1:$5000,M573,FALSE)</f>
        <v>0</v>
      </c>
      <c r="S573">
        <f>HLOOKUP("Memory",'vInfo (Imported)'!$1:$5000,M573,FALSE)</f>
        <v>0</v>
      </c>
      <c r="T573">
        <f>HLOOKUP("Provisioned MiB",'vInfo (Imported)'!$1:$5000,M573,FALSE)</f>
        <v>0</v>
      </c>
      <c r="U573">
        <f t="shared" si="25"/>
        <v>0</v>
      </c>
      <c r="V573">
        <f>HLOOKUP("In Use MiB",'vInfo (Imported)'!$1:$5000,M573,FALSE)</f>
        <v>0</v>
      </c>
    </row>
    <row r="574" spans="1:22" ht="13" x14ac:dyDescent="0.3">
      <c r="A574" s="46">
        <f>'vHosts (Imported)'!A574</f>
        <v>0</v>
      </c>
      <c r="B574" s="51">
        <f t="shared" si="24"/>
        <v>4968</v>
      </c>
      <c r="C574" s="49">
        <f>HLOOKUP("# Cores",'vHosts (Imported)'!$1:$5000,M574,FALSE)</f>
        <v>0</v>
      </c>
      <c r="D574" s="52">
        <f>HLOOKUP("# Memory",'vHosts (Imported)'!$1:$5000,M574,FALSE)</f>
        <v>0</v>
      </c>
      <c r="M574" s="45">
        <f t="shared" si="26"/>
        <v>574</v>
      </c>
      <c r="N574" s="38">
        <f>HLOOKUP("Host",'vInfo (Imported)'!$1:$5000,M574,FALSE)</f>
        <v>0</v>
      </c>
      <c r="R574">
        <f>HLOOKUP("CPUs",'vInfo (Imported)'!$1:$5000,M574,FALSE)</f>
        <v>0</v>
      </c>
      <c r="S574">
        <f>HLOOKUP("Memory",'vInfo (Imported)'!$1:$5000,M574,FALSE)</f>
        <v>0</v>
      </c>
      <c r="T574">
        <f>HLOOKUP("Provisioned MiB",'vInfo (Imported)'!$1:$5000,M574,FALSE)</f>
        <v>0</v>
      </c>
      <c r="U574">
        <f t="shared" si="25"/>
        <v>0</v>
      </c>
      <c r="V574">
        <f>HLOOKUP("In Use MiB",'vInfo (Imported)'!$1:$5000,M574,FALSE)</f>
        <v>0</v>
      </c>
    </row>
    <row r="575" spans="1:22" ht="13" x14ac:dyDescent="0.3">
      <c r="A575" s="46">
        <f>'vHosts (Imported)'!A575</f>
        <v>0</v>
      </c>
      <c r="B575" s="51">
        <f t="shared" si="24"/>
        <v>4968</v>
      </c>
      <c r="C575" s="49">
        <f>HLOOKUP("# Cores",'vHosts (Imported)'!$1:$5000,M575,FALSE)</f>
        <v>0</v>
      </c>
      <c r="D575" s="52">
        <f>HLOOKUP("# Memory",'vHosts (Imported)'!$1:$5000,M575,FALSE)</f>
        <v>0</v>
      </c>
      <c r="M575" s="45">
        <f t="shared" si="26"/>
        <v>575</v>
      </c>
      <c r="N575" s="38">
        <f>HLOOKUP("Host",'vInfo (Imported)'!$1:$5000,M575,FALSE)</f>
        <v>0</v>
      </c>
      <c r="R575">
        <f>HLOOKUP("CPUs",'vInfo (Imported)'!$1:$5000,M575,FALSE)</f>
        <v>0</v>
      </c>
      <c r="S575">
        <f>HLOOKUP("Memory",'vInfo (Imported)'!$1:$5000,M575,FALSE)</f>
        <v>0</v>
      </c>
      <c r="T575">
        <f>HLOOKUP("Provisioned MiB",'vInfo (Imported)'!$1:$5000,M575,FALSE)</f>
        <v>0</v>
      </c>
      <c r="U575">
        <f t="shared" si="25"/>
        <v>0</v>
      </c>
      <c r="V575">
        <f>HLOOKUP("In Use MiB",'vInfo (Imported)'!$1:$5000,M575,FALSE)</f>
        <v>0</v>
      </c>
    </row>
    <row r="576" spans="1:22" ht="13" x14ac:dyDescent="0.3">
      <c r="A576" s="46">
        <f>'vHosts (Imported)'!A576</f>
        <v>0</v>
      </c>
      <c r="B576" s="51">
        <f t="shared" si="24"/>
        <v>4968</v>
      </c>
      <c r="C576" s="49">
        <f>HLOOKUP("# Cores",'vHosts (Imported)'!$1:$5000,M576,FALSE)</f>
        <v>0</v>
      </c>
      <c r="D576" s="52">
        <f>HLOOKUP("# Memory",'vHosts (Imported)'!$1:$5000,M576,FALSE)</f>
        <v>0</v>
      </c>
      <c r="M576" s="45">
        <f t="shared" si="26"/>
        <v>576</v>
      </c>
      <c r="N576" s="38">
        <f>HLOOKUP("Host",'vInfo (Imported)'!$1:$5000,M576,FALSE)</f>
        <v>0</v>
      </c>
      <c r="R576">
        <f>HLOOKUP("CPUs",'vInfo (Imported)'!$1:$5000,M576,FALSE)</f>
        <v>0</v>
      </c>
      <c r="S576">
        <f>HLOOKUP("Memory",'vInfo (Imported)'!$1:$5000,M576,FALSE)</f>
        <v>0</v>
      </c>
      <c r="T576">
        <f>HLOOKUP("Provisioned MiB",'vInfo (Imported)'!$1:$5000,M576,FALSE)</f>
        <v>0</v>
      </c>
      <c r="U576">
        <f t="shared" si="25"/>
        <v>0</v>
      </c>
      <c r="V576">
        <f>HLOOKUP("In Use MiB",'vInfo (Imported)'!$1:$5000,M576,FALSE)</f>
        <v>0</v>
      </c>
    </row>
    <row r="577" spans="1:22" ht="13" x14ac:dyDescent="0.3">
      <c r="A577" s="46">
        <f>'vHosts (Imported)'!A577</f>
        <v>0</v>
      </c>
      <c r="B577" s="51">
        <f t="shared" si="24"/>
        <v>4968</v>
      </c>
      <c r="C577" s="49">
        <f>HLOOKUP("# Cores",'vHosts (Imported)'!$1:$5000,M577,FALSE)</f>
        <v>0</v>
      </c>
      <c r="D577" s="52">
        <f>HLOOKUP("# Memory",'vHosts (Imported)'!$1:$5000,M577,FALSE)</f>
        <v>0</v>
      </c>
      <c r="M577" s="45">
        <f t="shared" si="26"/>
        <v>577</v>
      </c>
      <c r="N577" s="38">
        <f>HLOOKUP("Host",'vInfo (Imported)'!$1:$5000,M577,FALSE)</f>
        <v>0</v>
      </c>
      <c r="R577">
        <f>HLOOKUP("CPUs",'vInfo (Imported)'!$1:$5000,M577,FALSE)</f>
        <v>0</v>
      </c>
      <c r="S577">
        <f>HLOOKUP("Memory",'vInfo (Imported)'!$1:$5000,M577,FALSE)</f>
        <v>0</v>
      </c>
      <c r="T577">
        <f>HLOOKUP("Provisioned MiB",'vInfo (Imported)'!$1:$5000,M577,FALSE)</f>
        <v>0</v>
      </c>
      <c r="U577">
        <f t="shared" si="25"/>
        <v>0</v>
      </c>
      <c r="V577">
        <f>HLOOKUP("In Use MiB",'vInfo (Imported)'!$1:$5000,M577,FALSE)</f>
        <v>0</v>
      </c>
    </row>
    <row r="578" spans="1:22" ht="13" x14ac:dyDescent="0.3">
      <c r="A578" s="46">
        <f>'vHosts (Imported)'!A578</f>
        <v>0</v>
      </c>
      <c r="B578" s="51">
        <f t="shared" ref="B578:B641" si="27">COUNTIFS(N:N,IF(A578=0,"0",A578))</f>
        <v>4968</v>
      </c>
      <c r="C578" s="49">
        <f>HLOOKUP("# Cores",'vHosts (Imported)'!$1:$5000,M578,FALSE)</f>
        <v>0</v>
      </c>
      <c r="D578" s="52">
        <f>HLOOKUP("# Memory",'vHosts (Imported)'!$1:$5000,M578,FALSE)</f>
        <v>0</v>
      </c>
      <c r="M578" s="45">
        <f t="shared" si="26"/>
        <v>578</v>
      </c>
      <c r="N578" s="38">
        <f>HLOOKUP("Host",'vInfo (Imported)'!$1:$5000,M578,FALSE)</f>
        <v>0</v>
      </c>
      <c r="R578">
        <f>HLOOKUP("CPUs",'vInfo (Imported)'!$1:$5000,M578,FALSE)</f>
        <v>0</v>
      </c>
      <c r="S578">
        <f>HLOOKUP("Memory",'vInfo (Imported)'!$1:$5000,M578,FALSE)</f>
        <v>0</v>
      </c>
      <c r="T578">
        <f>HLOOKUP("Provisioned MiB",'vInfo (Imported)'!$1:$5000,M578,FALSE)</f>
        <v>0</v>
      </c>
      <c r="U578">
        <f t="shared" si="25"/>
        <v>0</v>
      </c>
      <c r="V578">
        <f>HLOOKUP("In Use MiB",'vInfo (Imported)'!$1:$5000,M578,FALSE)</f>
        <v>0</v>
      </c>
    </row>
    <row r="579" spans="1:22" ht="13" x14ac:dyDescent="0.3">
      <c r="A579" s="46">
        <f>'vHosts (Imported)'!A579</f>
        <v>0</v>
      </c>
      <c r="B579" s="51">
        <f t="shared" si="27"/>
        <v>4968</v>
      </c>
      <c r="C579" s="49">
        <f>HLOOKUP("# Cores",'vHosts (Imported)'!$1:$5000,M579,FALSE)</f>
        <v>0</v>
      </c>
      <c r="D579" s="52">
        <f>HLOOKUP("# Memory",'vHosts (Imported)'!$1:$5000,M579,FALSE)</f>
        <v>0</v>
      </c>
      <c r="M579" s="45">
        <f t="shared" si="26"/>
        <v>579</v>
      </c>
      <c r="N579" s="38">
        <f>HLOOKUP("Host",'vInfo (Imported)'!$1:$5000,M579,FALSE)</f>
        <v>0</v>
      </c>
      <c r="R579">
        <f>HLOOKUP("CPUs",'vInfo (Imported)'!$1:$5000,M579,FALSE)</f>
        <v>0</v>
      </c>
      <c r="S579">
        <f>HLOOKUP("Memory",'vInfo (Imported)'!$1:$5000,M579,FALSE)</f>
        <v>0</v>
      </c>
      <c r="T579">
        <f>HLOOKUP("Provisioned MiB",'vInfo (Imported)'!$1:$5000,M579,FALSE)</f>
        <v>0</v>
      </c>
      <c r="U579">
        <f t="shared" ref="U579:U642" si="28">T579-V579</f>
        <v>0</v>
      </c>
      <c r="V579">
        <f>HLOOKUP("In Use MiB",'vInfo (Imported)'!$1:$5000,M579,FALSE)</f>
        <v>0</v>
      </c>
    </row>
    <row r="580" spans="1:22" ht="13" x14ac:dyDescent="0.3">
      <c r="A580" s="46">
        <f>'vHosts (Imported)'!A580</f>
        <v>0</v>
      </c>
      <c r="B580" s="51">
        <f t="shared" si="27"/>
        <v>4968</v>
      </c>
      <c r="C580" s="49">
        <f>HLOOKUP("# Cores",'vHosts (Imported)'!$1:$5000,M580,FALSE)</f>
        <v>0</v>
      </c>
      <c r="D580" s="52">
        <f>HLOOKUP("# Memory",'vHosts (Imported)'!$1:$5000,M580,FALSE)</f>
        <v>0</v>
      </c>
      <c r="M580" s="45">
        <f t="shared" ref="M580:M643" si="29">M579+1</f>
        <v>580</v>
      </c>
      <c r="N580" s="38">
        <f>HLOOKUP("Host",'vInfo (Imported)'!$1:$5000,M580,FALSE)</f>
        <v>0</v>
      </c>
      <c r="R580">
        <f>HLOOKUP("CPUs",'vInfo (Imported)'!$1:$5000,M580,FALSE)</f>
        <v>0</v>
      </c>
      <c r="S580">
        <f>HLOOKUP("Memory",'vInfo (Imported)'!$1:$5000,M580,FALSE)</f>
        <v>0</v>
      </c>
      <c r="T580">
        <f>HLOOKUP("Provisioned MiB",'vInfo (Imported)'!$1:$5000,M580,FALSE)</f>
        <v>0</v>
      </c>
      <c r="U580">
        <f t="shared" si="28"/>
        <v>0</v>
      </c>
      <c r="V580">
        <f>HLOOKUP("In Use MiB",'vInfo (Imported)'!$1:$5000,M580,FALSE)</f>
        <v>0</v>
      </c>
    </row>
    <row r="581" spans="1:22" ht="13" x14ac:dyDescent="0.3">
      <c r="A581" s="46">
        <f>'vHosts (Imported)'!A581</f>
        <v>0</v>
      </c>
      <c r="B581" s="51">
        <f t="shared" si="27"/>
        <v>4968</v>
      </c>
      <c r="C581" s="49">
        <f>HLOOKUP("# Cores",'vHosts (Imported)'!$1:$5000,M581,FALSE)</f>
        <v>0</v>
      </c>
      <c r="D581" s="52">
        <f>HLOOKUP("# Memory",'vHosts (Imported)'!$1:$5000,M581,FALSE)</f>
        <v>0</v>
      </c>
      <c r="M581" s="45">
        <f t="shared" si="29"/>
        <v>581</v>
      </c>
      <c r="N581" s="38">
        <f>HLOOKUP("Host",'vInfo (Imported)'!$1:$5000,M581,FALSE)</f>
        <v>0</v>
      </c>
      <c r="R581">
        <f>HLOOKUP("CPUs",'vInfo (Imported)'!$1:$5000,M581,FALSE)</f>
        <v>0</v>
      </c>
      <c r="S581">
        <f>HLOOKUP("Memory",'vInfo (Imported)'!$1:$5000,M581,FALSE)</f>
        <v>0</v>
      </c>
      <c r="T581">
        <f>HLOOKUP("Provisioned MiB",'vInfo (Imported)'!$1:$5000,M581,FALSE)</f>
        <v>0</v>
      </c>
      <c r="U581">
        <f t="shared" si="28"/>
        <v>0</v>
      </c>
      <c r="V581">
        <f>HLOOKUP("In Use MiB",'vInfo (Imported)'!$1:$5000,M581,FALSE)</f>
        <v>0</v>
      </c>
    </row>
    <row r="582" spans="1:22" ht="13" x14ac:dyDescent="0.3">
      <c r="A582" s="46">
        <f>'vHosts (Imported)'!A582</f>
        <v>0</v>
      </c>
      <c r="B582" s="51">
        <f t="shared" si="27"/>
        <v>4968</v>
      </c>
      <c r="C582" s="49">
        <f>HLOOKUP("# Cores",'vHosts (Imported)'!$1:$5000,M582,FALSE)</f>
        <v>0</v>
      </c>
      <c r="D582" s="52">
        <f>HLOOKUP("# Memory",'vHosts (Imported)'!$1:$5000,M582,FALSE)</f>
        <v>0</v>
      </c>
      <c r="M582" s="45">
        <f t="shared" si="29"/>
        <v>582</v>
      </c>
      <c r="N582" s="38">
        <f>HLOOKUP("Host",'vInfo (Imported)'!$1:$5000,M582,FALSE)</f>
        <v>0</v>
      </c>
      <c r="R582">
        <f>HLOOKUP("CPUs",'vInfo (Imported)'!$1:$5000,M582,FALSE)</f>
        <v>0</v>
      </c>
      <c r="S582">
        <f>HLOOKUP("Memory",'vInfo (Imported)'!$1:$5000,M582,FALSE)</f>
        <v>0</v>
      </c>
      <c r="T582">
        <f>HLOOKUP("Provisioned MiB",'vInfo (Imported)'!$1:$5000,M582,FALSE)</f>
        <v>0</v>
      </c>
      <c r="U582">
        <f t="shared" si="28"/>
        <v>0</v>
      </c>
      <c r="V582">
        <f>HLOOKUP("In Use MiB",'vInfo (Imported)'!$1:$5000,M582,FALSE)</f>
        <v>0</v>
      </c>
    </row>
    <row r="583" spans="1:22" ht="13" x14ac:dyDescent="0.3">
      <c r="A583" s="46">
        <f>'vHosts (Imported)'!A583</f>
        <v>0</v>
      </c>
      <c r="B583" s="51">
        <f t="shared" si="27"/>
        <v>4968</v>
      </c>
      <c r="C583" s="49">
        <f>HLOOKUP("# Cores",'vHosts (Imported)'!$1:$5000,M583,FALSE)</f>
        <v>0</v>
      </c>
      <c r="D583" s="52">
        <f>HLOOKUP("# Memory",'vHosts (Imported)'!$1:$5000,M583,FALSE)</f>
        <v>0</v>
      </c>
      <c r="M583" s="45">
        <f t="shared" si="29"/>
        <v>583</v>
      </c>
      <c r="N583" s="38">
        <f>HLOOKUP("Host",'vInfo (Imported)'!$1:$5000,M583,FALSE)</f>
        <v>0</v>
      </c>
      <c r="R583">
        <f>HLOOKUP("CPUs",'vInfo (Imported)'!$1:$5000,M583,FALSE)</f>
        <v>0</v>
      </c>
      <c r="S583">
        <f>HLOOKUP("Memory",'vInfo (Imported)'!$1:$5000,M583,FALSE)</f>
        <v>0</v>
      </c>
      <c r="T583">
        <f>HLOOKUP("Provisioned MiB",'vInfo (Imported)'!$1:$5000,M583,FALSE)</f>
        <v>0</v>
      </c>
      <c r="U583">
        <f t="shared" si="28"/>
        <v>0</v>
      </c>
      <c r="V583">
        <f>HLOOKUP("In Use MiB",'vInfo (Imported)'!$1:$5000,M583,FALSE)</f>
        <v>0</v>
      </c>
    </row>
    <row r="584" spans="1:22" ht="13" x14ac:dyDescent="0.3">
      <c r="A584" s="46">
        <f>'vHosts (Imported)'!A584</f>
        <v>0</v>
      </c>
      <c r="B584" s="51">
        <f t="shared" si="27"/>
        <v>4968</v>
      </c>
      <c r="C584" s="49">
        <f>HLOOKUP("# Cores",'vHosts (Imported)'!$1:$5000,M584,FALSE)</f>
        <v>0</v>
      </c>
      <c r="D584" s="52">
        <f>HLOOKUP("# Memory",'vHosts (Imported)'!$1:$5000,M584,FALSE)</f>
        <v>0</v>
      </c>
      <c r="M584" s="45">
        <f t="shared" si="29"/>
        <v>584</v>
      </c>
      <c r="N584" s="38">
        <f>HLOOKUP("Host",'vInfo (Imported)'!$1:$5000,M584,FALSE)</f>
        <v>0</v>
      </c>
      <c r="R584">
        <f>HLOOKUP("CPUs",'vInfo (Imported)'!$1:$5000,M584,FALSE)</f>
        <v>0</v>
      </c>
      <c r="S584">
        <f>HLOOKUP("Memory",'vInfo (Imported)'!$1:$5000,M584,FALSE)</f>
        <v>0</v>
      </c>
      <c r="T584">
        <f>HLOOKUP("Provisioned MiB",'vInfo (Imported)'!$1:$5000,M584,FALSE)</f>
        <v>0</v>
      </c>
      <c r="U584">
        <f t="shared" si="28"/>
        <v>0</v>
      </c>
      <c r="V584">
        <f>HLOOKUP("In Use MiB",'vInfo (Imported)'!$1:$5000,M584,FALSE)</f>
        <v>0</v>
      </c>
    </row>
    <row r="585" spans="1:22" ht="13" x14ac:dyDescent="0.3">
      <c r="A585" s="46">
        <f>'vHosts (Imported)'!A585</f>
        <v>0</v>
      </c>
      <c r="B585" s="51">
        <f t="shared" si="27"/>
        <v>4968</v>
      </c>
      <c r="C585" s="49">
        <f>HLOOKUP("# Cores",'vHosts (Imported)'!$1:$5000,M585,FALSE)</f>
        <v>0</v>
      </c>
      <c r="D585" s="52">
        <f>HLOOKUP("# Memory",'vHosts (Imported)'!$1:$5000,M585,FALSE)</f>
        <v>0</v>
      </c>
      <c r="M585" s="45">
        <f t="shared" si="29"/>
        <v>585</v>
      </c>
      <c r="N585" s="38">
        <f>HLOOKUP("Host",'vInfo (Imported)'!$1:$5000,M585,FALSE)</f>
        <v>0</v>
      </c>
      <c r="R585">
        <f>HLOOKUP("CPUs",'vInfo (Imported)'!$1:$5000,M585,FALSE)</f>
        <v>0</v>
      </c>
      <c r="S585">
        <f>HLOOKUP("Memory",'vInfo (Imported)'!$1:$5000,M585,FALSE)</f>
        <v>0</v>
      </c>
      <c r="T585">
        <f>HLOOKUP("Provisioned MiB",'vInfo (Imported)'!$1:$5000,M585,FALSE)</f>
        <v>0</v>
      </c>
      <c r="U585">
        <f t="shared" si="28"/>
        <v>0</v>
      </c>
      <c r="V585">
        <f>HLOOKUP("In Use MiB",'vInfo (Imported)'!$1:$5000,M585,FALSE)</f>
        <v>0</v>
      </c>
    </row>
    <row r="586" spans="1:22" ht="13" x14ac:dyDescent="0.3">
      <c r="A586" s="46">
        <f>'vHosts (Imported)'!A586</f>
        <v>0</v>
      </c>
      <c r="B586" s="51">
        <f t="shared" si="27"/>
        <v>4968</v>
      </c>
      <c r="C586" s="49">
        <f>HLOOKUP("# Cores",'vHosts (Imported)'!$1:$5000,M586,FALSE)</f>
        <v>0</v>
      </c>
      <c r="D586" s="52">
        <f>HLOOKUP("# Memory",'vHosts (Imported)'!$1:$5000,M586,FALSE)</f>
        <v>0</v>
      </c>
      <c r="M586" s="45">
        <f t="shared" si="29"/>
        <v>586</v>
      </c>
      <c r="N586" s="38">
        <f>HLOOKUP("Host",'vInfo (Imported)'!$1:$5000,M586,FALSE)</f>
        <v>0</v>
      </c>
      <c r="R586">
        <f>HLOOKUP("CPUs",'vInfo (Imported)'!$1:$5000,M586,FALSE)</f>
        <v>0</v>
      </c>
      <c r="S586">
        <f>HLOOKUP("Memory",'vInfo (Imported)'!$1:$5000,M586,FALSE)</f>
        <v>0</v>
      </c>
      <c r="T586">
        <f>HLOOKUP("Provisioned MiB",'vInfo (Imported)'!$1:$5000,M586,FALSE)</f>
        <v>0</v>
      </c>
      <c r="U586">
        <f t="shared" si="28"/>
        <v>0</v>
      </c>
      <c r="V586">
        <f>HLOOKUP("In Use MiB",'vInfo (Imported)'!$1:$5000,M586,FALSE)</f>
        <v>0</v>
      </c>
    </row>
    <row r="587" spans="1:22" ht="13" x14ac:dyDescent="0.3">
      <c r="A587" s="46">
        <f>'vHosts (Imported)'!A587</f>
        <v>0</v>
      </c>
      <c r="B587" s="51">
        <f t="shared" si="27"/>
        <v>4968</v>
      </c>
      <c r="C587" s="49">
        <f>HLOOKUP("# Cores",'vHosts (Imported)'!$1:$5000,M587,FALSE)</f>
        <v>0</v>
      </c>
      <c r="D587" s="52">
        <f>HLOOKUP("# Memory",'vHosts (Imported)'!$1:$5000,M587,FALSE)</f>
        <v>0</v>
      </c>
      <c r="M587" s="45">
        <f t="shared" si="29"/>
        <v>587</v>
      </c>
      <c r="N587" s="38">
        <f>HLOOKUP("Host",'vInfo (Imported)'!$1:$5000,M587,FALSE)</f>
        <v>0</v>
      </c>
      <c r="R587">
        <f>HLOOKUP("CPUs",'vInfo (Imported)'!$1:$5000,M587,FALSE)</f>
        <v>0</v>
      </c>
      <c r="S587">
        <f>HLOOKUP("Memory",'vInfo (Imported)'!$1:$5000,M587,FALSE)</f>
        <v>0</v>
      </c>
      <c r="T587">
        <f>HLOOKUP("Provisioned MiB",'vInfo (Imported)'!$1:$5000,M587,FALSE)</f>
        <v>0</v>
      </c>
      <c r="U587">
        <f t="shared" si="28"/>
        <v>0</v>
      </c>
      <c r="V587">
        <f>HLOOKUP("In Use MiB",'vInfo (Imported)'!$1:$5000,M587,FALSE)</f>
        <v>0</v>
      </c>
    </row>
    <row r="588" spans="1:22" ht="13" x14ac:dyDescent="0.3">
      <c r="A588" s="46">
        <f>'vHosts (Imported)'!A588</f>
        <v>0</v>
      </c>
      <c r="B588" s="51">
        <f t="shared" si="27"/>
        <v>4968</v>
      </c>
      <c r="C588" s="49">
        <f>HLOOKUP("# Cores",'vHosts (Imported)'!$1:$5000,M588,FALSE)</f>
        <v>0</v>
      </c>
      <c r="D588" s="52">
        <f>HLOOKUP("# Memory",'vHosts (Imported)'!$1:$5000,M588,FALSE)</f>
        <v>0</v>
      </c>
      <c r="M588" s="45">
        <f t="shared" si="29"/>
        <v>588</v>
      </c>
      <c r="N588" s="38">
        <f>HLOOKUP("Host",'vInfo (Imported)'!$1:$5000,M588,FALSE)</f>
        <v>0</v>
      </c>
      <c r="R588">
        <f>HLOOKUP("CPUs",'vInfo (Imported)'!$1:$5000,M588,FALSE)</f>
        <v>0</v>
      </c>
      <c r="S588">
        <f>HLOOKUP("Memory",'vInfo (Imported)'!$1:$5000,M588,FALSE)</f>
        <v>0</v>
      </c>
      <c r="T588">
        <f>HLOOKUP("Provisioned MiB",'vInfo (Imported)'!$1:$5000,M588,FALSE)</f>
        <v>0</v>
      </c>
      <c r="U588">
        <f t="shared" si="28"/>
        <v>0</v>
      </c>
      <c r="V588">
        <f>HLOOKUP("In Use MiB",'vInfo (Imported)'!$1:$5000,M588,FALSE)</f>
        <v>0</v>
      </c>
    </row>
    <row r="589" spans="1:22" ht="13" x14ac:dyDescent="0.3">
      <c r="A589" s="46">
        <f>'vHosts (Imported)'!A589</f>
        <v>0</v>
      </c>
      <c r="B589" s="51">
        <f t="shared" si="27"/>
        <v>4968</v>
      </c>
      <c r="C589" s="49">
        <f>HLOOKUP("# Cores",'vHosts (Imported)'!$1:$5000,M589,FALSE)</f>
        <v>0</v>
      </c>
      <c r="D589" s="52">
        <f>HLOOKUP("# Memory",'vHosts (Imported)'!$1:$5000,M589,FALSE)</f>
        <v>0</v>
      </c>
      <c r="M589" s="45">
        <f t="shared" si="29"/>
        <v>589</v>
      </c>
      <c r="N589" s="38">
        <f>HLOOKUP("Host",'vInfo (Imported)'!$1:$5000,M589,FALSE)</f>
        <v>0</v>
      </c>
      <c r="R589">
        <f>HLOOKUP("CPUs",'vInfo (Imported)'!$1:$5000,M589,FALSE)</f>
        <v>0</v>
      </c>
      <c r="S589">
        <f>HLOOKUP("Memory",'vInfo (Imported)'!$1:$5000,M589,FALSE)</f>
        <v>0</v>
      </c>
      <c r="T589">
        <f>HLOOKUP("Provisioned MiB",'vInfo (Imported)'!$1:$5000,M589,FALSE)</f>
        <v>0</v>
      </c>
      <c r="U589">
        <f t="shared" si="28"/>
        <v>0</v>
      </c>
      <c r="V589">
        <f>HLOOKUP("In Use MiB",'vInfo (Imported)'!$1:$5000,M589,FALSE)</f>
        <v>0</v>
      </c>
    </row>
    <row r="590" spans="1:22" ht="13" x14ac:dyDescent="0.3">
      <c r="A590" s="46">
        <f>'vHosts (Imported)'!A590</f>
        <v>0</v>
      </c>
      <c r="B590" s="51">
        <f t="shared" si="27"/>
        <v>4968</v>
      </c>
      <c r="C590" s="49">
        <f>HLOOKUP("# Cores",'vHosts (Imported)'!$1:$5000,M590,FALSE)</f>
        <v>0</v>
      </c>
      <c r="D590" s="52">
        <f>HLOOKUP("# Memory",'vHosts (Imported)'!$1:$5000,M590,FALSE)</f>
        <v>0</v>
      </c>
      <c r="M590" s="45">
        <f t="shared" si="29"/>
        <v>590</v>
      </c>
      <c r="N590" s="38">
        <f>HLOOKUP("Host",'vInfo (Imported)'!$1:$5000,M590,FALSE)</f>
        <v>0</v>
      </c>
      <c r="R590">
        <f>HLOOKUP("CPUs",'vInfo (Imported)'!$1:$5000,M590,FALSE)</f>
        <v>0</v>
      </c>
      <c r="S590">
        <f>HLOOKUP("Memory",'vInfo (Imported)'!$1:$5000,M590,FALSE)</f>
        <v>0</v>
      </c>
      <c r="T590">
        <f>HLOOKUP("Provisioned MiB",'vInfo (Imported)'!$1:$5000,M590,FALSE)</f>
        <v>0</v>
      </c>
      <c r="U590">
        <f t="shared" si="28"/>
        <v>0</v>
      </c>
      <c r="V590">
        <f>HLOOKUP("In Use MiB",'vInfo (Imported)'!$1:$5000,M590,FALSE)</f>
        <v>0</v>
      </c>
    </row>
    <row r="591" spans="1:22" ht="13" x14ac:dyDescent="0.3">
      <c r="A591" s="46">
        <f>'vHosts (Imported)'!A591</f>
        <v>0</v>
      </c>
      <c r="B591" s="51">
        <f t="shared" si="27"/>
        <v>4968</v>
      </c>
      <c r="C591" s="49">
        <f>HLOOKUP("# Cores",'vHosts (Imported)'!$1:$5000,M591,FALSE)</f>
        <v>0</v>
      </c>
      <c r="D591" s="52">
        <f>HLOOKUP("# Memory",'vHosts (Imported)'!$1:$5000,M591,FALSE)</f>
        <v>0</v>
      </c>
      <c r="M591" s="45">
        <f t="shared" si="29"/>
        <v>591</v>
      </c>
      <c r="N591" s="38">
        <f>HLOOKUP("Host",'vInfo (Imported)'!$1:$5000,M591,FALSE)</f>
        <v>0</v>
      </c>
      <c r="R591">
        <f>HLOOKUP("CPUs",'vInfo (Imported)'!$1:$5000,M591,FALSE)</f>
        <v>0</v>
      </c>
      <c r="S591">
        <f>HLOOKUP("Memory",'vInfo (Imported)'!$1:$5000,M591,FALSE)</f>
        <v>0</v>
      </c>
      <c r="T591">
        <f>HLOOKUP("Provisioned MiB",'vInfo (Imported)'!$1:$5000,M591,FALSE)</f>
        <v>0</v>
      </c>
      <c r="U591">
        <f t="shared" si="28"/>
        <v>0</v>
      </c>
      <c r="V591">
        <f>HLOOKUP("In Use MiB",'vInfo (Imported)'!$1:$5000,M591,FALSE)</f>
        <v>0</v>
      </c>
    </row>
    <row r="592" spans="1:22" ht="13" x14ac:dyDescent="0.3">
      <c r="A592" s="46">
        <f>'vHosts (Imported)'!A592</f>
        <v>0</v>
      </c>
      <c r="B592" s="51">
        <f t="shared" si="27"/>
        <v>4968</v>
      </c>
      <c r="C592" s="49">
        <f>HLOOKUP("# Cores",'vHosts (Imported)'!$1:$5000,M592,FALSE)</f>
        <v>0</v>
      </c>
      <c r="D592" s="52">
        <f>HLOOKUP("# Memory",'vHosts (Imported)'!$1:$5000,M592,FALSE)</f>
        <v>0</v>
      </c>
      <c r="M592" s="45">
        <f t="shared" si="29"/>
        <v>592</v>
      </c>
      <c r="N592" s="38">
        <f>HLOOKUP("Host",'vInfo (Imported)'!$1:$5000,M592,FALSE)</f>
        <v>0</v>
      </c>
      <c r="R592">
        <f>HLOOKUP("CPUs",'vInfo (Imported)'!$1:$5000,M592,FALSE)</f>
        <v>0</v>
      </c>
      <c r="S592">
        <f>HLOOKUP("Memory",'vInfo (Imported)'!$1:$5000,M592,FALSE)</f>
        <v>0</v>
      </c>
      <c r="T592">
        <f>HLOOKUP("Provisioned MiB",'vInfo (Imported)'!$1:$5000,M592,FALSE)</f>
        <v>0</v>
      </c>
      <c r="U592">
        <f t="shared" si="28"/>
        <v>0</v>
      </c>
      <c r="V592">
        <f>HLOOKUP("In Use MiB",'vInfo (Imported)'!$1:$5000,M592,FALSE)</f>
        <v>0</v>
      </c>
    </row>
    <row r="593" spans="1:22" ht="13" x14ac:dyDescent="0.3">
      <c r="A593" s="46">
        <f>'vHosts (Imported)'!A593</f>
        <v>0</v>
      </c>
      <c r="B593" s="51">
        <f t="shared" si="27"/>
        <v>4968</v>
      </c>
      <c r="C593" s="49">
        <f>HLOOKUP("# Cores",'vHosts (Imported)'!$1:$5000,M593,FALSE)</f>
        <v>0</v>
      </c>
      <c r="D593" s="52">
        <f>HLOOKUP("# Memory",'vHosts (Imported)'!$1:$5000,M593,FALSE)</f>
        <v>0</v>
      </c>
      <c r="M593" s="45">
        <f t="shared" si="29"/>
        <v>593</v>
      </c>
      <c r="N593" s="38">
        <f>HLOOKUP("Host",'vInfo (Imported)'!$1:$5000,M593,FALSE)</f>
        <v>0</v>
      </c>
      <c r="R593">
        <f>HLOOKUP("CPUs",'vInfo (Imported)'!$1:$5000,M593,FALSE)</f>
        <v>0</v>
      </c>
      <c r="S593">
        <f>HLOOKUP("Memory",'vInfo (Imported)'!$1:$5000,M593,FALSE)</f>
        <v>0</v>
      </c>
      <c r="T593">
        <f>HLOOKUP("Provisioned MiB",'vInfo (Imported)'!$1:$5000,M593,FALSE)</f>
        <v>0</v>
      </c>
      <c r="U593">
        <f t="shared" si="28"/>
        <v>0</v>
      </c>
      <c r="V593">
        <f>HLOOKUP("In Use MiB",'vInfo (Imported)'!$1:$5000,M593,FALSE)</f>
        <v>0</v>
      </c>
    </row>
    <row r="594" spans="1:22" ht="13" x14ac:dyDescent="0.3">
      <c r="A594" s="46">
        <f>'vHosts (Imported)'!A594</f>
        <v>0</v>
      </c>
      <c r="B594" s="51">
        <f t="shared" si="27"/>
        <v>4968</v>
      </c>
      <c r="C594" s="49">
        <f>HLOOKUP("# Cores",'vHosts (Imported)'!$1:$5000,M594,FALSE)</f>
        <v>0</v>
      </c>
      <c r="D594" s="52">
        <f>HLOOKUP("# Memory",'vHosts (Imported)'!$1:$5000,M594,FALSE)</f>
        <v>0</v>
      </c>
      <c r="M594" s="45">
        <f t="shared" si="29"/>
        <v>594</v>
      </c>
      <c r="N594" s="38">
        <f>HLOOKUP("Host",'vInfo (Imported)'!$1:$5000,M594,FALSE)</f>
        <v>0</v>
      </c>
      <c r="R594">
        <f>HLOOKUP("CPUs",'vInfo (Imported)'!$1:$5000,M594,FALSE)</f>
        <v>0</v>
      </c>
      <c r="S594">
        <f>HLOOKUP("Memory",'vInfo (Imported)'!$1:$5000,M594,FALSE)</f>
        <v>0</v>
      </c>
      <c r="T594">
        <f>HLOOKUP("Provisioned MiB",'vInfo (Imported)'!$1:$5000,M594,FALSE)</f>
        <v>0</v>
      </c>
      <c r="U594">
        <f t="shared" si="28"/>
        <v>0</v>
      </c>
      <c r="V594">
        <f>HLOOKUP("In Use MiB",'vInfo (Imported)'!$1:$5000,M594,FALSE)</f>
        <v>0</v>
      </c>
    </row>
    <row r="595" spans="1:22" ht="13" x14ac:dyDescent="0.3">
      <c r="A595" s="46">
        <f>'vHosts (Imported)'!A595</f>
        <v>0</v>
      </c>
      <c r="B595" s="51">
        <f t="shared" si="27"/>
        <v>4968</v>
      </c>
      <c r="C595" s="49">
        <f>HLOOKUP("# Cores",'vHosts (Imported)'!$1:$5000,M595,FALSE)</f>
        <v>0</v>
      </c>
      <c r="D595" s="52">
        <f>HLOOKUP("# Memory",'vHosts (Imported)'!$1:$5000,M595,FALSE)</f>
        <v>0</v>
      </c>
      <c r="M595" s="45">
        <f t="shared" si="29"/>
        <v>595</v>
      </c>
      <c r="N595" s="38">
        <f>HLOOKUP("Host",'vInfo (Imported)'!$1:$5000,M595,FALSE)</f>
        <v>0</v>
      </c>
      <c r="R595">
        <f>HLOOKUP("CPUs",'vInfo (Imported)'!$1:$5000,M595,FALSE)</f>
        <v>0</v>
      </c>
      <c r="S595">
        <f>HLOOKUP("Memory",'vInfo (Imported)'!$1:$5000,M595,FALSE)</f>
        <v>0</v>
      </c>
      <c r="T595">
        <f>HLOOKUP("Provisioned MiB",'vInfo (Imported)'!$1:$5000,M595,FALSE)</f>
        <v>0</v>
      </c>
      <c r="U595">
        <f t="shared" si="28"/>
        <v>0</v>
      </c>
      <c r="V595">
        <f>HLOOKUP("In Use MiB",'vInfo (Imported)'!$1:$5000,M595,FALSE)</f>
        <v>0</v>
      </c>
    </row>
    <row r="596" spans="1:22" ht="13" x14ac:dyDescent="0.3">
      <c r="A596" s="46">
        <f>'vHosts (Imported)'!A596</f>
        <v>0</v>
      </c>
      <c r="B596" s="51">
        <f t="shared" si="27"/>
        <v>4968</v>
      </c>
      <c r="C596" s="49">
        <f>HLOOKUP("# Cores",'vHosts (Imported)'!$1:$5000,M596,FALSE)</f>
        <v>0</v>
      </c>
      <c r="D596" s="52">
        <f>HLOOKUP("# Memory",'vHosts (Imported)'!$1:$5000,M596,FALSE)</f>
        <v>0</v>
      </c>
      <c r="M596" s="45">
        <f t="shared" si="29"/>
        <v>596</v>
      </c>
      <c r="N596" s="38">
        <f>HLOOKUP("Host",'vInfo (Imported)'!$1:$5000,M596,FALSE)</f>
        <v>0</v>
      </c>
      <c r="R596">
        <f>HLOOKUP("CPUs",'vInfo (Imported)'!$1:$5000,M596,FALSE)</f>
        <v>0</v>
      </c>
      <c r="S596">
        <f>HLOOKUP("Memory",'vInfo (Imported)'!$1:$5000,M596,FALSE)</f>
        <v>0</v>
      </c>
      <c r="T596">
        <f>HLOOKUP("Provisioned MiB",'vInfo (Imported)'!$1:$5000,M596,FALSE)</f>
        <v>0</v>
      </c>
      <c r="U596">
        <f t="shared" si="28"/>
        <v>0</v>
      </c>
      <c r="V596">
        <f>HLOOKUP("In Use MiB",'vInfo (Imported)'!$1:$5000,M596,FALSE)</f>
        <v>0</v>
      </c>
    </row>
    <row r="597" spans="1:22" ht="13" x14ac:dyDescent="0.3">
      <c r="A597" s="46">
        <f>'vHosts (Imported)'!A597</f>
        <v>0</v>
      </c>
      <c r="B597" s="51">
        <f t="shared" si="27"/>
        <v>4968</v>
      </c>
      <c r="C597" s="49">
        <f>HLOOKUP("# Cores",'vHosts (Imported)'!$1:$5000,M597,FALSE)</f>
        <v>0</v>
      </c>
      <c r="D597" s="52">
        <f>HLOOKUP("# Memory",'vHosts (Imported)'!$1:$5000,M597,FALSE)</f>
        <v>0</v>
      </c>
      <c r="M597" s="45">
        <f t="shared" si="29"/>
        <v>597</v>
      </c>
      <c r="N597" s="38">
        <f>HLOOKUP("Host",'vInfo (Imported)'!$1:$5000,M597,FALSE)</f>
        <v>0</v>
      </c>
      <c r="R597">
        <f>HLOOKUP("CPUs",'vInfo (Imported)'!$1:$5000,M597,FALSE)</f>
        <v>0</v>
      </c>
      <c r="S597">
        <f>HLOOKUP("Memory",'vInfo (Imported)'!$1:$5000,M597,FALSE)</f>
        <v>0</v>
      </c>
      <c r="T597">
        <f>HLOOKUP("Provisioned MiB",'vInfo (Imported)'!$1:$5000,M597,FALSE)</f>
        <v>0</v>
      </c>
      <c r="U597">
        <f t="shared" si="28"/>
        <v>0</v>
      </c>
      <c r="V597">
        <f>HLOOKUP("In Use MiB",'vInfo (Imported)'!$1:$5000,M597,FALSE)</f>
        <v>0</v>
      </c>
    </row>
    <row r="598" spans="1:22" ht="13" x14ac:dyDescent="0.3">
      <c r="A598" s="46">
        <f>'vHosts (Imported)'!A598</f>
        <v>0</v>
      </c>
      <c r="B598" s="51">
        <f t="shared" si="27"/>
        <v>4968</v>
      </c>
      <c r="C598" s="49">
        <f>HLOOKUP("# Cores",'vHosts (Imported)'!$1:$5000,M598,FALSE)</f>
        <v>0</v>
      </c>
      <c r="D598" s="52">
        <f>HLOOKUP("# Memory",'vHosts (Imported)'!$1:$5000,M598,FALSE)</f>
        <v>0</v>
      </c>
      <c r="M598" s="45">
        <f t="shared" si="29"/>
        <v>598</v>
      </c>
      <c r="N598" s="38">
        <f>HLOOKUP("Host",'vInfo (Imported)'!$1:$5000,M598,FALSE)</f>
        <v>0</v>
      </c>
      <c r="R598">
        <f>HLOOKUP("CPUs",'vInfo (Imported)'!$1:$5000,M598,FALSE)</f>
        <v>0</v>
      </c>
      <c r="S598">
        <f>HLOOKUP("Memory",'vInfo (Imported)'!$1:$5000,M598,FALSE)</f>
        <v>0</v>
      </c>
      <c r="T598">
        <f>HLOOKUP("Provisioned MiB",'vInfo (Imported)'!$1:$5000,M598,FALSE)</f>
        <v>0</v>
      </c>
      <c r="U598">
        <f t="shared" si="28"/>
        <v>0</v>
      </c>
      <c r="V598">
        <f>HLOOKUP("In Use MiB",'vInfo (Imported)'!$1:$5000,M598,FALSE)</f>
        <v>0</v>
      </c>
    </row>
    <row r="599" spans="1:22" ht="13" x14ac:dyDescent="0.3">
      <c r="A599" s="46">
        <f>'vHosts (Imported)'!A599</f>
        <v>0</v>
      </c>
      <c r="B599" s="51">
        <f t="shared" si="27"/>
        <v>4968</v>
      </c>
      <c r="C599" s="49">
        <f>HLOOKUP("# Cores",'vHosts (Imported)'!$1:$5000,M599,FALSE)</f>
        <v>0</v>
      </c>
      <c r="D599" s="52">
        <f>HLOOKUP("# Memory",'vHosts (Imported)'!$1:$5000,M599,FALSE)</f>
        <v>0</v>
      </c>
      <c r="M599" s="45">
        <f t="shared" si="29"/>
        <v>599</v>
      </c>
      <c r="N599" s="38">
        <f>HLOOKUP("Host",'vInfo (Imported)'!$1:$5000,M599,FALSE)</f>
        <v>0</v>
      </c>
      <c r="R599">
        <f>HLOOKUP("CPUs",'vInfo (Imported)'!$1:$5000,M599,FALSE)</f>
        <v>0</v>
      </c>
      <c r="S599">
        <f>HLOOKUP("Memory",'vInfo (Imported)'!$1:$5000,M599,FALSE)</f>
        <v>0</v>
      </c>
      <c r="T599">
        <f>HLOOKUP("Provisioned MiB",'vInfo (Imported)'!$1:$5000,M599,FALSE)</f>
        <v>0</v>
      </c>
      <c r="U599">
        <f t="shared" si="28"/>
        <v>0</v>
      </c>
      <c r="V599">
        <f>HLOOKUP("In Use MiB",'vInfo (Imported)'!$1:$5000,M599,FALSE)</f>
        <v>0</v>
      </c>
    </row>
    <row r="600" spans="1:22" ht="13" x14ac:dyDescent="0.3">
      <c r="A600" s="46">
        <f>'vHosts (Imported)'!A600</f>
        <v>0</v>
      </c>
      <c r="B600" s="51">
        <f t="shared" si="27"/>
        <v>4968</v>
      </c>
      <c r="C600" s="49">
        <f>HLOOKUP("# Cores",'vHosts (Imported)'!$1:$5000,M600,FALSE)</f>
        <v>0</v>
      </c>
      <c r="D600" s="52">
        <f>HLOOKUP("# Memory",'vHosts (Imported)'!$1:$5000,M600,FALSE)</f>
        <v>0</v>
      </c>
      <c r="M600" s="45">
        <f t="shared" si="29"/>
        <v>600</v>
      </c>
      <c r="N600" s="38">
        <f>HLOOKUP("Host",'vInfo (Imported)'!$1:$5000,M600,FALSE)</f>
        <v>0</v>
      </c>
      <c r="R600">
        <f>HLOOKUP("CPUs",'vInfo (Imported)'!$1:$5000,M600,FALSE)</f>
        <v>0</v>
      </c>
      <c r="S600">
        <f>HLOOKUP("Memory",'vInfo (Imported)'!$1:$5000,M600,FALSE)</f>
        <v>0</v>
      </c>
      <c r="T600">
        <f>HLOOKUP("Provisioned MiB",'vInfo (Imported)'!$1:$5000,M600,FALSE)</f>
        <v>0</v>
      </c>
      <c r="U600">
        <f t="shared" si="28"/>
        <v>0</v>
      </c>
      <c r="V600">
        <f>HLOOKUP("In Use MiB",'vInfo (Imported)'!$1:$5000,M600,FALSE)</f>
        <v>0</v>
      </c>
    </row>
    <row r="601" spans="1:22" ht="13" x14ac:dyDescent="0.3">
      <c r="A601" s="46">
        <f>'vHosts (Imported)'!A601</f>
        <v>0</v>
      </c>
      <c r="B601" s="51">
        <f t="shared" si="27"/>
        <v>4968</v>
      </c>
      <c r="C601" s="49">
        <f>HLOOKUP("# Cores",'vHosts (Imported)'!$1:$5000,M601,FALSE)</f>
        <v>0</v>
      </c>
      <c r="D601" s="52">
        <f>HLOOKUP("# Memory",'vHosts (Imported)'!$1:$5000,M601,FALSE)</f>
        <v>0</v>
      </c>
      <c r="M601" s="45">
        <f t="shared" si="29"/>
        <v>601</v>
      </c>
      <c r="N601" s="38">
        <f>HLOOKUP("Host",'vInfo (Imported)'!$1:$5000,M601,FALSE)</f>
        <v>0</v>
      </c>
      <c r="R601">
        <f>HLOOKUP("CPUs",'vInfo (Imported)'!$1:$5000,M601,FALSE)</f>
        <v>0</v>
      </c>
      <c r="S601">
        <f>HLOOKUP("Memory",'vInfo (Imported)'!$1:$5000,M601,FALSE)</f>
        <v>0</v>
      </c>
      <c r="T601">
        <f>HLOOKUP("Provisioned MiB",'vInfo (Imported)'!$1:$5000,M601,FALSE)</f>
        <v>0</v>
      </c>
      <c r="U601">
        <f t="shared" si="28"/>
        <v>0</v>
      </c>
      <c r="V601">
        <f>HLOOKUP("In Use MiB",'vInfo (Imported)'!$1:$5000,M601,FALSE)</f>
        <v>0</v>
      </c>
    </row>
    <row r="602" spans="1:22" ht="13" x14ac:dyDescent="0.3">
      <c r="A602" s="46">
        <f>'vHosts (Imported)'!A602</f>
        <v>0</v>
      </c>
      <c r="B602" s="51">
        <f t="shared" si="27"/>
        <v>4968</v>
      </c>
      <c r="C602" s="49">
        <f>HLOOKUP("# Cores",'vHosts (Imported)'!$1:$5000,M602,FALSE)</f>
        <v>0</v>
      </c>
      <c r="D602" s="52">
        <f>HLOOKUP("# Memory",'vHosts (Imported)'!$1:$5000,M602,FALSE)</f>
        <v>0</v>
      </c>
      <c r="M602" s="45">
        <f t="shared" si="29"/>
        <v>602</v>
      </c>
      <c r="N602" s="38">
        <f>HLOOKUP("Host",'vInfo (Imported)'!$1:$5000,M602,FALSE)</f>
        <v>0</v>
      </c>
      <c r="R602">
        <f>HLOOKUP("CPUs",'vInfo (Imported)'!$1:$5000,M602,FALSE)</f>
        <v>0</v>
      </c>
      <c r="S602">
        <f>HLOOKUP("Memory",'vInfo (Imported)'!$1:$5000,M602,FALSE)</f>
        <v>0</v>
      </c>
      <c r="T602">
        <f>HLOOKUP("Provisioned MiB",'vInfo (Imported)'!$1:$5000,M602,FALSE)</f>
        <v>0</v>
      </c>
      <c r="U602">
        <f t="shared" si="28"/>
        <v>0</v>
      </c>
      <c r="V602">
        <f>HLOOKUP("In Use MiB",'vInfo (Imported)'!$1:$5000,M602,FALSE)</f>
        <v>0</v>
      </c>
    </row>
    <row r="603" spans="1:22" ht="13" x14ac:dyDescent="0.3">
      <c r="A603" s="46">
        <f>'vHosts (Imported)'!A603</f>
        <v>0</v>
      </c>
      <c r="B603" s="51">
        <f t="shared" si="27"/>
        <v>4968</v>
      </c>
      <c r="C603" s="49">
        <f>HLOOKUP("# Cores",'vHosts (Imported)'!$1:$5000,M603,FALSE)</f>
        <v>0</v>
      </c>
      <c r="D603" s="52">
        <f>HLOOKUP("# Memory",'vHosts (Imported)'!$1:$5000,M603,FALSE)</f>
        <v>0</v>
      </c>
      <c r="M603" s="45">
        <f t="shared" si="29"/>
        <v>603</v>
      </c>
      <c r="N603" s="38">
        <f>HLOOKUP("Host",'vInfo (Imported)'!$1:$5000,M603,FALSE)</f>
        <v>0</v>
      </c>
      <c r="R603">
        <f>HLOOKUP("CPUs",'vInfo (Imported)'!$1:$5000,M603,FALSE)</f>
        <v>0</v>
      </c>
      <c r="S603">
        <f>HLOOKUP("Memory",'vInfo (Imported)'!$1:$5000,M603,FALSE)</f>
        <v>0</v>
      </c>
      <c r="T603">
        <f>HLOOKUP("Provisioned MiB",'vInfo (Imported)'!$1:$5000,M603,FALSE)</f>
        <v>0</v>
      </c>
      <c r="U603">
        <f t="shared" si="28"/>
        <v>0</v>
      </c>
      <c r="V603">
        <f>HLOOKUP("In Use MiB",'vInfo (Imported)'!$1:$5000,M603,FALSE)</f>
        <v>0</v>
      </c>
    </row>
    <row r="604" spans="1:22" ht="13" x14ac:dyDescent="0.3">
      <c r="A604" s="46">
        <f>'vHosts (Imported)'!A604</f>
        <v>0</v>
      </c>
      <c r="B604" s="51">
        <f t="shared" si="27"/>
        <v>4968</v>
      </c>
      <c r="C604" s="49">
        <f>HLOOKUP("# Cores",'vHosts (Imported)'!$1:$5000,M604,FALSE)</f>
        <v>0</v>
      </c>
      <c r="D604" s="52">
        <f>HLOOKUP("# Memory",'vHosts (Imported)'!$1:$5000,M604,FALSE)</f>
        <v>0</v>
      </c>
      <c r="M604" s="45">
        <f t="shared" si="29"/>
        <v>604</v>
      </c>
      <c r="N604" s="38">
        <f>HLOOKUP("Host",'vInfo (Imported)'!$1:$5000,M604,FALSE)</f>
        <v>0</v>
      </c>
      <c r="R604">
        <f>HLOOKUP("CPUs",'vInfo (Imported)'!$1:$5000,M604,FALSE)</f>
        <v>0</v>
      </c>
      <c r="S604">
        <f>HLOOKUP("Memory",'vInfo (Imported)'!$1:$5000,M604,FALSE)</f>
        <v>0</v>
      </c>
      <c r="T604">
        <f>HLOOKUP("Provisioned MiB",'vInfo (Imported)'!$1:$5000,M604,FALSE)</f>
        <v>0</v>
      </c>
      <c r="U604">
        <f t="shared" si="28"/>
        <v>0</v>
      </c>
      <c r="V604">
        <f>HLOOKUP("In Use MiB",'vInfo (Imported)'!$1:$5000,M604,FALSE)</f>
        <v>0</v>
      </c>
    </row>
    <row r="605" spans="1:22" ht="13" x14ac:dyDescent="0.3">
      <c r="A605" s="46">
        <f>'vHosts (Imported)'!A605</f>
        <v>0</v>
      </c>
      <c r="B605" s="51">
        <f t="shared" si="27"/>
        <v>4968</v>
      </c>
      <c r="C605" s="49">
        <f>HLOOKUP("# Cores",'vHosts (Imported)'!$1:$5000,M605,FALSE)</f>
        <v>0</v>
      </c>
      <c r="D605" s="52">
        <f>HLOOKUP("# Memory",'vHosts (Imported)'!$1:$5000,M605,FALSE)</f>
        <v>0</v>
      </c>
      <c r="M605" s="45">
        <f t="shared" si="29"/>
        <v>605</v>
      </c>
      <c r="N605" s="38">
        <f>HLOOKUP("Host",'vInfo (Imported)'!$1:$5000,M605,FALSE)</f>
        <v>0</v>
      </c>
      <c r="R605">
        <f>HLOOKUP("CPUs",'vInfo (Imported)'!$1:$5000,M605,FALSE)</f>
        <v>0</v>
      </c>
      <c r="S605">
        <f>HLOOKUP("Memory",'vInfo (Imported)'!$1:$5000,M605,FALSE)</f>
        <v>0</v>
      </c>
      <c r="T605">
        <f>HLOOKUP("Provisioned MiB",'vInfo (Imported)'!$1:$5000,M605,FALSE)</f>
        <v>0</v>
      </c>
      <c r="U605">
        <f t="shared" si="28"/>
        <v>0</v>
      </c>
      <c r="V605">
        <f>HLOOKUP("In Use MiB",'vInfo (Imported)'!$1:$5000,M605,FALSE)</f>
        <v>0</v>
      </c>
    </row>
    <row r="606" spans="1:22" ht="13" x14ac:dyDescent="0.3">
      <c r="A606" s="46">
        <f>'vHosts (Imported)'!A606</f>
        <v>0</v>
      </c>
      <c r="B606" s="51">
        <f t="shared" si="27"/>
        <v>4968</v>
      </c>
      <c r="C606" s="49">
        <f>HLOOKUP("# Cores",'vHosts (Imported)'!$1:$5000,M606,FALSE)</f>
        <v>0</v>
      </c>
      <c r="D606" s="52">
        <f>HLOOKUP("# Memory",'vHosts (Imported)'!$1:$5000,M606,FALSE)</f>
        <v>0</v>
      </c>
      <c r="M606" s="45">
        <f t="shared" si="29"/>
        <v>606</v>
      </c>
      <c r="N606" s="38">
        <f>HLOOKUP("Host",'vInfo (Imported)'!$1:$5000,M606,FALSE)</f>
        <v>0</v>
      </c>
      <c r="R606">
        <f>HLOOKUP("CPUs",'vInfo (Imported)'!$1:$5000,M606,FALSE)</f>
        <v>0</v>
      </c>
      <c r="S606">
        <f>HLOOKUP("Memory",'vInfo (Imported)'!$1:$5000,M606,FALSE)</f>
        <v>0</v>
      </c>
      <c r="T606">
        <f>HLOOKUP("Provisioned MiB",'vInfo (Imported)'!$1:$5000,M606,FALSE)</f>
        <v>0</v>
      </c>
      <c r="U606">
        <f t="shared" si="28"/>
        <v>0</v>
      </c>
      <c r="V606">
        <f>HLOOKUP("In Use MiB",'vInfo (Imported)'!$1:$5000,M606,FALSE)</f>
        <v>0</v>
      </c>
    </row>
    <row r="607" spans="1:22" ht="13" x14ac:dyDescent="0.3">
      <c r="A607" s="46">
        <f>'vHosts (Imported)'!A607</f>
        <v>0</v>
      </c>
      <c r="B607" s="51">
        <f t="shared" si="27"/>
        <v>4968</v>
      </c>
      <c r="C607" s="49">
        <f>HLOOKUP("# Cores",'vHosts (Imported)'!$1:$5000,M607,FALSE)</f>
        <v>0</v>
      </c>
      <c r="D607" s="52">
        <f>HLOOKUP("# Memory",'vHosts (Imported)'!$1:$5000,M607,FALSE)</f>
        <v>0</v>
      </c>
      <c r="M607" s="45">
        <f t="shared" si="29"/>
        <v>607</v>
      </c>
      <c r="N607" s="38">
        <f>HLOOKUP("Host",'vInfo (Imported)'!$1:$5000,M607,FALSE)</f>
        <v>0</v>
      </c>
      <c r="R607">
        <f>HLOOKUP("CPUs",'vInfo (Imported)'!$1:$5000,M607,FALSE)</f>
        <v>0</v>
      </c>
      <c r="S607">
        <f>HLOOKUP("Memory",'vInfo (Imported)'!$1:$5000,M607,FALSE)</f>
        <v>0</v>
      </c>
      <c r="T607">
        <f>HLOOKUP("Provisioned MiB",'vInfo (Imported)'!$1:$5000,M607,FALSE)</f>
        <v>0</v>
      </c>
      <c r="U607">
        <f t="shared" si="28"/>
        <v>0</v>
      </c>
      <c r="V607">
        <f>HLOOKUP("In Use MiB",'vInfo (Imported)'!$1:$5000,M607,FALSE)</f>
        <v>0</v>
      </c>
    </row>
    <row r="608" spans="1:22" ht="13" x14ac:dyDescent="0.3">
      <c r="A608" s="46">
        <f>'vHosts (Imported)'!A608</f>
        <v>0</v>
      </c>
      <c r="B608" s="51">
        <f t="shared" si="27"/>
        <v>4968</v>
      </c>
      <c r="C608" s="49">
        <f>HLOOKUP("# Cores",'vHosts (Imported)'!$1:$5000,M608,FALSE)</f>
        <v>0</v>
      </c>
      <c r="D608" s="52">
        <f>HLOOKUP("# Memory",'vHosts (Imported)'!$1:$5000,M608,FALSE)</f>
        <v>0</v>
      </c>
      <c r="M608" s="45">
        <f t="shared" si="29"/>
        <v>608</v>
      </c>
      <c r="N608" s="38">
        <f>HLOOKUP("Host",'vInfo (Imported)'!$1:$5000,M608,FALSE)</f>
        <v>0</v>
      </c>
      <c r="R608">
        <f>HLOOKUP("CPUs",'vInfo (Imported)'!$1:$5000,M608,FALSE)</f>
        <v>0</v>
      </c>
      <c r="S608">
        <f>HLOOKUP("Memory",'vInfo (Imported)'!$1:$5000,M608,FALSE)</f>
        <v>0</v>
      </c>
      <c r="T608">
        <f>HLOOKUP("Provisioned MiB",'vInfo (Imported)'!$1:$5000,M608,FALSE)</f>
        <v>0</v>
      </c>
      <c r="U608">
        <f t="shared" si="28"/>
        <v>0</v>
      </c>
      <c r="V608">
        <f>HLOOKUP("In Use MiB",'vInfo (Imported)'!$1:$5000,M608,FALSE)</f>
        <v>0</v>
      </c>
    </row>
    <row r="609" spans="1:22" ht="13" x14ac:dyDescent="0.3">
      <c r="A609" s="46">
        <f>'vHosts (Imported)'!A609</f>
        <v>0</v>
      </c>
      <c r="B609" s="51">
        <f t="shared" si="27"/>
        <v>4968</v>
      </c>
      <c r="C609" s="49">
        <f>HLOOKUP("# Cores",'vHosts (Imported)'!$1:$5000,M609,FALSE)</f>
        <v>0</v>
      </c>
      <c r="D609" s="52">
        <f>HLOOKUP("# Memory",'vHosts (Imported)'!$1:$5000,M609,FALSE)</f>
        <v>0</v>
      </c>
      <c r="M609" s="45">
        <f t="shared" si="29"/>
        <v>609</v>
      </c>
      <c r="N609" s="38">
        <f>HLOOKUP("Host",'vInfo (Imported)'!$1:$5000,M609,FALSE)</f>
        <v>0</v>
      </c>
      <c r="R609">
        <f>HLOOKUP("CPUs",'vInfo (Imported)'!$1:$5000,M609,FALSE)</f>
        <v>0</v>
      </c>
      <c r="S609">
        <f>HLOOKUP("Memory",'vInfo (Imported)'!$1:$5000,M609,FALSE)</f>
        <v>0</v>
      </c>
      <c r="T609">
        <f>HLOOKUP("Provisioned MiB",'vInfo (Imported)'!$1:$5000,M609,FALSE)</f>
        <v>0</v>
      </c>
      <c r="U609">
        <f t="shared" si="28"/>
        <v>0</v>
      </c>
      <c r="V609">
        <f>HLOOKUP("In Use MiB",'vInfo (Imported)'!$1:$5000,M609,FALSE)</f>
        <v>0</v>
      </c>
    </row>
    <row r="610" spans="1:22" ht="13" x14ac:dyDescent="0.3">
      <c r="A610" s="46">
        <f>'vHosts (Imported)'!A610</f>
        <v>0</v>
      </c>
      <c r="B610" s="51">
        <f t="shared" si="27"/>
        <v>4968</v>
      </c>
      <c r="C610" s="49">
        <f>HLOOKUP("# Cores",'vHosts (Imported)'!$1:$5000,M610,FALSE)</f>
        <v>0</v>
      </c>
      <c r="D610" s="52">
        <f>HLOOKUP("# Memory",'vHosts (Imported)'!$1:$5000,M610,FALSE)</f>
        <v>0</v>
      </c>
      <c r="M610" s="45">
        <f t="shared" si="29"/>
        <v>610</v>
      </c>
      <c r="N610" s="38">
        <f>HLOOKUP("Host",'vInfo (Imported)'!$1:$5000,M610,FALSE)</f>
        <v>0</v>
      </c>
      <c r="R610">
        <f>HLOOKUP("CPUs",'vInfo (Imported)'!$1:$5000,M610,FALSE)</f>
        <v>0</v>
      </c>
      <c r="S610">
        <f>HLOOKUP("Memory",'vInfo (Imported)'!$1:$5000,M610,FALSE)</f>
        <v>0</v>
      </c>
      <c r="T610">
        <f>HLOOKUP("Provisioned MiB",'vInfo (Imported)'!$1:$5000,M610,FALSE)</f>
        <v>0</v>
      </c>
      <c r="U610">
        <f t="shared" si="28"/>
        <v>0</v>
      </c>
      <c r="V610">
        <f>HLOOKUP("In Use MiB",'vInfo (Imported)'!$1:$5000,M610,FALSE)</f>
        <v>0</v>
      </c>
    </row>
    <row r="611" spans="1:22" ht="13" x14ac:dyDescent="0.3">
      <c r="A611" s="46">
        <f>'vHosts (Imported)'!A611</f>
        <v>0</v>
      </c>
      <c r="B611" s="51">
        <f t="shared" si="27"/>
        <v>4968</v>
      </c>
      <c r="C611" s="49">
        <f>HLOOKUP("# Cores",'vHosts (Imported)'!$1:$5000,M611,FALSE)</f>
        <v>0</v>
      </c>
      <c r="D611" s="52">
        <f>HLOOKUP("# Memory",'vHosts (Imported)'!$1:$5000,M611,FALSE)</f>
        <v>0</v>
      </c>
      <c r="M611" s="45">
        <f t="shared" si="29"/>
        <v>611</v>
      </c>
      <c r="N611" s="38">
        <f>HLOOKUP("Host",'vInfo (Imported)'!$1:$5000,M611,FALSE)</f>
        <v>0</v>
      </c>
      <c r="R611">
        <f>HLOOKUP("CPUs",'vInfo (Imported)'!$1:$5000,M611,FALSE)</f>
        <v>0</v>
      </c>
      <c r="S611">
        <f>HLOOKUP("Memory",'vInfo (Imported)'!$1:$5000,M611,FALSE)</f>
        <v>0</v>
      </c>
      <c r="T611">
        <f>HLOOKUP("Provisioned MiB",'vInfo (Imported)'!$1:$5000,M611,FALSE)</f>
        <v>0</v>
      </c>
      <c r="U611">
        <f t="shared" si="28"/>
        <v>0</v>
      </c>
      <c r="V611">
        <f>HLOOKUP("In Use MiB",'vInfo (Imported)'!$1:$5000,M611,FALSE)</f>
        <v>0</v>
      </c>
    </row>
    <row r="612" spans="1:22" ht="13" x14ac:dyDescent="0.3">
      <c r="A612" s="46">
        <f>'vHosts (Imported)'!A612</f>
        <v>0</v>
      </c>
      <c r="B612" s="51">
        <f t="shared" si="27"/>
        <v>4968</v>
      </c>
      <c r="C612" s="49">
        <f>HLOOKUP("# Cores",'vHosts (Imported)'!$1:$5000,M612,FALSE)</f>
        <v>0</v>
      </c>
      <c r="D612" s="52">
        <f>HLOOKUP("# Memory",'vHosts (Imported)'!$1:$5000,M612,FALSE)</f>
        <v>0</v>
      </c>
      <c r="M612" s="45">
        <f t="shared" si="29"/>
        <v>612</v>
      </c>
      <c r="N612" s="38">
        <f>HLOOKUP("Host",'vInfo (Imported)'!$1:$5000,M612,FALSE)</f>
        <v>0</v>
      </c>
      <c r="R612">
        <f>HLOOKUP("CPUs",'vInfo (Imported)'!$1:$5000,M612,FALSE)</f>
        <v>0</v>
      </c>
      <c r="S612">
        <f>HLOOKUP("Memory",'vInfo (Imported)'!$1:$5000,M612,FALSE)</f>
        <v>0</v>
      </c>
      <c r="T612">
        <f>HLOOKUP("Provisioned MiB",'vInfo (Imported)'!$1:$5000,M612,FALSE)</f>
        <v>0</v>
      </c>
      <c r="U612">
        <f t="shared" si="28"/>
        <v>0</v>
      </c>
      <c r="V612">
        <f>HLOOKUP("In Use MiB",'vInfo (Imported)'!$1:$5000,M612,FALSE)</f>
        <v>0</v>
      </c>
    </row>
    <row r="613" spans="1:22" ht="13" x14ac:dyDescent="0.3">
      <c r="A613" s="46">
        <f>'vHosts (Imported)'!A613</f>
        <v>0</v>
      </c>
      <c r="B613" s="51">
        <f t="shared" si="27"/>
        <v>4968</v>
      </c>
      <c r="C613" s="49">
        <f>HLOOKUP("# Cores",'vHosts (Imported)'!$1:$5000,M613,FALSE)</f>
        <v>0</v>
      </c>
      <c r="D613" s="52">
        <f>HLOOKUP("# Memory",'vHosts (Imported)'!$1:$5000,M613,FALSE)</f>
        <v>0</v>
      </c>
      <c r="M613" s="45">
        <f t="shared" si="29"/>
        <v>613</v>
      </c>
      <c r="N613" s="38">
        <f>HLOOKUP("Host",'vInfo (Imported)'!$1:$5000,M613,FALSE)</f>
        <v>0</v>
      </c>
      <c r="R613">
        <f>HLOOKUP("CPUs",'vInfo (Imported)'!$1:$5000,M613,FALSE)</f>
        <v>0</v>
      </c>
      <c r="S613">
        <f>HLOOKUP("Memory",'vInfo (Imported)'!$1:$5000,M613,FALSE)</f>
        <v>0</v>
      </c>
      <c r="T613">
        <f>HLOOKUP("Provisioned MiB",'vInfo (Imported)'!$1:$5000,M613,FALSE)</f>
        <v>0</v>
      </c>
      <c r="U613">
        <f t="shared" si="28"/>
        <v>0</v>
      </c>
      <c r="V613">
        <f>HLOOKUP("In Use MiB",'vInfo (Imported)'!$1:$5000,M613,FALSE)</f>
        <v>0</v>
      </c>
    </row>
    <row r="614" spans="1:22" ht="13" x14ac:dyDescent="0.3">
      <c r="A614" s="46">
        <f>'vHosts (Imported)'!A614</f>
        <v>0</v>
      </c>
      <c r="B614" s="51">
        <f t="shared" si="27"/>
        <v>4968</v>
      </c>
      <c r="C614" s="49">
        <f>HLOOKUP("# Cores",'vHosts (Imported)'!$1:$5000,M614,FALSE)</f>
        <v>0</v>
      </c>
      <c r="D614" s="52">
        <f>HLOOKUP("# Memory",'vHosts (Imported)'!$1:$5000,M614,FALSE)</f>
        <v>0</v>
      </c>
      <c r="M614" s="45">
        <f t="shared" si="29"/>
        <v>614</v>
      </c>
      <c r="N614" s="38">
        <f>HLOOKUP("Host",'vInfo (Imported)'!$1:$5000,M614,FALSE)</f>
        <v>0</v>
      </c>
      <c r="R614">
        <f>HLOOKUP("CPUs",'vInfo (Imported)'!$1:$5000,M614,FALSE)</f>
        <v>0</v>
      </c>
      <c r="S614">
        <f>HLOOKUP("Memory",'vInfo (Imported)'!$1:$5000,M614,FALSE)</f>
        <v>0</v>
      </c>
      <c r="T614">
        <f>HLOOKUP("Provisioned MiB",'vInfo (Imported)'!$1:$5000,M614,FALSE)</f>
        <v>0</v>
      </c>
      <c r="U614">
        <f t="shared" si="28"/>
        <v>0</v>
      </c>
      <c r="V614">
        <f>HLOOKUP("In Use MiB",'vInfo (Imported)'!$1:$5000,M614,FALSE)</f>
        <v>0</v>
      </c>
    </row>
    <row r="615" spans="1:22" ht="13" x14ac:dyDescent="0.3">
      <c r="A615" s="46">
        <f>'vHosts (Imported)'!A615</f>
        <v>0</v>
      </c>
      <c r="B615" s="51">
        <f t="shared" si="27"/>
        <v>4968</v>
      </c>
      <c r="C615" s="49">
        <f>HLOOKUP("# Cores",'vHosts (Imported)'!$1:$5000,M615,FALSE)</f>
        <v>0</v>
      </c>
      <c r="D615" s="52">
        <f>HLOOKUP("# Memory",'vHosts (Imported)'!$1:$5000,M615,FALSE)</f>
        <v>0</v>
      </c>
      <c r="M615" s="45">
        <f t="shared" si="29"/>
        <v>615</v>
      </c>
      <c r="N615" s="38">
        <f>HLOOKUP("Host",'vInfo (Imported)'!$1:$5000,M615,FALSE)</f>
        <v>0</v>
      </c>
      <c r="R615">
        <f>HLOOKUP("CPUs",'vInfo (Imported)'!$1:$5000,M615,FALSE)</f>
        <v>0</v>
      </c>
      <c r="S615">
        <f>HLOOKUP("Memory",'vInfo (Imported)'!$1:$5000,M615,FALSE)</f>
        <v>0</v>
      </c>
      <c r="T615">
        <f>HLOOKUP("Provisioned MiB",'vInfo (Imported)'!$1:$5000,M615,FALSE)</f>
        <v>0</v>
      </c>
      <c r="U615">
        <f t="shared" si="28"/>
        <v>0</v>
      </c>
      <c r="V615">
        <f>HLOOKUP("In Use MiB",'vInfo (Imported)'!$1:$5000,M615,FALSE)</f>
        <v>0</v>
      </c>
    </row>
    <row r="616" spans="1:22" ht="13" x14ac:dyDescent="0.3">
      <c r="A616" s="46">
        <f>'vHosts (Imported)'!A616</f>
        <v>0</v>
      </c>
      <c r="B616" s="51">
        <f t="shared" si="27"/>
        <v>4968</v>
      </c>
      <c r="C616" s="49">
        <f>HLOOKUP("# Cores",'vHosts (Imported)'!$1:$5000,M616,FALSE)</f>
        <v>0</v>
      </c>
      <c r="D616" s="52">
        <f>HLOOKUP("# Memory",'vHosts (Imported)'!$1:$5000,M616,FALSE)</f>
        <v>0</v>
      </c>
      <c r="M616" s="45">
        <f t="shared" si="29"/>
        <v>616</v>
      </c>
      <c r="N616" s="38">
        <f>HLOOKUP("Host",'vInfo (Imported)'!$1:$5000,M616,FALSE)</f>
        <v>0</v>
      </c>
      <c r="R616">
        <f>HLOOKUP("CPUs",'vInfo (Imported)'!$1:$5000,M616,FALSE)</f>
        <v>0</v>
      </c>
      <c r="S616">
        <f>HLOOKUP("Memory",'vInfo (Imported)'!$1:$5000,M616,FALSE)</f>
        <v>0</v>
      </c>
      <c r="T616">
        <f>HLOOKUP("Provisioned MiB",'vInfo (Imported)'!$1:$5000,M616,FALSE)</f>
        <v>0</v>
      </c>
      <c r="U616">
        <f t="shared" si="28"/>
        <v>0</v>
      </c>
      <c r="V616">
        <f>HLOOKUP("In Use MiB",'vInfo (Imported)'!$1:$5000,M616,FALSE)</f>
        <v>0</v>
      </c>
    </row>
    <row r="617" spans="1:22" ht="13" x14ac:dyDescent="0.3">
      <c r="A617" s="46">
        <f>'vHosts (Imported)'!A617</f>
        <v>0</v>
      </c>
      <c r="B617" s="51">
        <f t="shared" si="27"/>
        <v>4968</v>
      </c>
      <c r="C617" s="49">
        <f>HLOOKUP("# Cores",'vHosts (Imported)'!$1:$5000,M617,FALSE)</f>
        <v>0</v>
      </c>
      <c r="D617" s="52">
        <f>HLOOKUP("# Memory",'vHosts (Imported)'!$1:$5000,M617,FALSE)</f>
        <v>0</v>
      </c>
      <c r="M617" s="45">
        <f t="shared" si="29"/>
        <v>617</v>
      </c>
      <c r="N617" s="38">
        <f>HLOOKUP("Host",'vInfo (Imported)'!$1:$5000,M617,FALSE)</f>
        <v>0</v>
      </c>
      <c r="R617">
        <f>HLOOKUP("CPUs",'vInfo (Imported)'!$1:$5000,M617,FALSE)</f>
        <v>0</v>
      </c>
      <c r="S617">
        <f>HLOOKUP("Memory",'vInfo (Imported)'!$1:$5000,M617,FALSE)</f>
        <v>0</v>
      </c>
      <c r="T617">
        <f>HLOOKUP("Provisioned MiB",'vInfo (Imported)'!$1:$5000,M617,FALSE)</f>
        <v>0</v>
      </c>
      <c r="U617">
        <f t="shared" si="28"/>
        <v>0</v>
      </c>
      <c r="V617">
        <f>HLOOKUP("In Use MiB",'vInfo (Imported)'!$1:$5000,M617,FALSE)</f>
        <v>0</v>
      </c>
    </row>
    <row r="618" spans="1:22" ht="13" x14ac:dyDescent="0.3">
      <c r="A618" s="46">
        <f>'vHosts (Imported)'!A618</f>
        <v>0</v>
      </c>
      <c r="B618" s="51">
        <f t="shared" si="27"/>
        <v>4968</v>
      </c>
      <c r="C618" s="49">
        <f>HLOOKUP("# Cores",'vHosts (Imported)'!$1:$5000,M618,FALSE)</f>
        <v>0</v>
      </c>
      <c r="D618" s="52">
        <f>HLOOKUP("# Memory",'vHosts (Imported)'!$1:$5000,M618,FALSE)</f>
        <v>0</v>
      </c>
      <c r="M618" s="45">
        <f t="shared" si="29"/>
        <v>618</v>
      </c>
      <c r="N618" s="38">
        <f>HLOOKUP("Host",'vInfo (Imported)'!$1:$5000,M618,FALSE)</f>
        <v>0</v>
      </c>
      <c r="R618">
        <f>HLOOKUP("CPUs",'vInfo (Imported)'!$1:$5000,M618,FALSE)</f>
        <v>0</v>
      </c>
      <c r="S618">
        <f>HLOOKUP("Memory",'vInfo (Imported)'!$1:$5000,M618,FALSE)</f>
        <v>0</v>
      </c>
      <c r="T618">
        <f>HLOOKUP("Provisioned MiB",'vInfo (Imported)'!$1:$5000,M618,FALSE)</f>
        <v>0</v>
      </c>
      <c r="U618">
        <f t="shared" si="28"/>
        <v>0</v>
      </c>
      <c r="V618">
        <f>HLOOKUP("In Use MiB",'vInfo (Imported)'!$1:$5000,M618,FALSE)</f>
        <v>0</v>
      </c>
    </row>
    <row r="619" spans="1:22" ht="13" x14ac:dyDescent="0.3">
      <c r="A619" s="46">
        <f>'vHosts (Imported)'!A619</f>
        <v>0</v>
      </c>
      <c r="B619" s="51">
        <f t="shared" si="27"/>
        <v>4968</v>
      </c>
      <c r="C619" s="49">
        <f>HLOOKUP("# Cores",'vHosts (Imported)'!$1:$5000,M619,FALSE)</f>
        <v>0</v>
      </c>
      <c r="D619" s="52">
        <f>HLOOKUP("# Memory",'vHosts (Imported)'!$1:$5000,M619,FALSE)</f>
        <v>0</v>
      </c>
      <c r="M619" s="45">
        <f t="shared" si="29"/>
        <v>619</v>
      </c>
      <c r="N619" s="38">
        <f>HLOOKUP("Host",'vInfo (Imported)'!$1:$5000,M619,FALSE)</f>
        <v>0</v>
      </c>
      <c r="R619">
        <f>HLOOKUP("CPUs",'vInfo (Imported)'!$1:$5000,M619,FALSE)</f>
        <v>0</v>
      </c>
      <c r="S619">
        <f>HLOOKUP("Memory",'vInfo (Imported)'!$1:$5000,M619,FALSE)</f>
        <v>0</v>
      </c>
      <c r="T619">
        <f>HLOOKUP("Provisioned MiB",'vInfo (Imported)'!$1:$5000,M619,FALSE)</f>
        <v>0</v>
      </c>
      <c r="U619">
        <f t="shared" si="28"/>
        <v>0</v>
      </c>
      <c r="V619">
        <f>HLOOKUP("In Use MiB",'vInfo (Imported)'!$1:$5000,M619,FALSE)</f>
        <v>0</v>
      </c>
    </row>
    <row r="620" spans="1:22" ht="13" x14ac:dyDescent="0.3">
      <c r="A620" s="46">
        <f>'vHosts (Imported)'!A620</f>
        <v>0</v>
      </c>
      <c r="B620" s="51">
        <f t="shared" si="27"/>
        <v>4968</v>
      </c>
      <c r="C620" s="49">
        <f>HLOOKUP("# Cores",'vHosts (Imported)'!$1:$5000,M620,FALSE)</f>
        <v>0</v>
      </c>
      <c r="D620" s="52">
        <f>HLOOKUP("# Memory",'vHosts (Imported)'!$1:$5000,M620,FALSE)</f>
        <v>0</v>
      </c>
      <c r="M620" s="45">
        <f t="shared" si="29"/>
        <v>620</v>
      </c>
      <c r="N620" s="38">
        <f>HLOOKUP("Host",'vInfo (Imported)'!$1:$5000,M620,FALSE)</f>
        <v>0</v>
      </c>
      <c r="R620">
        <f>HLOOKUP("CPUs",'vInfo (Imported)'!$1:$5000,M620,FALSE)</f>
        <v>0</v>
      </c>
      <c r="S620">
        <f>HLOOKUP("Memory",'vInfo (Imported)'!$1:$5000,M620,FALSE)</f>
        <v>0</v>
      </c>
      <c r="T620">
        <f>HLOOKUP("Provisioned MiB",'vInfo (Imported)'!$1:$5000,M620,FALSE)</f>
        <v>0</v>
      </c>
      <c r="U620">
        <f t="shared" si="28"/>
        <v>0</v>
      </c>
      <c r="V620">
        <f>HLOOKUP("In Use MiB",'vInfo (Imported)'!$1:$5000,M620,FALSE)</f>
        <v>0</v>
      </c>
    </row>
    <row r="621" spans="1:22" ht="13" x14ac:dyDescent="0.3">
      <c r="A621" s="46">
        <f>'vHosts (Imported)'!A621</f>
        <v>0</v>
      </c>
      <c r="B621" s="51">
        <f t="shared" si="27"/>
        <v>4968</v>
      </c>
      <c r="C621" s="49">
        <f>HLOOKUP("# Cores",'vHosts (Imported)'!$1:$5000,M621,FALSE)</f>
        <v>0</v>
      </c>
      <c r="D621" s="52">
        <f>HLOOKUP("# Memory",'vHosts (Imported)'!$1:$5000,M621,FALSE)</f>
        <v>0</v>
      </c>
      <c r="M621" s="45">
        <f t="shared" si="29"/>
        <v>621</v>
      </c>
      <c r="N621" s="38">
        <f>HLOOKUP("Host",'vInfo (Imported)'!$1:$5000,M621,FALSE)</f>
        <v>0</v>
      </c>
      <c r="R621">
        <f>HLOOKUP("CPUs",'vInfo (Imported)'!$1:$5000,M621,FALSE)</f>
        <v>0</v>
      </c>
      <c r="S621">
        <f>HLOOKUP("Memory",'vInfo (Imported)'!$1:$5000,M621,FALSE)</f>
        <v>0</v>
      </c>
      <c r="T621">
        <f>HLOOKUP("Provisioned MiB",'vInfo (Imported)'!$1:$5000,M621,FALSE)</f>
        <v>0</v>
      </c>
      <c r="U621">
        <f t="shared" si="28"/>
        <v>0</v>
      </c>
      <c r="V621">
        <f>HLOOKUP("In Use MiB",'vInfo (Imported)'!$1:$5000,M621,FALSE)</f>
        <v>0</v>
      </c>
    </row>
    <row r="622" spans="1:22" ht="13" x14ac:dyDescent="0.3">
      <c r="A622" s="46">
        <f>'vHosts (Imported)'!A622</f>
        <v>0</v>
      </c>
      <c r="B622" s="51">
        <f t="shared" si="27"/>
        <v>4968</v>
      </c>
      <c r="C622" s="49">
        <f>HLOOKUP("# Cores",'vHosts (Imported)'!$1:$5000,M622,FALSE)</f>
        <v>0</v>
      </c>
      <c r="D622" s="52">
        <f>HLOOKUP("# Memory",'vHosts (Imported)'!$1:$5000,M622,FALSE)</f>
        <v>0</v>
      </c>
      <c r="M622" s="45">
        <f t="shared" si="29"/>
        <v>622</v>
      </c>
      <c r="N622" s="38">
        <f>HLOOKUP("Host",'vInfo (Imported)'!$1:$5000,M622,FALSE)</f>
        <v>0</v>
      </c>
      <c r="R622">
        <f>HLOOKUP("CPUs",'vInfo (Imported)'!$1:$5000,M622,FALSE)</f>
        <v>0</v>
      </c>
      <c r="S622">
        <f>HLOOKUP("Memory",'vInfo (Imported)'!$1:$5000,M622,FALSE)</f>
        <v>0</v>
      </c>
      <c r="T622">
        <f>HLOOKUP("Provisioned MiB",'vInfo (Imported)'!$1:$5000,M622,FALSE)</f>
        <v>0</v>
      </c>
      <c r="U622">
        <f t="shared" si="28"/>
        <v>0</v>
      </c>
      <c r="V622">
        <f>HLOOKUP("In Use MiB",'vInfo (Imported)'!$1:$5000,M622,FALSE)</f>
        <v>0</v>
      </c>
    </row>
    <row r="623" spans="1:22" ht="13" x14ac:dyDescent="0.3">
      <c r="A623" s="46">
        <f>'vHosts (Imported)'!A623</f>
        <v>0</v>
      </c>
      <c r="B623" s="51">
        <f t="shared" si="27"/>
        <v>4968</v>
      </c>
      <c r="C623" s="49">
        <f>HLOOKUP("# Cores",'vHosts (Imported)'!$1:$5000,M623,FALSE)</f>
        <v>0</v>
      </c>
      <c r="D623" s="52">
        <f>HLOOKUP("# Memory",'vHosts (Imported)'!$1:$5000,M623,FALSE)</f>
        <v>0</v>
      </c>
      <c r="M623" s="45">
        <f t="shared" si="29"/>
        <v>623</v>
      </c>
      <c r="N623" s="38">
        <f>HLOOKUP("Host",'vInfo (Imported)'!$1:$5000,M623,FALSE)</f>
        <v>0</v>
      </c>
      <c r="R623">
        <f>HLOOKUP("CPUs",'vInfo (Imported)'!$1:$5000,M623,FALSE)</f>
        <v>0</v>
      </c>
      <c r="S623">
        <f>HLOOKUP("Memory",'vInfo (Imported)'!$1:$5000,M623,FALSE)</f>
        <v>0</v>
      </c>
      <c r="T623">
        <f>HLOOKUP("Provisioned MiB",'vInfo (Imported)'!$1:$5000,M623,FALSE)</f>
        <v>0</v>
      </c>
      <c r="U623">
        <f t="shared" si="28"/>
        <v>0</v>
      </c>
      <c r="V623">
        <f>HLOOKUP("In Use MiB",'vInfo (Imported)'!$1:$5000,M623,FALSE)</f>
        <v>0</v>
      </c>
    </row>
    <row r="624" spans="1:22" ht="13" x14ac:dyDescent="0.3">
      <c r="A624" s="46">
        <f>'vHosts (Imported)'!A624</f>
        <v>0</v>
      </c>
      <c r="B624" s="51">
        <f t="shared" si="27"/>
        <v>4968</v>
      </c>
      <c r="C624" s="49">
        <f>HLOOKUP("# Cores",'vHosts (Imported)'!$1:$5000,M624,FALSE)</f>
        <v>0</v>
      </c>
      <c r="D624" s="52">
        <f>HLOOKUP("# Memory",'vHosts (Imported)'!$1:$5000,M624,FALSE)</f>
        <v>0</v>
      </c>
      <c r="M624" s="45">
        <f t="shared" si="29"/>
        <v>624</v>
      </c>
      <c r="N624" s="38">
        <f>HLOOKUP("Host",'vInfo (Imported)'!$1:$5000,M624,FALSE)</f>
        <v>0</v>
      </c>
      <c r="R624">
        <f>HLOOKUP("CPUs",'vInfo (Imported)'!$1:$5000,M624,FALSE)</f>
        <v>0</v>
      </c>
      <c r="S624">
        <f>HLOOKUP("Memory",'vInfo (Imported)'!$1:$5000,M624,FALSE)</f>
        <v>0</v>
      </c>
      <c r="T624">
        <f>HLOOKUP("Provisioned MiB",'vInfo (Imported)'!$1:$5000,M624,FALSE)</f>
        <v>0</v>
      </c>
      <c r="U624">
        <f t="shared" si="28"/>
        <v>0</v>
      </c>
      <c r="V624">
        <f>HLOOKUP("In Use MiB",'vInfo (Imported)'!$1:$5000,M624,FALSE)</f>
        <v>0</v>
      </c>
    </row>
    <row r="625" spans="1:22" ht="13" x14ac:dyDescent="0.3">
      <c r="A625" s="46">
        <f>'vHosts (Imported)'!A625</f>
        <v>0</v>
      </c>
      <c r="B625" s="51">
        <f t="shared" si="27"/>
        <v>4968</v>
      </c>
      <c r="C625" s="49">
        <f>HLOOKUP("# Cores",'vHosts (Imported)'!$1:$5000,M625,FALSE)</f>
        <v>0</v>
      </c>
      <c r="D625" s="52">
        <f>HLOOKUP("# Memory",'vHosts (Imported)'!$1:$5000,M625,FALSE)</f>
        <v>0</v>
      </c>
      <c r="M625" s="45">
        <f t="shared" si="29"/>
        <v>625</v>
      </c>
      <c r="N625" s="38">
        <f>HLOOKUP("Host",'vInfo (Imported)'!$1:$5000,M625,FALSE)</f>
        <v>0</v>
      </c>
      <c r="R625">
        <f>HLOOKUP("CPUs",'vInfo (Imported)'!$1:$5000,M625,FALSE)</f>
        <v>0</v>
      </c>
      <c r="S625">
        <f>HLOOKUP("Memory",'vInfo (Imported)'!$1:$5000,M625,FALSE)</f>
        <v>0</v>
      </c>
      <c r="T625">
        <f>HLOOKUP("Provisioned MiB",'vInfo (Imported)'!$1:$5000,M625,FALSE)</f>
        <v>0</v>
      </c>
      <c r="U625">
        <f t="shared" si="28"/>
        <v>0</v>
      </c>
      <c r="V625">
        <f>HLOOKUP("In Use MiB",'vInfo (Imported)'!$1:$5000,M625,FALSE)</f>
        <v>0</v>
      </c>
    </row>
    <row r="626" spans="1:22" ht="13" x14ac:dyDescent="0.3">
      <c r="A626" s="46">
        <f>'vHosts (Imported)'!A626</f>
        <v>0</v>
      </c>
      <c r="B626" s="51">
        <f t="shared" si="27"/>
        <v>4968</v>
      </c>
      <c r="C626" s="49">
        <f>HLOOKUP("# Cores",'vHosts (Imported)'!$1:$5000,M626,FALSE)</f>
        <v>0</v>
      </c>
      <c r="D626" s="52">
        <f>HLOOKUP("# Memory",'vHosts (Imported)'!$1:$5000,M626,FALSE)</f>
        <v>0</v>
      </c>
      <c r="M626" s="45">
        <f t="shared" si="29"/>
        <v>626</v>
      </c>
      <c r="N626" s="38">
        <f>HLOOKUP("Host",'vInfo (Imported)'!$1:$5000,M626,FALSE)</f>
        <v>0</v>
      </c>
      <c r="R626">
        <f>HLOOKUP("CPUs",'vInfo (Imported)'!$1:$5000,M626,FALSE)</f>
        <v>0</v>
      </c>
      <c r="S626">
        <f>HLOOKUP("Memory",'vInfo (Imported)'!$1:$5000,M626,FALSE)</f>
        <v>0</v>
      </c>
      <c r="T626">
        <f>HLOOKUP("Provisioned MiB",'vInfo (Imported)'!$1:$5000,M626,FALSE)</f>
        <v>0</v>
      </c>
      <c r="U626">
        <f t="shared" si="28"/>
        <v>0</v>
      </c>
      <c r="V626">
        <f>HLOOKUP("In Use MiB",'vInfo (Imported)'!$1:$5000,M626,FALSE)</f>
        <v>0</v>
      </c>
    </row>
    <row r="627" spans="1:22" ht="13" x14ac:dyDescent="0.3">
      <c r="A627" s="46">
        <f>'vHosts (Imported)'!A627</f>
        <v>0</v>
      </c>
      <c r="B627" s="51">
        <f t="shared" si="27"/>
        <v>4968</v>
      </c>
      <c r="C627" s="49">
        <f>HLOOKUP("# Cores",'vHosts (Imported)'!$1:$5000,M627,FALSE)</f>
        <v>0</v>
      </c>
      <c r="D627" s="52">
        <f>HLOOKUP("# Memory",'vHosts (Imported)'!$1:$5000,M627,FALSE)</f>
        <v>0</v>
      </c>
      <c r="M627" s="45">
        <f t="shared" si="29"/>
        <v>627</v>
      </c>
      <c r="N627" s="38">
        <f>HLOOKUP("Host",'vInfo (Imported)'!$1:$5000,M627,FALSE)</f>
        <v>0</v>
      </c>
      <c r="R627">
        <f>HLOOKUP("CPUs",'vInfo (Imported)'!$1:$5000,M627,FALSE)</f>
        <v>0</v>
      </c>
      <c r="S627">
        <f>HLOOKUP("Memory",'vInfo (Imported)'!$1:$5000,M627,FALSE)</f>
        <v>0</v>
      </c>
      <c r="T627">
        <f>HLOOKUP("Provisioned MiB",'vInfo (Imported)'!$1:$5000,M627,FALSE)</f>
        <v>0</v>
      </c>
      <c r="U627">
        <f t="shared" si="28"/>
        <v>0</v>
      </c>
      <c r="V627">
        <f>HLOOKUP("In Use MiB",'vInfo (Imported)'!$1:$5000,M627,FALSE)</f>
        <v>0</v>
      </c>
    </row>
    <row r="628" spans="1:22" ht="13" x14ac:dyDescent="0.3">
      <c r="A628" s="46">
        <f>'vHosts (Imported)'!A628</f>
        <v>0</v>
      </c>
      <c r="B628" s="51">
        <f t="shared" si="27"/>
        <v>4968</v>
      </c>
      <c r="C628" s="49">
        <f>HLOOKUP("# Cores",'vHosts (Imported)'!$1:$5000,M628,FALSE)</f>
        <v>0</v>
      </c>
      <c r="D628" s="52">
        <f>HLOOKUP("# Memory",'vHosts (Imported)'!$1:$5000,M628,FALSE)</f>
        <v>0</v>
      </c>
      <c r="M628" s="45">
        <f t="shared" si="29"/>
        <v>628</v>
      </c>
      <c r="N628" s="38">
        <f>HLOOKUP("Host",'vInfo (Imported)'!$1:$5000,M628,FALSE)</f>
        <v>0</v>
      </c>
      <c r="R628">
        <f>HLOOKUP("CPUs",'vInfo (Imported)'!$1:$5000,M628,FALSE)</f>
        <v>0</v>
      </c>
      <c r="S628">
        <f>HLOOKUP("Memory",'vInfo (Imported)'!$1:$5000,M628,FALSE)</f>
        <v>0</v>
      </c>
      <c r="T628">
        <f>HLOOKUP("Provisioned MiB",'vInfo (Imported)'!$1:$5000,M628,FALSE)</f>
        <v>0</v>
      </c>
      <c r="U628">
        <f t="shared" si="28"/>
        <v>0</v>
      </c>
      <c r="V628">
        <f>HLOOKUP("In Use MiB",'vInfo (Imported)'!$1:$5000,M628,FALSE)</f>
        <v>0</v>
      </c>
    </row>
    <row r="629" spans="1:22" ht="13" x14ac:dyDescent="0.3">
      <c r="A629" s="46">
        <f>'vHosts (Imported)'!A629</f>
        <v>0</v>
      </c>
      <c r="B629" s="51">
        <f t="shared" si="27"/>
        <v>4968</v>
      </c>
      <c r="C629" s="49">
        <f>HLOOKUP("# Cores",'vHosts (Imported)'!$1:$5000,M629,FALSE)</f>
        <v>0</v>
      </c>
      <c r="D629" s="52">
        <f>HLOOKUP("# Memory",'vHosts (Imported)'!$1:$5000,M629,FALSE)</f>
        <v>0</v>
      </c>
      <c r="M629" s="45">
        <f t="shared" si="29"/>
        <v>629</v>
      </c>
      <c r="N629" s="38">
        <f>HLOOKUP("Host",'vInfo (Imported)'!$1:$5000,M629,FALSE)</f>
        <v>0</v>
      </c>
      <c r="R629">
        <f>HLOOKUP("CPUs",'vInfo (Imported)'!$1:$5000,M629,FALSE)</f>
        <v>0</v>
      </c>
      <c r="S629">
        <f>HLOOKUP("Memory",'vInfo (Imported)'!$1:$5000,M629,FALSE)</f>
        <v>0</v>
      </c>
      <c r="T629">
        <f>HLOOKUP("Provisioned MiB",'vInfo (Imported)'!$1:$5000,M629,FALSE)</f>
        <v>0</v>
      </c>
      <c r="U629">
        <f t="shared" si="28"/>
        <v>0</v>
      </c>
      <c r="V629">
        <f>HLOOKUP("In Use MiB",'vInfo (Imported)'!$1:$5000,M629,FALSE)</f>
        <v>0</v>
      </c>
    </row>
    <row r="630" spans="1:22" ht="13" x14ac:dyDescent="0.3">
      <c r="A630" s="46">
        <f>'vHosts (Imported)'!A630</f>
        <v>0</v>
      </c>
      <c r="B630" s="51">
        <f t="shared" si="27"/>
        <v>4968</v>
      </c>
      <c r="C630" s="49">
        <f>HLOOKUP("# Cores",'vHosts (Imported)'!$1:$5000,M630,FALSE)</f>
        <v>0</v>
      </c>
      <c r="D630" s="52">
        <f>HLOOKUP("# Memory",'vHosts (Imported)'!$1:$5000,M630,FALSE)</f>
        <v>0</v>
      </c>
      <c r="M630" s="45">
        <f t="shared" si="29"/>
        <v>630</v>
      </c>
      <c r="N630" s="38">
        <f>HLOOKUP("Host",'vInfo (Imported)'!$1:$5000,M630,FALSE)</f>
        <v>0</v>
      </c>
      <c r="R630">
        <f>HLOOKUP("CPUs",'vInfo (Imported)'!$1:$5000,M630,FALSE)</f>
        <v>0</v>
      </c>
      <c r="S630">
        <f>HLOOKUP("Memory",'vInfo (Imported)'!$1:$5000,M630,FALSE)</f>
        <v>0</v>
      </c>
      <c r="T630">
        <f>HLOOKUP("Provisioned MiB",'vInfo (Imported)'!$1:$5000,M630,FALSE)</f>
        <v>0</v>
      </c>
      <c r="U630">
        <f t="shared" si="28"/>
        <v>0</v>
      </c>
      <c r="V630">
        <f>HLOOKUP("In Use MiB",'vInfo (Imported)'!$1:$5000,M630,FALSE)</f>
        <v>0</v>
      </c>
    </row>
    <row r="631" spans="1:22" ht="13" x14ac:dyDescent="0.3">
      <c r="A631" s="46">
        <f>'vHosts (Imported)'!A631</f>
        <v>0</v>
      </c>
      <c r="B631" s="51">
        <f t="shared" si="27"/>
        <v>4968</v>
      </c>
      <c r="C631" s="49">
        <f>HLOOKUP("# Cores",'vHosts (Imported)'!$1:$5000,M631,FALSE)</f>
        <v>0</v>
      </c>
      <c r="D631" s="52">
        <f>HLOOKUP("# Memory",'vHosts (Imported)'!$1:$5000,M631,FALSE)</f>
        <v>0</v>
      </c>
      <c r="M631" s="45">
        <f t="shared" si="29"/>
        <v>631</v>
      </c>
      <c r="N631" s="38">
        <f>HLOOKUP("Host",'vInfo (Imported)'!$1:$5000,M631,FALSE)</f>
        <v>0</v>
      </c>
      <c r="R631">
        <f>HLOOKUP("CPUs",'vInfo (Imported)'!$1:$5000,M631,FALSE)</f>
        <v>0</v>
      </c>
      <c r="S631">
        <f>HLOOKUP("Memory",'vInfo (Imported)'!$1:$5000,M631,FALSE)</f>
        <v>0</v>
      </c>
      <c r="T631">
        <f>HLOOKUP("Provisioned MiB",'vInfo (Imported)'!$1:$5000,M631,FALSE)</f>
        <v>0</v>
      </c>
      <c r="U631">
        <f t="shared" si="28"/>
        <v>0</v>
      </c>
      <c r="V631">
        <f>HLOOKUP("In Use MiB",'vInfo (Imported)'!$1:$5000,M631,FALSE)</f>
        <v>0</v>
      </c>
    </row>
    <row r="632" spans="1:22" ht="13" x14ac:dyDescent="0.3">
      <c r="A632" s="46">
        <f>'vHosts (Imported)'!A632</f>
        <v>0</v>
      </c>
      <c r="B632" s="51">
        <f t="shared" si="27"/>
        <v>4968</v>
      </c>
      <c r="C632" s="49">
        <f>HLOOKUP("# Cores",'vHosts (Imported)'!$1:$5000,M632,FALSE)</f>
        <v>0</v>
      </c>
      <c r="D632" s="52">
        <f>HLOOKUP("# Memory",'vHosts (Imported)'!$1:$5000,M632,FALSE)</f>
        <v>0</v>
      </c>
      <c r="M632" s="45">
        <f t="shared" si="29"/>
        <v>632</v>
      </c>
      <c r="N632" s="38">
        <f>HLOOKUP("Host",'vInfo (Imported)'!$1:$5000,M632,FALSE)</f>
        <v>0</v>
      </c>
      <c r="R632">
        <f>HLOOKUP("CPUs",'vInfo (Imported)'!$1:$5000,M632,FALSE)</f>
        <v>0</v>
      </c>
      <c r="S632">
        <f>HLOOKUP("Memory",'vInfo (Imported)'!$1:$5000,M632,FALSE)</f>
        <v>0</v>
      </c>
      <c r="T632">
        <f>HLOOKUP("Provisioned MiB",'vInfo (Imported)'!$1:$5000,M632,FALSE)</f>
        <v>0</v>
      </c>
      <c r="U632">
        <f t="shared" si="28"/>
        <v>0</v>
      </c>
      <c r="V632">
        <f>HLOOKUP("In Use MiB",'vInfo (Imported)'!$1:$5000,M632,FALSE)</f>
        <v>0</v>
      </c>
    </row>
    <row r="633" spans="1:22" ht="13" x14ac:dyDescent="0.3">
      <c r="A633" s="46">
        <f>'vHosts (Imported)'!A633</f>
        <v>0</v>
      </c>
      <c r="B633" s="51">
        <f t="shared" si="27"/>
        <v>4968</v>
      </c>
      <c r="C633" s="49">
        <f>HLOOKUP("# Cores",'vHosts (Imported)'!$1:$5000,M633,FALSE)</f>
        <v>0</v>
      </c>
      <c r="D633" s="52">
        <f>HLOOKUP("# Memory",'vHosts (Imported)'!$1:$5000,M633,FALSE)</f>
        <v>0</v>
      </c>
      <c r="M633" s="45">
        <f t="shared" si="29"/>
        <v>633</v>
      </c>
      <c r="N633" s="38">
        <f>HLOOKUP("Host",'vInfo (Imported)'!$1:$5000,M633,FALSE)</f>
        <v>0</v>
      </c>
      <c r="R633">
        <f>HLOOKUP("CPUs",'vInfo (Imported)'!$1:$5000,M633,FALSE)</f>
        <v>0</v>
      </c>
      <c r="S633">
        <f>HLOOKUP("Memory",'vInfo (Imported)'!$1:$5000,M633,FALSE)</f>
        <v>0</v>
      </c>
      <c r="T633">
        <f>HLOOKUP("Provisioned MiB",'vInfo (Imported)'!$1:$5000,M633,FALSE)</f>
        <v>0</v>
      </c>
      <c r="U633">
        <f t="shared" si="28"/>
        <v>0</v>
      </c>
      <c r="V633">
        <f>HLOOKUP("In Use MiB",'vInfo (Imported)'!$1:$5000,M633,FALSE)</f>
        <v>0</v>
      </c>
    </row>
    <row r="634" spans="1:22" ht="13" x14ac:dyDescent="0.3">
      <c r="A634" s="46">
        <f>'vHosts (Imported)'!A634</f>
        <v>0</v>
      </c>
      <c r="B634" s="51">
        <f t="shared" si="27"/>
        <v>4968</v>
      </c>
      <c r="C634" s="49">
        <f>HLOOKUP("# Cores",'vHosts (Imported)'!$1:$5000,M634,FALSE)</f>
        <v>0</v>
      </c>
      <c r="D634" s="52">
        <f>HLOOKUP("# Memory",'vHosts (Imported)'!$1:$5000,M634,FALSE)</f>
        <v>0</v>
      </c>
      <c r="M634" s="45">
        <f t="shared" si="29"/>
        <v>634</v>
      </c>
      <c r="N634" s="38">
        <f>HLOOKUP("Host",'vInfo (Imported)'!$1:$5000,M634,FALSE)</f>
        <v>0</v>
      </c>
      <c r="R634">
        <f>HLOOKUP("CPUs",'vInfo (Imported)'!$1:$5000,M634,FALSE)</f>
        <v>0</v>
      </c>
      <c r="S634">
        <f>HLOOKUP("Memory",'vInfo (Imported)'!$1:$5000,M634,FALSE)</f>
        <v>0</v>
      </c>
      <c r="T634">
        <f>HLOOKUP("Provisioned MiB",'vInfo (Imported)'!$1:$5000,M634,FALSE)</f>
        <v>0</v>
      </c>
      <c r="U634">
        <f t="shared" si="28"/>
        <v>0</v>
      </c>
      <c r="V634">
        <f>HLOOKUP("In Use MiB",'vInfo (Imported)'!$1:$5000,M634,FALSE)</f>
        <v>0</v>
      </c>
    </row>
    <row r="635" spans="1:22" ht="13" x14ac:dyDescent="0.3">
      <c r="A635" s="46">
        <f>'vHosts (Imported)'!A635</f>
        <v>0</v>
      </c>
      <c r="B635" s="51">
        <f t="shared" si="27"/>
        <v>4968</v>
      </c>
      <c r="C635" s="49">
        <f>HLOOKUP("# Cores",'vHosts (Imported)'!$1:$5000,M635,FALSE)</f>
        <v>0</v>
      </c>
      <c r="D635" s="52">
        <f>HLOOKUP("# Memory",'vHosts (Imported)'!$1:$5000,M635,FALSE)</f>
        <v>0</v>
      </c>
      <c r="M635" s="45">
        <f t="shared" si="29"/>
        <v>635</v>
      </c>
      <c r="N635" s="38">
        <f>HLOOKUP("Host",'vInfo (Imported)'!$1:$5000,M635,FALSE)</f>
        <v>0</v>
      </c>
      <c r="R635">
        <f>HLOOKUP("CPUs",'vInfo (Imported)'!$1:$5000,M635,FALSE)</f>
        <v>0</v>
      </c>
      <c r="S635">
        <f>HLOOKUP("Memory",'vInfo (Imported)'!$1:$5000,M635,FALSE)</f>
        <v>0</v>
      </c>
      <c r="T635">
        <f>HLOOKUP("Provisioned MiB",'vInfo (Imported)'!$1:$5000,M635,FALSE)</f>
        <v>0</v>
      </c>
      <c r="U635">
        <f t="shared" si="28"/>
        <v>0</v>
      </c>
      <c r="V635">
        <f>HLOOKUP("In Use MiB",'vInfo (Imported)'!$1:$5000,M635,FALSE)</f>
        <v>0</v>
      </c>
    </row>
    <row r="636" spans="1:22" ht="13" x14ac:dyDescent="0.3">
      <c r="A636" s="46">
        <f>'vHosts (Imported)'!A636</f>
        <v>0</v>
      </c>
      <c r="B636" s="51">
        <f t="shared" si="27"/>
        <v>4968</v>
      </c>
      <c r="C636" s="49">
        <f>HLOOKUP("# Cores",'vHosts (Imported)'!$1:$5000,M636,FALSE)</f>
        <v>0</v>
      </c>
      <c r="D636" s="52">
        <f>HLOOKUP("# Memory",'vHosts (Imported)'!$1:$5000,M636,FALSE)</f>
        <v>0</v>
      </c>
      <c r="M636" s="45">
        <f t="shared" si="29"/>
        <v>636</v>
      </c>
      <c r="N636" s="38">
        <f>HLOOKUP("Host",'vInfo (Imported)'!$1:$5000,M636,FALSE)</f>
        <v>0</v>
      </c>
      <c r="R636">
        <f>HLOOKUP("CPUs",'vInfo (Imported)'!$1:$5000,M636,FALSE)</f>
        <v>0</v>
      </c>
      <c r="S636">
        <f>HLOOKUP("Memory",'vInfo (Imported)'!$1:$5000,M636,FALSE)</f>
        <v>0</v>
      </c>
      <c r="T636">
        <f>HLOOKUP("Provisioned MiB",'vInfo (Imported)'!$1:$5000,M636,FALSE)</f>
        <v>0</v>
      </c>
      <c r="U636">
        <f t="shared" si="28"/>
        <v>0</v>
      </c>
      <c r="V636">
        <f>HLOOKUP("In Use MiB",'vInfo (Imported)'!$1:$5000,M636,FALSE)</f>
        <v>0</v>
      </c>
    </row>
    <row r="637" spans="1:22" ht="13" x14ac:dyDescent="0.3">
      <c r="A637" s="46">
        <f>'vHosts (Imported)'!A637</f>
        <v>0</v>
      </c>
      <c r="B637" s="51">
        <f t="shared" si="27"/>
        <v>4968</v>
      </c>
      <c r="C637" s="49">
        <f>HLOOKUP("# Cores",'vHosts (Imported)'!$1:$5000,M637,FALSE)</f>
        <v>0</v>
      </c>
      <c r="D637" s="52">
        <f>HLOOKUP("# Memory",'vHosts (Imported)'!$1:$5000,M637,FALSE)</f>
        <v>0</v>
      </c>
      <c r="M637" s="45">
        <f t="shared" si="29"/>
        <v>637</v>
      </c>
      <c r="N637" s="38">
        <f>HLOOKUP("Host",'vInfo (Imported)'!$1:$5000,M637,FALSE)</f>
        <v>0</v>
      </c>
      <c r="R637">
        <f>HLOOKUP("CPUs",'vInfo (Imported)'!$1:$5000,M637,FALSE)</f>
        <v>0</v>
      </c>
      <c r="S637">
        <f>HLOOKUP("Memory",'vInfo (Imported)'!$1:$5000,M637,FALSE)</f>
        <v>0</v>
      </c>
      <c r="T637">
        <f>HLOOKUP("Provisioned MiB",'vInfo (Imported)'!$1:$5000,M637,FALSE)</f>
        <v>0</v>
      </c>
      <c r="U637">
        <f t="shared" si="28"/>
        <v>0</v>
      </c>
      <c r="V637">
        <f>HLOOKUP("In Use MiB",'vInfo (Imported)'!$1:$5000,M637,FALSE)</f>
        <v>0</v>
      </c>
    </row>
    <row r="638" spans="1:22" ht="13" x14ac:dyDescent="0.3">
      <c r="A638" s="46">
        <f>'vHosts (Imported)'!A638</f>
        <v>0</v>
      </c>
      <c r="B638" s="51">
        <f t="shared" si="27"/>
        <v>4968</v>
      </c>
      <c r="C638" s="49">
        <f>HLOOKUP("# Cores",'vHosts (Imported)'!$1:$5000,M638,FALSE)</f>
        <v>0</v>
      </c>
      <c r="D638" s="52">
        <f>HLOOKUP("# Memory",'vHosts (Imported)'!$1:$5000,M638,FALSE)</f>
        <v>0</v>
      </c>
      <c r="M638" s="45">
        <f t="shared" si="29"/>
        <v>638</v>
      </c>
      <c r="N638" s="38">
        <f>HLOOKUP("Host",'vInfo (Imported)'!$1:$5000,M638,FALSE)</f>
        <v>0</v>
      </c>
      <c r="R638">
        <f>HLOOKUP("CPUs",'vInfo (Imported)'!$1:$5000,M638,FALSE)</f>
        <v>0</v>
      </c>
      <c r="S638">
        <f>HLOOKUP("Memory",'vInfo (Imported)'!$1:$5000,M638,FALSE)</f>
        <v>0</v>
      </c>
      <c r="T638">
        <f>HLOOKUP("Provisioned MiB",'vInfo (Imported)'!$1:$5000,M638,FALSE)</f>
        <v>0</v>
      </c>
      <c r="U638">
        <f t="shared" si="28"/>
        <v>0</v>
      </c>
      <c r="V638">
        <f>HLOOKUP("In Use MiB",'vInfo (Imported)'!$1:$5000,M638,FALSE)</f>
        <v>0</v>
      </c>
    </row>
    <row r="639" spans="1:22" ht="13" x14ac:dyDescent="0.3">
      <c r="A639" s="46">
        <f>'vHosts (Imported)'!A639</f>
        <v>0</v>
      </c>
      <c r="B639" s="51">
        <f t="shared" si="27"/>
        <v>4968</v>
      </c>
      <c r="C639" s="49">
        <f>HLOOKUP("# Cores",'vHosts (Imported)'!$1:$5000,M639,FALSE)</f>
        <v>0</v>
      </c>
      <c r="D639" s="52">
        <f>HLOOKUP("# Memory",'vHosts (Imported)'!$1:$5000,M639,FALSE)</f>
        <v>0</v>
      </c>
      <c r="M639" s="45">
        <f t="shared" si="29"/>
        <v>639</v>
      </c>
      <c r="N639" s="38">
        <f>HLOOKUP("Host",'vInfo (Imported)'!$1:$5000,M639,FALSE)</f>
        <v>0</v>
      </c>
      <c r="R639">
        <f>HLOOKUP("CPUs",'vInfo (Imported)'!$1:$5000,M639,FALSE)</f>
        <v>0</v>
      </c>
      <c r="S639">
        <f>HLOOKUP("Memory",'vInfo (Imported)'!$1:$5000,M639,FALSE)</f>
        <v>0</v>
      </c>
      <c r="T639">
        <f>HLOOKUP("Provisioned MiB",'vInfo (Imported)'!$1:$5000,M639,FALSE)</f>
        <v>0</v>
      </c>
      <c r="U639">
        <f t="shared" si="28"/>
        <v>0</v>
      </c>
      <c r="V639">
        <f>HLOOKUP("In Use MiB",'vInfo (Imported)'!$1:$5000,M639,FALSE)</f>
        <v>0</v>
      </c>
    </row>
    <row r="640" spans="1:22" ht="13" x14ac:dyDescent="0.3">
      <c r="A640" s="46">
        <f>'vHosts (Imported)'!A640</f>
        <v>0</v>
      </c>
      <c r="B640" s="51">
        <f t="shared" si="27"/>
        <v>4968</v>
      </c>
      <c r="C640" s="49">
        <f>HLOOKUP("# Cores",'vHosts (Imported)'!$1:$5000,M640,FALSE)</f>
        <v>0</v>
      </c>
      <c r="D640" s="52">
        <f>HLOOKUP("# Memory",'vHosts (Imported)'!$1:$5000,M640,FALSE)</f>
        <v>0</v>
      </c>
      <c r="M640" s="45">
        <f t="shared" si="29"/>
        <v>640</v>
      </c>
      <c r="N640" s="38">
        <f>HLOOKUP("Host",'vInfo (Imported)'!$1:$5000,M640,FALSE)</f>
        <v>0</v>
      </c>
      <c r="R640">
        <f>HLOOKUP("CPUs",'vInfo (Imported)'!$1:$5000,M640,FALSE)</f>
        <v>0</v>
      </c>
      <c r="S640">
        <f>HLOOKUP("Memory",'vInfo (Imported)'!$1:$5000,M640,FALSE)</f>
        <v>0</v>
      </c>
      <c r="T640">
        <f>HLOOKUP("Provisioned MiB",'vInfo (Imported)'!$1:$5000,M640,FALSE)</f>
        <v>0</v>
      </c>
      <c r="U640">
        <f t="shared" si="28"/>
        <v>0</v>
      </c>
      <c r="V640">
        <f>HLOOKUP("In Use MiB",'vInfo (Imported)'!$1:$5000,M640,FALSE)</f>
        <v>0</v>
      </c>
    </row>
    <row r="641" spans="1:22" ht="13" x14ac:dyDescent="0.3">
      <c r="A641" s="46">
        <f>'vHosts (Imported)'!A641</f>
        <v>0</v>
      </c>
      <c r="B641" s="51">
        <f t="shared" si="27"/>
        <v>4968</v>
      </c>
      <c r="C641" s="49">
        <f>HLOOKUP("# Cores",'vHosts (Imported)'!$1:$5000,M641,FALSE)</f>
        <v>0</v>
      </c>
      <c r="D641" s="52">
        <f>HLOOKUP("# Memory",'vHosts (Imported)'!$1:$5000,M641,FALSE)</f>
        <v>0</v>
      </c>
      <c r="M641" s="45">
        <f t="shared" si="29"/>
        <v>641</v>
      </c>
      <c r="N641" s="38">
        <f>HLOOKUP("Host",'vInfo (Imported)'!$1:$5000,M641,FALSE)</f>
        <v>0</v>
      </c>
      <c r="R641">
        <f>HLOOKUP("CPUs",'vInfo (Imported)'!$1:$5000,M641,FALSE)</f>
        <v>0</v>
      </c>
      <c r="S641">
        <f>HLOOKUP("Memory",'vInfo (Imported)'!$1:$5000,M641,FALSE)</f>
        <v>0</v>
      </c>
      <c r="T641">
        <f>HLOOKUP("Provisioned MiB",'vInfo (Imported)'!$1:$5000,M641,FALSE)</f>
        <v>0</v>
      </c>
      <c r="U641">
        <f t="shared" si="28"/>
        <v>0</v>
      </c>
      <c r="V641">
        <f>HLOOKUP("In Use MiB",'vInfo (Imported)'!$1:$5000,M641,FALSE)</f>
        <v>0</v>
      </c>
    </row>
    <row r="642" spans="1:22" ht="13" x14ac:dyDescent="0.3">
      <c r="A642" s="46">
        <f>'vHosts (Imported)'!A642</f>
        <v>0</v>
      </c>
      <c r="B642" s="51">
        <f t="shared" ref="B642:B705" si="30">COUNTIFS(N:N,IF(A642=0,"0",A642))</f>
        <v>4968</v>
      </c>
      <c r="C642" s="49">
        <f>HLOOKUP("# Cores",'vHosts (Imported)'!$1:$5000,M642,FALSE)</f>
        <v>0</v>
      </c>
      <c r="D642" s="52">
        <f>HLOOKUP("# Memory",'vHosts (Imported)'!$1:$5000,M642,FALSE)</f>
        <v>0</v>
      </c>
      <c r="M642" s="45">
        <f t="shared" si="29"/>
        <v>642</v>
      </c>
      <c r="N642" s="38">
        <f>HLOOKUP("Host",'vInfo (Imported)'!$1:$5000,M642,FALSE)</f>
        <v>0</v>
      </c>
      <c r="R642">
        <f>HLOOKUP("CPUs",'vInfo (Imported)'!$1:$5000,M642,FALSE)</f>
        <v>0</v>
      </c>
      <c r="S642">
        <f>HLOOKUP("Memory",'vInfo (Imported)'!$1:$5000,M642,FALSE)</f>
        <v>0</v>
      </c>
      <c r="T642">
        <f>HLOOKUP("Provisioned MiB",'vInfo (Imported)'!$1:$5000,M642,FALSE)</f>
        <v>0</v>
      </c>
      <c r="U642">
        <f t="shared" si="28"/>
        <v>0</v>
      </c>
      <c r="V642">
        <f>HLOOKUP("In Use MiB",'vInfo (Imported)'!$1:$5000,M642,FALSE)</f>
        <v>0</v>
      </c>
    </row>
    <row r="643" spans="1:22" ht="13" x14ac:dyDescent="0.3">
      <c r="A643" s="46">
        <f>'vHosts (Imported)'!A643</f>
        <v>0</v>
      </c>
      <c r="B643" s="51">
        <f t="shared" si="30"/>
        <v>4968</v>
      </c>
      <c r="C643" s="49">
        <f>HLOOKUP("# Cores",'vHosts (Imported)'!$1:$5000,M643,FALSE)</f>
        <v>0</v>
      </c>
      <c r="D643" s="52">
        <f>HLOOKUP("# Memory",'vHosts (Imported)'!$1:$5000,M643,FALSE)</f>
        <v>0</v>
      </c>
      <c r="M643" s="45">
        <f t="shared" si="29"/>
        <v>643</v>
      </c>
      <c r="N643" s="38">
        <f>HLOOKUP("Host",'vInfo (Imported)'!$1:$5000,M643,FALSE)</f>
        <v>0</v>
      </c>
      <c r="R643">
        <f>HLOOKUP("CPUs",'vInfo (Imported)'!$1:$5000,M643,FALSE)</f>
        <v>0</v>
      </c>
      <c r="S643">
        <f>HLOOKUP("Memory",'vInfo (Imported)'!$1:$5000,M643,FALSE)</f>
        <v>0</v>
      </c>
      <c r="T643">
        <f>HLOOKUP("Provisioned MiB",'vInfo (Imported)'!$1:$5000,M643,FALSE)</f>
        <v>0</v>
      </c>
      <c r="U643">
        <f t="shared" ref="U643:U706" si="31">T643-V643</f>
        <v>0</v>
      </c>
      <c r="V643">
        <f>HLOOKUP("In Use MiB",'vInfo (Imported)'!$1:$5000,M643,FALSE)</f>
        <v>0</v>
      </c>
    </row>
    <row r="644" spans="1:22" ht="13" x14ac:dyDescent="0.3">
      <c r="A644" s="46">
        <f>'vHosts (Imported)'!A644</f>
        <v>0</v>
      </c>
      <c r="B644" s="51">
        <f t="shared" si="30"/>
        <v>4968</v>
      </c>
      <c r="C644" s="49">
        <f>HLOOKUP("# Cores",'vHosts (Imported)'!$1:$5000,M644,FALSE)</f>
        <v>0</v>
      </c>
      <c r="D644" s="52">
        <f>HLOOKUP("# Memory",'vHosts (Imported)'!$1:$5000,M644,FALSE)</f>
        <v>0</v>
      </c>
      <c r="M644" s="45">
        <f t="shared" ref="M644:M707" si="32">M643+1</f>
        <v>644</v>
      </c>
      <c r="N644" s="38">
        <f>HLOOKUP("Host",'vInfo (Imported)'!$1:$5000,M644,FALSE)</f>
        <v>0</v>
      </c>
      <c r="R644">
        <f>HLOOKUP("CPUs",'vInfo (Imported)'!$1:$5000,M644,FALSE)</f>
        <v>0</v>
      </c>
      <c r="S644">
        <f>HLOOKUP("Memory",'vInfo (Imported)'!$1:$5000,M644,FALSE)</f>
        <v>0</v>
      </c>
      <c r="T644">
        <f>HLOOKUP("Provisioned MiB",'vInfo (Imported)'!$1:$5000,M644,FALSE)</f>
        <v>0</v>
      </c>
      <c r="U644">
        <f t="shared" si="31"/>
        <v>0</v>
      </c>
      <c r="V644">
        <f>HLOOKUP("In Use MiB",'vInfo (Imported)'!$1:$5000,M644,FALSE)</f>
        <v>0</v>
      </c>
    </row>
    <row r="645" spans="1:22" ht="13" x14ac:dyDescent="0.3">
      <c r="A645" s="46">
        <f>'vHosts (Imported)'!A645</f>
        <v>0</v>
      </c>
      <c r="B645" s="51">
        <f t="shared" si="30"/>
        <v>4968</v>
      </c>
      <c r="C645" s="49">
        <f>HLOOKUP("# Cores",'vHosts (Imported)'!$1:$5000,M645,FALSE)</f>
        <v>0</v>
      </c>
      <c r="D645" s="52">
        <f>HLOOKUP("# Memory",'vHosts (Imported)'!$1:$5000,M645,FALSE)</f>
        <v>0</v>
      </c>
      <c r="M645" s="45">
        <f t="shared" si="32"/>
        <v>645</v>
      </c>
      <c r="N645" s="38">
        <f>HLOOKUP("Host",'vInfo (Imported)'!$1:$5000,M645,FALSE)</f>
        <v>0</v>
      </c>
      <c r="R645">
        <f>HLOOKUP("CPUs",'vInfo (Imported)'!$1:$5000,M645,FALSE)</f>
        <v>0</v>
      </c>
      <c r="S645">
        <f>HLOOKUP("Memory",'vInfo (Imported)'!$1:$5000,M645,FALSE)</f>
        <v>0</v>
      </c>
      <c r="T645">
        <f>HLOOKUP("Provisioned MiB",'vInfo (Imported)'!$1:$5000,M645,FALSE)</f>
        <v>0</v>
      </c>
      <c r="U645">
        <f t="shared" si="31"/>
        <v>0</v>
      </c>
      <c r="V645">
        <f>HLOOKUP("In Use MiB",'vInfo (Imported)'!$1:$5000,M645,FALSE)</f>
        <v>0</v>
      </c>
    </row>
    <row r="646" spans="1:22" ht="13" x14ac:dyDescent="0.3">
      <c r="A646" s="46">
        <f>'vHosts (Imported)'!A646</f>
        <v>0</v>
      </c>
      <c r="B646" s="51">
        <f t="shared" si="30"/>
        <v>4968</v>
      </c>
      <c r="C646" s="49">
        <f>HLOOKUP("# Cores",'vHosts (Imported)'!$1:$5000,M646,FALSE)</f>
        <v>0</v>
      </c>
      <c r="D646" s="52">
        <f>HLOOKUP("# Memory",'vHosts (Imported)'!$1:$5000,M646,FALSE)</f>
        <v>0</v>
      </c>
      <c r="M646" s="45">
        <f t="shared" si="32"/>
        <v>646</v>
      </c>
      <c r="N646" s="38">
        <f>HLOOKUP("Host",'vInfo (Imported)'!$1:$5000,M646,FALSE)</f>
        <v>0</v>
      </c>
      <c r="R646">
        <f>HLOOKUP("CPUs",'vInfo (Imported)'!$1:$5000,M646,FALSE)</f>
        <v>0</v>
      </c>
      <c r="S646">
        <f>HLOOKUP("Memory",'vInfo (Imported)'!$1:$5000,M646,FALSE)</f>
        <v>0</v>
      </c>
      <c r="T646">
        <f>HLOOKUP("Provisioned MiB",'vInfo (Imported)'!$1:$5000,M646,FALSE)</f>
        <v>0</v>
      </c>
      <c r="U646">
        <f t="shared" si="31"/>
        <v>0</v>
      </c>
      <c r="V646">
        <f>HLOOKUP("In Use MiB",'vInfo (Imported)'!$1:$5000,M646,FALSE)</f>
        <v>0</v>
      </c>
    </row>
    <row r="647" spans="1:22" ht="13" x14ac:dyDescent="0.3">
      <c r="A647" s="46">
        <f>'vHosts (Imported)'!A647</f>
        <v>0</v>
      </c>
      <c r="B647" s="51">
        <f t="shared" si="30"/>
        <v>4968</v>
      </c>
      <c r="C647" s="49">
        <f>HLOOKUP("# Cores",'vHosts (Imported)'!$1:$5000,M647,FALSE)</f>
        <v>0</v>
      </c>
      <c r="D647" s="52">
        <f>HLOOKUP("# Memory",'vHosts (Imported)'!$1:$5000,M647,FALSE)</f>
        <v>0</v>
      </c>
      <c r="M647" s="45">
        <f t="shared" si="32"/>
        <v>647</v>
      </c>
      <c r="N647" s="38">
        <f>HLOOKUP("Host",'vInfo (Imported)'!$1:$5000,M647,FALSE)</f>
        <v>0</v>
      </c>
      <c r="R647">
        <f>HLOOKUP("CPUs",'vInfo (Imported)'!$1:$5000,M647,FALSE)</f>
        <v>0</v>
      </c>
      <c r="S647">
        <f>HLOOKUP("Memory",'vInfo (Imported)'!$1:$5000,M647,FALSE)</f>
        <v>0</v>
      </c>
      <c r="T647">
        <f>HLOOKUP("Provisioned MiB",'vInfo (Imported)'!$1:$5000,M647,FALSE)</f>
        <v>0</v>
      </c>
      <c r="U647">
        <f t="shared" si="31"/>
        <v>0</v>
      </c>
      <c r="V647">
        <f>HLOOKUP("In Use MiB",'vInfo (Imported)'!$1:$5000,M647,FALSE)</f>
        <v>0</v>
      </c>
    </row>
    <row r="648" spans="1:22" ht="13" x14ac:dyDescent="0.3">
      <c r="A648" s="46">
        <f>'vHosts (Imported)'!A648</f>
        <v>0</v>
      </c>
      <c r="B648" s="51">
        <f t="shared" si="30"/>
        <v>4968</v>
      </c>
      <c r="C648" s="49">
        <f>HLOOKUP("# Cores",'vHosts (Imported)'!$1:$5000,M648,FALSE)</f>
        <v>0</v>
      </c>
      <c r="D648" s="52">
        <f>HLOOKUP("# Memory",'vHosts (Imported)'!$1:$5000,M648,FALSE)</f>
        <v>0</v>
      </c>
      <c r="M648" s="45">
        <f t="shared" si="32"/>
        <v>648</v>
      </c>
      <c r="N648" s="38">
        <f>HLOOKUP("Host",'vInfo (Imported)'!$1:$5000,M648,FALSE)</f>
        <v>0</v>
      </c>
      <c r="R648">
        <f>HLOOKUP("CPUs",'vInfo (Imported)'!$1:$5000,M648,FALSE)</f>
        <v>0</v>
      </c>
      <c r="S648">
        <f>HLOOKUP("Memory",'vInfo (Imported)'!$1:$5000,M648,FALSE)</f>
        <v>0</v>
      </c>
      <c r="T648">
        <f>HLOOKUP("Provisioned MiB",'vInfo (Imported)'!$1:$5000,M648,FALSE)</f>
        <v>0</v>
      </c>
      <c r="U648">
        <f t="shared" si="31"/>
        <v>0</v>
      </c>
      <c r="V648">
        <f>HLOOKUP("In Use MiB",'vInfo (Imported)'!$1:$5000,M648,FALSE)</f>
        <v>0</v>
      </c>
    </row>
    <row r="649" spans="1:22" ht="13" x14ac:dyDescent="0.3">
      <c r="A649" s="46">
        <f>'vHosts (Imported)'!A649</f>
        <v>0</v>
      </c>
      <c r="B649" s="51">
        <f t="shared" si="30"/>
        <v>4968</v>
      </c>
      <c r="C649" s="49">
        <f>HLOOKUP("# Cores",'vHosts (Imported)'!$1:$5000,M649,FALSE)</f>
        <v>0</v>
      </c>
      <c r="D649" s="52">
        <f>HLOOKUP("# Memory",'vHosts (Imported)'!$1:$5000,M649,FALSE)</f>
        <v>0</v>
      </c>
      <c r="M649" s="45">
        <f t="shared" si="32"/>
        <v>649</v>
      </c>
      <c r="N649" s="38">
        <f>HLOOKUP("Host",'vInfo (Imported)'!$1:$5000,M649,FALSE)</f>
        <v>0</v>
      </c>
      <c r="R649">
        <f>HLOOKUP("CPUs",'vInfo (Imported)'!$1:$5000,M649,FALSE)</f>
        <v>0</v>
      </c>
      <c r="S649">
        <f>HLOOKUP("Memory",'vInfo (Imported)'!$1:$5000,M649,FALSE)</f>
        <v>0</v>
      </c>
      <c r="T649">
        <f>HLOOKUP("Provisioned MiB",'vInfo (Imported)'!$1:$5000,M649,FALSE)</f>
        <v>0</v>
      </c>
      <c r="U649">
        <f t="shared" si="31"/>
        <v>0</v>
      </c>
      <c r="V649">
        <f>HLOOKUP("In Use MiB",'vInfo (Imported)'!$1:$5000,M649,FALSE)</f>
        <v>0</v>
      </c>
    </row>
    <row r="650" spans="1:22" ht="13" x14ac:dyDescent="0.3">
      <c r="A650" s="46">
        <f>'vHosts (Imported)'!A650</f>
        <v>0</v>
      </c>
      <c r="B650" s="51">
        <f t="shared" si="30"/>
        <v>4968</v>
      </c>
      <c r="C650" s="49">
        <f>HLOOKUP("# Cores",'vHosts (Imported)'!$1:$5000,M650,FALSE)</f>
        <v>0</v>
      </c>
      <c r="D650" s="52">
        <f>HLOOKUP("# Memory",'vHosts (Imported)'!$1:$5000,M650,FALSE)</f>
        <v>0</v>
      </c>
      <c r="M650" s="45">
        <f t="shared" si="32"/>
        <v>650</v>
      </c>
      <c r="N650" s="38">
        <f>HLOOKUP("Host",'vInfo (Imported)'!$1:$5000,M650,FALSE)</f>
        <v>0</v>
      </c>
      <c r="R650">
        <f>HLOOKUP("CPUs",'vInfo (Imported)'!$1:$5000,M650,FALSE)</f>
        <v>0</v>
      </c>
      <c r="S650">
        <f>HLOOKUP("Memory",'vInfo (Imported)'!$1:$5000,M650,FALSE)</f>
        <v>0</v>
      </c>
      <c r="T650">
        <f>HLOOKUP("Provisioned MiB",'vInfo (Imported)'!$1:$5000,M650,FALSE)</f>
        <v>0</v>
      </c>
      <c r="U650">
        <f t="shared" si="31"/>
        <v>0</v>
      </c>
      <c r="V650">
        <f>HLOOKUP("In Use MiB",'vInfo (Imported)'!$1:$5000,M650,FALSE)</f>
        <v>0</v>
      </c>
    </row>
    <row r="651" spans="1:22" ht="13" x14ac:dyDescent="0.3">
      <c r="A651" s="46">
        <f>'vHosts (Imported)'!A651</f>
        <v>0</v>
      </c>
      <c r="B651" s="51">
        <f t="shared" si="30"/>
        <v>4968</v>
      </c>
      <c r="C651" s="49">
        <f>HLOOKUP("# Cores",'vHosts (Imported)'!$1:$5000,M651,FALSE)</f>
        <v>0</v>
      </c>
      <c r="D651" s="52">
        <f>HLOOKUP("# Memory",'vHosts (Imported)'!$1:$5000,M651,FALSE)</f>
        <v>0</v>
      </c>
      <c r="M651" s="45">
        <f t="shared" si="32"/>
        <v>651</v>
      </c>
      <c r="N651" s="38">
        <f>HLOOKUP("Host",'vInfo (Imported)'!$1:$5000,M651,FALSE)</f>
        <v>0</v>
      </c>
      <c r="R651">
        <f>HLOOKUP("CPUs",'vInfo (Imported)'!$1:$5000,M651,FALSE)</f>
        <v>0</v>
      </c>
      <c r="S651">
        <f>HLOOKUP("Memory",'vInfo (Imported)'!$1:$5000,M651,FALSE)</f>
        <v>0</v>
      </c>
      <c r="T651">
        <f>HLOOKUP("Provisioned MiB",'vInfo (Imported)'!$1:$5000,M651,FALSE)</f>
        <v>0</v>
      </c>
      <c r="U651">
        <f t="shared" si="31"/>
        <v>0</v>
      </c>
      <c r="V651">
        <f>HLOOKUP("In Use MiB",'vInfo (Imported)'!$1:$5000,M651,FALSE)</f>
        <v>0</v>
      </c>
    </row>
    <row r="652" spans="1:22" ht="13" x14ac:dyDescent="0.3">
      <c r="A652" s="46">
        <f>'vHosts (Imported)'!A652</f>
        <v>0</v>
      </c>
      <c r="B652" s="51">
        <f t="shared" si="30"/>
        <v>4968</v>
      </c>
      <c r="C652" s="49">
        <f>HLOOKUP("# Cores",'vHosts (Imported)'!$1:$5000,M652,FALSE)</f>
        <v>0</v>
      </c>
      <c r="D652" s="52">
        <f>HLOOKUP("# Memory",'vHosts (Imported)'!$1:$5000,M652,FALSE)</f>
        <v>0</v>
      </c>
      <c r="M652" s="45">
        <f t="shared" si="32"/>
        <v>652</v>
      </c>
      <c r="N652" s="38">
        <f>HLOOKUP("Host",'vInfo (Imported)'!$1:$5000,M652,FALSE)</f>
        <v>0</v>
      </c>
      <c r="R652">
        <f>HLOOKUP("CPUs",'vInfo (Imported)'!$1:$5000,M652,FALSE)</f>
        <v>0</v>
      </c>
      <c r="S652">
        <f>HLOOKUP("Memory",'vInfo (Imported)'!$1:$5000,M652,FALSE)</f>
        <v>0</v>
      </c>
      <c r="T652">
        <f>HLOOKUP("Provisioned MiB",'vInfo (Imported)'!$1:$5000,M652,FALSE)</f>
        <v>0</v>
      </c>
      <c r="U652">
        <f t="shared" si="31"/>
        <v>0</v>
      </c>
      <c r="V652">
        <f>HLOOKUP("In Use MiB",'vInfo (Imported)'!$1:$5000,M652,FALSE)</f>
        <v>0</v>
      </c>
    </row>
    <row r="653" spans="1:22" ht="13" x14ac:dyDescent="0.3">
      <c r="A653" s="46">
        <f>'vHosts (Imported)'!A653</f>
        <v>0</v>
      </c>
      <c r="B653" s="51">
        <f t="shared" si="30"/>
        <v>4968</v>
      </c>
      <c r="C653" s="49">
        <f>HLOOKUP("# Cores",'vHosts (Imported)'!$1:$5000,M653,FALSE)</f>
        <v>0</v>
      </c>
      <c r="D653" s="52">
        <f>HLOOKUP("# Memory",'vHosts (Imported)'!$1:$5000,M653,FALSE)</f>
        <v>0</v>
      </c>
      <c r="M653" s="45">
        <f t="shared" si="32"/>
        <v>653</v>
      </c>
      <c r="N653" s="38">
        <f>HLOOKUP("Host",'vInfo (Imported)'!$1:$5000,M653,FALSE)</f>
        <v>0</v>
      </c>
      <c r="R653">
        <f>HLOOKUP("CPUs",'vInfo (Imported)'!$1:$5000,M653,FALSE)</f>
        <v>0</v>
      </c>
      <c r="S653">
        <f>HLOOKUP("Memory",'vInfo (Imported)'!$1:$5000,M653,FALSE)</f>
        <v>0</v>
      </c>
      <c r="T653">
        <f>HLOOKUP("Provisioned MiB",'vInfo (Imported)'!$1:$5000,M653,FALSE)</f>
        <v>0</v>
      </c>
      <c r="U653">
        <f t="shared" si="31"/>
        <v>0</v>
      </c>
      <c r="V653">
        <f>HLOOKUP("In Use MiB",'vInfo (Imported)'!$1:$5000,M653,FALSE)</f>
        <v>0</v>
      </c>
    </row>
    <row r="654" spans="1:22" ht="13" x14ac:dyDescent="0.3">
      <c r="A654" s="46">
        <f>'vHosts (Imported)'!A654</f>
        <v>0</v>
      </c>
      <c r="B654" s="51">
        <f t="shared" si="30"/>
        <v>4968</v>
      </c>
      <c r="C654" s="49">
        <f>HLOOKUP("# Cores",'vHosts (Imported)'!$1:$5000,M654,FALSE)</f>
        <v>0</v>
      </c>
      <c r="D654" s="52">
        <f>HLOOKUP("# Memory",'vHosts (Imported)'!$1:$5000,M654,FALSE)</f>
        <v>0</v>
      </c>
      <c r="M654" s="45">
        <f t="shared" si="32"/>
        <v>654</v>
      </c>
      <c r="N654" s="38">
        <f>HLOOKUP("Host",'vInfo (Imported)'!$1:$5000,M654,FALSE)</f>
        <v>0</v>
      </c>
      <c r="R654">
        <f>HLOOKUP("CPUs",'vInfo (Imported)'!$1:$5000,M654,FALSE)</f>
        <v>0</v>
      </c>
      <c r="S654">
        <f>HLOOKUP("Memory",'vInfo (Imported)'!$1:$5000,M654,FALSE)</f>
        <v>0</v>
      </c>
      <c r="T654">
        <f>HLOOKUP("Provisioned MiB",'vInfo (Imported)'!$1:$5000,M654,FALSE)</f>
        <v>0</v>
      </c>
      <c r="U654">
        <f t="shared" si="31"/>
        <v>0</v>
      </c>
      <c r="V654">
        <f>HLOOKUP("In Use MiB",'vInfo (Imported)'!$1:$5000,M654,FALSE)</f>
        <v>0</v>
      </c>
    </row>
    <row r="655" spans="1:22" ht="13" x14ac:dyDescent="0.3">
      <c r="A655" s="46">
        <f>'vHosts (Imported)'!A655</f>
        <v>0</v>
      </c>
      <c r="B655" s="51">
        <f t="shared" si="30"/>
        <v>4968</v>
      </c>
      <c r="C655" s="49">
        <f>HLOOKUP("# Cores",'vHosts (Imported)'!$1:$5000,M655,FALSE)</f>
        <v>0</v>
      </c>
      <c r="D655" s="52">
        <f>HLOOKUP("# Memory",'vHosts (Imported)'!$1:$5000,M655,FALSE)</f>
        <v>0</v>
      </c>
      <c r="M655" s="45">
        <f t="shared" si="32"/>
        <v>655</v>
      </c>
      <c r="N655" s="38">
        <f>HLOOKUP("Host",'vInfo (Imported)'!$1:$5000,M655,FALSE)</f>
        <v>0</v>
      </c>
      <c r="R655">
        <f>HLOOKUP("CPUs",'vInfo (Imported)'!$1:$5000,M655,FALSE)</f>
        <v>0</v>
      </c>
      <c r="S655">
        <f>HLOOKUP("Memory",'vInfo (Imported)'!$1:$5000,M655,FALSE)</f>
        <v>0</v>
      </c>
      <c r="T655">
        <f>HLOOKUP("Provisioned MiB",'vInfo (Imported)'!$1:$5000,M655,FALSE)</f>
        <v>0</v>
      </c>
      <c r="U655">
        <f t="shared" si="31"/>
        <v>0</v>
      </c>
      <c r="V655">
        <f>HLOOKUP("In Use MiB",'vInfo (Imported)'!$1:$5000,M655,FALSE)</f>
        <v>0</v>
      </c>
    </row>
    <row r="656" spans="1:22" ht="13" x14ac:dyDescent="0.3">
      <c r="A656" s="46">
        <f>'vHosts (Imported)'!A656</f>
        <v>0</v>
      </c>
      <c r="B656" s="51">
        <f t="shared" si="30"/>
        <v>4968</v>
      </c>
      <c r="C656" s="49">
        <f>HLOOKUP("# Cores",'vHosts (Imported)'!$1:$5000,M656,FALSE)</f>
        <v>0</v>
      </c>
      <c r="D656" s="52">
        <f>HLOOKUP("# Memory",'vHosts (Imported)'!$1:$5000,M656,FALSE)</f>
        <v>0</v>
      </c>
      <c r="M656" s="45">
        <f t="shared" si="32"/>
        <v>656</v>
      </c>
      <c r="N656" s="38">
        <f>HLOOKUP("Host",'vInfo (Imported)'!$1:$5000,M656,FALSE)</f>
        <v>0</v>
      </c>
      <c r="R656">
        <f>HLOOKUP("CPUs",'vInfo (Imported)'!$1:$5000,M656,FALSE)</f>
        <v>0</v>
      </c>
      <c r="S656">
        <f>HLOOKUP("Memory",'vInfo (Imported)'!$1:$5000,M656,FALSE)</f>
        <v>0</v>
      </c>
      <c r="T656">
        <f>HLOOKUP("Provisioned MiB",'vInfo (Imported)'!$1:$5000,M656,FALSE)</f>
        <v>0</v>
      </c>
      <c r="U656">
        <f t="shared" si="31"/>
        <v>0</v>
      </c>
      <c r="V656">
        <f>HLOOKUP("In Use MiB",'vInfo (Imported)'!$1:$5000,M656,FALSE)</f>
        <v>0</v>
      </c>
    </row>
    <row r="657" spans="1:22" ht="13" x14ac:dyDescent="0.3">
      <c r="A657" s="46">
        <f>'vHosts (Imported)'!A657</f>
        <v>0</v>
      </c>
      <c r="B657" s="51">
        <f t="shared" si="30"/>
        <v>4968</v>
      </c>
      <c r="C657" s="49">
        <f>HLOOKUP("# Cores",'vHosts (Imported)'!$1:$5000,M657,FALSE)</f>
        <v>0</v>
      </c>
      <c r="D657" s="52">
        <f>HLOOKUP("# Memory",'vHosts (Imported)'!$1:$5000,M657,FALSE)</f>
        <v>0</v>
      </c>
      <c r="M657" s="45">
        <f t="shared" si="32"/>
        <v>657</v>
      </c>
      <c r="N657" s="38">
        <f>HLOOKUP("Host",'vInfo (Imported)'!$1:$5000,M657,FALSE)</f>
        <v>0</v>
      </c>
      <c r="R657">
        <f>HLOOKUP("CPUs",'vInfo (Imported)'!$1:$5000,M657,FALSE)</f>
        <v>0</v>
      </c>
      <c r="S657">
        <f>HLOOKUP("Memory",'vInfo (Imported)'!$1:$5000,M657,FALSE)</f>
        <v>0</v>
      </c>
      <c r="T657">
        <f>HLOOKUP("Provisioned MiB",'vInfo (Imported)'!$1:$5000,M657,FALSE)</f>
        <v>0</v>
      </c>
      <c r="U657">
        <f t="shared" si="31"/>
        <v>0</v>
      </c>
      <c r="V657">
        <f>HLOOKUP("In Use MiB",'vInfo (Imported)'!$1:$5000,M657,FALSE)</f>
        <v>0</v>
      </c>
    </row>
    <row r="658" spans="1:22" ht="13" x14ac:dyDescent="0.3">
      <c r="A658" s="46">
        <f>'vHosts (Imported)'!A658</f>
        <v>0</v>
      </c>
      <c r="B658" s="51">
        <f t="shared" si="30"/>
        <v>4968</v>
      </c>
      <c r="C658" s="49">
        <f>HLOOKUP("# Cores",'vHosts (Imported)'!$1:$5000,M658,FALSE)</f>
        <v>0</v>
      </c>
      <c r="D658" s="52">
        <f>HLOOKUP("# Memory",'vHosts (Imported)'!$1:$5000,M658,FALSE)</f>
        <v>0</v>
      </c>
      <c r="M658" s="45">
        <f t="shared" si="32"/>
        <v>658</v>
      </c>
      <c r="N658" s="38">
        <f>HLOOKUP("Host",'vInfo (Imported)'!$1:$5000,M658,FALSE)</f>
        <v>0</v>
      </c>
      <c r="R658">
        <f>HLOOKUP("CPUs",'vInfo (Imported)'!$1:$5000,M658,FALSE)</f>
        <v>0</v>
      </c>
      <c r="S658">
        <f>HLOOKUP("Memory",'vInfo (Imported)'!$1:$5000,M658,FALSE)</f>
        <v>0</v>
      </c>
      <c r="T658">
        <f>HLOOKUP("Provisioned MiB",'vInfo (Imported)'!$1:$5000,M658,FALSE)</f>
        <v>0</v>
      </c>
      <c r="U658">
        <f t="shared" si="31"/>
        <v>0</v>
      </c>
      <c r="V658">
        <f>HLOOKUP("In Use MiB",'vInfo (Imported)'!$1:$5000,M658,FALSE)</f>
        <v>0</v>
      </c>
    </row>
    <row r="659" spans="1:22" ht="13" x14ac:dyDescent="0.3">
      <c r="A659" s="46">
        <f>'vHosts (Imported)'!A659</f>
        <v>0</v>
      </c>
      <c r="B659" s="51">
        <f t="shared" si="30"/>
        <v>4968</v>
      </c>
      <c r="C659" s="49">
        <f>HLOOKUP("# Cores",'vHosts (Imported)'!$1:$5000,M659,FALSE)</f>
        <v>0</v>
      </c>
      <c r="D659" s="52">
        <f>HLOOKUP("# Memory",'vHosts (Imported)'!$1:$5000,M659,FALSE)</f>
        <v>0</v>
      </c>
      <c r="M659" s="45">
        <f t="shared" si="32"/>
        <v>659</v>
      </c>
      <c r="N659" s="38">
        <f>HLOOKUP("Host",'vInfo (Imported)'!$1:$5000,M659,FALSE)</f>
        <v>0</v>
      </c>
      <c r="R659">
        <f>HLOOKUP("CPUs",'vInfo (Imported)'!$1:$5000,M659,FALSE)</f>
        <v>0</v>
      </c>
      <c r="S659">
        <f>HLOOKUP("Memory",'vInfo (Imported)'!$1:$5000,M659,FALSE)</f>
        <v>0</v>
      </c>
      <c r="T659">
        <f>HLOOKUP("Provisioned MiB",'vInfo (Imported)'!$1:$5000,M659,FALSE)</f>
        <v>0</v>
      </c>
      <c r="U659">
        <f t="shared" si="31"/>
        <v>0</v>
      </c>
      <c r="V659">
        <f>HLOOKUP("In Use MiB",'vInfo (Imported)'!$1:$5000,M659,FALSE)</f>
        <v>0</v>
      </c>
    </row>
    <row r="660" spans="1:22" ht="13" x14ac:dyDescent="0.3">
      <c r="A660" s="46">
        <f>'vHosts (Imported)'!A660</f>
        <v>0</v>
      </c>
      <c r="B660" s="51">
        <f t="shared" si="30"/>
        <v>4968</v>
      </c>
      <c r="C660" s="49">
        <f>HLOOKUP("# Cores",'vHosts (Imported)'!$1:$5000,M660,FALSE)</f>
        <v>0</v>
      </c>
      <c r="D660" s="52">
        <f>HLOOKUP("# Memory",'vHosts (Imported)'!$1:$5000,M660,FALSE)</f>
        <v>0</v>
      </c>
      <c r="M660" s="45">
        <f t="shared" si="32"/>
        <v>660</v>
      </c>
      <c r="N660" s="38">
        <f>HLOOKUP("Host",'vInfo (Imported)'!$1:$5000,M660,FALSE)</f>
        <v>0</v>
      </c>
      <c r="R660">
        <f>HLOOKUP("CPUs",'vInfo (Imported)'!$1:$5000,M660,FALSE)</f>
        <v>0</v>
      </c>
      <c r="S660">
        <f>HLOOKUP("Memory",'vInfo (Imported)'!$1:$5000,M660,FALSE)</f>
        <v>0</v>
      </c>
      <c r="T660">
        <f>HLOOKUP("Provisioned MiB",'vInfo (Imported)'!$1:$5000,M660,FALSE)</f>
        <v>0</v>
      </c>
      <c r="U660">
        <f t="shared" si="31"/>
        <v>0</v>
      </c>
      <c r="V660">
        <f>HLOOKUP("In Use MiB",'vInfo (Imported)'!$1:$5000,M660,FALSE)</f>
        <v>0</v>
      </c>
    </row>
    <row r="661" spans="1:22" ht="13" x14ac:dyDescent="0.3">
      <c r="A661" s="46">
        <f>'vHosts (Imported)'!A661</f>
        <v>0</v>
      </c>
      <c r="B661" s="51">
        <f t="shared" si="30"/>
        <v>4968</v>
      </c>
      <c r="C661" s="49">
        <f>HLOOKUP("# Cores",'vHosts (Imported)'!$1:$5000,M661,FALSE)</f>
        <v>0</v>
      </c>
      <c r="D661" s="52">
        <f>HLOOKUP("# Memory",'vHosts (Imported)'!$1:$5000,M661,FALSE)</f>
        <v>0</v>
      </c>
      <c r="M661" s="45">
        <f t="shared" si="32"/>
        <v>661</v>
      </c>
      <c r="N661" s="38">
        <f>HLOOKUP("Host",'vInfo (Imported)'!$1:$5000,M661,FALSE)</f>
        <v>0</v>
      </c>
      <c r="R661">
        <f>HLOOKUP("CPUs",'vInfo (Imported)'!$1:$5000,M661,FALSE)</f>
        <v>0</v>
      </c>
      <c r="S661">
        <f>HLOOKUP("Memory",'vInfo (Imported)'!$1:$5000,M661,FALSE)</f>
        <v>0</v>
      </c>
      <c r="T661">
        <f>HLOOKUP("Provisioned MiB",'vInfo (Imported)'!$1:$5000,M661,FALSE)</f>
        <v>0</v>
      </c>
      <c r="U661">
        <f t="shared" si="31"/>
        <v>0</v>
      </c>
      <c r="V661">
        <f>HLOOKUP("In Use MiB",'vInfo (Imported)'!$1:$5000,M661,FALSE)</f>
        <v>0</v>
      </c>
    </row>
    <row r="662" spans="1:22" ht="13" x14ac:dyDescent="0.3">
      <c r="A662" s="46">
        <f>'vHosts (Imported)'!A662</f>
        <v>0</v>
      </c>
      <c r="B662" s="51">
        <f t="shared" si="30"/>
        <v>4968</v>
      </c>
      <c r="C662" s="49">
        <f>HLOOKUP("# Cores",'vHosts (Imported)'!$1:$5000,M662,FALSE)</f>
        <v>0</v>
      </c>
      <c r="D662" s="52">
        <f>HLOOKUP("# Memory",'vHosts (Imported)'!$1:$5000,M662,FALSE)</f>
        <v>0</v>
      </c>
      <c r="M662" s="45">
        <f t="shared" si="32"/>
        <v>662</v>
      </c>
      <c r="N662" s="38">
        <f>HLOOKUP("Host",'vInfo (Imported)'!$1:$5000,M662,FALSE)</f>
        <v>0</v>
      </c>
      <c r="R662">
        <f>HLOOKUP("CPUs",'vInfo (Imported)'!$1:$5000,M662,FALSE)</f>
        <v>0</v>
      </c>
      <c r="S662">
        <f>HLOOKUP("Memory",'vInfo (Imported)'!$1:$5000,M662,FALSE)</f>
        <v>0</v>
      </c>
      <c r="T662">
        <f>HLOOKUP("Provisioned MiB",'vInfo (Imported)'!$1:$5000,M662,FALSE)</f>
        <v>0</v>
      </c>
      <c r="U662">
        <f t="shared" si="31"/>
        <v>0</v>
      </c>
      <c r="V662">
        <f>HLOOKUP("In Use MiB",'vInfo (Imported)'!$1:$5000,M662,FALSE)</f>
        <v>0</v>
      </c>
    </row>
    <row r="663" spans="1:22" ht="13" x14ac:dyDescent="0.3">
      <c r="A663" s="46">
        <f>'vHosts (Imported)'!A663</f>
        <v>0</v>
      </c>
      <c r="B663" s="51">
        <f t="shared" si="30"/>
        <v>4968</v>
      </c>
      <c r="C663" s="49">
        <f>HLOOKUP("# Cores",'vHosts (Imported)'!$1:$5000,M663,FALSE)</f>
        <v>0</v>
      </c>
      <c r="D663" s="52">
        <f>HLOOKUP("# Memory",'vHosts (Imported)'!$1:$5000,M663,FALSE)</f>
        <v>0</v>
      </c>
      <c r="M663" s="45">
        <f t="shared" si="32"/>
        <v>663</v>
      </c>
      <c r="N663" s="38">
        <f>HLOOKUP("Host",'vInfo (Imported)'!$1:$5000,M663,FALSE)</f>
        <v>0</v>
      </c>
      <c r="R663">
        <f>HLOOKUP("CPUs",'vInfo (Imported)'!$1:$5000,M663,FALSE)</f>
        <v>0</v>
      </c>
      <c r="S663">
        <f>HLOOKUP("Memory",'vInfo (Imported)'!$1:$5000,M663,FALSE)</f>
        <v>0</v>
      </c>
      <c r="T663">
        <f>HLOOKUP("Provisioned MiB",'vInfo (Imported)'!$1:$5000,M663,FALSE)</f>
        <v>0</v>
      </c>
      <c r="U663">
        <f t="shared" si="31"/>
        <v>0</v>
      </c>
      <c r="V663">
        <f>HLOOKUP("In Use MiB",'vInfo (Imported)'!$1:$5000,M663,FALSE)</f>
        <v>0</v>
      </c>
    </row>
    <row r="664" spans="1:22" ht="13" x14ac:dyDescent="0.3">
      <c r="A664" s="46">
        <f>'vHosts (Imported)'!A664</f>
        <v>0</v>
      </c>
      <c r="B664" s="51">
        <f t="shared" si="30"/>
        <v>4968</v>
      </c>
      <c r="C664" s="49">
        <f>HLOOKUP("# Cores",'vHosts (Imported)'!$1:$5000,M664,FALSE)</f>
        <v>0</v>
      </c>
      <c r="D664" s="52">
        <f>HLOOKUP("# Memory",'vHosts (Imported)'!$1:$5000,M664,FALSE)</f>
        <v>0</v>
      </c>
      <c r="M664" s="45">
        <f t="shared" si="32"/>
        <v>664</v>
      </c>
      <c r="N664" s="38">
        <f>HLOOKUP("Host",'vInfo (Imported)'!$1:$5000,M664,FALSE)</f>
        <v>0</v>
      </c>
      <c r="R664">
        <f>HLOOKUP("CPUs",'vInfo (Imported)'!$1:$5000,M664,FALSE)</f>
        <v>0</v>
      </c>
      <c r="S664">
        <f>HLOOKUP("Memory",'vInfo (Imported)'!$1:$5000,M664,FALSE)</f>
        <v>0</v>
      </c>
      <c r="T664">
        <f>HLOOKUP("Provisioned MiB",'vInfo (Imported)'!$1:$5000,M664,FALSE)</f>
        <v>0</v>
      </c>
      <c r="U664">
        <f t="shared" si="31"/>
        <v>0</v>
      </c>
      <c r="V664">
        <f>HLOOKUP("In Use MiB",'vInfo (Imported)'!$1:$5000,M664,FALSE)</f>
        <v>0</v>
      </c>
    </row>
    <row r="665" spans="1:22" ht="13" x14ac:dyDescent="0.3">
      <c r="A665" s="46">
        <f>'vHosts (Imported)'!A665</f>
        <v>0</v>
      </c>
      <c r="B665" s="51">
        <f t="shared" si="30"/>
        <v>4968</v>
      </c>
      <c r="C665" s="49">
        <f>HLOOKUP("# Cores",'vHosts (Imported)'!$1:$5000,M665,FALSE)</f>
        <v>0</v>
      </c>
      <c r="D665" s="52">
        <f>HLOOKUP("# Memory",'vHosts (Imported)'!$1:$5000,M665,FALSE)</f>
        <v>0</v>
      </c>
      <c r="M665" s="45">
        <f t="shared" si="32"/>
        <v>665</v>
      </c>
      <c r="N665" s="38">
        <f>HLOOKUP("Host",'vInfo (Imported)'!$1:$5000,M665,FALSE)</f>
        <v>0</v>
      </c>
      <c r="R665">
        <f>HLOOKUP("CPUs",'vInfo (Imported)'!$1:$5000,M665,FALSE)</f>
        <v>0</v>
      </c>
      <c r="S665">
        <f>HLOOKUP("Memory",'vInfo (Imported)'!$1:$5000,M665,FALSE)</f>
        <v>0</v>
      </c>
      <c r="T665">
        <f>HLOOKUP("Provisioned MiB",'vInfo (Imported)'!$1:$5000,M665,FALSE)</f>
        <v>0</v>
      </c>
      <c r="U665">
        <f t="shared" si="31"/>
        <v>0</v>
      </c>
      <c r="V665">
        <f>HLOOKUP("In Use MiB",'vInfo (Imported)'!$1:$5000,M665,FALSE)</f>
        <v>0</v>
      </c>
    </row>
    <row r="666" spans="1:22" ht="13" x14ac:dyDescent="0.3">
      <c r="A666" s="46">
        <f>'vHosts (Imported)'!A666</f>
        <v>0</v>
      </c>
      <c r="B666" s="51">
        <f t="shared" si="30"/>
        <v>4968</v>
      </c>
      <c r="C666" s="49">
        <f>HLOOKUP("# Cores",'vHosts (Imported)'!$1:$5000,M666,FALSE)</f>
        <v>0</v>
      </c>
      <c r="D666" s="52">
        <f>HLOOKUP("# Memory",'vHosts (Imported)'!$1:$5000,M666,FALSE)</f>
        <v>0</v>
      </c>
      <c r="M666" s="45">
        <f t="shared" si="32"/>
        <v>666</v>
      </c>
      <c r="N666" s="38">
        <f>HLOOKUP("Host",'vInfo (Imported)'!$1:$5000,M666,FALSE)</f>
        <v>0</v>
      </c>
      <c r="R666">
        <f>HLOOKUP("CPUs",'vInfo (Imported)'!$1:$5000,M666,FALSE)</f>
        <v>0</v>
      </c>
      <c r="S666">
        <f>HLOOKUP("Memory",'vInfo (Imported)'!$1:$5000,M666,FALSE)</f>
        <v>0</v>
      </c>
      <c r="T666">
        <f>HLOOKUP("Provisioned MiB",'vInfo (Imported)'!$1:$5000,M666,FALSE)</f>
        <v>0</v>
      </c>
      <c r="U666">
        <f t="shared" si="31"/>
        <v>0</v>
      </c>
      <c r="V666">
        <f>HLOOKUP("In Use MiB",'vInfo (Imported)'!$1:$5000,M666,FALSE)</f>
        <v>0</v>
      </c>
    </row>
    <row r="667" spans="1:22" ht="13" x14ac:dyDescent="0.3">
      <c r="A667" s="46">
        <f>'vHosts (Imported)'!A667</f>
        <v>0</v>
      </c>
      <c r="B667" s="51">
        <f t="shared" si="30"/>
        <v>4968</v>
      </c>
      <c r="C667" s="49">
        <f>HLOOKUP("# Cores",'vHosts (Imported)'!$1:$5000,M667,FALSE)</f>
        <v>0</v>
      </c>
      <c r="D667" s="52">
        <f>HLOOKUP("# Memory",'vHosts (Imported)'!$1:$5000,M667,FALSE)</f>
        <v>0</v>
      </c>
      <c r="M667" s="45">
        <f t="shared" si="32"/>
        <v>667</v>
      </c>
      <c r="N667" s="38">
        <f>HLOOKUP("Host",'vInfo (Imported)'!$1:$5000,M667,FALSE)</f>
        <v>0</v>
      </c>
      <c r="R667">
        <f>HLOOKUP("CPUs",'vInfo (Imported)'!$1:$5000,M667,FALSE)</f>
        <v>0</v>
      </c>
      <c r="S667">
        <f>HLOOKUP("Memory",'vInfo (Imported)'!$1:$5000,M667,FALSE)</f>
        <v>0</v>
      </c>
      <c r="T667">
        <f>HLOOKUP("Provisioned MiB",'vInfo (Imported)'!$1:$5000,M667,FALSE)</f>
        <v>0</v>
      </c>
      <c r="U667">
        <f t="shared" si="31"/>
        <v>0</v>
      </c>
      <c r="V667">
        <f>HLOOKUP("In Use MiB",'vInfo (Imported)'!$1:$5000,M667,FALSE)</f>
        <v>0</v>
      </c>
    </row>
    <row r="668" spans="1:22" ht="13" x14ac:dyDescent="0.3">
      <c r="A668" s="46">
        <f>'vHosts (Imported)'!A668</f>
        <v>0</v>
      </c>
      <c r="B668" s="51">
        <f t="shared" si="30"/>
        <v>4968</v>
      </c>
      <c r="C668" s="49">
        <f>HLOOKUP("# Cores",'vHosts (Imported)'!$1:$5000,M668,FALSE)</f>
        <v>0</v>
      </c>
      <c r="D668" s="52">
        <f>HLOOKUP("# Memory",'vHosts (Imported)'!$1:$5000,M668,FALSE)</f>
        <v>0</v>
      </c>
      <c r="M668" s="45">
        <f t="shared" si="32"/>
        <v>668</v>
      </c>
      <c r="N668" s="38">
        <f>HLOOKUP("Host",'vInfo (Imported)'!$1:$5000,M668,FALSE)</f>
        <v>0</v>
      </c>
      <c r="R668">
        <f>HLOOKUP("CPUs",'vInfo (Imported)'!$1:$5000,M668,FALSE)</f>
        <v>0</v>
      </c>
      <c r="S668">
        <f>HLOOKUP("Memory",'vInfo (Imported)'!$1:$5000,M668,FALSE)</f>
        <v>0</v>
      </c>
      <c r="T668">
        <f>HLOOKUP("Provisioned MiB",'vInfo (Imported)'!$1:$5000,M668,FALSE)</f>
        <v>0</v>
      </c>
      <c r="U668">
        <f t="shared" si="31"/>
        <v>0</v>
      </c>
      <c r="V668">
        <f>HLOOKUP("In Use MiB",'vInfo (Imported)'!$1:$5000,M668,FALSE)</f>
        <v>0</v>
      </c>
    </row>
    <row r="669" spans="1:22" ht="13" x14ac:dyDescent="0.3">
      <c r="A669" s="46">
        <f>'vHosts (Imported)'!A669</f>
        <v>0</v>
      </c>
      <c r="B669" s="51">
        <f t="shared" si="30"/>
        <v>4968</v>
      </c>
      <c r="C669" s="49">
        <f>HLOOKUP("# Cores",'vHosts (Imported)'!$1:$5000,M669,FALSE)</f>
        <v>0</v>
      </c>
      <c r="D669" s="52">
        <f>HLOOKUP("# Memory",'vHosts (Imported)'!$1:$5000,M669,FALSE)</f>
        <v>0</v>
      </c>
      <c r="M669" s="45">
        <f t="shared" si="32"/>
        <v>669</v>
      </c>
      <c r="N669" s="38">
        <f>HLOOKUP("Host",'vInfo (Imported)'!$1:$5000,M669,FALSE)</f>
        <v>0</v>
      </c>
      <c r="R669">
        <f>HLOOKUP("CPUs",'vInfo (Imported)'!$1:$5000,M669,FALSE)</f>
        <v>0</v>
      </c>
      <c r="S669">
        <f>HLOOKUP("Memory",'vInfo (Imported)'!$1:$5000,M669,FALSE)</f>
        <v>0</v>
      </c>
      <c r="T669">
        <f>HLOOKUP("Provisioned MiB",'vInfo (Imported)'!$1:$5000,M669,FALSE)</f>
        <v>0</v>
      </c>
      <c r="U669">
        <f t="shared" si="31"/>
        <v>0</v>
      </c>
      <c r="V669">
        <f>HLOOKUP("In Use MiB",'vInfo (Imported)'!$1:$5000,M669,FALSE)</f>
        <v>0</v>
      </c>
    </row>
    <row r="670" spans="1:22" ht="13" x14ac:dyDescent="0.3">
      <c r="A670" s="46">
        <f>'vHosts (Imported)'!A670</f>
        <v>0</v>
      </c>
      <c r="B670" s="51">
        <f t="shared" si="30"/>
        <v>4968</v>
      </c>
      <c r="C670" s="49">
        <f>HLOOKUP("# Cores",'vHosts (Imported)'!$1:$5000,M670,FALSE)</f>
        <v>0</v>
      </c>
      <c r="D670" s="52">
        <f>HLOOKUP("# Memory",'vHosts (Imported)'!$1:$5000,M670,FALSE)</f>
        <v>0</v>
      </c>
      <c r="M670" s="45">
        <f t="shared" si="32"/>
        <v>670</v>
      </c>
      <c r="N670" s="38">
        <f>HLOOKUP("Host",'vInfo (Imported)'!$1:$5000,M670,FALSE)</f>
        <v>0</v>
      </c>
      <c r="R670">
        <f>HLOOKUP("CPUs",'vInfo (Imported)'!$1:$5000,M670,FALSE)</f>
        <v>0</v>
      </c>
      <c r="S670">
        <f>HLOOKUP("Memory",'vInfo (Imported)'!$1:$5000,M670,FALSE)</f>
        <v>0</v>
      </c>
      <c r="T670">
        <f>HLOOKUP("Provisioned MiB",'vInfo (Imported)'!$1:$5000,M670,FALSE)</f>
        <v>0</v>
      </c>
      <c r="U670">
        <f t="shared" si="31"/>
        <v>0</v>
      </c>
      <c r="V670">
        <f>HLOOKUP("In Use MiB",'vInfo (Imported)'!$1:$5000,M670,FALSE)</f>
        <v>0</v>
      </c>
    </row>
    <row r="671" spans="1:22" ht="13" x14ac:dyDescent="0.3">
      <c r="A671" s="46">
        <f>'vHosts (Imported)'!A671</f>
        <v>0</v>
      </c>
      <c r="B671" s="51">
        <f t="shared" si="30"/>
        <v>4968</v>
      </c>
      <c r="C671" s="49">
        <f>HLOOKUP("# Cores",'vHosts (Imported)'!$1:$5000,M671,FALSE)</f>
        <v>0</v>
      </c>
      <c r="D671" s="52">
        <f>HLOOKUP("# Memory",'vHosts (Imported)'!$1:$5000,M671,FALSE)</f>
        <v>0</v>
      </c>
      <c r="M671" s="45">
        <f t="shared" si="32"/>
        <v>671</v>
      </c>
      <c r="N671" s="38">
        <f>HLOOKUP("Host",'vInfo (Imported)'!$1:$5000,M671,FALSE)</f>
        <v>0</v>
      </c>
      <c r="R671">
        <f>HLOOKUP("CPUs",'vInfo (Imported)'!$1:$5000,M671,FALSE)</f>
        <v>0</v>
      </c>
      <c r="S671">
        <f>HLOOKUP("Memory",'vInfo (Imported)'!$1:$5000,M671,FALSE)</f>
        <v>0</v>
      </c>
      <c r="T671">
        <f>HLOOKUP("Provisioned MiB",'vInfo (Imported)'!$1:$5000,M671,FALSE)</f>
        <v>0</v>
      </c>
      <c r="U671">
        <f t="shared" si="31"/>
        <v>0</v>
      </c>
      <c r="V671">
        <f>HLOOKUP("In Use MiB",'vInfo (Imported)'!$1:$5000,M671,FALSE)</f>
        <v>0</v>
      </c>
    </row>
    <row r="672" spans="1:22" ht="13" x14ac:dyDescent="0.3">
      <c r="A672" s="46">
        <f>'vHosts (Imported)'!A672</f>
        <v>0</v>
      </c>
      <c r="B672" s="51">
        <f t="shared" si="30"/>
        <v>4968</v>
      </c>
      <c r="C672" s="49">
        <f>HLOOKUP("# Cores",'vHosts (Imported)'!$1:$5000,M672,FALSE)</f>
        <v>0</v>
      </c>
      <c r="D672" s="52">
        <f>HLOOKUP("# Memory",'vHosts (Imported)'!$1:$5000,M672,FALSE)</f>
        <v>0</v>
      </c>
      <c r="M672" s="45">
        <f t="shared" si="32"/>
        <v>672</v>
      </c>
      <c r="N672" s="38">
        <f>HLOOKUP("Host",'vInfo (Imported)'!$1:$5000,M672,FALSE)</f>
        <v>0</v>
      </c>
      <c r="R672">
        <f>HLOOKUP("CPUs",'vInfo (Imported)'!$1:$5000,M672,FALSE)</f>
        <v>0</v>
      </c>
      <c r="S672">
        <f>HLOOKUP("Memory",'vInfo (Imported)'!$1:$5000,M672,FALSE)</f>
        <v>0</v>
      </c>
      <c r="T672">
        <f>HLOOKUP("Provisioned MiB",'vInfo (Imported)'!$1:$5000,M672,FALSE)</f>
        <v>0</v>
      </c>
      <c r="U672">
        <f t="shared" si="31"/>
        <v>0</v>
      </c>
      <c r="V672">
        <f>HLOOKUP("In Use MiB",'vInfo (Imported)'!$1:$5000,M672,FALSE)</f>
        <v>0</v>
      </c>
    </row>
    <row r="673" spans="1:22" ht="13" x14ac:dyDescent="0.3">
      <c r="A673" s="46">
        <f>'vHosts (Imported)'!A673</f>
        <v>0</v>
      </c>
      <c r="B673" s="51">
        <f t="shared" si="30"/>
        <v>4968</v>
      </c>
      <c r="C673" s="49">
        <f>HLOOKUP("# Cores",'vHosts (Imported)'!$1:$5000,M673,FALSE)</f>
        <v>0</v>
      </c>
      <c r="D673" s="52">
        <f>HLOOKUP("# Memory",'vHosts (Imported)'!$1:$5000,M673,FALSE)</f>
        <v>0</v>
      </c>
      <c r="M673" s="45">
        <f t="shared" si="32"/>
        <v>673</v>
      </c>
      <c r="N673" s="38">
        <f>HLOOKUP("Host",'vInfo (Imported)'!$1:$5000,M673,FALSE)</f>
        <v>0</v>
      </c>
      <c r="R673">
        <f>HLOOKUP("CPUs",'vInfo (Imported)'!$1:$5000,M673,FALSE)</f>
        <v>0</v>
      </c>
      <c r="S673">
        <f>HLOOKUP("Memory",'vInfo (Imported)'!$1:$5000,M673,FALSE)</f>
        <v>0</v>
      </c>
      <c r="T673">
        <f>HLOOKUP("Provisioned MiB",'vInfo (Imported)'!$1:$5000,M673,FALSE)</f>
        <v>0</v>
      </c>
      <c r="U673">
        <f t="shared" si="31"/>
        <v>0</v>
      </c>
      <c r="V673">
        <f>HLOOKUP("In Use MiB",'vInfo (Imported)'!$1:$5000,M673,FALSE)</f>
        <v>0</v>
      </c>
    </row>
    <row r="674" spans="1:22" ht="13" x14ac:dyDescent="0.3">
      <c r="A674" s="46">
        <f>'vHosts (Imported)'!A674</f>
        <v>0</v>
      </c>
      <c r="B674" s="51">
        <f t="shared" si="30"/>
        <v>4968</v>
      </c>
      <c r="C674" s="49">
        <f>HLOOKUP("# Cores",'vHosts (Imported)'!$1:$5000,M674,FALSE)</f>
        <v>0</v>
      </c>
      <c r="D674" s="52">
        <f>HLOOKUP("# Memory",'vHosts (Imported)'!$1:$5000,M674,FALSE)</f>
        <v>0</v>
      </c>
      <c r="M674" s="45">
        <f t="shared" si="32"/>
        <v>674</v>
      </c>
      <c r="N674" s="38">
        <f>HLOOKUP("Host",'vInfo (Imported)'!$1:$5000,M674,FALSE)</f>
        <v>0</v>
      </c>
      <c r="R674">
        <f>HLOOKUP("CPUs",'vInfo (Imported)'!$1:$5000,M674,FALSE)</f>
        <v>0</v>
      </c>
      <c r="S674">
        <f>HLOOKUP("Memory",'vInfo (Imported)'!$1:$5000,M674,FALSE)</f>
        <v>0</v>
      </c>
      <c r="T674">
        <f>HLOOKUP("Provisioned MiB",'vInfo (Imported)'!$1:$5000,M674,FALSE)</f>
        <v>0</v>
      </c>
      <c r="U674">
        <f t="shared" si="31"/>
        <v>0</v>
      </c>
      <c r="V674">
        <f>HLOOKUP("In Use MiB",'vInfo (Imported)'!$1:$5000,M674,FALSE)</f>
        <v>0</v>
      </c>
    </row>
    <row r="675" spans="1:22" ht="13" x14ac:dyDescent="0.3">
      <c r="A675" s="46">
        <f>'vHosts (Imported)'!A675</f>
        <v>0</v>
      </c>
      <c r="B675" s="51">
        <f t="shared" si="30"/>
        <v>4968</v>
      </c>
      <c r="C675" s="49">
        <f>HLOOKUP("# Cores",'vHosts (Imported)'!$1:$5000,M675,FALSE)</f>
        <v>0</v>
      </c>
      <c r="D675" s="52">
        <f>HLOOKUP("# Memory",'vHosts (Imported)'!$1:$5000,M675,FALSE)</f>
        <v>0</v>
      </c>
      <c r="M675" s="45">
        <f t="shared" si="32"/>
        <v>675</v>
      </c>
      <c r="N675" s="38">
        <f>HLOOKUP("Host",'vInfo (Imported)'!$1:$5000,M675,FALSE)</f>
        <v>0</v>
      </c>
      <c r="R675">
        <f>HLOOKUP("CPUs",'vInfo (Imported)'!$1:$5000,M675,FALSE)</f>
        <v>0</v>
      </c>
      <c r="S675">
        <f>HLOOKUP("Memory",'vInfo (Imported)'!$1:$5000,M675,FALSE)</f>
        <v>0</v>
      </c>
      <c r="T675">
        <f>HLOOKUP("Provisioned MiB",'vInfo (Imported)'!$1:$5000,M675,FALSE)</f>
        <v>0</v>
      </c>
      <c r="U675">
        <f t="shared" si="31"/>
        <v>0</v>
      </c>
      <c r="V675">
        <f>HLOOKUP("In Use MiB",'vInfo (Imported)'!$1:$5000,M675,FALSE)</f>
        <v>0</v>
      </c>
    </row>
    <row r="676" spans="1:22" ht="13" x14ac:dyDescent="0.3">
      <c r="A676" s="46">
        <f>'vHosts (Imported)'!A676</f>
        <v>0</v>
      </c>
      <c r="B676" s="51">
        <f t="shared" si="30"/>
        <v>4968</v>
      </c>
      <c r="C676" s="49">
        <f>HLOOKUP("# Cores",'vHosts (Imported)'!$1:$5000,M676,FALSE)</f>
        <v>0</v>
      </c>
      <c r="D676" s="52">
        <f>HLOOKUP("# Memory",'vHosts (Imported)'!$1:$5000,M676,FALSE)</f>
        <v>0</v>
      </c>
      <c r="M676" s="45">
        <f t="shared" si="32"/>
        <v>676</v>
      </c>
      <c r="N676" s="38">
        <f>HLOOKUP("Host",'vInfo (Imported)'!$1:$5000,M676,FALSE)</f>
        <v>0</v>
      </c>
      <c r="R676">
        <f>HLOOKUP("CPUs",'vInfo (Imported)'!$1:$5000,M676,FALSE)</f>
        <v>0</v>
      </c>
      <c r="S676">
        <f>HLOOKUP("Memory",'vInfo (Imported)'!$1:$5000,M676,FALSE)</f>
        <v>0</v>
      </c>
      <c r="T676">
        <f>HLOOKUP("Provisioned MiB",'vInfo (Imported)'!$1:$5000,M676,FALSE)</f>
        <v>0</v>
      </c>
      <c r="U676">
        <f t="shared" si="31"/>
        <v>0</v>
      </c>
      <c r="V676">
        <f>HLOOKUP("In Use MiB",'vInfo (Imported)'!$1:$5000,M676,FALSE)</f>
        <v>0</v>
      </c>
    </row>
    <row r="677" spans="1:22" ht="13" x14ac:dyDescent="0.3">
      <c r="A677" s="46">
        <f>'vHosts (Imported)'!A677</f>
        <v>0</v>
      </c>
      <c r="B677" s="51">
        <f t="shared" si="30"/>
        <v>4968</v>
      </c>
      <c r="C677" s="49">
        <f>HLOOKUP("# Cores",'vHosts (Imported)'!$1:$5000,M677,FALSE)</f>
        <v>0</v>
      </c>
      <c r="D677" s="52">
        <f>HLOOKUP("# Memory",'vHosts (Imported)'!$1:$5000,M677,FALSE)</f>
        <v>0</v>
      </c>
      <c r="M677" s="45">
        <f t="shared" si="32"/>
        <v>677</v>
      </c>
      <c r="N677" s="38">
        <f>HLOOKUP("Host",'vInfo (Imported)'!$1:$5000,M677,FALSE)</f>
        <v>0</v>
      </c>
      <c r="R677">
        <f>HLOOKUP("CPUs",'vInfo (Imported)'!$1:$5000,M677,FALSE)</f>
        <v>0</v>
      </c>
      <c r="S677">
        <f>HLOOKUP("Memory",'vInfo (Imported)'!$1:$5000,M677,FALSE)</f>
        <v>0</v>
      </c>
      <c r="T677">
        <f>HLOOKUP("Provisioned MiB",'vInfo (Imported)'!$1:$5000,M677,FALSE)</f>
        <v>0</v>
      </c>
      <c r="U677">
        <f t="shared" si="31"/>
        <v>0</v>
      </c>
      <c r="V677">
        <f>HLOOKUP("In Use MiB",'vInfo (Imported)'!$1:$5000,M677,FALSE)</f>
        <v>0</v>
      </c>
    </row>
    <row r="678" spans="1:22" ht="13" x14ac:dyDescent="0.3">
      <c r="A678" s="46">
        <f>'vHosts (Imported)'!A678</f>
        <v>0</v>
      </c>
      <c r="B678" s="51">
        <f t="shared" si="30"/>
        <v>4968</v>
      </c>
      <c r="C678" s="49">
        <f>HLOOKUP("# Cores",'vHosts (Imported)'!$1:$5000,M678,FALSE)</f>
        <v>0</v>
      </c>
      <c r="D678" s="52">
        <f>HLOOKUP("# Memory",'vHosts (Imported)'!$1:$5000,M678,FALSE)</f>
        <v>0</v>
      </c>
      <c r="M678" s="45">
        <f t="shared" si="32"/>
        <v>678</v>
      </c>
      <c r="N678" s="38">
        <f>HLOOKUP("Host",'vInfo (Imported)'!$1:$5000,M678,FALSE)</f>
        <v>0</v>
      </c>
      <c r="R678">
        <f>HLOOKUP("CPUs",'vInfo (Imported)'!$1:$5000,M678,FALSE)</f>
        <v>0</v>
      </c>
      <c r="S678">
        <f>HLOOKUP("Memory",'vInfo (Imported)'!$1:$5000,M678,FALSE)</f>
        <v>0</v>
      </c>
      <c r="T678">
        <f>HLOOKUP("Provisioned MiB",'vInfo (Imported)'!$1:$5000,M678,FALSE)</f>
        <v>0</v>
      </c>
      <c r="U678">
        <f t="shared" si="31"/>
        <v>0</v>
      </c>
      <c r="V678">
        <f>HLOOKUP("In Use MiB",'vInfo (Imported)'!$1:$5000,M678,FALSE)</f>
        <v>0</v>
      </c>
    </row>
    <row r="679" spans="1:22" ht="13" x14ac:dyDescent="0.3">
      <c r="A679" s="46">
        <f>'vHosts (Imported)'!A679</f>
        <v>0</v>
      </c>
      <c r="B679" s="51">
        <f t="shared" si="30"/>
        <v>4968</v>
      </c>
      <c r="C679" s="49">
        <f>HLOOKUP("# Cores",'vHosts (Imported)'!$1:$5000,M679,FALSE)</f>
        <v>0</v>
      </c>
      <c r="D679" s="52">
        <f>HLOOKUP("# Memory",'vHosts (Imported)'!$1:$5000,M679,FALSE)</f>
        <v>0</v>
      </c>
      <c r="M679" s="45">
        <f t="shared" si="32"/>
        <v>679</v>
      </c>
      <c r="N679" s="38">
        <f>HLOOKUP("Host",'vInfo (Imported)'!$1:$5000,M679,FALSE)</f>
        <v>0</v>
      </c>
      <c r="R679">
        <f>HLOOKUP("CPUs",'vInfo (Imported)'!$1:$5000,M679,FALSE)</f>
        <v>0</v>
      </c>
      <c r="S679">
        <f>HLOOKUP("Memory",'vInfo (Imported)'!$1:$5000,M679,FALSE)</f>
        <v>0</v>
      </c>
      <c r="T679">
        <f>HLOOKUP("Provisioned MiB",'vInfo (Imported)'!$1:$5000,M679,FALSE)</f>
        <v>0</v>
      </c>
      <c r="U679">
        <f t="shared" si="31"/>
        <v>0</v>
      </c>
      <c r="V679">
        <f>HLOOKUP("In Use MiB",'vInfo (Imported)'!$1:$5000,M679,FALSE)</f>
        <v>0</v>
      </c>
    </row>
    <row r="680" spans="1:22" ht="13" x14ac:dyDescent="0.3">
      <c r="A680" s="46">
        <f>'vHosts (Imported)'!A680</f>
        <v>0</v>
      </c>
      <c r="B680" s="51">
        <f t="shared" si="30"/>
        <v>4968</v>
      </c>
      <c r="C680" s="49">
        <f>HLOOKUP("# Cores",'vHosts (Imported)'!$1:$5000,M680,FALSE)</f>
        <v>0</v>
      </c>
      <c r="D680" s="52">
        <f>HLOOKUP("# Memory",'vHosts (Imported)'!$1:$5000,M680,FALSE)</f>
        <v>0</v>
      </c>
      <c r="M680" s="45">
        <f t="shared" si="32"/>
        <v>680</v>
      </c>
      <c r="N680" s="38">
        <f>HLOOKUP("Host",'vInfo (Imported)'!$1:$5000,M680,FALSE)</f>
        <v>0</v>
      </c>
      <c r="R680">
        <f>HLOOKUP("CPUs",'vInfo (Imported)'!$1:$5000,M680,FALSE)</f>
        <v>0</v>
      </c>
      <c r="S680">
        <f>HLOOKUP("Memory",'vInfo (Imported)'!$1:$5000,M680,FALSE)</f>
        <v>0</v>
      </c>
      <c r="T680">
        <f>HLOOKUP("Provisioned MiB",'vInfo (Imported)'!$1:$5000,M680,FALSE)</f>
        <v>0</v>
      </c>
      <c r="U680">
        <f t="shared" si="31"/>
        <v>0</v>
      </c>
      <c r="V680">
        <f>HLOOKUP("In Use MiB",'vInfo (Imported)'!$1:$5000,M680,FALSE)</f>
        <v>0</v>
      </c>
    </row>
    <row r="681" spans="1:22" ht="13" x14ac:dyDescent="0.3">
      <c r="A681" s="46">
        <f>'vHosts (Imported)'!A681</f>
        <v>0</v>
      </c>
      <c r="B681" s="51">
        <f t="shared" si="30"/>
        <v>4968</v>
      </c>
      <c r="C681" s="49">
        <f>HLOOKUP("# Cores",'vHosts (Imported)'!$1:$5000,M681,FALSE)</f>
        <v>0</v>
      </c>
      <c r="D681" s="52">
        <f>HLOOKUP("# Memory",'vHosts (Imported)'!$1:$5000,M681,FALSE)</f>
        <v>0</v>
      </c>
      <c r="M681" s="45">
        <f t="shared" si="32"/>
        <v>681</v>
      </c>
      <c r="N681" s="38">
        <f>HLOOKUP("Host",'vInfo (Imported)'!$1:$5000,M681,FALSE)</f>
        <v>0</v>
      </c>
      <c r="R681">
        <f>HLOOKUP("CPUs",'vInfo (Imported)'!$1:$5000,M681,FALSE)</f>
        <v>0</v>
      </c>
      <c r="S681">
        <f>HLOOKUP("Memory",'vInfo (Imported)'!$1:$5000,M681,FALSE)</f>
        <v>0</v>
      </c>
      <c r="T681">
        <f>HLOOKUP("Provisioned MiB",'vInfo (Imported)'!$1:$5000,M681,FALSE)</f>
        <v>0</v>
      </c>
      <c r="U681">
        <f t="shared" si="31"/>
        <v>0</v>
      </c>
      <c r="V681">
        <f>HLOOKUP("In Use MiB",'vInfo (Imported)'!$1:$5000,M681,FALSE)</f>
        <v>0</v>
      </c>
    </row>
    <row r="682" spans="1:22" ht="13" x14ac:dyDescent="0.3">
      <c r="A682" s="46">
        <f>'vHosts (Imported)'!A682</f>
        <v>0</v>
      </c>
      <c r="B682" s="51">
        <f t="shared" si="30"/>
        <v>4968</v>
      </c>
      <c r="C682" s="49">
        <f>HLOOKUP("# Cores",'vHosts (Imported)'!$1:$5000,M682,FALSE)</f>
        <v>0</v>
      </c>
      <c r="D682" s="52">
        <f>HLOOKUP("# Memory",'vHosts (Imported)'!$1:$5000,M682,FALSE)</f>
        <v>0</v>
      </c>
      <c r="M682" s="45">
        <f t="shared" si="32"/>
        <v>682</v>
      </c>
      <c r="N682" s="38">
        <f>HLOOKUP("Host",'vInfo (Imported)'!$1:$5000,M682,FALSE)</f>
        <v>0</v>
      </c>
      <c r="R682">
        <f>HLOOKUP("CPUs",'vInfo (Imported)'!$1:$5000,M682,FALSE)</f>
        <v>0</v>
      </c>
      <c r="S682">
        <f>HLOOKUP("Memory",'vInfo (Imported)'!$1:$5000,M682,FALSE)</f>
        <v>0</v>
      </c>
      <c r="T682">
        <f>HLOOKUP("Provisioned MiB",'vInfo (Imported)'!$1:$5000,M682,FALSE)</f>
        <v>0</v>
      </c>
      <c r="U682">
        <f t="shared" si="31"/>
        <v>0</v>
      </c>
      <c r="V682">
        <f>HLOOKUP("In Use MiB",'vInfo (Imported)'!$1:$5000,M682,FALSE)</f>
        <v>0</v>
      </c>
    </row>
    <row r="683" spans="1:22" ht="13" x14ac:dyDescent="0.3">
      <c r="A683" s="46">
        <f>'vHosts (Imported)'!A683</f>
        <v>0</v>
      </c>
      <c r="B683" s="51">
        <f t="shared" si="30"/>
        <v>4968</v>
      </c>
      <c r="C683" s="49">
        <f>HLOOKUP("# Cores",'vHosts (Imported)'!$1:$5000,M683,FALSE)</f>
        <v>0</v>
      </c>
      <c r="D683" s="52">
        <f>HLOOKUP("# Memory",'vHosts (Imported)'!$1:$5000,M683,FALSE)</f>
        <v>0</v>
      </c>
      <c r="M683" s="45">
        <f t="shared" si="32"/>
        <v>683</v>
      </c>
      <c r="N683" s="38">
        <f>HLOOKUP("Host",'vInfo (Imported)'!$1:$5000,M683,FALSE)</f>
        <v>0</v>
      </c>
      <c r="R683">
        <f>HLOOKUP("CPUs",'vInfo (Imported)'!$1:$5000,M683,FALSE)</f>
        <v>0</v>
      </c>
      <c r="S683">
        <f>HLOOKUP("Memory",'vInfo (Imported)'!$1:$5000,M683,FALSE)</f>
        <v>0</v>
      </c>
      <c r="T683">
        <f>HLOOKUP("Provisioned MiB",'vInfo (Imported)'!$1:$5000,M683,FALSE)</f>
        <v>0</v>
      </c>
      <c r="U683">
        <f t="shared" si="31"/>
        <v>0</v>
      </c>
      <c r="V683">
        <f>HLOOKUP("In Use MiB",'vInfo (Imported)'!$1:$5000,M683,FALSE)</f>
        <v>0</v>
      </c>
    </row>
    <row r="684" spans="1:22" ht="13" x14ac:dyDescent="0.3">
      <c r="A684" s="46">
        <f>'vHosts (Imported)'!A684</f>
        <v>0</v>
      </c>
      <c r="B684" s="51">
        <f t="shared" si="30"/>
        <v>4968</v>
      </c>
      <c r="C684" s="49">
        <f>HLOOKUP("# Cores",'vHosts (Imported)'!$1:$5000,M684,FALSE)</f>
        <v>0</v>
      </c>
      <c r="D684" s="52">
        <f>HLOOKUP("# Memory",'vHosts (Imported)'!$1:$5000,M684,FALSE)</f>
        <v>0</v>
      </c>
      <c r="M684" s="45">
        <f t="shared" si="32"/>
        <v>684</v>
      </c>
      <c r="N684" s="38">
        <f>HLOOKUP("Host",'vInfo (Imported)'!$1:$5000,M684,FALSE)</f>
        <v>0</v>
      </c>
      <c r="R684">
        <f>HLOOKUP("CPUs",'vInfo (Imported)'!$1:$5000,M684,FALSE)</f>
        <v>0</v>
      </c>
      <c r="S684">
        <f>HLOOKUP("Memory",'vInfo (Imported)'!$1:$5000,M684,FALSE)</f>
        <v>0</v>
      </c>
      <c r="T684">
        <f>HLOOKUP("Provisioned MiB",'vInfo (Imported)'!$1:$5000,M684,FALSE)</f>
        <v>0</v>
      </c>
      <c r="U684">
        <f t="shared" si="31"/>
        <v>0</v>
      </c>
      <c r="V684">
        <f>HLOOKUP("In Use MiB",'vInfo (Imported)'!$1:$5000,M684,FALSE)</f>
        <v>0</v>
      </c>
    </row>
    <row r="685" spans="1:22" ht="13" x14ac:dyDescent="0.3">
      <c r="A685" s="46">
        <f>'vHosts (Imported)'!A685</f>
        <v>0</v>
      </c>
      <c r="B685" s="51">
        <f t="shared" si="30"/>
        <v>4968</v>
      </c>
      <c r="C685" s="49">
        <f>HLOOKUP("# Cores",'vHosts (Imported)'!$1:$5000,M685,FALSE)</f>
        <v>0</v>
      </c>
      <c r="D685" s="52">
        <f>HLOOKUP("# Memory",'vHosts (Imported)'!$1:$5000,M685,FALSE)</f>
        <v>0</v>
      </c>
      <c r="M685" s="45">
        <f t="shared" si="32"/>
        <v>685</v>
      </c>
      <c r="N685" s="38">
        <f>HLOOKUP("Host",'vInfo (Imported)'!$1:$5000,M685,FALSE)</f>
        <v>0</v>
      </c>
      <c r="R685">
        <f>HLOOKUP("CPUs",'vInfo (Imported)'!$1:$5000,M685,FALSE)</f>
        <v>0</v>
      </c>
      <c r="S685">
        <f>HLOOKUP("Memory",'vInfo (Imported)'!$1:$5000,M685,FALSE)</f>
        <v>0</v>
      </c>
      <c r="T685">
        <f>HLOOKUP("Provisioned MiB",'vInfo (Imported)'!$1:$5000,M685,FALSE)</f>
        <v>0</v>
      </c>
      <c r="U685">
        <f t="shared" si="31"/>
        <v>0</v>
      </c>
      <c r="V685">
        <f>HLOOKUP("In Use MiB",'vInfo (Imported)'!$1:$5000,M685,FALSE)</f>
        <v>0</v>
      </c>
    </row>
    <row r="686" spans="1:22" ht="13" x14ac:dyDescent="0.3">
      <c r="A686" s="46">
        <f>'vHosts (Imported)'!A686</f>
        <v>0</v>
      </c>
      <c r="B686" s="51">
        <f t="shared" si="30"/>
        <v>4968</v>
      </c>
      <c r="C686" s="49">
        <f>HLOOKUP("# Cores",'vHosts (Imported)'!$1:$5000,M686,FALSE)</f>
        <v>0</v>
      </c>
      <c r="D686" s="52">
        <f>HLOOKUP("# Memory",'vHosts (Imported)'!$1:$5000,M686,FALSE)</f>
        <v>0</v>
      </c>
      <c r="M686" s="45">
        <f t="shared" si="32"/>
        <v>686</v>
      </c>
      <c r="N686" s="38">
        <f>HLOOKUP("Host",'vInfo (Imported)'!$1:$5000,M686,FALSE)</f>
        <v>0</v>
      </c>
      <c r="R686">
        <f>HLOOKUP("CPUs",'vInfo (Imported)'!$1:$5000,M686,FALSE)</f>
        <v>0</v>
      </c>
      <c r="S686">
        <f>HLOOKUP("Memory",'vInfo (Imported)'!$1:$5000,M686,FALSE)</f>
        <v>0</v>
      </c>
      <c r="T686">
        <f>HLOOKUP("Provisioned MiB",'vInfo (Imported)'!$1:$5000,M686,FALSE)</f>
        <v>0</v>
      </c>
      <c r="U686">
        <f t="shared" si="31"/>
        <v>0</v>
      </c>
      <c r="V686">
        <f>HLOOKUP("In Use MiB",'vInfo (Imported)'!$1:$5000,M686,FALSE)</f>
        <v>0</v>
      </c>
    </row>
    <row r="687" spans="1:22" ht="13" x14ac:dyDescent="0.3">
      <c r="A687" s="46">
        <f>'vHosts (Imported)'!A687</f>
        <v>0</v>
      </c>
      <c r="B687" s="51">
        <f t="shared" si="30"/>
        <v>4968</v>
      </c>
      <c r="C687" s="49">
        <f>HLOOKUP("# Cores",'vHosts (Imported)'!$1:$5000,M687,FALSE)</f>
        <v>0</v>
      </c>
      <c r="D687" s="52">
        <f>HLOOKUP("# Memory",'vHosts (Imported)'!$1:$5000,M687,FALSE)</f>
        <v>0</v>
      </c>
      <c r="M687" s="45">
        <f t="shared" si="32"/>
        <v>687</v>
      </c>
      <c r="N687" s="38">
        <f>HLOOKUP("Host",'vInfo (Imported)'!$1:$5000,M687,FALSE)</f>
        <v>0</v>
      </c>
      <c r="R687">
        <f>HLOOKUP("CPUs",'vInfo (Imported)'!$1:$5000,M687,FALSE)</f>
        <v>0</v>
      </c>
      <c r="S687">
        <f>HLOOKUP("Memory",'vInfo (Imported)'!$1:$5000,M687,FALSE)</f>
        <v>0</v>
      </c>
      <c r="T687">
        <f>HLOOKUP("Provisioned MiB",'vInfo (Imported)'!$1:$5000,M687,FALSE)</f>
        <v>0</v>
      </c>
      <c r="U687">
        <f t="shared" si="31"/>
        <v>0</v>
      </c>
      <c r="V687">
        <f>HLOOKUP("In Use MiB",'vInfo (Imported)'!$1:$5000,M687,FALSE)</f>
        <v>0</v>
      </c>
    </row>
    <row r="688" spans="1:22" ht="13" x14ac:dyDescent="0.3">
      <c r="A688" s="46">
        <f>'vHosts (Imported)'!A688</f>
        <v>0</v>
      </c>
      <c r="B688" s="51">
        <f t="shared" si="30"/>
        <v>4968</v>
      </c>
      <c r="C688" s="49">
        <f>HLOOKUP("# Cores",'vHosts (Imported)'!$1:$5000,M688,FALSE)</f>
        <v>0</v>
      </c>
      <c r="D688" s="52">
        <f>HLOOKUP("# Memory",'vHosts (Imported)'!$1:$5000,M688,FALSE)</f>
        <v>0</v>
      </c>
      <c r="M688" s="45">
        <f t="shared" si="32"/>
        <v>688</v>
      </c>
      <c r="N688" s="38">
        <f>HLOOKUP("Host",'vInfo (Imported)'!$1:$5000,M688,FALSE)</f>
        <v>0</v>
      </c>
      <c r="R688">
        <f>HLOOKUP("CPUs",'vInfo (Imported)'!$1:$5000,M688,FALSE)</f>
        <v>0</v>
      </c>
      <c r="S688">
        <f>HLOOKUP("Memory",'vInfo (Imported)'!$1:$5000,M688,FALSE)</f>
        <v>0</v>
      </c>
      <c r="T688">
        <f>HLOOKUP("Provisioned MiB",'vInfo (Imported)'!$1:$5000,M688,FALSE)</f>
        <v>0</v>
      </c>
      <c r="U688">
        <f t="shared" si="31"/>
        <v>0</v>
      </c>
      <c r="V688">
        <f>HLOOKUP("In Use MiB",'vInfo (Imported)'!$1:$5000,M688,FALSE)</f>
        <v>0</v>
      </c>
    </row>
    <row r="689" spans="1:22" ht="13" x14ac:dyDescent="0.3">
      <c r="A689" s="46">
        <f>'vHosts (Imported)'!A689</f>
        <v>0</v>
      </c>
      <c r="B689" s="51">
        <f t="shared" si="30"/>
        <v>4968</v>
      </c>
      <c r="C689" s="49">
        <f>HLOOKUP("# Cores",'vHosts (Imported)'!$1:$5000,M689,FALSE)</f>
        <v>0</v>
      </c>
      <c r="D689" s="52">
        <f>HLOOKUP("# Memory",'vHosts (Imported)'!$1:$5000,M689,FALSE)</f>
        <v>0</v>
      </c>
      <c r="M689" s="45">
        <f t="shared" si="32"/>
        <v>689</v>
      </c>
      <c r="N689" s="38">
        <f>HLOOKUP("Host",'vInfo (Imported)'!$1:$5000,M689,FALSE)</f>
        <v>0</v>
      </c>
      <c r="R689">
        <f>HLOOKUP("CPUs",'vInfo (Imported)'!$1:$5000,M689,FALSE)</f>
        <v>0</v>
      </c>
      <c r="S689">
        <f>HLOOKUP("Memory",'vInfo (Imported)'!$1:$5000,M689,FALSE)</f>
        <v>0</v>
      </c>
      <c r="T689">
        <f>HLOOKUP("Provisioned MiB",'vInfo (Imported)'!$1:$5000,M689,FALSE)</f>
        <v>0</v>
      </c>
      <c r="U689">
        <f t="shared" si="31"/>
        <v>0</v>
      </c>
      <c r="V689">
        <f>HLOOKUP("In Use MiB",'vInfo (Imported)'!$1:$5000,M689,FALSE)</f>
        <v>0</v>
      </c>
    </row>
    <row r="690" spans="1:22" ht="13" x14ac:dyDescent="0.3">
      <c r="A690" s="46">
        <f>'vHosts (Imported)'!A690</f>
        <v>0</v>
      </c>
      <c r="B690" s="51">
        <f t="shared" si="30"/>
        <v>4968</v>
      </c>
      <c r="C690" s="49">
        <f>HLOOKUP("# Cores",'vHosts (Imported)'!$1:$5000,M690,FALSE)</f>
        <v>0</v>
      </c>
      <c r="D690" s="52">
        <f>HLOOKUP("# Memory",'vHosts (Imported)'!$1:$5000,M690,FALSE)</f>
        <v>0</v>
      </c>
      <c r="M690" s="45">
        <f t="shared" si="32"/>
        <v>690</v>
      </c>
      <c r="N690" s="38">
        <f>HLOOKUP("Host",'vInfo (Imported)'!$1:$5000,M690,FALSE)</f>
        <v>0</v>
      </c>
      <c r="R690">
        <f>HLOOKUP("CPUs",'vInfo (Imported)'!$1:$5000,M690,FALSE)</f>
        <v>0</v>
      </c>
      <c r="S690">
        <f>HLOOKUP("Memory",'vInfo (Imported)'!$1:$5000,M690,FALSE)</f>
        <v>0</v>
      </c>
      <c r="T690">
        <f>HLOOKUP("Provisioned MiB",'vInfo (Imported)'!$1:$5000,M690,FALSE)</f>
        <v>0</v>
      </c>
      <c r="U690">
        <f t="shared" si="31"/>
        <v>0</v>
      </c>
      <c r="V690">
        <f>HLOOKUP("In Use MiB",'vInfo (Imported)'!$1:$5000,M690,FALSE)</f>
        <v>0</v>
      </c>
    </row>
    <row r="691" spans="1:22" ht="13" x14ac:dyDescent="0.3">
      <c r="A691" s="46">
        <f>'vHosts (Imported)'!A691</f>
        <v>0</v>
      </c>
      <c r="B691" s="51">
        <f t="shared" si="30"/>
        <v>4968</v>
      </c>
      <c r="C691" s="49">
        <f>HLOOKUP("# Cores",'vHosts (Imported)'!$1:$5000,M691,FALSE)</f>
        <v>0</v>
      </c>
      <c r="D691" s="52">
        <f>HLOOKUP("# Memory",'vHosts (Imported)'!$1:$5000,M691,FALSE)</f>
        <v>0</v>
      </c>
      <c r="M691" s="45">
        <f t="shared" si="32"/>
        <v>691</v>
      </c>
      <c r="N691" s="38">
        <f>HLOOKUP("Host",'vInfo (Imported)'!$1:$5000,M691,FALSE)</f>
        <v>0</v>
      </c>
      <c r="R691">
        <f>HLOOKUP("CPUs",'vInfo (Imported)'!$1:$5000,M691,FALSE)</f>
        <v>0</v>
      </c>
      <c r="S691">
        <f>HLOOKUP("Memory",'vInfo (Imported)'!$1:$5000,M691,FALSE)</f>
        <v>0</v>
      </c>
      <c r="T691">
        <f>HLOOKUP("Provisioned MiB",'vInfo (Imported)'!$1:$5000,M691,FALSE)</f>
        <v>0</v>
      </c>
      <c r="U691">
        <f t="shared" si="31"/>
        <v>0</v>
      </c>
      <c r="V691">
        <f>HLOOKUP("In Use MiB",'vInfo (Imported)'!$1:$5000,M691,FALSE)</f>
        <v>0</v>
      </c>
    </row>
    <row r="692" spans="1:22" ht="13" x14ac:dyDescent="0.3">
      <c r="A692" s="46">
        <f>'vHosts (Imported)'!A692</f>
        <v>0</v>
      </c>
      <c r="B692" s="51">
        <f t="shared" si="30"/>
        <v>4968</v>
      </c>
      <c r="C692" s="49">
        <f>HLOOKUP("# Cores",'vHosts (Imported)'!$1:$5000,M692,FALSE)</f>
        <v>0</v>
      </c>
      <c r="D692" s="52">
        <f>HLOOKUP("# Memory",'vHosts (Imported)'!$1:$5000,M692,FALSE)</f>
        <v>0</v>
      </c>
      <c r="M692" s="45">
        <f t="shared" si="32"/>
        <v>692</v>
      </c>
      <c r="N692" s="38">
        <f>HLOOKUP("Host",'vInfo (Imported)'!$1:$5000,M692,FALSE)</f>
        <v>0</v>
      </c>
      <c r="R692">
        <f>HLOOKUP("CPUs",'vInfo (Imported)'!$1:$5000,M692,FALSE)</f>
        <v>0</v>
      </c>
      <c r="S692">
        <f>HLOOKUP("Memory",'vInfo (Imported)'!$1:$5000,M692,FALSE)</f>
        <v>0</v>
      </c>
      <c r="T692">
        <f>HLOOKUP("Provisioned MiB",'vInfo (Imported)'!$1:$5000,M692,FALSE)</f>
        <v>0</v>
      </c>
      <c r="U692">
        <f t="shared" si="31"/>
        <v>0</v>
      </c>
      <c r="V692">
        <f>HLOOKUP("In Use MiB",'vInfo (Imported)'!$1:$5000,M692,FALSE)</f>
        <v>0</v>
      </c>
    </row>
    <row r="693" spans="1:22" ht="13" x14ac:dyDescent="0.3">
      <c r="A693" s="46">
        <f>'vHosts (Imported)'!A693</f>
        <v>0</v>
      </c>
      <c r="B693" s="51">
        <f t="shared" si="30"/>
        <v>4968</v>
      </c>
      <c r="C693" s="49">
        <f>HLOOKUP("# Cores",'vHosts (Imported)'!$1:$5000,M693,FALSE)</f>
        <v>0</v>
      </c>
      <c r="D693" s="52">
        <f>HLOOKUP("# Memory",'vHosts (Imported)'!$1:$5000,M693,FALSE)</f>
        <v>0</v>
      </c>
      <c r="M693" s="45">
        <f t="shared" si="32"/>
        <v>693</v>
      </c>
      <c r="N693" s="38">
        <f>HLOOKUP("Host",'vInfo (Imported)'!$1:$5000,M693,FALSE)</f>
        <v>0</v>
      </c>
      <c r="R693">
        <f>HLOOKUP("CPUs",'vInfo (Imported)'!$1:$5000,M693,FALSE)</f>
        <v>0</v>
      </c>
      <c r="S693">
        <f>HLOOKUP("Memory",'vInfo (Imported)'!$1:$5000,M693,FALSE)</f>
        <v>0</v>
      </c>
      <c r="T693">
        <f>HLOOKUP("Provisioned MiB",'vInfo (Imported)'!$1:$5000,M693,FALSE)</f>
        <v>0</v>
      </c>
      <c r="U693">
        <f t="shared" si="31"/>
        <v>0</v>
      </c>
      <c r="V693">
        <f>HLOOKUP("In Use MiB",'vInfo (Imported)'!$1:$5000,M693,FALSE)</f>
        <v>0</v>
      </c>
    </row>
    <row r="694" spans="1:22" ht="13" x14ac:dyDescent="0.3">
      <c r="A694" s="46">
        <f>'vHosts (Imported)'!A694</f>
        <v>0</v>
      </c>
      <c r="B694" s="51">
        <f t="shared" si="30"/>
        <v>4968</v>
      </c>
      <c r="C694" s="49">
        <f>HLOOKUP("# Cores",'vHosts (Imported)'!$1:$5000,M694,FALSE)</f>
        <v>0</v>
      </c>
      <c r="D694" s="52">
        <f>HLOOKUP("# Memory",'vHosts (Imported)'!$1:$5000,M694,FALSE)</f>
        <v>0</v>
      </c>
      <c r="M694" s="45">
        <f t="shared" si="32"/>
        <v>694</v>
      </c>
      <c r="N694" s="38">
        <f>HLOOKUP("Host",'vInfo (Imported)'!$1:$5000,M694,FALSE)</f>
        <v>0</v>
      </c>
      <c r="R694">
        <f>HLOOKUP("CPUs",'vInfo (Imported)'!$1:$5000,M694,FALSE)</f>
        <v>0</v>
      </c>
      <c r="S694">
        <f>HLOOKUP("Memory",'vInfo (Imported)'!$1:$5000,M694,FALSE)</f>
        <v>0</v>
      </c>
      <c r="T694">
        <f>HLOOKUP("Provisioned MiB",'vInfo (Imported)'!$1:$5000,M694,FALSE)</f>
        <v>0</v>
      </c>
      <c r="U694">
        <f t="shared" si="31"/>
        <v>0</v>
      </c>
      <c r="V694">
        <f>HLOOKUP("In Use MiB",'vInfo (Imported)'!$1:$5000,M694,FALSE)</f>
        <v>0</v>
      </c>
    </row>
    <row r="695" spans="1:22" ht="13" x14ac:dyDescent="0.3">
      <c r="A695" s="46">
        <f>'vHosts (Imported)'!A695</f>
        <v>0</v>
      </c>
      <c r="B695" s="51">
        <f t="shared" si="30"/>
        <v>4968</v>
      </c>
      <c r="C695" s="49">
        <f>HLOOKUP("# Cores",'vHosts (Imported)'!$1:$5000,M695,FALSE)</f>
        <v>0</v>
      </c>
      <c r="D695" s="52">
        <f>HLOOKUP("# Memory",'vHosts (Imported)'!$1:$5000,M695,FALSE)</f>
        <v>0</v>
      </c>
      <c r="M695" s="45">
        <f t="shared" si="32"/>
        <v>695</v>
      </c>
      <c r="N695" s="38">
        <f>HLOOKUP("Host",'vInfo (Imported)'!$1:$5000,M695,FALSE)</f>
        <v>0</v>
      </c>
      <c r="R695">
        <f>HLOOKUP("CPUs",'vInfo (Imported)'!$1:$5000,M695,FALSE)</f>
        <v>0</v>
      </c>
      <c r="S695">
        <f>HLOOKUP("Memory",'vInfo (Imported)'!$1:$5000,M695,FALSE)</f>
        <v>0</v>
      </c>
      <c r="T695">
        <f>HLOOKUP("Provisioned MiB",'vInfo (Imported)'!$1:$5000,M695,FALSE)</f>
        <v>0</v>
      </c>
      <c r="U695">
        <f t="shared" si="31"/>
        <v>0</v>
      </c>
      <c r="V695">
        <f>HLOOKUP("In Use MiB",'vInfo (Imported)'!$1:$5000,M695,FALSE)</f>
        <v>0</v>
      </c>
    </row>
    <row r="696" spans="1:22" ht="13" x14ac:dyDescent="0.3">
      <c r="A696" s="46">
        <f>'vHosts (Imported)'!A696</f>
        <v>0</v>
      </c>
      <c r="B696" s="51">
        <f t="shared" si="30"/>
        <v>4968</v>
      </c>
      <c r="C696" s="49">
        <f>HLOOKUP("# Cores",'vHosts (Imported)'!$1:$5000,M696,FALSE)</f>
        <v>0</v>
      </c>
      <c r="D696" s="52">
        <f>HLOOKUP("# Memory",'vHosts (Imported)'!$1:$5000,M696,FALSE)</f>
        <v>0</v>
      </c>
      <c r="M696" s="45">
        <f t="shared" si="32"/>
        <v>696</v>
      </c>
      <c r="N696" s="38">
        <f>HLOOKUP("Host",'vInfo (Imported)'!$1:$5000,M696,FALSE)</f>
        <v>0</v>
      </c>
      <c r="R696">
        <f>HLOOKUP("CPUs",'vInfo (Imported)'!$1:$5000,M696,FALSE)</f>
        <v>0</v>
      </c>
      <c r="S696">
        <f>HLOOKUP("Memory",'vInfo (Imported)'!$1:$5000,M696,FALSE)</f>
        <v>0</v>
      </c>
      <c r="T696">
        <f>HLOOKUP("Provisioned MiB",'vInfo (Imported)'!$1:$5000,M696,FALSE)</f>
        <v>0</v>
      </c>
      <c r="U696">
        <f t="shared" si="31"/>
        <v>0</v>
      </c>
      <c r="V696">
        <f>HLOOKUP("In Use MiB",'vInfo (Imported)'!$1:$5000,M696,FALSE)</f>
        <v>0</v>
      </c>
    </row>
    <row r="697" spans="1:22" ht="13" x14ac:dyDescent="0.3">
      <c r="A697" s="46">
        <f>'vHosts (Imported)'!A697</f>
        <v>0</v>
      </c>
      <c r="B697" s="51">
        <f t="shared" si="30"/>
        <v>4968</v>
      </c>
      <c r="C697" s="49">
        <f>HLOOKUP("# Cores",'vHosts (Imported)'!$1:$5000,M697,FALSE)</f>
        <v>0</v>
      </c>
      <c r="D697" s="52">
        <f>HLOOKUP("# Memory",'vHosts (Imported)'!$1:$5000,M697,FALSE)</f>
        <v>0</v>
      </c>
      <c r="M697" s="45">
        <f t="shared" si="32"/>
        <v>697</v>
      </c>
      <c r="N697" s="38">
        <f>HLOOKUP("Host",'vInfo (Imported)'!$1:$5000,M697,FALSE)</f>
        <v>0</v>
      </c>
      <c r="R697">
        <f>HLOOKUP("CPUs",'vInfo (Imported)'!$1:$5000,M697,FALSE)</f>
        <v>0</v>
      </c>
      <c r="S697">
        <f>HLOOKUP("Memory",'vInfo (Imported)'!$1:$5000,M697,FALSE)</f>
        <v>0</v>
      </c>
      <c r="T697">
        <f>HLOOKUP("Provisioned MiB",'vInfo (Imported)'!$1:$5000,M697,FALSE)</f>
        <v>0</v>
      </c>
      <c r="U697">
        <f t="shared" si="31"/>
        <v>0</v>
      </c>
      <c r="V697">
        <f>HLOOKUP("In Use MiB",'vInfo (Imported)'!$1:$5000,M697,FALSE)</f>
        <v>0</v>
      </c>
    </row>
    <row r="698" spans="1:22" ht="13" x14ac:dyDescent="0.3">
      <c r="A698" s="46">
        <f>'vHosts (Imported)'!A698</f>
        <v>0</v>
      </c>
      <c r="B698" s="51">
        <f t="shared" si="30"/>
        <v>4968</v>
      </c>
      <c r="C698" s="49">
        <f>HLOOKUP("# Cores",'vHosts (Imported)'!$1:$5000,M698,FALSE)</f>
        <v>0</v>
      </c>
      <c r="D698" s="52">
        <f>HLOOKUP("# Memory",'vHosts (Imported)'!$1:$5000,M698,FALSE)</f>
        <v>0</v>
      </c>
      <c r="M698" s="45">
        <f t="shared" si="32"/>
        <v>698</v>
      </c>
      <c r="N698" s="38">
        <f>HLOOKUP("Host",'vInfo (Imported)'!$1:$5000,M698,FALSE)</f>
        <v>0</v>
      </c>
      <c r="R698">
        <f>HLOOKUP("CPUs",'vInfo (Imported)'!$1:$5000,M698,FALSE)</f>
        <v>0</v>
      </c>
      <c r="S698">
        <f>HLOOKUP("Memory",'vInfo (Imported)'!$1:$5000,M698,FALSE)</f>
        <v>0</v>
      </c>
      <c r="T698">
        <f>HLOOKUP("Provisioned MiB",'vInfo (Imported)'!$1:$5000,M698,FALSE)</f>
        <v>0</v>
      </c>
      <c r="U698">
        <f t="shared" si="31"/>
        <v>0</v>
      </c>
      <c r="V698">
        <f>HLOOKUP("In Use MiB",'vInfo (Imported)'!$1:$5000,M698,FALSE)</f>
        <v>0</v>
      </c>
    </row>
    <row r="699" spans="1:22" ht="13" x14ac:dyDescent="0.3">
      <c r="A699" s="46">
        <f>'vHosts (Imported)'!A699</f>
        <v>0</v>
      </c>
      <c r="B699" s="51">
        <f t="shared" si="30"/>
        <v>4968</v>
      </c>
      <c r="C699" s="49">
        <f>HLOOKUP("# Cores",'vHosts (Imported)'!$1:$5000,M699,FALSE)</f>
        <v>0</v>
      </c>
      <c r="D699" s="52">
        <f>HLOOKUP("# Memory",'vHosts (Imported)'!$1:$5000,M699,FALSE)</f>
        <v>0</v>
      </c>
      <c r="M699" s="45">
        <f t="shared" si="32"/>
        <v>699</v>
      </c>
      <c r="N699" s="38">
        <f>HLOOKUP("Host",'vInfo (Imported)'!$1:$5000,M699,FALSE)</f>
        <v>0</v>
      </c>
      <c r="R699">
        <f>HLOOKUP("CPUs",'vInfo (Imported)'!$1:$5000,M699,FALSE)</f>
        <v>0</v>
      </c>
      <c r="S699">
        <f>HLOOKUP("Memory",'vInfo (Imported)'!$1:$5000,M699,FALSE)</f>
        <v>0</v>
      </c>
      <c r="T699">
        <f>HLOOKUP("Provisioned MiB",'vInfo (Imported)'!$1:$5000,M699,FALSE)</f>
        <v>0</v>
      </c>
      <c r="U699">
        <f t="shared" si="31"/>
        <v>0</v>
      </c>
      <c r="V699">
        <f>HLOOKUP("In Use MiB",'vInfo (Imported)'!$1:$5000,M699,FALSE)</f>
        <v>0</v>
      </c>
    </row>
    <row r="700" spans="1:22" ht="13" x14ac:dyDescent="0.3">
      <c r="A700" s="46">
        <f>'vHosts (Imported)'!A700</f>
        <v>0</v>
      </c>
      <c r="B700" s="51">
        <f t="shared" si="30"/>
        <v>4968</v>
      </c>
      <c r="C700" s="49">
        <f>HLOOKUP("# Cores",'vHosts (Imported)'!$1:$5000,M700,FALSE)</f>
        <v>0</v>
      </c>
      <c r="D700" s="52">
        <f>HLOOKUP("# Memory",'vHosts (Imported)'!$1:$5000,M700,FALSE)</f>
        <v>0</v>
      </c>
      <c r="M700" s="45">
        <f t="shared" si="32"/>
        <v>700</v>
      </c>
      <c r="N700" s="38">
        <f>HLOOKUP("Host",'vInfo (Imported)'!$1:$5000,M700,FALSE)</f>
        <v>0</v>
      </c>
      <c r="R700">
        <f>HLOOKUP("CPUs",'vInfo (Imported)'!$1:$5000,M700,FALSE)</f>
        <v>0</v>
      </c>
      <c r="S700">
        <f>HLOOKUP("Memory",'vInfo (Imported)'!$1:$5000,M700,FALSE)</f>
        <v>0</v>
      </c>
      <c r="T700">
        <f>HLOOKUP("Provisioned MiB",'vInfo (Imported)'!$1:$5000,M700,FALSE)</f>
        <v>0</v>
      </c>
      <c r="U700">
        <f t="shared" si="31"/>
        <v>0</v>
      </c>
      <c r="V700">
        <f>HLOOKUP("In Use MiB",'vInfo (Imported)'!$1:$5000,M700,FALSE)</f>
        <v>0</v>
      </c>
    </row>
    <row r="701" spans="1:22" ht="13" x14ac:dyDescent="0.3">
      <c r="A701" s="46">
        <f>'vHosts (Imported)'!A701</f>
        <v>0</v>
      </c>
      <c r="B701" s="51">
        <f t="shared" si="30"/>
        <v>4968</v>
      </c>
      <c r="C701" s="49">
        <f>HLOOKUP("# Cores",'vHosts (Imported)'!$1:$5000,M701,FALSE)</f>
        <v>0</v>
      </c>
      <c r="D701" s="52">
        <f>HLOOKUP("# Memory",'vHosts (Imported)'!$1:$5000,M701,FALSE)</f>
        <v>0</v>
      </c>
      <c r="M701" s="45">
        <f t="shared" si="32"/>
        <v>701</v>
      </c>
      <c r="N701" s="38">
        <f>HLOOKUP("Host",'vInfo (Imported)'!$1:$5000,M701,FALSE)</f>
        <v>0</v>
      </c>
      <c r="R701">
        <f>HLOOKUP("CPUs",'vInfo (Imported)'!$1:$5000,M701,FALSE)</f>
        <v>0</v>
      </c>
      <c r="S701">
        <f>HLOOKUP("Memory",'vInfo (Imported)'!$1:$5000,M701,FALSE)</f>
        <v>0</v>
      </c>
      <c r="T701">
        <f>HLOOKUP("Provisioned MiB",'vInfo (Imported)'!$1:$5000,M701,FALSE)</f>
        <v>0</v>
      </c>
      <c r="U701">
        <f t="shared" si="31"/>
        <v>0</v>
      </c>
      <c r="V701">
        <f>HLOOKUP("In Use MiB",'vInfo (Imported)'!$1:$5000,M701,FALSE)</f>
        <v>0</v>
      </c>
    </row>
    <row r="702" spans="1:22" ht="13" x14ac:dyDescent="0.3">
      <c r="A702" s="46">
        <f>'vHosts (Imported)'!A702</f>
        <v>0</v>
      </c>
      <c r="B702" s="51">
        <f t="shared" si="30"/>
        <v>4968</v>
      </c>
      <c r="C702" s="49">
        <f>HLOOKUP("# Cores",'vHosts (Imported)'!$1:$5000,M702,FALSE)</f>
        <v>0</v>
      </c>
      <c r="D702" s="52">
        <f>HLOOKUP("# Memory",'vHosts (Imported)'!$1:$5000,M702,FALSE)</f>
        <v>0</v>
      </c>
      <c r="M702" s="45">
        <f t="shared" si="32"/>
        <v>702</v>
      </c>
      <c r="N702" s="38">
        <f>HLOOKUP("Host",'vInfo (Imported)'!$1:$5000,M702,FALSE)</f>
        <v>0</v>
      </c>
      <c r="R702">
        <f>HLOOKUP("CPUs",'vInfo (Imported)'!$1:$5000,M702,FALSE)</f>
        <v>0</v>
      </c>
      <c r="S702">
        <f>HLOOKUP("Memory",'vInfo (Imported)'!$1:$5000,M702,FALSE)</f>
        <v>0</v>
      </c>
      <c r="T702">
        <f>HLOOKUP("Provisioned MiB",'vInfo (Imported)'!$1:$5000,M702,FALSE)</f>
        <v>0</v>
      </c>
      <c r="U702">
        <f t="shared" si="31"/>
        <v>0</v>
      </c>
      <c r="V702">
        <f>HLOOKUP("In Use MiB",'vInfo (Imported)'!$1:$5000,M702,FALSE)</f>
        <v>0</v>
      </c>
    </row>
    <row r="703" spans="1:22" ht="13" x14ac:dyDescent="0.3">
      <c r="A703" s="46">
        <f>'vHosts (Imported)'!A703</f>
        <v>0</v>
      </c>
      <c r="B703" s="51">
        <f t="shared" si="30"/>
        <v>4968</v>
      </c>
      <c r="C703" s="49">
        <f>HLOOKUP("# Cores",'vHosts (Imported)'!$1:$5000,M703,FALSE)</f>
        <v>0</v>
      </c>
      <c r="D703" s="52">
        <f>HLOOKUP("# Memory",'vHosts (Imported)'!$1:$5000,M703,FALSE)</f>
        <v>0</v>
      </c>
      <c r="M703" s="45">
        <f t="shared" si="32"/>
        <v>703</v>
      </c>
      <c r="N703" s="38">
        <f>HLOOKUP("Host",'vInfo (Imported)'!$1:$5000,M703,FALSE)</f>
        <v>0</v>
      </c>
      <c r="R703">
        <f>HLOOKUP("CPUs",'vInfo (Imported)'!$1:$5000,M703,FALSE)</f>
        <v>0</v>
      </c>
      <c r="S703">
        <f>HLOOKUP("Memory",'vInfo (Imported)'!$1:$5000,M703,FALSE)</f>
        <v>0</v>
      </c>
      <c r="T703">
        <f>HLOOKUP("Provisioned MiB",'vInfo (Imported)'!$1:$5000,M703,FALSE)</f>
        <v>0</v>
      </c>
      <c r="U703">
        <f t="shared" si="31"/>
        <v>0</v>
      </c>
      <c r="V703">
        <f>HLOOKUP("In Use MiB",'vInfo (Imported)'!$1:$5000,M703,FALSE)</f>
        <v>0</v>
      </c>
    </row>
    <row r="704" spans="1:22" ht="13" x14ac:dyDescent="0.3">
      <c r="A704" s="46">
        <f>'vHosts (Imported)'!A704</f>
        <v>0</v>
      </c>
      <c r="B704" s="51">
        <f t="shared" si="30"/>
        <v>4968</v>
      </c>
      <c r="C704" s="49">
        <f>HLOOKUP("# Cores",'vHosts (Imported)'!$1:$5000,M704,FALSE)</f>
        <v>0</v>
      </c>
      <c r="D704" s="52">
        <f>HLOOKUP("# Memory",'vHosts (Imported)'!$1:$5000,M704,FALSE)</f>
        <v>0</v>
      </c>
      <c r="M704" s="45">
        <f t="shared" si="32"/>
        <v>704</v>
      </c>
      <c r="N704" s="38">
        <f>HLOOKUP("Host",'vInfo (Imported)'!$1:$5000,M704,FALSE)</f>
        <v>0</v>
      </c>
      <c r="R704">
        <f>HLOOKUP("CPUs",'vInfo (Imported)'!$1:$5000,M704,FALSE)</f>
        <v>0</v>
      </c>
      <c r="S704">
        <f>HLOOKUP("Memory",'vInfo (Imported)'!$1:$5000,M704,FALSE)</f>
        <v>0</v>
      </c>
      <c r="T704">
        <f>HLOOKUP("Provisioned MiB",'vInfo (Imported)'!$1:$5000,M704,FALSE)</f>
        <v>0</v>
      </c>
      <c r="U704">
        <f t="shared" si="31"/>
        <v>0</v>
      </c>
      <c r="V704">
        <f>HLOOKUP("In Use MiB",'vInfo (Imported)'!$1:$5000,M704,FALSE)</f>
        <v>0</v>
      </c>
    </row>
    <row r="705" spans="1:22" ht="13" x14ac:dyDescent="0.3">
      <c r="A705" s="46">
        <f>'vHosts (Imported)'!A705</f>
        <v>0</v>
      </c>
      <c r="B705" s="51">
        <f t="shared" si="30"/>
        <v>4968</v>
      </c>
      <c r="C705" s="49">
        <f>HLOOKUP("# Cores",'vHosts (Imported)'!$1:$5000,M705,FALSE)</f>
        <v>0</v>
      </c>
      <c r="D705" s="52">
        <f>HLOOKUP("# Memory",'vHosts (Imported)'!$1:$5000,M705,FALSE)</f>
        <v>0</v>
      </c>
      <c r="M705" s="45">
        <f t="shared" si="32"/>
        <v>705</v>
      </c>
      <c r="N705" s="38">
        <f>HLOOKUP("Host",'vInfo (Imported)'!$1:$5000,M705,FALSE)</f>
        <v>0</v>
      </c>
      <c r="R705">
        <f>HLOOKUP("CPUs",'vInfo (Imported)'!$1:$5000,M705,FALSE)</f>
        <v>0</v>
      </c>
      <c r="S705">
        <f>HLOOKUP("Memory",'vInfo (Imported)'!$1:$5000,M705,FALSE)</f>
        <v>0</v>
      </c>
      <c r="T705">
        <f>HLOOKUP("Provisioned MiB",'vInfo (Imported)'!$1:$5000,M705,FALSE)</f>
        <v>0</v>
      </c>
      <c r="U705">
        <f t="shared" si="31"/>
        <v>0</v>
      </c>
      <c r="V705">
        <f>HLOOKUP("In Use MiB",'vInfo (Imported)'!$1:$5000,M705,FALSE)</f>
        <v>0</v>
      </c>
    </row>
    <row r="706" spans="1:22" ht="13" x14ac:dyDescent="0.3">
      <c r="A706" s="46">
        <f>'vHosts (Imported)'!A706</f>
        <v>0</v>
      </c>
      <c r="B706" s="51">
        <f t="shared" ref="B706:B769" si="33">COUNTIFS(N:N,IF(A706=0,"0",A706))</f>
        <v>4968</v>
      </c>
      <c r="C706" s="49">
        <f>HLOOKUP("# Cores",'vHosts (Imported)'!$1:$5000,M706,FALSE)</f>
        <v>0</v>
      </c>
      <c r="D706" s="52">
        <f>HLOOKUP("# Memory",'vHosts (Imported)'!$1:$5000,M706,FALSE)</f>
        <v>0</v>
      </c>
      <c r="M706" s="45">
        <f t="shared" si="32"/>
        <v>706</v>
      </c>
      <c r="N706" s="38">
        <f>HLOOKUP("Host",'vInfo (Imported)'!$1:$5000,M706,FALSE)</f>
        <v>0</v>
      </c>
      <c r="R706">
        <f>HLOOKUP("CPUs",'vInfo (Imported)'!$1:$5000,M706,FALSE)</f>
        <v>0</v>
      </c>
      <c r="S706">
        <f>HLOOKUP("Memory",'vInfo (Imported)'!$1:$5000,M706,FALSE)</f>
        <v>0</v>
      </c>
      <c r="T706">
        <f>HLOOKUP("Provisioned MiB",'vInfo (Imported)'!$1:$5000,M706,FALSE)</f>
        <v>0</v>
      </c>
      <c r="U706">
        <f t="shared" si="31"/>
        <v>0</v>
      </c>
      <c r="V706">
        <f>HLOOKUP("In Use MiB",'vInfo (Imported)'!$1:$5000,M706,FALSE)</f>
        <v>0</v>
      </c>
    </row>
    <row r="707" spans="1:22" ht="13" x14ac:dyDescent="0.3">
      <c r="A707" s="46">
        <f>'vHosts (Imported)'!A707</f>
        <v>0</v>
      </c>
      <c r="B707" s="51">
        <f t="shared" si="33"/>
        <v>4968</v>
      </c>
      <c r="C707" s="49">
        <f>HLOOKUP("# Cores",'vHosts (Imported)'!$1:$5000,M707,FALSE)</f>
        <v>0</v>
      </c>
      <c r="D707" s="52">
        <f>HLOOKUP("# Memory",'vHosts (Imported)'!$1:$5000,M707,FALSE)</f>
        <v>0</v>
      </c>
      <c r="M707" s="45">
        <f t="shared" si="32"/>
        <v>707</v>
      </c>
      <c r="N707" s="38">
        <f>HLOOKUP("Host",'vInfo (Imported)'!$1:$5000,M707,FALSE)</f>
        <v>0</v>
      </c>
      <c r="R707">
        <f>HLOOKUP("CPUs",'vInfo (Imported)'!$1:$5000,M707,FALSE)</f>
        <v>0</v>
      </c>
      <c r="S707">
        <f>HLOOKUP("Memory",'vInfo (Imported)'!$1:$5000,M707,FALSE)</f>
        <v>0</v>
      </c>
      <c r="T707">
        <f>HLOOKUP("Provisioned MiB",'vInfo (Imported)'!$1:$5000,M707,FALSE)</f>
        <v>0</v>
      </c>
      <c r="U707">
        <f t="shared" ref="U707:U770" si="34">T707-V707</f>
        <v>0</v>
      </c>
      <c r="V707">
        <f>HLOOKUP("In Use MiB",'vInfo (Imported)'!$1:$5000,M707,FALSE)</f>
        <v>0</v>
      </c>
    </row>
    <row r="708" spans="1:22" ht="13" x14ac:dyDescent="0.3">
      <c r="A708" s="46">
        <f>'vHosts (Imported)'!A708</f>
        <v>0</v>
      </c>
      <c r="B708" s="51">
        <f t="shared" si="33"/>
        <v>4968</v>
      </c>
      <c r="C708" s="49">
        <f>HLOOKUP("# Cores",'vHosts (Imported)'!$1:$5000,M708,FALSE)</f>
        <v>0</v>
      </c>
      <c r="D708" s="52">
        <f>HLOOKUP("# Memory",'vHosts (Imported)'!$1:$5000,M708,FALSE)</f>
        <v>0</v>
      </c>
      <c r="M708" s="45">
        <f t="shared" ref="M708:M771" si="35">M707+1</f>
        <v>708</v>
      </c>
      <c r="N708" s="38">
        <f>HLOOKUP("Host",'vInfo (Imported)'!$1:$5000,M708,FALSE)</f>
        <v>0</v>
      </c>
      <c r="R708">
        <f>HLOOKUP("CPUs",'vInfo (Imported)'!$1:$5000,M708,FALSE)</f>
        <v>0</v>
      </c>
      <c r="S708">
        <f>HLOOKUP("Memory",'vInfo (Imported)'!$1:$5000,M708,FALSE)</f>
        <v>0</v>
      </c>
      <c r="T708">
        <f>HLOOKUP("Provisioned MiB",'vInfo (Imported)'!$1:$5000,M708,FALSE)</f>
        <v>0</v>
      </c>
      <c r="U708">
        <f t="shared" si="34"/>
        <v>0</v>
      </c>
      <c r="V708">
        <f>HLOOKUP("In Use MiB",'vInfo (Imported)'!$1:$5000,M708,FALSE)</f>
        <v>0</v>
      </c>
    </row>
    <row r="709" spans="1:22" ht="13" x14ac:dyDescent="0.3">
      <c r="A709" s="46">
        <f>'vHosts (Imported)'!A709</f>
        <v>0</v>
      </c>
      <c r="B709" s="51">
        <f t="shared" si="33"/>
        <v>4968</v>
      </c>
      <c r="C709" s="49">
        <f>HLOOKUP("# Cores",'vHosts (Imported)'!$1:$5000,M709,FALSE)</f>
        <v>0</v>
      </c>
      <c r="D709" s="52">
        <f>HLOOKUP("# Memory",'vHosts (Imported)'!$1:$5000,M709,FALSE)</f>
        <v>0</v>
      </c>
      <c r="M709" s="45">
        <f t="shared" si="35"/>
        <v>709</v>
      </c>
      <c r="N709" s="38">
        <f>HLOOKUP("Host",'vInfo (Imported)'!$1:$5000,M709,FALSE)</f>
        <v>0</v>
      </c>
      <c r="R709">
        <f>HLOOKUP("CPUs",'vInfo (Imported)'!$1:$5000,M709,FALSE)</f>
        <v>0</v>
      </c>
      <c r="S709">
        <f>HLOOKUP("Memory",'vInfo (Imported)'!$1:$5000,M709,FALSE)</f>
        <v>0</v>
      </c>
      <c r="T709">
        <f>HLOOKUP("Provisioned MiB",'vInfo (Imported)'!$1:$5000,M709,FALSE)</f>
        <v>0</v>
      </c>
      <c r="U709">
        <f t="shared" si="34"/>
        <v>0</v>
      </c>
      <c r="V709">
        <f>HLOOKUP("In Use MiB",'vInfo (Imported)'!$1:$5000,M709,FALSE)</f>
        <v>0</v>
      </c>
    </row>
    <row r="710" spans="1:22" ht="13" x14ac:dyDescent="0.3">
      <c r="A710" s="46">
        <f>'vHosts (Imported)'!A710</f>
        <v>0</v>
      </c>
      <c r="B710" s="51">
        <f t="shared" si="33"/>
        <v>4968</v>
      </c>
      <c r="C710" s="49">
        <f>HLOOKUP("# Cores",'vHosts (Imported)'!$1:$5000,M710,FALSE)</f>
        <v>0</v>
      </c>
      <c r="D710" s="52">
        <f>HLOOKUP("# Memory",'vHosts (Imported)'!$1:$5000,M710,FALSE)</f>
        <v>0</v>
      </c>
      <c r="M710" s="45">
        <f t="shared" si="35"/>
        <v>710</v>
      </c>
      <c r="N710" s="38">
        <f>HLOOKUP("Host",'vInfo (Imported)'!$1:$5000,M710,FALSE)</f>
        <v>0</v>
      </c>
      <c r="R710">
        <f>HLOOKUP("CPUs",'vInfo (Imported)'!$1:$5000,M710,FALSE)</f>
        <v>0</v>
      </c>
      <c r="S710">
        <f>HLOOKUP("Memory",'vInfo (Imported)'!$1:$5000,M710,FALSE)</f>
        <v>0</v>
      </c>
      <c r="T710">
        <f>HLOOKUP("Provisioned MiB",'vInfo (Imported)'!$1:$5000,M710,FALSE)</f>
        <v>0</v>
      </c>
      <c r="U710">
        <f t="shared" si="34"/>
        <v>0</v>
      </c>
      <c r="V710">
        <f>HLOOKUP("In Use MiB",'vInfo (Imported)'!$1:$5000,M710,FALSE)</f>
        <v>0</v>
      </c>
    </row>
    <row r="711" spans="1:22" ht="13" x14ac:dyDescent="0.3">
      <c r="A711" s="46">
        <f>'vHosts (Imported)'!A711</f>
        <v>0</v>
      </c>
      <c r="B711" s="51">
        <f t="shared" si="33"/>
        <v>4968</v>
      </c>
      <c r="C711" s="49">
        <f>HLOOKUP("# Cores",'vHosts (Imported)'!$1:$5000,M711,FALSE)</f>
        <v>0</v>
      </c>
      <c r="D711" s="52">
        <f>HLOOKUP("# Memory",'vHosts (Imported)'!$1:$5000,M711,FALSE)</f>
        <v>0</v>
      </c>
      <c r="M711" s="45">
        <f t="shared" si="35"/>
        <v>711</v>
      </c>
      <c r="N711" s="38">
        <f>HLOOKUP("Host",'vInfo (Imported)'!$1:$5000,M711,FALSE)</f>
        <v>0</v>
      </c>
      <c r="R711">
        <f>HLOOKUP("CPUs",'vInfo (Imported)'!$1:$5000,M711,FALSE)</f>
        <v>0</v>
      </c>
      <c r="S711">
        <f>HLOOKUP("Memory",'vInfo (Imported)'!$1:$5000,M711,FALSE)</f>
        <v>0</v>
      </c>
      <c r="T711">
        <f>HLOOKUP("Provisioned MiB",'vInfo (Imported)'!$1:$5000,M711,FALSE)</f>
        <v>0</v>
      </c>
      <c r="U711">
        <f t="shared" si="34"/>
        <v>0</v>
      </c>
      <c r="V711">
        <f>HLOOKUP("In Use MiB",'vInfo (Imported)'!$1:$5000,M711,FALSE)</f>
        <v>0</v>
      </c>
    </row>
    <row r="712" spans="1:22" ht="13" x14ac:dyDescent="0.3">
      <c r="A712" s="46">
        <f>'vHosts (Imported)'!A712</f>
        <v>0</v>
      </c>
      <c r="B712" s="51">
        <f t="shared" si="33"/>
        <v>4968</v>
      </c>
      <c r="C712" s="49">
        <f>HLOOKUP("# Cores",'vHosts (Imported)'!$1:$5000,M712,FALSE)</f>
        <v>0</v>
      </c>
      <c r="D712" s="52">
        <f>HLOOKUP("# Memory",'vHosts (Imported)'!$1:$5000,M712,FALSE)</f>
        <v>0</v>
      </c>
      <c r="M712" s="45">
        <f t="shared" si="35"/>
        <v>712</v>
      </c>
      <c r="N712" s="38">
        <f>HLOOKUP("Host",'vInfo (Imported)'!$1:$5000,M712,FALSE)</f>
        <v>0</v>
      </c>
      <c r="R712">
        <f>HLOOKUP("CPUs",'vInfo (Imported)'!$1:$5000,M712,FALSE)</f>
        <v>0</v>
      </c>
      <c r="S712">
        <f>HLOOKUP("Memory",'vInfo (Imported)'!$1:$5000,M712,FALSE)</f>
        <v>0</v>
      </c>
      <c r="T712">
        <f>HLOOKUP("Provisioned MiB",'vInfo (Imported)'!$1:$5000,M712,FALSE)</f>
        <v>0</v>
      </c>
      <c r="U712">
        <f t="shared" si="34"/>
        <v>0</v>
      </c>
      <c r="V712">
        <f>HLOOKUP("In Use MiB",'vInfo (Imported)'!$1:$5000,M712,FALSE)</f>
        <v>0</v>
      </c>
    </row>
    <row r="713" spans="1:22" ht="13" x14ac:dyDescent="0.3">
      <c r="A713" s="46">
        <f>'vHosts (Imported)'!A713</f>
        <v>0</v>
      </c>
      <c r="B713" s="51">
        <f t="shared" si="33"/>
        <v>4968</v>
      </c>
      <c r="C713" s="49">
        <f>HLOOKUP("# Cores",'vHosts (Imported)'!$1:$5000,M713,FALSE)</f>
        <v>0</v>
      </c>
      <c r="D713" s="52">
        <f>HLOOKUP("# Memory",'vHosts (Imported)'!$1:$5000,M713,FALSE)</f>
        <v>0</v>
      </c>
      <c r="M713" s="45">
        <f t="shared" si="35"/>
        <v>713</v>
      </c>
      <c r="N713" s="38">
        <f>HLOOKUP("Host",'vInfo (Imported)'!$1:$5000,M713,FALSE)</f>
        <v>0</v>
      </c>
      <c r="R713">
        <f>HLOOKUP("CPUs",'vInfo (Imported)'!$1:$5000,M713,FALSE)</f>
        <v>0</v>
      </c>
      <c r="S713">
        <f>HLOOKUP("Memory",'vInfo (Imported)'!$1:$5000,M713,FALSE)</f>
        <v>0</v>
      </c>
      <c r="T713">
        <f>HLOOKUP("Provisioned MiB",'vInfo (Imported)'!$1:$5000,M713,FALSE)</f>
        <v>0</v>
      </c>
      <c r="U713">
        <f t="shared" si="34"/>
        <v>0</v>
      </c>
      <c r="V713">
        <f>HLOOKUP("In Use MiB",'vInfo (Imported)'!$1:$5000,M713,FALSE)</f>
        <v>0</v>
      </c>
    </row>
    <row r="714" spans="1:22" ht="13" x14ac:dyDescent="0.3">
      <c r="A714" s="46">
        <f>'vHosts (Imported)'!A714</f>
        <v>0</v>
      </c>
      <c r="B714" s="51">
        <f t="shared" si="33"/>
        <v>4968</v>
      </c>
      <c r="C714" s="49">
        <f>HLOOKUP("# Cores",'vHosts (Imported)'!$1:$5000,M714,FALSE)</f>
        <v>0</v>
      </c>
      <c r="D714" s="52">
        <f>HLOOKUP("# Memory",'vHosts (Imported)'!$1:$5000,M714,FALSE)</f>
        <v>0</v>
      </c>
      <c r="M714" s="45">
        <f t="shared" si="35"/>
        <v>714</v>
      </c>
      <c r="N714" s="38">
        <f>HLOOKUP("Host",'vInfo (Imported)'!$1:$5000,M714,FALSE)</f>
        <v>0</v>
      </c>
      <c r="R714">
        <f>HLOOKUP("CPUs",'vInfo (Imported)'!$1:$5000,M714,FALSE)</f>
        <v>0</v>
      </c>
      <c r="S714">
        <f>HLOOKUP("Memory",'vInfo (Imported)'!$1:$5000,M714,FALSE)</f>
        <v>0</v>
      </c>
      <c r="T714">
        <f>HLOOKUP("Provisioned MiB",'vInfo (Imported)'!$1:$5000,M714,FALSE)</f>
        <v>0</v>
      </c>
      <c r="U714">
        <f t="shared" si="34"/>
        <v>0</v>
      </c>
      <c r="V714">
        <f>HLOOKUP("In Use MiB",'vInfo (Imported)'!$1:$5000,M714,FALSE)</f>
        <v>0</v>
      </c>
    </row>
    <row r="715" spans="1:22" ht="13" x14ac:dyDescent="0.3">
      <c r="A715" s="46">
        <f>'vHosts (Imported)'!A715</f>
        <v>0</v>
      </c>
      <c r="B715" s="51">
        <f t="shared" si="33"/>
        <v>4968</v>
      </c>
      <c r="C715" s="49">
        <f>HLOOKUP("# Cores",'vHosts (Imported)'!$1:$5000,M715,FALSE)</f>
        <v>0</v>
      </c>
      <c r="D715" s="52">
        <f>HLOOKUP("# Memory",'vHosts (Imported)'!$1:$5000,M715,FALSE)</f>
        <v>0</v>
      </c>
      <c r="M715" s="45">
        <f t="shared" si="35"/>
        <v>715</v>
      </c>
      <c r="N715" s="38">
        <f>HLOOKUP("Host",'vInfo (Imported)'!$1:$5000,M715,FALSE)</f>
        <v>0</v>
      </c>
      <c r="R715">
        <f>HLOOKUP("CPUs",'vInfo (Imported)'!$1:$5000,M715,FALSE)</f>
        <v>0</v>
      </c>
      <c r="S715">
        <f>HLOOKUP("Memory",'vInfo (Imported)'!$1:$5000,M715,FALSE)</f>
        <v>0</v>
      </c>
      <c r="T715">
        <f>HLOOKUP("Provisioned MiB",'vInfo (Imported)'!$1:$5000,M715,FALSE)</f>
        <v>0</v>
      </c>
      <c r="U715">
        <f t="shared" si="34"/>
        <v>0</v>
      </c>
      <c r="V715">
        <f>HLOOKUP("In Use MiB",'vInfo (Imported)'!$1:$5000,M715,FALSE)</f>
        <v>0</v>
      </c>
    </row>
    <row r="716" spans="1:22" ht="13" x14ac:dyDescent="0.3">
      <c r="A716" s="46">
        <f>'vHosts (Imported)'!A716</f>
        <v>0</v>
      </c>
      <c r="B716" s="51">
        <f t="shared" si="33"/>
        <v>4968</v>
      </c>
      <c r="C716" s="49">
        <f>HLOOKUP("# Cores",'vHosts (Imported)'!$1:$5000,M716,FALSE)</f>
        <v>0</v>
      </c>
      <c r="D716" s="52">
        <f>HLOOKUP("# Memory",'vHosts (Imported)'!$1:$5000,M716,FALSE)</f>
        <v>0</v>
      </c>
      <c r="M716" s="45">
        <f t="shared" si="35"/>
        <v>716</v>
      </c>
      <c r="N716" s="38">
        <f>HLOOKUP("Host",'vInfo (Imported)'!$1:$5000,M716,FALSE)</f>
        <v>0</v>
      </c>
      <c r="R716">
        <f>HLOOKUP("CPUs",'vInfo (Imported)'!$1:$5000,M716,FALSE)</f>
        <v>0</v>
      </c>
      <c r="S716">
        <f>HLOOKUP("Memory",'vInfo (Imported)'!$1:$5000,M716,FALSE)</f>
        <v>0</v>
      </c>
      <c r="T716">
        <f>HLOOKUP("Provisioned MiB",'vInfo (Imported)'!$1:$5000,M716,FALSE)</f>
        <v>0</v>
      </c>
      <c r="U716">
        <f t="shared" si="34"/>
        <v>0</v>
      </c>
      <c r="V716">
        <f>HLOOKUP("In Use MiB",'vInfo (Imported)'!$1:$5000,M716,FALSE)</f>
        <v>0</v>
      </c>
    </row>
    <row r="717" spans="1:22" ht="13" x14ac:dyDescent="0.3">
      <c r="A717" s="46">
        <f>'vHosts (Imported)'!A717</f>
        <v>0</v>
      </c>
      <c r="B717" s="51">
        <f t="shared" si="33"/>
        <v>4968</v>
      </c>
      <c r="C717" s="49">
        <f>HLOOKUP("# Cores",'vHosts (Imported)'!$1:$5000,M717,FALSE)</f>
        <v>0</v>
      </c>
      <c r="D717" s="52">
        <f>HLOOKUP("# Memory",'vHosts (Imported)'!$1:$5000,M717,FALSE)</f>
        <v>0</v>
      </c>
      <c r="M717" s="45">
        <f t="shared" si="35"/>
        <v>717</v>
      </c>
      <c r="N717" s="38">
        <f>HLOOKUP("Host",'vInfo (Imported)'!$1:$5000,M717,FALSE)</f>
        <v>0</v>
      </c>
      <c r="R717">
        <f>HLOOKUP("CPUs",'vInfo (Imported)'!$1:$5000,M717,FALSE)</f>
        <v>0</v>
      </c>
      <c r="S717">
        <f>HLOOKUP("Memory",'vInfo (Imported)'!$1:$5000,M717,FALSE)</f>
        <v>0</v>
      </c>
      <c r="T717">
        <f>HLOOKUP("Provisioned MiB",'vInfo (Imported)'!$1:$5000,M717,FALSE)</f>
        <v>0</v>
      </c>
      <c r="U717">
        <f t="shared" si="34"/>
        <v>0</v>
      </c>
      <c r="V717">
        <f>HLOOKUP("In Use MiB",'vInfo (Imported)'!$1:$5000,M717,FALSE)</f>
        <v>0</v>
      </c>
    </row>
    <row r="718" spans="1:22" ht="13" x14ac:dyDescent="0.3">
      <c r="A718" s="46">
        <f>'vHosts (Imported)'!A718</f>
        <v>0</v>
      </c>
      <c r="B718" s="51">
        <f t="shared" si="33"/>
        <v>4968</v>
      </c>
      <c r="C718" s="49">
        <f>HLOOKUP("# Cores",'vHosts (Imported)'!$1:$5000,M718,FALSE)</f>
        <v>0</v>
      </c>
      <c r="D718" s="52">
        <f>HLOOKUP("# Memory",'vHosts (Imported)'!$1:$5000,M718,FALSE)</f>
        <v>0</v>
      </c>
      <c r="M718" s="45">
        <f t="shared" si="35"/>
        <v>718</v>
      </c>
      <c r="N718" s="38">
        <f>HLOOKUP("Host",'vInfo (Imported)'!$1:$5000,M718,FALSE)</f>
        <v>0</v>
      </c>
      <c r="R718">
        <f>HLOOKUP("CPUs",'vInfo (Imported)'!$1:$5000,M718,FALSE)</f>
        <v>0</v>
      </c>
      <c r="S718">
        <f>HLOOKUP("Memory",'vInfo (Imported)'!$1:$5000,M718,FALSE)</f>
        <v>0</v>
      </c>
      <c r="T718">
        <f>HLOOKUP("Provisioned MiB",'vInfo (Imported)'!$1:$5000,M718,FALSE)</f>
        <v>0</v>
      </c>
      <c r="U718">
        <f t="shared" si="34"/>
        <v>0</v>
      </c>
      <c r="V718">
        <f>HLOOKUP("In Use MiB",'vInfo (Imported)'!$1:$5000,M718,FALSE)</f>
        <v>0</v>
      </c>
    </row>
    <row r="719" spans="1:22" ht="13" x14ac:dyDescent="0.3">
      <c r="A719" s="46">
        <f>'vHosts (Imported)'!A719</f>
        <v>0</v>
      </c>
      <c r="B719" s="51">
        <f t="shared" si="33"/>
        <v>4968</v>
      </c>
      <c r="C719" s="49">
        <f>HLOOKUP("# Cores",'vHosts (Imported)'!$1:$5000,M719,FALSE)</f>
        <v>0</v>
      </c>
      <c r="D719" s="52">
        <f>HLOOKUP("# Memory",'vHosts (Imported)'!$1:$5000,M719,FALSE)</f>
        <v>0</v>
      </c>
      <c r="M719" s="45">
        <f t="shared" si="35"/>
        <v>719</v>
      </c>
      <c r="N719" s="38">
        <f>HLOOKUP("Host",'vInfo (Imported)'!$1:$5000,M719,FALSE)</f>
        <v>0</v>
      </c>
      <c r="R719">
        <f>HLOOKUP("CPUs",'vInfo (Imported)'!$1:$5000,M719,FALSE)</f>
        <v>0</v>
      </c>
      <c r="S719">
        <f>HLOOKUP("Memory",'vInfo (Imported)'!$1:$5000,M719,FALSE)</f>
        <v>0</v>
      </c>
      <c r="T719">
        <f>HLOOKUP("Provisioned MiB",'vInfo (Imported)'!$1:$5000,M719,FALSE)</f>
        <v>0</v>
      </c>
      <c r="U719">
        <f t="shared" si="34"/>
        <v>0</v>
      </c>
      <c r="V719">
        <f>HLOOKUP("In Use MiB",'vInfo (Imported)'!$1:$5000,M719,FALSE)</f>
        <v>0</v>
      </c>
    </row>
    <row r="720" spans="1:22" ht="13" x14ac:dyDescent="0.3">
      <c r="A720" s="46">
        <f>'vHosts (Imported)'!A720</f>
        <v>0</v>
      </c>
      <c r="B720" s="51">
        <f t="shared" si="33"/>
        <v>4968</v>
      </c>
      <c r="C720" s="49">
        <f>HLOOKUP("# Cores",'vHosts (Imported)'!$1:$5000,M720,FALSE)</f>
        <v>0</v>
      </c>
      <c r="D720" s="52">
        <f>HLOOKUP("# Memory",'vHosts (Imported)'!$1:$5000,M720,FALSE)</f>
        <v>0</v>
      </c>
      <c r="M720" s="45">
        <f t="shared" si="35"/>
        <v>720</v>
      </c>
      <c r="N720" s="38">
        <f>HLOOKUP("Host",'vInfo (Imported)'!$1:$5000,M720,FALSE)</f>
        <v>0</v>
      </c>
      <c r="R720">
        <f>HLOOKUP("CPUs",'vInfo (Imported)'!$1:$5000,M720,FALSE)</f>
        <v>0</v>
      </c>
      <c r="S720">
        <f>HLOOKUP("Memory",'vInfo (Imported)'!$1:$5000,M720,FALSE)</f>
        <v>0</v>
      </c>
      <c r="T720">
        <f>HLOOKUP("Provisioned MiB",'vInfo (Imported)'!$1:$5000,M720,FALSE)</f>
        <v>0</v>
      </c>
      <c r="U720">
        <f t="shared" si="34"/>
        <v>0</v>
      </c>
      <c r="V720">
        <f>HLOOKUP("In Use MiB",'vInfo (Imported)'!$1:$5000,M720,FALSE)</f>
        <v>0</v>
      </c>
    </row>
    <row r="721" spans="1:22" ht="13" x14ac:dyDescent="0.3">
      <c r="A721" s="46">
        <f>'vHosts (Imported)'!A721</f>
        <v>0</v>
      </c>
      <c r="B721" s="51">
        <f t="shared" si="33"/>
        <v>4968</v>
      </c>
      <c r="C721" s="49">
        <f>HLOOKUP("# Cores",'vHosts (Imported)'!$1:$5000,M721,FALSE)</f>
        <v>0</v>
      </c>
      <c r="D721" s="52">
        <f>HLOOKUP("# Memory",'vHosts (Imported)'!$1:$5000,M721,FALSE)</f>
        <v>0</v>
      </c>
      <c r="M721" s="45">
        <f t="shared" si="35"/>
        <v>721</v>
      </c>
      <c r="N721" s="38">
        <f>HLOOKUP("Host",'vInfo (Imported)'!$1:$5000,M721,FALSE)</f>
        <v>0</v>
      </c>
      <c r="R721">
        <f>HLOOKUP("CPUs",'vInfo (Imported)'!$1:$5000,M721,FALSE)</f>
        <v>0</v>
      </c>
      <c r="S721">
        <f>HLOOKUP("Memory",'vInfo (Imported)'!$1:$5000,M721,FALSE)</f>
        <v>0</v>
      </c>
      <c r="T721">
        <f>HLOOKUP("Provisioned MiB",'vInfo (Imported)'!$1:$5000,M721,FALSE)</f>
        <v>0</v>
      </c>
      <c r="U721">
        <f t="shared" si="34"/>
        <v>0</v>
      </c>
      <c r="V721">
        <f>HLOOKUP("In Use MiB",'vInfo (Imported)'!$1:$5000,M721,FALSE)</f>
        <v>0</v>
      </c>
    </row>
    <row r="722" spans="1:22" ht="13" x14ac:dyDescent="0.3">
      <c r="A722" s="46">
        <f>'vHosts (Imported)'!A722</f>
        <v>0</v>
      </c>
      <c r="B722" s="51">
        <f t="shared" si="33"/>
        <v>4968</v>
      </c>
      <c r="C722" s="49">
        <f>HLOOKUP("# Cores",'vHosts (Imported)'!$1:$5000,M722,FALSE)</f>
        <v>0</v>
      </c>
      <c r="D722" s="52">
        <f>HLOOKUP("# Memory",'vHosts (Imported)'!$1:$5000,M722,FALSE)</f>
        <v>0</v>
      </c>
      <c r="M722" s="45">
        <f t="shared" si="35"/>
        <v>722</v>
      </c>
      <c r="N722" s="38">
        <f>HLOOKUP("Host",'vInfo (Imported)'!$1:$5000,M722,FALSE)</f>
        <v>0</v>
      </c>
      <c r="R722">
        <f>HLOOKUP("CPUs",'vInfo (Imported)'!$1:$5000,M722,FALSE)</f>
        <v>0</v>
      </c>
      <c r="S722">
        <f>HLOOKUP("Memory",'vInfo (Imported)'!$1:$5000,M722,FALSE)</f>
        <v>0</v>
      </c>
      <c r="T722">
        <f>HLOOKUP("Provisioned MiB",'vInfo (Imported)'!$1:$5000,M722,FALSE)</f>
        <v>0</v>
      </c>
      <c r="U722">
        <f t="shared" si="34"/>
        <v>0</v>
      </c>
      <c r="V722">
        <f>HLOOKUP("In Use MiB",'vInfo (Imported)'!$1:$5000,M722,FALSE)</f>
        <v>0</v>
      </c>
    </row>
    <row r="723" spans="1:22" ht="13" x14ac:dyDescent="0.3">
      <c r="A723" s="46">
        <f>'vHosts (Imported)'!A723</f>
        <v>0</v>
      </c>
      <c r="B723" s="51">
        <f t="shared" si="33"/>
        <v>4968</v>
      </c>
      <c r="C723" s="49">
        <f>HLOOKUP("# Cores",'vHosts (Imported)'!$1:$5000,M723,FALSE)</f>
        <v>0</v>
      </c>
      <c r="D723" s="52">
        <f>HLOOKUP("# Memory",'vHosts (Imported)'!$1:$5000,M723,FALSE)</f>
        <v>0</v>
      </c>
      <c r="M723" s="45">
        <f t="shared" si="35"/>
        <v>723</v>
      </c>
      <c r="N723" s="38">
        <f>HLOOKUP("Host",'vInfo (Imported)'!$1:$5000,M723,FALSE)</f>
        <v>0</v>
      </c>
      <c r="R723">
        <f>HLOOKUP("CPUs",'vInfo (Imported)'!$1:$5000,M723,FALSE)</f>
        <v>0</v>
      </c>
      <c r="S723">
        <f>HLOOKUP("Memory",'vInfo (Imported)'!$1:$5000,M723,FALSE)</f>
        <v>0</v>
      </c>
      <c r="T723">
        <f>HLOOKUP("Provisioned MiB",'vInfo (Imported)'!$1:$5000,M723,FALSE)</f>
        <v>0</v>
      </c>
      <c r="U723">
        <f t="shared" si="34"/>
        <v>0</v>
      </c>
      <c r="V723">
        <f>HLOOKUP("In Use MiB",'vInfo (Imported)'!$1:$5000,M723,FALSE)</f>
        <v>0</v>
      </c>
    </row>
    <row r="724" spans="1:22" ht="13" x14ac:dyDescent="0.3">
      <c r="A724" s="46">
        <f>'vHosts (Imported)'!A724</f>
        <v>0</v>
      </c>
      <c r="B724" s="51">
        <f t="shared" si="33"/>
        <v>4968</v>
      </c>
      <c r="C724" s="49">
        <f>HLOOKUP("# Cores",'vHosts (Imported)'!$1:$5000,M724,FALSE)</f>
        <v>0</v>
      </c>
      <c r="D724" s="52">
        <f>HLOOKUP("# Memory",'vHosts (Imported)'!$1:$5000,M724,FALSE)</f>
        <v>0</v>
      </c>
      <c r="M724" s="45">
        <f t="shared" si="35"/>
        <v>724</v>
      </c>
      <c r="N724" s="38">
        <f>HLOOKUP("Host",'vInfo (Imported)'!$1:$5000,M724,FALSE)</f>
        <v>0</v>
      </c>
      <c r="R724">
        <f>HLOOKUP("CPUs",'vInfo (Imported)'!$1:$5000,M724,FALSE)</f>
        <v>0</v>
      </c>
      <c r="S724">
        <f>HLOOKUP("Memory",'vInfo (Imported)'!$1:$5000,M724,FALSE)</f>
        <v>0</v>
      </c>
      <c r="T724">
        <f>HLOOKUP("Provisioned MiB",'vInfo (Imported)'!$1:$5000,M724,FALSE)</f>
        <v>0</v>
      </c>
      <c r="U724">
        <f t="shared" si="34"/>
        <v>0</v>
      </c>
      <c r="V724">
        <f>HLOOKUP("In Use MiB",'vInfo (Imported)'!$1:$5000,M724,FALSE)</f>
        <v>0</v>
      </c>
    </row>
    <row r="725" spans="1:22" ht="13" x14ac:dyDescent="0.3">
      <c r="A725" s="46">
        <f>'vHosts (Imported)'!A725</f>
        <v>0</v>
      </c>
      <c r="B725" s="51">
        <f t="shared" si="33"/>
        <v>4968</v>
      </c>
      <c r="C725" s="49">
        <f>HLOOKUP("# Cores",'vHosts (Imported)'!$1:$5000,M725,FALSE)</f>
        <v>0</v>
      </c>
      <c r="D725" s="52">
        <f>HLOOKUP("# Memory",'vHosts (Imported)'!$1:$5000,M725,FALSE)</f>
        <v>0</v>
      </c>
      <c r="M725" s="45">
        <f t="shared" si="35"/>
        <v>725</v>
      </c>
      <c r="N725" s="38">
        <f>HLOOKUP("Host",'vInfo (Imported)'!$1:$5000,M725,FALSE)</f>
        <v>0</v>
      </c>
      <c r="R725">
        <f>HLOOKUP("CPUs",'vInfo (Imported)'!$1:$5000,M725,FALSE)</f>
        <v>0</v>
      </c>
      <c r="S725">
        <f>HLOOKUP("Memory",'vInfo (Imported)'!$1:$5000,M725,FALSE)</f>
        <v>0</v>
      </c>
      <c r="T725">
        <f>HLOOKUP("Provisioned MiB",'vInfo (Imported)'!$1:$5000,M725,FALSE)</f>
        <v>0</v>
      </c>
      <c r="U725">
        <f t="shared" si="34"/>
        <v>0</v>
      </c>
      <c r="V725">
        <f>HLOOKUP("In Use MiB",'vInfo (Imported)'!$1:$5000,M725,FALSE)</f>
        <v>0</v>
      </c>
    </row>
    <row r="726" spans="1:22" ht="13" x14ac:dyDescent="0.3">
      <c r="A726" s="46">
        <f>'vHosts (Imported)'!A726</f>
        <v>0</v>
      </c>
      <c r="B726" s="51">
        <f t="shared" si="33"/>
        <v>4968</v>
      </c>
      <c r="C726" s="49">
        <f>HLOOKUP("# Cores",'vHosts (Imported)'!$1:$5000,M726,FALSE)</f>
        <v>0</v>
      </c>
      <c r="D726" s="52">
        <f>HLOOKUP("# Memory",'vHosts (Imported)'!$1:$5000,M726,FALSE)</f>
        <v>0</v>
      </c>
      <c r="M726" s="45">
        <f t="shared" si="35"/>
        <v>726</v>
      </c>
      <c r="N726" s="38">
        <f>HLOOKUP("Host",'vInfo (Imported)'!$1:$5000,M726,FALSE)</f>
        <v>0</v>
      </c>
      <c r="R726">
        <f>HLOOKUP("CPUs",'vInfo (Imported)'!$1:$5000,M726,FALSE)</f>
        <v>0</v>
      </c>
      <c r="S726">
        <f>HLOOKUP("Memory",'vInfo (Imported)'!$1:$5000,M726,FALSE)</f>
        <v>0</v>
      </c>
      <c r="T726">
        <f>HLOOKUP("Provisioned MiB",'vInfo (Imported)'!$1:$5000,M726,FALSE)</f>
        <v>0</v>
      </c>
      <c r="U726">
        <f t="shared" si="34"/>
        <v>0</v>
      </c>
      <c r="V726">
        <f>HLOOKUP("In Use MiB",'vInfo (Imported)'!$1:$5000,M726,FALSE)</f>
        <v>0</v>
      </c>
    </row>
    <row r="727" spans="1:22" ht="13" x14ac:dyDescent="0.3">
      <c r="A727" s="46">
        <f>'vHosts (Imported)'!A727</f>
        <v>0</v>
      </c>
      <c r="B727" s="51">
        <f t="shared" si="33"/>
        <v>4968</v>
      </c>
      <c r="C727" s="49">
        <f>HLOOKUP("# Cores",'vHosts (Imported)'!$1:$5000,M727,FALSE)</f>
        <v>0</v>
      </c>
      <c r="D727" s="52">
        <f>HLOOKUP("# Memory",'vHosts (Imported)'!$1:$5000,M727,FALSE)</f>
        <v>0</v>
      </c>
      <c r="M727" s="45">
        <f t="shared" si="35"/>
        <v>727</v>
      </c>
      <c r="N727" s="38">
        <f>HLOOKUP("Host",'vInfo (Imported)'!$1:$5000,M727,FALSE)</f>
        <v>0</v>
      </c>
      <c r="R727">
        <f>HLOOKUP("CPUs",'vInfo (Imported)'!$1:$5000,M727,FALSE)</f>
        <v>0</v>
      </c>
      <c r="S727">
        <f>HLOOKUP("Memory",'vInfo (Imported)'!$1:$5000,M727,FALSE)</f>
        <v>0</v>
      </c>
      <c r="T727">
        <f>HLOOKUP("Provisioned MiB",'vInfo (Imported)'!$1:$5000,M727,FALSE)</f>
        <v>0</v>
      </c>
      <c r="U727">
        <f t="shared" si="34"/>
        <v>0</v>
      </c>
      <c r="V727">
        <f>HLOOKUP("In Use MiB",'vInfo (Imported)'!$1:$5000,M727,FALSE)</f>
        <v>0</v>
      </c>
    </row>
    <row r="728" spans="1:22" ht="13" x14ac:dyDescent="0.3">
      <c r="A728" s="46">
        <f>'vHosts (Imported)'!A728</f>
        <v>0</v>
      </c>
      <c r="B728" s="51">
        <f t="shared" si="33"/>
        <v>4968</v>
      </c>
      <c r="C728" s="49">
        <f>HLOOKUP("# Cores",'vHosts (Imported)'!$1:$5000,M728,FALSE)</f>
        <v>0</v>
      </c>
      <c r="D728" s="52">
        <f>HLOOKUP("# Memory",'vHosts (Imported)'!$1:$5000,M728,FALSE)</f>
        <v>0</v>
      </c>
      <c r="M728" s="45">
        <f t="shared" si="35"/>
        <v>728</v>
      </c>
      <c r="N728" s="38">
        <f>HLOOKUP("Host",'vInfo (Imported)'!$1:$5000,M728,FALSE)</f>
        <v>0</v>
      </c>
      <c r="R728">
        <f>HLOOKUP("CPUs",'vInfo (Imported)'!$1:$5000,M728,FALSE)</f>
        <v>0</v>
      </c>
      <c r="S728">
        <f>HLOOKUP("Memory",'vInfo (Imported)'!$1:$5000,M728,FALSE)</f>
        <v>0</v>
      </c>
      <c r="T728">
        <f>HLOOKUP("Provisioned MiB",'vInfo (Imported)'!$1:$5000,M728,FALSE)</f>
        <v>0</v>
      </c>
      <c r="U728">
        <f t="shared" si="34"/>
        <v>0</v>
      </c>
      <c r="V728">
        <f>HLOOKUP("In Use MiB",'vInfo (Imported)'!$1:$5000,M728,FALSE)</f>
        <v>0</v>
      </c>
    </row>
    <row r="729" spans="1:22" ht="13" x14ac:dyDescent="0.3">
      <c r="A729" s="46">
        <f>'vHosts (Imported)'!A729</f>
        <v>0</v>
      </c>
      <c r="B729" s="51">
        <f t="shared" si="33"/>
        <v>4968</v>
      </c>
      <c r="C729" s="49">
        <f>HLOOKUP("# Cores",'vHosts (Imported)'!$1:$5000,M729,FALSE)</f>
        <v>0</v>
      </c>
      <c r="D729" s="52">
        <f>HLOOKUP("# Memory",'vHosts (Imported)'!$1:$5000,M729,FALSE)</f>
        <v>0</v>
      </c>
      <c r="M729" s="45">
        <f t="shared" si="35"/>
        <v>729</v>
      </c>
      <c r="N729" s="38">
        <f>HLOOKUP("Host",'vInfo (Imported)'!$1:$5000,M729,FALSE)</f>
        <v>0</v>
      </c>
      <c r="R729">
        <f>HLOOKUP("CPUs",'vInfo (Imported)'!$1:$5000,M729,FALSE)</f>
        <v>0</v>
      </c>
      <c r="S729">
        <f>HLOOKUP("Memory",'vInfo (Imported)'!$1:$5000,M729,FALSE)</f>
        <v>0</v>
      </c>
      <c r="T729">
        <f>HLOOKUP("Provisioned MiB",'vInfo (Imported)'!$1:$5000,M729,FALSE)</f>
        <v>0</v>
      </c>
      <c r="U729">
        <f t="shared" si="34"/>
        <v>0</v>
      </c>
      <c r="V729">
        <f>HLOOKUP("In Use MiB",'vInfo (Imported)'!$1:$5000,M729,FALSE)</f>
        <v>0</v>
      </c>
    </row>
    <row r="730" spans="1:22" ht="13" x14ac:dyDescent="0.3">
      <c r="A730" s="46">
        <f>'vHosts (Imported)'!A730</f>
        <v>0</v>
      </c>
      <c r="B730" s="51">
        <f t="shared" si="33"/>
        <v>4968</v>
      </c>
      <c r="C730" s="49">
        <f>HLOOKUP("# Cores",'vHosts (Imported)'!$1:$5000,M730,FALSE)</f>
        <v>0</v>
      </c>
      <c r="D730" s="52">
        <f>HLOOKUP("# Memory",'vHosts (Imported)'!$1:$5000,M730,FALSE)</f>
        <v>0</v>
      </c>
      <c r="M730" s="45">
        <f t="shared" si="35"/>
        <v>730</v>
      </c>
      <c r="N730" s="38">
        <f>HLOOKUP("Host",'vInfo (Imported)'!$1:$5000,M730,FALSE)</f>
        <v>0</v>
      </c>
      <c r="R730">
        <f>HLOOKUP("CPUs",'vInfo (Imported)'!$1:$5000,M730,FALSE)</f>
        <v>0</v>
      </c>
      <c r="S730">
        <f>HLOOKUP("Memory",'vInfo (Imported)'!$1:$5000,M730,FALSE)</f>
        <v>0</v>
      </c>
      <c r="T730">
        <f>HLOOKUP("Provisioned MiB",'vInfo (Imported)'!$1:$5000,M730,FALSE)</f>
        <v>0</v>
      </c>
      <c r="U730">
        <f t="shared" si="34"/>
        <v>0</v>
      </c>
      <c r="V730">
        <f>HLOOKUP("In Use MiB",'vInfo (Imported)'!$1:$5000,M730,FALSE)</f>
        <v>0</v>
      </c>
    </row>
    <row r="731" spans="1:22" ht="13" x14ac:dyDescent="0.3">
      <c r="A731" s="46">
        <f>'vHosts (Imported)'!A731</f>
        <v>0</v>
      </c>
      <c r="B731" s="51">
        <f t="shared" si="33"/>
        <v>4968</v>
      </c>
      <c r="C731" s="49">
        <f>HLOOKUP("# Cores",'vHosts (Imported)'!$1:$5000,M731,FALSE)</f>
        <v>0</v>
      </c>
      <c r="D731" s="52">
        <f>HLOOKUP("# Memory",'vHosts (Imported)'!$1:$5000,M731,FALSE)</f>
        <v>0</v>
      </c>
      <c r="M731" s="45">
        <f t="shared" si="35"/>
        <v>731</v>
      </c>
      <c r="N731" s="38">
        <f>HLOOKUP("Host",'vInfo (Imported)'!$1:$5000,M731,FALSE)</f>
        <v>0</v>
      </c>
      <c r="R731">
        <f>HLOOKUP("CPUs",'vInfo (Imported)'!$1:$5000,M731,FALSE)</f>
        <v>0</v>
      </c>
      <c r="S731">
        <f>HLOOKUP("Memory",'vInfo (Imported)'!$1:$5000,M731,FALSE)</f>
        <v>0</v>
      </c>
      <c r="T731">
        <f>HLOOKUP("Provisioned MiB",'vInfo (Imported)'!$1:$5000,M731,FALSE)</f>
        <v>0</v>
      </c>
      <c r="U731">
        <f t="shared" si="34"/>
        <v>0</v>
      </c>
      <c r="V731">
        <f>HLOOKUP("In Use MiB",'vInfo (Imported)'!$1:$5000,M731,FALSE)</f>
        <v>0</v>
      </c>
    </row>
    <row r="732" spans="1:22" ht="13" x14ac:dyDescent="0.3">
      <c r="A732" s="46">
        <f>'vHosts (Imported)'!A732</f>
        <v>0</v>
      </c>
      <c r="B732" s="51">
        <f t="shared" si="33"/>
        <v>4968</v>
      </c>
      <c r="C732" s="49">
        <f>HLOOKUP("# Cores",'vHosts (Imported)'!$1:$5000,M732,FALSE)</f>
        <v>0</v>
      </c>
      <c r="D732" s="52">
        <f>HLOOKUP("# Memory",'vHosts (Imported)'!$1:$5000,M732,FALSE)</f>
        <v>0</v>
      </c>
      <c r="M732" s="45">
        <f t="shared" si="35"/>
        <v>732</v>
      </c>
      <c r="N732" s="38">
        <f>HLOOKUP("Host",'vInfo (Imported)'!$1:$5000,M732,FALSE)</f>
        <v>0</v>
      </c>
      <c r="R732">
        <f>HLOOKUP("CPUs",'vInfo (Imported)'!$1:$5000,M732,FALSE)</f>
        <v>0</v>
      </c>
      <c r="S732">
        <f>HLOOKUP("Memory",'vInfo (Imported)'!$1:$5000,M732,FALSE)</f>
        <v>0</v>
      </c>
      <c r="T732">
        <f>HLOOKUP("Provisioned MiB",'vInfo (Imported)'!$1:$5000,M732,FALSE)</f>
        <v>0</v>
      </c>
      <c r="U732">
        <f t="shared" si="34"/>
        <v>0</v>
      </c>
      <c r="V732">
        <f>HLOOKUP("In Use MiB",'vInfo (Imported)'!$1:$5000,M732,FALSE)</f>
        <v>0</v>
      </c>
    </row>
    <row r="733" spans="1:22" ht="13" x14ac:dyDescent="0.3">
      <c r="A733" s="46">
        <f>'vHosts (Imported)'!A733</f>
        <v>0</v>
      </c>
      <c r="B733" s="51">
        <f t="shared" si="33"/>
        <v>4968</v>
      </c>
      <c r="C733" s="49">
        <f>HLOOKUP("# Cores",'vHosts (Imported)'!$1:$5000,M733,FALSE)</f>
        <v>0</v>
      </c>
      <c r="D733" s="52">
        <f>HLOOKUP("# Memory",'vHosts (Imported)'!$1:$5000,M733,FALSE)</f>
        <v>0</v>
      </c>
      <c r="M733" s="45">
        <f t="shared" si="35"/>
        <v>733</v>
      </c>
      <c r="N733" s="38">
        <f>HLOOKUP("Host",'vInfo (Imported)'!$1:$5000,M733,FALSE)</f>
        <v>0</v>
      </c>
      <c r="R733">
        <f>HLOOKUP("CPUs",'vInfo (Imported)'!$1:$5000,M733,FALSE)</f>
        <v>0</v>
      </c>
      <c r="S733">
        <f>HLOOKUP("Memory",'vInfo (Imported)'!$1:$5000,M733,FALSE)</f>
        <v>0</v>
      </c>
      <c r="T733">
        <f>HLOOKUP("Provisioned MiB",'vInfo (Imported)'!$1:$5000,M733,FALSE)</f>
        <v>0</v>
      </c>
      <c r="U733">
        <f t="shared" si="34"/>
        <v>0</v>
      </c>
      <c r="V733">
        <f>HLOOKUP("In Use MiB",'vInfo (Imported)'!$1:$5000,M733,FALSE)</f>
        <v>0</v>
      </c>
    </row>
    <row r="734" spans="1:22" ht="13" x14ac:dyDescent="0.3">
      <c r="A734" s="46">
        <f>'vHosts (Imported)'!A734</f>
        <v>0</v>
      </c>
      <c r="B734" s="51">
        <f t="shared" si="33"/>
        <v>4968</v>
      </c>
      <c r="C734" s="49">
        <f>HLOOKUP("# Cores",'vHosts (Imported)'!$1:$5000,M734,FALSE)</f>
        <v>0</v>
      </c>
      <c r="D734" s="52">
        <f>HLOOKUP("# Memory",'vHosts (Imported)'!$1:$5000,M734,FALSE)</f>
        <v>0</v>
      </c>
      <c r="M734" s="45">
        <f t="shared" si="35"/>
        <v>734</v>
      </c>
      <c r="N734" s="38">
        <f>HLOOKUP("Host",'vInfo (Imported)'!$1:$5000,M734,FALSE)</f>
        <v>0</v>
      </c>
      <c r="R734">
        <f>HLOOKUP("CPUs",'vInfo (Imported)'!$1:$5000,M734,FALSE)</f>
        <v>0</v>
      </c>
      <c r="S734">
        <f>HLOOKUP("Memory",'vInfo (Imported)'!$1:$5000,M734,FALSE)</f>
        <v>0</v>
      </c>
      <c r="T734">
        <f>HLOOKUP("Provisioned MiB",'vInfo (Imported)'!$1:$5000,M734,FALSE)</f>
        <v>0</v>
      </c>
      <c r="U734">
        <f t="shared" si="34"/>
        <v>0</v>
      </c>
      <c r="V734">
        <f>HLOOKUP("In Use MiB",'vInfo (Imported)'!$1:$5000,M734,FALSE)</f>
        <v>0</v>
      </c>
    </row>
    <row r="735" spans="1:22" ht="13" x14ac:dyDescent="0.3">
      <c r="A735" s="46">
        <f>'vHosts (Imported)'!A735</f>
        <v>0</v>
      </c>
      <c r="B735" s="51">
        <f t="shared" si="33"/>
        <v>4968</v>
      </c>
      <c r="C735" s="49">
        <f>HLOOKUP("# Cores",'vHosts (Imported)'!$1:$5000,M735,FALSE)</f>
        <v>0</v>
      </c>
      <c r="D735" s="52">
        <f>HLOOKUP("# Memory",'vHosts (Imported)'!$1:$5000,M735,FALSE)</f>
        <v>0</v>
      </c>
      <c r="M735" s="45">
        <f t="shared" si="35"/>
        <v>735</v>
      </c>
      <c r="N735" s="38">
        <f>HLOOKUP("Host",'vInfo (Imported)'!$1:$5000,M735,FALSE)</f>
        <v>0</v>
      </c>
      <c r="R735">
        <f>HLOOKUP("CPUs",'vInfo (Imported)'!$1:$5000,M735,FALSE)</f>
        <v>0</v>
      </c>
      <c r="S735">
        <f>HLOOKUP("Memory",'vInfo (Imported)'!$1:$5000,M735,FALSE)</f>
        <v>0</v>
      </c>
      <c r="T735">
        <f>HLOOKUP("Provisioned MiB",'vInfo (Imported)'!$1:$5000,M735,FALSE)</f>
        <v>0</v>
      </c>
      <c r="U735">
        <f t="shared" si="34"/>
        <v>0</v>
      </c>
      <c r="V735">
        <f>HLOOKUP("In Use MiB",'vInfo (Imported)'!$1:$5000,M735,FALSE)</f>
        <v>0</v>
      </c>
    </row>
    <row r="736" spans="1:22" ht="13" x14ac:dyDescent="0.3">
      <c r="A736" s="46">
        <f>'vHosts (Imported)'!A736</f>
        <v>0</v>
      </c>
      <c r="B736" s="51">
        <f t="shared" si="33"/>
        <v>4968</v>
      </c>
      <c r="C736" s="49">
        <f>HLOOKUP("# Cores",'vHosts (Imported)'!$1:$5000,M736,FALSE)</f>
        <v>0</v>
      </c>
      <c r="D736" s="52">
        <f>HLOOKUP("# Memory",'vHosts (Imported)'!$1:$5000,M736,FALSE)</f>
        <v>0</v>
      </c>
      <c r="M736" s="45">
        <f t="shared" si="35"/>
        <v>736</v>
      </c>
      <c r="N736" s="38">
        <f>HLOOKUP("Host",'vInfo (Imported)'!$1:$5000,M736,FALSE)</f>
        <v>0</v>
      </c>
      <c r="R736">
        <f>HLOOKUP("CPUs",'vInfo (Imported)'!$1:$5000,M736,FALSE)</f>
        <v>0</v>
      </c>
      <c r="S736">
        <f>HLOOKUP("Memory",'vInfo (Imported)'!$1:$5000,M736,FALSE)</f>
        <v>0</v>
      </c>
      <c r="T736">
        <f>HLOOKUP("Provisioned MiB",'vInfo (Imported)'!$1:$5000,M736,FALSE)</f>
        <v>0</v>
      </c>
      <c r="U736">
        <f t="shared" si="34"/>
        <v>0</v>
      </c>
      <c r="V736">
        <f>HLOOKUP("In Use MiB",'vInfo (Imported)'!$1:$5000,M736,FALSE)</f>
        <v>0</v>
      </c>
    </row>
    <row r="737" spans="1:22" ht="13" x14ac:dyDescent="0.3">
      <c r="A737" s="46">
        <f>'vHosts (Imported)'!A737</f>
        <v>0</v>
      </c>
      <c r="B737" s="51">
        <f t="shared" si="33"/>
        <v>4968</v>
      </c>
      <c r="C737" s="49">
        <f>HLOOKUP("# Cores",'vHosts (Imported)'!$1:$5000,M737,FALSE)</f>
        <v>0</v>
      </c>
      <c r="D737" s="52">
        <f>HLOOKUP("# Memory",'vHosts (Imported)'!$1:$5000,M737,FALSE)</f>
        <v>0</v>
      </c>
      <c r="M737" s="45">
        <f t="shared" si="35"/>
        <v>737</v>
      </c>
      <c r="N737" s="38">
        <f>HLOOKUP("Host",'vInfo (Imported)'!$1:$5000,M737,FALSE)</f>
        <v>0</v>
      </c>
      <c r="R737">
        <f>HLOOKUP("CPUs",'vInfo (Imported)'!$1:$5000,M737,FALSE)</f>
        <v>0</v>
      </c>
      <c r="S737">
        <f>HLOOKUP("Memory",'vInfo (Imported)'!$1:$5000,M737,FALSE)</f>
        <v>0</v>
      </c>
      <c r="T737">
        <f>HLOOKUP("Provisioned MiB",'vInfo (Imported)'!$1:$5000,M737,FALSE)</f>
        <v>0</v>
      </c>
      <c r="U737">
        <f t="shared" si="34"/>
        <v>0</v>
      </c>
      <c r="V737">
        <f>HLOOKUP("In Use MiB",'vInfo (Imported)'!$1:$5000,M737,FALSE)</f>
        <v>0</v>
      </c>
    </row>
    <row r="738" spans="1:22" ht="13" x14ac:dyDescent="0.3">
      <c r="A738" s="46">
        <f>'vHosts (Imported)'!A738</f>
        <v>0</v>
      </c>
      <c r="B738" s="51">
        <f t="shared" si="33"/>
        <v>4968</v>
      </c>
      <c r="C738" s="49">
        <f>HLOOKUP("# Cores",'vHosts (Imported)'!$1:$5000,M738,FALSE)</f>
        <v>0</v>
      </c>
      <c r="D738" s="52">
        <f>HLOOKUP("# Memory",'vHosts (Imported)'!$1:$5000,M738,FALSE)</f>
        <v>0</v>
      </c>
      <c r="M738" s="45">
        <f t="shared" si="35"/>
        <v>738</v>
      </c>
      <c r="N738" s="38">
        <f>HLOOKUP("Host",'vInfo (Imported)'!$1:$5000,M738,FALSE)</f>
        <v>0</v>
      </c>
      <c r="R738">
        <f>HLOOKUP("CPUs",'vInfo (Imported)'!$1:$5000,M738,FALSE)</f>
        <v>0</v>
      </c>
      <c r="S738">
        <f>HLOOKUP("Memory",'vInfo (Imported)'!$1:$5000,M738,FALSE)</f>
        <v>0</v>
      </c>
      <c r="T738">
        <f>HLOOKUP("Provisioned MiB",'vInfo (Imported)'!$1:$5000,M738,FALSE)</f>
        <v>0</v>
      </c>
      <c r="U738">
        <f t="shared" si="34"/>
        <v>0</v>
      </c>
      <c r="V738">
        <f>HLOOKUP("In Use MiB",'vInfo (Imported)'!$1:$5000,M738,FALSE)</f>
        <v>0</v>
      </c>
    </row>
    <row r="739" spans="1:22" ht="13" x14ac:dyDescent="0.3">
      <c r="A739" s="46">
        <f>'vHosts (Imported)'!A739</f>
        <v>0</v>
      </c>
      <c r="B739" s="51">
        <f t="shared" si="33"/>
        <v>4968</v>
      </c>
      <c r="C739" s="49">
        <f>HLOOKUP("# Cores",'vHosts (Imported)'!$1:$5000,M739,FALSE)</f>
        <v>0</v>
      </c>
      <c r="D739" s="52">
        <f>HLOOKUP("# Memory",'vHosts (Imported)'!$1:$5000,M739,FALSE)</f>
        <v>0</v>
      </c>
      <c r="M739" s="45">
        <f t="shared" si="35"/>
        <v>739</v>
      </c>
      <c r="N739" s="38">
        <f>HLOOKUP("Host",'vInfo (Imported)'!$1:$5000,M739,FALSE)</f>
        <v>0</v>
      </c>
      <c r="R739">
        <f>HLOOKUP("CPUs",'vInfo (Imported)'!$1:$5000,M739,FALSE)</f>
        <v>0</v>
      </c>
      <c r="S739">
        <f>HLOOKUP("Memory",'vInfo (Imported)'!$1:$5000,M739,FALSE)</f>
        <v>0</v>
      </c>
      <c r="T739">
        <f>HLOOKUP("Provisioned MiB",'vInfo (Imported)'!$1:$5000,M739,FALSE)</f>
        <v>0</v>
      </c>
      <c r="U739">
        <f t="shared" si="34"/>
        <v>0</v>
      </c>
      <c r="V739">
        <f>HLOOKUP("In Use MiB",'vInfo (Imported)'!$1:$5000,M739,FALSE)</f>
        <v>0</v>
      </c>
    </row>
    <row r="740" spans="1:22" ht="13" x14ac:dyDescent="0.3">
      <c r="A740" s="46">
        <f>'vHosts (Imported)'!A740</f>
        <v>0</v>
      </c>
      <c r="B740" s="51">
        <f t="shared" si="33"/>
        <v>4968</v>
      </c>
      <c r="C740" s="49">
        <f>HLOOKUP("# Cores",'vHosts (Imported)'!$1:$5000,M740,FALSE)</f>
        <v>0</v>
      </c>
      <c r="D740" s="52">
        <f>HLOOKUP("# Memory",'vHosts (Imported)'!$1:$5000,M740,FALSE)</f>
        <v>0</v>
      </c>
      <c r="M740" s="45">
        <f t="shared" si="35"/>
        <v>740</v>
      </c>
      <c r="N740" s="38">
        <f>HLOOKUP("Host",'vInfo (Imported)'!$1:$5000,M740,FALSE)</f>
        <v>0</v>
      </c>
      <c r="R740">
        <f>HLOOKUP("CPUs",'vInfo (Imported)'!$1:$5000,M740,FALSE)</f>
        <v>0</v>
      </c>
      <c r="S740">
        <f>HLOOKUP("Memory",'vInfo (Imported)'!$1:$5000,M740,FALSE)</f>
        <v>0</v>
      </c>
      <c r="T740">
        <f>HLOOKUP("Provisioned MiB",'vInfo (Imported)'!$1:$5000,M740,FALSE)</f>
        <v>0</v>
      </c>
      <c r="U740">
        <f t="shared" si="34"/>
        <v>0</v>
      </c>
      <c r="V740">
        <f>HLOOKUP("In Use MiB",'vInfo (Imported)'!$1:$5000,M740,FALSE)</f>
        <v>0</v>
      </c>
    </row>
    <row r="741" spans="1:22" ht="13" x14ac:dyDescent="0.3">
      <c r="A741" s="46">
        <f>'vHosts (Imported)'!A741</f>
        <v>0</v>
      </c>
      <c r="B741" s="51">
        <f t="shared" si="33"/>
        <v>4968</v>
      </c>
      <c r="C741" s="49">
        <f>HLOOKUP("# Cores",'vHosts (Imported)'!$1:$5000,M741,FALSE)</f>
        <v>0</v>
      </c>
      <c r="D741" s="52">
        <f>HLOOKUP("# Memory",'vHosts (Imported)'!$1:$5000,M741,FALSE)</f>
        <v>0</v>
      </c>
      <c r="M741" s="45">
        <f t="shared" si="35"/>
        <v>741</v>
      </c>
      <c r="N741" s="38">
        <f>HLOOKUP("Host",'vInfo (Imported)'!$1:$5000,M741,FALSE)</f>
        <v>0</v>
      </c>
      <c r="R741">
        <f>HLOOKUP("CPUs",'vInfo (Imported)'!$1:$5000,M741,FALSE)</f>
        <v>0</v>
      </c>
      <c r="S741">
        <f>HLOOKUP("Memory",'vInfo (Imported)'!$1:$5000,M741,FALSE)</f>
        <v>0</v>
      </c>
      <c r="T741">
        <f>HLOOKUP("Provisioned MiB",'vInfo (Imported)'!$1:$5000,M741,FALSE)</f>
        <v>0</v>
      </c>
      <c r="U741">
        <f t="shared" si="34"/>
        <v>0</v>
      </c>
      <c r="V741">
        <f>HLOOKUP("In Use MiB",'vInfo (Imported)'!$1:$5000,M741,FALSE)</f>
        <v>0</v>
      </c>
    </row>
    <row r="742" spans="1:22" ht="13" x14ac:dyDescent="0.3">
      <c r="A742" s="46">
        <f>'vHosts (Imported)'!A742</f>
        <v>0</v>
      </c>
      <c r="B742" s="51">
        <f t="shared" si="33"/>
        <v>4968</v>
      </c>
      <c r="C742" s="49">
        <f>HLOOKUP("# Cores",'vHosts (Imported)'!$1:$5000,M742,FALSE)</f>
        <v>0</v>
      </c>
      <c r="D742" s="52">
        <f>HLOOKUP("# Memory",'vHosts (Imported)'!$1:$5000,M742,FALSE)</f>
        <v>0</v>
      </c>
      <c r="M742" s="45">
        <f t="shared" si="35"/>
        <v>742</v>
      </c>
      <c r="N742" s="38">
        <f>HLOOKUP("Host",'vInfo (Imported)'!$1:$5000,M742,FALSE)</f>
        <v>0</v>
      </c>
      <c r="R742">
        <f>HLOOKUP("CPUs",'vInfo (Imported)'!$1:$5000,M742,FALSE)</f>
        <v>0</v>
      </c>
      <c r="S742">
        <f>HLOOKUP("Memory",'vInfo (Imported)'!$1:$5000,M742,FALSE)</f>
        <v>0</v>
      </c>
      <c r="T742">
        <f>HLOOKUP("Provisioned MiB",'vInfo (Imported)'!$1:$5000,M742,FALSE)</f>
        <v>0</v>
      </c>
      <c r="U742">
        <f t="shared" si="34"/>
        <v>0</v>
      </c>
      <c r="V742">
        <f>HLOOKUP("In Use MiB",'vInfo (Imported)'!$1:$5000,M742,FALSE)</f>
        <v>0</v>
      </c>
    </row>
    <row r="743" spans="1:22" ht="13" x14ac:dyDescent="0.3">
      <c r="A743" s="46">
        <f>'vHosts (Imported)'!A743</f>
        <v>0</v>
      </c>
      <c r="B743" s="51">
        <f t="shared" si="33"/>
        <v>4968</v>
      </c>
      <c r="C743" s="49">
        <f>HLOOKUP("# Cores",'vHosts (Imported)'!$1:$5000,M743,FALSE)</f>
        <v>0</v>
      </c>
      <c r="D743" s="52">
        <f>HLOOKUP("# Memory",'vHosts (Imported)'!$1:$5000,M743,FALSE)</f>
        <v>0</v>
      </c>
      <c r="M743" s="45">
        <f t="shared" si="35"/>
        <v>743</v>
      </c>
      <c r="N743" s="38">
        <f>HLOOKUP("Host",'vInfo (Imported)'!$1:$5000,M743,FALSE)</f>
        <v>0</v>
      </c>
      <c r="R743">
        <f>HLOOKUP("CPUs",'vInfo (Imported)'!$1:$5000,M743,FALSE)</f>
        <v>0</v>
      </c>
      <c r="S743">
        <f>HLOOKUP("Memory",'vInfo (Imported)'!$1:$5000,M743,FALSE)</f>
        <v>0</v>
      </c>
      <c r="T743">
        <f>HLOOKUP("Provisioned MiB",'vInfo (Imported)'!$1:$5000,M743,FALSE)</f>
        <v>0</v>
      </c>
      <c r="U743">
        <f t="shared" si="34"/>
        <v>0</v>
      </c>
      <c r="V743">
        <f>HLOOKUP("In Use MiB",'vInfo (Imported)'!$1:$5000,M743,FALSE)</f>
        <v>0</v>
      </c>
    </row>
    <row r="744" spans="1:22" ht="13" x14ac:dyDescent="0.3">
      <c r="A744" s="46">
        <f>'vHosts (Imported)'!A744</f>
        <v>0</v>
      </c>
      <c r="B744" s="51">
        <f t="shared" si="33"/>
        <v>4968</v>
      </c>
      <c r="C744" s="49">
        <f>HLOOKUP("# Cores",'vHosts (Imported)'!$1:$5000,M744,FALSE)</f>
        <v>0</v>
      </c>
      <c r="D744" s="52">
        <f>HLOOKUP("# Memory",'vHosts (Imported)'!$1:$5000,M744,FALSE)</f>
        <v>0</v>
      </c>
      <c r="M744" s="45">
        <f t="shared" si="35"/>
        <v>744</v>
      </c>
      <c r="N744" s="38">
        <f>HLOOKUP("Host",'vInfo (Imported)'!$1:$5000,M744,FALSE)</f>
        <v>0</v>
      </c>
      <c r="R744">
        <f>HLOOKUP("CPUs",'vInfo (Imported)'!$1:$5000,M744,FALSE)</f>
        <v>0</v>
      </c>
      <c r="S744">
        <f>HLOOKUP("Memory",'vInfo (Imported)'!$1:$5000,M744,FALSE)</f>
        <v>0</v>
      </c>
      <c r="T744">
        <f>HLOOKUP("Provisioned MiB",'vInfo (Imported)'!$1:$5000,M744,FALSE)</f>
        <v>0</v>
      </c>
      <c r="U744">
        <f t="shared" si="34"/>
        <v>0</v>
      </c>
      <c r="V744">
        <f>HLOOKUP("In Use MiB",'vInfo (Imported)'!$1:$5000,M744,FALSE)</f>
        <v>0</v>
      </c>
    </row>
    <row r="745" spans="1:22" ht="13" x14ac:dyDescent="0.3">
      <c r="A745" s="46">
        <f>'vHosts (Imported)'!A745</f>
        <v>0</v>
      </c>
      <c r="B745" s="51">
        <f t="shared" si="33"/>
        <v>4968</v>
      </c>
      <c r="C745" s="49">
        <f>HLOOKUP("# Cores",'vHosts (Imported)'!$1:$5000,M745,FALSE)</f>
        <v>0</v>
      </c>
      <c r="D745" s="52">
        <f>HLOOKUP("# Memory",'vHosts (Imported)'!$1:$5000,M745,FALSE)</f>
        <v>0</v>
      </c>
      <c r="M745" s="45">
        <f t="shared" si="35"/>
        <v>745</v>
      </c>
      <c r="N745" s="38">
        <f>HLOOKUP("Host",'vInfo (Imported)'!$1:$5000,M745,FALSE)</f>
        <v>0</v>
      </c>
      <c r="R745">
        <f>HLOOKUP("CPUs",'vInfo (Imported)'!$1:$5000,M745,FALSE)</f>
        <v>0</v>
      </c>
      <c r="S745">
        <f>HLOOKUP("Memory",'vInfo (Imported)'!$1:$5000,M745,FALSE)</f>
        <v>0</v>
      </c>
      <c r="T745">
        <f>HLOOKUP("Provisioned MiB",'vInfo (Imported)'!$1:$5000,M745,FALSE)</f>
        <v>0</v>
      </c>
      <c r="U745">
        <f t="shared" si="34"/>
        <v>0</v>
      </c>
      <c r="V745">
        <f>HLOOKUP("In Use MiB",'vInfo (Imported)'!$1:$5000,M745,FALSE)</f>
        <v>0</v>
      </c>
    </row>
    <row r="746" spans="1:22" ht="13" x14ac:dyDescent="0.3">
      <c r="A746" s="46">
        <f>'vHosts (Imported)'!A746</f>
        <v>0</v>
      </c>
      <c r="B746" s="51">
        <f t="shared" si="33"/>
        <v>4968</v>
      </c>
      <c r="C746" s="49">
        <f>HLOOKUP("# Cores",'vHosts (Imported)'!$1:$5000,M746,FALSE)</f>
        <v>0</v>
      </c>
      <c r="D746" s="52">
        <f>HLOOKUP("# Memory",'vHosts (Imported)'!$1:$5000,M746,FALSE)</f>
        <v>0</v>
      </c>
      <c r="M746" s="45">
        <f t="shared" si="35"/>
        <v>746</v>
      </c>
      <c r="N746" s="38">
        <f>HLOOKUP("Host",'vInfo (Imported)'!$1:$5000,M746,FALSE)</f>
        <v>0</v>
      </c>
      <c r="R746">
        <f>HLOOKUP("CPUs",'vInfo (Imported)'!$1:$5000,M746,FALSE)</f>
        <v>0</v>
      </c>
      <c r="S746">
        <f>HLOOKUP("Memory",'vInfo (Imported)'!$1:$5000,M746,FALSE)</f>
        <v>0</v>
      </c>
      <c r="T746">
        <f>HLOOKUP("Provisioned MiB",'vInfo (Imported)'!$1:$5000,M746,FALSE)</f>
        <v>0</v>
      </c>
      <c r="U746">
        <f t="shared" si="34"/>
        <v>0</v>
      </c>
      <c r="V746">
        <f>HLOOKUP("In Use MiB",'vInfo (Imported)'!$1:$5000,M746,FALSE)</f>
        <v>0</v>
      </c>
    </row>
    <row r="747" spans="1:22" ht="13" x14ac:dyDescent="0.3">
      <c r="A747" s="46">
        <f>'vHosts (Imported)'!A747</f>
        <v>0</v>
      </c>
      <c r="B747" s="51">
        <f t="shared" si="33"/>
        <v>4968</v>
      </c>
      <c r="C747" s="49">
        <f>HLOOKUP("# Cores",'vHosts (Imported)'!$1:$5000,M747,FALSE)</f>
        <v>0</v>
      </c>
      <c r="D747" s="52">
        <f>HLOOKUP("# Memory",'vHosts (Imported)'!$1:$5000,M747,FALSE)</f>
        <v>0</v>
      </c>
      <c r="M747" s="45">
        <f t="shared" si="35"/>
        <v>747</v>
      </c>
      <c r="N747" s="38">
        <f>HLOOKUP("Host",'vInfo (Imported)'!$1:$5000,M747,FALSE)</f>
        <v>0</v>
      </c>
      <c r="R747">
        <f>HLOOKUP("CPUs",'vInfo (Imported)'!$1:$5000,M747,FALSE)</f>
        <v>0</v>
      </c>
      <c r="S747">
        <f>HLOOKUP("Memory",'vInfo (Imported)'!$1:$5000,M747,FALSE)</f>
        <v>0</v>
      </c>
      <c r="T747">
        <f>HLOOKUP("Provisioned MiB",'vInfo (Imported)'!$1:$5000,M747,FALSE)</f>
        <v>0</v>
      </c>
      <c r="U747">
        <f t="shared" si="34"/>
        <v>0</v>
      </c>
      <c r="V747">
        <f>HLOOKUP("In Use MiB",'vInfo (Imported)'!$1:$5000,M747,FALSE)</f>
        <v>0</v>
      </c>
    </row>
    <row r="748" spans="1:22" ht="13" x14ac:dyDescent="0.3">
      <c r="A748" s="46">
        <f>'vHosts (Imported)'!A748</f>
        <v>0</v>
      </c>
      <c r="B748" s="51">
        <f t="shared" si="33"/>
        <v>4968</v>
      </c>
      <c r="C748" s="49">
        <f>HLOOKUP("# Cores",'vHosts (Imported)'!$1:$5000,M748,FALSE)</f>
        <v>0</v>
      </c>
      <c r="D748" s="52">
        <f>HLOOKUP("# Memory",'vHosts (Imported)'!$1:$5000,M748,FALSE)</f>
        <v>0</v>
      </c>
      <c r="M748" s="45">
        <f t="shared" si="35"/>
        <v>748</v>
      </c>
      <c r="N748" s="38">
        <f>HLOOKUP("Host",'vInfo (Imported)'!$1:$5000,M748,FALSE)</f>
        <v>0</v>
      </c>
      <c r="R748">
        <f>HLOOKUP("CPUs",'vInfo (Imported)'!$1:$5000,M748,FALSE)</f>
        <v>0</v>
      </c>
      <c r="S748">
        <f>HLOOKUP("Memory",'vInfo (Imported)'!$1:$5000,M748,FALSE)</f>
        <v>0</v>
      </c>
      <c r="T748">
        <f>HLOOKUP("Provisioned MiB",'vInfo (Imported)'!$1:$5000,M748,FALSE)</f>
        <v>0</v>
      </c>
      <c r="U748">
        <f t="shared" si="34"/>
        <v>0</v>
      </c>
      <c r="V748">
        <f>HLOOKUP("In Use MiB",'vInfo (Imported)'!$1:$5000,M748,FALSE)</f>
        <v>0</v>
      </c>
    </row>
    <row r="749" spans="1:22" ht="13" x14ac:dyDescent="0.3">
      <c r="A749" s="46">
        <f>'vHosts (Imported)'!A749</f>
        <v>0</v>
      </c>
      <c r="B749" s="51">
        <f t="shared" si="33"/>
        <v>4968</v>
      </c>
      <c r="C749" s="49">
        <f>HLOOKUP("# Cores",'vHosts (Imported)'!$1:$5000,M749,FALSE)</f>
        <v>0</v>
      </c>
      <c r="D749" s="52">
        <f>HLOOKUP("# Memory",'vHosts (Imported)'!$1:$5000,M749,FALSE)</f>
        <v>0</v>
      </c>
      <c r="M749" s="45">
        <f t="shared" si="35"/>
        <v>749</v>
      </c>
      <c r="N749" s="38">
        <f>HLOOKUP("Host",'vInfo (Imported)'!$1:$5000,M749,FALSE)</f>
        <v>0</v>
      </c>
      <c r="R749">
        <f>HLOOKUP("CPUs",'vInfo (Imported)'!$1:$5000,M749,FALSE)</f>
        <v>0</v>
      </c>
      <c r="S749">
        <f>HLOOKUP("Memory",'vInfo (Imported)'!$1:$5000,M749,FALSE)</f>
        <v>0</v>
      </c>
      <c r="T749">
        <f>HLOOKUP("Provisioned MiB",'vInfo (Imported)'!$1:$5000,M749,FALSE)</f>
        <v>0</v>
      </c>
      <c r="U749">
        <f t="shared" si="34"/>
        <v>0</v>
      </c>
      <c r="V749">
        <f>HLOOKUP("In Use MiB",'vInfo (Imported)'!$1:$5000,M749,FALSE)</f>
        <v>0</v>
      </c>
    </row>
    <row r="750" spans="1:22" ht="13" x14ac:dyDescent="0.3">
      <c r="A750" s="46">
        <f>'vHosts (Imported)'!A750</f>
        <v>0</v>
      </c>
      <c r="B750" s="51">
        <f t="shared" si="33"/>
        <v>4968</v>
      </c>
      <c r="C750" s="49">
        <f>HLOOKUP("# Cores",'vHosts (Imported)'!$1:$5000,M750,FALSE)</f>
        <v>0</v>
      </c>
      <c r="D750" s="52">
        <f>HLOOKUP("# Memory",'vHosts (Imported)'!$1:$5000,M750,FALSE)</f>
        <v>0</v>
      </c>
      <c r="M750" s="45">
        <f t="shared" si="35"/>
        <v>750</v>
      </c>
      <c r="N750" s="38">
        <f>HLOOKUP("Host",'vInfo (Imported)'!$1:$5000,M750,FALSE)</f>
        <v>0</v>
      </c>
      <c r="R750">
        <f>HLOOKUP("CPUs",'vInfo (Imported)'!$1:$5000,M750,FALSE)</f>
        <v>0</v>
      </c>
      <c r="S750">
        <f>HLOOKUP("Memory",'vInfo (Imported)'!$1:$5000,M750,FALSE)</f>
        <v>0</v>
      </c>
      <c r="T750">
        <f>HLOOKUP("Provisioned MiB",'vInfo (Imported)'!$1:$5000,M750,FALSE)</f>
        <v>0</v>
      </c>
      <c r="U750">
        <f t="shared" si="34"/>
        <v>0</v>
      </c>
      <c r="V750">
        <f>HLOOKUP("In Use MiB",'vInfo (Imported)'!$1:$5000,M750,FALSE)</f>
        <v>0</v>
      </c>
    </row>
    <row r="751" spans="1:22" ht="13" x14ac:dyDescent="0.3">
      <c r="A751" s="46">
        <f>'vHosts (Imported)'!A751</f>
        <v>0</v>
      </c>
      <c r="B751" s="51">
        <f t="shared" si="33"/>
        <v>4968</v>
      </c>
      <c r="C751" s="49">
        <f>HLOOKUP("# Cores",'vHosts (Imported)'!$1:$5000,M751,FALSE)</f>
        <v>0</v>
      </c>
      <c r="D751" s="52">
        <f>HLOOKUP("# Memory",'vHosts (Imported)'!$1:$5000,M751,FALSE)</f>
        <v>0</v>
      </c>
      <c r="M751" s="45">
        <f t="shared" si="35"/>
        <v>751</v>
      </c>
      <c r="N751" s="38">
        <f>HLOOKUP("Host",'vInfo (Imported)'!$1:$5000,M751,FALSE)</f>
        <v>0</v>
      </c>
      <c r="R751">
        <f>HLOOKUP("CPUs",'vInfo (Imported)'!$1:$5000,M751,FALSE)</f>
        <v>0</v>
      </c>
      <c r="S751">
        <f>HLOOKUP("Memory",'vInfo (Imported)'!$1:$5000,M751,FALSE)</f>
        <v>0</v>
      </c>
      <c r="T751">
        <f>HLOOKUP("Provisioned MiB",'vInfo (Imported)'!$1:$5000,M751,FALSE)</f>
        <v>0</v>
      </c>
      <c r="U751">
        <f t="shared" si="34"/>
        <v>0</v>
      </c>
      <c r="V751">
        <f>HLOOKUP("In Use MiB",'vInfo (Imported)'!$1:$5000,M751,FALSE)</f>
        <v>0</v>
      </c>
    </row>
    <row r="752" spans="1:22" ht="13" x14ac:dyDescent="0.3">
      <c r="A752" s="46">
        <f>'vHosts (Imported)'!A752</f>
        <v>0</v>
      </c>
      <c r="B752" s="51">
        <f t="shared" si="33"/>
        <v>4968</v>
      </c>
      <c r="C752" s="49">
        <f>HLOOKUP("# Cores",'vHosts (Imported)'!$1:$5000,M752,FALSE)</f>
        <v>0</v>
      </c>
      <c r="D752" s="52">
        <f>HLOOKUP("# Memory",'vHosts (Imported)'!$1:$5000,M752,FALSE)</f>
        <v>0</v>
      </c>
      <c r="M752" s="45">
        <f t="shared" si="35"/>
        <v>752</v>
      </c>
      <c r="N752" s="38">
        <f>HLOOKUP("Host",'vInfo (Imported)'!$1:$5000,M752,FALSE)</f>
        <v>0</v>
      </c>
      <c r="R752">
        <f>HLOOKUP("CPUs",'vInfo (Imported)'!$1:$5000,M752,FALSE)</f>
        <v>0</v>
      </c>
      <c r="S752">
        <f>HLOOKUP("Memory",'vInfo (Imported)'!$1:$5000,M752,FALSE)</f>
        <v>0</v>
      </c>
      <c r="T752">
        <f>HLOOKUP("Provisioned MiB",'vInfo (Imported)'!$1:$5000,M752,FALSE)</f>
        <v>0</v>
      </c>
      <c r="U752">
        <f t="shared" si="34"/>
        <v>0</v>
      </c>
      <c r="V752">
        <f>HLOOKUP("In Use MiB",'vInfo (Imported)'!$1:$5000,M752,FALSE)</f>
        <v>0</v>
      </c>
    </row>
    <row r="753" spans="1:22" ht="13" x14ac:dyDescent="0.3">
      <c r="A753" s="46">
        <f>'vHosts (Imported)'!A753</f>
        <v>0</v>
      </c>
      <c r="B753" s="51">
        <f t="shared" si="33"/>
        <v>4968</v>
      </c>
      <c r="C753" s="49">
        <f>HLOOKUP("# Cores",'vHosts (Imported)'!$1:$5000,M753,FALSE)</f>
        <v>0</v>
      </c>
      <c r="D753" s="52">
        <f>HLOOKUP("# Memory",'vHosts (Imported)'!$1:$5000,M753,FALSE)</f>
        <v>0</v>
      </c>
      <c r="M753" s="45">
        <f t="shared" si="35"/>
        <v>753</v>
      </c>
      <c r="N753" s="38">
        <f>HLOOKUP("Host",'vInfo (Imported)'!$1:$5000,M753,FALSE)</f>
        <v>0</v>
      </c>
      <c r="R753">
        <f>HLOOKUP("CPUs",'vInfo (Imported)'!$1:$5000,M753,FALSE)</f>
        <v>0</v>
      </c>
      <c r="S753">
        <f>HLOOKUP("Memory",'vInfo (Imported)'!$1:$5000,M753,FALSE)</f>
        <v>0</v>
      </c>
      <c r="T753">
        <f>HLOOKUP("Provisioned MiB",'vInfo (Imported)'!$1:$5000,M753,FALSE)</f>
        <v>0</v>
      </c>
      <c r="U753">
        <f t="shared" si="34"/>
        <v>0</v>
      </c>
      <c r="V753">
        <f>HLOOKUP("In Use MiB",'vInfo (Imported)'!$1:$5000,M753,FALSE)</f>
        <v>0</v>
      </c>
    </row>
    <row r="754" spans="1:22" ht="13" x14ac:dyDescent="0.3">
      <c r="A754" s="46">
        <f>'vHosts (Imported)'!A754</f>
        <v>0</v>
      </c>
      <c r="B754" s="51">
        <f t="shared" si="33"/>
        <v>4968</v>
      </c>
      <c r="C754" s="49">
        <f>HLOOKUP("# Cores",'vHosts (Imported)'!$1:$5000,M754,FALSE)</f>
        <v>0</v>
      </c>
      <c r="D754" s="52">
        <f>HLOOKUP("# Memory",'vHosts (Imported)'!$1:$5000,M754,FALSE)</f>
        <v>0</v>
      </c>
      <c r="M754" s="45">
        <f t="shared" si="35"/>
        <v>754</v>
      </c>
      <c r="N754" s="38">
        <f>HLOOKUP("Host",'vInfo (Imported)'!$1:$5000,M754,FALSE)</f>
        <v>0</v>
      </c>
      <c r="R754">
        <f>HLOOKUP("CPUs",'vInfo (Imported)'!$1:$5000,M754,FALSE)</f>
        <v>0</v>
      </c>
      <c r="S754">
        <f>HLOOKUP("Memory",'vInfo (Imported)'!$1:$5000,M754,FALSE)</f>
        <v>0</v>
      </c>
      <c r="T754">
        <f>HLOOKUP("Provisioned MiB",'vInfo (Imported)'!$1:$5000,M754,FALSE)</f>
        <v>0</v>
      </c>
      <c r="U754">
        <f t="shared" si="34"/>
        <v>0</v>
      </c>
      <c r="V754">
        <f>HLOOKUP("In Use MiB",'vInfo (Imported)'!$1:$5000,M754,FALSE)</f>
        <v>0</v>
      </c>
    </row>
    <row r="755" spans="1:22" ht="13" x14ac:dyDescent="0.3">
      <c r="A755" s="46">
        <f>'vHosts (Imported)'!A755</f>
        <v>0</v>
      </c>
      <c r="B755" s="51">
        <f t="shared" si="33"/>
        <v>4968</v>
      </c>
      <c r="C755" s="49">
        <f>HLOOKUP("# Cores",'vHosts (Imported)'!$1:$5000,M755,FALSE)</f>
        <v>0</v>
      </c>
      <c r="D755" s="52">
        <f>HLOOKUP("# Memory",'vHosts (Imported)'!$1:$5000,M755,FALSE)</f>
        <v>0</v>
      </c>
      <c r="M755" s="45">
        <f t="shared" si="35"/>
        <v>755</v>
      </c>
      <c r="N755" s="38">
        <f>HLOOKUP("Host",'vInfo (Imported)'!$1:$5000,M755,FALSE)</f>
        <v>0</v>
      </c>
      <c r="R755">
        <f>HLOOKUP("CPUs",'vInfo (Imported)'!$1:$5000,M755,FALSE)</f>
        <v>0</v>
      </c>
      <c r="S755">
        <f>HLOOKUP("Memory",'vInfo (Imported)'!$1:$5000,M755,FALSE)</f>
        <v>0</v>
      </c>
      <c r="T755">
        <f>HLOOKUP("Provisioned MiB",'vInfo (Imported)'!$1:$5000,M755,FALSE)</f>
        <v>0</v>
      </c>
      <c r="U755">
        <f t="shared" si="34"/>
        <v>0</v>
      </c>
      <c r="V755">
        <f>HLOOKUP("In Use MiB",'vInfo (Imported)'!$1:$5000,M755,FALSE)</f>
        <v>0</v>
      </c>
    </row>
    <row r="756" spans="1:22" ht="13" x14ac:dyDescent="0.3">
      <c r="A756" s="46">
        <f>'vHosts (Imported)'!A756</f>
        <v>0</v>
      </c>
      <c r="B756" s="51">
        <f t="shared" si="33"/>
        <v>4968</v>
      </c>
      <c r="C756" s="49">
        <f>HLOOKUP("# Cores",'vHosts (Imported)'!$1:$5000,M756,FALSE)</f>
        <v>0</v>
      </c>
      <c r="D756" s="52">
        <f>HLOOKUP("# Memory",'vHosts (Imported)'!$1:$5000,M756,FALSE)</f>
        <v>0</v>
      </c>
      <c r="M756" s="45">
        <f t="shared" si="35"/>
        <v>756</v>
      </c>
      <c r="N756" s="38">
        <f>HLOOKUP("Host",'vInfo (Imported)'!$1:$5000,M756,FALSE)</f>
        <v>0</v>
      </c>
      <c r="R756">
        <f>HLOOKUP("CPUs",'vInfo (Imported)'!$1:$5000,M756,FALSE)</f>
        <v>0</v>
      </c>
      <c r="S756">
        <f>HLOOKUP("Memory",'vInfo (Imported)'!$1:$5000,M756,FALSE)</f>
        <v>0</v>
      </c>
      <c r="T756">
        <f>HLOOKUP("Provisioned MiB",'vInfo (Imported)'!$1:$5000,M756,FALSE)</f>
        <v>0</v>
      </c>
      <c r="U756">
        <f t="shared" si="34"/>
        <v>0</v>
      </c>
      <c r="V756">
        <f>HLOOKUP("In Use MiB",'vInfo (Imported)'!$1:$5000,M756,FALSE)</f>
        <v>0</v>
      </c>
    </row>
    <row r="757" spans="1:22" ht="13" x14ac:dyDescent="0.3">
      <c r="A757" s="46">
        <f>'vHosts (Imported)'!A757</f>
        <v>0</v>
      </c>
      <c r="B757" s="51">
        <f t="shared" si="33"/>
        <v>4968</v>
      </c>
      <c r="C757" s="49">
        <f>HLOOKUP("# Cores",'vHosts (Imported)'!$1:$5000,M757,FALSE)</f>
        <v>0</v>
      </c>
      <c r="D757" s="52">
        <f>HLOOKUP("# Memory",'vHosts (Imported)'!$1:$5000,M757,FALSE)</f>
        <v>0</v>
      </c>
      <c r="M757" s="45">
        <f t="shared" si="35"/>
        <v>757</v>
      </c>
      <c r="N757" s="38">
        <f>HLOOKUP("Host",'vInfo (Imported)'!$1:$5000,M757,FALSE)</f>
        <v>0</v>
      </c>
      <c r="R757">
        <f>HLOOKUP("CPUs",'vInfo (Imported)'!$1:$5000,M757,FALSE)</f>
        <v>0</v>
      </c>
      <c r="S757">
        <f>HLOOKUP("Memory",'vInfo (Imported)'!$1:$5000,M757,FALSE)</f>
        <v>0</v>
      </c>
      <c r="T757">
        <f>HLOOKUP("Provisioned MiB",'vInfo (Imported)'!$1:$5000,M757,FALSE)</f>
        <v>0</v>
      </c>
      <c r="U757">
        <f t="shared" si="34"/>
        <v>0</v>
      </c>
      <c r="V757">
        <f>HLOOKUP("In Use MiB",'vInfo (Imported)'!$1:$5000,M757,FALSE)</f>
        <v>0</v>
      </c>
    </row>
    <row r="758" spans="1:22" ht="13" x14ac:dyDescent="0.3">
      <c r="A758" s="46">
        <f>'vHosts (Imported)'!A758</f>
        <v>0</v>
      </c>
      <c r="B758" s="51">
        <f t="shared" si="33"/>
        <v>4968</v>
      </c>
      <c r="C758" s="49">
        <f>HLOOKUP("# Cores",'vHosts (Imported)'!$1:$5000,M758,FALSE)</f>
        <v>0</v>
      </c>
      <c r="D758" s="52">
        <f>HLOOKUP("# Memory",'vHosts (Imported)'!$1:$5000,M758,FALSE)</f>
        <v>0</v>
      </c>
      <c r="M758" s="45">
        <f t="shared" si="35"/>
        <v>758</v>
      </c>
      <c r="N758" s="38">
        <f>HLOOKUP("Host",'vInfo (Imported)'!$1:$5000,M758,FALSE)</f>
        <v>0</v>
      </c>
      <c r="R758">
        <f>HLOOKUP("CPUs",'vInfo (Imported)'!$1:$5000,M758,FALSE)</f>
        <v>0</v>
      </c>
      <c r="S758">
        <f>HLOOKUP("Memory",'vInfo (Imported)'!$1:$5000,M758,FALSE)</f>
        <v>0</v>
      </c>
      <c r="T758">
        <f>HLOOKUP("Provisioned MiB",'vInfo (Imported)'!$1:$5000,M758,FALSE)</f>
        <v>0</v>
      </c>
      <c r="U758">
        <f t="shared" si="34"/>
        <v>0</v>
      </c>
      <c r="V758">
        <f>HLOOKUP("In Use MiB",'vInfo (Imported)'!$1:$5000,M758,FALSE)</f>
        <v>0</v>
      </c>
    </row>
    <row r="759" spans="1:22" ht="13" x14ac:dyDescent="0.3">
      <c r="A759" s="46">
        <f>'vHosts (Imported)'!A759</f>
        <v>0</v>
      </c>
      <c r="B759" s="51">
        <f t="shared" si="33"/>
        <v>4968</v>
      </c>
      <c r="C759" s="49">
        <f>HLOOKUP("# Cores",'vHosts (Imported)'!$1:$5000,M759,FALSE)</f>
        <v>0</v>
      </c>
      <c r="D759" s="52">
        <f>HLOOKUP("# Memory",'vHosts (Imported)'!$1:$5000,M759,FALSE)</f>
        <v>0</v>
      </c>
      <c r="M759" s="45">
        <f t="shared" si="35"/>
        <v>759</v>
      </c>
      <c r="N759" s="38">
        <f>HLOOKUP("Host",'vInfo (Imported)'!$1:$5000,M759,FALSE)</f>
        <v>0</v>
      </c>
      <c r="R759">
        <f>HLOOKUP("CPUs",'vInfo (Imported)'!$1:$5000,M759,FALSE)</f>
        <v>0</v>
      </c>
      <c r="S759">
        <f>HLOOKUP("Memory",'vInfo (Imported)'!$1:$5000,M759,FALSE)</f>
        <v>0</v>
      </c>
      <c r="T759">
        <f>HLOOKUP("Provisioned MiB",'vInfo (Imported)'!$1:$5000,M759,FALSE)</f>
        <v>0</v>
      </c>
      <c r="U759">
        <f t="shared" si="34"/>
        <v>0</v>
      </c>
      <c r="V759">
        <f>HLOOKUP("In Use MiB",'vInfo (Imported)'!$1:$5000,M759,FALSE)</f>
        <v>0</v>
      </c>
    </row>
    <row r="760" spans="1:22" ht="13" x14ac:dyDescent="0.3">
      <c r="A760" s="46">
        <f>'vHosts (Imported)'!A760</f>
        <v>0</v>
      </c>
      <c r="B760" s="51">
        <f t="shared" si="33"/>
        <v>4968</v>
      </c>
      <c r="C760" s="49">
        <f>HLOOKUP("# Cores",'vHosts (Imported)'!$1:$5000,M760,FALSE)</f>
        <v>0</v>
      </c>
      <c r="D760" s="52">
        <f>HLOOKUP("# Memory",'vHosts (Imported)'!$1:$5000,M760,FALSE)</f>
        <v>0</v>
      </c>
      <c r="M760" s="45">
        <f t="shared" si="35"/>
        <v>760</v>
      </c>
      <c r="N760" s="38">
        <f>HLOOKUP("Host",'vInfo (Imported)'!$1:$5000,M760,FALSE)</f>
        <v>0</v>
      </c>
      <c r="R760">
        <f>HLOOKUP("CPUs",'vInfo (Imported)'!$1:$5000,M760,FALSE)</f>
        <v>0</v>
      </c>
      <c r="S760">
        <f>HLOOKUP("Memory",'vInfo (Imported)'!$1:$5000,M760,FALSE)</f>
        <v>0</v>
      </c>
      <c r="T760">
        <f>HLOOKUP("Provisioned MiB",'vInfo (Imported)'!$1:$5000,M760,FALSE)</f>
        <v>0</v>
      </c>
      <c r="U760">
        <f t="shared" si="34"/>
        <v>0</v>
      </c>
      <c r="V760">
        <f>HLOOKUP("In Use MiB",'vInfo (Imported)'!$1:$5000,M760,FALSE)</f>
        <v>0</v>
      </c>
    </row>
    <row r="761" spans="1:22" ht="13" x14ac:dyDescent="0.3">
      <c r="A761" s="46">
        <f>'vHosts (Imported)'!A761</f>
        <v>0</v>
      </c>
      <c r="B761" s="51">
        <f t="shared" si="33"/>
        <v>4968</v>
      </c>
      <c r="C761" s="49">
        <f>HLOOKUP("# Cores",'vHosts (Imported)'!$1:$5000,M761,FALSE)</f>
        <v>0</v>
      </c>
      <c r="D761" s="52">
        <f>HLOOKUP("# Memory",'vHosts (Imported)'!$1:$5000,M761,FALSE)</f>
        <v>0</v>
      </c>
      <c r="M761" s="45">
        <f t="shared" si="35"/>
        <v>761</v>
      </c>
      <c r="N761" s="38">
        <f>HLOOKUP("Host",'vInfo (Imported)'!$1:$5000,M761,FALSE)</f>
        <v>0</v>
      </c>
      <c r="R761">
        <f>HLOOKUP("CPUs",'vInfo (Imported)'!$1:$5000,M761,FALSE)</f>
        <v>0</v>
      </c>
      <c r="S761">
        <f>HLOOKUP("Memory",'vInfo (Imported)'!$1:$5000,M761,FALSE)</f>
        <v>0</v>
      </c>
      <c r="T761">
        <f>HLOOKUP("Provisioned MiB",'vInfo (Imported)'!$1:$5000,M761,FALSE)</f>
        <v>0</v>
      </c>
      <c r="U761">
        <f t="shared" si="34"/>
        <v>0</v>
      </c>
      <c r="V761">
        <f>HLOOKUP("In Use MiB",'vInfo (Imported)'!$1:$5000,M761,FALSE)</f>
        <v>0</v>
      </c>
    </row>
    <row r="762" spans="1:22" ht="13" x14ac:dyDescent="0.3">
      <c r="A762" s="46">
        <f>'vHosts (Imported)'!A762</f>
        <v>0</v>
      </c>
      <c r="B762" s="51">
        <f t="shared" si="33"/>
        <v>4968</v>
      </c>
      <c r="C762" s="49">
        <f>HLOOKUP("# Cores",'vHosts (Imported)'!$1:$5000,M762,FALSE)</f>
        <v>0</v>
      </c>
      <c r="D762" s="52">
        <f>HLOOKUP("# Memory",'vHosts (Imported)'!$1:$5000,M762,FALSE)</f>
        <v>0</v>
      </c>
      <c r="M762" s="45">
        <f t="shared" si="35"/>
        <v>762</v>
      </c>
      <c r="N762" s="38">
        <f>HLOOKUP("Host",'vInfo (Imported)'!$1:$5000,M762,FALSE)</f>
        <v>0</v>
      </c>
      <c r="R762">
        <f>HLOOKUP("CPUs",'vInfo (Imported)'!$1:$5000,M762,FALSE)</f>
        <v>0</v>
      </c>
      <c r="S762">
        <f>HLOOKUP("Memory",'vInfo (Imported)'!$1:$5000,M762,FALSE)</f>
        <v>0</v>
      </c>
      <c r="T762">
        <f>HLOOKUP("Provisioned MiB",'vInfo (Imported)'!$1:$5000,M762,FALSE)</f>
        <v>0</v>
      </c>
      <c r="U762">
        <f t="shared" si="34"/>
        <v>0</v>
      </c>
      <c r="V762">
        <f>HLOOKUP("In Use MiB",'vInfo (Imported)'!$1:$5000,M762,FALSE)</f>
        <v>0</v>
      </c>
    </row>
    <row r="763" spans="1:22" ht="13" x14ac:dyDescent="0.3">
      <c r="A763" s="46">
        <f>'vHosts (Imported)'!A763</f>
        <v>0</v>
      </c>
      <c r="B763" s="51">
        <f t="shared" si="33"/>
        <v>4968</v>
      </c>
      <c r="C763" s="49">
        <f>HLOOKUP("# Cores",'vHosts (Imported)'!$1:$5000,M763,FALSE)</f>
        <v>0</v>
      </c>
      <c r="D763" s="52">
        <f>HLOOKUP("# Memory",'vHosts (Imported)'!$1:$5000,M763,FALSE)</f>
        <v>0</v>
      </c>
      <c r="M763" s="45">
        <f t="shared" si="35"/>
        <v>763</v>
      </c>
      <c r="N763" s="38">
        <f>HLOOKUP("Host",'vInfo (Imported)'!$1:$5000,M763,FALSE)</f>
        <v>0</v>
      </c>
      <c r="R763">
        <f>HLOOKUP("CPUs",'vInfo (Imported)'!$1:$5000,M763,FALSE)</f>
        <v>0</v>
      </c>
      <c r="S763">
        <f>HLOOKUP("Memory",'vInfo (Imported)'!$1:$5000,M763,FALSE)</f>
        <v>0</v>
      </c>
      <c r="T763">
        <f>HLOOKUP("Provisioned MiB",'vInfo (Imported)'!$1:$5000,M763,FALSE)</f>
        <v>0</v>
      </c>
      <c r="U763">
        <f t="shared" si="34"/>
        <v>0</v>
      </c>
      <c r="V763">
        <f>HLOOKUP("In Use MiB",'vInfo (Imported)'!$1:$5000,M763,FALSE)</f>
        <v>0</v>
      </c>
    </row>
    <row r="764" spans="1:22" ht="13" x14ac:dyDescent="0.3">
      <c r="A764" s="46">
        <f>'vHosts (Imported)'!A764</f>
        <v>0</v>
      </c>
      <c r="B764" s="51">
        <f t="shared" si="33"/>
        <v>4968</v>
      </c>
      <c r="C764" s="49">
        <f>HLOOKUP("# Cores",'vHosts (Imported)'!$1:$5000,M764,FALSE)</f>
        <v>0</v>
      </c>
      <c r="D764" s="52">
        <f>HLOOKUP("# Memory",'vHosts (Imported)'!$1:$5000,M764,FALSE)</f>
        <v>0</v>
      </c>
      <c r="M764" s="45">
        <f t="shared" si="35"/>
        <v>764</v>
      </c>
      <c r="N764" s="38">
        <f>HLOOKUP("Host",'vInfo (Imported)'!$1:$5000,M764,FALSE)</f>
        <v>0</v>
      </c>
      <c r="R764">
        <f>HLOOKUP("CPUs",'vInfo (Imported)'!$1:$5000,M764,FALSE)</f>
        <v>0</v>
      </c>
      <c r="S764">
        <f>HLOOKUP("Memory",'vInfo (Imported)'!$1:$5000,M764,FALSE)</f>
        <v>0</v>
      </c>
      <c r="T764">
        <f>HLOOKUP("Provisioned MiB",'vInfo (Imported)'!$1:$5000,M764,FALSE)</f>
        <v>0</v>
      </c>
      <c r="U764">
        <f t="shared" si="34"/>
        <v>0</v>
      </c>
      <c r="V764">
        <f>HLOOKUP("In Use MiB",'vInfo (Imported)'!$1:$5000,M764,FALSE)</f>
        <v>0</v>
      </c>
    </row>
    <row r="765" spans="1:22" ht="13" x14ac:dyDescent="0.3">
      <c r="A765" s="46">
        <f>'vHosts (Imported)'!A765</f>
        <v>0</v>
      </c>
      <c r="B765" s="51">
        <f t="shared" si="33"/>
        <v>4968</v>
      </c>
      <c r="C765" s="49">
        <f>HLOOKUP("# Cores",'vHosts (Imported)'!$1:$5000,M765,FALSE)</f>
        <v>0</v>
      </c>
      <c r="D765" s="52">
        <f>HLOOKUP("# Memory",'vHosts (Imported)'!$1:$5000,M765,FALSE)</f>
        <v>0</v>
      </c>
      <c r="M765" s="45">
        <f t="shared" si="35"/>
        <v>765</v>
      </c>
      <c r="N765" s="38">
        <f>HLOOKUP("Host",'vInfo (Imported)'!$1:$5000,M765,FALSE)</f>
        <v>0</v>
      </c>
      <c r="R765">
        <f>HLOOKUP("CPUs",'vInfo (Imported)'!$1:$5000,M765,FALSE)</f>
        <v>0</v>
      </c>
      <c r="S765">
        <f>HLOOKUP("Memory",'vInfo (Imported)'!$1:$5000,M765,FALSE)</f>
        <v>0</v>
      </c>
      <c r="T765">
        <f>HLOOKUP("Provisioned MiB",'vInfo (Imported)'!$1:$5000,M765,FALSE)</f>
        <v>0</v>
      </c>
      <c r="U765">
        <f t="shared" si="34"/>
        <v>0</v>
      </c>
      <c r="V765">
        <f>HLOOKUP("In Use MiB",'vInfo (Imported)'!$1:$5000,M765,FALSE)</f>
        <v>0</v>
      </c>
    </row>
    <row r="766" spans="1:22" ht="13" x14ac:dyDescent="0.3">
      <c r="A766" s="46">
        <f>'vHosts (Imported)'!A766</f>
        <v>0</v>
      </c>
      <c r="B766" s="51">
        <f t="shared" si="33"/>
        <v>4968</v>
      </c>
      <c r="C766" s="49">
        <f>HLOOKUP("# Cores",'vHosts (Imported)'!$1:$5000,M766,FALSE)</f>
        <v>0</v>
      </c>
      <c r="D766" s="52">
        <f>HLOOKUP("# Memory",'vHosts (Imported)'!$1:$5000,M766,FALSE)</f>
        <v>0</v>
      </c>
      <c r="M766" s="45">
        <f t="shared" si="35"/>
        <v>766</v>
      </c>
      <c r="N766" s="38">
        <f>HLOOKUP("Host",'vInfo (Imported)'!$1:$5000,M766,FALSE)</f>
        <v>0</v>
      </c>
      <c r="R766">
        <f>HLOOKUP("CPUs",'vInfo (Imported)'!$1:$5000,M766,FALSE)</f>
        <v>0</v>
      </c>
      <c r="S766">
        <f>HLOOKUP("Memory",'vInfo (Imported)'!$1:$5000,M766,FALSE)</f>
        <v>0</v>
      </c>
      <c r="T766">
        <f>HLOOKUP("Provisioned MiB",'vInfo (Imported)'!$1:$5000,M766,FALSE)</f>
        <v>0</v>
      </c>
      <c r="U766">
        <f t="shared" si="34"/>
        <v>0</v>
      </c>
      <c r="V766">
        <f>HLOOKUP("In Use MiB",'vInfo (Imported)'!$1:$5000,M766,FALSE)</f>
        <v>0</v>
      </c>
    </row>
    <row r="767" spans="1:22" ht="13" x14ac:dyDescent="0.3">
      <c r="A767" s="46">
        <f>'vHosts (Imported)'!A767</f>
        <v>0</v>
      </c>
      <c r="B767" s="51">
        <f t="shared" si="33"/>
        <v>4968</v>
      </c>
      <c r="C767" s="49">
        <f>HLOOKUP("# Cores",'vHosts (Imported)'!$1:$5000,M767,FALSE)</f>
        <v>0</v>
      </c>
      <c r="D767" s="52">
        <f>HLOOKUP("# Memory",'vHosts (Imported)'!$1:$5000,M767,FALSE)</f>
        <v>0</v>
      </c>
      <c r="M767" s="45">
        <f t="shared" si="35"/>
        <v>767</v>
      </c>
      <c r="N767" s="38">
        <f>HLOOKUP("Host",'vInfo (Imported)'!$1:$5000,M767,FALSE)</f>
        <v>0</v>
      </c>
      <c r="R767">
        <f>HLOOKUP("CPUs",'vInfo (Imported)'!$1:$5000,M767,FALSE)</f>
        <v>0</v>
      </c>
      <c r="S767">
        <f>HLOOKUP("Memory",'vInfo (Imported)'!$1:$5000,M767,FALSE)</f>
        <v>0</v>
      </c>
      <c r="T767">
        <f>HLOOKUP("Provisioned MiB",'vInfo (Imported)'!$1:$5000,M767,FALSE)</f>
        <v>0</v>
      </c>
      <c r="U767">
        <f t="shared" si="34"/>
        <v>0</v>
      </c>
      <c r="V767">
        <f>HLOOKUP("In Use MiB",'vInfo (Imported)'!$1:$5000,M767,FALSE)</f>
        <v>0</v>
      </c>
    </row>
    <row r="768" spans="1:22" ht="13" x14ac:dyDescent="0.3">
      <c r="A768" s="46">
        <f>'vHosts (Imported)'!A768</f>
        <v>0</v>
      </c>
      <c r="B768" s="51">
        <f t="shared" si="33"/>
        <v>4968</v>
      </c>
      <c r="C768" s="49">
        <f>HLOOKUP("# Cores",'vHosts (Imported)'!$1:$5000,M768,FALSE)</f>
        <v>0</v>
      </c>
      <c r="D768" s="52">
        <f>HLOOKUP("# Memory",'vHosts (Imported)'!$1:$5000,M768,FALSE)</f>
        <v>0</v>
      </c>
      <c r="M768" s="45">
        <f t="shared" si="35"/>
        <v>768</v>
      </c>
      <c r="N768" s="38">
        <f>HLOOKUP("Host",'vInfo (Imported)'!$1:$5000,M768,FALSE)</f>
        <v>0</v>
      </c>
      <c r="R768">
        <f>HLOOKUP("CPUs",'vInfo (Imported)'!$1:$5000,M768,FALSE)</f>
        <v>0</v>
      </c>
      <c r="S768">
        <f>HLOOKUP("Memory",'vInfo (Imported)'!$1:$5000,M768,FALSE)</f>
        <v>0</v>
      </c>
      <c r="T768">
        <f>HLOOKUP("Provisioned MiB",'vInfo (Imported)'!$1:$5000,M768,FALSE)</f>
        <v>0</v>
      </c>
      <c r="U768">
        <f t="shared" si="34"/>
        <v>0</v>
      </c>
      <c r="V768">
        <f>HLOOKUP("In Use MiB",'vInfo (Imported)'!$1:$5000,M768,FALSE)</f>
        <v>0</v>
      </c>
    </row>
    <row r="769" spans="1:22" ht="13" x14ac:dyDescent="0.3">
      <c r="A769" s="46">
        <f>'vHosts (Imported)'!A769</f>
        <v>0</v>
      </c>
      <c r="B769" s="51">
        <f t="shared" si="33"/>
        <v>4968</v>
      </c>
      <c r="C769" s="49">
        <f>HLOOKUP("# Cores",'vHosts (Imported)'!$1:$5000,M769,FALSE)</f>
        <v>0</v>
      </c>
      <c r="D769" s="52">
        <f>HLOOKUP("# Memory",'vHosts (Imported)'!$1:$5000,M769,FALSE)</f>
        <v>0</v>
      </c>
      <c r="M769" s="45">
        <f t="shared" si="35"/>
        <v>769</v>
      </c>
      <c r="N769" s="38">
        <f>HLOOKUP("Host",'vInfo (Imported)'!$1:$5000,M769,FALSE)</f>
        <v>0</v>
      </c>
      <c r="R769">
        <f>HLOOKUP("CPUs",'vInfo (Imported)'!$1:$5000,M769,FALSE)</f>
        <v>0</v>
      </c>
      <c r="S769">
        <f>HLOOKUP("Memory",'vInfo (Imported)'!$1:$5000,M769,FALSE)</f>
        <v>0</v>
      </c>
      <c r="T769">
        <f>HLOOKUP("Provisioned MiB",'vInfo (Imported)'!$1:$5000,M769,FALSE)</f>
        <v>0</v>
      </c>
      <c r="U769">
        <f t="shared" si="34"/>
        <v>0</v>
      </c>
      <c r="V769">
        <f>HLOOKUP("In Use MiB",'vInfo (Imported)'!$1:$5000,M769,FALSE)</f>
        <v>0</v>
      </c>
    </row>
    <row r="770" spans="1:22" ht="13" x14ac:dyDescent="0.3">
      <c r="A770" s="46">
        <f>'vHosts (Imported)'!A770</f>
        <v>0</v>
      </c>
      <c r="B770" s="51">
        <f t="shared" ref="B770:B833" si="36">COUNTIFS(N:N,IF(A770=0,"0",A770))</f>
        <v>4968</v>
      </c>
      <c r="C770" s="49">
        <f>HLOOKUP("# Cores",'vHosts (Imported)'!$1:$5000,M770,FALSE)</f>
        <v>0</v>
      </c>
      <c r="D770" s="52">
        <f>HLOOKUP("# Memory",'vHosts (Imported)'!$1:$5000,M770,FALSE)</f>
        <v>0</v>
      </c>
      <c r="M770" s="45">
        <f t="shared" si="35"/>
        <v>770</v>
      </c>
      <c r="N770" s="38">
        <f>HLOOKUP("Host",'vInfo (Imported)'!$1:$5000,M770,FALSE)</f>
        <v>0</v>
      </c>
      <c r="R770">
        <f>HLOOKUP("CPUs",'vInfo (Imported)'!$1:$5000,M770,FALSE)</f>
        <v>0</v>
      </c>
      <c r="S770">
        <f>HLOOKUP("Memory",'vInfo (Imported)'!$1:$5000,M770,FALSE)</f>
        <v>0</v>
      </c>
      <c r="T770">
        <f>HLOOKUP("Provisioned MiB",'vInfo (Imported)'!$1:$5000,M770,FALSE)</f>
        <v>0</v>
      </c>
      <c r="U770">
        <f t="shared" si="34"/>
        <v>0</v>
      </c>
      <c r="V770">
        <f>HLOOKUP("In Use MiB",'vInfo (Imported)'!$1:$5000,M770,FALSE)</f>
        <v>0</v>
      </c>
    </row>
    <row r="771" spans="1:22" ht="13" x14ac:dyDescent="0.3">
      <c r="A771" s="46">
        <f>'vHosts (Imported)'!A771</f>
        <v>0</v>
      </c>
      <c r="B771" s="51">
        <f t="shared" si="36"/>
        <v>4968</v>
      </c>
      <c r="C771" s="49">
        <f>HLOOKUP("# Cores",'vHosts (Imported)'!$1:$5000,M771,FALSE)</f>
        <v>0</v>
      </c>
      <c r="D771" s="52">
        <f>HLOOKUP("# Memory",'vHosts (Imported)'!$1:$5000,M771,FALSE)</f>
        <v>0</v>
      </c>
      <c r="M771" s="45">
        <f t="shared" si="35"/>
        <v>771</v>
      </c>
      <c r="N771" s="38">
        <f>HLOOKUP("Host",'vInfo (Imported)'!$1:$5000,M771,FALSE)</f>
        <v>0</v>
      </c>
      <c r="R771">
        <f>HLOOKUP("CPUs",'vInfo (Imported)'!$1:$5000,M771,FALSE)</f>
        <v>0</v>
      </c>
      <c r="S771">
        <f>HLOOKUP("Memory",'vInfo (Imported)'!$1:$5000,M771,FALSE)</f>
        <v>0</v>
      </c>
      <c r="T771">
        <f>HLOOKUP("Provisioned MiB",'vInfo (Imported)'!$1:$5000,M771,FALSE)</f>
        <v>0</v>
      </c>
      <c r="U771">
        <f t="shared" ref="U771:U834" si="37">T771-V771</f>
        <v>0</v>
      </c>
      <c r="V771">
        <f>HLOOKUP("In Use MiB",'vInfo (Imported)'!$1:$5000,M771,FALSE)</f>
        <v>0</v>
      </c>
    </row>
    <row r="772" spans="1:22" ht="13" x14ac:dyDescent="0.3">
      <c r="A772" s="46">
        <f>'vHosts (Imported)'!A772</f>
        <v>0</v>
      </c>
      <c r="B772" s="51">
        <f t="shared" si="36"/>
        <v>4968</v>
      </c>
      <c r="C772" s="49">
        <f>HLOOKUP("# Cores",'vHosts (Imported)'!$1:$5000,M772,FALSE)</f>
        <v>0</v>
      </c>
      <c r="D772" s="52">
        <f>HLOOKUP("# Memory",'vHosts (Imported)'!$1:$5000,M772,FALSE)</f>
        <v>0</v>
      </c>
      <c r="M772" s="45">
        <f t="shared" ref="M772:M835" si="38">M771+1</f>
        <v>772</v>
      </c>
      <c r="N772" s="38">
        <f>HLOOKUP("Host",'vInfo (Imported)'!$1:$5000,M772,FALSE)</f>
        <v>0</v>
      </c>
      <c r="R772">
        <f>HLOOKUP("CPUs",'vInfo (Imported)'!$1:$5000,M772,FALSE)</f>
        <v>0</v>
      </c>
      <c r="S772">
        <f>HLOOKUP("Memory",'vInfo (Imported)'!$1:$5000,M772,FALSE)</f>
        <v>0</v>
      </c>
      <c r="T772">
        <f>HLOOKUP("Provisioned MiB",'vInfo (Imported)'!$1:$5000,M772,FALSE)</f>
        <v>0</v>
      </c>
      <c r="U772">
        <f t="shared" si="37"/>
        <v>0</v>
      </c>
      <c r="V772">
        <f>HLOOKUP("In Use MiB",'vInfo (Imported)'!$1:$5000,M772,FALSE)</f>
        <v>0</v>
      </c>
    </row>
    <row r="773" spans="1:22" ht="13" x14ac:dyDescent="0.3">
      <c r="A773" s="46">
        <f>'vHosts (Imported)'!A773</f>
        <v>0</v>
      </c>
      <c r="B773" s="51">
        <f t="shared" si="36"/>
        <v>4968</v>
      </c>
      <c r="C773" s="49">
        <f>HLOOKUP("# Cores",'vHosts (Imported)'!$1:$5000,M773,FALSE)</f>
        <v>0</v>
      </c>
      <c r="D773" s="52">
        <f>HLOOKUP("# Memory",'vHosts (Imported)'!$1:$5000,M773,FALSE)</f>
        <v>0</v>
      </c>
      <c r="M773" s="45">
        <f t="shared" si="38"/>
        <v>773</v>
      </c>
      <c r="N773" s="38">
        <f>HLOOKUP("Host",'vInfo (Imported)'!$1:$5000,M773,FALSE)</f>
        <v>0</v>
      </c>
      <c r="R773">
        <f>HLOOKUP("CPUs",'vInfo (Imported)'!$1:$5000,M773,FALSE)</f>
        <v>0</v>
      </c>
      <c r="S773">
        <f>HLOOKUP("Memory",'vInfo (Imported)'!$1:$5000,M773,FALSE)</f>
        <v>0</v>
      </c>
      <c r="T773">
        <f>HLOOKUP("Provisioned MiB",'vInfo (Imported)'!$1:$5000,M773,FALSE)</f>
        <v>0</v>
      </c>
      <c r="U773">
        <f t="shared" si="37"/>
        <v>0</v>
      </c>
      <c r="V773">
        <f>HLOOKUP("In Use MiB",'vInfo (Imported)'!$1:$5000,M773,FALSE)</f>
        <v>0</v>
      </c>
    </row>
    <row r="774" spans="1:22" ht="13" x14ac:dyDescent="0.3">
      <c r="A774" s="46">
        <f>'vHosts (Imported)'!A774</f>
        <v>0</v>
      </c>
      <c r="B774" s="51">
        <f t="shared" si="36"/>
        <v>4968</v>
      </c>
      <c r="C774" s="49">
        <f>HLOOKUP("# Cores",'vHosts (Imported)'!$1:$5000,M774,FALSE)</f>
        <v>0</v>
      </c>
      <c r="D774" s="52">
        <f>HLOOKUP("# Memory",'vHosts (Imported)'!$1:$5000,M774,FALSE)</f>
        <v>0</v>
      </c>
      <c r="M774" s="45">
        <f t="shared" si="38"/>
        <v>774</v>
      </c>
      <c r="N774" s="38">
        <f>HLOOKUP("Host",'vInfo (Imported)'!$1:$5000,M774,FALSE)</f>
        <v>0</v>
      </c>
      <c r="R774">
        <f>HLOOKUP("CPUs",'vInfo (Imported)'!$1:$5000,M774,FALSE)</f>
        <v>0</v>
      </c>
      <c r="S774">
        <f>HLOOKUP("Memory",'vInfo (Imported)'!$1:$5000,M774,FALSE)</f>
        <v>0</v>
      </c>
      <c r="T774">
        <f>HLOOKUP("Provisioned MiB",'vInfo (Imported)'!$1:$5000,M774,FALSE)</f>
        <v>0</v>
      </c>
      <c r="U774">
        <f t="shared" si="37"/>
        <v>0</v>
      </c>
      <c r="V774">
        <f>HLOOKUP("In Use MiB",'vInfo (Imported)'!$1:$5000,M774,FALSE)</f>
        <v>0</v>
      </c>
    </row>
    <row r="775" spans="1:22" ht="13" x14ac:dyDescent="0.3">
      <c r="A775" s="46">
        <f>'vHosts (Imported)'!A775</f>
        <v>0</v>
      </c>
      <c r="B775" s="51">
        <f t="shared" si="36"/>
        <v>4968</v>
      </c>
      <c r="C775" s="49">
        <f>HLOOKUP("# Cores",'vHosts (Imported)'!$1:$5000,M775,FALSE)</f>
        <v>0</v>
      </c>
      <c r="D775" s="52">
        <f>HLOOKUP("# Memory",'vHosts (Imported)'!$1:$5000,M775,FALSE)</f>
        <v>0</v>
      </c>
      <c r="M775" s="45">
        <f t="shared" si="38"/>
        <v>775</v>
      </c>
      <c r="N775" s="38">
        <f>HLOOKUP("Host",'vInfo (Imported)'!$1:$5000,M775,FALSE)</f>
        <v>0</v>
      </c>
      <c r="R775">
        <f>HLOOKUP("CPUs",'vInfo (Imported)'!$1:$5000,M775,FALSE)</f>
        <v>0</v>
      </c>
      <c r="S775">
        <f>HLOOKUP("Memory",'vInfo (Imported)'!$1:$5000,M775,FALSE)</f>
        <v>0</v>
      </c>
      <c r="T775">
        <f>HLOOKUP("Provisioned MiB",'vInfo (Imported)'!$1:$5000,M775,FALSE)</f>
        <v>0</v>
      </c>
      <c r="U775">
        <f t="shared" si="37"/>
        <v>0</v>
      </c>
      <c r="V775">
        <f>HLOOKUP("In Use MiB",'vInfo (Imported)'!$1:$5000,M775,FALSE)</f>
        <v>0</v>
      </c>
    </row>
    <row r="776" spans="1:22" ht="13" x14ac:dyDescent="0.3">
      <c r="A776" s="46">
        <f>'vHosts (Imported)'!A776</f>
        <v>0</v>
      </c>
      <c r="B776" s="51">
        <f t="shared" si="36"/>
        <v>4968</v>
      </c>
      <c r="C776" s="49">
        <f>HLOOKUP("# Cores",'vHosts (Imported)'!$1:$5000,M776,FALSE)</f>
        <v>0</v>
      </c>
      <c r="D776" s="52">
        <f>HLOOKUP("# Memory",'vHosts (Imported)'!$1:$5000,M776,FALSE)</f>
        <v>0</v>
      </c>
      <c r="M776" s="45">
        <f t="shared" si="38"/>
        <v>776</v>
      </c>
      <c r="N776" s="38">
        <f>HLOOKUP("Host",'vInfo (Imported)'!$1:$5000,M776,FALSE)</f>
        <v>0</v>
      </c>
      <c r="R776">
        <f>HLOOKUP("CPUs",'vInfo (Imported)'!$1:$5000,M776,FALSE)</f>
        <v>0</v>
      </c>
      <c r="S776">
        <f>HLOOKUP("Memory",'vInfo (Imported)'!$1:$5000,M776,FALSE)</f>
        <v>0</v>
      </c>
      <c r="T776">
        <f>HLOOKUP("Provisioned MiB",'vInfo (Imported)'!$1:$5000,M776,FALSE)</f>
        <v>0</v>
      </c>
      <c r="U776">
        <f t="shared" si="37"/>
        <v>0</v>
      </c>
      <c r="V776">
        <f>HLOOKUP("In Use MiB",'vInfo (Imported)'!$1:$5000,M776,FALSE)</f>
        <v>0</v>
      </c>
    </row>
    <row r="777" spans="1:22" ht="13" x14ac:dyDescent="0.3">
      <c r="A777" s="46">
        <f>'vHosts (Imported)'!A777</f>
        <v>0</v>
      </c>
      <c r="B777" s="51">
        <f t="shared" si="36"/>
        <v>4968</v>
      </c>
      <c r="C777" s="49">
        <f>HLOOKUP("# Cores",'vHosts (Imported)'!$1:$5000,M777,FALSE)</f>
        <v>0</v>
      </c>
      <c r="D777" s="52">
        <f>HLOOKUP("# Memory",'vHosts (Imported)'!$1:$5000,M777,FALSE)</f>
        <v>0</v>
      </c>
      <c r="M777" s="45">
        <f t="shared" si="38"/>
        <v>777</v>
      </c>
      <c r="N777" s="38">
        <f>HLOOKUP("Host",'vInfo (Imported)'!$1:$5000,M777,FALSE)</f>
        <v>0</v>
      </c>
      <c r="R777">
        <f>HLOOKUP("CPUs",'vInfo (Imported)'!$1:$5000,M777,FALSE)</f>
        <v>0</v>
      </c>
      <c r="S777">
        <f>HLOOKUP("Memory",'vInfo (Imported)'!$1:$5000,M777,FALSE)</f>
        <v>0</v>
      </c>
      <c r="T777">
        <f>HLOOKUP("Provisioned MiB",'vInfo (Imported)'!$1:$5000,M777,FALSE)</f>
        <v>0</v>
      </c>
      <c r="U777">
        <f t="shared" si="37"/>
        <v>0</v>
      </c>
      <c r="V777">
        <f>HLOOKUP("In Use MiB",'vInfo (Imported)'!$1:$5000,M777,FALSE)</f>
        <v>0</v>
      </c>
    </row>
    <row r="778" spans="1:22" ht="13" x14ac:dyDescent="0.3">
      <c r="A778" s="46">
        <f>'vHosts (Imported)'!A778</f>
        <v>0</v>
      </c>
      <c r="B778" s="51">
        <f t="shared" si="36"/>
        <v>4968</v>
      </c>
      <c r="C778" s="49">
        <f>HLOOKUP("# Cores",'vHosts (Imported)'!$1:$5000,M778,FALSE)</f>
        <v>0</v>
      </c>
      <c r="D778" s="52">
        <f>HLOOKUP("# Memory",'vHosts (Imported)'!$1:$5000,M778,FALSE)</f>
        <v>0</v>
      </c>
      <c r="M778" s="45">
        <f t="shared" si="38"/>
        <v>778</v>
      </c>
      <c r="N778" s="38">
        <f>HLOOKUP("Host",'vInfo (Imported)'!$1:$5000,M778,FALSE)</f>
        <v>0</v>
      </c>
      <c r="R778">
        <f>HLOOKUP("CPUs",'vInfo (Imported)'!$1:$5000,M778,FALSE)</f>
        <v>0</v>
      </c>
      <c r="S778">
        <f>HLOOKUP("Memory",'vInfo (Imported)'!$1:$5000,M778,FALSE)</f>
        <v>0</v>
      </c>
      <c r="T778">
        <f>HLOOKUP("Provisioned MiB",'vInfo (Imported)'!$1:$5000,M778,FALSE)</f>
        <v>0</v>
      </c>
      <c r="U778">
        <f t="shared" si="37"/>
        <v>0</v>
      </c>
      <c r="V778">
        <f>HLOOKUP("In Use MiB",'vInfo (Imported)'!$1:$5000,M778,FALSE)</f>
        <v>0</v>
      </c>
    </row>
    <row r="779" spans="1:22" ht="13" x14ac:dyDescent="0.3">
      <c r="A779" s="46">
        <f>'vHosts (Imported)'!A779</f>
        <v>0</v>
      </c>
      <c r="B779" s="51">
        <f t="shared" si="36"/>
        <v>4968</v>
      </c>
      <c r="C779" s="49">
        <f>HLOOKUP("# Cores",'vHosts (Imported)'!$1:$5000,M779,FALSE)</f>
        <v>0</v>
      </c>
      <c r="D779" s="52">
        <f>HLOOKUP("# Memory",'vHosts (Imported)'!$1:$5000,M779,FALSE)</f>
        <v>0</v>
      </c>
      <c r="M779" s="45">
        <f t="shared" si="38"/>
        <v>779</v>
      </c>
      <c r="N779" s="38">
        <f>HLOOKUP("Host",'vInfo (Imported)'!$1:$5000,M779,FALSE)</f>
        <v>0</v>
      </c>
      <c r="R779">
        <f>HLOOKUP("CPUs",'vInfo (Imported)'!$1:$5000,M779,FALSE)</f>
        <v>0</v>
      </c>
      <c r="S779">
        <f>HLOOKUP("Memory",'vInfo (Imported)'!$1:$5000,M779,FALSE)</f>
        <v>0</v>
      </c>
      <c r="T779">
        <f>HLOOKUP("Provisioned MiB",'vInfo (Imported)'!$1:$5000,M779,FALSE)</f>
        <v>0</v>
      </c>
      <c r="U779">
        <f t="shared" si="37"/>
        <v>0</v>
      </c>
      <c r="V779">
        <f>HLOOKUP("In Use MiB",'vInfo (Imported)'!$1:$5000,M779,FALSE)</f>
        <v>0</v>
      </c>
    </row>
    <row r="780" spans="1:22" ht="13" x14ac:dyDescent="0.3">
      <c r="A780" s="46">
        <f>'vHosts (Imported)'!A780</f>
        <v>0</v>
      </c>
      <c r="B780" s="51">
        <f t="shared" si="36"/>
        <v>4968</v>
      </c>
      <c r="C780" s="49">
        <f>HLOOKUP("# Cores",'vHosts (Imported)'!$1:$5000,M780,FALSE)</f>
        <v>0</v>
      </c>
      <c r="D780" s="52">
        <f>HLOOKUP("# Memory",'vHosts (Imported)'!$1:$5000,M780,FALSE)</f>
        <v>0</v>
      </c>
      <c r="M780" s="45">
        <f t="shared" si="38"/>
        <v>780</v>
      </c>
      <c r="N780" s="38">
        <f>HLOOKUP("Host",'vInfo (Imported)'!$1:$5000,M780,FALSE)</f>
        <v>0</v>
      </c>
      <c r="R780">
        <f>HLOOKUP("CPUs",'vInfo (Imported)'!$1:$5000,M780,FALSE)</f>
        <v>0</v>
      </c>
      <c r="S780">
        <f>HLOOKUP("Memory",'vInfo (Imported)'!$1:$5000,M780,FALSE)</f>
        <v>0</v>
      </c>
      <c r="T780">
        <f>HLOOKUP("Provisioned MiB",'vInfo (Imported)'!$1:$5000,M780,FALSE)</f>
        <v>0</v>
      </c>
      <c r="U780">
        <f t="shared" si="37"/>
        <v>0</v>
      </c>
      <c r="V780">
        <f>HLOOKUP("In Use MiB",'vInfo (Imported)'!$1:$5000,M780,FALSE)</f>
        <v>0</v>
      </c>
    </row>
    <row r="781" spans="1:22" ht="13" x14ac:dyDescent="0.3">
      <c r="A781" s="46">
        <f>'vHosts (Imported)'!A781</f>
        <v>0</v>
      </c>
      <c r="B781" s="51">
        <f t="shared" si="36"/>
        <v>4968</v>
      </c>
      <c r="C781" s="49">
        <f>HLOOKUP("# Cores",'vHosts (Imported)'!$1:$5000,M781,FALSE)</f>
        <v>0</v>
      </c>
      <c r="D781" s="52">
        <f>HLOOKUP("# Memory",'vHosts (Imported)'!$1:$5000,M781,FALSE)</f>
        <v>0</v>
      </c>
      <c r="M781" s="45">
        <f t="shared" si="38"/>
        <v>781</v>
      </c>
      <c r="N781" s="38">
        <f>HLOOKUP("Host",'vInfo (Imported)'!$1:$5000,M781,FALSE)</f>
        <v>0</v>
      </c>
      <c r="R781">
        <f>HLOOKUP("CPUs",'vInfo (Imported)'!$1:$5000,M781,FALSE)</f>
        <v>0</v>
      </c>
      <c r="S781">
        <f>HLOOKUP("Memory",'vInfo (Imported)'!$1:$5000,M781,FALSE)</f>
        <v>0</v>
      </c>
      <c r="T781">
        <f>HLOOKUP("Provisioned MiB",'vInfo (Imported)'!$1:$5000,M781,FALSE)</f>
        <v>0</v>
      </c>
      <c r="U781">
        <f t="shared" si="37"/>
        <v>0</v>
      </c>
      <c r="V781">
        <f>HLOOKUP("In Use MiB",'vInfo (Imported)'!$1:$5000,M781,FALSE)</f>
        <v>0</v>
      </c>
    </row>
    <row r="782" spans="1:22" ht="13" x14ac:dyDescent="0.3">
      <c r="A782" s="46">
        <f>'vHosts (Imported)'!A782</f>
        <v>0</v>
      </c>
      <c r="B782" s="51">
        <f t="shared" si="36"/>
        <v>4968</v>
      </c>
      <c r="C782" s="49">
        <f>HLOOKUP("# Cores",'vHosts (Imported)'!$1:$5000,M782,FALSE)</f>
        <v>0</v>
      </c>
      <c r="D782" s="52">
        <f>HLOOKUP("# Memory",'vHosts (Imported)'!$1:$5000,M782,FALSE)</f>
        <v>0</v>
      </c>
      <c r="M782" s="45">
        <f t="shared" si="38"/>
        <v>782</v>
      </c>
      <c r="N782" s="38">
        <f>HLOOKUP("Host",'vInfo (Imported)'!$1:$5000,M782,FALSE)</f>
        <v>0</v>
      </c>
      <c r="R782">
        <f>HLOOKUP("CPUs",'vInfo (Imported)'!$1:$5000,M782,FALSE)</f>
        <v>0</v>
      </c>
      <c r="S782">
        <f>HLOOKUP("Memory",'vInfo (Imported)'!$1:$5000,M782,FALSE)</f>
        <v>0</v>
      </c>
      <c r="T782">
        <f>HLOOKUP("Provisioned MiB",'vInfo (Imported)'!$1:$5000,M782,FALSE)</f>
        <v>0</v>
      </c>
      <c r="U782">
        <f t="shared" si="37"/>
        <v>0</v>
      </c>
      <c r="V782">
        <f>HLOOKUP("In Use MiB",'vInfo (Imported)'!$1:$5000,M782,FALSE)</f>
        <v>0</v>
      </c>
    </row>
    <row r="783" spans="1:22" ht="13" x14ac:dyDescent="0.3">
      <c r="A783" s="46">
        <f>'vHosts (Imported)'!A783</f>
        <v>0</v>
      </c>
      <c r="B783" s="51">
        <f t="shared" si="36"/>
        <v>4968</v>
      </c>
      <c r="C783" s="49">
        <f>HLOOKUP("# Cores",'vHosts (Imported)'!$1:$5000,M783,FALSE)</f>
        <v>0</v>
      </c>
      <c r="D783" s="52">
        <f>HLOOKUP("# Memory",'vHosts (Imported)'!$1:$5000,M783,FALSE)</f>
        <v>0</v>
      </c>
      <c r="M783" s="45">
        <f t="shared" si="38"/>
        <v>783</v>
      </c>
      <c r="N783" s="38">
        <f>HLOOKUP("Host",'vInfo (Imported)'!$1:$5000,M783,FALSE)</f>
        <v>0</v>
      </c>
      <c r="R783">
        <f>HLOOKUP("CPUs",'vInfo (Imported)'!$1:$5000,M783,FALSE)</f>
        <v>0</v>
      </c>
      <c r="S783">
        <f>HLOOKUP("Memory",'vInfo (Imported)'!$1:$5000,M783,FALSE)</f>
        <v>0</v>
      </c>
      <c r="T783">
        <f>HLOOKUP("Provisioned MiB",'vInfo (Imported)'!$1:$5000,M783,FALSE)</f>
        <v>0</v>
      </c>
      <c r="U783">
        <f t="shared" si="37"/>
        <v>0</v>
      </c>
      <c r="V783">
        <f>HLOOKUP("In Use MiB",'vInfo (Imported)'!$1:$5000,M783,FALSE)</f>
        <v>0</v>
      </c>
    </row>
    <row r="784" spans="1:22" ht="13" x14ac:dyDescent="0.3">
      <c r="A784" s="46">
        <f>'vHosts (Imported)'!A784</f>
        <v>0</v>
      </c>
      <c r="B784" s="51">
        <f t="shared" si="36"/>
        <v>4968</v>
      </c>
      <c r="C784" s="49">
        <f>HLOOKUP("# Cores",'vHosts (Imported)'!$1:$5000,M784,FALSE)</f>
        <v>0</v>
      </c>
      <c r="D784" s="52">
        <f>HLOOKUP("# Memory",'vHosts (Imported)'!$1:$5000,M784,FALSE)</f>
        <v>0</v>
      </c>
      <c r="M784" s="45">
        <f t="shared" si="38"/>
        <v>784</v>
      </c>
      <c r="N784" s="38">
        <f>HLOOKUP("Host",'vInfo (Imported)'!$1:$5000,M784,FALSE)</f>
        <v>0</v>
      </c>
      <c r="R784">
        <f>HLOOKUP("CPUs",'vInfo (Imported)'!$1:$5000,M784,FALSE)</f>
        <v>0</v>
      </c>
      <c r="S784">
        <f>HLOOKUP("Memory",'vInfo (Imported)'!$1:$5000,M784,FALSE)</f>
        <v>0</v>
      </c>
      <c r="T784">
        <f>HLOOKUP("Provisioned MiB",'vInfo (Imported)'!$1:$5000,M784,FALSE)</f>
        <v>0</v>
      </c>
      <c r="U784">
        <f t="shared" si="37"/>
        <v>0</v>
      </c>
      <c r="V784">
        <f>HLOOKUP("In Use MiB",'vInfo (Imported)'!$1:$5000,M784,FALSE)</f>
        <v>0</v>
      </c>
    </row>
    <row r="785" spans="1:22" ht="13" x14ac:dyDescent="0.3">
      <c r="A785" s="46">
        <f>'vHosts (Imported)'!A785</f>
        <v>0</v>
      </c>
      <c r="B785" s="51">
        <f t="shared" si="36"/>
        <v>4968</v>
      </c>
      <c r="C785" s="49">
        <f>HLOOKUP("# Cores",'vHosts (Imported)'!$1:$5000,M785,FALSE)</f>
        <v>0</v>
      </c>
      <c r="D785" s="52">
        <f>HLOOKUP("# Memory",'vHosts (Imported)'!$1:$5000,M785,FALSE)</f>
        <v>0</v>
      </c>
      <c r="M785" s="45">
        <f t="shared" si="38"/>
        <v>785</v>
      </c>
      <c r="N785" s="38">
        <f>HLOOKUP("Host",'vInfo (Imported)'!$1:$5000,M785,FALSE)</f>
        <v>0</v>
      </c>
      <c r="R785">
        <f>HLOOKUP("CPUs",'vInfo (Imported)'!$1:$5000,M785,FALSE)</f>
        <v>0</v>
      </c>
      <c r="S785">
        <f>HLOOKUP("Memory",'vInfo (Imported)'!$1:$5000,M785,FALSE)</f>
        <v>0</v>
      </c>
      <c r="T785">
        <f>HLOOKUP("Provisioned MiB",'vInfo (Imported)'!$1:$5000,M785,FALSE)</f>
        <v>0</v>
      </c>
      <c r="U785">
        <f t="shared" si="37"/>
        <v>0</v>
      </c>
      <c r="V785">
        <f>HLOOKUP("In Use MiB",'vInfo (Imported)'!$1:$5000,M785,FALSE)</f>
        <v>0</v>
      </c>
    </row>
    <row r="786" spans="1:22" ht="13" x14ac:dyDescent="0.3">
      <c r="A786" s="46">
        <f>'vHosts (Imported)'!A786</f>
        <v>0</v>
      </c>
      <c r="B786" s="51">
        <f t="shared" si="36"/>
        <v>4968</v>
      </c>
      <c r="C786" s="49">
        <f>HLOOKUP("# Cores",'vHosts (Imported)'!$1:$5000,M786,FALSE)</f>
        <v>0</v>
      </c>
      <c r="D786" s="52">
        <f>HLOOKUP("# Memory",'vHosts (Imported)'!$1:$5000,M786,FALSE)</f>
        <v>0</v>
      </c>
      <c r="M786" s="45">
        <f t="shared" si="38"/>
        <v>786</v>
      </c>
      <c r="N786" s="38">
        <f>HLOOKUP("Host",'vInfo (Imported)'!$1:$5000,M786,FALSE)</f>
        <v>0</v>
      </c>
      <c r="R786">
        <f>HLOOKUP("CPUs",'vInfo (Imported)'!$1:$5000,M786,FALSE)</f>
        <v>0</v>
      </c>
      <c r="S786">
        <f>HLOOKUP("Memory",'vInfo (Imported)'!$1:$5000,M786,FALSE)</f>
        <v>0</v>
      </c>
      <c r="T786">
        <f>HLOOKUP("Provisioned MiB",'vInfo (Imported)'!$1:$5000,M786,FALSE)</f>
        <v>0</v>
      </c>
      <c r="U786">
        <f t="shared" si="37"/>
        <v>0</v>
      </c>
      <c r="V786">
        <f>HLOOKUP("In Use MiB",'vInfo (Imported)'!$1:$5000,M786,FALSE)</f>
        <v>0</v>
      </c>
    </row>
    <row r="787" spans="1:22" ht="13" x14ac:dyDescent="0.3">
      <c r="A787" s="46">
        <f>'vHosts (Imported)'!A787</f>
        <v>0</v>
      </c>
      <c r="B787" s="51">
        <f t="shared" si="36"/>
        <v>4968</v>
      </c>
      <c r="C787" s="49">
        <f>HLOOKUP("# Cores",'vHosts (Imported)'!$1:$5000,M787,FALSE)</f>
        <v>0</v>
      </c>
      <c r="D787" s="52">
        <f>HLOOKUP("# Memory",'vHosts (Imported)'!$1:$5000,M787,FALSE)</f>
        <v>0</v>
      </c>
      <c r="M787" s="45">
        <f t="shared" si="38"/>
        <v>787</v>
      </c>
      <c r="N787" s="38">
        <f>HLOOKUP("Host",'vInfo (Imported)'!$1:$5000,M787,FALSE)</f>
        <v>0</v>
      </c>
      <c r="R787">
        <f>HLOOKUP("CPUs",'vInfo (Imported)'!$1:$5000,M787,FALSE)</f>
        <v>0</v>
      </c>
      <c r="S787">
        <f>HLOOKUP("Memory",'vInfo (Imported)'!$1:$5000,M787,FALSE)</f>
        <v>0</v>
      </c>
      <c r="T787">
        <f>HLOOKUP("Provisioned MiB",'vInfo (Imported)'!$1:$5000,M787,FALSE)</f>
        <v>0</v>
      </c>
      <c r="U787">
        <f t="shared" si="37"/>
        <v>0</v>
      </c>
      <c r="V787">
        <f>HLOOKUP("In Use MiB",'vInfo (Imported)'!$1:$5000,M787,FALSE)</f>
        <v>0</v>
      </c>
    </row>
    <row r="788" spans="1:22" ht="13" x14ac:dyDescent="0.3">
      <c r="A788" s="46">
        <f>'vHosts (Imported)'!A788</f>
        <v>0</v>
      </c>
      <c r="B788" s="51">
        <f t="shared" si="36"/>
        <v>4968</v>
      </c>
      <c r="C788" s="49">
        <f>HLOOKUP("# Cores",'vHosts (Imported)'!$1:$5000,M788,FALSE)</f>
        <v>0</v>
      </c>
      <c r="D788" s="52">
        <f>HLOOKUP("# Memory",'vHosts (Imported)'!$1:$5000,M788,FALSE)</f>
        <v>0</v>
      </c>
      <c r="M788" s="45">
        <f t="shared" si="38"/>
        <v>788</v>
      </c>
      <c r="N788" s="38">
        <f>HLOOKUP("Host",'vInfo (Imported)'!$1:$5000,M788,FALSE)</f>
        <v>0</v>
      </c>
      <c r="R788">
        <f>HLOOKUP("CPUs",'vInfo (Imported)'!$1:$5000,M788,FALSE)</f>
        <v>0</v>
      </c>
      <c r="S788">
        <f>HLOOKUP("Memory",'vInfo (Imported)'!$1:$5000,M788,FALSE)</f>
        <v>0</v>
      </c>
      <c r="T788">
        <f>HLOOKUP("Provisioned MiB",'vInfo (Imported)'!$1:$5000,M788,FALSE)</f>
        <v>0</v>
      </c>
      <c r="U788">
        <f t="shared" si="37"/>
        <v>0</v>
      </c>
      <c r="V788">
        <f>HLOOKUP("In Use MiB",'vInfo (Imported)'!$1:$5000,M788,FALSE)</f>
        <v>0</v>
      </c>
    </row>
    <row r="789" spans="1:22" ht="13" x14ac:dyDescent="0.3">
      <c r="A789" s="46">
        <f>'vHosts (Imported)'!A789</f>
        <v>0</v>
      </c>
      <c r="B789" s="51">
        <f t="shared" si="36"/>
        <v>4968</v>
      </c>
      <c r="C789" s="49">
        <f>HLOOKUP("# Cores",'vHosts (Imported)'!$1:$5000,M789,FALSE)</f>
        <v>0</v>
      </c>
      <c r="D789" s="52">
        <f>HLOOKUP("# Memory",'vHosts (Imported)'!$1:$5000,M789,FALSE)</f>
        <v>0</v>
      </c>
      <c r="M789" s="45">
        <f t="shared" si="38"/>
        <v>789</v>
      </c>
      <c r="N789" s="38">
        <f>HLOOKUP("Host",'vInfo (Imported)'!$1:$5000,M789,FALSE)</f>
        <v>0</v>
      </c>
      <c r="R789">
        <f>HLOOKUP("CPUs",'vInfo (Imported)'!$1:$5000,M789,FALSE)</f>
        <v>0</v>
      </c>
      <c r="S789">
        <f>HLOOKUP("Memory",'vInfo (Imported)'!$1:$5000,M789,FALSE)</f>
        <v>0</v>
      </c>
      <c r="T789">
        <f>HLOOKUP("Provisioned MiB",'vInfo (Imported)'!$1:$5000,M789,FALSE)</f>
        <v>0</v>
      </c>
      <c r="U789">
        <f t="shared" si="37"/>
        <v>0</v>
      </c>
      <c r="V789">
        <f>HLOOKUP("In Use MiB",'vInfo (Imported)'!$1:$5000,M789,FALSE)</f>
        <v>0</v>
      </c>
    </row>
    <row r="790" spans="1:22" ht="13" x14ac:dyDescent="0.3">
      <c r="A790" s="46">
        <f>'vHosts (Imported)'!A790</f>
        <v>0</v>
      </c>
      <c r="B790" s="51">
        <f t="shared" si="36"/>
        <v>4968</v>
      </c>
      <c r="C790" s="49">
        <f>HLOOKUP("# Cores",'vHosts (Imported)'!$1:$5000,M790,FALSE)</f>
        <v>0</v>
      </c>
      <c r="D790" s="52">
        <f>HLOOKUP("# Memory",'vHosts (Imported)'!$1:$5000,M790,FALSE)</f>
        <v>0</v>
      </c>
      <c r="M790" s="45">
        <f t="shared" si="38"/>
        <v>790</v>
      </c>
      <c r="N790" s="38">
        <f>HLOOKUP("Host",'vInfo (Imported)'!$1:$5000,M790,FALSE)</f>
        <v>0</v>
      </c>
      <c r="R790">
        <f>HLOOKUP("CPUs",'vInfo (Imported)'!$1:$5000,M790,FALSE)</f>
        <v>0</v>
      </c>
      <c r="S790">
        <f>HLOOKUP("Memory",'vInfo (Imported)'!$1:$5000,M790,FALSE)</f>
        <v>0</v>
      </c>
      <c r="T790">
        <f>HLOOKUP("Provisioned MiB",'vInfo (Imported)'!$1:$5000,M790,FALSE)</f>
        <v>0</v>
      </c>
      <c r="U790">
        <f t="shared" si="37"/>
        <v>0</v>
      </c>
      <c r="V790">
        <f>HLOOKUP("In Use MiB",'vInfo (Imported)'!$1:$5000,M790,FALSE)</f>
        <v>0</v>
      </c>
    </row>
    <row r="791" spans="1:22" ht="13" x14ac:dyDescent="0.3">
      <c r="A791" s="46">
        <f>'vHosts (Imported)'!A791</f>
        <v>0</v>
      </c>
      <c r="B791" s="51">
        <f t="shared" si="36"/>
        <v>4968</v>
      </c>
      <c r="C791" s="49">
        <f>HLOOKUP("# Cores",'vHosts (Imported)'!$1:$5000,M791,FALSE)</f>
        <v>0</v>
      </c>
      <c r="D791" s="52">
        <f>HLOOKUP("# Memory",'vHosts (Imported)'!$1:$5000,M791,FALSE)</f>
        <v>0</v>
      </c>
      <c r="M791" s="45">
        <f t="shared" si="38"/>
        <v>791</v>
      </c>
      <c r="N791" s="38">
        <f>HLOOKUP("Host",'vInfo (Imported)'!$1:$5000,M791,FALSE)</f>
        <v>0</v>
      </c>
      <c r="R791">
        <f>HLOOKUP("CPUs",'vInfo (Imported)'!$1:$5000,M791,FALSE)</f>
        <v>0</v>
      </c>
      <c r="S791">
        <f>HLOOKUP("Memory",'vInfo (Imported)'!$1:$5000,M791,FALSE)</f>
        <v>0</v>
      </c>
      <c r="T791">
        <f>HLOOKUP("Provisioned MiB",'vInfo (Imported)'!$1:$5000,M791,FALSE)</f>
        <v>0</v>
      </c>
      <c r="U791">
        <f t="shared" si="37"/>
        <v>0</v>
      </c>
      <c r="V791">
        <f>HLOOKUP("In Use MiB",'vInfo (Imported)'!$1:$5000,M791,FALSE)</f>
        <v>0</v>
      </c>
    </row>
    <row r="792" spans="1:22" ht="13" x14ac:dyDescent="0.3">
      <c r="A792" s="46">
        <f>'vHosts (Imported)'!A792</f>
        <v>0</v>
      </c>
      <c r="B792" s="51">
        <f t="shared" si="36"/>
        <v>4968</v>
      </c>
      <c r="C792" s="49">
        <f>HLOOKUP("# Cores",'vHosts (Imported)'!$1:$5000,M792,FALSE)</f>
        <v>0</v>
      </c>
      <c r="D792" s="52">
        <f>HLOOKUP("# Memory",'vHosts (Imported)'!$1:$5000,M792,FALSE)</f>
        <v>0</v>
      </c>
      <c r="M792" s="45">
        <f t="shared" si="38"/>
        <v>792</v>
      </c>
      <c r="N792" s="38">
        <f>HLOOKUP("Host",'vInfo (Imported)'!$1:$5000,M792,FALSE)</f>
        <v>0</v>
      </c>
      <c r="R792">
        <f>HLOOKUP("CPUs",'vInfo (Imported)'!$1:$5000,M792,FALSE)</f>
        <v>0</v>
      </c>
      <c r="S792">
        <f>HLOOKUP("Memory",'vInfo (Imported)'!$1:$5000,M792,FALSE)</f>
        <v>0</v>
      </c>
      <c r="T792">
        <f>HLOOKUP("Provisioned MiB",'vInfo (Imported)'!$1:$5000,M792,FALSE)</f>
        <v>0</v>
      </c>
      <c r="U792">
        <f t="shared" si="37"/>
        <v>0</v>
      </c>
      <c r="V792">
        <f>HLOOKUP("In Use MiB",'vInfo (Imported)'!$1:$5000,M792,FALSE)</f>
        <v>0</v>
      </c>
    </row>
    <row r="793" spans="1:22" ht="13" x14ac:dyDescent="0.3">
      <c r="A793" s="46">
        <f>'vHosts (Imported)'!A793</f>
        <v>0</v>
      </c>
      <c r="B793" s="51">
        <f t="shared" si="36"/>
        <v>4968</v>
      </c>
      <c r="C793" s="49">
        <f>HLOOKUP("# Cores",'vHosts (Imported)'!$1:$5000,M793,FALSE)</f>
        <v>0</v>
      </c>
      <c r="D793" s="52">
        <f>HLOOKUP("# Memory",'vHosts (Imported)'!$1:$5000,M793,FALSE)</f>
        <v>0</v>
      </c>
      <c r="M793" s="45">
        <f t="shared" si="38"/>
        <v>793</v>
      </c>
      <c r="N793" s="38">
        <f>HLOOKUP("Host",'vInfo (Imported)'!$1:$5000,M793,FALSE)</f>
        <v>0</v>
      </c>
      <c r="R793">
        <f>HLOOKUP("CPUs",'vInfo (Imported)'!$1:$5000,M793,FALSE)</f>
        <v>0</v>
      </c>
      <c r="S793">
        <f>HLOOKUP("Memory",'vInfo (Imported)'!$1:$5000,M793,FALSE)</f>
        <v>0</v>
      </c>
      <c r="T793">
        <f>HLOOKUP("Provisioned MiB",'vInfo (Imported)'!$1:$5000,M793,FALSE)</f>
        <v>0</v>
      </c>
      <c r="U793">
        <f t="shared" si="37"/>
        <v>0</v>
      </c>
      <c r="V793">
        <f>HLOOKUP("In Use MiB",'vInfo (Imported)'!$1:$5000,M793,FALSE)</f>
        <v>0</v>
      </c>
    </row>
    <row r="794" spans="1:22" ht="13" x14ac:dyDescent="0.3">
      <c r="A794" s="46">
        <f>'vHosts (Imported)'!A794</f>
        <v>0</v>
      </c>
      <c r="B794" s="51">
        <f t="shared" si="36"/>
        <v>4968</v>
      </c>
      <c r="C794" s="49">
        <f>HLOOKUP("# Cores",'vHosts (Imported)'!$1:$5000,M794,FALSE)</f>
        <v>0</v>
      </c>
      <c r="D794" s="52">
        <f>HLOOKUP("# Memory",'vHosts (Imported)'!$1:$5000,M794,FALSE)</f>
        <v>0</v>
      </c>
      <c r="M794" s="45">
        <f t="shared" si="38"/>
        <v>794</v>
      </c>
      <c r="N794" s="38">
        <f>HLOOKUP("Host",'vInfo (Imported)'!$1:$5000,M794,FALSE)</f>
        <v>0</v>
      </c>
      <c r="R794">
        <f>HLOOKUP("CPUs",'vInfo (Imported)'!$1:$5000,M794,FALSE)</f>
        <v>0</v>
      </c>
      <c r="S794">
        <f>HLOOKUP("Memory",'vInfo (Imported)'!$1:$5000,M794,FALSE)</f>
        <v>0</v>
      </c>
      <c r="T794">
        <f>HLOOKUP("Provisioned MiB",'vInfo (Imported)'!$1:$5000,M794,FALSE)</f>
        <v>0</v>
      </c>
      <c r="U794">
        <f t="shared" si="37"/>
        <v>0</v>
      </c>
      <c r="V794">
        <f>HLOOKUP("In Use MiB",'vInfo (Imported)'!$1:$5000,M794,FALSE)</f>
        <v>0</v>
      </c>
    </row>
    <row r="795" spans="1:22" ht="13" x14ac:dyDescent="0.3">
      <c r="A795" s="46">
        <f>'vHosts (Imported)'!A795</f>
        <v>0</v>
      </c>
      <c r="B795" s="51">
        <f t="shared" si="36"/>
        <v>4968</v>
      </c>
      <c r="C795" s="49">
        <f>HLOOKUP("# Cores",'vHosts (Imported)'!$1:$5000,M795,FALSE)</f>
        <v>0</v>
      </c>
      <c r="D795" s="52">
        <f>HLOOKUP("# Memory",'vHosts (Imported)'!$1:$5000,M795,FALSE)</f>
        <v>0</v>
      </c>
      <c r="M795" s="45">
        <f t="shared" si="38"/>
        <v>795</v>
      </c>
      <c r="N795" s="38">
        <f>HLOOKUP("Host",'vInfo (Imported)'!$1:$5000,M795,FALSE)</f>
        <v>0</v>
      </c>
      <c r="R795">
        <f>HLOOKUP("CPUs",'vInfo (Imported)'!$1:$5000,M795,FALSE)</f>
        <v>0</v>
      </c>
      <c r="S795">
        <f>HLOOKUP("Memory",'vInfo (Imported)'!$1:$5000,M795,FALSE)</f>
        <v>0</v>
      </c>
      <c r="T795">
        <f>HLOOKUP("Provisioned MiB",'vInfo (Imported)'!$1:$5000,M795,FALSE)</f>
        <v>0</v>
      </c>
      <c r="U795">
        <f t="shared" si="37"/>
        <v>0</v>
      </c>
      <c r="V795">
        <f>HLOOKUP("In Use MiB",'vInfo (Imported)'!$1:$5000,M795,FALSE)</f>
        <v>0</v>
      </c>
    </row>
    <row r="796" spans="1:22" ht="13" x14ac:dyDescent="0.3">
      <c r="A796" s="46">
        <f>'vHosts (Imported)'!A796</f>
        <v>0</v>
      </c>
      <c r="B796" s="51">
        <f t="shared" si="36"/>
        <v>4968</v>
      </c>
      <c r="C796" s="49">
        <f>HLOOKUP("# Cores",'vHosts (Imported)'!$1:$5000,M796,FALSE)</f>
        <v>0</v>
      </c>
      <c r="D796" s="52">
        <f>HLOOKUP("# Memory",'vHosts (Imported)'!$1:$5000,M796,FALSE)</f>
        <v>0</v>
      </c>
      <c r="M796" s="45">
        <f t="shared" si="38"/>
        <v>796</v>
      </c>
      <c r="N796" s="38">
        <f>HLOOKUP("Host",'vInfo (Imported)'!$1:$5000,M796,FALSE)</f>
        <v>0</v>
      </c>
      <c r="R796">
        <f>HLOOKUP("CPUs",'vInfo (Imported)'!$1:$5000,M796,FALSE)</f>
        <v>0</v>
      </c>
      <c r="S796">
        <f>HLOOKUP("Memory",'vInfo (Imported)'!$1:$5000,M796,FALSE)</f>
        <v>0</v>
      </c>
      <c r="T796">
        <f>HLOOKUP("Provisioned MiB",'vInfo (Imported)'!$1:$5000,M796,FALSE)</f>
        <v>0</v>
      </c>
      <c r="U796">
        <f t="shared" si="37"/>
        <v>0</v>
      </c>
      <c r="V796">
        <f>HLOOKUP("In Use MiB",'vInfo (Imported)'!$1:$5000,M796,FALSE)</f>
        <v>0</v>
      </c>
    </row>
    <row r="797" spans="1:22" ht="13" x14ac:dyDescent="0.3">
      <c r="A797" s="46">
        <f>'vHosts (Imported)'!A797</f>
        <v>0</v>
      </c>
      <c r="B797" s="51">
        <f t="shared" si="36"/>
        <v>4968</v>
      </c>
      <c r="C797" s="49">
        <f>HLOOKUP("# Cores",'vHosts (Imported)'!$1:$5000,M797,FALSE)</f>
        <v>0</v>
      </c>
      <c r="D797" s="52">
        <f>HLOOKUP("# Memory",'vHosts (Imported)'!$1:$5000,M797,FALSE)</f>
        <v>0</v>
      </c>
      <c r="M797" s="45">
        <f t="shared" si="38"/>
        <v>797</v>
      </c>
      <c r="N797" s="38">
        <f>HLOOKUP("Host",'vInfo (Imported)'!$1:$5000,M797,FALSE)</f>
        <v>0</v>
      </c>
      <c r="R797">
        <f>HLOOKUP("CPUs",'vInfo (Imported)'!$1:$5000,M797,FALSE)</f>
        <v>0</v>
      </c>
      <c r="S797">
        <f>HLOOKUP("Memory",'vInfo (Imported)'!$1:$5000,M797,FALSE)</f>
        <v>0</v>
      </c>
      <c r="T797">
        <f>HLOOKUP("Provisioned MiB",'vInfo (Imported)'!$1:$5000,M797,FALSE)</f>
        <v>0</v>
      </c>
      <c r="U797">
        <f t="shared" si="37"/>
        <v>0</v>
      </c>
      <c r="V797">
        <f>HLOOKUP("In Use MiB",'vInfo (Imported)'!$1:$5000,M797,FALSE)</f>
        <v>0</v>
      </c>
    </row>
    <row r="798" spans="1:22" ht="13" x14ac:dyDescent="0.3">
      <c r="A798" s="46">
        <f>'vHosts (Imported)'!A798</f>
        <v>0</v>
      </c>
      <c r="B798" s="51">
        <f t="shared" si="36"/>
        <v>4968</v>
      </c>
      <c r="C798" s="49">
        <f>HLOOKUP("# Cores",'vHosts (Imported)'!$1:$5000,M798,FALSE)</f>
        <v>0</v>
      </c>
      <c r="D798" s="52">
        <f>HLOOKUP("# Memory",'vHosts (Imported)'!$1:$5000,M798,FALSE)</f>
        <v>0</v>
      </c>
      <c r="M798" s="45">
        <f t="shared" si="38"/>
        <v>798</v>
      </c>
      <c r="N798" s="38">
        <f>HLOOKUP("Host",'vInfo (Imported)'!$1:$5000,M798,FALSE)</f>
        <v>0</v>
      </c>
      <c r="R798">
        <f>HLOOKUP("CPUs",'vInfo (Imported)'!$1:$5000,M798,FALSE)</f>
        <v>0</v>
      </c>
      <c r="S798">
        <f>HLOOKUP("Memory",'vInfo (Imported)'!$1:$5000,M798,FALSE)</f>
        <v>0</v>
      </c>
      <c r="T798">
        <f>HLOOKUP("Provisioned MiB",'vInfo (Imported)'!$1:$5000,M798,FALSE)</f>
        <v>0</v>
      </c>
      <c r="U798">
        <f t="shared" si="37"/>
        <v>0</v>
      </c>
      <c r="V798">
        <f>HLOOKUP("In Use MiB",'vInfo (Imported)'!$1:$5000,M798,FALSE)</f>
        <v>0</v>
      </c>
    </row>
    <row r="799" spans="1:22" ht="13" x14ac:dyDescent="0.3">
      <c r="A799" s="46">
        <f>'vHosts (Imported)'!A799</f>
        <v>0</v>
      </c>
      <c r="B799" s="51">
        <f t="shared" si="36"/>
        <v>4968</v>
      </c>
      <c r="C799" s="49">
        <f>HLOOKUP("# Cores",'vHosts (Imported)'!$1:$5000,M799,FALSE)</f>
        <v>0</v>
      </c>
      <c r="D799" s="52">
        <f>HLOOKUP("# Memory",'vHosts (Imported)'!$1:$5000,M799,FALSE)</f>
        <v>0</v>
      </c>
      <c r="M799" s="45">
        <f t="shared" si="38"/>
        <v>799</v>
      </c>
      <c r="N799" s="38">
        <f>HLOOKUP("Host",'vInfo (Imported)'!$1:$5000,M799,FALSE)</f>
        <v>0</v>
      </c>
      <c r="R799">
        <f>HLOOKUP("CPUs",'vInfo (Imported)'!$1:$5000,M799,FALSE)</f>
        <v>0</v>
      </c>
      <c r="S799">
        <f>HLOOKUP("Memory",'vInfo (Imported)'!$1:$5000,M799,FALSE)</f>
        <v>0</v>
      </c>
      <c r="T799">
        <f>HLOOKUP("Provisioned MiB",'vInfo (Imported)'!$1:$5000,M799,FALSE)</f>
        <v>0</v>
      </c>
      <c r="U799">
        <f t="shared" si="37"/>
        <v>0</v>
      </c>
      <c r="V799">
        <f>HLOOKUP("In Use MiB",'vInfo (Imported)'!$1:$5000,M799,FALSE)</f>
        <v>0</v>
      </c>
    </row>
    <row r="800" spans="1:22" ht="13" x14ac:dyDescent="0.3">
      <c r="A800" s="46">
        <f>'vHosts (Imported)'!A800</f>
        <v>0</v>
      </c>
      <c r="B800" s="51">
        <f t="shared" si="36"/>
        <v>4968</v>
      </c>
      <c r="C800" s="49">
        <f>HLOOKUP("# Cores",'vHosts (Imported)'!$1:$5000,M800,FALSE)</f>
        <v>0</v>
      </c>
      <c r="D800" s="52">
        <f>HLOOKUP("# Memory",'vHosts (Imported)'!$1:$5000,M800,FALSE)</f>
        <v>0</v>
      </c>
      <c r="M800" s="45">
        <f t="shared" si="38"/>
        <v>800</v>
      </c>
      <c r="N800" s="38">
        <f>HLOOKUP("Host",'vInfo (Imported)'!$1:$5000,M800,FALSE)</f>
        <v>0</v>
      </c>
      <c r="R800">
        <f>HLOOKUP("CPUs",'vInfo (Imported)'!$1:$5000,M800,FALSE)</f>
        <v>0</v>
      </c>
      <c r="S800">
        <f>HLOOKUP("Memory",'vInfo (Imported)'!$1:$5000,M800,FALSE)</f>
        <v>0</v>
      </c>
      <c r="T800">
        <f>HLOOKUP("Provisioned MiB",'vInfo (Imported)'!$1:$5000,M800,FALSE)</f>
        <v>0</v>
      </c>
      <c r="U800">
        <f t="shared" si="37"/>
        <v>0</v>
      </c>
      <c r="V800">
        <f>HLOOKUP("In Use MiB",'vInfo (Imported)'!$1:$5000,M800,FALSE)</f>
        <v>0</v>
      </c>
    </row>
    <row r="801" spans="1:22" ht="13" x14ac:dyDescent="0.3">
      <c r="A801" s="46">
        <f>'vHosts (Imported)'!A801</f>
        <v>0</v>
      </c>
      <c r="B801" s="51">
        <f t="shared" si="36"/>
        <v>4968</v>
      </c>
      <c r="C801" s="49">
        <f>HLOOKUP("# Cores",'vHosts (Imported)'!$1:$5000,M801,FALSE)</f>
        <v>0</v>
      </c>
      <c r="D801" s="52">
        <f>HLOOKUP("# Memory",'vHosts (Imported)'!$1:$5000,M801,FALSE)</f>
        <v>0</v>
      </c>
      <c r="M801" s="45">
        <f t="shared" si="38"/>
        <v>801</v>
      </c>
      <c r="N801" s="38">
        <f>HLOOKUP("Host",'vInfo (Imported)'!$1:$5000,M801,FALSE)</f>
        <v>0</v>
      </c>
      <c r="R801">
        <f>HLOOKUP("CPUs",'vInfo (Imported)'!$1:$5000,M801,FALSE)</f>
        <v>0</v>
      </c>
      <c r="S801">
        <f>HLOOKUP("Memory",'vInfo (Imported)'!$1:$5000,M801,FALSE)</f>
        <v>0</v>
      </c>
      <c r="T801">
        <f>HLOOKUP("Provisioned MiB",'vInfo (Imported)'!$1:$5000,M801,FALSE)</f>
        <v>0</v>
      </c>
      <c r="U801">
        <f t="shared" si="37"/>
        <v>0</v>
      </c>
      <c r="V801">
        <f>HLOOKUP("In Use MiB",'vInfo (Imported)'!$1:$5000,M801,FALSE)</f>
        <v>0</v>
      </c>
    </row>
    <row r="802" spans="1:22" ht="13" x14ac:dyDescent="0.3">
      <c r="A802" s="46">
        <f>'vHosts (Imported)'!A802</f>
        <v>0</v>
      </c>
      <c r="B802" s="51">
        <f t="shared" si="36"/>
        <v>4968</v>
      </c>
      <c r="C802" s="49">
        <f>HLOOKUP("# Cores",'vHosts (Imported)'!$1:$5000,M802,FALSE)</f>
        <v>0</v>
      </c>
      <c r="D802" s="52">
        <f>HLOOKUP("# Memory",'vHosts (Imported)'!$1:$5000,M802,FALSE)</f>
        <v>0</v>
      </c>
      <c r="M802" s="45">
        <f t="shared" si="38"/>
        <v>802</v>
      </c>
      <c r="N802" s="38">
        <f>HLOOKUP("Host",'vInfo (Imported)'!$1:$5000,M802,FALSE)</f>
        <v>0</v>
      </c>
      <c r="R802">
        <f>HLOOKUP("CPUs",'vInfo (Imported)'!$1:$5000,M802,FALSE)</f>
        <v>0</v>
      </c>
      <c r="S802">
        <f>HLOOKUP("Memory",'vInfo (Imported)'!$1:$5000,M802,FALSE)</f>
        <v>0</v>
      </c>
      <c r="T802">
        <f>HLOOKUP("Provisioned MiB",'vInfo (Imported)'!$1:$5000,M802,FALSE)</f>
        <v>0</v>
      </c>
      <c r="U802">
        <f t="shared" si="37"/>
        <v>0</v>
      </c>
      <c r="V802">
        <f>HLOOKUP("In Use MiB",'vInfo (Imported)'!$1:$5000,M802,FALSE)</f>
        <v>0</v>
      </c>
    </row>
    <row r="803" spans="1:22" ht="13" x14ac:dyDescent="0.3">
      <c r="A803" s="46">
        <f>'vHosts (Imported)'!A803</f>
        <v>0</v>
      </c>
      <c r="B803" s="51">
        <f t="shared" si="36"/>
        <v>4968</v>
      </c>
      <c r="C803" s="49">
        <f>HLOOKUP("# Cores",'vHosts (Imported)'!$1:$5000,M803,FALSE)</f>
        <v>0</v>
      </c>
      <c r="D803" s="52">
        <f>HLOOKUP("# Memory",'vHosts (Imported)'!$1:$5000,M803,FALSE)</f>
        <v>0</v>
      </c>
      <c r="M803" s="45">
        <f t="shared" si="38"/>
        <v>803</v>
      </c>
      <c r="N803" s="38">
        <f>HLOOKUP("Host",'vInfo (Imported)'!$1:$5000,M803,FALSE)</f>
        <v>0</v>
      </c>
      <c r="R803">
        <f>HLOOKUP("CPUs",'vInfo (Imported)'!$1:$5000,M803,FALSE)</f>
        <v>0</v>
      </c>
      <c r="S803">
        <f>HLOOKUP("Memory",'vInfo (Imported)'!$1:$5000,M803,FALSE)</f>
        <v>0</v>
      </c>
      <c r="T803">
        <f>HLOOKUP("Provisioned MiB",'vInfo (Imported)'!$1:$5000,M803,FALSE)</f>
        <v>0</v>
      </c>
      <c r="U803">
        <f t="shared" si="37"/>
        <v>0</v>
      </c>
      <c r="V803">
        <f>HLOOKUP("In Use MiB",'vInfo (Imported)'!$1:$5000,M803,FALSE)</f>
        <v>0</v>
      </c>
    </row>
    <row r="804" spans="1:22" ht="13" x14ac:dyDescent="0.3">
      <c r="A804" s="46">
        <f>'vHosts (Imported)'!A804</f>
        <v>0</v>
      </c>
      <c r="B804" s="51">
        <f t="shared" si="36"/>
        <v>4968</v>
      </c>
      <c r="C804" s="49">
        <f>HLOOKUP("# Cores",'vHosts (Imported)'!$1:$5000,M804,FALSE)</f>
        <v>0</v>
      </c>
      <c r="D804" s="52">
        <f>HLOOKUP("# Memory",'vHosts (Imported)'!$1:$5000,M804,FALSE)</f>
        <v>0</v>
      </c>
      <c r="M804" s="45">
        <f t="shared" si="38"/>
        <v>804</v>
      </c>
      <c r="N804" s="38">
        <f>HLOOKUP("Host",'vInfo (Imported)'!$1:$5000,M804,FALSE)</f>
        <v>0</v>
      </c>
      <c r="R804">
        <f>HLOOKUP("CPUs",'vInfo (Imported)'!$1:$5000,M804,FALSE)</f>
        <v>0</v>
      </c>
      <c r="S804">
        <f>HLOOKUP("Memory",'vInfo (Imported)'!$1:$5000,M804,FALSE)</f>
        <v>0</v>
      </c>
      <c r="T804">
        <f>HLOOKUP("Provisioned MiB",'vInfo (Imported)'!$1:$5000,M804,FALSE)</f>
        <v>0</v>
      </c>
      <c r="U804">
        <f t="shared" si="37"/>
        <v>0</v>
      </c>
      <c r="V804">
        <f>HLOOKUP("In Use MiB",'vInfo (Imported)'!$1:$5000,M804,FALSE)</f>
        <v>0</v>
      </c>
    </row>
    <row r="805" spans="1:22" ht="13" x14ac:dyDescent="0.3">
      <c r="A805" s="46">
        <f>'vHosts (Imported)'!A805</f>
        <v>0</v>
      </c>
      <c r="B805" s="51">
        <f t="shared" si="36"/>
        <v>4968</v>
      </c>
      <c r="C805" s="49">
        <f>HLOOKUP("# Cores",'vHosts (Imported)'!$1:$5000,M805,FALSE)</f>
        <v>0</v>
      </c>
      <c r="D805" s="52">
        <f>HLOOKUP("# Memory",'vHosts (Imported)'!$1:$5000,M805,FALSE)</f>
        <v>0</v>
      </c>
      <c r="M805" s="45">
        <f t="shared" si="38"/>
        <v>805</v>
      </c>
      <c r="N805" s="38">
        <f>HLOOKUP("Host",'vInfo (Imported)'!$1:$5000,M805,FALSE)</f>
        <v>0</v>
      </c>
      <c r="R805">
        <f>HLOOKUP("CPUs",'vInfo (Imported)'!$1:$5000,M805,FALSE)</f>
        <v>0</v>
      </c>
      <c r="S805">
        <f>HLOOKUP("Memory",'vInfo (Imported)'!$1:$5000,M805,FALSE)</f>
        <v>0</v>
      </c>
      <c r="T805">
        <f>HLOOKUP("Provisioned MiB",'vInfo (Imported)'!$1:$5000,M805,FALSE)</f>
        <v>0</v>
      </c>
      <c r="U805">
        <f t="shared" si="37"/>
        <v>0</v>
      </c>
      <c r="V805">
        <f>HLOOKUP("In Use MiB",'vInfo (Imported)'!$1:$5000,M805,FALSE)</f>
        <v>0</v>
      </c>
    </row>
    <row r="806" spans="1:22" ht="13" x14ac:dyDescent="0.3">
      <c r="A806" s="46">
        <f>'vHosts (Imported)'!A806</f>
        <v>0</v>
      </c>
      <c r="B806" s="51">
        <f t="shared" si="36"/>
        <v>4968</v>
      </c>
      <c r="C806" s="49">
        <f>HLOOKUP("# Cores",'vHosts (Imported)'!$1:$5000,M806,FALSE)</f>
        <v>0</v>
      </c>
      <c r="D806" s="52">
        <f>HLOOKUP("# Memory",'vHosts (Imported)'!$1:$5000,M806,FALSE)</f>
        <v>0</v>
      </c>
      <c r="M806" s="45">
        <f t="shared" si="38"/>
        <v>806</v>
      </c>
      <c r="N806" s="38">
        <f>HLOOKUP("Host",'vInfo (Imported)'!$1:$5000,M806,FALSE)</f>
        <v>0</v>
      </c>
      <c r="R806">
        <f>HLOOKUP("CPUs",'vInfo (Imported)'!$1:$5000,M806,FALSE)</f>
        <v>0</v>
      </c>
      <c r="S806">
        <f>HLOOKUP("Memory",'vInfo (Imported)'!$1:$5000,M806,FALSE)</f>
        <v>0</v>
      </c>
      <c r="T806">
        <f>HLOOKUP("Provisioned MiB",'vInfo (Imported)'!$1:$5000,M806,FALSE)</f>
        <v>0</v>
      </c>
      <c r="U806">
        <f t="shared" si="37"/>
        <v>0</v>
      </c>
      <c r="V806">
        <f>HLOOKUP("In Use MiB",'vInfo (Imported)'!$1:$5000,M806,FALSE)</f>
        <v>0</v>
      </c>
    </row>
    <row r="807" spans="1:22" ht="13" x14ac:dyDescent="0.3">
      <c r="A807" s="46">
        <f>'vHosts (Imported)'!A807</f>
        <v>0</v>
      </c>
      <c r="B807" s="51">
        <f t="shared" si="36"/>
        <v>4968</v>
      </c>
      <c r="C807" s="49">
        <f>HLOOKUP("# Cores",'vHosts (Imported)'!$1:$5000,M807,FALSE)</f>
        <v>0</v>
      </c>
      <c r="D807" s="52">
        <f>HLOOKUP("# Memory",'vHosts (Imported)'!$1:$5000,M807,FALSE)</f>
        <v>0</v>
      </c>
      <c r="M807" s="45">
        <f t="shared" si="38"/>
        <v>807</v>
      </c>
      <c r="N807" s="38">
        <f>HLOOKUP("Host",'vInfo (Imported)'!$1:$5000,M807,FALSE)</f>
        <v>0</v>
      </c>
      <c r="R807">
        <f>HLOOKUP("CPUs",'vInfo (Imported)'!$1:$5000,M807,FALSE)</f>
        <v>0</v>
      </c>
      <c r="S807">
        <f>HLOOKUP("Memory",'vInfo (Imported)'!$1:$5000,M807,FALSE)</f>
        <v>0</v>
      </c>
      <c r="T807">
        <f>HLOOKUP("Provisioned MiB",'vInfo (Imported)'!$1:$5000,M807,FALSE)</f>
        <v>0</v>
      </c>
      <c r="U807">
        <f t="shared" si="37"/>
        <v>0</v>
      </c>
      <c r="V807">
        <f>HLOOKUP("In Use MiB",'vInfo (Imported)'!$1:$5000,M807,FALSE)</f>
        <v>0</v>
      </c>
    </row>
    <row r="808" spans="1:22" ht="13" x14ac:dyDescent="0.3">
      <c r="A808" s="46">
        <f>'vHosts (Imported)'!A808</f>
        <v>0</v>
      </c>
      <c r="B808" s="51">
        <f t="shared" si="36"/>
        <v>4968</v>
      </c>
      <c r="C808" s="49">
        <f>HLOOKUP("# Cores",'vHosts (Imported)'!$1:$5000,M808,FALSE)</f>
        <v>0</v>
      </c>
      <c r="D808" s="52">
        <f>HLOOKUP("# Memory",'vHosts (Imported)'!$1:$5000,M808,FALSE)</f>
        <v>0</v>
      </c>
      <c r="M808" s="45">
        <f t="shared" si="38"/>
        <v>808</v>
      </c>
      <c r="N808" s="38">
        <f>HLOOKUP("Host",'vInfo (Imported)'!$1:$5000,M808,FALSE)</f>
        <v>0</v>
      </c>
      <c r="R808">
        <f>HLOOKUP("CPUs",'vInfo (Imported)'!$1:$5000,M808,FALSE)</f>
        <v>0</v>
      </c>
      <c r="S808">
        <f>HLOOKUP("Memory",'vInfo (Imported)'!$1:$5000,M808,FALSE)</f>
        <v>0</v>
      </c>
      <c r="T808">
        <f>HLOOKUP("Provisioned MiB",'vInfo (Imported)'!$1:$5000,M808,FALSE)</f>
        <v>0</v>
      </c>
      <c r="U808">
        <f t="shared" si="37"/>
        <v>0</v>
      </c>
      <c r="V808">
        <f>HLOOKUP("In Use MiB",'vInfo (Imported)'!$1:$5000,M808,FALSE)</f>
        <v>0</v>
      </c>
    </row>
    <row r="809" spans="1:22" ht="13" x14ac:dyDescent="0.3">
      <c r="A809" s="46">
        <f>'vHosts (Imported)'!A809</f>
        <v>0</v>
      </c>
      <c r="B809" s="51">
        <f t="shared" si="36"/>
        <v>4968</v>
      </c>
      <c r="C809" s="49">
        <f>HLOOKUP("# Cores",'vHosts (Imported)'!$1:$5000,M809,FALSE)</f>
        <v>0</v>
      </c>
      <c r="D809" s="52">
        <f>HLOOKUP("# Memory",'vHosts (Imported)'!$1:$5000,M809,FALSE)</f>
        <v>0</v>
      </c>
      <c r="M809" s="45">
        <f t="shared" si="38"/>
        <v>809</v>
      </c>
      <c r="N809" s="38">
        <f>HLOOKUP("Host",'vInfo (Imported)'!$1:$5000,M809,FALSE)</f>
        <v>0</v>
      </c>
      <c r="R809">
        <f>HLOOKUP("CPUs",'vInfo (Imported)'!$1:$5000,M809,FALSE)</f>
        <v>0</v>
      </c>
      <c r="S809">
        <f>HLOOKUP("Memory",'vInfo (Imported)'!$1:$5000,M809,FALSE)</f>
        <v>0</v>
      </c>
      <c r="T809">
        <f>HLOOKUP("Provisioned MiB",'vInfo (Imported)'!$1:$5000,M809,FALSE)</f>
        <v>0</v>
      </c>
      <c r="U809">
        <f t="shared" si="37"/>
        <v>0</v>
      </c>
      <c r="V809">
        <f>HLOOKUP("In Use MiB",'vInfo (Imported)'!$1:$5000,M809,FALSE)</f>
        <v>0</v>
      </c>
    </row>
    <row r="810" spans="1:22" ht="13" x14ac:dyDescent="0.3">
      <c r="A810" s="46">
        <f>'vHosts (Imported)'!A810</f>
        <v>0</v>
      </c>
      <c r="B810" s="51">
        <f t="shared" si="36"/>
        <v>4968</v>
      </c>
      <c r="C810" s="49">
        <f>HLOOKUP("# Cores",'vHosts (Imported)'!$1:$5000,M810,FALSE)</f>
        <v>0</v>
      </c>
      <c r="D810" s="52">
        <f>HLOOKUP("# Memory",'vHosts (Imported)'!$1:$5000,M810,FALSE)</f>
        <v>0</v>
      </c>
      <c r="M810" s="45">
        <f t="shared" si="38"/>
        <v>810</v>
      </c>
      <c r="N810" s="38">
        <f>HLOOKUP("Host",'vInfo (Imported)'!$1:$5000,M810,FALSE)</f>
        <v>0</v>
      </c>
      <c r="R810">
        <f>HLOOKUP("CPUs",'vInfo (Imported)'!$1:$5000,M810,FALSE)</f>
        <v>0</v>
      </c>
      <c r="S810">
        <f>HLOOKUP("Memory",'vInfo (Imported)'!$1:$5000,M810,FALSE)</f>
        <v>0</v>
      </c>
      <c r="T810">
        <f>HLOOKUP("Provisioned MiB",'vInfo (Imported)'!$1:$5000,M810,FALSE)</f>
        <v>0</v>
      </c>
      <c r="U810">
        <f t="shared" si="37"/>
        <v>0</v>
      </c>
      <c r="V810">
        <f>HLOOKUP("In Use MiB",'vInfo (Imported)'!$1:$5000,M810,FALSE)</f>
        <v>0</v>
      </c>
    </row>
    <row r="811" spans="1:22" ht="13" x14ac:dyDescent="0.3">
      <c r="A811" s="46">
        <f>'vHosts (Imported)'!A811</f>
        <v>0</v>
      </c>
      <c r="B811" s="51">
        <f t="shared" si="36"/>
        <v>4968</v>
      </c>
      <c r="C811" s="49">
        <f>HLOOKUP("# Cores",'vHosts (Imported)'!$1:$5000,M811,FALSE)</f>
        <v>0</v>
      </c>
      <c r="D811" s="52">
        <f>HLOOKUP("# Memory",'vHosts (Imported)'!$1:$5000,M811,FALSE)</f>
        <v>0</v>
      </c>
      <c r="M811" s="45">
        <f t="shared" si="38"/>
        <v>811</v>
      </c>
      <c r="N811" s="38">
        <f>HLOOKUP("Host",'vInfo (Imported)'!$1:$5000,M811,FALSE)</f>
        <v>0</v>
      </c>
      <c r="R811">
        <f>HLOOKUP("CPUs",'vInfo (Imported)'!$1:$5000,M811,FALSE)</f>
        <v>0</v>
      </c>
      <c r="S811">
        <f>HLOOKUP("Memory",'vInfo (Imported)'!$1:$5000,M811,FALSE)</f>
        <v>0</v>
      </c>
      <c r="T811">
        <f>HLOOKUP("Provisioned MiB",'vInfo (Imported)'!$1:$5000,M811,FALSE)</f>
        <v>0</v>
      </c>
      <c r="U811">
        <f t="shared" si="37"/>
        <v>0</v>
      </c>
      <c r="V811">
        <f>HLOOKUP("In Use MiB",'vInfo (Imported)'!$1:$5000,M811,FALSE)</f>
        <v>0</v>
      </c>
    </row>
    <row r="812" spans="1:22" ht="13" x14ac:dyDescent="0.3">
      <c r="A812" s="46">
        <f>'vHosts (Imported)'!A812</f>
        <v>0</v>
      </c>
      <c r="B812" s="51">
        <f t="shared" si="36"/>
        <v>4968</v>
      </c>
      <c r="C812" s="49">
        <f>HLOOKUP("# Cores",'vHosts (Imported)'!$1:$5000,M812,FALSE)</f>
        <v>0</v>
      </c>
      <c r="D812" s="52">
        <f>HLOOKUP("# Memory",'vHosts (Imported)'!$1:$5000,M812,FALSE)</f>
        <v>0</v>
      </c>
      <c r="M812" s="45">
        <f t="shared" si="38"/>
        <v>812</v>
      </c>
      <c r="N812" s="38">
        <f>HLOOKUP("Host",'vInfo (Imported)'!$1:$5000,M812,FALSE)</f>
        <v>0</v>
      </c>
      <c r="R812">
        <f>HLOOKUP("CPUs",'vInfo (Imported)'!$1:$5000,M812,FALSE)</f>
        <v>0</v>
      </c>
      <c r="S812">
        <f>HLOOKUP("Memory",'vInfo (Imported)'!$1:$5000,M812,FALSE)</f>
        <v>0</v>
      </c>
      <c r="T812">
        <f>HLOOKUP("Provisioned MiB",'vInfo (Imported)'!$1:$5000,M812,FALSE)</f>
        <v>0</v>
      </c>
      <c r="U812">
        <f t="shared" si="37"/>
        <v>0</v>
      </c>
      <c r="V812">
        <f>HLOOKUP("In Use MiB",'vInfo (Imported)'!$1:$5000,M812,FALSE)</f>
        <v>0</v>
      </c>
    </row>
    <row r="813" spans="1:22" ht="13" x14ac:dyDescent="0.3">
      <c r="A813" s="46">
        <f>'vHosts (Imported)'!A813</f>
        <v>0</v>
      </c>
      <c r="B813" s="51">
        <f t="shared" si="36"/>
        <v>4968</v>
      </c>
      <c r="C813" s="49">
        <f>HLOOKUP("# Cores",'vHosts (Imported)'!$1:$5000,M813,FALSE)</f>
        <v>0</v>
      </c>
      <c r="D813" s="52">
        <f>HLOOKUP("# Memory",'vHosts (Imported)'!$1:$5000,M813,FALSE)</f>
        <v>0</v>
      </c>
      <c r="M813" s="45">
        <f t="shared" si="38"/>
        <v>813</v>
      </c>
      <c r="N813" s="38">
        <f>HLOOKUP("Host",'vInfo (Imported)'!$1:$5000,M813,FALSE)</f>
        <v>0</v>
      </c>
      <c r="R813">
        <f>HLOOKUP("CPUs",'vInfo (Imported)'!$1:$5000,M813,FALSE)</f>
        <v>0</v>
      </c>
      <c r="S813">
        <f>HLOOKUP("Memory",'vInfo (Imported)'!$1:$5000,M813,FALSE)</f>
        <v>0</v>
      </c>
      <c r="T813">
        <f>HLOOKUP("Provisioned MiB",'vInfo (Imported)'!$1:$5000,M813,FALSE)</f>
        <v>0</v>
      </c>
      <c r="U813">
        <f t="shared" si="37"/>
        <v>0</v>
      </c>
      <c r="V813">
        <f>HLOOKUP("In Use MiB",'vInfo (Imported)'!$1:$5000,M813,FALSE)</f>
        <v>0</v>
      </c>
    </row>
    <row r="814" spans="1:22" ht="13" x14ac:dyDescent="0.3">
      <c r="A814" s="46">
        <f>'vHosts (Imported)'!A814</f>
        <v>0</v>
      </c>
      <c r="B814" s="51">
        <f t="shared" si="36"/>
        <v>4968</v>
      </c>
      <c r="C814" s="49">
        <f>HLOOKUP("# Cores",'vHosts (Imported)'!$1:$5000,M814,FALSE)</f>
        <v>0</v>
      </c>
      <c r="D814" s="52">
        <f>HLOOKUP("# Memory",'vHosts (Imported)'!$1:$5000,M814,FALSE)</f>
        <v>0</v>
      </c>
      <c r="M814" s="45">
        <f t="shared" si="38"/>
        <v>814</v>
      </c>
      <c r="N814" s="38">
        <f>HLOOKUP("Host",'vInfo (Imported)'!$1:$5000,M814,FALSE)</f>
        <v>0</v>
      </c>
      <c r="R814">
        <f>HLOOKUP("CPUs",'vInfo (Imported)'!$1:$5000,M814,FALSE)</f>
        <v>0</v>
      </c>
      <c r="S814">
        <f>HLOOKUP("Memory",'vInfo (Imported)'!$1:$5000,M814,FALSE)</f>
        <v>0</v>
      </c>
      <c r="T814">
        <f>HLOOKUP("Provisioned MiB",'vInfo (Imported)'!$1:$5000,M814,FALSE)</f>
        <v>0</v>
      </c>
      <c r="U814">
        <f t="shared" si="37"/>
        <v>0</v>
      </c>
      <c r="V814">
        <f>HLOOKUP("In Use MiB",'vInfo (Imported)'!$1:$5000,M814,FALSE)</f>
        <v>0</v>
      </c>
    </row>
    <row r="815" spans="1:22" ht="13" x14ac:dyDescent="0.3">
      <c r="A815" s="46">
        <f>'vHosts (Imported)'!A815</f>
        <v>0</v>
      </c>
      <c r="B815" s="51">
        <f t="shared" si="36"/>
        <v>4968</v>
      </c>
      <c r="C815" s="49">
        <f>HLOOKUP("# Cores",'vHosts (Imported)'!$1:$5000,M815,FALSE)</f>
        <v>0</v>
      </c>
      <c r="D815" s="52">
        <f>HLOOKUP("# Memory",'vHosts (Imported)'!$1:$5000,M815,FALSE)</f>
        <v>0</v>
      </c>
      <c r="M815" s="45">
        <f t="shared" si="38"/>
        <v>815</v>
      </c>
      <c r="N815" s="38">
        <f>HLOOKUP("Host",'vInfo (Imported)'!$1:$5000,M815,FALSE)</f>
        <v>0</v>
      </c>
      <c r="R815">
        <f>HLOOKUP("CPUs",'vInfo (Imported)'!$1:$5000,M815,FALSE)</f>
        <v>0</v>
      </c>
      <c r="S815">
        <f>HLOOKUP("Memory",'vInfo (Imported)'!$1:$5000,M815,FALSE)</f>
        <v>0</v>
      </c>
      <c r="T815">
        <f>HLOOKUP("Provisioned MiB",'vInfo (Imported)'!$1:$5000,M815,FALSE)</f>
        <v>0</v>
      </c>
      <c r="U815">
        <f t="shared" si="37"/>
        <v>0</v>
      </c>
      <c r="V815">
        <f>HLOOKUP("In Use MiB",'vInfo (Imported)'!$1:$5000,M815,FALSE)</f>
        <v>0</v>
      </c>
    </row>
    <row r="816" spans="1:22" ht="13" x14ac:dyDescent="0.3">
      <c r="A816" s="46">
        <f>'vHosts (Imported)'!A816</f>
        <v>0</v>
      </c>
      <c r="B816" s="51">
        <f t="shared" si="36"/>
        <v>4968</v>
      </c>
      <c r="C816" s="49">
        <f>HLOOKUP("# Cores",'vHosts (Imported)'!$1:$5000,M816,FALSE)</f>
        <v>0</v>
      </c>
      <c r="D816" s="52">
        <f>HLOOKUP("# Memory",'vHosts (Imported)'!$1:$5000,M816,FALSE)</f>
        <v>0</v>
      </c>
      <c r="M816" s="45">
        <f t="shared" si="38"/>
        <v>816</v>
      </c>
      <c r="N816" s="38">
        <f>HLOOKUP("Host",'vInfo (Imported)'!$1:$5000,M816,FALSE)</f>
        <v>0</v>
      </c>
      <c r="R816">
        <f>HLOOKUP("CPUs",'vInfo (Imported)'!$1:$5000,M816,FALSE)</f>
        <v>0</v>
      </c>
      <c r="S816">
        <f>HLOOKUP("Memory",'vInfo (Imported)'!$1:$5000,M816,FALSE)</f>
        <v>0</v>
      </c>
      <c r="T816">
        <f>HLOOKUP("Provisioned MiB",'vInfo (Imported)'!$1:$5000,M816,FALSE)</f>
        <v>0</v>
      </c>
      <c r="U816">
        <f t="shared" si="37"/>
        <v>0</v>
      </c>
      <c r="V816">
        <f>HLOOKUP("In Use MiB",'vInfo (Imported)'!$1:$5000,M816,FALSE)</f>
        <v>0</v>
      </c>
    </row>
    <row r="817" spans="1:22" ht="13" x14ac:dyDescent="0.3">
      <c r="A817" s="46">
        <f>'vHosts (Imported)'!A817</f>
        <v>0</v>
      </c>
      <c r="B817" s="51">
        <f t="shared" si="36"/>
        <v>4968</v>
      </c>
      <c r="C817" s="49">
        <f>HLOOKUP("# Cores",'vHosts (Imported)'!$1:$5000,M817,FALSE)</f>
        <v>0</v>
      </c>
      <c r="D817" s="52">
        <f>HLOOKUP("# Memory",'vHosts (Imported)'!$1:$5000,M817,FALSE)</f>
        <v>0</v>
      </c>
      <c r="M817" s="45">
        <f t="shared" si="38"/>
        <v>817</v>
      </c>
      <c r="N817" s="38">
        <f>HLOOKUP("Host",'vInfo (Imported)'!$1:$5000,M817,FALSE)</f>
        <v>0</v>
      </c>
      <c r="R817">
        <f>HLOOKUP("CPUs",'vInfo (Imported)'!$1:$5000,M817,FALSE)</f>
        <v>0</v>
      </c>
      <c r="S817">
        <f>HLOOKUP("Memory",'vInfo (Imported)'!$1:$5000,M817,FALSE)</f>
        <v>0</v>
      </c>
      <c r="T817">
        <f>HLOOKUP("Provisioned MiB",'vInfo (Imported)'!$1:$5000,M817,FALSE)</f>
        <v>0</v>
      </c>
      <c r="U817">
        <f t="shared" si="37"/>
        <v>0</v>
      </c>
      <c r="V817">
        <f>HLOOKUP("In Use MiB",'vInfo (Imported)'!$1:$5000,M817,FALSE)</f>
        <v>0</v>
      </c>
    </row>
    <row r="818" spans="1:22" ht="13" x14ac:dyDescent="0.3">
      <c r="A818" s="46">
        <f>'vHosts (Imported)'!A818</f>
        <v>0</v>
      </c>
      <c r="B818" s="51">
        <f t="shared" si="36"/>
        <v>4968</v>
      </c>
      <c r="C818" s="49">
        <f>HLOOKUP("# Cores",'vHosts (Imported)'!$1:$5000,M818,FALSE)</f>
        <v>0</v>
      </c>
      <c r="D818" s="52">
        <f>HLOOKUP("# Memory",'vHosts (Imported)'!$1:$5000,M818,FALSE)</f>
        <v>0</v>
      </c>
      <c r="M818" s="45">
        <f t="shared" si="38"/>
        <v>818</v>
      </c>
      <c r="N818" s="38">
        <f>HLOOKUP("Host",'vInfo (Imported)'!$1:$5000,M818,FALSE)</f>
        <v>0</v>
      </c>
      <c r="R818">
        <f>HLOOKUP("CPUs",'vInfo (Imported)'!$1:$5000,M818,FALSE)</f>
        <v>0</v>
      </c>
      <c r="S818">
        <f>HLOOKUP("Memory",'vInfo (Imported)'!$1:$5000,M818,FALSE)</f>
        <v>0</v>
      </c>
      <c r="T818">
        <f>HLOOKUP("Provisioned MiB",'vInfo (Imported)'!$1:$5000,M818,FALSE)</f>
        <v>0</v>
      </c>
      <c r="U818">
        <f t="shared" si="37"/>
        <v>0</v>
      </c>
      <c r="V818">
        <f>HLOOKUP("In Use MiB",'vInfo (Imported)'!$1:$5000,M818,FALSE)</f>
        <v>0</v>
      </c>
    </row>
    <row r="819" spans="1:22" ht="13" x14ac:dyDescent="0.3">
      <c r="A819" s="46">
        <f>'vHosts (Imported)'!A819</f>
        <v>0</v>
      </c>
      <c r="B819" s="51">
        <f t="shared" si="36"/>
        <v>4968</v>
      </c>
      <c r="C819" s="49">
        <f>HLOOKUP("# Cores",'vHosts (Imported)'!$1:$5000,M819,FALSE)</f>
        <v>0</v>
      </c>
      <c r="D819" s="52">
        <f>HLOOKUP("# Memory",'vHosts (Imported)'!$1:$5000,M819,FALSE)</f>
        <v>0</v>
      </c>
      <c r="M819" s="45">
        <f t="shared" si="38"/>
        <v>819</v>
      </c>
      <c r="N819" s="38">
        <f>HLOOKUP("Host",'vInfo (Imported)'!$1:$5000,M819,FALSE)</f>
        <v>0</v>
      </c>
      <c r="R819">
        <f>HLOOKUP("CPUs",'vInfo (Imported)'!$1:$5000,M819,FALSE)</f>
        <v>0</v>
      </c>
      <c r="S819">
        <f>HLOOKUP("Memory",'vInfo (Imported)'!$1:$5000,M819,FALSE)</f>
        <v>0</v>
      </c>
      <c r="T819">
        <f>HLOOKUP("Provisioned MiB",'vInfo (Imported)'!$1:$5000,M819,FALSE)</f>
        <v>0</v>
      </c>
      <c r="U819">
        <f t="shared" si="37"/>
        <v>0</v>
      </c>
      <c r="V819">
        <f>HLOOKUP("In Use MiB",'vInfo (Imported)'!$1:$5000,M819,FALSE)</f>
        <v>0</v>
      </c>
    </row>
    <row r="820" spans="1:22" ht="13" x14ac:dyDescent="0.3">
      <c r="A820" s="46">
        <f>'vHosts (Imported)'!A820</f>
        <v>0</v>
      </c>
      <c r="B820" s="51">
        <f t="shared" si="36"/>
        <v>4968</v>
      </c>
      <c r="C820" s="49">
        <f>HLOOKUP("# Cores",'vHosts (Imported)'!$1:$5000,M820,FALSE)</f>
        <v>0</v>
      </c>
      <c r="D820" s="52">
        <f>HLOOKUP("# Memory",'vHosts (Imported)'!$1:$5000,M820,FALSE)</f>
        <v>0</v>
      </c>
      <c r="M820" s="45">
        <f t="shared" si="38"/>
        <v>820</v>
      </c>
      <c r="N820" s="38">
        <f>HLOOKUP("Host",'vInfo (Imported)'!$1:$5000,M820,FALSE)</f>
        <v>0</v>
      </c>
      <c r="R820">
        <f>HLOOKUP("CPUs",'vInfo (Imported)'!$1:$5000,M820,FALSE)</f>
        <v>0</v>
      </c>
      <c r="S820">
        <f>HLOOKUP("Memory",'vInfo (Imported)'!$1:$5000,M820,FALSE)</f>
        <v>0</v>
      </c>
      <c r="T820">
        <f>HLOOKUP("Provisioned MiB",'vInfo (Imported)'!$1:$5000,M820,FALSE)</f>
        <v>0</v>
      </c>
      <c r="U820">
        <f t="shared" si="37"/>
        <v>0</v>
      </c>
      <c r="V820">
        <f>HLOOKUP("In Use MiB",'vInfo (Imported)'!$1:$5000,M820,FALSE)</f>
        <v>0</v>
      </c>
    </row>
    <row r="821" spans="1:22" ht="13" x14ac:dyDescent="0.3">
      <c r="A821" s="46">
        <f>'vHosts (Imported)'!A821</f>
        <v>0</v>
      </c>
      <c r="B821" s="51">
        <f t="shared" si="36"/>
        <v>4968</v>
      </c>
      <c r="C821" s="49">
        <f>HLOOKUP("# Cores",'vHosts (Imported)'!$1:$5000,M821,FALSE)</f>
        <v>0</v>
      </c>
      <c r="D821" s="52">
        <f>HLOOKUP("# Memory",'vHosts (Imported)'!$1:$5000,M821,FALSE)</f>
        <v>0</v>
      </c>
      <c r="M821" s="45">
        <f t="shared" si="38"/>
        <v>821</v>
      </c>
      <c r="N821" s="38">
        <f>HLOOKUP("Host",'vInfo (Imported)'!$1:$5000,M821,FALSE)</f>
        <v>0</v>
      </c>
      <c r="R821">
        <f>HLOOKUP("CPUs",'vInfo (Imported)'!$1:$5000,M821,FALSE)</f>
        <v>0</v>
      </c>
      <c r="S821">
        <f>HLOOKUP("Memory",'vInfo (Imported)'!$1:$5000,M821,FALSE)</f>
        <v>0</v>
      </c>
      <c r="T821">
        <f>HLOOKUP("Provisioned MiB",'vInfo (Imported)'!$1:$5000,M821,FALSE)</f>
        <v>0</v>
      </c>
      <c r="U821">
        <f t="shared" si="37"/>
        <v>0</v>
      </c>
      <c r="V821">
        <f>HLOOKUP("In Use MiB",'vInfo (Imported)'!$1:$5000,M821,FALSE)</f>
        <v>0</v>
      </c>
    </row>
    <row r="822" spans="1:22" ht="13" x14ac:dyDescent="0.3">
      <c r="A822" s="46">
        <f>'vHosts (Imported)'!A822</f>
        <v>0</v>
      </c>
      <c r="B822" s="51">
        <f t="shared" si="36"/>
        <v>4968</v>
      </c>
      <c r="C822" s="49">
        <f>HLOOKUP("# Cores",'vHosts (Imported)'!$1:$5000,M822,FALSE)</f>
        <v>0</v>
      </c>
      <c r="D822" s="52">
        <f>HLOOKUP("# Memory",'vHosts (Imported)'!$1:$5000,M822,FALSE)</f>
        <v>0</v>
      </c>
      <c r="M822" s="45">
        <f t="shared" si="38"/>
        <v>822</v>
      </c>
      <c r="N822" s="38">
        <f>HLOOKUP("Host",'vInfo (Imported)'!$1:$5000,M822,FALSE)</f>
        <v>0</v>
      </c>
      <c r="R822">
        <f>HLOOKUP("CPUs",'vInfo (Imported)'!$1:$5000,M822,FALSE)</f>
        <v>0</v>
      </c>
      <c r="S822">
        <f>HLOOKUP("Memory",'vInfo (Imported)'!$1:$5000,M822,FALSE)</f>
        <v>0</v>
      </c>
      <c r="T822">
        <f>HLOOKUP("Provisioned MiB",'vInfo (Imported)'!$1:$5000,M822,FALSE)</f>
        <v>0</v>
      </c>
      <c r="U822">
        <f t="shared" si="37"/>
        <v>0</v>
      </c>
      <c r="V822">
        <f>HLOOKUP("In Use MiB",'vInfo (Imported)'!$1:$5000,M822,FALSE)</f>
        <v>0</v>
      </c>
    </row>
    <row r="823" spans="1:22" ht="13" x14ac:dyDescent="0.3">
      <c r="A823" s="46">
        <f>'vHosts (Imported)'!A823</f>
        <v>0</v>
      </c>
      <c r="B823" s="51">
        <f t="shared" si="36"/>
        <v>4968</v>
      </c>
      <c r="C823" s="49">
        <f>HLOOKUP("# Cores",'vHosts (Imported)'!$1:$5000,M823,FALSE)</f>
        <v>0</v>
      </c>
      <c r="D823" s="52">
        <f>HLOOKUP("# Memory",'vHosts (Imported)'!$1:$5000,M823,FALSE)</f>
        <v>0</v>
      </c>
      <c r="M823" s="45">
        <f t="shared" si="38"/>
        <v>823</v>
      </c>
      <c r="N823" s="38">
        <f>HLOOKUP("Host",'vInfo (Imported)'!$1:$5000,M823,FALSE)</f>
        <v>0</v>
      </c>
      <c r="R823">
        <f>HLOOKUP("CPUs",'vInfo (Imported)'!$1:$5000,M823,FALSE)</f>
        <v>0</v>
      </c>
      <c r="S823">
        <f>HLOOKUP("Memory",'vInfo (Imported)'!$1:$5000,M823,FALSE)</f>
        <v>0</v>
      </c>
      <c r="T823">
        <f>HLOOKUP("Provisioned MiB",'vInfo (Imported)'!$1:$5000,M823,FALSE)</f>
        <v>0</v>
      </c>
      <c r="U823">
        <f t="shared" si="37"/>
        <v>0</v>
      </c>
      <c r="V823">
        <f>HLOOKUP("In Use MiB",'vInfo (Imported)'!$1:$5000,M823,FALSE)</f>
        <v>0</v>
      </c>
    </row>
    <row r="824" spans="1:22" ht="13" x14ac:dyDescent="0.3">
      <c r="A824" s="46">
        <f>'vHosts (Imported)'!A824</f>
        <v>0</v>
      </c>
      <c r="B824" s="51">
        <f t="shared" si="36"/>
        <v>4968</v>
      </c>
      <c r="C824" s="49">
        <f>HLOOKUP("# Cores",'vHosts (Imported)'!$1:$5000,M824,FALSE)</f>
        <v>0</v>
      </c>
      <c r="D824" s="52">
        <f>HLOOKUP("# Memory",'vHosts (Imported)'!$1:$5000,M824,FALSE)</f>
        <v>0</v>
      </c>
      <c r="M824" s="45">
        <f t="shared" si="38"/>
        <v>824</v>
      </c>
      <c r="N824" s="38">
        <f>HLOOKUP("Host",'vInfo (Imported)'!$1:$5000,M824,FALSE)</f>
        <v>0</v>
      </c>
      <c r="R824">
        <f>HLOOKUP("CPUs",'vInfo (Imported)'!$1:$5000,M824,FALSE)</f>
        <v>0</v>
      </c>
      <c r="S824">
        <f>HLOOKUP("Memory",'vInfo (Imported)'!$1:$5000,M824,FALSE)</f>
        <v>0</v>
      </c>
      <c r="T824">
        <f>HLOOKUP("Provisioned MiB",'vInfo (Imported)'!$1:$5000,M824,FALSE)</f>
        <v>0</v>
      </c>
      <c r="U824">
        <f t="shared" si="37"/>
        <v>0</v>
      </c>
      <c r="V824">
        <f>HLOOKUP("In Use MiB",'vInfo (Imported)'!$1:$5000,M824,FALSE)</f>
        <v>0</v>
      </c>
    </row>
    <row r="825" spans="1:22" ht="13" x14ac:dyDescent="0.3">
      <c r="A825" s="46">
        <f>'vHosts (Imported)'!A825</f>
        <v>0</v>
      </c>
      <c r="B825" s="51">
        <f t="shared" si="36"/>
        <v>4968</v>
      </c>
      <c r="C825" s="49">
        <f>HLOOKUP("# Cores",'vHosts (Imported)'!$1:$5000,M825,FALSE)</f>
        <v>0</v>
      </c>
      <c r="D825" s="52">
        <f>HLOOKUP("# Memory",'vHosts (Imported)'!$1:$5000,M825,FALSE)</f>
        <v>0</v>
      </c>
      <c r="M825" s="45">
        <f t="shared" si="38"/>
        <v>825</v>
      </c>
      <c r="N825" s="38">
        <f>HLOOKUP("Host",'vInfo (Imported)'!$1:$5000,M825,FALSE)</f>
        <v>0</v>
      </c>
      <c r="R825">
        <f>HLOOKUP("CPUs",'vInfo (Imported)'!$1:$5000,M825,FALSE)</f>
        <v>0</v>
      </c>
      <c r="S825">
        <f>HLOOKUP("Memory",'vInfo (Imported)'!$1:$5000,M825,FALSE)</f>
        <v>0</v>
      </c>
      <c r="T825">
        <f>HLOOKUP("Provisioned MiB",'vInfo (Imported)'!$1:$5000,M825,FALSE)</f>
        <v>0</v>
      </c>
      <c r="U825">
        <f t="shared" si="37"/>
        <v>0</v>
      </c>
      <c r="V825">
        <f>HLOOKUP("In Use MiB",'vInfo (Imported)'!$1:$5000,M825,FALSE)</f>
        <v>0</v>
      </c>
    </row>
    <row r="826" spans="1:22" ht="13" x14ac:dyDescent="0.3">
      <c r="A826" s="46">
        <f>'vHosts (Imported)'!A826</f>
        <v>0</v>
      </c>
      <c r="B826" s="51">
        <f t="shared" si="36"/>
        <v>4968</v>
      </c>
      <c r="C826" s="49">
        <f>HLOOKUP("# Cores",'vHosts (Imported)'!$1:$5000,M826,FALSE)</f>
        <v>0</v>
      </c>
      <c r="D826" s="52">
        <f>HLOOKUP("# Memory",'vHosts (Imported)'!$1:$5000,M826,FALSE)</f>
        <v>0</v>
      </c>
      <c r="M826" s="45">
        <f t="shared" si="38"/>
        <v>826</v>
      </c>
      <c r="N826" s="38">
        <f>HLOOKUP("Host",'vInfo (Imported)'!$1:$5000,M826,FALSE)</f>
        <v>0</v>
      </c>
      <c r="R826">
        <f>HLOOKUP("CPUs",'vInfo (Imported)'!$1:$5000,M826,FALSE)</f>
        <v>0</v>
      </c>
      <c r="S826">
        <f>HLOOKUP("Memory",'vInfo (Imported)'!$1:$5000,M826,FALSE)</f>
        <v>0</v>
      </c>
      <c r="T826">
        <f>HLOOKUP("Provisioned MiB",'vInfo (Imported)'!$1:$5000,M826,FALSE)</f>
        <v>0</v>
      </c>
      <c r="U826">
        <f t="shared" si="37"/>
        <v>0</v>
      </c>
      <c r="V826">
        <f>HLOOKUP("In Use MiB",'vInfo (Imported)'!$1:$5000,M826,FALSE)</f>
        <v>0</v>
      </c>
    </row>
    <row r="827" spans="1:22" ht="13" x14ac:dyDescent="0.3">
      <c r="A827" s="46">
        <f>'vHosts (Imported)'!A827</f>
        <v>0</v>
      </c>
      <c r="B827" s="51">
        <f t="shared" si="36"/>
        <v>4968</v>
      </c>
      <c r="C827" s="49">
        <f>HLOOKUP("# Cores",'vHosts (Imported)'!$1:$5000,M827,FALSE)</f>
        <v>0</v>
      </c>
      <c r="D827" s="52">
        <f>HLOOKUP("# Memory",'vHosts (Imported)'!$1:$5000,M827,FALSE)</f>
        <v>0</v>
      </c>
      <c r="M827" s="45">
        <f t="shared" si="38"/>
        <v>827</v>
      </c>
      <c r="N827" s="38">
        <f>HLOOKUP("Host",'vInfo (Imported)'!$1:$5000,M827,FALSE)</f>
        <v>0</v>
      </c>
      <c r="R827">
        <f>HLOOKUP("CPUs",'vInfo (Imported)'!$1:$5000,M827,FALSE)</f>
        <v>0</v>
      </c>
      <c r="S827">
        <f>HLOOKUP("Memory",'vInfo (Imported)'!$1:$5000,M827,FALSE)</f>
        <v>0</v>
      </c>
      <c r="T827">
        <f>HLOOKUP("Provisioned MiB",'vInfo (Imported)'!$1:$5000,M827,FALSE)</f>
        <v>0</v>
      </c>
      <c r="U827">
        <f t="shared" si="37"/>
        <v>0</v>
      </c>
      <c r="V827">
        <f>HLOOKUP("In Use MiB",'vInfo (Imported)'!$1:$5000,M827,FALSE)</f>
        <v>0</v>
      </c>
    </row>
    <row r="828" spans="1:22" ht="13" x14ac:dyDescent="0.3">
      <c r="A828" s="46">
        <f>'vHosts (Imported)'!A828</f>
        <v>0</v>
      </c>
      <c r="B828" s="51">
        <f t="shared" si="36"/>
        <v>4968</v>
      </c>
      <c r="C828" s="49">
        <f>HLOOKUP("# Cores",'vHosts (Imported)'!$1:$5000,M828,FALSE)</f>
        <v>0</v>
      </c>
      <c r="D828" s="52">
        <f>HLOOKUP("# Memory",'vHosts (Imported)'!$1:$5000,M828,FALSE)</f>
        <v>0</v>
      </c>
      <c r="M828" s="45">
        <f t="shared" si="38"/>
        <v>828</v>
      </c>
      <c r="N828" s="38">
        <f>HLOOKUP("Host",'vInfo (Imported)'!$1:$5000,M828,FALSE)</f>
        <v>0</v>
      </c>
      <c r="R828">
        <f>HLOOKUP("CPUs",'vInfo (Imported)'!$1:$5000,M828,FALSE)</f>
        <v>0</v>
      </c>
      <c r="S828">
        <f>HLOOKUP("Memory",'vInfo (Imported)'!$1:$5000,M828,FALSE)</f>
        <v>0</v>
      </c>
      <c r="T828">
        <f>HLOOKUP("Provisioned MiB",'vInfo (Imported)'!$1:$5000,M828,FALSE)</f>
        <v>0</v>
      </c>
      <c r="U828">
        <f t="shared" si="37"/>
        <v>0</v>
      </c>
      <c r="V828">
        <f>HLOOKUP("In Use MiB",'vInfo (Imported)'!$1:$5000,M828,FALSE)</f>
        <v>0</v>
      </c>
    </row>
    <row r="829" spans="1:22" ht="13" x14ac:dyDescent="0.3">
      <c r="A829" s="46">
        <f>'vHosts (Imported)'!A829</f>
        <v>0</v>
      </c>
      <c r="B829" s="51">
        <f t="shared" si="36"/>
        <v>4968</v>
      </c>
      <c r="C829" s="49">
        <f>HLOOKUP("# Cores",'vHosts (Imported)'!$1:$5000,M829,FALSE)</f>
        <v>0</v>
      </c>
      <c r="D829" s="52">
        <f>HLOOKUP("# Memory",'vHosts (Imported)'!$1:$5000,M829,FALSE)</f>
        <v>0</v>
      </c>
      <c r="M829" s="45">
        <f t="shared" si="38"/>
        <v>829</v>
      </c>
      <c r="N829" s="38">
        <f>HLOOKUP("Host",'vInfo (Imported)'!$1:$5000,M829,FALSE)</f>
        <v>0</v>
      </c>
      <c r="R829">
        <f>HLOOKUP("CPUs",'vInfo (Imported)'!$1:$5000,M829,FALSE)</f>
        <v>0</v>
      </c>
      <c r="S829">
        <f>HLOOKUP("Memory",'vInfo (Imported)'!$1:$5000,M829,FALSE)</f>
        <v>0</v>
      </c>
      <c r="T829">
        <f>HLOOKUP("Provisioned MiB",'vInfo (Imported)'!$1:$5000,M829,FALSE)</f>
        <v>0</v>
      </c>
      <c r="U829">
        <f t="shared" si="37"/>
        <v>0</v>
      </c>
      <c r="V829">
        <f>HLOOKUP("In Use MiB",'vInfo (Imported)'!$1:$5000,M829,FALSE)</f>
        <v>0</v>
      </c>
    </row>
    <row r="830" spans="1:22" ht="13" x14ac:dyDescent="0.3">
      <c r="A830" s="46">
        <f>'vHosts (Imported)'!A830</f>
        <v>0</v>
      </c>
      <c r="B830" s="51">
        <f t="shared" si="36"/>
        <v>4968</v>
      </c>
      <c r="C830" s="49">
        <f>HLOOKUP("# Cores",'vHosts (Imported)'!$1:$5000,M830,FALSE)</f>
        <v>0</v>
      </c>
      <c r="D830" s="52">
        <f>HLOOKUP("# Memory",'vHosts (Imported)'!$1:$5000,M830,FALSE)</f>
        <v>0</v>
      </c>
      <c r="M830" s="45">
        <f t="shared" si="38"/>
        <v>830</v>
      </c>
      <c r="N830" s="38">
        <f>HLOOKUP("Host",'vInfo (Imported)'!$1:$5000,M830,FALSE)</f>
        <v>0</v>
      </c>
      <c r="R830">
        <f>HLOOKUP("CPUs",'vInfo (Imported)'!$1:$5000,M830,FALSE)</f>
        <v>0</v>
      </c>
      <c r="S830">
        <f>HLOOKUP("Memory",'vInfo (Imported)'!$1:$5000,M830,FALSE)</f>
        <v>0</v>
      </c>
      <c r="T830">
        <f>HLOOKUP("Provisioned MiB",'vInfo (Imported)'!$1:$5000,M830,FALSE)</f>
        <v>0</v>
      </c>
      <c r="U830">
        <f t="shared" si="37"/>
        <v>0</v>
      </c>
      <c r="V830">
        <f>HLOOKUP("In Use MiB",'vInfo (Imported)'!$1:$5000,M830,FALSE)</f>
        <v>0</v>
      </c>
    </row>
    <row r="831" spans="1:22" ht="13" x14ac:dyDescent="0.3">
      <c r="A831" s="46">
        <f>'vHosts (Imported)'!A831</f>
        <v>0</v>
      </c>
      <c r="B831" s="51">
        <f t="shared" si="36"/>
        <v>4968</v>
      </c>
      <c r="C831" s="49">
        <f>HLOOKUP("# Cores",'vHosts (Imported)'!$1:$5000,M831,FALSE)</f>
        <v>0</v>
      </c>
      <c r="D831" s="52">
        <f>HLOOKUP("# Memory",'vHosts (Imported)'!$1:$5000,M831,FALSE)</f>
        <v>0</v>
      </c>
      <c r="M831" s="45">
        <f t="shared" si="38"/>
        <v>831</v>
      </c>
      <c r="N831" s="38">
        <f>HLOOKUP("Host",'vInfo (Imported)'!$1:$5000,M831,FALSE)</f>
        <v>0</v>
      </c>
      <c r="R831">
        <f>HLOOKUP("CPUs",'vInfo (Imported)'!$1:$5000,M831,FALSE)</f>
        <v>0</v>
      </c>
      <c r="S831">
        <f>HLOOKUP("Memory",'vInfo (Imported)'!$1:$5000,M831,FALSE)</f>
        <v>0</v>
      </c>
      <c r="T831">
        <f>HLOOKUP("Provisioned MiB",'vInfo (Imported)'!$1:$5000,M831,FALSE)</f>
        <v>0</v>
      </c>
      <c r="U831">
        <f t="shared" si="37"/>
        <v>0</v>
      </c>
      <c r="V831">
        <f>HLOOKUP("In Use MiB",'vInfo (Imported)'!$1:$5000,M831,FALSE)</f>
        <v>0</v>
      </c>
    </row>
    <row r="832" spans="1:22" ht="13" x14ac:dyDescent="0.3">
      <c r="A832" s="46">
        <f>'vHosts (Imported)'!A832</f>
        <v>0</v>
      </c>
      <c r="B832" s="51">
        <f t="shared" si="36"/>
        <v>4968</v>
      </c>
      <c r="C832" s="49">
        <f>HLOOKUP("# Cores",'vHosts (Imported)'!$1:$5000,M832,FALSE)</f>
        <v>0</v>
      </c>
      <c r="D832" s="52">
        <f>HLOOKUP("# Memory",'vHosts (Imported)'!$1:$5000,M832,FALSE)</f>
        <v>0</v>
      </c>
      <c r="M832" s="45">
        <f t="shared" si="38"/>
        <v>832</v>
      </c>
      <c r="N832" s="38">
        <f>HLOOKUP("Host",'vInfo (Imported)'!$1:$5000,M832,FALSE)</f>
        <v>0</v>
      </c>
      <c r="R832">
        <f>HLOOKUP("CPUs",'vInfo (Imported)'!$1:$5000,M832,FALSE)</f>
        <v>0</v>
      </c>
      <c r="S832">
        <f>HLOOKUP("Memory",'vInfo (Imported)'!$1:$5000,M832,FALSE)</f>
        <v>0</v>
      </c>
      <c r="T832">
        <f>HLOOKUP("Provisioned MiB",'vInfo (Imported)'!$1:$5000,M832,FALSE)</f>
        <v>0</v>
      </c>
      <c r="U832">
        <f t="shared" si="37"/>
        <v>0</v>
      </c>
      <c r="V832">
        <f>HLOOKUP("In Use MiB",'vInfo (Imported)'!$1:$5000,M832,FALSE)</f>
        <v>0</v>
      </c>
    </row>
    <row r="833" spans="1:22" ht="13" x14ac:dyDescent="0.3">
      <c r="A833" s="46">
        <f>'vHosts (Imported)'!A833</f>
        <v>0</v>
      </c>
      <c r="B833" s="51">
        <f t="shared" si="36"/>
        <v>4968</v>
      </c>
      <c r="C833" s="49">
        <f>HLOOKUP("# Cores",'vHosts (Imported)'!$1:$5000,M833,FALSE)</f>
        <v>0</v>
      </c>
      <c r="D833" s="52">
        <f>HLOOKUP("# Memory",'vHosts (Imported)'!$1:$5000,M833,FALSE)</f>
        <v>0</v>
      </c>
      <c r="M833" s="45">
        <f t="shared" si="38"/>
        <v>833</v>
      </c>
      <c r="N833" s="38">
        <f>HLOOKUP("Host",'vInfo (Imported)'!$1:$5000,M833,FALSE)</f>
        <v>0</v>
      </c>
      <c r="R833">
        <f>HLOOKUP("CPUs",'vInfo (Imported)'!$1:$5000,M833,FALSE)</f>
        <v>0</v>
      </c>
      <c r="S833">
        <f>HLOOKUP("Memory",'vInfo (Imported)'!$1:$5000,M833,FALSE)</f>
        <v>0</v>
      </c>
      <c r="T833">
        <f>HLOOKUP("Provisioned MiB",'vInfo (Imported)'!$1:$5000,M833,FALSE)</f>
        <v>0</v>
      </c>
      <c r="U833">
        <f t="shared" si="37"/>
        <v>0</v>
      </c>
      <c r="V833">
        <f>HLOOKUP("In Use MiB",'vInfo (Imported)'!$1:$5000,M833,FALSE)</f>
        <v>0</v>
      </c>
    </row>
    <row r="834" spans="1:22" ht="13" x14ac:dyDescent="0.3">
      <c r="A834" s="46">
        <f>'vHosts (Imported)'!A834</f>
        <v>0</v>
      </c>
      <c r="B834" s="51">
        <f t="shared" ref="B834:B871" si="39">COUNTIFS(N:N,IF(A834=0,"0",A834))</f>
        <v>4968</v>
      </c>
      <c r="C834" s="49">
        <f>HLOOKUP("# Cores",'vHosts (Imported)'!$1:$5000,M834,FALSE)</f>
        <v>0</v>
      </c>
      <c r="D834" s="52">
        <f>HLOOKUP("# Memory",'vHosts (Imported)'!$1:$5000,M834,FALSE)</f>
        <v>0</v>
      </c>
      <c r="M834" s="45">
        <f t="shared" si="38"/>
        <v>834</v>
      </c>
      <c r="N834" s="38">
        <f>HLOOKUP("Host",'vInfo (Imported)'!$1:$5000,M834,FALSE)</f>
        <v>0</v>
      </c>
      <c r="R834">
        <f>HLOOKUP("CPUs",'vInfo (Imported)'!$1:$5000,M834,FALSE)</f>
        <v>0</v>
      </c>
      <c r="S834">
        <f>HLOOKUP("Memory",'vInfo (Imported)'!$1:$5000,M834,FALSE)</f>
        <v>0</v>
      </c>
      <c r="T834">
        <f>HLOOKUP("Provisioned MiB",'vInfo (Imported)'!$1:$5000,M834,FALSE)</f>
        <v>0</v>
      </c>
      <c r="U834">
        <f t="shared" si="37"/>
        <v>0</v>
      </c>
      <c r="V834">
        <f>HLOOKUP("In Use MiB",'vInfo (Imported)'!$1:$5000,M834,FALSE)</f>
        <v>0</v>
      </c>
    </row>
    <row r="835" spans="1:22" ht="13" x14ac:dyDescent="0.3">
      <c r="A835" s="46">
        <f>'vHosts (Imported)'!A835</f>
        <v>0</v>
      </c>
      <c r="B835" s="51">
        <f t="shared" si="39"/>
        <v>4968</v>
      </c>
      <c r="C835" s="49">
        <f>HLOOKUP("# Cores",'vHosts (Imported)'!$1:$5000,M835,FALSE)</f>
        <v>0</v>
      </c>
      <c r="D835" s="52">
        <f>HLOOKUP("# Memory",'vHosts (Imported)'!$1:$5000,M835,FALSE)</f>
        <v>0</v>
      </c>
      <c r="M835" s="45">
        <f t="shared" si="38"/>
        <v>835</v>
      </c>
      <c r="N835" s="38">
        <f>HLOOKUP("Host",'vInfo (Imported)'!$1:$5000,M835,FALSE)</f>
        <v>0</v>
      </c>
      <c r="R835">
        <f>HLOOKUP("CPUs",'vInfo (Imported)'!$1:$5000,M835,FALSE)</f>
        <v>0</v>
      </c>
      <c r="S835">
        <f>HLOOKUP("Memory",'vInfo (Imported)'!$1:$5000,M835,FALSE)</f>
        <v>0</v>
      </c>
      <c r="T835">
        <f>HLOOKUP("Provisioned MiB",'vInfo (Imported)'!$1:$5000,M835,FALSE)</f>
        <v>0</v>
      </c>
      <c r="U835">
        <f t="shared" ref="U835:U898" si="40">T835-V835</f>
        <v>0</v>
      </c>
      <c r="V835">
        <f>HLOOKUP("In Use MiB",'vInfo (Imported)'!$1:$5000,M835,FALSE)</f>
        <v>0</v>
      </c>
    </row>
    <row r="836" spans="1:22" ht="13" x14ac:dyDescent="0.3">
      <c r="A836" s="46">
        <f>'vHosts (Imported)'!A836</f>
        <v>0</v>
      </c>
      <c r="B836" s="51">
        <f t="shared" si="39"/>
        <v>4968</v>
      </c>
      <c r="C836" s="49">
        <f>HLOOKUP("# Cores",'vHosts (Imported)'!$1:$5000,M836,FALSE)</f>
        <v>0</v>
      </c>
      <c r="D836" s="52">
        <f>HLOOKUP("# Memory",'vHosts (Imported)'!$1:$5000,M836,FALSE)</f>
        <v>0</v>
      </c>
      <c r="M836" s="45">
        <f t="shared" ref="M836:M899" si="41">M835+1</f>
        <v>836</v>
      </c>
      <c r="N836" s="38">
        <f>HLOOKUP("Host",'vInfo (Imported)'!$1:$5000,M836,FALSE)</f>
        <v>0</v>
      </c>
      <c r="R836">
        <f>HLOOKUP("CPUs",'vInfo (Imported)'!$1:$5000,M836,FALSE)</f>
        <v>0</v>
      </c>
      <c r="S836">
        <f>HLOOKUP("Memory",'vInfo (Imported)'!$1:$5000,M836,FALSE)</f>
        <v>0</v>
      </c>
      <c r="T836">
        <f>HLOOKUP("Provisioned MiB",'vInfo (Imported)'!$1:$5000,M836,FALSE)</f>
        <v>0</v>
      </c>
      <c r="U836">
        <f t="shared" si="40"/>
        <v>0</v>
      </c>
      <c r="V836">
        <f>HLOOKUP("In Use MiB",'vInfo (Imported)'!$1:$5000,M836,FALSE)</f>
        <v>0</v>
      </c>
    </row>
    <row r="837" spans="1:22" ht="13" x14ac:dyDescent="0.3">
      <c r="A837" s="46">
        <f>'vHosts (Imported)'!A837</f>
        <v>0</v>
      </c>
      <c r="B837" s="51">
        <f t="shared" si="39"/>
        <v>4968</v>
      </c>
      <c r="C837" s="49">
        <f>HLOOKUP("# Cores",'vHosts (Imported)'!$1:$5000,M837,FALSE)</f>
        <v>0</v>
      </c>
      <c r="D837" s="52">
        <f>HLOOKUP("# Memory",'vHosts (Imported)'!$1:$5000,M837,FALSE)</f>
        <v>0</v>
      </c>
      <c r="M837" s="45">
        <f t="shared" si="41"/>
        <v>837</v>
      </c>
      <c r="N837" s="38">
        <f>HLOOKUP("Host",'vInfo (Imported)'!$1:$5000,M837,FALSE)</f>
        <v>0</v>
      </c>
      <c r="R837">
        <f>HLOOKUP("CPUs",'vInfo (Imported)'!$1:$5000,M837,FALSE)</f>
        <v>0</v>
      </c>
      <c r="S837">
        <f>HLOOKUP("Memory",'vInfo (Imported)'!$1:$5000,M837,FALSE)</f>
        <v>0</v>
      </c>
      <c r="T837">
        <f>HLOOKUP("Provisioned MiB",'vInfo (Imported)'!$1:$5000,M837,FALSE)</f>
        <v>0</v>
      </c>
      <c r="U837">
        <f t="shared" si="40"/>
        <v>0</v>
      </c>
      <c r="V837">
        <f>HLOOKUP("In Use MiB",'vInfo (Imported)'!$1:$5000,M837,FALSE)</f>
        <v>0</v>
      </c>
    </row>
    <row r="838" spans="1:22" ht="13" x14ac:dyDescent="0.3">
      <c r="A838" s="46">
        <f>'vHosts (Imported)'!A838</f>
        <v>0</v>
      </c>
      <c r="B838" s="51">
        <f t="shared" si="39"/>
        <v>4968</v>
      </c>
      <c r="C838" s="49">
        <f>HLOOKUP("# Cores",'vHosts (Imported)'!$1:$5000,M838,FALSE)</f>
        <v>0</v>
      </c>
      <c r="D838" s="52">
        <f>HLOOKUP("# Memory",'vHosts (Imported)'!$1:$5000,M838,FALSE)</f>
        <v>0</v>
      </c>
      <c r="M838" s="45">
        <f t="shared" si="41"/>
        <v>838</v>
      </c>
      <c r="N838" s="38">
        <f>HLOOKUP("Host",'vInfo (Imported)'!$1:$5000,M838,FALSE)</f>
        <v>0</v>
      </c>
      <c r="R838">
        <f>HLOOKUP("CPUs",'vInfo (Imported)'!$1:$5000,M838,FALSE)</f>
        <v>0</v>
      </c>
      <c r="S838">
        <f>HLOOKUP("Memory",'vInfo (Imported)'!$1:$5000,M838,FALSE)</f>
        <v>0</v>
      </c>
      <c r="T838">
        <f>HLOOKUP("Provisioned MiB",'vInfo (Imported)'!$1:$5000,M838,FALSE)</f>
        <v>0</v>
      </c>
      <c r="U838">
        <f t="shared" si="40"/>
        <v>0</v>
      </c>
      <c r="V838">
        <f>HLOOKUP("In Use MiB",'vInfo (Imported)'!$1:$5000,M838,FALSE)</f>
        <v>0</v>
      </c>
    </row>
    <row r="839" spans="1:22" ht="13" x14ac:dyDescent="0.3">
      <c r="A839" s="46">
        <f>'vHosts (Imported)'!A839</f>
        <v>0</v>
      </c>
      <c r="B839" s="51">
        <f t="shared" si="39"/>
        <v>4968</v>
      </c>
      <c r="C839" s="49">
        <f>HLOOKUP("# Cores",'vHosts (Imported)'!$1:$5000,M839,FALSE)</f>
        <v>0</v>
      </c>
      <c r="D839" s="52">
        <f>HLOOKUP("# Memory",'vHosts (Imported)'!$1:$5000,M839,FALSE)</f>
        <v>0</v>
      </c>
      <c r="M839" s="45">
        <f t="shared" si="41"/>
        <v>839</v>
      </c>
      <c r="N839" s="38">
        <f>HLOOKUP("Host",'vInfo (Imported)'!$1:$5000,M839,FALSE)</f>
        <v>0</v>
      </c>
      <c r="R839">
        <f>HLOOKUP("CPUs",'vInfo (Imported)'!$1:$5000,M839,FALSE)</f>
        <v>0</v>
      </c>
      <c r="S839">
        <f>HLOOKUP("Memory",'vInfo (Imported)'!$1:$5000,M839,FALSE)</f>
        <v>0</v>
      </c>
      <c r="T839">
        <f>HLOOKUP("Provisioned MiB",'vInfo (Imported)'!$1:$5000,M839,FALSE)</f>
        <v>0</v>
      </c>
      <c r="U839">
        <f t="shared" si="40"/>
        <v>0</v>
      </c>
      <c r="V839">
        <f>HLOOKUP("In Use MiB",'vInfo (Imported)'!$1:$5000,M839,FALSE)</f>
        <v>0</v>
      </c>
    </row>
    <row r="840" spans="1:22" ht="13" x14ac:dyDescent="0.3">
      <c r="A840" s="46">
        <f>'vHosts (Imported)'!A840</f>
        <v>0</v>
      </c>
      <c r="B840" s="51">
        <f t="shared" si="39"/>
        <v>4968</v>
      </c>
      <c r="C840" s="49">
        <f>HLOOKUP("# Cores",'vHosts (Imported)'!$1:$5000,M840,FALSE)</f>
        <v>0</v>
      </c>
      <c r="D840" s="52">
        <f>HLOOKUP("# Memory",'vHosts (Imported)'!$1:$5000,M840,FALSE)</f>
        <v>0</v>
      </c>
      <c r="M840" s="45">
        <f t="shared" si="41"/>
        <v>840</v>
      </c>
      <c r="N840" s="38">
        <f>HLOOKUP("Host",'vInfo (Imported)'!$1:$5000,M840,FALSE)</f>
        <v>0</v>
      </c>
      <c r="R840">
        <f>HLOOKUP("CPUs",'vInfo (Imported)'!$1:$5000,M840,FALSE)</f>
        <v>0</v>
      </c>
      <c r="S840">
        <f>HLOOKUP("Memory",'vInfo (Imported)'!$1:$5000,M840,FALSE)</f>
        <v>0</v>
      </c>
      <c r="T840">
        <f>HLOOKUP("Provisioned MiB",'vInfo (Imported)'!$1:$5000,M840,FALSE)</f>
        <v>0</v>
      </c>
      <c r="U840">
        <f t="shared" si="40"/>
        <v>0</v>
      </c>
      <c r="V840">
        <f>HLOOKUP("In Use MiB",'vInfo (Imported)'!$1:$5000,M840,FALSE)</f>
        <v>0</v>
      </c>
    </row>
    <row r="841" spans="1:22" ht="13" x14ac:dyDescent="0.3">
      <c r="A841" s="46">
        <f>'vHosts (Imported)'!A841</f>
        <v>0</v>
      </c>
      <c r="B841" s="51">
        <f t="shared" si="39"/>
        <v>4968</v>
      </c>
      <c r="C841" s="49">
        <f>HLOOKUP("# Cores",'vHosts (Imported)'!$1:$5000,M841,FALSE)</f>
        <v>0</v>
      </c>
      <c r="D841" s="52">
        <f>HLOOKUP("# Memory",'vHosts (Imported)'!$1:$5000,M841,FALSE)</f>
        <v>0</v>
      </c>
      <c r="M841" s="45">
        <f t="shared" si="41"/>
        <v>841</v>
      </c>
      <c r="N841" s="38">
        <f>HLOOKUP("Host",'vInfo (Imported)'!$1:$5000,M841,FALSE)</f>
        <v>0</v>
      </c>
      <c r="R841">
        <f>HLOOKUP("CPUs",'vInfo (Imported)'!$1:$5000,M841,FALSE)</f>
        <v>0</v>
      </c>
      <c r="S841">
        <f>HLOOKUP("Memory",'vInfo (Imported)'!$1:$5000,M841,FALSE)</f>
        <v>0</v>
      </c>
      <c r="T841">
        <f>HLOOKUP("Provisioned MiB",'vInfo (Imported)'!$1:$5000,M841,FALSE)</f>
        <v>0</v>
      </c>
      <c r="U841">
        <f t="shared" si="40"/>
        <v>0</v>
      </c>
      <c r="V841">
        <f>HLOOKUP("In Use MiB",'vInfo (Imported)'!$1:$5000,M841,FALSE)</f>
        <v>0</v>
      </c>
    </row>
    <row r="842" spans="1:22" ht="13" x14ac:dyDescent="0.3">
      <c r="A842" s="46">
        <f>'vHosts (Imported)'!A842</f>
        <v>0</v>
      </c>
      <c r="B842" s="51">
        <f t="shared" si="39"/>
        <v>4968</v>
      </c>
      <c r="C842" s="49">
        <f>HLOOKUP("# Cores",'vHosts (Imported)'!$1:$5000,M842,FALSE)</f>
        <v>0</v>
      </c>
      <c r="D842" s="52">
        <f>HLOOKUP("# Memory",'vHosts (Imported)'!$1:$5000,M842,FALSE)</f>
        <v>0</v>
      </c>
      <c r="M842" s="45">
        <f t="shared" si="41"/>
        <v>842</v>
      </c>
      <c r="N842" s="38">
        <f>HLOOKUP("Host",'vInfo (Imported)'!$1:$5000,M842,FALSE)</f>
        <v>0</v>
      </c>
      <c r="R842">
        <f>HLOOKUP("CPUs",'vInfo (Imported)'!$1:$5000,M842,FALSE)</f>
        <v>0</v>
      </c>
      <c r="S842">
        <f>HLOOKUP("Memory",'vInfo (Imported)'!$1:$5000,M842,FALSE)</f>
        <v>0</v>
      </c>
      <c r="T842">
        <f>HLOOKUP("Provisioned MiB",'vInfo (Imported)'!$1:$5000,M842,FALSE)</f>
        <v>0</v>
      </c>
      <c r="U842">
        <f t="shared" si="40"/>
        <v>0</v>
      </c>
      <c r="V842">
        <f>HLOOKUP("In Use MiB",'vInfo (Imported)'!$1:$5000,M842,FALSE)</f>
        <v>0</v>
      </c>
    </row>
    <row r="843" spans="1:22" ht="13" x14ac:dyDescent="0.3">
      <c r="A843" s="46">
        <f>'vHosts (Imported)'!A843</f>
        <v>0</v>
      </c>
      <c r="B843" s="51">
        <f t="shared" si="39"/>
        <v>4968</v>
      </c>
      <c r="C843" s="49">
        <f>HLOOKUP("# Cores",'vHosts (Imported)'!$1:$5000,M843,FALSE)</f>
        <v>0</v>
      </c>
      <c r="D843" s="52">
        <f>HLOOKUP("# Memory",'vHosts (Imported)'!$1:$5000,M843,FALSE)</f>
        <v>0</v>
      </c>
      <c r="M843" s="45">
        <f t="shared" si="41"/>
        <v>843</v>
      </c>
      <c r="N843" s="38">
        <f>HLOOKUP("Host",'vInfo (Imported)'!$1:$5000,M843,FALSE)</f>
        <v>0</v>
      </c>
      <c r="R843">
        <f>HLOOKUP("CPUs",'vInfo (Imported)'!$1:$5000,M843,FALSE)</f>
        <v>0</v>
      </c>
      <c r="S843">
        <f>HLOOKUP("Memory",'vInfo (Imported)'!$1:$5000,M843,FALSE)</f>
        <v>0</v>
      </c>
      <c r="T843">
        <f>HLOOKUP("Provisioned MiB",'vInfo (Imported)'!$1:$5000,M843,FALSE)</f>
        <v>0</v>
      </c>
      <c r="U843">
        <f t="shared" si="40"/>
        <v>0</v>
      </c>
      <c r="V843">
        <f>HLOOKUP("In Use MiB",'vInfo (Imported)'!$1:$5000,M843,FALSE)</f>
        <v>0</v>
      </c>
    </row>
    <row r="844" spans="1:22" ht="13" x14ac:dyDescent="0.3">
      <c r="A844" s="46">
        <f>'vHosts (Imported)'!A844</f>
        <v>0</v>
      </c>
      <c r="B844" s="51">
        <f t="shared" si="39"/>
        <v>4968</v>
      </c>
      <c r="C844" s="49">
        <f>HLOOKUP("# Cores",'vHosts (Imported)'!$1:$5000,M844,FALSE)</f>
        <v>0</v>
      </c>
      <c r="D844" s="52">
        <f>HLOOKUP("# Memory",'vHosts (Imported)'!$1:$5000,M844,FALSE)</f>
        <v>0</v>
      </c>
      <c r="M844" s="45">
        <f t="shared" si="41"/>
        <v>844</v>
      </c>
      <c r="N844" s="38">
        <f>HLOOKUP("Host",'vInfo (Imported)'!$1:$5000,M844,FALSE)</f>
        <v>0</v>
      </c>
      <c r="R844">
        <f>HLOOKUP("CPUs",'vInfo (Imported)'!$1:$5000,M844,FALSE)</f>
        <v>0</v>
      </c>
      <c r="S844">
        <f>HLOOKUP("Memory",'vInfo (Imported)'!$1:$5000,M844,FALSE)</f>
        <v>0</v>
      </c>
      <c r="T844">
        <f>HLOOKUP("Provisioned MiB",'vInfo (Imported)'!$1:$5000,M844,FALSE)</f>
        <v>0</v>
      </c>
      <c r="U844">
        <f t="shared" si="40"/>
        <v>0</v>
      </c>
      <c r="V844">
        <f>HLOOKUP("In Use MiB",'vInfo (Imported)'!$1:$5000,M844,FALSE)</f>
        <v>0</v>
      </c>
    </row>
    <row r="845" spans="1:22" ht="13" x14ac:dyDescent="0.3">
      <c r="A845" s="46">
        <f>'vHosts (Imported)'!A845</f>
        <v>0</v>
      </c>
      <c r="B845" s="51">
        <f t="shared" si="39"/>
        <v>4968</v>
      </c>
      <c r="C845" s="49">
        <f>HLOOKUP("# Cores",'vHosts (Imported)'!$1:$5000,M845,FALSE)</f>
        <v>0</v>
      </c>
      <c r="D845" s="52">
        <f>HLOOKUP("# Memory",'vHosts (Imported)'!$1:$5000,M845,FALSE)</f>
        <v>0</v>
      </c>
      <c r="M845" s="45">
        <f t="shared" si="41"/>
        <v>845</v>
      </c>
      <c r="N845" s="38">
        <f>HLOOKUP("Host",'vInfo (Imported)'!$1:$5000,M845,FALSE)</f>
        <v>0</v>
      </c>
      <c r="R845">
        <f>HLOOKUP("CPUs",'vInfo (Imported)'!$1:$5000,M845,FALSE)</f>
        <v>0</v>
      </c>
      <c r="S845">
        <f>HLOOKUP("Memory",'vInfo (Imported)'!$1:$5000,M845,FALSE)</f>
        <v>0</v>
      </c>
      <c r="T845">
        <f>HLOOKUP("Provisioned MiB",'vInfo (Imported)'!$1:$5000,M845,FALSE)</f>
        <v>0</v>
      </c>
      <c r="U845">
        <f t="shared" si="40"/>
        <v>0</v>
      </c>
      <c r="V845">
        <f>HLOOKUP("In Use MiB",'vInfo (Imported)'!$1:$5000,M845,FALSE)</f>
        <v>0</v>
      </c>
    </row>
    <row r="846" spans="1:22" ht="13" x14ac:dyDescent="0.3">
      <c r="A846" s="46">
        <f>'vHosts (Imported)'!A846</f>
        <v>0</v>
      </c>
      <c r="B846" s="51">
        <f t="shared" si="39"/>
        <v>4968</v>
      </c>
      <c r="C846" s="49">
        <f>HLOOKUP("# Cores",'vHosts (Imported)'!$1:$5000,M846,FALSE)</f>
        <v>0</v>
      </c>
      <c r="D846" s="52">
        <f>HLOOKUP("# Memory",'vHosts (Imported)'!$1:$5000,M846,FALSE)</f>
        <v>0</v>
      </c>
      <c r="M846" s="45">
        <f t="shared" si="41"/>
        <v>846</v>
      </c>
      <c r="N846" s="38">
        <f>HLOOKUP("Host",'vInfo (Imported)'!$1:$5000,M846,FALSE)</f>
        <v>0</v>
      </c>
      <c r="R846">
        <f>HLOOKUP("CPUs",'vInfo (Imported)'!$1:$5000,M846,FALSE)</f>
        <v>0</v>
      </c>
      <c r="S846">
        <f>HLOOKUP("Memory",'vInfo (Imported)'!$1:$5000,M846,FALSE)</f>
        <v>0</v>
      </c>
      <c r="T846">
        <f>HLOOKUP("Provisioned MiB",'vInfo (Imported)'!$1:$5000,M846,FALSE)</f>
        <v>0</v>
      </c>
      <c r="U846">
        <f t="shared" si="40"/>
        <v>0</v>
      </c>
      <c r="V846">
        <f>HLOOKUP("In Use MiB",'vInfo (Imported)'!$1:$5000,M846,FALSE)</f>
        <v>0</v>
      </c>
    </row>
    <row r="847" spans="1:22" ht="13" x14ac:dyDescent="0.3">
      <c r="A847" s="46">
        <f>'vHosts (Imported)'!A847</f>
        <v>0</v>
      </c>
      <c r="B847" s="51">
        <f t="shared" si="39"/>
        <v>4968</v>
      </c>
      <c r="C847" s="49">
        <f>HLOOKUP("# Cores",'vHosts (Imported)'!$1:$5000,M847,FALSE)</f>
        <v>0</v>
      </c>
      <c r="D847" s="52">
        <f>HLOOKUP("# Memory",'vHosts (Imported)'!$1:$5000,M847,FALSE)</f>
        <v>0</v>
      </c>
      <c r="M847" s="45">
        <f t="shared" si="41"/>
        <v>847</v>
      </c>
      <c r="N847" s="38">
        <f>HLOOKUP("Host",'vInfo (Imported)'!$1:$5000,M847,FALSE)</f>
        <v>0</v>
      </c>
      <c r="R847">
        <f>HLOOKUP("CPUs",'vInfo (Imported)'!$1:$5000,M847,FALSE)</f>
        <v>0</v>
      </c>
      <c r="S847">
        <f>HLOOKUP("Memory",'vInfo (Imported)'!$1:$5000,M847,FALSE)</f>
        <v>0</v>
      </c>
      <c r="T847">
        <f>HLOOKUP("Provisioned MiB",'vInfo (Imported)'!$1:$5000,M847,FALSE)</f>
        <v>0</v>
      </c>
      <c r="U847">
        <f t="shared" si="40"/>
        <v>0</v>
      </c>
      <c r="V847">
        <f>HLOOKUP("In Use MiB",'vInfo (Imported)'!$1:$5000,M847,FALSE)</f>
        <v>0</v>
      </c>
    </row>
    <row r="848" spans="1:22" ht="13" x14ac:dyDescent="0.3">
      <c r="A848" s="46">
        <f>'vHosts (Imported)'!A848</f>
        <v>0</v>
      </c>
      <c r="B848" s="51">
        <f t="shared" si="39"/>
        <v>4968</v>
      </c>
      <c r="C848" s="49">
        <f>HLOOKUP("# Cores",'vHosts (Imported)'!$1:$5000,M848,FALSE)</f>
        <v>0</v>
      </c>
      <c r="D848" s="52">
        <f>HLOOKUP("# Memory",'vHosts (Imported)'!$1:$5000,M848,FALSE)</f>
        <v>0</v>
      </c>
      <c r="M848" s="45">
        <f t="shared" si="41"/>
        <v>848</v>
      </c>
      <c r="N848" s="38">
        <f>HLOOKUP("Host",'vInfo (Imported)'!$1:$5000,M848,FALSE)</f>
        <v>0</v>
      </c>
      <c r="R848">
        <f>HLOOKUP("CPUs",'vInfo (Imported)'!$1:$5000,M848,FALSE)</f>
        <v>0</v>
      </c>
      <c r="S848">
        <f>HLOOKUP("Memory",'vInfo (Imported)'!$1:$5000,M848,FALSE)</f>
        <v>0</v>
      </c>
      <c r="T848">
        <f>HLOOKUP("Provisioned MiB",'vInfo (Imported)'!$1:$5000,M848,FALSE)</f>
        <v>0</v>
      </c>
      <c r="U848">
        <f t="shared" si="40"/>
        <v>0</v>
      </c>
      <c r="V848">
        <f>HLOOKUP("In Use MiB",'vInfo (Imported)'!$1:$5000,M848,FALSE)</f>
        <v>0</v>
      </c>
    </row>
    <row r="849" spans="1:22" ht="13" x14ac:dyDescent="0.3">
      <c r="A849" s="46">
        <f>'vHosts (Imported)'!A849</f>
        <v>0</v>
      </c>
      <c r="B849" s="51">
        <f t="shared" si="39"/>
        <v>4968</v>
      </c>
      <c r="C849" s="49">
        <f>HLOOKUP("# Cores",'vHosts (Imported)'!$1:$5000,M849,FALSE)</f>
        <v>0</v>
      </c>
      <c r="D849" s="52">
        <f>HLOOKUP("# Memory",'vHosts (Imported)'!$1:$5000,M849,FALSE)</f>
        <v>0</v>
      </c>
      <c r="M849" s="45">
        <f t="shared" si="41"/>
        <v>849</v>
      </c>
      <c r="N849" s="38">
        <f>HLOOKUP("Host",'vInfo (Imported)'!$1:$5000,M849,FALSE)</f>
        <v>0</v>
      </c>
      <c r="R849">
        <f>HLOOKUP("CPUs",'vInfo (Imported)'!$1:$5000,M849,FALSE)</f>
        <v>0</v>
      </c>
      <c r="S849">
        <f>HLOOKUP("Memory",'vInfo (Imported)'!$1:$5000,M849,FALSE)</f>
        <v>0</v>
      </c>
      <c r="T849">
        <f>HLOOKUP("Provisioned MiB",'vInfo (Imported)'!$1:$5000,M849,FALSE)</f>
        <v>0</v>
      </c>
      <c r="U849">
        <f t="shared" si="40"/>
        <v>0</v>
      </c>
      <c r="V849">
        <f>HLOOKUP("In Use MiB",'vInfo (Imported)'!$1:$5000,M849,FALSE)</f>
        <v>0</v>
      </c>
    </row>
    <row r="850" spans="1:22" ht="13" x14ac:dyDescent="0.3">
      <c r="A850" s="46">
        <f>'vHosts (Imported)'!A850</f>
        <v>0</v>
      </c>
      <c r="B850" s="51">
        <f t="shared" si="39"/>
        <v>4968</v>
      </c>
      <c r="C850" s="49">
        <f>HLOOKUP("# Cores",'vHosts (Imported)'!$1:$5000,M850,FALSE)</f>
        <v>0</v>
      </c>
      <c r="D850" s="52">
        <f>HLOOKUP("# Memory",'vHosts (Imported)'!$1:$5000,M850,FALSE)</f>
        <v>0</v>
      </c>
      <c r="M850" s="45">
        <f t="shared" si="41"/>
        <v>850</v>
      </c>
      <c r="N850" s="38">
        <f>HLOOKUP("Host",'vInfo (Imported)'!$1:$5000,M850,FALSE)</f>
        <v>0</v>
      </c>
      <c r="R850">
        <f>HLOOKUP("CPUs",'vInfo (Imported)'!$1:$5000,M850,FALSE)</f>
        <v>0</v>
      </c>
      <c r="S850">
        <f>HLOOKUP("Memory",'vInfo (Imported)'!$1:$5000,M850,FALSE)</f>
        <v>0</v>
      </c>
      <c r="T850">
        <f>HLOOKUP("Provisioned MiB",'vInfo (Imported)'!$1:$5000,M850,FALSE)</f>
        <v>0</v>
      </c>
      <c r="U850">
        <f t="shared" si="40"/>
        <v>0</v>
      </c>
      <c r="V850">
        <f>HLOOKUP("In Use MiB",'vInfo (Imported)'!$1:$5000,M850,FALSE)</f>
        <v>0</v>
      </c>
    </row>
    <row r="851" spans="1:22" ht="13" x14ac:dyDescent="0.3">
      <c r="A851" s="46">
        <f>'vHosts (Imported)'!A851</f>
        <v>0</v>
      </c>
      <c r="B851" s="51">
        <f t="shared" si="39"/>
        <v>4968</v>
      </c>
      <c r="C851" s="49">
        <f>HLOOKUP("# Cores",'vHosts (Imported)'!$1:$5000,M851,FALSE)</f>
        <v>0</v>
      </c>
      <c r="D851" s="52">
        <f>HLOOKUP("# Memory",'vHosts (Imported)'!$1:$5000,M851,FALSE)</f>
        <v>0</v>
      </c>
      <c r="M851" s="45">
        <f t="shared" si="41"/>
        <v>851</v>
      </c>
      <c r="N851" s="38">
        <f>HLOOKUP("Host",'vInfo (Imported)'!$1:$5000,M851,FALSE)</f>
        <v>0</v>
      </c>
      <c r="R851">
        <f>HLOOKUP("CPUs",'vInfo (Imported)'!$1:$5000,M851,FALSE)</f>
        <v>0</v>
      </c>
      <c r="S851">
        <f>HLOOKUP("Memory",'vInfo (Imported)'!$1:$5000,M851,FALSE)</f>
        <v>0</v>
      </c>
      <c r="T851">
        <f>HLOOKUP("Provisioned MiB",'vInfo (Imported)'!$1:$5000,M851,FALSE)</f>
        <v>0</v>
      </c>
      <c r="U851">
        <f t="shared" si="40"/>
        <v>0</v>
      </c>
      <c r="V851">
        <f>HLOOKUP("In Use MiB",'vInfo (Imported)'!$1:$5000,M851,FALSE)</f>
        <v>0</v>
      </c>
    </row>
    <row r="852" spans="1:22" ht="13" x14ac:dyDescent="0.3">
      <c r="A852" s="46">
        <f>'vHosts (Imported)'!A852</f>
        <v>0</v>
      </c>
      <c r="B852" s="51">
        <f t="shared" si="39"/>
        <v>4968</v>
      </c>
      <c r="C852" s="49">
        <f>HLOOKUP("# Cores",'vHosts (Imported)'!$1:$5000,M852,FALSE)</f>
        <v>0</v>
      </c>
      <c r="D852" s="52">
        <f>HLOOKUP("# Memory",'vHosts (Imported)'!$1:$5000,M852,FALSE)</f>
        <v>0</v>
      </c>
      <c r="M852" s="45">
        <f t="shared" si="41"/>
        <v>852</v>
      </c>
      <c r="N852" s="38">
        <f>HLOOKUP("Host",'vInfo (Imported)'!$1:$5000,M852,FALSE)</f>
        <v>0</v>
      </c>
      <c r="R852">
        <f>HLOOKUP("CPUs",'vInfo (Imported)'!$1:$5000,M852,FALSE)</f>
        <v>0</v>
      </c>
      <c r="S852">
        <f>HLOOKUP("Memory",'vInfo (Imported)'!$1:$5000,M852,FALSE)</f>
        <v>0</v>
      </c>
      <c r="T852">
        <f>HLOOKUP("Provisioned MiB",'vInfo (Imported)'!$1:$5000,M852,FALSE)</f>
        <v>0</v>
      </c>
      <c r="U852">
        <f t="shared" si="40"/>
        <v>0</v>
      </c>
      <c r="V852">
        <f>HLOOKUP("In Use MiB",'vInfo (Imported)'!$1:$5000,M852,FALSE)</f>
        <v>0</v>
      </c>
    </row>
    <row r="853" spans="1:22" ht="13" x14ac:dyDescent="0.3">
      <c r="A853" s="46">
        <f>'vHosts (Imported)'!A853</f>
        <v>0</v>
      </c>
      <c r="B853" s="51">
        <f t="shared" si="39"/>
        <v>4968</v>
      </c>
      <c r="C853" s="49">
        <f>HLOOKUP("# Cores",'vHosts (Imported)'!$1:$5000,M853,FALSE)</f>
        <v>0</v>
      </c>
      <c r="D853" s="52">
        <f>HLOOKUP("# Memory",'vHosts (Imported)'!$1:$5000,M853,FALSE)</f>
        <v>0</v>
      </c>
      <c r="M853" s="45">
        <f t="shared" si="41"/>
        <v>853</v>
      </c>
      <c r="N853" s="38">
        <f>HLOOKUP("Host",'vInfo (Imported)'!$1:$5000,M853,FALSE)</f>
        <v>0</v>
      </c>
      <c r="R853">
        <f>HLOOKUP("CPUs",'vInfo (Imported)'!$1:$5000,M853,FALSE)</f>
        <v>0</v>
      </c>
      <c r="S853">
        <f>HLOOKUP("Memory",'vInfo (Imported)'!$1:$5000,M853,FALSE)</f>
        <v>0</v>
      </c>
      <c r="T853">
        <f>HLOOKUP("Provisioned MiB",'vInfo (Imported)'!$1:$5000,M853,FALSE)</f>
        <v>0</v>
      </c>
      <c r="U853">
        <f t="shared" si="40"/>
        <v>0</v>
      </c>
      <c r="V853">
        <f>HLOOKUP("In Use MiB",'vInfo (Imported)'!$1:$5000,M853,FALSE)</f>
        <v>0</v>
      </c>
    </row>
    <row r="854" spans="1:22" ht="13" x14ac:dyDescent="0.3">
      <c r="A854" s="46">
        <f>'vHosts (Imported)'!A854</f>
        <v>0</v>
      </c>
      <c r="B854" s="51">
        <f t="shared" si="39"/>
        <v>4968</v>
      </c>
      <c r="C854" s="49">
        <f>HLOOKUP("# Cores",'vHosts (Imported)'!$1:$5000,M854,FALSE)</f>
        <v>0</v>
      </c>
      <c r="D854" s="52">
        <f>HLOOKUP("# Memory",'vHosts (Imported)'!$1:$5000,M854,FALSE)</f>
        <v>0</v>
      </c>
      <c r="M854" s="45">
        <f t="shared" si="41"/>
        <v>854</v>
      </c>
      <c r="N854" s="38">
        <f>HLOOKUP("Host",'vInfo (Imported)'!$1:$5000,M854,FALSE)</f>
        <v>0</v>
      </c>
      <c r="R854">
        <f>HLOOKUP("CPUs",'vInfo (Imported)'!$1:$5000,M854,FALSE)</f>
        <v>0</v>
      </c>
      <c r="S854">
        <f>HLOOKUP("Memory",'vInfo (Imported)'!$1:$5000,M854,FALSE)</f>
        <v>0</v>
      </c>
      <c r="T854">
        <f>HLOOKUP("Provisioned MiB",'vInfo (Imported)'!$1:$5000,M854,FALSE)</f>
        <v>0</v>
      </c>
      <c r="U854">
        <f t="shared" si="40"/>
        <v>0</v>
      </c>
      <c r="V854">
        <f>HLOOKUP("In Use MiB",'vInfo (Imported)'!$1:$5000,M854,FALSE)</f>
        <v>0</v>
      </c>
    </row>
    <row r="855" spans="1:22" ht="13" x14ac:dyDescent="0.3">
      <c r="A855" s="46">
        <f>'vHosts (Imported)'!A855</f>
        <v>0</v>
      </c>
      <c r="B855" s="51">
        <f t="shared" si="39"/>
        <v>4968</v>
      </c>
      <c r="C855" s="49">
        <f>HLOOKUP("# Cores",'vHosts (Imported)'!$1:$5000,M855,FALSE)</f>
        <v>0</v>
      </c>
      <c r="D855" s="52">
        <f>HLOOKUP("# Memory",'vHosts (Imported)'!$1:$5000,M855,FALSE)</f>
        <v>0</v>
      </c>
      <c r="M855" s="45">
        <f t="shared" si="41"/>
        <v>855</v>
      </c>
      <c r="N855" s="38">
        <f>HLOOKUP("Host",'vInfo (Imported)'!$1:$5000,M855,FALSE)</f>
        <v>0</v>
      </c>
      <c r="R855">
        <f>HLOOKUP("CPUs",'vInfo (Imported)'!$1:$5000,M855,FALSE)</f>
        <v>0</v>
      </c>
      <c r="S855">
        <f>HLOOKUP("Memory",'vInfo (Imported)'!$1:$5000,M855,FALSE)</f>
        <v>0</v>
      </c>
      <c r="T855">
        <f>HLOOKUP("Provisioned MiB",'vInfo (Imported)'!$1:$5000,M855,FALSE)</f>
        <v>0</v>
      </c>
      <c r="U855">
        <f t="shared" si="40"/>
        <v>0</v>
      </c>
      <c r="V855">
        <f>HLOOKUP("In Use MiB",'vInfo (Imported)'!$1:$5000,M855,FALSE)</f>
        <v>0</v>
      </c>
    </row>
    <row r="856" spans="1:22" ht="13" x14ac:dyDescent="0.3">
      <c r="A856" s="46">
        <f>'vHosts (Imported)'!A856</f>
        <v>0</v>
      </c>
      <c r="B856" s="51">
        <f t="shared" si="39"/>
        <v>4968</v>
      </c>
      <c r="C856" s="49">
        <f>HLOOKUP("# Cores",'vHosts (Imported)'!$1:$5000,M856,FALSE)</f>
        <v>0</v>
      </c>
      <c r="D856" s="52">
        <f>HLOOKUP("# Memory",'vHosts (Imported)'!$1:$5000,M856,FALSE)</f>
        <v>0</v>
      </c>
      <c r="M856" s="45">
        <f t="shared" si="41"/>
        <v>856</v>
      </c>
      <c r="N856" s="38">
        <f>HLOOKUP("Host",'vInfo (Imported)'!$1:$5000,M856,FALSE)</f>
        <v>0</v>
      </c>
      <c r="R856">
        <f>HLOOKUP("CPUs",'vInfo (Imported)'!$1:$5000,M856,FALSE)</f>
        <v>0</v>
      </c>
      <c r="S856">
        <f>HLOOKUP("Memory",'vInfo (Imported)'!$1:$5000,M856,FALSE)</f>
        <v>0</v>
      </c>
      <c r="T856">
        <f>HLOOKUP("Provisioned MiB",'vInfo (Imported)'!$1:$5000,M856,FALSE)</f>
        <v>0</v>
      </c>
      <c r="U856">
        <f t="shared" si="40"/>
        <v>0</v>
      </c>
      <c r="V856">
        <f>HLOOKUP("In Use MiB",'vInfo (Imported)'!$1:$5000,M856,FALSE)</f>
        <v>0</v>
      </c>
    </row>
    <row r="857" spans="1:22" ht="13" x14ac:dyDescent="0.3">
      <c r="A857" s="46">
        <f>'vHosts (Imported)'!A857</f>
        <v>0</v>
      </c>
      <c r="B857" s="51">
        <f t="shared" si="39"/>
        <v>4968</v>
      </c>
      <c r="C857" s="49">
        <f>HLOOKUP("# Cores",'vHosts (Imported)'!$1:$5000,M857,FALSE)</f>
        <v>0</v>
      </c>
      <c r="D857" s="52">
        <f>HLOOKUP("# Memory",'vHosts (Imported)'!$1:$5000,M857,FALSE)</f>
        <v>0</v>
      </c>
      <c r="M857" s="45">
        <f t="shared" si="41"/>
        <v>857</v>
      </c>
      <c r="N857" s="38">
        <f>HLOOKUP("Host",'vInfo (Imported)'!$1:$5000,M857,FALSE)</f>
        <v>0</v>
      </c>
      <c r="R857">
        <f>HLOOKUP("CPUs",'vInfo (Imported)'!$1:$5000,M857,FALSE)</f>
        <v>0</v>
      </c>
      <c r="S857">
        <f>HLOOKUP("Memory",'vInfo (Imported)'!$1:$5000,M857,FALSE)</f>
        <v>0</v>
      </c>
      <c r="T857">
        <f>HLOOKUP("Provisioned MiB",'vInfo (Imported)'!$1:$5000,M857,FALSE)</f>
        <v>0</v>
      </c>
      <c r="U857">
        <f t="shared" si="40"/>
        <v>0</v>
      </c>
      <c r="V857">
        <f>HLOOKUP("In Use MiB",'vInfo (Imported)'!$1:$5000,M857,FALSE)</f>
        <v>0</v>
      </c>
    </row>
    <row r="858" spans="1:22" ht="13" x14ac:dyDescent="0.3">
      <c r="A858" s="46">
        <f>'vHosts (Imported)'!A858</f>
        <v>0</v>
      </c>
      <c r="B858" s="51">
        <f t="shared" si="39"/>
        <v>4968</v>
      </c>
      <c r="C858" s="49">
        <f>HLOOKUP("# Cores",'vHosts (Imported)'!$1:$5000,M858,FALSE)</f>
        <v>0</v>
      </c>
      <c r="D858" s="52">
        <f>HLOOKUP("# Memory",'vHosts (Imported)'!$1:$5000,M858,FALSE)</f>
        <v>0</v>
      </c>
      <c r="M858" s="45">
        <f t="shared" si="41"/>
        <v>858</v>
      </c>
      <c r="N858" s="38">
        <f>HLOOKUP("Host",'vInfo (Imported)'!$1:$5000,M858,FALSE)</f>
        <v>0</v>
      </c>
      <c r="R858">
        <f>HLOOKUP("CPUs",'vInfo (Imported)'!$1:$5000,M858,FALSE)</f>
        <v>0</v>
      </c>
      <c r="S858">
        <f>HLOOKUP("Memory",'vInfo (Imported)'!$1:$5000,M858,FALSE)</f>
        <v>0</v>
      </c>
      <c r="T858">
        <f>HLOOKUP("Provisioned MiB",'vInfo (Imported)'!$1:$5000,M858,FALSE)</f>
        <v>0</v>
      </c>
      <c r="U858">
        <f t="shared" si="40"/>
        <v>0</v>
      </c>
      <c r="V858">
        <f>HLOOKUP("In Use MiB",'vInfo (Imported)'!$1:$5000,M858,FALSE)</f>
        <v>0</v>
      </c>
    </row>
    <row r="859" spans="1:22" ht="13" x14ac:dyDescent="0.3">
      <c r="A859" s="46">
        <f>'vHosts (Imported)'!A859</f>
        <v>0</v>
      </c>
      <c r="B859" s="51">
        <f t="shared" si="39"/>
        <v>4968</v>
      </c>
      <c r="C859" s="49">
        <f>HLOOKUP("# Cores",'vHosts (Imported)'!$1:$5000,M859,FALSE)</f>
        <v>0</v>
      </c>
      <c r="D859" s="52">
        <f>HLOOKUP("# Memory",'vHosts (Imported)'!$1:$5000,M859,FALSE)</f>
        <v>0</v>
      </c>
      <c r="M859" s="45">
        <f t="shared" si="41"/>
        <v>859</v>
      </c>
      <c r="N859" s="38">
        <f>HLOOKUP("Host",'vInfo (Imported)'!$1:$5000,M859,FALSE)</f>
        <v>0</v>
      </c>
      <c r="R859">
        <f>HLOOKUP("CPUs",'vInfo (Imported)'!$1:$5000,M859,FALSE)</f>
        <v>0</v>
      </c>
      <c r="S859">
        <f>HLOOKUP("Memory",'vInfo (Imported)'!$1:$5000,M859,FALSE)</f>
        <v>0</v>
      </c>
      <c r="T859">
        <f>HLOOKUP("Provisioned MiB",'vInfo (Imported)'!$1:$5000,M859,FALSE)</f>
        <v>0</v>
      </c>
      <c r="U859">
        <f t="shared" si="40"/>
        <v>0</v>
      </c>
      <c r="V859">
        <f>HLOOKUP("In Use MiB",'vInfo (Imported)'!$1:$5000,M859,FALSE)</f>
        <v>0</v>
      </c>
    </row>
    <row r="860" spans="1:22" ht="13" x14ac:dyDescent="0.3">
      <c r="A860" s="46">
        <f>'vHosts (Imported)'!A860</f>
        <v>0</v>
      </c>
      <c r="B860" s="51">
        <f t="shared" si="39"/>
        <v>4968</v>
      </c>
      <c r="C860" s="49">
        <f>HLOOKUP("# Cores",'vHosts (Imported)'!$1:$5000,M860,FALSE)</f>
        <v>0</v>
      </c>
      <c r="D860" s="52">
        <f>HLOOKUP("# Memory",'vHosts (Imported)'!$1:$5000,M860,FALSE)</f>
        <v>0</v>
      </c>
      <c r="M860" s="45">
        <f t="shared" si="41"/>
        <v>860</v>
      </c>
      <c r="N860" s="38">
        <f>HLOOKUP("Host",'vInfo (Imported)'!$1:$5000,M860,FALSE)</f>
        <v>0</v>
      </c>
      <c r="R860">
        <f>HLOOKUP("CPUs",'vInfo (Imported)'!$1:$5000,M860,FALSE)</f>
        <v>0</v>
      </c>
      <c r="S860">
        <f>HLOOKUP("Memory",'vInfo (Imported)'!$1:$5000,M860,FALSE)</f>
        <v>0</v>
      </c>
      <c r="T860">
        <f>HLOOKUP("Provisioned MiB",'vInfo (Imported)'!$1:$5000,M860,FALSE)</f>
        <v>0</v>
      </c>
      <c r="U860">
        <f t="shared" si="40"/>
        <v>0</v>
      </c>
      <c r="V860">
        <f>HLOOKUP("In Use MiB",'vInfo (Imported)'!$1:$5000,M860,FALSE)</f>
        <v>0</v>
      </c>
    </row>
    <row r="861" spans="1:22" ht="13" x14ac:dyDescent="0.3">
      <c r="A861" s="46">
        <f>'vHosts (Imported)'!A861</f>
        <v>0</v>
      </c>
      <c r="B861" s="51">
        <f t="shared" si="39"/>
        <v>4968</v>
      </c>
      <c r="C861" s="49">
        <f>HLOOKUP("# Cores",'vHosts (Imported)'!$1:$5000,M861,FALSE)</f>
        <v>0</v>
      </c>
      <c r="D861" s="52">
        <f>HLOOKUP("# Memory",'vHosts (Imported)'!$1:$5000,M861,FALSE)</f>
        <v>0</v>
      </c>
      <c r="M861" s="45">
        <f t="shared" si="41"/>
        <v>861</v>
      </c>
      <c r="N861" s="38">
        <f>HLOOKUP("Host",'vInfo (Imported)'!$1:$5000,M861,FALSE)</f>
        <v>0</v>
      </c>
      <c r="R861">
        <f>HLOOKUP("CPUs",'vInfo (Imported)'!$1:$5000,M861,FALSE)</f>
        <v>0</v>
      </c>
      <c r="S861">
        <f>HLOOKUP("Memory",'vInfo (Imported)'!$1:$5000,M861,FALSE)</f>
        <v>0</v>
      </c>
      <c r="T861">
        <f>HLOOKUP("Provisioned MiB",'vInfo (Imported)'!$1:$5000,M861,FALSE)</f>
        <v>0</v>
      </c>
      <c r="U861">
        <f t="shared" si="40"/>
        <v>0</v>
      </c>
      <c r="V861">
        <f>HLOOKUP("In Use MiB",'vInfo (Imported)'!$1:$5000,M861,FALSE)</f>
        <v>0</v>
      </c>
    </row>
    <row r="862" spans="1:22" ht="13" x14ac:dyDescent="0.3">
      <c r="A862" s="46">
        <f>'vHosts (Imported)'!A862</f>
        <v>0</v>
      </c>
      <c r="B862" s="51">
        <f t="shared" si="39"/>
        <v>4968</v>
      </c>
      <c r="C862" s="49">
        <f>HLOOKUP("# Cores",'vHosts (Imported)'!$1:$5000,M862,FALSE)</f>
        <v>0</v>
      </c>
      <c r="D862" s="52">
        <f>HLOOKUP("# Memory",'vHosts (Imported)'!$1:$5000,M862,FALSE)</f>
        <v>0</v>
      </c>
      <c r="M862" s="45">
        <f t="shared" si="41"/>
        <v>862</v>
      </c>
      <c r="N862" s="38">
        <f>HLOOKUP("Host",'vInfo (Imported)'!$1:$5000,M862,FALSE)</f>
        <v>0</v>
      </c>
      <c r="R862">
        <f>HLOOKUP("CPUs",'vInfo (Imported)'!$1:$5000,M862,FALSE)</f>
        <v>0</v>
      </c>
      <c r="S862">
        <f>HLOOKUP("Memory",'vInfo (Imported)'!$1:$5000,M862,FALSE)</f>
        <v>0</v>
      </c>
      <c r="T862">
        <f>HLOOKUP("Provisioned MiB",'vInfo (Imported)'!$1:$5000,M862,FALSE)</f>
        <v>0</v>
      </c>
      <c r="U862">
        <f t="shared" si="40"/>
        <v>0</v>
      </c>
      <c r="V862">
        <f>HLOOKUP("In Use MiB",'vInfo (Imported)'!$1:$5000,M862,FALSE)</f>
        <v>0</v>
      </c>
    </row>
    <row r="863" spans="1:22" ht="13" x14ac:dyDescent="0.3">
      <c r="A863" s="46">
        <f>'vHosts (Imported)'!A863</f>
        <v>0</v>
      </c>
      <c r="B863" s="51">
        <f t="shared" si="39"/>
        <v>4968</v>
      </c>
      <c r="C863" s="49">
        <f>HLOOKUP("# Cores",'vHosts (Imported)'!$1:$5000,M863,FALSE)</f>
        <v>0</v>
      </c>
      <c r="D863" s="52">
        <f>HLOOKUP("# Memory",'vHosts (Imported)'!$1:$5000,M863,FALSE)</f>
        <v>0</v>
      </c>
      <c r="M863" s="45">
        <f t="shared" si="41"/>
        <v>863</v>
      </c>
      <c r="N863" s="38">
        <f>HLOOKUP("Host",'vInfo (Imported)'!$1:$5000,M863,FALSE)</f>
        <v>0</v>
      </c>
      <c r="R863">
        <f>HLOOKUP("CPUs",'vInfo (Imported)'!$1:$5000,M863,FALSE)</f>
        <v>0</v>
      </c>
      <c r="S863">
        <f>HLOOKUP("Memory",'vInfo (Imported)'!$1:$5000,M863,FALSE)</f>
        <v>0</v>
      </c>
      <c r="T863">
        <f>HLOOKUP("Provisioned MiB",'vInfo (Imported)'!$1:$5000,M863,FALSE)</f>
        <v>0</v>
      </c>
      <c r="U863">
        <f t="shared" si="40"/>
        <v>0</v>
      </c>
      <c r="V863">
        <f>HLOOKUP("In Use MiB",'vInfo (Imported)'!$1:$5000,M863,FALSE)</f>
        <v>0</v>
      </c>
    </row>
    <row r="864" spans="1:22" ht="13" x14ac:dyDescent="0.3">
      <c r="A864" s="46">
        <f>'vHosts (Imported)'!A864</f>
        <v>0</v>
      </c>
      <c r="B864" s="51">
        <f t="shared" si="39"/>
        <v>4968</v>
      </c>
      <c r="C864" s="49">
        <f>HLOOKUP("# Cores",'vHosts (Imported)'!$1:$5000,M864,FALSE)</f>
        <v>0</v>
      </c>
      <c r="D864" s="52">
        <f>HLOOKUP("# Memory",'vHosts (Imported)'!$1:$5000,M864,FALSE)</f>
        <v>0</v>
      </c>
      <c r="M864" s="45">
        <f t="shared" si="41"/>
        <v>864</v>
      </c>
      <c r="N864" s="38">
        <f>HLOOKUP("Host",'vInfo (Imported)'!$1:$5000,M864,FALSE)</f>
        <v>0</v>
      </c>
      <c r="R864">
        <f>HLOOKUP("CPUs",'vInfo (Imported)'!$1:$5000,M864,FALSE)</f>
        <v>0</v>
      </c>
      <c r="S864">
        <f>HLOOKUP("Memory",'vInfo (Imported)'!$1:$5000,M864,FALSE)</f>
        <v>0</v>
      </c>
      <c r="T864">
        <f>HLOOKUP("Provisioned MiB",'vInfo (Imported)'!$1:$5000,M864,FALSE)</f>
        <v>0</v>
      </c>
      <c r="U864">
        <f t="shared" si="40"/>
        <v>0</v>
      </c>
      <c r="V864">
        <f>HLOOKUP("In Use MiB",'vInfo (Imported)'!$1:$5000,M864,FALSE)</f>
        <v>0</v>
      </c>
    </row>
    <row r="865" spans="1:22" ht="13" x14ac:dyDescent="0.3">
      <c r="A865" s="46">
        <f>'vHosts (Imported)'!A865</f>
        <v>0</v>
      </c>
      <c r="B865" s="51">
        <f t="shared" si="39"/>
        <v>4968</v>
      </c>
      <c r="C865" s="49">
        <f>HLOOKUP("# Cores",'vHosts (Imported)'!$1:$5000,M865,FALSE)</f>
        <v>0</v>
      </c>
      <c r="D865" s="52">
        <f>HLOOKUP("# Memory",'vHosts (Imported)'!$1:$5000,M865,FALSE)</f>
        <v>0</v>
      </c>
      <c r="M865" s="45">
        <f t="shared" si="41"/>
        <v>865</v>
      </c>
      <c r="N865" s="38">
        <f>HLOOKUP("Host",'vInfo (Imported)'!$1:$5000,M865,FALSE)</f>
        <v>0</v>
      </c>
      <c r="R865">
        <f>HLOOKUP("CPUs",'vInfo (Imported)'!$1:$5000,M865,FALSE)</f>
        <v>0</v>
      </c>
      <c r="S865">
        <f>HLOOKUP("Memory",'vInfo (Imported)'!$1:$5000,M865,FALSE)</f>
        <v>0</v>
      </c>
      <c r="T865">
        <f>HLOOKUP("Provisioned MiB",'vInfo (Imported)'!$1:$5000,M865,FALSE)</f>
        <v>0</v>
      </c>
      <c r="U865">
        <f t="shared" si="40"/>
        <v>0</v>
      </c>
      <c r="V865">
        <f>HLOOKUP("In Use MiB",'vInfo (Imported)'!$1:$5000,M865,FALSE)</f>
        <v>0</v>
      </c>
    </row>
    <row r="866" spans="1:22" ht="13" x14ac:dyDescent="0.3">
      <c r="A866" s="46">
        <f>'vHosts (Imported)'!A866</f>
        <v>0</v>
      </c>
      <c r="B866" s="51">
        <f t="shared" si="39"/>
        <v>4968</v>
      </c>
      <c r="C866" s="49">
        <f>HLOOKUP("# Cores",'vHosts (Imported)'!$1:$5000,M866,FALSE)</f>
        <v>0</v>
      </c>
      <c r="D866" s="52">
        <f>HLOOKUP("# Memory",'vHosts (Imported)'!$1:$5000,M866,FALSE)</f>
        <v>0</v>
      </c>
      <c r="M866" s="45">
        <f t="shared" si="41"/>
        <v>866</v>
      </c>
      <c r="N866" s="38">
        <f>HLOOKUP("Host",'vInfo (Imported)'!$1:$5000,M866,FALSE)</f>
        <v>0</v>
      </c>
      <c r="R866">
        <f>HLOOKUP("CPUs",'vInfo (Imported)'!$1:$5000,M866,FALSE)</f>
        <v>0</v>
      </c>
      <c r="S866">
        <f>HLOOKUP("Memory",'vInfo (Imported)'!$1:$5000,M866,FALSE)</f>
        <v>0</v>
      </c>
      <c r="T866">
        <f>HLOOKUP("Provisioned MiB",'vInfo (Imported)'!$1:$5000,M866,FALSE)</f>
        <v>0</v>
      </c>
      <c r="U866">
        <f t="shared" si="40"/>
        <v>0</v>
      </c>
      <c r="V866">
        <f>HLOOKUP("In Use MiB",'vInfo (Imported)'!$1:$5000,M866,FALSE)</f>
        <v>0</v>
      </c>
    </row>
    <row r="867" spans="1:22" ht="13" x14ac:dyDescent="0.3">
      <c r="A867" s="46">
        <f>'vHosts (Imported)'!A867</f>
        <v>0</v>
      </c>
      <c r="B867" s="51">
        <f t="shared" si="39"/>
        <v>4968</v>
      </c>
      <c r="C867" s="49">
        <f>HLOOKUP("# Cores",'vHosts (Imported)'!$1:$5000,M867,FALSE)</f>
        <v>0</v>
      </c>
      <c r="D867" s="52">
        <f>HLOOKUP("# Memory",'vHosts (Imported)'!$1:$5000,M867,FALSE)</f>
        <v>0</v>
      </c>
      <c r="M867" s="45">
        <f t="shared" si="41"/>
        <v>867</v>
      </c>
      <c r="N867" s="38">
        <f>HLOOKUP("Host",'vInfo (Imported)'!$1:$5000,M867,FALSE)</f>
        <v>0</v>
      </c>
      <c r="R867">
        <f>HLOOKUP("CPUs",'vInfo (Imported)'!$1:$5000,M867,FALSE)</f>
        <v>0</v>
      </c>
      <c r="S867">
        <f>HLOOKUP("Memory",'vInfo (Imported)'!$1:$5000,M867,FALSE)</f>
        <v>0</v>
      </c>
      <c r="T867">
        <f>HLOOKUP("Provisioned MiB",'vInfo (Imported)'!$1:$5000,M867,FALSE)</f>
        <v>0</v>
      </c>
      <c r="U867">
        <f t="shared" si="40"/>
        <v>0</v>
      </c>
      <c r="V867">
        <f>HLOOKUP("In Use MiB",'vInfo (Imported)'!$1:$5000,M867,FALSE)</f>
        <v>0</v>
      </c>
    </row>
    <row r="868" spans="1:22" ht="13" x14ac:dyDescent="0.3">
      <c r="A868" s="46">
        <f>'vHosts (Imported)'!A868</f>
        <v>0</v>
      </c>
      <c r="B868" s="51">
        <f t="shared" si="39"/>
        <v>4968</v>
      </c>
      <c r="C868" s="49">
        <f>HLOOKUP("# Cores",'vHosts (Imported)'!$1:$5000,M868,FALSE)</f>
        <v>0</v>
      </c>
      <c r="D868" s="52">
        <f>HLOOKUP("# Memory",'vHosts (Imported)'!$1:$5000,M868,FALSE)</f>
        <v>0</v>
      </c>
      <c r="M868" s="45">
        <f t="shared" si="41"/>
        <v>868</v>
      </c>
      <c r="N868" s="38">
        <f>HLOOKUP("Host",'vInfo (Imported)'!$1:$5000,M868,FALSE)</f>
        <v>0</v>
      </c>
      <c r="R868">
        <f>HLOOKUP("CPUs",'vInfo (Imported)'!$1:$5000,M868,FALSE)</f>
        <v>0</v>
      </c>
      <c r="S868">
        <f>HLOOKUP("Memory",'vInfo (Imported)'!$1:$5000,M868,FALSE)</f>
        <v>0</v>
      </c>
      <c r="T868">
        <f>HLOOKUP("Provisioned MiB",'vInfo (Imported)'!$1:$5000,M868,FALSE)</f>
        <v>0</v>
      </c>
      <c r="U868">
        <f t="shared" si="40"/>
        <v>0</v>
      </c>
      <c r="V868">
        <f>HLOOKUP("In Use MiB",'vInfo (Imported)'!$1:$5000,M868,FALSE)</f>
        <v>0</v>
      </c>
    </row>
    <row r="869" spans="1:22" ht="13" x14ac:dyDescent="0.3">
      <c r="A869" s="46">
        <f>'vHosts (Imported)'!A869</f>
        <v>0</v>
      </c>
      <c r="B869" s="51">
        <f t="shared" si="39"/>
        <v>4968</v>
      </c>
      <c r="C869" s="49">
        <f>HLOOKUP("# Cores",'vHosts (Imported)'!$1:$5000,M869,FALSE)</f>
        <v>0</v>
      </c>
      <c r="D869" s="52">
        <f>HLOOKUP("# Memory",'vHosts (Imported)'!$1:$5000,M869,FALSE)</f>
        <v>0</v>
      </c>
      <c r="M869" s="45">
        <f t="shared" si="41"/>
        <v>869</v>
      </c>
      <c r="N869" s="38">
        <f>HLOOKUP("Host",'vInfo (Imported)'!$1:$5000,M869,FALSE)</f>
        <v>0</v>
      </c>
      <c r="R869">
        <f>HLOOKUP("CPUs",'vInfo (Imported)'!$1:$5000,M869,FALSE)</f>
        <v>0</v>
      </c>
      <c r="S869">
        <f>HLOOKUP("Memory",'vInfo (Imported)'!$1:$5000,M869,FALSE)</f>
        <v>0</v>
      </c>
      <c r="T869">
        <f>HLOOKUP("Provisioned MiB",'vInfo (Imported)'!$1:$5000,M869,FALSE)</f>
        <v>0</v>
      </c>
      <c r="U869">
        <f t="shared" si="40"/>
        <v>0</v>
      </c>
      <c r="V869">
        <f>HLOOKUP("In Use MiB",'vInfo (Imported)'!$1:$5000,M869,FALSE)</f>
        <v>0</v>
      </c>
    </row>
    <row r="870" spans="1:22" ht="13" x14ac:dyDescent="0.3">
      <c r="A870" s="46">
        <f>'vHosts (Imported)'!A870</f>
        <v>0</v>
      </c>
      <c r="B870" s="51">
        <f t="shared" si="39"/>
        <v>4968</v>
      </c>
      <c r="C870" s="49">
        <f>HLOOKUP("# Cores",'vHosts (Imported)'!$1:$5000,M870,FALSE)</f>
        <v>0</v>
      </c>
      <c r="D870" s="52">
        <f>HLOOKUP("# Memory",'vHosts (Imported)'!$1:$5000,M870,FALSE)</f>
        <v>0</v>
      </c>
      <c r="M870" s="45">
        <f t="shared" si="41"/>
        <v>870</v>
      </c>
      <c r="N870" s="38">
        <f>HLOOKUP("Host",'vInfo (Imported)'!$1:$5000,M870,FALSE)</f>
        <v>0</v>
      </c>
      <c r="R870">
        <f>HLOOKUP("CPUs",'vInfo (Imported)'!$1:$5000,M870,FALSE)</f>
        <v>0</v>
      </c>
      <c r="S870">
        <f>HLOOKUP("Memory",'vInfo (Imported)'!$1:$5000,M870,FALSE)</f>
        <v>0</v>
      </c>
      <c r="T870">
        <f>HLOOKUP("Provisioned MiB",'vInfo (Imported)'!$1:$5000,M870,FALSE)</f>
        <v>0</v>
      </c>
      <c r="U870">
        <f t="shared" si="40"/>
        <v>0</v>
      </c>
      <c r="V870">
        <f>HLOOKUP("In Use MiB",'vInfo (Imported)'!$1:$5000,M870,FALSE)</f>
        <v>0</v>
      </c>
    </row>
    <row r="871" spans="1:22" ht="13" x14ac:dyDescent="0.3">
      <c r="A871" s="46">
        <f>'vHosts (Imported)'!A871</f>
        <v>0</v>
      </c>
      <c r="B871" s="51">
        <f t="shared" si="39"/>
        <v>4968</v>
      </c>
      <c r="C871" s="49">
        <f>HLOOKUP("# Cores",'vHosts (Imported)'!$1:$5000,M871,FALSE)</f>
        <v>0</v>
      </c>
      <c r="D871" s="52">
        <f>HLOOKUP("# Memory",'vHosts (Imported)'!$1:$5000,M871,FALSE)</f>
        <v>0</v>
      </c>
      <c r="M871" s="45">
        <f t="shared" si="41"/>
        <v>871</v>
      </c>
      <c r="N871" s="38">
        <f>HLOOKUP("Host",'vInfo (Imported)'!$1:$5000,M871,FALSE)</f>
        <v>0</v>
      </c>
      <c r="R871">
        <f>HLOOKUP("CPUs",'vInfo (Imported)'!$1:$5000,M871,FALSE)</f>
        <v>0</v>
      </c>
      <c r="S871">
        <f>HLOOKUP("Memory",'vInfo (Imported)'!$1:$5000,M871,FALSE)</f>
        <v>0</v>
      </c>
      <c r="T871">
        <f>HLOOKUP("Provisioned MiB",'vInfo (Imported)'!$1:$5000,M871,FALSE)</f>
        <v>0</v>
      </c>
      <c r="U871">
        <f t="shared" si="40"/>
        <v>0</v>
      </c>
      <c r="V871">
        <f>HLOOKUP("In Use MiB",'vInfo (Imported)'!$1:$5000,M871,FALSE)</f>
        <v>0</v>
      </c>
    </row>
    <row r="872" spans="1:22" ht="13" x14ac:dyDescent="0.3">
      <c r="A872" s="46">
        <f>'vHosts (Imported)'!A872</f>
        <v>0</v>
      </c>
      <c r="B872" s="51">
        <f t="shared" ref="B872:B935" si="42">COUNTIF(N:N,A872)</f>
        <v>4968</v>
      </c>
      <c r="C872" s="49">
        <f>HLOOKUP("# Cores",'vHosts (Imported)'!$1:$5000,M872,FALSE)</f>
        <v>0</v>
      </c>
      <c r="D872" s="52">
        <f>HLOOKUP("# Memory",'vHosts (Imported)'!$1:$5000,M872,FALSE)</f>
        <v>0</v>
      </c>
      <c r="M872" s="45">
        <f t="shared" si="41"/>
        <v>872</v>
      </c>
      <c r="N872" s="38">
        <f>HLOOKUP("Host",'vInfo (Imported)'!$1:$5000,M872,FALSE)</f>
        <v>0</v>
      </c>
      <c r="R872">
        <f>HLOOKUP("CPUs",'vInfo (Imported)'!$1:$5000,M872,FALSE)</f>
        <v>0</v>
      </c>
      <c r="S872">
        <f>HLOOKUP("Memory",'vInfo (Imported)'!$1:$5000,M872,FALSE)</f>
        <v>0</v>
      </c>
      <c r="T872">
        <f>HLOOKUP("Provisioned MiB",'vInfo (Imported)'!$1:$5000,M872,FALSE)</f>
        <v>0</v>
      </c>
      <c r="U872">
        <f t="shared" si="40"/>
        <v>0</v>
      </c>
      <c r="V872">
        <f>HLOOKUP("In Use MiB",'vInfo (Imported)'!$1:$5000,M872,FALSE)</f>
        <v>0</v>
      </c>
    </row>
    <row r="873" spans="1:22" ht="13" x14ac:dyDescent="0.3">
      <c r="A873" s="46">
        <f>'vHosts (Imported)'!A873</f>
        <v>0</v>
      </c>
      <c r="B873" s="51">
        <f t="shared" si="42"/>
        <v>4968</v>
      </c>
      <c r="C873" s="49">
        <f>HLOOKUP("# Cores",'vHosts (Imported)'!$1:$5000,M873,FALSE)</f>
        <v>0</v>
      </c>
      <c r="D873" s="52">
        <f>HLOOKUP("# Memory",'vHosts (Imported)'!$1:$5000,M873,FALSE)</f>
        <v>0</v>
      </c>
      <c r="M873" s="45">
        <f t="shared" si="41"/>
        <v>873</v>
      </c>
      <c r="N873" s="38">
        <f>HLOOKUP("Host",'vInfo (Imported)'!$1:$5000,M873,FALSE)</f>
        <v>0</v>
      </c>
      <c r="R873">
        <f>HLOOKUP("CPUs",'vInfo (Imported)'!$1:$5000,M873,FALSE)</f>
        <v>0</v>
      </c>
      <c r="S873">
        <f>HLOOKUP("Memory",'vInfo (Imported)'!$1:$5000,M873,FALSE)</f>
        <v>0</v>
      </c>
      <c r="T873">
        <f>HLOOKUP("Provisioned MiB",'vInfo (Imported)'!$1:$5000,M873,FALSE)</f>
        <v>0</v>
      </c>
      <c r="U873">
        <f t="shared" si="40"/>
        <v>0</v>
      </c>
      <c r="V873">
        <f>HLOOKUP("In Use MiB",'vInfo (Imported)'!$1:$5000,M873,FALSE)</f>
        <v>0</v>
      </c>
    </row>
    <row r="874" spans="1:22" ht="13" x14ac:dyDescent="0.3">
      <c r="A874" s="46">
        <f>'vHosts (Imported)'!A874</f>
        <v>0</v>
      </c>
      <c r="B874" s="51">
        <f t="shared" si="42"/>
        <v>4968</v>
      </c>
      <c r="C874" s="49">
        <f>HLOOKUP("# Cores",'vHosts (Imported)'!$1:$5000,M874,FALSE)</f>
        <v>0</v>
      </c>
      <c r="D874" s="52">
        <f>HLOOKUP("# Memory",'vHosts (Imported)'!$1:$5000,M874,FALSE)</f>
        <v>0</v>
      </c>
      <c r="M874" s="45">
        <f t="shared" si="41"/>
        <v>874</v>
      </c>
      <c r="N874" s="38">
        <f>HLOOKUP("Host",'vInfo (Imported)'!$1:$5000,M874,FALSE)</f>
        <v>0</v>
      </c>
      <c r="R874">
        <f>HLOOKUP("CPUs",'vInfo (Imported)'!$1:$5000,M874,FALSE)</f>
        <v>0</v>
      </c>
      <c r="S874">
        <f>HLOOKUP("Memory",'vInfo (Imported)'!$1:$5000,M874,FALSE)</f>
        <v>0</v>
      </c>
      <c r="T874">
        <f>HLOOKUP("Provisioned MiB",'vInfo (Imported)'!$1:$5000,M874,FALSE)</f>
        <v>0</v>
      </c>
      <c r="U874">
        <f t="shared" si="40"/>
        <v>0</v>
      </c>
      <c r="V874">
        <f>HLOOKUP("In Use MiB",'vInfo (Imported)'!$1:$5000,M874,FALSE)</f>
        <v>0</v>
      </c>
    </row>
    <row r="875" spans="1:22" ht="13" x14ac:dyDescent="0.3">
      <c r="A875" s="46">
        <f>'vHosts (Imported)'!A875</f>
        <v>0</v>
      </c>
      <c r="B875" s="51">
        <f t="shared" si="42"/>
        <v>4968</v>
      </c>
      <c r="C875" s="49">
        <f>HLOOKUP("# Cores",'vHosts (Imported)'!$1:$5000,M875,FALSE)</f>
        <v>0</v>
      </c>
      <c r="D875" s="52">
        <f>HLOOKUP("# Memory",'vHosts (Imported)'!$1:$5000,M875,FALSE)</f>
        <v>0</v>
      </c>
      <c r="M875" s="45">
        <f t="shared" si="41"/>
        <v>875</v>
      </c>
      <c r="N875" s="38">
        <f>HLOOKUP("Host",'vInfo (Imported)'!$1:$5000,M875,FALSE)</f>
        <v>0</v>
      </c>
      <c r="R875">
        <f>HLOOKUP("CPUs",'vInfo (Imported)'!$1:$5000,M875,FALSE)</f>
        <v>0</v>
      </c>
      <c r="S875">
        <f>HLOOKUP("Memory",'vInfo (Imported)'!$1:$5000,M875,FALSE)</f>
        <v>0</v>
      </c>
      <c r="T875">
        <f>HLOOKUP("Provisioned MiB",'vInfo (Imported)'!$1:$5000,M875,FALSE)</f>
        <v>0</v>
      </c>
      <c r="U875">
        <f t="shared" si="40"/>
        <v>0</v>
      </c>
      <c r="V875">
        <f>HLOOKUP("In Use MiB",'vInfo (Imported)'!$1:$5000,M875,FALSE)</f>
        <v>0</v>
      </c>
    </row>
    <row r="876" spans="1:22" ht="13" x14ac:dyDescent="0.3">
      <c r="A876" s="46">
        <f>'vHosts (Imported)'!A876</f>
        <v>0</v>
      </c>
      <c r="B876" s="51">
        <f t="shared" si="42"/>
        <v>4968</v>
      </c>
      <c r="C876" s="49">
        <f>HLOOKUP("# Cores",'vHosts (Imported)'!$1:$5000,M876,FALSE)</f>
        <v>0</v>
      </c>
      <c r="D876" s="52">
        <f>HLOOKUP("# Memory",'vHosts (Imported)'!$1:$5000,M876,FALSE)</f>
        <v>0</v>
      </c>
      <c r="M876" s="45">
        <f t="shared" si="41"/>
        <v>876</v>
      </c>
      <c r="N876" s="38">
        <f>HLOOKUP("Host",'vInfo (Imported)'!$1:$5000,M876,FALSE)</f>
        <v>0</v>
      </c>
      <c r="R876">
        <f>HLOOKUP("CPUs",'vInfo (Imported)'!$1:$5000,M876,FALSE)</f>
        <v>0</v>
      </c>
      <c r="S876">
        <f>HLOOKUP("Memory",'vInfo (Imported)'!$1:$5000,M876,FALSE)</f>
        <v>0</v>
      </c>
      <c r="T876">
        <f>HLOOKUP("Provisioned MiB",'vInfo (Imported)'!$1:$5000,M876,FALSE)</f>
        <v>0</v>
      </c>
      <c r="U876">
        <f t="shared" si="40"/>
        <v>0</v>
      </c>
      <c r="V876">
        <f>HLOOKUP("In Use MiB",'vInfo (Imported)'!$1:$5000,M876,FALSE)</f>
        <v>0</v>
      </c>
    </row>
    <row r="877" spans="1:22" ht="13" x14ac:dyDescent="0.3">
      <c r="A877" s="46">
        <f>'vHosts (Imported)'!A877</f>
        <v>0</v>
      </c>
      <c r="B877" s="51">
        <f t="shared" si="42"/>
        <v>4968</v>
      </c>
      <c r="C877" s="49">
        <f>HLOOKUP("# Cores",'vHosts (Imported)'!$1:$5000,M877,FALSE)</f>
        <v>0</v>
      </c>
      <c r="D877" s="52">
        <f>HLOOKUP("# Memory",'vHosts (Imported)'!$1:$5000,M877,FALSE)</f>
        <v>0</v>
      </c>
      <c r="M877" s="45">
        <f t="shared" si="41"/>
        <v>877</v>
      </c>
      <c r="N877" s="38">
        <f>HLOOKUP("Host",'vInfo (Imported)'!$1:$5000,M877,FALSE)</f>
        <v>0</v>
      </c>
      <c r="R877">
        <f>HLOOKUP("CPUs",'vInfo (Imported)'!$1:$5000,M877,FALSE)</f>
        <v>0</v>
      </c>
      <c r="S877">
        <f>HLOOKUP("Memory",'vInfo (Imported)'!$1:$5000,M877,FALSE)</f>
        <v>0</v>
      </c>
      <c r="T877">
        <f>HLOOKUP("Provisioned MiB",'vInfo (Imported)'!$1:$5000,M877,FALSE)</f>
        <v>0</v>
      </c>
      <c r="U877">
        <f t="shared" si="40"/>
        <v>0</v>
      </c>
      <c r="V877">
        <f>HLOOKUP("In Use MiB",'vInfo (Imported)'!$1:$5000,M877,FALSE)</f>
        <v>0</v>
      </c>
    </row>
    <row r="878" spans="1:22" ht="13" x14ac:dyDescent="0.3">
      <c r="A878" s="46">
        <f>'vHosts (Imported)'!A878</f>
        <v>0</v>
      </c>
      <c r="B878" s="51">
        <f t="shared" si="42"/>
        <v>4968</v>
      </c>
      <c r="C878" s="49">
        <f>HLOOKUP("# Cores",'vHosts (Imported)'!$1:$5000,M878,FALSE)</f>
        <v>0</v>
      </c>
      <c r="D878" s="52">
        <f>HLOOKUP("# Memory",'vHosts (Imported)'!$1:$5000,M878,FALSE)</f>
        <v>0</v>
      </c>
      <c r="M878" s="45">
        <f t="shared" si="41"/>
        <v>878</v>
      </c>
      <c r="N878" s="38">
        <f>HLOOKUP("Host",'vInfo (Imported)'!$1:$5000,M878,FALSE)</f>
        <v>0</v>
      </c>
      <c r="R878">
        <f>HLOOKUP("CPUs",'vInfo (Imported)'!$1:$5000,M878,FALSE)</f>
        <v>0</v>
      </c>
      <c r="S878">
        <f>HLOOKUP("Memory",'vInfo (Imported)'!$1:$5000,M878,FALSE)</f>
        <v>0</v>
      </c>
      <c r="T878">
        <f>HLOOKUP("Provisioned MiB",'vInfo (Imported)'!$1:$5000,M878,FALSE)</f>
        <v>0</v>
      </c>
      <c r="U878">
        <f t="shared" si="40"/>
        <v>0</v>
      </c>
      <c r="V878">
        <f>HLOOKUP("In Use MiB",'vInfo (Imported)'!$1:$5000,M878,FALSE)</f>
        <v>0</v>
      </c>
    </row>
    <row r="879" spans="1:22" ht="13" x14ac:dyDescent="0.3">
      <c r="A879" s="46">
        <f>'vHosts (Imported)'!A879</f>
        <v>0</v>
      </c>
      <c r="B879" s="51">
        <f t="shared" si="42"/>
        <v>4968</v>
      </c>
      <c r="C879" s="49">
        <f>HLOOKUP("# Cores",'vHosts (Imported)'!$1:$5000,M879,FALSE)</f>
        <v>0</v>
      </c>
      <c r="D879" s="52">
        <f>HLOOKUP("# Memory",'vHosts (Imported)'!$1:$5000,M879,FALSE)</f>
        <v>0</v>
      </c>
      <c r="M879" s="45">
        <f t="shared" si="41"/>
        <v>879</v>
      </c>
      <c r="N879" s="38">
        <f>HLOOKUP("Host",'vInfo (Imported)'!$1:$5000,M879,FALSE)</f>
        <v>0</v>
      </c>
      <c r="R879">
        <f>HLOOKUP("CPUs",'vInfo (Imported)'!$1:$5000,M879,FALSE)</f>
        <v>0</v>
      </c>
      <c r="S879">
        <f>HLOOKUP("Memory",'vInfo (Imported)'!$1:$5000,M879,FALSE)</f>
        <v>0</v>
      </c>
      <c r="T879">
        <f>HLOOKUP("Provisioned MiB",'vInfo (Imported)'!$1:$5000,M879,FALSE)</f>
        <v>0</v>
      </c>
      <c r="U879">
        <f t="shared" si="40"/>
        <v>0</v>
      </c>
      <c r="V879">
        <f>HLOOKUP("In Use MiB",'vInfo (Imported)'!$1:$5000,M879,FALSE)</f>
        <v>0</v>
      </c>
    </row>
    <row r="880" spans="1:22" ht="13" x14ac:dyDescent="0.3">
      <c r="A880" s="46">
        <f>'vHosts (Imported)'!A880</f>
        <v>0</v>
      </c>
      <c r="B880" s="51">
        <f t="shared" si="42"/>
        <v>4968</v>
      </c>
      <c r="C880" s="49">
        <f>HLOOKUP("# Cores",'vHosts (Imported)'!$1:$5000,M880,FALSE)</f>
        <v>0</v>
      </c>
      <c r="D880" s="52">
        <f>HLOOKUP("# Memory",'vHosts (Imported)'!$1:$5000,M880,FALSE)</f>
        <v>0</v>
      </c>
      <c r="M880" s="45">
        <f t="shared" si="41"/>
        <v>880</v>
      </c>
      <c r="N880" s="38">
        <f>HLOOKUP("Host",'vInfo (Imported)'!$1:$5000,M880,FALSE)</f>
        <v>0</v>
      </c>
      <c r="R880">
        <f>HLOOKUP("CPUs",'vInfo (Imported)'!$1:$5000,M880,FALSE)</f>
        <v>0</v>
      </c>
      <c r="S880">
        <f>HLOOKUP("Memory",'vInfo (Imported)'!$1:$5000,M880,FALSE)</f>
        <v>0</v>
      </c>
      <c r="T880">
        <f>HLOOKUP("Provisioned MiB",'vInfo (Imported)'!$1:$5000,M880,FALSE)</f>
        <v>0</v>
      </c>
      <c r="U880">
        <f t="shared" si="40"/>
        <v>0</v>
      </c>
      <c r="V880">
        <f>HLOOKUP("In Use MiB",'vInfo (Imported)'!$1:$5000,M880,FALSE)</f>
        <v>0</v>
      </c>
    </row>
    <row r="881" spans="1:22" ht="13" x14ac:dyDescent="0.3">
      <c r="A881" s="46">
        <f>'vHosts (Imported)'!A881</f>
        <v>0</v>
      </c>
      <c r="B881" s="51">
        <f t="shared" si="42"/>
        <v>4968</v>
      </c>
      <c r="C881" s="49">
        <f>HLOOKUP("# Cores",'vHosts (Imported)'!$1:$5000,M881,FALSE)</f>
        <v>0</v>
      </c>
      <c r="D881" s="52">
        <f>HLOOKUP("# Memory",'vHosts (Imported)'!$1:$5000,M881,FALSE)</f>
        <v>0</v>
      </c>
      <c r="M881" s="45">
        <f t="shared" si="41"/>
        <v>881</v>
      </c>
      <c r="N881" s="38">
        <f>HLOOKUP("Host",'vInfo (Imported)'!$1:$5000,M881,FALSE)</f>
        <v>0</v>
      </c>
      <c r="R881">
        <f>HLOOKUP("CPUs",'vInfo (Imported)'!$1:$5000,M881,FALSE)</f>
        <v>0</v>
      </c>
      <c r="S881">
        <f>HLOOKUP("Memory",'vInfo (Imported)'!$1:$5000,M881,FALSE)</f>
        <v>0</v>
      </c>
      <c r="T881">
        <f>HLOOKUP("Provisioned MiB",'vInfo (Imported)'!$1:$5000,M881,FALSE)</f>
        <v>0</v>
      </c>
      <c r="U881">
        <f t="shared" si="40"/>
        <v>0</v>
      </c>
      <c r="V881">
        <f>HLOOKUP("In Use MiB",'vInfo (Imported)'!$1:$5000,M881,FALSE)</f>
        <v>0</v>
      </c>
    </row>
    <row r="882" spans="1:22" ht="13" x14ac:dyDescent="0.3">
      <c r="A882" s="46">
        <f>'vHosts (Imported)'!A882</f>
        <v>0</v>
      </c>
      <c r="B882" s="51">
        <f t="shared" si="42"/>
        <v>4968</v>
      </c>
      <c r="C882" s="49">
        <f>HLOOKUP("# Cores",'vHosts (Imported)'!$1:$5000,M882,FALSE)</f>
        <v>0</v>
      </c>
      <c r="D882" s="52">
        <f>HLOOKUP("# Memory",'vHosts (Imported)'!$1:$5000,M882,FALSE)</f>
        <v>0</v>
      </c>
      <c r="M882" s="45">
        <f t="shared" si="41"/>
        <v>882</v>
      </c>
      <c r="N882" s="38">
        <f>HLOOKUP("Host",'vInfo (Imported)'!$1:$5000,M882,FALSE)</f>
        <v>0</v>
      </c>
      <c r="R882">
        <f>HLOOKUP("CPUs",'vInfo (Imported)'!$1:$5000,M882,FALSE)</f>
        <v>0</v>
      </c>
      <c r="S882">
        <f>HLOOKUP("Memory",'vInfo (Imported)'!$1:$5000,M882,FALSE)</f>
        <v>0</v>
      </c>
      <c r="T882">
        <f>HLOOKUP("Provisioned MiB",'vInfo (Imported)'!$1:$5000,M882,FALSE)</f>
        <v>0</v>
      </c>
      <c r="U882">
        <f t="shared" si="40"/>
        <v>0</v>
      </c>
      <c r="V882">
        <f>HLOOKUP("In Use MiB",'vInfo (Imported)'!$1:$5000,M882,FALSE)</f>
        <v>0</v>
      </c>
    </row>
    <row r="883" spans="1:22" ht="13" x14ac:dyDescent="0.3">
      <c r="A883" s="46">
        <f>'vHosts (Imported)'!A883</f>
        <v>0</v>
      </c>
      <c r="B883" s="51">
        <f t="shared" si="42"/>
        <v>4968</v>
      </c>
      <c r="C883" s="49">
        <f>HLOOKUP("# Cores",'vHosts (Imported)'!$1:$5000,M883,FALSE)</f>
        <v>0</v>
      </c>
      <c r="D883" s="52">
        <f>HLOOKUP("# Memory",'vHosts (Imported)'!$1:$5000,M883,FALSE)</f>
        <v>0</v>
      </c>
      <c r="M883" s="45">
        <f t="shared" si="41"/>
        <v>883</v>
      </c>
      <c r="N883" s="38">
        <f>HLOOKUP("Host",'vInfo (Imported)'!$1:$5000,M883,FALSE)</f>
        <v>0</v>
      </c>
      <c r="R883">
        <f>HLOOKUP("CPUs",'vInfo (Imported)'!$1:$5000,M883,FALSE)</f>
        <v>0</v>
      </c>
      <c r="S883">
        <f>HLOOKUP("Memory",'vInfo (Imported)'!$1:$5000,M883,FALSE)</f>
        <v>0</v>
      </c>
      <c r="T883">
        <f>HLOOKUP("Provisioned MiB",'vInfo (Imported)'!$1:$5000,M883,FALSE)</f>
        <v>0</v>
      </c>
      <c r="U883">
        <f t="shared" si="40"/>
        <v>0</v>
      </c>
      <c r="V883">
        <f>HLOOKUP("In Use MiB",'vInfo (Imported)'!$1:$5000,M883,FALSE)</f>
        <v>0</v>
      </c>
    </row>
    <row r="884" spans="1:22" ht="13" x14ac:dyDescent="0.3">
      <c r="A884" s="46">
        <f>'vHosts (Imported)'!A884</f>
        <v>0</v>
      </c>
      <c r="B884" s="51">
        <f t="shared" si="42"/>
        <v>4968</v>
      </c>
      <c r="C884" s="49">
        <f>HLOOKUP("# Cores",'vHosts (Imported)'!$1:$5000,M884,FALSE)</f>
        <v>0</v>
      </c>
      <c r="D884" s="52">
        <f>HLOOKUP("# Memory",'vHosts (Imported)'!$1:$5000,M884,FALSE)</f>
        <v>0</v>
      </c>
      <c r="M884" s="45">
        <f t="shared" si="41"/>
        <v>884</v>
      </c>
      <c r="N884" s="38">
        <f>HLOOKUP("Host",'vInfo (Imported)'!$1:$5000,M884,FALSE)</f>
        <v>0</v>
      </c>
      <c r="R884">
        <f>HLOOKUP("CPUs",'vInfo (Imported)'!$1:$5000,M884,FALSE)</f>
        <v>0</v>
      </c>
      <c r="S884">
        <f>HLOOKUP("Memory",'vInfo (Imported)'!$1:$5000,M884,FALSE)</f>
        <v>0</v>
      </c>
      <c r="T884">
        <f>HLOOKUP("Provisioned MiB",'vInfo (Imported)'!$1:$5000,M884,FALSE)</f>
        <v>0</v>
      </c>
      <c r="U884">
        <f t="shared" si="40"/>
        <v>0</v>
      </c>
      <c r="V884">
        <f>HLOOKUP("In Use MiB",'vInfo (Imported)'!$1:$5000,M884,FALSE)</f>
        <v>0</v>
      </c>
    </row>
    <row r="885" spans="1:22" ht="13" x14ac:dyDescent="0.3">
      <c r="A885" s="46">
        <f>'vHosts (Imported)'!A885</f>
        <v>0</v>
      </c>
      <c r="B885" s="51">
        <f t="shared" si="42"/>
        <v>4968</v>
      </c>
      <c r="C885" s="49">
        <f>HLOOKUP("# Cores",'vHosts (Imported)'!$1:$5000,M885,FALSE)</f>
        <v>0</v>
      </c>
      <c r="D885" s="52">
        <f>HLOOKUP("# Memory",'vHosts (Imported)'!$1:$5000,M885,FALSE)</f>
        <v>0</v>
      </c>
      <c r="M885" s="45">
        <f t="shared" si="41"/>
        <v>885</v>
      </c>
      <c r="N885" s="38">
        <f>HLOOKUP("Host",'vInfo (Imported)'!$1:$5000,M885,FALSE)</f>
        <v>0</v>
      </c>
      <c r="R885">
        <f>HLOOKUP("CPUs",'vInfo (Imported)'!$1:$5000,M885,FALSE)</f>
        <v>0</v>
      </c>
      <c r="S885">
        <f>HLOOKUP("Memory",'vInfo (Imported)'!$1:$5000,M885,FALSE)</f>
        <v>0</v>
      </c>
      <c r="T885">
        <f>HLOOKUP("Provisioned MiB",'vInfo (Imported)'!$1:$5000,M885,FALSE)</f>
        <v>0</v>
      </c>
      <c r="U885">
        <f t="shared" si="40"/>
        <v>0</v>
      </c>
      <c r="V885">
        <f>HLOOKUP("In Use MiB",'vInfo (Imported)'!$1:$5000,M885,FALSE)</f>
        <v>0</v>
      </c>
    </row>
    <row r="886" spans="1:22" ht="13" x14ac:dyDescent="0.3">
      <c r="A886" s="46">
        <f>'vHosts (Imported)'!A886</f>
        <v>0</v>
      </c>
      <c r="B886" s="51">
        <f t="shared" si="42"/>
        <v>4968</v>
      </c>
      <c r="C886" s="49">
        <f>HLOOKUP("# Cores",'vHosts (Imported)'!$1:$5000,M886,FALSE)</f>
        <v>0</v>
      </c>
      <c r="D886" s="52">
        <f>HLOOKUP("# Memory",'vHosts (Imported)'!$1:$5000,M886,FALSE)</f>
        <v>0</v>
      </c>
      <c r="M886" s="45">
        <f t="shared" si="41"/>
        <v>886</v>
      </c>
      <c r="N886" s="38">
        <f>HLOOKUP("Host",'vInfo (Imported)'!$1:$5000,M886,FALSE)</f>
        <v>0</v>
      </c>
      <c r="R886">
        <f>HLOOKUP("CPUs",'vInfo (Imported)'!$1:$5000,M886,FALSE)</f>
        <v>0</v>
      </c>
      <c r="S886">
        <f>HLOOKUP("Memory",'vInfo (Imported)'!$1:$5000,M886,FALSE)</f>
        <v>0</v>
      </c>
      <c r="T886">
        <f>HLOOKUP("Provisioned MiB",'vInfo (Imported)'!$1:$5000,M886,FALSE)</f>
        <v>0</v>
      </c>
      <c r="U886">
        <f t="shared" si="40"/>
        <v>0</v>
      </c>
      <c r="V886">
        <f>HLOOKUP("In Use MiB",'vInfo (Imported)'!$1:$5000,M886,FALSE)</f>
        <v>0</v>
      </c>
    </row>
    <row r="887" spans="1:22" ht="13" x14ac:dyDescent="0.3">
      <c r="A887" s="46">
        <f>'vHosts (Imported)'!A887</f>
        <v>0</v>
      </c>
      <c r="B887" s="51">
        <f t="shared" si="42"/>
        <v>4968</v>
      </c>
      <c r="C887" s="49">
        <f>HLOOKUP("# Cores",'vHosts (Imported)'!$1:$5000,M887,FALSE)</f>
        <v>0</v>
      </c>
      <c r="D887" s="52">
        <f>HLOOKUP("# Memory",'vHosts (Imported)'!$1:$5000,M887,FALSE)</f>
        <v>0</v>
      </c>
      <c r="M887" s="45">
        <f t="shared" si="41"/>
        <v>887</v>
      </c>
      <c r="N887" s="38">
        <f>HLOOKUP("Host",'vInfo (Imported)'!$1:$5000,M887,FALSE)</f>
        <v>0</v>
      </c>
      <c r="R887">
        <f>HLOOKUP("CPUs",'vInfo (Imported)'!$1:$5000,M887,FALSE)</f>
        <v>0</v>
      </c>
      <c r="S887">
        <f>HLOOKUP("Memory",'vInfo (Imported)'!$1:$5000,M887,FALSE)</f>
        <v>0</v>
      </c>
      <c r="T887">
        <f>HLOOKUP("Provisioned MiB",'vInfo (Imported)'!$1:$5000,M887,FALSE)</f>
        <v>0</v>
      </c>
      <c r="U887">
        <f t="shared" si="40"/>
        <v>0</v>
      </c>
      <c r="V887">
        <f>HLOOKUP("In Use MiB",'vInfo (Imported)'!$1:$5000,M887,FALSE)</f>
        <v>0</v>
      </c>
    </row>
    <row r="888" spans="1:22" ht="13" x14ac:dyDescent="0.3">
      <c r="A888" s="46">
        <f>'vHosts (Imported)'!A888</f>
        <v>0</v>
      </c>
      <c r="B888" s="51">
        <f t="shared" si="42"/>
        <v>4968</v>
      </c>
      <c r="C888" s="49">
        <f>HLOOKUP("# Cores",'vHosts (Imported)'!$1:$5000,M888,FALSE)</f>
        <v>0</v>
      </c>
      <c r="D888" s="52">
        <f>HLOOKUP("# Memory",'vHosts (Imported)'!$1:$5000,M888,FALSE)</f>
        <v>0</v>
      </c>
      <c r="M888" s="45">
        <f t="shared" si="41"/>
        <v>888</v>
      </c>
      <c r="N888" s="38">
        <f>HLOOKUP("Host",'vInfo (Imported)'!$1:$5000,M888,FALSE)</f>
        <v>0</v>
      </c>
      <c r="R888">
        <f>HLOOKUP("CPUs",'vInfo (Imported)'!$1:$5000,M888,FALSE)</f>
        <v>0</v>
      </c>
      <c r="S888">
        <f>HLOOKUP("Memory",'vInfo (Imported)'!$1:$5000,M888,FALSE)</f>
        <v>0</v>
      </c>
      <c r="T888">
        <f>HLOOKUP("Provisioned MiB",'vInfo (Imported)'!$1:$5000,M888,FALSE)</f>
        <v>0</v>
      </c>
      <c r="U888">
        <f t="shared" si="40"/>
        <v>0</v>
      </c>
      <c r="V888">
        <f>HLOOKUP("In Use MiB",'vInfo (Imported)'!$1:$5000,M888,FALSE)</f>
        <v>0</v>
      </c>
    </row>
    <row r="889" spans="1:22" ht="13" x14ac:dyDescent="0.3">
      <c r="A889" s="46">
        <f>'vHosts (Imported)'!A889</f>
        <v>0</v>
      </c>
      <c r="B889" s="51">
        <f t="shared" si="42"/>
        <v>4968</v>
      </c>
      <c r="C889" s="49">
        <f>HLOOKUP("# Cores",'vHosts (Imported)'!$1:$5000,M889,FALSE)</f>
        <v>0</v>
      </c>
      <c r="D889" s="52">
        <f>HLOOKUP("# Memory",'vHosts (Imported)'!$1:$5000,M889,FALSE)</f>
        <v>0</v>
      </c>
      <c r="M889" s="45">
        <f t="shared" si="41"/>
        <v>889</v>
      </c>
      <c r="N889" s="38">
        <f>HLOOKUP("Host",'vInfo (Imported)'!$1:$5000,M889,FALSE)</f>
        <v>0</v>
      </c>
      <c r="R889">
        <f>HLOOKUP("CPUs",'vInfo (Imported)'!$1:$5000,M889,FALSE)</f>
        <v>0</v>
      </c>
      <c r="S889">
        <f>HLOOKUP("Memory",'vInfo (Imported)'!$1:$5000,M889,FALSE)</f>
        <v>0</v>
      </c>
      <c r="T889">
        <f>HLOOKUP("Provisioned MiB",'vInfo (Imported)'!$1:$5000,M889,FALSE)</f>
        <v>0</v>
      </c>
      <c r="U889">
        <f t="shared" si="40"/>
        <v>0</v>
      </c>
      <c r="V889">
        <f>HLOOKUP("In Use MiB",'vInfo (Imported)'!$1:$5000,M889,FALSE)</f>
        <v>0</v>
      </c>
    </row>
    <row r="890" spans="1:22" ht="13" x14ac:dyDescent="0.3">
      <c r="A890" s="46">
        <f>'vHosts (Imported)'!A890</f>
        <v>0</v>
      </c>
      <c r="B890" s="51">
        <f t="shared" si="42"/>
        <v>4968</v>
      </c>
      <c r="C890" s="49">
        <f>HLOOKUP("# Cores",'vHosts (Imported)'!$1:$5000,M890,FALSE)</f>
        <v>0</v>
      </c>
      <c r="D890" s="52">
        <f>HLOOKUP("# Memory",'vHosts (Imported)'!$1:$5000,M890,FALSE)</f>
        <v>0</v>
      </c>
      <c r="M890" s="45">
        <f t="shared" si="41"/>
        <v>890</v>
      </c>
      <c r="N890" s="38">
        <f>HLOOKUP("Host",'vInfo (Imported)'!$1:$5000,M890,FALSE)</f>
        <v>0</v>
      </c>
      <c r="R890">
        <f>HLOOKUP("CPUs",'vInfo (Imported)'!$1:$5000,M890,FALSE)</f>
        <v>0</v>
      </c>
      <c r="S890">
        <f>HLOOKUP("Memory",'vInfo (Imported)'!$1:$5000,M890,FALSE)</f>
        <v>0</v>
      </c>
      <c r="T890">
        <f>HLOOKUP("Provisioned MiB",'vInfo (Imported)'!$1:$5000,M890,FALSE)</f>
        <v>0</v>
      </c>
      <c r="U890">
        <f t="shared" si="40"/>
        <v>0</v>
      </c>
      <c r="V890">
        <f>HLOOKUP("In Use MiB",'vInfo (Imported)'!$1:$5000,M890,FALSE)</f>
        <v>0</v>
      </c>
    </row>
    <row r="891" spans="1:22" ht="13" x14ac:dyDescent="0.3">
      <c r="A891" s="46">
        <f>'vHosts (Imported)'!A891</f>
        <v>0</v>
      </c>
      <c r="B891" s="51">
        <f t="shared" si="42"/>
        <v>4968</v>
      </c>
      <c r="C891" s="49">
        <f>HLOOKUP("# Cores",'vHosts (Imported)'!$1:$5000,M891,FALSE)</f>
        <v>0</v>
      </c>
      <c r="D891" s="52">
        <f>HLOOKUP("# Memory",'vHosts (Imported)'!$1:$5000,M891,FALSE)</f>
        <v>0</v>
      </c>
      <c r="M891" s="45">
        <f t="shared" si="41"/>
        <v>891</v>
      </c>
      <c r="N891" s="38">
        <f>HLOOKUP("Host",'vInfo (Imported)'!$1:$5000,M891,FALSE)</f>
        <v>0</v>
      </c>
      <c r="R891">
        <f>HLOOKUP("CPUs",'vInfo (Imported)'!$1:$5000,M891,FALSE)</f>
        <v>0</v>
      </c>
      <c r="S891">
        <f>HLOOKUP("Memory",'vInfo (Imported)'!$1:$5000,M891,FALSE)</f>
        <v>0</v>
      </c>
      <c r="T891">
        <f>HLOOKUP("Provisioned MiB",'vInfo (Imported)'!$1:$5000,M891,FALSE)</f>
        <v>0</v>
      </c>
      <c r="U891">
        <f t="shared" si="40"/>
        <v>0</v>
      </c>
      <c r="V891">
        <f>HLOOKUP("In Use MiB",'vInfo (Imported)'!$1:$5000,M891,FALSE)</f>
        <v>0</v>
      </c>
    </row>
    <row r="892" spans="1:22" ht="13" x14ac:dyDescent="0.3">
      <c r="A892" s="46">
        <f>'vHosts (Imported)'!A892</f>
        <v>0</v>
      </c>
      <c r="B892" s="51">
        <f t="shared" si="42"/>
        <v>4968</v>
      </c>
      <c r="C892" s="49">
        <f>HLOOKUP("# Cores",'vHosts (Imported)'!$1:$5000,M892,FALSE)</f>
        <v>0</v>
      </c>
      <c r="D892" s="52">
        <f>HLOOKUP("# Memory",'vHosts (Imported)'!$1:$5000,M892,FALSE)</f>
        <v>0</v>
      </c>
      <c r="M892" s="45">
        <f t="shared" si="41"/>
        <v>892</v>
      </c>
      <c r="N892" s="38">
        <f>HLOOKUP("Host",'vInfo (Imported)'!$1:$5000,M892,FALSE)</f>
        <v>0</v>
      </c>
      <c r="R892">
        <f>HLOOKUP("CPUs",'vInfo (Imported)'!$1:$5000,M892,FALSE)</f>
        <v>0</v>
      </c>
      <c r="S892">
        <f>HLOOKUP("Memory",'vInfo (Imported)'!$1:$5000,M892,FALSE)</f>
        <v>0</v>
      </c>
      <c r="T892">
        <f>HLOOKUP("Provisioned MiB",'vInfo (Imported)'!$1:$5000,M892,FALSE)</f>
        <v>0</v>
      </c>
      <c r="U892">
        <f t="shared" si="40"/>
        <v>0</v>
      </c>
      <c r="V892">
        <f>HLOOKUP("In Use MiB",'vInfo (Imported)'!$1:$5000,M892,FALSE)</f>
        <v>0</v>
      </c>
    </row>
    <row r="893" spans="1:22" ht="13" x14ac:dyDescent="0.3">
      <c r="A893" s="46">
        <f>'vHosts (Imported)'!A893</f>
        <v>0</v>
      </c>
      <c r="B893" s="51">
        <f t="shared" si="42"/>
        <v>4968</v>
      </c>
      <c r="C893" s="49">
        <f>HLOOKUP("# Cores",'vHosts (Imported)'!$1:$5000,M893,FALSE)</f>
        <v>0</v>
      </c>
      <c r="D893" s="52">
        <f>HLOOKUP("# Memory",'vHosts (Imported)'!$1:$5000,M893,FALSE)</f>
        <v>0</v>
      </c>
      <c r="M893" s="45">
        <f t="shared" si="41"/>
        <v>893</v>
      </c>
      <c r="N893" s="38">
        <f>HLOOKUP("Host",'vInfo (Imported)'!$1:$5000,M893,FALSE)</f>
        <v>0</v>
      </c>
      <c r="R893">
        <f>HLOOKUP("CPUs",'vInfo (Imported)'!$1:$5000,M893,FALSE)</f>
        <v>0</v>
      </c>
      <c r="S893">
        <f>HLOOKUP("Memory",'vInfo (Imported)'!$1:$5000,M893,FALSE)</f>
        <v>0</v>
      </c>
      <c r="T893">
        <f>HLOOKUP("Provisioned MiB",'vInfo (Imported)'!$1:$5000,M893,FALSE)</f>
        <v>0</v>
      </c>
      <c r="U893">
        <f t="shared" si="40"/>
        <v>0</v>
      </c>
      <c r="V893">
        <f>HLOOKUP("In Use MiB",'vInfo (Imported)'!$1:$5000,M893,FALSE)</f>
        <v>0</v>
      </c>
    </row>
    <row r="894" spans="1:22" ht="13" x14ac:dyDescent="0.3">
      <c r="A894" s="46">
        <f>'vHosts (Imported)'!A894</f>
        <v>0</v>
      </c>
      <c r="B894" s="51">
        <f t="shared" si="42"/>
        <v>4968</v>
      </c>
      <c r="C894" s="49">
        <f>HLOOKUP("# Cores",'vHosts (Imported)'!$1:$5000,M894,FALSE)</f>
        <v>0</v>
      </c>
      <c r="D894" s="52">
        <f>HLOOKUP("# Memory",'vHosts (Imported)'!$1:$5000,M894,FALSE)</f>
        <v>0</v>
      </c>
      <c r="M894" s="45">
        <f t="shared" si="41"/>
        <v>894</v>
      </c>
      <c r="N894" s="38">
        <f>HLOOKUP("Host",'vInfo (Imported)'!$1:$5000,M894,FALSE)</f>
        <v>0</v>
      </c>
      <c r="R894">
        <f>HLOOKUP("CPUs",'vInfo (Imported)'!$1:$5000,M894,FALSE)</f>
        <v>0</v>
      </c>
      <c r="S894">
        <f>HLOOKUP("Memory",'vInfo (Imported)'!$1:$5000,M894,FALSE)</f>
        <v>0</v>
      </c>
      <c r="T894">
        <f>HLOOKUP("Provisioned MiB",'vInfo (Imported)'!$1:$5000,M894,FALSE)</f>
        <v>0</v>
      </c>
      <c r="U894">
        <f t="shared" si="40"/>
        <v>0</v>
      </c>
      <c r="V894">
        <f>HLOOKUP("In Use MiB",'vInfo (Imported)'!$1:$5000,M894,FALSE)</f>
        <v>0</v>
      </c>
    </row>
    <row r="895" spans="1:22" ht="13" x14ac:dyDescent="0.3">
      <c r="A895" s="46">
        <f>'vHosts (Imported)'!A895</f>
        <v>0</v>
      </c>
      <c r="B895" s="51">
        <f t="shared" si="42"/>
        <v>4968</v>
      </c>
      <c r="C895" s="49">
        <f>HLOOKUP("# Cores",'vHosts (Imported)'!$1:$5000,M895,FALSE)</f>
        <v>0</v>
      </c>
      <c r="D895" s="52">
        <f>HLOOKUP("# Memory",'vHosts (Imported)'!$1:$5000,M895,FALSE)</f>
        <v>0</v>
      </c>
      <c r="M895" s="45">
        <f t="shared" si="41"/>
        <v>895</v>
      </c>
      <c r="N895" s="38">
        <f>HLOOKUP("Host",'vInfo (Imported)'!$1:$5000,M895,FALSE)</f>
        <v>0</v>
      </c>
      <c r="R895">
        <f>HLOOKUP("CPUs",'vInfo (Imported)'!$1:$5000,M895,FALSE)</f>
        <v>0</v>
      </c>
      <c r="S895">
        <f>HLOOKUP("Memory",'vInfo (Imported)'!$1:$5000,M895,FALSE)</f>
        <v>0</v>
      </c>
      <c r="T895">
        <f>HLOOKUP("Provisioned MiB",'vInfo (Imported)'!$1:$5000,M895,FALSE)</f>
        <v>0</v>
      </c>
      <c r="U895">
        <f t="shared" si="40"/>
        <v>0</v>
      </c>
      <c r="V895">
        <f>HLOOKUP("In Use MiB",'vInfo (Imported)'!$1:$5000,M895,FALSE)</f>
        <v>0</v>
      </c>
    </row>
    <row r="896" spans="1:22" ht="13" x14ac:dyDescent="0.3">
      <c r="A896" s="46">
        <f>'vHosts (Imported)'!A896</f>
        <v>0</v>
      </c>
      <c r="B896" s="51">
        <f t="shared" si="42"/>
        <v>4968</v>
      </c>
      <c r="C896" s="49">
        <f>HLOOKUP("# Cores",'vHosts (Imported)'!$1:$5000,M896,FALSE)</f>
        <v>0</v>
      </c>
      <c r="D896" s="52">
        <f>HLOOKUP("# Memory",'vHosts (Imported)'!$1:$5000,M896,FALSE)</f>
        <v>0</v>
      </c>
      <c r="M896" s="45">
        <f t="shared" si="41"/>
        <v>896</v>
      </c>
      <c r="N896" s="38">
        <f>HLOOKUP("Host",'vInfo (Imported)'!$1:$5000,M896,FALSE)</f>
        <v>0</v>
      </c>
      <c r="R896">
        <f>HLOOKUP("CPUs",'vInfo (Imported)'!$1:$5000,M896,FALSE)</f>
        <v>0</v>
      </c>
      <c r="S896">
        <f>HLOOKUP("Memory",'vInfo (Imported)'!$1:$5000,M896,FALSE)</f>
        <v>0</v>
      </c>
      <c r="T896">
        <f>HLOOKUP("Provisioned MiB",'vInfo (Imported)'!$1:$5000,M896,FALSE)</f>
        <v>0</v>
      </c>
      <c r="U896">
        <f t="shared" si="40"/>
        <v>0</v>
      </c>
      <c r="V896">
        <f>HLOOKUP("In Use MiB",'vInfo (Imported)'!$1:$5000,M896,FALSE)</f>
        <v>0</v>
      </c>
    </row>
    <row r="897" spans="1:22" ht="13" x14ac:dyDescent="0.3">
      <c r="A897" s="46">
        <f>'vHosts (Imported)'!A897</f>
        <v>0</v>
      </c>
      <c r="B897" s="51">
        <f t="shared" si="42"/>
        <v>4968</v>
      </c>
      <c r="C897" s="49">
        <f>HLOOKUP("# Cores",'vHosts (Imported)'!$1:$5000,M897,FALSE)</f>
        <v>0</v>
      </c>
      <c r="D897" s="52">
        <f>HLOOKUP("# Memory",'vHosts (Imported)'!$1:$5000,M897,FALSE)</f>
        <v>0</v>
      </c>
      <c r="M897" s="45">
        <f t="shared" si="41"/>
        <v>897</v>
      </c>
      <c r="N897" s="38">
        <f>HLOOKUP("Host",'vInfo (Imported)'!$1:$5000,M897,FALSE)</f>
        <v>0</v>
      </c>
      <c r="R897">
        <f>HLOOKUP("CPUs",'vInfo (Imported)'!$1:$5000,M897,FALSE)</f>
        <v>0</v>
      </c>
      <c r="S897">
        <f>HLOOKUP("Memory",'vInfo (Imported)'!$1:$5000,M897,FALSE)</f>
        <v>0</v>
      </c>
      <c r="T897">
        <f>HLOOKUP("Provisioned MiB",'vInfo (Imported)'!$1:$5000,M897,FALSE)</f>
        <v>0</v>
      </c>
      <c r="U897">
        <f t="shared" si="40"/>
        <v>0</v>
      </c>
      <c r="V897">
        <f>HLOOKUP("In Use MiB",'vInfo (Imported)'!$1:$5000,M897,FALSE)</f>
        <v>0</v>
      </c>
    </row>
    <row r="898" spans="1:22" ht="13" x14ac:dyDescent="0.3">
      <c r="A898" s="46">
        <f>'vHosts (Imported)'!A898</f>
        <v>0</v>
      </c>
      <c r="B898" s="51">
        <f t="shared" si="42"/>
        <v>4968</v>
      </c>
      <c r="C898" s="49">
        <f>HLOOKUP("# Cores",'vHosts (Imported)'!$1:$5000,M898,FALSE)</f>
        <v>0</v>
      </c>
      <c r="D898" s="52">
        <f>HLOOKUP("# Memory",'vHosts (Imported)'!$1:$5000,M898,FALSE)</f>
        <v>0</v>
      </c>
      <c r="M898" s="45">
        <f t="shared" si="41"/>
        <v>898</v>
      </c>
      <c r="N898" s="38">
        <f>HLOOKUP("Host",'vInfo (Imported)'!$1:$5000,M898,FALSE)</f>
        <v>0</v>
      </c>
      <c r="R898">
        <f>HLOOKUP("CPUs",'vInfo (Imported)'!$1:$5000,M898,FALSE)</f>
        <v>0</v>
      </c>
      <c r="S898">
        <f>HLOOKUP("Memory",'vInfo (Imported)'!$1:$5000,M898,FALSE)</f>
        <v>0</v>
      </c>
      <c r="T898">
        <f>HLOOKUP("Provisioned MiB",'vInfo (Imported)'!$1:$5000,M898,FALSE)</f>
        <v>0</v>
      </c>
      <c r="U898">
        <f t="shared" si="40"/>
        <v>0</v>
      </c>
      <c r="V898">
        <f>HLOOKUP("In Use MiB",'vInfo (Imported)'!$1:$5000,M898,FALSE)</f>
        <v>0</v>
      </c>
    </row>
    <row r="899" spans="1:22" ht="13" x14ac:dyDescent="0.3">
      <c r="A899" s="46">
        <f>'vHosts (Imported)'!A899</f>
        <v>0</v>
      </c>
      <c r="B899" s="51">
        <f t="shared" si="42"/>
        <v>4968</v>
      </c>
      <c r="C899" s="49">
        <f>HLOOKUP("# Cores",'vHosts (Imported)'!$1:$5000,M899,FALSE)</f>
        <v>0</v>
      </c>
      <c r="D899" s="52">
        <f>HLOOKUP("# Memory",'vHosts (Imported)'!$1:$5000,M899,FALSE)</f>
        <v>0</v>
      </c>
      <c r="M899" s="45">
        <f t="shared" si="41"/>
        <v>899</v>
      </c>
      <c r="N899" s="38">
        <f>HLOOKUP("Host",'vInfo (Imported)'!$1:$5000,M899,FALSE)</f>
        <v>0</v>
      </c>
      <c r="R899">
        <f>HLOOKUP("CPUs",'vInfo (Imported)'!$1:$5000,M899,FALSE)</f>
        <v>0</v>
      </c>
      <c r="S899">
        <f>HLOOKUP("Memory",'vInfo (Imported)'!$1:$5000,M899,FALSE)</f>
        <v>0</v>
      </c>
      <c r="T899">
        <f>HLOOKUP("Provisioned MiB",'vInfo (Imported)'!$1:$5000,M899,FALSE)</f>
        <v>0</v>
      </c>
      <c r="U899">
        <f t="shared" ref="U899:U962" si="43">T899-V899</f>
        <v>0</v>
      </c>
      <c r="V899">
        <f>HLOOKUP("In Use MiB",'vInfo (Imported)'!$1:$5000,M899,FALSE)</f>
        <v>0</v>
      </c>
    </row>
    <row r="900" spans="1:22" ht="13" x14ac:dyDescent="0.3">
      <c r="A900" s="46">
        <f>'vHosts (Imported)'!A900</f>
        <v>0</v>
      </c>
      <c r="B900" s="51">
        <f t="shared" si="42"/>
        <v>4968</v>
      </c>
      <c r="C900" s="49">
        <f>HLOOKUP("# Cores",'vHosts (Imported)'!$1:$5000,M900,FALSE)</f>
        <v>0</v>
      </c>
      <c r="D900" s="52">
        <f>HLOOKUP("# Memory",'vHosts (Imported)'!$1:$5000,M900,FALSE)</f>
        <v>0</v>
      </c>
      <c r="M900" s="45">
        <f t="shared" ref="M900:M963" si="44">M899+1</f>
        <v>900</v>
      </c>
      <c r="N900" s="38">
        <f>HLOOKUP("Host",'vInfo (Imported)'!$1:$5000,M900,FALSE)</f>
        <v>0</v>
      </c>
      <c r="R900">
        <f>HLOOKUP("CPUs",'vInfo (Imported)'!$1:$5000,M900,FALSE)</f>
        <v>0</v>
      </c>
      <c r="S900">
        <f>HLOOKUP("Memory",'vInfo (Imported)'!$1:$5000,M900,FALSE)</f>
        <v>0</v>
      </c>
      <c r="T900">
        <f>HLOOKUP("Provisioned MiB",'vInfo (Imported)'!$1:$5000,M900,FALSE)</f>
        <v>0</v>
      </c>
      <c r="U900">
        <f t="shared" si="43"/>
        <v>0</v>
      </c>
      <c r="V900">
        <f>HLOOKUP("In Use MiB",'vInfo (Imported)'!$1:$5000,M900,FALSE)</f>
        <v>0</v>
      </c>
    </row>
    <row r="901" spans="1:22" ht="13" x14ac:dyDescent="0.3">
      <c r="A901" s="46">
        <f>'vHosts (Imported)'!A901</f>
        <v>0</v>
      </c>
      <c r="B901" s="51">
        <f t="shared" si="42"/>
        <v>4968</v>
      </c>
      <c r="C901" s="49">
        <f>HLOOKUP("# Cores",'vHosts (Imported)'!$1:$5000,M901,FALSE)</f>
        <v>0</v>
      </c>
      <c r="D901" s="52">
        <f>HLOOKUP("# Memory",'vHosts (Imported)'!$1:$5000,M901,FALSE)</f>
        <v>0</v>
      </c>
      <c r="M901" s="45">
        <f t="shared" si="44"/>
        <v>901</v>
      </c>
      <c r="N901" s="38">
        <f>HLOOKUP("Host",'vInfo (Imported)'!$1:$5000,M901,FALSE)</f>
        <v>0</v>
      </c>
      <c r="R901">
        <f>HLOOKUP("CPUs",'vInfo (Imported)'!$1:$5000,M901,FALSE)</f>
        <v>0</v>
      </c>
      <c r="S901">
        <f>HLOOKUP("Memory",'vInfo (Imported)'!$1:$5000,M901,FALSE)</f>
        <v>0</v>
      </c>
      <c r="T901">
        <f>HLOOKUP("Provisioned MiB",'vInfo (Imported)'!$1:$5000,M901,FALSE)</f>
        <v>0</v>
      </c>
      <c r="U901">
        <f t="shared" si="43"/>
        <v>0</v>
      </c>
      <c r="V901">
        <f>HLOOKUP("In Use MiB",'vInfo (Imported)'!$1:$5000,M901,FALSE)</f>
        <v>0</v>
      </c>
    </row>
    <row r="902" spans="1:22" ht="13" x14ac:dyDescent="0.3">
      <c r="A902" s="46">
        <f>'vHosts (Imported)'!A902</f>
        <v>0</v>
      </c>
      <c r="B902" s="51">
        <f t="shared" si="42"/>
        <v>4968</v>
      </c>
      <c r="C902" s="49">
        <f>HLOOKUP("# Cores",'vHosts (Imported)'!$1:$5000,M902,FALSE)</f>
        <v>0</v>
      </c>
      <c r="D902" s="52">
        <f>HLOOKUP("# Memory",'vHosts (Imported)'!$1:$5000,M902,FALSE)</f>
        <v>0</v>
      </c>
      <c r="M902" s="45">
        <f t="shared" si="44"/>
        <v>902</v>
      </c>
      <c r="N902" s="38">
        <f>HLOOKUP("Host",'vInfo (Imported)'!$1:$5000,M902,FALSE)</f>
        <v>0</v>
      </c>
      <c r="R902">
        <f>HLOOKUP("CPUs",'vInfo (Imported)'!$1:$5000,M902,FALSE)</f>
        <v>0</v>
      </c>
      <c r="S902">
        <f>HLOOKUP("Memory",'vInfo (Imported)'!$1:$5000,M902,FALSE)</f>
        <v>0</v>
      </c>
      <c r="T902">
        <f>HLOOKUP("Provisioned MiB",'vInfo (Imported)'!$1:$5000,M902,FALSE)</f>
        <v>0</v>
      </c>
      <c r="U902">
        <f t="shared" si="43"/>
        <v>0</v>
      </c>
      <c r="V902">
        <f>HLOOKUP("In Use MiB",'vInfo (Imported)'!$1:$5000,M902,FALSE)</f>
        <v>0</v>
      </c>
    </row>
    <row r="903" spans="1:22" ht="13" x14ac:dyDescent="0.3">
      <c r="A903" s="46">
        <f>'vHosts (Imported)'!A903</f>
        <v>0</v>
      </c>
      <c r="B903" s="51">
        <f t="shared" si="42"/>
        <v>4968</v>
      </c>
      <c r="C903" s="49">
        <f>HLOOKUP("# Cores",'vHosts (Imported)'!$1:$5000,M903,FALSE)</f>
        <v>0</v>
      </c>
      <c r="D903" s="52">
        <f>HLOOKUP("# Memory",'vHosts (Imported)'!$1:$5000,M903,FALSE)</f>
        <v>0</v>
      </c>
      <c r="M903" s="45">
        <f t="shared" si="44"/>
        <v>903</v>
      </c>
      <c r="N903" s="38">
        <f>HLOOKUP("Host",'vInfo (Imported)'!$1:$5000,M903,FALSE)</f>
        <v>0</v>
      </c>
      <c r="R903">
        <f>HLOOKUP("CPUs",'vInfo (Imported)'!$1:$5000,M903,FALSE)</f>
        <v>0</v>
      </c>
      <c r="S903">
        <f>HLOOKUP("Memory",'vInfo (Imported)'!$1:$5000,M903,FALSE)</f>
        <v>0</v>
      </c>
      <c r="T903">
        <f>HLOOKUP("Provisioned MiB",'vInfo (Imported)'!$1:$5000,M903,FALSE)</f>
        <v>0</v>
      </c>
      <c r="U903">
        <f t="shared" si="43"/>
        <v>0</v>
      </c>
      <c r="V903">
        <f>HLOOKUP("In Use MiB",'vInfo (Imported)'!$1:$5000,M903,FALSE)</f>
        <v>0</v>
      </c>
    </row>
    <row r="904" spans="1:22" ht="13" x14ac:dyDescent="0.3">
      <c r="A904" s="46">
        <f>'vHosts (Imported)'!A904</f>
        <v>0</v>
      </c>
      <c r="B904" s="51">
        <f t="shared" si="42"/>
        <v>4968</v>
      </c>
      <c r="C904" s="49">
        <f>HLOOKUP("# Cores",'vHosts (Imported)'!$1:$5000,M904,FALSE)</f>
        <v>0</v>
      </c>
      <c r="D904" s="52">
        <f>HLOOKUP("# Memory",'vHosts (Imported)'!$1:$5000,M904,FALSE)</f>
        <v>0</v>
      </c>
      <c r="M904" s="45">
        <f t="shared" si="44"/>
        <v>904</v>
      </c>
      <c r="N904" s="38">
        <f>HLOOKUP("Host",'vInfo (Imported)'!$1:$5000,M904,FALSE)</f>
        <v>0</v>
      </c>
      <c r="R904">
        <f>HLOOKUP("CPUs",'vInfo (Imported)'!$1:$5000,M904,FALSE)</f>
        <v>0</v>
      </c>
      <c r="S904">
        <f>HLOOKUP("Memory",'vInfo (Imported)'!$1:$5000,M904,FALSE)</f>
        <v>0</v>
      </c>
      <c r="T904">
        <f>HLOOKUP("Provisioned MiB",'vInfo (Imported)'!$1:$5000,M904,FALSE)</f>
        <v>0</v>
      </c>
      <c r="U904">
        <f t="shared" si="43"/>
        <v>0</v>
      </c>
      <c r="V904">
        <f>HLOOKUP("In Use MiB",'vInfo (Imported)'!$1:$5000,M904,FALSE)</f>
        <v>0</v>
      </c>
    </row>
    <row r="905" spans="1:22" ht="13" x14ac:dyDescent="0.3">
      <c r="A905" s="46">
        <f>'vHosts (Imported)'!A905</f>
        <v>0</v>
      </c>
      <c r="B905" s="51">
        <f t="shared" si="42"/>
        <v>4968</v>
      </c>
      <c r="C905" s="49">
        <f>HLOOKUP("# Cores",'vHosts (Imported)'!$1:$5000,M905,FALSE)</f>
        <v>0</v>
      </c>
      <c r="D905" s="52">
        <f>HLOOKUP("# Memory",'vHosts (Imported)'!$1:$5000,M905,FALSE)</f>
        <v>0</v>
      </c>
      <c r="M905" s="45">
        <f t="shared" si="44"/>
        <v>905</v>
      </c>
      <c r="N905" s="38">
        <f>HLOOKUP("Host",'vInfo (Imported)'!$1:$5000,M905,FALSE)</f>
        <v>0</v>
      </c>
      <c r="R905">
        <f>HLOOKUP("CPUs",'vInfo (Imported)'!$1:$5000,M905,FALSE)</f>
        <v>0</v>
      </c>
      <c r="S905">
        <f>HLOOKUP("Memory",'vInfo (Imported)'!$1:$5000,M905,FALSE)</f>
        <v>0</v>
      </c>
      <c r="T905">
        <f>HLOOKUP("Provisioned MiB",'vInfo (Imported)'!$1:$5000,M905,FALSE)</f>
        <v>0</v>
      </c>
      <c r="U905">
        <f t="shared" si="43"/>
        <v>0</v>
      </c>
      <c r="V905">
        <f>HLOOKUP("In Use MiB",'vInfo (Imported)'!$1:$5000,M905,FALSE)</f>
        <v>0</v>
      </c>
    </row>
    <row r="906" spans="1:22" ht="13" x14ac:dyDescent="0.3">
      <c r="A906" s="46">
        <f>'vHosts (Imported)'!A906</f>
        <v>0</v>
      </c>
      <c r="B906" s="51">
        <f t="shared" si="42"/>
        <v>4968</v>
      </c>
      <c r="C906" s="49">
        <f>HLOOKUP("# Cores",'vHosts (Imported)'!$1:$5000,M906,FALSE)</f>
        <v>0</v>
      </c>
      <c r="D906" s="52">
        <f>HLOOKUP("# Memory",'vHosts (Imported)'!$1:$5000,M906,FALSE)</f>
        <v>0</v>
      </c>
      <c r="M906" s="45">
        <f t="shared" si="44"/>
        <v>906</v>
      </c>
      <c r="N906" s="38">
        <f>HLOOKUP("Host",'vInfo (Imported)'!$1:$5000,M906,FALSE)</f>
        <v>0</v>
      </c>
      <c r="R906">
        <f>HLOOKUP("CPUs",'vInfo (Imported)'!$1:$5000,M906,FALSE)</f>
        <v>0</v>
      </c>
      <c r="S906">
        <f>HLOOKUP("Memory",'vInfo (Imported)'!$1:$5000,M906,FALSE)</f>
        <v>0</v>
      </c>
      <c r="T906">
        <f>HLOOKUP("Provisioned MiB",'vInfo (Imported)'!$1:$5000,M906,FALSE)</f>
        <v>0</v>
      </c>
      <c r="U906">
        <f t="shared" si="43"/>
        <v>0</v>
      </c>
      <c r="V906">
        <f>HLOOKUP("In Use MiB",'vInfo (Imported)'!$1:$5000,M906,FALSE)</f>
        <v>0</v>
      </c>
    </row>
    <row r="907" spans="1:22" ht="13" x14ac:dyDescent="0.3">
      <c r="A907" s="46">
        <f>'vHosts (Imported)'!A907</f>
        <v>0</v>
      </c>
      <c r="B907" s="51">
        <f t="shared" si="42"/>
        <v>4968</v>
      </c>
      <c r="C907" s="49">
        <f>HLOOKUP("# Cores",'vHosts (Imported)'!$1:$5000,M907,FALSE)</f>
        <v>0</v>
      </c>
      <c r="D907" s="52">
        <f>HLOOKUP("# Memory",'vHosts (Imported)'!$1:$5000,M907,FALSE)</f>
        <v>0</v>
      </c>
      <c r="M907" s="45">
        <f t="shared" si="44"/>
        <v>907</v>
      </c>
      <c r="N907" s="38">
        <f>HLOOKUP("Host",'vInfo (Imported)'!$1:$5000,M907,FALSE)</f>
        <v>0</v>
      </c>
      <c r="R907">
        <f>HLOOKUP("CPUs",'vInfo (Imported)'!$1:$5000,M907,FALSE)</f>
        <v>0</v>
      </c>
      <c r="S907">
        <f>HLOOKUP("Memory",'vInfo (Imported)'!$1:$5000,M907,FALSE)</f>
        <v>0</v>
      </c>
      <c r="T907">
        <f>HLOOKUP("Provisioned MiB",'vInfo (Imported)'!$1:$5000,M907,FALSE)</f>
        <v>0</v>
      </c>
      <c r="U907">
        <f t="shared" si="43"/>
        <v>0</v>
      </c>
      <c r="V907">
        <f>HLOOKUP("In Use MiB",'vInfo (Imported)'!$1:$5000,M907,FALSE)</f>
        <v>0</v>
      </c>
    </row>
    <row r="908" spans="1:22" ht="13" x14ac:dyDescent="0.3">
      <c r="A908" s="46">
        <f>'vHosts (Imported)'!A908</f>
        <v>0</v>
      </c>
      <c r="B908" s="51">
        <f t="shared" si="42"/>
        <v>4968</v>
      </c>
      <c r="C908" s="49">
        <f>HLOOKUP("# Cores",'vHosts (Imported)'!$1:$5000,M908,FALSE)</f>
        <v>0</v>
      </c>
      <c r="D908" s="52">
        <f>HLOOKUP("# Memory",'vHosts (Imported)'!$1:$5000,M908,FALSE)</f>
        <v>0</v>
      </c>
      <c r="M908" s="45">
        <f t="shared" si="44"/>
        <v>908</v>
      </c>
      <c r="N908" s="38">
        <f>HLOOKUP("Host",'vInfo (Imported)'!$1:$5000,M908,FALSE)</f>
        <v>0</v>
      </c>
      <c r="R908">
        <f>HLOOKUP("CPUs",'vInfo (Imported)'!$1:$5000,M908,FALSE)</f>
        <v>0</v>
      </c>
      <c r="S908">
        <f>HLOOKUP("Memory",'vInfo (Imported)'!$1:$5000,M908,FALSE)</f>
        <v>0</v>
      </c>
      <c r="T908">
        <f>HLOOKUP("Provisioned MiB",'vInfo (Imported)'!$1:$5000,M908,FALSE)</f>
        <v>0</v>
      </c>
      <c r="U908">
        <f t="shared" si="43"/>
        <v>0</v>
      </c>
      <c r="V908">
        <f>HLOOKUP("In Use MiB",'vInfo (Imported)'!$1:$5000,M908,FALSE)</f>
        <v>0</v>
      </c>
    </row>
    <row r="909" spans="1:22" ht="13" x14ac:dyDescent="0.3">
      <c r="A909" s="46">
        <f>'vHosts (Imported)'!A909</f>
        <v>0</v>
      </c>
      <c r="B909" s="51">
        <f t="shared" si="42"/>
        <v>4968</v>
      </c>
      <c r="C909" s="49">
        <f>HLOOKUP("# Cores",'vHosts (Imported)'!$1:$5000,M909,FALSE)</f>
        <v>0</v>
      </c>
      <c r="D909" s="52">
        <f>HLOOKUP("# Memory",'vHosts (Imported)'!$1:$5000,M909,FALSE)</f>
        <v>0</v>
      </c>
      <c r="M909" s="45">
        <f t="shared" si="44"/>
        <v>909</v>
      </c>
      <c r="N909" s="38">
        <f>HLOOKUP("Host",'vInfo (Imported)'!$1:$5000,M909,FALSE)</f>
        <v>0</v>
      </c>
      <c r="R909">
        <f>HLOOKUP("CPUs",'vInfo (Imported)'!$1:$5000,M909,FALSE)</f>
        <v>0</v>
      </c>
      <c r="S909">
        <f>HLOOKUP("Memory",'vInfo (Imported)'!$1:$5000,M909,FALSE)</f>
        <v>0</v>
      </c>
      <c r="T909">
        <f>HLOOKUP("Provisioned MiB",'vInfo (Imported)'!$1:$5000,M909,FALSE)</f>
        <v>0</v>
      </c>
      <c r="U909">
        <f t="shared" si="43"/>
        <v>0</v>
      </c>
      <c r="V909">
        <f>HLOOKUP("In Use MiB",'vInfo (Imported)'!$1:$5000,M909,FALSE)</f>
        <v>0</v>
      </c>
    </row>
    <row r="910" spans="1:22" ht="13" x14ac:dyDescent="0.3">
      <c r="A910" s="46">
        <f>'vHosts (Imported)'!A910</f>
        <v>0</v>
      </c>
      <c r="B910" s="51">
        <f t="shared" si="42"/>
        <v>4968</v>
      </c>
      <c r="C910" s="49">
        <f>HLOOKUP("# Cores",'vHosts (Imported)'!$1:$5000,M910,FALSE)</f>
        <v>0</v>
      </c>
      <c r="D910" s="52">
        <f>HLOOKUP("# Memory",'vHosts (Imported)'!$1:$5000,M910,FALSE)</f>
        <v>0</v>
      </c>
      <c r="M910" s="45">
        <f t="shared" si="44"/>
        <v>910</v>
      </c>
      <c r="N910" s="38">
        <f>HLOOKUP("Host",'vInfo (Imported)'!$1:$5000,M910,FALSE)</f>
        <v>0</v>
      </c>
      <c r="R910">
        <f>HLOOKUP("CPUs",'vInfo (Imported)'!$1:$5000,M910,FALSE)</f>
        <v>0</v>
      </c>
      <c r="S910">
        <f>HLOOKUP("Memory",'vInfo (Imported)'!$1:$5000,M910,FALSE)</f>
        <v>0</v>
      </c>
      <c r="T910">
        <f>HLOOKUP("Provisioned MiB",'vInfo (Imported)'!$1:$5000,M910,FALSE)</f>
        <v>0</v>
      </c>
      <c r="U910">
        <f t="shared" si="43"/>
        <v>0</v>
      </c>
      <c r="V910">
        <f>HLOOKUP("In Use MiB",'vInfo (Imported)'!$1:$5000,M910,FALSE)</f>
        <v>0</v>
      </c>
    </row>
    <row r="911" spans="1:22" ht="13" x14ac:dyDescent="0.3">
      <c r="A911" s="46">
        <f>'vHosts (Imported)'!A911</f>
        <v>0</v>
      </c>
      <c r="B911" s="51">
        <f t="shared" si="42"/>
        <v>4968</v>
      </c>
      <c r="C911" s="49">
        <f>HLOOKUP("# Cores",'vHosts (Imported)'!$1:$5000,M911,FALSE)</f>
        <v>0</v>
      </c>
      <c r="D911" s="52">
        <f>HLOOKUP("# Memory",'vHosts (Imported)'!$1:$5000,M911,FALSE)</f>
        <v>0</v>
      </c>
      <c r="M911" s="45">
        <f t="shared" si="44"/>
        <v>911</v>
      </c>
      <c r="N911" s="38">
        <f>HLOOKUP("Host",'vInfo (Imported)'!$1:$5000,M911,FALSE)</f>
        <v>0</v>
      </c>
      <c r="R911">
        <f>HLOOKUP("CPUs",'vInfo (Imported)'!$1:$5000,M911,FALSE)</f>
        <v>0</v>
      </c>
      <c r="S911">
        <f>HLOOKUP("Memory",'vInfo (Imported)'!$1:$5000,M911,FALSE)</f>
        <v>0</v>
      </c>
      <c r="T911">
        <f>HLOOKUP("Provisioned MiB",'vInfo (Imported)'!$1:$5000,M911,FALSE)</f>
        <v>0</v>
      </c>
      <c r="U911">
        <f t="shared" si="43"/>
        <v>0</v>
      </c>
      <c r="V911">
        <f>HLOOKUP("In Use MiB",'vInfo (Imported)'!$1:$5000,M911,FALSE)</f>
        <v>0</v>
      </c>
    </row>
    <row r="912" spans="1:22" ht="13" x14ac:dyDescent="0.3">
      <c r="A912" s="46">
        <f>'vHosts (Imported)'!A912</f>
        <v>0</v>
      </c>
      <c r="B912" s="51">
        <f t="shared" si="42"/>
        <v>4968</v>
      </c>
      <c r="C912" s="49">
        <f>HLOOKUP("# Cores",'vHosts (Imported)'!$1:$5000,M912,FALSE)</f>
        <v>0</v>
      </c>
      <c r="D912" s="52">
        <f>HLOOKUP("# Memory",'vHosts (Imported)'!$1:$5000,M912,FALSE)</f>
        <v>0</v>
      </c>
      <c r="M912" s="45">
        <f t="shared" si="44"/>
        <v>912</v>
      </c>
      <c r="N912" s="38">
        <f>HLOOKUP("Host",'vInfo (Imported)'!$1:$5000,M912,FALSE)</f>
        <v>0</v>
      </c>
      <c r="R912">
        <f>HLOOKUP("CPUs",'vInfo (Imported)'!$1:$5000,M912,FALSE)</f>
        <v>0</v>
      </c>
      <c r="S912">
        <f>HLOOKUP("Memory",'vInfo (Imported)'!$1:$5000,M912,FALSE)</f>
        <v>0</v>
      </c>
      <c r="T912">
        <f>HLOOKUP("Provisioned MiB",'vInfo (Imported)'!$1:$5000,M912,FALSE)</f>
        <v>0</v>
      </c>
      <c r="U912">
        <f t="shared" si="43"/>
        <v>0</v>
      </c>
      <c r="V912">
        <f>HLOOKUP("In Use MiB",'vInfo (Imported)'!$1:$5000,M912,FALSE)</f>
        <v>0</v>
      </c>
    </row>
    <row r="913" spans="1:22" ht="13" x14ac:dyDescent="0.3">
      <c r="A913" s="46">
        <f>'vHosts (Imported)'!A913</f>
        <v>0</v>
      </c>
      <c r="B913" s="51">
        <f t="shared" si="42"/>
        <v>4968</v>
      </c>
      <c r="C913" s="49">
        <f>HLOOKUP("# Cores",'vHosts (Imported)'!$1:$5000,M913,FALSE)</f>
        <v>0</v>
      </c>
      <c r="D913" s="52">
        <f>HLOOKUP("# Memory",'vHosts (Imported)'!$1:$5000,M913,FALSE)</f>
        <v>0</v>
      </c>
      <c r="M913" s="45">
        <f t="shared" si="44"/>
        <v>913</v>
      </c>
      <c r="N913" s="38">
        <f>HLOOKUP("Host",'vInfo (Imported)'!$1:$5000,M913,FALSE)</f>
        <v>0</v>
      </c>
      <c r="R913">
        <f>HLOOKUP("CPUs",'vInfo (Imported)'!$1:$5000,M913,FALSE)</f>
        <v>0</v>
      </c>
      <c r="S913">
        <f>HLOOKUP("Memory",'vInfo (Imported)'!$1:$5000,M913,FALSE)</f>
        <v>0</v>
      </c>
      <c r="T913">
        <f>HLOOKUP("Provisioned MiB",'vInfo (Imported)'!$1:$5000,M913,FALSE)</f>
        <v>0</v>
      </c>
      <c r="U913">
        <f t="shared" si="43"/>
        <v>0</v>
      </c>
      <c r="V913">
        <f>HLOOKUP("In Use MiB",'vInfo (Imported)'!$1:$5000,M913,FALSE)</f>
        <v>0</v>
      </c>
    </row>
    <row r="914" spans="1:22" ht="13" x14ac:dyDescent="0.3">
      <c r="A914" s="46">
        <f>'vHosts (Imported)'!A914</f>
        <v>0</v>
      </c>
      <c r="B914" s="51">
        <f t="shared" si="42"/>
        <v>4968</v>
      </c>
      <c r="C914" s="49">
        <f>HLOOKUP("# Cores",'vHosts (Imported)'!$1:$5000,M914,FALSE)</f>
        <v>0</v>
      </c>
      <c r="D914" s="52">
        <f>HLOOKUP("# Memory",'vHosts (Imported)'!$1:$5000,M914,FALSE)</f>
        <v>0</v>
      </c>
      <c r="M914" s="45">
        <f t="shared" si="44"/>
        <v>914</v>
      </c>
      <c r="N914" s="38">
        <f>HLOOKUP("Host",'vInfo (Imported)'!$1:$5000,M914,FALSE)</f>
        <v>0</v>
      </c>
      <c r="R914">
        <f>HLOOKUP("CPUs",'vInfo (Imported)'!$1:$5000,M914,FALSE)</f>
        <v>0</v>
      </c>
      <c r="S914">
        <f>HLOOKUP("Memory",'vInfo (Imported)'!$1:$5000,M914,FALSE)</f>
        <v>0</v>
      </c>
      <c r="T914">
        <f>HLOOKUP("Provisioned MiB",'vInfo (Imported)'!$1:$5000,M914,FALSE)</f>
        <v>0</v>
      </c>
      <c r="U914">
        <f t="shared" si="43"/>
        <v>0</v>
      </c>
      <c r="V914">
        <f>HLOOKUP("In Use MiB",'vInfo (Imported)'!$1:$5000,M914,FALSE)</f>
        <v>0</v>
      </c>
    </row>
    <row r="915" spans="1:22" ht="13" x14ac:dyDescent="0.3">
      <c r="A915" s="46">
        <f>'vHosts (Imported)'!A915</f>
        <v>0</v>
      </c>
      <c r="B915" s="51">
        <f t="shared" si="42"/>
        <v>4968</v>
      </c>
      <c r="C915" s="49">
        <f>HLOOKUP("# Cores",'vHosts (Imported)'!$1:$5000,M915,FALSE)</f>
        <v>0</v>
      </c>
      <c r="D915" s="52">
        <f>HLOOKUP("# Memory",'vHosts (Imported)'!$1:$5000,M915,FALSE)</f>
        <v>0</v>
      </c>
      <c r="M915" s="45">
        <f t="shared" si="44"/>
        <v>915</v>
      </c>
      <c r="N915" s="38">
        <f>HLOOKUP("Host",'vInfo (Imported)'!$1:$5000,M915,FALSE)</f>
        <v>0</v>
      </c>
      <c r="R915">
        <f>HLOOKUP("CPUs",'vInfo (Imported)'!$1:$5000,M915,FALSE)</f>
        <v>0</v>
      </c>
      <c r="S915">
        <f>HLOOKUP("Memory",'vInfo (Imported)'!$1:$5000,M915,FALSE)</f>
        <v>0</v>
      </c>
      <c r="T915">
        <f>HLOOKUP("Provisioned MiB",'vInfo (Imported)'!$1:$5000,M915,FALSE)</f>
        <v>0</v>
      </c>
      <c r="U915">
        <f t="shared" si="43"/>
        <v>0</v>
      </c>
      <c r="V915">
        <f>HLOOKUP("In Use MiB",'vInfo (Imported)'!$1:$5000,M915,FALSE)</f>
        <v>0</v>
      </c>
    </row>
    <row r="916" spans="1:22" ht="13" x14ac:dyDescent="0.3">
      <c r="A916" s="46">
        <f>'vHosts (Imported)'!A916</f>
        <v>0</v>
      </c>
      <c r="B916" s="51">
        <f t="shared" si="42"/>
        <v>4968</v>
      </c>
      <c r="C916" s="49">
        <f>HLOOKUP("# Cores",'vHosts (Imported)'!$1:$5000,M916,FALSE)</f>
        <v>0</v>
      </c>
      <c r="D916" s="52">
        <f>HLOOKUP("# Memory",'vHosts (Imported)'!$1:$5000,M916,FALSE)</f>
        <v>0</v>
      </c>
      <c r="M916" s="45">
        <f t="shared" si="44"/>
        <v>916</v>
      </c>
      <c r="N916" s="38">
        <f>HLOOKUP("Host",'vInfo (Imported)'!$1:$5000,M916,FALSE)</f>
        <v>0</v>
      </c>
      <c r="R916">
        <f>HLOOKUP("CPUs",'vInfo (Imported)'!$1:$5000,M916,FALSE)</f>
        <v>0</v>
      </c>
      <c r="S916">
        <f>HLOOKUP("Memory",'vInfo (Imported)'!$1:$5000,M916,FALSE)</f>
        <v>0</v>
      </c>
      <c r="T916">
        <f>HLOOKUP("Provisioned MiB",'vInfo (Imported)'!$1:$5000,M916,FALSE)</f>
        <v>0</v>
      </c>
      <c r="U916">
        <f t="shared" si="43"/>
        <v>0</v>
      </c>
      <c r="V916">
        <f>HLOOKUP("In Use MiB",'vInfo (Imported)'!$1:$5000,M916,FALSE)</f>
        <v>0</v>
      </c>
    </row>
    <row r="917" spans="1:22" ht="13" x14ac:dyDescent="0.3">
      <c r="A917" s="46">
        <f>'vHosts (Imported)'!A917</f>
        <v>0</v>
      </c>
      <c r="B917" s="51">
        <f t="shared" si="42"/>
        <v>4968</v>
      </c>
      <c r="C917" s="49">
        <f>HLOOKUP("# Cores",'vHosts (Imported)'!$1:$5000,M917,FALSE)</f>
        <v>0</v>
      </c>
      <c r="D917" s="52">
        <f>HLOOKUP("# Memory",'vHosts (Imported)'!$1:$5000,M917,FALSE)</f>
        <v>0</v>
      </c>
      <c r="M917" s="45">
        <f t="shared" si="44"/>
        <v>917</v>
      </c>
      <c r="N917" s="38">
        <f>HLOOKUP("Host",'vInfo (Imported)'!$1:$5000,M917,FALSE)</f>
        <v>0</v>
      </c>
      <c r="R917">
        <f>HLOOKUP("CPUs",'vInfo (Imported)'!$1:$5000,M917,FALSE)</f>
        <v>0</v>
      </c>
      <c r="S917">
        <f>HLOOKUP("Memory",'vInfo (Imported)'!$1:$5000,M917,FALSE)</f>
        <v>0</v>
      </c>
      <c r="T917">
        <f>HLOOKUP("Provisioned MiB",'vInfo (Imported)'!$1:$5000,M917,FALSE)</f>
        <v>0</v>
      </c>
      <c r="U917">
        <f t="shared" si="43"/>
        <v>0</v>
      </c>
      <c r="V917">
        <f>HLOOKUP("In Use MiB",'vInfo (Imported)'!$1:$5000,M917,FALSE)</f>
        <v>0</v>
      </c>
    </row>
    <row r="918" spans="1:22" ht="13" x14ac:dyDescent="0.3">
      <c r="A918" s="46">
        <f>'vHosts (Imported)'!A918</f>
        <v>0</v>
      </c>
      <c r="B918" s="51">
        <f t="shared" si="42"/>
        <v>4968</v>
      </c>
      <c r="C918" s="49">
        <f>HLOOKUP("# Cores",'vHosts (Imported)'!$1:$5000,M918,FALSE)</f>
        <v>0</v>
      </c>
      <c r="D918" s="52">
        <f>HLOOKUP("# Memory",'vHosts (Imported)'!$1:$5000,M918,FALSE)</f>
        <v>0</v>
      </c>
      <c r="M918" s="45">
        <f t="shared" si="44"/>
        <v>918</v>
      </c>
      <c r="N918" s="38">
        <f>HLOOKUP("Host",'vInfo (Imported)'!$1:$5000,M918,FALSE)</f>
        <v>0</v>
      </c>
      <c r="R918">
        <f>HLOOKUP("CPUs",'vInfo (Imported)'!$1:$5000,M918,FALSE)</f>
        <v>0</v>
      </c>
      <c r="S918">
        <f>HLOOKUP("Memory",'vInfo (Imported)'!$1:$5000,M918,FALSE)</f>
        <v>0</v>
      </c>
      <c r="T918">
        <f>HLOOKUP("Provisioned MiB",'vInfo (Imported)'!$1:$5000,M918,FALSE)</f>
        <v>0</v>
      </c>
      <c r="U918">
        <f t="shared" si="43"/>
        <v>0</v>
      </c>
      <c r="V918">
        <f>HLOOKUP("In Use MiB",'vInfo (Imported)'!$1:$5000,M918,FALSE)</f>
        <v>0</v>
      </c>
    </row>
    <row r="919" spans="1:22" ht="13" x14ac:dyDescent="0.3">
      <c r="A919" s="46">
        <f>'vHosts (Imported)'!A919</f>
        <v>0</v>
      </c>
      <c r="B919" s="51">
        <f t="shared" si="42"/>
        <v>4968</v>
      </c>
      <c r="C919" s="49">
        <f>HLOOKUP("# Cores",'vHosts (Imported)'!$1:$5000,M919,FALSE)</f>
        <v>0</v>
      </c>
      <c r="D919" s="52">
        <f>HLOOKUP("# Memory",'vHosts (Imported)'!$1:$5000,M919,FALSE)</f>
        <v>0</v>
      </c>
      <c r="M919" s="45">
        <f t="shared" si="44"/>
        <v>919</v>
      </c>
      <c r="N919" s="38">
        <f>HLOOKUP("Host",'vInfo (Imported)'!$1:$5000,M919,FALSE)</f>
        <v>0</v>
      </c>
      <c r="R919">
        <f>HLOOKUP("CPUs",'vInfo (Imported)'!$1:$5000,M919,FALSE)</f>
        <v>0</v>
      </c>
      <c r="S919">
        <f>HLOOKUP("Memory",'vInfo (Imported)'!$1:$5000,M919,FALSE)</f>
        <v>0</v>
      </c>
      <c r="T919">
        <f>HLOOKUP("Provisioned MiB",'vInfo (Imported)'!$1:$5000,M919,FALSE)</f>
        <v>0</v>
      </c>
      <c r="U919">
        <f t="shared" si="43"/>
        <v>0</v>
      </c>
      <c r="V919">
        <f>HLOOKUP("In Use MiB",'vInfo (Imported)'!$1:$5000,M919,FALSE)</f>
        <v>0</v>
      </c>
    </row>
    <row r="920" spans="1:22" ht="13" x14ac:dyDescent="0.3">
      <c r="A920" s="46">
        <f>'vHosts (Imported)'!A920</f>
        <v>0</v>
      </c>
      <c r="B920" s="51">
        <f t="shared" si="42"/>
        <v>4968</v>
      </c>
      <c r="C920" s="49">
        <f>HLOOKUP("# Cores",'vHosts (Imported)'!$1:$5000,M920,FALSE)</f>
        <v>0</v>
      </c>
      <c r="D920" s="52">
        <f>HLOOKUP("# Memory",'vHosts (Imported)'!$1:$5000,M920,FALSE)</f>
        <v>0</v>
      </c>
      <c r="M920" s="45">
        <f t="shared" si="44"/>
        <v>920</v>
      </c>
      <c r="N920" s="38">
        <f>HLOOKUP("Host",'vInfo (Imported)'!$1:$5000,M920,FALSE)</f>
        <v>0</v>
      </c>
      <c r="R920">
        <f>HLOOKUP("CPUs",'vInfo (Imported)'!$1:$5000,M920,FALSE)</f>
        <v>0</v>
      </c>
      <c r="S920">
        <f>HLOOKUP("Memory",'vInfo (Imported)'!$1:$5000,M920,FALSE)</f>
        <v>0</v>
      </c>
      <c r="T920">
        <f>HLOOKUP("Provisioned MiB",'vInfo (Imported)'!$1:$5000,M920,FALSE)</f>
        <v>0</v>
      </c>
      <c r="U920">
        <f t="shared" si="43"/>
        <v>0</v>
      </c>
      <c r="V920">
        <f>HLOOKUP("In Use MiB",'vInfo (Imported)'!$1:$5000,M920,FALSE)</f>
        <v>0</v>
      </c>
    </row>
    <row r="921" spans="1:22" ht="13" x14ac:dyDescent="0.3">
      <c r="A921" s="46">
        <f>'vHosts (Imported)'!A921</f>
        <v>0</v>
      </c>
      <c r="B921" s="51">
        <f t="shared" si="42"/>
        <v>4968</v>
      </c>
      <c r="C921" s="49">
        <f>HLOOKUP("# Cores",'vHosts (Imported)'!$1:$5000,M921,FALSE)</f>
        <v>0</v>
      </c>
      <c r="D921" s="52">
        <f>HLOOKUP("# Memory",'vHosts (Imported)'!$1:$5000,M921,FALSE)</f>
        <v>0</v>
      </c>
      <c r="M921" s="45">
        <f t="shared" si="44"/>
        <v>921</v>
      </c>
      <c r="N921" s="38">
        <f>HLOOKUP("Host",'vInfo (Imported)'!$1:$5000,M921,FALSE)</f>
        <v>0</v>
      </c>
      <c r="R921">
        <f>HLOOKUP("CPUs",'vInfo (Imported)'!$1:$5000,M921,FALSE)</f>
        <v>0</v>
      </c>
      <c r="S921">
        <f>HLOOKUP("Memory",'vInfo (Imported)'!$1:$5000,M921,FALSE)</f>
        <v>0</v>
      </c>
      <c r="T921">
        <f>HLOOKUP("Provisioned MiB",'vInfo (Imported)'!$1:$5000,M921,FALSE)</f>
        <v>0</v>
      </c>
      <c r="U921">
        <f t="shared" si="43"/>
        <v>0</v>
      </c>
      <c r="V921">
        <f>HLOOKUP("In Use MiB",'vInfo (Imported)'!$1:$5000,M921,FALSE)</f>
        <v>0</v>
      </c>
    </row>
    <row r="922" spans="1:22" ht="13" x14ac:dyDescent="0.3">
      <c r="A922" s="46">
        <f>'vHosts (Imported)'!A922</f>
        <v>0</v>
      </c>
      <c r="B922" s="51">
        <f t="shared" si="42"/>
        <v>4968</v>
      </c>
      <c r="C922" s="49">
        <f>HLOOKUP("# Cores",'vHosts (Imported)'!$1:$5000,M922,FALSE)</f>
        <v>0</v>
      </c>
      <c r="D922" s="52">
        <f>HLOOKUP("# Memory",'vHosts (Imported)'!$1:$5000,M922,FALSE)</f>
        <v>0</v>
      </c>
      <c r="M922" s="45">
        <f t="shared" si="44"/>
        <v>922</v>
      </c>
      <c r="N922" s="38">
        <f>HLOOKUP("Host",'vInfo (Imported)'!$1:$5000,M922,FALSE)</f>
        <v>0</v>
      </c>
      <c r="R922">
        <f>HLOOKUP("CPUs",'vInfo (Imported)'!$1:$5000,M922,FALSE)</f>
        <v>0</v>
      </c>
      <c r="S922">
        <f>HLOOKUP("Memory",'vInfo (Imported)'!$1:$5000,M922,FALSE)</f>
        <v>0</v>
      </c>
      <c r="T922">
        <f>HLOOKUP("Provisioned MiB",'vInfo (Imported)'!$1:$5000,M922,FALSE)</f>
        <v>0</v>
      </c>
      <c r="U922">
        <f t="shared" si="43"/>
        <v>0</v>
      </c>
      <c r="V922">
        <f>HLOOKUP("In Use MiB",'vInfo (Imported)'!$1:$5000,M922,FALSE)</f>
        <v>0</v>
      </c>
    </row>
    <row r="923" spans="1:22" ht="13" x14ac:dyDescent="0.3">
      <c r="A923" s="46">
        <f>'vHosts (Imported)'!A923</f>
        <v>0</v>
      </c>
      <c r="B923" s="51">
        <f t="shared" si="42"/>
        <v>4968</v>
      </c>
      <c r="C923" s="49">
        <f>HLOOKUP("# Cores",'vHosts (Imported)'!$1:$5000,M923,FALSE)</f>
        <v>0</v>
      </c>
      <c r="D923" s="52">
        <f>HLOOKUP("# Memory",'vHosts (Imported)'!$1:$5000,M923,FALSE)</f>
        <v>0</v>
      </c>
      <c r="M923" s="45">
        <f t="shared" si="44"/>
        <v>923</v>
      </c>
      <c r="N923" s="38">
        <f>HLOOKUP("Host",'vInfo (Imported)'!$1:$5000,M923,FALSE)</f>
        <v>0</v>
      </c>
      <c r="R923">
        <f>HLOOKUP("CPUs",'vInfo (Imported)'!$1:$5000,M923,FALSE)</f>
        <v>0</v>
      </c>
      <c r="S923">
        <f>HLOOKUP("Memory",'vInfo (Imported)'!$1:$5000,M923,FALSE)</f>
        <v>0</v>
      </c>
      <c r="T923">
        <f>HLOOKUP("Provisioned MiB",'vInfo (Imported)'!$1:$5000,M923,FALSE)</f>
        <v>0</v>
      </c>
      <c r="U923">
        <f t="shared" si="43"/>
        <v>0</v>
      </c>
      <c r="V923">
        <f>HLOOKUP("In Use MiB",'vInfo (Imported)'!$1:$5000,M923,FALSE)</f>
        <v>0</v>
      </c>
    </row>
    <row r="924" spans="1:22" ht="13" x14ac:dyDescent="0.3">
      <c r="A924" s="46">
        <f>'vHosts (Imported)'!A924</f>
        <v>0</v>
      </c>
      <c r="B924" s="51">
        <f t="shared" si="42"/>
        <v>4968</v>
      </c>
      <c r="C924" s="49">
        <f>HLOOKUP("# Cores",'vHosts (Imported)'!$1:$5000,M924,FALSE)</f>
        <v>0</v>
      </c>
      <c r="D924" s="52">
        <f>HLOOKUP("# Memory",'vHosts (Imported)'!$1:$5000,M924,FALSE)</f>
        <v>0</v>
      </c>
      <c r="M924" s="45">
        <f t="shared" si="44"/>
        <v>924</v>
      </c>
      <c r="N924" s="38">
        <f>HLOOKUP("Host",'vInfo (Imported)'!$1:$5000,M924,FALSE)</f>
        <v>0</v>
      </c>
      <c r="R924">
        <f>HLOOKUP("CPUs",'vInfo (Imported)'!$1:$5000,M924,FALSE)</f>
        <v>0</v>
      </c>
      <c r="S924">
        <f>HLOOKUP("Memory",'vInfo (Imported)'!$1:$5000,M924,FALSE)</f>
        <v>0</v>
      </c>
      <c r="T924">
        <f>HLOOKUP("Provisioned MiB",'vInfo (Imported)'!$1:$5000,M924,FALSE)</f>
        <v>0</v>
      </c>
      <c r="U924">
        <f t="shared" si="43"/>
        <v>0</v>
      </c>
      <c r="V924">
        <f>HLOOKUP("In Use MiB",'vInfo (Imported)'!$1:$5000,M924,FALSE)</f>
        <v>0</v>
      </c>
    </row>
    <row r="925" spans="1:22" ht="13" x14ac:dyDescent="0.3">
      <c r="A925" s="46">
        <f>'vHosts (Imported)'!A925</f>
        <v>0</v>
      </c>
      <c r="B925" s="51">
        <f t="shared" si="42"/>
        <v>4968</v>
      </c>
      <c r="C925" s="49">
        <f>HLOOKUP("# Cores",'vHosts (Imported)'!$1:$5000,M925,FALSE)</f>
        <v>0</v>
      </c>
      <c r="D925" s="52">
        <f>HLOOKUP("# Memory",'vHosts (Imported)'!$1:$5000,M925,FALSE)</f>
        <v>0</v>
      </c>
      <c r="M925" s="45">
        <f t="shared" si="44"/>
        <v>925</v>
      </c>
      <c r="N925" s="38">
        <f>HLOOKUP("Host",'vInfo (Imported)'!$1:$5000,M925,FALSE)</f>
        <v>0</v>
      </c>
      <c r="R925">
        <f>HLOOKUP("CPUs",'vInfo (Imported)'!$1:$5000,M925,FALSE)</f>
        <v>0</v>
      </c>
      <c r="S925">
        <f>HLOOKUP("Memory",'vInfo (Imported)'!$1:$5000,M925,FALSE)</f>
        <v>0</v>
      </c>
      <c r="T925">
        <f>HLOOKUP("Provisioned MiB",'vInfo (Imported)'!$1:$5000,M925,FALSE)</f>
        <v>0</v>
      </c>
      <c r="U925">
        <f t="shared" si="43"/>
        <v>0</v>
      </c>
      <c r="V925">
        <f>HLOOKUP("In Use MiB",'vInfo (Imported)'!$1:$5000,M925,FALSE)</f>
        <v>0</v>
      </c>
    </row>
    <row r="926" spans="1:22" ht="13" x14ac:dyDescent="0.3">
      <c r="A926" s="46">
        <f>'vHosts (Imported)'!A926</f>
        <v>0</v>
      </c>
      <c r="B926" s="51">
        <f t="shared" si="42"/>
        <v>4968</v>
      </c>
      <c r="C926" s="49">
        <f>HLOOKUP("# Cores",'vHosts (Imported)'!$1:$5000,M926,FALSE)</f>
        <v>0</v>
      </c>
      <c r="D926" s="52">
        <f>HLOOKUP("# Memory",'vHosts (Imported)'!$1:$5000,M926,FALSE)</f>
        <v>0</v>
      </c>
      <c r="M926" s="45">
        <f t="shared" si="44"/>
        <v>926</v>
      </c>
      <c r="N926" s="38">
        <f>HLOOKUP("Host",'vInfo (Imported)'!$1:$5000,M926,FALSE)</f>
        <v>0</v>
      </c>
      <c r="R926">
        <f>HLOOKUP("CPUs",'vInfo (Imported)'!$1:$5000,M926,FALSE)</f>
        <v>0</v>
      </c>
      <c r="S926">
        <f>HLOOKUP("Memory",'vInfo (Imported)'!$1:$5000,M926,FALSE)</f>
        <v>0</v>
      </c>
      <c r="T926">
        <f>HLOOKUP("Provisioned MiB",'vInfo (Imported)'!$1:$5000,M926,FALSE)</f>
        <v>0</v>
      </c>
      <c r="U926">
        <f t="shared" si="43"/>
        <v>0</v>
      </c>
      <c r="V926">
        <f>HLOOKUP("In Use MiB",'vInfo (Imported)'!$1:$5000,M926,FALSE)</f>
        <v>0</v>
      </c>
    </row>
    <row r="927" spans="1:22" ht="13" x14ac:dyDescent="0.3">
      <c r="A927" s="46">
        <f>'vHosts (Imported)'!A927</f>
        <v>0</v>
      </c>
      <c r="B927" s="51">
        <f t="shared" si="42"/>
        <v>4968</v>
      </c>
      <c r="C927" s="49">
        <f>HLOOKUP("# Cores",'vHosts (Imported)'!$1:$5000,M927,FALSE)</f>
        <v>0</v>
      </c>
      <c r="D927" s="52">
        <f>HLOOKUP("# Memory",'vHosts (Imported)'!$1:$5000,M927,FALSE)</f>
        <v>0</v>
      </c>
      <c r="M927" s="45">
        <f t="shared" si="44"/>
        <v>927</v>
      </c>
      <c r="N927" s="38">
        <f>HLOOKUP("Host",'vInfo (Imported)'!$1:$5000,M927,FALSE)</f>
        <v>0</v>
      </c>
      <c r="R927">
        <f>HLOOKUP("CPUs",'vInfo (Imported)'!$1:$5000,M927,FALSE)</f>
        <v>0</v>
      </c>
      <c r="S927">
        <f>HLOOKUP("Memory",'vInfo (Imported)'!$1:$5000,M927,FALSE)</f>
        <v>0</v>
      </c>
      <c r="T927">
        <f>HLOOKUP("Provisioned MiB",'vInfo (Imported)'!$1:$5000,M927,FALSE)</f>
        <v>0</v>
      </c>
      <c r="U927">
        <f t="shared" si="43"/>
        <v>0</v>
      </c>
      <c r="V927">
        <f>HLOOKUP("In Use MiB",'vInfo (Imported)'!$1:$5000,M927,FALSE)</f>
        <v>0</v>
      </c>
    </row>
    <row r="928" spans="1:22" ht="13" x14ac:dyDescent="0.3">
      <c r="A928" s="46">
        <f>'vHosts (Imported)'!A928</f>
        <v>0</v>
      </c>
      <c r="B928" s="51">
        <f t="shared" si="42"/>
        <v>4968</v>
      </c>
      <c r="C928" s="49">
        <f>HLOOKUP("# Cores",'vHosts (Imported)'!$1:$5000,M928,FALSE)</f>
        <v>0</v>
      </c>
      <c r="D928" s="52">
        <f>HLOOKUP("# Memory",'vHosts (Imported)'!$1:$5000,M928,FALSE)</f>
        <v>0</v>
      </c>
      <c r="M928" s="45">
        <f t="shared" si="44"/>
        <v>928</v>
      </c>
      <c r="N928" s="38">
        <f>HLOOKUP("Host",'vInfo (Imported)'!$1:$5000,M928,FALSE)</f>
        <v>0</v>
      </c>
      <c r="R928">
        <f>HLOOKUP("CPUs",'vInfo (Imported)'!$1:$5000,M928,FALSE)</f>
        <v>0</v>
      </c>
      <c r="S928">
        <f>HLOOKUP("Memory",'vInfo (Imported)'!$1:$5000,M928,FALSE)</f>
        <v>0</v>
      </c>
      <c r="T928">
        <f>HLOOKUP("Provisioned MiB",'vInfo (Imported)'!$1:$5000,M928,FALSE)</f>
        <v>0</v>
      </c>
      <c r="U928">
        <f t="shared" si="43"/>
        <v>0</v>
      </c>
      <c r="V928">
        <f>HLOOKUP("In Use MiB",'vInfo (Imported)'!$1:$5000,M928,FALSE)</f>
        <v>0</v>
      </c>
    </row>
    <row r="929" spans="1:22" ht="13" x14ac:dyDescent="0.3">
      <c r="A929" s="46">
        <f>'vHosts (Imported)'!A929</f>
        <v>0</v>
      </c>
      <c r="B929" s="51">
        <f t="shared" si="42"/>
        <v>4968</v>
      </c>
      <c r="C929" s="49">
        <f>HLOOKUP("# Cores",'vHosts (Imported)'!$1:$5000,M929,FALSE)</f>
        <v>0</v>
      </c>
      <c r="D929" s="52">
        <f>HLOOKUP("# Memory",'vHosts (Imported)'!$1:$5000,M929,FALSE)</f>
        <v>0</v>
      </c>
      <c r="M929" s="45">
        <f t="shared" si="44"/>
        <v>929</v>
      </c>
      <c r="N929" s="38">
        <f>HLOOKUP("Host",'vInfo (Imported)'!$1:$5000,M929,FALSE)</f>
        <v>0</v>
      </c>
      <c r="R929">
        <f>HLOOKUP("CPUs",'vInfo (Imported)'!$1:$5000,M929,FALSE)</f>
        <v>0</v>
      </c>
      <c r="S929">
        <f>HLOOKUP("Memory",'vInfo (Imported)'!$1:$5000,M929,FALSE)</f>
        <v>0</v>
      </c>
      <c r="T929">
        <f>HLOOKUP("Provisioned MiB",'vInfo (Imported)'!$1:$5000,M929,FALSE)</f>
        <v>0</v>
      </c>
      <c r="U929">
        <f t="shared" si="43"/>
        <v>0</v>
      </c>
      <c r="V929">
        <f>HLOOKUP("In Use MiB",'vInfo (Imported)'!$1:$5000,M929,FALSE)</f>
        <v>0</v>
      </c>
    </row>
    <row r="930" spans="1:22" ht="13" x14ac:dyDescent="0.3">
      <c r="A930" s="46">
        <f>'vHosts (Imported)'!A930</f>
        <v>0</v>
      </c>
      <c r="B930" s="51">
        <f t="shared" si="42"/>
        <v>4968</v>
      </c>
      <c r="C930" s="49">
        <f>HLOOKUP("# Cores",'vHosts (Imported)'!$1:$5000,M930,FALSE)</f>
        <v>0</v>
      </c>
      <c r="D930" s="52">
        <f>HLOOKUP("# Memory",'vHosts (Imported)'!$1:$5000,M930,FALSE)</f>
        <v>0</v>
      </c>
      <c r="M930" s="45">
        <f t="shared" si="44"/>
        <v>930</v>
      </c>
      <c r="N930" s="38">
        <f>HLOOKUP("Host",'vInfo (Imported)'!$1:$5000,M930,FALSE)</f>
        <v>0</v>
      </c>
      <c r="R930">
        <f>HLOOKUP("CPUs",'vInfo (Imported)'!$1:$5000,M930,FALSE)</f>
        <v>0</v>
      </c>
      <c r="S930">
        <f>HLOOKUP("Memory",'vInfo (Imported)'!$1:$5000,M930,FALSE)</f>
        <v>0</v>
      </c>
      <c r="T930">
        <f>HLOOKUP("Provisioned MiB",'vInfo (Imported)'!$1:$5000,M930,FALSE)</f>
        <v>0</v>
      </c>
      <c r="U930">
        <f t="shared" si="43"/>
        <v>0</v>
      </c>
      <c r="V930">
        <f>HLOOKUP("In Use MiB",'vInfo (Imported)'!$1:$5000,M930,FALSE)</f>
        <v>0</v>
      </c>
    </row>
    <row r="931" spans="1:22" ht="13" x14ac:dyDescent="0.3">
      <c r="A931" s="46">
        <f>'vHosts (Imported)'!A931</f>
        <v>0</v>
      </c>
      <c r="B931" s="51">
        <f t="shared" si="42"/>
        <v>4968</v>
      </c>
      <c r="C931" s="49">
        <f>HLOOKUP("# Cores",'vHosts (Imported)'!$1:$5000,M931,FALSE)</f>
        <v>0</v>
      </c>
      <c r="D931" s="52">
        <f>HLOOKUP("# Memory",'vHosts (Imported)'!$1:$5000,M931,FALSE)</f>
        <v>0</v>
      </c>
      <c r="M931" s="45">
        <f t="shared" si="44"/>
        <v>931</v>
      </c>
      <c r="N931" s="38">
        <f>HLOOKUP("Host",'vInfo (Imported)'!$1:$5000,M931,FALSE)</f>
        <v>0</v>
      </c>
      <c r="R931">
        <f>HLOOKUP("CPUs",'vInfo (Imported)'!$1:$5000,M931,FALSE)</f>
        <v>0</v>
      </c>
      <c r="S931">
        <f>HLOOKUP("Memory",'vInfo (Imported)'!$1:$5000,M931,FALSE)</f>
        <v>0</v>
      </c>
      <c r="T931">
        <f>HLOOKUP("Provisioned MiB",'vInfo (Imported)'!$1:$5000,M931,FALSE)</f>
        <v>0</v>
      </c>
      <c r="U931">
        <f t="shared" si="43"/>
        <v>0</v>
      </c>
      <c r="V931">
        <f>HLOOKUP("In Use MiB",'vInfo (Imported)'!$1:$5000,M931,FALSE)</f>
        <v>0</v>
      </c>
    </row>
    <row r="932" spans="1:22" ht="13" x14ac:dyDescent="0.3">
      <c r="A932" s="46">
        <f>'vHosts (Imported)'!A932</f>
        <v>0</v>
      </c>
      <c r="B932" s="51">
        <f t="shared" si="42"/>
        <v>4968</v>
      </c>
      <c r="C932" s="49">
        <f>HLOOKUP("# Cores",'vHosts (Imported)'!$1:$5000,M932,FALSE)</f>
        <v>0</v>
      </c>
      <c r="D932" s="52">
        <f>HLOOKUP("# Memory",'vHosts (Imported)'!$1:$5000,M932,FALSE)</f>
        <v>0</v>
      </c>
      <c r="M932" s="45">
        <f t="shared" si="44"/>
        <v>932</v>
      </c>
      <c r="N932" s="38">
        <f>HLOOKUP("Host",'vInfo (Imported)'!$1:$5000,M932,FALSE)</f>
        <v>0</v>
      </c>
      <c r="R932">
        <f>HLOOKUP("CPUs",'vInfo (Imported)'!$1:$5000,M932,FALSE)</f>
        <v>0</v>
      </c>
      <c r="S932">
        <f>HLOOKUP("Memory",'vInfo (Imported)'!$1:$5000,M932,FALSE)</f>
        <v>0</v>
      </c>
      <c r="T932">
        <f>HLOOKUP("Provisioned MiB",'vInfo (Imported)'!$1:$5000,M932,FALSE)</f>
        <v>0</v>
      </c>
      <c r="U932">
        <f t="shared" si="43"/>
        <v>0</v>
      </c>
      <c r="V932">
        <f>HLOOKUP("In Use MiB",'vInfo (Imported)'!$1:$5000,M932,FALSE)</f>
        <v>0</v>
      </c>
    </row>
    <row r="933" spans="1:22" ht="13" x14ac:dyDescent="0.3">
      <c r="A933" s="46">
        <f>'vHosts (Imported)'!A933</f>
        <v>0</v>
      </c>
      <c r="B933" s="51">
        <f t="shared" si="42"/>
        <v>4968</v>
      </c>
      <c r="C933" s="49">
        <f>HLOOKUP("# Cores",'vHosts (Imported)'!$1:$5000,M933,FALSE)</f>
        <v>0</v>
      </c>
      <c r="D933" s="52">
        <f>HLOOKUP("# Memory",'vHosts (Imported)'!$1:$5000,M933,FALSE)</f>
        <v>0</v>
      </c>
      <c r="M933" s="45">
        <f t="shared" si="44"/>
        <v>933</v>
      </c>
      <c r="N933" s="38">
        <f>HLOOKUP("Host",'vInfo (Imported)'!$1:$5000,M933,FALSE)</f>
        <v>0</v>
      </c>
      <c r="R933">
        <f>HLOOKUP("CPUs",'vInfo (Imported)'!$1:$5000,M933,FALSE)</f>
        <v>0</v>
      </c>
      <c r="S933">
        <f>HLOOKUP("Memory",'vInfo (Imported)'!$1:$5000,M933,FALSE)</f>
        <v>0</v>
      </c>
      <c r="T933">
        <f>HLOOKUP("Provisioned MiB",'vInfo (Imported)'!$1:$5000,M933,FALSE)</f>
        <v>0</v>
      </c>
      <c r="U933">
        <f t="shared" si="43"/>
        <v>0</v>
      </c>
      <c r="V933">
        <f>HLOOKUP("In Use MiB",'vInfo (Imported)'!$1:$5000,M933,FALSE)</f>
        <v>0</v>
      </c>
    </row>
    <row r="934" spans="1:22" ht="13" x14ac:dyDescent="0.3">
      <c r="A934" s="46">
        <f>'vHosts (Imported)'!A934</f>
        <v>0</v>
      </c>
      <c r="B934" s="51">
        <f t="shared" si="42"/>
        <v>4968</v>
      </c>
      <c r="C934" s="49">
        <f>HLOOKUP("# Cores",'vHosts (Imported)'!$1:$5000,M934,FALSE)</f>
        <v>0</v>
      </c>
      <c r="D934" s="52">
        <f>HLOOKUP("# Memory",'vHosts (Imported)'!$1:$5000,M934,FALSE)</f>
        <v>0</v>
      </c>
      <c r="M934" s="45">
        <f t="shared" si="44"/>
        <v>934</v>
      </c>
      <c r="N934" s="38">
        <f>HLOOKUP("Host",'vInfo (Imported)'!$1:$5000,M934,FALSE)</f>
        <v>0</v>
      </c>
      <c r="R934">
        <f>HLOOKUP("CPUs",'vInfo (Imported)'!$1:$5000,M934,FALSE)</f>
        <v>0</v>
      </c>
      <c r="S934">
        <f>HLOOKUP("Memory",'vInfo (Imported)'!$1:$5000,M934,FALSE)</f>
        <v>0</v>
      </c>
      <c r="T934">
        <f>HLOOKUP("Provisioned MiB",'vInfo (Imported)'!$1:$5000,M934,FALSE)</f>
        <v>0</v>
      </c>
      <c r="U934">
        <f t="shared" si="43"/>
        <v>0</v>
      </c>
      <c r="V934">
        <f>HLOOKUP("In Use MiB",'vInfo (Imported)'!$1:$5000,M934,FALSE)</f>
        <v>0</v>
      </c>
    </row>
    <row r="935" spans="1:22" ht="13" x14ac:dyDescent="0.3">
      <c r="A935" s="46">
        <f>'vHosts (Imported)'!A935</f>
        <v>0</v>
      </c>
      <c r="B935" s="51">
        <f t="shared" si="42"/>
        <v>4968</v>
      </c>
      <c r="C935" s="49">
        <f>HLOOKUP("# Cores",'vHosts (Imported)'!$1:$5000,M935,FALSE)</f>
        <v>0</v>
      </c>
      <c r="D935" s="52">
        <f>HLOOKUP("# Memory",'vHosts (Imported)'!$1:$5000,M935,FALSE)</f>
        <v>0</v>
      </c>
      <c r="M935" s="45">
        <f t="shared" si="44"/>
        <v>935</v>
      </c>
      <c r="N935" s="38">
        <f>HLOOKUP("Host",'vInfo (Imported)'!$1:$5000,M935,FALSE)</f>
        <v>0</v>
      </c>
      <c r="R935">
        <f>HLOOKUP("CPUs",'vInfo (Imported)'!$1:$5000,M935,FALSE)</f>
        <v>0</v>
      </c>
      <c r="S935">
        <f>HLOOKUP("Memory",'vInfo (Imported)'!$1:$5000,M935,FALSE)</f>
        <v>0</v>
      </c>
      <c r="T935">
        <f>HLOOKUP("Provisioned MiB",'vInfo (Imported)'!$1:$5000,M935,FALSE)</f>
        <v>0</v>
      </c>
      <c r="U935">
        <f t="shared" si="43"/>
        <v>0</v>
      </c>
      <c r="V935">
        <f>HLOOKUP("In Use MiB",'vInfo (Imported)'!$1:$5000,M935,FALSE)</f>
        <v>0</v>
      </c>
    </row>
    <row r="936" spans="1:22" ht="13" x14ac:dyDescent="0.3">
      <c r="A936" s="46">
        <f>'vHosts (Imported)'!A936</f>
        <v>0</v>
      </c>
      <c r="B936" s="51">
        <f t="shared" ref="B936:B999" si="45">COUNTIF(N:N,A936)</f>
        <v>4968</v>
      </c>
      <c r="C936" s="49">
        <f>HLOOKUP("# Cores",'vHosts (Imported)'!$1:$5000,M936,FALSE)</f>
        <v>0</v>
      </c>
      <c r="D936" s="52">
        <f>HLOOKUP("# Memory",'vHosts (Imported)'!$1:$5000,M936,FALSE)</f>
        <v>0</v>
      </c>
      <c r="M936" s="45">
        <f t="shared" si="44"/>
        <v>936</v>
      </c>
      <c r="N936" s="38">
        <f>HLOOKUP("Host",'vInfo (Imported)'!$1:$5000,M936,FALSE)</f>
        <v>0</v>
      </c>
      <c r="R936">
        <f>HLOOKUP("CPUs",'vInfo (Imported)'!$1:$5000,M936,FALSE)</f>
        <v>0</v>
      </c>
      <c r="S936">
        <f>HLOOKUP("Memory",'vInfo (Imported)'!$1:$5000,M936,FALSE)</f>
        <v>0</v>
      </c>
      <c r="T936">
        <f>HLOOKUP("Provisioned MiB",'vInfo (Imported)'!$1:$5000,M936,FALSE)</f>
        <v>0</v>
      </c>
      <c r="U936">
        <f t="shared" si="43"/>
        <v>0</v>
      </c>
      <c r="V936">
        <f>HLOOKUP("In Use MiB",'vInfo (Imported)'!$1:$5000,M936,FALSE)</f>
        <v>0</v>
      </c>
    </row>
    <row r="937" spans="1:22" ht="13" x14ac:dyDescent="0.3">
      <c r="A937" s="46">
        <f>'vHosts (Imported)'!A937</f>
        <v>0</v>
      </c>
      <c r="B937" s="51">
        <f t="shared" si="45"/>
        <v>4968</v>
      </c>
      <c r="C937" s="49">
        <f>HLOOKUP("# Cores",'vHosts (Imported)'!$1:$5000,M937,FALSE)</f>
        <v>0</v>
      </c>
      <c r="D937" s="52">
        <f>HLOOKUP("# Memory",'vHosts (Imported)'!$1:$5000,M937,FALSE)</f>
        <v>0</v>
      </c>
      <c r="M937" s="45">
        <f t="shared" si="44"/>
        <v>937</v>
      </c>
      <c r="N937" s="38">
        <f>HLOOKUP("Host",'vInfo (Imported)'!$1:$5000,M937,FALSE)</f>
        <v>0</v>
      </c>
      <c r="R937">
        <f>HLOOKUP("CPUs",'vInfo (Imported)'!$1:$5000,M937,FALSE)</f>
        <v>0</v>
      </c>
      <c r="S937">
        <f>HLOOKUP("Memory",'vInfo (Imported)'!$1:$5000,M937,FALSE)</f>
        <v>0</v>
      </c>
      <c r="T937">
        <f>HLOOKUP("Provisioned MiB",'vInfo (Imported)'!$1:$5000,M937,FALSE)</f>
        <v>0</v>
      </c>
      <c r="U937">
        <f t="shared" si="43"/>
        <v>0</v>
      </c>
      <c r="V937">
        <f>HLOOKUP("In Use MiB",'vInfo (Imported)'!$1:$5000,M937,FALSE)</f>
        <v>0</v>
      </c>
    </row>
    <row r="938" spans="1:22" ht="13" x14ac:dyDescent="0.3">
      <c r="A938" s="46">
        <f>'vHosts (Imported)'!A938</f>
        <v>0</v>
      </c>
      <c r="B938" s="51">
        <f t="shared" si="45"/>
        <v>4968</v>
      </c>
      <c r="C938" s="49">
        <f>HLOOKUP("# Cores",'vHosts (Imported)'!$1:$5000,M938,FALSE)</f>
        <v>0</v>
      </c>
      <c r="D938" s="52">
        <f>HLOOKUP("# Memory",'vHosts (Imported)'!$1:$5000,M938,FALSE)</f>
        <v>0</v>
      </c>
      <c r="M938" s="45">
        <f t="shared" si="44"/>
        <v>938</v>
      </c>
      <c r="N938" s="38">
        <f>HLOOKUP("Host",'vInfo (Imported)'!$1:$5000,M938,FALSE)</f>
        <v>0</v>
      </c>
      <c r="R938">
        <f>HLOOKUP("CPUs",'vInfo (Imported)'!$1:$5000,M938,FALSE)</f>
        <v>0</v>
      </c>
      <c r="S938">
        <f>HLOOKUP("Memory",'vInfo (Imported)'!$1:$5000,M938,FALSE)</f>
        <v>0</v>
      </c>
      <c r="T938">
        <f>HLOOKUP("Provisioned MiB",'vInfo (Imported)'!$1:$5000,M938,FALSE)</f>
        <v>0</v>
      </c>
      <c r="U938">
        <f t="shared" si="43"/>
        <v>0</v>
      </c>
      <c r="V938">
        <f>HLOOKUP("In Use MiB",'vInfo (Imported)'!$1:$5000,M938,FALSE)</f>
        <v>0</v>
      </c>
    </row>
    <row r="939" spans="1:22" ht="13" x14ac:dyDescent="0.3">
      <c r="A939" s="46">
        <f>'vHosts (Imported)'!A939</f>
        <v>0</v>
      </c>
      <c r="B939" s="51">
        <f t="shared" si="45"/>
        <v>4968</v>
      </c>
      <c r="C939" s="49">
        <f>HLOOKUP("# Cores",'vHosts (Imported)'!$1:$5000,M939,FALSE)</f>
        <v>0</v>
      </c>
      <c r="D939" s="52">
        <f>HLOOKUP("# Memory",'vHosts (Imported)'!$1:$5000,M939,FALSE)</f>
        <v>0</v>
      </c>
      <c r="M939" s="45">
        <f t="shared" si="44"/>
        <v>939</v>
      </c>
      <c r="N939" s="38">
        <f>HLOOKUP("Host",'vInfo (Imported)'!$1:$5000,M939,FALSE)</f>
        <v>0</v>
      </c>
      <c r="R939">
        <f>HLOOKUP("CPUs",'vInfo (Imported)'!$1:$5000,M939,FALSE)</f>
        <v>0</v>
      </c>
      <c r="S939">
        <f>HLOOKUP("Memory",'vInfo (Imported)'!$1:$5000,M939,FALSE)</f>
        <v>0</v>
      </c>
      <c r="T939">
        <f>HLOOKUP("Provisioned MiB",'vInfo (Imported)'!$1:$5000,M939,FALSE)</f>
        <v>0</v>
      </c>
      <c r="U939">
        <f t="shared" si="43"/>
        <v>0</v>
      </c>
      <c r="V939">
        <f>HLOOKUP("In Use MiB",'vInfo (Imported)'!$1:$5000,M939,FALSE)</f>
        <v>0</v>
      </c>
    </row>
    <row r="940" spans="1:22" ht="13" x14ac:dyDescent="0.3">
      <c r="A940" s="46">
        <f>'vHosts (Imported)'!A940</f>
        <v>0</v>
      </c>
      <c r="B940" s="51">
        <f t="shared" si="45"/>
        <v>4968</v>
      </c>
      <c r="C940" s="49">
        <f>HLOOKUP("# Cores",'vHosts (Imported)'!$1:$5000,M940,FALSE)</f>
        <v>0</v>
      </c>
      <c r="D940" s="52">
        <f>HLOOKUP("# Memory",'vHosts (Imported)'!$1:$5000,M940,FALSE)</f>
        <v>0</v>
      </c>
      <c r="M940" s="45">
        <f t="shared" si="44"/>
        <v>940</v>
      </c>
      <c r="N940" s="38">
        <f>HLOOKUP("Host",'vInfo (Imported)'!$1:$5000,M940,FALSE)</f>
        <v>0</v>
      </c>
      <c r="R940">
        <f>HLOOKUP("CPUs",'vInfo (Imported)'!$1:$5000,M940,FALSE)</f>
        <v>0</v>
      </c>
      <c r="S940">
        <f>HLOOKUP("Memory",'vInfo (Imported)'!$1:$5000,M940,FALSE)</f>
        <v>0</v>
      </c>
      <c r="T940">
        <f>HLOOKUP("Provisioned MiB",'vInfo (Imported)'!$1:$5000,M940,FALSE)</f>
        <v>0</v>
      </c>
      <c r="U940">
        <f t="shared" si="43"/>
        <v>0</v>
      </c>
      <c r="V940">
        <f>HLOOKUP("In Use MiB",'vInfo (Imported)'!$1:$5000,M940,FALSE)</f>
        <v>0</v>
      </c>
    </row>
    <row r="941" spans="1:22" ht="13" x14ac:dyDescent="0.3">
      <c r="A941" s="46">
        <f>'vHosts (Imported)'!A941</f>
        <v>0</v>
      </c>
      <c r="B941" s="51">
        <f t="shared" si="45"/>
        <v>4968</v>
      </c>
      <c r="C941" s="49">
        <f>HLOOKUP("# Cores",'vHosts (Imported)'!$1:$5000,M941,FALSE)</f>
        <v>0</v>
      </c>
      <c r="D941" s="52">
        <f>HLOOKUP("# Memory",'vHosts (Imported)'!$1:$5000,M941,FALSE)</f>
        <v>0</v>
      </c>
      <c r="M941" s="45">
        <f t="shared" si="44"/>
        <v>941</v>
      </c>
      <c r="N941" s="38">
        <f>HLOOKUP("Host",'vInfo (Imported)'!$1:$5000,M941,FALSE)</f>
        <v>0</v>
      </c>
      <c r="R941">
        <f>HLOOKUP("CPUs",'vInfo (Imported)'!$1:$5000,M941,FALSE)</f>
        <v>0</v>
      </c>
      <c r="S941">
        <f>HLOOKUP("Memory",'vInfo (Imported)'!$1:$5000,M941,FALSE)</f>
        <v>0</v>
      </c>
      <c r="T941">
        <f>HLOOKUP("Provisioned MiB",'vInfo (Imported)'!$1:$5000,M941,FALSE)</f>
        <v>0</v>
      </c>
      <c r="U941">
        <f t="shared" si="43"/>
        <v>0</v>
      </c>
      <c r="V941">
        <f>HLOOKUP("In Use MiB",'vInfo (Imported)'!$1:$5000,M941,FALSE)</f>
        <v>0</v>
      </c>
    </row>
    <row r="942" spans="1:22" ht="13" x14ac:dyDescent="0.3">
      <c r="A942" s="46">
        <f>'vHosts (Imported)'!A942</f>
        <v>0</v>
      </c>
      <c r="B942" s="51">
        <f t="shared" si="45"/>
        <v>4968</v>
      </c>
      <c r="C942" s="49">
        <f>HLOOKUP("# Cores",'vHosts (Imported)'!$1:$5000,M942,FALSE)</f>
        <v>0</v>
      </c>
      <c r="D942" s="52">
        <f>HLOOKUP("# Memory",'vHosts (Imported)'!$1:$5000,M942,FALSE)</f>
        <v>0</v>
      </c>
      <c r="M942" s="45">
        <f t="shared" si="44"/>
        <v>942</v>
      </c>
      <c r="N942" s="38">
        <f>HLOOKUP("Host",'vInfo (Imported)'!$1:$5000,M942,FALSE)</f>
        <v>0</v>
      </c>
      <c r="R942">
        <f>HLOOKUP("CPUs",'vInfo (Imported)'!$1:$5000,M942,FALSE)</f>
        <v>0</v>
      </c>
      <c r="S942">
        <f>HLOOKUP("Memory",'vInfo (Imported)'!$1:$5000,M942,FALSE)</f>
        <v>0</v>
      </c>
      <c r="T942">
        <f>HLOOKUP("Provisioned MiB",'vInfo (Imported)'!$1:$5000,M942,FALSE)</f>
        <v>0</v>
      </c>
      <c r="U942">
        <f t="shared" si="43"/>
        <v>0</v>
      </c>
      <c r="V942">
        <f>HLOOKUP("In Use MiB",'vInfo (Imported)'!$1:$5000,M942,FALSE)</f>
        <v>0</v>
      </c>
    </row>
    <row r="943" spans="1:22" ht="13" x14ac:dyDescent="0.3">
      <c r="A943" s="46">
        <f>'vHosts (Imported)'!A943</f>
        <v>0</v>
      </c>
      <c r="B943" s="51">
        <f t="shared" si="45"/>
        <v>4968</v>
      </c>
      <c r="C943" s="49">
        <f>HLOOKUP("# Cores",'vHosts (Imported)'!$1:$5000,M943,FALSE)</f>
        <v>0</v>
      </c>
      <c r="D943" s="52">
        <f>HLOOKUP("# Memory",'vHosts (Imported)'!$1:$5000,M943,FALSE)</f>
        <v>0</v>
      </c>
      <c r="M943" s="45">
        <f t="shared" si="44"/>
        <v>943</v>
      </c>
      <c r="N943" s="38">
        <f>HLOOKUP("Host",'vInfo (Imported)'!$1:$5000,M943,FALSE)</f>
        <v>0</v>
      </c>
      <c r="R943">
        <f>HLOOKUP("CPUs",'vInfo (Imported)'!$1:$5000,M943,FALSE)</f>
        <v>0</v>
      </c>
      <c r="S943">
        <f>HLOOKUP("Memory",'vInfo (Imported)'!$1:$5000,M943,FALSE)</f>
        <v>0</v>
      </c>
      <c r="T943">
        <f>HLOOKUP("Provisioned MiB",'vInfo (Imported)'!$1:$5000,M943,FALSE)</f>
        <v>0</v>
      </c>
      <c r="U943">
        <f t="shared" si="43"/>
        <v>0</v>
      </c>
      <c r="V943">
        <f>HLOOKUP("In Use MiB",'vInfo (Imported)'!$1:$5000,M943,FALSE)</f>
        <v>0</v>
      </c>
    </row>
    <row r="944" spans="1:22" ht="13" x14ac:dyDescent="0.3">
      <c r="A944" s="46">
        <f>'vHosts (Imported)'!A944</f>
        <v>0</v>
      </c>
      <c r="B944" s="51">
        <f t="shared" si="45"/>
        <v>4968</v>
      </c>
      <c r="C944" s="49">
        <f>HLOOKUP("# Cores",'vHosts (Imported)'!$1:$5000,M944,FALSE)</f>
        <v>0</v>
      </c>
      <c r="D944" s="52">
        <f>HLOOKUP("# Memory",'vHosts (Imported)'!$1:$5000,M944,FALSE)</f>
        <v>0</v>
      </c>
      <c r="M944" s="45">
        <f t="shared" si="44"/>
        <v>944</v>
      </c>
      <c r="N944" s="38">
        <f>HLOOKUP("Host",'vInfo (Imported)'!$1:$5000,M944,FALSE)</f>
        <v>0</v>
      </c>
      <c r="R944">
        <f>HLOOKUP("CPUs",'vInfo (Imported)'!$1:$5000,M944,FALSE)</f>
        <v>0</v>
      </c>
      <c r="S944">
        <f>HLOOKUP("Memory",'vInfo (Imported)'!$1:$5000,M944,FALSE)</f>
        <v>0</v>
      </c>
      <c r="T944">
        <f>HLOOKUP("Provisioned MiB",'vInfo (Imported)'!$1:$5000,M944,FALSE)</f>
        <v>0</v>
      </c>
      <c r="U944">
        <f t="shared" si="43"/>
        <v>0</v>
      </c>
      <c r="V944">
        <f>HLOOKUP("In Use MiB",'vInfo (Imported)'!$1:$5000,M944,FALSE)</f>
        <v>0</v>
      </c>
    </row>
    <row r="945" spans="1:22" ht="13" x14ac:dyDescent="0.3">
      <c r="A945" s="46">
        <f>'vHosts (Imported)'!A945</f>
        <v>0</v>
      </c>
      <c r="B945" s="51">
        <f t="shared" si="45"/>
        <v>4968</v>
      </c>
      <c r="C945" s="49">
        <f>HLOOKUP("# Cores",'vHosts (Imported)'!$1:$5000,M945,FALSE)</f>
        <v>0</v>
      </c>
      <c r="D945" s="52">
        <f>HLOOKUP("# Memory",'vHosts (Imported)'!$1:$5000,M945,FALSE)</f>
        <v>0</v>
      </c>
      <c r="M945" s="45">
        <f t="shared" si="44"/>
        <v>945</v>
      </c>
      <c r="N945" s="38">
        <f>HLOOKUP("Host",'vInfo (Imported)'!$1:$5000,M945,FALSE)</f>
        <v>0</v>
      </c>
      <c r="R945">
        <f>HLOOKUP("CPUs",'vInfo (Imported)'!$1:$5000,M945,FALSE)</f>
        <v>0</v>
      </c>
      <c r="S945">
        <f>HLOOKUP("Memory",'vInfo (Imported)'!$1:$5000,M945,FALSE)</f>
        <v>0</v>
      </c>
      <c r="T945">
        <f>HLOOKUP("Provisioned MiB",'vInfo (Imported)'!$1:$5000,M945,FALSE)</f>
        <v>0</v>
      </c>
      <c r="U945">
        <f t="shared" si="43"/>
        <v>0</v>
      </c>
      <c r="V945">
        <f>HLOOKUP("In Use MiB",'vInfo (Imported)'!$1:$5000,M945,FALSE)</f>
        <v>0</v>
      </c>
    </row>
    <row r="946" spans="1:22" ht="13" x14ac:dyDescent="0.3">
      <c r="A946" s="46">
        <f>'vHosts (Imported)'!A946</f>
        <v>0</v>
      </c>
      <c r="B946" s="51">
        <f t="shared" si="45"/>
        <v>4968</v>
      </c>
      <c r="C946" s="49">
        <f>HLOOKUP("# Cores",'vHosts (Imported)'!$1:$5000,M946,FALSE)</f>
        <v>0</v>
      </c>
      <c r="D946" s="52">
        <f>HLOOKUP("# Memory",'vHosts (Imported)'!$1:$5000,M946,FALSE)</f>
        <v>0</v>
      </c>
      <c r="M946" s="45">
        <f t="shared" si="44"/>
        <v>946</v>
      </c>
      <c r="N946" s="38">
        <f>HLOOKUP("Host",'vInfo (Imported)'!$1:$5000,M946,FALSE)</f>
        <v>0</v>
      </c>
      <c r="R946">
        <f>HLOOKUP("CPUs",'vInfo (Imported)'!$1:$5000,M946,FALSE)</f>
        <v>0</v>
      </c>
      <c r="S946">
        <f>HLOOKUP("Memory",'vInfo (Imported)'!$1:$5000,M946,FALSE)</f>
        <v>0</v>
      </c>
      <c r="T946">
        <f>HLOOKUP("Provisioned MiB",'vInfo (Imported)'!$1:$5000,M946,FALSE)</f>
        <v>0</v>
      </c>
      <c r="U946">
        <f t="shared" si="43"/>
        <v>0</v>
      </c>
      <c r="V946">
        <f>HLOOKUP("In Use MiB",'vInfo (Imported)'!$1:$5000,M946,FALSE)</f>
        <v>0</v>
      </c>
    </row>
    <row r="947" spans="1:22" ht="13" x14ac:dyDescent="0.3">
      <c r="A947" s="46">
        <f>'vHosts (Imported)'!A947</f>
        <v>0</v>
      </c>
      <c r="B947" s="51">
        <f t="shared" si="45"/>
        <v>4968</v>
      </c>
      <c r="C947" s="49">
        <f>HLOOKUP("# Cores",'vHosts (Imported)'!$1:$5000,M947,FALSE)</f>
        <v>0</v>
      </c>
      <c r="D947" s="52">
        <f>HLOOKUP("# Memory",'vHosts (Imported)'!$1:$5000,M947,FALSE)</f>
        <v>0</v>
      </c>
      <c r="M947" s="45">
        <f t="shared" si="44"/>
        <v>947</v>
      </c>
      <c r="N947" s="38">
        <f>HLOOKUP("Host",'vInfo (Imported)'!$1:$5000,M947,FALSE)</f>
        <v>0</v>
      </c>
      <c r="R947">
        <f>HLOOKUP("CPUs",'vInfo (Imported)'!$1:$5000,M947,FALSE)</f>
        <v>0</v>
      </c>
      <c r="S947">
        <f>HLOOKUP("Memory",'vInfo (Imported)'!$1:$5000,M947,FALSE)</f>
        <v>0</v>
      </c>
      <c r="T947">
        <f>HLOOKUP("Provisioned MiB",'vInfo (Imported)'!$1:$5000,M947,FALSE)</f>
        <v>0</v>
      </c>
      <c r="U947">
        <f t="shared" si="43"/>
        <v>0</v>
      </c>
      <c r="V947">
        <f>HLOOKUP("In Use MiB",'vInfo (Imported)'!$1:$5000,M947,FALSE)</f>
        <v>0</v>
      </c>
    </row>
    <row r="948" spans="1:22" ht="13" x14ac:dyDescent="0.3">
      <c r="A948" s="46">
        <f>'vHosts (Imported)'!A948</f>
        <v>0</v>
      </c>
      <c r="B948" s="51">
        <f t="shared" si="45"/>
        <v>4968</v>
      </c>
      <c r="C948" s="49">
        <f>HLOOKUP("# Cores",'vHosts (Imported)'!$1:$5000,M948,FALSE)</f>
        <v>0</v>
      </c>
      <c r="D948" s="52">
        <f>HLOOKUP("# Memory",'vHosts (Imported)'!$1:$5000,M948,FALSE)</f>
        <v>0</v>
      </c>
      <c r="M948" s="45">
        <f t="shared" si="44"/>
        <v>948</v>
      </c>
      <c r="N948" s="38">
        <f>HLOOKUP("Host",'vInfo (Imported)'!$1:$5000,M948,FALSE)</f>
        <v>0</v>
      </c>
      <c r="R948">
        <f>HLOOKUP("CPUs",'vInfo (Imported)'!$1:$5000,M948,FALSE)</f>
        <v>0</v>
      </c>
      <c r="S948">
        <f>HLOOKUP("Memory",'vInfo (Imported)'!$1:$5000,M948,FALSE)</f>
        <v>0</v>
      </c>
      <c r="T948">
        <f>HLOOKUP("Provisioned MiB",'vInfo (Imported)'!$1:$5000,M948,FALSE)</f>
        <v>0</v>
      </c>
      <c r="U948">
        <f t="shared" si="43"/>
        <v>0</v>
      </c>
      <c r="V948">
        <f>HLOOKUP("In Use MiB",'vInfo (Imported)'!$1:$5000,M948,FALSE)</f>
        <v>0</v>
      </c>
    </row>
    <row r="949" spans="1:22" ht="13" x14ac:dyDescent="0.3">
      <c r="A949" s="46">
        <f>'vHosts (Imported)'!A949</f>
        <v>0</v>
      </c>
      <c r="B949" s="51">
        <f t="shared" si="45"/>
        <v>4968</v>
      </c>
      <c r="C949" s="49">
        <f>HLOOKUP("# Cores",'vHosts (Imported)'!$1:$5000,M949,FALSE)</f>
        <v>0</v>
      </c>
      <c r="D949" s="52">
        <f>HLOOKUP("# Memory",'vHosts (Imported)'!$1:$5000,M949,FALSE)</f>
        <v>0</v>
      </c>
      <c r="M949" s="45">
        <f t="shared" si="44"/>
        <v>949</v>
      </c>
      <c r="N949" s="38">
        <f>HLOOKUP("Host",'vInfo (Imported)'!$1:$5000,M949,FALSE)</f>
        <v>0</v>
      </c>
      <c r="R949">
        <f>HLOOKUP("CPUs",'vInfo (Imported)'!$1:$5000,M949,FALSE)</f>
        <v>0</v>
      </c>
      <c r="S949">
        <f>HLOOKUP("Memory",'vInfo (Imported)'!$1:$5000,M949,FALSE)</f>
        <v>0</v>
      </c>
      <c r="T949">
        <f>HLOOKUP("Provisioned MiB",'vInfo (Imported)'!$1:$5000,M949,FALSE)</f>
        <v>0</v>
      </c>
      <c r="U949">
        <f t="shared" si="43"/>
        <v>0</v>
      </c>
      <c r="V949">
        <f>HLOOKUP("In Use MiB",'vInfo (Imported)'!$1:$5000,M949,FALSE)</f>
        <v>0</v>
      </c>
    </row>
    <row r="950" spans="1:22" ht="13" x14ac:dyDescent="0.3">
      <c r="A950" s="46">
        <f>'vHosts (Imported)'!A950</f>
        <v>0</v>
      </c>
      <c r="B950" s="51">
        <f t="shared" si="45"/>
        <v>4968</v>
      </c>
      <c r="C950" s="49">
        <f>HLOOKUP("# Cores",'vHosts (Imported)'!$1:$5000,M950,FALSE)</f>
        <v>0</v>
      </c>
      <c r="D950" s="52">
        <f>HLOOKUP("# Memory",'vHosts (Imported)'!$1:$5000,M950,FALSE)</f>
        <v>0</v>
      </c>
      <c r="M950" s="45">
        <f t="shared" si="44"/>
        <v>950</v>
      </c>
      <c r="N950" s="38">
        <f>HLOOKUP("Host",'vInfo (Imported)'!$1:$5000,M950,FALSE)</f>
        <v>0</v>
      </c>
      <c r="R950">
        <f>HLOOKUP("CPUs",'vInfo (Imported)'!$1:$5000,M950,FALSE)</f>
        <v>0</v>
      </c>
      <c r="S950">
        <f>HLOOKUP("Memory",'vInfo (Imported)'!$1:$5000,M950,FALSE)</f>
        <v>0</v>
      </c>
      <c r="T950">
        <f>HLOOKUP("Provisioned MiB",'vInfo (Imported)'!$1:$5000,M950,FALSE)</f>
        <v>0</v>
      </c>
      <c r="U950">
        <f t="shared" si="43"/>
        <v>0</v>
      </c>
      <c r="V950">
        <f>HLOOKUP("In Use MiB",'vInfo (Imported)'!$1:$5000,M950,FALSE)</f>
        <v>0</v>
      </c>
    </row>
    <row r="951" spans="1:22" ht="13" x14ac:dyDescent="0.3">
      <c r="A951" s="46">
        <f>'vHosts (Imported)'!A951</f>
        <v>0</v>
      </c>
      <c r="B951" s="51">
        <f t="shared" si="45"/>
        <v>4968</v>
      </c>
      <c r="C951" s="49">
        <f>HLOOKUP("# Cores",'vHosts (Imported)'!$1:$5000,M951,FALSE)</f>
        <v>0</v>
      </c>
      <c r="D951" s="52">
        <f>HLOOKUP("# Memory",'vHosts (Imported)'!$1:$5000,M951,FALSE)</f>
        <v>0</v>
      </c>
      <c r="M951" s="45">
        <f t="shared" si="44"/>
        <v>951</v>
      </c>
      <c r="N951" s="38">
        <f>HLOOKUP("Host",'vInfo (Imported)'!$1:$5000,M951,FALSE)</f>
        <v>0</v>
      </c>
      <c r="R951">
        <f>HLOOKUP("CPUs",'vInfo (Imported)'!$1:$5000,M951,FALSE)</f>
        <v>0</v>
      </c>
      <c r="S951">
        <f>HLOOKUP("Memory",'vInfo (Imported)'!$1:$5000,M951,FALSE)</f>
        <v>0</v>
      </c>
      <c r="T951">
        <f>HLOOKUP("Provisioned MiB",'vInfo (Imported)'!$1:$5000,M951,FALSE)</f>
        <v>0</v>
      </c>
      <c r="U951">
        <f t="shared" si="43"/>
        <v>0</v>
      </c>
      <c r="V951">
        <f>HLOOKUP("In Use MiB",'vInfo (Imported)'!$1:$5000,M951,FALSE)</f>
        <v>0</v>
      </c>
    </row>
    <row r="952" spans="1:22" ht="13" x14ac:dyDescent="0.3">
      <c r="A952" s="46">
        <f>'vHosts (Imported)'!A952</f>
        <v>0</v>
      </c>
      <c r="B952" s="51">
        <f t="shared" si="45"/>
        <v>4968</v>
      </c>
      <c r="C952" s="49">
        <f>HLOOKUP("# Cores",'vHosts (Imported)'!$1:$5000,M952,FALSE)</f>
        <v>0</v>
      </c>
      <c r="D952" s="52">
        <f>HLOOKUP("# Memory",'vHosts (Imported)'!$1:$5000,M952,FALSE)</f>
        <v>0</v>
      </c>
      <c r="M952" s="45">
        <f t="shared" si="44"/>
        <v>952</v>
      </c>
      <c r="N952" s="38">
        <f>HLOOKUP("Host",'vInfo (Imported)'!$1:$5000,M952,FALSE)</f>
        <v>0</v>
      </c>
      <c r="R952">
        <f>HLOOKUP("CPUs",'vInfo (Imported)'!$1:$5000,M952,FALSE)</f>
        <v>0</v>
      </c>
      <c r="S952">
        <f>HLOOKUP("Memory",'vInfo (Imported)'!$1:$5000,M952,FALSE)</f>
        <v>0</v>
      </c>
      <c r="T952">
        <f>HLOOKUP("Provisioned MiB",'vInfo (Imported)'!$1:$5000,M952,FALSE)</f>
        <v>0</v>
      </c>
      <c r="U952">
        <f t="shared" si="43"/>
        <v>0</v>
      </c>
      <c r="V952">
        <f>HLOOKUP("In Use MiB",'vInfo (Imported)'!$1:$5000,M952,FALSE)</f>
        <v>0</v>
      </c>
    </row>
    <row r="953" spans="1:22" ht="13" x14ac:dyDescent="0.3">
      <c r="A953" s="46">
        <f>'vHosts (Imported)'!A953</f>
        <v>0</v>
      </c>
      <c r="B953" s="51">
        <f t="shared" si="45"/>
        <v>4968</v>
      </c>
      <c r="C953" s="49">
        <f>HLOOKUP("# Cores",'vHosts (Imported)'!$1:$5000,M953,FALSE)</f>
        <v>0</v>
      </c>
      <c r="D953" s="52">
        <f>HLOOKUP("# Memory",'vHosts (Imported)'!$1:$5000,M953,FALSE)</f>
        <v>0</v>
      </c>
      <c r="M953" s="45">
        <f t="shared" si="44"/>
        <v>953</v>
      </c>
      <c r="N953" s="38">
        <f>HLOOKUP("Host",'vInfo (Imported)'!$1:$5000,M953,FALSE)</f>
        <v>0</v>
      </c>
      <c r="R953">
        <f>HLOOKUP("CPUs",'vInfo (Imported)'!$1:$5000,M953,FALSE)</f>
        <v>0</v>
      </c>
      <c r="S953">
        <f>HLOOKUP("Memory",'vInfo (Imported)'!$1:$5000,M953,FALSE)</f>
        <v>0</v>
      </c>
      <c r="T953">
        <f>HLOOKUP("Provisioned MiB",'vInfo (Imported)'!$1:$5000,M953,FALSE)</f>
        <v>0</v>
      </c>
      <c r="U953">
        <f t="shared" si="43"/>
        <v>0</v>
      </c>
      <c r="V953">
        <f>HLOOKUP("In Use MiB",'vInfo (Imported)'!$1:$5000,M953,FALSE)</f>
        <v>0</v>
      </c>
    </row>
    <row r="954" spans="1:22" ht="13" x14ac:dyDescent="0.3">
      <c r="A954" s="46">
        <f>'vHosts (Imported)'!A954</f>
        <v>0</v>
      </c>
      <c r="B954" s="51">
        <f t="shared" si="45"/>
        <v>4968</v>
      </c>
      <c r="C954" s="49">
        <f>HLOOKUP("# Cores",'vHosts (Imported)'!$1:$5000,M954,FALSE)</f>
        <v>0</v>
      </c>
      <c r="D954" s="52">
        <f>HLOOKUP("# Memory",'vHosts (Imported)'!$1:$5000,M954,FALSE)</f>
        <v>0</v>
      </c>
      <c r="M954" s="45">
        <f t="shared" si="44"/>
        <v>954</v>
      </c>
      <c r="N954" s="38">
        <f>HLOOKUP("Host",'vInfo (Imported)'!$1:$5000,M954,FALSE)</f>
        <v>0</v>
      </c>
      <c r="R954">
        <f>HLOOKUP("CPUs",'vInfo (Imported)'!$1:$5000,M954,FALSE)</f>
        <v>0</v>
      </c>
      <c r="S954">
        <f>HLOOKUP("Memory",'vInfo (Imported)'!$1:$5000,M954,FALSE)</f>
        <v>0</v>
      </c>
      <c r="T954">
        <f>HLOOKUP("Provisioned MiB",'vInfo (Imported)'!$1:$5000,M954,FALSE)</f>
        <v>0</v>
      </c>
      <c r="U954">
        <f t="shared" si="43"/>
        <v>0</v>
      </c>
      <c r="V954">
        <f>HLOOKUP("In Use MiB",'vInfo (Imported)'!$1:$5000,M954,FALSE)</f>
        <v>0</v>
      </c>
    </row>
    <row r="955" spans="1:22" ht="13" x14ac:dyDescent="0.3">
      <c r="A955" s="46">
        <f>'vHosts (Imported)'!A955</f>
        <v>0</v>
      </c>
      <c r="B955" s="51">
        <f t="shared" si="45"/>
        <v>4968</v>
      </c>
      <c r="C955" s="49">
        <f>HLOOKUP("# Cores",'vHosts (Imported)'!$1:$5000,M955,FALSE)</f>
        <v>0</v>
      </c>
      <c r="D955" s="52">
        <f>HLOOKUP("# Memory",'vHosts (Imported)'!$1:$5000,M955,FALSE)</f>
        <v>0</v>
      </c>
      <c r="M955" s="45">
        <f t="shared" si="44"/>
        <v>955</v>
      </c>
      <c r="N955" s="38">
        <f>HLOOKUP("Host",'vInfo (Imported)'!$1:$5000,M955,FALSE)</f>
        <v>0</v>
      </c>
      <c r="R955">
        <f>HLOOKUP("CPUs",'vInfo (Imported)'!$1:$5000,M955,FALSE)</f>
        <v>0</v>
      </c>
      <c r="S955">
        <f>HLOOKUP("Memory",'vInfo (Imported)'!$1:$5000,M955,FALSE)</f>
        <v>0</v>
      </c>
      <c r="T955">
        <f>HLOOKUP("Provisioned MiB",'vInfo (Imported)'!$1:$5000,M955,FALSE)</f>
        <v>0</v>
      </c>
      <c r="U955">
        <f t="shared" si="43"/>
        <v>0</v>
      </c>
      <c r="V955">
        <f>HLOOKUP("In Use MiB",'vInfo (Imported)'!$1:$5000,M955,FALSE)</f>
        <v>0</v>
      </c>
    </row>
    <row r="956" spans="1:22" ht="13" x14ac:dyDescent="0.3">
      <c r="A956" s="46">
        <f>'vHosts (Imported)'!A956</f>
        <v>0</v>
      </c>
      <c r="B956" s="51">
        <f t="shared" si="45"/>
        <v>4968</v>
      </c>
      <c r="C956" s="49">
        <f>HLOOKUP("# Cores",'vHosts (Imported)'!$1:$5000,M956,FALSE)</f>
        <v>0</v>
      </c>
      <c r="D956" s="52">
        <f>HLOOKUP("# Memory",'vHosts (Imported)'!$1:$5000,M956,FALSE)</f>
        <v>0</v>
      </c>
      <c r="M956" s="45">
        <f t="shared" si="44"/>
        <v>956</v>
      </c>
      <c r="N956" s="38">
        <f>HLOOKUP("Host",'vInfo (Imported)'!$1:$5000,M956,FALSE)</f>
        <v>0</v>
      </c>
      <c r="R956">
        <f>HLOOKUP("CPUs",'vInfo (Imported)'!$1:$5000,M956,FALSE)</f>
        <v>0</v>
      </c>
      <c r="S956">
        <f>HLOOKUP("Memory",'vInfo (Imported)'!$1:$5000,M956,FALSE)</f>
        <v>0</v>
      </c>
      <c r="T956">
        <f>HLOOKUP("Provisioned MiB",'vInfo (Imported)'!$1:$5000,M956,FALSE)</f>
        <v>0</v>
      </c>
      <c r="U956">
        <f t="shared" si="43"/>
        <v>0</v>
      </c>
      <c r="V956">
        <f>HLOOKUP("In Use MiB",'vInfo (Imported)'!$1:$5000,M956,FALSE)</f>
        <v>0</v>
      </c>
    </row>
    <row r="957" spans="1:22" ht="13" x14ac:dyDescent="0.3">
      <c r="A957" s="46">
        <f>'vHosts (Imported)'!A957</f>
        <v>0</v>
      </c>
      <c r="B957" s="51">
        <f t="shared" si="45"/>
        <v>4968</v>
      </c>
      <c r="C957" s="49">
        <f>HLOOKUP("# Cores",'vHosts (Imported)'!$1:$5000,M957,FALSE)</f>
        <v>0</v>
      </c>
      <c r="D957" s="52">
        <f>HLOOKUP("# Memory",'vHosts (Imported)'!$1:$5000,M957,FALSE)</f>
        <v>0</v>
      </c>
      <c r="M957" s="45">
        <f t="shared" si="44"/>
        <v>957</v>
      </c>
      <c r="N957" s="38">
        <f>HLOOKUP("Host",'vInfo (Imported)'!$1:$5000,M957,FALSE)</f>
        <v>0</v>
      </c>
      <c r="R957">
        <f>HLOOKUP("CPUs",'vInfo (Imported)'!$1:$5000,M957,FALSE)</f>
        <v>0</v>
      </c>
      <c r="S957">
        <f>HLOOKUP("Memory",'vInfo (Imported)'!$1:$5000,M957,FALSE)</f>
        <v>0</v>
      </c>
      <c r="T957">
        <f>HLOOKUP("Provisioned MiB",'vInfo (Imported)'!$1:$5000,M957,FALSE)</f>
        <v>0</v>
      </c>
      <c r="U957">
        <f t="shared" si="43"/>
        <v>0</v>
      </c>
      <c r="V957">
        <f>HLOOKUP("In Use MiB",'vInfo (Imported)'!$1:$5000,M957,FALSE)</f>
        <v>0</v>
      </c>
    </row>
    <row r="958" spans="1:22" ht="13" x14ac:dyDescent="0.3">
      <c r="A958" s="46">
        <f>'vHosts (Imported)'!A958</f>
        <v>0</v>
      </c>
      <c r="B958" s="51">
        <f t="shared" si="45"/>
        <v>4968</v>
      </c>
      <c r="C958" s="49">
        <f>HLOOKUP("# Cores",'vHosts (Imported)'!$1:$5000,M958,FALSE)</f>
        <v>0</v>
      </c>
      <c r="D958" s="52">
        <f>HLOOKUP("# Memory",'vHosts (Imported)'!$1:$5000,M958,FALSE)</f>
        <v>0</v>
      </c>
      <c r="M958" s="45">
        <f t="shared" si="44"/>
        <v>958</v>
      </c>
      <c r="N958" s="38">
        <f>HLOOKUP("Host",'vInfo (Imported)'!$1:$5000,M958,FALSE)</f>
        <v>0</v>
      </c>
      <c r="R958">
        <f>HLOOKUP("CPUs",'vInfo (Imported)'!$1:$5000,M958,FALSE)</f>
        <v>0</v>
      </c>
      <c r="S958">
        <f>HLOOKUP("Memory",'vInfo (Imported)'!$1:$5000,M958,FALSE)</f>
        <v>0</v>
      </c>
      <c r="T958">
        <f>HLOOKUP("Provisioned MiB",'vInfo (Imported)'!$1:$5000,M958,FALSE)</f>
        <v>0</v>
      </c>
      <c r="U958">
        <f t="shared" si="43"/>
        <v>0</v>
      </c>
      <c r="V958">
        <f>HLOOKUP("In Use MiB",'vInfo (Imported)'!$1:$5000,M958,FALSE)</f>
        <v>0</v>
      </c>
    </row>
    <row r="959" spans="1:22" ht="13" x14ac:dyDescent="0.3">
      <c r="A959" s="46">
        <f>'vHosts (Imported)'!A959</f>
        <v>0</v>
      </c>
      <c r="B959" s="51">
        <f t="shared" si="45"/>
        <v>4968</v>
      </c>
      <c r="C959" s="49">
        <f>HLOOKUP("# Cores",'vHosts (Imported)'!$1:$5000,M959,FALSE)</f>
        <v>0</v>
      </c>
      <c r="D959" s="52">
        <f>HLOOKUP("# Memory",'vHosts (Imported)'!$1:$5000,M959,FALSE)</f>
        <v>0</v>
      </c>
      <c r="M959" s="45">
        <f t="shared" si="44"/>
        <v>959</v>
      </c>
      <c r="N959" s="38">
        <f>HLOOKUP("Host",'vInfo (Imported)'!$1:$5000,M959,FALSE)</f>
        <v>0</v>
      </c>
      <c r="R959">
        <f>HLOOKUP("CPUs",'vInfo (Imported)'!$1:$5000,M959,FALSE)</f>
        <v>0</v>
      </c>
      <c r="S959">
        <f>HLOOKUP("Memory",'vInfo (Imported)'!$1:$5000,M959,FALSE)</f>
        <v>0</v>
      </c>
      <c r="T959">
        <f>HLOOKUP("Provisioned MiB",'vInfo (Imported)'!$1:$5000,M959,FALSE)</f>
        <v>0</v>
      </c>
      <c r="U959">
        <f t="shared" si="43"/>
        <v>0</v>
      </c>
      <c r="V959">
        <f>HLOOKUP("In Use MiB",'vInfo (Imported)'!$1:$5000,M959,FALSE)</f>
        <v>0</v>
      </c>
    </row>
    <row r="960" spans="1:22" ht="13" x14ac:dyDescent="0.3">
      <c r="A960" s="46">
        <f>'vHosts (Imported)'!A960</f>
        <v>0</v>
      </c>
      <c r="B960" s="51">
        <f t="shared" si="45"/>
        <v>4968</v>
      </c>
      <c r="C960" s="49">
        <f>HLOOKUP("# Cores",'vHosts (Imported)'!$1:$5000,M960,FALSE)</f>
        <v>0</v>
      </c>
      <c r="D960" s="52">
        <f>HLOOKUP("# Memory",'vHosts (Imported)'!$1:$5000,M960,FALSE)</f>
        <v>0</v>
      </c>
      <c r="M960" s="45">
        <f t="shared" si="44"/>
        <v>960</v>
      </c>
      <c r="N960" s="38">
        <f>HLOOKUP("Host",'vInfo (Imported)'!$1:$5000,M960,FALSE)</f>
        <v>0</v>
      </c>
      <c r="R960">
        <f>HLOOKUP("CPUs",'vInfo (Imported)'!$1:$5000,M960,FALSE)</f>
        <v>0</v>
      </c>
      <c r="S960">
        <f>HLOOKUP("Memory",'vInfo (Imported)'!$1:$5000,M960,FALSE)</f>
        <v>0</v>
      </c>
      <c r="T960">
        <f>HLOOKUP("Provisioned MiB",'vInfo (Imported)'!$1:$5000,M960,FALSE)</f>
        <v>0</v>
      </c>
      <c r="U960">
        <f t="shared" si="43"/>
        <v>0</v>
      </c>
      <c r="V960">
        <f>HLOOKUP("In Use MiB",'vInfo (Imported)'!$1:$5000,M960,FALSE)</f>
        <v>0</v>
      </c>
    </row>
    <row r="961" spans="1:22" ht="13" x14ac:dyDescent="0.3">
      <c r="A961" s="46">
        <f>'vHosts (Imported)'!A961</f>
        <v>0</v>
      </c>
      <c r="B961" s="51">
        <f t="shared" si="45"/>
        <v>4968</v>
      </c>
      <c r="C961" s="49">
        <f>HLOOKUP("# Cores",'vHosts (Imported)'!$1:$5000,M961,FALSE)</f>
        <v>0</v>
      </c>
      <c r="D961" s="52">
        <f>HLOOKUP("# Memory",'vHosts (Imported)'!$1:$5000,M961,FALSE)</f>
        <v>0</v>
      </c>
      <c r="M961" s="45">
        <f t="shared" si="44"/>
        <v>961</v>
      </c>
      <c r="N961" s="38">
        <f>HLOOKUP("Host",'vInfo (Imported)'!$1:$5000,M961,FALSE)</f>
        <v>0</v>
      </c>
      <c r="R961">
        <f>HLOOKUP("CPUs",'vInfo (Imported)'!$1:$5000,M961,FALSE)</f>
        <v>0</v>
      </c>
      <c r="S961">
        <f>HLOOKUP("Memory",'vInfo (Imported)'!$1:$5000,M961,FALSE)</f>
        <v>0</v>
      </c>
      <c r="T961">
        <f>HLOOKUP("Provisioned MiB",'vInfo (Imported)'!$1:$5000,M961,FALSE)</f>
        <v>0</v>
      </c>
      <c r="U961">
        <f t="shared" si="43"/>
        <v>0</v>
      </c>
      <c r="V961">
        <f>HLOOKUP("In Use MiB",'vInfo (Imported)'!$1:$5000,M961,FALSE)</f>
        <v>0</v>
      </c>
    </row>
    <row r="962" spans="1:22" ht="13" x14ac:dyDescent="0.3">
      <c r="A962" s="46">
        <f>'vHosts (Imported)'!A962</f>
        <v>0</v>
      </c>
      <c r="B962" s="51">
        <f t="shared" si="45"/>
        <v>4968</v>
      </c>
      <c r="C962" s="49">
        <f>HLOOKUP("# Cores",'vHosts (Imported)'!$1:$5000,M962,FALSE)</f>
        <v>0</v>
      </c>
      <c r="D962" s="52">
        <f>HLOOKUP("# Memory",'vHosts (Imported)'!$1:$5000,M962,FALSE)</f>
        <v>0</v>
      </c>
      <c r="M962" s="45">
        <f t="shared" si="44"/>
        <v>962</v>
      </c>
      <c r="N962" s="38">
        <f>HLOOKUP("Host",'vInfo (Imported)'!$1:$5000,M962,FALSE)</f>
        <v>0</v>
      </c>
      <c r="R962">
        <f>HLOOKUP("CPUs",'vInfo (Imported)'!$1:$5000,M962,FALSE)</f>
        <v>0</v>
      </c>
      <c r="S962">
        <f>HLOOKUP("Memory",'vInfo (Imported)'!$1:$5000,M962,FALSE)</f>
        <v>0</v>
      </c>
      <c r="T962">
        <f>HLOOKUP("Provisioned MiB",'vInfo (Imported)'!$1:$5000,M962,FALSE)</f>
        <v>0</v>
      </c>
      <c r="U962">
        <f t="shared" si="43"/>
        <v>0</v>
      </c>
      <c r="V962">
        <f>HLOOKUP("In Use MiB",'vInfo (Imported)'!$1:$5000,M962,FALSE)</f>
        <v>0</v>
      </c>
    </row>
    <row r="963" spans="1:22" ht="13" x14ac:dyDescent="0.3">
      <c r="A963" s="46">
        <f>'vHosts (Imported)'!A963</f>
        <v>0</v>
      </c>
      <c r="B963" s="51">
        <f t="shared" si="45"/>
        <v>4968</v>
      </c>
      <c r="C963" s="49">
        <f>HLOOKUP("# Cores",'vHosts (Imported)'!$1:$5000,M963,FALSE)</f>
        <v>0</v>
      </c>
      <c r="D963" s="52">
        <f>HLOOKUP("# Memory",'vHosts (Imported)'!$1:$5000,M963,FALSE)</f>
        <v>0</v>
      </c>
      <c r="M963" s="45">
        <f t="shared" si="44"/>
        <v>963</v>
      </c>
      <c r="N963" s="38">
        <f>HLOOKUP("Host",'vInfo (Imported)'!$1:$5000,M963,FALSE)</f>
        <v>0</v>
      </c>
      <c r="R963">
        <f>HLOOKUP("CPUs",'vInfo (Imported)'!$1:$5000,M963,FALSE)</f>
        <v>0</v>
      </c>
      <c r="S963">
        <f>HLOOKUP("Memory",'vInfo (Imported)'!$1:$5000,M963,FALSE)</f>
        <v>0</v>
      </c>
      <c r="T963">
        <f>HLOOKUP("Provisioned MiB",'vInfo (Imported)'!$1:$5000,M963,FALSE)</f>
        <v>0</v>
      </c>
      <c r="U963">
        <f t="shared" ref="U963:U1026" si="46">T963-V963</f>
        <v>0</v>
      </c>
      <c r="V963">
        <f>HLOOKUP("In Use MiB",'vInfo (Imported)'!$1:$5000,M963,FALSE)</f>
        <v>0</v>
      </c>
    </row>
    <row r="964" spans="1:22" ht="13" x14ac:dyDescent="0.3">
      <c r="A964" s="46">
        <f>'vHosts (Imported)'!A964</f>
        <v>0</v>
      </c>
      <c r="B964" s="51">
        <f t="shared" si="45"/>
        <v>4968</v>
      </c>
      <c r="C964" s="49">
        <f>HLOOKUP("# Cores",'vHosts (Imported)'!$1:$5000,M964,FALSE)</f>
        <v>0</v>
      </c>
      <c r="D964" s="52">
        <f>HLOOKUP("# Memory",'vHosts (Imported)'!$1:$5000,M964,FALSE)</f>
        <v>0</v>
      </c>
      <c r="M964" s="45">
        <f t="shared" ref="M964:M1027" si="47">M963+1</f>
        <v>964</v>
      </c>
      <c r="N964" s="38">
        <f>HLOOKUP("Host",'vInfo (Imported)'!$1:$5000,M964,FALSE)</f>
        <v>0</v>
      </c>
      <c r="R964">
        <f>HLOOKUP("CPUs",'vInfo (Imported)'!$1:$5000,M964,FALSE)</f>
        <v>0</v>
      </c>
      <c r="S964">
        <f>HLOOKUP("Memory",'vInfo (Imported)'!$1:$5000,M964,FALSE)</f>
        <v>0</v>
      </c>
      <c r="T964">
        <f>HLOOKUP("Provisioned MiB",'vInfo (Imported)'!$1:$5000,M964,FALSE)</f>
        <v>0</v>
      </c>
      <c r="U964">
        <f t="shared" si="46"/>
        <v>0</v>
      </c>
      <c r="V964">
        <f>HLOOKUP("In Use MiB",'vInfo (Imported)'!$1:$5000,M964,FALSE)</f>
        <v>0</v>
      </c>
    </row>
    <row r="965" spans="1:22" ht="13" x14ac:dyDescent="0.3">
      <c r="A965" s="46">
        <f>'vHosts (Imported)'!A965</f>
        <v>0</v>
      </c>
      <c r="B965" s="51">
        <f t="shared" si="45"/>
        <v>4968</v>
      </c>
      <c r="C965" s="49">
        <f>HLOOKUP("# Cores",'vHosts (Imported)'!$1:$5000,M965,FALSE)</f>
        <v>0</v>
      </c>
      <c r="D965" s="52">
        <f>HLOOKUP("# Memory",'vHosts (Imported)'!$1:$5000,M965,FALSE)</f>
        <v>0</v>
      </c>
      <c r="M965" s="45">
        <f t="shared" si="47"/>
        <v>965</v>
      </c>
      <c r="N965" s="38">
        <f>HLOOKUP("Host",'vInfo (Imported)'!$1:$5000,M965,FALSE)</f>
        <v>0</v>
      </c>
      <c r="R965">
        <f>HLOOKUP("CPUs",'vInfo (Imported)'!$1:$5000,M965,FALSE)</f>
        <v>0</v>
      </c>
      <c r="S965">
        <f>HLOOKUP("Memory",'vInfo (Imported)'!$1:$5000,M965,FALSE)</f>
        <v>0</v>
      </c>
      <c r="T965">
        <f>HLOOKUP("Provisioned MiB",'vInfo (Imported)'!$1:$5000,M965,FALSE)</f>
        <v>0</v>
      </c>
      <c r="U965">
        <f t="shared" si="46"/>
        <v>0</v>
      </c>
      <c r="V965">
        <f>HLOOKUP("In Use MiB",'vInfo (Imported)'!$1:$5000,M965,FALSE)</f>
        <v>0</v>
      </c>
    </row>
    <row r="966" spans="1:22" ht="13" x14ac:dyDescent="0.3">
      <c r="A966" s="46">
        <f>'vHosts (Imported)'!A966</f>
        <v>0</v>
      </c>
      <c r="B966" s="51">
        <f t="shared" si="45"/>
        <v>4968</v>
      </c>
      <c r="C966" s="49">
        <f>HLOOKUP("# Cores",'vHosts (Imported)'!$1:$5000,M966,FALSE)</f>
        <v>0</v>
      </c>
      <c r="D966" s="52">
        <f>HLOOKUP("# Memory",'vHosts (Imported)'!$1:$5000,M966,FALSE)</f>
        <v>0</v>
      </c>
      <c r="M966" s="45">
        <f t="shared" si="47"/>
        <v>966</v>
      </c>
      <c r="N966" s="38">
        <f>HLOOKUP("Host",'vInfo (Imported)'!$1:$5000,M966,FALSE)</f>
        <v>0</v>
      </c>
      <c r="R966">
        <f>HLOOKUP("CPUs",'vInfo (Imported)'!$1:$5000,M966,FALSE)</f>
        <v>0</v>
      </c>
      <c r="S966">
        <f>HLOOKUP("Memory",'vInfo (Imported)'!$1:$5000,M966,FALSE)</f>
        <v>0</v>
      </c>
      <c r="T966">
        <f>HLOOKUP("Provisioned MiB",'vInfo (Imported)'!$1:$5000,M966,FALSE)</f>
        <v>0</v>
      </c>
      <c r="U966">
        <f t="shared" si="46"/>
        <v>0</v>
      </c>
      <c r="V966">
        <f>HLOOKUP("In Use MiB",'vInfo (Imported)'!$1:$5000,M966,FALSE)</f>
        <v>0</v>
      </c>
    </row>
    <row r="967" spans="1:22" ht="13" x14ac:dyDescent="0.3">
      <c r="A967" s="46">
        <f>'vHosts (Imported)'!A967</f>
        <v>0</v>
      </c>
      <c r="B967" s="51">
        <f t="shared" si="45"/>
        <v>4968</v>
      </c>
      <c r="C967" s="49">
        <f>HLOOKUP("# Cores",'vHosts (Imported)'!$1:$5000,M967,FALSE)</f>
        <v>0</v>
      </c>
      <c r="D967" s="52">
        <f>HLOOKUP("# Memory",'vHosts (Imported)'!$1:$5000,M967,FALSE)</f>
        <v>0</v>
      </c>
      <c r="M967" s="45">
        <f t="shared" si="47"/>
        <v>967</v>
      </c>
      <c r="N967" s="38">
        <f>HLOOKUP("Host",'vInfo (Imported)'!$1:$5000,M967,FALSE)</f>
        <v>0</v>
      </c>
      <c r="R967">
        <f>HLOOKUP("CPUs",'vInfo (Imported)'!$1:$5000,M967,FALSE)</f>
        <v>0</v>
      </c>
      <c r="S967">
        <f>HLOOKUP("Memory",'vInfo (Imported)'!$1:$5000,M967,FALSE)</f>
        <v>0</v>
      </c>
      <c r="T967">
        <f>HLOOKUP("Provisioned MiB",'vInfo (Imported)'!$1:$5000,M967,FALSE)</f>
        <v>0</v>
      </c>
      <c r="U967">
        <f t="shared" si="46"/>
        <v>0</v>
      </c>
      <c r="V967">
        <f>HLOOKUP("In Use MiB",'vInfo (Imported)'!$1:$5000,M967,FALSE)</f>
        <v>0</v>
      </c>
    </row>
    <row r="968" spans="1:22" ht="13" x14ac:dyDescent="0.3">
      <c r="A968" s="46">
        <f>'vHosts (Imported)'!A968</f>
        <v>0</v>
      </c>
      <c r="B968" s="51">
        <f t="shared" si="45"/>
        <v>4968</v>
      </c>
      <c r="C968" s="49">
        <f>HLOOKUP("# Cores",'vHosts (Imported)'!$1:$5000,M968,FALSE)</f>
        <v>0</v>
      </c>
      <c r="D968" s="52">
        <f>HLOOKUP("# Memory",'vHosts (Imported)'!$1:$5000,M968,FALSE)</f>
        <v>0</v>
      </c>
      <c r="M968" s="45">
        <f t="shared" si="47"/>
        <v>968</v>
      </c>
      <c r="N968" s="38">
        <f>HLOOKUP("Host",'vInfo (Imported)'!$1:$5000,M968,FALSE)</f>
        <v>0</v>
      </c>
      <c r="R968">
        <f>HLOOKUP("CPUs",'vInfo (Imported)'!$1:$5000,M968,FALSE)</f>
        <v>0</v>
      </c>
      <c r="S968">
        <f>HLOOKUP("Memory",'vInfo (Imported)'!$1:$5000,M968,FALSE)</f>
        <v>0</v>
      </c>
      <c r="T968">
        <f>HLOOKUP("Provisioned MiB",'vInfo (Imported)'!$1:$5000,M968,FALSE)</f>
        <v>0</v>
      </c>
      <c r="U968">
        <f t="shared" si="46"/>
        <v>0</v>
      </c>
      <c r="V968">
        <f>HLOOKUP("In Use MiB",'vInfo (Imported)'!$1:$5000,M968,FALSE)</f>
        <v>0</v>
      </c>
    </row>
    <row r="969" spans="1:22" ht="13" x14ac:dyDescent="0.3">
      <c r="A969" s="46">
        <f>'vHosts (Imported)'!A969</f>
        <v>0</v>
      </c>
      <c r="B969" s="51">
        <f t="shared" si="45"/>
        <v>4968</v>
      </c>
      <c r="C969" s="49">
        <f>HLOOKUP("# Cores",'vHosts (Imported)'!$1:$5000,M969,FALSE)</f>
        <v>0</v>
      </c>
      <c r="D969" s="52">
        <f>HLOOKUP("# Memory",'vHosts (Imported)'!$1:$5000,M969,FALSE)</f>
        <v>0</v>
      </c>
      <c r="M969" s="45">
        <f t="shared" si="47"/>
        <v>969</v>
      </c>
      <c r="N969" s="38">
        <f>HLOOKUP("Host",'vInfo (Imported)'!$1:$5000,M969,FALSE)</f>
        <v>0</v>
      </c>
      <c r="R969">
        <f>HLOOKUP("CPUs",'vInfo (Imported)'!$1:$5000,M969,FALSE)</f>
        <v>0</v>
      </c>
      <c r="S969">
        <f>HLOOKUP("Memory",'vInfo (Imported)'!$1:$5000,M969,FALSE)</f>
        <v>0</v>
      </c>
      <c r="T969">
        <f>HLOOKUP("Provisioned MiB",'vInfo (Imported)'!$1:$5000,M969,FALSE)</f>
        <v>0</v>
      </c>
      <c r="U969">
        <f t="shared" si="46"/>
        <v>0</v>
      </c>
      <c r="V969">
        <f>HLOOKUP("In Use MiB",'vInfo (Imported)'!$1:$5000,M969,FALSE)</f>
        <v>0</v>
      </c>
    </row>
    <row r="970" spans="1:22" ht="13" x14ac:dyDescent="0.3">
      <c r="A970" s="46">
        <f>'vHosts (Imported)'!A970</f>
        <v>0</v>
      </c>
      <c r="B970" s="51">
        <f t="shared" si="45"/>
        <v>4968</v>
      </c>
      <c r="C970" s="49">
        <f>HLOOKUP("# Cores",'vHosts (Imported)'!$1:$5000,M970,FALSE)</f>
        <v>0</v>
      </c>
      <c r="D970" s="52">
        <f>HLOOKUP("# Memory",'vHosts (Imported)'!$1:$5000,M970,FALSE)</f>
        <v>0</v>
      </c>
      <c r="M970" s="45">
        <f t="shared" si="47"/>
        <v>970</v>
      </c>
      <c r="N970" s="38">
        <f>HLOOKUP("Host",'vInfo (Imported)'!$1:$5000,M970,FALSE)</f>
        <v>0</v>
      </c>
      <c r="R970">
        <f>HLOOKUP("CPUs",'vInfo (Imported)'!$1:$5000,M970,FALSE)</f>
        <v>0</v>
      </c>
      <c r="S970">
        <f>HLOOKUP("Memory",'vInfo (Imported)'!$1:$5000,M970,FALSE)</f>
        <v>0</v>
      </c>
      <c r="T970">
        <f>HLOOKUP("Provisioned MiB",'vInfo (Imported)'!$1:$5000,M970,FALSE)</f>
        <v>0</v>
      </c>
      <c r="U970">
        <f t="shared" si="46"/>
        <v>0</v>
      </c>
      <c r="V970">
        <f>HLOOKUP("In Use MiB",'vInfo (Imported)'!$1:$5000,M970,FALSE)</f>
        <v>0</v>
      </c>
    </row>
    <row r="971" spans="1:22" ht="13" x14ac:dyDescent="0.3">
      <c r="A971" s="46">
        <f>'vHosts (Imported)'!A971</f>
        <v>0</v>
      </c>
      <c r="B971" s="51">
        <f t="shared" si="45"/>
        <v>4968</v>
      </c>
      <c r="C971" s="49">
        <f>HLOOKUP("# Cores",'vHosts (Imported)'!$1:$5000,M971,FALSE)</f>
        <v>0</v>
      </c>
      <c r="D971" s="52">
        <f>HLOOKUP("# Memory",'vHosts (Imported)'!$1:$5000,M971,FALSE)</f>
        <v>0</v>
      </c>
      <c r="M971" s="45">
        <f t="shared" si="47"/>
        <v>971</v>
      </c>
      <c r="N971" s="38">
        <f>HLOOKUP("Host",'vInfo (Imported)'!$1:$5000,M971,FALSE)</f>
        <v>0</v>
      </c>
      <c r="R971">
        <f>HLOOKUP("CPUs",'vInfo (Imported)'!$1:$5000,M971,FALSE)</f>
        <v>0</v>
      </c>
      <c r="S971">
        <f>HLOOKUP("Memory",'vInfo (Imported)'!$1:$5000,M971,FALSE)</f>
        <v>0</v>
      </c>
      <c r="T971">
        <f>HLOOKUP("Provisioned MiB",'vInfo (Imported)'!$1:$5000,M971,FALSE)</f>
        <v>0</v>
      </c>
      <c r="U971">
        <f t="shared" si="46"/>
        <v>0</v>
      </c>
      <c r="V971">
        <f>HLOOKUP("In Use MiB",'vInfo (Imported)'!$1:$5000,M971,FALSE)</f>
        <v>0</v>
      </c>
    </row>
    <row r="972" spans="1:22" ht="13" x14ac:dyDescent="0.3">
      <c r="A972" s="46">
        <f>'vHosts (Imported)'!A972</f>
        <v>0</v>
      </c>
      <c r="B972" s="51">
        <f t="shared" si="45"/>
        <v>4968</v>
      </c>
      <c r="C972" s="49">
        <f>HLOOKUP("# Cores",'vHosts (Imported)'!$1:$5000,M972,FALSE)</f>
        <v>0</v>
      </c>
      <c r="D972" s="52">
        <f>HLOOKUP("# Memory",'vHosts (Imported)'!$1:$5000,M972,FALSE)</f>
        <v>0</v>
      </c>
      <c r="M972" s="45">
        <f t="shared" si="47"/>
        <v>972</v>
      </c>
      <c r="N972" s="38">
        <f>HLOOKUP("Host",'vInfo (Imported)'!$1:$5000,M972,FALSE)</f>
        <v>0</v>
      </c>
      <c r="R972">
        <f>HLOOKUP("CPUs",'vInfo (Imported)'!$1:$5000,M972,FALSE)</f>
        <v>0</v>
      </c>
      <c r="S972">
        <f>HLOOKUP("Memory",'vInfo (Imported)'!$1:$5000,M972,FALSE)</f>
        <v>0</v>
      </c>
      <c r="T972">
        <f>HLOOKUP("Provisioned MiB",'vInfo (Imported)'!$1:$5000,M972,FALSE)</f>
        <v>0</v>
      </c>
      <c r="U972">
        <f t="shared" si="46"/>
        <v>0</v>
      </c>
      <c r="V972">
        <f>HLOOKUP("In Use MiB",'vInfo (Imported)'!$1:$5000,M972,FALSE)</f>
        <v>0</v>
      </c>
    </row>
    <row r="973" spans="1:22" ht="13" x14ac:dyDescent="0.3">
      <c r="A973" s="46">
        <f>'vHosts (Imported)'!A973</f>
        <v>0</v>
      </c>
      <c r="B973" s="51">
        <f t="shared" si="45"/>
        <v>4968</v>
      </c>
      <c r="C973" s="49">
        <f>HLOOKUP("# Cores",'vHosts (Imported)'!$1:$5000,M973,FALSE)</f>
        <v>0</v>
      </c>
      <c r="D973" s="52">
        <f>HLOOKUP("# Memory",'vHosts (Imported)'!$1:$5000,M973,FALSE)</f>
        <v>0</v>
      </c>
      <c r="M973" s="45">
        <f t="shared" si="47"/>
        <v>973</v>
      </c>
      <c r="N973" s="38">
        <f>HLOOKUP("Host",'vInfo (Imported)'!$1:$5000,M973,FALSE)</f>
        <v>0</v>
      </c>
      <c r="R973">
        <f>HLOOKUP("CPUs",'vInfo (Imported)'!$1:$5000,M973,FALSE)</f>
        <v>0</v>
      </c>
      <c r="S973">
        <f>HLOOKUP("Memory",'vInfo (Imported)'!$1:$5000,M973,FALSE)</f>
        <v>0</v>
      </c>
      <c r="T973">
        <f>HLOOKUP("Provisioned MiB",'vInfo (Imported)'!$1:$5000,M973,FALSE)</f>
        <v>0</v>
      </c>
      <c r="U973">
        <f t="shared" si="46"/>
        <v>0</v>
      </c>
      <c r="V973">
        <f>HLOOKUP("In Use MiB",'vInfo (Imported)'!$1:$5000,M973,FALSE)</f>
        <v>0</v>
      </c>
    </row>
    <row r="974" spans="1:22" ht="13" x14ac:dyDescent="0.3">
      <c r="A974" s="46">
        <f>'vHosts (Imported)'!A974</f>
        <v>0</v>
      </c>
      <c r="B974" s="51">
        <f t="shared" si="45"/>
        <v>4968</v>
      </c>
      <c r="C974" s="49">
        <f>HLOOKUP("# Cores",'vHosts (Imported)'!$1:$5000,M974,FALSE)</f>
        <v>0</v>
      </c>
      <c r="D974" s="52">
        <f>HLOOKUP("# Memory",'vHosts (Imported)'!$1:$5000,M974,FALSE)</f>
        <v>0</v>
      </c>
      <c r="M974" s="45">
        <f t="shared" si="47"/>
        <v>974</v>
      </c>
      <c r="N974" s="38">
        <f>HLOOKUP("Host",'vInfo (Imported)'!$1:$5000,M974,FALSE)</f>
        <v>0</v>
      </c>
      <c r="R974">
        <f>HLOOKUP("CPUs",'vInfo (Imported)'!$1:$5000,M974,FALSE)</f>
        <v>0</v>
      </c>
      <c r="S974">
        <f>HLOOKUP("Memory",'vInfo (Imported)'!$1:$5000,M974,FALSE)</f>
        <v>0</v>
      </c>
      <c r="T974">
        <f>HLOOKUP("Provisioned MiB",'vInfo (Imported)'!$1:$5000,M974,FALSE)</f>
        <v>0</v>
      </c>
      <c r="U974">
        <f t="shared" si="46"/>
        <v>0</v>
      </c>
      <c r="V974">
        <f>HLOOKUP("In Use MiB",'vInfo (Imported)'!$1:$5000,M974,FALSE)</f>
        <v>0</v>
      </c>
    </row>
    <row r="975" spans="1:22" ht="13" x14ac:dyDescent="0.3">
      <c r="A975" s="46">
        <f>'vHosts (Imported)'!A975</f>
        <v>0</v>
      </c>
      <c r="B975" s="51">
        <f t="shared" si="45"/>
        <v>4968</v>
      </c>
      <c r="C975" s="49">
        <f>HLOOKUP("# Cores",'vHosts (Imported)'!$1:$5000,M975,FALSE)</f>
        <v>0</v>
      </c>
      <c r="D975" s="52">
        <f>HLOOKUP("# Memory",'vHosts (Imported)'!$1:$5000,M975,FALSE)</f>
        <v>0</v>
      </c>
      <c r="M975" s="45">
        <f t="shared" si="47"/>
        <v>975</v>
      </c>
      <c r="N975" s="38">
        <f>HLOOKUP("Host",'vInfo (Imported)'!$1:$5000,M975,FALSE)</f>
        <v>0</v>
      </c>
      <c r="R975">
        <f>HLOOKUP("CPUs",'vInfo (Imported)'!$1:$5000,M975,FALSE)</f>
        <v>0</v>
      </c>
      <c r="S975">
        <f>HLOOKUP("Memory",'vInfo (Imported)'!$1:$5000,M975,FALSE)</f>
        <v>0</v>
      </c>
      <c r="T975">
        <f>HLOOKUP("Provisioned MiB",'vInfo (Imported)'!$1:$5000,M975,FALSE)</f>
        <v>0</v>
      </c>
      <c r="U975">
        <f t="shared" si="46"/>
        <v>0</v>
      </c>
      <c r="V975">
        <f>HLOOKUP("In Use MiB",'vInfo (Imported)'!$1:$5000,M975,FALSE)</f>
        <v>0</v>
      </c>
    </row>
    <row r="976" spans="1:22" ht="13" x14ac:dyDescent="0.3">
      <c r="A976" s="46">
        <f>'vHosts (Imported)'!A976</f>
        <v>0</v>
      </c>
      <c r="B976" s="51">
        <f t="shared" si="45"/>
        <v>4968</v>
      </c>
      <c r="C976" s="49">
        <f>HLOOKUP("# Cores",'vHosts (Imported)'!$1:$5000,M976,FALSE)</f>
        <v>0</v>
      </c>
      <c r="D976" s="52">
        <f>HLOOKUP("# Memory",'vHosts (Imported)'!$1:$5000,M976,FALSE)</f>
        <v>0</v>
      </c>
      <c r="M976" s="45">
        <f t="shared" si="47"/>
        <v>976</v>
      </c>
      <c r="N976" s="38">
        <f>HLOOKUP("Host",'vInfo (Imported)'!$1:$5000,M976,FALSE)</f>
        <v>0</v>
      </c>
      <c r="R976">
        <f>HLOOKUP("CPUs",'vInfo (Imported)'!$1:$5000,M976,FALSE)</f>
        <v>0</v>
      </c>
      <c r="S976">
        <f>HLOOKUP("Memory",'vInfo (Imported)'!$1:$5000,M976,FALSE)</f>
        <v>0</v>
      </c>
      <c r="T976">
        <f>HLOOKUP("Provisioned MiB",'vInfo (Imported)'!$1:$5000,M976,FALSE)</f>
        <v>0</v>
      </c>
      <c r="U976">
        <f t="shared" si="46"/>
        <v>0</v>
      </c>
      <c r="V976">
        <f>HLOOKUP("In Use MiB",'vInfo (Imported)'!$1:$5000,M976,FALSE)</f>
        <v>0</v>
      </c>
    </row>
    <row r="977" spans="1:22" ht="13" x14ac:dyDescent="0.3">
      <c r="A977" s="46">
        <f>'vHosts (Imported)'!A977</f>
        <v>0</v>
      </c>
      <c r="B977" s="51">
        <f t="shared" si="45"/>
        <v>4968</v>
      </c>
      <c r="C977" s="49">
        <f>HLOOKUP("# Cores",'vHosts (Imported)'!$1:$5000,M977,FALSE)</f>
        <v>0</v>
      </c>
      <c r="D977" s="52">
        <f>HLOOKUP("# Memory",'vHosts (Imported)'!$1:$5000,M977,FALSE)</f>
        <v>0</v>
      </c>
      <c r="M977" s="45">
        <f t="shared" si="47"/>
        <v>977</v>
      </c>
      <c r="N977" s="38">
        <f>HLOOKUP("Host",'vInfo (Imported)'!$1:$5000,M977,FALSE)</f>
        <v>0</v>
      </c>
      <c r="R977">
        <f>HLOOKUP("CPUs",'vInfo (Imported)'!$1:$5000,M977,FALSE)</f>
        <v>0</v>
      </c>
      <c r="S977">
        <f>HLOOKUP("Memory",'vInfo (Imported)'!$1:$5000,M977,FALSE)</f>
        <v>0</v>
      </c>
      <c r="T977">
        <f>HLOOKUP("Provisioned MiB",'vInfo (Imported)'!$1:$5000,M977,FALSE)</f>
        <v>0</v>
      </c>
      <c r="U977">
        <f t="shared" si="46"/>
        <v>0</v>
      </c>
      <c r="V977">
        <f>HLOOKUP("In Use MiB",'vInfo (Imported)'!$1:$5000,M977,FALSE)</f>
        <v>0</v>
      </c>
    </row>
    <row r="978" spans="1:22" ht="13" x14ac:dyDescent="0.3">
      <c r="A978" s="46">
        <f>'vHosts (Imported)'!A978</f>
        <v>0</v>
      </c>
      <c r="B978" s="51">
        <f t="shared" si="45"/>
        <v>4968</v>
      </c>
      <c r="C978" s="49">
        <f>HLOOKUP("# Cores",'vHosts (Imported)'!$1:$5000,M978,FALSE)</f>
        <v>0</v>
      </c>
      <c r="D978" s="52">
        <f>HLOOKUP("# Memory",'vHosts (Imported)'!$1:$5000,M978,FALSE)</f>
        <v>0</v>
      </c>
      <c r="M978" s="45">
        <f t="shared" si="47"/>
        <v>978</v>
      </c>
      <c r="N978" s="38">
        <f>HLOOKUP("Host",'vInfo (Imported)'!$1:$5000,M978,FALSE)</f>
        <v>0</v>
      </c>
      <c r="R978">
        <f>HLOOKUP("CPUs",'vInfo (Imported)'!$1:$5000,M978,FALSE)</f>
        <v>0</v>
      </c>
      <c r="S978">
        <f>HLOOKUP("Memory",'vInfo (Imported)'!$1:$5000,M978,FALSE)</f>
        <v>0</v>
      </c>
      <c r="T978">
        <f>HLOOKUP("Provisioned MiB",'vInfo (Imported)'!$1:$5000,M978,FALSE)</f>
        <v>0</v>
      </c>
      <c r="U978">
        <f t="shared" si="46"/>
        <v>0</v>
      </c>
      <c r="V978">
        <f>HLOOKUP("In Use MiB",'vInfo (Imported)'!$1:$5000,M978,FALSE)</f>
        <v>0</v>
      </c>
    </row>
    <row r="979" spans="1:22" ht="13" x14ac:dyDescent="0.3">
      <c r="A979" s="46">
        <f>'vHosts (Imported)'!A979</f>
        <v>0</v>
      </c>
      <c r="B979" s="51">
        <f t="shared" si="45"/>
        <v>4968</v>
      </c>
      <c r="C979" s="49">
        <f>HLOOKUP("# Cores",'vHosts (Imported)'!$1:$5000,M979,FALSE)</f>
        <v>0</v>
      </c>
      <c r="D979" s="52">
        <f>HLOOKUP("# Memory",'vHosts (Imported)'!$1:$5000,M979,FALSE)</f>
        <v>0</v>
      </c>
      <c r="M979" s="45">
        <f t="shared" si="47"/>
        <v>979</v>
      </c>
      <c r="N979" s="38">
        <f>HLOOKUP("Host",'vInfo (Imported)'!$1:$5000,M979,FALSE)</f>
        <v>0</v>
      </c>
      <c r="R979">
        <f>HLOOKUP("CPUs",'vInfo (Imported)'!$1:$5000,M979,FALSE)</f>
        <v>0</v>
      </c>
      <c r="S979">
        <f>HLOOKUP("Memory",'vInfo (Imported)'!$1:$5000,M979,FALSE)</f>
        <v>0</v>
      </c>
      <c r="T979">
        <f>HLOOKUP("Provisioned MiB",'vInfo (Imported)'!$1:$5000,M979,FALSE)</f>
        <v>0</v>
      </c>
      <c r="U979">
        <f t="shared" si="46"/>
        <v>0</v>
      </c>
      <c r="V979">
        <f>HLOOKUP("In Use MiB",'vInfo (Imported)'!$1:$5000,M979,FALSE)</f>
        <v>0</v>
      </c>
    </row>
    <row r="980" spans="1:22" ht="13" x14ac:dyDescent="0.3">
      <c r="A980" s="46">
        <f>'vHosts (Imported)'!A980</f>
        <v>0</v>
      </c>
      <c r="B980" s="51">
        <f t="shared" si="45"/>
        <v>4968</v>
      </c>
      <c r="C980" s="49">
        <f>HLOOKUP("# Cores",'vHosts (Imported)'!$1:$5000,M980,FALSE)</f>
        <v>0</v>
      </c>
      <c r="D980" s="52">
        <f>HLOOKUP("# Memory",'vHosts (Imported)'!$1:$5000,M980,FALSE)</f>
        <v>0</v>
      </c>
      <c r="M980" s="45">
        <f t="shared" si="47"/>
        <v>980</v>
      </c>
      <c r="N980" s="38">
        <f>HLOOKUP("Host",'vInfo (Imported)'!$1:$5000,M980,FALSE)</f>
        <v>0</v>
      </c>
      <c r="R980">
        <f>HLOOKUP("CPUs",'vInfo (Imported)'!$1:$5000,M980,FALSE)</f>
        <v>0</v>
      </c>
      <c r="S980">
        <f>HLOOKUP("Memory",'vInfo (Imported)'!$1:$5000,M980,FALSE)</f>
        <v>0</v>
      </c>
      <c r="T980">
        <f>HLOOKUP("Provisioned MiB",'vInfo (Imported)'!$1:$5000,M980,FALSE)</f>
        <v>0</v>
      </c>
      <c r="U980">
        <f t="shared" si="46"/>
        <v>0</v>
      </c>
      <c r="V980">
        <f>HLOOKUP("In Use MiB",'vInfo (Imported)'!$1:$5000,M980,FALSE)</f>
        <v>0</v>
      </c>
    </row>
    <row r="981" spans="1:22" ht="13" x14ac:dyDescent="0.3">
      <c r="A981" s="46">
        <f>'vHosts (Imported)'!A981</f>
        <v>0</v>
      </c>
      <c r="B981" s="51">
        <f t="shared" si="45"/>
        <v>4968</v>
      </c>
      <c r="C981" s="49">
        <f>HLOOKUP("# Cores",'vHosts (Imported)'!$1:$5000,M981,FALSE)</f>
        <v>0</v>
      </c>
      <c r="D981" s="52">
        <f>HLOOKUP("# Memory",'vHosts (Imported)'!$1:$5000,M981,FALSE)</f>
        <v>0</v>
      </c>
      <c r="M981" s="45">
        <f t="shared" si="47"/>
        <v>981</v>
      </c>
      <c r="N981" s="38">
        <f>HLOOKUP("Host",'vInfo (Imported)'!$1:$5000,M981,FALSE)</f>
        <v>0</v>
      </c>
      <c r="R981">
        <f>HLOOKUP("CPUs",'vInfo (Imported)'!$1:$5000,M981,FALSE)</f>
        <v>0</v>
      </c>
      <c r="S981">
        <f>HLOOKUP("Memory",'vInfo (Imported)'!$1:$5000,M981,FALSE)</f>
        <v>0</v>
      </c>
      <c r="T981">
        <f>HLOOKUP("Provisioned MiB",'vInfo (Imported)'!$1:$5000,M981,FALSE)</f>
        <v>0</v>
      </c>
      <c r="U981">
        <f t="shared" si="46"/>
        <v>0</v>
      </c>
      <c r="V981">
        <f>HLOOKUP("In Use MiB",'vInfo (Imported)'!$1:$5000,M981,FALSE)</f>
        <v>0</v>
      </c>
    </row>
    <row r="982" spans="1:22" ht="13" x14ac:dyDescent="0.3">
      <c r="A982" s="46">
        <f>'vHosts (Imported)'!A982</f>
        <v>0</v>
      </c>
      <c r="B982" s="51">
        <f t="shared" si="45"/>
        <v>4968</v>
      </c>
      <c r="C982" s="49">
        <f>HLOOKUP("# Cores",'vHosts (Imported)'!$1:$5000,M982,FALSE)</f>
        <v>0</v>
      </c>
      <c r="D982" s="52">
        <f>HLOOKUP("# Memory",'vHosts (Imported)'!$1:$5000,M982,FALSE)</f>
        <v>0</v>
      </c>
      <c r="M982" s="45">
        <f t="shared" si="47"/>
        <v>982</v>
      </c>
      <c r="N982" s="38">
        <f>HLOOKUP("Host",'vInfo (Imported)'!$1:$5000,M982,FALSE)</f>
        <v>0</v>
      </c>
      <c r="R982">
        <f>HLOOKUP("CPUs",'vInfo (Imported)'!$1:$5000,M982,FALSE)</f>
        <v>0</v>
      </c>
      <c r="S982">
        <f>HLOOKUP("Memory",'vInfo (Imported)'!$1:$5000,M982,FALSE)</f>
        <v>0</v>
      </c>
      <c r="T982">
        <f>HLOOKUP("Provisioned MiB",'vInfo (Imported)'!$1:$5000,M982,FALSE)</f>
        <v>0</v>
      </c>
      <c r="U982">
        <f t="shared" si="46"/>
        <v>0</v>
      </c>
      <c r="V982">
        <f>HLOOKUP("In Use MiB",'vInfo (Imported)'!$1:$5000,M982,FALSE)</f>
        <v>0</v>
      </c>
    </row>
    <row r="983" spans="1:22" ht="13" x14ac:dyDescent="0.3">
      <c r="A983" s="46">
        <f>'vHosts (Imported)'!A983</f>
        <v>0</v>
      </c>
      <c r="B983" s="51">
        <f t="shared" si="45"/>
        <v>4968</v>
      </c>
      <c r="C983" s="49">
        <f>HLOOKUP("# Cores",'vHosts (Imported)'!$1:$5000,M983,FALSE)</f>
        <v>0</v>
      </c>
      <c r="D983" s="52">
        <f>HLOOKUP("# Memory",'vHosts (Imported)'!$1:$5000,M983,FALSE)</f>
        <v>0</v>
      </c>
      <c r="M983" s="45">
        <f t="shared" si="47"/>
        <v>983</v>
      </c>
      <c r="N983" s="38">
        <f>HLOOKUP("Host",'vInfo (Imported)'!$1:$5000,M983,FALSE)</f>
        <v>0</v>
      </c>
      <c r="R983">
        <f>HLOOKUP("CPUs",'vInfo (Imported)'!$1:$5000,M983,FALSE)</f>
        <v>0</v>
      </c>
      <c r="S983">
        <f>HLOOKUP("Memory",'vInfo (Imported)'!$1:$5000,M983,FALSE)</f>
        <v>0</v>
      </c>
      <c r="T983">
        <f>HLOOKUP("Provisioned MiB",'vInfo (Imported)'!$1:$5000,M983,FALSE)</f>
        <v>0</v>
      </c>
      <c r="U983">
        <f t="shared" si="46"/>
        <v>0</v>
      </c>
      <c r="V983">
        <f>HLOOKUP("In Use MiB",'vInfo (Imported)'!$1:$5000,M983,FALSE)</f>
        <v>0</v>
      </c>
    </row>
    <row r="984" spans="1:22" ht="13" x14ac:dyDescent="0.3">
      <c r="A984" s="46">
        <f>'vHosts (Imported)'!A984</f>
        <v>0</v>
      </c>
      <c r="B984" s="51">
        <f t="shared" si="45"/>
        <v>4968</v>
      </c>
      <c r="C984" s="49">
        <f>HLOOKUP("# Cores",'vHosts (Imported)'!$1:$5000,M984,FALSE)</f>
        <v>0</v>
      </c>
      <c r="D984" s="52">
        <f>HLOOKUP("# Memory",'vHosts (Imported)'!$1:$5000,M984,FALSE)</f>
        <v>0</v>
      </c>
      <c r="M984" s="45">
        <f t="shared" si="47"/>
        <v>984</v>
      </c>
      <c r="N984" s="38">
        <f>HLOOKUP("Host",'vInfo (Imported)'!$1:$5000,M984,FALSE)</f>
        <v>0</v>
      </c>
      <c r="R984">
        <f>HLOOKUP("CPUs",'vInfo (Imported)'!$1:$5000,M984,FALSE)</f>
        <v>0</v>
      </c>
      <c r="S984">
        <f>HLOOKUP("Memory",'vInfo (Imported)'!$1:$5000,M984,FALSE)</f>
        <v>0</v>
      </c>
      <c r="T984">
        <f>HLOOKUP("Provisioned MiB",'vInfo (Imported)'!$1:$5000,M984,FALSE)</f>
        <v>0</v>
      </c>
      <c r="U984">
        <f t="shared" si="46"/>
        <v>0</v>
      </c>
      <c r="V984">
        <f>HLOOKUP("In Use MiB",'vInfo (Imported)'!$1:$5000,M984,FALSE)</f>
        <v>0</v>
      </c>
    </row>
    <row r="985" spans="1:22" ht="13" x14ac:dyDescent="0.3">
      <c r="A985" s="46">
        <f>'vHosts (Imported)'!A985</f>
        <v>0</v>
      </c>
      <c r="B985" s="51">
        <f t="shared" si="45"/>
        <v>4968</v>
      </c>
      <c r="C985" s="49">
        <f>HLOOKUP("# Cores",'vHosts (Imported)'!$1:$5000,M985,FALSE)</f>
        <v>0</v>
      </c>
      <c r="D985" s="52">
        <f>HLOOKUP("# Memory",'vHosts (Imported)'!$1:$5000,M985,FALSE)</f>
        <v>0</v>
      </c>
      <c r="M985" s="45">
        <f t="shared" si="47"/>
        <v>985</v>
      </c>
      <c r="N985" s="38">
        <f>HLOOKUP("Host",'vInfo (Imported)'!$1:$5000,M985,FALSE)</f>
        <v>0</v>
      </c>
      <c r="R985">
        <f>HLOOKUP("CPUs",'vInfo (Imported)'!$1:$5000,M985,FALSE)</f>
        <v>0</v>
      </c>
      <c r="S985">
        <f>HLOOKUP("Memory",'vInfo (Imported)'!$1:$5000,M985,FALSE)</f>
        <v>0</v>
      </c>
      <c r="T985">
        <f>HLOOKUP("Provisioned MiB",'vInfo (Imported)'!$1:$5000,M985,FALSE)</f>
        <v>0</v>
      </c>
      <c r="U985">
        <f t="shared" si="46"/>
        <v>0</v>
      </c>
      <c r="V985">
        <f>HLOOKUP("In Use MiB",'vInfo (Imported)'!$1:$5000,M985,FALSE)</f>
        <v>0</v>
      </c>
    </row>
    <row r="986" spans="1:22" ht="13" x14ac:dyDescent="0.3">
      <c r="A986" s="46">
        <f>'vHosts (Imported)'!A986</f>
        <v>0</v>
      </c>
      <c r="B986" s="51">
        <f t="shared" si="45"/>
        <v>4968</v>
      </c>
      <c r="C986" s="49">
        <f>HLOOKUP("# Cores",'vHosts (Imported)'!$1:$5000,M986,FALSE)</f>
        <v>0</v>
      </c>
      <c r="D986" s="52">
        <f>HLOOKUP("# Memory",'vHosts (Imported)'!$1:$5000,M986,FALSE)</f>
        <v>0</v>
      </c>
      <c r="M986" s="45">
        <f t="shared" si="47"/>
        <v>986</v>
      </c>
      <c r="N986" s="38">
        <f>HLOOKUP("Host",'vInfo (Imported)'!$1:$5000,M986,FALSE)</f>
        <v>0</v>
      </c>
      <c r="R986">
        <f>HLOOKUP("CPUs",'vInfo (Imported)'!$1:$5000,M986,FALSE)</f>
        <v>0</v>
      </c>
      <c r="S986">
        <f>HLOOKUP("Memory",'vInfo (Imported)'!$1:$5000,M986,FALSE)</f>
        <v>0</v>
      </c>
      <c r="T986">
        <f>HLOOKUP("Provisioned MiB",'vInfo (Imported)'!$1:$5000,M986,FALSE)</f>
        <v>0</v>
      </c>
      <c r="U986">
        <f t="shared" si="46"/>
        <v>0</v>
      </c>
      <c r="V986">
        <f>HLOOKUP("In Use MiB",'vInfo (Imported)'!$1:$5000,M986,FALSE)</f>
        <v>0</v>
      </c>
    </row>
    <row r="987" spans="1:22" ht="13" x14ac:dyDescent="0.3">
      <c r="A987" s="46">
        <f>'vHosts (Imported)'!A987</f>
        <v>0</v>
      </c>
      <c r="B987" s="51">
        <f t="shared" si="45"/>
        <v>4968</v>
      </c>
      <c r="C987" s="49">
        <f>HLOOKUP("# Cores",'vHosts (Imported)'!$1:$5000,M987,FALSE)</f>
        <v>0</v>
      </c>
      <c r="D987" s="52">
        <f>HLOOKUP("# Memory",'vHosts (Imported)'!$1:$5000,M987,FALSE)</f>
        <v>0</v>
      </c>
      <c r="M987" s="45">
        <f t="shared" si="47"/>
        <v>987</v>
      </c>
      <c r="N987" s="38">
        <f>HLOOKUP("Host",'vInfo (Imported)'!$1:$5000,M987,FALSE)</f>
        <v>0</v>
      </c>
      <c r="R987">
        <f>HLOOKUP("CPUs",'vInfo (Imported)'!$1:$5000,M987,FALSE)</f>
        <v>0</v>
      </c>
      <c r="S987">
        <f>HLOOKUP("Memory",'vInfo (Imported)'!$1:$5000,M987,FALSE)</f>
        <v>0</v>
      </c>
      <c r="T987">
        <f>HLOOKUP("Provisioned MiB",'vInfo (Imported)'!$1:$5000,M987,FALSE)</f>
        <v>0</v>
      </c>
      <c r="U987">
        <f t="shared" si="46"/>
        <v>0</v>
      </c>
      <c r="V987">
        <f>HLOOKUP("In Use MiB",'vInfo (Imported)'!$1:$5000,M987,FALSE)</f>
        <v>0</v>
      </c>
    </row>
    <row r="988" spans="1:22" ht="13" x14ac:dyDescent="0.3">
      <c r="A988" s="46">
        <f>'vHosts (Imported)'!A988</f>
        <v>0</v>
      </c>
      <c r="B988" s="51">
        <f t="shared" si="45"/>
        <v>4968</v>
      </c>
      <c r="C988" s="49">
        <f>HLOOKUP("# Cores",'vHosts (Imported)'!$1:$5000,M988,FALSE)</f>
        <v>0</v>
      </c>
      <c r="D988" s="52">
        <f>HLOOKUP("# Memory",'vHosts (Imported)'!$1:$5000,M988,FALSE)</f>
        <v>0</v>
      </c>
      <c r="M988" s="45">
        <f t="shared" si="47"/>
        <v>988</v>
      </c>
      <c r="N988" s="38">
        <f>HLOOKUP("Host",'vInfo (Imported)'!$1:$5000,M988,FALSE)</f>
        <v>0</v>
      </c>
      <c r="R988">
        <f>HLOOKUP("CPUs",'vInfo (Imported)'!$1:$5000,M988,FALSE)</f>
        <v>0</v>
      </c>
      <c r="S988">
        <f>HLOOKUP("Memory",'vInfo (Imported)'!$1:$5000,M988,FALSE)</f>
        <v>0</v>
      </c>
      <c r="T988">
        <f>HLOOKUP("Provisioned MiB",'vInfo (Imported)'!$1:$5000,M988,FALSE)</f>
        <v>0</v>
      </c>
      <c r="U988">
        <f t="shared" si="46"/>
        <v>0</v>
      </c>
      <c r="V988">
        <f>HLOOKUP("In Use MiB",'vInfo (Imported)'!$1:$5000,M988,FALSE)</f>
        <v>0</v>
      </c>
    </row>
    <row r="989" spans="1:22" ht="13" x14ac:dyDescent="0.3">
      <c r="A989" s="46">
        <f>'vHosts (Imported)'!A989</f>
        <v>0</v>
      </c>
      <c r="B989" s="51">
        <f t="shared" si="45"/>
        <v>4968</v>
      </c>
      <c r="C989" s="49">
        <f>HLOOKUP("# Cores",'vHosts (Imported)'!$1:$5000,M989,FALSE)</f>
        <v>0</v>
      </c>
      <c r="D989" s="52">
        <f>HLOOKUP("# Memory",'vHosts (Imported)'!$1:$5000,M989,FALSE)</f>
        <v>0</v>
      </c>
      <c r="M989" s="45">
        <f t="shared" si="47"/>
        <v>989</v>
      </c>
      <c r="N989" s="38">
        <f>HLOOKUP("Host",'vInfo (Imported)'!$1:$5000,M989,FALSE)</f>
        <v>0</v>
      </c>
      <c r="R989">
        <f>HLOOKUP("CPUs",'vInfo (Imported)'!$1:$5000,M989,FALSE)</f>
        <v>0</v>
      </c>
      <c r="S989">
        <f>HLOOKUP("Memory",'vInfo (Imported)'!$1:$5000,M989,FALSE)</f>
        <v>0</v>
      </c>
      <c r="T989">
        <f>HLOOKUP("Provisioned MiB",'vInfo (Imported)'!$1:$5000,M989,FALSE)</f>
        <v>0</v>
      </c>
      <c r="U989">
        <f t="shared" si="46"/>
        <v>0</v>
      </c>
      <c r="V989">
        <f>HLOOKUP("In Use MiB",'vInfo (Imported)'!$1:$5000,M989,FALSE)</f>
        <v>0</v>
      </c>
    </row>
    <row r="990" spans="1:22" ht="13" x14ac:dyDescent="0.3">
      <c r="A990" s="46">
        <f>'vHosts (Imported)'!A990</f>
        <v>0</v>
      </c>
      <c r="B990" s="51">
        <f t="shared" si="45"/>
        <v>4968</v>
      </c>
      <c r="C990" s="49">
        <f>HLOOKUP("# Cores",'vHosts (Imported)'!$1:$5000,M990,FALSE)</f>
        <v>0</v>
      </c>
      <c r="D990" s="52">
        <f>HLOOKUP("# Memory",'vHosts (Imported)'!$1:$5000,M990,FALSE)</f>
        <v>0</v>
      </c>
      <c r="M990" s="45">
        <f t="shared" si="47"/>
        <v>990</v>
      </c>
      <c r="N990" s="38">
        <f>HLOOKUP("Host",'vInfo (Imported)'!$1:$5000,M990,FALSE)</f>
        <v>0</v>
      </c>
      <c r="R990">
        <f>HLOOKUP("CPUs",'vInfo (Imported)'!$1:$5000,M990,FALSE)</f>
        <v>0</v>
      </c>
      <c r="S990">
        <f>HLOOKUP("Memory",'vInfo (Imported)'!$1:$5000,M990,FALSE)</f>
        <v>0</v>
      </c>
      <c r="T990">
        <f>HLOOKUP("Provisioned MiB",'vInfo (Imported)'!$1:$5000,M990,FALSE)</f>
        <v>0</v>
      </c>
      <c r="U990">
        <f t="shared" si="46"/>
        <v>0</v>
      </c>
      <c r="V990">
        <f>HLOOKUP("In Use MiB",'vInfo (Imported)'!$1:$5000,M990,FALSE)</f>
        <v>0</v>
      </c>
    </row>
    <row r="991" spans="1:22" ht="13" x14ac:dyDescent="0.3">
      <c r="A991" s="46">
        <f>'vHosts (Imported)'!A991</f>
        <v>0</v>
      </c>
      <c r="B991" s="51">
        <f t="shared" si="45"/>
        <v>4968</v>
      </c>
      <c r="C991" s="49">
        <f>HLOOKUP("# Cores",'vHosts (Imported)'!$1:$5000,M991,FALSE)</f>
        <v>0</v>
      </c>
      <c r="D991" s="52">
        <f>HLOOKUP("# Memory",'vHosts (Imported)'!$1:$5000,M991,FALSE)</f>
        <v>0</v>
      </c>
      <c r="M991" s="45">
        <f t="shared" si="47"/>
        <v>991</v>
      </c>
      <c r="N991" s="38">
        <f>HLOOKUP("Host",'vInfo (Imported)'!$1:$5000,M991,FALSE)</f>
        <v>0</v>
      </c>
      <c r="R991">
        <f>HLOOKUP("CPUs",'vInfo (Imported)'!$1:$5000,M991,FALSE)</f>
        <v>0</v>
      </c>
      <c r="S991">
        <f>HLOOKUP("Memory",'vInfo (Imported)'!$1:$5000,M991,FALSE)</f>
        <v>0</v>
      </c>
      <c r="T991">
        <f>HLOOKUP("Provisioned MiB",'vInfo (Imported)'!$1:$5000,M991,FALSE)</f>
        <v>0</v>
      </c>
      <c r="U991">
        <f t="shared" si="46"/>
        <v>0</v>
      </c>
      <c r="V991">
        <f>HLOOKUP("In Use MiB",'vInfo (Imported)'!$1:$5000,M991,FALSE)</f>
        <v>0</v>
      </c>
    </row>
    <row r="992" spans="1:22" ht="13" x14ac:dyDescent="0.3">
      <c r="A992" s="46">
        <f>'vHosts (Imported)'!A992</f>
        <v>0</v>
      </c>
      <c r="B992" s="51">
        <f t="shared" si="45"/>
        <v>4968</v>
      </c>
      <c r="C992" s="49">
        <f>HLOOKUP("# Cores",'vHosts (Imported)'!$1:$5000,M992,FALSE)</f>
        <v>0</v>
      </c>
      <c r="D992" s="52">
        <f>HLOOKUP("# Memory",'vHosts (Imported)'!$1:$5000,M992,FALSE)</f>
        <v>0</v>
      </c>
      <c r="M992" s="45">
        <f t="shared" si="47"/>
        <v>992</v>
      </c>
      <c r="N992" s="38">
        <f>HLOOKUP("Host",'vInfo (Imported)'!$1:$5000,M992,FALSE)</f>
        <v>0</v>
      </c>
      <c r="R992">
        <f>HLOOKUP("CPUs",'vInfo (Imported)'!$1:$5000,M992,FALSE)</f>
        <v>0</v>
      </c>
      <c r="S992">
        <f>HLOOKUP("Memory",'vInfo (Imported)'!$1:$5000,M992,FALSE)</f>
        <v>0</v>
      </c>
      <c r="T992">
        <f>HLOOKUP("Provisioned MiB",'vInfo (Imported)'!$1:$5000,M992,FALSE)</f>
        <v>0</v>
      </c>
      <c r="U992">
        <f t="shared" si="46"/>
        <v>0</v>
      </c>
      <c r="V992">
        <f>HLOOKUP("In Use MiB",'vInfo (Imported)'!$1:$5000,M992,FALSE)</f>
        <v>0</v>
      </c>
    </row>
    <row r="993" spans="1:22" ht="13" x14ac:dyDescent="0.3">
      <c r="A993" s="46">
        <f>'vHosts (Imported)'!A993</f>
        <v>0</v>
      </c>
      <c r="B993" s="51">
        <f t="shared" si="45"/>
        <v>4968</v>
      </c>
      <c r="C993" s="49">
        <f>HLOOKUP("# Cores",'vHosts (Imported)'!$1:$5000,M993,FALSE)</f>
        <v>0</v>
      </c>
      <c r="D993" s="52">
        <f>HLOOKUP("# Memory",'vHosts (Imported)'!$1:$5000,M993,FALSE)</f>
        <v>0</v>
      </c>
      <c r="M993" s="45">
        <f t="shared" si="47"/>
        <v>993</v>
      </c>
      <c r="N993" s="38">
        <f>HLOOKUP("Host",'vInfo (Imported)'!$1:$5000,M993,FALSE)</f>
        <v>0</v>
      </c>
      <c r="R993">
        <f>HLOOKUP("CPUs",'vInfo (Imported)'!$1:$5000,M993,FALSE)</f>
        <v>0</v>
      </c>
      <c r="S993">
        <f>HLOOKUP("Memory",'vInfo (Imported)'!$1:$5000,M993,FALSE)</f>
        <v>0</v>
      </c>
      <c r="T993">
        <f>HLOOKUP("Provisioned MiB",'vInfo (Imported)'!$1:$5000,M993,FALSE)</f>
        <v>0</v>
      </c>
      <c r="U993">
        <f t="shared" si="46"/>
        <v>0</v>
      </c>
      <c r="V993">
        <f>HLOOKUP("In Use MiB",'vInfo (Imported)'!$1:$5000,M993,FALSE)</f>
        <v>0</v>
      </c>
    </row>
    <row r="994" spans="1:22" ht="13" x14ac:dyDescent="0.3">
      <c r="A994" s="46">
        <f>'vHosts (Imported)'!A994</f>
        <v>0</v>
      </c>
      <c r="B994" s="51">
        <f t="shared" si="45"/>
        <v>4968</v>
      </c>
      <c r="C994" s="49">
        <f>HLOOKUP("# Cores",'vHosts (Imported)'!$1:$5000,M994,FALSE)</f>
        <v>0</v>
      </c>
      <c r="D994" s="52">
        <f>HLOOKUP("# Memory",'vHosts (Imported)'!$1:$5000,M994,FALSE)</f>
        <v>0</v>
      </c>
      <c r="M994" s="45">
        <f t="shared" si="47"/>
        <v>994</v>
      </c>
      <c r="N994" s="38">
        <f>HLOOKUP("Host",'vInfo (Imported)'!$1:$5000,M994,FALSE)</f>
        <v>0</v>
      </c>
      <c r="R994">
        <f>HLOOKUP("CPUs",'vInfo (Imported)'!$1:$5000,M994,FALSE)</f>
        <v>0</v>
      </c>
      <c r="S994">
        <f>HLOOKUP("Memory",'vInfo (Imported)'!$1:$5000,M994,FALSE)</f>
        <v>0</v>
      </c>
      <c r="T994">
        <f>HLOOKUP("Provisioned MiB",'vInfo (Imported)'!$1:$5000,M994,FALSE)</f>
        <v>0</v>
      </c>
      <c r="U994">
        <f t="shared" si="46"/>
        <v>0</v>
      </c>
      <c r="V994">
        <f>HLOOKUP("In Use MiB",'vInfo (Imported)'!$1:$5000,M994,FALSE)</f>
        <v>0</v>
      </c>
    </row>
    <row r="995" spans="1:22" ht="13" x14ac:dyDescent="0.3">
      <c r="A995" s="46">
        <f>'vHosts (Imported)'!A995</f>
        <v>0</v>
      </c>
      <c r="B995" s="51">
        <f t="shared" si="45"/>
        <v>4968</v>
      </c>
      <c r="C995" s="49">
        <f>HLOOKUP("# Cores",'vHosts (Imported)'!$1:$5000,M995,FALSE)</f>
        <v>0</v>
      </c>
      <c r="D995" s="52">
        <f>HLOOKUP("# Memory",'vHosts (Imported)'!$1:$5000,M995,FALSE)</f>
        <v>0</v>
      </c>
      <c r="M995" s="45">
        <f t="shared" si="47"/>
        <v>995</v>
      </c>
      <c r="N995" s="38">
        <f>HLOOKUP("Host",'vInfo (Imported)'!$1:$5000,M995,FALSE)</f>
        <v>0</v>
      </c>
      <c r="R995">
        <f>HLOOKUP("CPUs",'vInfo (Imported)'!$1:$5000,M995,FALSE)</f>
        <v>0</v>
      </c>
      <c r="S995">
        <f>HLOOKUP("Memory",'vInfo (Imported)'!$1:$5000,M995,FALSE)</f>
        <v>0</v>
      </c>
      <c r="T995">
        <f>HLOOKUP("Provisioned MiB",'vInfo (Imported)'!$1:$5000,M995,FALSE)</f>
        <v>0</v>
      </c>
      <c r="U995">
        <f t="shared" si="46"/>
        <v>0</v>
      </c>
      <c r="V995">
        <f>HLOOKUP("In Use MiB",'vInfo (Imported)'!$1:$5000,M995,FALSE)</f>
        <v>0</v>
      </c>
    </row>
    <row r="996" spans="1:22" ht="13" x14ac:dyDescent="0.3">
      <c r="A996" s="46">
        <f>'vHosts (Imported)'!A996</f>
        <v>0</v>
      </c>
      <c r="B996" s="51">
        <f t="shared" si="45"/>
        <v>4968</v>
      </c>
      <c r="C996" s="49">
        <f>HLOOKUP("# Cores",'vHosts (Imported)'!$1:$5000,M996,FALSE)</f>
        <v>0</v>
      </c>
      <c r="D996" s="52">
        <f>HLOOKUP("# Memory",'vHosts (Imported)'!$1:$5000,M996,FALSE)</f>
        <v>0</v>
      </c>
      <c r="M996" s="45">
        <f t="shared" si="47"/>
        <v>996</v>
      </c>
      <c r="N996" s="38">
        <f>HLOOKUP("Host",'vInfo (Imported)'!$1:$5000,M996,FALSE)</f>
        <v>0</v>
      </c>
      <c r="R996">
        <f>HLOOKUP("CPUs",'vInfo (Imported)'!$1:$5000,M996,FALSE)</f>
        <v>0</v>
      </c>
      <c r="S996">
        <f>HLOOKUP("Memory",'vInfo (Imported)'!$1:$5000,M996,FALSE)</f>
        <v>0</v>
      </c>
      <c r="T996">
        <f>HLOOKUP("Provisioned MiB",'vInfo (Imported)'!$1:$5000,M996,FALSE)</f>
        <v>0</v>
      </c>
      <c r="U996">
        <f t="shared" si="46"/>
        <v>0</v>
      </c>
      <c r="V996">
        <f>HLOOKUP("In Use MiB",'vInfo (Imported)'!$1:$5000,M996,FALSE)</f>
        <v>0</v>
      </c>
    </row>
    <row r="997" spans="1:22" ht="13" x14ac:dyDescent="0.3">
      <c r="A997" s="46">
        <f>'vHosts (Imported)'!A997</f>
        <v>0</v>
      </c>
      <c r="B997" s="51">
        <f t="shared" si="45"/>
        <v>4968</v>
      </c>
      <c r="C997" s="49">
        <f>HLOOKUP("# Cores",'vHosts (Imported)'!$1:$5000,M997,FALSE)</f>
        <v>0</v>
      </c>
      <c r="D997" s="52">
        <f>HLOOKUP("# Memory",'vHosts (Imported)'!$1:$5000,M997,FALSE)</f>
        <v>0</v>
      </c>
      <c r="M997" s="45">
        <f t="shared" si="47"/>
        <v>997</v>
      </c>
      <c r="N997" s="38">
        <f>HLOOKUP("Host",'vInfo (Imported)'!$1:$5000,M997,FALSE)</f>
        <v>0</v>
      </c>
      <c r="R997">
        <f>HLOOKUP("CPUs",'vInfo (Imported)'!$1:$5000,M997,FALSE)</f>
        <v>0</v>
      </c>
      <c r="S997">
        <f>HLOOKUP("Memory",'vInfo (Imported)'!$1:$5000,M997,FALSE)</f>
        <v>0</v>
      </c>
      <c r="T997">
        <f>HLOOKUP("Provisioned MiB",'vInfo (Imported)'!$1:$5000,M997,FALSE)</f>
        <v>0</v>
      </c>
      <c r="U997">
        <f t="shared" si="46"/>
        <v>0</v>
      </c>
      <c r="V997">
        <f>HLOOKUP("In Use MiB",'vInfo (Imported)'!$1:$5000,M997,FALSE)</f>
        <v>0</v>
      </c>
    </row>
    <row r="998" spans="1:22" ht="13" x14ac:dyDescent="0.3">
      <c r="A998" s="46">
        <f>'vHosts (Imported)'!A998</f>
        <v>0</v>
      </c>
      <c r="B998" s="51">
        <f t="shared" si="45"/>
        <v>4968</v>
      </c>
      <c r="C998" s="49">
        <f>HLOOKUP("# Cores",'vHosts (Imported)'!$1:$5000,M998,FALSE)</f>
        <v>0</v>
      </c>
      <c r="D998" s="52">
        <f>HLOOKUP("# Memory",'vHosts (Imported)'!$1:$5000,M998,FALSE)</f>
        <v>0</v>
      </c>
      <c r="M998" s="45">
        <f t="shared" si="47"/>
        <v>998</v>
      </c>
      <c r="N998" s="38">
        <f>HLOOKUP("Host",'vInfo (Imported)'!$1:$5000,M998,FALSE)</f>
        <v>0</v>
      </c>
      <c r="R998">
        <f>HLOOKUP("CPUs",'vInfo (Imported)'!$1:$5000,M998,FALSE)</f>
        <v>0</v>
      </c>
      <c r="S998">
        <f>HLOOKUP("Memory",'vInfo (Imported)'!$1:$5000,M998,FALSE)</f>
        <v>0</v>
      </c>
      <c r="T998">
        <f>HLOOKUP("Provisioned MiB",'vInfo (Imported)'!$1:$5000,M998,FALSE)</f>
        <v>0</v>
      </c>
      <c r="U998">
        <f t="shared" si="46"/>
        <v>0</v>
      </c>
      <c r="V998">
        <f>HLOOKUP("In Use MiB",'vInfo (Imported)'!$1:$5000,M998,FALSE)</f>
        <v>0</v>
      </c>
    </row>
    <row r="999" spans="1:22" ht="13" x14ac:dyDescent="0.3">
      <c r="A999" s="46">
        <f>'vHosts (Imported)'!A999</f>
        <v>0</v>
      </c>
      <c r="B999" s="51">
        <f t="shared" si="45"/>
        <v>4968</v>
      </c>
      <c r="C999" s="49">
        <f>HLOOKUP("# Cores",'vHosts (Imported)'!$1:$5000,M999,FALSE)</f>
        <v>0</v>
      </c>
      <c r="D999" s="52">
        <f>HLOOKUP("# Memory",'vHosts (Imported)'!$1:$5000,M999,FALSE)</f>
        <v>0</v>
      </c>
      <c r="M999" s="45">
        <f t="shared" si="47"/>
        <v>999</v>
      </c>
      <c r="N999" s="38">
        <f>HLOOKUP("Host",'vInfo (Imported)'!$1:$5000,M999,FALSE)</f>
        <v>0</v>
      </c>
      <c r="R999">
        <f>HLOOKUP("CPUs",'vInfo (Imported)'!$1:$5000,M999,FALSE)</f>
        <v>0</v>
      </c>
      <c r="S999">
        <f>HLOOKUP("Memory",'vInfo (Imported)'!$1:$5000,M999,FALSE)</f>
        <v>0</v>
      </c>
      <c r="T999">
        <f>HLOOKUP("Provisioned MiB",'vInfo (Imported)'!$1:$5000,M999,FALSE)</f>
        <v>0</v>
      </c>
      <c r="U999">
        <f t="shared" si="46"/>
        <v>0</v>
      </c>
      <c r="V999">
        <f>HLOOKUP("In Use MiB",'vInfo (Imported)'!$1:$5000,M999,FALSE)</f>
        <v>0</v>
      </c>
    </row>
    <row r="1000" spans="1:22" ht="13" x14ac:dyDescent="0.3">
      <c r="A1000" s="46">
        <f>'vHosts (Imported)'!A1000</f>
        <v>0</v>
      </c>
      <c r="B1000" s="51">
        <f t="shared" ref="B1000:B1063" si="48">COUNTIF(N:N,A1000)</f>
        <v>4968</v>
      </c>
      <c r="C1000" s="49">
        <f>HLOOKUP("# Cores",'vHosts (Imported)'!$1:$5000,M1000,FALSE)</f>
        <v>0</v>
      </c>
      <c r="D1000" s="52">
        <f>HLOOKUP("# Memory",'vHosts (Imported)'!$1:$5000,M1000,FALSE)</f>
        <v>0</v>
      </c>
      <c r="M1000" s="45">
        <f t="shared" si="47"/>
        <v>1000</v>
      </c>
      <c r="N1000" s="38">
        <f>HLOOKUP("Host",'vInfo (Imported)'!$1:$5000,M1000,FALSE)</f>
        <v>0</v>
      </c>
      <c r="R1000">
        <f>HLOOKUP("CPUs",'vInfo (Imported)'!$1:$5000,M1000,FALSE)</f>
        <v>0</v>
      </c>
      <c r="S1000">
        <f>HLOOKUP("Memory",'vInfo (Imported)'!$1:$5000,M1000,FALSE)</f>
        <v>0</v>
      </c>
      <c r="T1000">
        <f>HLOOKUP("Provisioned MiB",'vInfo (Imported)'!$1:$5000,M1000,FALSE)</f>
        <v>0</v>
      </c>
      <c r="U1000">
        <f t="shared" si="46"/>
        <v>0</v>
      </c>
      <c r="V1000">
        <f>HLOOKUP("In Use MiB",'vInfo (Imported)'!$1:$5000,M1000,FALSE)</f>
        <v>0</v>
      </c>
    </row>
    <row r="1001" spans="1:22" ht="13" x14ac:dyDescent="0.3">
      <c r="A1001" s="46">
        <f>'vHosts (Imported)'!A1001</f>
        <v>0</v>
      </c>
      <c r="B1001" s="51">
        <f t="shared" si="48"/>
        <v>4968</v>
      </c>
      <c r="C1001" s="49">
        <f>HLOOKUP("# Cores",'vHosts (Imported)'!$1:$5000,M1001,FALSE)</f>
        <v>0</v>
      </c>
      <c r="D1001" s="52">
        <f>HLOOKUP("# Memory",'vHosts (Imported)'!$1:$5000,M1001,FALSE)</f>
        <v>0</v>
      </c>
      <c r="M1001" s="45">
        <f t="shared" si="47"/>
        <v>1001</v>
      </c>
      <c r="N1001" s="38">
        <f>HLOOKUP("Host",'vInfo (Imported)'!$1:$5000,M1001,FALSE)</f>
        <v>0</v>
      </c>
      <c r="R1001">
        <f>HLOOKUP("CPUs",'vInfo (Imported)'!$1:$5000,M1001,FALSE)</f>
        <v>0</v>
      </c>
      <c r="S1001">
        <f>HLOOKUP("Memory",'vInfo (Imported)'!$1:$5000,M1001,FALSE)</f>
        <v>0</v>
      </c>
      <c r="T1001">
        <f>HLOOKUP("Provisioned MiB",'vInfo (Imported)'!$1:$5000,M1001,FALSE)</f>
        <v>0</v>
      </c>
      <c r="U1001">
        <f t="shared" si="46"/>
        <v>0</v>
      </c>
      <c r="V1001">
        <f>HLOOKUP("In Use MiB",'vInfo (Imported)'!$1:$5000,M1001,FALSE)</f>
        <v>0</v>
      </c>
    </row>
    <row r="1002" spans="1:22" ht="13" x14ac:dyDescent="0.3">
      <c r="A1002" s="46">
        <f>'vHosts (Imported)'!A1002</f>
        <v>0</v>
      </c>
      <c r="B1002" s="51">
        <f t="shared" si="48"/>
        <v>4968</v>
      </c>
      <c r="C1002" s="49">
        <f>HLOOKUP("# Cores",'vHosts (Imported)'!$1:$5000,M1002,FALSE)</f>
        <v>0</v>
      </c>
      <c r="D1002" s="52">
        <f>HLOOKUP("# Memory",'vHosts (Imported)'!$1:$5000,M1002,FALSE)</f>
        <v>0</v>
      </c>
      <c r="M1002" s="45">
        <f t="shared" si="47"/>
        <v>1002</v>
      </c>
      <c r="N1002" s="38">
        <f>HLOOKUP("Host",'vInfo (Imported)'!$1:$5000,M1002,FALSE)</f>
        <v>0</v>
      </c>
      <c r="R1002">
        <f>HLOOKUP("CPUs",'vInfo (Imported)'!$1:$5000,M1002,FALSE)</f>
        <v>0</v>
      </c>
      <c r="S1002">
        <f>HLOOKUP("Memory",'vInfo (Imported)'!$1:$5000,M1002,FALSE)</f>
        <v>0</v>
      </c>
      <c r="T1002">
        <f>HLOOKUP("Provisioned MiB",'vInfo (Imported)'!$1:$5000,M1002,FALSE)</f>
        <v>0</v>
      </c>
      <c r="U1002">
        <f t="shared" si="46"/>
        <v>0</v>
      </c>
      <c r="V1002">
        <f>HLOOKUP("In Use MiB",'vInfo (Imported)'!$1:$5000,M1002,FALSE)</f>
        <v>0</v>
      </c>
    </row>
    <row r="1003" spans="1:22" ht="13" x14ac:dyDescent="0.3">
      <c r="A1003" s="46">
        <f>'vHosts (Imported)'!A1003</f>
        <v>0</v>
      </c>
      <c r="B1003" s="51">
        <f t="shared" si="48"/>
        <v>4968</v>
      </c>
      <c r="C1003" s="49">
        <f>HLOOKUP("# Cores",'vHosts (Imported)'!$1:$5000,M1003,FALSE)</f>
        <v>0</v>
      </c>
      <c r="D1003" s="52">
        <f>HLOOKUP("# Memory",'vHosts (Imported)'!$1:$5000,M1003,FALSE)</f>
        <v>0</v>
      </c>
      <c r="M1003" s="45">
        <f t="shared" si="47"/>
        <v>1003</v>
      </c>
      <c r="N1003" s="38">
        <f>HLOOKUP("Host",'vInfo (Imported)'!$1:$5000,M1003,FALSE)</f>
        <v>0</v>
      </c>
      <c r="R1003">
        <f>HLOOKUP("CPUs",'vInfo (Imported)'!$1:$5000,M1003,FALSE)</f>
        <v>0</v>
      </c>
      <c r="S1003">
        <f>HLOOKUP("Memory",'vInfo (Imported)'!$1:$5000,M1003,FALSE)</f>
        <v>0</v>
      </c>
      <c r="T1003">
        <f>HLOOKUP("Provisioned MiB",'vInfo (Imported)'!$1:$5000,M1003,FALSE)</f>
        <v>0</v>
      </c>
      <c r="U1003">
        <f t="shared" si="46"/>
        <v>0</v>
      </c>
      <c r="V1003">
        <f>HLOOKUP("In Use MiB",'vInfo (Imported)'!$1:$5000,M1003,FALSE)</f>
        <v>0</v>
      </c>
    </row>
    <row r="1004" spans="1:22" ht="13" x14ac:dyDescent="0.3">
      <c r="A1004" s="46">
        <f>'vHosts (Imported)'!A1004</f>
        <v>0</v>
      </c>
      <c r="B1004" s="51">
        <f t="shared" si="48"/>
        <v>4968</v>
      </c>
      <c r="C1004" s="49">
        <f>HLOOKUP("# Cores",'vHosts (Imported)'!$1:$5000,M1004,FALSE)</f>
        <v>0</v>
      </c>
      <c r="D1004" s="52">
        <f>HLOOKUP("# Memory",'vHosts (Imported)'!$1:$5000,M1004,FALSE)</f>
        <v>0</v>
      </c>
      <c r="M1004" s="45">
        <f t="shared" si="47"/>
        <v>1004</v>
      </c>
      <c r="N1004" s="38">
        <f>HLOOKUP("Host",'vInfo (Imported)'!$1:$5000,M1004,FALSE)</f>
        <v>0</v>
      </c>
      <c r="R1004">
        <f>HLOOKUP("CPUs",'vInfo (Imported)'!$1:$5000,M1004,FALSE)</f>
        <v>0</v>
      </c>
      <c r="S1004">
        <f>HLOOKUP("Memory",'vInfo (Imported)'!$1:$5000,M1004,FALSE)</f>
        <v>0</v>
      </c>
      <c r="T1004">
        <f>HLOOKUP("Provisioned MiB",'vInfo (Imported)'!$1:$5000,M1004,FALSE)</f>
        <v>0</v>
      </c>
      <c r="U1004">
        <f t="shared" si="46"/>
        <v>0</v>
      </c>
      <c r="V1004">
        <f>HLOOKUP("In Use MiB",'vInfo (Imported)'!$1:$5000,M1004,FALSE)</f>
        <v>0</v>
      </c>
    </row>
    <row r="1005" spans="1:22" ht="13" x14ac:dyDescent="0.3">
      <c r="A1005" s="46">
        <f>'vHosts (Imported)'!A1005</f>
        <v>0</v>
      </c>
      <c r="B1005" s="51">
        <f t="shared" si="48"/>
        <v>4968</v>
      </c>
      <c r="C1005" s="49">
        <f>HLOOKUP("# Cores",'vHosts (Imported)'!$1:$5000,M1005,FALSE)</f>
        <v>0</v>
      </c>
      <c r="D1005" s="52">
        <f>HLOOKUP("# Memory",'vHosts (Imported)'!$1:$5000,M1005,FALSE)</f>
        <v>0</v>
      </c>
      <c r="M1005" s="45">
        <f t="shared" si="47"/>
        <v>1005</v>
      </c>
      <c r="N1005" s="38">
        <f>HLOOKUP("Host",'vInfo (Imported)'!$1:$5000,M1005,FALSE)</f>
        <v>0</v>
      </c>
      <c r="R1005">
        <f>HLOOKUP("CPUs",'vInfo (Imported)'!$1:$5000,M1005,FALSE)</f>
        <v>0</v>
      </c>
      <c r="S1005">
        <f>HLOOKUP("Memory",'vInfo (Imported)'!$1:$5000,M1005,FALSE)</f>
        <v>0</v>
      </c>
      <c r="T1005">
        <f>HLOOKUP("Provisioned MiB",'vInfo (Imported)'!$1:$5000,M1005,FALSE)</f>
        <v>0</v>
      </c>
      <c r="U1005">
        <f t="shared" si="46"/>
        <v>0</v>
      </c>
      <c r="V1005">
        <f>HLOOKUP("In Use MiB",'vInfo (Imported)'!$1:$5000,M1005,FALSE)</f>
        <v>0</v>
      </c>
    </row>
    <row r="1006" spans="1:22" ht="13" x14ac:dyDescent="0.3">
      <c r="A1006" s="46">
        <f>'vHosts (Imported)'!A1006</f>
        <v>0</v>
      </c>
      <c r="B1006" s="51">
        <f t="shared" si="48"/>
        <v>4968</v>
      </c>
      <c r="C1006" s="49">
        <f>HLOOKUP("# Cores",'vHosts (Imported)'!$1:$5000,M1006,FALSE)</f>
        <v>0</v>
      </c>
      <c r="D1006" s="52">
        <f>HLOOKUP("# Memory",'vHosts (Imported)'!$1:$5000,M1006,FALSE)</f>
        <v>0</v>
      </c>
      <c r="M1006" s="45">
        <f t="shared" si="47"/>
        <v>1006</v>
      </c>
      <c r="N1006" s="38">
        <f>HLOOKUP("Host",'vInfo (Imported)'!$1:$5000,M1006,FALSE)</f>
        <v>0</v>
      </c>
      <c r="R1006">
        <f>HLOOKUP("CPUs",'vInfo (Imported)'!$1:$5000,M1006,FALSE)</f>
        <v>0</v>
      </c>
      <c r="S1006">
        <f>HLOOKUP("Memory",'vInfo (Imported)'!$1:$5000,M1006,FALSE)</f>
        <v>0</v>
      </c>
      <c r="T1006">
        <f>HLOOKUP("Provisioned MiB",'vInfo (Imported)'!$1:$5000,M1006,FALSE)</f>
        <v>0</v>
      </c>
      <c r="U1006">
        <f t="shared" si="46"/>
        <v>0</v>
      </c>
      <c r="V1006">
        <f>HLOOKUP("In Use MiB",'vInfo (Imported)'!$1:$5000,M1006,FALSE)</f>
        <v>0</v>
      </c>
    </row>
    <row r="1007" spans="1:22" ht="13" x14ac:dyDescent="0.3">
      <c r="A1007" s="46">
        <f>'vHosts (Imported)'!A1007</f>
        <v>0</v>
      </c>
      <c r="B1007" s="51">
        <f t="shared" si="48"/>
        <v>4968</v>
      </c>
      <c r="C1007" s="49">
        <f>HLOOKUP("# Cores",'vHosts (Imported)'!$1:$5000,M1007,FALSE)</f>
        <v>0</v>
      </c>
      <c r="D1007" s="52">
        <f>HLOOKUP("# Memory",'vHosts (Imported)'!$1:$5000,M1007,FALSE)</f>
        <v>0</v>
      </c>
      <c r="M1007" s="45">
        <f t="shared" si="47"/>
        <v>1007</v>
      </c>
      <c r="N1007" s="38">
        <f>HLOOKUP("Host",'vInfo (Imported)'!$1:$5000,M1007,FALSE)</f>
        <v>0</v>
      </c>
      <c r="R1007">
        <f>HLOOKUP("CPUs",'vInfo (Imported)'!$1:$5000,M1007,FALSE)</f>
        <v>0</v>
      </c>
      <c r="S1007">
        <f>HLOOKUP("Memory",'vInfo (Imported)'!$1:$5000,M1007,FALSE)</f>
        <v>0</v>
      </c>
      <c r="T1007">
        <f>HLOOKUP("Provisioned MiB",'vInfo (Imported)'!$1:$5000,M1007,FALSE)</f>
        <v>0</v>
      </c>
      <c r="U1007">
        <f t="shared" si="46"/>
        <v>0</v>
      </c>
      <c r="V1007">
        <f>HLOOKUP("In Use MiB",'vInfo (Imported)'!$1:$5000,M1007,FALSE)</f>
        <v>0</v>
      </c>
    </row>
    <row r="1008" spans="1:22" ht="13" x14ac:dyDescent="0.3">
      <c r="A1008" s="46">
        <f>'vHosts (Imported)'!A1008</f>
        <v>0</v>
      </c>
      <c r="B1008" s="51">
        <f t="shared" si="48"/>
        <v>4968</v>
      </c>
      <c r="C1008" s="49">
        <f>HLOOKUP("# Cores",'vHosts (Imported)'!$1:$5000,M1008,FALSE)</f>
        <v>0</v>
      </c>
      <c r="D1008" s="52">
        <f>HLOOKUP("# Memory",'vHosts (Imported)'!$1:$5000,M1008,FALSE)</f>
        <v>0</v>
      </c>
      <c r="M1008" s="45">
        <f t="shared" si="47"/>
        <v>1008</v>
      </c>
      <c r="N1008" s="38">
        <f>HLOOKUP("Host",'vInfo (Imported)'!$1:$5000,M1008,FALSE)</f>
        <v>0</v>
      </c>
      <c r="R1008">
        <f>HLOOKUP("CPUs",'vInfo (Imported)'!$1:$5000,M1008,FALSE)</f>
        <v>0</v>
      </c>
      <c r="S1008">
        <f>HLOOKUP("Memory",'vInfo (Imported)'!$1:$5000,M1008,FALSE)</f>
        <v>0</v>
      </c>
      <c r="T1008">
        <f>HLOOKUP("Provisioned MiB",'vInfo (Imported)'!$1:$5000,M1008,FALSE)</f>
        <v>0</v>
      </c>
      <c r="U1008">
        <f t="shared" si="46"/>
        <v>0</v>
      </c>
      <c r="V1008">
        <f>HLOOKUP("In Use MiB",'vInfo (Imported)'!$1:$5000,M1008,FALSE)</f>
        <v>0</v>
      </c>
    </row>
    <row r="1009" spans="1:22" ht="13" x14ac:dyDescent="0.3">
      <c r="A1009" s="46">
        <f>'vHosts (Imported)'!A1009</f>
        <v>0</v>
      </c>
      <c r="B1009" s="51">
        <f t="shared" si="48"/>
        <v>4968</v>
      </c>
      <c r="C1009" s="49">
        <f>HLOOKUP("# Cores",'vHosts (Imported)'!$1:$5000,M1009,FALSE)</f>
        <v>0</v>
      </c>
      <c r="D1009" s="52">
        <f>HLOOKUP("# Memory",'vHosts (Imported)'!$1:$5000,M1009,FALSE)</f>
        <v>0</v>
      </c>
      <c r="M1009" s="45">
        <f t="shared" si="47"/>
        <v>1009</v>
      </c>
      <c r="N1009" s="38">
        <f>HLOOKUP("Host",'vInfo (Imported)'!$1:$5000,M1009,FALSE)</f>
        <v>0</v>
      </c>
      <c r="R1009">
        <f>HLOOKUP("CPUs",'vInfo (Imported)'!$1:$5000,M1009,FALSE)</f>
        <v>0</v>
      </c>
      <c r="S1009">
        <f>HLOOKUP("Memory",'vInfo (Imported)'!$1:$5000,M1009,FALSE)</f>
        <v>0</v>
      </c>
      <c r="T1009">
        <f>HLOOKUP("Provisioned MiB",'vInfo (Imported)'!$1:$5000,M1009,FALSE)</f>
        <v>0</v>
      </c>
      <c r="U1009">
        <f t="shared" si="46"/>
        <v>0</v>
      </c>
      <c r="V1009">
        <f>HLOOKUP("In Use MiB",'vInfo (Imported)'!$1:$5000,M1009,FALSE)</f>
        <v>0</v>
      </c>
    </row>
    <row r="1010" spans="1:22" ht="13" x14ac:dyDescent="0.3">
      <c r="A1010" s="46">
        <f>'vHosts (Imported)'!A1010</f>
        <v>0</v>
      </c>
      <c r="B1010" s="51">
        <f t="shared" si="48"/>
        <v>4968</v>
      </c>
      <c r="C1010" s="49">
        <f>HLOOKUP("# Cores",'vHosts (Imported)'!$1:$5000,M1010,FALSE)</f>
        <v>0</v>
      </c>
      <c r="D1010" s="52">
        <f>HLOOKUP("# Memory",'vHosts (Imported)'!$1:$5000,M1010,FALSE)</f>
        <v>0</v>
      </c>
      <c r="M1010" s="45">
        <f t="shared" si="47"/>
        <v>1010</v>
      </c>
      <c r="N1010" s="38">
        <f>HLOOKUP("Host",'vInfo (Imported)'!$1:$5000,M1010,FALSE)</f>
        <v>0</v>
      </c>
      <c r="R1010">
        <f>HLOOKUP("CPUs",'vInfo (Imported)'!$1:$5000,M1010,FALSE)</f>
        <v>0</v>
      </c>
      <c r="S1010">
        <f>HLOOKUP("Memory",'vInfo (Imported)'!$1:$5000,M1010,FALSE)</f>
        <v>0</v>
      </c>
      <c r="T1010">
        <f>HLOOKUP("Provisioned MiB",'vInfo (Imported)'!$1:$5000,M1010,FALSE)</f>
        <v>0</v>
      </c>
      <c r="U1010">
        <f t="shared" si="46"/>
        <v>0</v>
      </c>
      <c r="V1010">
        <f>HLOOKUP("In Use MiB",'vInfo (Imported)'!$1:$5000,M1010,FALSE)</f>
        <v>0</v>
      </c>
    </row>
    <row r="1011" spans="1:22" ht="13" x14ac:dyDescent="0.3">
      <c r="A1011" s="46">
        <f>'vHosts (Imported)'!A1011</f>
        <v>0</v>
      </c>
      <c r="B1011" s="51">
        <f t="shared" si="48"/>
        <v>4968</v>
      </c>
      <c r="C1011" s="49">
        <f>HLOOKUP("# Cores",'vHosts (Imported)'!$1:$5000,M1011,FALSE)</f>
        <v>0</v>
      </c>
      <c r="D1011" s="52">
        <f>HLOOKUP("# Memory",'vHosts (Imported)'!$1:$5000,M1011,FALSE)</f>
        <v>0</v>
      </c>
      <c r="M1011" s="45">
        <f t="shared" si="47"/>
        <v>1011</v>
      </c>
      <c r="N1011" s="38">
        <f>HLOOKUP("Host",'vInfo (Imported)'!$1:$5000,M1011,FALSE)</f>
        <v>0</v>
      </c>
      <c r="R1011">
        <f>HLOOKUP("CPUs",'vInfo (Imported)'!$1:$5000,M1011,FALSE)</f>
        <v>0</v>
      </c>
      <c r="S1011">
        <f>HLOOKUP("Memory",'vInfo (Imported)'!$1:$5000,M1011,FALSE)</f>
        <v>0</v>
      </c>
      <c r="T1011">
        <f>HLOOKUP("Provisioned MiB",'vInfo (Imported)'!$1:$5000,M1011,FALSE)</f>
        <v>0</v>
      </c>
      <c r="U1011">
        <f t="shared" si="46"/>
        <v>0</v>
      </c>
      <c r="V1011">
        <f>HLOOKUP("In Use MiB",'vInfo (Imported)'!$1:$5000,M1011,FALSE)</f>
        <v>0</v>
      </c>
    </row>
    <row r="1012" spans="1:22" ht="13" x14ac:dyDescent="0.3">
      <c r="A1012" s="46">
        <f>'vHosts (Imported)'!A1012</f>
        <v>0</v>
      </c>
      <c r="B1012" s="51">
        <f t="shared" si="48"/>
        <v>4968</v>
      </c>
      <c r="C1012" s="49">
        <f>HLOOKUP("# Cores",'vHosts (Imported)'!$1:$5000,M1012,FALSE)</f>
        <v>0</v>
      </c>
      <c r="D1012" s="52">
        <f>HLOOKUP("# Memory",'vHosts (Imported)'!$1:$5000,M1012,FALSE)</f>
        <v>0</v>
      </c>
      <c r="M1012" s="45">
        <f t="shared" si="47"/>
        <v>1012</v>
      </c>
      <c r="N1012" s="38">
        <f>HLOOKUP("Host",'vInfo (Imported)'!$1:$5000,M1012,FALSE)</f>
        <v>0</v>
      </c>
      <c r="R1012">
        <f>HLOOKUP("CPUs",'vInfo (Imported)'!$1:$5000,M1012,FALSE)</f>
        <v>0</v>
      </c>
      <c r="S1012">
        <f>HLOOKUP("Memory",'vInfo (Imported)'!$1:$5000,M1012,FALSE)</f>
        <v>0</v>
      </c>
      <c r="T1012">
        <f>HLOOKUP("Provisioned MiB",'vInfo (Imported)'!$1:$5000,M1012,FALSE)</f>
        <v>0</v>
      </c>
      <c r="U1012">
        <f t="shared" si="46"/>
        <v>0</v>
      </c>
      <c r="V1012">
        <f>HLOOKUP("In Use MiB",'vInfo (Imported)'!$1:$5000,M1012,FALSE)</f>
        <v>0</v>
      </c>
    </row>
    <row r="1013" spans="1:22" ht="13" x14ac:dyDescent="0.3">
      <c r="A1013" s="46">
        <f>'vHosts (Imported)'!A1013</f>
        <v>0</v>
      </c>
      <c r="B1013" s="51">
        <f t="shared" si="48"/>
        <v>4968</v>
      </c>
      <c r="C1013" s="49">
        <f>HLOOKUP("# Cores",'vHosts (Imported)'!$1:$5000,M1013,FALSE)</f>
        <v>0</v>
      </c>
      <c r="D1013" s="52">
        <f>HLOOKUP("# Memory",'vHosts (Imported)'!$1:$5000,M1013,FALSE)</f>
        <v>0</v>
      </c>
      <c r="M1013" s="45">
        <f t="shared" si="47"/>
        <v>1013</v>
      </c>
      <c r="N1013" s="38">
        <f>HLOOKUP("Host",'vInfo (Imported)'!$1:$5000,M1013,FALSE)</f>
        <v>0</v>
      </c>
      <c r="R1013">
        <f>HLOOKUP("CPUs",'vInfo (Imported)'!$1:$5000,M1013,FALSE)</f>
        <v>0</v>
      </c>
      <c r="S1013">
        <f>HLOOKUP("Memory",'vInfo (Imported)'!$1:$5000,M1013,FALSE)</f>
        <v>0</v>
      </c>
      <c r="T1013">
        <f>HLOOKUP("Provisioned MiB",'vInfo (Imported)'!$1:$5000,M1013,FALSE)</f>
        <v>0</v>
      </c>
      <c r="U1013">
        <f t="shared" si="46"/>
        <v>0</v>
      </c>
      <c r="V1013">
        <f>HLOOKUP("In Use MiB",'vInfo (Imported)'!$1:$5000,M1013,FALSE)</f>
        <v>0</v>
      </c>
    </row>
    <row r="1014" spans="1:22" ht="13" x14ac:dyDescent="0.3">
      <c r="A1014" s="46">
        <f>'vHosts (Imported)'!A1014</f>
        <v>0</v>
      </c>
      <c r="B1014" s="51">
        <f t="shared" si="48"/>
        <v>4968</v>
      </c>
      <c r="C1014" s="49">
        <f>HLOOKUP("# Cores",'vHosts (Imported)'!$1:$5000,M1014,FALSE)</f>
        <v>0</v>
      </c>
      <c r="D1014" s="52">
        <f>HLOOKUP("# Memory",'vHosts (Imported)'!$1:$5000,M1014,FALSE)</f>
        <v>0</v>
      </c>
      <c r="M1014" s="45">
        <f t="shared" si="47"/>
        <v>1014</v>
      </c>
      <c r="N1014" s="38">
        <f>HLOOKUP("Host",'vInfo (Imported)'!$1:$5000,M1014,FALSE)</f>
        <v>0</v>
      </c>
      <c r="R1014">
        <f>HLOOKUP("CPUs",'vInfo (Imported)'!$1:$5000,M1014,FALSE)</f>
        <v>0</v>
      </c>
      <c r="S1014">
        <f>HLOOKUP("Memory",'vInfo (Imported)'!$1:$5000,M1014,FALSE)</f>
        <v>0</v>
      </c>
      <c r="T1014">
        <f>HLOOKUP("Provisioned MiB",'vInfo (Imported)'!$1:$5000,M1014,FALSE)</f>
        <v>0</v>
      </c>
      <c r="U1014">
        <f t="shared" si="46"/>
        <v>0</v>
      </c>
      <c r="V1014">
        <f>HLOOKUP("In Use MiB",'vInfo (Imported)'!$1:$5000,M1014,FALSE)</f>
        <v>0</v>
      </c>
    </row>
    <row r="1015" spans="1:22" ht="13" x14ac:dyDescent="0.3">
      <c r="A1015" s="46">
        <f>'vHosts (Imported)'!A1015</f>
        <v>0</v>
      </c>
      <c r="B1015" s="51">
        <f t="shared" si="48"/>
        <v>4968</v>
      </c>
      <c r="C1015" s="49">
        <f>HLOOKUP("# Cores",'vHosts (Imported)'!$1:$5000,M1015,FALSE)</f>
        <v>0</v>
      </c>
      <c r="D1015" s="52">
        <f>HLOOKUP("# Memory",'vHosts (Imported)'!$1:$5000,M1015,FALSE)</f>
        <v>0</v>
      </c>
      <c r="M1015" s="45">
        <f t="shared" si="47"/>
        <v>1015</v>
      </c>
      <c r="N1015" s="38">
        <f>HLOOKUP("Host",'vInfo (Imported)'!$1:$5000,M1015,FALSE)</f>
        <v>0</v>
      </c>
      <c r="R1015">
        <f>HLOOKUP("CPUs",'vInfo (Imported)'!$1:$5000,M1015,FALSE)</f>
        <v>0</v>
      </c>
      <c r="S1015">
        <f>HLOOKUP("Memory",'vInfo (Imported)'!$1:$5000,M1015,FALSE)</f>
        <v>0</v>
      </c>
      <c r="T1015">
        <f>HLOOKUP("Provisioned MiB",'vInfo (Imported)'!$1:$5000,M1015,FALSE)</f>
        <v>0</v>
      </c>
      <c r="U1015">
        <f t="shared" si="46"/>
        <v>0</v>
      </c>
      <c r="V1015">
        <f>HLOOKUP("In Use MiB",'vInfo (Imported)'!$1:$5000,M1015,FALSE)</f>
        <v>0</v>
      </c>
    </row>
    <row r="1016" spans="1:22" ht="13" x14ac:dyDescent="0.3">
      <c r="A1016" s="46">
        <f>'vHosts (Imported)'!A1016</f>
        <v>0</v>
      </c>
      <c r="B1016" s="51">
        <f t="shared" si="48"/>
        <v>4968</v>
      </c>
      <c r="C1016" s="49">
        <f>HLOOKUP("# Cores",'vHosts (Imported)'!$1:$5000,M1016,FALSE)</f>
        <v>0</v>
      </c>
      <c r="D1016" s="52">
        <f>HLOOKUP("# Memory",'vHosts (Imported)'!$1:$5000,M1016,FALSE)</f>
        <v>0</v>
      </c>
      <c r="M1016" s="45">
        <f t="shared" si="47"/>
        <v>1016</v>
      </c>
      <c r="N1016" s="38">
        <f>HLOOKUP("Host",'vInfo (Imported)'!$1:$5000,M1016,FALSE)</f>
        <v>0</v>
      </c>
      <c r="R1016">
        <f>HLOOKUP("CPUs",'vInfo (Imported)'!$1:$5000,M1016,FALSE)</f>
        <v>0</v>
      </c>
      <c r="S1016">
        <f>HLOOKUP("Memory",'vInfo (Imported)'!$1:$5000,M1016,FALSE)</f>
        <v>0</v>
      </c>
      <c r="T1016">
        <f>HLOOKUP("Provisioned MiB",'vInfo (Imported)'!$1:$5000,M1016,FALSE)</f>
        <v>0</v>
      </c>
      <c r="U1016">
        <f t="shared" si="46"/>
        <v>0</v>
      </c>
      <c r="V1016">
        <f>HLOOKUP("In Use MiB",'vInfo (Imported)'!$1:$5000,M1016,FALSE)</f>
        <v>0</v>
      </c>
    </row>
    <row r="1017" spans="1:22" ht="13" x14ac:dyDescent="0.3">
      <c r="A1017" s="46">
        <f>'vHosts (Imported)'!A1017</f>
        <v>0</v>
      </c>
      <c r="B1017" s="51">
        <f t="shared" si="48"/>
        <v>4968</v>
      </c>
      <c r="C1017" s="49">
        <f>HLOOKUP("# Cores",'vHosts (Imported)'!$1:$5000,M1017,FALSE)</f>
        <v>0</v>
      </c>
      <c r="D1017" s="52">
        <f>HLOOKUP("# Memory",'vHosts (Imported)'!$1:$5000,M1017,FALSE)</f>
        <v>0</v>
      </c>
      <c r="M1017" s="45">
        <f t="shared" si="47"/>
        <v>1017</v>
      </c>
      <c r="N1017" s="38">
        <f>HLOOKUP("Host",'vInfo (Imported)'!$1:$5000,M1017,FALSE)</f>
        <v>0</v>
      </c>
      <c r="R1017">
        <f>HLOOKUP("CPUs",'vInfo (Imported)'!$1:$5000,M1017,FALSE)</f>
        <v>0</v>
      </c>
      <c r="S1017">
        <f>HLOOKUP("Memory",'vInfo (Imported)'!$1:$5000,M1017,FALSE)</f>
        <v>0</v>
      </c>
      <c r="T1017">
        <f>HLOOKUP("Provisioned MiB",'vInfo (Imported)'!$1:$5000,M1017,FALSE)</f>
        <v>0</v>
      </c>
      <c r="U1017">
        <f t="shared" si="46"/>
        <v>0</v>
      </c>
      <c r="V1017">
        <f>HLOOKUP("In Use MiB",'vInfo (Imported)'!$1:$5000,M1017,FALSE)</f>
        <v>0</v>
      </c>
    </row>
    <row r="1018" spans="1:22" ht="13" x14ac:dyDescent="0.3">
      <c r="A1018" s="46">
        <f>'vHosts (Imported)'!A1018</f>
        <v>0</v>
      </c>
      <c r="B1018" s="51">
        <f t="shared" si="48"/>
        <v>4968</v>
      </c>
      <c r="C1018" s="49">
        <f>HLOOKUP("# Cores",'vHosts (Imported)'!$1:$5000,M1018,FALSE)</f>
        <v>0</v>
      </c>
      <c r="D1018" s="52">
        <f>HLOOKUP("# Memory",'vHosts (Imported)'!$1:$5000,M1018,FALSE)</f>
        <v>0</v>
      </c>
      <c r="M1018" s="45">
        <f t="shared" si="47"/>
        <v>1018</v>
      </c>
      <c r="N1018" s="38">
        <f>HLOOKUP("Host",'vInfo (Imported)'!$1:$5000,M1018,FALSE)</f>
        <v>0</v>
      </c>
      <c r="R1018">
        <f>HLOOKUP("CPUs",'vInfo (Imported)'!$1:$5000,M1018,FALSE)</f>
        <v>0</v>
      </c>
      <c r="S1018">
        <f>HLOOKUP("Memory",'vInfo (Imported)'!$1:$5000,M1018,FALSE)</f>
        <v>0</v>
      </c>
      <c r="T1018">
        <f>HLOOKUP("Provisioned MiB",'vInfo (Imported)'!$1:$5000,M1018,FALSE)</f>
        <v>0</v>
      </c>
      <c r="U1018">
        <f t="shared" si="46"/>
        <v>0</v>
      </c>
      <c r="V1018">
        <f>HLOOKUP("In Use MiB",'vInfo (Imported)'!$1:$5000,M1018,FALSE)</f>
        <v>0</v>
      </c>
    </row>
    <row r="1019" spans="1:22" ht="13" x14ac:dyDescent="0.3">
      <c r="A1019" s="46">
        <f>'vHosts (Imported)'!A1019</f>
        <v>0</v>
      </c>
      <c r="B1019" s="51">
        <f t="shared" si="48"/>
        <v>4968</v>
      </c>
      <c r="C1019" s="49">
        <f>HLOOKUP("# Cores",'vHosts (Imported)'!$1:$5000,M1019,FALSE)</f>
        <v>0</v>
      </c>
      <c r="D1019" s="52">
        <f>HLOOKUP("# Memory",'vHosts (Imported)'!$1:$5000,M1019,FALSE)</f>
        <v>0</v>
      </c>
      <c r="M1019" s="45">
        <f t="shared" si="47"/>
        <v>1019</v>
      </c>
      <c r="N1019" s="38">
        <f>HLOOKUP("Host",'vInfo (Imported)'!$1:$5000,M1019,FALSE)</f>
        <v>0</v>
      </c>
      <c r="R1019">
        <f>HLOOKUP("CPUs",'vInfo (Imported)'!$1:$5000,M1019,FALSE)</f>
        <v>0</v>
      </c>
      <c r="S1019">
        <f>HLOOKUP("Memory",'vInfo (Imported)'!$1:$5000,M1019,FALSE)</f>
        <v>0</v>
      </c>
      <c r="T1019">
        <f>HLOOKUP("Provisioned MiB",'vInfo (Imported)'!$1:$5000,M1019,FALSE)</f>
        <v>0</v>
      </c>
      <c r="U1019">
        <f t="shared" si="46"/>
        <v>0</v>
      </c>
      <c r="V1019">
        <f>HLOOKUP("In Use MiB",'vInfo (Imported)'!$1:$5000,M1019,FALSE)</f>
        <v>0</v>
      </c>
    </row>
    <row r="1020" spans="1:22" ht="13" x14ac:dyDescent="0.3">
      <c r="A1020" s="46">
        <f>'vHosts (Imported)'!A1020</f>
        <v>0</v>
      </c>
      <c r="B1020" s="51">
        <f t="shared" si="48"/>
        <v>4968</v>
      </c>
      <c r="C1020" s="49">
        <f>HLOOKUP("# Cores",'vHosts (Imported)'!$1:$5000,M1020,FALSE)</f>
        <v>0</v>
      </c>
      <c r="D1020" s="52">
        <f>HLOOKUP("# Memory",'vHosts (Imported)'!$1:$5000,M1020,FALSE)</f>
        <v>0</v>
      </c>
      <c r="M1020" s="45">
        <f t="shared" si="47"/>
        <v>1020</v>
      </c>
      <c r="N1020" s="38">
        <f>HLOOKUP("Host",'vInfo (Imported)'!$1:$5000,M1020,FALSE)</f>
        <v>0</v>
      </c>
      <c r="R1020">
        <f>HLOOKUP("CPUs",'vInfo (Imported)'!$1:$5000,M1020,FALSE)</f>
        <v>0</v>
      </c>
      <c r="S1020">
        <f>HLOOKUP("Memory",'vInfo (Imported)'!$1:$5000,M1020,FALSE)</f>
        <v>0</v>
      </c>
      <c r="T1020">
        <f>HLOOKUP("Provisioned MiB",'vInfo (Imported)'!$1:$5000,M1020,FALSE)</f>
        <v>0</v>
      </c>
      <c r="U1020">
        <f t="shared" si="46"/>
        <v>0</v>
      </c>
      <c r="V1020">
        <f>HLOOKUP("In Use MiB",'vInfo (Imported)'!$1:$5000,M1020,FALSE)</f>
        <v>0</v>
      </c>
    </row>
    <row r="1021" spans="1:22" ht="13" x14ac:dyDescent="0.3">
      <c r="A1021" s="46">
        <f>'vHosts (Imported)'!A1021</f>
        <v>0</v>
      </c>
      <c r="B1021" s="51">
        <f t="shared" si="48"/>
        <v>4968</v>
      </c>
      <c r="C1021" s="49">
        <f>HLOOKUP("# Cores",'vHosts (Imported)'!$1:$5000,M1021,FALSE)</f>
        <v>0</v>
      </c>
      <c r="D1021" s="52">
        <f>HLOOKUP("# Memory",'vHosts (Imported)'!$1:$5000,M1021,FALSE)</f>
        <v>0</v>
      </c>
      <c r="M1021" s="45">
        <f t="shared" si="47"/>
        <v>1021</v>
      </c>
      <c r="N1021" s="38">
        <f>HLOOKUP("Host",'vInfo (Imported)'!$1:$5000,M1021,FALSE)</f>
        <v>0</v>
      </c>
      <c r="R1021">
        <f>HLOOKUP("CPUs",'vInfo (Imported)'!$1:$5000,M1021,FALSE)</f>
        <v>0</v>
      </c>
      <c r="S1021">
        <f>HLOOKUP("Memory",'vInfo (Imported)'!$1:$5000,M1021,FALSE)</f>
        <v>0</v>
      </c>
      <c r="T1021">
        <f>HLOOKUP("Provisioned MiB",'vInfo (Imported)'!$1:$5000,M1021,FALSE)</f>
        <v>0</v>
      </c>
      <c r="U1021">
        <f t="shared" si="46"/>
        <v>0</v>
      </c>
      <c r="V1021">
        <f>HLOOKUP("In Use MiB",'vInfo (Imported)'!$1:$5000,M1021,FALSE)</f>
        <v>0</v>
      </c>
    </row>
    <row r="1022" spans="1:22" ht="13" x14ac:dyDescent="0.3">
      <c r="A1022" s="46">
        <f>'vHosts (Imported)'!A1022</f>
        <v>0</v>
      </c>
      <c r="B1022" s="51">
        <f t="shared" si="48"/>
        <v>4968</v>
      </c>
      <c r="C1022" s="49">
        <f>HLOOKUP("# Cores",'vHosts (Imported)'!$1:$5000,M1022,FALSE)</f>
        <v>0</v>
      </c>
      <c r="D1022" s="52">
        <f>HLOOKUP("# Memory",'vHosts (Imported)'!$1:$5000,M1022,FALSE)</f>
        <v>0</v>
      </c>
      <c r="M1022" s="45">
        <f t="shared" si="47"/>
        <v>1022</v>
      </c>
      <c r="N1022" s="38">
        <f>HLOOKUP("Host",'vInfo (Imported)'!$1:$5000,M1022,FALSE)</f>
        <v>0</v>
      </c>
      <c r="R1022">
        <f>HLOOKUP("CPUs",'vInfo (Imported)'!$1:$5000,M1022,FALSE)</f>
        <v>0</v>
      </c>
      <c r="S1022">
        <f>HLOOKUP("Memory",'vInfo (Imported)'!$1:$5000,M1022,FALSE)</f>
        <v>0</v>
      </c>
      <c r="T1022">
        <f>HLOOKUP("Provisioned MiB",'vInfo (Imported)'!$1:$5000,M1022,FALSE)</f>
        <v>0</v>
      </c>
      <c r="U1022">
        <f t="shared" si="46"/>
        <v>0</v>
      </c>
      <c r="V1022">
        <f>HLOOKUP("In Use MiB",'vInfo (Imported)'!$1:$5000,M1022,FALSE)</f>
        <v>0</v>
      </c>
    </row>
    <row r="1023" spans="1:22" ht="13" x14ac:dyDescent="0.3">
      <c r="A1023" s="46">
        <f>'vHosts (Imported)'!A1023</f>
        <v>0</v>
      </c>
      <c r="B1023" s="51">
        <f t="shared" si="48"/>
        <v>4968</v>
      </c>
      <c r="C1023" s="49">
        <f>HLOOKUP("# Cores",'vHosts (Imported)'!$1:$5000,M1023,FALSE)</f>
        <v>0</v>
      </c>
      <c r="D1023" s="52">
        <f>HLOOKUP("# Memory",'vHosts (Imported)'!$1:$5000,M1023,FALSE)</f>
        <v>0</v>
      </c>
      <c r="M1023" s="45">
        <f t="shared" si="47"/>
        <v>1023</v>
      </c>
      <c r="N1023" s="38">
        <f>HLOOKUP("Host",'vInfo (Imported)'!$1:$5000,M1023,FALSE)</f>
        <v>0</v>
      </c>
      <c r="R1023">
        <f>HLOOKUP("CPUs",'vInfo (Imported)'!$1:$5000,M1023,FALSE)</f>
        <v>0</v>
      </c>
      <c r="S1023">
        <f>HLOOKUP("Memory",'vInfo (Imported)'!$1:$5000,M1023,FALSE)</f>
        <v>0</v>
      </c>
      <c r="T1023">
        <f>HLOOKUP("Provisioned MiB",'vInfo (Imported)'!$1:$5000,M1023,FALSE)</f>
        <v>0</v>
      </c>
      <c r="U1023">
        <f t="shared" si="46"/>
        <v>0</v>
      </c>
      <c r="V1023">
        <f>HLOOKUP("In Use MiB",'vInfo (Imported)'!$1:$5000,M1023,FALSE)</f>
        <v>0</v>
      </c>
    </row>
    <row r="1024" spans="1:22" ht="13" x14ac:dyDescent="0.3">
      <c r="A1024" s="46">
        <f>'vHosts (Imported)'!A1024</f>
        <v>0</v>
      </c>
      <c r="B1024" s="51">
        <f t="shared" si="48"/>
        <v>4968</v>
      </c>
      <c r="C1024" s="49">
        <f>HLOOKUP("# Cores",'vHosts (Imported)'!$1:$5000,M1024,FALSE)</f>
        <v>0</v>
      </c>
      <c r="D1024" s="52">
        <f>HLOOKUP("# Memory",'vHosts (Imported)'!$1:$5000,M1024,FALSE)</f>
        <v>0</v>
      </c>
      <c r="M1024" s="45">
        <f t="shared" si="47"/>
        <v>1024</v>
      </c>
      <c r="N1024" s="38">
        <f>HLOOKUP("Host",'vInfo (Imported)'!$1:$5000,M1024,FALSE)</f>
        <v>0</v>
      </c>
      <c r="R1024">
        <f>HLOOKUP("CPUs",'vInfo (Imported)'!$1:$5000,M1024,FALSE)</f>
        <v>0</v>
      </c>
      <c r="S1024">
        <f>HLOOKUP("Memory",'vInfo (Imported)'!$1:$5000,M1024,FALSE)</f>
        <v>0</v>
      </c>
      <c r="T1024">
        <f>HLOOKUP("Provisioned MiB",'vInfo (Imported)'!$1:$5000,M1024,FALSE)</f>
        <v>0</v>
      </c>
      <c r="U1024">
        <f t="shared" si="46"/>
        <v>0</v>
      </c>
      <c r="V1024">
        <f>HLOOKUP("In Use MiB",'vInfo (Imported)'!$1:$5000,M1024,FALSE)</f>
        <v>0</v>
      </c>
    </row>
    <row r="1025" spans="1:22" ht="13" x14ac:dyDescent="0.3">
      <c r="A1025" s="46">
        <f>'vHosts (Imported)'!A1025</f>
        <v>0</v>
      </c>
      <c r="B1025" s="51">
        <f t="shared" si="48"/>
        <v>4968</v>
      </c>
      <c r="C1025" s="49">
        <f>HLOOKUP("# Cores",'vHosts (Imported)'!$1:$5000,M1025,FALSE)</f>
        <v>0</v>
      </c>
      <c r="D1025" s="52">
        <f>HLOOKUP("# Memory",'vHosts (Imported)'!$1:$5000,M1025,FALSE)</f>
        <v>0</v>
      </c>
      <c r="M1025" s="45">
        <f t="shared" si="47"/>
        <v>1025</v>
      </c>
      <c r="N1025" s="38">
        <f>HLOOKUP("Host",'vInfo (Imported)'!$1:$5000,M1025,FALSE)</f>
        <v>0</v>
      </c>
      <c r="R1025">
        <f>HLOOKUP("CPUs",'vInfo (Imported)'!$1:$5000,M1025,FALSE)</f>
        <v>0</v>
      </c>
      <c r="S1025">
        <f>HLOOKUP("Memory",'vInfo (Imported)'!$1:$5000,M1025,FALSE)</f>
        <v>0</v>
      </c>
      <c r="T1025">
        <f>HLOOKUP("Provisioned MiB",'vInfo (Imported)'!$1:$5000,M1025,FALSE)</f>
        <v>0</v>
      </c>
      <c r="U1025">
        <f t="shared" si="46"/>
        <v>0</v>
      </c>
      <c r="V1025">
        <f>HLOOKUP("In Use MiB",'vInfo (Imported)'!$1:$5000,M1025,FALSE)</f>
        <v>0</v>
      </c>
    </row>
    <row r="1026" spans="1:22" ht="13" x14ac:dyDescent="0.3">
      <c r="A1026" s="46">
        <f>'vHosts (Imported)'!A1026</f>
        <v>0</v>
      </c>
      <c r="B1026" s="51">
        <f t="shared" si="48"/>
        <v>4968</v>
      </c>
      <c r="C1026" s="49">
        <f>HLOOKUP("# Cores",'vHosts (Imported)'!$1:$5000,M1026,FALSE)</f>
        <v>0</v>
      </c>
      <c r="D1026" s="52">
        <f>HLOOKUP("# Memory",'vHosts (Imported)'!$1:$5000,M1026,FALSE)</f>
        <v>0</v>
      </c>
      <c r="M1026" s="45">
        <f t="shared" si="47"/>
        <v>1026</v>
      </c>
      <c r="N1026" s="38">
        <f>HLOOKUP("Host",'vInfo (Imported)'!$1:$5000,M1026,FALSE)</f>
        <v>0</v>
      </c>
      <c r="R1026">
        <f>HLOOKUP("CPUs",'vInfo (Imported)'!$1:$5000,M1026,FALSE)</f>
        <v>0</v>
      </c>
      <c r="S1026">
        <f>HLOOKUP("Memory",'vInfo (Imported)'!$1:$5000,M1026,FALSE)</f>
        <v>0</v>
      </c>
      <c r="T1026">
        <f>HLOOKUP("Provisioned MiB",'vInfo (Imported)'!$1:$5000,M1026,FALSE)</f>
        <v>0</v>
      </c>
      <c r="U1026">
        <f t="shared" si="46"/>
        <v>0</v>
      </c>
      <c r="V1026">
        <f>HLOOKUP("In Use MiB",'vInfo (Imported)'!$1:$5000,M1026,FALSE)</f>
        <v>0</v>
      </c>
    </row>
    <row r="1027" spans="1:22" ht="13" x14ac:dyDescent="0.3">
      <c r="A1027" s="46">
        <f>'vHosts (Imported)'!A1027</f>
        <v>0</v>
      </c>
      <c r="B1027" s="51">
        <f t="shared" si="48"/>
        <v>4968</v>
      </c>
      <c r="C1027" s="49">
        <f>HLOOKUP("# Cores",'vHosts (Imported)'!$1:$5000,M1027,FALSE)</f>
        <v>0</v>
      </c>
      <c r="D1027" s="52">
        <f>HLOOKUP("# Memory",'vHosts (Imported)'!$1:$5000,M1027,FALSE)</f>
        <v>0</v>
      </c>
      <c r="M1027" s="45">
        <f t="shared" si="47"/>
        <v>1027</v>
      </c>
      <c r="N1027" s="38">
        <f>HLOOKUP("Host",'vInfo (Imported)'!$1:$5000,M1027,FALSE)</f>
        <v>0</v>
      </c>
      <c r="R1027">
        <f>HLOOKUP("CPUs",'vInfo (Imported)'!$1:$5000,M1027,FALSE)</f>
        <v>0</v>
      </c>
      <c r="S1027">
        <f>HLOOKUP("Memory",'vInfo (Imported)'!$1:$5000,M1027,FALSE)</f>
        <v>0</v>
      </c>
      <c r="T1027">
        <f>HLOOKUP("Provisioned MiB",'vInfo (Imported)'!$1:$5000,M1027,FALSE)</f>
        <v>0</v>
      </c>
      <c r="U1027">
        <f t="shared" ref="U1027:U1090" si="49">T1027-V1027</f>
        <v>0</v>
      </c>
      <c r="V1027">
        <f>HLOOKUP("In Use MiB",'vInfo (Imported)'!$1:$5000,M1027,FALSE)</f>
        <v>0</v>
      </c>
    </row>
    <row r="1028" spans="1:22" ht="13" x14ac:dyDescent="0.3">
      <c r="A1028" s="46">
        <f>'vHosts (Imported)'!A1028</f>
        <v>0</v>
      </c>
      <c r="B1028" s="51">
        <f t="shared" si="48"/>
        <v>4968</v>
      </c>
      <c r="C1028" s="49">
        <f>HLOOKUP("# Cores",'vHosts (Imported)'!$1:$5000,M1028,FALSE)</f>
        <v>0</v>
      </c>
      <c r="D1028" s="52">
        <f>HLOOKUP("# Memory",'vHosts (Imported)'!$1:$5000,M1028,FALSE)</f>
        <v>0</v>
      </c>
      <c r="M1028" s="45">
        <f t="shared" ref="M1028:M1091" si="50">M1027+1</f>
        <v>1028</v>
      </c>
      <c r="N1028" s="38">
        <f>HLOOKUP("Host",'vInfo (Imported)'!$1:$5000,M1028,FALSE)</f>
        <v>0</v>
      </c>
      <c r="R1028">
        <f>HLOOKUP("CPUs",'vInfo (Imported)'!$1:$5000,M1028,FALSE)</f>
        <v>0</v>
      </c>
      <c r="S1028">
        <f>HLOOKUP("Memory",'vInfo (Imported)'!$1:$5000,M1028,FALSE)</f>
        <v>0</v>
      </c>
      <c r="T1028">
        <f>HLOOKUP("Provisioned MiB",'vInfo (Imported)'!$1:$5000,M1028,FALSE)</f>
        <v>0</v>
      </c>
      <c r="U1028">
        <f t="shared" si="49"/>
        <v>0</v>
      </c>
      <c r="V1028">
        <f>HLOOKUP("In Use MiB",'vInfo (Imported)'!$1:$5000,M1028,FALSE)</f>
        <v>0</v>
      </c>
    </row>
    <row r="1029" spans="1:22" ht="13" x14ac:dyDescent="0.3">
      <c r="A1029" s="46">
        <f>'vHosts (Imported)'!A1029</f>
        <v>0</v>
      </c>
      <c r="B1029" s="51">
        <f t="shared" si="48"/>
        <v>4968</v>
      </c>
      <c r="C1029" s="49">
        <f>HLOOKUP("# Cores",'vHosts (Imported)'!$1:$5000,M1029,FALSE)</f>
        <v>0</v>
      </c>
      <c r="D1029" s="52">
        <f>HLOOKUP("# Memory",'vHosts (Imported)'!$1:$5000,M1029,FALSE)</f>
        <v>0</v>
      </c>
      <c r="M1029" s="45">
        <f t="shared" si="50"/>
        <v>1029</v>
      </c>
      <c r="N1029" s="38">
        <f>HLOOKUP("Host",'vInfo (Imported)'!$1:$5000,M1029,FALSE)</f>
        <v>0</v>
      </c>
      <c r="R1029">
        <f>HLOOKUP("CPUs",'vInfo (Imported)'!$1:$5000,M1029,FALSE)</f>
        <v>0</v>
      </c>
      <c r="S1029">
        <f>HLOOKUP("Memory",'vInfo (Imported)'!$1:$5000,M1029,FALSE)</f>
        <v>0</v>
      </c>
      <c r="T1029">
        <f>HLOOKUP("Provisioned MiB",'vInfo (Imported)'!$1:$5000,M1029,FALSE)</f>
        <v>0</v>
      </c>
      <c r="U1029">
        <f t="shared" si="49"/>
        <v>0</v>
      </c>
      <c r="V1029">
        <f>HLOOKUP("In Use MiB",'vInfo (Imported)'!$1:$5000,M1029,FALSE)</f>
        <v>0</v>
      </c>
    </row>
    <row r="1030" spans="1:22" ht="13" x14ac:dyDescent="0.3">
      <c r="A1030" s="46">
        <f>'vHosts (Imported)'!A1030</f>
        <v>0</v>
      </c>
      <c r="B1030" s="51">
        <f t="shared" si="48"/>
        <v>4968</v>
      </c>
      <c r="C1030" s="49">
        <f>HLOOKUP("# Cores",'vHosts (Imported)'!$1:$5000,M1030,FALSE)</f>
        <v>0</v>
      </c>
      <c r="D1030" s="52">
        <f>HLOOKUP("# Memory",'vHosts (Imported)'!$1:$5000,M1030,FALSE)</f>
        <v>0</v>
      </c>
      <c r="M1030" s="45">
        <f t="shared" si="50"/>
        <v>1030</v>
      </c>
      <c r="N1030" s="38">
        <f>HLOOKUP("Host",'vInfo (Imported)'!$1:$5000,M1030,FALSE)</f>
        <v>0</v>
      </c>
      <c r="R1030">
        <f>HLOOKUP("CPUs",'vInfo (Imported)'!$1:$5000,M1030,FALSE)</f>
        <v>0</v>
      </c>
      <c r="S1030">
        <f>HLOOKUP("Memory",'vInfo (Imported)'!$1:$5000,M1030,FALSE)</f>
        <v>0</v>
      </c>
      <c r="T1030">
        <f>HLOOKUP("Provisioned MiB",'vInfo (Imported)'!$1:$5000,M1030,FALSE)</f>
        <v>0</v>
      </c>
      <c r="U1030">
        <f t="shared" si="49"/>
        <v>0</v>
      </c>
      <c r="V1030">
        <f>HLOOKUP("In Use MiB",'vInfo (Imported)'!$1:$5000,M1030,FALSE)</f>
        <v>0</v>
      </c>
    </row>
    <row r="1031" spans="1:22" ht="13" x14ac:dyDescent="0.3">
      <c r="A1031" s="46">
        <f>'vHosts (Imported)'!A1031</f>
        <v>0</v>
      </c>
      <c r="B1031" s="51">
        <f t="shared" si="48"/>
        <v>4968</v>
      </c>
      <c r="C1031" s="49">
        <f>HLOOKUP("# Cores",'vHosts (Imported)'!$1:$5000,M1031,FALSE)</f>
        <v>0</v>
      </c>
      <c r="D1031" s="52">
        <f>HLOOKUP("# Memory",'vHosts (Imported)'!$1:$5000,M1031,FALSE)</f>
        <v>0</v>
      </c>
      <c r="M1031" s="45">
        <f t="shared" si="50"/>
        <v>1031</v>
      </c>
      <c r="N1031" s="38">
        <f>HLOOKUP("Host",'vInfo (Imported)'!$1:$5000,M1031,FALSE)</f>
        <v>0</v>
      </c>
      <c r="R1031">
        <f>HLOOKUP("CPUs",'vInfo (Imported)'!$1:$5000,M1031,FALSE)</f>
        <v>0</v>
      </c>
      <c r="S1031">
        <f>HLOOKUP("Memory",'vInfo (Imported)'!$1:$5000,M1031,FALSE)</f>
        <v>0</v>
      </c>
      <c r="T1031">
        <f>HLOOKUP("Provisioned MiB",'vInfo (Imported)'!$1:$5000,M1031,FALSE)</f>
        <v>0</v>
      </c>
      <c r="U1031">
        <f t="shared" si="49"/>
        <v>0</v>
      </c>
      <c r="V1031">
        <f>HLOOKUP("In Use MiB",'vInfo (Imported)'!$1:$5000,M1031,FALSE)</f>
        <v>0</v>
      </c>
    </row>
    <row r="1032" spans="1:22" ht="13" x14ac:dyDescent="0.3">
      <c r="A1032" s="46">
        <f>'vHosts (Imported)'!A1032</f>
        <v>0</v>
      </c>
      <c r="B1032" s="51">
        <f t="shared" si="48"/>
        <v>4968</v>
      </c>
      <c r="C1032" s="49">
        <f>HLOOKUP("# Cores",'vHosts (Imported)'!$1:$5000,M1032,FALSE)</f>
        <v>0</v>
      </c>
      <c r="D1032" s="52">
        <f>HLOOKUP("# Memory",'vHosts (Imported)'!$1:$5000,M1032,FALSE)</f>
        <v>0</v>
      </c>
      <c r="M1032" s="45">
        <f t="shared" si="50"/>
        <v>1032</v>
      </c>
      <c r="N1032" s="38">
        <f>HLOOKUP("Host",'vInfo (Imported)'!$1:$5000,M1032,FALSE)</f>
        <v>0</v>
      </c>
      <c r="R1032">
        <f>HLOOKUP("CPUs",'vInfo (Imported)'!$1:$5000,M1032,FALSE)</f>
        <v>0</v>
      </c>
      <c r="S1032">
        <f>HLOOKUP("Memory",'vInfo (Imported)'!$1:$5000,M1032,FALSE)</f>
        <v>0</v>
      </c>
      <c r="T1032">
        <f>HLOOKUP("Provisioned MiB",'vInfo (Imported)'!$1:$5000,M1032,FALSE)</f>
        <v>0</v>
      </c>
      <c r="U1032">
        <f t="shared" si="49"/>
        <v>0</v>
      </c>
      <c r="V1032">
        <f>HLOOKUP("In Use MiB",'vInfo (Imported)'!$1:$5000,M1032,FALSE)</f>
        <v>0</v>
      </c>
    </row>
    <row r="1033" spans="1:22" ht="13" x14ac:dyDescent="0.3">
      <c r="A1033" s="46">
        <f>'vHosts (Imported)'!A1033</f>
        <v>0</v>
      </c>
      <c r="B1033" s="51">
        <f t="shared" si="48"/>
        <v>4968</v>
      </c>
      <c r="C1033" s="49">
        <f>HLOOKUP("# Cores",'vHosts (Imported)'!$1:$5000,M1033,FALSE)</f>
        <v>0</v>
      </c>
      <c r="D1033" s="52">
        <f>HLOOKUP("# Memory",'vHosts (Imported)'!$1:$5000,M1033,FALSE)</f>
        <v>0</v>
      </c>
      <c r="M1033" s="45">
        <f t="shared" si="50"/>
        <v>1033</v>
      </c>
      <c r="N1033" s="38">
        <f>HLOOKUP("Host",'vInfo (Imported)'!$1:$5000,M1033,FALSE)</f>
        <v>0</v>
      </c>
      <c r="R1033">
        <f>HLOOKUP("CPUs",'vInfo (Imported)'!$1:$5000,M1033,FALSE)</f>
        <v>0</v>
      </c>
      <c r="S1033">
        <f>HLOOKUP("Memory",'vInfo (Imported)'!$1:$5000,M1033,FALSE)</f>
        <v>0</v>
      </c>
      <c r="T1033">
        <f>HLOOKUP("Provisioned MiB",'vInfo (Imported)'!$1:$5000,M1033,FALSE)</f>
        <v>0</v>
      </c>
      <c r="U1033">
        <f t="shared" si="49"/>
        <v>0</v>
      </c>
      <c r="V1033">
        <f>HLOOKUP("In Use MiB",'vInfo (Imported)'!$1:$5000,M1033,FALSE)</f>
        <v>0</v>
      </c>
    </row>
    <row r="1034" spans="1:22" ht="13" x14ac:dyDescent="0.3">
      <c r="A1034" s="46">
        <f>'vHosts (Imported)'!A1034</f>
        <v>0</v>
      </c>
      <c r="B1034" s="51">
        <f t="shared" si="48"/>
        <v>4968</v>
      </c>
      <c r="C1034" s="49">
        <f>HLOOKUP("# Cores",'vHosts (Imported)'!$1:$5000,M1034,FALSE)</f>
        <v>0</v>
      </c>
      <c r="D1034" s="52">
        <f>HLOOKUP("# Memory",'vHosts (Imported)'!$1:$5000,M1034,FALSE)</f>
        <v>0</v>
      </c>
      <c r="M1034" s="45">
        <f t="shared" si="50"/>
        <v>1034</v>
      </c>
      <c r="N1034" s="38">
        <f>HLOOKUP("Host",'vInfo (Imported)'!$1:$5000,M1034,FALSE)</f>
        <v>0</v>
      </c>
      <c r="R1034">
        <f>HLOOKUP("CPUs",'vInfo (Imported)'!$1:$5000,M1034,FALSE)</f>
        <v>0</v>
      </c>
      <c r="S1034">
        <f>HLOOKUP("Memory",'vInfo (Imported)'!$1:$5000,M1034,FALSE)</f>
        <v>0</v>
      </c>
      <c r="T1034">
        <f>HLOOKUP("Provisioned MiB",'vInfo (Imported)'!$1:$5000,M1034,FALSE)</f>
        <v>0</v>
      </c>
      <c r="U1034">
        <f t="shared" si="49"/>
        <v>0</v>
      </c>
      <c r="V1034">
        <f>HLOOKUP("In Use MiB",'vInfo (Imported)'!$1:$5000,M1034,FALSE)</f>
        <v>0</v>
      </c>
    </row>
    <row r="1035" spans="1:22" ht="13" x14ac:dyDescent="0.3">
      <c r="A1035" s="46">
        <f>'vHosts (Imported)'!A1035</f>
        <v>0</v>
      </c>
      <c r="B1035" s="51">
        <f t="shared" si="48"/>
        <v>4968</v>
      </c>
      <c r="C1035" s="49">
        <f>HLOOKUP("# Cores",'vHosts (Imported)'!$1:$5000,M1035,FALSE)</f>
        <v>0</v>
      </c>
      <c r="D1035" s="52">
        <f>HLOOKUP("# Memory",'vHosts (Imported)'!$1:$5000,M1035,FALSE)</f>
        <v>0</v>
      </c>
      <c r="M1035" s="45">
        <f t="shared" si="50"/>
        <v>1035</v>
      </c>
      <c r="N1035" s="38">
        <f>HLOOKUP("Host",'vInfo (Imported)'!$1:$5000,M1035,FALSE)</f>
        <v>0</v>
      </c>
      <c r="R1035">
        <f>HLOOKUP("CPUs",'vInfo (Imported)'!$1:$5000,M1035,FALSE)</f>
        <v>0</v>
      </c>
      <c r="S1035">
        <f>HLOOKUP("Memory",'vInfo (Imported)'!$1:$5000,M1035,FALSE)</f>
        <v>0</v>
      </c>
      <c r="T1035">
        <f>HLOOKUP("Provisioned MiB",'vInfo (Imported)'!$1:$5000,M1035,FALSE)</f>
        <v>0</v>
      </c>
      <c r="U1035">
        <f t="shared" si="49"/>
        <v>0</v>
      </c>
      <c r="V1035">
        <f>HLOOKUP("In Use MiB",'vInfo (Imported)'!$1:$5000,M1035,FALSE)</f>
        <v>0</v>
      </c>
    </row>
    <row r="1036" spans="1:22" ht="13" x14ac:dyDescent="0.3">
      <c r="A1036" s="46">
        <f>'vHosts (Imported)'!A1036</f>
        <v>0</v>
      </c>
      <c r="B1036" s="51">
        <f t="shared" si="48"/>
        <v>4968</v>
      </c>
      <c r="C1036" s="49">
        <f>HLOOKUP("# Cores",'vHosts (Imported)'!$1:$5000,M1036,FALSE)</f>
        <v>0</v>
      </c>
      <c r="D1036" s="52">
        <f>HLOOKUP("# Memory",'vHosts (Imported)'!$1:$5000,M1036,FALSE)</f>
        <v>0</v>
      </c>
      <c r="M1036" s="45">
        <f t="shared" si="50"/>
        <v>1036</v>
      </c>
      <c r="N1036" s="38">
        <f>HLOOKUP("Host",'vInfo (Imported)'!$1:$5000,M1036,FALSE)</f>
        <v>0</v>
      </c>
      <c r="R1036">
        <f>HLOOKUP("CPUs",'vInfo (Imported)'!$1:$5000,M1036,FALSE)</f>
        <v>0</v>
      </c>
      <c r="S1036">
        <f>HLOOKUP("Memory",'vInfo (Imported)'!$1:$5000,M1036,FALSE)</f>
        <v>0</v>
      </c>
      <c r="T1036">
        <f>HLOOKUP("Provisioned MiB",'vInfo (Imported)'!$1:$5000,M1036,FALSE)</f>
        <v>0</v>
      </c>
      <c r="U1036">
        <f t="shared" si="49"/>
        <v>0</v>
      </c>
      <c r="V1036">
        <f>HLOOKUP("In Use MiB",'vInfo (Imported)'!$1:$5000,M1036,FALSE)</f>
        <v>0</v>
      </c>
    </row>
    <row r="1037" spans="1:22" ht="13" x14ac:dyDescent="0.3">
      <c r="A1037" s="46">
        <f>'vHosts (Imported)'!A1037</f>
        <v>0</v>
      </c>
      <c r="B1037" s="51">
        <f t="shared" si="48"/>
        <v>4968</v>
      </c>
      <c r="C1037" s="49">
        <f>HLOOKUP("# Cores",'vHosts (Imported)'!$1:$5000,M1037,FALSE)</f>
        <v>0</v>
      </c>
      <c r="D1037" s="52">
        <f>HLOOKUP("# Memory",'vHosts (Imported)'!$1:$5000,M1037,FALSE)</f>
        <v>0</v>
      </c>
      <c r="M1037" s="45">
        <f t="shared" si="50"/>
        <v>1037</v>
      </c>
      <c r="N1037" s="38">
        <f>HLOOKUP("Host",'vInfo (Imported)'!$1:$5000,M1037,FALSE)</f>
        <v>0</v>
      </c>
      <c r="R1037">
        <f>HLOOKUP("CPUs",'vInfo (Imported)'!$1:$5000,M1037,FALSE)</f>
        <v>0</v>
      </c>
      <c r="S1037">
        <f>HLOOKUP("Memory",'vInfo (Imported)'!$1:$5000,M1037,FALSE)</f>
        <v>0</v>
      </c>
      <c r="T1037">
        <f>HLOOKUP("Provisioned MiB",'vInfo (Imported)'!$1:$5000,M1037,FALSE)</f>
        <v>0</v>
      </c>
      <c r="U1037">
        <f t="shared" si="49"/>
        <v>0</v>
      </c>
      <c r="V1037">
        <f>HLOOKUP("In Use MiB",'vInfo (Imported)'!$1:$5000,M1037,FALSE)</f>
        <v>0</v>
      </c>
    </row>
    <row r="1038" spans="1:22" ht="13" x14ac:dyDescent="0.3">
      <c r="A1038" s="46">
        <f>'vHosts (Imported)'!A1038</f>
        <v>0</v>
      </c>
      <c r="B1038" s="51">
        <f t="shared" si="48"/>
        <v>4968</v>
      </c>
      <c r="C1038" s="49">
        <f>HLOOKUP("# Cores",'vHosts (Imported)'!$1:$5000,M1038,FALSE)</f>
        <v>0</v>
      </c>
      <c r="D1038" s="52">
        <f>HLOOKUP("# Memory",'vHosts (Imported)'!$1:$5000,M1038,FALSE)</f>
        <v>0</v>
      </c>
      <c r="M1038" s="45">
        <f t="shared" si="50"/>
        <v>1038</v>
      </c>
      <c r="N1038" s="38">
        <f>HLOOKUP("Host",'vInfo (Imported)'!$1:$5000,M1038,FALSE)</f>
        <v>0</v>
      </c>
      <c r="R1038">
        <f>HLOOKUP("CPUs",'vInfo (Imported)'!$1:$5000,M1038,FALSE)</f>
        <v>0</v>
      </c>
      <c r="S1038">
        <f>HLOOKUP("Memory",'vInfo (Imported)'!$1:$5000,M1038,FALSE)</f>
        <v>0</v>
      </c>
      <c r="T1038">
        <f>HLOOKUP("Provisioned MiB",'vInfo (Imported)'!$1:$5000,M1038,FALSE)</f>
        <v>0</v>
      </c>
      <c r="U1038">
        <f t="shared" si="49"/>
        <v>0</v>
      </c>
      <c r="V1038">
        <f>HLOOKUP("In Use MiB",'vInfo (Imported)'!$1:$5000,M1038,FALSE)</f>
        <v>0</v>
      </c>
    </row>
    <row r="1039" spans="1:22" ht="13" x14ac:dyDescent="0.3">
      <c r="A1039" s="46">
        <f>'vHosts (Imported)'!A1039</f>
        <v>0</v>
      </c>
      <c r="B1039" s="51">
        <f t="shared" si="48"/>
        <v>4968</v>
      </c>
      <c r="C1039" s="49">
        <f>HLOOKUP("# Cores",'vHosts (Imported)'!$1:$5000,M1039,FALSE)</f>
        <v>0</v>
      </c>
      <c r="D1039" s="52">
        <f>HLOOKUP("# Memory",'vHosts (Imported)'!$1:$5000,M1039,FALSE)</f>
        <v>0</v>
      </c>
      <c r="M1039" s="45">
        <f t="shared" si="50"/>
        <v>1039</v>
      </c>
      <c r="N1039" s="38">
        <f>HLOOKUP("Host",'vInfo (Imported)'!$1:$5000,M1039,FALSE)</f>
        <v>0</v>
      </c>
      <c r="R1039">
        <f>HLOOKUP("CPUs",'vInfo (Imported)'!$1:$5000,M1039,FALSE)</f>
        <v>0</v>
      </c>
      <c r="S1039">
        <f>HLOOKUP("Memory",'vInfo (Imported)'!$1:$5000,M1039,FALSE)</f>
        <v>0</v>
      </c>
      <c r="T1039">
        <f>HLOOKUP("Provisioned MiB",'vInfo (Imported)'!$1:$5000,M1039,FALSE)</f>
        <v>0</v>
      </c>
      <c r="U1039">
        <f t="shared" si="49"/>
        <v>0</v>
      </c>
      <c r="V1039">
        <f>HLOOKUP("In Use MiB",'vInfo (Imported)'!$1:$5000,M1039,FALSE)</f>
        <v>0</v>
      </c>
    </row>
    <row r="1040" spans="1:22" ht="13" x14ac:dyDescent="0.3">
      <c r="A1040" s="46">
        <f>'vHosts (Imported)'!A1040</f>
        <v>0</v>
      </c>
      <c r="B1040" s="51">
        <f t="shared" si="48"/>
        <v>4968</v>
      </c>
      <c r="C1040" s="49">
        <f>HLOOKUP("# Cores",'vHosts (Imported)'!$1:$5000,M1040,FALSE)</f>
        <v>0</v>
      </c>
      <c r="D1040" s="52">
        <f>HLOOKUP("# Memory",'vHosts (Imported)'!$1:$5000,M1040,FALSE)</f>
        <v>0</v>
      </c>
      <c r="M1040" s="45">
        <f t="shared" si="50"/>
        <v>1040</v>
      </c>
      <c r="N1040" s="38">
        <f>HLOOKUP("Host",'vInfo (Imported)'!$1:$5000,M1040,FALSE)</f>
        <v>0</v>
      </c>
      <c r="R1040">
        <f>HLOOKUP("CPUs",'vInfo (Imported)'!$1:$5000,M1040,FALSE)</f>
        <v>0</v>
      </c>
      <c r="S1040">
        <f>HLOOKUP("Memory",'vInfo (Imported)'!$1:$5000,M1040,FALSE)</f>
        <v>0</v>
      </c>
      <c r="T1040">
        <f>HLOOKUP("Provisioned MiB",'vInfo (Imported)'!$1:$5000,M1040,FALSE)</f>
        <v>0</v>
      </c>
      <c r="U1040">
        <f t="shared" si="49"/>
        <v>0</v>
      </c>
      <c r="V1040">
        <f>HLOOKUP("In Use MiB",'vInfo (Imported)'!$1:$5000,M1040,FALSE)</f>
        <v>0</v>
      </c>
    </row>
    <row r="1041" spans="1:22" ht="13" x14ac:dyDescent="0.3">
      <c r="A1041" s="46">
        <f>'vHosts (Imported)'!A1041</f>
        <v>0</v>
      </c>
      <c r="B1041" s="51">
        <f t="shared" si="48"/>
        <v>4968</v>
      </c>
      <c r="C1041" s="49">
        <f>HLOOKUP("# Cores",'vHosts (Imported)'!$1:$5000,M1041,FALSE)</f>
        <v>0</v>
      </c>
      <c r="D1041" s="52">
        <f>HLOOKUP("# Memory",'vHosts (Imported)'!$1:$5000,M1041,FALSE)</f>
        <v>0</v>
      </c>
      <c r="M1041" s="45">
        <f t="shared" si="50"/>
        <v>1041</v>
      </c>
      <c r="N1041" s="38">
        <f>HLOOKUP("Host",'vInfo (Imported)'!$1:$5000,M1041,FALSE)</f>
        <v>0</v>
      </c>
      <c r="R1041">
        <f>HLOOKUP("CPUs",'vInfo (Imported)'!$1:$5000,M1041,FALSE)</f>
        <v>0</v>
      </c>
      <c r="S1041">
        <f>HLOOKUP("Memory",'vInfo (Imported)'!$1:$5000,M1041,FALSE)</f>
        <v>0</v>
      </c>
      <c r="T1041">
        <f>HLOOKUP("Provisioned MiB",'vInfo (Imported)'!$1:$5000,M1041,FALSE)</f>
        <v>0</v>
      </c>
      <c r="U1041">
        <f t="shared" si="49"/>
        <v>0</v>
      </c>
      <c r="V1041">
        <f>HLOOKUP("In Use MiB",'vInfo (Imported)'!$1:$5000,M1041,FALSE)</f>
        <v>0</v>
      </c>
    </row>
    <row r="1042" spans="1:22" ht="13" x14ac:dyDescent="0.3">
      <c r="A1042" s="46">
        <f>'vHosts (Imported)'!A1042</f>
        <v>0</v>
      </c>
      <c r="B1042" s="51">
        <f t="shared" si="48"/>
        <v>4968</v>
      </c>
      <c r="C1042" s="49">
        <f>HLOOKUP("# Cores",'vHosts (Imported)'!$1:$5000,M1042,FALSE)</f>
        <v>0</v>
      </c>
      <c r="D1042" s="52">
        <f>HLOOKUP("# Memory",'vHosts (Imported)'!$1:$5000,M1042,FALSE)</f>
        <v>0</v>
      </c>
      <c r="M1042" s="45">
        <f t="shared" si="50"/>
        <v>1042</v>
      </c>
      <c r="N1042" s="38">
        <f>HLOOKUP("Host",'vInfo (Imported)'!$1:$5000,M1042,FALSE)</f>
        <v>0</v>
      </c>
      <c r="R1042">
        <f>HLOOKUP("CPUs",'vInfo (Imported)'!$1:$5000,M1042,FALSE)</f>
        <v>0</v>
      </c>
      <c r="S1042">
        <f>HLOOKUP("Memory",'vInfo (Imported)'!$1:$5000,M1042,FALSE)</f>
        <v>0</v>
      </c>
      <c r="T1042">
        <f>HLOOKUP("Provisioned MiB",'vInfo (Imported)'!$1:$5000,M1042,FALSE)</f>
        <v>0</v>
      </c>
      <c r="U1042">
        <f t="shared" si="49"/>
        <v>0</v>
      </c>
      <c r="V1042">
        <f>HLOOKUP("In Use MiB",'vInfo (Imported)'!$1:$5000,M1042,FALSE)</f>
        <v>0</v>
      </c>
    </row>
    <row r="1043" spans="1:22" ht="13" x14ac:dyDescent="0.3">
      <c r="A1043" s="46">
        <f>'vHosts (Imported)'!A1043</f>
        <v>0</v>
      </c>
      <c r="B1043" s="51">
        <f t="shared" si="48"/>
        <v>4968</v>
      </c>
      <c r="C1043" s="49">
        <f>HLOOKUP("# Cores",'vHosts (Imported)'!$1:$5000,M1043,FALSE)</f>
        <v>0</v>
      </c>
      <c r="D1043" s="52">
        <f>HLOOKUP("# Memory",'vHosts (Imported)'!$1:$5000,M1043,FALSE)</f>
        <v>0</v>
      </c>
      <c r="M1043" s="45">
        <f t="shared" si="50"/>
        <v>1043</v>
      </c>
      <c r="N1043" s="38">
        <f>HLOOKUP("Host",'vInfo (Imported)'!$1:$5000,M1043,FALSE)</f>
        <v>0</v>
      </c>
      <c r="R1043">
        <f>HLOOKUP("CPUs",'vInfo (Imported)'!$1:$5000,M1043,FALSE)</f>
        <v>0</v>
      </c>
      <c r="S1043">
        <f>HLOOKUP("Memory",'vInfo (Imported)'!$1:$5000,M1043,FALSE)</f>
        <v>0</v>
      </c>
      <c r="T1043">
        <f>HLOOKUP("Provisioned MiB",'vInfo (Imported)'!$1:$5000,M1043,FALSE)</f>
        <v>0</v>
      </c>
      <c r="U1043">
        <f t="shared" si="49"/>
        <v>0</v>
      </c>
      <c r="V1043">
        <f>HLOOKUP("In Use MiB",'vInfo (Imported)'!$1:$5000,M1043,FALSE)</f>
        <v>0</v>
      </c>
    </row>
    <row r="1044" spans="1:22" ht="13" x14ac:dyDescent="0.3">
      <c r="A1044" s="46">
        <f>'vHosts (Imported)'!A1044</f>
        <v>0</v>
      </c>
      <c r="B1044" s="51">
        <f t="shared" si="48"/>
        <v>4968</v>
      </c>
      <c r="C1044" s="49">
        <f>HLOOKUP("# Cores",'vHosts (Imported)'!$1:$5000,M1044,FALSE)</f>
        <v>0</v>
      </c>
      <c r="D1044" s="52">
        <f>HLOOKUP("# Memory",'vHosts (Imported)'!$1:$5000,M1044,FALSE)</f>
        <v>0</v>
      </c>
      <c r="M1044" s="45">
        <f t="shared" si="50"/>
        <v>1044</v>
      </c>
      <c r="N1044" s="38">
        <f>HLOOKUP("Host",'vInfo (Imported)'!$1:$5000,M1044,FALSE)</f>
        <v>0</v>
      </c>
      <c r="R1044">
        <f>HLOOKUP("CPUs",'vInfo (Imported)'!$1:$5000,M1044,FALSE)</f>
        <v>0</v>
      </c>
      <c r="S1044">
        <f>HLOOKUP("Memory",'vInfo (Imported)'!$1:$5000,M1044,FALSE)</f>
        <v>0</v>
      </c>
      <c r="T1044">
        <f>HLOOKUP("Provisioned MiB",'vInfo (Imported)'!$1:$5000,M1044,FALSE)</f>
        <v>0</v>
      </c>
      <c r="U1044">
        <f t="shared" si="49"/>
        <v>0</v>
      </c>
      <c r="V1044">
        <f>HLOOKUP("In Use MiB",'vInfo (Imported)'!$1:$5000,M1044,FALSE)</f>
        <v>0</v>
      </c>
    </row>
    <row r="1045" spans="1:22" ht="13" x14ac:dyDescent="0.3">
      <c r="A1045" s="46">
        <f>'vHosts (Imported)'!A1045</f>
        <v>0</v>
      </c>
      <c r="B1045" s="51">
        <f t="shared" si="48"/>
        <v>4968</v>
      </c>
      <c r="C1045" s="49">
        <f>HLOOKUP("# Cores",'vHosts (Imported)'!$1:$5000,M1045,FALSE)</f>
        <v>0</v>
      </c>
      <c r="D1045" s="52">
        <f>HLOOKUP("# Memory",'vHosts (Imported)'!$1:$5000,M1045,FALSE)</f>
        <v>0</v>
      </c>
      <c r="M1045" s="45">
        <f t="shared" si="50"/>
        <v>1045</v>
      </c>
      <c r="N1045" s="38">
        <f>HLOOKUP("Host",'vInfo (Imported)'!$1:$5000,M1045,FALSE)</f>
        <v>0</v>
      </c>
      <c r="R1045">
        <f>HLOOKUP("CPUs",'vInfo (Imported)'!$1:$5000,M1045,FALSE)</f>
        <v>0</v>
      </c>
      <c r="S1045">
        <f>HLOOKUP("Memory",'vInfo (Imported)'!$1:$5000,M1045,FALSE)</f>
        <v>0</v>
      </c>
      <c r="T1045">
        <f>HLOOKUP("Provisioned MiB",'vInfo (Imported)'!$1:$5000,M1045,FALSE)</f>
        <v>0</v>
      </c>
      <c r="U1045">
        <f t="shared" si="49"/>
        <v>0</v>
      </c>
      <c r="V1045">
        <f>HLOOKUP("In Use MiB",'vInfo (Imported)'!$1:$5000,M1045,FALSE)</f>
        <v>0</v>
      </c>
    </row>
    <row r="1046" spans="1:22" ht="13" x14ac:dyDescent="0.3">
      <c r="A1046" s="46">
        <f>'vHosts (Imported)'!A1046</f>
        <v>0</v>
      </c>
      <c r="B1046" s="51">
        <f t="shared" si="48"/>
        <v>4968</v>
      </c>
      <c r="C1046" s="49">
        <f>HLOOKUP("# Cores",'vHosts (Imported)'!$1:$5000,M1046,FALSE)</f>
        <v>0</v>
      </c>
      <c r="D1046" s="52">
        <f>HLOOKUP("# Memory",'vHosts (Imported)'!$1:$5000,M1046,FALSE)</f>
        <v>0</v>
      </c>
      <c r="M1046" s="45">
        <f t="shared" si="50"/>
        <v>1046</v>
      </c>
      <c r="N1046" s="38">
        <f>HLOOKUP("Host",'vInfo (Imported)'!$1:$5000,M1046,FALSE)</f>
        <v>0</v>
      </c>
      <c r="R1046">
        <f>HLOOKUP("CPUs",'vInfo (Imported)'!$1:$5000,M1046,FALSE)</f>
        <v>0</v>
      </c>
      <c r="S1046">
        <f>HLOOKUP("Memory",'vInfo (Imported)'!$1:$5000,M1046,FALSE)</f>
        <v>0</v>
      </c>
      <c r="T1046">
        <f>HLOOKUP("Provisioned MiB",'vInfo (Imported)'!$1:$5000,M1046,FALSE)</f>
        <v>0</v>
      </c>
      <c r="U1046">
        <f t="shared" si="49"/>
        <v>0</v>
      </c>
      <c r="V1046">
        <f>HLOOKUP("In Use MiB",'vInfo (Imported)'!$1:$5000,M1046,FALSE)</f>
        <v>0</v>
      </c>
    </row>
    <row r="1047" spans="1:22" ht="13" x14ac:dyDescent="0.3">
      <c r="A1047" s="46">
        <f>'vHosts (Imported)'!A1047</f>
        <v>0</v>
      </c>
      <c r="B1047" s="51">
        <f t="shared" si="48"/>
        <v>4968</v>
      </c>
      <c r="C1047" s="49">
        <f>HLOOKUP("# Cores",'vHosts (Imported)'!$1:$5000,M1047,FALSE)</f>
        <v>0</v>
      </c>
      <c r="D1047" s="52">
        <f>HLOOKUP("# Memory",'vHosts (Imported)'!$1:$5000,M1047,FALSE)</f>
        <v>0</v>
      </c>
      <c r="M1047" s="45">
        <f t="shared" si="50"/>
        <v>1047</v>
      </c>
      <c r="N1047" s="38">
        <f>HLOOKUP("Host",'vInfo (Imported)'!$1:$5000,M1047,FALSE)</f>
        <v>0</v>
      </c>
      <c r="R1047">
        <f>HLOOKUP("CPUs",'vInfo (Imported)'!$1:$5000,M1047,FALSE)</f>
        <v>0</v>
      </c>
      <c r="S1047">
        <f>HLOOKUP("Memory",'vInfo (Imported)'!$1:$5000,M1047,FALSE)</f>
        <v>0</v>
      </c>
      <c r="T1047">
        <f>HLOOKUP("Provisioned MiB",'vInfo (Imported)'!$1:$5000,M1047,FALSE)</f>
        <v>0</v>
      </c>
      <c r="U1047">
        <f t="shared" si="49"/>
        <v>0</v>
      </c>
      <c r="V1047">
        <f>HLOOKUP("In Use MiB",'vInfo (Imported)'!$1:$5000,M1047,FALSE)</f>
        <v>0</v>
      </c>
    </row>
    <row r="1048" spans="1:22" ht="13" x14ac:dyDescent="0.3">
      <c r="A1048" s="46">
        <f>'vHosts (Imported)'!A1048</f>
        <v>0</v>
      </c>
      <c r="B1048" s="51">
        <f t="shared" si="48"/>
        <v>4968</v>
      </c>
      <c r="C1048" s="49">
        <f>HLOOKUP("# Cores",'vHosts (Imported)'!$1:$5000,M1048,FALSE)</f>
        <v>0</v>
      </c>
      <c r="D1048" s="52">
        <f>HLOOKUP("# Memory",'vHosts (Imported)'!$1:$5000,M1048,FALSE)</f>
        <v>0</v>
      </c>
      <c r="M1048" s="45">
        <f t="shared" si="50"/>
        <v>1048</v>
      </c>
      <c r="N1048" s="38">
        <f>HLOOKUP("Host",'vInfo (Imported)'!$1:$5000,M1048,FALSE)</f>
        <v>0</v>
      </c>
      <c r="R1048">
        <f>HLOOKUP("CPUs",'vInfo (Imported)'!$1:$5000,M1048,FALSE)</f>
        <v>0</v>
      </c>
      <c r="S1048">
        <f>HLOOKUP("Memory",'vInfo (Imported)'!$1:$5000,M1048,FALSE)</f>
        <v>0</v>
      </c>
      <c r="T1048">
        <f>HLOOKUP("Provisioned MiB",'vInfo (Imported)'!$1:$5000,M1048,FALSE)</f>
        <v>0</v>
      </c>
      <c r="U1048">
        <f t="shared" si="49"/>
        <v>0</v>
      </c>
      <c r="V1048">
        <f>HLOOKUP("In Use MiB",'vInfo (Imported)'!$1:$5000,M1048,FALSE)</f>
        <v>0</v>
      </c>
    </row>
    <row r="1049" spans="1:22" ht="13" x14ac:dyDescent="0.3">
      <c r="A1049" s="46">
        <f>'vHosts (Imported)'!A1049</f>
        <v>0</v>
      </c>
      <c r="B1049" s="51">
        <f t="shared" si="48"/>
        <v>4968</v>
      </c>
      <c r="C1049" s="49">
        <f>HLOOKUP("# Cores",'vHosts (Imported)'!$1:$5000,M1049,FALSE)</f>
        <v>0</v>
      </c>
      <c r="D1049" s="52">
        <f>HLOOKUP("# Memory",'vHosts (Imported)'!$1:$5000,M1049,FALSE)</f>
        <v>0</v>
      </c>
      <c r="M1049" s="45">
        <f t="shared" si="50"/>
        <v>1049</v>
      </c>
      <c r="N1049" s="38">
        <f>HLOOKUP("Host",'vInfo (Imported)'!$1:$5000,M1049,FALSE)</f>
        <v>0</v>
      </c>
      <c r="R1049">
        <f>HLOOKUP("CPUs",'vInfo (Imported)'!$1:$5000,M1049,FALSE)</f>
        <v>0</v>
      </c>
      <c r="S1049">
        <f>HLOOKUP("Memory",'vInfo (Imported)'!$1:$5000,M1049,FALSE)</f>
        <v>0</v>
      </c>
      <c r="T1049">
        <f>HLOOKUP("Provisioned MiB",'vInfo (Imported)'!$1:$5000,M1049,FALSE)</f>
        <v>0</v>
      </c>
      <c r="U1049">
        <f t="shared" si="49"/>
        <v>0</v>
      </c>
      <c r="V1049">
        <f>HLOOKUP("In Use MiB",'vInfo (Imported)'!$1:$5000,M1049,FALSE)</f>
        <v>0</v>
      </c>
    </row>
    <row r="1050" spans="1:22" ht="13" x14ac:dyDescent="0.3">
      <c r="A1050" s="46">
        <f>'vHosts (Imported)'!A1050</f>
        <v>0</v>
      </c>
      <c r="B1050" s="51">
        <f t="shared" si="48"/>
        <v>4968</v>
      </c>
      <c r="C1050" s="49">
        <f>HLOOKUP("# Cores",'vHosts (Imported)'!$1:$5000,M1050,FALSE)</f>
        <v>0</v>
      </c>
      <c r="D1050" s="52">
        <f>HLOOKUP("# Memory",'vHosts (Imported)'!$1:$5000,M1050,FALSE)</f>
        <v>0</v>
      </c>
      <c r="M1050" s="45">
        <f t="shared" si="50"/>
        <v>1050</v>
      </c>
      <c r="N1050" s="38">
        <f>HLOOKUP("Host",'vInfo (Imported)'!$1:$5000,M1050,FALSE)</f>
        <v>0</v>
      </c>
      <c r="R1050">
        <f>HLOOKUP("CPUs",'vInfo (Imported)'!$1:$5000,M1050,FALSE)</f>
        <v>0</v>
      </c>
      <c r="S1050">
        <f>HLOOKUP("Memory",'vInfo (Imported)'!$1:$5000,M1050,FALSE)</f>
        <v>0</v>
      </c>
      <c r="T1050">
        <f>HLOOKUP("Provisioned MiB",'vInfo (Imported)'!$1:$5000,M1050,FALSE)</f>
        <v>0</v>
      </c>
      <c r="U1050">
        <f t="shared" si="49"/>
        <v>0</v>
      </c>
      <c r="V1050">
        <f>HLOOKUP("In Use MiB",'vInfo (Imported)'!$1:$5000,M1050,FALSE)</f>
        <v>0</v>
      </c>
    </row>
    <row r="1051" spans="1:22" ht="13" x14ac:dyDescent="0.3">
      <c r="A1051" s="46">
        <f>'vHosts (Imported)'!A1051</f>
        <v>0</v>
      </c>
      <c r="B1051" s="51">
        <f t="shared" si="48"/>
        <v>4968</v>
      </c>
      <c r="C1051" s="49">
        <f>HLOOKUP("# Cores",'vHosts (Imported)'!$1:$5000,M1051,FALSE)</f>
        <v>0</v>
      </c>
      <c r="D1051" s="52">
        <f>HLOOKUP("# Memory",'vHosts (Imported)'!$1:$5000,M1051,FALSE)</f>
        <v>0</v>
      </c>
      <c r="M1051" s="45">
        <f t="shared" si="50"/>
        <v>1051</v>
      </c>
      <c r="N1051" s="38">
        <f>HLOOKUP("Host",'vInfo (Imported)'!$1:$5000,M1051,FALSE)</f>
        <v>0</v>
      </c>
      <c r="R1051">
        <f>HLOOKUP("CPUs",'vInfo (Imported)'!$1:$5000,M1051,FALSE)</f>
        <v>0</v>
      </c>
      <c r="S1051">
        <f>HLOOKUP("Memory",'vInfo (Imported)'!$1:$5000,M1051,FALSE)</f>
        <v>0</v>
      </c>
      <c r="T1051">
        <f>HLOOKUP("Provisioned MiB",'vInfo (Imported)'!$1:$5000,M1051,FALSE)</f>
        <v>0</v>
      </c>
      <c r="U1051">
        <f t="shared" si="49"/>
        <v>0</v>
      </c>
      <c r="V1051">
        <f>HLOOKUP("In Use MiB",'vInfo (Imported)'!$1:$5000,M1051,FALSE)</f>
        <v>0</v>
      </c>
    </row>
    <row r="1052" spans="1:22" ht="13" x14ac:dyDescent="0.3">
      <c r="A1052" s="46">
        <f>'vHosts (Imported)'!A1052</f>
        <v>0</v>
      </c>
      <c r="B1052" s="51">
        <f t="shared" si="48"/>
        <v>4968</v>
      </c>
      <c r="C1052" s="49">
        <f>HLOOKUP("# Cores",'vHosts (Imported)'!$1:$5000,M1052,FALSE)</f>
        <v>0</v>
      </c>
      <c r="D1052" s="52">
        <f>HLOOKUP("# Memory",'vHosts (Imported)'!$1:$5000,M1052,FALSE)</f>
        <v>0</v>
      </c>
      <c r="M1052" s="45">
        <f t="shared" si="50"/>
        <v>1052</v>
      </c>
      <c r="N1052" s="38">
        <f>HLOOKUP("Host",'vInfo (Imported)'!$1:$5000,M1052,FALSE)</f>
        <v>0</v>
      </c>
      <c r="R1052">
        <f>HLOOKUP("CPUs",'vInfo (Imported)'!$1:$5000,M1052,FALSE)</f>
        <v>0</v>
      </c>
      <c r="S1052">
        <f>HLOOKUP("Memory",'vInfo (Imported)'!$1:$5000,M1052,FALSE)</f>
        <v>0</v>
      </c>
      <c r="T1052">
        <f>HLOOKUP("Provisioned MiB",'vInfo (Imported)'!$1:$5000,M1052,FALSE)</f>
        <v>0</v>
      </c>
      <c r="U1052">
        <f t="shared" si="49"/>
        <v>0</v>
      </c>
      <c r="V1052">
        <f>HLOOKUP("In Use MiB",'vInfo (Imported)'!$1:$5000,M1052,FALSE)</f>
        <v>0</v>
      </c>
    </row>
    <row r="1053" spans="1:22" ht="13" x14ac:dyDescent="0.3">
      <c r="A1053" s="46">
        <f>'vHosts (Imported)'!A1053</f>
        <v>0</v>
      </c>
      <c r="B1053" s="51">
        <f t="shared" si="48"/>
        <v>4968</v>
      </c>
      <c r="C1053" s="49">
        <f>HLOOKUP("# Cores",'vHosts (Imported)'!$1:$5000,M1053,FALSE)</f>
        <v>0</v>
      </c>
      <c r="D1053" s="52">
        <f>HLOOKUP("# Memory",'vHosts (Imported)'!$1:$5000,M1053,FALSE)</f>
        <v>0</v>
      </c>
      <c r="M1053" s="45">
        <f t="shared" si="50"/>
        <v>1053</v>
      </c>
      <c r="N1053" s="38">
        <f>HLOOKUP("Host",'vInfo (Imported)'!$1:$5000,M1053,FALSE)</f>
        <v>0</v>
      </c>
      <c r="R1053">
        <f>HLOOKUP("CPUs",'vInfo (Imported)'!$1:$5000,M1053,FALSE)</f>
        <v>0</v>
      </c>
      <c r="S1053">
        <f>HLOOKUP("Memory",'vInfo (Imported)'!$1:$5000,M1053,FALSE)</f>
        <v>0</v>
      </c>
      <c r="T1053">
        <f>HLOOKUP("Provisioned MiB",'vInfo (Imported)'!$1:$5000,M1053,FALSE)</f>
        <v>0</v>
      </c>
      <c r="U1053">
        <f t="shared" si="49"/>
        <v>0</v>
      </c>
      <c r="V1053">
        <f>HLOOKUP("In Use MiB",'vInfo (Imported)'!$1:$5000,M1053,FALSE)</f>
        <v>0</v>
      </c>
    </row>
    <row r="1054" spans="1:22" ht="13" x14ac:dyDescent="0.3">
      <c r="A1054" s="46">
        <f>'vHosts (Imported)'!A1054</f>
        <v>0</v>
      </c>
      <c r="B1054" s="51">
        <f t="shared" si="48"/>
        <v>4968</v>
      </c>
      <c r="C1054" s="49">
        <f>HLOOKUP("# Cores",'vHosts (Imported)'!$1:$5000,M1054,FALSE)</f>
        <v>0</v>
      </c>
      <c r="D1054" s="52">
        <f>HLOOKUP("# Memory",'vHosts (Imported)'!$1:$5000,M1054,FALSE)</f>
        <v>0</v>
      </c>
      <c r="M1054" s="45">
        <f t="shared" si="50"/>
        <v>1054</v>
      </c>
      <c r="N1054" s="38">
        <f>HLOOKUP("Host",'vInfo (Imported)'!$1:$5000,M1054,FALSE)</f>
        <v>0</v>
      </c>
      <c r="R1054">
        <f>HLOOKUP("CPUs",'vInfo (Imported)'!$1:$5000,M1054,FALSE)</f>
        <v>0</v>
      </c>
      <c r="S1054">
        <f>HLOOKUP("Memory",'vInfo (Imported)'!$1:$5000,M1054,FALSE)</f>
        <v>0</v>
      </c>
      <c r="T1054">
        <f>HLOOKUP("Provisioned MiB",'vInfo (Imported)'!$1:$5000,M1054,FALSE)</f>
        <v>0</v>
      </c>
      <c r="U1054">
        <f t="shared" si="49"/>
        <v>0</v>
      </c>
      <c r="V1054">
        <f>HLOOKUP("In Use MiB",'vInfo (Imported)'!$1:$5000,M1054,FALSE)</f>
        <v>0</v>
      </c>
    </row>
    <row r="1055" spans="1:22" ht="13" x14ac:dyDescent="0.3">
      <c r="A1055" s="46">
        <f>'vHosts (Imported)'!A1055</f>
        <v>0</v>
      </c>
      <c r="B1055" s="51">
        <f t="shared" si="48"/>
        <v>4968</v>
      </c>
      <c r="C1055" s="49">
        <f>HLOOKUP("# Cores",'vHosts (Imported)'!$1:$5000,M1055,FALSE)</f>
        <v>0</v>
      </c>
      <c r="D1055" s="52">
        <f>HLOOKUP("# Memory",'vHosts (Imported)'!$1:$5000,M1055,FALSE)</f>
        <v>0</v>
      </c>
      <c r="M1055" s="45">
        <f t="shared" si="50"/>
        <v>1055</v>
      </c>
      <c r="N1055" s="38">
        <f>HLOOKUP("Host",'vInfo (Imported)'!$1:$5000,M1055,FALSE)</f>
        <v>0</v>
      </c>
      <c r="R1055">
        <f>HLOOKUP("CPUs",'vInfo (Imported)'!$1:$5000,M1055,FALSE)</f>
        <v>0</v>
      </c>
      <c r="S1055">
        <f>HLOOKUP("Memory",'vInfo (Imported)'!$1:$5000,M1055,FALSE)</f>
        <v>0</v>
      </c>
      <c r="T1055">
        <f>HLOOKUP("Provisioned MiB",'vInfo (Imported)'!$1:$5000,M1055,FALSE)</f>
        <v>0</v>
      </c>
      <c r="U1055">
        <f t="shared" si="49"/>
        <v>0</v>
      </c>
      <c r="V1055">
        <f>HLOOKUP("In Use MiB",'vInfo (Imported)'!$1:$5000,M1055,FALSE)</f>
        <v>0</v>
      </c>
    </row>
    <row r="1056" spans="1:22" ht="13" x14ac:dyDescent="0.3">
      <c r="A1056" s="46">
        <f>'vHosts (Imported)'!A1056</f>
        <v>0</v>
      </c>
      <c r="B1056" s="51">
        <f t="shared" si="48"/>
        <v>4968</v>
      </c>
      <c r="C1056" s="49">
        <f>HLOOKUP("# Cores",'vHosts (Imported)'!$1:$5000,M1056,FALSE)</f>
        <v>0</v>
      </c>
      <c r="D1056" s="52">
        <f>HLOOKUP("# Memory",'vHosts (Imported)'!$1:$5000,M1056,FALSE)</f>
        <v>0</v>
      </c>
      <c r="M1056" s="45">
        <f t="shared" si="50"/>
        <v>1056</v>
      </c>
      <c r="N1056" s="38">
        <f>HLOOKUP("Host",'vInfo (Imported)'!$1:$5000,M1056,FALSE)</f>
        <v>0</v>
      </c>
      <c r="R1056">
        <f>HLOOKUP("CPUs",'vInfo (Imported)'!$1:$5000,M1056,FALSE)</f>
        <v>0</v>
      </c>
      <c r="S1056">
        <f>HLOOKUP("Memory",'vInfo (Imported)'!$1:$5000,M1056,FALSE)</f>
        <v>0</v>
      </c>
      <c r="T1056">
        <f>HLOOKUP("Provisioned MiB",'vInfo (Imported)'!$1:$5000,M1056,FALSE)</f>
        <v>0</v>
      </c>
      <c r="U1056">
        <f t="shared" si="49"/>
        <v>0</v>
      </c>
      <c r="V1056">
        <f>HLOOKUP("In Use MiB",'vInfo (Imported)'!$1:$5000,M1056,FALSE)</f>
        <v>0</v>
      </c>
    </row>
    <row r="1057" spans="1:22" ht="13" x14ac:dyDescent="0.3">
      <c r="A1057" s="46">
        <f>'vHosts (Imported)'!A1057</f>
        <v>0</v>
      </c>
      <c r="B1057" s="51">
        <f t="shared" si="48"/>
        <v>4968</v>
      </c>
      <c r="C1057" s="49">
        <f>HLOOKUP("# Cores",'vHosts (Imported)'!$1:$5000,M1057,FALSE)</f>
        <v>0</v>
      </c>
      <c r="D1057" s="52">
        <f>HLOOKUP("# Memory",'vHosts (Imported)'!$1:$5000,M1057,FALSE)</f>
        <v>0</v>
      </c>
      <c r="M1057" s="45">
        <f t="shared" si="50"/>
        <v>1057</v>
      </c>
      <c r="N1057" s="38">
        <f>HLOOKUP("Host",'vInfo (Imported)'!$1:$5000,M1057,FALSE)</f>
        <v>0</v>
      </c>
      <c r="R1057">
        <f>HLOOKUP("CPUs",'vInfo (Imported)'!$1:$5000,M1057,FALSE)</f>
        <v>0</v>
      </c>
      <c r="S1057">
        <f>HLOOKUP("Memory",'vInfo (Imported)'!$1:$5000,M1057,FALSE)</f>
        <v>0</v>
      </c>
      <c r="T1057">
        <f>HLOOKUP("Provisioned MiB",'vInfo (Imported)'!$1:$5000,M1057,FALSE)</f>
        <v>0</v>
      </c>
      <c r="U1057">
        <f t="shared" si="49"/>
        <v>0</v>
      </c>
      <c r="V1057">
        <f>HLOOKUP("In Use MiB",'vInfo (Imported)'!$1:$5000,M1057,FALSE)</f>
        <v>0</v>
      </c>
    </row>
    <row r="1058" spans="1:22" ht="13" x14ac:dyDescent="0.3">
      <c r="A1058" s="46">
        <f>'vHosts (Imported)'!A1058</f>
        <v>0</v>
      </c>
      <c r="B1058" s="51">
        <f t="shared" si="48"/>
        <v>4968</v>
      </c>
      <c r="C1058" s="49">
        <f>HLOOKUP("# Cores",'vHosts (Imported)'!$1:$5000,M1058,FALSE)</f>
        <v>0</v>
      </c>
      <c r="D1058" s="52">
        <f>HLOOKUP("# Memory",'vHosts (Imported)'!$1:$5000,M1058,FALSE)</f>
        <v>0</v>
      </c>
      <c r="M1058" s="45">
        <f t="shared" si="50"/>
        <v>1058</v>
      </c>
      <c r="N1058" s="38">
        <f>HLOOKUP("Host",'vInfo (Imported)'!$1:$5000,M1058,FALSE)</f>
        <v>0</v>
      </c>
      <c r="R1058">
        <f>HLOOKUP("CPUs",'vInfo (Imported)'!$1:$5000,M1058,FALSE)</f>
        <v>0</v>
      </c>
      <c r="S1058">
        <f>HLOOKUP("Memory",'vInfo (Imported)'!$1:$5000,M1058,FALSE)</f>
        <v>0</v>
      </c>
      <c r="T1058">
        <f>HLOOKUP("Provisioned MiB",'vInfo (Imported)'!$1:$5000,M1058,FALSE)</f>
        <v>0</v>
      </c>
      <c r="U1058">
        <f t="shared" si="49"/>
        <v>0</v>
      </c>
      <c r="V1058">
        <f>HLOOKUP("In Use MiB",'vInfo (Imported)'!$1:$5000,M1058,FALSE)</f>
        <v>0</v>
      </c>
    </row>
    <row r="1059" spans="1:22" ht="13" x14ac:dyDescent="0.3">
      <c r="A1059" s="46">
        <f>'vHosts (Imported)'!A1059</f>
        <v>0</v>
      </c>
      <c r="B1059" s="51">
        <f t="shared" si="48"/>
        <v>4968</v>
      </c>
      <c r="C1059" s="49">
        <f>HLOOKUP("# Cores",'vHosts (Imported)'!$1:$5000,M1059,FALSE)</f>
        <v>0</v>
      </c>
      <c r="D1059" s="52">
        <f>HLOOKUP("# Memory",'vHosts (Imported)'!$1:$5000,M1059,FALSE)</f>
        <v>0</v>
      </c>
      <c r="M1059" s="45">
        <f t="shared" si="50"/>
        <v>1059</v>
      </c>
      <c r="N1059" s="38">
        <f>HLOOKUP("Host",'vInfo (Imported)'!$1:$5000,M1059,FALSE)</f>
        <v>0</v>
      </c>
      <c r="R1059">
        <f>HLOOKUP("CPUs",'vInfo (Imported)'!$1:$5000,M1059,FALSE)</f>
        <v>0</v>
      </c>
      <c r="S1059">
        <f>HLOOKUP("Memory",'vInfo (Imported)'!$1:$5000,M1059,FALSE)</f>
        <v>0</v>
      </c>
      <c r="T1059">
        <f>HLOOKUP("Provisioned MiB",'vInfo (Imported)'!$1:$5000,M1059,FALSE)</f>
        <v>0</v>
      </c>
      <c r="U1059">
        <f t="shared" si="49"/>
        <v>0</v>
      </c>
      <c r="V1059">
        <f>HLOOKUP("In Use MiB",'vInfo (Imported)'!$1:$5000,M1059,FALSE)</f>
        <v>0</v>
      </c>
    </row>
    <row r="1060" spans="1:22" ht="13" x14ac:dyDescent="0.3">
      <c r="A1060" s="46">
        <f>'vHosts (Imported)'!A1060</f>
        <v>0</v>
      </c>
      <c r="B1060" s="51">
        <f t="shared" si="48"/>
        <v>4968</v>
      </c>
      <c r="C1060" s="49">
        <f>HLOOKUP("# Cores",'vHosts (Imported)'!$1:$5000,M1060,FALSE)</f>
        <v>0</v>
      </c>
      <c r="D1060" s="52">
        <f>HLOOKUP("# Memory",'vHosts (Imported)'!$1:$5000,M1060,FALSE)</f>
        <v>0</v>
      </c>
      <c r="M1060" s="45">
        <f t="shared" si="50"/>
        <v>1060</v>
      </c>
      <c r="N1060" s="38">
        <f>HLOOKUP("Host",'vInfo (Imported)'!$1:$5000,M1060,FALSE)</f>
        <v>0</v>
      </c>
      <c r="R1060">
        <f>HLOOKUP("CPUs",'vInfo (Imported)'!$1:$5000,M1060,FALSE)</f>
        <v>0</v>
      </c>
      <c r="S1060">
        <f>HLOOKUP("Memory",'vInfo (Imported)'!$1:$5000,M1060,FALSE)</f>
        <v>0</v>
      </c>
      <c r="T1060">
        <f>HLOOKUP("Provisioned MiB",'vInfo (Imported)'!$1:$5000,M1060,FALSE)</f>
        <v>0</v>
      </c>
      <c r="U1060">
        <f t="shared" si="49"/>
        <v>0</v>
      </c>
      <c r="V1060">
        <f>HLOOKUP("In Use MiB",'vInfo (Imported)'!$1:$5000,M1060,FALSE)</f>
        <v>0</v>
      </c>
    </row>
    <row r="1061" spans="1:22" ht="13" x14ac:dyDescent="0.3">
      <c r="A1061" s="46">
        <f>'vHosts (Imported)'!A1061</f>
        <v>0</v>
      </c>
      <c r="B1061" s="51">
        <f t="shared" si="48"/>
        <v>4968</v>
      </c>
      <c r="C1061" s="49">
        <f>HLOOKUP("# Cores",'vHosts (Imported)'!$1:$5000,M1061,FALSE)</f>
        <v>0</v>
      </c>
      <c r="D1061" s="52">
        <f>HLOOKUP("# Memory",'vHosts (Imported)'!$1:$5000,M1061,FALSE)</f>
        <v>0</v>
      </c>
      <c r="M1061" s="45">
        <f t="shared" si="50"/>
        <v>1061</v>
      </c>
      <c r="N1061" s="38">
        <f>HLOOKUP("Host",'vInfo (Imported)'!$1:$5000,M1061,FALSE)</f>
        <v>0</v>
      </c>
      <c r="R1061">
        <f>HLOOKUP("CPUs",'vInfo (Imported)'!$1:$5000,M1061,FALSE)</f>
        <v>0</v>
      </c>
      <c r="S1061">
        <f>HLOOKUP("Memory",'vInfo (Imported)'!$1:$5000,M1061,FALSE)</f>
        <v>0</v>
      </c>
      <c r="T1061">
        <f>HLOOKUP("Provisioned MiB",'vInfo (Imported)'!$1:$5000,M1061,FALSE)</f>
        <v>0</v>
      </c>
      <c r="U1061">
        <f t="shared" si="49"/>
        <v>0</v>
      </c>
      <c r="V1061">
        <f>HLOOKUP("In Use MiB",'vInfo (Imported)'!$1:$5000,M1061,FALSE)</f>
        <v>0</v>
      </c>
    </row>
    <row r="1062" spans="1:22" ht="13" x14ac:dyDescent="0.3">
      <c r="A1062" s="46">
        <f>'vHosts (Imported)'!A1062</f>
        <v>0</v>
      </c>
      <c r="B1062" s="51">
        <f t="shared" si="48"/>
        <v>4968</v>
      </c>
      <c r="C1062" s="49">
        <f>HLOOKUP("# Cores",'vHosts (Imported)'!$1:$5000,M1062,FALSE)</f>
        <v>0</v>
      </c>
      <c r="D1062" s="52">
        <f>HLOOKUP("# Memory",'vHosts (Imported)'!$1:$5000,M1062,FALSE)</f>
        <v>0</v>
      </c>
      <c r="M1062" s="45">
        <f t="shared" si="50"/>
        <v>1062</v>
      </c>
      <c r="N1062" s="38">
        <f>HLOOKUP("Host",'vInfo (Imported)'!$1:$5000,M1062,FALSE)</f>
        <v>0</v>
      </c>
      <c r="R1062">
        <f>HLOOKUP("CPUs",'vInfo (Imported)'!$1:$5000,M1062,FALSE)</f>
        <v>0</v>
      </c>
      <c r="S1062">
        <f>HLOOKUP("Memory",'vInfo (Imported)'!$1:$5000,M1062,FALSE)</f>
        <v>0</v>
      </c>
      <c r="T1062">
        <f>HLOOKUP("Provisioned MiB",'vInfo (Imported)'!$1:$5000,M1062,FALSE)</f>
        <v>0</v>
      </c>
      <c r="U1062">
        <f t="shared" si="49"/>
        <v>0</v>
      </c>
      <c r="V1062">
        <f>HLOOKUP("In Use MiB",'vInfo (Imported)'!$1:$5000,M1062,FALSE)</f>
        <v>0</v>
      </c>
    </row>
    <row r="1063" spans="1:22" ht="13" x14ac:dyDescent="0.3">
      <c r="A1063" s="46">
        <f>'vHosts (Imported)'!A1063</f>
        <v>0</v>
      </c>
      <c r="B1063" s="51">
        <f t="shared" si="48"/>
        <v>4968</v>
      </c>
      <c r="C1063" s="49">
        <f>HLOOKUP("# Cores",'vHosts (Imported)'!$1:$5000,M1063,FALSE)</f>
        <v>0</v>
      </c>
      <c r="D1063" s="52">
        <f>HLOOKUP("# Memory",'vHosts (Imported)'!$1:$5000,M1063,FALSE)</f>
        <v>0</v>
      </c>
      <c r="M1063" s="45">
        <f t="shared" si="50"/>
        <v>1063</v>
      </c>
      <c r="N1063" s="38">
        <f>HLOOKUP("Host",'vInfo (Imported)'!$1:$5000,M1063,FALSE)</f>
        <v>0</v>
      </c>
      <c r="R1063">
        <f>HLOOKUP("CPUs",'vInfo (Imported)'!$1:$5000,M1063,FALSE)</f>
        <v>0</v>
      </c>
      <c r="S1063">
        <f>HLOOKUP("Memory",'vInfo (Imported)'!$1:$5000,M1063,FALSE)</f>
        <v>0</v>
      </c>
      <c r="T1063">
        <f>HLOOKUP("Provisioned MiB",'vInfo (Imported)'!$1:$5000,M1063,FALSE)</f>
        <v>0</v>
      </c>
      <c r="U1063">
        <f t="shared" si="49"/>
        <v>0</v>
      </c>
      <c r="V1063">
        <f>HLOOKUP("In Use MiB",'vInfo (Imported)'!$1:$5000,M1063,FALSE)</f>
        <v>0</v>
      </c>
    </row>
    <row r="1064" spans="1:22" ht="13" x14ac:dyDescent="0.3">
      <c r="A1064" s="46">
        <f>'vHosts (Imported)'!A1064</f>
        <v>0</v>
      </c>
      <c r="B1064" s="51">
        <f t="shared" ref="B1064:B1127" si="51">COUNTIF(N:N,A1064)</f>
        <v>4968</v>
      </c>
      <c r="C1064" s="49">
        <f>HLOOKUP("# Cores",'vHosts (Imported)'!$1:$5000,M1064,FALSE)</f>
        <v>0</v>
      </c>
      <c r="D1064" s="52">
        <f>HLOOKUP("# Memory",'vHosts (Imported)'!$1:$5000,M1064,FALSE)</f>
        <v>0</v>
      </c>
      <c r="M1064" s="45">
        <f t="shared" si="50"/>
        <v>1064</v>
      </c>
      <c r="N1064" s="38">
        <f>HLOOKUP("Host",'vInfo (Imported)'!$1:$5000,M1064,FALSE)</f>
        <v>0</v>
      </c>
      <c r="R1064">
        <f>HLOOKUP("CPUs",'vInfo (Imported)'!$1:$5000,M1064,FALSE)</f>
        <v>0</v>
      </c>
      <c r="S1064">
        <f>HLOOKUP("Memory",'vInfo (Imported)'!$1:$5000,M1064,FALSE)</f>
        <v>0</v>
      </c>
      <c r="T1064">
        <f>HLOOKUP("Provisioned MiB",'vInfo (Imported)'!$1:$5000,M1064,FALSE)</f>
        <v>0</v>
      </c>
      <c r="U1064">
        <f t="shared" si="49"/>
        <v>0</v>
      </c>
      <c r="V1064">
        <f>HLOOKUP("In Use MiB",'vInfo (Imported)'!$1:$5000,M1064,FALSE)</f>
        <v>0</v>
      </c>
    </row>
    <row r="1065" spans="1:22" ht="13" x14ac:dyDescent="0.3">
      <c r="A1065" s="46">
        <f>'vHosts (Imported)'!A1065</f>
        <v>0</v>
      </c>
      <c r="B1065" s="51">
        <f t="shared" si="51"/>
        <v>4968</v>
      </c>
      <c r="C1065" s="49">
        <f>HLOOKUP("# Cores",'vHosts (Imported)'!$1:$5000,M1065,FALSE)</f>
        <v>0</v>
      </c>
      <c r="D1065" s="52">
        <f>HLOOKUP("# Memory",'vHosts (Imported)'!$1:$5000,M1065,FALSE)</f>
        <v>0</v>
      </c>
      <c r="M1065" s="45">
        <f t="shared" si="50"/>
        <v>1065</v>
      </c>
      <c r="N1065" s="38">
        <f>HLOOKUP("Host",'vInfo (Imported)'!$1:$5000,M1065,FALSE)</f>
        <v>0</v>
      </c>
      <c r="R1065">
        <f>HLOOKUP("CPUs",'vInfo (Imported)'!$1:$5000,M1065,FALSE)</f>
        <v>0</v>
      </c>
      <c r="S1065">
        <f>HLOOKUP("Memory",'vInfo (Imported)'!$1:$5000,M1065,FALSE)</f>
        <v>0</v>
      </c>
      <c r="T1065">
        <f>HLOOKUP("Provisioned MiB",'vInfo (Imported)'!$1:$5000,M1065,FALSE)</f>
        <v>0</v>
      </c>
      <c r="U1065">
        <f t="shared" si="49"/>
        <v>0</v>
      </c>
      <c r="V1065">
        <f>HLOOKUP("In Use MiB",'vInfo (Imported)'!$1:$5000,M1065,FALSE)</f>
        <v>0</v>
      </c>
    </row>
    <row r="1066" spans="1:22" ht="13" x14ac:dyDescent="0.3">
      <c r="A1066" s="46">
        <f>'vHosts (Imported)'!A1066</f>
        <v>0</v>
      </c>
      <c r="B1066" s="51">
        <f t="shared" si="51"/>
        <v>4968</v>
      </c>
      <c r="C1066" s="49">
        <f>HLOOKUP("# Cores",'vHosts (Imported)'!$1:$5000,M1066,FALSE)</f>
        <v>0</v>
      </c>
      <c r="D1066" s="52">
        <f>HLOOKUP("# Memory",'vHosts (Imported)'!$1:$5000,M1066,FALSE)</f>
        <v>0</v>
      </c>
      <c r="M1066" s="45">
        <f t="shared" si="50"/>
        <v>1066</v>
      </c>
      <c r="N1066" s="38">
        <f>HLOOKUP("Host",'vInfo (Imported)'!$1:$5000,M1066,FALSE)</f>
        <v>0</v>
      </c>
      <c r="R1066">
        <f>HLOOKUP("CPUs",'vInfo (Imported)'!$1:$5000,M1066,FALSE)</f>
        <v>0</v>
      </c>
      <c r="S1066">
        <f>HLOOKUP("Memory",'vInfo (Imported)'!$1:$5000,M1066,FALSE)</f>
        <v>0</v>
      </c>
      <c r="T1066">
        <f>HLOOKUP("Provisioned MiB",'vInfo (Imported)'!$1:$5000,M1066,FALSE)</f>
        <v>0</v>
      </c>
      <c r="U1066">
        <f t="shared" si="49"/>
        <v>0</v>
      </c>
      <c r="V1066">
        <f>HLOOKUP("In Use MiB",'vInfo (Imported)'!$1:$5000,M1066,FALSE)</f>
        <v>0</v>
      </c>
    </row>
    <row r="1067" spans="1:22" ht="13" x14ac:dyDescent="0.3">
      <c r="A1067" s="46">
        <f>'vHosts (Imported)'!A1067</f>
        <v>0</v>
      </c>
      <c r="B1067" s="51">
        <f t="shared" si="51"/>
        <v>4968</v>
      </c>
      <c r="C1067" s="49">
        <f>HLOOKUP("# Cores",'vHosts (Imported)'!$1:$5000,M1067,FALSE)</f>
        <v>0</v>
      </c>
      <c r="D1067" s="52">
        <f>HLOOKUP("# Memory",'vHosts (Imported)'!$1:$5000,M1067,FALSE)</f>
        <v>0</v>
      </c>
      <c r="M1067" s="45">
        <f t="shared" si="50"/>
        <v>1067</v>
      </c>
      <c r="N1067" s="38">
        <f>HLOOKUP("Host",'vInfo (Imported)'!$1:$5000,M1067,FALSE)</f>
        <v>0</v>
      </c>
      <c r="R1067">
        <f>HLOOKUP("CPUs",'vInfo (Imported)'!$1:$5000,M1067,FALSE)</f>
        <v>0</v>
      </c>
      <c r="S1067">
        <f>HLOOKUP("Memory",'vInfo (Imported)'!$1:$5000,M1067,FALSE)</f>
        <v>0</v>
      </c>
      <c r="T1067">
        <f>HLOOKUP("Provisioned MiB",'vInfo (Imported)'!$1:$5000,M1067,FALSE)</f>
        <v>0</v>
      </c>
      <c r="U1067">
        <f t="shared" si="49"/>
        <v>0</v>
      </c>
      <c r="V1067">
        <f>HLOOKUP("In Use MiB",'vInfo (Imported)'!$1:$5000,M1067,FALSE)</f>
        <v>0</v>
      </c>
    </row>
    <row r="1068" spans="1:22" ht="13" x14ac:dyDescent="0.3">
      <c r="A1068" s="46">
        <f>'vHosts (Imported)'!A1068</f>
        <v>0</v>
      </c>
      <c r="B1068" s="51">
        <f t="shared" si="51"/>
        <v>4968</v>
      </c>
      <c r="C1068" s="49">
        <f>HLOOKUP("# Cores",'vHosts (Imported)'!$1:$5000,M1068,FALSE)</f>
        <v>0</v>
      </c>
      <c r="D1068" s="52">
        <f>HLOOKUP("# Memory",'vHosts (Imported)'!$1:$5000,M1068,FALSE)</f>
        <v>0</v>
      </c>
      <c r="M1068" s="45">
        <f t="shared" si="50"/>
        <v>1068</v>
      </c>
      <c r="N1068" s="38">
        <f>HLOOKUP("Host",'vInfo (Imported)'!$1:$5000,M1068,FALSE)</f>
        <v>0</v>
      </c>
      <c r="R1068">
        <f>HLOOKUP("CPUs",'vInfo (Imported)'!$1:$5000,M1068,FALSE)</f>
        <v>0</v>
      </c>
      <c r="S1068">
        <f>HLOOKUP("Memory",'vInfo (Imported)'!$1:$5000,M1068,FALSE)</f>
        <v>0</v>
      </c>
      <c r="T1068">
        <f>HLOOKUP("Provisioned MiB",'vInfo (Imported)'!$1:$5000,M1068,FALSE)</f>
        <v>0</v>
      </c>
      <c r="U1068">
        <f t="shared" si="49"/>
        <v>0</v>
      </c>
      <c r="V1068">
        <f>HLOOKUP("In Use MiB",'vInfo (Imported)'!$1:$5000,M1068,FALSE)</f>
        <v>0</v>
      </c>
    </row>
    <row r="1069" spans="1:22" ht="13" x14ac:dyDescent="0.3">
      <c r="A1069" s="46">
        <f>'vHosts (Imported)'!A1069</f>
        <v>0</v>
      </c>
      <c r="B1069" s="51">
        <f t="shared" si="51"/>
        <v>4968</v>
      </c>
      <c r="C1069" s="49">
        <f>HLOOKUP("# Cores",'vHosts (Imported)'!$1:$5000,M1069,FALSE)</f>
        <v>0</v>
      </c>
      <c r="D1069" s="52">
        <f>HLOOKUP("# Memory",'vHosts (Imported)'!$1:$5000,M1069,FALSE)</f>
        <v>0</v>
      </c>
      <c r="M1069" s="45">
        <f t="shared" si="50"/>
        <v>1069</v>
      </c>
      <c r="N1069" s="38">
        <f>HLOOKUP("Host",'vInfo (Imported)'!$1:$5000,M1069,FALSE)</f>
        <v>0</v>
      </c>
      <c r="R1069">
        <f>HLOOKUP("CPUs",'vInfo (Imported)'!$1:$5000,M1069,FALSE)</f>
        <v>0</v>
      </c>
      <c r="S1069">
        <f>HLOOKUP("Memory",'vInfo (Imported)'!$1:$5000,M1069,FALSE)</f>
        <v>0</v>
      </c>
      <c r="T1069">
        <f>HLOOKUP("Provisioned MiB",'vInfo (Imported)'!$1:$5000,M1069,FALSE)</f>
        <v>0</v>
      </c>
      <c r="U1069">
        <f t="shared" si="49"/>
        <v>0</v>
      </c>
      <c r="V1069">
        <f>HLOOKUP("In Use MiB",'vInfo (Imported)'!$1:$5000,M1069,FALSE)</f>
        <v>0</v>
      </c>
    </row>
    <row r="1070" spans="1:22" ht="13" x14ac:dyDescent="0.3">
      <c r="A1070" s="46">
        <f>'vHosts (Imported)'!A1070</f>
        <v>0</v>
      </c>
      <c r="B1070" s="51">
        <f t="shared" si="51"/>
        <v>4968</v>
      </c>
      <c r="C1070" s="49">
        <f>HLOOKUP("# Cores",'vHosts (Imported)'!$1:$5000,M1070,FALSE)</f>
        <v>0</v>
      </c>
      <c r="D1070" s="52">
        <f>HLOOKUP("# Memory",'vHosts (Imported)'!$1:$5000,M1070,FALSE)</f>
        <v>0</v>
      </c>
      <c r="M1070" s="45">
        <f t="shared" si="50"/>
        <v>1070</v>
      </c>
      <c r="N1070" s="38">
        <f>HLOOKUP("Host",'vInfo (Imported)'!$1:$5000,M1070,FALSE)</f>
        <v>0</v>
      </c>
      <c r="R1070">
        <f>HLOOKUP("CPUs",'vInfo (Imported)'!$1:$5000,M1070,FALSE)</f>
        <v>0</v>
      </c>
      <c r="S1070">
        <f>HLOOKUP("Memory",'vInfo (Imported)'!$1:$5000,M1070,FALSE)</f>
        <v>0</v>
      </c>
      <c r="T1070">
        <f>HLOOKUP("Provisioned MiB",'vInfo (Imported)'!$1:$5000,M1070,FALSE)</f>
        <v>0</v>
      </c>
      <c r="U1070">
        <f t="shared" si="49"/>
        <v>0</v>
      </c>
      <c r="V1070">
        <f>HLOOKUP("In Use MiB",'vInfo (Imported)'!$1:$5000,M1070,FALSE)</f>
        <v>0</v>
      </c>
    </row>
    <row r="1071" spans="1:22" ht="13" x14ac:dyDescent="0.3">
      <c r="A1071" s="46">
        <f>'vHosts (Imported)'!A1071</f>
        <v>0</v>
      </c>
      <c r="B1071" s="51">
        <f t="shared" si="51"/>
        <v>4968</v>
      </c>
      <c r="C1071" s="49">
        <f>HLOOKUP("# Cores",'vHosts (Imported)'!$1:$5000,M1071,FALSE)</f>
        <v>0</v>
      </c>
      <c r="D1071" s="52">
        <f>HLOOKUP("# Memory",'vHosts (Imported)'!$1:$5000,M1071,FALSE)</f>
        <v>0</v>
      </c>
      <c r="M1071" s="45">
        <f t="shared" si="50"/>
        <v>1071</v>
      </c>
      <c r="N1071" s="38">
        <f>HLOOKUP("Host",'vInfo (Imported)'!$1:$5000,M1071,FALSE)</f>
        <v>0</v>
      </c>
      <c r="R1071">
        <f>HLOOKUP("CPUs",'vInfo (Imported)'!$1:$5000,M1071,FALSE)</f>
        <v>0</v>
      </c>
      <c r="S1071">
        <f>HLOOKUP("Memory",'vInfo (Imported)'!$1:$5000,M1071,FALSE)</f>
        <v>0</v>
      </c>
      <c r="T1071">
        <f>HLOOKUP("Provisioned MiB",'vInfo (Imported)'!$1:$5000,M1071,FALSE)</f>
        <v>0</v>
      </c>
      <c r="U1071">
        <f t="shared" si="49"/>
        <v>0</v>
      </c>
      <c r="V1071">
        <f>HLOOKUP("In Use MiB",'vInfo (Imported)'!$1:$5000,M1071,FALSE)</f>
        <v>0</v>
      </c>
    </row>
    <row r="1072" spans="1:22" ht="13" x14ac:dyDescent="0.3">
      <c r="A1072" s="46">
        <f>'vHosts (Imported)'!A1072</f>
        <v>0</v>
      </c>
      <c r="B1072" s="51">
        <f t="shared" si="51"/>
        <v>4968</v>
      </c>
      <c r="C1072" s="49">
        <f>HLOOKUP("# Cores",'vHosts (Imported)'!$1:$5000,M1072,FALSE)</f>
        <v>0</v>
      </c>
      <c r="D1072" s="52">
        <f>HLOOKUP("# Memory",'vHosts (Imported)'!$1:$5000,M1072,FALSE)</f>
        <v>0</v>
      </c>
      <c r="M1072" s="45">
        <f t="shared" si="50"/>
        <v>1072</v>
      </c>
      <c r="N1072" s="38">
        <f>HLOOKUP("Host",'vInfo (Imported)'!$1:$5000,M1072,FALSE)</f>
        <v>0</v>
      </c>
      <c r="R1072">
        <f>HLOOKUP("CPUs",'vInfo (Imported)'!$1:$5000,M1072,FALSE)</f>
        <v>0</v>
      </c>
      <c r="S1072">
        <f>HLOOKUP("Memory",'vInfo (Imported)'!$1:$5000,M1072,FALSE)</f>
        <v>0</v>
      </c>
      <c r="T1072">
        <f>HLOOKUP("Provisioned MiB",'vInfo (Imported)'!$1:$5000,M1072,FALSE)</f>
        <v>0</v>
      </c>
      <c r="U1072">
        <f t="shared" si="49"/>
        <v>0</v>
      </c>
      <c r="V1072">
        <f>HLOOKUP("In Use MiB",'vInfo (Imported)'!$1:$5000,M1072,FALSE)</f>
        <v>0</v>
      </c>
    </row>
    <row r="1073" spans="1:22" ht="13" x14ac:dyDescent="0.3">
      <c r="A1073" s="46">
        <f>'vHosts (Imported)'!A1073</f>
        <v>0</v>
      </c>
      <c r="B1073" s="51">
        <f t="shared" si="51"/>
        <v>4968</v>
      </c>
      <c r="C1073" s="49">
        <f>HLOOKUP("# Cores",'vHosts (Imported)'!$1:$5000,M1073,FALSE)</f>
        <v>0</v>
      </c>
      <c r="D1073" s="52">
        <f>HLOOKUP("# Memory",'vHosts (Imported)'!$1:$5000,M1073,FALSE)</f>
        <v>0</v>
      </c>
      <c r="M1073" s="45">
        <f t="shared" si="50"/>
        <v>1073</v>
      </c>
      <c r="N1073" s="38">
        <f>HLOOKUP("Host",'vInfo (Imported)'!$1:$5000,M1073,FALSE)</f>
        <v>0</v>
      </c>
      <c r="R1073">
        <f>HLOOKUP("CPUs",'vInfo (Imported)'!$1:$5000,M1073,FALSE)</f>
        <v>0</v>
      </c>
      <c r="S1073">
        <f>HLOOKUP("Memory",'vInfo (Imported)'!$1:$5000,M1073,FALSE)</f>
        <v>0</v>
      </c>
      <c r="T1073">
        <f>HLOOKUP("Provisioned MiB",'vInfo (Imported)'!$1:$5000,M1073,FALSE)</f>
        <v>0</v>
      </c>
      <c r="U1073">
        <f t="shared" si="49"/>
        <v>0</v>
      </c>
      <c r="V1073">
        <f>HLOOKUP("In Use MiB",'vInfo (Imported)'!$1:$5000,M1073,FALSE)</f>
        <v>0</v>
      </c>
    </row>
    <row r="1074" spans="1:22" ht="13" x14ac:dyDescent="0.3">
      <c r="A1074" s="46">
        <f>'vHosts (Imported)'!A1074</f>
        <v>0</v>
      </c>
      <c r="B1074" s="51">
        <f t="shared" si="51"/>
        <v>4968</v>
      </c>
      <c r="C1074" s="49">
        <f>HLOOKUP("# Cores",'vHosts (Imported)'!$1:$5000,M1074,FALSE)</f>
        <v>0</v>
      </c>
      <c r="D1074" s="52">
        <f>HLOOKUP("# Memory",'vHosts (Imported)'!$1:$5000,M1074,FALSE)</f>
        <v>0</v>
      </c>
      <c r="M1074" s="45">
        <f t="shared" si="50"/>
        <v>1074</v>
      </c>
      <c r="N1074" s="38">
        <f>HLOOKUP("Host",'vInfo (Imported)'!$1:$5000,M1074,FALSE)</f>
        <v>0</v>
      </c>
      <c r="R1074">
        <f>HLOOKUP("CPUs",'vInfo (Imported)'!$1:$5000,M1074,FALSE)</f>
        <v>0</v>
      </c>
      <c r="S1074">
        <f>HLOOKUP("Memory",'vInfo (Imported)'!$1:$5000,M1074,FALSE)</f>
        <v>0</v>
      </c>
      <c r="T1074">
        <f>HLOOKUP("Provisioned MiB",'vInfo (Imported)'!$1:$5000,M1074,FALSE)</f>
        <v>0</v>
      </c>
      <c r="U1074">
        <f t="shared" si="49"/>
        <v>0</v>
      </c>
      <c r="V1074">
        <f>HLOOKUP("In Use MiB",'vInfo (Imported)'!$1:$5000,M1074,FALSE)</f>
        <v>0</v>
      </c>
    </row>
    <row r="1075" spans="1:22" ht="13" x14ac:dyDescent="0.3">
      <c r="A1075" s="46">
        <f>'vHosts (Imported)'!A1075</f>
        <v>0</v>
      </c>
      <c r="B1075" s="51">
        <f t="shared" si="51"/>
        <v>4968</v>
      </c>
      <c r="C1075" s="49">
        <f>HLOOKUP("# Cores",'vHosts (Imported)'!$1:$5000,M1075,FALSE)</f>
        <v>0</v>
      </c>
      <c r="D1075" s="52">
        <f>HLOOKUP("# Memory",'vHosts (Imported)'!$1:$5000,M1075,FALSE)</f>
        <v>0</v>
      </c>
      <c r="M1075" s="45">
        <f t="shared" si="50"/>
        <v>1075</v>
      </c>
      <c r="N1075" s="38">
        <f>HLOOKUP("Host",'vInfo (Imported)'!$1:$5000,M1075,FALSE)</f>
        <v>0</v>
      </c>
      <c r="R1075">
        <f>HLOOKUP("CPUs",'vInfo (Imported)'!$1:$5000,M1075,FALSE)</f>
        <v>0</v>
      </c>
      <c r="S1075">
        <f>HLOOKUP("Memory",'vInfo (Imported)'!$1:$5000,M1075,FALSE)</f>
        <v>0</v>
      </c>
      <c r="T1075">
        <f>HLOOKUP("Provisioned MiB",'vInfo (Imported)'!$1:$5000,M1075,FALSE)</f>
        <v>0</v>
      </c>
      <c r="U1075">
        <f t="shared" si="49"/>
        <v>0</v>
      </c>
      <c r="V1075">
        <f>HLOOKUP("In Use MiB",'vInfo (Imported)'!$1:$5000,M1075,FALSE)</f>
        <v>0</v>
      </c>
    </row>
    <row r="1076" spans="1:22" ht="13" x14ac:dyDescent="0.3">
      <c r="A1076" s="46">
        <f>'vHosts (Imported)'!A1076</f>
        <v>0</v>
      </c>
      <c r="B1076" s="51">
        <f t="shared" si="51"/>
        <v>4968</v>
      </c>
      <c r="C1076" s="49">
        <f>HLOOKUP("# Cores",'vHosts (Imported)'!$1:$5000,M1076,FALSE)</f>
        <v>0</v>
      </c>
      <c r="D1076" s="52">
        <f>HLOOKUP("# Memory",'vHosts (Imported)'!$1:$5000,M1076,FALSE)</f>
        <v>0</v>
      </c>
      <c r="M1076" s="45">
        <f t="shared" si="50"/>
        <v>1076</v>
      </c>
      <c r="N1076" s="38">
        <f>HLOOKUP("Host",'vInfo (Imported)'!$1:$5000,M1076,FALSE)</f>
        <v>0</v>
      </c>
      <c r="R1076">
        <f>HLOOKUP("CPUs",'vInfo (Imported)'!$1:$5000,M1076,FALSE)</f>
        <v>0</v>
      </c>
      <c r="S1076">
        <f>HLOOKUP("Memory",'vInfo (Imported)'!$1:$5000,M1076,FALSE)</f>
        <v>0</v>
      </c>
      <c r="T1076">
        <f>HLOOKUP("Provisioned MiB",'vInfo (Imported)'!$1:$5000,M1076,FALSE)</f>
        <v>0</v>
      </c>
      <c r="U1076">
        <f t="shared" si="49"/>
        <v>0</v>
      </c>
      <c r="V1076">
        <f>HLOOKUP("In Use MiB",'vInfo (Imported)'!$1:$5000,M1076,FALSE)</f>
        <v>0</v>
      </c>
    </row>
    <row r="1077" spans="1:22" ht="13" x14ac:dyDescent="0.3">
      <c r="A1077" s="46">
        <f>'vHosts (Imported)'!A1077</f>
        <v>0</v>
      </c>
      <c r="B1077" s="51">
        <f t="shared" si="51"/>
        <v>4968</v>
      </c>
      <c r="C1077" s="49">
        <f>HLOOKUP("# Cores",'vHosts (Imported)'!$1:$5000,M1077,FALSE)</f>
        <v>0</v>
      </c>
      <c r="D1077" s="52">
        <f>HLOOKUP("# Memory",'vHosts (Imported)'!$1:$5000,M1077,FALSE)</f>
        <v>0</v>
      </c>
      <c r="M1077" s="45">
        <f t="shared" si="50"/>
        <v>1077</v>
      </c>
      <c r="N1077" s="38">
        <f>HLOOKUP("Host",'vInfo (Imported)'!$1:$5000,M1077,FALSE)</f>
        <v>0</v>
      </c>
      <c r="R1077">
        <f>HLOOKUP("CPUs",'vInfo (Imported)'!$1:$5000,M1077,FALSE)</f>
        <v>0</v>
      </c>
      <c r="S1077">
        <f>HLOOKUP("Memory",'vInfo (Imported)'!$1:$5000,M1077,FALSE)</f>
        <v>0</v>
      </c>
      <c r="T1077">
        <f>HLOOKUP("Provisioned MiB",'vInfo (Imported)'!$1:$5000,M1077,FALSE)</f>
        <v>0</v>
      </c>
      <c r="U1077">
        <f t="shared" si="49"/>
        <v>0</v>
      </c>
      <c r="V1077">
        <f>HLOOKUP("In Use MiB",'vInfo (Imported)'!$1:$5000,M1077,FALSE)</f>
        <v>0</v>
      </c>
    </row>
    <row r="1078" spans="1:22" ht="13" x14ac:dyDescent="0.3">
      <c r="A1078" s="46">
        <f>'vHosts (Imported)'!A1078</f>
        <v>0</v>
      </c>
      <c r="B1078" s="51">
        <f t="shared" si="51"/>
        <v>4968</v>
      </c>
      <c r="C1078" s="49">
        <f>HLOOKUP("# Cores",'vHosts (Imported)'!$1:$5000,M1078,FALSE)</f>
        <v>0</v>
      </c>
      <c r="D1078" s="52">
        <f>HLOOKUP("# Memory",'vHosts (Imported)'!$1:$5000,M1078,FALSE)</f>
        <v>0</v>
      </c>
      <c r="M1078" s="45">
        <f t="shared" si="50"/>
        <v>1078</v>
      </c>
      <c r="N1078" s="38">
        <f>HLOOKUP("Host",'vInfo (Imported)'!$1:$5000,M1078,FALSE)</f>
        <v>0</v>
      </c>
      <c r="R1078">
        <f>HLOOKUP("CPUs",'vInfo (Imported)'!$1:$5000,M1078,FALSE)</f>
        <v>0</v>
      </c>
      <c r="S1078">
        <f>HLOOKUP("Memory",'vInfo (Imported)'!$1:$5000,M1078,FALSE)</f>
        <v>0</v>
      </c>
      <c r="T1078">
        <f>HLOOKUP("Provisioned MiB",'vInfo (Imported)'!$1:$5000,M1078,FALSE)</f>
        <v>0</v>
      </c>
      <c r="U1078">
        <f t="shared" si="49"/>
        <v>0</v>
      </c>
      <c r="V1078">
        <f>HLOOKUP("In Use MiB",'vInfo (Imported)'!$1:$5000,M1078,FALSE)</f>
        <v>0</v>
      </c>
    </row>
    <row r="1079" spans="1:22" ht="13" x14ac:dyDescent="0.3">
      <c r="A1079" s="46">
        <f>'vHosts (Imported)'!A1079</f>
        <v>0</v>
      </c>
      <c r="B1079" s="51">
        <f t="shared" si="51"/>
        <v>4968</v>
      </c>
      <c r="C1079" s="49">
        <f>HLOOKUP("# Cores",'vHosts (Imported)'!$1:$5000,M1079,FALSE)</f>
        <v>0</v>
      </c>
      <c r="D1079" s="52">
        <f>HLOOKUP("# Memory",'vHosts (Imported)'!$1:$5000,M1079,FALSE)</f>
        <v>0</v>
      </c>
      <c r="M1079" s="45">
        <f t="shared" si="50"/>
        <v>1079</v>
      </c>
      <c r="N1079" s="38">
        <f>HLOOKUP("Host",'vInfo (Imported)'!$1:$5000,M1079,FALSE)</f>
        <v>0</v>
      </c>
      <c r="R1079">
        <f>HLOOKUP("CPUs",'vInfo (Imported)'!$1:$5000,M1079,FALSE)</f>
        <v>0</v>
      </c>
      <c r="S1079">
        <f>HLOOKUP("Memory",'vInfo (Imported)'!$1:$5000,M1079,FALSE)</f>
        <v>0</v>
      </c>
      <c r="T1079">
        <f>HLOOKUP("Provisioned MiB",'vInfo (Imported)'!$1:$5000,M1079,FALSE)</f>
        <v>0</v>
      </c>
      <c r="U1079">
        <f t="shared" si="49"/>
        <v>0</v>
      </c>
      <c r="V1079">
        <f>HLOOKUP("In Use MiB",'vInfo (Imported)'!$1:$5000,M1079,FALSE)</f>
        <v>0</v>
      </c>
    </row>
    <row r="1080" spans="1:22" ht="13" x14ac:dyDescent="0.3">
      <c r="A1080" s="46">
        <f>'vHosts (Imported)'!A1080</f>
        <v>0</v>
      </c>
      <c r="B1080" s="51">
        <f t="shared" si="51"/>
        <v>4968</v>
      </c>
      <c r="C1080" s="49">
        <f>HLOOKUP("# Cores",'vHosts (Imported)'!$1:$5000,M1080,FALSE)</f>
        <v>0</v>
      </c>
      <c r="D1080" s="52">
        <f>HLOOKUP("# Memory",'vHosts (Imported)'!$1:$5000,M1080,FALSE)</f>
        <v>0</v>
      </c>
      <c r="M1080" s="45">
        <f t="shared" si="50"/>
        <v>1080</v>
      </c>
      <c r="N1080" s="38">
        <f>HLOOKUP("Host",'vInfo (Imported)'!$1:$5000,M1080,FALSE)</f>
        <v>0</v>
      </c>
      <c r="R1080">
        <f>HLOOKUP("CPUs",'vInfo (Imported)'!$1:$5000,M1080,FALSE)</f>
        <v>0</v>
      </c>
      <c r="S1080">
        <f>HLOOKUP("Memory",'vInfo (Imported)'!$1:$5000,M1080,FALSE)</f>
        <v>0</v>
      </c>
      <c r="T1080">
        <f>HLOOKUP("Provisioned MiB",'vInfo (Imported)'!$1:$5000,M1080,FALSE)</f>
        <v>0</v>
      </c>
      <c r="U1080">
        <f t="shared" si="49"/>
        <v>0</v>
      </c>
      <c r="V1080">
        <f>HLOOKUP("In Use MiB",'vInfo (Imported)'!$1:$5000,M1080,FALSE)</f>
        <v>0</v>
      </c>
    </row>
    <row r="1081" spans="1:22" ht="13" x14ac:dyDescent="0.3">
      <c r="A1081" s="46">
        <f>'vHosts (Imported)'!A1081</f>
        <v>0</v>
      </c>
      <c r="B1081" s="51">
        <f t="shared" si="51"/>
        <v>4968</v>
      </c>
      <c r="C1081" s="49">
        <f>HLOOKUP("# Cores",'vHosts (Imported)'!$1:$5000,M1081,FALSE)</f>
        <v>0</v>
      </c>
      <c r="D1081" s="52">
        <f>HLOOKUP("# Memory",'vHosts (Imported)'!$1:$5000,M1081,FALSE)</f>
        <v>0</v>
      </c>
      <c r="M1081" s="45">
        <f t="shared" si="50"/>
        <v>1081</v>
      </c>
      <c r="N1081" s="38">
        <f>HLOOKUP("Host",'vInfo (Imported)'!$1:$5000,M1081,FALSE)</f>
        <v>0</v>
      </c>
      <c r="R1081">
        <f>HLOOKUP("CPUs",'vInfo (Imported)'!$1:$5000,M1081,FALSE)</f>
        <v>0</v>
      </c>
      <c r="S1081">
        <f>HLOOKUP("Memory",'vInfo (Imported)'!$1:$5000,M1081,FALSE)</f>
        <v>0</v>
      </c>
      <c r="T1081">
        <f>HLOOKUP("Provisioned MiB",'vInfo (Imported)'!$1:$5000,M1081,FALSE)</f>
        <v>0</v>
      </c>
      <c r="U1081">
        <f t="shared" si="49"/>
        <v>0</v>
      </c>
      <c r="V1081">
        <f>HLOOKUP("In Use MiB",'vInfo (Imported)'!$1:$5000,M1081,FALSE)</f>
        <v>0</v>
      </c>
    </row>
    <row r="1082" spans="1:22" ht="13" x14ac:dyDescent="0.3">
      <c r="A1082" s="46">
        <f>'vHosts (Imported)'!A1082</f>
        <v>0</v>
      </c>
      <c r="B1082" s="51">
        <f t="shared" si="51"/>
        <v>4968</v>
      </c>
      <c r="C1082" s="49">
        <f>HLOOKUP("# Cores",'vHosts (Imported)'!$1:$5000,M1082,FALSE)</f>
        <v>0</v>
      </c>
      <c r="D1082" s="52">
        <f>HLOOKUP("# Memory",'vHosts (Imported)'!$1:$5000,M1082,FALSE)</f>
        <v>0</v>
      </c>
      <c r="M1082" s="45">
        <f t="shared" si="50"/>
        <v>1082</v>
      </c>
      <c r="N1082" s="38">
        <f>HLOOKUP("Host",'vInfo (Imported)'!$1:$5000,M1082,FALSE)</f>
        <v>0</v>
      </c>
      <c r="R1082">
        <f>HLOOKUP("CPUs",'vInfo (Imported)'!$1:$5000,M1082,FALSE)</f>
        <v>0</v>
      </c>
      <c r="S1082">
        <f>HLOOKUP("Memory",'vInfo (Imported)'!$1:$5000,M1082,FALSE)</f>
        <v>0</v>
      </c>
      <c r="T1082">
        <f>HLOOKUP("Provisioned MiB",'vInfo (Imported)'!$1:$5000,M1082,FALSE)</f>
        <v>0</v>
      </c>
      <c r="U1082">
        <f t="shared" si="49"/>
        <v>0</v>
      </c>
      <c r="V1082">
        <f>HLOOKUP("In Use MiB",'vInfo (Imported)'!$1:$5000,M1082,FALSE)</f>
        <v>0</v>
      </c>
    </row>
    <row r="1083" spans="1:22" ht="13" x14ac:dyDescent="0.3">
      <c r="A1083" s="46">
        <f>'vHosts (Imported)'!A1083</f>
        <v>0</v>
      </c>
      <c r="B1083" s="51">
        <f t="shared" si="51"/>
        <v>4968</v>
      </c>
      <c r="C1083" s="49">
        <f>HLOOKUP("# Cores",'vHosts (Imported)'!$1:$5000,M1083,FALSE)</f>
        <v>0</v>
      </c>
      <c r="D1083" s="52">
        <f>HLOOKUP("# Memory",'vHosts (Imported)'!$1:$5000,M1083,FALSE)</f>
        <v>0</v>
      </c>
      <c r="M1083" s="45">
        <f t="shared" si="50"/>
        <v>1083</v>
      </c>
      <c r="N1083" s="38">
        <f>HLOOKUP("Host",'vInfo (Imported)'!$1:$5000,M1083,FALSE)</f>
        <v>0</v>
      </c>
      <c r="R1083">
        <f>HLOOKUP("CPUs",'vInfo (Imported)'!$1:$5000,M1083,FALSE)</f>
        <v>0</v>
      </c>
      <c r="S1083">
        <f>HLOOKUP("Memory",'vInfo (Imported)'!$1:$5000,M1083,FALSE)</f>
        <v>0</v>
      </c>
      <c r="T1083">
        <f>HLOOKUP("Provisioned MiB",'vInfo (Imported)'!$1:$5000,M1083,FALSE)</f>
        <v>0</v>
      </c>
      <c r="U1083">
        <f t="shared" si="49"/>
        <v>0</v>
      </c>
      <c r="V1083">
        <f>HLOOKUP("In Use MiB",'vInfo (Imported)'!$1:$5000,M1083,FALSE)</f>
        <v>0</v>
      </c>
    </row>
    <row r="1084" spans="1:22" ht="13" x14ac:dyDescent="0.3">
      <c r="A1084" s="46">
        <f>'vHosts (Imported)'!A1084</f>
        <v>0</v>
      </c>
      <c r="B1084" s="51">
        <f t="shared" si="51"/>
        <v>4968</v>
      </c>
      <c r="C1084" s="49">
        <f>HLOOKUP("# Cores",'vHosts (Imported)'!$1:$5000,M1084,FALSE)</f>
        <v>0</v>
      </c>
      <c r="D1084" s="52">
        <f>HLOOKUP("# Memory",'vHosts (Imported)'!$1:$5000,M1084,FALSE)</f>
        <v>0</v>
      </c>
      <c r="M1084" s="45">
        <f t="shared" si="50"/>
        <v>1084</v>
      </c>
      <c r="N1084" s="38">
        <f>HLOOKUP("Host",'vInfo (Imported)'!$1:$5000,M1084,FALSE)</f>
        <v>0</v>
      </c>
      <c r="R1084">
        <f>HLOOKUP("CPUs",'vInfo (Imported)'!$1:$5000,M1084,FALSE)</f>
        <v>0</v>
      </c>
      <c r="S1084">
        <f>HLOOKUP("Memory",'vInfo (Imported)'!$1:$5000,M1084,FALSE)</f>
        <v>0</v>
      </c>
      <c r="T1084">
        <f>HLOOKUP("Provisioned MiB",'vInfo (Imported)'!$1:$5000,M1084,FALSE)</f>
        <v>0</v>
      </c>
      <c r="U1084">
        <f t="shared" si="49"/>
        <v>0</v>
      </c>
      <c r="V1084">
        <f>HLOOKUP("In Use MiB",'vInfo (Imported)'!$1:$5000,M1084,FALSE)</f>
        <v>0</v>
      </c>
    </row>
    <row r="1085" spans="1:22" ht="13" x14ac:dyDescent="0.3">
      <c r="A1085" s="46">
        <f>'vHosts (Imported)'!A1085</f>
        <v>0</v>
      </c>
      <c r="B1085" s="51">
        <f t="shared" si="51"/>
        <v>4968</v>
      </c>
      <c r="C1085" s="49">
        <f>HLOOKUP("# Cores",'vHosts (Imported)'!$1:$5000,M1085,FALSE)</f>
        <v>0</v>
      </c>
      <c r="D1085" s="52">
        <f>HLOOKUP("# Memory",'vHosts (Imported)'!$1:$5000,M1085,FALSE)</f>
        <v>0</v>
      </c>
      <c r="M1085" s="45">
        <f t="shared" si="50"/>
        <v>1085</v>
      </c>
      <c r="N1085" s="38">
        <f>HLOOKUP("Host",'vInfo (Imported)'!$1:$5000,M1085,FALSE)</f>
        <v>0</v>
      </c>
      <c r="R1085">
        <f>HLOOKUP("CPUs",'vInfo (Imported)'!$1:$5000,M1085,FALSE)</f>
        <v>0</v>
      </c>
      <c r="S1085">
        <f>HLOOKUP("Memory",'vInfo (Imported)'!$1:$5000,M1085,FALSE)</f>
        <v>0</v>
      </c>
      <c r="T1085">
        <f>HLOOKUP("Provisioned MiB",'vInfo (Imported)'!$1:$5000,M1085,FALSE)</f>
        <v>0</v>
      </c>
      <c r="U1085">
        <f t="shared" si="49"/>
        <v>0</v>
      </c>
      <c r="V1085">
        <f>HLOOKUP("In Use MiB",'vInfo (Imported)'!$1:$5000,M1085,FALSE)</f>
        <v>0</v>
      </c>
    </row>
    <row r="1086" spans="1:22" ht="13" x14ac:dyDescent="0.3">
      <c r="A1086" s="46">
        <f>'vHosts (Imported)'!A1086</f>
        <v>0</v>
      </c>
      <c r="B1086" s="51">
        <f t="shared" si="51"/>
        <v>4968</v>
      </c>
      <c r="C1086" s="49">
        <f>HLOOKUP("# Cores",'vHosts (Imported)'!$1:$5000,M1086,FALSE)</f>
        <v>0</v>
      </c>
      <c r="D1086" s="52">
        <f>HLOOKUP("# Memory",'vHosts (Imported)'!$1:$5000,M1086,FALSE)</f>
        <v>0</v>
      </c>
      <c r="M1086" s="45">
        <f t="shared" si="50"/>
        <v>1086</v>
      </c>
      <c r="N1086" s="38">
        <f>HLOOKUP("Host",'vInfo (Imported)'!$1:$5000,M1086,FALSE)</f>
        <v>0</v>
      </c>
      <c r="R1086">
        <f>HLOOKUP("CPUs",'vInfo (Imported)'!$1:$5000,M1086,FALSE)</f>
        <v>0</v>
      </c>
      <c r="S1086">
        <f>HLOOKUP("Memory",'vInfo (Imported)'!$1:$5000,M1086,FALSE)</f>
        <v>0</v>
      </c>
      <c r="T1086">
        <f>HLOOKUP("Provisioned MiB",'vInfo (Imported)'!$1:$5000,M1086,FALSE)</f>
        <v>0</v>
      </c>
      <c r="U1086">
        <f t="shared" si="49"/>
        <v>0</v>
      </c>
      <c r="V1086">
        <f>HLOOKUP("In Use MiB",'vInfo (Imported)'!$1:$5000,M1086,FALSE)</f>
        <v>0</v>
      </c>
    </row>
    <row r="1087" spans="1:22" ht="13" x14ac:dyDescent="0.3">
      <c r="A1087" s="46">
        <f>'vHosts (Imported)'!A1087</f>
        <v>0</v>
      </c>
      <c r="B1087" s="51">
        <f t="shared" si="51"/>
        <v>4968</v>
      </c>
      <c r="C1087" s="49">
        <f>HLOOKUP("# Cores",'vHosts (Imported)'!$1:$5000,M1087,FALSE)</f>
        <v>0</v>
      </c>
      <c r="D1087" s="52">
        <f>HLOOKUP("# Memory",'vHosts (Imported)'!$1:$5000,M1087,FALSE)</f>
        <v>0</v>
      </c>
      <c r="M1087" s="45">
        <f t="shared" si="50"/>
        <v>1087</v>
      </c>
      <c r="N1087" s="38">
        <f>HLOOKUP("Host",'vInfo (Imported)'!$1:$5000,M1087,FALSE)</f>
        <v>0</v>
      </c>
      <c r="R1087">
        <f>HLOOKUP("CPUs",'vInfo (Imported)'!$1:$5000,M1087,FALSE)</f>
        <v>0</v>
      </c>
      <c r="S1087">
        <f>HLOOKUP("Memory",'vInfo (Imported)'!$1:$5000,M1087,FALSE)</f>
        <v>0</v>
      </c>
      <c r="T1087">
        <f>HLOOKUP("Provisioned MiB",'vInfo (Imported)'!$1:$5000,M1087,FALSE)</f>
        <v>0</v>
      </c>
      <c r="U1087">
        <f t="shared" si="49"/>
        <v>0</v>
      </c>
      <c r="V1087">
        <f>HLOOKUP("In Use MiB",'vInfo (Imported)'!$1:$5000,M1087,FALSE)</f>
        <v>0</v>
      </c>
    </row>
    <row r="1088" spans="1:22" ht="13" x14ac:dyDescent="0.3">
      <c r="A1088" s="46">
        <f>'vHosts (Imported)'!A1088</f>
        <v>0</v>
      </c>
      <c r="B1088" s="51">
        <f t="shared" si="51"/>
        <v>4968</v>
      </c>
      <c r="C1088" s="49">
        <f>HLOOKUP("# Cores",'vHosts (Imported)'!$1:$5000,M1088,FALSE)</f>
        <v>0</v>
      </c>
      <c r="D1088" s="52">
        <f>HLOOKUP("# Memory",'vHosts (Imported)'!$1:$5000,M1088,FALSE)</f>
        <v>0</v>
      </c>
      <c r="M1088" s="45">
        <f t="shared" si="50"/>
        <v>1088</v>
      </c>
      <c r="N1088" s="38">
        <f>HLOOKUP("Host",'vInfo (Imported)'!$1:$5000,M1088,FALSE)</f>
        <v>0</v>
      </c>
      <c r="R1088">
        <f>HLOOKUP("CPUs",'vInfo (Imported)'!$1:$5000,M1088,FALSE)</f>
        <v>0</v>
      </c>
      <c r="S1088">
        <f>HLOOKUP("Memory",'vInfo (Imported)'!$1:$5000,M1088,FALSE)</f>
        <v>0</v>
      </c>
      <c r="T1088">
        <f>HLOOKUP("Provisioned MiB",'vInfo (Imported)'!$1:$5000,M1088,FALSE)</f>
        <v>0</v>
      </c>
      <c r="U1088">
        <f t="shared" si="49"/>
        <v>0</v>
      </c>
      <c r="V1088">
        <f>HLOOKUP("In Use MiB",'vInfo (Imported)'!$1:$5000,M1088,FALSE)</f>
        <v>0</v>
      </c>
    </row>
    <row r="1089" spans="1:22" ht="13" x14ac:dyDescent="0.3">
      <c r="A1089" s="46">
        <f>'vHosts (Imported)'!A1089</f>
        <v>0</v>
      </c>
      <c r="B1089" s="51">
        <f t="shared" si="51"/>
        <v>4968</v>
      </c>
      <c r="C1089" s="49">
        <f>HLOOKUP("# Cores",'vHosts (Imported)'!$1:$5000,M1089,FALSE)</f>
        <v>0</v>
      </c>
      <c r="D1089" s="52">
        <f>HLOOKUP("# Memory",'vHosts (Imported)'!$1:$5000,M1089,FALSE)</f>
        <v>0</v>
      </c>
      <c r="M1089" s="45">
        <f t="shared" si="50"/>
        <v>1089</v>
      </c>
      <c r="N1089" s="38">
        <f>HLOOKUP("Host",'vInfo (Imported)'!$1:$5000,M1089,FALSE)</f>
        <v>0</v>
      </c>
      <c r="R1089">
        <f>HLOOKUP("CPUs",'vInfo (Imported)'!$1:$5000,M1089,FALSE)</f>
        <v>0</v>
      </c>
      <c r="S1089">
        <f>HLOOKUP("Memory",'vInfo (Imported)'!$1:$5000,M1089,FALSE)</f>
        <v>0</v>
      </c>
      <c r="T1089">
        <f>HLOOKUP("Provisioned MiB",'vInfo (Imported)'!$1:$5000,M1089,FALSE)</f>
        <v>0</v>
      </c>
      <c r="U1089">
        <f t="shared" si="49"/>
        <v>0</v>
      </c>
      <c r="V1089">
        <f>HLOOKUP("In Use MiB",'vInfo (Imported)'!$1:$5000,M1089,FALSE)</f>
        <v>0</v>
      </c>
    </row>
    <row r="1090" spans="1:22" ht="13" x14ac:dyDescent="0.3">
      <c r="A1090" s="46">
        <f>'vHosts (Imported)'!A1090</f>
        <v>0</v>
      </c>
      <c r="B1090" s="51">
        <f t="shared" si="51"/>
        <v>4968</v>
      </c>
      <c r="C1090" s="49">
        <f>HLOOKUP("# Cores",'vHosts (Imported)'!$1:$5000,M1090,FALSE)</f>
        <v>0</v>
      </c>
      <c r="D1090" s="52">
        <f>HLOOKUP("# Memory",'vHosts (Imported)'!$1:$5000,M1090,FALSE)</f>
        <v>0</v>
      </c>
      <c r="M1090" s="45">
        <f t="shared" si="50"/>
        <v>1090</v>
      </c>
      <c r="N1090" s="38">
        <f>HLOOKUP("Host",'vInfo (Imported)'!$1:$5000,M1090,FALSE)</f>
        <v>0</v>
      </c>
      <c r="R1090">
        <f>HLOOKUP("CPUs",'vInfo (Imported)'!$1:$5000,M1090,FALSE)</f>
        <v>0</v>
      </c>
      <c r="S1090">
        <f>HLOOKUP("Memory",'vInfo (Imported)'!$1:$5000,M1090,FALSE)</f>
        <v>0</v>
      </c>
      <c r="T1090">
        <f>HLOOKUP("Provisioned MiB",'vInfo (Imported)'!$1:$5000,M1090,FALSE)</f>
        <v>0</v>
      </c>
      <c r="U1090">
        <f t="shared" si="49"/>
        <v>0</v>
      </c>
      <c r="V1090">
        <f>HLOOKUP("In Use MiB",'vInfo (Imported)'!$1:$5000,M1090,FALSE)</f>
        <v>0</v>
      </c>
    </row>
    <row r="1091" spans="1:22" ht="13" x14ac:dyDescent="0.3">
      <c r="A1091" s="46">
        <f>'vHosts (Imported)'!A1091</f>
        <v>0</v>
      </c>
      <c r="B1091" s="51">
        <f t="shared" si="51"/>
        <v>4968</v>
      </c>
      <c r="C1091" s="49">
        <f>HLOOKUP("# Cores",'vHosts (Imported)'!$1:$5000,M1091,FALSE)</f>
        <v>0</v>
      </c>
      <c r="D1091" s="52">
        <f>HLOOKUP("# Memory",'vHosts (Imported)'!$1:$5000,M1091,FALSE)</f>
        <v>0</v>
      </c>
      <c r="M1091" s="45">
        <f t="shared" si="50"/>
        <v>1091</v>
      </c>
      <c r="N1091" s="38">
        <f>HLOOKUP("Host",'vInfo (Imported)'!$1:$5000,M1091,FALSE)</f>
        <v>0</v>
      </c>
      <c r="R1091">
        <f>HLOOKUP("CPUs",'vInfo (Imported)'!$1:$5000,M1091,FALSE)</f>
        <v>0</v>
      </c>
      <c r="S1091">
        <f>HLOOKUP("Memory",'vInfo (Imported)'!$1:$5000,M1091,FALSE)</f>
        <v>0</v>
      </c>
      <c r="T1091">
        <f>HLOOKUP("Provisioned MiB",'vInfo (Imported)'!$1:$5000,M1091,FALSE)</f>
        <v>0</v>
      </c>
      <c r="U1091">
        <f t="shared" ref="U1091:U1154" si="52">T1091-V1091</f>
        <v>0</v>
      </c>
      <c r="V1091">
        <f>HLOOKUP("In Use MiB",'vInfo (Imported)'!$1:$5000,M1091,FALSE)</f>
        <v>0</v>
      </c>
    </row>
    <row r="1092" spans="1:22" ht="13" x14ac:dyDescent="0.3">
      <c r="A1092" s="46">
        <f>'vHosts (Imported)'!A1092</f>
        <v>0</v>
      </c>
      <c r="B1092" s="51">
        <f t="shared" si="51"/>
        <v>4968</v>
      </c>
      <c r="C1092" s="49">
        <f>HLOOKUP("# Cores",'vHosts (Imported)'!$1:$5000,M1092,FALSE)</f>
        <v>0</v>
      </c>
      <c r="D1092" s="52">
        <f>HLOOKUP("# Memory",'vHosts (Imported)'!$1:$5000,M1092,FALSE)</f>
        <v>0</v>
      </c>
      <c r="M1092" s="45">
        <f t="shared" ref="M1092:M1155" si="53">M1091+1</f>
        <v>1092</v>
      </c>
      <c r="N1092" s="38">
        <f>HLOOKUP("Host",'vInfo (Imported)'!$1:$5000,M1092,FALSE)</f>
        <v>0</v>
      </c>
      <c r="R1092">
        <f>HLOOKUP("CPUs",'vInfo (Imported)'!$1:$5000,M1092,FALSE)</f>
        <v>0</v>
      </c>
      <c r="S1092">
        <f>HLOOKUP("Memory",'vInfo (Imported)'!$1:$5000,M1092,FALSE)</f>
        <v>0</v>
      </c>
      <c r="T1092">
        <f>HLOOKUP("Provisioned MiB",'vInfo (Imported)'!$1:$5000,M1092,FALSE)</f>
        <v>0</v>
      </c>
      <c r="U1092">
        <f t="shared" si="52"/>
        <v>0</v>
      </c>
      <c r="V1092">
        <f>HLOOKUP("In Use MiB",'vInfo (Imported)'!$1:$5000,M1092,FALSE)</f>
        <v>0</v>
      </c>
    </row>
    <row r="1093" spans="1:22" ht="13" x14ac:dyDescent="0.3">
      <c r="A1093" s="46">
        <f>'vHosts (Imported)'!A1093</f>
        <v>0</v>
      </c>
      <c r="B1093" s="51">
        <f t="shared" si="51"/>
        <v>4968</v>
      </c>
      <c r="C1093" s="49">
        <f>HLOOKUP("# Cores",'vHosts (Imported)'!$1:$5000,M1093,FALSE)</f>
        <v>0</v>
      </c>
      <c r="D1093" s="52">
        <f>HLOOKUP("# Memory",'vHosts (Imported)'!$1:$5000,M1093,FALSE)</f>
        <v>0</v>
      </c>
      <c r="M1093" s="45">
        <f t="shared" si="53"/>
        <v>1093</v>
      </c>
      <c r="N1093" s="38">
        <f>HLOOKUP("Host",'vInfo (Imported)'!$1:$5000,M1093,FALSE)</f>
        <v>0</v>
      </c>
      <c r="R1093">
        <f>HLOOKUP("CPUs",'vInfo (Imported)'!$1:$5000,M1093,FALSE)</f>
        <v>0</v>
      </c>
      <c r="S1093">
        <f>HLOOKUP("Memory",'vInfo (Imported)'!$1:$5000,M1093,FALSE)</f>
        <v>0</v>
      </c>
      <c r="T1093">
        <f>HLOOKUP("Provisioned MiB",'vInfo (Imported)'!$1:$5000,M1093,FALSE)</f>
        <v>0</v>
      </c>
      <c r="U1093">
        <f t="shared" si="52"/>
        <v>0</v>
      </c>
      <c r="V1093">
        <f>HLOOKUP("In Use MiB",'vInfo (Imported)'!$1:$5000,M1093,FALSE)</f>
        <v>0</v>
      </c>
    </row>
    <row r="1094" spans="1:22" ht="13" x14ac:dyDescent="0.3">
      <c r="A1094" s="46">
        <f>'vHosts (Imported)'!A1094</f>
        <v>0</v>
      </c>
      <c r="B1094" s="51">
        <f t="shared" si="51"/>
        <v>4968</v>
      </c>
      <c r="C1094" s="49">
        <f>HLOOKUP("# Cores",'vHosts (Imported)'!$1:$5000,M1094,FALSE)</f>
        <v>0</v>
      </c>
      <c r="D1094" s="52">
        <f>HLOOKUP("# Memory",'vHosts (Imported)'!$1:$5000,M1094,FALSE)</f>
        <v>0</v>
      </c>
      <c r="M1094" s="45">
        <f t="shared" si="53"/>
        <v>1094</v>
      </c>
      <c r="N1094" s="38">
        <f>HLOOKUP("Host",'vInfo (Imported)'!$1:$5000,M1094,FALSE)</f>
        <v>0</v>
      </c>
      <c r="R1094">
        <f>HLOOKUP("CPUs",'vInfo (Imported)'!$1:$5000,M1094,FALSE)</f>
        <v>0</v>
      </c>
      <c r="S1094">
        <f>HLOOKUP("Memory",'vInfo (Imported)'!$1:$5000,M1094,FALSE)</f>
        <v>0</v>
      </c>
      <c r="T1094">
        <f>HLOOKUP("Provisioned MiB",'vInfo (Imported)'!$1:$5000,M1094,FALSE)</f>
        <v>0</v>
      </c>
      <c r="U1094">
        <f t="shared" si="52"/>
        <v>0</v>
      </c>
      <c r="V1094">
        <f>HLOOKUP("In Use MiB",'vInfo (Imported)'!$1:$5000,M1094,FALSE)</f>
        <v>0</v>
      </c>
    </row>
    <row r="1095" spans="1:22" ht="13" x14ac:dyDescent="0.3">
      <c r="A1095" s="46">
        <f>'vHosts (Imported)'!A1095</f>
        <v>0</v>
      </c>
      <c r="B1095" s="51">
        <f t="shared" si="51"/>
        <v>4968</v>
      </c>
      <c r="C1095" s="49">
        <f>HLOOKUP("# Cores",'vHosts (Imported)'!$1:$5000,M1095,FALSE)</f>
        <v>0</v>
      </c>
      <c r="D1095" s="52">
        <f>HLOOKUP("# Memory",'vHosts (Imported)'!$1:$5000,M1095,FALSE)</f>
        <v>0</v>
      </c>
      <c r="M1095" s="45">
        <f t="shared" si="53"/>
        <v>1095</v>
      </c>
      <c r="N1095" s="38">
        <f>HLOOKUP("Host",'vInfo (Imported)'!$1:$5000,M1095,FALSE)</f>
        <v>0</v>
      </c>
      <c r="R1095">
        <f>HLOOKUP("CPUs",'vInfo (Imported)'!$1:$5000,M1095,FALSE)</f>
        <v>0</v>
      </c>
      <c r="S1095">
        <f>HLOOKUP("Memory",'vInfo (Imported)'!$1:$5000,M1095,FALSE)</f>
        <v>0</v>
      </c>
      <c r="T1095">
        <f>HLOOKUP("Provisioned MiB",'vInfo (Imported)'!$1:$5000,M1095,FALSE)</f>
        <v>0</v>
      </c>
      <c r="U1095">
        <f t="shared" si="52"/>
        <v>0</v>
      </c>
      <c r="V1095">
        <f>HLOOKUP("In Use MiB",'vInfo (Imported)'!$1:$5000,M1095,FALSE)</f>
        <v>0</v>
      </c>
    </row>
    <row r="1096" spans="1:22" ht="13" x14ac:dyDescent="0.3">
      <c r="A1096" s="46">
        <f>'vHosts (Imported)'!A1096</f>
        <v>0</v>
      </c>
      <c r="B1096" s="51">
        <f t="shared" si="51"/>
        <v>4968</v>
      </c>
      <c r="C1096" s="49">
        <f>HLOOKUP("# Cores",'vHosts (Imported)'!$1:$5000,M1096,FALSE)</f>
        <v>0</v>
      </c>
      <c r="D1096" s="52">
        <f>HLOOKUP("# Memory",'vHosts (Imported)'!$1:$5000,M1096,FALSE)</f>
        <v>0</v>
      </c>
      <c r="M1096" s="45">
        <f t="shared" si="53"/>
        <v>1096</v>
      </c>
      <c r="N1096" s="38">
        <f>HLOOKUP("Host",'vInfo (Imported)'!$1:$5000,M1096,FALSE)</f>
        <v>0</v>
      </c>
      <c r="R1096">
        <f>HLOOKUP("CPUs",'vInfo (Imported)'!$1:$5000,M1096,FALSE)</f>
        <v>0</v>
      </c>
      <c r="S1096">
        <f>HLOOKUP("Memory",'vInfo (Imported)'!$1:$5000,M1096,FALSE)</f>
        <v>0</v>
      </c>
      <c r="T1096">
        <f>HLOOKUP("Provisioned MiB",'vInfo (Imported)'!$1:$5000,M1096,FALSE)</f>
        <v>0</v>
      </c>
      <c r="U1096">
        <f t="shared" si="52"/>
        <v>0</v>
      </c>
      <c r="V1096">
        <f>HLOOKUP("In Use MiB",'vInfo (Imported)'!$1:$5000,M1096,FALSE)</f>
        <v>0</v>
      </c>
    </row>
    <row r="1097" spans="1:22" ht="13" x14ac:dyDescent="0.3">
      <c r="A1097" s="46">
        <f>'vHosts (Imported)'!A1097</f>
        <v>0</v>
      </c>
      <c r="B1097" s="51">
        <f t="shared" si="51"/>
        <v>4968</v>
      </c>
      <c r="C1097" s="49">
        <f>HLOOKUP("# Cores",'vHosts (Imported)'!$1:$5000,M1097,FALSE)</f>
        <v>0</v>
      </c>
      <c r="D1097" s="52">
        <f>HLOOKUP("# Memory",'vHosts (Imported)'!$1:$5000,M1097,FALSE)</f>
        <v>0</v>
      </c>
      <c r="M1097" s="45">
        <f t="shared" si="53"/>
        <v>1097</v>
      </c>
      <c r="N1097" s="38">
        <f>HLOOKUP("Host",'vInfo (Imported)'!$1:$5000,M1097,FALSE)</f>
        <v>0</v>
      </c>
      <c r="R1097">
        <f>HLOOKUP("CPUs",'vInfo (Imported)'!$1:$5000,M1097,FALSE)</f>
        <v>0</v>
      </c>
      <c r="S1097">
        <f>HLOOKUP("Memory",'vInfo (Imported)'!$1:$5000,M1097,FALSE)</f>
        <v>0</v>
      </c>
      <c r="T1097">
        <f>HLOOKUP("Provisioned MiB",'vInfo (Imported)'!$1:$5000,M1097,FALSE)</f>
        <v>0</v>
      </c>
      <c r="U1097">
        <f t="shared" si="52"/>
        <v>0</v>
      </c>
      <c r="V1097">
        <f>HLOOKUP("In Use MiB",'vInfo (Imported)'!$1:$5000,M1097,FALSE)</f>
        <v>0</v>
      </c>
    </row>
    <row r="1098" spans="1:22" ht="13" x14ac:dyDescent="0.3">
      <c r="A1098" s="46">
        <f>'vHosts (Imported)'!A1098</f>
        <v>0</v>
      </c>
      <c r="B1098" s="51">
        <f t="shared" si="51"/>
        <v>4968</v>
      </c>
      <c r="C1098" s="49">
        <f>HLOOKUP("# Cores",'vHosts (Imported)'!$1:$5000,M1098,FALSE)</f>
        <v>0</v>
      </c>
      <c r="D1098" s="52">
        <f>HLOOKUP("# Memory",'vHosts (Imported)'!$1:$5000,M1098,FALSE)</f>
        <v>0</v>
      </c>
      <c r="M1098" s="45">
        <f t="shared" si="53"/>
        <v>1098</v>
      </c>
      <c r="N1098" s="38">
        <f>HLOOKUP("Host",'vInfo (Imported)'!$1:$5000,M1098,FALSE)</f>
        <v>0</v>
      </c>
      <c r="R1098">
        <f>HLOOKUP("CPUs",'vInfo (Imported)'!$1:$5000,M1098,FALSE)</f>
        <v>0</v>
      </c>
      <c r="S1098">
        <f>HLOOKUP("Memory",'vInfo (Imported)'!$1:$5000,M1098,FALSE)</f>
        <v>0</v>
      </c>
      <c r="T1098">
        <f>HLOOKUP("Provisioned MiB",'vInfo (Imported)'!$1:$5000,M1098,FALSE)</f>
        <v>0</v>
      </c>
      <c r="U1098">
        <f t="shared" si="52"/>
        <v>0</v>
      </c>
      <c r="V1098">
        <f>HLOOKUP("In Use MiB",'vInfo (Imported)'!$1:$5000,M1098,FALSE)</f>
        <v>0</v>
      </c>
    </row>
    <row r="1099" spans="1:22" ht="13" x14ac:dyDescent="0.3">
      <c r="A1099" s="46">
        <f>'vHosts (Imported)'!A1099</f>
        <v>0</v>
      </c>
      <c r="B1099" s="51">
        <f t="shared" si="51"/>
        <v>4968</v>
      </c>
      <c r="C1099" s="49">
        <f>HLOOKUP("# Cores",'vHosts (Imported)'!$1:$5000,M1099,FALSE)</f>
        <v>0</v>
      </c>
      <c r="D1099" s="52">
        <f>HLOOKUP("# Memory",'vHosts (Imported)'!$1:$5000,M1099,FALSE)</f>
        <v>0</v>
      </c>
      <c r="M1099" s="45">
        <f t="shared" si="53"/>
        <v>1099</v>
      </c>
      <c r="N1099" s="38">
        <f>HLOOKUP("Host",'vInfo (Imported)'!$1:$5000,M1099,FALSE)</f>
        <v>0</v>
      </c>
      <c r="R1099">
        <f>HLOOKUP("CPUs",'vInfo (Imported)'!$1:$5000,M1099,FALSE)</f>
        <v>0</v>
      </c>
      <c r="S1099">
        <f>HLOOKUP("Memory",'vInfo (Imported)'!$1:$5000,M1099,FALSE)</f>
        <v>0</v>
      </c>
      <c r="T1099">
        <f>HLOOKUP("Provisioned MiB",'vInfo (Imported)'!$1:$5000,M1099,FALSE)</f>
        <v>0</v>
      </c>
      <c r="U1099">
        <f t="shared" si="52"/>
        <v>0</v>
      </c>
      <c r="V1099">
        <f>HLOOKUP("In Use MiB",'vInfo (Imported)'!$1:$5000,M1099,FALSE)</f>
        <v>0</v>
      </c>
    </row>
    <row r="1100" spans="1:22" ht="13" x14ac:dyDescent="0.3">
      <c r="A1100" s="46">
        <f>'vHosts (Imported)'!A1100</f>
        <v>0</v>
      </c>
      <c r="B1100" s="51">
        <f t="shared" si="51"/>
        <v>4968</v>
      </c>
      <c r="C1100" s="49">
        <f>HLOOKUP("# Cores",'vHosts (Imported)'!$1:$5000,M1100,FALSE)</f>
        <v>0</v>
      </c>
      <c r="D1100" s="52">
        <f>HLOOKUP("# Memory",'vHosts (Imported)'!$1:$5000,M1100,FALSE)</f>
        <v>0</v>
      </c>
      <c r="M1100" s="45">
        <f t="shared" si="53"/>
        <v>1100</v>
      </c>
      <c r="N1100" s="38">
        <f>HLOOKUP("Host",'vInfo (Imported)'!$1:$5000,M1100,FALSE)</f>
        <v>0</v>
      </c>
      <c r="R1100">
        <f>HLOOKUP("CPUs",'vInfo (Imported)'!$1:$5000,M1100,FALSE)</f>
        <v>0</v>
      </c>
      <c r="S1100">
        <f>HLOOKUP("Memory",'vInfo (Imported)'!$1:$5000,M1100,FALSE)</f>
        <v>0</v>
      </c>
      <c r="T1100">
        <f>HLOOKUP("Provisioned MiB",'vInfo (Imported)'!$1:$5000,M1100,FALSE)</f>
        <v>0</v>
      </c>
      <c r="U1100">
        <f t="shared" si="52"/>
        <v>0</v>
      </c>
      <c r="V1100">
        <f>HLOOKUP("In Use MiB",'vInfo (Imported)'!$1:$5000,M1100,FALSE)</f>
        <v>0</v>
      </c>
    </row>
    <row r="1101" spans="1:22" ht="13" x14ac:dyDescent="0.3">
      <c r="A1101" s="46">
        <f>'vHosts (Imported)'!A1101</f>
        <v>0</v>
      </c>
      <c r="B1101" s="51">
        <f t="shared" si="51"/>
        <v>4968</v>
      </c>
      <c r="C1101" s="49">
        <f>HLOOKUP("# Cores",'vHosts (Imported)'!$1:$5000,M1101,FALSE)</f>
        <v>0</v>
      </c>
      <c r="D1101" s="52">
        <f>HLOOKUP("# Memory",'vHosts (Imported)'!$1:$5000,M1101,FALSE)</f>
        <v>0</v>
      </c>
      <c r="M1101" s="45">
        <f t="shared" si="53"/>
        <v>1101</v>
      </c>
      <c r="N1101" s="38">
        <f>HLOOKUP("Host",'vInfo (Imported)'!$1:$5000,M1101,FALSE)</f>
        <v>0</v>
      </c>
      <c r="R1101">
        <f>HLOOKUP("CPUs",'vInfo (Imported)'!$1:$5000,M1101,FALSE)</f>
        <v>0</v>
      </c>
      <c r="S1101">
        <f>HLOOKUP("Memory",'vInfo (Imported)'!$1:$5000,M1101,FALSE)</f>
        <v>0</v>
      </c>
      <c r="T1101">
        <f>HLOOKUP("Provisioned MiB",'vInfo (Imported)'!$1:$5000,M1101,FALSE)</f>
        <v>0</v>
      </c>
      <c r="U1101">
        <f t="shared" si="52"/>
        <v>0</v>
      </c>
      <c r="V1101">
        <f>HLOOKUP("In Use MiB",'vInfo (Imported)'!$1:$5000,M1101,FALSE)</f>
        <v>0</v>
      </c>
    </row>
    <row r="1102" spans="1:22" ht="13" x14ac:dyDescent="0.3">
      <c r="A1102" s="46">
        <f>'vHosts (Imported)'!A1102</f>
        <v>0</v>
      </c>
      <c r="B1102" s="51">
        <f t="shared" si="51"/>
        <v>4968</v>
      </c>
      <c r="C1102" s="49">
        <f>HLOOKUP("# Cores",'vHosts (Imported)'!$1:$5000,M1102,FALSE)</f>
        <v>0</v>
      </c>
      <c r="D1102" s="52">
        <f>HLOOKUP("# Memory",'vHosts (Imported)'!$1:$5000,M1102,FALSE)</f>
        <v>0</v>
      </c>
      <c r="M1102" s="45">
        <f t="shared" si="53"/>
        <v>1102</v>
      </c>
      <c r="N1102" s="38">
        <f>HLOOKUP("Host",'vInfo (Imported)'!$1:$5000,M1102,FALSE)</f>
        <v>0</v>
      </c>
      <c r="R1102">
        <f>HLOOKUP("CPUs",'vInfo (Imported)'!$1:$5000,M1102,FALSE)</f>
        <v>0</v>
      </c>
      <c r="S1102">
        <f>HLOOKUP("Memory",'vInfo (Imported)'!$1:$5000,M1102,FALSE)</f>
        <v>0</v>
      </c>
      <c r="T1102">
        <f>HLOOKUP("Provisioned MiB",'vInfo (Imported)'!$1:$5000,M1102,FALSE)</f>
        <v>0</v>
      </c>
      <c r="U1102">
        <f t="shared" si="52"/>
        <v>0</v>
      </c>
      <c r="V1102">
        <f>HLOOKUP("In Use MiB",'vInfo (Imported)'!$1:$5000,M1102,FALSE)</f>
        <v>0</v>
      </c>
    </row>
    <row r="1103" spans="1:22" ht="13" x14ac:dyDescent="0.3">
      <c r="A1103" s="46">
        <f>'vHosts (Imported)'!A1103</f>
        <v>0</v>
      </c>
      <c r="B1103" s="51">
        <f t="shared" si="51"/>
        <v>4968</v>
      </c>
      <c r="C1103" s="49">
        <f>HLOOKUP("# Cores",'vHosts (Imported)'!$1:$5000,M1103,FALSE)</f>
        <v>0</v>
      </c>
      <c r="D1103" s="52">
        <f>HLOOKUP("# Memory",'vHosts (Imported)'!$1:$5000,M1103,FALSE)</f>
        <v>0</v>
      </c>
      <c r="M1103" s="45">
        <f t="shared" si="53"/>
        <v>1103</v>
      </c>
      <c r="N1103" s="38">
        <f>HLOOKUP("Host",'vInfo (Imported)'!$1:$5000,M1103,FALSE)</f>
        <v>0</v>
      </c>
      <c r="R1103">
        <f>HLOOKUP("CPUs",'vInfo (Imported)'!$1:$5000,M1103,FALSE)</f>
        <v>0</v>
      </c>
      <c r="S1103">
        <f>HLOOKUP("Memory",'vInfo (Imported)'!$1:$5000,M1103,FALSE)</f>
        <v>0</v>
      </c>
      <c r="T1103">
        <f>HLOOKUP("Provisioned MiB",'vInfo (Imported)'!$1:$5000,M1103,FALSE)</f>
        <v>0</v>
      </c>
      <c r="U1103">
        <f t="shared" si="52"/>
        <v>0</v>
      </c>
      <c r="V1103">
        <f>HLOOKUP("In Use MiB",'vInfo (Imported)'!$1:$5000,M1103,FALSE)</f>
        <v>0</v>
      </c>
    </row>
    <row r="1104" spans="1:22" ht="13" x14ac:dyDescent="0.3">
      <c r="A1104" s="46">
        <f>'vHosts (Imported)'!A1104</f>
        <v>0</v>
      </c>
      <c r="B1104" s="51">
        <f t="shared" si="51"/>
        <v>4968</v>
      </c>
      <c r="C1104" s="49">
        <f>HLOOKUP("# Cores",'vHosts (Imported)'!$1:$5000,M1104,FALSE)</f>
        <v>0</v>
      </c>
      <c r="D1104" s="52">
        <f>HLOOKUP("# Memory",'vHosts (Imported)'!$1:$5000,M1104,FALSE)</f>
        <v>0</v>
      </c>
      <c r="M1104" s="45">
        <f t="shared" si="53"/>
        <v>1104</v>
      </c>
      <c r="N1104" s="38">
        <f>HLOOKUP("Host",'vInfo (Imported)'!$1:$5000,M1104,FALSE)</f>
        <v>0</v>
      </c>
      <c r="R1104">
        <f>HLOOKUP("CPUs",'vInfo (Imported)'!$1:$5000,M1104,FALSE)</f>
        <v>0</v>
      </c>
      <c r="S1104">
        <f>HLOOKUP("Memory",'vInfo (Imported)'!$1:$5000,M1104,FALSE)</f>
        <v>0</v>
      </c>
      <c r="T1104">
        <f>HLOOKUP("Provisioned MiB",'vInfo (Imported)'!$1:$5000,M1104,FALSE)</f>
        <v>0</v>
      </c>
      <c r="U1104">
        <f t="shared" si="52"/>
        <v>0</v>
      </c>
      <c r="V1104">
        <f>HLOOKUP("In Use MiB",'vInfo (Imported)'!$1:$5000,M1104,FALSE)</f>
        <v>0</v>
      </c>
    </row>
    <row r="1105" spans="1:22" ht="13" x14ac:dyDescent="0.3">
      <c r="A1105" s="46">
        <f>'vHosts (Imported)'!A1105</f>
        <v>0</v>
      </c>
      <c r="B1105" s="51">
        <f t="shared" si="51"/>
        <v>4968</v>
      </c>
      <c r="C1105" s="49">
        <f>HLOOKUP("# Cores",'vHosts (Imported)'!$1:$5000,M1105,FALSE)</f>
        <v>0</v>
      </c>
      <c r="D1105" s="52">
        <f>HLOOKUP("# Memory",'vHosts (Imported)'!$1:$5000,M1105,FALSE)</f>
        <v>0</v>
      </c>
      <c r="M1105" s="45">
        <f t="shared" si="53"/>
        <v>1105</v>
      </c>
      <c r="N1105" s="38">
        <f>HLOOKUP("Host",'vInfo (Imported)'!$1:$5000,M1105,FALSE)</f>
        <v>0</v>
      </c>
      <c r="R1105">
        <f>HLOOKUP("CPUs",'vInfo (Imported)'!$1:$5000,M1105,FALSE)</f>
        <v>0</v>
      </c>
      <c r="S1105">
        <f>HLOOKUP("Memory",'vInfo (Imported)'!$1:$5000,M1105,FALSE)</f>
        <v>0</v>
      </c>
      <c r="T1105">
        <f>HLOOKUP("Provisioned MiB",'vInfo (Imported)'!$1:$5000,M1105,FALSE)</f>
        <v>0</v>
      </c>
      <c r="U1105">
        <f t="shared" si="52"/>
        <v>0</v>
      </c>
      <c r="V1105">
        <f>HLOOKUP("In Use MiB",'vInfo (Imported)'!$1:$5000,M1105,FALSE)</f>
        <v>0</v>
      </c>
    </row>
    <row r="1106" spans="1:22" ht="13" x14ac:dyDescent="0.3">
      <c r="A1106" s="46">
        <f>'vHosts (Imported)'!A1106</f>
        <v>0</v>
      </c>
      <c r="B1106" s="51">
        <f t="shared" si="51"/>
        <v>4968</v>
      </c>
      <c r="C1106" s="49">
        <f>HLOOKUP("# Cores",'vHosts (Imported)'!$1:$5000,M1106,FALSE)</f>
        <v>0</v>
      </c>
      <c r="D1106" s="52">
        <f>HLOOKUP("# Memory",'vHosts (Imported)'!$1:$5000,M1106,FALSE)</f>
        <v>0</v>
      </c>
      <c r="M1106" s="45">
        <f t="shared" si="53"/>
        <v>1106</v>
      </c>
      <c r="N1106" s="38">
        <f>HLOOKUP("Host",'vInfo (Imported)'!$1:$5000,M1106,FALSE)</f>
        <v>0</v>
      </c>
      <c r="R1106">
        <f>HLOOKUP("CPUs",'vInfo (Imported)'!$1:$5000,M1106,FALSE)</f>
        <v>0</v>
      </c>
      <c r="S1106">
        <f>HLOOKUP("Memory",'vInfo (Imported)'!$1:$5000,M1106,FALSE)</f>
        <v>0</v>
      </c>
      <c r="T1106">
        <f>HLOOKUP("Provisioned MiB",'vInfo (Imported)'!$1:$5000,M1106,FALSE)</f>
        <v>0</v>
      </c>
      <c r="U1106">
        <f t="shared" si="52"/>
        <v>0</v>
      </c>
      <c r="V1106">
        <f>HLOOKUP("In Use MiB",'vInfo (Imported)'!$1:$5000,M1106,FALSE)</f>
        <v>0</v>
      </c>
    </row>
    <row r="1107" spans="1:22" ht="13" x14ac:dyDescent="0.3">
      <c r="A1107" s="46">
        <f>'vHosts (Imported)'!A1107</f>
        <v>0</v>
      </c>
      <c r="B1107" s="51">
        <f t="shared" si="51"/>
        <v>4968</v>
      </c>
      <c r="C1107" s="49">
        <f>HLOOKUP("# Cores",'vHosts (Imported)'!$1:$5000,M1107,FALSE)</f>
        <v>0</v>
      </c>
      <c r="D1107" s="52">
        <f>HLOOKUP("# Memory",'vHosts (Imported)'!$1:$5000,M1107,FALSE)</f>
        <v>0</v>
      </c>
      <c r="M1107" s="45">
        <f t="shared" si="53"/>
        <v>1107</v>
      </c>
      <c r="N1107" s="38">
        <f>HLOOKUP("Host",'vInfo (Imported)'!$1:$5000,M1107,FALSE)</f>
        <v>0</v>
      </c>
      <c r="R1107">
        <f>HLOOKUP("CPUs",'vInfo (Imported)'!$1:$5000,M1107,FALSE)</f>
        <v>0</v>
      </c>
      <c r="S1107">
        <f>HLOOKUP("Memory",'vInfo (Imported)'!$1:$5000,M1107,FALSE)</f>
        <v>0</v>
      </c>
      <c r="T1107">
        <f>HLOOKUP("Provisioned MiB",'vInfo (Imported)'!$1:$5000,M1107,FALSE)</f>
        <v>0</v>
      </c>
      <c r="U1107">
        <f t="shared" si="52"/>
        <v>0</v>
      </c>
      <c r="V1107">
        <f>HLOOKUP("In Use MiB",'vInfo (Imported)'!$1:$5000,M1107,FALSE)</f>
        <v>0</v>
      </c>
    </row>
    <row r="1108" spans="1:22" ht="13" x14ac:dyDescent="0.3">
      <c r="A1108" s="46">
        <f>'vHosts (Imported)'!A1108</f>
        <v>0</v>
      </c>
      <c r="B1108" s="51">
        <f t="shared" si="51"/>
        <v>4968</v>
      </c>
      <c r="C1108" s="49">
        <f>HLOOKUP("# Cores",'vHosts (Imported)'!$1:$5000,M1108,FALSE)</f>
        <v>0</v>
      </c>
      <c r="D1108" s="52">
        <f>HLOOKUP("# Memory",'vHosts (Imported)'!$1:$5000,M1108,FALSE)</f>
        <v>0</v>
      </c>
      <c r="M1108" s="45">
        <f t="shared" si="53"/>
        <v>1108</v>
      </c>
      <c r="N1108" s="38">
        <f>HLOOKUP("Host",'vInfo (Imported)'!$1:$5000,M1108,FALSE)</f>
        <v>0</v>
      </c>
      <c r="R1108">
        <f>HLOOKUP("CPUs",'vInfo (Imported)'!$1:$5000,M1108,FALSE)</f>
        <v>0</v>
      </c>
      <c r="S1108">
        <f>HLOOKUP("Memory",'vInfo (Imported)'!$1:$5000,M1108,FALSE)</f>
        <v>0</v>
      </c>
      <c r="T1108">
        <f>HLOOKUP("Provisioned MiB",'vInfo (Imported)'!$1:$5000,M1108,FALSE)</f>
        <v>0</v>
      </c>
      <c r="U1108">
        <f t="shared" si="52"/>
        <v>0</v>
      </c>
      <c r="V1108">
        <f>HLOOKUP("In Use MiB",'vInfo (Imported)'!$1:$5000,M1108,FALSE)</f>
        <v>0</v>
      </c>
    </row>
    <row r="1109" spans="1:22" ht="13" x14ac:dyDescent="0.3">
      <c r="A1109" s="46">
        <f>'vHosts (Imported)'!A1109</f>
        <v>0</v>
      </c>
      <c r="B1109" s="51">
        <f t="shared" si="51"/>
        <v>4968</v>
      </c>
      <c r="C1109" s="49">
        <f>HLOOKUP("# Cores",'vHosts (Imported)'!$1:$5000,M1109,FALSE)</f>
        <v>0</v>
      </c>
      <c r="D1109" s="52">
        <f>HLOOKUP("# Memory",'vHosts (Imported)'!$1:$5000,M1109,FALSE)</f>
        <v>0</v>
      </c>
      <c r="M1109" s="45">
        <f t="shared" si="53"/>
        <v>1109</v>
      </c>
      <c r="N1109" s="38">
        <f>HLOOKUP("Host",'vInfo (Imported)'!$1:$5000,M1109,FALSE)</f>
        <v>0</v>
      </c>
      <c r="R1109">
        <f>HLOOKUP("CPUs",'vInfo (Imported)'!$1:$5000,M1109,FALSE)</f>
        <v>0</v>
      </c>
      <c r="S1109">
        <f>HLOOKUP("Memory",'vInfo (Imported)'!$1:$5000,M1109,FALSE)</f>
        <v>0</v>
      </c>
      <c r="T1109">
        <f>HLOOKUP("Provisioned MiB",'vInfo (Imported)'!$1:$5000,M1109,FALSE)</f>
        <v>0</v>
      </c>
      <c r="U1109">
        <f t="shared" si="52"/>
        <v>0</v>
      </c>
      <c r="V1109">
        <f>HLOOKUP("In Use MiB",'vInfo (Imported)'!$1:$5000,M1109,FALSE)</f>
        <v>0</v>
      </c>
    </row>
    <row r="1110" spans="1:22" ht="13" x14ac:dyDescent="0.3">
      <c r="A1110" s="46">
        <f>'vHosts (Imported)'!A1110</f>
        <v>0</v>
      </c>
      <c r="B1110" s="51">
        <f t="shared" si="51"/>
        <v>4968</v>
      </c>
      <c r="C1110" s="49">
        <f>HLOOKUP("# Cores",'vHosts (Imported)'!$1:$5000,M1110,FALSE)</f>
        <v>0</v>
      </c>
      <c r="D1110" s="52">
        <f>HLOOKUP("# Memory",'vHosts (Imported)'!$1:$5000,M1110,FALSE)</f>
        <v>0</v>
      </c>
      <c r="M1110" s="45">
        <f t="shared" si="53"/>
        <v>1110</v>
      </c>
      <c r="N1110" s="38">
        <f>HLOOKUP("Host",'vInfo (Imported)'!$1:$5000,M1110,FALSE)</f>
        <v>0</v>
      </c>
      <c r="R1110">
        <f>HLOOKUP("CPUs",'vInfo (Imported)'!$1:$5000,M1110,FALSE)</f>
        <v>0</v>
      </c>
      <c r="S1110">
        <f>HLOOKUP("Memory",'vInfo (Imported)'!$1:$5000,M1110,FALSE)</f>
        <v>0</v>
      </c>
      <c r="T1110">
        <f>HLOOKUP("Provisioned MiB",'vInfo (Imported)'!$1:$5000,M1110,FALSE)</f>
        <v>0</v>
      </c>
      <c r="U1110">
        <f t="shared" si="52"/>
        <v>0</v>
      </c>
      <c r="V1110">
        <f>HLOOKUP("In Use MiB",'vInfo (Imported)'!$1:$5000,M1110,FALSE)</f>
        <v>0</v>
      </c>
    </row>
    <row r="1111" spans="1:22" ht="13" x14ac:dyDescent="0.3">
      <c r="A1111" s="46">
        <f>'vHosts (Imported)'!A1111</f>
        <v>0</v>
      </c>
      <c r="B1111" s="51">
        <f t="shared" si="51"/>
        <v>4968</v>
      </c>
      <c r="C1111" s="49">
        <f>HLOOKUP("# Cores",'vHosts (Imported)'!$1:$5000,M1111,FALSE)</f>
        <v>0</v>
      </c>
      <c r="D1111" s="52">
        <f>HLOOKUP("# Memory",'vHosts (Imported)'!$1:$5000,M1111,FALSE)</f>
        <v>0</v>
      </c>
      <c r="M1111" s="45">
        <f t="shared" si="53"/>
        <v>1111</v>
      </c>
      <c r="N1111" s="38">
        <f>HLOOKUP("Host",'vInfo (Imported)'!$1:$5000,M1111,FALSE)</f>
        <v>0</v>
      </c>
      <c r="R1111">
        <f>HLOOKUP("CPUs",'vInfo (Imported)'!$1:$5000,M1111,FALSE)</f>
        <v>0</v>
      </c>
      <c r="S1111">
        <f>HLOOKUP("Memory",'vInfo (Imported)'!$1:$5000,M1111,FALSE)</f>
        <v>0</v>
      </c>
      <c r="T1111">
        <f>HLOOKUP("Provisioned MiB",'vInfo (Imported)'!$1:$5000,M1111,FALSE)</f>
        <v>0</v>
      </c>
      <c r="U1111">
        <f t="shared" si="52"/>
        <v>0</v>
      </c>
      <c r="V1111">
        <f>HLOOKUP("In Use MiB",'vInfo (Imported)'!$1:$5000,M1111,FALSE)</f>
        <v>0</v>
      </c>
    </row>
    <row r="1112" spans="1:22" ht="13" x14ac:dyDescent="0.3">
      <c r="A1112" s="46">
        <f>'vHosts (Imported)'!A1112</f>
        <v>0</v>
      </c>
      <c r="B1112" s="51">
        <f t="shared" si="51"/>
        <v>4968</v>
      </c>
      <c r="C1112" s="49">
        <f>HLOOKUP("# Cores",'vHosts (Imported)'!$1:$5000,M1112,FALSE)</f>
        <v>0</v>
      </c>
      <c r="D1112" s="52">
        <f>HLOOKUP("# Memory",'vHosts (Imported)'!$1:$5000,M1112,FALSE)</f>
        <v>0</v>
      </c>
      <c r="M1112" s="45">
        <f t="shared" si="53"/>
        <v>1112</v>
      </c>
      <c r="N1112" s="38">
        <f>HLOOKUP("Host",'vInfo (Imported)'!$1:$5000,M1112,FALSE)</f>
        <v>0</v>
      </c>
      <c r="R1112">
        <f>HLOOKUP("CPUs",'vInfo (Imported)'!$1:$5000,M1112,FALSE)</f>
        <v>0</v>
      </c>
      <c r="S1112">
        <f>HLOOKUP("Memory",'vInfo (Imported)'!$1:$5000,M1112,FALSE)</f>
        <v>0</v>
      </c>
      <c r="T1112">
        <f>HLOOKUP("Provisioned MiB",'vInfo (Imported)'!$1:$5000,M1112,FALSE)</f>
        <v>0</v>
      </c>
      <c r="U1112">
        <f t="shared" si="52"/>
        <v>0</v>
      </c>
      <c r="V1112">
        <f>HLOOKUP("In Use MiB",'vInfo (Imported)'!$1:$5000,M1112,FALSE)</f>
        <v>0</v>
      </c>
    </row>
    <row r="1113" spans="1:22" ht="13" x14ac:dyDescent="0.3">
      <c r="A1113" s="46">
        <f>'vHosts (Imported)'!A1113</f>
        <v>0</v>
      </c>
      <c r="B1113" s="51">
        <f t="shared" si="51"/>
        <v>4968</v>
      </c>
      <c r="C1113" s="49">
        <f>HLOOKUP("# Cores",'vHosts (Imported)'!$1:$5000,M1113,FALSE)</f>
        <v>0</v>
      </c>
      <c r="D1113" s="52">
        <f>HLOOKUP("# Memory",'vHosts (Imported)'!$1:$5000,M1113,FALSE)</f>
        <v>0</v>
      </c>
      <c r="M1113" s="45">
        <f t="shared" si="53"/>
        <v>1113</v>
      </c>
      <c r="N1113" s="38">
        <f>HLOOKUP("Host",'vInfo (Imported)'!$1:$5000,M1113,FALSE)</f>
        <v>0</v>
      </c>
      <c r="R1113">
        <f>HLOOKUP("CPUs",'vInfo (Imported)'!$1:$5000,M1113,FALSE)</f>
        <v>0</v>
      </c>
      <c r="S1113">
        <f>HLOOKUP("Memory",'vInfo (Imported)'!$1:$5000,M1113,FALSE)</f>
        <v>0</v>
      </c>
      <c r="T1113">
        <f>HLOOKUP("Provisioned MiB",'vInfo (Imported)'!$1:$5000,M1113,FALSE)</f>
        <v>0</v>
      </c>
      <c r="U1113">
        <f t="shared" si="52"/>
        <v>0</v>
      </c>
      <c r="V1113">
        <f>HLOOKUP("In Use MiB",'vInfo (Imported)'!$1:$5000,M1113,FALSE)</f>
        <v>0</v>
      </c>
    </row>
    <row r="1114" spans="1:22" ht="13" x14ac:dyDescent="0.3">
      <c r="A1114" s="46">
        <f>'vHosts (Imported)'!A1114</f>
        <v>0</v>
      </c>
      <c r="B1114" s="51">
        <f t="shared" si="51"/>
        <v>4968</v>
      </c>
      <c r="C1114" s="49">
        <f>HLOOKUP("# Cores",'vHosts (Imported)'!$1:$5000,M1114,FALSE)</f>
        <v>0</v>
      </c>
      <c r="D1114" s="52">
        <f>HLOOKUP("# Memory",'vHosts (Imported)'!$1:$5000,M1114,FALSE)</f>
        <v>0</v>
      </c>
      <c r="M1114" s="45">
        <f t="shared" si="53"/>
        <v>1114</v>
      </c>
      <c r="N1114" s="38">
        <f>HLOOKUP("Host",'vInfo (Imported)'!$1:$5000,M1114,FALSE)</f>
        <v>0</v>
      </c>
      <c r="R1114">
        <f>HLOOKUP("CPUs",'vInfo (Imported)'!$1:$5000,M1114,FALSE)</f>
        <v>0</v>
      </c>
      <c r="S1114">
        <f>HLOOKUP("Memory",'vInfo (Imported)'!$1:$5000,M1114,FALSE)</f>
        <v>0</v>
      </c>
      <c r="T1114">
        <f>HLOOKUP("Provisioned MiB",'vInfo (Imported)'!$1:$5000,M1114,FALSE)</f>
        <v>0</v>
      </c>
      <c r="U1114">
        <f t="shared" si="52"/>
        <v>0</v>
      </c>
      <c r="V1114">
        <f>HLOOKUP("In Use MiB",'vInfo (Imported)'!$1:$5000,M1114,FALSE)</f>
        <v>0</v>
      </c>
    </row>
    <row r="1115" spans="1:22" ht="13" x14ac:dyDescent="0.3">
      <c r="A1115" s="46">
        <f>'vHosts (Imported)'!A1115</f>
        <v>0</v>
      </c>
      <c r="B1115" s="51">
        <f t="shared" si="51"/>
        <v>4968</v>
      </c>
      <c r="C1115" s="49">
        <f>HLOOKUP("# Cores",'vHosts (Imported)'!$1:$5000,M1115,FALSE)</f>
        <v>0</v>
      </c>
      <c r="D1115" s="52">
        <f>HLOOKUP("# Memory",'vHosts (Imported)'!$1:$5000,M1115,FALSE)</f>
        <v>0</v>
      </c>
      <c r="M1115" s="45">
        <f t="shared" si="53"/>
        <v>1115</v>
      </c>
      <c r="N1115" s="38">
        <f>HLOOKUP("Host",'vInfo (Imported)'!$1:$5000,M1115,FALSE)</f>
        <v>0</v>
      </c>
      <c r="R1115">
        <f>HLOOKUP("CPUs",'vInfo (Imported)'!$1:$5000,M1115,FALSE)</f>
        <v>0</v>
      </c>
      <c r="S1115">
        <f>HLOOKUP("Memory",'vInfo (Imported)'!$1:$5000,M1115,FALSE)</f>
        <v>0</v>
      </c>
      <c r="T1115">
        <f>HLOOKUP("Provisioned MiB",'vInfo (Imported)'!$1:$5000,M1115,FALSE)</f>
        <v>0</v>
      </c>
      <c r="U1115">
        <f t="shared" si="52"/>
        <v>0</v>
      </c>
      <c r="V1115">
        <f>HLOOKUP("In Use MiB",'vInfo (Imported)'!$1:$5000,M1115,FALSE)</f>
        <v>0</v>
      </c>
    </row>
    <row r="1116" spans="1:22" ht="13" x14ac:dyDescent="0.3">
      <c r="A1116" s="46">
        <f>'vHosts (Imported)'!A1116</f>
        <v>0</v>
      </c>
      <c r="B1116" s="51">
        <f t="shared" si="51"/>
        <v>4968</v>
      </c>
      <c r="C1116" s="49">
        <f>HLOOKUP("# Cores",'vHosts (Imported)'!$1:$5000,M1116,FALSE)</f>
        <v>0</v>
      </c>
      <c r="D1116" s="52">
        <f>HLOOKUP("# Memory",'vHosts (Imported)'!$1:$5000,M1116,FALSE)</f>
        <v>0</v>
      </c>
      <c r="M1116" s="45">
        <f t="shared" si="53"/>
        <v>1116</v>
      </c>
      <c r="N1116" s="38">
        <f>HLOOKUP("Host",'vInfo (Imported)'!$1:$5000,M1116,FALSE)</f>
        <v>0</v>
      </c>
      <c r="R1116">
        <f>HLOOKUP("CPUs",'vInfo (Imported)'!$1:$5000,M1116,FALSE)</f>
        <v>0</v>
      </c>
      <c r="S1116">
        <f>HLOOKUP("Memory",'vInfo (Imported)'!$1:$5000,M1116,FALSE)</f>
        <v>0</v>
      </c>
      <c r="T1116">
        <f>HLOOKUP("Provisioned MiB",'vInfo (Imported)'!$1:$5000,M1116,FALSE)</f>
        <v>0</v>
      </c>
      <c r="U1116">
        <f t="shared" si="52"/>
        <v>0</v>
      </c>
      <c r="V1116">
        <f>HLOOKUP("In Use MiB",'vInfo (Imported)'!$1:$5000,M1116,FALSE)</f>
        <v>0</v>
      </c>
    </row>
    <row r="1117" spans="1:22" ht="13" x14ac:dyDescent="0.3">
      <c r="A1117" s="46">
        <f>'vHosts (Imported)'!A1117</f>
        <v>0</v>
      </c>
      <c r="B1117" s="51">
        <f t="shared" si="51"/>
        <v>4968</v>
      </c>
      <c r="C1117" s="49">
        <f>HLOOKUP("# Cores",'vHosts (Imported)'!$1:$5000,M1117,FALSE)</f>
        <v>0</v>
      </c>
      <c r="D1117" s="52">
        <f>HLOOKUP("# Memory",'vHosts (Imported)'!$1:$5000,M1117,FALSE)</f>
        <v>0</v>
      </c>
      <c r="M1117" s="45">
        <f t="shared" si="53"/>
        <v>1117</v>
      </c>
      <c r="N1117" s="38">
        <f>HLOOKUP("Host",'vInfo (Imported)'!$1:$5000,M1117,FALSE)</f>
        <v>0</v>
      </c>
      <c r="R1117">
        <f>HLOOKUP("CPUs",'vInfo (Imported)'!$1:$5000,M1117,FALSE)</f>
        <v>0</v>
      </c>
      <c r="S1117">
        <f>HLOOKUP("Memory",'vInfo (Imported)'!$1:$5000,M1117,FALSE)</f>
        <v>0</v>
      </c>
      <c r="T1117">
        <f>HLOOKUP("Provisioned MiB",'vInfo (Imported)'!$1:$5000,M1117,FALSE)</f>
        <v>0</v>
      </c>
      <c r="U1117">
        <f t="shared" si="52"/>
        <v>0</v>
      </c>
      <c r="V1117">
        <f>HLOOKUP("In Use MiB",'vInfo (Imported)'!$1:$5000,M1117,FALSE)</f>
        <v>0</v>
      </c>
    </row>
    <row r="1118" spans="1:22" ht="13" x14ac:dyDescent="0.3">
      <c r="A1118" s="46">
        <f>'vHosts (Imported)'!A1118</f>
        <v>0</v>
      </c>
      <c r="B1118" s="51">
        <f t="shared" si="51"/>
        <v>4968</v>
      </c>
      <c r="C1118" s="49">
        <f>HLOOKUP("# Cores",'vHosts (Imported)'!$1:$5000,M1118,FALSE)</f>
        <v>0</v>
      </c>
      <c r="D1118" s="52">
        <f>HLOOKUP("# Memory",'vHosts (Imported)'!$1:$5000,M1118,FALSE)</f>
        <v>0</v>
      </c>
      <c r="M1118" s="45">
        <f t="shared" si="53"/>
        <v>1118</v>
      </c>
      <c r="N1118" s="38">
        <f>HLOOKUP("Host",'vInfo (Imported)'!$1:$5000,M1118,FALSE)</f>
        <v>0</v>
      </c>
      <c r="R1118">
        <f>HLOOKUP("CPUs",'vInfo (Imported)'!$1:$5000,M1118,FALSE)</f>
        <v>0</v>
      </c>
      <c r="S1118">
        <f>HLOOKUP("Memory",'vInfo (Imported)'!$1:$5000,M1118,FALSE)</f>
        <v>0</v>
      </c>
      <c r="T1118">
        <f>HLOOKUP("Provisioned MiB",'vInfo (Imported)'!$1:$5000,M1118,FALSE)</f>
        <v>0</v>
      </c>
      <c r="U1118">
        <f t="shared" si="52"/>
        <v>0</v>
      </c>
      <c r="V1118">
        <f>HLOOKUP("In Use MiB",'vInfo (Imported)'!$1:$5000,M1118,FALSE)</f>
        <v>0</v>
      </c>
    </row>
    <row r="1119" spans="1:22" ht="13" x14ac:dyDescent="0.3">
      <c r="A1119" s="46">
        <f>'vHosts (Imported)'!A1119</f>
        <v>0</v>
      </c>
      <c r="B1119" s="51">
        <f t="shared" si="51"/>
        <v>4968</v>
      </c>
      <c r="C1119" s="49">
        <f>HLOOKUP("# Cores",'vHosts (Imported)'!$1:$5000,M1119,FALSE)</f>
        <v>0</v>
      </c>
      <c r="D1119" s="52">
        <f>HLOOKUP("# Memory",'vHosts (Imported)'!$1:$5000,M1119,FALSE)</f>
        <v>0</v>
      </c>
      <c r="M1119" s="45">
        <f t="shared" si="53"/>
        <v>1119</v>
      </c>
      <c r="N1119" s="38">
        <f>HLOOKUP("Host",'vInfo (Imported)'!$1:$5000,M1119,FALSE)</f>
        <v>0</v>
      </c>
      <c r="R1119">
        <f>HLOOKUP("CPUs",'vInfo (Imported)'!$1:$5000,M1119,FALSE)</f>
        <v>0</v>
      </c>
      <c r="S1119">
        <f>HLOOKUP("Memory",'vInfo (Imported)'!$1:$5000,M1119,FALSE)</f>
        <v>0</v>
      </c>
      <c r="T1119">
        <f>HLOOKUP("Provisioned MiB",'vInfo (Imported)'!$1:$5000,M1119,FALSE)</f>
        <v>0</v>
      </c>
      <c r="U1119">
        <f t="shared" si="52"/>
        <v>0</v>
      </c>
      <c r="V1119">
        <f>HLOOKUP("In Use MiB",'vInfo (Imported)'!$1:$5000,M1119,FALSE)</f>
        <v>0</v>
      </c>
    </row>
    <row r="1120" spans="1:22" ht="13" x14ac:dyDescent="0.3">
      <c r="A1120" s="46">
        <f>'vHosts (Imported)'!A1120</f>
        <v>0</v>
      </c>
      <c r="B1120" s="51">
        <f t="shared" si="51"/>
        <v>4968</v>
      </c>
      <c r="C1120" s="49">
        <f>HLOOKUP("# Cores",'vHosts (Imported)'!$1:$5000,M1120,FALSE)</f>
        <v>0</v>
      </c>
      <c r="D1120" s="52">
        <f>HLOOKUP("# Memory",'vHosts (Imported)'!$1:$5000,M1120,FALSE)</f>
        <v>0</v>
      </c>
      <c r="M1120" s="45">
        <f t="shared" si="53"/>
        <v>1120</v>
      </c>
      <c r="N1120" s="38">
        <f>HLOOKUP("Host",'vInfo (Imported)'!$1:$5000,M1120,FALSE)</f>
        <v>0</v>
      </c>
      <c r="R1120">
        <f>HLOOKUP("CPUs",'vInfo (Imported)'!$1:$5000,M1120,FALSE)</f>
        <v>0</v>
      </c>
      <c r="S1120">
        <f>HLOOKUP("Memory",'vInfo (Imported)'!$1:$5000,M1120,FALSE)</f>
        <v>0</v>
      </c>
      <c r="T1120">
        <f>HLOOKUP("Provisioned MiB",'vInfo (Imported)'!$1:$5000,M1120,FALSE)</f>
        <v>0</v>
      </c>
      <c r="U1120">
        <f t="shared" si="52"/>
        <v>0</v>
      </c>
      <c r="V1120">
        <f>HLOOKUP("In Use MiB",'vInfo (Imported)'!$1:$5000,M1120,FALSE)</f>
        <v>0</v>
      </c>
    </row>
    <row r="1121" spans="1:22" ht="13" x14ac:dyDescent="0.3">
      <c r="A1121" s="46">
        <f>'vHosts (Imported)'!A1121</f>
        <v>0</v>
      </c>
      <c r="B1121" s="51">
        <f t="shared" si="51"/>
        <v>4968</v>
      </c>
      <c r="C1121" s="49">
        <f>HLOOKUP("# Cores",'vHosts (Imported)'!$1:$5000,M1121,FALSE)</f>
        <v>0</v>
      </c>
      <c r="D1121" s="52">
        <f>HLOOKUP("# Memory",'vHosts (Imported)'!$1:$5000,M1121,FALSE)</f>
        <v>0</v>
      </c>
      <c r="M1121" s="45">
        <f t="shared" si="53"/>
        <v>1121</v>
      </c>
      <c r="N1121" s="38">
        <f>HLOOKUP("Host",'vInfo (Imported)'!$1:$5000,M1121,FALSE)</f>
        <v>0</v>
      </c>
      <c r="R1121">
        <f>HLOOKUP("CPUs",'vInfo (Imported)'!$1:$5000,M1121,FALSE)</f>
        <v>0</v>
      </c>
      <c r="S1121">
        <f>HLOOKUP("Memory",'vInfo (Imported)'!$1:$5000,M1121,FALSE)</f>
        <v>0</v>
      </c>
      <c r="T1121">
        <f>HLOOKUP("Provisioned MiB",'vInfo (Imported)'!$1:$5000,M1121,FALSE)</f>
        <v>0</v>
      </c>
      <c r="U1121">
        <f t="shared" si="52"/>
        <v>0</v>
      </c>
      <c r="V1121">
        <f>HLOOKUP("In Use MiB",'vInfo (Imported)'!$1:$5000,M1121,FALSE)</f>
        <v>0</v>
      </c>
    </row>
    <row r="1122" spans="1:22" ht="13" x14ac:dyDescent="0.3">
      <c r="A1122" s="46">
        <f>'vHosts (Imported)'!A1122</f>
        <v>0</v>
      </c>
      <c r="B1122" s="51">
        <f t="shared" si="51"/>
        <v>4968</v>
      </c>
      <c r="C1122" s="49">
        <f>HLOOKUP("# Cores",'vHosts (Imported)'!$1:$5000,M1122,FALSE)</f>
        <v>0</v>
      </c>
      <c r="D1122" s="52">
        <f>HLOOKUP("# Memory",'vHosts (Imported)'!$1:$5000,M1122,FALSE)</f>
        <v>0</v>
      </c>
      <c r="M1122" s="45">
        <f t="shared" si="53"/>
        <v>1122</v>
      </c>
      <c r="N1122" s="38">
        <f>HLOOKUP("Host",'vInfo (Imported)'!$1:$5000,M1122,FALSE)</f>
        <v>0</v>
      </c>
      <c r="R1122">
        <f>HLOOKUP("CPUs",'vInfo (Imported)'!$1:$5000,M1122,FALSE)</f>
        <v>0</v>
      </c>
      <c r="S1122">
        <f>HLOOKUP("Memory",'vInfo (Imported)'!$1:$5000,M1122,FALSE)</f>
        <v>0</v>
      </c>
      <c r="T1122">
        <f>HLOOKUP("Provisioned MiB",'vInfo (Imported)'!$1:$5000,M1122,FALSE)</f>
        <v>0</v>
      </c>
      <c r="U1122">
        <f t="shared" si="52"/>
        <v>0</v>
      </c>
      <c r="V1122">
        <f>HLOOKUP("In Use MiB",'vInfo (Imported)'!$1:$5000,M1122,FALSE)</f>
        <v>0</v>
      </c>
    </row>
    <row r="1123" spans="1:22" ht="13" x14ac:dyDescent="0.3">
      <c r="A1123" s="46">
        <f>'vHosts (Imported)'!A1123</f>
        <v>0</v>
      </c>
      <c r="B1123" s="51">
        <f t="shared" si="51"/>
        <v>4968</v>
      </c>
      <c r="C1123" s="49">
        <f>HLOOKUP("# Cores",'vHosts (Imported)'!$1:$5000,M1123,FALSE)</f>
        <v>0</v>
      </c>
      <c r="D1123" s="52">
        <f>HLOOKUP("# Memory",'vHosts (Imported)'!$1:$5000,M1123,FALSE)</f>
        <v>0</v>
      </c>
      <c r="M1123" s="45">
        <f t="shared" si="53"/>
        <v>1123</v>
      </c>
      <c r="N1123" s="38">
        <f>HLOOKUP("Host",'vInfo (Imported)'!$1:$5000,M1123,FALSE)</f>
        <v>0</v>
      </c>
      <c r="R1123">
        <f>HLOOKUP("CPUs",'vInfo (Imported)'!$1:$5000,M1123,FALSE)</f>
        <v>0</v>
      </c>
      <c r="S1123">
        <f>HLOOKUP("Memory",'vInfo (Imported)'!$1:$5000,M1123,FALSE)</f>
        <v>0</v>
      </c>
      <c r="T1123">
        <f>HLOOKUP("Provisioned MiB",'vInfo (Imported)'!$1:$5000,M1123,FALSE)</f>
        <v>0</v>
      </c>
      <c r="U1123">
        <f t="shared" si="52"/>
        <v>0</v>
      </c>
      <c r="V1123">
        <f>HLOOKUP("In Use MiB",'vInfo (Imported)'!$1:$5000,M1123,FALSE)</f>
        <v>0</v>
      </c>
    </row>
    <row r="1124" spans="1:22" ht="13" x14ac:dyDescent="0.3">
      <c r="A1124" s="46">
        <f>'vHosts (Imported)'!A1124</f>
        <v>0</v>
      </c>
      <c r="B1124" s="51">
        <f t="shared" si="51"/>
        <v>4968</v>
      </c>
      <c r="C1124" s="49">
        <f>HLOOKUP("# Cores",'vHosts (Imported)'!$1:$5000,M1124,FALSE)</f>
        <v>0</v>
      </c>
      <c r="D1124" s="52">
        <f>HLOOKUP("# Memory",'vHosts (Imported)'!$1:$5000,M1124,FALSE)</f>
        <v>0</v>
      </c>
      <c r="M1124" s="45">
        <f t="shared" si="53"/>
        <v>1124</v>
      </c>
      <c r="N1124" s="38">
        <f>HLOOKUP("Host",'vInfo (Imported)'!$1:$5000,M1124,FALSE)</f>
        <v>0</v>
      </c>
      <c r="R1124">
        <f>HLOOKUP("CPUs",'vInfo (Imported)'!$1:$5000,M1124,FALSE)</f>
        <v>0</v>
      </c>
      <c r="S1124">
        <f>HLOOKUP("Memory",'vInfo (Imported)'!$1:$5000,M1124,FALSE)</f>
        <v>0</v>
      </c>
      <c r="T1124">
        <f>HLOOKUP("Provisioned MiB",'vInfo (Imported)'!$1:$5000,M1124,FALSE)</f>
        <v>0</v>
      </c>
      <c r="U1124">
        <f t="shared" si="52"/>
        <v>0</v>
      </c>
      <c r="V1124">
        <f>HLOOKUP("In Use MiB",'vInfo (Imported)'!$1:$5000,M1124,FALSE)</f>
        <v>0</v>
      </c>
    </row>
    <row r="1125" spans="1:22" ht="13" x14ac:dyDescent="0.3">
      <c r="A1125" s="46">
        <f>'vHosts (Imported)'!A1125</f>
        <v>0</v>
      </c>
      <c r="B1125" s="51">
        <f t="shared" si="51"/>
        <v>4968</v>
      </c>
      <c r="C1125" s="49">
        <f>HLOOKUP("# Cores",'vHosts (Imported)'!$1:$5000,M1125,FALSE)</f>
        <v>0</v>
      </c>
      <c r="D1125" s="52">
        <f>HLOOKUP("# Memory",'vHosts (Imported)'!$1:$5000,M1125,FALSE)</f>
        <v>0</v>
      </c>
      <c r="M1125" s="45">
        <f t="shared" si="53"/>
        <v>1125</v>
      </c>
      <c r="N1125" s="38">
        <f>HLOOKUP("Host",'vInfo (Imported)'!$1:$5000,M1125,FALSE)</f>
        <v>0</v>
      </c>
      <c r="R1125">
        <f>HLOOKUP("CPUs",'vInfo (Imported)'!$1:$5000,M1125,FALSE)</f>
        <v>0</v>
      </c>
      <c r="S1125">
        <f>HLOOKUP("Memory",'vInfo (Imported)'!$1:$5000,M1125,FALSE)</f>
        <v>0</v>
      </c>
      <c r="T1125">
        <f>HLOOKUP("Provisioned MiB",'vInfo (Imported)'!$1:$5000,M1125,FALSE)</f>
        <v>0</v>
      </c>
      <c r="U1125">
        <f t="shared" si="52"/>
        <v>0</v>
      </c>
      <c r="V1125">
        <f>HLOOKUP("In Use MiB",'vInfo (Imported)'!$1:$5000,M1125,FALSE)</f>
        <v>0</v>
      </c>
    </row>
    <row r="1126" spans="1:22" ht="13" x14ac:dyDescent="0.3">
      <c r="A1126" s="46">
        <f>'vHosts (Imported)'!A1126</f>
        <v>0</v>
      </c>
      <c r="B1126" s="51">
        <f t="shared" si="51"/>
        <v>4968</v>
      </c>
      <c r="C1126" s="49">
        <f>HLOOKUP("# Cores",'vHosts (Imported)'!$1:$5000,M1126,FALSE)</f>
        <v>0</v>
      </c>
      <c r="D1126" s="52">
        <f>HLOOKUP("# Memory",'vHosts (Imported)'!$1:$5000,M1126,FALSE)</f>
        <v>0</v>
      </c>
      <c r="M1126" s="45">
        <f t="shared" si="53"/>
        <v>1126</v>
      </c>
      <c r="N1126" s="38">
        <f>HLOOKUP("Host",'vInfo (Imported)'!$1:$5000,M1126,FALSE)</f>
        <v>0</v>
      </c>
      <c r="R1126">
        <f>HLOOKUP("CPUs",'vInfo (Imported)'!$1:$5000,M1126,FALSE)</f>
        <v>0</v>
      </c>
      <c r="S1126">
        <f>HLOOKUP("Memory",'vInfo (Imported)'!$1:$5000,M1126,FALSE)</f>
        <v>0</v>
      </c>
      <c r="T1126">
        <f>HLOOKUP("Provisioned MiB",'vInfo (Imported)'!$1:$5000,M1126,FALSE)</f>
        <v>0</v>
      </c>
      <c r="U1126">
        <f t="shared" si="52"/>
        <v>0</v>
      </c>
      <c r="V1126">
        <f>HLOOKUP("In Use MiB",'vInfo (Imported)'!$1:$5000,M1126,FALSE)</f>
        <v>0</v>
      </c>
    </row>
    <row r="1127" spans="1:22" ht="13" x14ac:dyDescent="0.3">
      <c r="A1127" s="46">
        <f>'vHosts (Imported)'!A1127</f>
        <v>0</v>
      </c>
      <c r="B1127" s="51">
        <f t="shared" si="51"/>
        <v>4968</v>
      </c>
      <c r="C1127" s="49">
        <f>HLOOKUP("# Cores",'vHosts (Imported)'!$1:$5000,M1127,FALSE)</f>
        <v>0</v>
      </c>
      <c r="D1127" s="52">
        <f>HLOOKUP("# Memory",'vHosts (Imported)'!$1:$5000,M1127,FALSE)</f>
        <v>0</v>
      </c>
      <c r="M1127" s="45">
        <f t="shared" si="53"/>
        <v>1127</v>
      </c>
      <c r="N1127" s="38">
        <f>HLOOKUP("Host",'vInfo (Imported)'!$1:$5000,M1127,FALSE)</f>
        <v>0</v>
      </c>
      <c r="R1127">
        <f>HLOOKUP("CPUs",'vInfo (Imported)'!$1:$5000,M1127,FALSE)</f>
        <v>0</v>
      </c>
      <c r="S1127">
        <f>HLOOKUP("Memory",'vInfo (Imported)'!$1:$5000,M1127,FALSE)</f>
        <v>0</v>
      </c>
      <c r="T1127">
        <f>HLOOKUP("Provisioned MiB",'vInfo (Imported)'!$1:$5000,M1127,FALSE)</f>
        <v>0</v>
      </c>
      <c r="U1127">
        <f t="shared" si="52"/>
        <v>0</v>
      </c>
      <c r="V1127">
        <f>HLOOKUP("In Use MiB",'vInfo (Imported)'!$1:$5000,M1127,FALSE)</f>
        <v>0</v>
      </c>
    </row>
    <row r="1128" spans="1:22" ht="13" x14ac:dyDescent="0.3">
      <c r="A1128" s="46">
        <f>'vHosts (Imported)'!A1128</f>
        <v>0</v>
      </c>
      <c r="B1128" s="51">
        <f t="shared" ref="B1128:B1191" si="54">COUNTIF(N:N,A1128)</f>
        <v>4968</v>
      </c>
      <c r="C1128" s="49">
        <f>HLOOKUP("# Cores",'vHosts (Imported)'!$1:$5000,M1128,FALSE)</f>
        <v>0</v>
      </c>
      <c r="D1128" s="52">
        <f>HLOOKUP("# Memory",'vHosts (Imported)'!$1:$5000,M1128,FALSE)</f>
        <v>0</v>
      </c>
      <c r="M1128" s="45">
        <f t="shared" si="53"/>
        <v>1128</v>
      </c>
      <c r="N1128" s="38">
        <f>HLOOKUP("Host",'vInfo (Imported)'!$1:$5000,M1128,FALSE)</f>
        <v>0</v>
      </c>
      <c r="R1128">
        <f>HLOOKUP("CPUs",'vInfo (Imported)'!$1:$5000,M1128,FALSE)</f>
        <v>0</v>
      </c>
      <c r="S1128">
        <f>HLOOKUP("Memory",'vInfo (Imported)'!$1:$5000,M1128,FALSE)</f>
        <v>0</v>
      </c>
      <c r="T1128">
        <f>HLOOKUP("Provisioned MiB",'vInfo (Imported)'!$1:$5000,M1128,FALSE)</f>
        <v>0</v>
      </c>
      <c r="U1128">
        <f t="shared" si="52"/>
        <v>0</v>
      </c>
      <c r="V1128">
        <f>HLOOKUP("In Use MiB",'vInfo (Imported)'!$1:$5000,M1128,FALSE)</f>
        <v>0</v>
      </c>
    </row>
    <row r="1129" spans="1:22" ht="13" x14ac:dyDescent="0.3">
      <c r="A1129" s="46">
        <f>'vHosts (Imported)'!A1129</f>
        <v>0</v>
      </c>
      <c r="B1129" s="51">
        <f t="shared" si="54"/>
        <v>4968</v>
      </c>
      <c r="C1129" s="49">
        <f>HLOOKUP("# Cores",'vHosts (Imported)'!$1:$5000,M1129,FALSE)</f>
        <v>0</v>
      </c>
      <c r="D1129" s="52">
        <f>HLOOKUP("# Memory",'vHosts (Imported)'!$1:$5000,M1129,FALSE)</f>
        <v>0</v>
      </c>
      <c r="M1129" s="45">
        <f t="shared" si="53"/>
        <v>1129</v>
      </c>
      <c r="N1129" s="38">
        <f>HLOOKUP("Host",'vInfo (Imported)'!$1:$5000,M1129,FALSE)</f>
        <v>0</v>
      </c>
      <c r="R1129">
        <f>HLOOKUP("CPUs",'vInfo (Imported)'!$1:$5000,M1129,FALSE)</f>
        <v>0</v>
      </c>
      <c r="S1129">
        <f>HLOOKUP("Memory",'vInfo (Imported)'!$1:$5000,M1129,FALSE)</f>
        <v>0</v>
      </c>
      <c r="T1129">
        <f>HLOOKUP("Provisioned MiB",'vInfo (Imported)'!$1:$5000,M1129,FALSE)</f>
        <v>0</v>
      </c>
      <c r="U1129">
        <f t="shared" si="52"/>
        <v>0</v>
      </c>
      <c r="V1129">
        <f>HLOOKUP("In Use MiB",'vInfo (Imported)'!$1:$5000,M1129,FALSE)</f>
        <v>0</v>
      </c>
    </row>
    <row r="1130" spans="1:22" ht="13" x14ac:dyDescent="0.3">
      <c r="A1130" s="46">
        <f>'vHosts (Imported)'!A1130</f>
        <v>0</v>
      </c>
      <c r="B1130" s="51">
        <f t="shared" si="54"/>
        <v>4968</v>
      </c>
      <c r="C1130" s="49">
        <f>HLOOKUP("# Cores",'vHosts (Imported)'!$1:$5000,M1130,FALSE)</f>
        <v>0</v>
      </c>
      <c r="D1130" s="52">
        <f>HLOOKUP("# Memory",'vHosts (Imported)'!$1:$5000,M1130,FALSE)</f>
        <v>0</v>
      </c>
      <c r="M1130" s="45">
        <f t="shared" si="53"/>
        <v>1130</v>
      </c>
      <c r="N1130" s="38">
        <f>HLOOKUP("Host",'vInfo (Imported)'!$1:$5000,M1130,FALSE)</f>
        <v>0</v>
      </c>
      <c r="R1130">
        <f>HLOOKUP("CPUs",'vInfo (Imported)'!$1:$5000,M1130,FALSE)</f>
        <v>0</v>
      </c>
      <c r="S1130">
        <f>HLOOKUP("Memory",'vInfo (Imported)'!$1:$5000,M1130,FALSE)</f>
        <v>0</v>
      </c>
      <c r="T1130">
        <f>HLOOKUP("Provisioned MiB",'vInfo (Imported)'!$1:$5000,M1130,FALSE)</f>
        <v>0</v>
      </c>
      <c r="U1130">
        <f t="shared" si="52"/>
        <v>0</v>
      </c>
      <c r="V1130">
        <f>HLOOKUP("In Use MiB",'vInfo (Imported)'!$1:$5000,M1130,FALSE)</f>
        <v>0</v>
      </c>
    </row>
    <row r="1131" spans="1:22" ht="13" x14ac:dyDescent="0.3">
      <c r="A1131" s="46">
        <f>'vHosts (Imported)'!A1131</f>
        <v>0</v>
      </c>
      <c r="B1131" s="51">
        <f t="shared" si="54"/>
        <v>4968</v>
      </c>
      <c r="C1131" s="49">
        <f>HLOOKUP("# Cores",'vHosts (Imported)'!$1:$5000,M1131,FALSE)</f>
        <v>0</v>
      </c>
      <c r="D1131" s="52">
        <f>HLOOKUP("# Memory",'vHosts (Imported)'!$1:$5000,M1131,FALSE)</f>
        <v>0</v>
      </c>
      <c r="M1131" s="45">
        <f t="shared" si="53"/>
        <v>1131</v>
      </c>
      <c r="N1131" s="38">
        <f>HLOOKUP("Host",'vInfo (Imported)'!$1:$5000,M1131,FALSE)</f>
        <v>0</v>
      </c>
      <c r="R1131">
        <f>HLOOKUP("CPUs",'vInfo (Imported)'!$1:$5000,M1131,FALSE)</f>
        <v>0</v>
      </c>
      <c r="S1131">
        <f>HLOOKUP("Memory",'vInfo (Imported)'!$1:$5000,M1131,FALSE)</f>
        <v>0</v>
      </c>
      <c r="T1131">
        <f>HLOOKUP("Provisioned MiB",'vInfo (Imported)'!$1:$5000,M1131,FALSE)</f>
        <v>0</v>
      </c>
      <c r="U1131">
        <f t="shared" si="52"/>
        <v>0</v>
      </c>
      <c r="V1131">
        <f>HLOOKUP("In Use MiB",'vInfo (Imported)'!$1:$5000,M1131,FALSE)</f>
        <v>0</v>
      </c>
    </row>
    <row r="1132" spans="1:22" ht="13" x14ac:dyDescent="0.3">
      <c r="A1132" s="46">
        <f>'vHosts (Imported)'!A1132</f>
        <v>0</v>
      </c>
      <c r="B1132" s="51">
        <f t="shared" si="54"/>
        <v>4968</v>
      </c>
      <c r="C1132" s="49">
        <f>HLOOKUP("# Cores",'vHosts (Imported)'!$1:$5000,M1132,FALSE)</f>
        <v>0</v>
      </c>
      <c r="D1132" s="52">
        <f>HLOOKUP("# Memory",'vHosts (Imported)'!$1:$5000,M1132,FALSE)</f>
        <v>0</v>
      </c>
      <c r="M1132" s="45">
        <f t="shared" si="53"/>
        <v>1132</v>
      </c>
      <c r="N1132" s="38">
        <f>HLOOKUP("Host",'vInfo (Imported)'!$1:$5000,M1132,FALSE)</f>
        <v>0</v>
      </c>
      <c r="R1132">
        <f>HLOOKUP("CPUs",'vInfo (Imported)'!$1:$5000,M1132,FALSE)</f>
        <v>0</v>
      </c>
      <c r="S1132">
        <f>HLOOKUP("Memory",'vInfo (Imported)'!$1:$5000,M1132,FALSE)</f>
        <v>0</v>
      </c>
      <c r="T1132">
        <f>HLOOKUP("Provisioned MiB",'vInfo (Imported)'!$1:$5000,M1132,FALSE)</f>
        <v>0</v>
      </c>
      <c r="U1132">
        <f t="shared" si="52"/>
        <v>0</v>
      </c>
      <c r="V1132">
        <f>HLOOKUP("In Use MiB",'vInfo (Imported)'!$1:$5000,M1132,FALSE)</f>
        <v>0</v>
      </c>
    </row>
    <row r="1133" spans="1:22" ht="13" x14ac:dyDescent="0.3">
      <c r="A1133" s="46">
        <f>'vHosts (Imported)'!A1133</f>
        <v>0</v>
      </c>
      <c r="B1133" s="51">
        <f t="shared" si="54"/>
        <v>4968</v>
      </c>
      <c r="C1133" s="49">
        <f>HLOOKUP("# Cores",'vHosts (Imported)'!$1:$5000,M1133,FALSE)</f>
        <v>0</v>
      </c>
      <c r="D1133" s="52">
        <f>HLOOKUP("# Memory",'vHosts (Imported)'!$1:$5000,M1133,FALSE)</f>
        <v>0</v>
      </c>
      <c r="M1133" s="45">
        <f t="shared" si="53"/>
        <v>1133</v>
      </c>
      <c r="N1133" s="38">
        <f>HLOOKUP("Host",'vInfo (Imported)'!$1:$5000,M1133,FALSE)</f>
        <v>0</v>
      </c>
      <c r="R1133">
        <f>HLOOKUP("CPUs",'vInfo (Imported)'!$1:$5000,M1133,FALSE)</f>
        <v>0</v>
      </c>
      <c r="S1133">
        <f>HLOOKUP("Memory",'vInfo (Imported)'!$1:$5000,M1133,FALSE)</f>
        <v>0</v>
      </c>
      <c r="T1133">
        <f>HLOOKUP("Provisioned MiB",'vInfo (Imported)'!$1:$5000,M1133,FALSE)</f>
        <v>0</v>
      </c>
      <c r="U1133">
        <f t="shared" si="52"/>
        <v>0</v>
      </c>
      <c r="V1133">
        <f>HLOOKUP("In Use MiB",'vInfo (Imported)'!$1:$5000,M1133,FALSE)</f>
        <v>0</v>
      </c>
    </row>
    <row r="1134" spans="1:22" ht="13" x14ac:dyDescent="0.3">
      <c r="A1134" s="46">
        <f>'vHosts (Imported)'!A1134</f>
        <v>0</v>
      </c>
      <c r="B1134" s="51">
        <f t="shared" si="54"/>
        <v>4968</v>
      </c>
      <c r="C1134" s="49">
        <f>HLOOKUP("# Cores",'vHosts (Imported)'!$1:$5000,M1134,FALSE)</f>
        <v>0</v>
      </c>
      <c r="D1134" s="52">
        <f>HLOOKUP("# Memory",'vHosts (Imported)'!$1:$5000,M1134,FALSE)</f>
        <v>0</v>
      </c>
      <c r="M1134" s="45">
        <f t="shared" si="53"/>
        <v>1134</v>
      </c>
      <c r="N1134" s="38">
        <f>HLOOKUP("Host",'vInfo (Imported)'!$1:$5000,M1134,FALSE)</f>
        <v>0</v>
      </c>
      <c r="R1134">
        <f>HLOOKUP("CPUs",'vInfo (Imported)'!$1:$5000,M1134,FALSE)</f>
        <v>0</v>
      </c>
      <c r="S1134">
        <f>HLOOKUP("Memory",'vInfo (Imported)'!$1:$5000,M1134,FALSE)</f>
        <v>0</v>
      </c>
      <c r="T1134">
        <f>HLOOKUP("Provisioned MiB",'vInfo (Imported)'!$1:$5000,M1134,FALSE)</f>
        <v>0</v>
      </c>
      <c r="U1134">
        <f t="shared" si="52"/>
        <v>0</v>
      </c>
      <c r="V1134">
        <f>HLOOKUP("In Use MiB",'vInfo (Imported)'!$1:$5000,M1134,FALSE)</f>
        <v>0</v>
      </c>
    </row>
    <row r="1135" spans="1:22" ht="13" x14ac:dyDescent="0.3">
      <c r="A1135" s="46">
        <f>'vHosts (Imported)'!A1135</f>
        <v>0</v>
      </c>
      <c r="B1135" s="51">
        <f t="shared" si="54"/>
        <v>4968</v>
      </c>
      <c r="C1135" s="49">
        <f>HLOOKUP("# Cores",'vHosts (Imported)'!$1:$5000,M1135,FALSE)</f>
        <v>0</v>
      </c>
      <c r="D1135" s="52">
        <f>HLOOKUP("# Memory",'vHosts (Imported)'!$1:$5000,M1135,FALSE)</f>
        <v>0</v>
      </c>
      <c r="M1135" s="45">
        <f t="shared" si="53"/>
        <v>1135</v>
      </c>
      <c r="N1135" s="38">
        <f>HLOOKUP("Host",'vInfo (Imported)'!$1:$5000,M1135,FALSE)</f>
        <v>0</v>
      </c>
      <c r="R1135">
        <f>HLOOKUP("CPUs",'vInfo (Imported)'!$1:$5000,M1135,FALSE)</f>
        <v>0</v>
      </c>
      <c r="S1135">
        <f>HLOOKUP("Memory",'vInfo (Imported)'!$1:$5000,M1135,FALSE)</f>
        <v>0</v>
      </c>
      <c r="T1135">
        <f>HLOOKUP("Provisioned MiB",'vInfo (Imported)'!$1:$5000,M1135,FALSE)</f>
        <v>0</v>
      </c>
      <c r="U1135">
        <f t="shared" si="52"/>
        <v>0</v>
      </c>
      <c r="V1135">
        <f>HLOOKUP("In Use MiB",'vInfo (Imported)'!$1:$5000,M1135,FALSE)</f>
        <v>0</v>
      </c>
    </row>
    <row r="1136" spans="1:22" ht="13" x14ac:dyDescent="0.3">
      <c r="A1136" s="46">
        <f>'vHosts (Imported)'!A1136</f>
        <v>0</v>
      </c>
      <c r="B1136" s="51">
        <f t="shared" si="54"/>
        <v>4968</v>
      </c>
      <c r="C1136" s="49">
        <f>HLOOKUP("# Cores",'vHosts (Imported)'!$1:$5000,M1136,FALSE)</f>
        <v>0</v>
      </c>
      <c r="D1136" s="52">
        <f>HLOOKUP("# Memory",'vHosts (Imported)'!$1:$5000,M1136,FALSE)</f>
        <v>0</v>
      </c>
      <c r="M1136" s="45">
        <f t="shared" si="53"/>
        <v>1136</v>
      </c>
      <c r="N1136" s="38">
        <f>HLOOKUP("Host",'vInfo (Imported)'!$1:$5000,M1136,FALSE)</f>
        <v>0</v>
      </c>
      <c r="R1136">
        <f>HLOOKUP("CPUs",'vInfo (Imported)'!$1:$5000,M1136,FALSE)</f>
        <v>0</v>
      </c>
      <c r="S1136">
        <f>HLOOKUP("Memory",'vInfo (Imported)'!$1:$5000,M1136,FALSE)</f>
        <v>0</v>
      </c>
      <c r="T1136">
        <f>HLOOKUP("Provisioned MiB",'vInfo (Imported)'!$1:$5000,M1136,FALSE)</f>
        <v>0</v>
      </c>
      <c r="U1136">
        <f t="shared" si="52"/>
        <v>0</v>
      </c>
      <c r="V1136">
        <f>HLOOKUP("In Use MiB",'vInfo (Imported)'!$1:$5000,M1136,FALSE)</f>
        <v>0</v>
      </c>
    </row>
    <row r="1137" spans="1:22" ht="13" x14ac:dyDescent="0.3">
      <c r="A1137" s="46">
        <f>'vHosts (Imported)'!A1137</f>
        <v>0</v>
      </c>
      <c r="B1137" s="51">
        <f t="shared" si="54"/>
        <v>4968</v>
      </c>
      <c r="C1137" s="49">
        <f>HLOOKUP("# Cores",'vHosts (Imported)'!$1:$5000,M1137,FALSE)</f>
        <v>0</v>
      </c>
      <c r="D1137" s="52">
        <f>HLOOKUP("# Memory",'vHosts (Imported)'!$1:$5000,M1137,FALSE)</f>
        <v>0</v>
      </c>
      <c r="M1137" s="45">
        <f t="shared" si="53"/>
        <v>1137</v>
      </c>
      <c r="N1137" s="38">
        <f>HLOOKUP("Host",'vInfo (Imported)'!$1:$5000,M1137,FALSE)</f>
        <v>0</v>
      </c>
      <c r="R1137">
        <f>HLOOKUP("CPUs",'vInfo (Imported)'!$1:$5000,M1137,FALSE)</f>
        <v>0</v>
      </c>
      <c r="S1137">
        <f>HLOOKUP("Memory",'vInfo (Imported)'!$1:$5000,M1137,FALSE)</f>
        <v>0</v>
      </c>
      <c r="T1137">
        <f>HLOOKUP("Provisioned MiB",'vInfo (Imported)'!$1:$5000,M1137,FALSE)</f>
        <v>0</v>
      </c>
      <c r="U1137">
        <f t="shared" si="52"/>
        <v>0</v>
      </c>
      <c r="V1137">
        <f>HLOOKUP("In Use MiB",'vInfo (Imported)'!$1:$5000,M1137,FALSE)</f>
        <v>0</v>
      </c>
    </row>
    <row r="1138" spans="1:22" ht="13" x14ac:dyDescent="0.3">
      <c r="A1138" s="46">
        <f>'vHosts (Imported)'!A1138</f>
        <v>0</v>
      </c>
      <c r="B1138" s="51">
        <f t="shared" si="54"/>
        <v>4968</v>
      </c>
      <c r="C1138" s="49">
        <f>HLOOKUP("# Cores",'vHosts (Imported)'!$1:$5000,M1138,FALSE)</f>
        <v>0</v>
      </c>
      <c r="D1138" s="52">
        <f>HLOOKUP("# Memory",'vHosts (Imported)'!$1:$5000,M1138,FALSE)</f>
        <v>0</v>
      </c>
      <c r="M1138" s="45">
        <f t="shared" si="53"/>
        <v>1138</v>
      </c>
      <c r="N1138" s="38">
        <f>HLOOKUP("Host",'vInfo (Imported)'!$1:$5000,M1138,FALSE)</f>
        <v>0</v>
      </c>
      <c r="R1138">
        <f>HLOOKUP("CPUs",'vInfo (Imported)'!$1:$5000,M1138,FALSE)</f>
        <v>0</v>
      </c>
      <c r="S1138">
        <f>HLOOKUP("Memory",'vInfo (Imported)'!$1:$5000,M1138,FALSE)</f>
        <v>0</v>
      </c>
      <c r="T1138">
        <f>HLOOKUP("Provisioned MiB",'vInfo (Imported)'!$1:$5000,M1138,FALSE)</f>
        <v>0</v>
      </c>
      <c r="U1138">
        <f t="shared" si="52"/>
        <v>0</v>
      </c>
      <c r="V1138">
        <f>HLOOKUP("In Use MiB",'vInfo (Imported)'!$1:$5000,M1138,FALSE)</f>
        <v>0</v>
      </c>
    </row>
    <row r="1139" spans="1:22" ht="13" x14ac:dyDescent="0.3">
      <c r="A1139" s="46">
        <f>'vHosts (Imported)'!A1139</f>
        <v>0</v>
      </c>
      <c r="B1139" s="51">
        <f t="shared" si="54"/>
        <v>4968</v>
      </c>
      <c r="C1139" s="49">
        <f>HLOOKUP("# Cores",'vHosts (Imported)'!$1:$5000,M1139,FALSE)</f>
        <v>0</v>
      </c>
      <c r="D1139" s="52">
        <f>HLOOKUP("# Memory",'vHosts (Imported)'!$1:$5000,M1139,FALSE)</f>
        <v>0</v>
      </c>
      <c r="M1139" s="45">
        <f t="shared" si="53"/>
        <v>1139</v>
      </c>
      <c r="N1139" s="38">
        <f>HLOOKUP("Host",'vInfo (Imported)'!$1:$5000,M1139,FALSE)</f>
        <v>0</v>
      </c>
      <c r="R1139">
        <f>HLOOKUP("CPUs",'vInfo (Imported)'!$1:$5000,M1139,FALSE)</f>
        <v>0</v>
      </c>
      <c r="S1139">
        <f>HLOOKUP("Memory",'vInfo (Imported)'!$1:$5000,M1139,FALSE)</f>
        <v>0</v>
      </c>
      <c r="T1139">
        <f>HLOOKUP("Provisioned MiB",'vInfo (Imported)'!$1:$5000,M1139,FALSE)</f>
        <v>0</v>
      </c>
      <c r="U1139">
        <f t="shared" si="52"/>
        <v>0</v>
      </c>
      <c r="V1139">
        <f>HLOOKUP("In Use MiB",'vInfo (Imported)'!$1:$5000,M1139,FALSE)</f>
        <v>0</v>
      </c>
    </row>
    <row r="1140" spans="1:22" ht="13" x14ac:dyDescent="0.3">
      <c r="A1140" s="46">
        <f>'vHosts (Imported)'!A1140</f>
        <v>0</v>
      </c>
      <c r="B1140" s="51">
        <f t="shared" si="54"/>
        <v>4968</v>
      </c>
      <c r="C1140" s="49">
        <f>HLOOKUP("# Cores",'vHosts (Imported)'!$1:$5000,M1140,FALSE)</f>
        <v>0</v>
      </c>
      <c r="D1140" s="52">
        <f>HLOOKUP("# Memory",'vHosts (Imported)'!$1:$5000,M1140,FALSE)</f>
        <v>0</v>
      </c>
      <c r="M1140" s="45">
        <f t="shared" si="53"/>
        <v>1140</v>
      </c>
      <c r="N1140" s="38">
        <f>HLOOKUP("Host",'vInfo (Imported)'!$1:$5000,M1140,FALSE)</f>
        <v>0</v>
      </c>
      <c r="R1140">
        <f>HLOOKUP("CPUs",'vInfo (Imported)'!$1:$5000,M1140,FALSE)</f>
        <v>0</v>
      </c>
      <c r="S1140">
        <f>HLOOKUP("Memory",'vInfo (Imported)'!$1:$5000,M1140,FALSE)</f>
        <v>0</v>
      </c>
      <c r="T1140">
        <f>HLOOKUP("Provisioned MiB",'vInfo (Imported)'!$1:$5000,M1140,FALSE)</f>
        <v>0</v>
      </c>
      <c r="U1140">
        <f t="shared" si="52"/>
        <v>0</v>
      </c>
      <c r="V1140">
        <f>HLOOKUP("In Use MiB",'vInfo (Imported)'!$1:$5000,M1140,FALSE)</f>
        <v>0</v>
      </c>
    </row>
    <row r="1141" spans="1:22" ht="13" x14ac:dyDescent="0.3">
      <c r="A1141" s="46">
        <f>'vHosts (Imported)'!A1141</f>
        <v>0</v>
      </c>
      <c r="B1141" s="51">
        <f t="shared" si="54"/>
        <v>4968</v>
      </c>
      <c r="C1141" s="49">
        <f>HLOOKUP("# Cores",'vHosts (Imported)'!$1:$5000,M1141,FALSE)</f>
        <v>0</v>
      </c>
      <c r="D1141" s="52">
        <f>HLOOKUP("# Memory",'vHosts (Imported)'!$1:$5000,M1141,FALSE)</f>
        <v>0</v>
      </c>
      <c r="M1141" s="45">
        <f t="shared" si="53"/>
        <v>1141</v>
      </c>
      <c r="N1141" s="38">
        <f>HLOOKUP("Host",'vInfo (Imported)'!$1:$5000,M1141,FALSE)</f>
        <v>0</v>
      </c>
      <c r="R1141">
        <f>HLOOKUP("CPUs",'vInfo (Imported)'!$1:$5000,M1141,FALSE)</f>
        <v>0</v>
      </c>
      <c r="S1141">
        <f>HLOOKUP("Memory",'vInfo (Imported)'!$1:$5000,M1141,FALSE)</f>
        <v>0</v>
      </c>
      <c r="T1141">
        <f>HLOOKUP("Provisioned MiB",'vInfo (Imported)'!$1:$5000,M1141,FALSE)</f>
        <v>0</v>
      </c>
      <c r="U1141">
        <f t="shared" si="52"/>
        <v>0</v>
      </c>
      <c r="V1141">
        <f>HLOOKUP("In Use MiB",'vInfo (Imported)'!$1:$5000,M1141,FALSE)</f>
        <v>0</v>
      </c>
    </row>
    <row r="1142" spans="1:22" ht="13" x14ac:dyDescent="0.3">
      <c r="A1142" s="46">
        <f>'vHosts (Imported)'!A1142</f>
        <v>0</v>
      </c>
      <c r="B1142" s="51">
        <f t="shared" si="54"/>
        <v>4968</v>
      </c>
      <c r="C1142" s="49">
        <f>HLOOKUP("# Cores",'vHosts (Imported)'!$1:$5000,M1142,FALSE)</f>
        <v>0</v>
      </c>
      <c r="D1142" s="52">
        <f>HLOOKUP("# Memory",'vHosts (Imported)'!$1:$5000,M1142,FALSE)</f>
        <v>0</v>
      </c>
      <c r="M1142" s="45">
        <f t="shared" si="53"/>
        <v>1142</v>
      </c>
      <c r="N1142" s="38">
        <f>HLOOKUP("Host",'vInfo (Imported)'!$1:$5000,M1142,FALSE)</f>
        <v>0</v>
      </c>
      <c r="R1142">
        <f>HLOOKUP("CPUs",'vInfo (Imported)'!$1:$5000,M1142,FALSE)</f>
        <v>0</v>
      </c>
      <c r="S1142">
        <f>HLOOKUP("Memory",'vInfo (Imported)'!$1:$5000,M1142,FALSE)</f>
        <v>0</v>
      </c>
      <c r="T1142">
        <f>HLOOKUP("Provisioned MiB",'vInfo (Imported)'!$1:$5000,M1142,FALSE)</f>
        <v>0</v>
      </c>
      <c r="U1142">
        <f t="shared" si="52"/>
        <v>0</v>
      </c>
      <c r="V1142">
        <f>HLOOKUP("In Use MiB",'vInfo (Imported)'!$1:$5000,M1142,FALSE)</f>
        <v>0</v>
      </c>
    </row>
    <row r="1143" spans="1:22" ht="13" x14ac:dyDescent="0.3">
      <c r="A1143" s="46">
        <f>'vHosts (Imported)'!A1143</f>
        <v>0</v>
      </c>
      <c r="B1143" s="51">
        <f t="shared" si="54"/>
        <v>4968</v>
      </c>
      <c r="C1143" s="49">
        <f>HLOOKUP("# Cores",'vHosts (Imported)'!$1:$5000,M1143,FALSE)</f>
        <v>0</v>
      </c>
      <c r="D1143" s="52">
        <f>HLOOKUP("# Memory",'vHosts (Imported)'!$1:$5000,M1143,FALSE)</f>
        <v>0</v>
      </c>
      <c r="M1143" s="45">
        <f t="shared" si="53"/>
        <v>1143</v>
      </c>
      <c r="N1143" s="38">
        <f>HLOOKUP("Host",'vInfo (Imported)'!$1:$5000,M1143,FALSE)</f>
        <v>0</v>
      </c>
      <c r="R1143">
        <f>HLOOKUP("CPUs",'vInfo (Imported)'!$1:$5000,M1143,FALSE)</f>
        <v>0</v>
      </c>
      <c r="S1143">
        <f>HLOOKUP("Memory",'vInfo (Imported)'!$1:$5000,M1143,FALSE)</f>
        <v>0</v>
      </c>
      <c r="T1143">
        <f>HLOOKUP("Provisioned MiB",'vInfo (Imported)'!$1:$5000,M1143,FALSE)</f>
        <v>0</v>
      </c>
      <c r="U1143">
        <f t="shared" si="52"/>
        <v>0</v>
      </c>
      <c r="V1143">
        <f>HLOOKUP("In Use MiB",'vInfo (Imported)'!$1:$5000,M1143,FALSE)</f>
        <v>0</v>
      </c>
    </row>
    <row r="1144" spans="1:22" ht="13" x14ac:dyDescent="0.3">
      <c r="A1144" s="46">
        <f>'vHosts (Imported)'!A1144</f>
        <v>0</v>
      </c>
      <c r="B1144" s="51">
        <f t="shared" si="54"/>
        <v>4968</v>
      </c>
      <c r="C1144" s="49">
        <f>HLOOKUP("# Cores",'vHosts (Imported)'!$1:$5000,M1144,FALSE)</f>
        <v>0</v>
      </c>
      <c r="D1144" s="52">
        <f>HLOOKUP("# Memory",'vHosts (Imported)'!$1:$5000,M1144,FALSE)</f>
        <v>0</v>
      </c>
      <c r="M1144" s="45">
        <f t="shared" si="53"/>
        <v>1144</v>
      </c>
      <c r="N1144" s="38">
        <f>HLOOKUP("Host",'vInfo (Imported)'!$1:$5000,M1144,FALSE)</f>
        <v>0</v>
      </c>
      <c r="R1144">
        <f>HLOOKUP("CPUs",'vInfo (Imported)'!$1:$5000,M1144,FALSE)</f>
        <v>0</v>
      </c>
      <c r="S1144">
        <f>HLOOKUP("Memory",'vInfo (Imported)'!$1:$5000,M1144,FALSE)</f>
        <v>0</v>
      </c>
      <c r="T1144">
        <f>HLOOKUP("Provisioned MiB",'vInfo (Imported)'!$1:$5000,M1144,FALSE)</f>
        <v>0</v>
      </c>
      <c r="U1144">
        <f t="shared" si="52"/>
        <v>0</v>
      </c>
      <c r="V1144">
        <f>HLOOKUP("In Use MiB",'vInfo (Imported)'!$1:$5000,M1144,FALSE)</f>
        <v>0</v>
      </c>
    </row>
    <row r="1145" spans="1:22" ht="13" x14ac:dyDescent="0.3">
      <c r="A1145" s="46">
        <f>'vHosts (Imported)'!A1145</f>
        <v>0</v>
      </c>
      <c r="B1145" s="51">
        <f t="shared" si="54"/>
        <v>4968</v>
      </c>
      <c r="C1145" s="49">
        <f>HLOOKUP("# Cores",'vHosts (Imported)'!$1:$5000,M1145,FALSE)</f>
        <v>0</v>
      </c>
      <c r="D1145" s="52">
        <f>HLOOKUP("# Memory",'vHosts (Imported)'!$1:$5000,M1145,FALSE)</f>
        <v>0</v>
      </c>
      <c r="M1145" s="45">
        <f t="shared" si="53"/>
        <v>1145</v>
      </c>
      <c r="N1145" s="38">
        <f>HLOOKUP("Host",'vInfo (Imported)'!$1:$5000,M1145,FALSE)</f>
        <v>0</v>
      </c>
      <c r="R1145">
        <f>HLOOKUP("CPUs",'vInfo (Imported)'!$1:$5000,M1145,FALSE)</f>
        <v>0</v>
      </c>
      <c r="S1145">
        <f>HLOOKUP("Memory",'vInfo (Imported)'!$1:$5000,M1145,FALSE)</f>
        <v>0</v>
      </c>
      <c r="T1145">
        <f>HLOOKUP("Provisioned MiB",'vInfo (Imported)'!$1:$5000,M1145,FALSE)</f>
        <v>0</v>
      </c>
      <c r="U1145">
        <f t="shared" si="52"/>
        <v>0</v>
      </c>
      <c r="V1145">
        <f>HLOOKUP("In Use MiB",'vInfo (Imported)'!$1:$5000,M1145,FALSE)</f>
        <v>0</v>
      </c>
    </row>
    <row r="1146" spans="1:22" ht="13" x14ac:dyDescent="0.3">
      <c r="A1146" s="46">
        <f>'vHosts (Imported)'!A1146</f>
        <v>0</v>
      </c>
      <c r="B1146" s="51">
        <f t="shared" si="54"/>
        <v>4968</v>
      </c>
      <c r="C1146" s="49">
        <f>HLOOKUP("# Cores",'vHosts (Imported)'!$1:$5000,M1146,FALSE)</f>
        <v>0</v>
      </c>
      <c r="D1146" s="52">
        <f>HLOOKUP("# Memory",'vHosts (Imported)'!$1:$5000,M1146,FALSE)</f>
        <v>0</v>
      </c>
      <c r="M1146" s="45">
        <f t="shared" si="53"/>
        <v>1146</v>
      </c>
      <c r="N1146" s="38">
        <f>HLOOKUP("Host",'vInfo (Imported)'!$1:$5000,M1146,FALSE)</f>
        <v>0</v>
      </c>
      <c r="R1146">
        <f>HLOOKUP("CPUs",'vInfo (Imported)'!$1:$5000,M1146,FALSE)</f>
        <v>0</v>
      </c>
      <c r="S1146">
        <f>HLOOKUP("Memory",'vInfo (Imported)'!$1:$5000,M1146,FALSE)</f>
        <v>0</v>
      </c>
      <c r="T1146">
        <f>HLOOKUP("Provisioned MiB",'vInfo (Imported)'!$1:$5000,M1146,FALSE)</f>
        <v>0</v>
      </c>
      <c r="U1146">
        <f t="shared" si="52"/>
        <v>0</v>
      </c>
      <c r="V1146">
        <f>HLOOKUP("In Use MiB",'vInfo (Imported)'!$1:$5000,M1146,FALSE)</f>
        <v>0</v>
      </c>
    </row>
    <row r="1147" spans="1:22" ht="13" x14ac:dyDescent="0.3">
      <c r="A1147" s="46">
        <f>'vHosts (Imported)'!A1147</f>
        <v>0</v>
      </c>
      <c r="B1147" s="51">
        <f t="shared" si="54"/>
        <v>4968</v>
      </c>
      <c r="C1147" s="49">
        <f>HLOOKUP("# Cores",'vHosts (Imported)'!$1:$5000,M1147,FALSE)</f>
        <v>0</v>
      </c>
      <c r="D1147" s="52">
        <f>HLOOKUP("# Memory",'vHosts (Imported)'!$1:$5000,M1147,FALSE)</f>
        <v>0</v>
      </c>
      <c r="M1147" s="45">
        <f t="shared" si="53"/>
        <v>1147</v>
      </c>
      <c r="N1147" s="38">
        <f>HLOOKUP("Host",'vInfo (Imported)'!$1:$5000,M1147,FALSE)</f>
        <v>0</v>
      </c>
      <c r="R1147">
        <f>HLOOKUP("CPUs",'vInfo (Imported)'!$1:$5000,M1147,FALSE)</f>
        <v>0</v>
      </c>
      <c r="S1147">
        <f>HLOOKUP("Memory",'vInfo (Imported)'!$1:$5000,M1147,FALSE)</f>
        <v>0</v>
      </c>
      <c r="T1147">
        <f>HLOOKUP("Provisioned MiB",'vInfo (Imported)'!$1:$5000,M1147,FALSE)</f>
        <v>0</v>
      </c>
      <c r="U1147">
        <f t="shared" si="52"/>
        <v>0</v>
      </c>
      <c r="V1147">
        <f>HLOOKUP("In Use MiB",'vInfo (Imported)'!$1:$5000,M1147,FALSE)</f>
        <v>0</v>
      </c>
    </row>
    <row r="1148" spans="1:22" ht="13" x14ac:dyDescent="0.3">
      <c r="A1148" s="46">
        <f>'vHosts (Imported)'!A1148</f>
        <v>0</v>
      </c>
      <c r="B1148" s="51">
        <f t="shared" si="54"/>
        <v>4968</v>
      </c>
      <c r="C1148" s="49">
        <f>HLOOKUP("# Cores",'vHosts (Imported)'!$1:$5000,M1148,FALSE)</f>
        <v>0</v>
      </c>
      <c r="D1148" s="52">
        <f>HLOOKUP("# Memory",'vHosts (Imported)'!$1:$5000,M1148,FALSE)</f>
        <v>0</v>
      </c>
      <c r="M1148" s="45">
        <f t="shared" si="53"/>
        <v>1148</v>
      </c>
      <c r="N1148" s="38">
        <f>HLOOKUP("Host",'vInfo (Imported)'!$1:$5000,M1148,FALSE)</f>
        <v>0</v>
      </c>
      <c r="R1148">
        <f>HLOOKUP("CPUs",'vInfo (Imported)'!$1:$5000,M1148,FALSE)</f>
        <v>0</v>
      </c>
      <c r="S1148">
        <f>HLOOKUP("Memory",'vInfo (Imported)'!$1:$5000,M1148,FALSE)</f>
        <v>0</v>
      </c>
      <c r="T1148">
        <f>HLOOKUP("Provisioned MiB",'vInfo (Imported)'!$1:$5000,M1148,FALSE)</f>
        <v>0</v>
      </c>
      <c r="U1148">
        <f t="shared" si="52"/>
        <v>0</v>
      </c>
      <c r="V1148">
        <f>HLOOKUP("In Use MiB",'vInfo (Imported)'!$1:$5000,M1148,FALSE)</f>
        <v>0</v>
      </c>
    </row>
    <row r="1149" spans="1:22" ht="13" x14ac:dyDescent="0.3">
      <c r="A1149" s="46">
        <f>'vHosts (Imported)'!A1149</f>
        <v>0</v>
      </c>
      <c r="B1149" s="51">
        <f t="shared" si="54"/>
        <v>4968</v>
      </c>
      <c r="C1149" s="49">
        <f>HLOOKUP("# Cores",'vHosts (Imported)'!$1:$5000,M1149,FALSE)</f>
        <v>0</v>
      </c>
      <c r="D1149" s="52">
        <f>HLOOKUP("# Memory",'vHosts (Imported)'!$1:$5000,M1149,FALSE)</f>
        <v>0</v>
      </c>
      <c r="M1149" s="45">
        <f t="shared" si="53"/>
        <v>1149</v>
      </c>
      <c r="N1149" s="38">
        <f>HLOOKUP("Host",'vInfo (Imported)'!$1:$5000,M1149,FALSE)</f>
        <v>0</v>
      </c>
      <c r="R1149">
        <f>HLOOKUP("CPUs",'vInfo (Imported)'!$1:$5000,M1149,FALSE)</f>
        <v>0</v>
      </c>
      <c r="S1149">
        <f>HLOOKUP("Memory",'vInfo (Imported)'!$1:$5000,M1149,FALSE)</f>
        <v>0</v>
      </c>
      <c r="T1149">
        <f>HLOOKUP("Provisioned MiB",'vInfo (Imported)'!$1:$5000,M1149,FALSE)</f>
        <v>0</v>
      </c>
      <c r="U1149">
        <f t="shared" si="52"/>
        <v>0</v>
      </c>
      <c r="V1149">
        <f>HLOOKUP("In Use MiB",'vInfo (Imported)'!$1:$5000,M1149,FALSE)</f>
        <v>0</v>
      </c>
    </row>
    <row r="1150" spans="1:22" ht="13" x14ac:dyDescent="0.3">
      <c r="A1150" s="46">
        <f>'vHosts (Imported)'!A1150</f>
        <v>0</v>
      </c>
      <c r="B1150" s="51">
        <f t="shared" si="54"/>
        <v>4968</v>
      </c>
      <c r="C1150" s="49">
        <f>HLOOKUP("# Cores",'vHosts (Imported)'!$1:$5000,M1150,FALSE)</f>
        <v>0</v>
      </c>
      <c r="D1150" s="52">
        <f>HLOOKUP("# Memory",'vHosts (Imported)'!$1:$5000,M1150,FALSE)</f>
        <v>0</v>
      </c>
      <c r="M1150" s="45">
        <f t="shared" si="53"/>
        <v>1150</v>
      </c>
      <c r="N1150" s="38">
        <f>HLOOKUP("Host",'vInfo (Imported)'!$1:$5000,M1150,FALSE)</f>
        <v>0</v>
      </c>
      <c r="R1150">
        <f>HLOOKUP("CPUs",'vInfo (Imported)'!$1:$5000,M1150,FALSE)</f>
        <v>0</v>
      </c>
      <c r="S1150">
        <f>HLOOKUP("Memory",'vInfo (Imported)'!$1:$5000,M1150,FALSE)</f>
        <v>0</v>
      </c>
      <c r="T1150">
        <f>HLOOKUP("Provisioned MiB",'vInfo (Imported)'!$1:$5000,M1150,FALSE)</f>
        <v>0</v>
      </c>
      <c r="U1150">
        <f t="shared" si="52"/>
        <v>0</v>
      </c>
      <c r="V1150">
        <f>HLOOKUP("In Use MiB",'vInfo (Imported)'!$1:$5000,M1150,FALSE)</f>
        <v>0</v>
      </c>
    </row>
    <row r="1151" spans="1:22" ht="13" x14ac:dyDescent="0.3">
      <c r="A1151" s="46">
        <f>'vHosts (Imported)'!A1151</f>
        <v>0</v>
      </c>
      <c r="B1151" s="51">
        <f t="shared" si="54"/>
        <v>4968</v>
      </c>
      <c r="C1151" s="49">
        <f>HLOOKUP("# Cores",'vHosts (Imported)'!$1:$5000,M1151,FALSE)</f>
        <v>0</v>
      </c>
      <c r="D1151" s="52">
        <f>HLOOKUP("# Memory",'vHosts (Imported)'!$1:$5000,M1151,FALSE)</f>
        <v>0</v>
      </c>
      <c r="M1151" s="45">
        <f t="shared" si="53"/>
        <v>1151</v>
      </c>
      <c r="N1151" s="38">
        <f>HLOOKUP("Host",'vInfo (Imported)'!$1:$5000,M1151,FALSE)</f>
        <v>0</v>
      </c>
      <c r="R1151">
        <f>HLOOKUP("CPUs",'vInfo (Imported)'!$1:$5000,M1151,FALSE)</f>
        <v>0</v>
      </c>
      <c r="S1151">
        <f>HLOOKUP("Memory",'vInfo (Imported)'!$1:$5000,M1151,FALSE)</f>
        <v>0</v>
      </c>
      <c r="T1151">
        <f>HLOOKUP("Provisioned MiB",'vInfo (Imported)'!$1:$5000,M1151,FALSE)</f>
        <v>0</v>
      </c>
      <c r="U1151">
        <f t="shared" si="52"/>
        <v>0</v>
      </c>
      <c r="V1151">
        <f>HLOOKUP("In Use MiB",'vInfo (Imported)'!$1:$5000,M1151,FALSE)</f>
        <v>0</v>
      </c>
    </row>
    <row r="1152" spans="1:22" ht="13" x14ac:dyDescent="0.3">
      <c r="A1152" s="46">
        <f>'vHosts (Imported)'!A1152</f>
        <v>0</v>
      </c>
      <c r="B1152" s="51">
        <f t="shared" si="54"/>
        <v>4968</v>
      </c>
      <c r="C1152" s="49">
        <f>HLOOKUP("# Cores",'vHosts (Imported)'!$1:$5000,M1152,FALSE)</f>
        <v>0</v>
      </c>
      <c r="D1152" s="52">
        <f>HLOOKUP("# Memory",'vHosts (Imported)'!$1:$5000,M1152,FALSE)</f>
        <v>0</v>
      </c>
      <c r="M1152" s="45">
        <f t="shared" si="53"/>
        <v>1152</v>
      </c>
      <c r="N1152" s="38">
        <f>HLOOKUP("Host",'vInfo (Imported)'!$1:$5000,M1152,FALSE)</f>
        <v>0</v>
      </c>
      <c r="R1152">
        <f>HLOOKUP("CPUs",'vInfo (Imported)'!$1:$5000,M1152,FALSE)</f>
        <v>0</v>
      </c>
      <c r="S1152">
        <f>HLOOKUP("Memory",'vInfo (Imported)'!$1:$5000,M1152,FALSE)</f>
        <v>0</v>
      </c>
      <c r="T1152">
        <f>HLOOKUP("Provisioned MiB",'vInfo (Imported)'!$1:$5000,M1152,FALSE)</f>
        <v>0</v>
      </c>
      <c r="U1152">
        <f t="shared" si="52"/>
        <v>0</v>
      </c>
      <c r="V1152">
        <f>HLOOKUP("In Use MiB",'vInfo (Imported)'!$1:$5000,M1152,FALSE)</f>
        <v>0</v>
      </c>
    </row>
    <row r="1153" spans="1:22" ht="13" x14ac:dyDescent="0.3">
      <c r="A1153" s="46">
        <f>'vHosts (Imported)'!A1153</f>
        <v>0</v>
      </c>
      <c r="B1153" s="51">
        <f t="shared" si="54"/>
        <v>4968</v>
      </c>
      <c r="C1153" s="49">
        <f>HLOOKUP("# Cores",'vHosts (Imported)'!$1:$5000,M1153,FALSE)</f>
        <v>0</v>
      </c>
      <c r="D1153" s="52">
        <f>HLOOKUP("# Memory",'vHosts (Imported)'!$1:$5000,M1153,FALSE)</f>
        <v>0</v>
      </c>
      <c r="M1153" s="45">
        <f t="shared" si="53"/>
        <v>1153</v>
      </c>
      <c r="N1153" s="38">
        <f>HLOOKUP("Host",'vInfo (Imported)'!$1:$5000,M1153,FALSE)</f>
        <v>0</v>
      </c>
      <c r="R1153">
        <f>HLOOKUP("CPUs",'vInfo (Imported)'!$1:$5000,M1153,FALSE)</f>
        <v>0</v>
      </c>
      <c r="S1153">
        <f>HLOOKUP("Memory",'vInfo (Imported)'!$1:$5000,M1153,FALSE)</f>
        <v>0</v>
      </c>
      <c r="T1153">
        <f>HLOOKUP("Provisioned MiB",'vInfo (Imported)'!$1:$5000,M1153,FALSE)</f>
        <v>0</v>
      </c>
      <c r="U1153">
        <f t="shared" si="52"/>
        <v>0</v>
      </c>
      <c r="V1153">
        <f>HLOOKUP("In Use MiB",'vInfo (Imported)'!$1:$5000,M1153,FALSE)</f>
        <v>0</v>
      </c>
    </row>
    <row r="1154" spans="1:22" ht="13" x14ac:dyDescent="0.3">
      <c r="A1154" s="46">
        <f>'vHosts (Imported)'!A1154</f>
        <v>0</v>
      </c>
      <c r="B1154" s="51">
        <f t="shared" si="54"/>
        <v>4968</v>
      </c>
      <c r="C1154" s="49">
        <f>HLOOKUP("# Cores",'vHosts (Imported)'!$1:$5000,M1154,FALSE)</f>
        <v>0</v>
      </c>
      <c r="D1154" s="52">
        <f>HLOOKUP("# Memory",'vHosts (Imported)'!$1:$5000,M1154,FALSE)</f>
        <v>0</v>
      </c>
      <c r="M1154" s="45">
        <f t="shared" si="53"/>
        <v>1154</v>
      </c>
      <c r="N1154" s="38">
        <f>HLOOKUP("Host",'vInfo (Imported)'!$1:$5000,M1154,FALSE)</f>
        <v>0</v>
      </c>
      <c r="R1154">
        <f>HLOOKUP("CPUs",'vInfo (Imported)'!$1:$5000,M1154,FALSE)</f>
        <v>0</v>
      </c>
      <c r="S1154">
        <f>HLOOKUP("Memory",'vInfo (Imported)'!$1:$5000,M1154,FALSE)</f>
        <v>0</v>
      </c>
      <c r="T1154">
        <f>HLOOKUP("Provisioned MiB",'vInfo (Imported)'!$1:$5000,M1154,FALSE)</f>
        <v>0</v>
      </c>
      <c r="U1154">
        <f t="shared" si="52"/>
        <v>0</v>
      </c>
      <c r="V1154">
        <f>HLOOKUP("In Use MiB",'vInfo (Imported)'!$1:$5000,M1154,FALSE)</f>
        <v>0</v>
      </c>
    </row>
    <row r="1155" spans="1:22" ht="13" x14ac:dyDescent="0.3">
      <c r="A1155" s="46">
        <f>'vHosts (Imported)'!A1155</f>
        <v>0</v>
      </c>
      <c r="B1155" s="51">
        <f t="shared" si="54"/>
        <v>4968</v>
      </c>
      <c r="C1155" s="49">
        <f>HLOOKUP("# Cores",'vHosts (Imported)'!$1:$5000,M1155,FALSE)</f>
        <v>0</v>
      </c>
      <c r="D1155" s="52">
        <f>HLOOKUP("# Memory",'vHosts (Imported)'!$1:$5000,M1155,FALSE)</f>
        <v>0</v>
      </c>
      <c r="M1155" s="45">
        <f t="shared" si="53"/>
        <v>1155</v>
      </c>
      <c r="N1155" s="38">
        <f>HLOOKUP("Host",'vInfo (Imported)'!$1:$5000,M1155,FALSE)</f>
        <v>0</v>
      </c>
      <c r="R1155">
        <f>HLOOKUP("CPUs",'vInfo (Imported)'!$1:$5000,M1155,FALSE)</f>
        <v>0</v>
      </c>
      <c r="S1155">
        <f>HLOOKUP("Memory",'vInfo (Imported)'!$1:$5000,M1155,FALSE)</f>
        <v>0</v>
      </c>
      <c r="T1155">
        <f>HLOOKUP("Provisioned MiB",'vInfo (Imported)'!$1:$5000,M1155,FALSE)</f>
        <v>0</v>
      </c>
      <c r="U1155">
        <f t="shared" ref="U1155:U1218" si="55">T1155-V1155</f>
        <v>0</v>
      </c>
      <c r="V1155">
        <f>HLOOKUP("In Use MiB",'vInfo (Imported)'!$1:$5000,M1155,FALSE)</f>
        <v>0</v>
      </c>
    </row>
    <row r="1156" spans="1:22" ht="13" x14ac:dyDescent="0.3">
      <c r="A1156" s="46">
        <f>'vHosts (Imported)'!A1156</f>
        <v>0</v>
      </c>
      <c r="B1156" s="51">
        <f t="shared" si="54"/>
        <v>4968</v>
      </c>
      <c r="C1156" s="49">
        <f>HLOOKUP("# Cores",'vHosts (Imported)'!$1:$5000,M1156,FALSE)</f>
        <v>0</v>
      </c>
      <c r="D1156" s="52">
        <f>HLOOKUP("# Memory",'vHosts (Imported)'!$1:$5000,M1156,FALSE)</f>
        <v>0</v>
      </c>
      <c r="M1156" s="45">
        <f t="shared" ref="M1156:M1219" si="56">M1155+1</f>
        <v>1156</v>
      </c>
      <c r="N1156" s="38">
        <f>HLOOKUP("Host",'vInfo (Imported)'!$1:$5000,M1156,FALSE)</f>
        <v>0</v>
      </c>
      <c r="R1156">
        <f>HLOOKUP("CPUs",'vInfo (Imported)'!$1:$5000,M1156,FALSE)</f>
        <v>0</v>
      </c>
      <c r="S1156">
        <f>HLOOKUP("Memory",'vInfo (Imported)'!$1:$5000,M1156,FALSE)</f>
        <v>0</v>
      </c>
      <c r="T1156">
        <f>HLOOKUP("Provisioned MiB",'vInfo (Imported)'!$1:$5000,M1156,FALSE)</f>
        <v>0</v>
      </c>
      <c r="U1156">
        <f t="shared" si="55"/>
        <v>0</v>
      </c>
      <c r="V1156">
        <f>HLOOKUP("In Use MiB",'vInfo (Imported)'!$1:$5000,M1156,FALSE)</f>
        <v>0</v>
      </c>
    </row>
    <row r="1157" spans="1:22" ht="13" x14ac:dyDescent="0.3">
      <c r="A1157" s="46">
        <f>'vHosts (Imported)'!A1157</f>
        <v>0</v>
      </c>
      <c r="B1157" s="51">
        <f t="shared" si="54"/>
        <v>4968</v>
      </c>
      <c r="C1157" s="49">
        <f>HLOOKUP("# Cores",'vHosts (Imported)'!$1:$5000,M1157,FALSE)</f>
        <v>0</v>
      </c>
      <c r="D1157" s="52">
        <f>HLOOKUP("# Memory",'vHosts (Imported)'!$1:$5000,M1157,FALSE)</f>
        <v>0</v>
      </c>
      <c r="M1157" s="45">
        <f t="shared" si="56"/>
        <v>1157</v>
      </c>
      <c r="N1157" s="38">
        <f>HLOOKUP("Host",'vInfo (Imported)'!$1:$5000,M1157,FALSE)</f>
        <v>0</v>
      </c>
      <c r="R1157">
        <f>HLOOKUP("CPUs",'vInfo (Imported)'!$1:$5000,M1157,FALSE)</f>
        <v>0</v>
      </c>
      <c r="S1157">
        <f>HLOOKUP("Memory",'vInfo (Imported)'!$1:$5000,M1157,FALSE)</f>
        <v>0</v>
      </c>
      <c r="T1157">
        <f>HLOOKUP("Provisioned MiB",'vInfo (Imported)'!$1:$5000,M1157,FALSE)</f>
        <v>0</v>
      </c>
      <c r="U1157">
        <f t="shared" si="55"/>
        <v>0</v>
      </c>
      <c r="V1157">
        <f>HLOOKUP("In Use MiB",'vInfo (Imported)'!$1:$5000,M1157,FALSE)</f>
        <v>0</v>
      </c>
    </row>
    <row r="1158" spans="1:22" ht="13" x14ac:dyDescent="0.3">
      <c r="A1158" s="46">
        <f>'vHosts (Imported)'!A1158</f>
        <v>0</v>
      </c>
      <c r="B1158" s="51">
        <f t="shared" si="54"/>
        <v>4968</v>
      </c>
      <c r="C1158" s="49">
        <f>HLOOKUP("# Cores",'vHosts (Imported)'!$1:$5000,M1158,FALSE)</f>
        <v>0</v>
      </c>
      <c r="D1158" s="52">
        <f>HLOOKUP("# Memory",'vHosts (Imported)'!$1:$5000,M1158,FALSE)</f>
        <v>0</v>
      </c>
      <c r="M1158" s="45">
        <f t="shared" si="56"/>
        <v>1158</v>
      </c>
      <c r="N1158" s="38">
        <f>HLOOKUP("Host",'vInfo (Imported)'!$1:$5000,M1158,FALSE)</f>
        <v>0</v>
      </c>
      <c r="R1158">
        <f>HLOOKUP("CPUs",'vInfo (Imported)'!$1:$5000,M1158,FALSE)</f>
        <v>0</v>
      </c>
      <c r="S1158">
        <f>HLOOKUP("Memory",'vInfo (Imported)'!$1:$5000,M1158,FALSE)</f>
        <v>0</v>
      </c>
      <c r="T1158">
        <f>HLOOKUP("Provisioned MiB",'vInfo (Imported)'!$1:$5000,M1158,FALSE)</f>
        <v>0</v>
      </c>
      <c r="U1158">
        <f t="shared" si="55"/>
        <v>0</v>
      </c>
      <c r="V1158">
        <f>HLOOKUP("In Use MiB",'vInfo (Imported)'!$1:$5000,M1158,FALSE)</f>
        <v>0</v>
      </c>
    </row>
    <row r="1159" spans="1:22" ht="13" x14ac:dyDescent="0.3">
      <c r="A1159" s="46">
        <f>'vHosts (Imported)'!A1159</f>
        <v>0</v>
      </c>
      <c r="B1159" s="51">
        <f t="shared" si="54"/>
        <v>4968</v>
      </c>
      <c r="C1159" s="49">
        <f>HLOOKUP("# Cores",'vHosts (Imported)'!$1:$5000,M1159,FALSE)</f>
        <v>0</v>
      </c>
      <c r="D1159" s="52">
        <f>HLOOKUP("# Memory",'vHosts (Imported)'!$1:$5000,M1159,FALSE)</f>
        <v>0</v>
      </c>
      <c r="M1159" s="45">
        <f t="shared" si="56"/>
        <v>1159</v>
      </c>
      <c r="N1159" s="38">
        <f>HLOOKUP("Host",'vInfo (Imported)'!$1:$5000,M1159,FALSE)</f>
        <v>0</v>
      </c>
      <c r="R1159">
        <f>HLOOKUP("CPUs",'vInfo (Imported)'!$1:$5000,M1159,FALSE)</f>
        <v>0</v>
      </c>
      <c r="S1159">
        <f>HLOOKUP("Memory",'vInfo (Imported)'!$1:$5000,M1159,FALSE)</f>
        <v>0</v>
      </c>
      <c r="T1159">
        <f>HLOOKUP("Provisioned MiB",'vInfo (Imported)'!$1:$5000,M1159,FALSE)</f>
        <v>0</v>
      </c>
      <c r="U1159">
        <f t="shared" si="55"/>
        <v>0</v>
      </c>
      <c r="V1159">
        <f>HLOOKUP("In Use MiB",'vInfo (Imported)'!$1:$5000,M1159,FALSE)</f>
        <v>0</v>
      </c>
    </row>
    <row r="1160" spans="1:22" ht="13" x14ac:dyDescent="0.3">
      <c r="A1160" s="46">
        <f>'vHosts (Imported)'!A1160</f>
        <v>0</v>
      </c>
      <c r="B1160" s="51">
        <f t="shared" si="54"/>
        <v>4968</v>
      </c>
      <c r="C1160" s="49">
        <f>HLOOKUP("# Cores",'vHosts (Imported)'!$1:$5000,M1160,FALSE)</f>
        <v>0</v>
      </c>
      <c r="D1160" s="52">
        <f>HLOOKUP("# Memory",'vHosts (Imported)'!$1:$5000,M1160,FALSE)</f>
        <v>0</v>
      </c>
      <c r="M1160" s="45">
        <f t="shared" si="56"/>
        <v>1160</v>
      </c>
      <c r="N1160" s="38">
        <f>HLOOKUP("Host",'vInfo (Imported)'!$1:$5000,M1160,FALSE)</f>
        <v>0</v>
      </c>
      <c r="R1160">
        <f>HLOOKUP("CPUs",'vInfo (Imported)'!$1:$5000,M1160,FALSE)</f>
        <v>0</v>
      </c>
      <c r="S1160">
        <f>HLOOKUP("Memory",'vInfo (Imported)'!$1:$5000,M1160,FALSE)</f>
        <v>0</v>
      </c>
      <c r="T1160">
        <f>HLOOKUP("Provisioned MiB",'vInfo (Imported)'!$1:$5000,M1160,FALSE)</f>
        <v>0</v>
      </c>
      <c r="U1160">
        <f t="shared" si="55"/>
        <v>0</v>
      </c>
      <c r="V1160">
        <f>HLOOKUP("In Use MiB",'vInfo (Imported)'!$1:$5000,M1160,FALSE)</f>
        <v>0</v>
      </c>
    </row>
    <row r="1161" spans="1:22" ht="13" x14ac:dyDescent="0.3">
      <c r="A1161" s="46">
        <f>'vHosts (Imported)'!A1161</f>
        <v>0</v>
      </c>
      <c r="B1161" s="51">
        <f t="shared" si="54"/>
        <v>4968</v>
      </c>
      <c r="C1161" s="49">
        <f>HLOOKUP("# Cores",'vHosts (Imported)'!$1:$5000,M1161,FALSE)</f>
        <v>0</v>
      </c>
      <c r="D1161" s="52">
        <f>HLOOKUP("# Memory",'vHosts (Imported)'!$1:$5000,M1161,FALSE)</f>
        <v>0</v>
      </c>
      <c r="M1161" s="45">
        <f t="shared" si="56"/>
        <v>1161</v>
      </c>
      <c r="N1161" s="38">
        <f>HLOOKUP("Host",'vInfo (Imported)'!$1:$5000,M1161,FALSE)</f>
        <v>0</v>
      </c>
      <c r="R1161">
        <f>HLOOKUP("CPUs",'vInfo (Imported)'!$1:$5000,M1161,FALSE)</f>
        <v>0</v>
      </c>
      <c r="S1161">
        <f>HLOOKUP("Memory",'vInfo (Imported)'!$1:$5000,M1161,FALSE)</f>
        <v>0</v>
      </c>
      <c r="T1161">
        <f>HLOOKUP("Provisioned MiB",'vInfo (Imported)'!$1:$5000,M1161,FALSE)</f>
        <v>0</v>
      </c>
      <c r="U1161">
        <f t="shared" si="55"/>
        <v>0</v>
      </c>
      <c r="V1161">
        <f>HLOOKUP("In Use MiB",'vInfo (Imported)'!$1:$5000,M1161,FALSE)</f>
        <v>0</v>
      </c>
    </row>
    <row r="1162" spans="1:22" ht="13" x14ac:dyDescent="0.3">
      <c r="A1162" s="46">
        <f>'vHosts (Imported)'!A1162</f>
        <v>0</v>
      </c>
      <c r="B1162" s="51">
        <f t="shared" si="54"/>
        <v>4968</v>
      </c>
      <c r="C1162" s="49">
        <f>HLOOKUP("# Cores",'vHosts (Imported)'!$1:$5000,M1162,FALSE)</f>
        <v>0</v>
      </c>
      <c r="D1162" s="52">
        <f>HLOOKUP("# Memory",'vHosts (Imported)'!$1:$5000,M1162,FALSE)</f>
        <v>0</v>
      </c>
      <c r="M1162" s="45">
        <f t="shared" si="56"/>
        <v>1162</v>
      </c>
      <c r="N1162" s="38">
        <f>HLOOKUP("Host",'vInfo (Imported)'!$1:$5000,M1162,FALSE)</f>
        <v>0</v>
      </c>
      <c r="R1162">
        <f>HLOOKUP("CPUs",'vInfo (Imported)'!$1:$5000,M1162,FALSE)</f>
        <v>0</v>
      </c>
      <c r="S1162">
        <f>HLOOKUP("Memory",'vInfo (Imported)'!$1:$5000,M1162,FALSE)</f>
        <v>0</v>
      </c>
      <c r="T1162">
        <f>HLOOKUP("Provisioned MiB",'vInfo (Imported)'!$1:$5000,M1162,FALSE)</f>
        <v>0</v>
      </c>
      <c r="U1162">
        <f t="shared" si="55"/>
        <v>0</v>
      </c>
      <c r="V1162">
        <f>HLOOKUP("In Use MiB",'vInfo (Imported)'!$1:$5000,M1162,FALSE)</f>
        <v>0</v>
      </c>
    </row>
    <row r="1163" spans="1:22" ht="13" x14ac:dyDescent="0.3">
      <c r="A1163" s="46">
        <f>'vHosts (Imported)'!A1163</f>
        <v>0</v>
      </c>
      <c r="B1163" s="51">
        <f t="shared" si="54"/>
        <v>4968</v>
      </c>
      <c r="C1163" s="49">
        <f>HLOOKUP("# Cores",'vHosts (Imported)'!$1:$5000,M1163,FALSE)</f>
        <v>0</v>
      </c>
      <c r="D1163" s="52">
        <f>HLOOKUP("# Memory",'vHosts (Imported)'!$1:$5000,M1163,FALSE)</f>
        <v>0</v>
      </c>
      <c r="M1163" s="45">
        <f t="shared" si="56"/>
        <v>1163</v>
      </c>
      <c r="N1163" s="38">
        <f>HLOOKUP("Host",'vInfo (Imported)'!$1:$5000,M1163,FALSE)</f>
        <v>0</v>
      </c>
      <c r="R1163">
        <f>HLOOKUP("CPUs",'vInfo (Imported)'!$1:$5000,M1163,FALSE)</f>
        <v>0</v>
      </c>
      <c r="S1163">
        <f>HLOOKUP("Memory",'vInfo (Imported)'!$1:$5000,M1163,FALSE)</f>
        <v>0</v>
      </c>
      <c r="T1163">
        <f>HLOOKUP("Provisioned MiB",'vInfo (Imported)'!$1:$5000,M1163,FALSE)</f>
        <v>0</v>
      </c>
      <c r="U1163">
        <f t="shared" si="55"/>
        <v>0</v>
      </c>
      <c r="V1163">
        <f>HLOOKUP("In Use MiB",'vInfo (Imported)'!$1:$5000,M1163,FALSE)</f>
        <v>0</v>
      </c>
    </row>
    <row r="1164" spans="1:22" ht="13" x14ac:dyDescent="0.3">
      <c r="A1164" s="46">
        <f>'vHosts (Imported)'!A1164</f>
        <v>0</v>
      </c>
      <c r="B1164" s="51">
        <f t="shared" si="54"/>
        <v>4968</v>
      </c>
      <c r="C1164" s="49">
        <f>HLOOKUP("# Cores",'vHosts (Imported)'!$1:$5000,M1164,FALSE)</f>
        <v>0</v>
      </c>
      <c r="D1164" s="52">
        <f>HLOOKUP("# Memory",'vHosts (Imported)'!$1:$5000,M1164,FALSE)</f>
        <v>0</v>
      </c>
      <c r="M1164" s="45">
        <f t="shared" si="56"/>
        <v>1164</v>
      </c>
      <c r="N1164" s="38">
        <f>HLOOKUP("Host",'vInfo (Imported)'!$1:$5000,M1164,FALSE)</f>
        <v>0</v>
      </c>
      <c r="R1164">
        <f>HLOOKUP("CPUs",'vInfo (Imported)'!$1:$5000,M1164,FALSE)</f>
        <v>0</v>
      </c>
      <c r="S1164">
        <f>HLOOKUP("Memory",'vInfo (Imported)'!$1:$5000,M1164,FALSE)</f>
        <v>0</v>
      </c>
      <c r="T1164">
        <f>HLOOKUP("Provisioned MiB",'vInfo (Imported)'!$1:$5000,M1164,FALSE)</f>
        <v>0</v>
      </c>
      <c r="U1164">
        <f t="shared" si="55"/>
        <v>0</v>
      </c>
      <c r="V1164">
        <f>HLOOKUP("In Use MiB",'vInfo (Imported)'!$1:$5000,M1164,FALSE)</f>
        <v>0</v>
      </c>
    </row>
    <row r="1165" spans="1:22" ht="13" x14ac:dyDescent="0.3">
      <c r="A1165" s="46">
        <f>'vHosts (Imported)'!A1165</f>
        <v>0</v>
      </c>
      <c r="B1165" s="51">
        <f t="shared" si="54"/>
        <v>4968</v>
      </c>
      <c r="C1165" s="49">
        <f>HLOOKUP("# Cores",'vHosts (Imported)'!$1:$5000,M1165,FALSE)</f>
        <v>0</v>
      </c>
      <c r="D1165" s="52">
        <f>HLOOKUP("# Memory",'vHosts (Imported)'!$1:$5000,M1165,FALSE)</f>
        <v>0</v>
      </c>
      <c r="M1165" s="45">
        <f t="shared" si="56"/>
        <v>1165</v>
      </c>
      <c r="N1165" s="38">
        <f>HLOOKUP("Host",'vInfo (Imported)'!$1:$5000,M1165,FALSE)</f>
        <v>0</v>
      </c>
      <c r="R1165">
        <f>HLOOKUP("CPUs",'vInfo (Imported)'!$1:$5000,M1165,FALSE)</f>
        <v>0</v>
      </c>
      <c r="S1165">
        <f>HLOOKUP("Memory",'vInfo (Imported)'!$1:$5000,M1165,FALSE)</f>
        <v>0</v>
      </c>
      <c r="T1165">
        <f>HLOOKUP("Provisioned MiB",'vInfo (Imported)'!$1:$5000,M1165,FALSE)</f>
        <v>0</v>
      </c>
      <c r="U1165">
        <f t="shared" si="55"/>
        <v>0</v>
      </c>
      <c r="V1165">
        <f>HLOOKUP("In Use MiB",'vInfo (Imported)'!$1:$5000,M1165,FALSE)</f>
        <v>0</v>
      </c>
    </row>
    <row r="1166" spans="1:22" ht="13" x14ac:dyDescent="0.3">
      <c r="A1166" s="46">
        <f>'vHosts (Imported)'!A1166</f>
        <v>0</v>
      </c>
      <c r="B1166" s="51">
        <f t="shared" si="54"/>
        <v>4968</v>
      </c>
      <c r="C1166" s="49">
        <f>HLOOKUP("# Cores",'vHosts (Imported)'!$1:$5000,M1166,FALSE)</f>
        <v>0</v>
      </c>
      <c r="D1166" s="52">
        <f>HLOOKUP("# Memory",'vHosts (Imported)'!$1:$5000,M1166,FALSE)</f>
        <v>0</v>
      </c>
      <c r="M1166" s="45">
        <f t="shared" si="56"/>
        <v>1166</v>
      </c>
      <c r="N1166" s="38">
        <f>HLOOKUP("Host",'vInfo (Imported)'!$1:$5000,M1166,FALSE)</f>
        <v>0</v>
      </c>
      <c r="R1166">
        <f>HLOOKUP("CPUs",'vInfo (Imported)'!$1:$5000,M1166,FALSE)</f>
        <v>0</v>
      </c>
      <c r="S1166">
        <f>HLOOKUP("Memory",'vInfo (Imported)'!$1:$5000,M1166,FALSE)</f>
        <v>0</v>
      </c>
      <c r="T1166">
        <f>HLOOKUP("Provisioned MiB",'vInfo (Imported)'!$1:$5000,M1166,FALSE)</f>
        <v>0</v>
      </c>
      <c r="U1166">
        <f t="shared" si="55"/>
        <v>0</v>
      </c>
      <c r="V1166">
        <f>HLOOKUP("In Use MiB",'vInfo (Imported)'!$1:$5000,M1166,FALSE)</f>
        <v>0</v>
      </c>
    </row>
    <row r="1167" spans="1:22" ht="13" x14ac:dyDescent="0.3">
      <c r="A1167" s="46">
        <f>'vHosts (Imported)'!A1167</f>
        <v>0</v>
      </c>
      <c r="B1167" s="51">
        <f t="shared" si="54"/>
        <v>4968</v>
      </c>
      <c r="C1167" s="49">
        <f>HLOOKUP("# Cores",'vHosts (Imported)'!$1:$5000,M1167,FALSE)</f>
        <v>0</v>
      </c>
      <c r="D1167" s="52">
        <f>HLOOKUP("# Memory",'vHosts (Imported)'!$1:$5000,M1167,FALSE)</f>
        <v>0</v>
      </c>
      <c r="M1167" s="45">
        <f t="shared" si="56"/>
        <v>1167</v>
      </c>
      <c r="N1167" s="38">
        <f>HLOOKUP("Host",'vInfo (Imported)'!$1:$5000,M1167,FALSE)</f>
        <v>0</v>
      </c>
      <c r="R1167">
        <f>HLOOKUP("CPUs",'vInfo (Imported)'!$1:$5000,M1167,FALSE)</f>
        <v>0</v>
      </c>
      <c r="S1167">
        <f>HLOOKUP("Memory",'vInfo (Imported)'!$1:$5000,M1167,FALSE)</f>
        <v>0</v>
      </c>
      <c r="T1167">
        <f>HLOOKUP("Provisioned MiB",'vInfo (Imported)'!$1:$5000,M1167,FALSE)</f>
        <v>0</v>
      </c>
      <c r="U1167">
        <f t="shared" si="55"/>
        <v>0</v>
      </c>
      <c r="V1167">
        <f>HLOOKUP("In Use MiB",'vInfo (Imported)'!$1:$5000,M1167,FALSE)</f>
        <v>0</v>
      </c>
    </row>
    <row r="1168" spans="1:22" ht="13" x14ac:dyDescent="0.3">
      <c r="A1168" s="46">
        <f>'vHosts (Imported)'!A1168</f>
        <v>0</v>
      </c>
      <c r="B1168" s="51">
        <f t="shared" si="54"/>
        <v>4968</v>
      </c>
      <c r="C1168" s="49">
        <f>HLOOKUP("# Cores",'vHosts (Imported)'!$1:$5000,M1168,FALSE)</f>
        <v>0</v>
      </c>
      <c r="D1168" s="52">
        <f>HLOOKUP("# Memory",'vHosts (Imported)'!$1:$5000,M1168,FALSE)</f>
        <v>0</v>
      </c>
      <c r="M1168" s="45">
        <f t="shared" si="56"/>
        <v>1168</v>
      </c>
      <c r="N1168" s="38">
        <f>HLOOKUP("Host",'vInfo (Imported)'!$1:$5000,M1168,FALSE)</f>
        <v>0</v>
      </c>
      <c r="R1168">
        <f>HLOOKUP("CPUs",'vInfo (Imported)'!$1:$5000,M1168,FALSE)</f>
        <v>0</v>
      </c>
      <c r="S1168">
        <f>HLOOKUP("Memory",'vInfo (Imported)'!$1:$5000,M1168,FALSE)</f>
        <v>0</v>
      </c>
      <c r="T1168">
        <f>HLOOKUP("Provisioned MiB",'vInfo (Imported)'!$1:$5000,M1168,FALSE)</f>
        <v>0</v>
      </c>
      <c r="U1168">
        <f t="shared" si="55"/>
        <v>0</v>
      </c>
      <c r="V1168">
        <f>HLOOKUP("In Use MiB",'vInfo (Imported)'!$1:$5000,M1168,FALSE)</f>
        <v>0</v>
      </c>
    </row>
    <row r="1169" spans="1:22" ht="13" x14ac:dyDescent="0.3">
      <c r="A1169" s="46">
        <f>'vHosts (Imported)'!A1169</f>
        <v>0</v>
      </c>
      <c r="B1169" s="51">
        <f t="shared" si="54"/>
        <v>4968</v>
      </c>
      <c r="C1169" s="49">
        <f>HLOOKUP("# Cores",'vHosts (Imported)'!$1:$5000,M1169,FALSE)</f>
        <v>0</v>
      </c>
      <c r="D1169" s="52">
        <f>HLOOKUP("# Memory",'vHosts (Imported)'!$1:$5000,M1169,FALSE)</f>
        <v>0</v>
      </c>
      <c r="M1169" s="45">
        <f t="shared" si="56"/>
        <v>1169</v>
      </c>
      <c r="N1169" s="38">
        <f>HLOOKUP("Host",'vInfo (Imported)'!$1:$5000,M1169,FALSE)</f>
        <v>0</v>
      </c>
      <c r="R1169">
        <f>HLOOKUP("CPUs",'vInfo (Imported)'!$1:$5000,M1169,FALSE)</f>
        <v>0</v>
      </c>
      <c r="S1169">
        <f>HLOOKUP("Memory",'vInfo (Imported)'!$1:$5000,M1169,FALSE)</f>
        <v>0</v>
      </c>
      <c r="T1169">
        <f>HLOOKUP("Provisioned MiB",'vInfo (Imported)'!$1:$5000,M1169,FALSE)</f>
        <v>0</v>
      </c>
      <c r="U1169">
        <f t="shared" si="55"/>
        <v>0</v>
      </c>
      <c r="V1169">
        <f>HLOOKUP("In Use MiB",'vInfo (Imported)'!$1:$5000,M1169,FALSE)</f>
        <v>0</v>
      </c>
    </row>
    <row r="1170" spans="1:22" ht="13" x14ac:dyDescent="0.3">
      <c r="A1170" s="46">
        <f>'vHosts (Imported)'!A1170</f>
        <v>0</v>
      </c>
      <c r="B1170" s="51">
        <f t="shared" si="54"/>
        <v>4968</v>
      </c>
      <c r="C1170" s="49">
        <f>HLOOKUP("# Cores",'vHosts (Imported)'!$1:$5000,M1170,FALSE)</f>
        <v>0</v>
      </c>
      <c r="D1170" s="52">
        <f>HLOOKUP("# Memory",'vHosts (Imported)'!$1:$5000,M1170,FALSE)</f>
        <v>0</v>
      </c>
      <c r="M1170" s="45">
        <f t="shared" si="56"/>
        <v>1170</v>
      </c>
      <c r="N1170" s="38">
        <f>HLOOKUP("Host",'vInfo (Imported)'!$1:$5000,M1170,FALSE)</f>
        <v>0</v>
      </c>
      <c r="R1170">
        <f>HLOOKUP("CPUs",'vInfo (Imported)'!$1:$5000,M1170,FALSE)</f>
        <v>0</v>
      </c>
      <c r="S1170">
        <f>HLOOKUP("Memory",'vInfo (Imported)'!$1:$5000,M1170,FALSE)</f>
        <v>0</v>
      </c>
      <c r="T1170">
        <f>HLOOKUP("Provisioned MiB",'vInfo (Imported)'!$1:$5000,M1170,FALSE)</f>
        <v>0</v>
      </c>
      <c r="U1170">
        <f t="shared" si="55"/>
        <v>0</v>
      </c>
      <c r="V1170">
        <f>HLOOKUP("In Use MiB",'vInfo (Imported)'!$1:$5000,M1170,FALSE)</f>
        <v>0</v>
      </c>
    </row>
    <row r="1171" spans="1:22" ht="13" x14ac:dyDescent="0.3">
      <c r="A1171" s="46">
        <f>'vHosts (Imported)'!A1171</f>
        <v>0</v>
      </c>
      <c r="B1171" s="51">
        <f t="shared" si="54"/>
        <v>4968</v>
      </c>
      <c r="C1171" s="49">
        <f>HLOOKUP("# Cores",'vHosts (Imported)'!$1:$5000,M1171,FALSE)</f>
        <v>0</v>
      </c>
      <c r="D1171" s="52">
        <f>HLOOKUP("# Memory",'vHosts (Imported)'!$1:$5000,M1171,FALSE)</f>
        <v>0</v>
      </c>
      <c r="M1171" s="45">
        <f t="shared" si="56"/>
        <v>1171</v>
      </c>
      <c r="N1171" s="38">
        <f>HLOOKUP("Host",'vInfo (Imported)'!$1:$5000,M1171,FALSE)</f>
        <v>0</v>
      </c>
      <c r="R1171">
        <f>HLOOKUP("CPUs",'vInfo (Imported)'!$1:$5000,M1171,FALSE)</f>
        <v>0</v>
      </c>
      <c r="S1171">
        <f>HLOOKUP("Memory",'vInfo (Imported)'!$1:$5000,M1171,FALSE)</f>
        <v>0</v>
      </c>
      <c r="T1171">
        <f>HLOOKUP("Provisioned MiB",'vInfo (Imported)'!$1:$5000,M1171,FALSE)</f>
        <v>0</v>
      </c>
      <c r="U1171">
        <f t="shared" si="55"/>
        <v>0</v>
      </c>
      <c r="V1171">
        <f>HLOOKUP("In Use MiB",'vInfo (Imported)'!$1:$5000,M1171,FALSE)</f>
        <v>0</v>
      </c>
    </row>
    <row r="1172" spans="1:22" ht="13" x14ac:dyDescent="0.3">
      <c r="A1172" s="46">
        <f>'vHosts (Imported)'!A1172</f>
        <v>0</v>
      </c>
      <c r="B1172" s="51">
        <f t="shared" si="54"/>
        <v>4968</v>
      </c>
      <c r="C1172" s="49">
        <f>HLOOKUP("# Cores",'vHosts (Imported)'!$1:$5000,M1172,FALSE)</f>
        <v>0</v>
      </c>
      <c r="D1172" s="52">
        <f>HLOOKUP("# Memory",'vHosts (Imported)'!$1:$5000,M1172,FALSE)</f>
        <v>0</v>
      </c>
      <c r="M1172" s="45">
        <f t="shared" si="56"/>
        <v>1172</v>
      </c>
      <c r="N1172" s="38">
        <f>HLOOKUP("Host",'vInfo (Imported)'!$1:$5000,M1172,FALSE)</f>
        <v>0</v>
      </c>
      <c r="R1172">
        <f>HLOOKUP("CPUs",'vInfo (Imported)'!$1:$5000,M1172,FALSE)</f>
        <v>0</v>
      </c>
      <c r="S1172">
        <f>HLOOKUP("Memory",'vInfo (Imported)'!$1:$5000,M1172,FALSE)</f>
        <v>0</v>
      </c>
      <c r="T1172">
        <f>HLOOKUP("Provisioned MiB",'vInfo (Imported)'!$1:$5000,M1172,FALSE)</f>
        <v>0</v>
      </c>
      <c r="U1172">
        <f t="shared" si="55"/>
        <v>0</v>
      </c>
      <c r="V1172">
        <f>HLOOKUP("In Use MiB",'vInfo (Imported)'!$1:$5000,M1172,FALSE)</f>
        <v>0</v>
      </c>
    </row>
    <row r="1173" spans="1:22" ht="13" x14ac:dyDescent="0.3">
      <c r="A1173" s="46">
        <f>'vHosts (Imported)'!A1173</f>
        <v>0</v>
      </c>
      <c r="B1173" s="51">
        <f t="shared" si="54"/>
        <v>4968</v>
      </c>
      <c r="C1173" s="49">
        <f>HLOOKUP("# Cores",'vHosts (Imported)'!$1:$5000,M1173,FALSE)</f>
        <v>0</v>
      </c>
      <c r="D1173" s="52">
        <f>HLOOKUP("# Memory",'vHosts (Imported)'!$1:$5000,M1173,FALSE)</f>
        <v>0</v>
      </c>
      <c r="M1173" s="45">
        <f t="shared" si="56"/>
        <v>1173</v>
      </c>
      <c r="N1173" s="38">
        <f>HLOOKUP("Host",'vInfo (Imported)'!$1:$5000,M1173,FALSE)</f>
        <v>0</v>
      </c>
      <c r="R1173">
        <f>HLOOKUP("CPUs",'vInfo (Imported)'!$1:$5000,M1173,FALSE)</f>
        <v>0</v>
      </c>
      <c r="S1173">
        <f>HLOOKUP("Memory",'vInfo (Imported)'!$1:$5000,M1173,FALSE)</f>
        <v>0</v>
      </c>
      <c r="T1173">
        <f>HLOOKUP("Provisioned MiB",'vInfo (Imported)'!$1:$5000,M1173,FALSE)</f>
        <v>0</v>
      </c>
      <c r="U1173">
        <f t="shared" si="55"/>
        <v>0</v>
      </c>
      <c r="V1173">
        <f>HLOOKUP("In Use MiB",'vInfo (Imported)'!$1:$5000,M1173,FALSE)</f>
        <v>0</v>
      </c>
    </row>
    <row r="1174" spans="1:22" ht="13" x14ac:dyDescent="0.3">
      <c r="A1174" s="46">
        <f>'vHosts (Imported)'!A1174</f>
        <v>0</v>
      </c>
      <c r="B1174" s="51">
        <f t="shared" si="54"/>
        <v>4968</v>
      </c>
      <c r="C1174" s="49">
        <f>HLOOKUP("# Cores",'vHosts (Imported)'!$1:$5000,M1174,FALSE)</f>
        <v>0</v>
      </c>
      <c r="D1174" s="52">
        <f>HLOOKUP("# Memory",'vHosts (Imported)'!$1:$5000,M1174,FALSE)</f>
        <v>0</v>
      </c>
      <c r="M1174" s="45">
        <f t="shared" si="56"/>
        <v>1174</v>
      </c>
      <c r="N1174" s="38">
        <f>HLOOKUP("Host",'vInfo (Imported)'!$1:$5000,M1174,FALSE)</f>
        <v>0</v>
      </c>
      <c r="R1174">
        <f>HLOOKUP("CPUs",'vInfo (Imported)'!$1:$5000,M1174,FALSE)</f>
        <v>0</v>
      </c>
      <c r="S1174">
        <f>HLOOKUP("Memory",'vInfo (Imported)'!$1:$5000,M1174,FALSE)</f>
        <v>0</v>
      </c>
      <c r="T1174">
        <f>HLOOKUP("Provisioned MiB",'vInfo (Imported)'!$1:$5000,M1174,FALSE)</f>
        <v>0</v>
      </c>
      <c r="U1174">
        <f t="shared" si="55"/>
        <v>0</v>
      </c>
      <c r="V1174">
        <f>HLOOKUP("In Use MiB",'vInfo (Imported)'!$1:$5000,M1174,FALSE)</f>
        <v>0</v>
      </c>
    </row>
    <row r="1175" spans="1:22" ht="13" x14ac:dyDescent="0.3">
      <c r="A1175" s="46">
        <f>'vHosts (Imported)'!A1175</f>
        <v>0</v>
      </c>
      <c r="B1175" s="51">
        <f t="shared" si="54"/>
        <v>4968</v>
      </c>
      <c r="C1175" s="49">
        <f>HLOOKUP("# Cores",'vHosts (Imported)'!$1:$5000,M1175,FALSE)</f>
        <v>0</v>
      </c>
      <c r="D1175" s="52">
        <f>HLOOKUP("# Memory",'vHosts (Imported)'!$1:$5000,M1175,FALSE)</f>
        <v>0</v>
      </c>
      <c r="M1175" s="45">
        <f t="shared" si="56"/>
        <v>1175</v>
      </c>
      <c r="N1175" s="38">
        <f>HLOOKUP("Host",'vInfo (Imported)'!$1:$5000,M1175,FALSE)</f>
        <v>0</v>
      </c>
      <c r="R1175">
        <f>HLOOKUP("CPUs",'vInfo (Imported)'!$1:$5000,M1175,FALSE)</f>
        <v>0</v>
      </c>
      <c r="S1175">
        <f>HLOOKUP("Memory",'vInfo (Imported)'!$1:$5000,M1175,FALSE)</f>
        <v>0</v>
      </c>
      <c r="T1175">
        <f>HLOOKUP("Provisioned MiB",'vInfo (Imported)'!$1:$5000,M1175,FALSE)</f>
        <v>0</v>
      </c>
      <c r="U1175">
        <f t="shared" si="55"/>
        <v>0</v>
      </c>
      <c r="V1175">
        <f>HLOOKUP("In Use MiB",'vInfo (Imported)'!$1:$5000,M1175,FALSE)</f>
        <v>0</v>
      </c>
    </row>
    <row r="1176" spans="1:22" ht="13" x14ac:dyDescent="0.3">
      <c r="A1176" s="46">
        <f>'vHosts (Imported)'!A1176</f>
        <v>0</v>
      </c>
      <c r="B1176" s="51">
        <f t="shared" si="54"/>
        <v>4968</v>
      </c>
      <c r="C1176" s="49">
        <f>HLOOKUP("# Cores",'vHosts (Imported)'!$1:$5000,M1176,FALSE)</f>
        <v>0</v>
      </c>
      <c r="D1176" s="52">
        <f>HLOOKUP("# Memory",'vHosts (Imported)'!$1:$5000,M1176,FALSE)</f>
        <v>0</v>
      </c>
      <c r="M1176" s="45">
        <f t="shared" si="56"/>
        <v>1176</v>
      </c>
      <c r="N1176" s="38">
        <f>HLOOKUP("Host",'vInfo (Imported)'!$1:$5000,M1176,FALSE)</f>
        <v>0</v>
      </c>
      <c r="R1176">
        <f>HLOOKUP("CPUs",'vInfo (Imported)'!$1:$5000,M1176,FALSE)</f>
        <v>0</v>
      </c>
      <c r="S1176">
        <f>HLOOKUP("Memory",'vInfo (Imported)'!$1:$5000,M1176,FALSE)</f>
        <v>0</v>
      </c>
      <c r="T1176">
        <f>HLOOKUP("Provisioned MiB",'vInfo (Imported)'!$1:$5000,M1176,FALSE)</f>
        <v>0</v>
      </c>
      <c r="U1176">
        <f t="shared" si="55"/>
        <v>0</v>
      </c>
      <c r="V1176">
        <f>HLOOKUP("In Use MiB",'vInfo (Imported)'!$1:$5000,M1176,FALSE)</f>
        <v>0</v>
      </c>
    </row>
    <row r="1177" spans="1:22" ht="13" x14ac:dyDescent="0.3">
      <c r="A1177" s="46">
        <f>'vHosts (Imported)'!A1177</f>
        <v>0</v>
      </c>
      <c r="B1177" s="51">
        <f t="shared" si="54"/>
        <v>4968</v>
      </c>
      <c r="C1177" s="49">
        <f>HLOOKUP("# Cores",'vHosts (Imported)'!$1:$5000,M1177,FALSE)</f>
        <v>0</v>
      </c>
      <c r="D1177" s="52">
        <f>HLOOKUP("# Memory",'vHosts (Imported)'!$1:$5000,M1177,FALSE)</f>
        <v>0</v>
      </c>
      <c r="M1177" s="45">
        <f t="shared" si="56"/>
        <v>1177</v>
      </c>
      <c r="N1177" s="38">
        <f>HLOOKUP("Host",'vInfo (Imported)'!$1:$5000,M1177,FALSE)</f>
        <v>0</v>
      </c>
      <c r="R1177">
        <f>HLOOKUP("CPUs",'vInfo (Imported)'!$1:$5000,M1177,FALSE)</f>
        <v>0</v>
      </c>
      <c r="S1177">
        <f>HLOOKUP("Memory",'vInfo (Imported)'!$1:$5000,M1177,FALSE)</f>
        <v>0</v>
      </c>
      <c r="T1177">
        <f>HLOOKUP("Provisioned MiB",'vInfo (Imported)'!$1:$5000,M1177,FALSE)</f>
        <v>0</v>
      </c>
      <c r="U1177">
        <f t="shared" si="55"/>
        <v>0</v>
      </c>
      <c r="V1177">
        <f>HLOOKUP("In Use MiB",'vInfo (Imported)'!$1:$5000,M1177,FALSE)</f>
        <v>0</v>
      </c>
    </row>
    <row r="1178" spans="1:22" ht="13" x14ac:dyDescent="0.3">
      <c r="A1178" s="46">
        <f>'vHosts (Imported)'!A1178</f>
        <v>0</v>
      </c>
      <c r="B1178" s="51">
        <f t="shared" si="54"/>
        <v>4968</v>
      </c>
      <c r="C1178" s="49">
        <f>HLOOKUP("# Cores",'vHosts (Imported)'!$1:$5000,M1178,FALSE)</f>
        <v>0</v>
      </c>
      <c r="D1178" s="52">
        <f>HLOOKUP("# Memory",'vHosts (Imported)'!$1:$5000,M1178,FALSE)</f>
        <v>0</v>
      </c>
      <c r="M1178" s="45">
        <f t="shared" si="56"/>
        <v>1178</v>
      </c>
      <c r="N1178" s="38">
        <f>HLOOKUP("Host",'vInfo (Imported)'!$1:$5000,M1178,FALSE)</f>
        <v>0</v>
      </c>
      <c r="R1178">
        <f>HLOOKUP("CPUs",'vInfo (Imported)'!$1:$5000,M1178,FALSE)</f>
        <v>0</v>
      </c>
      <c r="S1178">
        <f>HLOOKUP("Memory",'vInfo (Imported)'!$1:$5000,M1178,FALSE)</f>
        <v>0</v>
      </c>
      <c r="T1178">
        <f>HLOOKUP("Provisioned MiB",'vInfo (Imported)'!$1:$5000,M1178,FALSE)</f>
        <v>0</v>
      </c>
      <c r="U1178">
        <f t="shared" si="55"/>
        <v>0</v>
      </c>
      <c r="V1178">
        <f>HLOOKUP("In Use MiB",'vInfo (Imported)'!$1:$5000,M1178,FALSE)</f>
        <v>0</v>
      </c>
    </row>
    <row r="1179" spans="1:22" ht="13" x14ac:dyDescent="0.3">
      <c r="A1179" s="46">
        <f>'vHosts (Imported)'!A1179</f>
        <v>0</v>
      </c>
      <c r="B1179" s="51">
        <f t="shared" si="54"/>
        <v>4968</v>
      </c>
      <c r="C1179" s="49">
        <f>HLOOKUP("# Cores",'vHosts (Imported)'!$1:$5000,M1179,FALSE)</f>
        <v>0</v>
      </c>
      <c r="D1179" s="52">
        <f>HLOOKUP("# Memory",'vHosts (Imported)'!$1:$5000,M1179,FALSE)</f>
        <v>0</v>
      </c>
      <c r="M1179" s="45">
        <f t="shared" si="56"/>
        <v>1179</v>
      </c>
      <c r="N1179" s="38">
        <f>HLOOKUP("Host",'vInfo (Imported)'!$1:$5000,M1179,FALSE)</f>
        <v>0</v>
      </c>
      <c r="R1179">
        <f>HLOOKUP("CPUs",'vInfo (Imported)'!$1:$5000,M1179,FALSE)</f>
        <v>0</v>
      </c>
      <c r="S1179">
        <f>HLOOKUP("Memory",'vInfo (Imported)'!$1:$5000,M1179,FALSE)</f>
        <v>0</v>
      </c>
      <c r="T1179">
        <f>HLOOKUP("Provisioned MiB",'vInfo (Imported)'!$1:$5000,M1179,FALSE)</f>
        <v>0</v>
      </c>
      <c r="U1179">
        <f t="shared" si="55"/>
        <v>0</v>
      </c>
      <c r="V1179">
        <f>HLOOKUP("In Use MiB",'vInfo (Imported)'!$1:$5000,M1179,FALSE)</f>
        <v>0</v>
      </c>
    </row>
    <row r="1180" spans="1:22" ht="13" x14ac:dyDescent="0.3">
      <c r="A1180" s="46">
        <f>'vHosts (Imported)'!A1180</f>
        <v>0</v>
      </c>
      <c r="B1180" s="51">
        <f t="shared" si="54"/>
        <v>4968</v>
      </c>
      <c r="C1180" s="49">
        <f>HLOOKUP("# Cores",'vHosts (Imported)'!$1:$5000,M1180,FALSE)</f>
        <v>0</v>
      </c>
      <c r="D1180" s="52">
        <f>HLOOKUP("# Memory",'vHosts (Imported)'!$1:$5000,M1180,FALSE)</f>
        <v>0</v>
      </c>
      <c r="M1180" s="45">
        <f t="shared" si="56"/>
        <v>1180</v>
      </c>
      <c r="N1180" s="38">
        <f>HLOOKUP("Host",'vInfo (Imported)'!$1:$5000,M1180,FALSE)</f>
        <v>0</v>
      </c>
      <c r="R1180">
        <f>HLOOKUP("CPUs",'vInfo (Imported)'!$1:$5000,M1180,FALSE)</f>
        <v>0</v>
      </c>
      <c r="S1180">
        <f>HLOOKUP("Memory",'vInfo (Imported)'!$1:$5000,M1180,FALSE)</f>
        <v>0</v>
      </c>
      <c r="T1180">
        <f>HLOOKUP("Provisioned MiB",'vInfo (Imported)'!$1:$5000,M1180,FALSE)</f>
        <v>0</v>
      </c>
      <c r="U1180">
        <f t="shared" si="55"/>
        <v>0</v>
      </c>
      <c r="V1180">
        <f>HLOOKUP("In Use MiB",'vInfo (Imported)'!$1:$5000,M1180,FALSE)</f>
        <v>0</v>
      </c>
    </row>
    <row r="1181" spans="1:22" ht="13" x14ac:dyDescent="0.3">
      <c r="A1181" s="46">
        <f>'vHosts (Imported)'!A1181</f>
        <v>0</v>
      </c>
      <c r="B1181" s="51">
        <f t="shared" si="54"/>
        <v>4968</v>
      </c>
      <c r="C1181" s="49">
        <f>HLOOKUP("# Cores",'vHosts (Imported)'!$1:$5000,M1181,FALSE)</f>
        <v>0</v>
      </c>
      <c r="D1181" s="52">
        <f>HLOOKUP("# Memory",'vHosts (Imported)'!$1:$5000,M1181,FALSE)</f>
        <v>0</v>
      </c>
      <c r="M1181" s="45">
        <f t="shared" si="56"/>
        <v>1181</v>
      </c>
      <c r="N1181" s="38">
        <f>HLOOKUP("Host",'vInfo (Imported)'!$1:$5000,M1181,FALSE)</f>
        <v>0</v>
      </c>
      <c r="R1181">
        <f>HLOOKUP("CPUs",'vInfo (Imported)'!$1:$5000,M1181,FALSE)</f>
        <v>0</v>
      </c>
      <c r="S1181">
        <f>HLOOKUP("Memory",'vInfo (Imported)'!$1:$5000,M1181,FALSE)</f>
        <v>0</v>
      </c>
      <c r="T1181">
        <f>HLOOKUP("Provisioned MiB",'vInfo (Imported)'!$1:$5000,M1181,FALSE)</f>
        <v>0</v>
      </c>
      <c r="U1181">
        <f t="shared" si="55"/>
        <v>0</v>
      </c>
      <c r="V1181">
        <f>HLOOKUP("In Use MiB",'vInfo (Imported)'!$1:$5000,M1181,FALSE)</f>
        <v>0</v>
      </c>
    </row>
    <row r="1182" spans="1:22" ht="13" x14ac:dyDescent="0.3">
      <c r="A1182" s="46">
        <f>'vHosts (Imported)'!A1182</f>
        <v>0</v>
      </c>
      <c r="B1182" s="51">
        <f t="shared" si="54"/>
        <v>4968</v>
      </c>
      <c r="C1182" s="49">
        <f>HLOOKUP("# Cores",'vHosts (Imported)'!$1:$5000,M1182,FALSE)</f>
        <v>0</v>
      </c>
      <c r="D1182" s="52">
        <f>HLOOKUP("# Memory",'vHosts (Imported)'!$1:$5000,M1182,FALSE)</f>
        <v>0</v>
      </c>
      <c r="M1182" s="45">
        <f t="shared" si="56"/>
        <v>1182</v>
      </c>
      <c r="N1182" s="38">
        <f>HLOOKUP("Host",'vInfo (Imported)'!$1:$5000,M1182,FALSE)</f>
        <v>0</v>
      </c>
      <c r="R1182">
        <f>HLOOKUP("CPUs",'vInfo (Imported)'!$1:$5000,M1182,FALSE)</f>
        <v>0</v>
      </c>
      <c r="S1182">
        <f>HLOOKUP("Memory",'vInfo (Imported)'!$1:$5000,M1182,FALSE)</f>
        <v>0</v>
      </c>
      <c r="T1182">
        <f>HLOOKUP("Provisioned MiB",'vInfo (Imported)'!$1:$5000,M1182,FALSE)</f>
        <v>0</v>
      </c>
      <c r="U1182">
        <f t="shared" si="55"/>
        <v>0</v>
      </c>
      <c r="V1182">
        <f>HLOOKUP("In Use MiB",'vInfo (Imported)'!$1:$5000,M1182,FALSE)</f>
        <v>0</v>
      </c>
    </row>
    <row r="1183" spans="1:22" ht="13" x14ac:dyDescent="0.3">
      <c r="A1183" s="46">
        <f>'vHosts (Imported)'!A1183</f>
        <v>0</v>
      </c>
      <c r="B1183" s="51">
        <f t="shared" si="54"/>
        <v>4968</v>
      </c>
      <c r="C1183" s="49">
        <f>HLOOKUP("# Cores",'vHosts (Imported)'!$1:$5000,M1183,FALSE)</f>
        <v>0</v>
      </c>
      <c r="D1183" s="52">
        <f>HLOOKUP("# Memory",'vHosts (Imported)'!$1:$5000,M1183,FALSE)</f>
        <v>0</v>
      </c>
      <c r="M1183" s="45">
        <f t="shared" si="56"/>
        <v>1183</v>
      </c>
      <c r="N1183" s="38">
        <f>HLOOKUP("Host",'vInfo (Imported)'!$1:$5000,M1183,FALSE)</f>
        <v>0</v>
      </c>
      <c r="R1183">
        <f>HLOOKUP("CPUs",'vInfo (Imported)'!$1:$5000,M1183,FALSE)</f>
        <v>0</v>
      </c>
      <c r="S1183">
        <f>HLOOKUP("Memory",'vInfo (Imported)'!$1:$5000,M1183,FALSE)</f>
        <v>0</v>
      </c>
      <c r="T1183">
        <f>HLOOKUP("Provisioned MiB",'vInfo (Imported)'!$1:$5000,M1183,FALSE)</f>
        <v>0</v>
      </c>
      <c r="U1183">
        <f t="shared" si="55"/>
        <v>0</v>
      </c>
      <c r="V1183">
        <f>HLOOKUP("In Use MiB",'vInfo (Imported)'!$1:$5000,M1183,FALSE)</f>
        <v>0</v>
      </c>
    </row>
    <row r="1184" spans="1:22" ht="13" x14ac:dyDescent="0.3">
      <c r="A1184" s="46">
        <f>'vHosts (Imported)'!A1184</f>
        <v>0</v>
      </c>
      <c r="B1184" s="51">
        <f t="shared" si="54"/>
        <v>4968</v>
      </c>
      <c r="C1184" s="49">
        <f>HLOOKUP("# Cores",'vHosts (Imported)'!$1:$5000,M1184,FALSE)</f>
        <v>0</v>
      </c>
      <c r="D1184" s="52">
        <f>HLOOKUP("# Memory",'vHosts (Imported)'!$1:$5000,M1184,FALSE)</f>
        <v>0</v>
      </c>
      <c r="M1184" s="45">
        <f t="shared" si="56"/>
        <v>1184</v>
      </c>
      <c r="N1184" s="38">
        <f>HLOOKUP("Host",'vInfo (Imported)'!$1:$5000,M1184,FALSE)</f>
        <v>0</v>
      </c>
      <c r="R1184">
        <f>HLOOKUP("CPUs",'vInfo (Imported)'!$1:$5000,M1184,FALSE)</f>
        <v>0</v>
      </c>
      <c r="S1184">
        <f>HLOOKUP("Memory",'vInfo (Imported)'!$1:$5000,M1184,FALSE)</f>
        <v>0</v>
      </c>
      <c r="T1184">
        <f>HLOOKUP("Provisioned MiB",'vInfo (Imported)'!$1:$5000,M1184,FALSE)</f>
        <v>0</v>
      </c>
      <c r="U1184">
        <f t="shared" si="55"/>
        <v>0</v>
      </c>
      <c r="V1184">
        <f>HLOOKUP("In Use MiB",'vInfo (Imported)'!$1:$5000,M1184,FALSE)</f>
        <v>0</v>
      </c>
    </row>
    <row r="1185" spans="1:22" ht="13" x14ac:dyDescent="0.3">
      <c r="A1185" s="46">
        <f>'vHosts (Imported)'!A1185</f>
        <v>0</v>
      </c>
      <c r="B1185" s="51">
        <f t="shared" si="54"/>
        <v>4968</v>
      </c>
      <c r="C1185" s="49">
        <f>HLOOKUP("# Cores",'vHosts (Imported)'!$1:$5000,M1185,FALSE)</f>
        <v>0</v>
      </c>
      <c r="D1185" s="52">
        <f>HLOOKUP("# Memory",'vHosts (Imported)'!$1:$5000,M1185,FALSE)</f>
        <v>0</v>
      </c>
      <c r="M1185" s="45">
        <f t="shared" si="56"/>
        <v>1185</v>
      </c>
      <c r="N1185" s="38">
        <f>HLOOKUP("Host",'vInfo (Imported)'!$1:$5000,M1185,FALSE)</f>
        <v>0</v>
      </c>
      <c r="R1185">
        <f>HLOOKUP("CPUs",'vInfo (Imported)'!$1:$5000,M1185,FALSE)</f>
        <v>0</v>
      </c>
      <c r="S1185">
        <f>HLOOKUP("Memory",'vInfo (Imported)'!$1:$5000,M1185,FALSE)</f>
        <v>0</v>
      </c>
      <c r="T1185">
        <f>HLOOKUP("Provisioned MiB",'vInfo (Imported)'!$1:$5000,M1185,FALSE)</f>
        <v>0</v>
      </c>
      <c r="U1185">
        <f t="shared" si="55"/>
        <v>0</v>
      </c>
      <c r="V1185">
        <f>HLOOKUP("In Use MiB",'vInfo (Imported)'!$1:$5000,M1185,FALSE)</f>
        <v>0</v>
      </c>
    </row>
    <row r="1186" spans="1:22" ht="13" x14ac:dyDescent="0.3">
      <c r="A1186" s="46">
        <f>'vHosts (Imported)'!A1186</f>
        <v>0</v>
      </c>
      <c r="B1186" s="51">
        <f t="shared" si="54"/>
        <v>4968</v>
      </c>
      <c r="C1186" s="49">
        <f>HLOOKUP("# Cores",'vHosts (Imported)'!$1:$5000,M1186,FALSE)</f>
        <v>0</v>
      </c>
      <c r="D1186" s="52">
        <f>HLOOKUP("# Memory",'vHosts (Imported)'!$1:$5000,M1186,FALSE)</f>
        <v>0</v>
      </c>
      <c r="M1186" s="45">
        <f t="shared" si="56"/>
        <v>1186</v>
      </c>
      <c r="N1186" s="38">
        <f>HLOOKUP("Host",'vInfo (Imported)'!$1:$5000,M1186,FALSE)</f>
        <v>0</v>
      </c>
      <c r="R1186">
        <f>HLOOKUP("CPUs",'vInfo (Imported)'!$1:$5000,M1186,FALSE)</f>
        <v>0</v>
      </c>
      <c r="S1186">
        <f>HLOOKUP("Memory",'vInfo (Imported)'!$1:$5000,M1186,FALSE)</f>
        <v>0</v>
      </c>
      <c r="T1186">
        <f>HLOOKUP("Provisioned MiB",'vInfo (Imported)'!$1:$5000,M1186,FALSE)</f>
        <v>0</v>
      </c>
      <c r="U1186">
        <f t="shared" si="55"/>
        <v>0</v>
      </c>
      <c r="V1186">
        <f>HLOOKUP("In Use MiB",'vInfo (Imported)'!$1:$5000,M1186,FALSE)</f>
        <v>0</v>
      </c>
    </row>
    <row r="1187" spans="1:22" ht="13" x14ac:dyDescent="0.3">
      <c r="A1187" s="46">
        <f>'vHosts (Imported)'!A1187</f>
        <v>0</v>
      </c>
      <c r="B1187" s="51">
        <f t="shared" si="54"/>
        <v>4968</v>
      </c>
      <c r="C1187" s="49">
        <f>HLOOKUP("# Cores",'vHosts (Imported)'!$1:$5000,M1187,FALSE)</f>
        <v>0</v>
      </c>
      <c r="D1187" s="52">
        <f>HLOOKUP("# Memory",'vHosts (Imported)'!$1:$5000,M1187,FALSE)</f>
        <v>0</v>
      </c>
      <c r="M1187" s="45">
        <f t="shared" si="56"/>
        <v>1187</v>
      </c>
      <c r="N1187" s="38">
        <f>HLOOKUP("Host",'vInfo (Imported)'!$1:$5000,M1187,FALSE)</f>
        <v>0</v>
      </c>
      <c r="R1187">
        <f>HLOOKUP("CPUs",'vInfo (Imported)'!$1:$5000,M1187,FALSE)</f>
        <v>0</v>
      </c>
      <c r="S1187">
        <f>HLOOKUP("Memory",'vInfo (Imported)'!$1:$5000,M1187,FALSE)</f>
        <v>0</v>
      </c>
      <c r="T1187">
        <f>HLOOKUP("Provisioned MiB",'vInfo (Imported)'!$1:$5000,M1187,FALSE)</f>
        <v>0</v>
      </c>
      <c r="U1187">
        <f t="shared" si="55"/>
        <v>0</v>
      </c>
      <c r="V1187">
        <f>HLOOKUP("In Use MiB",'vInfo (Imported)'!$1:$5000,M1187,FALSE)</f>
        <v>0</v>
      </c>
    </row>
    <row r="1188" spans="1:22" ht="13" x14ac:dyDescent="0.3">
      <c r="A1188" s="46">
        <f>'vHosts (Imported)'!A1188</f>
        <v>0</v>
      </c>
      <c r="B1188" s="51">
        <f t="shared" si="54"/>
        <v>4968</v>
      </c>
      <c r="C1188" s="49">
        <f>HLOOKUP("# Cores",'vHosts (Imported)'!$1:$5000,M1188,FALSE)</f>
        <v>0</v>
      </c>
      <c r="D1188" s="52">
        <f>HLOOKUP("# Memory",'vHosts (Imported)'!$1:$5000,M1188,FALSE)</f>
        <v>0</v>
      </c>
      <c r="M1188" s="45">
        <f t="shared" si="56"/>
        <v>1188</v>
      </c>
      <c r="N1188" s="38">
        <f>HLOOKUP("Host",'vInfo (Imported)'!$1:$5000,M1188,FALSE)</f>
        <v>0</v>
      </c>
      <c r="R1188">
        <f>HLOOKUP("CPUs",'vInfo (Imported)'!$1:$5000,M1188,FALSE)</f>
        <v>0</v>
      </c>
      <c r="S1188">
        <f>HLOOKUP("Memory",'vInfo (Imported)'!$1:$5000,M1188,FALSE)</f>
        <v>0</v>
      </c>
      <c r="T1188">
        <f>HLOOKUP("Provisioned MiB",'vInfo (Imported)'!$1:$5000,M1188,FALSE)</f>
        <v>0</v>
      </c>
      <c r="U1188">
        <f t="shared" si="55"/>
        <v>0</v>
      </c>
      <c r="V1188">
        <f>HLOOKUP("In Use MiB",'vInfo (Imported)'!$1:$5000,M1188,FALSE)</f>
        <v>0</v>
      </c>
    </row>
    <row r="1189" spans="1:22" ht="13" x14ac:dyDescent="0.3">
      <c r="A1189" s="46">
        <f>'vHosts (Imported)'!A1189</f>
        <v>0</v>
      </c>
      <c r="B1189" s="51">
        <f t="shared" si="54"/>
        <v>4968</v>
      </c>
      <c r="C1189" s="49">
        <f>HLOOKUP("# Cores",'vHosts (Imported)'!$1:$5000,M1189,FALSE)</f>
        <v>0</v>
      </c>
      <c r="D1189" s="52">
        <f>HLOOKUP("# Memory",'vHosts (Imported)'!$1:$5000,M1189,FALSE)</f>
        <v>0</v>
      </c>
      <c r="M1189" s="45">
        <f t="shared" si="56"/>
        <v>1189</v>
      </c>
      <c r="N1189" s="38">
        <f>HLOOKUP("Host",'vInfo (Imported)'!$1:$5000,M1189,FALSE)</f>
        <v>0</v>
      </c>
      <c r="R1189">
        <f>HLOOKUP("CPUs",'vInfo (Imported)'!$1:$5000,M1189,FALSE)</f>
        <v>0</v>
      </c>
      <c r="S1189">
        <f>HLOOKUP("Memory",'vInfo (Imported)'!$1:$5000,M1189,FALSE)</f>
        <v>0</v>
      </c>
      <c r="T1189">
        <f>HLOOKUP("Provisioned MiB",'vInfo (Imported)'!$1:$5000,M1189,FALSE)</f>
        <v>0</v>
      </c>
      <c r="U1189">
        <f t="shared" si="55"/>
        <v>0</v>
      </c>
      <c r="V1189">
        <f>HLOOKUP("In Use MiB",'vInfo (Imported)'!$1:$5000,M1189,FALSE)</f>
        <v>0</v>
      </c>
    </row>
    <row r="1190" spans="1:22" ht="13" x14ac:dyDescent="0.3">
      <c r="A1190" s="46">
        <f>'vHosts (Imported)'!A1190</f>
        <v>0</v>
      </c>
      <c r="B1190" s="51">
        <f t="shared" si="54"/>
        <v>4968</v>
      </c>
      <c r="C1190" s="49">
        <f>HLOOKUP("# Cores",'vHosts (Imported)'!$1:$5000,M1190,FALSE)</f>
        <v>0</v>
      </c>
      <c r="D1190" s="52">
        <f>HLOOKUP("# Memory",'vHosts (Imported)'!$1:$5000,M1190,FALSE)</f>
        <v>0</v>
      </c>
      <c r="M1190" s="45">
        <f t="shared" si="56"/>
        <v>1190</v>
      </c>
      <c r="N1190" s="38">
        <f>HLOOKUP("Host",'vInfo (Imported)'!$1:$5000,M1190,FALSE)</f>
        <v>0</v>
      </c>
      <c r="R1190">
        <f>HLOOKUP("CPUs",'vInfo (Imported)'!$1:$5000,M1190,FALSE)</f>
        <v>0</v>
      </c>
      <c r="S1190">
        <f>HLOOKUP("Memory",'vInfo (Imported)'!$1:$5000,M1190,FALSE)</f>
        <v>0</v>
      </c>
      <c r="T1190">
        <f>HLOOKUP("Provisioned MiB",'vInfo (Imported)'!$1:$5000,M1190,FALSE)</f>
        <v>0</v>
      </c>
      <c r="U1190">
        <f t="shared" si="55"/>
        <v>0</v>
      </c>
      <c r="V1190">
        <f>HLOOKUP("In Use MiB",'vInfo (Imported)'!$1:$5000,M1190,FALSE)</f>
        <v>0</v>
      </c>
    </row>
    <row r="1191" spans="1:22" ht="13" x14ac:dyDescent="0.3">
      <c r="A1191" s="46">
        <f>'vHosts (Imported)'!A1191</f>
        <v>0</v>
      </c>
      <c r="B1191" s="51">
        <f t="shared" si="54"/>
        <v>4968</v>
      </c>
      <c r="C1191" s="49">
        <f>HLOOKUP("# Cores",'vHosts (Imported)'!$1:$5000,M1191,FALSE)</f>
        <v>0</v>
      </c>
      <c r="D1191" s="52">
        <f>HLOOKUP("# Memory",'vHosts (Imported)'!$1:$5000,M1191,FALSE)</f>
        <v>0</v>
      </c>
      <c r="M1191" s="45">
        <f t="shared" si="56"/>
        <v>1191</v>
      </c>
      <c r="N1191" s="38">
        <f>HLOOKUP("Host",'vInfo (Imported)'!$1:$5000,M1191,FALSE)</f>
        <v>0</v>
      </c>
      <c r="R1191">
        <f>HLOOKUP("CPUs",'vInfo (Imported)'!$1:$5000,M1191,FALSE)</f>
        <v>0</v>
      </c>
      <c r="S1191">
        <f>HLOOKUP("Memory",'vInfo (Imported)'!$1:$5000,M1191,FALSE)</f>
        <v>0</v>
      </c>
      <c r="T1191">
        <f>HLOOKUP("Provisioned MiB",'vInfo (Imported)'!$1:$5000,M1191,FALSE)</f>
        <v>0</v>
      </c>
      <c r="U1191">
        <f t="shared" si="55"/>
        <v>0</v>
      </c>
      <c r="V1191">
        <f>HLOOKUP("In Use MiB",'vInfo (Imported)'!$1:$5000,M1191,FALSE)</f>
        <v>0</v>
      </c>
    </row>
    <row r="1192" spans="1:22" ht="13" x14ac:dyDescent="0.3">
      <c r="A1192" s="46">
        <f>'vHosts (Imported)'!A1192</f>
        <v>0</v>
      </c>
      <c r="B1192" s="51">
        <f t="shared" ref="B1192:B1255" si="57">COUNTIF(N:N,A1192)</f>
        <v>4968</v>
      </c>
      <c r="C1192" s="49">
        <f>HLOOKUP("# Cores",'vHosts (Imported)'!$1:$5000,M1192,FALSE)</f>
        <v>0</v>
      </c>
      <c r="D1192" s="52">
        <f>HLOOKUP("# Memory",'vHosts (Imported)'!$1:$5000,M1192,FALSE)</f>
        <v>0</v>
      </c>
      <c r="M1192" s="45">
        <f t="shared" si="56"/>
        <v>1192</v>
      </c>
      <c r="N1192" s="38">
        <f>HLOOKUP("Host",'vInfo (Imported)'!$1:$5000,M1192,FALSE)</f>
        <v>0</v>
      </c>
      <c r="R1192">
        <f>HLOOKUP("CPUs",'vInfo (Imported)'!$1:$5000,M1192,FALSE)</f>
        <v>0</v>
      </c>
      <c r="S1192">
        <f>HLOOKUP("Memory",'vInfo (Imported)'!$1:$5000,M1192,FALSE)</f>
        <v>0</v>
      </c>
      <c r="T1192">
        <f>HLOOKUP("Provisioned MiB",'vInfo (Imported)'!$1:$5000,M1192,FALSE)</f>
        <v>0</v>
      </c>
      <c r="U1192">
        <f t="shared" si="55"/>
        <v>0</v>
      </c>
      <c r="V1192">
        <f>HLOOKUP("In Use MiB",'vInfo (Imported)'!$1:$5000,M1192,FALSE)</f>
        <v>0</v>
      </c>
    </row>
    <row r="1193" spans="1:22" ht="13" x14ac:dyDescent="0.3">
      <c r="A1193" s="46">
        <f>'vHosts (Imported)'!A1193</f>
        <v>0</v>
      </c>
      <c r="B1193" s="51">
        <f t="shared" si="57"/>
        <v>4968</v>
      </c>
      <c r="C1193" s="49">
        <f>HLOOKUP("# Cores",'vHosts (Imported)'!$1:$5000,M1193,FALSE)</f>
        <v>0</v>
      </c>
      <c r="D1193" s="52">
        <f>HLOOKUP("# Memory",'vHosts (Imported)'!$1:$5000,M1193,FALSE)</f>
        <v>0</v>
      </c>
      <c r="M1193" s="45">
        <f t="shared" si="56"/>
        <v>1193</v>
      </c>
      <c r="N1193" s="38">
        <f>HLOOKUP("Host",'vInfo (Imported)'!$1:$5000,M1193,FALSE)</f>
        <v>0</v>
      </c>
      <c r="R1193">
        <f>HLOOKUP("CPUs",'vInfo (Imported)'!$1:$5000,M1193,FALSE)</f>
        <v>0</v>
      </c>
      <c r="S1193">
        <f>HLOOKUP("Memory",'vInfo (Imported)'!$1:$5000,M1193,FALSE)</f>
        <v>0</v>
      </c>
      <c r="T1193">
        <f>HLOOKUP("Provisioned MiB",'vInfo (Imported)'!$1:$5000,M1193,FALSE)</f>
        <v>0</v>
      </c>
      <c r="U1193">
        <f t="shared" si="55"/>
        <v>0</v>
      </c>
      <c r="V1193">
        <f>HLOOKUP("In Use MiB",'vInfo (Imported)'!$1:$5000,M1193,FALSE)</f>
        <v>0</v>
      </c>
    </row>
    <row r="1194" spans="1:22" ht="13" x14ac:dyDescent="0.3">
      <c r="A1194" s="46">
        <f>'vHosts (Imported)'!A1194</f>
        <v>0</v>
      </c>
      <c r="B1194" s="51">
        <f t="shared" si="57"/>
        <v>4968</v>
      </c>
      <c r="C1194" s="49">
        <f>HLOOKUP("# Cores",'vHosts (Imported)'!$1:$5000,M1194,FALSE)</f>
        <v>0</v>
      </c>
      <c r="D1194" s="52">
        <f>HLOOKUP("# Memory",'vHosts (Imported)'!$1:$5000,M1194,FALSE)</f>
        <v>0</v>
      </c>
      <c r="M1194" s="45">
        <f t="shared" si="56"/>
        <v>1194</v>
      </c>
      <c r="N1194" s="38">
        <f>HLOOKUP("Host",'vInfo (Imported)'!$1:$5000,M1194,FALSE)</f>
        <v>0</v>
      </c>
      <c r="R1194">
        <f>HLOOKUP("CPUs",'vInfo (Imported)'!$1:$5000,M1194,FALSE)</f>
        <v>0</v>
      </c>
      <c r="S1194">
        <f>HLOOKUP("Memory",'vInfo (Imported)'!$1:$5000,M1194,FALSE)</f>
        <v>0</v>
      </c>
      <c r="T1194">
        <f>HLOOKUP("Provisioned MiB",'vInfo (Imported)'!$1:$5000,M1194,FALSE)</f>
        <v>0</v>
      </c>
      <c r="U1194">
        <f t="shared" si="55"/>
        <v>0</v>
      </c>
      <c r="V1194">
        <f>HLOOKUP("In Use MiB",'vInfo (Imported)'!$1:$5000,M1194,FALSE)</f>
        <v>0</v>
      </c>
    </row>
    <row r="1195" spans="1:22" ht="13" x14ac:dyDescent="0.3">
      <c r="A1195" s="46">
        <f>'vHosts (Imported)'!A1195</f>
        <v>0</v>
      </c>
      <c r="B1195" s="51">
        <f t="shared" si="57"/>
        <v>4968</v>
      </c>
      <c r="C1195" s="49">
        <f>HLOOKUP("# Cores",'vHosts (Imported)'!$1:$5000,M1195,FALSE)</f>
        <v>0</v>
      </c>
      <c r="D1195" s="52">
        <f>HLOOKUP("# Memory",'vHosts (Imported)'!$1:$5000,M1195,FALSE)</f>
        <v>0</v>
      </c>
      <c r="M1195" s="45">
        <f t="shared" si="56"/>
        <v>1195</v>
      </c>
      <c r="N1195" s="38">
        <f>HLOOKUP("Host",'vInfo (Imported)'!$1:$5000,M1195,FALSE)</f>
        <v>0</v>
      </c>
      <c r="R1195">
        <f>HLOOKUP("CPUs",'vInfo (Imported)'!$1:$5000,M1195,FALSE)</f>
        <v>0</v>
      </c>
      <c r="S1195">
        <f>HLOOKUP("Memory",'vInfo (Imported)'!$1:$5000,M1195,FALSE)</f>
        <v>0</v>
      </c>
      <c r="T1195">
        <f>HLOOKUP("Provisioned MiB",'vInfo (Imported)'!$1:$5000,M1195,FALSE)</f>
        <v>0</v>
      </c>
      <c r="U1195">
        <f t="shared" si="55"/>
        <v>0</v>
      </c>
      <c r="V1195">
        <f>HLOOKUP("In Use MiB",'vInfo (Imported)'!$1:$5000,M1195,FALSE)</f>
        <v>0</v>
      </c>
    </row>
    <row r="1196" spans="1:22" ht="13" x14ac:dyDescent="0.3">
      <c r="A1196" s="46">
        <f>'vHosts (Imported)'!A1196</f>
        <v>0</v>
      </c>
      <c r="B1196" s="51">
        <f t="shared" si="57"/>
        <v>4968</v>
      </c>
      <c r="C1196" s="49">
        <f>HLOOKUP("# Cores",'vHosts (Imported)'!$1:$5000,M1196,FALSE)</f>
        <v>0</v>
      </c>
      <c r="D1196" s="52">
        <f>HLOOKUP("# Memory",'vHosts (Imported)'!$1:$5000,M1196,FALSE)</f>
        <v>0</v>
      </c>
      <c r="M1196" s="45">
        <f t="shared" si="56"/>
        <v>1196</v>
      </c>
      <c r="N1196" s="38">
        <f>HLOOKUP("Host",'vInfo (Imported)'!$1:$5000,M1196,FALSE)</f>
        <v>0</v>
      </c>
      <c r="R1196">
        <f>HLOOKUP("CPUs",'vInfo (Imported)'!$1:$5000,M1196,FALSE)</f>
        <v>0</v>
      </c>
      <c r="S1196">
        <f>HLOOKUP("Memory",'vInfo (Imported)'!$1:$5000,M1196,FALSE)</f>
        <v>0</v>
      </c>
      <c r="T1196">
        <f>HLOOKUP("Provisioned MiB",'vInfo (Imported)'!$1:$5000,M1196,FALSE)</f>
        <v>0</v>
      </c>
      <c r="U1196">
        <f t="shared" si="55"/>
        <v>0</v>
      </c>
      <c r="V1196">
        <f>HLOOKUP("In Use MiB",'vInfo (Imported)'!$1:$5000,M1196,FALSE)</f>
        <v>0</v>
      </c>
    </row>
    <row r="1197" spans="1:22" ht="13" x14ac:dyDescent="0.3">
      <c r="A1197" s="46">
        <f>'vHosts (Imported)'!A1197</f>
        <v>0</v>
      </c>
      <c r="B1197" s="51">
        <f t="shared" si="57"/>
        <v>4968</v>
      </c>
      <c r="C1197" s="49">
        <f>HLOOKUP("# Cores",'vHosts (Imported)'!$1:$5000,M1197,FALSE)</f>
        <v>0</v>
      </c>
      <c r="D1197" s="52">
        <f>HLOOKUP("# Memory",'vHosts (Imported)'!$1:$5000,M1197,FALSE)</f>
        <v>0</v>
      </c>
      <c r="M1197" s="45">
        <f t="shared" si="56"/>
        <v>1197</v>
      </c>
      <c r="N1197" s="38">
        <f>HLOOKUP("Host",'vInfo (Imported)'!$1:$5000,M1197,FALSE)</f>
        <v>0</v>
      </c>
      <c r="R1197">
        <f>HLOOKUP("CPUs",'vInfo (Imported)'!$1:$5000,M1197,FALSE)</f>
        <v>0</v>
      </c>
      <c r="S1197">
        <f>HLOOKUP("Memory",'vInfo (Imported)'!$1:$5000,M1197,FALSE)</f>
        <v>0</v>
      </c>
      <c r="T1197">
        <f>HLOOKUP("Provisioned MiB",'vInfo (Imported)'!$1:$5000,M1197,FALSE)</f>
        <v>0</v>
      </c>
      <c r="U1197">
        <f t="shared" si="55"/>
        <v>0</v>
      </c>
      <c r="V1197">
        <f>HLOOKUP("In Use MiB",'vInfo (Imported)'!$1:$5000,M1197,FALSE)</f>
        <v>0</v>
      </c>
    </row>
    <row r="1198" spans="1:22" ht="13" x14ac:dyDescent="0.3">
      <c r="A1198" s="46">
        <f>'vHosts (Imported)'!A1198</f>
        <v>0</v>
      </c>
      <c r="B1198" s="51">
        <f t="shared" si="57"/>
        <v>4968</v>
      </c>
      <c r="C1198" s="49">
        <f>HLOOKUP("# Cores",'vHosts (Imported)'!$1:$5000,M1198,FALSE)</f>
        <v>0</v>
      </c>
      <c r="D1198" s="52">
        <f>HLOOKUP("# Memory",'vHosts (Imported)'!$1:$5000,M1198,FALSE)</f>
        <v>0</v>
      </c>
      <c r="M1198" s="45">
        <f t="shared" si="56"/>
        <v>1198</v>
      </c>
      <c r="N1198" s="38">
        <f>HLOOKUP("Host",'vInfo (Imported)'!$1:$5000,M1198,FALSE)</f>
        <v>0</v>
      </c>
      <c r="R1198">
        <f>HLOOKUP("CPUs",'vInfo (Imported)'!$1:$5000,M1198,FALSE)</f>
        <v>0</v>
      </c>
      <c r="S1198">
        <f>HLOOKUP("Memory",'vInfo (Imported)'!$1:$5000,M1198,FALSE)</f>
        <v>0</v>
      </c>
      <c r="T1198">
        <f>HLOOKUP("Provisioned MiB",'vInfo (Imported)'!$1:$5000,M1198,FALSE)</f>
        <v>0</v>
      </c>
      <c r="U1198">
        <f t="shared" si="55"/>
        <v>0</v>
      </c>
      <c r="V1198">
        <f>HLOOKUP("In Use MiB",'vInfo (Imported)'!$1:$5000,M1198,FALSE)</f>
        <v>0</v>
      </c>
    </row>
    <row r="1199" spans="1:22" ht="13" x14ac:dyDescent="0.3">
      <c r="A1199" s="46">
        <f>'vHosts (Imported)'!A1199</f>
        <v>0</v>
      </c>
      <c r="B1199" s="51">
        <f t="shared" si="57"/>
        <v>4968</v>
      </c>
      <c r="C1199" s="49">
        <f>HLOOKUP("# Cores",'vHosts (Imported)'!$1:$5000,M1199,FALSE)</f>
        <v>0</v>
      </c>
      <c r="D1199" s="52">
        <f>HLOOKUP("# Memory",'vHosts (Imported)'!$1:$5000,M1199,FALSE)</f>
        <v>0</v>
      </c>
      <c r="M1199" s="45">
        <f t="shared" si="56"/>
        <v>1199</v>
      </c>
      <c r="N1199" s="38">
        <f>HLOOKUP("Host",'vInfo (Imported)'!$1:$5000,M1199,FALSE)</f>
        <v>0</v>
      </c>
      <c r="R1199">
        <f>HLOOKUP("CPUs",'vInfo (Imported)'!$1:$5000,M1199,FALSE)</f>
        <v>0</v>
      </c>
      <c r="S1199">
        <f>HLOOKUP("Memory",'vInfo (Imported)'!$1:$5000,M1199,FALSE)</f>
        <v>0</v>
      </c>
      <c r="T1199">
        <f>HLOOKUP("Provisioned MiB",'vInfo (Imported)'!$1:$5000,M1199,FALSE)</f>
        <v>0</v>
      </c>
      <c r="U1199">
        <f t="shared" si="55"/>
        <v>0</v>
      </c>
      <c r="V1199">
        <f>HLOOKUP("In Use MiB",'vInfo (Imported)'!$1:$5000,M1199,FALSE)</f>
        <v>0</v>
      </c>
    </row>
    <row r="1200" spans="1:22" ht="13" x14ac:dyDescent="0.3">
      <c r="A1200" s="46">
        <f>'vHosts (Imported)'!A1200</f>
        <v>0</v>
      </c>
      <c r="B1200" s="51">
        <f t="shared" si="57"/>
        <v>4968</v>
      </c>
      <c r="C1200" s="49">
        <f>HLOOKUP("# Cores",'vHosts (Imported)'!$1:$5000,M1200,FALSE)</f>
        <v>0</v>
      </c>
      <c r="D1200" s="52">
        <f>HLOOKUP("# Memory",'vHosts (Imported)'!$1:$5000,M1200,FALSE)</f>
        <v>0</v>
      </c>
      <c r="M1200" s="45">
        <f t="shared" si="56"/>
        <v>1200</v>
      </c>
      <c r="N1200" s="38">
        <f>HLOOKUP("Host",'vInfo (Imported)'!$1:$5000,M1200,FALSE)</f>
        <v>0</v>
      </c>
      <c r="R1200">
        <f>HLOOKUP("CPUs",'vInfo (Imported)'!$1:$5000,M1200,FALSE)</f>
        <v>0</v>
      </c>
      <c r="S1200">
        <f>HLOOKUP("Memory",'vInfo (Imported)'!$1:$5000,M1200,FALSE)</f>
        <v>0</v>
      </c>
      <c r="T1200">
        <f>HLOOKUP("Provisioned MiB",'vInfo (Imported)'!$1:$5000,M1200,FALSE)</f>
        <v>0</v>
      </c>
      <c r="U1200">
        <f t="shared" si="55"/>
        <v>0</v>
      </c>
      <c r="V1200">
        <f>HLOOKUP("In Use MiB",'vInfo (Imported)'!$1:$5000,M1200,FALSE)</f>
        <v>0</v>
      </c>
    </row>
    <row r="1201" spans="1:22" ht="13" x14ac:dyDescent="0.3">
      <c r="A1201" s="46">
        <f>'vHosts (Imported)'!A1201</f>
        <v>0</v>
      </c>
      <c r="B1201" s="51">
        <f t="shared" si="57"/>
        <v>4968</v>
      </c>
      <c r="C1201" s="49">
        <f>HLOOKUP("# Cores",'vHosts (Imported)'!$1:$5000,M1201,FALSE)</f>
        <v>0</v>
      </c>
      <c r="D1201" s="52">
        <f>HLOOKUP("# Memory",'vHosts (Imported)'!$1:$5000,M1201,FALSE)</f>
        <v>0</v>
      </c>
      <c r="M1201" s="45">
        <f t="shared" si="56"/>
        <v>1201</v>
      </c>
      <c r="N1201" s="38">
        <f>HLOOKUP("Host",'vInfo (Imported)'!$1:$5000,M1201,FALSE)</f>
        <v>0</v>
      </c>
      <c r="R1201">
        <f>HLOOKUP("CPUs",'vInfo (Imported)'!$1:$5000,M1201,FALSE)</f>
        <v>0</v>
      </c>
      <c r="S1201">
        <f>HLOOKUP("Memory",'vInfo (Imported)'!$1:$5000,M1201,FALSE)</f>
        <v>0</v>
      </c>
      <c r="T1201">
        <f>HLOOKUP("Provisioned MiB",'vInfo (Imported)'!$1:$5000,M1201,FALSE)</f>
        <v>0</v>
      </c>
      <c r="U1201">
        <f t="shared" si="55"/>
        <v>0</v>
      </c>
      <c r="V1201">
        <f>HLOOKUP("In Use MiB",'vInfo (Imported)'!$1:$5000,M1201,FALSE)</f>
        <v>0</v>
      </c>
    </row>
    <row r="1202" spans="1:22" ht="13" x14ac:dyDescent="0.3">
      <c r="A1202" s="46">
        <f>'vHosts (Imported)'!A1202</f>
        <v>0</v>
      </c>
      <c r="B1202" s="51">
        <f t="shared" si="57"/>
        <v>4968</v>
      </c>
      <c r="C1202" s="49">
        <f>HLOOKUP("# Cores",'vHosts (Imported)'!$1:$5000,M1202,FALSE)</f>
        <v>0</v>
      </c>
      <c r="D1202" s="52">
        <f>HLOOKUP("# Memory",'vHosts (Imported)'!$1:$5000,M1202,FALSE)</f>
        <v>0</v>
      </c>
      <c r="M1202" s="45">
        <f t="shared" si="56"/>
        <v>1202</v>
      </c>
      <c r="N1202" s="38">
        <f>HLOOKUP("Host",'vInfo (Imported)'!$1:$5000,M1202,FALSE)</f>
        <v>0</v>
      </c>
      <c r="R1202">
        <f>HLOOKUP("CPUs",'vInfo (Imported)'!$1:$5000,M1202,FALSE)</f>
        <v>0</v>
      </c>
      <c r="S1202">
        <f>HLOOKUP("Memory",'vInfo (Imported)'!$1:$5000,M1202,FALSE)</f>
        <v>0</v>
      </c>
      <c r="T1202">
        <f>HLOOKUP("Provisioned MiB",'vInfo (Imported)'!$1:$5000,M1202,FALSE)</f>
        <v>0</v>
      </c>
      <c r="U1202">
        <f t="shared" si="55"/>
        <v>0</v>
      </c>
      <c r="V1202">
        <f>HLOOKUP("In Use MiB",'vInfo (Imported)'!$1:$5000,M1202,FALSE)</f>
        <v>0</v>
      </c>
    </row>
    <row r="1203" spans="1:22" ht="13" x14ac:dyDescent="0.3">
      <c r="A1203" s="46">
        <f>'vHosts (Imported)'!A1203</f>
        <v>0</v>
      </c>
      <c r="B1203" s="51">
        <f t="shared" si="57"/>
        <v>4968</v>
      </c>
      <c r="C1203" s="49">
        <f>HLOOKUP("# Cores",'vHosts (Imported)'!$1:$5000,M1203,FALSE)</f>
        <v>0</v>
      </c>
      <c r="D1203" s="52">
        <f>HLOOKUP("# Memory",'vHosts (Imported)'!$1:$5000,M1203,FALSE)</f>
        <v>0</v>
      </c>
      <c r="M1203" s="45">
        <f t="shared" si="56"/>
        <v>1203</v>
      </c>
      <c r="N1203" s="38">
        <f>HLOOKUP("Host",'vInfo (Imported)'!$1:$5000,M1203,FALSE)</f>
        <v>0</v>
      </c>
      <c r="R1203">
        <f>HLOOKUP("CPUs",'vInfo (Imported)'!$1:$5000,M1203,FALSE)</f>
        <v>0</v>
      </c>
      <c r="S1203">
        <f>HLOOKUP("Memory",'vInfo (Imported)'!$1:$5000,M1203,FALSE)</f>
        <v>0</v>
      </c>
      <c r="T1203">
        <f>HLOOKUP("Provisioned MiB",'vInfo (Imported)'!$1:$5000,M1203,FALSE)</f>
        <v>0</v>
      </c>
      <c r="U1203">
        <f t="shared" si="55"/>
        <v>0</v>
      </c>
      <c r="V1203">
        <f>HLOOKUP("In Use MiB",'vInfo (Imported)'!$1:$5000,M1203,FALSE)</f>
        <v>0</v>
      </c>
    </row>
    <row r="1204" spans="1:22" ht="13" x14ac:dyDescent="0.3">
      <c r="A1204" s="46">
        <f>'vHosts (Imported)'!A1204</f>
        <v>0</v>
      </c>
      <c r="B1204" s="51">
        <f t="shared" si="57"/>
        <v>4968</v>
      </c>
      <c r="C1204" s="49">
        <f>HLOOKUP("# Cores",'vHosts (Imported)'!$1:$5000,M1204,FALSE)</f>
        <v>0</v>
      </c>
      <c r="D1204" s="52">
        <f>HLOOKUP("# Memory",'vHosts (Imported)'!$1:$5000,M1204,FALSE)</f>
        <v>0</v>
      </c>
      <c r="M1204" s="45">
        <f t="shared" si="56"/>
        <v>1204</v>
      </c>
      <c r="N1204" s="38">
        <f>HLOOKUP("Host",'vInfo (Imported)'!$1:$5000,M1204,FALSE)</f>
        <v>0</v>
      </c>
      <c r="R1204">
        <f>HLOOKUP("CPUs",'vInfo (Imported)'!$1:$5000,M1204,FALSE)</f>
        <v>0</v>
      </c>
      <c r="S1204">
        <f>HLOOKUP("Memory",'vInfo (Imported)'!$1:$5000,M1204,FALSE)</f>
        <v>0</v>
      </c>
      <c r="T1204">
        <f>HLOOKUP("Provisioned MiB",'vInfo (Imported)'!$1:$5000,M1204,FALSE)</f>
        <v>0</v>
      </c>
      <c r="U1204">
        <f t="shared" si="55"/>
        <v>0</v>
      </c>
      <c r="V1204">
        <f>HLOOKUP("In Use MiB",'vInfo (Imported)'!$1:$5000,M1204,FALSE)</f>
        <v>0</v>
      </c>
    </row>
    <row r="1205" spans="1:22" ht="13" x14ac:dyDescent="0.3">
      <c r="A1205" s="46">
        <f>'vHosts (Imported)'!A1205</f>
        <v>0</v>
      </c>
      <c r="B1205" s="51">
        <f t="shared" si="57"/>
        <v>4968</v>
      </c>
      <c r="C1205" s="49">
        <f>HLOOKUP("# Cores",'vHosts (Imported)'!$1:$5000,M1205,FALSE)</f>
        <v>0</v>
      </c>
      <c r="D1205" s="52">
        <f>HLOOKUP("# Memory",'vHosts (Imported)'!$1:$5000,M1205,FALSE)</f>
        <v>0</v>
      </c>
      <c r="M1205" s="45">
        <f t="shared" si="56"/>
        <v>1205</v>
      </c>
      <c r="N1205" s="38">
        <f>HLOOKUP("Host",'vInfo (Imported)'!$1:$5000,M1205,FALSE)</f>
        <v>0</v>
      </c>
      <c r="R1205">
        <f>HLOOKUP("CPUs",'vInfo (Imported)'!$1:$5000,M1205,FALSE)</f>
        <v>0</v>
      </c>
      <c r="S1205">
        <f>HLOOKUP("Memory",'vInfo (Imported)'!$1:$5000,M1205,FALSE)</f>
        <v>0</v>
      </c>
      <c r="T1205">
        <f>HLOOKUP("Provisioned MiB",'vInfo (Imported)'!$1:$5000,M1205,FALSE)</f>
        <v>0</v>
      </c>
      <c r="U1205">
        <f t="shared" si="55"/>
        <v>0</v>
      </c>
      <c r="V1205">
        <f>HLOOKUP("In Use MiB",'vInfo (Imported)'!$1:$5000,M1205,FALSE)</f>
        <v>0</v>
      </c>
    </row>
    <row r="1206" spans="1:22" ht="13" x14ac:dyDescent="0.3">
      <c r="A1206" s="46">
        <f>'vHosts (Imported)'!A1206</f>
        <v>0</v>
      </c>
      <c r="B1206" s="51">
        <f t="shared" si="57"/>
        <v>4968</v>
      </c>
      <c r="C1206" s="49">
        <f>HLOOKUP("# Cores",'vHosts (Imported)'!$1:$5000,M1206,FALSE)</f>
        <v>0</v>
      </c>
      <c r="D1206" s="52">
        <f>HLOOKUP("# Memory",'vHosts (Imported)'!$1:$5000,M1206,FALSE)</f>
        <v>0</v>
      </c>
      <c r="M1206" s="45">
        <f t="shared" si="56"/>
        <v>1206</v>
      </c>
      <c r="N1206" s="38">
        <f>HLOOKUP("Host",'vInfo (Imported)'!$1:$5000,M1206,FALSE)</f>
        <v>0</v>
      </c>
      <c r="R1206">
        <f>HLOOKUP("CPUs",'vInfo (Imported)'!$1:$5000,M1206,FALSE)</f>
        <v>0</v>
      </c>
      <c r="S1206">
        <f>HLOOKUP("Memory",'vInfo (Imported)'!$1:$5000,M1206,FALSE)</f>
        <v>0</v>
      </c>
      <c r="T1206">
        <f>HLOOKUP("Provisioned MiB",'vInfo (Imported)'!$1:$5000,M1206,FALSE)</f>
        <v>0</v>
      </c>
      <c r="U1206">
        <f t="shared" si="55"/>
        <v>0</v>
      </c>
      <c r="V1206">
        <f>HLOOKUP("In Use MiB",'vInfo (Imported)'!$1:$5000,M1206,FALSE)</f>
        <v>0</v>
      </c>
    </row>
    <row r="1207" spans="1:22" ht="13" x14ac:dyDescent="0.3">
      <c r="A1207" s="46">
        <f>'vHosts (Imported)'!A1207</f>
        <v>0</v>
      </c>
      <c r="B1207" s="51">
        <f t="shared" si="57"/>
        <v>4968</v>
      </c>
      <c r="C1207" s="49">
        <f>HLOOKUP("# Cores",'vHosts (Imported)'!$1:$5000,M1207,FALSE)</f>
        <v>0</v>
      </c>
      <c r="D1207" s="52">
        <f>HLOOKUP("# Memory",'vHosts (Imported)'!$1:$5000,M1207,FALSE)</f>
        <v>0</v>
      </c>
      <c r="M1207" s="45">
        <f t="shared" si="56"/>
        <v>1207</v>
      </c>
      <c r="N1207" s="38">
        <f>HLOOKUP("Host",'vInfo (Imported)'!$1:$5000,M1207,FALSE)</f>
        <v>0</v>
      </c>
      <c r="R1207">
        <f>HLOOKUP("CPUs",'vInfo (Imported)'!$1:$5000,M1207,FALSE)</f>
        <v>0</v>
      </c>
      <c r="S1207">
        <f>HLOOKUP("Memory",'vInfo (Imported)'!$1:$5000,M1207,FALSE)</f>
        <v>0</v>
      </c>
      <c r="T1207">
        <f>HLOOKUP("Provisioned MiB",'vInfo (Imported)'!$1:$5000,M1207,FALSE)</f>
        <v>0</v>
      </c>
      <c r="U1207">
        <f t="shared" si="55"/>
        <v>0</v>
      </c>
      <c r="V1207">
        <f>HLOOKUP("In Use MiB",'vInfo (Imported)'!$1:$5000,M1207,FALSE)</f>
        <v>0</v>
      </c>
    </row>
    <row r="1208" spans="1:22" ht="13" x14ac:dyDescent="0.3">
      <c r="A1208" s="46">
        <f>'vHosts (Imported)'!A1208</f>
        <v>0</v>
      </c>
      <c r="B1208" s="51">
        <f t="shared" si="57"/>
        <v>4968</v>
      </c>
      <c r="C1208" s="49">
        <f>HLOOKUP("# Cores",'vHosts (Imported)'!$1:$5000,M1208,FALSE)</f>
        <v>0</v>
      </c>
      <c r="D1208" s="52">
        <f>HLOOKUP("# Memory",'vHosts (Imported)'!$1:$5000,M1208,FALSE)</f>
        <v>0</v>
      </c>
      <c r="M1208" s="45">
        <f t="shared" si="56"/>
        <v>1208</v>
      </c>
      <c r="N1208" s="38">
        <f>HLOOKUP("Host",'vInfo (Imported)'!$1:$5000,M1208,FALSE)</f>
        <v>0</v>
      </c>
      <c r="R1208">
        <f>HLOOKUP("CPUs",'vInfo (Imported)'!$1:$5000,M1208,FALSE)</f>
        <v>0</v>
      </c>
      <c r="S1208">
        <f>HLOOKUP("Memory",'vInfo (Imported)'!$1:$5000,M1208,FALSE)</f>
        <v>0</v>
      </c>
      <c r="T1208">
        <f>HLOOKUP("Provisioned MiB",'vInfo (Imported)'!$1:$5000,M1208,FALSE)</f>
        <v>0</v>
      </c>
      <c r="U1208">
        <f t="shared" si="55"/>
        <v>0</v>
      </c>
      <c r="V1208">
        <f>HLOOKUP("In Use MiB",'vInfo (Imported)'!$1:$5000,M1208,FALSE)</f>
        <v>0</v>
      </c>
    </row>
    <row r="1209" spans="1:22" ht="13" x14ac:dyDescent="0.3">
      <c r="A1209" s="46">
        <f>'vHosts (Imported)'!A1209</f>
        <v>0</v>
      </c>
      <c r="B1209" s="51">
        <f t="shared" si="57"/>
        <v>4968</v>
      </c>
      <c r="C1209" s="49">
        <f>HLOOKUP("# Cores",'vHosts (Imported)'!$1:$5000,M1209,FALSE)</f>
        <v>0</v>
      </c>
      <c r="D1209" s="52">
        <f>HLOOKUP("# Memory",'vHosts (Imported)'!$1:$5000,M1209,FALSE)</f>
        <v>0</v>
      </c>
      <c r="M1209" s="45">
        <f t="shared" si="56"/>
        <v>1209</v>
      </c>
      <c r="N1209" s="38">
        <f>HLOOKUP("Host",'vInfo (Imported)'!$1:$5000,M1209,FALSE)</f>
        <v>0</v>
      </c>
      <c r="R1209">
        <f>HLOOKUP("CPUs",'vInfo (Imported)'!$1:$5000,M1209,FALSE)</f>
        <v>0</v>
      </c>
      <c r="S1209">
        <f>HLOOKUP("Memory",'vInfo (Imported)'!$1:$5000,M1209,FALSE)</f>
        <v>0</v>
      </c>
      <c r="T1209">
        <f>HLOOKUP("Provisioned MiB",'vInfo (Imported)'!$1:$5000,M1209,FALSE)</f>
        <v>0</v>
      </c>
      <c r="U1209">
        <f t="shared" si="55"/>
        <v>0</v>
      </c>
      <c r="V1209">
        <f>HLOOKUP("In Use MiB",'vInfo (Imported)'!$1:$5000,M1209,FALSE)</f>
        <v>0</v>
      </c>
    </row>
    <row r="1210" spans="1:22" ht="13" x14ac:dyDescent="0.3">
      <c r="A1210" s="46">
        <f>'vHosts (Imported)'!A1210</f>
        <v>0</v>
      </c>
      <c r="B1210" s="51">
        <f t="shared" si="57"/>
        <v>4968</v>
      </c>
      <c r="C1210" s="49">
        <f>HLOOKUP("# Cores",'vHosts (Imported)'!$1:$5000,M1210,FALSE)</f>
        <v>0</v>
      </c>
      <c r="D1210" s="52">
        <f>HLOOKUP("# Memory",'vHosts (Imported)'!$1:$5000,M1210,FALSE)</f>
        <v>0</v>
      </c>
      <c r="M1210" s="45">
        <f t="shared" si="56"/>
        <v>1210</v>
      </c>
      <c r="N1210" s="38">
        <f>HLOOKUP("Host",'vInfo (Imported)'!$1:$5000,M1210,FALSE)</f>
        <v>0</v>
      </c>
      <c r="R1210">
        <f>HLOOKUP("CPUs",'vInfo (Imported)'!$1:$5000,M1210,FALSE)</f>
        <v>0</v>
      </c>
      <c r="S1210">
        <f>HLOOKUP("Memory",'vInfo (Imported)'!$1:$5000,M1210,FALSE)</f>
        <v>0</v>
      </c>
      <c r="T1210">
        <f>HLOOKUP("Provisioned MiB",'vInfo (Imported)'!$1:$5000,M1210,FALSE)</f>
        <v>0</v>
      </c>
      <c r="U1210">
        <f t="shared" si="55"/>
        <v>0</v>
      </c>
      <c r="V1210">
        <f>HLOOKUP("In Use MiB",'vInfo (Imported)'!$1:$5000,M1210,FALSE)</f>
        <v>0</v>
      </c>
    </row>
    <row r="1211" spans="1:22" ht="13" x14ac:dyDescent="0.3">
      <c r="A1211" s="46">
        <f>'vHosts (Imported)'!A1211</f>
        <v>0</v>
      </c>
      <c r="B1211" s="51">
        <f t="shared" si="57"/>
        <v>4968</v>
      </c>
      <c r="C1211" s="49">
        <f>HLOOKUP("# Cores",'vHosts (Imported)'!$1:$5000,M1211,FALSE)</f>
        <v>0</v>
      </c>
      <c r="D1211" s="52">
        <f>HLOOKUP("# Memory",'vHosts (Imported)'!$1:$5000,M1211,FALSE)</f>
        <v>0</v>
      </c>
      <c r="M1211" s="45">
        <f t="shared" si="56"/>
        <v>1211</v>
      </c>
      <c r="N1211" s="38">
        <f>HLOOKUP("Host",'vInfo (Imported)'!$1:$5000,M1211,FALSE)</f>
        <v>0</v>
      </c>
      <c r="R1211">
        <f>HLOOKUP("CPUs",'vInfo (Imported)'!$1:$5000,M1211,FALSE)</f>
        <v>0</v>
      </c>
      <c r="S1211">
        <f>HLOOKUP("Memory",'vInfo (Imported)'!$1:$5000,M1211,FALSE)</f>
        <v>0</v>
      </c>
      <c r="T1211">
        <f>HLOOKUP("Provisioned MiB",'vInfo (Imported)'!$1:$5000,M1211,FALSE)</f>
        <v>0</v>
      </c>
      <c r="U1211">
        <f t="shared" si="55"/>
        <v>0</v>
      </c>
      <c r="V1211">
        <f>HLOOKUP("In Use MiB",'vInfo (Imported)'!$1:$5000,M1211,FALSE)</f>
        <v>0</v>
      </c>
    </row>
    <row r="1212" spans="1:22" ht="13" x14ac:dyDescent="0.3">
      <c r="A1212" s="46">
        <f>'vHosts (Imported)'!A1212</f>
        <v>0</v>
      </c>
      <c r="B1212" s="51">
        <f t="shared" si="57"/>
        <v>4968</v>
      </c>
      <c r="C1212" s="49">
        <f>HLOOKUP("# Cores",'vHosts (Imported)'!$1:$5000,M1212,FALSE)</f>
        <v>0</v>
      </c>
      <c r="D1212" s="52">
        <f>HLOOKUP("# Memory",'vHosts (Imported)'!$1:$5000,M1212,FALSE)</f>
        <v>0</v>
      </c>
      <c r="M1212" s="45">
        <f t="shared" si="56"/>
        <v>1212</v>
      </c>
      <c r="N1212" s="38">
        <f>HLOOKUP("Host",'vInfo (Imported)'!$1:$5000,M1212,FALSE)</f>
        <v>0</v>
      </c>
      <c r="R1212">
        <f>HLOOKUP("CPUs",'vInfo (Imported)'!$1:$5000,M1212,FALSE)</f>
        <v>0</v>
      </c>
      <c r="S1212">
        <f>HLOOKUP("Memory",'vInfo (Imported)'!$1:$5000,M1212,FALSE)</f>
        <v>0</v>
      </c>
      <c r="T1212">
        <f>HLOOKUP("Provisioned MiB",'vInfo (Imported)'!$1:$5000,M1212,FALSE)</f>
        <v>0</v>
      </c>
      <c r="U1212">
        <f t="shared" si="55"/>
        <v>0</v>
      </c>
      <c r="V1212">
        <f>HLOOKUP("In Use MiB",'vInfo (Imported)'!$1:$5000,M1212,FALSE)</f>
        <v>0</v>
      </c>
    </row>
    <row r="1213" spans="1:22" ht="13" x14ac:dyDescent="0.3">
      <c r="A1213" s="46">
        <f>'vHosts (Imported)'!A1213</f>
        <v>0</v>
      </c>
      <c r="B1213" s="51">
        <f t="shared" si="57"/>
        <v>4968</v>
      </c>
      <c r="C1213" s="49">
        <f>HLOOKUP("# Cores",'vHosts (Imported)'!$1:$5000,M1213,FALSE)</f>
        <v>0</v>
      </c>
      <c r="D1213" s="52">
        <f>HLOOKUP("# Memory",'vHosts (Imported)'!$1:$5000,M1213,FALSE)</f>
        <v>0</v>
      </c>
      <c r="M1213" s="45">
        <f t="shared" si="56"/>
        <v>1213</v>
      </c>
      <c r="N1213" s="38">
        <f>HLOOKUP("Host",'vInfo (Imported)'!$1:$5000,M1213,FALSE)</f>
        <v>0</v>
      </c>
      <c r="R1213">
        <f>HLOOKUP("CPUs",'vInfo (Imported)'!$1:$5000,M1213,FALSE)</f>
        <v>0</v>
      </c>
      <c r="S1213">
        <f>HLOOKUP("Memory",'vInfo (Imported)'!$1:$5000,M1213,FALSE)</f>
        <v>0</v>
      </c>
      <c r="T1213">
        <f>HLOOKUP("Provisioned MiB",'vInfo (Imported)'!$1:$5000,M1213,FALSE)</f>
        <v>0</v>
      </c>
      <c r="U1213">
        <f t="shared" si="55"/>
        <v>0</v>
      </c>
      <c r="V1213">
        <f>HLOOKUP("In Use MiB",'vInfo (Imported)'!$1:$5000,M1213,FALSE)</f>
        <v>0</v>
      </c>
    </row>
    <row r="1214" spans="1:22" ht="13" x14ac:dyDescent="0.3">
      <c r="A1214" s="46">
        <f>'vHosts (Imported)'!A1214</f>
        <v>0</v>
      </c>
      <c r="B1214" s="51">
        <f t="shared" si="57"/>
        <v>4968</v>
      </c>
      <c r="C1214" s="49">
        <f>HLOOKUP("# Cores",'vHosts (Imported)'!$1:$5000,M1214,FALSE)</f>
        <v>0</v>
      </c>
      <c r="D1214" s="52">
        <f>HLOOKUP("# Memory",'vHosts (Imported)'!$1:$5000,M1214,FALSE)</f>
        <v>0</v>
      </c>
      <c r="M1214" s="45">
        <f t="shared" si="56"/>
        <v>1214</v>
      </c>
      <c r="N1214" s="38">
        <f>HLOOKUP("Host",'vInfo (Imported)'!$1:$5000,M1214,FALSE)</f>
        <v>0</v>
      </c>
      <c r="R1214">
        <f>HLOOKUP("CPUs",'vInfo (Imported)'!$1:$5000,M1214,FALSE)</f>
        <v>0</v>
      </c>
      <c r="S1214">
        <f>HLOOKUP("Memory",'vInfo (Imported)'!$1:$5000,M1214,FALSE)</f>
        <v>0</v>
      </c>
      <c r="T1214">
        <f>HLOOKUP("Provisioned MiB",'vInfo (Imported)'!$1:$5000,M1214,FALSE)</f>
        <v>0</v>
      </c>
      <c r="U1214">
        <f t="shared" si="55"/>
        <v>0</v>
      </c>
      <c r="V1214">
        <f>HLOOKUP("In Use MiB",'vInfo (Imported)'!$1:$5000,M1214,FALSE)</f>
        <v>0</v>
      </c>
    </row>
    <row r="1215" spans="1:22" ht="13" x14ac:dyDescent="0.3">
      <c r="A1215" s="46">
        <f>'vHosts (Imported)'!A1215</f>
        <v>0</v>
      </c>
      <c r="B1215" s="51">
        <f t="shared" si="57"/>
        <v>4968</v>
      </c>
      <c r="C1215" s="49">
        <f>HLOOKUP("# Cores",'vHosts (Imported)'!$1:$5000,M1215,FALSE)</f>
        <v>0</v>
      </c>
      <c r="D1215" s="52">
        <f>HLOOKUP("# Memory",'vHosts (Imported)'!$1:$5000,M1215,FALSE)</f>
        <v>0</v>
      </c>
      <c r="M1215" s="45">
        <f t="shared" si="56"/>
        <v>1215</v>
      </c>
      <c r="N1215" s="38">
        <f>HLOOKUP("Host",'vInfo (Imported)'!$1:$5000,M1215,FALSE)</f>
        <v>0</v>
      </c>
      <c r="R1215">
        <f>HLOOKUP("CPUs",'vInfo (Imported)'!$1:$5000,M1215,FALSE)</f>
        <v>0</v>
      </c>
      <c r="S1215">
        <f>HLOOKUP("Memory",'vInfo (Imported)'!$1:$5000,M1215,FALSE)</f>
        <v>0</v>
      </c>
      <c r="T1215">
        <f>HLOOKUP("Provisioned MiB",'vInfo (Imported)'!$1:$5000,M1215,FALSE)</f>
        <v>0</v>
      </c>
      <c r="U1215">
        <f t="shared" si="55"/>
        <v>0</v>
      </c>
      <c r="V1215">
        <f>HLOOKUP("In Use MiB",'vInfo (Imported)'!$1:$5000,M1215,FALSE)</f>
        <v>0</v>
      </c>
    </row>
    <row r="1216" spans="1:22" ht="13" x14ac:dyDescent="0.3">
      <c r="A1216" s="46">
        <f>'vHosts (Imported)'!A1216</f>
        <v>0</v>
      </c>
      <c r="B1216" s="51">
        <f t="shared" si="57"/>
        <v>4968</v>
      </c>
      <c r="C1216" s="49">
        <f>HLOOKUP("# Cores",'vHosts (Imported)'!$1:$5000,M1216,FALSE)</f>
        <v>0</v>
      </c>
      <c r="D1216" s="52">
        <f>HLOOKUP("# Memory",'vHosts (Imported)'!$1:$5000,M1216,FALSE)</f>
        <v>0</v>
      </c>
      <c r="M1216" s="45">
        <f t="shared" si="56"/>
        <v>1216</v>
      </c>
      <c r="N1216" s="38">
        <f>HLOOKUP("Host",'vInfo (Imported)'!$1:$5000,M1216,FALSE)</f>
        <v>0</v>
      </c>
      <c r="R1216">
        <f>HLOOKUP("CPUs",'vInfo (Imported)'!$1:$5000,M1216,FALSE)</f>
        <v>0</v>
      </c>
      <c r="S1216">
        <f>HLOOKUP("Memory",'vInfo (Imported)'!$1:$5000,M1216,FALSE)</f>
        <v>0</v>
      </c>
      <c r="T1216">
        <f>HLOOKUP("Provisioned MiB",'vInfo (Imported)'!$1:$5000,M1216,FALSE)</f>
        <v>0</v>
      </c>
      <c r="U1216">
        <f t="shared" si="55"/>
        <v>0</v>
      </c>
      <c r="V1216">
        <f>HLOOKUP("In Use MiB",'vInfo (Imported)'!$1:$5000,M1216,FALSE)</f>
        <v>0</v>
      </c>
    </row>
    <row r="1217" spans="1:22" ht="13" x14ac:dyDescent="0.3">
      <c r="A1217" s="46">
        <f>'vHosts (Imported)'!A1217</f>
        <v>0</v>
      </c>
      <c r="B1217" s="51">
        <f t="shared" si="57"/>
        <v>4968</v>
      </c>
      <c r="C1217" s="49">
        <f>HLOOKUP("# Cores",'vHosts (Imported)'!$1:$5000,M1217,FALSE)</f>
        <v>0</v>
      </c>
      <c r="D1217" s="52">
        <f>HLOOKUP("# Memory",'vHosts (Imported)'!$1:$5000,M1217,FALSE)</f>
        <v>0</v>
      </c>
      <c r="M1217" s="45">
        <f t="shared" si="56"/>
        <v>1217</v>
      </c>
      <c r="N1217" s="38">
        <f>HLOOKUP("Host",'vInfo (Imported)'!$1:$5000,M1217,FALSE)</f>
        <v>0</v>
      </c>
      <c r="R1217">
        <f>HLOOKUP("CPUs",'vInfo (Imported)'!$1:$5000,M1217,FALSE)</f>
        <v>0</v>
      </c>
      <c r="S1217">
        <f>HLOOKUP("Memory",'vInfo (Imported)'!$1:$5000,M1217,FALSE)</f>
        <v>0</v>
      </c>
      <c r="T1217">
        <f>HLOOKUP("Provisioned MiB",'vInfo (Imported)'!$1:$5000,M1217,FALSE)</f>
        <v>0</v>
      </c>
      <c r="U1217">
        <f t="shared" si="55"/>
        <v>0</v>
      </c>
      <c r="V1217">
        <f>HLOOKUP("In Use MiB",'vInfo (Imported)'!$1:$5000,M1217,FALSE)</f>
        <v>0</v>
      </c>
    </row>
    <row r="1218" spans="1:22" ht="13" x14ac:dyDescent="0.3">
      <c r="A1218" s="46">
        <f>'vHosts (Imported)'!A1218</f>
        <v>0</v>
      </c>
      <c r="B1218" s="51">
        <f t="shared" si="57"/>
        <v>4968</v>
      </c>
      <c r="C1218" s="49">
        <f>HLOOKUP("# Cores",'vHosts (Imported)'!$1:$5000,M1218,FALSE)</f>
        <v>0</v>
      </c>
      <c r="D1218" s="52">
        <f>HLOOKUP("# Memory",'vHosts (Imported)'!$1:$5000,M1218,FALSE)</f>
        <v>0</v>
      </c>
      <c r="M1218" s="45">
        <f t="shared" si="56"/>
        <v>1218</v>
      </c>
      <c r="N1218" s="38">
        <f>HLOOKUP("Host",'vInfo (Imported)'!$1:$5000,M1218,FALSE)</f>
        <v>0</v>
      </c>
      <c r="R1218">
        <f>HLOOKUP("CPUs",'vInfo (Imported)'!$1:$5000,M1218,FALSE)</f>
        <v>0</v>
      </c>
      <c r="S1218">
        <f>HLOOKUP("Memory",'vInfo (Imported)'!$1:$5000,M1218,FALSE)</f>
        <v>0</v>
      </c>
      <c r="T1218">
        <f>HLOOKUP("Provisioned MiB",'vInfo (Imported)'!$1:$5000,M1218,FALSE)</f>
        <v>0</v>
      </c>
      <c r="U1218">
        <f t="shared" si="55"/>
        <v>0</v>
      </c>
      <c r="V1218">
        <f>HLOOKUP("In Use MiB",'vInfo (Imported)'!$1:$5000,M1218,FALSE)</f>
        <v>0</v>
      </c>
    </row>
    <row r="1219" spans="1:22" ht="13" x14ac:dyDescent="0.3">
      <c r="A1219" s="46">
        <f>'vHosts (Imported)'!A1219</f>
        <v>0</v>
      </c>
      <c r="B1219" s="51">
        <f t="shared" si="57"/>
        <v>4968</v>
      </c>
      <c r="C1219" s="49">
        <f>HLOOKUP("# Cores",'vHosts (Imported)'!$1:$5000,M1219,FALSE)</f>
        <v>0</v>
      </c>
      <c r="D1219" s="52">
        <f>HLOOKUP("# Memory",'vHosts (Imported)'!$1:$5000,M1219,FALSE)</f>
        <v>0</v>
      </c>
      <c r="M1219" s="45">
        <f t="shared" si="56"/>
        <v>1219</v>
      </c>
      <c r="N1219" s="38">
        <f>HLOOKUP("Host",'vInfo (Imported)'!$1:$5000,M1219,FALSE)</f>
        <v>0</v>
      </c>
      <c r="R1219">
        <f>HLOOKUP("CPUs",'vInfo (Imported)'!$1:$5000,M1219,FALSE)</f>
        <v>0</v>
      </c>
      <c r="S1219">
        <f>HLOOKUP("Memory",'vInfo (Imported)'!$1:$5000,M1219,FALSE)</f>
        <v>0</v>
      </c>
      <c r="T1219">
        <f>HLOOKUP("Provisioned MiB",'vInfo (Imported)'!$1:$5000,M1219,FALSE)</f>
        <v>0</v>
      </c>
      <c r="U1219">
        <f t="shared" ref="U1219:U1282" si="58">T1219-V1219</f>
        <v>0</v>
      </c>
      <c r="V1219">
        <f>HLOOKUP("In Use MiB",'vInfo (Imported)'!$1:$5000,M1219,FALSE)</f>
        <v>0</v>
      </c>
    </row>
    <row r="1220" spans="1:22" ht="13" x14ac:dyDescent="0.3">
      <c r="A1220" s="46">
        <f>'vHosts (Imported)'!A1220</f>
        <v>0</v>
      </c>
      <c r="B1220" s="51">
        <f t="shared" si="57"/>
        <v>4968</v>
      </c>
      <c r="C1220" s="49">
        <f>HLOOKUP("# Cores",'vHosts (Imported)'!$1:$5000,M1220,FALSE)</f>
        <v>0</v>
      </c>
      <c r="D1220" s="52">
        <f>HLOOKUP("# Memory",'vHosts (Imported)'!$1:$5000,M1220,FALSE)</f>
        <v>0</v>
      </c>
      <c r="M1220" s="45">
        <f t="shared" ref="M1220:M1283" si="59">M1219+1</f>
        <v>1220</v>
      </c>
      <c r="N1220" s="38">
        <f>HLOOKUP("Host",'vInfo (Imported)'!$1:$5000,M1220,FALSE)</f>
        <v>0</v>
      </c>
      <c r="R1220">
        <f>HLOOKUP("CPUs",'vInfo (Imported)'!$1:$5000,M1220,FALSE)</f>
        <v>0</v>
      </c>
      <c r="S1220">
        <f>HLOOKUP("Memory",'vInfo (Imported)'!$1:$5000,M1220,FALSE)</f>
        <v>0</v>
      </c>
      <c r="T1220">
        <f>HLOOKUP("Provisioned MiB",'vInfo (Imported)'!$1:$5000,M1220,FALSE)</f>
        <v>0</v>
      </c>
      <c r="U1220">
        <f t="shared" si="58"/>
        <v>0</v>
      </c>
      <c r="V1220">
        <f>HLOOKUP("In Use MiB",'vInfo (Imported)'!$1:$5000,M1220,FALSE)</f>
        <v>0</v>
      </c>
    </row>
    <row r="1221" spans="1:22" ht="13" x14ac:dyDescent="0.3">
      <c r="A1221" s="46">
        <f>'vHosts (Imported)'!A1221</f>
        <v>0</v>
      </c>
      <c r="B1221" s="51">
        <f t="shared" si="57"/>
        <v>4968</v>
      </c>
      <c r="C1221" s="49">
        <f>HLOOKUP("# Cores",'vHosts (Imported)'!$1:$5000,M1221,FALSE)</f>
        <v>0</v>
      </c>
      <c r="D1221" s="52">
        <f>HLOOKUP("# Memory",'vHosts (Imported)'!$1:$5000,M1221,FALSE)</f>
        <v>0</v>
      </c>
      <c r="M1221" s="45">
        <f t="shared" si="59"/>
        <v>1221</v>
      </c>
      <c r="N1221" s="38">
        <f>HLOOKUP("Host",'vInfo (Imported)'!$1:$5000,M1221,FALSE)</f>
        <v>0</v>
      </c>
      <c r="R1221">
        <f>HLOOKUP("CPUs",'vInfo (Imported)'!$1:$5000,M1221,FALSE)</f>
        <v>0</v>
      </c>
      <c r="S1221">
        <f>HLOOKUP("Memory",'vInfo (Imported)'!$1:$5000,M1221,FALSE)</f>
        <v>0</v>
      </c>
      <c r="T1221">
        <f>HLOOKUP("Provisioned MiB",'vInfo (Imported)'!$1:$5000,M1221,FALSE)</f>
        <v>0</v>
      </c>
      <c r="U1221">
        <f t="shared" si="58"/>
        <v>0</v>
      </c>
      <c r="V1221">
        <f>HLOOKUP("In Use MiB",'vInfo (Imported)'!$1:$5000,M1221,FALSE)</f>
        <v>0</v>
      </c>
    </row>
    <row r="1222" spans="1:22" ht="13" x14ac:dyDescent="0.3">
      <c r="A1222" s="46">
        <f>'vHosts (Imported)'!A1222</f>
        <v>0</v>
      </c>
      <c r="B1222" s="51">
        <f t="shared" si="57"/>
        <v>4968</v>
      </c>
      <c r="C1222" s="49">
        <f>HLOOKUP("# Cores",'vHosts (Imported)'!$1:$5000,M1222,FALSE)</f>
        <v>0</v>
      </c>
      <c r="D1222" s="52">
        <f>HLOOKUP("# Memory",'vHosts (Imported)'!$1:$5000,M1222,FALSE)</f>
        <v>0</v>
      </c>
      <c r="M1222" s="45">
        <f t="shared" si="59"/>
        <v>1222</v>
      </c>
      <c r="N1222" s="38">
        <f>HLOOKUP("Host",'vInfo (Imported)'!$1:$5000,M1222,FALSE)</f>
        <v>0</v>
      </c>
      <c r="R1222">
        <f>HLOOKUP("CPUs",'vInfo (Imported)'!$1:$5000,M1222,FALSE)</f>
        <v>0</v>
      </c>
      <c r="S1222">
        <f>HLOOKUP("Memory",'vInfo (Imported)'!$1:$5000,M1222,FALSE)</f>
        <v>0</v>
      </c>
      <c r="T1222">
        <f>HLOOKUP("Provisioned MiB",'vInfo (Imported)'!$1:$5000,M1222,FALSE)</f>
        <v>0</v>
      </c>
      <c r="U1222">
        <f t="shared" si="58"/>
        <v>0</v>
      </c>
      <c r="V1222">
        <f>HLOOKUP("In Use MiB",'vInfo (Imported)'!$1:$5000,M1222,FALSE)</f>
        <v>0</v>
      </c>
    </row>
    <row r="1223" spans="1:22" ht="13" x14ac:dyDescent="0.3">
      <c r="A1223" s="46">
        <f>'vHosts (Imported)'!A1223</f>
        <v>0</v>
      </c>
      <c r="B1223" s="51">
        <f t="shared" si="57"/>
        <v>4968</v>
      </c>
      <c r="C1223" s="49">
        <f>HLOOKUP("# Cores",'vHosts (Imported)'!$1:$5000,M1223,FALSE)</f>
        <v>0</v>
      </c>
      <c r="D1223" s="52">
        <f>HLOOKUP("# Memory",'vHosts (Imported)'!$1:$5000,M1223,FALSE)</f>
        <v>0</v>
      </c>
      <c r="M1223" s="45">
        <f t="shared" si="59"/>
        <v>1223</v>
      </c>
      <c r="N1223" s="38">
        <f>HLOOKUP("Host",'vInfo (Imported)'!$1:$5000,M1223,FALSE)</f>
        <v>0</v>
      </c>
      <c r="R1223">
        <f>HLOOKUP("CPUs",'vInfo (Imported)'!$1:$5000,M1223,FALSE)</f>
        <v>0</v>
      </c>
      <c r="S1223">
        <f>HLOOKUP("Memory",'vInfo (Imported)'!$1:$5000,M1223,FALSE)</f>
        <v>0</v>
      </c>
      <c r="T1223">
        <f>HLOOKUP("Provisioned MiB",'vInfo (Imported)'!$1:$5000,M1223,FALSE)</f>
        <v>0</v>
      </c>
      <c r="U1223">
        <f t="shared" si="58"/>
        <v>0</v>
      </c>
      <c r="V1223">
        <f>HLOOKUP("In Use MiB",'vInfo (Imported)'!$1:$5000,M1223,FALSE)</f>
        <v>0</v>
      </c>
    </row>
    <row r="1224" spans="1:22" ht="13" x14ac:dyDescent="0.3">
      <c r="A1224" s="46">
        <f>'vHosts (Imported)'!A1224</f>
        <v>0</v>
      </c>
      <c r="B1224" s="51">
        <f t="shared" si="57"/>
        <v>4968</v>
      </c>
      <c r="C1224" s="49">
        <f>HLOOKUP("# Cores",'vHosts (Imported)'!$1:$5000,M1224,FALSE)</f>
        <v>0</v>
      </c>
      <c r="D1224" s="52">
        <f>HLOOKUP("# Memory",'vHosts (Imported)'!$1:$5000,M1224,FALSE)</f>
        <v>0</v>
      </c>
      <c r="M1224" s="45">
        <f t="shared" si="59"/>
        <v>1224</v>
      </c>
      <c r="N1224" s="38">
        <f>HLOOKUP("Host",'vInfo (Imported)'!$1:$5000,M1224,FALSE)</f>
        <v>0</v>
      </c>
      <c r="R1224">
        <f>HLOOKUP("CPUs",'vInfo (Imported)'!$1:$5000,M1224,FALSE)</f>
        <v>0</v>
      </c>
      <c r="S1224">
        <f>HLOOKUP("Memory",'vInfo (Imported)'!$1:$5000,M1224,FALSE)</f>
        <v>0</v>
      </c>
      <c r="T1224">
        <f>HLOOKUP("Provisioned MiB",'vInfo (Imported)'!$1:$5000,M1224,FALSE)</f>
        <v>0</v>
      </c>
      <c r="U1224">
        <f t="shared" si="58"/>
        <v>0</v>
      </c>
      <c r="V1224">
        <f>HLOOKUP("In Use MiB",'vInfo (Imported)'!$1:$5000,M1224,FALSE)</f>
        <v>0</v>
      </c>
    </row>
    <row r="1225" spans="1:22" ht="13" x14ac:dyDescent="0.3">
      <c r="A1225" s="46">
        <f>'vHosts (Imported)'!A1225</f>
        <v>0</v>
      </c>
      <c r="B1225" s="51">
        <f t="shared" si="57"/>
        <v>4968</v>
      </c>
      <c r="C1225" s="49">
        <f>HLOOKUP("# Cores",'vHosts (Imported)'!$1:$5000,M1225,FALSE)</f>
        <v>0</v>
      </c>
      <c r="D1225" s="52">
        <f>HLOOKUP("# Memory",'vHosts (Imported)'!$1:$5000,M1225,FALSE)</f>
        <v>0</v>
      </c>
      <c r="M1225" s="45">
        <f t="shared" si="59"/>
        <v>1225</v>
      </c>
      <c r="N1225" s="38">
        <f>HLOOKUP("Host",'vInfo (Imported)'!$1:$5000,M1225,FALSE)</f>
        <v>0</v>
      </c>
      <c r="R1225">
        <f>HLOOKUP("CPUs",'vInfo (Imported)'!$1:$5000,M1225,FALSE)</f>
        <v>0</v>
      </c>
      <c r="S1225">
        <f>HLOOKUP("Memory",'vInfo (Imported)'!$1:$5000,M1225,FALSE)</f>
        <v>0</v>
      </c>
      <c r="T1225">
        <f>HLOOKUP("Provisioned MiB",'vInfo (Imported)'!$1:$5000,M1225,FALSE)</f>
        <v>0</v>
      </c>
      <c r="U1225">
        <f t="shared" si="58"/>
        <v>0</v>
      </c>
      <c r="V1225">
        <f>HLOOKUP("In Use MiB",'vInfo (Imported)'!$1:$5000,M1225,FALSE)</f>
        <v>0</v>
      </c>
    </row>
    <row r="1226" spans="1:22" ht="13" x14ac:dyDescent="0.3">
      <c r="A1226" s="46">
        <f>'vHosts (Imported)'!A1226</f>
        <v>0</v>
      </c>
      <c r="B1226" s="51">
        <f t="shared" si="57"/>
        <v>4968</v>
      </c>
      <c r="C1226" s="49">
        <f>HLOOKUP("# Cores",'vHosts (Imported)'!$1:$5000,M1226,FALSE)</f>
        <v>0</v>
      </c>
      <c r="D1226" s="52">
        <f>HLOOKUP("# Memory",'vHosts (Imported)'!$1:$5000,M1226,FALSE)</f>
        <v>0</v>
      </c>
      <c r="M1226" s="45">
        <f t="shared" si="59"/>
        <v>1226</v>
      </c>
      <c r="N1226" s="38">
        <f>HLOOKUP("Host",'vInfo (Imported)'!$1:$5000,M1226,FALSE)</f>
        <v>0</v>
      </c>
      <c r="R1226">
        <f>HLOOKUP("CPUs",'vInfo (Imported)'!$1:$5000,M1226,FALSE)</f>
        <v>0</v>
      </c>
      <c r="S1226">
        <f>HLOOKUP("Memory",'vInfo (Imported)'!$1:$5000,M1226,FALSE)</f>
        <v>0</v>
      </c>
      <c r="T1226">
        <f>HLOOKUP("Provisioned MiB",'vInfo (Imported)'!$1:$5000,M1226,FALSE)</f>
        <v>0</v>
      </c>
      <c r="U1226">
        <f t="shared" si="58"/>
        <v>0</v>
      </c>
      <c r="V1226">
        <f>HLOOKUP("In Use MiB",'vInfo (Imported)'!$1:$5000,M1226,FALSE)</f>
        <v>0</v>
      </c>
    </row>
    <row r="1227" spans="1:22" ht="13" x14ac:dyDescent="0.3">
      <c r="A1227" s="46">
        <f>'vHosts (Imported)'!A1227</f>
        <v>0</v>
      </c>
      <c r="B1227" s="51">
        <f t="shared" si="57"/>
        <v>4968</v>
      </c>
      <c r="C1227" s="49">
        <f>HLOOKUP("# Cores",'vHosts (Imported)'!$1:$5000,M1227,FALSE)</f>
        <v>0</v>
      </c>
      <c r="D1227" s="52">
        <f>HLOOKUP("# Memory",'vHosts (Imported)'!$1:$5000,M1227,FALSE)</f>
        <v>0</v>
      </c>
      <c r="M1227" s="45">
        <f t="shared" si="59"/>
        <v>1227</v>
      </c>
      <c r="N1227" s="38">
        <f>HLOOKUP("Host",'vInfo (Imported)'!$1:$5000,M1227,FALSE)</f>
        <v>0</v>
      </c>
      <c r="R1227">
        <f>HLOOKUP("CPUs",'vInfo (Imported)'!$1:$5000,M1227,FALSE)</f>
        <v>0</v>
      </c>
      <c r="S1227">
        <f>HLOOKUP("Memory",'vInfo (Imported)'!$1:$5000,M1227,FALSE)</f>
        <v>0</v>
      </c>
      <c r="T1227">
        <f>HLOOKUP("Provisioned MiB",'vInfo (Imported)'!$1:$5000,M1227,FALSE)</f>
        <v>0</v>
      </c>
      <c r="U1227">
        <f t="shared" si="58"/>
        <v>0</v>
      </c>
      <c r="V1227">
        <f>HLOOKUP("In Use MiB",'vInfo (Imported)'!$1:$5000,M1227,FALSE)</f>
        <v>0</v>
      </c>
    </row>
    <row r="1228" spans="1:22" ht="13" x14ac:dyDescent="0.3">
      <c r="A1228" s="46">
        <f>'vHosts (Imported)'!A1228</f>
        <v>0</v>
      </c>
      <c r="B1228" s="51">
        <f t="shared" si="57"/>
        <v>4968</v>
      </c>
      <c r="C1228" s="49">
        <f>HLOOKUP("# Cores",'vHosts (Imported)'!$1:$5000,M1228,FALSE)</f>
        <v>0</v>
      </c>
      <c r="D1228" s="52">
        <f>HLOOKUP("# Memory",'vHosts (Imported)'!$1:$5000,M1228,FALSE)</f>
        <v>0</v>
      </c>
      <c r="M1228" s="45">
        <f t="shared" si="59"/>
        <v>1228</v>
      </c>
      <c r="N1228" s="38">
        <f>HLOOKUP("Host",'vInfo (Imported)'!$1:$5000,M1228,FALSE)</f>
        <v>0</v>
      </c>
      <c r="R1228">
        <f>HLOOKUP("CPUs",'vInfo (Imported)'!$1:$5000,M1228,FALSE)</f>
        <v>0</v>
      </c>
      <c r="S1228">
        <f>HLOOKUP("Memory",'vInfo (Imported)'!$1:$5000,M1228,FALSE)</f>
        <v>0</v>
      </c>
      <c r="T1228">
        <f>HLOOKUP("Provisioned MiB",'vInfo (Imported)'!$1:$5000,M1228,FALSE)</f>
        <v>0</v>
      </c>
      <c r="U1228">
        <f t="shared" si="58"/>
        <v>0</v>
      </c>
      <c r="V1228">
        <f>HLOOKUP("In Use MiB",'vInfo (Imported)'!$1:$5000,M1228,FALSE)</f>
        <v>0</v>
      </c>
    </row>
    <row r="1229" spans="1:22" ht="13" x14ac:dyDescent="0.3">
      <c r="A1229" s="46">
        <f>'vHosts (Imported)'!A1229</f>
        <v>0</v>
      </c>
      <c r="B1229" s="51">
        <f t="shared" si="57"/>
        <v>4968</v>
      </c>
      <c r="C1229" s="49">
        <f>HLOOKUP("# Cores",'vHosts (Imported)'!$1:$5000,M1229,FALSE)</f>
        <v>0</v>
      </c>
      <c r="D1229" s="52">
        <f>HLOOKUP("# Memory",'vHosts (Imported)'!$1:$5000,M1229,FALSE)</f>
        <v>0</v>
      </c>
      <c r="M1229" s="45">
        <f t="shared" si="59"/>
        <v>1229</v>
      </c>
      <c r="N1229" s="38">
        <f>HLOOKUP("Host",'vInfo (Imported)'!$1:$5000,M1229,FALSE)</f>
        <v>0</v>
      </c>
      <c r="R1229">
        <f>HLOOKUP("CPUs",'vInfo (Imported)'!$1:$5000,M1229,FALSE)</f>
        <v>0</v>
      </c>
      <c r="S1229">
        <f>HLOOKUP("Memory",'vInfo (Imported)'!$1:$5000,M1229,FALSE)</f>
        <v>0</v>
      </c>
      <c r="T1229">
        <f>HLOOKUP("Provisioned MiB",'vInfo (Imported)'!$1:$5000,M1229,FALSE)</f>
        <v>0</v>
      </c>
      <c r="U1229">
        <f t="shared" si="58"/>
        <v>0</v>
      </c>
      <c r="V1229">
        <f>HLOOKUP("In Use MiB",'vInfo (Imported)'!$1:$5000,M1229,FALSE)</f>
        <v>0</v>
      </c>
    </row>
    <row r="1230" spans="1:22" ht="13" x14ac:dyDescent="0.3">
      <c r="A1230" s="46">
        <f>'vHosts (Imported)'!A1230</f>
        <v>0</v>
      </c>
      <c r="B1230" s="51">
        <f t="shared" si="57"/>
        <v>4968</v>
      </c>
      <c r="C1230" s="49">
        <f>HLOOKUP("# Cores",'vHosts (Imported)'!$1:$5000,M1230,FALSE)</f>
        <v>0</v>
      </c>
      <c r="D1230" s="52">
        <f>HLOOKUP("# Memory",'vHosts (Imported)'!$1:$5000,M1230,FALSE)</f>
        <v>0</v>
      </c>
      <c r="M1230" s="45">
        <f t="shared" si="59"/>
        <v>1230</v>
      </c>
      <c r="N1230" s="38">
        <f>HLOOKUP("Host",'vInfo (Imported)'!$1:$5000,M1230,FALSE)</f>
        <v>0</v>
      </c>
      <c r="R1230">
        <f>HLOOKUP("CPUs",'vInfo (Imported)'!$1:$5000,M1230,FALSE)</f>
        <v>0</v>
      </c>
      <c r="S1230">
        <f>HLOOKUP("Memory",'vInfo (Imported)'!$1:$5000,M1230,FALSE)</f>
        <v>0</v>
      </c>
      <c r="T1230">
        <f>HLOOKUP("Provisioned MiB",'vInfo (Imported)'!$1:$5000,M1230,FALSE)</f>
        <v>0</v>
      </c>
      <c r="U1230">
        <f t="shared" si="58"/>
        <v>0</v>
      </c>
      <c r="V1230">
        <f>HLOOKUP("In Use MiB",'vInfo (Imported)'!$1:$5000,M1230,FALSE)</f>
        <v>0</v>
      </c>
    </row>
    <row r="1231" spans="1:22" ht="13" x14ac:dyDescent="0.3">
      <c r="A1231" s="46">
        <f>'vHosts (Imported)'!A1231</f>
        <v>0</v>
      </c>
      <c r="B1231" s="51">
        <f t="shared" si="57"/>
        <v>4968</v>
      </c>
      <c r="C1231" s="49">
        <f>HLOOKUP("# Cores",'vHosts (Imported)'!$1:$5000,M1231,FALSE)</f>
        <v>0</v>
      </c>
      <c r="D1231" s="52">
        <f>HLOOKUP("# Memory",'vHosts (Imported)'!$1:$5000,M1231,FALSE)</f>
        <v>0</v>
      </c>
      <c r="M1231" s="45">
        <f t="shared" si="59"/>
        <v>1231</v>
      </c>
      <c r="N1231" s="38">
        <f>HLOOKUP("Host",'vInfo (Imported)'!$1:$5000,M1231,FALSE)</f>
        <v>0</v>
      </c>
      <c r="R1231">
        <f>HLOOKUP("CPUs",'vInfo (Imported)'!$1:$5000,M1231,FALSE)</f>
        <v>0</v>
      </c>
      <c r="S1231">
        <f>HLOOKUP("Memory",'vInfo (Imported)'!$1:$5000,M1231,FALSE)</f>
        <v>0</v>
      </c>
      <c r="T1231">
        <f>HLOOKUP("Provisioned MiB",'vInfo (Imported)'!$1:$5000,M1231,FALSE)</f>
        <v>0</v>
      </c>
      <c r="U1231">
        <f t="shared" si="58"/>
        <v>0</v>
      </c>
      <c r="V1231">
        <f>HLOOKUP("In Use MiB",'vInfo (Imported)'!$1:$5000,M1231,FALSE)</f>
        <v>0</v>
      </c>
    </row>
    <row r="1232" spans="1:22" ht="13" x14ac:dyDescent="0.3">
      <c r="A1232" s="46">
        <f>'vHosts (Imported)'!A1232</f>
        <v>0</v>
      </c>
      <c r="B1232" s="51">
        <f t="shared" si="57"/>
        <v>4968</v>
      </c>
      <c r="C1232" s="49">
        <f>HLOOKUP("# Cores",'vHosts (Imported)'!$1:$5000,M1232,FALSE)</f>
        <v>0</v>
      </c>
      <c r="D1232" s="52">
        <f>HLOOKUP("# Memory",'vHosts (Imported)'!$1:$5000,M1232,FALSE)</f>
        <v>0</v>
      </c>
      <c r="M1232" s="45">
        <f t="shared" si="59"/>
        <v>1232</v>
      </c>
      <c r="N1232" s="38">
        <f>HLOOKUP("Host",'vInfo (Imported)'!$1:$5000,M1232,FALSE)</f>
        <v>0</v>
      </c>
      <c r="R1232">
        <f>HLOOKUP("CPUs",'vInfo (Imported)'!$1:$5000,M1232,FALSE)</f>
        <v>0</v>
      </c>
      <c r="S1232">
        <f>HLOOKUP("Memory",'vInfo (Imported)'!$1:$5000,M1232,FALSE)</f>
        <v>0</v>
      </c>
      <c r="T1232">
        <f>HLOOKUP("Provisioned MiB",'vInfo (Imported)'!$1:$5000,M1232,FALSE)</f>
        <v>0</v>
      </c>
      <c r="U1232">
        <f t="shared" si="58"/>
        <v>0</v>
      </c>
      <c r="V1232">
        <f>HLOOKUP("In Use MiB",'vInfo (Imported)'!$1:$5000,M1232,FALSE)</f>
        <v>0</v>
      </c>
    </row>
    <row r="1233" spans="1:22" ht="13" x14ac:dyDescent="0.3">
      <c r="A1233" s="46">
        <f>'vHosts (Imported)'!A1233</f>
        <v>0</v>
      </c>
      <c r="B1233" s="51">
        <f t="shared" si="57"/>
        <v>4968</v>
      </c>
      <c r="C1233" s="49">
        <f>HLOOKUP("# Cores",'vHosts (Imported)'!$1:$5000,M1233,FALSE)</f>
        <v>0</v>
      </c>
      <c r="D1233" s="52">
        <f>HLOOKUP("# Memory",'vHosts (Imported)'!$1:$5000,M1233,FALSE)</f>
        <v>0</v>
      </c>
      <c r="M1233" s="45">
        <f t="shared" si="59"/>
        <v>1233</v>
      </c>
      <c r="N1233" s="38">
        <f>HLOOKUP("Host",'vInfo (Imported)'!$1:$5000,M1233,FALSE)</f>
        <v>0</v>
      </c>
      <c r="R1233">
        <f>HLOOKUP("CPUs",'vInfo (Imported)'!$1:$5000,M1233,FALSE)</f>
        <v>0</v>
      </c>
      <c r="S1233">
        <f>HLOOKUP("Memory",'vInfo (Imported)'!$1:$5000,M1233,FALSE)</f>
        <v>0</v>
      </c>
      <c r="T1233">
        <f>HLOOKUP("Provisioned MiB",'vInfo (Imported)'!$1:$5000,M1233,FALSE)</f>
        <v>0</v>
      </c>
      <c r="U1233">
        <f t="shared" si="58"/>
        <v>0</v>
      </c>
      <c r="V1233">
        <f>HLOOKUP("In Use MiB",'vInfo (Imported)'!$1:$5000,M1233,FALSE)</f>
        <v>0</v>
      </c>
    </row>
    <row r="1234" spans="1:22" ht="13" x14ac:dyDescent="0.3">
      <c r="A1234" s="46">
        <f>'vHosts (Imported)'!A1234</f>
        <v>0</v>
      </c>
      <c r="B1234" s="51">
        <f t="shared" si="57"/>
        <v>4968</v>
      </c>
      <c r="C1234" s="49">
        <f>HLOOKUP("# Cores",'vHosts (Imported)'!$1:$5000,M1234,FALSE)</f>
        <v>0</v>
      </c>
      <c r="D1234" s="52">
        <f>HLOOKUP("# Memory",'vHosts (Imported)'!$1:$5000,M1234,FALSE)</f>
        <v>0</v>
      </c>
      <c r="M1234" s="45">
        <f t="shared" si="59"/>
        <v>1234</v>
      </c>
      <c r="N1234" s="38">
        <f>HLOOKUP("Host",'vInfo (Imported)'!$1:$5000,M1234,FALSE)</f>
        <v>0</v>
      </c>
      <c r="R1234">
        <f>HLOOKUP("CPUs",'vInfo (Imported)'!$1:$5000,M1234,FALSE)</f>
        <v>0</v>
      </c>
      <c r="S1234">
        <f>HLOOKUP("Memory",'vInfo (Imported)'!$1:$5000,M1234,FALSE)</f>
        <v>0</v>
      </c>
      <c r="T1234">
        <f>HLOOKUP("Provisioned MiB",'vInfo (Imported)'!$1:$5000,M1234,FALSE)</f>
        <v>0</v>
      </c>
      <c r="U1234">
        <f t="shared" si="58"/>
        <v>0</v>
      </c>
      <c r="V1234">
        <f>HLOOKUP("In Use MiB",'vInfo (Imported)'!$1:$5000,M1234,FALSE)</f>
        <v>0</v>
      </c>
    </row>
    <row r="1235" spans="1:22" ht="13" x14ac:dyDescent="0.3">
      <c r="A1235" s="46">
        <f>'vHosts (Imported)'!A1235</f>
        <v>0</v>
      </c>
      <c r="B1235" s="51">
        <f t="shared" si="57"/>
        <v>4968</v>
      </c>
      <c r="C1235" s="49">
        <f>HLOOKUP("# Cores",'vHosts (Imported)'!$1:$5000,M1235,FALSE)</f>
        <v>0</v>
      </c>
      <c r="D1235" s="52">
        <f>HLOOKUP("# Memory",'vHosts (Imported)'!$1:$5000,M1235,FALSE)</f>
        <v>0</v>
      </c>
      <c r="M1235" s="45">
        <f t="shared" si="59"/>
        <v>1235</v>
      </c>
      <c r="N1235" s="38">
        <f>HLOOKUP("Host",'vInfo (Imported)'!$1:$5000,M1235,FALSE)</f>
        <v>0</v>
      </c>
      <c r="R1235">
        <f>HLOOKUP("CPUs",'vInfo (Imported)'!$1:$5000,M1235,FALSE)</f>
        <v>0</v>
      </c>
      <c r="S1235">
        <f>HLOOKUP("Memory",'vInfo (Imported)'!$1:$5000,M1235,FALSE)</f>
        <v>0</v>
      </c>
      <c r="T1235">
        <f>HLOOKUP("Provisioned MiB",'vInfo (Imported)'!$1:$5000,M1235,FALSE)</f>
        <v>0</v>
      </c>
      <c r="U1235">
        <f t="shared" si="58"/>
        <v>0</v>
      </c>
      <c r="V1235">
        <f>HLOOKUP("In Use MiB",'vInfo (Imported)'!$1:$5000,M1235,FALSE)</f>
        <v>0</v>
      </c>
    </row>
    <row r="1236" spans="1:22" ht="13" x14ac:dyDescent="0.3">
      <c r="A1236" s="46">
        <f>'vHosts (Imported)'!A1236</f>
        <v>0</v>
      </c>
      <c r="B1236" s="51">
        <f t="shared" si="57"/>
        <v>4968</v>
      </c>
      <c r="C1236" s="49">
        <f>HLOOKUP("# Cores",'vHosts (Imported)'!$1:$5000,M1236,FALSE)</f>
        <v>0</v>
      </c>
      <c r="D1236" s="52">
        <f>HLOOKUP("# Memory",'vHosts (Imported)'!$1:$5000,M1236,FALSE)</f>
        <v>0</v>
      </c>
      <c r="M1236" s="45">
        <f t="shared" si="59"/>
        <v>1236</v>
      </c>
      <c r="N1236" s="38">
        <f>HLOOKUP("Host",'vInfo (Imported)'!$1:$5000,M1236,FALSE)</f>
        <v>0</v>
      </c>
      <c r="R1236">
        <f>HLOOKUP("CPUs",'vInfo (Imported)'!$1:$5000,M1236,FALSE)</f>
        <v>0</v>
      </c>
      <c r="S1236">
        <f>HLOOKUP("Memory",'vInfo (Imported)'!$1:$5000,M1236,FALSE)</f>
        <v>0</v>
      </c>
      <c r="T1236">
        <f>HLOOKUP("Provisioned MiB",'vInfo (Imported)'!$1:$5000,M1236,FALSE)</f>
        <v>0</v>
      </c>
      <c r="U1236">
        <f t="shared" si="58"/>
        <v>0</v>
      </c>
      <c r="V1236">
        <f>HLOOKUP("In Use MiB",'vInfo (Imported)'!$1:$5000,M1236,FALSE)</f>
        <v>0</v>
      </c>
    </row>
    <row r="1237" spans="1:22" ht="13" x14ac:dyDescent="0.3">
      <c r="A1237" s="46">
        <f>'vHosts (Imported)'!A1237</f>
        <v>0</v>
      </c>
      <c r="B1237" s="51">
        <f t="shared" si="57"/>
        <v>4968</v>
      </c>
      <c r="C1237" s="49">
        <f>HLOOKUP("# Cores",'vHosts (Imported)'!$1:$5000,M1237,FALSE)</f>
        <v>0</v>
      </c>
      <c r="D1237" s="52">
        <f>HLOOKUP("# Memory",'vHosts (Imported)'!$1:$5000,M1237,FALSE)</f>
        <v>0</v>
      </c>
      <c r="M1237" s="45">
        <f t="shared" si="59"/>
        <v>1237</v>
      </c>
      <c r="N1237" s="38">
        <f>HLOOKUP("Host",'vInfo (Imported)'!$1:$5000,M1237,FALSE)</f>
        <v>0</v>
      </c>
      <c r="R1237">
        <f>HLOOKUP("CPUs",'vInfo (Imported)'!$1:$5000,M1237,FALSE)</f>
        <v>0</v>
      </c>
      <c r="S1237">
        <f>HLOOKUP("Memory",'vInfo (Imported)'!$1:$5000,M1237,FALSE)</f>
        <v>0</v>
      </c>
      <c r="T1237">
        <f>HLOOKUP("Provisioned MiB",'vInfo (Imported)'!$1:$5000,M1237,FALSE)</f>
        <v>0</v>
      </c>
      <c r="U1237">
        <f t="shared" si="58"/>
        <v>0</v>
      </c>
      <c r="V1237">
        <f>HLOOKUP("In Use MiB",'vInfo (Imported)'!$1:$5000,M1237,FALSE)</f>
        <v>0</v>
      </c>
    </row>
    <row r="1238" spans="1:22" ht="13" x14ac:dyDescent="0.3">
      <c r="A1238" s="46">
        <f>'vHosts (Imported)'!A1238</f>
        <v>0</v>
      </c>
      <c r="B1238" s="51">
        <f t="shared" si="57"/>
        <v>4968</v>
      </c>
      <c r="C1238" s="49">
        <f>HLOOKUP("# Cores",'vHosts (Imported)'!$1:$5000,M1238,FALSE)</f>
        <v>0</v>
      </c>
      <c r="D1238" s="52">
        <f>HLOOKUP("# Memory",'vHosts (Imported)'!$1:$5000,M1238,FALSE)</f>
        <v>0</v>
      </c>
      <c r="M1238" s="45">
        <f t="shared" si="59"/>
        <v>1238</v>
      </c>
      <c r="N1238" s="38">
        <f>HLOOKUP("Host",'vInfo (Imported)'!$1:$5000,M1238,FALSE)</f>
        <v>0</v>
      </c>
      <c r="R1238">
        <f>HLOOKUP("CPUs",'vInfo (Imported)'!$1:$5000,M1238,FALSE)</f>
        <v>0</v>
      </c>
      <c r="S1238">
        <f>HLOOKUP("Memory",'vInfo (Imported)'!$1:$5000,M1238,FALSE)</f>
        <v>0</v>
      </c>
      <c r="T1238">
        <f>HLOOKUP("Provisioned MiB",'vInfo (Imported)'!$1:$5000,M1238,FALSE)</f>
        <v>0</v>
      </c>
      <c r="U1238">
        <f t="shared" si="58"/>
        <v>0</v>
      </c>
      <c r="V1238">
        <f>HLOOKUP("In Use MiB",'vInfo (Imported)'!$1:$5000,M1238,FALSE)</f>
        <v>0</v>
      </c>
    </row>
    <row r="1239" spans="1:22" ht="13" x14ac:dyDescent="0.3">
      <c r="A1239" s="46">
        <f>'vHosts (Imported)'!A1239</f>
        <v>0</v>
      </c>
      <c r="B1239" s="51">
        <f t="shared" si="57"/>
        <v>4968</v>
      </c>
      <c r="C1239" s="49">
        <f>HLOOKUP("# Cores",'vHosts (Imported)'!$1:$5000,M1239,FALSE)</f>
        <v>0</v>
      </c>
      <c r="D1239" s="52">
        <f>HLOOKUP("# Memory",'vHosts (Imported)'!$1:$5000,M1239,FALSE)</f>
        <v>0</v>
      </c>
      <c r="M1239" s="45">
        <f t="shared" si="59"/>
        <v>1239</v>
      </c>
      <c r="N1239" s="38">
        <f>HLOOKUP("Host",'vInfo (Imported)'!$1:$5000,M1239,FALSE)</f>
        <v>0</v>
      </c>
      <c r="R1239">
        <f>HLOOKUP("CPUs",'vInfo (Imported)'!$1:$5000,M1239,FALSE)</f>
        <v>0</v>
      </c>
      <c r="S1239">
        <f>HLOOKUP("Memory",'vInfo (Imported)'!$1:$5000,M1239,FALSE)</f>
        <v>0</v>
      </c>
      <c r="T1239">
        <f>HLOOKUP("Provisioned MiB",'vInfo (Imported)'!$1:$5000,M1239,FALSE)</f>
        <v>0</v>
      </c>
      <c r="U1239">
        <f t="shared" si="58"/>
        <v>0</v>
      </c>
      <c r="V1239">
        <f>HLOOKUP("In Use MiB",'vInfo (Imported)'!$1:$5000,M1239,FALSE)</f>
        <v>0</v>
      </c>
    </row>
    <row r="1240" spans="1:22" ht="13" x14ac:dyDescent="0.3">
      <c r="A1240" s="46">
        <f>'vHosts (Imported)'!A1240</f>
        <v>0</v>
      </c>
      <c r="B1240" s="51">
        <f t="shared" si="57"/>
        <v>4968</v>
      </c>
      <c r="C1240" s="49">
        <f>HLOOKUP("# Cores",'vHosts (Imported)'!$1:$5000,M1240,FALSE)</f>
        <v>0</v>
      </c>
      <c r="D1240" s="52">
        <f>HLOOKUP("# Memory",'vHosts (Imported)'!$1:$5000,M1240,FALSE)</f>
        <v>0</v>
      </c>
      <c r="M1240" s="45">
        <f t="shared" si="59"/>
        <v>1240</v>
      </c>
      <c r="N1240" s="38">
        <f>HLOOKUP("Host",'vInfo (Imported)'!$1:$5000,M1240,FALSE)</f>
        <v>0</v>
      </c>
      <c r="R1240">
        <f>HLOOKUP("CPUs",'vInfo (Imported)'!$1:$5000,M1240,FALSE)</f>
        <v>0</v>
      </c>
      <c r="S1240">
        <f>HLOOKUP("Memory",'vInfo (Imported)'!$1:$5000,M1240,FALSE)</f>
        <v>0</v>
      </c>
      <c r="T1240">
        <f>HLOOKUP("Provisioned MiB",'vInfo (Imported)'!$1:$5000,M1240,FALSE)</f>
        <v>0</v>
      </c>
      <c r="U1240">
        <f t="shared" si="58"/>
        <v>0</v>
      </c>
      <c r="V1240">
        <f>HLOOKUP("In Use MiB",'vInfo (Imported)'!$1:$5000,M1240,FALSE)</f>
        <v>0</v>
      </c>
    </row>
    <row r="1241" spans="1:22" ht="13" x14ac:dyDescent="0.3">
      <c r="A1241" s="46">
        <f>'vHosts (Imported)'!A1241</f>
        <v>0</v>
      </c>
      <c r="B1241" s="51">
        <f t="shared" si="57"/>
        <v>4968</v>
      </c>
      <c r="C1241" s="49">
        <f>HLOOKUP("# Cores",'vHosts (Imported)'!$1:$5000,M1241,FALSE)</f>
        <v>0</v>
      </c>
      <c r="D1241" s="52">
        <f>HLOOKUP("# Memory",'vHosts (Imported)'!$1:$5000,M1241,FALSE)</f>
        <v>0</v>
      </c>
      <c r="M1241" s="45">
        <f t="shared" si="59"/>
        <v>1241</v>
      </c>
      <c r="N1241" s="38">
        <f>HLOOKUP("Host",'vInfo (Imported)'!$1:$5000,M1241,FALSE)</f>
        <v>0</v>
      </c>
      <c r="R1241">
        <f>HLOOKUP("CPUs",'vInfo (Imported)'!$1:$5000,M1241,FALSE)</f>
        <v>0</v>
      </c>
      <c r="S1241">
        <f>HLOOKUP("Memory",'vInfo (Imported)'!$1:$5000,M1241,FALSE)</f>
        <v>0</v>
      </c>
      <c r="T1241">
        <f>HLOOKUP("Provisioned MiB",'vInfo (Imported)'!$1:$5000,M1241,FALSE)</f>
        <v>0</v>
      </c>
      <c r="U1241">
        <f t="shared" si="58"/>
        <v>0</v>
      </c>
      <c r="V1241">
        <f>HLOOKUP("In Use MiB",'vInfo (Imported)'!$1:$5000,M1241,FALSE)</f>
        <v>0</v>
      </c>
    </row>
    <row r="1242" spans="1:22" ht="13" x14ac:dyDescent="0.3">
      <c r="A1242" s="46">
        <f>'vHosts (Imported)'!A1242</f>
        <v>0</v>
      </c>
      <c r="B1242" s="51">
        <f t="shared" si="57"/>
        <v>4968</v>
      </c>
      <c r="C1242" s="49">
        <f>HLOOKUP("# Cores",'vHosts (Imported)'!$1:$5000,M1242,FALSE)</f>
        <v>0</v>
      </c>
      <c r="D1242" s="52">
        <f>HLOOKUP("# Memory",'vHosts (Imported)'!$1:$5000,M1242,FALSE)</f>
        <v>0</v>
      </c>
      <c r="M1242" s="45">
        <f t="shared" si="59"/>
        <v>1242</v>
      </c>
      <c r="N1242" s="38">
        <f>HLOOKUP("Host",'vInfo (Imported)'!$1:$5000,M1242,FALSE)</f>
        <v>0</v>
      </c>
      <c r="R1242">
        <f>HLOOKUP("CPUs",'vInfo (Imported)'!$1:$5000,M1242,FALSE)</f>
        <v>0</v>
      </c>
      <c r="S1242">
        <f>HLOOKUP("Memory",'vInfo (Imported)'!$1:$5000,M1242,FALSE)</f>
        <v>0</v>
      </c>
      <c r="T1242">
        <f>HLOOKUP("Provisioned MiB",'vInfo (Imported)'!$1:$5000,M1242,FALSE)</f>
        <v>0</v>
      </c>
      <c r="U1242">
        <f t="shared" si="58"/>
        <v>0</v>
      </c>
      <c r="V1242">
        <f>HLOOKUP("In Use MiB",'vInfo (Imported)'!$1:$5000,M1242,FALSE)</f>
        <v>0</v>
      </c>
    </row>
    <row r="1243" spans="1:22" ht="13" x14ac:dyDescent="0.3">
      <c r="A1243" s="46">
        <f>'vHosts (Imported)'!A1243</f>
        <v>0</v>
      </c>
      <c r="B1243" s="51">
        <f t="shared" si="57"/>
        <v>4968</v>
      </c>
      <c r="C1243" s="49">
        <f>HLOOKUP("# Cores",'vHosts (Imported)'!$1:$5000,M1243,FALSE)</f>
        <v>0</v>
      </c>
      <c r="D1243" s="52">
        <f>HLOOKUP("# Memory",'vHosts (Imported)'!$1:$5000,M1243,FALSE)</f>
        <v>0</v>
      </c>
      <c r="M1243" s="45">
        <f t="shared" si="59"/>
        <v>1243</v>
      </c>
      <c r="N1243" s="38">
        <f>HLOOKUP("Host",'vInfo (Imported)'!$1:$5000,M1243,FALSE)</f>
        <v>0</v>
      </c>
      <c r="R1243">
        <f>HLOOKUP("CPUs",'vInfo (Imported)'!$1:$5000,M1243,FALSE)</f>
        <v>0</v>
      </c>
      <c r="S1243">
        <f>HLOOKUP("Memory",'vInfo (Imported)'!$1:$5000,M1243,FALSE)</f>
        <v>0</v>
      </c>
      <c r="T1243">
        <f>HLOOKUP("Provisioned MiB",'vInfo (Imported)'!$1:$5000,M1243,FALSE)</f>
        <v>0</v>
      </c>
      <c r="U1243">
        <f t="shared" si="58"/>
        <v>0</v>
      </c>
      <c r="V1243">
        <f>HLOOKUP("In Use MiB",'vInfo (Imported)'!$1:$5000,M1243,FALSE)</f>
        <v>0</v>
      </c>
    </row>
    <row r="1244" spans="1:22" ht="13" x14ac:dyDescent="0.3">
      <c r="A1244" s="46">
        <f>'vHosts (Imported)'!A1244</f>
        <v>0</v>
      </c>
      <c r="B1244" s="51">
        <f t="shared" si="57"/>
        <v>4968</v>
      </c>
      <c r="C1244" s="49">
        <f>HLOOKUP("# Cores",'vHosts (Imported)'!$1:$5000,M1244,FALSE)</f>
        <v>0</v>
      </c>
      <c r="D1244" s="52">
        <f>HLOOKUP("# Memory",'vHosts (Imported)'!$1:$5000,M1244,FALSE)</f>
        <v>0</v>
      </c>
      <c r="M1244" s="45">
        <f t="shared" si="59"/>
        <v>1244</v>
      </c>
      <c r="N1244" s="38">
        <f>HLOOKUP("Host",'vInfo (Imported)'!$1:$5000,M1244,FALSE)</f>
        <v>0</v>
      </c>
      <c r="R1244">
        <f>HLOOKUP("CPUs",'vInfo (Imported)'!$1:$5000,M1244,FALSE)</f>
        <v>0</v>
      </c>
      <c r="S1244">
        <f>HLOOKUP("Memory",'vInfo (Imported)'!$1:$5000,M1244,FALSE)</f>
        <v>0</v>
      </c>
      <c r="T1244">
        <f>HLOOKUP("Provisioned MiB",'vInfo (Imported)'!$1:$5000,M1244,FALSE)</f>
        <v>0</v>
      </c>
      <c r="U1244">
        <f t="shared" si="58"/>
        <v>0</v>
      </c>
      <c r="V1244">
        <f>HLOOKUP("In Use MiB",'vInfo (Imported)'!$1:$5000,M1244,FALSE)</f>
        <v>0</v>
      </c>
    </row>
    <row r="1245" spans="1:22" ht="13" x14ac:dyDescent="0.3">
      <c r="A1245" s="46">
        <f>'vHosts (Imported)'!A1245</f>
        <v>0</v>
      </c>
      <c r="B1245" s="51">
        <f t="shared" si="57"/>
        <v>4968</v>
      </c>
      <c r="C1245" s="49">
        <f>HLOOKUP("# Cores",'vHosts (Imported)'!$1:$5000,M1245,FALSE)</f>
        <v>0</v>
      </c>
      <c r="D1245" s="52">
        <f>HLOOKUP("# Memory",'vHosts (Imported)'!$1:$5000,M1245,FALSE)</f>
        <v>0</v>
      </c>
      <c r="M1245" s="45">
        <f t="shared" si="59"/>
        <v>1245</v>
      </c>
      <c r="N1245" s="38">
        <f>HLOOKUP("Host",'vInfo (Imported)'!$1:$5000,M1245,FALSE)</f>
        <v>0</v>
      </c>
      <c r="R1245">
        <f>HLOOKUP("CPUs",'vInfo (Imported)'!$1:$5000,M1245,FALSE)</f>
        <v>0</v>
      </c>
      <c r="S1245">
        <f>HLOOKUP("Memory",'vInfo (Imported)'!$1:$5000,M1245,FALSE)</f>
        <v>0</v>
      </c>
      <c r="T1245">
        <f>HLOOKUP("Provisioned MiB",'vInfo (Imported)'!$1:$5000,M1245,FALSE)</f>
        <v>0</v>
      </c>
      <c r="U1245">
        <f t="shared" si="58"/>
        <v>0</v>
      </c>
      <c r="V1245">
        <f>HLOOKUP("In Use MiB",'vInfo (Imported)'!$1:$5000,M1245,FALSE)</f>
        <v>0</v>
      </c>
    </row>
    <row r="1246" spans="1:22" ht="13" x14ac:dyDescent="0.3">
      <c r="A1246" s="46">
        <f>'vHosts (Imported)'!A1246</f>
        <v>0</v>
      </c>
      <c r="B1246" s="51">
        <f t="shared" si="57"/>
        <v>4968</v>
      </c>
      <c r="C1246" s="49">
        <f>HLOOKUP("# Cores",'vHosts (Imported)'!$1:$5000,M1246,FALSE)</f>
        <v>0</v>
      </c>
      <c r="D1246" s="52">
        <f>HLOOKUP("# Memory",'vHosts (Imported)'!$1:$5000,M1246,FALSE)</f>
        <v>0</v>
      </c>
      <c r="M1246" s="45">
        <f t="shared" si="59"/>
        <v>1246</v>
      </c>
      <c r="N1246" s="38">
        <f>HLOOKUP("Host",'vInfo (Imported)'!$1:$5000,M1246,FALSE)</f>
        <v>0</v>
      </c>
      <c r="R1246">
        <f>HLOOKUP("CPUs",'vInfo (Imported)'!$1:$5000,M1246,FALSE)</f>
        <v>0</v>
      </c>
      <c r="S1246">
        <f>HLOOKUP("Memory",'vInfo (Imported)'!$1:$5000,M1246,FALSE)</f>
        <v>0</v>
      </c>
      <c r="T1246">
        <f>HLOOKUP("Provisioned MiB",'vInfo (Imported)'!$1:$5000,M1246,FALSE)</f>
        <v>0</v>
      </c>
      <c r="U1246">
        <f t="shared" si="58"/>
        <v>0</v>
      </c>
      <c r="V1246">
        <f>HLOOKUP("In Use MiB",'vInfo (Imported)'!$1:$5000,M1246,FALSE)</f>
        <v>0</v>
      </c>
    </row>
    <row r="1247" spans="1:22" ht="13" x14ac:dyDescent="0.3">
      <c r="A1247" s="46">
        <f>'vHosts (Imported)'!A1247</f>
        <v>0</v>
      </c>
      <c r="B1247" s="51">
        <f t="shared" si="57"/>
        <v>4968</v>
      </c>
      <c r="C1247" s="49">
        <f>HLOOKUP("# Cores",'vHosts (Imported)'!$1:$5000,M1247,FALSE)</f>
        <v>0</v>
      </c>
      <c r="D1247" s="52">
        <f>HLOOKUP("# Memory",'vHosts (Imported)'!$1:$5000,M1247,FALSE)</f>
        <v>0</v>
      </c>
      <c r="M1247" s="45">
        <f t="shared" si="59"/>
        <v>1247</v>
      </c>
      <c r="N1247" s="38">
        <f>HLOOKUP("Host",'vInfo (Imported)'!$1:$5000,M1247,FALSE)</f>
        <v>0</v>
      </c>
      <c r="R1247">
        <f>HLOOKUP("CPUs",'vInfo (Imported)'!$1:$5000,M1247,FALSE)</f>
        <v>0</v>
      </c>
      <c r="S1247">
        <f>HLOOKUP("Memory",'vInfo (Imported)'!$1:$5000,M1247,FALSE)</f>
        <v>0</v>
      </c>
      <c r="T1247">
        <f>HLOOKUP("Provisioned MiB",'vInfo (Imported)'!$1:$5000,M1247,FALSE)</f>
        <v>0</v>
      </c>
      <c r="U1247">
        <f t="shared" si="58"/>
        <v>0</v>
      </c>
      <c r="V1247">
        <f>HLOOKUP("In Use MiB",'vInfo (Imported)'!$1:$5000,M1247,FALSE)</f>
        <v>0</v>
      </c>
    </row>
    <row r="1248" spans="1:22" ht="13" x14ac:dyDescent="0.3">
      <c r="A1248" s="46">
        <f>'vHosts (Imported)'!A1248</f>
        <v>0</v>
      </c>
      <c r="B1248" s="51">
        <f t="shared" si="57"/>
        <v>4968</v>
      </c>
      <c r="C1248" s="49">
        <f>HLOOKUP("# Cores",'vHosts (Imported)'!$1:$5000,M1248,FALSE)</f>
        <v>0</v>
      </c>
      <c r="D1248" s="52">
        <f>HLOOKUP("# Memory",'vHosts (Imported)'!$1:$5000,M1248,FALSE)</f>
        <v>0</v>
      </c>
      <c r="M1248" s="45">
        <f t="shared" si="59"/>
        <v>1248</v>
      </c>
      <c r="N1248" s="38">
        <f>HLOOKUP("Host",'vInfo (Imported)'!$1:$5000,M1248,FALSE)</f>
        <v>0</v>
      </c>
      <c r="R1248">
        <f>HLOOKUP("CPUs",'vInfo (Imported)'!$1:$5000,M1248,FALSE)</f>
        <v>0</v>
      </c>
      <c r="S1248">
        <f>HLOOKUP("Memory",'vInfo (Imported)'!$1:$5000,M1248,FALSE)</f>
        <v>0</v>
      </c>
      <c r="T1248">
        <f>HLOOKUP("Provisioned MiB",'vInfo (Imported)'!$1:$5000,M1248,FALSE)</f>
        <v>0</v>
      </c>
      <c r="U1248">
        <f t="shared" si="58"/>
        <v>0</v>
      </c>
      <c r="V1248">
        <f>HLOOKUP("In Use MiB",'vInfo (Imported)'!$1:$5000,M1248,FALSE)</f>
        <v>0</v>
      </c>
    </row>
    <row r="1249" spans="1:22" ht="13" x14ac:dyDescent="0.3">
      <c r="A1249" s="46">
        <f>'vHosts (Imported)'!A1249</f>
        <v>0</v>
      </c>
      <c r="B1249" s="51">
        <f t="shared" si="57"/>
        <v>4968</v>
      </c>
      <c r="C1249" s="49">
        <f>HLOOKUP("# Cores",'vHosts (Imported)'!$1:$5000,M1249,FALSE)</f>
        <v>0</v>
      </c>
      <c r="D1249" s="52">
        <f>HLOOKUP("# Memory",'vHosts (Imported)'!$1:$5000,M1249,FALSE)</f>
        <v>0</v>
      </c>
      <c r="M1249" s="45">
        <f t="shared" si="59"/>
        <v>1249</v>
      </c>
      <c r="N1249" s="38">
        <f>HLOOKUP("Host",'vInfo (Imported)'!$1:$5000,M1249,FALSE)</f>
        <v>0</v>
      </c>
      <c r="R1249">
        <f>HLOOKUP("CPUs",'vInfo (Imported)'!$1:$5000,M1249,FALSE)</f>
        <v>0</v>
      </c>
      <c r="S1249">
        <f>HLOOKUP("Memory",'vInfo (Imported)'!$1:$5000,M1249,FALSE)</f>
        <v>0</v>
      </c>
      <c r="T1249">
        <f>HLOOKUP("Provisioned MiB",'vInfo (Imported)'!$1:$5000,M1249,FALSE)</f>
        <v>0</v>
      </c>
      <c r="U1249">
        <f t="shared" si="58"/>
        <v>0</v>
      </c>
      <c r="V1249">
        <f>HLOOKUP("In Use MiB",'vInfo (Imported)'!$1:$5000,M1249,FALSE)</f>
        <v>0</v>
      </c>
    </row>
    <row r="1250" spans="1:22" ht="13" x14ac:dyDescent="0.3">
      <c r="A1250" s="46">
        <f>'vHosts (Imported)'!A1250</f>
        <v>0</v>
      </c>
      <c r="B1250" s="51">
        <f t="shared" si="57"/>
        <v>4968</v>
      </c>
      <c r="C1250" s="49">
        <f>HLOOKUP("# Cores",'vHosts (Imported)'!$1:$5000,M1250,FALSE)</f>
        <v>0</v>
      </c>
      <c r="D1250" s="52">
        <f>HLOOKUP("# Memory",'vHosts (Imported)'!$1:$5000,M1250,FALSE)</f>
        <v>0</v>
      </c>
      <c r="M1250" s="45">
        <f t="shared" si="59"/>
        <v>1250</v>
      </c>
      <c r="N1250" s="38">
        <f>HLOOKUP("Host",'vInfo (Imported)'!$1:$5000,M1250,FALSE)</f>
        <v>0</v>
      </c>
      <c r="R1250">
        <f>HLOOKUP("CPUs",'vInfo (Imported)'!$1:$5000,M1250,FALSE)</f>
        <v>0</v>
      </c>
      <c r="S1250">
        <f>HLOOKUP("Memory",'vInfo (Imported)'!$1:$5000,M1250,FALSE)</f>
        <v>0</v>
      </c>
      <c r="T1250">
        <f>HLOOKUP("Provisioned MiB",'vInfo (Imported)'!$1:$5000,M1250,FALSE)</f>
        <v>0</v>
      </c>
      <c r="U1250">
        <f t="shared" si="58"/>
        <v>0</v>
      </c>
      <c r="V1250">
        <f>HLOOKUP("In Use MiB",'vInfo (Imported)'!$1:$5000,M1250,FALSE)</f>
        <v>0</v>
      </c>
    </row>
    <row r="1251" spans="1:22" ht="13" x14ac:dyDescent="0.3">
      <c r="A1251" s="46">
        <f>'vHosts (Imported)'!A1251</f>
        <v>0</v>
      </c>
      <c r="B1251" s="51">
        <f t="shared" si="57"/>
        <v>4968</v>
      </c>
      <c r="C1251" s="49">
        <f>HLOOKUP("# Cores",'vHosts (Imported)'!$1:$5000,M1251,FALSE)</f>
        <v>0</v>
      </c>
      <c r="D1251" s="52">
        <f>HLOOKUP("# Memory",'vHosts (Imported)'!$1:$5000,M1251,FALSE)</f>
        <v>0</v>
      </c>
      <c r="M1251" s="45">
        <f t="shared" si="59"/>
        <v>1251</v>
      </c>
      <c r="N1251" s="38">
        <f>HLOOKUP("Host",'vInfo (Imported)'!$1:$5000,M1251,FALSE)</f>
        <v>0</v>
      </c>
      <c r="R1251">
        <f>HLOOKUP("CPUs",'vInfo (Imported)'!$1:$5000,M1251,FALSE)</f>
        <v>0</v>
      </c>
      <c r="S1251">
        <f>HLOOKUP("Memory",'vInfo (Imported)'!$1:$5000,M1251,FALSE)</f>
        <v>0</v>
      </c>
      <c r="T1251">
        <f>HLOOKUP("Provisioned MiB",'vInfo (Imported)'!$1:$5000,M1251,FALSE)</f>
        <v>0</v>
      </c>
      <c r="U1251">
        <f t="shared" si="58"/>
        <v>0</v>
      </c>
      <c r="V1251">
        <f>HLOOKUP("In Use MiB",'vInfo (Imported)'!$1:$5000,M1251,FALSE)</f>
        <v>0</v>
      </c>
    </row>
    <row r="1252" spans="1:22" ht="13" x14ac:dyDescent="0.3">
      <c r="A1252" s="46">
        <f>'vHosts (Imported)'!A1252</f>
        <v>0</v>
      </c>
      <c r="B1252" s="51">
        <f t="shared" si="57"/>
        <v>4968</v>
      </c>
      <c r="C1252" s="49">
        <f>HLOOKUP("# Cores",'vHosts (Imported)'!$1:$5000,M1252,FALSE)</f>
        <v>0</v>
      </c>
      <c r="D1252" s="52">
        <f>HLOOKUP("# Memory",'vHosts (Imported)'!$1:$5000,M1252,FALSE)</f>
        <v>0</v>
      </c>
      <c r="M1252" s="45">
        <f t="shared" si="59"/>
        <v>1252</v>
      </c>
      <c r="N1252" s="38">
        <f>HLOOKUP("Host",'vInfo (Imported)'!$1:$5000,M1252,FALSE)</f>
        <v>0</v>
      </c>
      <c r="R1252">
        <f>HLOOKUP("CPUs",'vInfo (Imported)'!$1:$5000,M1252,FALSE)</f>
        <v>0</v>
      </c>
      <c r="S1252">
        <f>HLOOKUP("Memory",'vInfo (Imported)'!$1:$5000,M1252,FALSE)</f>
        <v>0</v>
      </c>
      <c r="T1252">
        <f>HLOOKUP("Provisioned MiB",'vInfo (Imported)'!$1:$5000,M1252,FALSE)</f>
        <v>0</v>
      </c>
      <c r="U1252">
        <f t="shared" si="58"/>
        <v>0</v>
      </c>
      <c r="V1252">
        <f>HLOOKUP("In Use MiB",'vInfo (Imported)'!$1:$5000,M1252,FALSE)</f>
        <v>0</v>
      </c>
    </row>
    <row r="1253" spans="1:22" ht="13" x14ac:dyDescent="0.3">
      <c r="A1253" s="46">
        <f>'vHosts (Imported)'!A1253</f>
        <v>0</v>
      </c>
      <c r="B1253" s="51">
        <f t="shared" si="57"/>
        <v>4968</v>
      </c>
      <c r="C1253" s="49">
        <f>HLOOKUP("# Cores",'vHosts (Imported)'!$1:$5000,M1253,FALSE)</f>
        <v>0</v>
      </c>
      <c r="D1253" s="52">
        <f>HLOOKUP("# Memory",'vHosts (Imported)'!$1:$5000,M1253,FALSE)</f>
        <v>0</v>
      </c>
      <c r="M1253" s="45">
        <f t="shared" si="59"/>
        <v>1253</v>
      </c>
      <c r="N1253" s="38">
        <f>HLOOKUP("Host",'vInfo (Imported)'!$1:$5000,M1253,FALSE)</f>
        <v>0</v>
      </c>
      <c r="R1253">
        <f>HLOOKUP("CPUs",'vInfo (Imported)'!$1:$5000,M1253,FALSE)</f>
        <v>0</v>
      </c>
      <c r="S1253">
        <f>HLOOKUP("Memory",'vInfo (Imported)'!$1:$5000,M1253,FALSE)</f>
        <v>0</v>
      </c>
      <c r="T1253">
        <f>HLOOKUP("Provisioned MiB",'vInfo (Imported)'!$1:$5000,M1253,FALSE)</f>
        <v>0</v>
      </c>
      <c r="U1253">
        <f t="shared" si="58"/>
        <v>0</v>
      </c>
      <c r="V1253">
        <f>HLOOKUP("In Use MiB",'vInfo (Imported)'!$1:$5000,M1253,FALSE)</f>
        <v>0</v>
      </c>
    </row>
    <row r="1254" spans="1:22" ht="13" x14ac:dyDescent="0.3">
      <c r="A1254" s="46">
        <f>'vHosts (Imported)'!A1254</f>
        <v>0</v>
      </c>
      <c r="B1254" s="51">
        <f t="shared" si="57"/>
        <v>4968</v>
      </c>
      <c r="C1254" s="49">
        <f>HLOOKUP("# Cores",'vHosts (Imported)'!$1:$5000,M1254,FALSE)</f>
        <v>0</v>
      </c>
      <c r="D1254" s="52">
        <f>HLOOKUP("# Memory",'vHosts (Imported)'!$1:$5000,M1254,FALSE)</f>
        <v>0</v>
      </c>
      <c r="M1254" s="45">
        <f t="shared" si="59"/>
        <v>1254</v>
      </c>
      <c r="N1254" s="38">
        <f>HLOOKUP("Host",'vInfo (Imported)'!$1:$5000,M1254,FALSE)</f>
        <v>0</v>
      </c>
      <c r="R1254">
        <f>HLOOKUP("CPUs",'vInfo (Imported)'!$1:$5000,M1254,FALSE)</f>
        <v>0</v>
      </c>
      <c r="S1254">
        <f>HLOOKUP("Memory",'vInfo (Imported)'!$1:$5000,M1254,FALSE)</f>
        <v>0</v>
      </c>
      <c r="T1254">
        <f>HLOOKUP("Provisioned MiB",'vInfo (Imported)'!$1:$5000,M1254,FALSE)</f>
        <v>0</v>
      </c>
      <c r="U1254">
        <f t="shared" si="58"/>
        <v>0</v>
      </c>
      <c r="V1254">
        <f>HLOOKUP("In Use MiB",'vInfo (Imported)'!$1:$5000,M1254,FALSE)</f>
        <v>0</v>
      </c>
    </row>
    <row r="1255" spans="1:22" ht="13" x14ac:dyDescent="0.3">
      <c r="A1255" s="46">
        <f>'vHosts (Imported)'!A1255</f>
        <v>0</v>
      </c>
      <c r="B1255" s="51">
        <f t="shared" si="57"/>
        <v>4968</v>
      </c>
      <c r="C1255" s="49">
        <f>HLOOKUP("# Cores",'vHosts (Imported)'!$1:$5000,M1255,FALSE)</f>
        <v>0</v>
      </c>
      <c r="D1255" s="52">
        <f>HLOOKUP("# Memory",'vHosts (Imported)'!$1:$5000,M1255,FALSE)</f>
        <v>0</v>
      </c>
      <c r="M1255" s="45">
        <f t="shared" si="59"/>
        <v>1255</v>
      </c>
      <c r="N1255" s="38">
        <f>HLOOKUP("Host",'vInfo (Imported)'!$1:$5000,M1255,FALSE)</f>
        <v>0</v>
      </c>
      <c r="R1255">
        <f>HLOOKUP("CPUs",'vInfo (Imported)'!$1:$5000,M1255,FALSE)</f>
        <v>0</v>
      </c>
      <c r="S1255">
        <f>HLOOKUP("Memory",'vInfo (Imported)'!$1:$5000,M1255,FALSE)</f>
        <v>0</v>
      </c>
      <c r="T1255">
        <f>HLOOKUP("Provisioned MiB",'vInfo (Imported)'!$1:$5000,M1255,FALSE)</f>
        <v>0</v>
      </c>
      <c r="U1255">
        <f t="shared" si="58"/>
        <v>0</v>
      </c>
      <c r="V1255">
        <f>HLOOKUP("In Use MiB",'vInfo (Imported)'!$1:$5000,M1255,FALSE)</f>
        <v>0</v>
      </c>
    </row>
    <row r="1256" spans="1:22" ht="13" x14ac:dyDescent="0.3">
      <c r="A1256" s="46">
        <f>'vHosts (Imported)'!A1256</f>
        <v>0</v>
      </c>
      <c r="B1256" s="51">
        <f t="shared" ref="B1256:B1319" si="60">COUNTIF(N:N,A1256)</f>
        <v>4968</v>
      </c>
      <c r="C1256" s="49">
        <f>HLOOKUP("# Cores",'vHosts (Imported)'!$1:$5000,M1256,FALSE)</f>
        <v>0</v>
      </c>
      <c r="D1256" s="52">
        <f>HLOOKUP("# Memory",'vHosts (Imported)'!$1:$5000,M1256,FALSE)</f>
        <v>0</v>
      </c>
      <c r="M1256" s="45">
        <f t="shared" si="59"/>
        <v>1256</v>
      </c>
      <c r="N1256" s="38">
        <f>HLOOKUP("Host",'vInfo (Imported)'!$1:$5000,M1256,FALSE)</f>
        <v>0</v>
      </c>
      <c r="R1256">
        <f>HLOOKUP("CPUs",'vInfo (Imported)'!$1:$5000,M1256,FALSE)</f>
        <v>0</v>
      </c>
      <c r="S1256">
        <f>HLOOKUP("Memory",'vInfo (Imported)'!$1:$5000,M1256,FALSE)</f>
        <v>0</v>
      </c>
      <c r="T1256">
        <f>HLOOKUP("Provisioned MiB",'vInfo (Imported)'!$1:$5000,M1256,FALSE)</f>
        <v>0</v>
      </c>
      <c r="U1256">
        <f t="shared" si="58"/>
        <v>0</v>
      </c>
      <c r="V1256">
        <f>HLOOKUP("In Use MiB",'vInfo (Imported)'!$1:$5000,M1256,FALSE)</f>
        <v>0</v>
      </c>
    </row>
    <row r="1257" spans="1:22" ht="13" x14ac:dyDescent="0.3">
      <c r="A1257" s="46">
        <f>'vHosts (Imported)'!A1257</f>
        <v>0</v>
      </c>
      <c r="B1257" s="51">
        <f t="shared" si="60"/>
        <v>4968</v>
      </c>
      <c r="C1257" s="49">
        <f>HLOOKUP("# Cores",'vHosts (Imported)'!$1:$5000,M1257,FALSE)</f>
        <v>0</v>
      </c>
      <c r="D1257" s="52">
        <f>HLOOKUP("# Memory",'vHosts (Imported)'!$1:$5000,M1257,FALSE)</f>
        <v>0</v>
      </c>
      <c r="M1257" s="45">
        <f t="shared" si="59"/>
        <v>1257</v>
      </c>
      <c r="N1257" s="38">
        <f>HLOOKUP("Host",'vInfo (Imported)'!$1:$5000,M1257,FALSE)</f>
        <v>0</v>
      </c>
      <c r="R1257">
        <f>HLOOKUP("CPUs",'vInfo (Imported)'!$1:$5000,M1257,FALSE)</f>
        <v>0</v>
      </c>
      <c r="S1257">
        <f>HLOOKUP("Memory",'vInfo (Imported)'!$1:$5000,M1257,FALSE)</f>
        <v>0</v>
      </c>
      <c r="T1257">
        <f>HLOOKUP("Provisioned MiB",'vInfo (Imported)'!$1:$5000,M1257,FALSE)</f>
        <v>0</v>
      </c>
      <c r="U1257">
        <f t="shared" si="58"/>
        <v>0</v>
      </c>
      <c r="V1257">
        <f>HLOOKUP("In Use MiB",'vInfo (Imported)'!$1:$5000,M1257,FALSE)</f>
        <v>0</v>
      </c>
    </row>
    <row r="1258" spans="1:22" ht="13" x14ac:dyDescent="0.3">
      <c r="A1258" s="46">
        <f>'vHosts (Imported)'!A1258</f>
        <v>0</v>
      </c>
      <c r="B1258" s="51">
        <f t="shared" si="60"/>
        <v>4968</v>
      </c>
      <c r="C1258" s="49">
        <f>HLOOKUP("# Cores",'vHosts (Imported)'!$1:$5000,M1258,FALSE)</f>
        <v>0</v>
      </c>
      <c r="D1258" s="52">
        <f>HLOOKUP("# Memory",'vHosts (Imported)'!$1:$5000,M1258,FALSE)</f>
        <v>0</v>
      </c>
      <c r="M1258" s="45">
        <f t="shared" si="59"/>
        <v>1258</v>
      </c>
      <c r="N1258" s="38">
        <f>HLOOKUP("Host",'vInfo (Imported)'!$1:$5000,M1258,FALSE)</f>
        <v>0</v>
      </c>
      <c r="R1258">
        <f>HLOOKUP("CPUs",'vInfo (Imported)'!$1:$5000,M1258,FALSE)</f>
        <v>0</v>
      </c>
      <c r="S1258">
        <f>HLOOKUP("Memory",'vInfo (Imported)'!$1:$5000,M1258,FALSE)</f>
        <v>0</v>
      </c>
      <c r="T1258">
        <f>HLOOKUP("Provisioned MiB",'vInfo (Imported)'!$1:$5000,M1258,FALSE)</f>
        <v>0</v>
      </c>
      <c r="U1258">
        <f t="shared" si="58"/>
        <v>0</v>
      </c>
      <c r="V1258">
        <f>HLOOKUP("In Use MiB",'vInfo (Imported)'!$1:$5000,M1258,FALSE)</f>
        <v>0</v>
      </c>
    </row>
    <row r="1259" spans="1:22" ht="13" x14ac:dyDescent="0.3">
      <c r="A1259" s="46">
        <f>'vHosts (Imported)'!A1259</f>
        <v>0</v>
      </c>
      <c r="B1259" s="51">
        <f t="shared" si="60"/>
        <v>4968</v>
      </c>
      <c r="C1259" s="49">
        <f>HLOOKUP("# Cores",'vHosts (Imported)'!$1:$5000,M1259,FALSE)</f>
        <v>0</v>
      </c>
      <c r="D1259" s="52">
        <f>HLOOKUP("# Memory",'vHosts (Imported)'!$1:$5000,M1259,FALSE)</f>
        <v>0</v>
      </c>
      <c r="M1259" s="45">
        <f t="shared" si="59"/>
        <v>1259</v>
      </c>
      <c r="N1259" s="38">
        <f>HLOOKUP("Host",'vInfo (Imported)'!$1:$5000,M1259,FALSE)</f>
        <v>0</v>
      </c>
      <c r="R1259">
        <f>HLOOKUP("CPUs",'vInfo (Imported)'!$1:$5000,M1259,FALSE)</f>
        <v>0</v>
      </c>
      <c r="S1259">
        <f>HLOOKUP("Memory",'vInfo (Imported)'!$1:$5000,M1259,FALSE)</f>
        <v>0</v>
      </c>
      <c r="T1259">
        <f>HLOOKUP("Provisioned MiB",'vInfo (Imported)'!$1:$5000,M1259,FALSE)</f>
        <v>0</v>
      </c>
      <c r="U1259">
        <f t="shared" si="58"/>
        <v>0</v>
      </c>
      <c r="V1259">
        <f>HLOOKUP("In Use MiB",'vInfo (Imported)'!$1:$5000,M1259,FALSE)</f>
        <v>0</v>
      </c>
    </row>
    <row r="1260" spans="1:22" ht="13" x14ac:dyDescent="0.3">
      <c r="A1260" s="46">
        <f>'vHosts (Imported)'!A1260</f>
        <v>0</v>
      </c>
      <c r="B1260" s="51">
        <f t="shared" si="60"/>
        <v>4968</v>
      </c>
      <c r="C1260" s="49">
        <f>HLOOKUP("# Cores",'vHosts (Imported)'!$1:$5000,M1260,FALSE)</f>
        <v>0</v>
      </c>
      <c r="D1260" s="52">
        <f>HLOOKUP("# Memory",'vHosts (Imported)'!$1:$5000,M1260,FALSE)</f>
        <v>0</v>
      </c>
      <c r="M1260" s="45">
        <f t="shared" si="59"/>
        <v>1260</v>
      </c>
      <c r="N1260" s="38">
        <f>HLOOKUP("Host",'vInfo (Imported)'!$1:$5000,M1260,FALSE)</f>
        <v>0</v>
      </c>
      <c r="R1260">
        <f>HLOOKUP("CPUs",'vInfo (Imported)'!$1:$5000,M1260,FALSE)</f>
        <v>0</v>
      </c>
      <c r="S1260">
        <f>HLOOKUP("Memory",'vInfo (Imported)'!$1:$5000,M1260,FALSE)</f>
        <v>0</v>
      </c>
      <c r="T1260">
        <f>HLOOKUP("Provisioned MiB",'vInfo (Imported)'!$1:$5000,M1260,FALSE)</f>
        <v>0</v>
      </c>
      <c r="U1260">
        <f t="shared" si="58"/>
        <v>0</v>
      </c>
      <c r="V1260">
        <f>HLOOKUP("In Use MiB",'vInfo (Imported)'!$1:$5000,M1260,FALSE)</f>
        <v>0</v>
      </c>
    </row>
    <row r="1261" spans="1:22" ht="13" x14ac:dyDescent="0.3">
      <c r="A1261" s="46">
        <f>'vHosts (Imported)'!A1261</f>
        <v>0</v>
      </c>
      <c r="B1261" s="51">
        <f t="shared" si="60"/>
        <v>4968</v>
      </c>
      <c r="C1261" s="49">
        <f>HLOOKUP("# Cores",'vHosts (Imported)'!$1:$5000,M1261,FALSE)</f>
        <v>0</v>
      </c>
      <c r="D1261" s="52">
        <f>HLOOKUP("# Memory",'vHosts (Imported)'!$1:$5000,M1261,FALSE)</f>
        <v>0</v>
      </c>
      <c r="M1261" s="45">
        <f t="shared" si="59"/>
        <v>1261</v>
      </c>
      <c r="N1261" s="38">
        <f>HLOOKUP("Host",'vInfo (Imported)'!$1:$5000,M1261,FALSE)</f>
        <v>0</v>
      </c>
      <c r="R1261">
        <f>HLOOKUP("CPUs",'vInfo (Imported)'!$1:$5000,M1261,FALSE)</f>
        <v>0</v>
      </c>
      <c r="S1261">
        <f>HLOOKUP("Memory",'vInfo (Imported)'!$1:$5000,M1261,FALSE)</f>
        <v>0</v>
      </c>
      <c r="T1261">
        <f>HLOOKUP("Provisioned MiB",'vInfo (Imported)'!$1:$5000,M1261,FALSE)</f>
        <v>0</v>
      </c>
      <c r="U1261">
        <f t="shared" si="58"/>
        <v>0</v>
      </c>
      <c r="V1261">
        <f>HLOOKUP("In Use MiB",'vInfo (Imported)'!$1:$5000,M1261,FALSE)</f>
        <v>0</v>
      </c>
    </row>
    <row r="1262" spans="1:22" ht="13" x14ac:dyDescent="0.3">
      <c r="A1262" s="46">
        <f>'vHosts (Imported)'!A1262</f>
        <v>0</v>
      </c>
      <c r="B1262" s="51">
        <f t="shared" si="60"/>
        <v>4968</v>
      </c>
      <c r="C1262" s="49">
        <f>HLOOKUP("# Cores",'vHosts (Imported)'!$1:$5000,M1262,FALSE)</f>
        <v>0</v>
      </c>
      <c r="D1262" s="52">
        <f>HLOOKUP("# Memory",'vHosts (Imported)'!$1:$5000,M1262,FALSE)</f>
        <v>0</v>
      </c>
      <c r="M1262" s="45">
        <f t="shared" si="59"/>
        <v>1262</v>
      </c>
      <c r="N1262" s="38">
        <f>HLOOKUP("Host",'vInfo (Imported)'!$1:$5000,M1262,FALSE)</f>
        <v>0</v>
      </c>
      <c r="R1262">
        <f>HLOOKUP("CPUs",'vInfo (Imported)'!$1:$5000,M1262,FALSE)</f>
        <v>0</v>
      </c>
      <c r="S1262">
        <f>HLOOKUP("Memory",'vInfo (Imported)'!$1:$5000,M1262,FALSE)</f>
        <v>0</v>
      </c>
      <c r="T1262">
        <f>HLOOKUP("Provisioned MiB",'vInfo (Imported)'!$1:$5000,M1262,FALSE)</f>
        <v>0</v>
      </c>
      <c r="U1262">
        <f t="shared" si="58"/>
        <v>0</v>
      </c>
      <c r="V1262">
        <f>HLOOKUP("In Use MiB",'vInfo (Imported)'!$1:$5000,M1262,FALSE)</f>
        <v>0</v>
      </c>
    </row>
    <row r="1263" spans="1:22" ht="13" x14ac:dyDescent="0.3">
      <c r="A1263" s="46">
        <f>'vHosts (Imported)'!A1263</f>
        <v>0</v>
      </c>
      <c r="B1263" s="51">
        <f t="shared" si="60"/>
        <v>4968</v>
      </c>
      <c r="C1263" s="49">
        <f>HLOOKUP("# Cores",'vHosts (Imported)'!$1:$5000,M1263,FALSE)</f>
        <v>0</v>
      </c>
      <c r="D1263" s="52">
        <f>HLOOKUP("# Memory",'vHosts (Imported)'!$1:$5000,M1263,FALSE)</f>
        <v>0</v>
      </c>
      <c r="M1263" s="45">
        <f t="shared" si="59"/>
        <v>1263</v>
      </c>
      <c r="N1263" s="38">
        <f>HLOOKUP("Host",'vInfo (Imported)'!$1:$5000,M1263,FALSE)</f>
        <v>0</v>
      </c>
      <c r="R1263">
        <f>HLOOKUP("CPUs",'vInfo (Imported)'!$1:$5000,M1263,FALSE)</f>
        <v>0</v>
      </c>
      <c r="S1263">
        <f>HLOOKUP("Memory",'vInfo (Imported)'!$1:$5000,M1263,FALSE)</f>
        <v>0</v>
      </c>
      <c r="T1263">
        <f>HLOOKUP("Provisioned MiB",'vInfo (Imported)'!$1:$5000,M1263,FALSE)</f>
        <v>0</v>
      </c>
      <c r="U1263">
        <f t="shared" si="58"/>
        <v>0</v>
      </c>
      <c r="V1263">
        <f>HLOOKUP("In Use MiB",'vInfo (Imported)'!$1:$5000,M1263,FALSE)</f>
        <v>0</v>
      </c>
    </row>
    <row r="1264" spans="1:22" ht="13" x14ac:dyDescent="0.3">
      <c r="A1264" s="46">
        <f>'vHosts (Imported)'!A1264</f>
        <v>0</v>
      </c>
      <c r="B1264" s="51">
        <f t="shared" si="60"/>
        <v>4968</v>
      </c>
      <c r="C1264" s="49">
        <f>HLOOKUP("# Cores",'vHosts (Imported)'!$1:$5000,M1264,FALSE)</f>
        <v>0</v>
      </c>
      <c r="D1264" s="52">
        <f>HLOOKUP("# Memory",'vHosts (Imported)'!$1:$5000,M1264,FALSE)</f>
        <v>0</v>
      </c>
      <c r="M1264" s="45">
        <f t="shared" si="59"/>
        <v>1264</v>
      </c>
      <c r="N1264" s="38">
        <f>HLOOKUP("Host",'vInfo (Imported)'!$1:$5000,M1264,FALSE)</f>
        <v>0</v>
      </c>
      <c r="R1264">
        <f>HLOOKUP("CPUs",'vInfo (Imported)'!$1:$5000,M1264,FALSE)</f>
        <v>0</v>
      </c>
      <c r="S1264">
        <f>HLOOKUP("Memory",'vInfo (Imported)'!$1:$5000,M1264,FALSE)</f>
        <v>0</v>
      </c>
      <c r="T1264">
        <f>HLOOKUP("Provisioned MiB",'vInfo (Imported)'!$1:$5000,M1264,FALSE)</f>
        <v>0</v>
      </c>
      <c r="U1264">
        <f t="shared" si="58"/>
        <v>0</v>
      </c>
      <c r="V1264">
        <f>HLOOKUP("In Use MiB",'vInfo (Imported)'!$1:$5000,M1264,FALSE)</f>
        <v>0</v>
      </c>
    </row>
    <row r="1265" spans="1:22" ht="13" x14ac:dyDescent="0.3">
      <c r="A1265" s="46">
        <f>'vHosts (Imported)'!A1265</f>
        <v>0</v>
      </c>
      <c r="B1265" s="51">
        <f t="shared" si="60"/>
        <v>4968</v>
      </c>
      <c r="C1265" s="49">
        <f>HLOOKUP("# Cores",'vHosts (Imported)'!$1:$5000,M1265,FALSE)</f>
        <v>0</v>
      </c>
      <c r="D1265" s="52">
        <f>HLOOKUP("# Memory",'vHosts (Imported)'!$1:$5000,M1265,FALSE)</f>
        <v>0</v>
      </c>
      <c r="M1265" s="45">
        <f t="shared" si="59"/>
        <v>1265</v>
      </c>
      <c r="N1265" s="38">
        <f>HLOOKUP("Host",'vInfo (Imported)'!$1:$5000,M1265,FALSE)</f>
        <v>0</v>
      </c>
      <c r="R1265">
        <f>HLOOKUP("CPUs",'vInfo (Imported)'!$1:$5000,M1265,FALSE)</f>
        <v>0</v>
      </c>
      <c r="S1265">
        <f>HLOOKUP("Memory",'vInfo (Imported)'!$1:$5000,M1265,FALSE)</f>
        <v>0</v>
      </c>
      <c r="T1265">
        <f>HLOOKUP("Provisioned MiB",'vInfo (Imported)'!$1:$5000,M1265,FALSE)</f>
        <v>0</v>
      </c>
      <c r="U1265">
        <f t="shared" si="58"/>
        <v>0</v>
      </c>
      <c r="V1265">
        <f>HLOOKUP("In Use MiB",'vInfo (Imported)'!$1:$5000,M1265,FALSE)</f>
        <v>0</v>
      </c>
    </row>
    <row r="1266" spans="1:22" ht="13" x14ac:dyDescent="0.3">
      <c r="A1266" s="46">
        <f>'vHosts (Imported)'!A1266</f>
        <v>0</v>
      </c>
      <c r="B1266" s="51">
        <f t="shared" si="60"/>
        <v>4968</v>
      </c>
      <c r="C1266" s="49">
        <f>HLOOKUP("# Cores",'vHosts (Imported)'!$1:$5000,M1266,FALSE)</f>
        <v>0</v>
      </c>
      <c r="D1266" s="52">
        <f>HLOOKUP("# Memory",'vHosts (Imported)'!$1:$5000,M1266,FALSE)</f>
        <v>0</v>
      </c>
      <c r="M1266" s="45">
        <f t="shared" si="59"/>
        <v>1266</v>
      </c>
      <c r="N1266" s="38">
        <f>HLOOKUP("Host",'vInfo (Imported)'!$1:$5000,M1266,FALSE)</f>
        <v>0</v>
      </c>
      <c r="R1266">
        <f>HLOOKUP("CPUs",'vInfo (Imported)'!$1:$5000,M1266,FALSE)</f>
        <v>0</v>
      </c>
      <c r="S1266">
        <f>HLOOKUP("Memory",'vInfo (Imported)'!$1:$5000,M1266,FALSE)</f>
        <v>0</v>
      </c>
      <c r="T1266">
        <f>HLOOKUP("Provisioned MiB",'vInfo (Imported)'!$1:$5000,M1266,FALSE)</f>
        <v>0</v>
      </c>
      <c r="U1266">
        <f t="shared" si="58"/>
        <v>0</v>
      </c>
      <c r="V1266">
        <f>HLOOKUP("In Use MiB",'vInfo (Imported)'!$1:$5000,M1266,FALSE)</f>
        <v>0</v>
      </c>
    </row>
    <row r="1267" spans="1:22" ht="13" x14ac:dyDescent="0.3">
      <c r="A1267" s="46">
        <f>'vHosts (Imported)'!A1267</f>
        <v>0</v>
      </c>
      <c r="B1267" s="51">
        <f t="shared" si="60"/>
        <v>4968</v>
      </c>
      <c r="C1267" s="49">
        <f>HLOOKUP("# Cores",'vHosts (Imported)'!$1:$5000,M1267,FALSE)</f>
        <v>0</v>
      </c>
      <c r="D1267" s="52">
        <f>HLOOKUP("# Memory",'vHosts (Imported)'!$1:$5000,M1267,FALSE)</f>
        <v>0</v>
      </c>
      <c r="M1267" s="45">
        <f t="shared" si="59"/>
        <v>1267</v>
      </c>
      <c r="N1267" s="38">
        <f>HLOOKUP("Host",'vInfo (Imported)'!$1:$5000,M1267,FALSE)</f>
        <v>0</v>
      </c>
      <c r="R1267">
        <f>HLOOKUP("CPUs",'vInfo (Imported)'!$1:$5000,M1267,FALSE)</f>
        <v>0</v>
      </c>
      <c r="S1267">
        <f>HLOOKUP("Memory",'vInfo (Imported)'!$1:$5000,M1267,FALSE)</f>
        <v>0</v>
      </c>
      <c r="T1267">
        <f>HLOOKUP("Provisioned MiB",'vInfo (Imported)'!$1:$5000,M1267,FALSE)</f>
        <v>0</v>
      </c>
      <c r="U1267">
        <f t="shared" si="58"/>
        <v>0</v>
      </c>
      <c r="V1267">
        <f>HLOOKUP("In Use MiB",'vInfo (Imported)'!$1:$5000,M1267,FALSE)</f>
        <v>0</v>
      </c>
    </row>
    <row r="1268" spans="1:22" ht="13" x14ac:dyDescent="0.3">
      <c r="A1268" s="46">
        <f>'vHosts (Imported)'!A1268</f>
        <v>0</v>
      </c>
      <c r="B1268" s="51">
        <f t="shared" si="60"/>
        <v>4968</v>
      </c>
      <c r="C1268" s="49">
        <f>HLOOKUP("# Cores",'vHosts (Imported)'!$1:$5000,M1268,FALSE)</f>
        <v>0</v>
      </c>
      <c r="D1268" s="52">
        <f>HLOOKUP("# Memory",'vHosts (Imported)'!$1:$5000,M1268,FALSE)</f>
        <v>0</v>
      </c>
      <c r="M1268" s="45">
        <f t="shared" si="59"/>
        <v>1268</v>
      </c>
      <c r="N1268" s="38">
        <f>HLOOKUP("Host",'vInfo (Imported)'!$1:$5000,M1268,FALSE)</f>
        <v>0</v>
      </c>
      <c r="R1268">
        <f>HLOOKUP("CPUs",'vInfo (Imported)'!$1:$5000,M1268,FALSE)</f>
        <v>0</v>
      </c>
      <c r="S1268">
        <f>HLOOKUP("Memory",'vInfo (Imported)'!$1:$5000,M1268,FALSE)</f>
        <v>0</v>
      </c>
      <c r="T1268">
        <f>HLOOKUP("Provisioned MiB",'vInfo (Imported)'!$1:$5000,M1268,FALSE)</f>
        <v>0</v>
      </c>
      <c r="U1268">
        <f t="shared" si="58"/>
        <v>0</v>
      </c>
      <c r="V1268">
        <f>HLOOKUP("In Use MiB",'vInfo (Imported)'!$1:$5000,M1268,FALSE)</f>
        <v>0</v>
      </c>
    </row>
    <row r="1269" spans="1:22" ht="13" x14ac:dyDescent="0.3">
      <c r="A1269" s="46">
        <f>'vHosts (Imported)'!A1269</f>
        <v>0</v>
      </c>
      <c r="B1269" s="51">
        <f t="shared" si="60"/>
        <v>4968</v>
      </c>
      <c r="C1269" s="49">
        <f>HLOOKUP("# Cores",'vHosts (Imported)'!$1:$5000,M1269,FALSE)</f>
        <v>0</v>
      </c>
      <c r="D1269" s="52">
        <f>HLOOKUP("# Memory",'vHosts (Imported)'!$1:$5000,M1269,FALSE)</f>
        <v>0</v>
      </c>
      <c r="M1269" s="45">
        <f t="shared" si="59"/>
        <v>1269</v>
      </c>
      <c r="N1269" s="38">
        <f>HLOOKUP("Host",'vInfo (Imported)'!$1:$5000,M1269,FALSE)</f>
        <v>0</v>
      </c>
      <c r="R1269">
        <f>HLOOKUP("CPUs",'vInfo (Imported)'!$1:$5000,M1269,FALSE)</f>
        <v>0</v>
      </c>
      <c r="S1269">
        <f>HLOOKUP("Memory",'vInfo (Imported)'!$1:$5000,M1269,FALSE)</f>
        <v>0</v>
      </c>
      <c r="T1269">
        <f>HLOOKUP("Provisioned MiB",'vInfo (Imported)'!$1:$5000,M1269,FALSE)</f>
        <v>0</v>
      </c>
      <c r="U1269">
        <f t="shared" si="58"/>
        <v>0</v>
      </c>
      <c r="V1269">
        <f>HLOOKUP("In Use MiB",'vInfo (Imported)'!$1:$5000,M1269,FALSE)</f>
        <v>0</v>
      </c>
    </row>
    <row r="1270" spans="1:22" ht="13" x14ac:dyDescent="0.3">
      <c r="A1270" s="46">
        <f>'vHosts (Imported)'!A1270</f>
        <v>0</v>
      </c>
      <c r="B1270" s="51">
        <f t="shared" si="60"/>
        <v>4968</v>
      </c>
      <c r="C1270" s="49">
        <f>HLOOKUP("# Cores",'vHosts (Imported)'!$1:$5000,M1270,FALSE)</f>
        <v>0</v>
      </c>
      <c r="D1270" s="52">
        <f>HLOOKUP("# Memory",'vHosts (Imported)'!$1:$5000,M1270,FALSE)</f>
        <v>0</v>
      </c>
      <c r="M1270" s="45">
        <f t="shared" si="59"/>
        <v>1270</v>
      </c>
      <c r="N1270" s="38">
        <f>HLOOKUP("Host",'vInfo (Imported)'!$1:$5000,M1270,FALSE)</f>
        <v>0</v>
      </c>
      <c r="R1270">
        <f>HLOOKUP("CPUs",'vInfo (Imported)'!$1:$5000,M1270,FALSE)</f>
        <v>0</v>
      </c>
      <c r="S1270">
        <f>HLOOKUP("Memory",'vInfo (Imported)'!$1:$5000,M1270,FALSE)</f>
        <v>0</v>
      </c>
      <c r="T1270">
        <f>HLOOKUP("Provisioned MiB",'vInfo (Imported)'!$1:$5000,M1270,FALSE)</f>
        <v>0</v>
      </c>
      <c r="U1270">
        <f t="shared" si="58"/>
        <v>0</v>
      </c>
      <c r="V1270">
        <f>HLOOKUP("In Use MiB",'vInfo (Imported)'!$1:$5000,M1270,FALSE)</f>
        <v>0</v>
      </c>
    </row>
    <row r="1271" spans="1:22" ht="13" x14ac:dyDescent="0.3">
      <c r="A1271" s="46">
        <f>'vHosts (Imported)'!A1271</f>
        <v>0</v>
      </c>
      <c r="B1271" s="51">
        <f t="shared" si="60"/>
        <v>4968</v>
      </c>
      <c r="C1271" s="49">
        <f>HLOOKUP("# Cores",'vHosts (Imported)'!$1:$5000,M1271,FALSE)</f>
        <v>0</v>
      </c>
      <c r="D1271" s="52">
        <f>HLOOKUP("# Memory",'vHosts (Imported)'!$1:$5000,M1271,FALSE)</f>
        <v>0</v>
      </c>
      <c r="M1271" s="45">
        <f t="shared" si="59"/>
        <v>1271</v>
      </c>
      <c r="N1271" s="38">
        <f>HLOOKUP("Host",'vInfo (Imported)'!$1:$5000,M1271,FALSE)</f>
        <v>0</v>
      </c>
      <c r="R1271">
        <f>HLOOKUP("CPUs",'vInfo (Imported)'!$1:$5000,M1271,FALSE)</f>
        <v>0</v>
      </c>
      <c r="S1271">
        <f>HLOOKUP("Memory",'vInfo (Imported)'!$1:$5000,M1271,FALSE)</f>
        <v>0</v>
      </c>
      <c r="T1271">
        <f>HLOOKUP("Provisioned MiB",'vInfo (Imported)'!$1:$5000,M1271,FALSE)</f>
        <v>0</v>
      </c>
      <c r="U1271">
        <f t="shared" si="58"/>
        <v>0</v>
      </c>
      <c r="V1271">
        <f>HLOOKUP("In Use MiB",'vInfo (Imported)'!$1:$5000,M1271,FALSE)</f>
        <v>0</v>
      </c>
    </row>
    <row r="1272" spans="1:22" ht="13" x14ac:dyDescent="0.3">
      <c r="A1272" s="46">
        <f>'vHosts (Imported)'!A1272</f>
        <v>0</v>
      </c>
      <c r="B1272" s="51">
        <f t="shared" si="60"/>
        <v>4968</v>
      </c>
      <c r="C1272" s="49">
        <f>HLOOKUP("# Cores",'vHosts (Imported)'!$1:$5000,M1272,FALSE)</f>
        <v>0</v>
      </c>
      <c r="D1272" s="52">
        <f>HLOOKUP("# Memory",'vHosts (Imported)'!$1:$5000,M1272,FALSE)</f>
        <v>0</v>
      </c>
      <c r="M1272" s="45">
        <f t="shared" si="59"/>
        <v>1272</v>
      </c>
      <c r="N1272" s="38">
        <f>HLOOKUP("Host",'vInfo (Imported)'!$1:$5000,M1272,FALSE)</f>
        <v>0</v>
      </c>
      <c r="R1272">
        <f>HLOOKUP("CPUs",'vInfo (Imported)'!$1:$5000,M1272,FALSE)</f>
        <v>0</v>
      </c>
      <c r="S1272">
        <f>HLOOKUP("Memory",'vInfo (Imported)'!$1:$5000,M1272,FALSE)</f>
        <v>0</v>
      </c>
      <c r="T1272">
        <f>HLOOKUP("Provisioned MiB",'vInfo (Imported)'!$1:$5000,M1272,FALSE)</f>
        <v>0</v>
      </c>
      <c r="U1272">
        <f t="shared" si="58"/>
        <v>0</v>
      </c>
      <c r="V1272">
        <f>HLOOKUP("In Use MiB",'vInfo (Imported)'!$1:$5000,M1272,FALSE)</f>
        <v>0</v>
      </c>
    </row>
    <row r="1273" spans="1:22" ht="13" x14ac:dyDescent="0.3">
      <c r="A1273" s="46">
        <f>'vHosts (Imported)'!A1273</f>
        <v>0</v>
      </c>
      <c r="B1273" s="51">
        <f t="shared" si="60"/>
        <v>4968</v>
      </c>
      <c r="C1273" s="49">
        <f>HLOOKUP("# Cores",'vHosts (Imported)'!$1:$5000,M1273,FALSE)</f>
        <v>0</v>
      </c>
      <c r="D1273" s="52">
        <f>HLOOKUP("# Memory",'vHosts (Imported)'!$1:$5000,M1273,FALSE)</f>
        <v>0</v>
      </c>
      <c r="M1273" s="45">
        <f t="shared" si="59"/>
        <v>1273</v>
      </c>
      <c r="N1273" s="38">
        <f>HLOOKUP("Host",'vInfo (Imported)'!$1:$5000,M1273,FALSE)</f>
        <v>0</v>
      </c>
      <c r="R1273">
        <f>HLOOKUP("CPUs",'vInfo (Imported)'!$1:$5000,M1273,FALSE)</f>
        <v>0</v>
      </c>
      <c r="S1273">
        <f>HLOOKUP("Memory",'vInfo (Imported)'!$1:$5000,M1273,FALSE)</f>
        <v>0</v>
      </c>
      <c r="T1273">
        <f>HLOOKUP("Provisioned MiB",'vInfo (Imported)'!$1:$5000,M1273,FALSE)</f>
        <v>0</v>
      </c>
      <c r="U1273">
        <f t="shared" si="58"/>
        <v>0</v>
      </c>
      <c r="V1273">
        <f>HLOOKUP("In Use MiB",'vInfo (Imported)'!$1:$5000,M1273,FALSE)</f>
        <v>0</v>
      </c>
    </row>
    <row r="1274" spans="1:22" ht="13" x14ac:dyDescent="0.3">
      <c r="A1274" s="46">
        <f>'vHosts (Imported)'!A1274</f>
        <v>0</v>
      </c>
      <c r="B1274" s="51">
        <f t="shared" si="60"/>
        <v>4968</v>
      </c>
      <c r="C1274" s="49">
        <f>HLOOKUP("# Cores",'vHosts (Imported)'!$1:$5000,M1274,FALSE)</f>
        <v>0</v>
      </c>
      <c r="D1274" s="52">
        <f>HLOOKUP("# Memory",'vHosts (Imported)'!$1:$5000,M1274,FALSE)</f>
        <v>0</v>
      </c>
      <c r="M1274" s="45">
        <f t="shared" si="59"/>
        <v>1274</v>
      </c>
      <c r="N1274" s="38">
        <f>HLOOKUP("Host",'vInfo (Imported)'!$1:$5000,M1274,FALSE)</f>
        <v>0</v>
      </c>
      <c r="R1274">
        <f>HLOOKUP("CPUs",'vInfo (Imported)'!$1:$5000,M1274,FALSE)</f>
        <v>0</v>
      </c>
      <c r="S1274">
        <f>HLOOKUP("Memory",'vInfo (Imported)'!$1:$5000,M1274,FALSE)</f>
        <v>0</v>
      </c>
      <c r="T1274">
        <f>HLOOKUP("Provisioned MiB",'vInfo (Imported)'!$1:$5000,M1274,FALSE)</f>
        <v>0</v>
      </c>
      <c r="U1274">
        <f t="shared" si="58"/>
        <v>0</v>
      </c>
      <c r="V1274">
        <f>HLOOKUP("In Use MiB",'vInfo (Imported)'!$1:$5000,M1274,FALSE)</f>
        <v>0</v>
      </c>
    </row>
    <row r="1275" spans="1:22" ht="13" x14ac:dyDescent="0.3">
      <c r="A1275" s="46">
        <f>'vHosts (Imported)'!A1275</f>
        <v>0</v>
      </c>
      <c r="B1275" s="51">
        <f t="shared" si="60"/>
        <v>4968</v>
      </c>
      <c r="C1275" s="49">
        <f>HLOOKUP("# Cores",'vHosts (Imported)'!$1:$5000,M1275,FALSE)</f>
        <v>0</v>
      </c>
      <c r="D1275" s="52">
        <f>HLOOKUP("# Memory",'vHosts (Imported)'!$1:$5000,M1275,FALSE)</f>
        <v>0</v>
      </c>
      <c r="M1275" s="45">
        <f t="shared" si="59"/>
        <v>1275</v>
      </c>
      <c r="N1275" s="38">
        <f>HLOOKUP("Host",'vInfo (Imported)'!$1:$5000,M1275,FALSE)</f>
        <v>0</v>
      </c>
      <c r="R1275">
        <f>HLOOKUP("CPUs",'vInfo (Imported)'!$1:$5000,M1275,FALSE)</f>
        <v>0</v>
      </c>
      <c r="S1275">
        <f>HLOOKUP("Memory",'vInfo (Imported)'!$1:$5000,M1275,FALSE)</f>
        <v>0</v>
      </c>
      <c r="T1275">
        <f>HLOOKUP("Provisioned MiB",'vInfo (Imported)'!$1:$5000,M1275,FALSE)</f>
        <v>0</v>
      </c>
      <c r="U1275">
        <f t="shared" si="58"/>
        <v>0</v>
      </c>
      <c r="V1275">
        <f>HLOOKUP("In Use MiB",'vInfo (Imported)'!$1:$5000,M1275,FALSE)</f>
        <v>0</v>
      </c>
    </row>
    <row r="1276" spans="1:22" ht="13" x14ac:dyDescent="0.3">
      <c r="A1276" s="46">
        <f>'vHosts (Imported)'!A1276</f>
        <v>0</v>
      </c>
      <c r="B1276" s="51">
        <f t="shared" si="60"/>
        <v>4968</v>
      </c>
      <c r="C1276" s="49">
        <f>HLOOKUP("# Cores",'vHosts (Imported)'!$1:$5000,M1276,FALSE)</f>
        <v>0</v>
      </c>
      <c r="D1276" s="52">
        <f>HLOOKUP("# Memory",'vHosts (Imported)'!$1:$5000,M1276,FALSE)</f>
        <v>0</v>
      </c>
      <c r="M1276" s="45">
        <f t="shared" si="59"/>
        <v>1276</v>
      </c>
      <c r="N1276" s="38">
        <f>HLOOKUP("Host",'vInfo (Imported)'!$1:$5000,M1276,FALSE)</f>
        <v>0</v>
      </c>
      <c r="R1276">
        <f>HLOOKUP("CPUs",'vInfo (Imported)'!$1:$5000,M1276,FALSE)</f>
        <v>0</v>
      </c>
      <c r="S1276">
        <f>HLOOKUP("Memory",'vInfo (Imported)'!$1:$5000,M1276,FALSE)</f>
        <v>0</v>
      </c>
      <c r="T1276">
        <f>HLOOKUP("Provisioned MiB",'vInfo (Imported)'!$1:$5000,M1276,FALSE)</f>
        <v>0</v>
      </c>
      <c r="U1276">
        <f t="shared" si="58"/>
        <v>0</v>
      </c>
      <c r="V1276">
        <f>HLOOKUP("In Use MiB",'vInfo (Imported)'!$1:$5000,M1276,FALSE)</f>
        <v>0</v>
      </c>
    </row>
    <row r="1277" spans="1:22" ht="13" x14ac:dyDescent="0.3">
      <c r="A1277" s="46">
        <f>'vHosts (Imported)'!A1277</f>
        <v>0</v>
      </c>
      <c r="B1277" s="51">
        <f t="shared" si="60"/>
        <v>4968</v>
      </c>
      <c r="C1277" s="49">
        <f>HLOOKUP("# Cores",'vHosts (Imported)'!$1:$5000,M1277,FALSE)</f>
        <v>0</v>
      </c>
      <c r="D1277" s="52">
        <f>HLOOKUP("# Memory",'vHosts (Imported)'!$1:$5000,M1277,FALSE)</f>
        <v>0</v>
      </c>
      <c r="M1277" s="45">
        <f t="shared" si="59"/>
        <v>1277</v>
      </c>
      <c r="N1277" s="38">
        <f>HLOOKUP("Host",'vInfo (Imported)'!$1:$5000,M1277,FALSE)</f>
        <v>0</v>
      </c>
      <c r="R1277">
        <f>HLOOKUP("CPUs",'vInfo (Imported)'!$1:$5000,M1277,FALSE)</f>
        <v>0</v>
      </c>
      <c r="S1277">
        <f>HLOOKUP("Memory",'vInfo (Imported)'!$1:$5000,M1277,FALSE)</f>
        <v>0</v>
      </c>
      <c r="T1277">
        <f>HLOOKUP("Provisioned MiB",'vInfo (Imported)'!$1:$5000,M1277,FALSE)</f>
        <v>0</v>
      </c>
      <c r="U1277">
        <f t="shared" si="58"/>
        <v>0</v>
      </c>
      <c r="V1277">
        <f>HLOOKUP("In Use MiB",'vInfo (Imported)'!$1:$5000,M1277,FALSE)</f>
        <v>0</v>
      </c>
    </row>
    <row r="1278" spans="1:22" ht="13" x14ac:dyDescent="0.3">
      <c r="A1278" s="46">
        <f>'vHosts (Imported)'!A1278</f>
        <v>0</v>
      </c>
      <c r="B1278" s="51">
        <f t="shared" si="60"/>
        <v>4968</v>
      </c>
      <c r="C1278" s="49">
        <f>HLOOKUP("# Cores",'vHosts (Imported)'!$1:$5000,M1278,FALSE)</f>
        <v>0</v>
      </c>
      <c r="D1278" s="52">
        <f>HLOOKUP("# Memory",'vHosts (Imported)'!$1:$5000,M1278,FALSE)</f>
        <v>0</v>
      </c>
      <c r="M1278" s="45">
        <f t="shared" si="59"/>
        <v>1278</v>
      </c>
      <c r="N1278" s="38">
        <f>HLOOKUP("Host",'vInfo (Imported)'!$1:$5000,M1278,FALSE)</f>
        <v>0</v>
      </c>
      <c r="R1278">
        <f>HLOOKUP("CPUs",'vInfo (Imported)'!$1:$5000,M1278,FALSE)</f>
        <v>0</v>
      </c>
      <c r="S1278">
        <f>HLOOKUP("Memory",'vInfo (Imported)'!$1:$5000,M1278,FALSE)</f>
        <v>0</v>
      </c>
      <c r="T1278">
        <f>HLOOKUP("Provisioned MiB",'vInfo (Imported)'!$1:$5000,M1278,FALSE)</f>
        <v>0</v>
      </c>
      <c r="U1278">
        <f t="shared" si="58"/>
        <v>0</v>
      </c>
      <c r="V1278">
        <f>HLOOKUP("In Use MiB",'vInfo (Imported)'!$1:$5000,M1278,FALSE)</f>
        <v>0</v>
      </c>
    </row>
    <row r="1279" spans="1:22" ht="13" x14ac:dyDescent="0.3">
      <c r="A1279" s="46">
        <f>'vHosts (Imported)'!A1279</f>
        <v>0</v>
      </c>
      <c r="B1279" s="51">
        <f t="shared" si="60"/>
        <v>4968</v>
      </c>
      <c r="C1279" s="49">
        <f>HLOOKUP("# Cores",'vHosts (Imported)'!$1:$5000,M1279,FALSE)</f>
        <v>0</v>
      </c>
      <c r="D1279" s="52">
        <f>HLOOKUP("# Memory",'vHosts (Imported)'!$1:$5000,M1279,FALSE)</f>
        <v>0</v>
      </c>
      <c r="M1279" s="45">
        <f t="shared" si="59"/>
        <v>1279</v>
      </c>
      <c r="N1279" s="38">
        <f>HLOOKUP("Host",'vInfo (Imported)'!$1:$5000,M1279,FALSE)</f>
        <v>0</v>
      </c>
      <c r="R1279">
        <f>HLOOKUP("CPUs",'vInfo (Imported)'!$1:$5000,M1279,FALSE)</f>
        <v>0</v>
      </c>
      <c r="S1279">
        <f>HLOOKUP("Memory",'vInfo (Imported)'!$1:$5000,M1279,FALSE)</f>
        <v>0</v>
      </c>
      <c r="T1279">
        <f>HLOOKUP("Provisioned MiB",'vInfo (Imported)'!$1:$5000,M1279,FALSE)</f>
        <v>0</v>
      </c>
      <c r="U1279">
        <f t="shared" si="58"/>
        <v>0</v>
      </c>
      <c r="V1279">
        <f>HLOOKUP("In Use MiB",'vInfo (Imported)'!$1:$5000,M1279,FALSE)</f>
        <v>0</v>
      </c>
    </row>
    <row r="1280" spans="1:22" ht="13" x14ac:dyDescent="0.3">
      <c r="A1280" s="46">
        <f>'vHosts (Imported)'!A1280</f>
        <v>0</v>
      </c>
      <c r="B1280" s="51">
        <f t="shared" si="60"/>
        <v>4968</v>
      </c>
      <c r="C1280" s="49">
        <f>HLOOKUP("# Cores",'vHosts (Imported)'!$1:$5000,M1280,FALSE)</f>
        <v>0</v>
      </c>
      <c r="D1280" s="52">
        <f>HLOOKUP("# Memory",'vHosts (Imported)'!$1:$5000,M1280,FALSE)</f>
        <v>0</v>
      </c>
      <c r="M1280" s="45">
        <f t="shared" si="59"/>
        <v>1280</v>
      </c>
      <c r="N1280" s="38">
        <f>HLOOKUP("Host",'vInfo (Imported)'!$1:$5000,M1280,FALSE)</f>
        <v>0</v>
      </c>
      <c r="R1280">
        <f>HLOOKUP("CPUs",'vInfo (Imported)'!$1:$5000,M1280,FALSE)</f>
        <v>0</v>
      </c>
      <c r="S1280">
        <f>HLOOKUP("Memory",'vInfo (Imported)'!$1:$5000,M1280,FALSE)</f>
        <v>0</v>
      </c>
      <c r="T1280">
        <f>HLOOKUP("Provisioned MiB",'vInfo (Imported)'!$1:$5000,M1280,FALSE)</f>
        <v>0</v>
      </c>
      <c r="U1280">
        <f t="shared" si="58"/>
        <v>0</v>
      </c>
      <c r="V1280">
        <f>HLOOKUP("In Use MiB",'vInfo (Imported)'!$1:$5000,M1280,FALSE)</f>
        <v>0</v>
      </c>
    </row>
    <row r="1281" spans="1:22" ht="13" x14ac:dyDescent="0.3">
      <c r="A1281" s="46">
        <f>'vHosts (Imported)'!A1281</f>
        <v>0</v>
      </c>
      <c r="B1281" s="51">
        <f t="shared" si="60"/>
        <v>4968</v>
      </c>
      <c r="C1281" s="49">
        <f>HLOOKUP("# Cores",'vHosts (Imported)'!$1:$5000,M1281,FALSE)</f>
        <v>0</v>
      </c>
      <c r="D1281" s="52">
        <f>HLOOKUP("# Memory",'vHosts (Imported)'!$1:$5000,M1281,FALSE)</f>
        <v>0</v>
      </c>
      <c r="M1281" s="45">
        <f t="shared" si="59"/>
        <v>1281</v>
      </c>
      <c r="N1281" s="38">
        <f>HLOOKUP("Host",'vInfo (Imported)'!$1:$5000,M1281,FALSE)</f>
        <v>0</v>
      </c>
      <c r="R1281">
        <f>HLOOKUP("CPUs",'vInfo (Imported)'!$1:$5000,M1281,FALSE)</f>
        <v>0</v>
      </c>
      <c r="S1281">
        <f>HLOOKUP("Memory",'vInfo (Imported)'!$1:$5000,M1281,FALSE)</f>
        <v>0</v>
      </c>
      <c r="T1281">
        <f>HLOOKUP("Provisioned MiB",'vInfo (Imported)'!$1:$5000,M1281,FALSE)</f>
        <v>0</v>
      </c>
      <c r="U1281">
        <f t="shared" si="58"/>
        <v>0</v>
      </c>
      <c r="V1281">
        <f>HLOOKUP("In Use MiB",'vInfo (Imported)'!$1:$5000,M1281,FALSE)</f>
        <v>0</v>
      </c>
    </row>
    <row r="1282" spans="1:22" ht="13" x14ac:dyDescent="0.3">
      <c r="A1282" s="46">
        <f>'vHosts (Imported)'!A1282</f>
        <v>0</v>
      </c>
      <c r="B1282" s="51">
        <f t="shared" si="60"/>
        <v>4968</v>
      </c>
      <c r="C1282" s="49">
        <f>HLOOKUP("# Cores",'vHosts (Imported)'!$1:$5000,M1282,FALSE)</f>
        <v>0</v>
      </c>
      <c r="D1282" s="52">
        <f>HLOOKUP("# Memory",'vHosts (Imported)'!$1:$5000,M1282,FALSE)</f>
        <v>0</v>
      </c>
      <c r="M1282" s="45">
        <f t="shared" si="59"/>
        <v>1282</v>
      </c>
      <c r="N1282" s="38">
        <f>HLOOKUP("Host",'vInfo (Imported)'!$1:$5000,M1282,FALSE)</f>
        <v>0</v>
      </c>
      <c r="R1282">
        <f>HLOOKUP("CPUs",'vInfo (Imported)'!$1:$5000,M1282,FALSE)</f>
        <v>0</v>
      </c>
      <c r="S1282">
        <f>HLOOKUP("Memory",'vInfo (Imported)'!$1:$5000,M1282,FALSE)</f>
        <v>0</v>
      </c>
      <c r="T1282">
        <f>HLOOKUP("Provisioned MiB",'vInfo (Imported)'!$1:$5000,M1282,FALSE)</f>
        <v>0</v>
      </c>
      <c r="U1282">
        <f t="shared" si="58"/>
        <v>0</v>
      </c>
      <c r="V1282">
        <f>HLOOKUP("In Use MiB",'vInfo (Imported)'!$1:$5000,M1282,FALSE)</f>
        <v>0</v>
      </c>
    </row>
    <row r="1283" spans="1:22" ht="13" x14ac:dyDescent="0.3">
      <c r="A1283" s="46">
        <f>'vHosts (Imported)'!A1283</f>
        <v>0</v>
      </c>
      <c r="B1283" s="51">
        <f t="shared" si="60"/>
        <v>4968</v>
      </c>
      <c r="C1283" s="49">
        <f>HLOOKUP("# Cores",'vHosts (Imported)'!$1:$5000,M1283,FALSE)</f>
        <v>0</v>
      </c>
      <c r="D1283" s="52">
        <f>HLOOKUP("# Memory",'vHosts (Imported)'!$1:$5000,M1283,FALSE)</f>
        <v>0</v>
      </c>
      <c r="M1283" s="45">
        <f t="shared" si="59"/>
        <v>1283</v>
      </c>
      <c r="N1283" s="38">
        <f>HLOOKUP("Host",'vInfo (Imported)'!$1:$5000,M1283,FALSE)</f>
        <v>0</v>
      </c>
      <c r="R1283">
        <f>HLOOKUP("CPUs",'vInfo (Imported)'!$1:$5000,M1283,FALSE)</f>
        <v>0</v>
      </c>
      <c r="S1283">
        <f>HLOOKUP("Memory",'vInfo (Imported)'!$1:$5000,M1283,FALSE)</f>
        <v>0</v>
      </c>
      <c r="T1283">
        <f>HLOOKUP("Provisioned MiB",'vInfo (Imported)'!$1:$5000,M1283,FALSE)</f>
        <v>0</v>
      </c>
      <c r="U1283">
        <f t="shared" ref="U1283:U1346" si="61">T1283-V1283</f>
        <v>0</v>
      </c>
      <c r="V1283">
        <f>HLOOKUP("In Use MiB",'vInfo (Imported)'!$1:$5000,M1283,FALSE)</f>
        <v>0</v>
      </c>
    </row>
    <row r="1284" spans="1:22" ht="13" x14ac:dyDescent="0.3">
      <c r="A1284" s="46">
        <f>'vHosts (Imported)'!A1284</f>
        <v>0</v>
      </c>
      <c r="B1284" s="51">
        <f t="shared" si="60"/>
        <v>4968</v>
      </c>
      <c r="C1284" s="49">
        <f>HLOOKUP("# Cores",'vHosts (Imported)'!$1:$5000,M1284,FALSE)</f>
        <v>0</v>
      </c>
      <c r="D1284" s="52">
        <f>HLOOKUP("# Memory",'vHosts (Imported)'!$1:$5000,M1284,FALSE)</f>
        <v>0</v>
      </c>
      <c r="M1284" s="45">
        <f t="shared" ref="M1284:M1347" si="62">M1283+1</f>
        <v>1284</v>
      </c>
      <c r="N1284" s="38">
        <f>HLOOKUP("Host",'vInfo (Imported)'!$1:$5000,M1284,FALSE)</f>
        <v>0</v>
      </c>
      <c r="R1284">
        <f>HLOOKUP("CPUs",'vInfo (Imported)'!$1:$5000,M1284,FALSE)</f>
        <v>0</v>
      </c>
      <c r="S1284">
        <f>HLOOKUP("Memory",'vInfo (Imported)'!$1:$5000,M1284,FALSE)</f>
        <v>0</v>
      </c>
      <c r="T1284">
        <f>HLOOKUP("Provisioned MiB",'vInfo (Imported)'!$1:$5000,M1284,FALSE)</f>
        <v>0</v>
      </c>
      <c r="U1284">
        <f t="shared" si="61"/>
        <v>0</v>
      </c>
      <c r="V1284">
        <f>HLOOKUP("In Use MiB",'vInfo (Imported)'!$1:$5000,M1284,FALSE)</f>
        <v>0</v>
      </c>
    </row>
    <row r="1285" spans="1:22" ht="13" x14ac:dyDescent="0.3">
      <c r="A1285" s="46">
        <f>'vHosts (Imported)'!A1285</f>
        <v>0</v>
      </c>
      <c r="B1285" s="51">
        <f t="shared" si="60"/>
        <v>4968</v>
      </c>
      <c r="C1285" s="49">
        <f>HLOOKUP("# Cores",'vHosts (Imported)'!$1:$5000,M1285,FALSE)</f>
        <v>0</v>
      </c>
      <c r="D1285" s="52">
        <f>HLOOKUP("# Memory",'vHosts (Imported)'!$1:$5000,M1285,FALSE)</f>
        <v>0</v>
      </c>
      <c r="M1285" s="45">
        <f t="shared" si="62"/>
        <v>1285</v>
      </c>
      <c r="N1285" s="38">
        <f>HLOOKUP("Host",'vInfo (Imported)'!$1:$5000,M1285,FALSE)</f>
        <v>0</v>
      </c>
      <c r="R1285">
        <f>HLOOKUP("CPUs",'vInfo (Imported)'!$1:$5000,M1285,FALSE)</f>
        <v>0</v>
      </c>
      <c r="S1285">
        <f>HLOOKUP("Memory",'vInfo (Imported)'!$1:$5000,M1285,FALSE)</f>
        <v>0</v>
      </c>
      <c r="T1285">
        <f>HLOOKUP("Provisioned MiB",'vInfo (Imported)'!$1:$5000,M1285,FALSE)</f>
        <v>0</v>
      </c>
      <c r="U1285">
        <f t="shared" si="61"/>
        <v>0</v>
      </c>
      <c r="V1285">
        <f>HLOOKUP("In Use MiB",'vInfo (Imported)'!$1:$5000,M1285,FALSE)</f>
        <v>0</v>
      </c>
    </row>
    <row r="1286" spans="1:22" ht="13" x14ac:dyDescent="0.3">
      <c r="A1286" s="46">
        <f>'vHosts (Imported)'!A1286</f>
        <v>0</v>
      </c>
      <c r="B1286" s="51">
        <f t="shared" si="60"/>
        <v>4968</v>
      </c>
      <c r="C1286" s="49">
        <f>HLOOKUP("# Cores",'vHosts (Imported)'!$1:$5000,M1286,FALSE)</f>
        <v>0</v>
      </c>
      <c r="D1286" s="52">
        <f>HLOOKUP("# Memory",'vHosts (Imported)'!$1:$5000,M1286,FALSE)</f>
        <v>0</v>
      </c>
      <c r="M1286" s="45">
        <f t="shared" si="62"/>
        <v>1286</v>
      </c>
      <c r="N1286" s="38">
        <f>HLOOKUP("Host",'vInfo (Imported)'!$1:$5000,M1286,FALSE)</f>
        <v>0</v>
      </c>
      <c r="R1286">
        <f>HLOOKUP("CPUs",'vInfo (Imported)'!$1:$5000,M1286,FALSE)</f>
        <v>0</v>
      </c>
      <c r="S1286">
        <f>HLOOKUP("Memory",'vInfo (Imported)'!$1:$5000,M1286,FALSE)</f>
        <v>0</v>
      </c>
      <c r="T1286">
        <f>HLOOKUP("Provisioned MiB",'vInfo (Imported)'!$1:$5000,M1286,FALSE)</f>
        <v>0</v>
      </c>
      <c r="U1286">
        <f t="shared" si="61"/>
        <v>0</v>
      </c>
      <c r="V1286">
        <f>HLOOKUP("In Use MiB",'vInfo (Imported)'!$1:$5000,M1286,FALSE)</f>
        <v>0</v>
      </c>
    </row>
    <row r="1287" spans="1:22" ht="13" x14ac:dyDescent="0.3">
      <c r="A1287" s="46">
        <f>'vHosts (Imported)'!A1287</f>
        <v>0</v>
      </c>
      <c r="B1287" s="51">
        <f t="shared" si="60"/>
        <v>4968</v>
      </c>
      <c r="C1287" s="49">
        <f>HLOOKUP("# Cores",'vHosts (Imported)'!$1:$5000,M1287,FALSE)</f>
        <v>0</v>
      </c>
      <c r="D1287" s="52">
        <f>HLOOKUP("# Memory",'vHosts (Imported)'!$1:$5000,M1287,FALSE)</f>
        <v>0</v>
      </c>
      <c r="M1287" s="45">
        <f t="shared" si="62"/>
        <v>1287</v>
      </c>
      <c r="N1287" s="38">
        <f>HLOOKUP("Host",'vInfo (Imported)'!$1:$5000,M1287,FALSE)</f>
        <v>0</v>
      </c>
      <c r="R1287">
        <f>HLOOKUP("CPUs",'vInfo (Imported)'!$1:$5000,M1287,FALSE)</f>
        <v>0</v>
      </c>
      <c r="S1287">
        <f>HLOOKUP("Memory",'vInfo (Imported)'!$1:$5000,M1287,FALSE)</f>
        <v>0</v>
      </c>
      <c r="T1287">
        <f>HLOOKUP("Provisioned MiB",'vInfo (Imported)'!$1:$5000,M1287,FALSE)</f>
        <v>0</v>
      </c>
      <c r="U1287">
        <f t="shared" si="61"/>
        <v>0</v>
      </c>
      <c r="V1287">
        <f>HLOOKUP("In Use MiB",'vInfo (Imported)'!$1:$5000,M1287,FALSE)</f>
        <v>0</v>
      </c>
    </row>
    <row r="1288" spans="1:22" ht="13" x14ac:dyDescent="0.3">
      <c r="A1288" s="46">
        <f>'vHosts (Imported)'!A1288</f>
        <v>0</v>
      </c>
      <c r="B1288" s="51">
        <f t="shared" si="60"/>
        <v>4968</v>
      </c>
      <c r="C1288" s="49">
        <f>HLOOKUP("# Cores",'vHosts (Imported)'!$1:$5000,M1288,FALSE)</f>
        <v>0</v>
      </c>
      <c r="D1288" s="52">
        <f>HLOOKUP("# Memory",'vHosts (Imported)'!$1:$5000,M1288,FALSE)</f>
        <v>0</v>
      </c>
      <c r="M1288" s="45">
        <f t="shared" si="62"/>
        <v>1288</v>
      </c>
      <c r="N1288" s="38">
        <f>HLOOKUP("Host",'vInfo (Imported)'!$1:$5000,M1288,FALSE)</f>
        <v>0</v>
      </c>
      <c r="R1288">
        <f>HLOOKUP("CPUs",'vInfo (Imported)'!$1:$5000,M1288,FALSE)</f>
        <v>0</v>
      </c>
      <c r="S1288">
        <f>HLOOKUP("Memory",'vInfo (Imported)'!$1:$5000,M1288,FALSE)</f>
        <v>0</v>
      </c>
      <c r="T1288">
        <f>HLOOKUP("Provisioned MiB",'vInfo (Imported)'!$1:$5000,M1288,FALSE)</f>
        <v>0</v>
      </c>
      <c r="U1288">
        <f t="shared" si="61"/>
        <v>0</v>
      </c>
      <c r="V1288">
        <f>HLOOKUP("In Use MiB",'vInfo (Imported)'!$1:$5000,M1288,FALSE)</f>
        <v>0</v>
      </c>
    </row>
    <row r="1289" spans="1:22" ht="13" x14ac:dyDescent="0.3">
      <c r="A1289" s="46">
        <f>'vHosts (Imported)'!A1289</f>
        <v>0</v>
      </c>
      <c r="B1289" s="51">
        <f t="shared" si="60"/>
        <v>4968</v>
      </c>
      <c r="C1289" s="49">
        <f>HLOOKUP("# Cores",'vHosts (Imported)'!$1:$5000,M1289,FALSE)</f>
        <v>0</v>
      </c>
      <c r="D1289" s="52">
        <f>HLOOKUP("# Memory",'vHosts (Imported)'!$1:$5000,M1289,FALSE)</f>
        <v>0</v>
      </c>
      <c r="M1289" s="45">
        <f t="shared" si="62"/>
        <v>1289</v>
      </c>
      <c r="N1289" s="38">
        <f>HLOOKUP("Host",'vInfo (Imported)'!$1:$5000,M1289,FALSE)</f>
        <v>0</v>
      </c>
      <c r="R1289">
        <f>HLOOKUP("CPUs",'vInfo (Imported)'!$1:$5000,M1289,FALSE)</f>
        <v>0</v>
      </c>
      <c r="S1289">
        <f>HLOOKUP("Memory",'vInfo (Imported)'!$1:$5000,M1289,FALSE)</f>
        <v>0</v>
      </c>
      <c r="T1289">
        <f>HLOOKUP("Provisioned MiB",'vInfo (Imported)'!$1:$5000,M1289,FALSE)</f>
        <v>0</v>
      </c>
      <c r="U1289">
        <f t="shared" si="61"/>
        <v>0</v>
      </c>
      <c r="V1289">
        <f>HLOOKUP("In Use MiB",'vInfo (Imported)'!$1:$5000,M1289,FALSE)</f>
        <v>0</v>
      </c>
    </row>
    <row r="1290" spans="1:22" ht="13" x14ac:dyDescent="0.3">
      <c r="A1290" s="46">
        <f>'vHosts (Imported)'!A1290</f>
        <v>0</v>
      </c>
      <c r="B1290" s="51">
        <f t="shared" si="60"/>
        <v>4968</v>
      </c>
      <c r="C1290" s="49">
        <f>HLOOKUP("# Cores",'vHosts (Imported)'!$1:$5000,M1290,FALSE)</f>
        <v>0</v>
      </c>
      <c r="D1290" s="52">
        <f>HLOOKUP("# Memory",'vHosts (Imported)'!$1:$5000,M1290,FALSE)</f>
        <v>0</v>
      </c>
      <c r="M1290" s="45">
        <f t="shared" si="62"/>
        <v>1290</v>
      </c>
      <c r="N1290" s="38">
        <f>HLOOKUP("Host",'vInfo (Imported)'!$1:$5000,M1290,FALSE)</f>
        <v>0</v>
      </c>
      <c r="R1290">
        <f>HLOOKUP("CPUs",'vInfo (Imported)'!$1:$5000,M1290,FALSE)</f>
        <v>0</v>
      </c>
      <c r="S1290">
        <f>HLOOKUP("Memory",'vInfo (Imported)'!$1:$5000,M1290,FALSE)</f>
        <v>0</v>
      </c>
      <c r="T1290">
        <f>HLOOKUP("Provisioned MiB",'vInfo (Imported)'!$1:$5000,M1290,FALSE)</f>
        <v>0</v>
      </c>
      <c r="U1290">
        <f t="shared" si="61"/>
        <v>0</v>
      </c>
      <c r="V1290">
        <f>HLOOKUP("In Use MiB",'vInfo (Imported)'!$1:$5000,M1290,FALSE)</f>
        <v>0</v>
      </c>
    </row>
    <row r="1291" spans="1:22" ht="13" x14ac:dyDescent="0.3">
      <c r="A1291" s="46">
        <f>'vHosts (Imported)'!A1291</f>
        <v>0</v>
      </c>
      <c r="B1291" s="51">
        <f t="shared" si="60"/>
        <v>4968</v>
      </c>
      <c r="C1291" s="49">
        <f>HLOOKUP("# Cores",'vHosts (Imported)'!$1:$5000,M1291,FALSE)</f>
        <v>0</v>
      </c>
      <c r="D1291" s="52">
        <f>HLOOKUP("# Memory",'vHosts (Imported)'!$1:$5000,M1291,FALSE)</f>
        <v>0</v>
      </c>
      <c r="M1291" s="45">
        <f t="shared" si="62"/>
        <v>1291</v>
      </c>
      <c r="N1291" s="38">
        <f>HLOOKUP("Host",'vInfo (Imported)'!$1:$5000,M1291,FALSE)</f>
        <v>0</v>
      </c>
      <c r="R1291">
        <f>HLOOKUP("CPUs",'vInfo (Imported)'!$1:$5000,M1291,FALSE)</f>
        <v>0</v>
      </c>
      <c r="S1291">
        <f>HLOOKUP("Memory",'vInfo (Imported)'!$1:$5000,M1291,FALSE)</f>
        <v>0</v>
      </c>
      <c r="T1291">
        <f>HLOOKUP("Provisioned MiB",'vInfo (Imported)'!$1:$5000,M1291,FALSE)</f>
        <v>0</v>
      </c>
      <c r="U1291">
        <f t="shared" si="61"/>
        <v>0</v>
      </c>
      <c r="V1291">
        <f>HLOOKUP("In Use MiB",'vInfo (Imported)'!$1:$5000,M1291,FALSE)</f>
        <v>0</v>
      </c>
    </row>
    <row r="1292" spans="1:22" ht="13" x14ac:dyDescent="0.3">
      <c r="A1292" s="46">
        <f>'vHosts (Imported)'!A1292</f>
        <v>0</v>
      </c>
      <c r="B1292" s="51">
        <f t="shared" si="60"/>
        <v>4968</v>
      </c>
      <c r="C1292" s="49">
        <f>HLOOKUP("# Cores",'vHosts (Imported)'!$1:$5000,M1292,FALSE)</f>
        <v>0</v>
      </c>
      <c r="D1292" s="52">
        <f>HLOOKUP("# Memory",'vHosts (Imported)'!$1:$5000,M1292,FALSE)</f>
        <v>0</v>
      </c>
      <c r="M1292" s="45">
        <f t="shared" si="62"/>
        <v>1292</v>
      </c>
      <c r="N1292" s="38">
        <f>HLOOKUP("Host",'vInfo (Imported)'!$1:$5000,M1292,FALSE)</f>
        <v>0</v>
      </c>
      <c r="R1292">
        <f>HLOOKUP("CPUs",'vInfo (Imported)'!$1:$5000,M1292,FALSE)</f>
        <v>0</v>
      </c>
      <c r="S1292">
        <f>HLOOKUP("Memory",'vInfo (Imported)'!$1:$5000,M1292,FALSE)</f>
        <v>0</v>
      </c>
      <c r="T1292">
        <f>HLOOKUP("Provisioned MiB",'vInfo (Imported)'!$1:$5000,M1292,FALSE)</f>
        <v>0</v>
      </c>
      <c r="U1292">
        <f t="shared" si="61"/>
        <v>0</v>
      </c>
      <c r="V1292">
        <f>HLOOKUP("In Use MiB",'vInfo (Imported)'!$1:$5000,M1292,FALSE)</f>
        <v>0</v>
      </c>
    </row>
    <row r="1293" spans="1:22" ht="13" x14ac:dyDescent="0.3">
      <c r="A1293" s="46">
        <f>'vHosts (Imported)'!A1293</f>
        <v>0</v>
      </c>
      <c r="B1293" s="51">
        <f t="shared" si="60"/>
        <v>4968</v>
      </c>
      <c r="C1293" s="49">
        <f>HLOOKUP("# Cores",'vHosts (Imported)'!$1:$5000,M1293,FALSE)</f>
        <v>0</v>
      </c>
      <c r="D1293" s="52">
        <f>HLOOKUP("# Memory",'vHosts (Imported)'!$1:$5000,M1293,FALSE)</f>
        <v>0</v>
      </c>
      <c r="M1293" s="45">
        <f t="shared" si="62"/>
        <v>1293</v>
      </c>
      <c r="N1293" s="38">
        <f>HLOOKUP("Host",'vInfo (Imported)'!$1:$5000,M1293,FALSE)</f>
        <v>0</v>
      </c>
      <c r="R1293">
        <f>HLOOKUP("CPUs",'vInfo (Imported)'!$1:$5000,M1293,FALSE)</f>
        <v>0</v>
      </c>
      <c r="S1293">
        <f>HLOOKUP("Memory",'vInfo (Imported)'!$1:$5000,M1293,FALSE)</f>
        <v>0</v>
      </c>
      <c r="T1293">
        <f>HLOOKUP("Provisioned MiB",'vInfo (Imported)'!$1:$5000,M1293,FALSE)</f>
        <v>0</v>
      </c>
      <c r="U1293">
        <f t="shared" si="61"/>
        <v>0</v>
      </c>
      <c r="V1293">
        <f>HLOOKUP("In Use MiB",'vInfo (Imported)'!$1:$5000,M1293,FALSE)</f>
        <v>0</v>
      </c>
    </row>
    <row r="1294" spans="1:22" ht="13" x14ac:dyDescent="0.3">
      <c r="A1294" s="46">
        <f>'vHosts (Imported)'!A1294</f>
        <v>0</v>
      </c>
      <c r="B1294" s="51">
        <f t="shared" si="60"/>
        <v>4968</v>
      </c>
      <c r="C1294" s="49">
        <f>HLOOKUP("# Cores",'vHosts (Imported)'!$1:$5000,M1294,FALSE)</f>
        <v>0</v>
      </c>
      <c r="D1294" s="52">
        <f>HLOOKUP("# Memory",'vHosts (Imported)'!$1:$5000,M1294,FALSE)</f>
        <v>0</v>
      </c>
      <c r="M1294" s="45">
        <f t="shared" si="62"/>
        <v>1294</v>
      </c>
      <c r="N1294" s="38">
        <f>HLOOKUP("Host",'vInfo (Imported)'!$1:$5000,M1294,FALSE)</f>
        <v>0</v>
      </c>
      <c r="R1294">
        <f>HLOOKUP("CPUs",'vInfo (Imported)'!$1:$5000,M1294,FALSE)</f>
        <v>0</v>
      </c>
      <c r="S1294">
        <f>HLOOKUP("Memory",'vInfo (Imported)'!$1:$5000,M1294,FALSE)</f>
        <v>0</v>
      </c>
      <c r="T1294">
        <f>HLOOKUP("Provisioned MiB",'vInfo (Imported)'!$1:$5000,M1294,FALSE)</f>
        <v>0</v>
      </c>
      <c r="U1294">
        <f t="shared" si="61"/>
        <v>0</v>
      </c>
      <c r="V1294">
        <f>HLOOKUP("In Use MiB",'vInfo (Imported)'!$1:$5000,M1294,FALSE)</f>
        <v>0</v>
      </c>
    </row>
    <row r="1295" spans="1:22" ht="13" x14ac:dyDescent="0.3">
      <c r="A1295" s="46">
        <f>'vHosts (Imported)'!A1295</f>
        <v>0</v>
      </c>
      <c r="B1295" s="51">
        <f t="shared" si="60"/>
        <v>4968</v>
      </c>
      <c r="C1295" s="49">
        <f>HLOOKUP("# Cores",'vHosts (Imported)'!$1:$5000,M1295,FALSE)</f>
        <v>0</v>
      </c>
      <c r="D1295" s="52">
        <f>HLOOKUP("# Memory",'vHosts (Imported)'!$1:$5000,M1295,FALSE)</f>
        <v>0</v>
      </c>
      <c r="M1295" s="45">
        <f t="shared" si="62"/>
        <v>1295</v>
      </c>
      <c r="N1295" s="38">
        <f>HLOOKUP("Host",'vInfo (Imported)'!$1:$5000,M1295,FALSE)</f>
        <v>0</v>
      </c>
      <c r="R1295">
        <f>HLOOKUP("CPUs",'vInfo (Imported)'!$1:$5000,M1295,FALSE)</f>
        <v>0</v>
      </c>
      <c r="S1295">
        <f>HLOOKUP("Memory",'vInfo (Imported)'!$1:$5000,M1295,FALSE)</f>
        <v>0</v>
      </c>
      <c r="T1295">
        <f>HLOOKUP("Provisioned MiB",'vInfo (Imported)'!$1:$5000,M1295,FALSE)</f>
        <v>0</v>
      </c>
      <c r="U1295">
        <f t="shared" si="61"/>
        <v>0</v>
      </c>
      <c r="V1295">
        <f>HLOOKUP("In Use MiB",'vInfo (Imported)'!$1:$5000,M1295,FALSE)</f>
        <v>0</v>
      </c>
    </row>
    <row r="1296" spans="1:22" ht="13" x14ac:dyDescent="0.3">
      <c r="A1296" s="46">
        <f>'vHosts (Imported)'!A1296</f>
        <v>0</v>
      </c>
      <c r="B1296" s="51">
        <f t="shared" si="60"/>
        <v>4968</v>
      </c>
      <c r="C1296" s="49">
        <f>HLOOKUP("# Cores",'vHosts (Imported)'!$1:$5000,M1296,FALSE)</f>
        <v>0</v>
      </c>
      <c r="D1296" s="52">
        <f>HLOOKUP("# Memory",'vHosts (Imported)'!$1:$5000,M1296,FALSE)</f>
        <v>0</v>
      </c>
      <c r="M1296" s="45">
        <f t="shared" si="62"/>
        <v>1296</v>
      </c>
      <c r="N1296" s="38">
        <f>HLOOKUP("Host",'vInfo (Imported)'!$1:$5000,M1296,FALSE)</f>
        <v>0</v>
      </c>
      <c r="R1296">
        <f>HLOOKUP("CPUs",'vInfo (Imported)'!$1:$5000,M1296,FALSE)</f>
        <v>0</v>
      </c>
      <c r="S1296">
        <f>HLOOKUP("Memory",'vInfo (Imported)'!$1:$5000,M1296,FALSE)</f>
        <v>0</v>
      </c>
      <c r="T1296">
        <f>HLOOKUP("Provisioned MiB",'vInfo (Imported)'!$1:$5000,M1296,FALSE)</f>
        <v>0</v>
      </c>
      <c r="U1296">
        <f t="shared" si="61"/>
        <v>0</v>
      </c>
      <c r="V1296">
        <f>HLOOKUP("In Use MiB",'vInfo (Imported)'!$1:$5000,M1296,FALSE)</f>
        <v>0</v>
      </c>
    </row>
    <row r="1297" spans="1:22" ht="13" x14ac:dyDescent="0.3">
      <c r="A1297" s="46">
        <f>'vHosts (Imported)'!A1297</f>
        <v>0</v>
      </c>
      <c r="B1297" s="51">
        <f t="shared" si="60"/>
        <v>4968</v>
      </c>
      <c r="C1297" s="49">
        <f>HLOOKUP("# Cores",'vHosts (Imported)'!$1:$5000,M1297,FALSE)</f>
        <v>0</v>
      </c>
      <c r="D1297" s="52">
        <f>HLOOKUP("# Memory",'vHosts (Imported)'!$1:$5000,M1297,FALSE)</f>
        <v>0</v>
      </c>
      <c r="M1297" s="45">
        <f t="shared" si="62"/>
        <v>1297</v>
      </c>
      <c r="N1297" s="38">
        <f>HLOOKUP("Host",'vInfo (Imported)'!$1:$5000,M1297,FALSE)</f>
        <v>0</v>
      </c>
      <c r="R1297">
        <f>HLOOKUP("CPUs",'vInfo (Imported)'!$1:$5000,M1297,FALSE)</f>
        <v>0</v>
      </c>
      <c r="S1297">
        <f>HLOOKUP("Memory",'vInfo (Imported)'!$1:$5000,M1297,FALSE)</f>
        <v>0</v>
      </c>
      <c r="T1297">
        <f>HLOOKUP("Provisioned MiB",'vInfo (Imported)'!$1:$5000,M1297,FALSE)</f>
        <v>0</v>
      </c>
      <c r="U1297">
        <f t="shared" si="61"/>
        <v>0</v>
      </c>
      <c r="V1297">
        <f>HLOOKUP("In Use MiB",'vInfo (Imported)'!$1:$5000,M1297,FALSE)</f>
        <v>0</v>
      </c>
    </row>
    <row r="1298" spans="1:22" ht="13" x14ac:dyDescent="0.3">
      <c r="A1298" s="46">
        <f>'vHosts (Imported)'!A1298</f>
        <v>0</v>
      </c>
      <c r="B1298" s="51">
        <f t="shared" si="60"/>
        <v>4968</v>
      </c>
      <c r="C1298" s="49">
        <f>HLOOKUP("# Cores",'vHosts (Imported)'!$1:$5000,M1298,FALSE)</f>
        <v>0</v>
      </c>
      <c r="D1298" s="52">
        <f>HLOOKUP("# Memory",'vHosts (Imported)'!$1:$5000,M1298,FALSE)</f>
        <v>0</v>
      </c>
      <c r="M1298" s="45">
        <f t="shared" si="62"/>
        <v>1298</v>
      </c>
      <c r="N1298" s="38">
        <f>HLOOKUP("Host",'vInfo (Imported)'!$1:$5000,M1298,FALSE)</f>
        <v>0</v>
      </c>
      <c r="R1298">
        <f>HLOOKUP("CPUs",'vInfo (Imported)'!$1:$5000,M1298,FALSE)</f>
        <v>0</v>
      </c>
      <c r="S1298">
        <f>HLOOKUP("Memory",'vInfo (Imported)'!$1:$5000,M1298,FALSE)</f>
        <v>0</v>
      </c>
      <c r="T1298">
        <f>HLOOKUP("Provisioned MiB",'vInfo (Imported)'!$1:$5000,M1298,FALSE)</f>
        <v>0</v>
      </c>
      <c r="U1298">
        <f t="shared" si="61"/>
        <v>0</v>
      </c>
      <c r="V1298">
        <f>HLOOKUP("In Use MiB",'vInfo (Imported)'!$1:$5000,M1298,FALSE)</f>
        <v>0</v>
      </c>
    </row>
    <row r="1299" spans="1:22" ht="13" x14ac:dyDescent="0.3">
      <c r="A1299" s="46">
        <f>'vHosts (Imported)'!A1299</f>
        <v>0</v>
      </c>
      <c r="B1299" s="51">
        <f t="shared" si="60"/>
        <v>4968</v>
      </c>
      <c r="C1299" s="49">
        <f>HLOOKUP("# Cores",'vHosts (Imported)'!$1:$5000,M1299,FALSE)</f>
        <v>0</v>
      </c>
      <c r="D1299" s="52">
        <f>HLOOKUP("# Memory",'vHosts (Imported)'!$1:$5000,M1299,FALSE)</f>
        <v>0</v>
      </c>
      <c r="M1299" s="45">
        <f t="shared" si="62"/>
        <v>1299</v>
      </c>
      <c r="N1299" s="38">
        <f>HLOOKUP("Host",'vInfo (Imported)'!$1:$5000,M1299,FALSE)</f>
        <v>0</v>
      </c>
      <c r="R1299">
        <f>HLOOKUP("CPUs",'vInfo (Imported)'!$1:$5000,M1299,FALSE)</f>
        <v>0</v>
      </c>
      <c r="S1299">
        <f>HLOOKUP("Memory",'vInfo (Imported)'!$1:$5000,M1299,FALSE)</f>
        <v>0</v>
      </c>
      <c r="T1299">
        <f>HLOOKUP("Provisioned MiB",'vInfo (Imported)'!$1:$5000,M1299,FALSE)</f>
        <v>0</v>
      </c>
      <c r="U1299">
        <f t="shared" si="61"/>
        <v>0</v>
      </c>
      <c r="V1299">
        <f>HLOOKUP("In Use MiB",'vInfo (Imported)'!$1:$5000,M1299,FALSE)</f>
        <v>0</v>
      </c>
    </row>
    <row r="1300" spans="1:22" ht="13" x14ac:dyDescent="0.3">
      <c r="A1300" s="46">
        <f>'vHosts (Imported)'!A1300</f>
        <v>0</v>
      </c>
      <c r="B1300" s="51">
        <f t="shared" si="60"/>
        <v>4968</v>
      </c>
      <c r="C1300" s="49">
        <f>HLOOKUP("# Cores",'vHosts (Imported)'!$1:$5000,M1300,FALSE)</f>
        <v>0</v>
      </c>
      <c r="D1300" s="52">
        <f>HLOOKUP("# Memory",'vHosts (Imported)'!$1:$5000,M1300,FALSE)</f>
        <v>0</v>
      </c>
      <c r="M1300" s="45">
        <f t="shared" si="62"/>
        <v>1300</v>
      </c>
      <c r="N1300" s="38">
        <f>HLOOKUP("Host",'vInfo (Imported)'!$1:$5000,M1300,FALSE)</f>
        <v>0</v>
      </c>
      <c r="R1300">
        <f>HLOOKUP("CPUs",'vInfo (Imported)'!$1:$5000,M1300,FALSE)</f>
        <v>0</v>
      </c>
      <c r="S1300">
        <f>HLOOKUP("Memory",'vInfo (Imported)'!$1:$5000,M1300,FALSE)</f>
        <v>0</v>
      </c>
      <c r="T1300">
        <f>HLOOKUP("Provisioned MiB",'vInfo (Imported)'!$1:$5000,M1300,FALSE)</f>
        <v>0</v>
      </c>
      <c r="U1300">
        <f t="shared" si="61"/>
        <v>0</v>
      </c>
      <c r="V1300">
        <f>HLOOKUP("In Use MiB",'vInfo (Imported)'!$1:$5000,M1300,FALSE)</f>
        <v>0</v>
      </c>
    </row>
    <row r="1301" spans="1:22" ht="13" x14ac:dyDescent="0.3">
      <c r="A1301" s="46">
        <f>'vHosts (Imported)'!A1301</f>
        <v>0</v>
      </c>
      <c r="B1301" s="51">
        <f t="shared" si="60"/>
        <v>4968</v>
      </c>
      <c r="C1301" s="49">
        <f>HLOOKUP("# Cores",'vHosts (Imported)'!$1:$5000,M1301,FALSE)</f>
        <v>0</v>
      </c>
      <c r="D1301" s="52">
        <f>HLOOKUP("# Memory",'vHosts (Imported)'!$1:$5000,M1301,FALSE)</f>
        <v>0</v>
      </c>
      <c r="M1301" s="45">
        <f t="shared" si="62"/>
        <v>1301</v>
      </c>
      <c r="N1301" s="38">
        <f>HLOOKUP("Host",'vInfo (Imported)'!$1:$5000,M1301,FALSE)</f>
        <v>0</v>
      </c>
      <c r="R1301">
        <f>HLOOKUP("CPUs",'vInfo (Imported)'!$1:$5000,M1301,FALSE)</f>
        <v>0</v>
      </c>
      <c r="S1301">
        <f>HLOOKUP("Memory",'vInfo (Imported)'!$1:$5000,M1301,FALSE)</f>
        <v>0</v>
      </c>
      <c r="T1301">
        <f>HLOOKUP("Provisioned MiB",'vInfo (Imported)'!$1:$5000,M1301,FALSE)</f>
        <v>0</v>
      </c>
      <c r="U1301">
        <f t="shared" si="61"/>
        <v>0</v>
      </c>
      <c r="V1301">
        <f>HLOOKUP("In Use MiB",'vInfo (Imported)'!$1:$5000,M1301,FALSE)</f>
        <v>0</v>
      </c>
    </row>
    <row r="1302" spans="1:22" ht="13" x14ac:dyDescent="0.3">
      <c r="A1302" s="46">
        <f>'vHosts (Imported)'!A1302</f>
        <v>0</v>
      </c>
      <c r="B1302" s="51">
        <f t="shared" si="60"/>
        <v>4968</v>
      </c>
      <c r="C1302" s="49">
        <f>HLOOKUP("# Cores",'vHosts (Imported)'!$1:$5000,M1302,FALSE)</f>
        <v>0</v>
      </c>
      <c r="D1302" s="52">
        <f>HLOOKUP("# Memory",'vHosts (Imported)'!$1:$5000,M1302,FALSE)</f>
        <v>0</v>
      </c>
      <c r="M1302" s="45">
        <f t="shared" si="62"/>
        <v>1302</v>
      </c>
      <c r="N1302" s="38">
        <f>HLOOKUP("Host",'vInfo (Imported)'!$1:$5000,M1302,FALSE)</f>
        <v>0</v>
      </c>
      <c r="R1302">
        <f>HLOOKUP("CPUs",'vInfo (Imported)'!$1:$5000,M1302,FALSE)</f>
        <v>0</v>
      </c>
      <c r="S1302">
        <f>HLOOKUP("Memory",'vInfo (Imported)'!$1:$5000,M1302,FALSE)</f>
        <v>0</v>
      </c>
      <c r="T1302">
        <f>HLOOKUP("Provisioned MiB",'vInfo (Imported)'!$1:$5000,M1302,FALSE)</f>
        <v>0</v>
      </c>
      <c r="U1302">
        <f t="shared" si="61"/>
        <v>0</v>
      </c>
      <c r="V1302">
        <f>HLOOKUP("In Use MiB",'vInfo (Imported)'!$1:$5000,M1302,FALSE)</f>
        <v>0</v>
      </c>
    </row>
    <row r="1303" spans="1:22" ht="13" x14ac:dyDescent="0.3">
      <c r="A1303" s="46">
        <f>'vHosts (Imported)'!A1303</f>
        <v>0</v>
      </c>
      <c r="B1303" s="51">
        <f t="shared" si="60"/>
        <v>4968</v>
      </c>
      <c r="C1303" s="49">
        <f>HLOOKUP("# Cores",'vHosts (Imported)'!$1:$5000,M1303,FALSE)</f>
        <v>0</v>
      </c>
      <c r="D1303" s="52">
        <f>HLOOKUP("# Memory",'vHosts (Imported)'!$1:$5000,M1303,FALSE)</f>
        <v>0</v>
      </c>
      <c r="M1303" s="45">
        <f t="shared" si="62"/>
        <v>1303</v>
      </c>
      <c r="N1303" s="38">
        <f>HLOOKUP("Host",'vInfo (Imported)'!$1:$5000,M1303,FALSE)</f>
        <v>0</v>
      </c>
      <c r="R1303">
        <f>HLOOKUP("CPUs",'vInfo (Imported)'!$1:$5000,M1303,FALSE)</f>
        <v>0</v>
      </c>
      <c r="S1303">
        <f>HLOOKUP("Memory",'vInfo (Imported)'!$1:$5000,M1303,FALSE)</f>
        <v>0</v>
      </c>
      <c r="T1303">
        <f>HLOOKUP("Provisioned MiB",'vInfo (Imported)'!$1:$5000,M1303,FALSE)</f>
        <v>0</v>
      </c>
      <c r="U1303">
        <f t="shared" si="61"/>
        <v>0</v>
      </c>
      <c r="V1303">
        <f>HLOOKUP("In Use MiB",'vInfo (Imported)'!$1:$5000,M1303,FALSE)</f>
        <v>0</v>
      </c>
    </row>
    <row r="1304" spans="1:22" ht="13" x14ac:dyDescent="0.3">
      <c r="A1304" s="46">
        <f>'vHosts (Imported)'!A1304</f>
        <v>0</v>
      </c>
      <c r="B1304" s="51">
        <f t="shared" si="60"/>
        <v>4968</v>
      </c>
      <c r="C1304" s="49">
        <f>HLOOKUP("# Cores",'vHosts (Imported)'!$1:$5000,M1304,FALSE)</f>
        <v>0</v>
      </c>
      <c r="D1304" s="52">
        <f>HLOOKUP("# Memory",'vHosts (Imported)'!$1:$5000,M1304,FALSE)</f>
        <v>0</v>
      </c>
      <c r="M1304" s="45">
        <f t="shared" si="62"/>
        <v>1304</v>
      </c>
      <c r="N1304" s="38">
        <f>HLOOKUP("Host",'vInfo (Imported)'!$1:$5000,M1304,FALSE)</f>
        <v>0</v>
      </c>
      <c r="R1304">
        <f>HLOOKUP("CPUs",'vInfo (Imported)'!$1:$5000,M1304,FALSE)</f>
        <v>0</v>
      </c>
      <c r="S1304">
        <f>HLOOKUP("Memory",'vInfo (Imported)'!$1:$5000,M1304,FALSE)</f>
        <v>0</v>
      </c>
      <c r="T1304">
        <f>HLOOKUP("Provisioned MiB",'vInfo (Imported)'!$1:$5000,M1304,FALSE)</f>
        <v>0</v>
      </c>
      <c r="U1304">
        <f t="shared" si="61"/>
        <v>0</v>
      </c>
      <c r="V1304">
        <f>HLOOKUP("In Use MiB",'vInfo (Imported)'!$1:$5000,M1304,FALSE)</f>
        <v>0</v>
      </c>
    </row>
    <row r="1305" spans="1:22" ht="13" x14ac:dyDescent="0.3">
      <c r="A1305" s="46">
        <f>'vHosts (Imported)'!A1305</f>
        <v>0</v>
      </c>
      <c r="B1305" s="51">
        <f t="shared" si="60"/>
        <v>4968</v>
      </c>
      <c r="C1305" s="49">
        <f>HLOOKUP("# Cores",'vHosts (Imported)'!$1:$5000,M1305,FALSE)</f>
        <v>0</v>
      </c>
      <c r="D1305" s="52">
        <f>HLOOKUP("# Memory",'vHosts (Imported)'!$1:$5000,M1305,FALSE)</f>
        <v>0</v>
      </c>
      <c r="M1305" s="45">
        <f t="shared" si="62"/>
        <v>1305</v>
      </c>
      <c r="N1305" s="38">
        <f>HLOOKUP("Host",'vInfo (Imported)'!$1:$5000,M1305,FALSE)</f>
        <v>0</v>
      </c>
      <c r="R1305">
        <f>HLOOKUP("CPUs",'vInfo (Imported)'!$1:$5000,M1305,FALSE)</f>
        <v>0</v>
      </c>
      <c r="S1305">
        <f>HLOOKUP("Memory",'vInfo (Imported)'!$1:$5000,M1305,FALSE)</f>
        <v>0</v>
      </c>
      <c r="T1305">
        <f>HLOOKUP("Provisioned MiB",'vInfo (Imported)'!$1:$5000,M1305,FALSE)</f>
        <v>0</v>
      </c>
      <c r="U1305">
        <f t="shared" si="61"/>
        <v>0</v>
      </c>
      <c r="V1305">
        <f>HLOOKUP("In Use MiB",'vInfo (Imported)'!$1:$5000,M1305,FALSE)</f>
        <v>0</v>
      </c>
    </row>
    <row r="1306" spans="1:22" ht="13" x14ac:dyDescent="0.3">
      <c r="A1306" s="46">
        <f>'vHosts (Imported)'!A1306</f>
        <v>0</v>
      </c>
      <c r="B1306" s="51">
        <f t="shared" si="60"/>
        <v>4968</v>
      </c>
      <c r="C1306" s="49">
        <f>HLOOKUP("# Cores",'vHosts (Imported)'!$1:$5000,M1306,FALSE)</f>
        <v>0</v>
      </c>
      <c r="D1306" s="52">
        <f>HLOOKUP("# Memory",'vHosts (Imported)'!$1:$5000,M1306,FALSE)</f>
        <v>0</v>
      </c>
      <c r="M1306" s="45">
        <f t="shared" si="62"/>
        <v>1306</v>
      </c>
      <c r="N1306" s="38">
        <f>HLOOKUP("Host",'vInfo (Imported)'!$1:$5000,M1306,FALSE)</f>
        <v>0</v>
      </c>
      <c r="R1306">
        <f>HLOOKUP("CPUs",'vInfo (Imported)'!$1:$5000,M1306,FALSE)</f>
        <v>0</v>
      </c>
      <c r="S1306">
        <f>HLOOKUP("Memory",'vInfo (Imported)'!$1:$5000,M1306,FALSE)</f>
        <v>0</v>
      </c>
      <c r="T1306">
        <f>HLOOKUP("Provisioned MiB",'vInfo (Imported)'!$1:$5000,M1306,FALSE)</f>
        <v>0</v>
      </c>
      <c r="U1306">
        <f t="shared" si="61"/>
        <v>0</v>
      </c>
      <c r="V1306">
        <f>HLOOKUP("In Use MiB",'vInfo (Imported)'!$1:$5000,M1306,FALSE)</f>
        <v>0</v>
      </c>
    </row>
    <row r="1307" spans="1:22" ht="13" x14ac:dyDescent="0.3">
      <c r="A1307" s="46">
        <f>'vHosts (Imported)'!A1307</f>
        <v>0</v>
      </c>
      <c r="B1307" s="51">
        <f t="shared" si="60"/>
        <v>4968</v>
      </c>
      <c r="C1307" s="49">
        <f>HLOOKUP("# Cores",'vHosts (Imported)'!$1:$5000,M1307,FALSE)</f>
        <v>0</v>
      </c>
      <c r="D1307" s="52">
        <f>HLOOKUP("# Memory",'vHosts (Imported)'!$1:$5000,M1307,FALSE)</f>
        <v>0</v>
      </c>
      <c r="M1307" s="45">
        <f t="shared" si="62"/>
        <v>1307</v>
      </c>
      <c r="N1307" s="38">
        <f>HLOOKUP("Host",'vInfo (Imported)'!$1:$5000,M1307,FALSE)</f>
        <v>0</v>
      </c>
      <c r="R1307">
        <f>HLOOKUP("CPUs",'vInfo (Imported)'!$1:$5000,M1307,FALSE)</f>
        <v>0</v>
      </c>
      <c r="S1307">
        <f>HLOOKUP("Memory",'vInfo (Imported)'!$1:$5000,M1307,FALSE)</f>
        <v>0</v>
      </c>
      <c r="T1307">
        <f>HLOOKUP("Provisioned MiB",'vInfo (Imported)'!$1:$5000,M1307,FALSE)</f>
        <v>0</v>
      </c>
      <c r="U1307">
        <f t="shared" si="61"/>
        <v>0</v>
      </c>
      <c r="V1307">
        <f>HLOOKUP("In Use MiB",'vInfo (Imported)'!$1:$5000,M1307,FALSE)</f>
        <v>0</v>
      </c>
    </row>
    <row r="1308" spans="1:22" ht="13" x14ac:dyDescent="0.3">
      <c r="A1308" s="46">
        <f>'vHosts (Imported)'!A1308</f>
        <v>0</v>
      </c>
      <c r="B1308" s="51">
        <f t="shared" si="60"/>
        <v>4968</v>
      </c>
      <c r="C1308" s="49">
        <f>HLOOKUP("# Cores",'vHosts (Imported)'!$1:$5000,M1308,FALSE)</f>
        <v>0</v>
      </c>
      <c r="D1308" s="52">
        <f>HLOOKUP("# Memory",'vHosts (Imported)'!$1:$5000,M1308,FALSE)</f>
        <v>0</v>
      </c>
      <c r="M1308" s="45">
        <f t="shared" si="62"/>
        <v>1308</v>
      </c>
      <c r="N1308" s="38">
        <f>HLOOKUP("Host",'vInfo (Imported)'!$1:$5000,M1308,FALSE)</f>
        <v>0</v>
      </c>
      <c r="R1308">
        <f>HLOOKUP("CPUs",'vInfo (Imported)'!$1:$5000,M1308,FALSE)</f>
        <v>0</v>
      </c>
      <c r="S1308">
        <f>HLOOKUP("Memory",'vInfo (Imported)'!$1:$5000,M1308,FALSE)</f>
        <v>0</v>
      </c>
      <c r="T1308">
        <f>HLOOKUP("Provisioned MiB",'vInfo (Imported)'!$1:$5000,M1308,FALSE)</f>
        <v>0</v>
      </c>
      <c r="U1308">
        <f t="shared" si="61"/>
        <v>0</v>
      </c>
      <c r="V1308">
        <f>HLOOKUP("In Use MiB",'vInfo (Imported)'!$1:$5000,M1308,FALSE)</f>
        <v>0</v>
      </c>
    </row>
    <row r="1309" spans="1:22" ht="13" x14ac:dyDescent="0.3">
      <c r="A1309" s="46">
        <f>'vHosts (Imported)'!A1309</f>
        <v>0</v>
      </c>
      <c r="B1309" s="51">
        <f t="shared" si="60"/>
        <v>4968</v>
      </c>
      <c r="C1309" s="49">
        <f>HLOOKUP("# Cores",'vHosts (Imported)'!$1:$5000,M1309,FALSE)</f>
        <v>0</v>
      </c>
      <c r="D1309" s="52">
        <f>HLOOKUP("# Memory",'vHosts (Imported)'!$1:$5000,M1309,FALSE)</f>
        <v>0</v>
      </c>
      <c r="M1309" s="45">
        <f t="shared" si="62"/>
        <v>1309</v>
      </c>
      <c r="N1309" s="38">
        <f>HLOOKUP("Host",'vInfo (Imported)'!$1:$5000,M1309,FALSE)</f>
        <v>0</v>
      </c>
      <c r="R1309">
        <f>HLOOKUP("CPUs",'vInfo (Imported)'!$1:$5000,M1309,FALSE)</f>
        <v>0</v>
      </c>
      <c r="S1309">
        <f>HLOOKUP("Memory",'vInfo (Imported)'!$1:$5000,M1309,FALSE)</f>
        <v>0</v>
      </c>
      <c r="T1309">
        <f>HLOOKUP("Provisioned MiB",'vInfo (Imported)'!$1:$5000,M1309,FALSE)</f>
        <v>0</v>
      </c>
      <c r="U1309">
        <f t="shared" si="61"/>
        <v>0</v>
      </c>
      <c r="V1309">
        <f>HLOOKUP("In Use MiB",'vInfo (Imported)'!$1:$5000,M1309,FALSE)</f>
        <v>0</v>
      </c>
    </row>
    <row r="1310" spans="1:22" ht="13" x14ac:dyDescent="0.3">
      <c r="A1310" s="46">
        <f>'vHosts (Imported)'!A1310</f>
        <v>0</v>
      </c>
      <c r="B1310" s="51">
        <f t="shared" si="60"/>
        <v>4968</v>
      </c>
      <c r="C1310" s="49">
        <f>HLOOKUP("# Cores",'vHosts (Imported)'!$1:$5000,M1310,FALSE)</f>
        <v>0</v>
      </c>
      <c r="D1310" s="52">
        <f>HLOOKUP("# Memory",'vHosts (Imported)'!$1:$5000,M1310,FALSE)</f>
        <v>0</v>
      </c>
      <c r="M1310" s="45">
        <f t="shared" si="62"/>
        <v>1310</v>
      </c>
      <c r="N1310" s="38">
        <f>HLOOKUP("Host",'vInfo (Imported)'!$1:$5000,M1310,FALSE)</f>
        <v>0</v>
      </c>
      <c r="R1310">
        <f>HLOOKUP("CPUs",'vInfo (Imported)'!$1:$5000,M1310,FALSE)</f>
        <v>0</v>
      </c>
      <c r="S1310">
        <f>HLOOKUP("Memory",'vInfo (Imported)'!$1:$5000,M1310,FALSE)</f>
        <v>0</v>
      </c>
      <c r="T1310">
        <f>HLOOKUP("Provisioned MiB",'vInfo (Imported)'!$1:$5000,M1310,FALSE)</f>
        <v>0</v>
      </c>
      <c r="U1310">
        <f t="shared" si="61"/>
        <v>0</v>
      </c>
      <c r="V1310">
        <f>HLOOKUP("In Use MiB",'vInfo (Imported)'!$1:$5000,M1310,FALSE)</f>
        <v>0</v>
      </c>
    </row>
    <row r="1311" spans="1:22" ht="13" x14ac:dyDescent="0.3">
      <c r="A1311" s="46">
        <f>'vHosts (Imported)'!A1311</f>
        <v>0</v>
      </c>
      <c r="B1311" s="51">
        <f t="shared" si="60"/>
        <v>4968</v>
      </c>
      <c r="C1311" s="49">
        <f>HLOOKUP("# Cores",'vHosts (Imported)'!$1:$5000,M1311,FALSE)</f>
        <v>0</v>
      </c>
      <c r="D1311" s="52">
        <f>HLOOKUP("# Memory",'vHosts (Imported)'!$1:$5000,M1311,FALSE)</f>
        <v>0</v>
      </c>
      <c r="M1311" s="45">
        <f t="shared" si="62"/>
        <v>1311</v>
      </c>
      <c r="N1311" s="38">
        <f>HLOOKUP("Host",'vInfo (Imported)'!$1:$5000,M1311,FALSE)</f>
        <v>0</v>
      </c>
      <c r="R1311">
        <f>HLOOKUP("CPUs",'vInfo (Imported)'!$1:$5000,M1311,FALSE)</f>
        <v>0</v>
      </c>
      <c r="S1311">
        <f>HLOOKUP("Memory",'vInfo (Imported)'!$1:$5000,M1311,FALSE)</f>
        <v>0</v>
      </c>
      <c r="T1311">
        <f>HLOOKUP("Provisioned MiB",'vInfo (Imported)'!$1:$5000,M1311,FALSE)</f>
        <v>0</v>
      </c>
      <c r="U1311">
        <f t="shared" si="61"/>
        <v>0</v>
      </c>
      <c r="V1311">
        <f>HLOOKUP("In Use MiB",'vInfo (Imported)'!$1:$5000,M1311,FALSE)</f>
        <v>0</v>
      </c>
    </row>
    <row r="1312" spans="1:22" ht="13" x14ac:dyDescent="0.3">
      <c r="A1312" s="46">
        <f>'vHosts (Imported)'!A1312</f>
        <v>0</v>
      </c>
      <c r="B1312" s="51">
        <f t="shared" si="60"/>
        <v>4968</v>
      </c>
      <c r="C1312" s="49">
        <f>HLOOKUP("# Cores",'vHosts (Imported)'!$1:$5000,M1312,FALSE)</f>
        <v>0</v>
      </c>
      <c r="D1312" s="52">
        <f>HLOOKUP("# Memory",'vHosts (Imported)'!$1:$5000,M1312,FALSE)</f>
        <v>0</v>
      </c>
      <c r="M1312" s="45">
        <f t="shared" si="62"/>
        <v>1312</v>
      </c>
      <c r="N1312" s="38">
        <f>HLOOKUP("Host",'vInfo (Imported)'!$1:$5000,M1312,FALSE)</f>
        <v>0</v>
      </c>
      <c r="R1312">
        <f>HLOOKUP("CPUs",'vInfo (Imported)'!$1:$5000,M1312,FALSE)</f>
        <v>0</v>
      </c>
      <c r="S1312">
        <f>HLOOKUP("Memory",'vInfo (Imported)'!$1:$5000,M1312,FALSE)</f>
        <v>0</v>
      </c>
      <c r="T1312">
        <f>HLOOKUP("Provisioned MiB",'vInfo (Imported)'!$1:$5000,M1312,FALSE)</f>
        <v>0</v>
      </c>
      <c r="U1312">
        <f t="shared" si="61"/>
        <v>0</v>
      </c>
      <c r="V1312">
        <f>HLOOKUP("In Use MiB",'vInfo (Imported)'!$1:$5000,M1312,FALSE)</f>
        <v>0</v>
      </c>
    </row>
    <row r="1313" spans="1:22" ht="13" x14ac:dyDescent="0.3">
      <c r="A1313" s="46">
        <f>'vHosts (Imported)'!A1313</f>
        <v>0</v>
      </c>
      <c r="B1313" s="51">
        <f t="shared" si="60"/>
        <v>4968</v>
      </c>
      <c r="C1313" s="49">
        <f>HLOOKUP("# Cores",'vHosts (Imported)'!$1:$5000,M1313,FALSE)</f>
        <v>0</v>
      </c>
      <c r="D1313" s="52">
        <f>HLOOKUP("# Memory",'vHosts (Imported)'!$1:$5000,M1313,FALSE)</f>
        <v>0</v>
      </c>
      <c r="M1313" s="45">
        <f t="shared" si="62"/>
        <v>1313</v>
      </c>
      <c r="N1313" s="38">
        <f>HLOOKUP("Host",'vInfo (Imported)'!$1:$5000,M1313,FALSE)</f>
        <v>0</v>
      </c>
      <c r="R1313">
        <f>HLOOKUP("CPUs",'vInfo (Imported)'!$1:$5000,M1313,FALSE)</f>
        <v>0</v>
      </c>
      <c r="S1313">
        <f>HLOOKUP("Memory",'vInfo (Imported)'!$1:$5000,M1313,FALSE)</f>
        <v>0</v>
      </c>
      <c r="T1313">
        <f>HLOOKUP("Provisioned MiB",'vInfo (Imported)'!$1:$5000,M1313,FALSE)</f>
        <v>0</v>
      </c>
      <c r="U1313">
        <f t="shared" si="61"/>
        <v>0</v>
      </c>
      <c r="V1313">
        <f>HLOOKUP("In Use MiB",'vInfo (Imported)'!$1:$5000,M1313,FALSE)</f>
        <v>0</v>
      </c>
    </row>
    <row r="1314" spans="1:22" ht="13" x14ac:dyDescent="0.3">
      <c r="A1314" s="46">
        <f>'vHosts (Imported)'!A1314</f>
        <v>0</v>
      </c>
      <c r="B1314" s="51">
        <f t="shared" si="60"/>
        <v>4968</v>
      </c>
      <c r="C1314" s="49">
        <f>HLOOKUP("# Cores",'vHosts (Imported)'!$1:$5000,M1314,FALSE)</f>
        <v>0</v>
      </c>
      <c r="D1314" s="52">
        <f>HLOOKUP("# Memory",'vHosts (Imported)'!$1:$5000,M1314,FALSE)</f>
        <v>0</v>
      </c>
      <c r="M1314" s="45">
        <f t="shared" si="62"/>
        <v>1314</v>
      </c>
      <c r="N1314" s="38">
        <f>HLOOKUP("Host",'vInfo (Imported)'!$1:$5000,M1314,FALSE)</f>
        <v>0</v>
      </c>
      <c r="R1314">
        <f>HLOOKUP("CPUs",'vInfo (Imported)'!$1:$5000,M1314,FALSE)</f>
        <v>0</v>
      </c>
      <c r="S1314">
        <f>HLOOKUP("Memory",'vInfo (Imported)'!$1:$5000,M1314,FALSE)</f>
        <v>0</v>
      </c>
      <c r="T1314">
        <f>HLOOKUP("Provisioned MiB",'vInfo (Imported)'!$1:$5000,M1314,FALSE)</f>
        <v>0</v>
      </c>
      <c r="U1314">
        <f t="shared" si="61"/>
        <v>0</v>
      </c>
      <c r="V1314">
        <f>HLOOKUP("In Use MiB",'vInfo (Imported)'!$1:$5000,M1314,FALSE)</f>
        <v>0</v>
      </c>
    </row>
    <row r="1315" spans="1:22" ht="13" x14ac:dyDescent="0.3">
      <c r="A1315" s="46">
        <f>'vHosts (Imported)'!A1315</f>
        <v>0</v>
      </c>
      <c r="B1315" s="51">
        <f t="shared" si="60"/>
        <v>4968</v>
      </c>
      <c r="C1315" s="49">
        <f>HLOOKUP("# Cores",'vHosts (Imported)'!$1:$5000,M1315,FALSE)</f>
        <v>0</v>
      </c>
      <c r="D1315" s="52">
        <f>HLOOKUP("# Memory",'vHosts (Imported)'!$1:$5000,M1315,FALSE)</f>
        <v>0</v>
      </c>
      <c r="M1315" s="45">
        <f t="shared" si="62"/>
        <v>1315</v>
      </c>
      <c r="N1315" s="38">
        <f>HLOOKUP("Host",'vInfo (Imported)'!$1:$5000,M1315,FALSE)</f>
        <v>0</v>
      </c>
      <c r="R1315">
        <f>HLOOKUP("CPUs",'vInfo (Imported)'!$1:$5000,M1315,FALSE)</f>
        <v>0</v>
      </c>
      <c r="S1315">
        <f>HLOOKUP("Memory",'vInfo (Imported)'!$1:$5000,M1315,FALSE)</f>
        <v>0</v>
      </c>
      <c r="T1315">
        <f>HLOOKUP("Provisioned MiB",'vInfo (Imported)'!$1:$5000,M1315,FALSE)</f>
        <v>0</v>
      </c>
      <c r="U1315">
        <f t="shared" si="61"/>
        <v>0</v>
      </c>
      <c r="V1315">
        <f>HLOOKUP("In Use MiB",'vInfo (Imported)'!$1:$5000,M1315,FALSE)</f>
        <v>0</v>
      </c>
    </row>
    <row r="1316" spans="1:22" ht="13" x14ac:dyDescent="0.3">
      <c r="A1316" s="46">
        <f>'vHosts (Imported)'!A1316</f>
        <v>0</v>
      </c>
      <c r="B1316" s="51">
        <f t="shared" si="60"/>
        <v>4968</v>
      </c>
      <c r="C1316" s="49">
        <f>HLOOKUP("# Cores",'vHosts (Imported)'!$1:$5000,M1316,FALSE)</f>
        <v>0</v>
      </c>
      <c r="D1316" s="52">
        <f>HLOOKUP("# Memory",'vHosts (Imported)'!$1:$5000,M1316,FALSE)</f>
        <v>0</v>
      </c>
      <c r="M1316" s="45">
        <f t="shared" si="62"/>
        <v>1316</v>
      </c>
      <c r="N1316" s="38">
        <f>HLOOKUP("Host",'vInfo (Imported)'!$1:$5000,M1316,FALSE)</f>
        <v>0</v>
      </c>
      <c r="R1316">
        <f>HLOOKUP("CPUs",'vInfo (Imported)'!$1:$5000,M1316,FALSE)</f>
        <v>0</v>
      </c>
      <c r="S1316">
        <f>HLOOKUP("Memory",'vInfo (Imported)'!$1:$5000,M1316,FALSE)</f>
        <v>0</v>
      </c>
      <c r="T1316">
        <f>HLOOKUP("Provisioned MiB",'vInfo (Imported)'!$1:$5000,M1316,FALSE)</f>
        <v>0</v>
      </c>
      <c r="U1316">
        <f t="shared" si="61"/>
        <v>0</v>
      </c>
      <c r="V1316">
        <f>HLOOKUP("In Use MiB",'vInfo (Imported)'!$1:$5000,M1316,FALSE)</f>
        <v>0</v>
      </c>
    </row>
    <row r="1317" spans="1:22" ht="13" x14ac:dyDescent="0.3">
      <c r="A1317" s="46">
        <f>'vHosts (Imported)'!A1317</f>
        <v>0</v>
      </c>
      <c r="B1317" s="51">
        <f t="shared" si="60"/>
        <v>4968</v>
      </c>
      <c r="C1317" s="49">
        <f>HLOOKUP("# Cores",'vHosts (Imported)'!$1:$5000,M1317,FALSE)</f>
        <v>0</v>
      </c>
      <c r="D1317" s="52">
        <f>HLOOKUP("# Memory",'vHosts (Imported)'!$1:$5000,M1317,FALSE)</f>
        <v>0</v>
      </c>
      <c r="M1317" s="45">
        <f t="shared" si="62"/>
        <v>1317</v>
      </c>
      <c r="N1317" s="38">
        <f>HLOOKUP("Host",'vInfo (Imported)'!$1:$5000,M1317,FALSE)</f>
        <v>0</v>
      </c>
      <c r="R1317">
        <f>HLOOKUP("CPUs",'vInfo (Imported)'!$1:$5000,M1317,FALSE)</f>
        <v>0</v>
      </c>
      <c r="S1317">
        <f>HLOOKUP("Memory",'vInfo (Imported)'!$1:$5000,M1317,FALSE)</f>
        <v>0</v>
      </c>
      <c r="T1317">
        <f>HLOOKUP("Provisioned MiB",'vInfo (Imported)'!$1:$5000,M1317,FALSE)</f>
        <v>0</v>
      </c>
      <c r="U1317">
        <f t="shared" si="61"/>
        <v>0</v>
      </c>
      <c r="V1317">
        <f>HLOOKUP("In Use MiB",'vInfo (Imported)'!$1:$5000,M1317,FALSE)</f>
        <v>0</v>
      </c>
    </row>
    <row r="1318" spans="1:22" ht="13" x14ac:dyDescent="0.3">
      <c r="A1318" s="46">
        <f>'vHosts (Imported)'!A1318</f>
        <v>0</v>
      </c>
      <c r="B1318" s="51">
        <f t="shared" si="60"/>
        <v>4968</v>
      </c>
      <c r="C1318" s="49">
        <f>HLOOKUP("# Cores",'vHosts (Imported)'!$1:$5000,M1318,FALSE)</f>
        <v>0</v>
      </c>
      <c r="D1318" s="52">
        <f>HLOOKUP("# Memory",'vHosts (Imported)'!$1:$5000,M1318,FALSE)</f>
        <v>0</v>
      </c>
      <c r="M1318" s="45">
        <f t="shared" si="62"/>
        <v>1318</v>
      </c>
      <c r="N1318" s="38">
        <f>HLOOKUP("Host",'vInfo (Imported)'!$1:$5000,M1318,FALSE)</f>
        <v>0</v>
      </c>
      <c r="R1318">
        <f>HLOOKUP("CPUs",'vInfo (Imported)'!$1:$5000,M1318,FALSE)</f>
        <v>0</v>
      </c>
      <c r="S1318">
        <f>HLOOKUP("Memory",'vInfo (Imported)'!$1:$5000,M1318,FALSE)</f>
        <v>0</v>
      </c>
      <c r="T1318">
        <f>HLOOKUP("Provisioned MiB",'vInfo (Imported)'!$1:$5000,M1318,FALSE)</f>
        <v>0</v>
      </c>
      <c r="U1318">
        <f t="shared" si="61"/>
        <v>0</v>
      </c>
      <c r="V1318">
        <f>HLOOKUP("In Use MiB",'vInfo (Imported)'!$1:$5000,M1318,FALSE)</f>
        <v>0</v>
      </c>
    </row>
    <row r="1319" spans="1:22" ht="13" x14ac:dyDescent="0.3">
      <c r="A1319" s="46">
        <f>'vHosts (Imported)'!A1319</f>
        <v>0</v>
      </c>
      <c r="B1319" s="51">
        <f t="shared" si="60"/>
        <v>4968</v>
      </c>
      <c r="C1319" s="49">
        <f>HLOOKUP("# Cores",'vHosts (Imported)'!$1:$5000,M1319,FALSE)</f>
        <v>0</v>
      </c>
      <c r="D1319" s="52">
        <f>HLOOKUP("# Memory",'vHosts (Imported)'!$1:$5000,M1319,FALSE)</f>
        <v>0</v>
      </c>
      <c r="M1319" s="45">
        <f t="shared" si="62"/>
        <v>1319</v>
      </c>
      <c r="N1319" s="38">
        <f>HLOOKUP("Host",'vInfo (Imported)'!$1:$5000,M1319,FALSE)</f>
        <v>0</v>
      </c>
      <c r="R1319">
        <f>HLOOKUP("CPUs",'vInfo (Imported)'!$1:$5000,M1319,FALSE)</f>
        <v>0</v>
      </c>
      <c r="S1319">
        <f>HLOOKUP("Memory",'vInfo (Imported)'!$1:$5000,M1319,FALSE)</f>
        <v>0</v>
      </c>
      <c r="T1319">
        <f>HLOOKUP("Provisioned MiB",'vInfo (Imported)'!$1:$5000,M1319,FALSE)</f>
        <v>0</v>
      </c>
      <c r="U1319">
        <f t="shared" si="61"/>
        <v>0</v>
      </c>
      <c r="V1319">
        <f>HLOOKUP("In Use MiB",'vInfo (Imported)'!$1:$5000,M1319,FALSE)</f>
        <v>0</v>
      </c>
    </row>
    <row r="1320" spans="1:22" ht="13" x14ac:dyDescent="0.3">
      <c r="A1320" s="46">
        <f>'vHosts (Imported)'!A1320</f>
        <v>0</v>
      </c>
      <c r="B1320" s="51">
        <f t="shared" ref="B1320:B1383" si="63">COUNTIF(N:N,A1320)</f>
        <v>4968</v>
      </c>
      <c r="C1320" s="49">
        <f>HLOOKUP("# Cores",'vHosts (Imported)'!$1:$5000,M1320,FALSE)</f>
        <v>0</v>
      </c>
      <c r="D1320" s="52">
        <f>HLOOKUP("# Memory",'vHosts (Imported)'!$1:$5000,M1320,FALSE)</f>
        <v>0</v>
      </c>
      <c r="M1320" s="45">
        <f t="shared" si="62"/>
        <v>1320</v>
      </c>
      <c r="N1320" s="38">
        <f>HLOOKUP("Host",'vInfo (Imported)'!$1:$5000,M1320,FALSE)</f>
        <v>0</v>
      </c>
      <c r="R1320">
        <f>HLOOKUP("CPUs",'vInfo (Imported)'!$1:$5000,M1320,FALSE)</f>
        <v>0</v>
      </c>
      <c r="S1320">
        <f>HLOOKUP("Memory",'vInfo (Imported)'!$1:$5000,M1320,FALSE)</f>
        <v>0</v>
      </c>
      <c r="T1320">
        <f>HLOOKUP("Provisioned MiB",'vInfo (Imported)'!$1:$5000,M1320,FALSE)</f>
        <v>0</v>
      </c>
      <c r="U1320">
        <f t="shared" si="61"/>
        <v>0</v>
      </c>
      <c r="V1320">
        <f>HLOOKUP("In Use MiB",'vInfo (Imported)'!$1:$5000,M1320,FALSE)</f>
        <v>0</v>
      </c>
    </row>
    <row r="1321" spans="1:22" ht="13" x14ac:dyDescent="0.3">
      <c r="A1321" s="46">
        <f>'vHosts (Imported)'!A1321</f>
        <v>0</v>
      </c>
      <c r="B1321" s="51">
        <f t="shared" si="63"/>
        <v>4968</v>
      </c>
      <c r="C1321" s="49">
        <f>HLOOKUP("# Cores",'vHosts (Imported)'!$1:$5000,M1321,FALSE)</f>
        <v>0</v>
      </c>
      <c r="D1321" s="52">
        <f>HLOOKUP("# Memory",'vHosts (Imported)'!$1:$5000,M1321,FALSE)</f>
        <v>0</v>
      </c>
      <c r="M1321" s="45">
        <f t="shared" si="62"/>
        <v>1321</v>
      </c>
      <c r="N1321" s="38">
        <f>HLOOKUP("Host",'vInfo (Imported)'!$1:$5000,M1321,FALSE)</f>
        <v>0</v>
      </c>
      <c r="R1321">
        <f>HLOOKUP("CPUs",'vInfo (Imported)'!$1:$5000,M1321,FALSE)</f>
        <v>0</v>
      </c>
      <c r="S1321">
        <f>HLOOKUP("Memory",'vInfo (Imported)'!$1:$5000,M1321,FALSE)</f>
        <v>0</v>
      </c>
      <c r="T1321">
        <f>HLOOKUP("Provisioned MiB",'vInfo (Imported)'!$1:$5000,M1321,FALSE)</f>
        <v>0</v>
      </c>
      <c r="U1321">
        <f t="shared" si="61"/>
        <v>0</v>
      </c>
      <c r="V1321">
        <f>HLOOKUP("In Use MiB",'vInfo (Imported)'!$1:$5000,M1321,FALSE)</f>
        <v>0</v>
      </c>
    </row>
    <row r="1322" spans="1:22" ht="13" x14ac:dyDescent="0.3">
      <c r="A1322" s="46">
        <f>'vHosts (Imported)'!A1322</f>
        <v>0</v>
      </c>
      <c r="B1322" s="51">
        <f t="shared" si="63"/>
        <v>4968</v>
      </c>
      <c r="C1322" s="49">
        <f>HLOOKUP("# Cores",'vHosts (Imported)'!$1:$5000,M1322,FALSE)</f>
        <v>0</v>
      </c>
      <c r="D1322" s="52">
        <f>HLOOKUP("# Memory",'vHosts (Imported)'!$1:$5000,M1322,FALSE)</f>
        <v>0</v>
      </c>
      <c r="M1322" s="45">
        <f t="shared" si="62"/>
        <v>1322</v>
      </c>
      <c r="N1322" s="38">
        <f>HLOOKUP("Host",'vInfo (Imported)'!$1:$5000,M1322,FALSE)</f>
        <v>0</v>
      </c>
      <c r="R1322">
        <f>HLOOKUP("CPUs",'vInfo (Imported)'!$1:$5000,M1322,FALSE)</f>
        <v>0</v>
      </c>
      <c r="S1322">
        <f>HLOOKUP("Memory",'vInfo (Imported)'!$1:$5000,M1322,FALSE)</f>
        <v>0</v>
      </c>
      <c r="T1322">
        <f>HLOOKUP("Provisioned MiB",'vInfo (Imported)'!$1:$5000,M1322,FALSE)</f>
        <v>0</v>
      </c>
      <c r="U1322">
        <f t="shared" si="61"/>
        <v>0</v>
      </c>
      <c r="V1322">
        <f>HLOOKUP("In Use MiB",'vInfo (Imported)'!$1:$5000,M1322,FALSE)</f>
        <v>0</v>
      </c>
    </row>
    <row r="1323" spans="1:22" ht="13" x14ac:dyDescent="0.3">
      <c r="A1323" s="46">
        <f>'vHosts (Imported)'!A1323</f>
        <v>0</v>
      </c>
      <c r="B1323" s="51">
        <f t="shared" si="63"/>
        <v>4968</v>
      </c>
      <c r="C1323" s="49">
        <f>HLOOKUP("# Cores",'vHosts (Imported)'!$1:$5000,M1323,FALSE)</f>
        <v>0</v>
      </c>
      <c r="D1323" s="52">
        <f>HLOOKUP("# Memory",'vHosts (Imported)'!$1:$5000,M1323,FALSE)</f>
        <v>0</v>
      </c>
      <c r="M1323" s="45">
        <f t="shared" si="62"/>
        <v>1323</v>
      </c>
      <c r="N1323" s="38">
        <f>HLOOKUP("Host",'vInfo (Imported)'!$1:$5000,M1323,FALSE)</f>
        <v>0</v>
      </c>
      <c r="R1323">
        <f>HLOOKUP("CPUs",'vInfo (Imported)'!$1:$5000,M1323,FALSE)</f>
        <v>0</v>
      </c>
      <c r="S1323">
        <f>HLOOKUP("Memory",'vInfo (Imported)'!$1:$5000,M1323,FALSE)</f>
        <v>0</v>
      </c>
      <c r="T1323">
        <f>HLOOKUP("Provisioned MiB",'vInfo (Imported)'!$1:$5000,M1323,FALSE)</f>
        <v>0</v>
      </c>
      <c r="U1323">
        <f t="shared" si="61"/>
        <v>0</v>
      </c>
      <c r="V1323">
        <f>HLOOKUP("In Use MiB",'vInfo (Imported)'!$1:$5000,M1323,FALSE)</f>
        <v>0</v>
      </c>
    </row>
    <row r="1324" spans="1:22" ht="13" x14ac:dyDescent="0.3">
      <c r="A1324" s="46">
        <f>'vHosts (Imported)'!A1324</f>
        <v>0</v>
      </c>
      <c r="B1324" s="51">
        <f t="shared" si="63"/>
        <v>4968</v>
      </c>
      <c r="C1324" s="49">
        <f>HLOOKUP("# Cores",'vHosts (Imported)'!$1:$5000,M1324,FALSE)</f>
        <v>0</v>
      </c>
      <c r="D1324" s="52">
        <f>HLOOKUP("# Memory",'vHosts (Imported)'!$1:$5000,M1324,FALSE)</f>
        <v>0</v>
      </c>
      <c r="M1324" s="45">
        <f t="shared" si="62"/>
        <v>1324</v>
      </c>
      <c r="N1324" s="38">
        <f>HLOOKUP("Host",'vInfo (Imported)'!$1:$5000,M1324,FALSE)</f>
        <v>0</v>
      </c>
      <c r="R1324">
        <f>HLOOKUP("CPUs",'vInfo (Imported)'!$1:$5000,M1324,FALSE)</f>
        <v>0</v>
      </c>
      <c r="S1324">
        <f>HLOOKUP("Memory",'vInfo (Imported)'!$1:$5000,M1324,FALSE)</f>
        <v>0</v>
      </c>
      <c r="T1324">
        <f>HLOOKUP("Provisioned MiB",'vInfo (Imported)'!$1:$5000,M1324,FALSE)</f>
        <v>0</v>
      </c>
      <c r="U1324">
        <f t="shared" si="61"/>
        <v>0</v>
      </c>
      <c r="V1324">
        <f>HLOOKUP("In Use MiB",'vInfo (Imported)'!$1:$5000,M1324,FALSE)</f>
        <v>0</v>
      </c>
    </row>
    <row r="1325" spans="1:22" ht="13" x14ac:dyDescent="0.3">
      <c r="A1325" s="46">
        <f>'vHosts (Imported)'!A1325</f>
        <v>0</v>
      </c>
      <c r="B1325" s="51">
        <f t="shared" si="63"/>
        <v>4968</v>
      </c>
      <c r="C1325" s="49">
        <f>HLOOKUP("# Cores",'vHosts (Imported)'!$1:$5000,M1325,FALSE)</f>
        <v>0</v>
      </c>
      <c r="D1325" s="52">
        <f>HLOOKUP("# Memory",'vHosts (Imported)'!$1:$5000,M1325,FALSE)</f>
        <v>0</v>
      </c>
      <c r="M1325" s="45">
        <f t="shared" si="62"/>
        <v>1325</v>
      </c>
      <c r="N1325" s="38">
        <f>HLOOKUP("Host",'vInfo (Imported)'!$1:$5000,M1325,FALSE)</f>
        <v>0</v>
      </c>
      <c r="R1325">
        <f>HLOOKUP("CPUs",'vInfo (Imported)'!$1:$5000,M1325,FALSE)</f>
        <v>0</v>
      </c>
      <c r="S1325">
        <f>HLOOKUP("Memory",'vInfo (Imported)'!$1:$5000,M1325,FALSE)</f>
        <v>0</v>
      </c>
      <c r="T1325">
        <f>HLOOKUP("Provisioned MiB",'vInfo (Imported)'!$1:$5000,M1325,FALSE)</f>
        <v>0</v>
      </c>
      <c r="U1325">
        <f t="shared" si="61"/>
        <v>0</v>
      </c>
      <c r="V1325">
        <f>HLOOKUP("In Use MiB",'vInfo (Imported)'!$1:$5000,M1325,FALSE)</f>
        <v>0</v>
      </c>
    </row>
    <row r="1326" spans="1:22" ht="13" x14ac:dyDescent="0.3">
      <c r="A1326" s="46">
        <f>'vHosts (Imported)'!A1326</f>
        <v>0</v>
      </c>
      <c r="B1326" s="51">
        <f t="shared" si="63"/>
        <v>4968</v>
      </c>
      <c r="C1326" s="49">
        <f>HLOOKUP("# Cores",'vHosts (Imported)'!$1:$5000,M1326,FALSE)</f>
        <v>0</v>
      </c>
      <c r="D1326" s="52">
        <f>HLOOKUP("# Memory",'vHosts (Imported)'!$1:$5000,M1326,FALSE)</f>
        <v>0</v>
      </c>
      <c r="M1326" s="45">
        <f t="shared" si="62"/>
        <v>1326</v>
      </c>
      <c r="N1326" s="38">
        <f>HLOOKUP("Host",'vInfo (Imported)'!$1:$5000,M1326,FALSE)</f>
        <v>0</v>
      </c>
      <c r="R1326">
        <f>HLOOKUP("CPUs",'vInfo (Imported)'!$1:$5000,M1326,FALSE)</f>
        <v>0</v>
      </c>
      <c r="S1326">
        <f>HLOOKUP("Memory",'vInfo (Imported)'!$1:$5000,M1326,FALSE)</f>
        <v>0</v>
      </c>
      <c r="T1326">
        <f>HLOOKUP("Provisioned MiB",'vInfo (Imported)'!$1:$5000,M1326,FALSE)</f>
        <v>0</v>
      </c>
      <c r="U1326">
        <f t="shared" si="61"/>
        <v>0</v>
      </c>
      <c r="V1326">
        <f>HLOOKUP("In Use MiB",'vInfo (Imported)'!$1:$5000,M1326,FALSE)</f>
        <v>0</v>
      </c>
    </row>
    <row r="1327" spans="1:22" ht="13" x14ac:dyDescent="0.3">
      <c r="A1327" s="46">
        <f>'vHosts (Imported)'!A1327</f>
        <v>0</v>
      </c>
      <c r="B1327" s="51">
        <f t="shared" si="63"/>
        <v>4968</v>
      </c>
      <c r="C1327" s="49">
        <f>HLOOKUP("# Cores",'vHosts (Imported)'!$1:$5000,M1327,FALSE)</f>
        <v>0</v>
      </c>
      <c r="D1327" s="52">
        <f>HLOOKUP("# Memory",'vHosts (Imported)'!$1:$5000,M1327,FALSE)</f>
        <v>0</v>
      </c>
      <c r="M1327" s="45">
        <f t="shared" si="62"/>
        <v>1327</v>
      </c>
      <c r="N1327" s="38">
        <f>HLOOKUP("Host",'vInfo (Imported)'!$1:$5000,M1327,FALSE)</f>
        <v>0</v>
      </c>
      <c r="R1327">
        <f>HLOOKUP("CPUs",'vInfo (Imported)'!$1:$5000,M1327,FALSE)</f>
        <v>0</v>
      </c>
      <c r="S1327">
        <f>HLOOKUP("Memory",'vInfo (Imported)'!$1:$5000,M1327,FALSE)</f>
        <v>0</v>
      </c>
      <c r="T1327">
        <f>HLOOKUP("Provisioned MiB",'vInfo (Imported)'!$1:$5000,M1327,FALSE)</f>
        <v>0</v>
      </c>
      <c r="U1327">
        <f t="shared" si="61"/>
        <v>0</v>
      </c>
      <c r="V1327">
        <f>HLOOKUP("In Use MiB",'vInfo (Imported)'!$1:$5000,M1327,FALSE)</f>
        <v>0</v>
      </c>
    </row>
    <row r="1328" spans="1:22" ht="13" x14ac:dyDescent="0.3">
      <c r="A1328" s="46">
        <f>'vHosts (Imported)'!A1328</f>
        <v>0</v>
      </c>
      <c r="B1328" s="51">
        <f t="shared" si="63"/>
        <v>4968</v>
      </c>
      <c r="C1328" s="49">
        <f>HLOOKUP("# Cores",'vHosts (Imported)'!$1:$5000,M1328,FALSE)</f>
        <v>0</v>
      </c>
      <c r="D1328" s="52">
        <f>HLOOKUP("# Memory",'vHosts (Imported)'!$1:$5000,M1328,FALSE)</f>
        <v>0</v>
      </c>
      <c r="M1328" s="45">
        <f t="shared" si="62"/>
        <v>1328</v>
      </c>
      <c r="N1328" s="38">
        <f>HLOOKUP("Host",'vInfo (Imported)'!$1:$5000,M1328,FALSE)</f>
        <v>0</v>
      </c>
      <c r="R1328">
        <f>HLOOKUP("CPUs",'vInfo (Imported)'!$1:$5000,M1328,FALSE)</f>
        <v>0</v>
      </c>
      <c r="S1328">
        <f>HLOOKUP("Memory",'vInfo (Imported)'!$1:$5000,M1328,FALSE)</f>
        <v>0</v>
      </c>
      <c r="T1328">
        <f>HLOOKUP("Provisioned MiB",'vInfo (Imported)'!$1:$5000,M1328,FALSE)</f>
        <v>0</v>
      </c>
      <c r="U1328">
        <f t="shared" si="61"/>
        <v>0</v>
      </c>
      <c r="V1328">
        <f>HLOOKUP("In Use MiB",'vInfo (Imported)'!$1:$5000,M1328,FALSE)</f>
        <v>0</v>
      </c>
    </row>
    <row r="1329" spans="1:22" ht="13" x14ac:dyDescent="0.3">
      <c r="A1329" s="46">
        <f>'vHosts (Imported)'!A1329</f>
        <v>0</v>
      </c>
      <c r="B1329" s="51">
        <f t="shared" si="63"/>
        <v>4968</v>
      </c>
      <c r="C1329" s="49">
        <f>HLOOKUP("# Cores",'vHosts (Imported)'!$1:$5000,M1329,FALSE)</f>
        <v>0</v>
      </c>
      <c r="D1329" s="52">
        <f>HLOOKUP("# Memory",'vHosts (Imported)'!$1:$5000,M1329,FALSE)</f>
        <v>0</v>
      </c>
      <c r="M1329" s="45">
        <f t="shared" si="62"/>
        <v>1329</v>
      </c>
      <c r="N1329" s="38">
        <f>HLOOKUP("Host",'vInfo (Imported)'!$1:$5000,M1329,FALSE)</f>
        <v>0</v>
      </c>
      <c r="R1329">
        <f>HLOOKUP("CPUs",'vInfo (Imported)'!$1:$5000,M1329,FALSE)</f>
        <v>0</v>
      </c>
      <c r="S1329">
        <f>HLOOKUP("Memory",'vInfo (Imported)'!$1:$5000,M1329,FALSE)</f>
        <v>0</v>
      </c>
      <c r="T1329">
        <f>HLOOKUP("Provisioned MiB",'vInfo (Imported)'!$1:$5000,M1329,FALSE)</f>
        <v>0</v>
      </c>
      <c r="U1329">
        <f t="shared" si="61"/>
        <v>0</v>
      </c>
      <c r="V1329">
        <f>HLOOKUP("In Use MiB",'vInfo (Imported)'!$1:$5000,M1329,FALSE)</f>
        <v>0</v>
      </c>
    </row>
    <row r="1330" spans="1:22" ht="13" x14ac:dyDescent="0.3">
      <c r="A1330" s="46">
        <f>'vHosts (Imported)'!A1330</f>
        <v>0</v>
      </c>
      <c r="B1330" s="51">
        <f t="shared" si="63"/>
        <v>4968</v>
      </c>
      <c r="C1330" s="49">
        <f>HLOOKUP("# Cores",'vHosts (Imported)'!$1:$5000,M1330,FALSE)</f>
        <v>0</v>
      </c>
      <c r="D1330" s="52">
        <f>HLOOKUP("# Memory",'vHosts (Imported)'!$1:$5000,M1330,FALSE)</f>
        <v>0</v>
      </c>
      <c r="M1330" s="45">
        <f t="shared" si="62"/>
        <v>1330</v>
      </c>
      <c r="N1330" s="38">
        <f>HLOOKUP("Host",'vInfo (Imported)'!$1:$5000,M1330,FALSE)</f>
        <v>0</v>
      </c>
      <c r="R1330">
        <f>HLOOKUP("CPUs",'vInfo (Imported)'!$1:$5000,M1330,FALSE)</f>
        <v>0</v>
      </c>
      <c r="S1330">
        <f>HLOOKUP("Memory",'vInfo (Imported)'!$1:$5000,M1330,FALSE)</f>
        <v>0</v>
      </c>
      <c r="T1330">
        <f>HLOOKUP("Provisioned MiB",'vInfo (Imported)'!$1:$5000,M1330,FALSE)</f>
        <v>0</v>
      </c>
      <c r="U1330">
        <f t="shared" si="61"/>
        <v>0</v>
      </c>
      <c r="V1330">
        <f>HLOOKUP("In Use MiB",'vInfo (Imported)'!$1:$5000,M1330,FALSE)</f>
        <v>0</v>
      </c>
    </row>
    <row r="1331" spans="1:22" ht="13" x14ac:dyDescent="0.3">
      <c r="A1331" s="46">
        <f>'vHosts (Imported)'!A1331</f>
        <v>0</v>
      </c>
      <c r="B1331" s="51">
        <f t="shared" si="63"/>
        <v>4968</v>
      </c>
      <c r="C1331" s="49">
        <f>HLOOKUP("# Cores",'vHosts (Imported)'!$1:$5000,M1331,FALSE)</f>
        <v>0</v>
      </c>
      <c r="D1331" s="52">
        <f>HLOOKUP("# Memory",'vHosts (Imported)'!$1:$5000,M1331,FALSE)</f>
        <v>0</v>
      </c>
      <c r="M1331" s="45">
        <f t="shared" si="62"/>
        <v>1331</v>
      </c>
      <c r="N1331" s="38">
        <f>HLOOKUP("Host",'vInfo (Imported)'!$1:$5000,M1331,FALSE)</f>
        <v>0</v>
      </c>
      <c r="R1331">
        <f>HLOOKUP("CPUs",'vInfo (Imported)'!$1:$5000,M1331,FALSE)</f>
        <v>0</v>
      </c>
      <c r="S1331">
        <f>HLOOKUP("Memory",'vInfo (Imported)'!$1:$5000,M1331,FALSE)</f>
        <v>0</v>
      </c>
      <c r="T1331">
        <f>HLOOKUP("Provisioned MiB",'vInfo (Imported)'!$1:$5000,M1331,FALSE)</f>
        <v>0</v>
      </c>
      <c r="U1331">
        <f t="shared" si="61"/>
        <v>0</v>
      </c>
      <c r="V1331">
        <f>HLOOKUP("In Use MiB",'vInfo (Imported)'!$1:$5000,M1331,FALSE)</f>
        <v>0</v>
      </c>
    </row>
    <row r="1332" spans="1:22" ht="13" x14ac:dyDescent="0.3">
      <c r="A1332" s="46">
        <f>'vHosts (Imported)'!A1332</f>
        <v>0</v>
      </c>
      <c r="B1332" s="51">
        <f t="shared" si="63"/>
        <v>4968</v>
      </c>
      <c r="C1332" s="49">
        <f>HLOOKUP("# Cores",'vHosts (Imported)'!$1:$5000,M1332,FALSE)</f>
        <v>0</v>
      </c>
      <c r="D1332" s="52">
        <f>HLOOKUP("# Memory",'vHosts (Imported)'!$1:$5000,M1332,FALSE)</f>
        <v>0</v>
      </c>
      <c r="M1332" s="45">
        <f t="shared" si="62"/>
        <v>1332</v>
      </c>
      <c r="N1332" s="38">
        <f>HLOOKUP("Host",'vInfo (Imported)'!$1:$5000,M1332,FALSE)</f>
        <v>0</v>
      </c>
      <c r="R1332">
        <f>HLOOKUP("CPUs",'vInfo (Imported)'!$1:$5000,M1332,FALSE)</f>
        <v>0</v>
      </c>
      <c r="S1332">
        <f>HLOOKUP("Memory",'vInfo (Imported)'!$1:$5000,M1332,FALSE)</f>
        <v>0</v>
      </c>
      <c r="T1332">
        <f>HLOOKUP("Provisioned MiB",'vInfo (Imported)'!$1:$5000,M1332,FALSE)</f>
        <v>0</v>
      </c>
      <c r="U1332">
        <f t="shared" si="61"/>
        <v>0</v>
      </c>
      <c r="V1332">
        <f>HLOOKUP("In Use MiB",'vInfo (Imported)'!$1:$5000,M1332,FALSE)</f>
        <v>0</v>
      </c>
    </row>
    <row r="1333" spans="1:22" ht="13" x14ac:dyDescent="0.3">
      <c r="A1333" s="46">
        <f>'vHosts (Imported)'!A1333</f>
        <v>0</v>
      </c>
      <c r="B1333" s="51">
        <f t="shared" si="63"/>
        <v>4968</v>
      </c>
      <c r="C1333" s="49">
        <f>HLOOKUP("# Cores",'vHosts (Imported)'!$1:$5000,M1333,FALSE)</f>
        <v>0</v>
      </c>
      <c r="D1333" s="52">
        <f>HLOOKUP("# Memory",'vHosts (Imported)'!$1:$5000,M1333,FALSE)</f>
        <v>0</v>
      </c>
      <c r="M1333" s="45">
        <f t="shared" si="62"/>
        <v>1333</v>
      </c>
      <c r="N1333" s="38">
        <f>HLOOKUP("Host",'vInfo (Imported)'!$1:$5000,M1333,FALSE)</f>
        <v>0</v>
      </c>
      <c r="R1333">
        <f>HLOOKUP("CPUs",'vInfo (Imported)'!$1:$5000,M1333,FALSE)</f>
        <v>0</v>
      </c>
      <c r="S1333">
        <f>HLOOKUP("Memory",'vInfo (Imported)'!$1:$5000,M1333,FALSE)</f>
        <v>0</v>
      </c>
      <c r="T1333">
        <f>HLOOKUP("Provisioned MiB",'vInfo (Imported)'!$1:$5000,M1333,FALSE)</f>
        <v>0</v>
      </c>
      <c r="U1333">
        <f t="shared" si="61"/>
        <v>0</v>
      </c>
      <c r="V1333">
        <f>HLOOKUP("In Use MiB",'vInfo (Imported)'!$1:$5000,M1333,FALSE)</f>
        <v>0</v>
      </c>
    </row>
    <row r="1334" spans="1:22" ht="13" x14ac:dyDescent="0.3">
      <c r="A1334" s="46">
        <f>'vHosts (Imported)'!A1334</f>
        <v>0</v>
      </c>
      <c r="B1334" s="51">
        <f t="shared" si="63"/>
        <v>4968</v>
      </c>
      <c r="C1334" s="49">
        <f>HLOOKUP("# Cores",'vHosts (Imported)'!$1:$5000,M1334,FALSE)</f>
        <v>0</v>
      </c>
      <c r="D1334" s="52">
        <f>HLOOKUP("# Memory",'vHosts (Imported)'!$1:$5000,M1334,FALSE)</f>
        <v>0</v>
      </c>
      <c r="M1334" s="45">
        <f t="shared" si="62"/>
        <v>1334</v>
      </c>
      <c r="N1334" s="38">
        <f>HLOOKUP("Host",'vInfo (Imported)'!$1:$5000,M1334,FALSE)</f>
        <v>0</v>
      </c>
      <c r="R1334">
        <f>HLOOKUP("CPUs",'vInfo (Imported)'!$1:$5000,M1334,FALSE)</f>
        <v>0</v>
      </c>
      <c r="S1334">
        <f>HLOOKUP("Memory",'vInfo (Imported)'!$1:$5000,M1334,FALSE)</f>
        <v>0</v>
      </c>
      <c r="T1334">
        <f>HLOOKUP("Provisioned MiB",'vInfo (Imported)'!$1:$5000,M1334,FALSE)</f>
        <v>0</v>
      </c>
      <c r="U1334">
        <f t="shared" si="61"/>
        <v>0</v>
      </c>
      <c r="V1334">
        <f>HLOOKUP("In Use MiB",'vInfo (Imported)'!$1:$5000,M1334,FALSE)</f>
        <v>0</v>
      </c>
    </row>
    <row r="1335" spans="1:22" ht="13" x14ac:dyDescent="0.3">
      <c r="A1335" s="46">
        <f>'vHosts (Imported)'!A1335</f>
        <v>0</v>
      </c>
      <c r="B1335" s="51">
        <f t="shared" si="63"/>
        <v>4968</v>
      </c>
      <c r="C1335" s="49">
        <f>HLOOKUP("# Cores",'vHosts (Imported)'!$1:$5000,M1335,FALSE)</f>
        <v>0</v>
      </c>
      <c r="D1335" s="52">
        <f>HLOOKUP("# Memory",'vHosts (Imported)'!$1:$5000,M1335,FALSE)</f>
        <v>0</v>
      </c>
      <c r="M1335" s="45">
        <f t="shared" si="62"/>
        <v>1335</v>
      </c>
      <c r="N1335" s="38">
        <f>HLOOKUP("Host",'vInfo (Imported)'!$1:$5000,M1335,FALSE)</f>
        <v>0</v>
      </c>
      <c r="R1335">
        <f>HLOOKUP("CPUs",'vInfo (Imported)'!$1:$5000,M1335,FALSE)</f>
        <v>0</v>
      </c>
      <c r="S1335">
        <f>HLOOKUP("Memory",'vInfo (Imported)'!$1:$5000,M1335,FALSE)</f>
        <v>0</v>
      </c>
      <c r="T1335">
        <f>HLOOKUP("Provisioned MiB",'vInfo (Imported)'!$1:$5000,M1335,FALSE)</f>
        <v>0</v>
      </c>
      <c r="U1335">
        <f t="shared" si="61"/>
        <v>0</v>
      </c>
      <c r="V1335">
        <f>HLOOKUP("In Use MiB",'vInfo (Imported)'!$1:$5000,M1335,FALSE)</f>
        <v>0</v>
      </c>
    </row>
    <row r="1336" spans="1:22" ht="13" x14ac:dyDescent="0.3">
      <c r="A1336" s="46">
        <f>'vHosts (Imported)'!A1336</f>
        <v>0</v>
      </c>
      <c r="B1336" s="51">
        <f t="shared" si="63"/>
        <v>4968</v>
      </c>
      <c r="C1336" s="49">
        <f>HLOOKUP("# Cores",'vHosts (Imported)'!$1:$5000,M1336,FALSE)</f>
        <v>0</v>
      </c>
      <c r="D1336" s="52">
        <f>HLOOKUP("# Memory",'vHosts (Imported)'!$1:$5000,M1336,FALSE)</f>
        <v>0</v>
      </c>
      <c r="M1336" s="45">
        <f t="shared" si="62"/>
        <v>1336</v>
      </c>
      <c r="N1336" s="38">
        <f>HLOOKUP("Host",'vInfo (Imported)'!$1:$5000,M1336,FALSE)</f>
        <v>0</v>
      </c>
      <c r="R1336">
        <f>HLOOKUP("CPUs",'vInfo (Imported)'!$1:$5000,M1336,FALSE)</f>
        <v>0</v>
      </c>
      <c r="S1336">
        <f>HLOOKUP("Memory",'vInfo (Imported)'!$1:$5000,M1336,FALSE)</f>
        <v>0</v>
      </c>
      <c r="T1336">
        <f>HLOOKUP("Provisioned MiB",'vInfo (Imported)'!$1:$5000,M1336,FALSE)</f>
        <v>0</v>
      </c>
      <c r="U1336">
        <f t="shared" si="61"/>
        <v>0</v>
      </c>
      <c r="V1336">
        <f>HLOOKUP("In Use MiB",'vInfo (Imported)'!$1:$5000,M1336,FALSE)</f>
        <v>0</v>
      </c>
    </row>
    <row r="1337" spans="1:22" ht="13" x14ac:dyDescent="0.3">
      <c r="A1337" s="46">
        <f>'vHosts (Imported)'!A1337</f>
        <v>0</v>
      </c>
      <c r="B1337" s="51">
        <f t="shared" si="63"/>
        <v>4968</v>
      </c>
      <c r="C1337" s="49">
        <f>HLOOKUP("# Cores",'vHosts (Imported)'!$1:$5000,M1337,FALSE)</f>
        <v>0</v>
      </c>
      <c r="D1337" s="52">
        <f>HLOOKUP("# Memory",'vHosts (Imported)'!$1:$5000,M1337,FALSE)</f>
        <v>0</v>
      </c>
      <c r="M1337" s="45">
        <f t="shared" si="62"/>
        <v>1337</v>
      </c>
      <c r="N1337" s="38">
        <f>HLOOKUP("Host",'vInfo (Imported)'!$1:$5000,M1337,FALSE)</f>
        <v>0</v>
      </c>
      <c r="R1337">
        <f>HLOOKUP("CPUs",'vInfo (Imported)'!$1:$5000,M1337,FALSE)</f>
        <v>0</v>
      </c>
      <c r="S1337">
        <f>HLOOKUP("Memory",'vInfo (Imported)'!$1:$5000,M1337,FALSE)</f>
        <v>0</v>
      </c>
      <c r="T1337">
        <f>HLOOKUP("Provisioned MiB",'vInfo (Imported)'!$1:$5000,M1337,FALSE)</f>
        <v>0</v>
      </c>
      <c r="U1337">
        <f t="shared" si="61"/>
        <v>0</v>
      </c>
      <c r="V1337">
        <f>HLOOKUP("In Use MiB",'vInfo (Imported)'!$1:$5000,M1337,FALSE)</f>
        <v>0</v>
      </c>
    </row>
    <row r="1338" spans="1:22" ht="13" x14ac:dyDescent="0.3">
      <c r="A1338" s="46">
        <f>'vHosts (Imported)'!A1338</f>
        <v>0</v>
      </c>
      <c r="B1338" s="51">
        <f t="shared" si="63"/>
        <v>4968</v>
      </c>
      <c r="C1338" s="49">
        <f>HLOOKUP("# Cores",'vHosts (Imported)'!$1:$5000,M1338,FALSE)</f>
        <v>0</v>
      </c>
      <c r="D1338" s="52">
        <f>HLOOKUP("# Memory",'vHosts (Imported)'!$1:$5000,M1338,FALSE)</f>
        <v>0</v>
      </c>
      <c r="M1338" s="45">
        <f t="shared" si="62"/>
        <v>1338</v>
      </c>
      <c r="N1338" s="38">
        <f>HLOOKUP("Host",'vInfo (Imported)'!$1:$5000,M1338,FALSE)</f>
        <v>0</v>
      </c>
      <c r="R1338">
        <f>HLOOKUP("CPUs",'vInfo (Imported)'!$1:$5000,M1338,FALSE)</f>
        <v>0</v>
      </c>
      <c r="S1338">
        <f>HLOOKUP("Memory",'vInfo (Imported)'!$1:$5000,M1338,FALSE)</f>
        <v>0</v>
      </c>
      <c r="T1338">
        <f>HLOOKUP("Provisioned MiB",'vInfo (Imported)'!$1:$5000,M1338,FALSE)</f>
        <v>0</v>
      </c>
      <c r="U1338">
        <f t="shared" si="61"/>
        <v>0</v>
      </c>
      <c r="V1338">
        <f>HLOOKUP("In Use MiB",'vInfo (Imported)'!$1:$5000,M1338,FALSE)</f>
        <v>0</v>
      </c>
    </row>
    <row r="1339" spans="1:22" ht="13" x14ac:dyDescent="0.3">
      <c r="A1339" s="46">
        <f>'vHosts (Imported)'!A1339</f>
        <v>0</v>
      </c>
      <c r="B1339" s="51">
        <f t="shared" si="63"/>
        <v>4968</v>
      </c>
      <c r="C1339" s="49">
        <f>HLOOKUP("# Cores",'vHosts (Imported)'!$1:$5000,M1339,FALSE)</f>
        <v>0</v>
      </c>
      <c r="D1339" s="52">
        <f>HLOOKUP("# Memory",'vHosts (Imported)'!$1:$5000,M1339,FALSE)</f>
        <v>0</v>
      </c>
      <c r="M1339" s="45">
        <f t="shared" si="62"/>
        <v>1339</v>
      </c>
      <c r="N1339" s="38">
        <f>HLOOKUP("Host",'vInfo (Imported)'!$1:$5000,M1339,FALSE)</f>
        <v>0</v>
      </c>
      <c r="R1339">
        <f>HLOOKUP("CPUs",'vInfo (Imported)'!$1:$5000,M1339,FALSE)</f>
        <v>0</v>
      </c>
      <c r="S1339">
        <f>HLOOKUP("Memory",'vInfo (Imported)'!$1:$5000,M1339,FALSE)</f>
        <v>0</v>
      </c>
      <c r="T1339">
        <f>HLOOKUP("Provisioned MiB",'vInfo (Imported)'!$1:$5000,M1339,FALSE)</f>
        <v>0</v>
      </c>
      <c r="U1339">
        <f t="shared" si="61"/>
        <v>0</v>
      </c>
      <c r="V1339">
        <f>HLOOKUP("In Use MiB",'vInfo (Imported)'!$1:$5000,M1339,FALSE)</f>
        <v>0</v>
      </c>
    </row>
    <row r="1340" spans="1:22" ht="13" x14ac:dyDescent="0.3">
      <c r="A1340" s="46">
        <f>'vHosts (Imported)'!A1340</f>
        <v>0</v>
      </c>
      <c r="B1340" s="51">
        <f t="shared" si="63"/>
        <v>4968</v>
      </c>
      <c r="C1340" s="49">
        <f>HLOOKUP("# Cores",'vHosts (Imported)'!$1:$5000,M1340,FALSE)</f>
        <v>0</v>
      </c>
      <c r="D1340" s="52">
        <f>HLOOKUP("# Memory",'vHosts (Imported)'!$1:$5000,M1340,FALSE)</f>
        <v>0</v>
      </c>
      <c r="M1340" s="45">
        <f t="shared" si="62"/>
        <v>1340</v>
      </c>
      <c r="N1340" s="38">
        <f>HLOOKUP("Host",'vInfo (Imported)'!$1:$5000,M1340,FALSE)</f>
        <v>0</v>
      </c>
      <c r="R1340">
        <f>HLOOKUP("CPUs",'vInfo (Imported)'!$1:$5000,M1340,FALSE)</f>
        <v>0</v>
      </c>
      <c r="S1340">
        <f>HLOOKUP("Memory",'vInfo (Imported)'!$1:$5000,M1340,FALSE)</f>
        <v>0</v>
      </c>
      <c r="T1340">
        <f>HLOOKUP("Provisioned MiB",'vInfo (Imported)'!$1:$5000,M1340,FALSE)</f>
        <v>0</v>
      </c>
      <c r="U1340">
        <f t="shared" si="61"/>
        <v>0</v>
      </c>
      <c r="V1340">
        <f>HLOOKUP("In Use MiB",'vInfo (Imported)'!$1:$5000,M1340,FALSE)</f>
        <v>0</v>
      </c>
    </row>
    <row r="1341" spans="1:22" ht="13" x14ac:dyDescent="0.3">
      <c r="A1341" s="46">
        <f>'vHosts (Imported)'!A1341</f>
        <v>0</v>
      </c>
      <c r="B1341" s="51">
        <f t="shared" si="63"/>
        <v>4968</v>
      </c>
      <c r="C1341" s="49">
        <f>HLOOKUP("# Cores",'vHosts (Imported)'!$1:$5000,M1341,FALSE)</f>
        <v>0</v>
      </c>
      <c r="D1341" s="52">
        <f>HLOOKUP("# Memory",'vHosts (Imported)'!$1:$5000,M1341,FALSE)</f>
        <v>0</v>
      </c>
      <c r="M1341" s="45">
        <f t="shared" si="62"/>
        <v>1341</v>
      </c>
      <c r="N1341" s="38">
        <f>HLOOKUP("Host",'vInfo (Imported)'!$1:$5000,M1341,FALSE)</f>
        <v>0</v>
      </c>
      <c r="R1341">
        <f>HLOOKUP("CPUs",'vInfo (Imported)'!$1:$5000,M1341,FALSE)</f>
        <v>0</v>
      </c>
      <c r="S1341">
        <f>HLOOKUP("Memory",'vInfo (Imported)'!$1:$5000,M1341,FALSE)</f>
        <v>0</v>
      </c>
      <c r="T1341">
        <f>HLOOKUP("Provisioned MiB",'vInfo (Imported)'!$1:$5000,M1341,FALSE)</f>
        <v>0</v>
      </c>
      <c r="U1341">
        <f t="shared" si="61"/>
        <v>0</v>
      </c>
      <c r="V1341">
        <f>HLOOKUP("In Use MiB",'vInfo (Imported)'!$1:$5000,M1341,FALSE)</f>
        <v>0</v>
      </c>
    </row>
    <row r="1342" spans="1:22" ht="13" x14ac:dyDescent="0.3">
      <c r="A1342" s="46">
        <f>'vHosts (Imported)'!A1342</f>
        <v>0</v>
      </c>
      <c r="B1342" s="51">
        <f t="shared" si="63"/>
        <v>4968</v>
      </c>
      <c r="C1342" s="49">
        <f>HLOOKUP("# Cores",'vHosts (Imported)'!$1:$5000,M1342,FALSE)</f>
        <v>0</v>
      </c>
      <c r="D1342" s="52">
        <f>HLOOKUP("# Memory",'vHosts (Imported)'!$1:$5000,M1342,FALSE)</f>
        <v>0</v>
      </c>
      <c r="M1342" s="45">
        <f t="shared" si="62"/>
        <v>1342</v>
      </c>
      <c r="N1342" s="38">
        <f>HLOOKUP("Host",'vInfo (Imported)'!$1:$5000,M1342,FALSE)</f>
        <v>0</v>
      </c>
      <c r="R1342">
        <f>HLOOKUP("CPUs",'vInfo (Imported)'!$1:$5000,M1342,FALSE)</f>
        <v>0</v>
      </c>
      <c r="S1342">
        <f>HLOOKUP("Memory",'vInfo (Imported)'!$1:$5000,M1342,FALSE)</f>
        <v>0</v>
      </c>
      <c r="T1342">
        <f>HLOOKUP("Provisioned MiB",'vInfo (Imported)'!$1:$5000,M1342,FALSE)</f>
        <v>0</v>
      </c>
      <c r="U1342">
        <f t="shared" si="61"/>
        <v>0</v>
      </c>
      <c r="V1342">
        <f>HLOOKUP("In Use MiB",'vInfo (Imported)'!$1:$5000,M1342,FALSE)</f>
        <v>0</v>
      </c>
    </row>
    <row r="1343" spans="1:22" ht="13" x14ac:dyDescent="0.3">
      <c r="A1343" s="46">
        <f>'vHosts (Imported)'!A1343</f>
        <v>0</v>
      </c>
      <c r="B1343" s="51">
        <f t="shared" si="63"/>
        <v>4968</v>
      </c>
      <c r="C1343" s="49">
        <f>HLOOKUP("# Cores",'vHosts (Imported)'!$1:$5000,M1343,FALSE)</f>
        <v>0</v>
      </c>
      <c r="D1343" s="52">
        <f>HLOOKUP("# Memory",'vHosts (Imported)'!$1:$5000,M1343,FALSE)</f>
        <v>0</v>
      </c>
      <c r="M1343" s="45">
        <f t="shared" si="62"/>
        <v>1343</v>
      </c>
      <c r="N1343" s="38">
        <f>HLOOKUP("Host",'vInfo (Imported)'!$1:$5000,M1343,FALSE)</f>
        <v>0</v>
      </c>
      <c r="R1343">
        <f>HLOOKUP("CPUs",'vInfo (Imported)'!$1:$5000,M1343,FALSE)</f>
        <v>0</v>
      </c>
      <c r="S1343">
        <f>HLOOKUP("Memory",'vInfo (Imported)'!$1:$5000,M1343,FALSE)</f>
        <v>0</v>
      </c>
      <c r="T1343">
        <f>HLOOKUP("Provisioned MiB",'vInfo (Imported)'!$1:$5000,M1343,FALSE)</f>
        <v>0</v>
      </c>
      <c r="U1343">
        <f t="shared" si="61"/>
        <v>0</v>
      </c>
      <c r="V1343">
        <f>HLOOKUP("In Use MiB",'vInfo (Imported)'!$1:$5000,M1343,FALSE)</f>
        <v>0</v>
      </c>
    </row>
    <row r="1344" spans="1:22" ht="13" x14ac:dyDescent="0.3">
      <c r="A1344" s="46">
        <f>'vHosts (Imported)'!A1344</f>
        <v>0</v>
      </c>
      <c r="B1344" s="51">
        <f t="shared" si="63"/>
        <v>4968</v>
      </c>
      <c r="C1344" s="49">
        <f>HLOOKUP("# Cores",'vHosts (Imported)'!$1:$5000,M1344,FALSE)</f>
        <v>0</v>
      </c>
      <c r="D1344" s="52">
        <f>HLOOKUP("# Memory",'vHosts (Imported)'!$1:$5000,M1344,FALSE)</f>
        <v>0</v>
      </c>
      <c r="M1344" s="45">
        <f t="shared" si="62"/>
        <v>1344</v>
      </c>
      <c r="N1344" s="38">
        <f>HLOOKUP("Host",'vInfo (Imported)'!$1:$5000,M1344,FALSE)</f>
        <v>0</v>
      </c>
      <c r="R1344">
        <f>HLOOKUP("CPUs",'vInfo (Imported)'!$1:$5000,M1344,FALSE)</f>
        <v>0</v>
      </c>
      <c r="S1344">
        <f>HLOOKUP("Memory",'vInfo (Imported)'!$1:$5000,M1344,FALSE)</f>
        <v>0</v>
      </c>
      <c r="T1344">
        <f>HLOOKUP("Provisioned MiB",'vInfo (Imported)'!$1:$5000,M1344,FALSE)</f>
        <v>0</v>
      </c>
      <c r="U1344">
        <f t="shared" si="61"/>
        <v>0</v>
      </c>
      <c r="V1344">
        <f>HLOOKUP("In Use MiB",'vInfo (Imported)'!$1:$5000,M1344,FALSE)</f>
        <v>0</v>
      </c>
    </row>
    <row r="1345" spans="1:22" ht="13" x14ac:dyDescent="0.3">
      <c r="A1345" s="46">
        <f>'vHosts (Imported)'!A1345</f>
        <v>0</v>
      </c>
      <c r="B1345" s="51">
        <f t="shared" si="63"/>
        <v>4968</v>
      </c>
      <c r="C1345" s="49">
        <f>HLOOKUP("# Cores",'vHosts (Imported)'!$1:$5000,M1345,FALSE)</f>
        <v>0</v>
      </c>
      <c r="D1345" s="52">
        <f>HLOOKUP("# Memory",'vHosts (Imported)'!$1:$5000,M1345,FALSE)</f>
        <v>0</v>
      </c>
      <c r="M1345" s="45">
        <f t="shared" si="62"/>
        <v>1345</v>
      </c>
      <c r="N1345" s="38">
        <f>HLOOKUP("Host",'vInfo (Imported)'!$1:$5000,M1345,FALSE)</f>
        <v>0</v>
      </c>
      <c r="R1345">
        <f>HLOOKUP("CPUs",'vInfo (Imported)'!$1:$5000,M1345,FALSE)</f>
        <v>0</v>
      </c>
      <c r="S1345">
        <f>HLOOKUP("Memory",'vInfo (Imported)'!$1:$5000,M1345,FALSE)</f>
        <v>0</v>
      </c>
      <c r="T1345">
        <f>HLOOKUP("Provisioned MiB",'vInfo (Imported)'!$1:$5000,M1345,FALSE)</f>
        <v>0</v>
      </c>
      <c r="U1345">
        <f t="shared" si="61"/>
        <v>0</v>
      </c>
      <c r="V1345">
        <f>HLOOKUP("In Use MiB",'vInfo (Imported)'!$1:$5000,M1345,FALSE)</f>
        <v>0</v>
      </c>
    </row>
    <row r="1346" spans="1:22" ht="13" x14ac:dyDescent="0.3">
      <c r="A1346" s="46">
        <f>'vHosts (Imported)'!A1346</f>
        <v>0</v>
      </c>
      <c r="B1346" s="51">
        <f t="shared" si="63"/>
        <v>4968</v>
      </c>
      <c r="C1346" s="49">
        <f>HLOOKUP("# Cores",'vHosts (Imported)'!$1:$5000,M1346,FALSE)</f>
        <v>0</v>
      </c>
      <c r="D1346" s="52">
        <f>HLOOKUP("# Memory",'vHosts (Imported)'!$1:$5000,M1346,FALSE)</f>
        <v>0</v>
      </c>
      <c r="M1346" s="45">
        <f t="shared" si="62"/>
        <v>1346</v>
      </c>
      <c r="N1346" s="38">
        <f>HLOOKUP("Host",'vInfo (Imported)'!$1:$5000,M1346,FALSE)</f>
        <v>0</v>
      </c>
      <c r="R1346">
        <f>HLOOKUP("CPUs",'vInfo (Imported)'!$1:$5000,M1346,FALSE)</f>
        <v>0</v>
      </c>
      <c r="S1346">
        <f>HLOOKUP("Memory",'vInfo (Imported)'!$1:$5000,M1346,FALSE)</f>
        <v>0</v>
      </c>
      <c r="T1346">
        <f>HLOOKUP("Provisioned MiB",'vInfo (Imported)'!$1:$5000,M1346,FALSE)</f>
        <v>0</v>
      </c>
      <c r="U1346">
        <f t="shared" si="61"/>
        <v>0</v>
      </c>
      <c r="V1346">
        <f>HLOOKUP("In Use MiB",'vInfo (Imported)'!$1:$5000,M1346,FALSE)</f>
        <v>0</v>
      </c>
    </row>
    <row r="1347" spans="1:22" ht="13" x14ac:dyDescent="0.3">
      <c r="A1347" s="46">
        <f>'vHosts (Imported)'!A1347</f>
        <v>0</v>
      </c>
      <c r="B1347" s="51">
        <f t="shared" si="63"/>
        <v>4968</v>
      </c>
      <c r="C1347" s="49">
        <f>HLOOKUP("# Cores",'vHosts (Imported)'!$1:$5000,M1347,FALSE)</f>
        <v>0</v>
      </c>
      <c r="D1347" s="52">
        <f>HLOOKUP("# Memory",'vHosts (Imported)'!$1:$5000,M1347,FALSE)</f>
        <v>0</v>
      </c>
      <c r="M1347" s="45">
        <f t="shared" si="62"/>
        <v>1347</v>
      </c>
      <c r="N1347" s="38">
        <f>HLOOKUP("Host",'vInfo (Imported)'!$1:$5000,M1347,FALSE)</f>
        <v>0</v>
      </c>
      <c r="R1347">
        <f>HLOOKUP("CPUs",'vInfo (Imported)'!$1:$5000,M1347,FALSE)</f>
        <v>0</v>
      </c>
      <c r="S1347">
        <f>HLOOKUP("Memory",'vInfo (Imported)'!$1:$5000,M1347,FALSE)</f>
        <v>0</v>
      </c>
      <c r="T1347">
        <f>HLOOKUP("Provisioned MiB",'vInfo (Imported)'!$1:$5000,M1347,FALSE)</f>
        <v>0</v>
      </c>
      <c r="U1347">
        <f t="shared" ref="U1347:U1410" si="64">T1347-V1347</f>
        <v>0</v>
      </c>
      <c r="V1347">
        <f>HLOOKUP("In Use MiB",'vInfo (Imported)'!$1:$5000,M1347,FALSE)</f>
        <v>0</v>
      </c>
    </row>
    <row r="1348" spans="1:22" ht="13" x14ac:dyDescent="0.3">
      <c r="A1348" s="46">
        <f>'vHosts (Imported)'!A1348</f>
        <v>0</v>
      </c>
      <c r="B1348" s="51">
        <f t="shared" si="63"/>
        <v>4968</v>
      </c>
      <c r="C1348" s="49">
        <f>HLOOKUP("# Cores",'vHosts (Imported)'!$1:$5000,M1348,FALSE)</f>
        <v>0</v>
      </c>
      <c r="D1348" s="52">
        <f>HLOOKUP("# Memory",'vHosts (Imported)'!$1:$5000,M1348,FALSE)</f>
        <v>0</v>
      </c>
      <c r="M1348" s="45">
        <f t="shared" ref="M1348:M1411" si="65">M1347+1</f>
        <v>1348</v>
      </c>
      <c r="N1348" s="38">
        <f>HLOOKUP("Host",'vInfo (Imported)'!$1:$5000,M1348,FALSE)</f>
        <v>0</v>
      </c>
      <c r="R1348">
        <f>HLOOKUP("CPUs",'vInfo (Imported)'!$1:$5000,M1348,FALSE)</f>
        <v>0</v>
      </c>
      <c r="S1348">
        <f>HLOOKUP("Memory",'vInfo (Imported)'!$1:$5000,M1348,FALSE)</f>
        <v>0</v>
      </c>
      <c r="T1348">
        <f>HLOOKUP("Provisioned MiB",'vInfo (Imported)'!$1:$5000,M1348,FALSE)</f>
        <v>0</v>
      </c>
      <c r="U1348">
        <f t="shared" si="64"/>
        <v>0</v>
      </c>
      <c r="V1348">
        <f>HLOOKUP("In Use MiB",'vInfo (Imported)'!$1:$5000,M1348,FALSE)</f>
        <v>0</v>
      </c>
    </row>
    <row r="1349" spans="1:22" ht="13" x14ac:dyDescent="0.3">
      <c r="A1349" s="46">
        <f>'vHosts (Imported)'!A1349</f>
        <v>0</v>
      </c>
      <c r="B1349" s="51">
        <f t="shared" si="63"/>
        <v>4968</v>
      </c>
      <c r="C1349" s="49">
        <f>HLOOKUP("# Cores",'vHosts (Imported)'!$1:$5000,M1349,FALSE)</f>
        <v>0</v>
      </c>
      <c r="D1349" s="52">
        <f>HLOOKUP("# Memory",'vHosts (Imported)'!$1:$5000,M1349,FALSE)</f>
        <v>0</v>
      </c>
      <c r="M1349" s="45">
        <f t="shared" si="65"/>
        <v>1349</v>
      </c>
      <c r="N1349" s="38">
        <f>HLOOKUP("Host",'vInfo (Imported)'!$1:$5000,M1349,FALSE)</f>
        <v>0</v>
      </c>
      <c r="R1349">
        <f>HLOOKUP("CPUs",'vInfo (Imported)'!$1:$5000,M1349,FALSE)</f>
        <v>0</v>
      </c>
      <c r="S1349">
        <f>HLOOKUP("Memory",'vInfo (Imported)'!$1:$5000,M1349,FALSE)</f>
        <v>0</v>
      </c>
      <c r="T1349">
        <f>HLOOKUP("Provisioned MiB",'vInfo (Imported)'!$1:$5000,M1349,FALSE)</f>
        <v>0</v>
      </c>
      <c r="U1349">
        <f t="shared" si="64"/>
        <v>0</v>
      </c>
      <c r="V1349">
        <f>HLOOKUP("In Use MiB",'vInfo (Imported)'!$1:$5000,M1349,FALSE)</f>
        <v>0</v>
      </c>
    </row>
    <row r="1350" spans="1:22" ht="13" x14ac:dyDescent="0.3">
      <c r="A1350" s="46">
        <f>'vHosts (Imported)'!A1350</f>
        <v>0</v>
      </c>
      <c r="B1350" s="51">
        <f t="shared" si="63"/>
        <v>4968</v>
      </c>
      <c r="C1350" s="49">
        <f>HLOOKUP("# Cores",'vHosts (Imported)'!$1:$5000,M1350,FALSE)</f>
        <v>0</v>
      </c>
      <c r="D1350" s="52">
        <f>HLOOKUP("# Memory",'vHosts (Imported)'!$1:$5000,M1350,FALSE)</f>
        <v>0</v>
      </c>
      <c r="M1350" s="45">
        <f t="shared" si="65"/>
        <v>1350</v>
      </c>
      <c r="N1350" s="38">
        <f>HLOOKUP("Host",'vInfo (Imported)'!$1:$5000,M1350,FALSE)</f>
        <v>0</v>
      </c>
      <c r="R1350">
        <f>HLOOKUP("CPUs",'vInfo (Imported)'!$1:$5000,M1350,FALSE)</f>
        <v>0</v>
      </c>
      <c r="S1350">
        <f>HLOOKUP("Memory",'vInfo (Imported)'!$1:$5000,M1350,FALSE)</f>
        <v>0</v>
      </c>
      <c r="T1350">
        <f>HLOOKUP("Provisioned MiB",'vInfo (Imported)'!$1:$5000,M1350,FALSE)</f>
        <v>0</v>
      </c>
      <c r="U1350">
        <f t="shared" si="64"/>
        <v>0</v>
      </c>
      <c r="V1350">
        <f>HLOOKUP("In Use MiB",'vInfo (Imported)'!$1:$5000,M1350,FALSE)</f>
        <v>0</v>
      </c>
    </row>
    <row r="1351" spans="1:22" ht="13" x14ac:dyDescent="0.3">
      <c r="A1351" s="46">
        <f>'vHosts (Imported)'!A1351</f>
        <v>0</v>
      </c>
      <c r="B1351" s="51">
        <f t="shared" si="63"/>
        <v>4968</v>
      </c>
      <c r="C1351" s="49">
        <f>HLOOKUP("# Cores",'vHosts (Imported)'!$1:$5000,M1351,FALSE)</f>
        <v>0</v>
      </c>
      <c r="D1351" s="52">
        <f>HLOOKUP("# Memory",'vHosts (Imported)'!$1:$5000,M1351,FALSE)</f>
        <v>0</v>
      </c>
      <c r="M1351" s="45">
        <f t="shared" si="65"/>
        <v>1351</v>
      </c>
      <c r="N1351" s="38">
        <f>HLOOKUP("Host",'vInfo (Imported)'!$1:$5000,M1351,FALSE)</f>
        <v>0</v>
      </c>
      <c r="R1351">
        <f>HLOOKUP("CPUs",'vInfo (Imported)'!$1:$5000,M1351,FALSE)</f>
        <v>0</v>
      </c>
      <c r="S1351">
        <f>HLOOKUP("Memory",'vInfo (Imported)'!$1:$5000,M1351,FALSE)</f>
        <v>0</v>
      </c>
      <c r="T1351">
        <f>HLOOKUP("Provisioned MiB",'vInfo (Imported)'!$1:$5000,M1351,FALSE)</f>
        <v>0</v>
      </c>
      <c r="U1351">
        <f t="shared" si="64"/>
        <v>0</v>
      </c>
      <c r="V1351">
        <f>HLOOKUP("In Use MiB",'vInfo (Imported)'!$1:$5000,M1351,FALSE)</f>
        <v>0</v>
      </c>
    </row>
    <row r="1352" spans="1:22" ht="13" x14ac:dyDescent="0.3">
      <c r="A1352" s="46">
        <f>'vHosts (Imported)'!A1352</f>
        <v>0</v>
      </c>
      <c r="B1352" s="51">
        <f t="shared" si="63"/>
        <v>4968</v>
      </c>
      <c r="C1352" s="49">
        <f>HLOOKUP("# Cores",'vHosts (Imported)'!$1:$5000,M1352,FALSE)</f>
        <v>0</v>
      </c>
      <c r="D1352" s="52">
        <f>HLOOKUP("# Memory",'vHosts (Imported)'!$1:$5000,M1352,FALSE)</f>
        <v>0</v>
      </c>
      <c r="M1352" s="45">
        <f t="shared" si="65"/>
        <v>1352</v>
      </c>
      <c r="N1352" s="38">
        <f>HLOOKUP("Host",'vInfo (Imported)'!$1:$5000,M1352,FALSE)</f>
        <v>0</v>
      </c>
      <c r="R1352">
        <f>HLOOKUP("CPUs",'vInfo (Imported)'!$1:$5000,M1352,FALSE)</f>
        <v>0</v>
      </c>
      <c r="S1352">
        <f>HLOOKUP("Memory",'vInfo (Imported)'!$1:$5000,M1352,FALSE)</f>
        <v>0</v>
      </c>
      <c r="T1352">
        <f>HLOOKUP("Provisioned MiB",'vInfo (Imported)'!$1:$5000,M1352,FALSE)</f>
        <v>0</v>
      </c>
      <c r="U1352">
        <f t="shared" si="64"/>
        <v>0</v>
      </c>
      <c r="V1352">
        <f>HLOOKUP("In Use MiB",'vInfo (Imported)'!$1:$5000,M1352,FALSE)</f>
        <v>0</v>
      </c>
    </row>
    <row r="1353" spans="1:22" ht="13" x14ac:dyDescent="0.3">
      <c r="A1353" s="46">
        <f>'vHosts (Imported)'!A1353</f>
        <v>0</v>
      </c>
      <c r="B1353" s="51">
        <f t="shared" si="63"/>
        <v>4968</v>
      </c>
      <c r="C1353" s="49">
        <f>HLOOKUP("# Cores",'vHosts (Imported)'!$1:$5000,M1353,FALSE)</f>
        <v>0</v>
      </c>
      <c r="D1353" s="52">
        <f>HLOOKUP("# Memory",'vHosts (Imported)'!$1:$5000,M1353,FALSE)</f>
        <v>0</v>
      </c>
      <c r="M1353" s="45">
        <f t="shared" si="65"/>
        <v>1353</v>
      </c>
      <c r="N1353" s="38">
        <f>HLOOKUP("Host",'vInfo (Imported)'!$1:$5000,M1353,FALSE)</f>
        <v>0</v>
      </c>
      <c r="R1353">
        <f>HLOOKUP("CPUs",'vInfo (Imported)'!$1:$5000,M1353,FALSE)</f>
        <v>0</v>
      </c>
      <c r="S1353">
        <f>HLOOKUP("Memory",'vInfo (Imported)'!$1:$5000,M1353,FALSE)</f>
        <v>0</v>
      </c>
      <c r="T1353">
        <f>HLOOKUP("Provisioned MiB",'vInfo (Imported)'!$1:$5000,M1353,FALSE)</f>
        <v>0</v>
      </c>
      <c r="U1353">
        <f t="shared" si="64"/>
        <v>0</v>
      </c>
      <c r="V1353">
        <f>HLOOKUP("In Use MiB",'vInfo (Imported)'!$1:$5000,M1353,FALSE)</f>
        <v>0</v>
      </c>
    </row>
    <row r="1354" spans="1:22" ht="13" x14ac:dyDescent="0.3">
      <c r="A1354" s="46">
        <f>'vHosts (Imported)'!A1354</f>
        <v>0</v>
      </c>
      <c r="B1354" s="51">
        <f t="shared" si="63"/>
        <v>4968</v>
      </c>
      <c r="C1354" s="49">
        <f>HLOOKUP("# Cores",'vHosts (Imported)'!$1:$5000,M1354,FALSE)</f>
        <v>0</v>
      </c>
      <c r="D1354" s="52">
        <f>HLOOKUP("# Memory",'vHosts (Imported)'!$1:$5000,M1354,FALSE)</f>
        <v>0</v>
      </c>
      <c r="M1354" s="45">
        <f t="shared" si="65"/>
        <v>1354</v>
      </c>
      <c r="N1354" s="38">
        <f>HLOOKUP("Host",'vInfo (Imported)'!$1:$5000,M1354,FALSE)</f>
        <v>0</v>
      </c>
      <c r="R1354">
        <f>HLOOKUP("CPUs",'vInfo (Imported)'!$1:$5000,M1354,FALSE)</f>
        <v>0</v>
      </c>
      <c r="S1354">
        <f>HLOOKUP("Memory",'vInfo (Imported)'!$1:$5000,M1354,FALSE)</f>
        <v>0</v>
      </c>
      <c r="T1354">
        <f>HLOOKUP("Provisioned MiB",'vInfo (Imported)'!$1:$5000,M1354,FALSE)</f>
        <v>0</v>
      </c>
      <c r="U1354">
        <f t="shared" si="64"/>
        <v>0</v>
      </c>
      <c r="V1354">
        <f>HLOOKUP("In Use MiB",'vInfo (Imported)'!$1:$5000,M1354,FALSE)</f>
        <v>0</v>
      </c>
    </row>
    <row r="1355" spans="1:22" ht="13" x14ac:dyDescent="0.3">
      <c r="A1355" s="46">
        <f>'vHosts (Imported)'!A1355</f>
        <v>0</v>
      </c>
      <c r="B1355" s="51">
        <f t="shared" si="63"/>
        <v>4968</v>
      </c>
      <c r="C1355" s="49">
        <f>HLOOKUP("# Cores",'vHosts (Imported)'!$1:$5000,M1355,FALSE)</f>
        <v>0</v>
      </c>
      <c r="D1355" s="52">
        <f>HLOOKUP("# Memory",'vHosts (Imported)'!$1:$5000,M1355,FALSE)</f>
        <v>0</v>
      </c>
      <c r="M1355" s="45">
        <f t="shared" si="65"/>
        <v>1355</v>
      </c>
      <c r="N1355" s="38">
        <f>HLOOKUP("Host",'vInfo (Imported)'!$1:$5000,M1355,FALSE)</f>
        <v>0</v>
      </c>
      <c r="R1355">
        <f>HLOOKUP("CPUs",'vInfo (Imported)'!$1:$5000,M1355,FALSE)</f>
        <v>0</v>
      </c>
      <c r="S1355">
        <f>HLOOKUP("Memory",'vInfo (Imported)'!$1:$5000,M1355,FALSE)</f>
        <v>0</v>
      </c>
      <c r="T1355">
        <f>HLOOKUP("Provisioned MiB",'vInfo (Imported)'!$1:$5000,M1355,FALSE)</f>
        <v>0</v>
      </c>
      <c r="U1355">
        <f t="shared" si="64"/>
        <v>0</v>
      </c>
      <c r="V1355">
        <f>HLOOKUP("In Use MiB",'vInfo (Imported)'!$1:$5000,M1355,FALSE)</f>
        <v>0</v>
      </c>
    </row>
    <row r="1356" spans="1:22" ht="13" x14ac:dyDescent="0.3">
      <c r="A1356" s="46">
        <f>'vHosts (Imported)'!A1356</f>
        <v>0</v>
      </c>
      <c r="B1356" s="51">
        <f t="shared" si="63"/>
        <v>4968</v>
      </c>
      <c r="C1356" s="49">
        <f>HLOOKUP("# Cores",'vHosts (Imported)'!$1:$5000,M1356,FALSE)</f>
        <v>0</v>
      </c>
      <c r="D1356" s="52">
        <f>HLOOKUP("# Memory",'vHosts (Imported)'!$1:$5000,M1356,FALSE)</f>
        <v>0</v>
      </c>
      <c r="M1356" s="45">
        <f t="shared" si="65"/>
        <v>1356</v>
      </c>
      <c r="N1356" s="38">
        <f>HLOOKUP("Host",'vInfo (Imported)'!$1:$5000,M1356,FALSE)</f>
        <v>0</v>
      </c>
      <c r="R1356">
        <f>HLOOKUP("CPUs",'vInfo (Imported)'!$1:$5000,M1356,FALSE)</f>
        <v>0</v>
      </c>
      <c r="S1356">
        <f>HLOOKUP("Memory",'vInfo (Imported)'!$1:$5000,M1356,FALSE)</f>
        <v>0</v>
      </c>
      <c r="T1356">
        <f>HLOOKUP("Provisioned MiB",'vInfo (Imported)'!$1:$5000,M1356,FALSE)</f>
        <v>0</v>
      </c>
      <c r="U1356">
        <f t="shared" si="64"/>
        <v>0</v>
      </c>
      <c r="V1356">
        <f>HLOOKUP("In Use MiB",'vInfo (Imported)'!$1:$5000,M1356,FALSE)</f>
        <v>0</v>
      </c>
    </row>
    <row r="1357" spans="1:22" ht="13" x14ac:dyDescent="0.3">
      <c r="A1357" s="46">
        <f>'vHosts (Imported)'!A1357</f>
        <v>0</v>
      </c>
      <c r="B1357" s="51">
        <f t="shared" si="63"/>
        <v>4968</v>
      </c>
      <c r="C1357" s="49">
        <f>HLOOKUP("# Cores",'vHosts (Imported)'!$1:$5000,M1357,FALSE)</f>
        <v>0</v>
      </c>
      <c r="D1357" s="52">
        <f>HLOOKUP("# Memory",'vHosts (Imported)'!$1:$5000,M1357,FALSE)</f>
        <v>0</v>
      </c>
      <c r="M1357" s="45">
        <f t="shared" si="65"/>
        <v>1357</v>
      </c>
      <c r="N1357" s="38">
        <f>HLOOKUP("Host",'vInfo (Imported)'!$1:$5000,M1357,FALSE)</f>
        <v>0</v>
      </c>
      <c r="R1357">
        <f>HLOOKUP("CPUs",'vInfo (Imported)'!$1:$5000,M1357,FALSE)</f>
        <v>0</v>
      </c>
      <c r="S1357">
        <f>HLOOKUP("Memory",'vInfo (Imported)'!$1:$5000,M1357,FALSE)</f>
        <v>0</v>
      </c>
      <c r="T1357">
        <f>HLOOKUP("Provisioned MiB",'vInfo (Imported)'!$1:$5000,M1357,FALSE)</f>
        <v>0</v>
      </c>
      <c r="U1357">
        <f t="shared" si="64"/>
        <v>0</v>
      </c>
      <c r="V1357">
        <f>HLOOKUP("In Use MiB",'vInfo (Imported)'!$1:$5000,M1357,FALSE)</f>
        <v>0</v>
      </c>
    </row>
    <row r="1358" spans="1:22" ht="13" x14ac:dyDescent="0.3">
      <c r="A1358" s="46">
        <f>'vHosts (Imported)'!A1358</f>
        <v>0</v>
      </c>
      <c r="B1358" s="51">
        <f t="shared" si="63"/>
        <v>4968</v>
      </c>
      <c r="C1358" s="49">
        <f>HLOOKUP("# Cores",'vHosts (Imported)'!$1:$5000,M1358,FALSE)</f>
        <v>0</v>
      </c>
      <c r="D1358" s="52">
        <f>HLOOKUP("# Memory",'vHosts (Imported)'!$1:$5000,M1358,FALSE)</f>
        <v>0</v>
      </c>
      <c r="M1358" s="45">
        <f t="shared" si="65"/>
        <v>1358</v>
      </c>
      <c r="N1358" s="38">
        <f>HLOOKUP("Host",'vInfo (Imported)'!$1:$5000,M1358,FALSE)</f>
        <v>0</v>
      </c>
      <c r="R1358">
        <f>HLOOKUP("CPUs",'vInfo (Imported)'!$1:$5000,M1358,FALSE)</f>
        <v>0</v>
      </c>
      <c r="S1358">
        <f>HLOOKUP("Memory",'vInfo (Imported)'!$1:$5000,M1358,FALSE)</f>
        <v>0</v>
      </c>
      <c r="T1358">
        <f>HLOOKUP("Provisioned MiB",'vInfo (Imported)'!$1:$5000,M1358,FALSE)</f>
        <v>0</v>
      </c>
      <c r="U1358">
        <f t="shared" si="64"/>
        <v>0</v>
      </c>
      <c r="V1358">
        <f>HLOOKUP("In Use MiB",'vInfo (Imported)'!$1:$5000,M1358,FALSE)</f>
        <v>0</v>
      </c>
    </row>
    <row r="1359" spans="1:22" ht="13" x14ac:dyDescent="0.3">
      <c r="A1359" s="46">
        <f>'vHosts (Imported)'!A1359</f>
        <v>0</v>
      </c>
      <c r="B1359" s="51">
        <f t="shared" si="63"/>
        <v>4968</v>
      </c>
      <c r="C1359" s="49">
        <f>HLOOKUP("# Cores",'vHosts (Imported)'!$1:$5000,M1359,FALSE)</f>
        <v>0</v>
      </c>
      <c r="D1359" s="52">
        <f>HLOOKUP("# Memory",'vHosts (Imported)'!$1:$5000,M1359,FALSE)</f>
        <v>0</v>
      </c>
      <c r="M1359" s="45">
        <f t="shared" si="65"/>
        <v>1359</v>
      </c>
      <c r="N1359" s="38">
        <f>HLOOKUP("Host",'vInfo (Imported)'!$1:$5000,M1359,FALSE)</f>
        <v>0</v>
      </c>
      <c r="R1359">
        <f>HLOOKUP("CPUs",'vInfo (Imported)'!$1:$5000,M1359,FALSE)</f>
        <v>0</v>
      </c>
      <c r="S1359">
        <f>HLOOKUP("Memory",'vInfo (Imported)'!$1:$5000,M1359,FALSE)</f>
        <v>0</v>
      </c>
      <c r="T1359">
        <f>HLOOKUP("Provisioned MiB",'vInfo (Imported)'!$1:$5000,M1359,FALSE)</f>
        <v>0</v>
      </c>
      <c r="U1359">
        <f t="shared" si="64"/>
        <v>0</v>
      </c>
      <c r="V1359">
        <f>HLOOKUP("In Use MiB",'vInfo (Imported)'!$1:$5000,M1359,FALSE)</f>
        <v>0</v>
      </c>
    </row>
    <row r="1360" spans="1:22" ht="13" x14ac:dyDescent="0.3">
      <c r="A1360" s="46">
        <f>'vHosts (Imported)'!A1360</f>
        <v>0</v>
      </c>
      <c r="B1360" s="51">
        <f t="shared" si="63"/>
        <v>4968</v>
      </c>
      <c r="C1360" s="49">
        <f>HLOOKUP("# Cores",'vHosts (Imported)'!$1:$5000,M1360,FALSE)</f>
        <v>0</v>
      </c>
      <c r="D1360" s="52">
        <f>HLOOKUP("# Memory",'vHosts (Imported)'!$1:$5000,M1360,FALSE)</f>
        <v>0</v>
      </c>
      <c r="M1360" s="45">
        <f t="shared" si="65"/>
        <v>1360</v>
      </c>
      <c r="N1360" s="38">
        <f>HLOOKUP("Host",'vInfo (Imported)'!$1:$5000,M1360,FALSE)</f>
        <v>0</v>
      </c>
      <c r="R1360">
        <f>HLOOKUP("CPUs",'vInfo (Imported)'!$1:$5000,M1360,FALSE)</f>
        <v>0</v>
      </c>
      <c r="S1360">
        <f>HLOOKUP("Memory",'vInfo (Imported)'!$1:$5000,M1360,FALSE)</f>
        <v>0</v>
      </c>
      <c r="T1360">
        <f>HLOOKUP("Provisioned MiB",'vInfo (Imported)'!$1:$5000,M1360,FALSE)</f>
        <v>0</v>
      </c>
      <c r="U1360">
        <f t="shared" si="64"/>
        <v>0</v>
      </c>
      <c r="V1360">
        <f>HLOOKUP("In Use MiB",'vInfo (Imported)'!$1:$5000,M1360,FALSE)</f>
        <v>0</v>
      </c>
    </row>
    <row r="1361" spans="1:22" ht="13" x14ac:dyDescent="0.3">
      <c r="A1361" s="46">
        <f>'vHosts (Imported)'!A1361</f>
        <v>0</v>
      </c>
      <c r="B1361" s="51">
        <f t="shared" si="63"/>
        <v>4968</v>
      </c>
      <c r="C1361" s="49">
        <f>HLOOKUP("# Cores",'vHosts (Imported)'!$1:$5000,M1361,FALSE)</f>
        <v>0</v>
      </c>
      <c r="D1361" s="52">
        <f>HLOOKUP("# Memory",'vHosts (Imported)'!$1:$5000,M1361,FALSE)</f>
        <v>0</v>
      </c>
      <c r="M1361" s="45">
        <f t="shared" si="65"/>
        <v>1361</v>
      </c>
      <c r="N1361" s="38">
        <f>HLOOKUP("Host",'vInfo (Imported)'!$1:$5000,M1361,FALSE)</f>
        <v>0</v>
      </c>
      <c r="R1361">
        <f>HLOOKUP("CPUs",'vInfo (Imported)'!$1:$5000,M1361,FALSE)</f>
        <v>0</v>
      </c>
      <c r="S1361">
        <f>HLOOKUP("Memory",'vInfo (Imported)'!$1:$5000,M1361,FALSE)</f>
        <v>0</v>
      </c>
      <c r="T1361">
        <f>HLOOKUP("Provisioned MiB",'vInfo (Imported)'!$1:$5000,M1361,FALSE)</f>
        <v>0</v>
      </c>
      <c r="U1361">
        <f t="shared" si="64"/>
        <v>0</v>
      </c>
      <c r="V1361">
        <f>HLOOKUP("In Use MiB",'vInfo (Imported)'!$1:$5000,M1361,FALSE)</f>
        <v>0</v>
      </c>
    </row>
    <row r="1362" spans="1:22" ht="13" x14ac:dyDescent="0.3">
      <c r="A1362" s="46">
        <f>'vHosts (Imported)'!A1362</f>
        <v>0</v>
      </c>
      <c r="B1362" s="51">
        <f t="shared" si="63"/>
        <v>4968</v>
      </c>
      <c r="C1362" s="49">
        <f>HLOOKUP("# Cores",'vHosts (Imported)'!$1:$5000,M1362,FALSE)</f>
        <v>0</v>
      </c>
      <c r="D1362" s="52">
        <f>HLOOKUP("# Memory",'vHosts (Imported)'!$1:$5000,M1362,FALSE)</f>
        <v>0</v>
      </c>
      <c r="M1362" s="45">
        <f t="shared" si="65"/>
        <v>1362</v>
      </c>
      <c r="N1362" s="38">
        <f>HLOOKUP("Host",'vInfo (Imported)'!$1:$5000,M1362,FALSE)</f>
        <v>0</v>
      </c>
      <c r="R1362">
        <f>HLOOKUP("CPUs",'vInfo (Imported)'!$1:$5000,M1362,FALSE)</f>
        <v>0</v>
      </c>
      <c r="S1362">
        <f>HLOOKUP("Memory",'vInfo (Imported)'!$1:$5000,M1362,FALSE)</f>
        <v>0</v>
      </c>
      <c r="T1362">
        <f>HLOOKUP("Provisioned MiB",'vInfo (Imported)'!$1:$5000,M1362,FALSE)</f>
        <v>0</v>
      </c>
      <c r="U1362">
        <f t="shared" si="64"/>
        <v>0</v>
      </c>
      <c r="V1362">
        <f>HLOOKUP("In Use MiB",'vInfo (Imported)'!$1:$5000,M1362,FALSE)</f>
        <v>0</v>
      </c>
    </row>
    <row r="1363" spans="1:22" ht="13" x14ac:dyDescent="0.3">
      <c r="A1363" s="46">
        <f>'vHosts (Imported)'!A1363</f>
        <v>0</v>
      </c>
      <c r="B1363" s="51">
        <f t="shared" si="63"/>
        <v>4968</v>
      </c>
      <c r="C1363" s="49">
        <f>HLOOKUP("# Cores",'vHosts (Imported)'!$1:$5000,M1363,FALSE)</f>
        <v>0</v>
      </c>
      <c r="D1363" s="52">
        <f>HLOOKUP("# Memory",'vHosts (Imported)'!$1:$5000,M1363,FALSE)</f>
        <v>0</v>
      </c>
      <c r="M1363" s="45">
        <f t="shared" si="65"/>
        <v>1363</v>
      </c>
      <c r="N1363" s="38">
        <f>HLOOKUP("Host",'vInfo (Imported)'!$1:$5000,M1363,FALSE)</f>
        <v>0</v>
      </c>
      <c r="R1363">
        <f>HLOOKUP("CPUs",'vInfo (Imported)'!$1:$5000,M1363,FALSE)</f>
        <v>0</v>
      </c>
      <c r="S1363">
        <f>HLOOKUP("Memory",'vInfo (Imported)'!$1:$5000,M1363,FALSE)</f>
        <v>0</v>
      </c>
      <c r="T1363">
        <f>HLOOKUP("Provisioned MiB",'vInfo (Imported)'!$1:$5000,M1363,FALSE)</f>
        <v>0</v>
      </c>
      <c r="U1363">
        <f t="shared" si="64"/>
        <v>0</v>
      </c>
      <c r="V1363">
        <f>HLOOKUP("In Use MiB",'vInfo (Imported)'!$1:$5000,M1363,FALSE)</f>
        <v>0</v>
      </c>
    </row>
    <row r="1364" spans="1:22" ht="13" x14ac:dyDescent="0.3">
      <c r="A1364" s="46">
        <f>'vHosts (Imported)'!A1364</f>
        <v>0</v>
      </c>
      <c r="B1364" s="51">
        <f t="shared" si="63"/>
        <v>4968</v>
      </c>
      <c r="C1364" s="49">
        <f>HLOOKUP("# Cores",'vHosts (Imported)'!$1:$5000,M1364,FALSE)</f>
        <v>0</v>
      </c>
      <c r="D1364" s="52">
        <f>HLOOKUP("# Memory",'vHosts (Imported)'!$1:$5000,M1364,FALSE)</f>
        <v>0</v>
      </c>
      <c r="M1364" s="45">
        <f t="shared" si="65"/>
        <v>1364</v>
      </c>
      <c r="N1364" s="38">
        <f>HLOOKUP("Host",'vInfo (Imported)'!$1:$5000,M1364,FALSE)</f>
        <v>0</v>
      </c>
      <c r="R1364">
        <f>HLOOKUP("CPUs",'vInfo (Imported)'!$1:$5000,M1364,FALSE)</f>
        <v>0</v>
      </c>
      <c r="S1364">
        <f>HLOOKUP("Memory",'vInfo (Imported)'!$1:$5000,M1364,FALSE)</f>
        <v>0</v>
      </c>
      <c r="T1364">
        <f>HLOOKUP("Provisioned MiB",'vInfo (Imported)'!$1:$5000,M1364,FALSE)</f>
        <v>0</v>
      </c>
      <c r="U1364">
        <f t="shared" si="64"/>
        <v>0</v>
      </c>
      <c r="V1364">
        <f>HLOOKUP("In Use MiB",'vInfo (Imported)'!$1:$5000,M1364,FALSE)</f>
        <v>0</v>
      </c>
    </row>
    <row r="1365" spans="1:22" ht="13" x14ac:dyDescent="0.3">
      <c r="A1365" s="46">
        <f>'vHosts (Imported)'!A1365</f>
        <v>0</v>
      </c>
      <c r="B1365" s="51">
        <f t="shared" si="63"/>
        <v>4968</v>
      </c>
      <c r="C1365" s="49">
        <f>HLOOKUP("# Cores",'vHosts (Imported)'!$1:$5000,M1365,FALSE)</f>
        <v>0</v>
      </c>
      <c r="D1365" s="52">
        <f>HLOOKUP("# Memory",'vHosts (Imported)'!$1:$5000,M1365,FALSE)</f>
        <v>0</v>
      </c>
      <c r="M1365" s="45">
        <f t="shared" si="65"/>
        <v>1365</v>
      </c>
      <c r="N1365" s="38">
        <f>HLOOKUP("Host",'vInfo (Imported)'!$1:$5000,M1365,FALSE)</f>
        <v>0</v>
      </c>
      <c r="R1365">
        <f>HLOOKUP("CPUs",'vInfo (Imported)'!$1:$5000,M1365,FALSE)</f>
        <v>0</v>
      </c>
      <c r="S1365">
        <f>HLOOKUP("Memory",'vInfo (Imported)'!$1:$5000,M1365,FALSE)</f>
        <v>0</v>
      </c>
      <c r="T1365">
        <f>HLOOKUP("Provisioned MiB",'vInfo (Imported)'!$1:$5000,M1365,FALSE)</f>
        <v>0</v>
      </c>
      <c r="U1365">
        <f t="shared" si="64"/>
        <v>0</v>
      </c>
      <c r="V1365">
        <f>HLOOKUP("In Use MiB",'vInfo (Imported)'!$1:$5000,M1365,FALSE)</f>
        <v>0</v>
      </c>
    </row>
    <row r="1366" spans="1:22" ht="13" x14ac:dyDescent="0.3">
      <c r="A1366" s="46">
        <f>'vHosts (Imported)'!A1366</f>
        <v>0</v>
      </c>
      <c r="B1366" s="51">
        <f t="shared" si="63"/>
        <v>4968</v>
      </c>
      <c r="C1366" s="49">
        <f>HLOOKUP("# Cores",'vHosts (Imported)'!$1:$5000,M1366,FALSE)</f>
        <v>0</v>
      </c>
      <c r="D1366" s="52">
        <f>HLOOKUP("# Memory",'vHosts (Imported)'!$1:$5000,M1366,FALSE)</f>
        <v>0</v>
      </c>
      <c r="M1366" s="45">
        <f t="shared" si="65"/>
        <v>1366</v>
      </c>
      <c r="N1366" s="38">
        <f>HLOOKUP("Host",'vInfo (Imported)'!$1:$5000,M1366,FALSE)</f>
        <v>0</v>
      </c>
      <c r="R1366">
        <f>HLOOKUP("CPUs",'vInfo (Imported)'!$1:$5000,M1366,FALSE)</f>
        <v>0</v>
      </c>
      <c r="S1366">
        <f>HLOOKUP("Memory",'vInfo (Imported)'!$1:$5000,M1366,FALSE)</f>
        <v>0</v>
      </c>
      <c r="T1366">
        <f>HLOOKUP("Provisioned MiB",'vInfo (Imported)'!$1:$5000,M1366,FALSE)</f>
        <v>0</v>
      </c>
      <c r="U1366">
        <f t="shared" si="64"/>
        <v>0</v>
      </c>
      <c r="V1366">
        <f>HLOOKUP("In Use MiB",'vInfo (Imported)'!$1:$5000,M1366,FALSE)</f>
        <v>0</v>
      </c>
    </row>
    <row r="1367" spans="1:22" ht="13" x14ac:dyDescent="0.3">
      <c r="A1367" s="46">
        <f>'vHosts (Imported)'!A1367</f>
        <v>0</v>
      </c>
      <c r="B1367" s="51">
        <f t="shared" si="63"/>
        <v>4968</v>
      </c>
      <c r="C1367" s="49">
        <f>HLOOKUP("# Cores",'vHosts (Imported)'!$1:$5000,M1367,FALSE)</f>
        <v>0</v>
      </c>
      <c r="D1367" s="52">
        <f>HLOOKUP("# Memory",'vHosts (Imported)'!$1:$5000,M1367,FALSE)</f>
        <v>0</v>
      </c>
      <c r="M1367" s="45">
        <f t="shared" si="65"/>
        <v>1367</v>
      </c>
      <c r="N1367" s="38">
        <f>HLOOKUP("Host",'vInfo (Imported)'!$1:$5000,M1367,FALSE)</f>
        <v>0</v>
      </c>
      <c r="R1367">
        <f>HLOOKUP("CPUs",'vInfo (Imported)'!$1:$5000,M1367,FALSE)</f>
        <v>0</v>
      </c>
      <c r="S1367">
        <f>HLOOKUP("Memory",'vInfo (Imported)'!$1:$5000,M1367,FALSE)</f>
        <v>0</v>
      </c>
      <c r="T1367">
        <f>HLOOKUP("Provisioned MiB",'vInfo (Imported)'!$1:$5000,M1367,FALSE)</f>
        <v>0</v>
      </c>
      <c r="U1367">
        <f t="shared" si="64"/>
        <v>0</v>
      </c>
      <c r="V1367">
        <f>HLOOKUP("In Use MiB",'vInfo (Imported)'!$1:$5000,M1367,FALSE)</f>
        <v>0</v>
      </c>
    </row>
    <row r="1368" spans="1:22" ht="13" x14ac:dyDescent="0.3">
      <c r="A1368" s="46">
        <f>'vHosts (Imported)'!A1368</f>
        <v>0</v>
      </c>
      <c r="B1368" s="51">
        <f t="shared" si="63"/>
        <v>4968</v>
      </c>
      <c r="C1368" s="49">
        <f>HLOOKUP("# Cores",'vHosts (Imported)'!$1:$5000,M1368,FALSE)</f>
        <v>0</v>
      </c>
      <c r="D1368" s="52">
        <f>HLOOKUP("# Memory",'vHosts (Imported)'!$1:$5000,M1368,FALSE)</f>
        <v>0</v>
      </c>
      <c r="M1368" s="45">
        <f t="shared" si="65"/>
        <v>1368</v>
      </c>
      <c r="N1368" s="38">
        <f>HLOOKUP("Host",'vInfo (Imported)'!$1:$5000,M1368,FALSE)</f>
        <v>0</v>
      </c>
      <c r="R1368">
        <f>HLOOKUP("CPUs",'vInfo (Imported)'!$1:$5000,M1368,FALSE)</f>
        <v>0</v>
      </c>
      <c r="S1368">
        <f>HLOOKUP("Memory",'vInfo (Imported)'!$1:$5000,M1368,FALSE)</f>
        <v>0</v>
      </c>
      <c r="T1368">
        <f>HLOOKUP("Provisioned MiB",'vInfo (Imported)'!$1:$5000,M1368,FALSE)</f>
        <v>0</v>
      </c>
      <c r="U1368">
        <f t="shared" si="64"/>
        <v>0</v>
      </c>
      <c r="V1368">
        <f>HLOOKUP("In Use MiB",'vInfo (Imported)'!$1:$5000,M1368,FALSE)</f>
        <v>0</v>
      </c>
    </row>
    <row r="1369" spans="1:22" ht="13" x14ac:dyDescent="0.3">
      <c r="A1369" s="46">
        <f>'vHosts (Imported)'!A1369</f>
        <v>0</v>
      </c>
      <c r="B1369" s="51">
        <f t="shared" si="63"/>
        <v>4968</v>
      </c>
      <c r="C1369" s="49">
        <f>HLOOKUP("# Cores",'vHosts (Imported)'!$1:$5000,M1369,FALSE)</f>
        <v>0</v>
      </c>
      <c r="D1369" s="52">
        <f>HLOOKUP("# Memory",'vHosts (Imported)'!$1:$5000,M1369,FALSE)</f>
        <v>0</v>
      </c>
      <c r="M1369" s="45">
        <f t="shared" si="65"/>
        <v>1369</v>
      </c>
      <c r="N1369" s="38">
        <f>HLOOKUP("Host",'vInfo (Imported)'!$1:$5000,M1369,FALSE)</f>
        <v>0</v>
      </c>
      <c r="R1369">
        <f>HLOOKUP("CPUs",'vInfo (Imported)'!$1:$5000,M1369,FALSE)</f>
        <v>0</v>
      </c>
      <c r="S1369">
        <f>HLOOKUP("Memory",'vInfo (Imported)'!$1:$5000,M1369,FALSE)</f>
        <v>0</v>
      </c>
      <c r="T1369">
        <f>HLOOKUP("Provisioned MiB",'vInfo (Imported)'!$1:$5000,M1369,FALSE)</f>
        <v>0</v>
      </c>
      <c r="U1369">
        <f t="shared" si="64"/>
        <v>0</v>
      </c>
      <c r="V1369">
        <f>HLOOKUP("In Use MiB",'vInfo (Imported)'!$1:$5000,M1369,FALSE)</f>
        <v>0</v>
      </c>
    </row>
    <row r="1370" spans="1:22" ht="13" x14ac:dyDescent="0.3">
      <c r="A1370" s="46">
        <f>'vHosts (Imported)'!A1370</f>
        <v>0</v>
      </c>
      <c r="B1370" s="51">
        <f t="shared" si="63"/>
        <v>4968</v>
      </c>
      <c r="C1370" s="49">
        <f>HLOOKUP("# Cores",'vHosts (Imported)'!$1:$5000,M1370,FALSE)</f>
        <v>0</v>
      </c>
      <c r="D1370" s="52">
        <f>HLOOKUP("# Memory",'vHosts (Imported)'!$1:$5000,M1370,FALSE)</f>
        <v>0</v>
      </c>
      <c r="M1370" s="45">
        <f t="shared" si="65"/>
        <v>1370</v>
      </c>
      <c r="N1370" s="38">
        <f>HLOOKUP("Host",'vInfo (Imported)'!$1:$5000,M1370,FALSE)</f>
        <v>0</v>
      </c>
      <c r="R1370">
        <f>HLOOKUP("CPUs",'vInfo (Imported)'!$1:$5000,M1370,FALSE)</f>
        <v>0</v>
      </c>
      <c r="S1370">
        <f>HLOOKUP("Memory",'vInfo (Imported)'!$1:$5000,M1370,FALSE)</f>
        <v>0</v>
      </c>
      <c r="T1370">
        <f>HLOOKUP("Provisioned MiB",'vInfo (Imported)'!$1:$5000,M1370,FALSE)</f>
        <v>0</v>
      </c>
      <c r="U1370">
        <f t="shared" si="64"/>
        <v>0</v>
      </c>
      <c r="V1370">
        <f>HLOOKUP("In Use MiB",'vInfo (Imported)'!$1:$5000,M1370,FALSE)</f>
        <v>0</v>
      </c>
    </row>
    <row r="1371" spans="1:22" ht="13" x14ac:dyDescent="0.3">
      <c r="A1371" s="46">
        <f>'vHosts (Imported)'!A1371</f>
        <v>0</v>
      </c>
      <c r="B1371" s="51">
        <f t="shared" si="63"/>
        <v>4968</v>
      </c>
      <c r="C1371" s="49">
        <f>HLOOKUP("# Cores",'vHosts (Imported)'!$1:$5000,M1371,FALSE)</f>
        <v>0</v>
      </c>
      <c r="D1371" s="52">
        <f>HLOOKUP("# Memory",'vHosts (Imported)'!$1:$5000,M1371,FALSE)</f>
        <v>0</v>
      </c>
      <c r="M1371" s="45">
        <f t="shared" si="65"/>
        <v>1371</v>
      </c>
      <c r="N1371" s="38">
        <f>HLOOKUP("Host",'vInfo (Imported)'!$1:$5000,M1371,FALSE)</f>
        <v>0</v>
      </c>
      <c r="R1371">
        <f>HLOOKUP("CPUs",'vInfo (Imported)'!$1:$5000,M1371,FALSE)</f>
        <v>0</v>
      </c>
      <c r="S1371">
        <f>HLOOKUP("Memory",'vInfo (Imported)'!$1:$5000,M1371,FALSE)</f>
        <v>0</v>
      </c>
      <c r="T1371">
        <f>HLOOKUP("Provisioned MiB",'vInfo (Imported)'!$1:$5000,M1371,FALSE)</f>
        <v>0</v>
      </c>
      <c r="U1371">
        <f t="shared" si="64"/>
        <v>0</v>
      </c>
      <c r="V1371">
        <f>HLOOKUP("In Use MiB",'vInfo (Imported)'!$1:$5000,M1371,FALSE)</f>
        <v>0</v>
      </c>
    </row>
    <row r="1372" spans="1:22" ht="13" x14ac:dyDescent="0.3">
      <c r="A1372" s="46">
        <f>'vHosts (Imported)'!A1372</f>
        <v>0</v>
      </c>
      <c r="B1372" s="51">
        <f t="shared" si="63"/>
        <v>4968</v>
      </c>
      <c r="C1372" s="49">
        <f>HLOOKUP("# Cores",'vHosts (Imported)'!$1:$5000,M1372,FALSE)</f>
        <v>0</v>
      </c>
      <c r="D1372" s="52">
        <f>HLOOKUP("# Memory",'vHosts (Imported)'!$1:$5000,M1372,FALSE)</f>
        <v>0</v>
      </c>
      <c r="M1372" s="45">
        <f t="shared" si="65"/>
        <v>1372</v>
      </c>
      <c r="N1372" s="38">
        <f>HLOOKUP("Host",'vInfo (Imported)'!$1:$5000,M1372,FALSE)</f>
        <v>0</v>
      </c>
      <c r="R1372">
        <f>HLOOKUP("CPUs",'vInfo (Imported)'!$1:$5000,M1372,FALSE)</f>
        <v>0</v>
      </c>
      <c r="S1372">
        <f>HLOOKUP("Memory",'vInfo (Imported)'!$1:$5000,M1372,FALSE)</f>
        <v>0</v>
      </c>
      <c r="T1372">
        <f>HLOOKUP("Provisioned MiB",'vInfo (Imported)'!$1:$5000,M1372,FALSE)</f>
        <v>0</v>
      </c>
      <c r="U1372">
        <f t="shared" si="64"/>
        <v>0</v>
      </c>
      <c r="V1372">
        <f>HLOOKUP("In Use MiB",'vInfo (Imported)'!$1:$5000,M1372,FALSE)</f>
        <v>0</v>
      </c>
    </row>
    <row r="1373" spans="1:22" ht="13" x14ac:dyDescent="0.3">
      <c r="A1373" s="46">
        <f>'vHosts (Imported)'!A1373</f>
        <v>0</v>
      </c>
      <c r="B1373" s="51">
        <f t="shared" si="63"/>
        <v>4968</v>
      </c>
      <c r="C1373" s="49">
        <f>HLOOKUP("# Cores",'vHosts (Imported)'!$1:$5000,M1373,FALSE)</f>
        <v>0</v>
      </c>
      <c r="D1373" s="52">
        <f>HLOOKUP("# Memory",'vHosts (Imported)'!$1:$5000,M1373,FALSE)</f>
        <v>0</v>
      </c>
      <c r="M1373" s="45">
        <f t="shared" si="65"/>
        <v>1373</v>
      </c>
      <c r="N1373" s="38">
        <f>HLOOKUP("Host",'vInfo (Imported)'!$1:$5000,M1373,FALSE)</f>
        <v>0</v>
      </c>
      <c r="R1373">
        <f>HLOOKUP("CPUs",'vInfo (Imported)'!$1:$5000,M1373,FALSE)</f>
        <v>0</v>
      </c>
      <c r="S1373">
        <f>HLOOKUP("Memory",'vInfo (Imported)'!$1:$5000,M1373,FALSE)</f>
        <v>0</v>
      </c>
      <c r="T1373">
        <f>HLOOKUP("Provisioned MiB",'vInfo (Imported)'!$1:$5000,M1373,FALSE)</f>
        <v>0</v>
      </c>
      <c r="U1373">
        <f t="shared" si="64"/>
        <v>0</v>
      </c>
      <c r="V1373">
        <f>HLOOKUP("In Use MiB",'vInfo (Imported)'!$1:$5000,M1373,FALSE)</f>
        <v>0</v>
      </c>
    </row>
    <row r="1374" spans="1:22" ht="13" x14ac:dyDescent="0.3">
      <c r="A1374" s="46">
        <f>'vHosts (Imported)'!A1374</f>
        <v>0</v>
      </c>
      <c r="B1374" s="51">
        <f t="shared" si="63"/>
        <v>4968</v>
      </c>
      <c r="C1374" s="49">
        <f>HLOOKUP("# Cores",'vHosts (Imported)'!$1:$5000,M1374,FALSE)</f>
        <v>0</v>
      </c>
      <c r="D1374" s="52">
        <f>HLOOKUP("# Memory",'vHosts (Imported)'!$1:$5000,M1374,FALSE)</f>
        <v>0</v>
      </c>
      <c r="M1374" s="45">
        <f t="shared" si="65"/>
        <v>1374</v>
      </c>
      <c r="N1374" s="38">
        <f>HLOOKUP("Host",'vInfo (Imported)'!$1:$5000,M1374,FALSE)</f>
        <v>0</v>
      </c>
      <c r="R1374">
        <f>HLOOKUP("CPUs",'vInfo (Imported)'!$1:$5000,M1374,FALSE)</f>
        <v>0</v>
      </c>
      <c r="S1374">
        <f>HLOOKUP("Memory",'vInfo (Imported)'!$1:$5000,M1374,FALSE)</f>
        <v>0</v>
      </c>
      <c r="T1374">
        <f>HLOOKUP("Provisioned MiB",'vInfo (Imported)'!$1:$5000,M1374,FALSE)</f>
        <v>0</v>
      </c>
      <c r="U1374">
        <f t="shared" si="64"/>
        <v>0</v>
      </c>
      <c r="V1374">
        <f>HLOOKUP("In Use MiB",'vInfo (Imported)'!$1:$5000,M1374,FALSE)</f>
        <v>0</v>
      </c>
    </row>
    <row r="1375" spans="1:22" ht="13" x14ac:dyDescent="0.3">
      <c r="A1375" s="46">
        <f>'vHosts (Imported)'!A1375</f>
        <v>0</v>
      </c>
      <c r="B1375" s="51">
        <f t="shared" si="63"/>
        <v>4968</v>
      </c>
      <c r="C1375" s="49">
        <f>HLOOKUP("# Cores",'vHosts (Imported)'!$1:$5000,M1375,FALSE)</f>
        <v>0</v>
      </c>
      <c r="D1375" s="52">
        <f>HLOOKUP("# Memory",'vHosts (Imported)'!$1:$5000,M1375,FALSE)</f>
        <v>0</v>
      </c>
      <c r="M1375" s="45">
        <f t="shared" si="65"/>
        <v>1375</v>
      </c>
      <c r="N1375" s="38">
        <f>HLOOKUP("Host",'vInfo (Imported)'!$1:$5000,M1375,FALSE)</f>
        <v>0</v>
      </c>
      <c r="R1375">
        <f>HLOOKUP("CPUs",'vInfo (Imported)'!$1:$5000,M1375,FALSE)</f>
        <v>0</v>
      </c>
      <c r="S1375">
        <f>HLOOKUP("Memory",'vInfo (Imported)'!$1:$5000,M1375,FALSE)</f>
        <v>0</v>
      </c>
      <c r="T1375">
        <f>HLOOKUP("Provisioned MiB",'vInfo (Imported)'!$1:$5000,M1375,FALSE)</f>
        <v>0</v>
      </c>
      <c r="U1375">
        <f t="shared" si="64"/>
        <v>0</v>
      </c>
      <c r="V1375">
        <f>HLOOKUP("In Use MiB",'vInfo (Imported)'!$1:$5000,M1375,FALSE)</f>
        <v>0</v>
      </c>
    </row>
    <row r="1376" spans="1:22" ht="13" x14ac:dyDescent="0.3">
      <c r="A1376" s="46">
        <f>'vHosts (Imported)'!A1376</f>
        <v>0</v>
      </c>
      <c r="B1376" s="51">
        <f t="shared" si="63"/>
        <v>4968</v>
      </c>
      <c r="C1376" s="49">
        <f>HLOOKUP("# Cores",'vHosts (Imported)'!$1:$5000,M1376,FALSE)</f>
        <v>0</v>
      </c>
      <c r="D1376" s="52">
        <f>HLOOKUP("# Memory",'vHosts (Imported)'!$1:$5000,M1376,FALSE)</f>
        <v>0</v>
      </c>
      <c r="M1376" s="45">
        <f t="shared" si="65"/>
        <v>1376</v>
      </c>
      <c r="N1376" s="38">
        <f>HLOOKUP("Host",'vInfo (Imported)'!$1:$5000,M1376,FALSE)</f>
        <v>0</v>
      </c>
      <c r="R1376">
        <f>HLOOKUP("CPUs",'vInfo (Imported)'!$1:$5000,M1376,FALSE)</f>
        <v>0</v>
      </c>
      <c r="S1376">
        <f>HLOOKUP("Memory",'vInfo (Imported)'!$1:$5000,M1376,FALSE)</f>
        <v>0</v>
      </c>
      <c r="T1376">
        <f>HLOOKUP("Provisioned MiB",'vInfo (Imported)'!$1:$5000,M1376,FALSE)</f>
        <v>0</v>
      </c>
      <c r="U1376">
        <f t="shared" si="64"/>
        <v>0</v>
      </c>
      <c r="V1376">
        <f>HLOOKUP("In Use MiB",'vInfo (Imported)'!$1:$5000,M1376,FALSE)</f>
        <v>0</v>
      </c>
    </row>
    <row r="1377" spans="1:22" ht="13" x14ac:dyDescent="0.3">
      <c r="A1377" s="46">
        <f>'vHosts (Imported)'!A1377</f>
        <v>0</v>
      </c>
      <c r="B1377" s="51">
        <f t="shared" si="63"/>
        <v>4968</v>
      </c>
      <c r="C1377" s="49">
        <f>HLOOKUP("# Cores",'vHosts (Imported)'!$1:$5000,M1377,FALSE)</f>
        <v>0</v>
      </c>
      <c r="D1377" s="52">
        <f>HLOOKUP("# Memory",'vHosts (Imported)'!$1:$5000,M1377,FALSE)</f>
        <v>0</v>
      </c>
      <c r="M1377" s="45">
        <f t="shared" si="65"/>
        <v>1377</v>
      </c>
      <c r="N1377" s="38">
        <f>HLOOKUP("Host",'vInfo (Imported)'!$1:$5000,M1377,FALSE)</f>
        <v>0</v>
      </c>
      <c r="R1377">
        <f>HLOOKUP("CPUs",'vInfo (Imported)'!$1:$5000,M1377,FALSE)</f>
        <v>0</v>
      </c>
      <c r="S1377">
        <f>HLOOKUP("Memory",'vInfo (Imported)'!$1:$5000,M1377,FALSE)</f>
        <v>0</v>
      </c>
      <c r="T1377">
        <f>HLOOKUP("Provisioned MiB",'vInfo (Imported)'!$1:$5000,M1377,FALSE)</f>
        <v>0</v>
      </c>
      <c r="U1377">
        <f t="shared" si="64"/>
        <v>0</v>
      </c>
      <c r="V1377">
        <f>HLOOKUP("In Use MiB",'vInfo (Imported)'!$1:$5000,M1377,FALSE)</f>
        <v>0</v>
      </c>
    </row>
    <row r="1378" spans="1:22" ht="13" x14ac:dyDescent="0.3">
      <c r="A1378" s="46">
        <f>'vHosts (Imported)'!A1378</f>
        <v>0</v>
      </c>
      <c r="B1378" s="51">
        <f t="shared" si="63"/>
        <v>4968</v>
      </c>
      <c r="C1378" s="49">
        <f>HLOOKUP("# Cores",'vHosts (Imported)'!$1:$5000,M1378,FALSE)</f>
        <v>0</v>
      </c>
      <c r="D1378" s="52">
        <f>HLOOKUP("# Memory",'vHosts (Imported)'!$1:$5000,M1378,FALSE)</f>
        <v>0</v>
      </c>
      <c r="M1378" s="45">
        <f t="shared" si="65"/>
        <v>1378</v>
      </c>
      <c r="N1378" s="38">
        <f>HLOOKUP("Host",'vInfo (Imported)'!$1:$5000,M1378,FALSE)</f>
        <v>0</v>
      </c>
      <c r="R1378">
        <f>HLOOKUP("CPUs",'vInfo (Imported)'!$1:$5000,M1378,FALSE)</f>
        <v>0</v>
      </c>
      <c r="S1378">
        <f>HLOOKUP("Memory",'vInfo (Imported)'!$1:$5000,M1378,FALSE)</f>
        <v>0</v>
      </c>
      <c r="T1378">
        <f>HLOOKUP("Provisioned MiB",'vInfo (Imported)'!$1:$5000,M1378,FALSE)</f>
        <v>0</v>
      </c>
      <c r="U1378">
        <f t="shared" si="64"/>
        <v>0</v>
      </c>
      <c r="V1378">
        <f>HLOOKUP("In Use MiB",'vInfo (Imported)'!$1:$5000,M1378,FALSE)</f>
        <v>0</v>
      </c>
    </row>
    <row r="1379" spans="1:22" ht="13" x14ac:dyDescent="0.3">
      <c r="A1379" s="46">
        <f>'vHosts (Imported)'!A1379</f>
        <v>0</v>
      </c>
      <c r="B1379" s="51">
        <f t="shared" si="63"/>
        <v>4968</v>
      </c>
      <c r="C1379" s="49">
        <f>HLOOKUP("# Cores",'vHosts (Imported)'!$1:$5000,M1379,FALSE)</f>
        <v>0</v>
      </c>
      <c r="D1379" s="52">
        <f>HLOOKUP("# Memory",'vHosts (Imported)'!$1:$5000,M1379,FALSE)</f>
        <v>0</v>
      </c>
      <c r="M1379" s="45">
        <f t="shared" si="65"/>
        <v>1379</v>
      </c>
      <c r="N1379" s="38">
        <f>HLOOKUP("Host",'vInfo (Imported)'!$1:$5000,M1379,FALSE)</f>
        <v>0</v>
      </c>
      <c r="R1379">
        <f>HLOOKUP("CPUs",'vInfo (Imported)'!$1:$5000,M1379,FALSE)</f>
        <v>0</v>
      </c>
      <c r="S1379">
        <f>HLOOKUP("Memory",'vInfo (Imported)'!$1:$5000,M1379,FALSE)</f>
        <v>0</v>
      </c>
      <c r="T1379">
        <f>HLOOKUP("Provisioned MiB",'vInfo (Imported)'!$1:$5000,M1379,FALSE)</f>
        <v>0</v>
      </c>
      <c r="U1379">
        <f t="shared" si="64"/>
        <v>0</v>
      </c>
      <c r="V1379">
        <f>HLOOKUP("In Use MiB",'vInfo (Imported)'!$1:$5000,M1379,FALSE)</f>
        <v>0</v>
      </c>
    </row>
    <row r="1380" spans="1:22" ht="13" x14ac:dyDescent="0.3">
      <c r="A1380" s="46">
        <f>'vHosts (Imported)'!A1380</f>
        <v>0</v>
      </c>
      <c r="B1380" s="51">
        <f t="shared" si="63"/>
        <v>4968</v>
      </c>
      <c r="C1380" s="49">
        <f>HLOOKUP("# Cores",'vHosts (Imported)'!$1:$5000,M1380,FALSE)</f>
        <v>0</v>
      </c>
      <c r="D1380" s="52">
        <f>HLOOKUP("# Memory",'vHosts (Imported)'!$1:$5000,M1380,FALSE)</f>
        <v>0</v>
      </c>
      <c r="M1380" s="45">
        <f t="shared" si="65"/>
        <v>1380</v>
      </c>
      <c r="N1380" s="38">
        <f>HLOOKUP("Host",'vInfo (Imported)'!$1:$5000,M1380,FALSE)</f>
        <v>0</v>
      </c>
      <c r="R1380">
        <f>HLOOKUP("CPUs",'vInfo (Imported)'!$1:$5000,M1380,FALSE)</f>
        <v>0</v>
      </c>
      <c r="S1380">
        <f>HLOOKUP("Memory",'vInfo (Imported)'!$1:$5000,M1380,FALSE)</f>
        <v>0</v>
      </c>
      <c r="T1380">
        <f>HLOOKUP("Provisioned MiB",'vInfo (Imported)'!$1:$5000,M1380,FALSE)</f>
        <v>0</v>
      </c>
      <c r="U1380">
        <f t="shared" si="64"/>
        <v>0</v>
      </c>
      <c r="V1380">
        <f>HLOOKUP("In Use MiB",'vInfo (Imported)'!$1:$5000,M1380,FALSE)</f>
        <v>0</v>
      </c>
    </row>
    <row r="1381" spans="1:22" ht="13" x14ac:dyDescent="0.3">
      <c r="A1381" s="46">
        <f>'vHosts (Imported)'!A1381</f>
        <v>0</v>
      </c>
      <c r="B1381" s="51">
        <f t="shared" si="63"/>
        <v>4968</v>
      </c>
      <c r="C1381" s="49">
        <f>HLOOKUP("# Cores",'vHosts (Imported)'!$1:$5000,M1381,FALSE)</f>
        <v>0</v>
      </c>
      <c r="D1381" s="52">
        <f>HLOOKUP("# Memory",'vHosts (Imported)'!$1:$5000,M1381,FALSE)</f>
        <v>0</v>
      </c>
      <c r="M1381" s="45">
        <f t="shared" si="65"/>
        <v>1381</v>
      </c>
      <c r="N1381" s="38">
        <f>HLOOKUP("Host",'vInfo (Imported)'!$1:$5000,M1381,FALSE)</f>
        <v>0</v>
      </c>
      <c r="R1381">
        <f>HLOOKUP("CPUs",'vInfo (Imported)'!$1:$5000,M1381,FALSE)</f>
        <v>0</v>
      </c>
      <c r="S1381">
        <f>HLOOKUP("Memory",'vInfo (Imported)'!$1:$5000,M1381,FALSE)</f>
        <v>0</v>
      </c>
      <c r="T1381">
        <f>HLOOKUP("Provisioned MiB",'vInfo (Imported)'!$1:$5000,M1381,FALSE)</f>
        <v>0</v>
      </c>
      <c r="U1381">
        <f t="shared" si="64"/>
        <v>0</v>
      </c>
      <c r="V1381">
        <f>HLOOKUP("In Use MiB",'vInfo (Imported)'!$1:$5000,M1381,FALSE)</f>
        <v>0</v>
      </c>
    </row>
    <row r="1382" spans="1:22" ht="13" x14ac:dyDescent="0.3">
      <c r="A1382" s="46">
        <f>'vHosts (Imported)'!A1382</f>
        <v>0</v>
      </c>
      <c r="B1382" s="51">
        <f t="shared" si="63"/>
        <v>4968</v>
      </c>
      <c r="C1382" s="49">
        <f>HLOOKUP("# Cores",'vHosts (Imported)'!$1:$5000,M1382,FALSE)</f>
        <v>0</v>
      </c>
      <c r="D1382" s="52">
        <f>HLOOKUP("# Memory",'vHosts (Imported)'!$1:$5000,M1382,FALSE)</f>
        <v>0</v>
      </c>
      <c r="M1382" s="45">
        <f t="shared" si="65"/>
        <v>1382</v>
      </c>
      <c r="N1382" s="38">
        <f>HLOOKUP("Host",'vInfo (Imported)'!$1:$5000,M1382,FALSE)</f>
        <v>0</v>
      </c>
      <c r="R1382">
        <f>HLOOKUP("CPUs",'vInfo (Imported)'!$1:$5000,M1382,FALSE)</f>
        <v>0</v>
      </c>
      <c r="S1382">
        <f>HLOOKUP("Memory",'vInfo (Imported)'!$1:$5000,M1382,FALSE)</f>
        <v>0</v>
      </c>
      <c r="T1382">
        <f>HLOOKUP("Provisioned MiB",'vInfo (Imported)'!$1:$5000,M1382,FALSE)</f>
        <v>0</v>
      </c>
      <c r="U1382">
        <f t="shared" si="64"/>
        <v>0</v>
      </c>
      <c r="V1382">
        <f>HLOOKUP("In Use MiB",'vInfo (Imported)'!$1:$5000,M1382,FALSE)</f>
        <v>0</v>
      </c>
    </row>
    <row r="1383" spans="1:22" ht="13" x14ac:dyDescent="0.3">
      <c r="A1383" s="46">
        <f>'vHosts (Imported)'!A1383</f>
        <v>0</v>
      </c>
      <c r="B1383" s="51">
        <f t="shared" si="63"/>
        <v>4968</v>
      </c>
      <c r="C1383" s="49">
        <f>HLOOKUP("# Cores",'vHosts (Imported)'!$1:$5000,M1383,FALSE)</f>
        <v>0</v>
      </c>
      <c r="D1383" s="52">
        <f>HLOOKUP("# Memory",'vHosts (Imported)'!$1:$5000,M1383,FALSE)</f>
        <v>0</v>
      </c>
      <c r="M1383" s="45">
        <f t="shared" si="65"/>
        <v>1383</v>
      </c>
      <c r="N1383" s="38">
        <f>HLOOKUP("Host",'vInfo (Imported)'!$1:$5000,M1383,FALSE)</f>
        <v>0</v>
      </c>
      <c r="R1383">
        <f>HLOOKUP("CPUs",'vInfo (Imported)'!$1:$5000,M1383,FALSE)</f>
        <v>0</v>
      </c>
      <c r="S1383">
        <f>HLOOKUP("Memory",'vInfo (Imported)'!$1:$5000,M1383,FALSE)</f>
        <v>0</v>
      </c>
      <c r="T1383">
        <f>HLOOKUP("Provisioned MiB",'vInfo (Imported)'!$1:$5000,M1383,FALSE)</f>
        <v>0</v>
      </c>
      <c r="U1383">
        <f t="shared" si="64"/>
        <v>0</v>
      </c>
      <c r="V1383">
        <f>HLOOKUP("In Use MiB",'vInfo (Imported)'!$1:$5000,M1383,FALSE)</f>
        <v>0</v>
      </c>
    </row>
    <row r="1384" spans="1:22" ht="13" x14ac:dyDescent="0.3">
      <c r="A1384" s="46">
        <f>'vHosts (Imported)'!A1384</f>
        <v>0</v>
      </c>
      <c r="B1384" s="51">
        <f t="shared" ref="B1384:B1447" si="66">COUNTIF(N:N,A1384)</f>
        <v>4968</v>
      </c>
      <c r="C1384" s="49">
        <f>HLOOKUP("# Cores",'vHosts (Imported)'!$1:$5000,M1384,FALSE)</f>
        <v>0</v>
      </c>
      <c r="D1384" s="52">
        <f>HLOOKUP("# Memory",'vHosts (Imported)'!$1:$5000,M1384,FALSE)</f>
        <v>0</v>
      </c>
      <c r="M1384" s="45">
        <f t="shared" si="65"/>
        <v>1384</v>
      </c>
      <c r="N1384" s="38">
        <f>HLOOKUP("Host",'vInfo (Imported)'!$1:$5000,M1384,FALSE)</f>
        <v>0</v>
      </c>
      <c r="R1384">
        <f>HLOOKUP("CPUs",'vInfo (Imported)'!$1:$5000,M1384,FALSE)</f>
        <v>0</v>
      </c>
      <c r="S1384">
        <f>HLOOKUP("Memory",'vInfo (Imported)'!$1:$5000,M1384,FALSE)</f>
        <v>0</v>
      </c>
      <c r="T1384">
        <f>HLOOKUP("Provisioned MiB",'vInfo (Imported)'!$1:$5000,M1384,FALSE)</f>
        <v>0</v>
      </c>
      <c r="U1384">
        <f t="shared" si="64"/>
        <v>0</v>
      </c>
      <c r="V1384">
        <f>HLOOKUP("In Use MiB",'vInfo (Imported)'!$1:$5000,M1384,FALSE)</f>
        <v>0</v>
      </c>
    </row>
    <row r="1385" spans="1:22" ht="13" x14ac:dyDescent="0.3">
      <c r="A1385" s="46">
        <f>'vHosts (Imported)'!A1385</f>
        <v>0</v>
      </c>
      <c r="B1385" s="51">
        <f t="shared" si="66"/>
        <v>4968</v>
      </c>
      <c r="C1385" s="49">
        <f>HLOOKUP("# Cores",'vHosts (Imported)'!$1:$5000,M1385,FALSE)</f>
        <v>0</v>
      </c>
      <c r="D1385" s="52">
        <f>HLOOKUP("# Memory",'vHosts (Imported)'!$1:$5000,M1385,FALSE)</f>
        <v>0</v>
      </c>
      <c r="M1385" s="45">
        <f t="shared" si="65"/>
        <v>1385</v>
      </c>
      <c r="N1385" s="38">
        <f>HLOOKUP("Host",'vInfo (Imported)'!$1:$5000,M1385,FALSE)</f>
        <v>0</v>
      </c>
      <c r="R1385">
        <f>HLOOKUP("CPUs",'vInfo (Imported)'!$1:$5000,M1385,FALSE)</f>
        <v>0</v>
      </c>
      <c r="S1385">
        <f>HLOOKUP("Memory",'vInfo (Imported)'!$1:$5000,M1385,FALSE)</f>
        <v>0</v>
      </c>
      <c r="T1385">
        <f>HLOOKUP("Provisioned MiB",'vInfo (Imported)'!$1:$5000,M1385,FALSE)</f>
        <v>0</v>
      </c>
      <c r="U1385">
        <f t="shared" si="64"/>
        <v>0</v>
      </c>
      <c r="V1385">
        <f>HLOOKUP("In Use MiB",'vInfo (Imported)'!$1:$5000,M1385,FALSE)</f>
        <v>0</v>
      </c>
    </row>
    <row r="1386" spans="1:22" ht="13" x14ac:dyDescent="0.3">
      <c r="A1386" s="46">
        <f>'vHosts (Imported)'!A1386</f>
        <v>0</v>
      </c>
      <c r="B1386" s="51">
        <f t="shared" si="66"/>
        <v>4968</v>
      </c>
      <c r="C1386" s="49">
        <f>HLOOKUP("# Cores",'vHosts (Imported)'!$1:$5000,M1386,FALSE)</f>
        <v>0</v>
      </c>
      <c r="D1386" s="52">
        <f>HLOOKUP("# Memory",'vHosts (Imported)'!$1:$5000,M1386,FALSE)</f>
        <v>0</v>
      </c>
      <c r="M1386" s="45">
        <f t="shared" si="65"/>
        <v>1386</v>
      </c>
      <c r="N1386" s="38">
        <f>HLOOKUP("Host",'vInfo (Imported)'!$1:$5000,M1386,FALSE)</f>
        <v>0</v>
      </c>
      <c r="R1386">
        <f>HLOOKUP("CPUs",'vInfo (Imported)'!$1:$5000,M1386,FALSE)</f>
        <v>0</v>
      </c>
      <c r="S1386">
        <f>HLOOKUP("Memory",'vInfo (Imported)'!$1:$5000,M1386,FALSE)</f>
        <v>0</v>
      </c>
      <c r="T1386">
        <f>HLOOKUP("Provisioned MiB",'vInfo (Imported)'!$1:$5000,M1386,FALSE)</f>
        <v>0</v>
      </c>
      <c r="U1386">
        <f t="shared" si="64"/>
        <v>0</v>
      </c>
      <c r="V1386">
        <f>HLOOKUP("In Use MiB",'vInfo (Imported)'!$1:$5000,M1386,FALSE)</f>
        <v>0</v>
      </c>
    </row>
    <row r="1387" spans="1:22" ht="13" x14ac:dyDescent="0.3">
      <c r="A1387" s="46">
        <f>'vHosts (Imported)'!A1387</f>
        <v>0</v>
      </c>
      <c r="B1387" s="51">
        <f t="shared" si="66"/>
        <v>4968</v>
      </c>
      <c r="C1387" s="49">
        <f>HLOOKUP("# Cores",'vHosts (Imported)'!$1:$5000,M1387,FALSE)</f>
        <v>0</v>
      </c>
      <c r="D1387" s="52">
        <f>HLOOKUP("# Memory",'vHosts (Imported)'!$1:$5000,M1387,FALSE)</f>
        <v>0</v>
      </c>
      <c r="M1387" s="45">
        <f t="shared" si="65"/>
        <v>1387</v>
      </c>
      <c r="N1387" s="38">
        <f>HLOOKUP("Host",'vInfo (Imported)'!$1:$5000,M1387,FALSE)</f>
        <v>0</v>
      </c>
      <c r="R1387">
        <f>HLOOKUP("CPUs",'vInfo (Imported)'!$1:$5000,M1387,FALSE)</f>
        <v>0</v>
      </c>
      <c r="S1387">
        <f>HLOOKUP("Memory",'vInfo (Imported)'!$1:$5000,M1387,FALSE)</f>
        <v>0</v>
      </c>
      <c r="T1387">
        <f>HLOOKUP("Provisioned MiB",'vInfo (Imported)'!$1:$5000,M1387,FALSE)</f>
        <v>0</v>
      </c>
      <c r="U1387">
        <f t="shared" si="64"/>
        <v>0</v>
      </c>
      <c r="V1387">
        <f>HLOOKUP("In Use MiB",'vInfo (Imported)'!$1:$5000,M1387,FALSE)</f>
        <v>0</v>
      </c>
    </row>
    <row r="1388" spans="1:22" ht="13" x14ac:dyDescent="0.3">
      <c r="A1388" s="46">
        <f>'vHosts (Imported)'!A1388</f>
        <v>0</v>
      </c>
      <c r="B1388" s="51">
        <f t="shared" si="66"/>
        <v>4968</v>
      </c>
      <c r="C1388" s="49">
        <f>HLOOKUP("# Cores",'vHosts (Imported)'!$1:$5000,M1388,FALSE)</f>
        <v>0</v>
      </c>
      <c r="D1388" s="52">
        <f>HLOOKUP("# Memory",'vHosts (Imported)'!$1:$5000,M1388,FALSE)</f>
        <v>0</v>
      </c>
      <c r="M1388" s="45">
        <f t="shared" si="65"/>
        <v>1388</v>
      </c>
      <c r="N1388" s="38">
        <f>HLOOKUP("Host",'vInfo (Imported)'!$1:$5000,M1388,FALSE)</f>
        <v>0</v>
      </c>
      <c r="R1388">
        <f>HLOOKUP("CPUs",'vInfo (Imported)'!$1:$5000,M1388,FALSE)</f>
        <v>0</v>
      </c>
      <c r="S1388">
        <f>HLOOKUP("Memory",'vInfo (Imported)'!$1:$5000,M1388,FALSE)</f>
        <v>0</v>
      </c>
      <c r="T1388">
        <f>HLOOKUP("Provisioned MiB",'vInfo (Imported)'!$1:$5000,M1388,FALSE)</f>
        <v>0</v>
      </c>
      <c r="U1388">
        <f t="shared" si="64"/>
        <v>0</v>
      </c>
      <c r="V1388">
        <f>HLOOKUP("In Use MiB",'vInfo (Imported)'!$1:$5000,M1388,FALSE)</f>
        <v>0</v>
      </c>
    </row>
    <row r="1389" spans="1:22" ht="13" x14ac:dyDescent="0.3">
      <c r="A1389" s="46">
        <f>'vHosts (Imported)'!A1389</f>
        <v>0</v>
      </c>
      <c r="B1389" s="51">
        <f t="shared" si="66"/>
        <v>4968</v>
      </c>
      <c r="C1389" s="49">
        <f>HLOOKUP("# Cores",'vHosts (Imported)'!$1:$5000,M1389,FALSE)</f>
        <v>0</v>
      </c>
      <c r="D1389" s="52">
        <f>HLOOKUP("# Memory",'vHosts (Imported)'!$1:$5000,M1389,FALSE)</f>
        <v>0</v>
      </c>
      <c r="M1389" s="45">
        <f t="shared" si="65"/>
        <v>1389</v>
      </c>
      <c r="N1389" s="38">
        <f>HLOOKUP("Host",'vInfo (Imported)'!$1:$5000,M1389,FALSE)</f>
        <v>0</v>
      </c>
      <c r="R1389">
        <f>HLOOKUP("CPUs",'vInfo (Imported)'!$1:$5000,M1389,FALSE)</f>
        <v>0</v>
      </c>
      <c r="S1389">
        <f>HLOOKUP("Memory",'vInfo (Imported)'!$1:$5000,M1389,FALSE)</f>
        <v>0</v>
      </c>
      <c r="T1389">
        <f>HLOOKUP("Provisioned MiB",'vInfo (Imported)'!$1:$5000,M1389,FALSE)</f>
        <v>0</v>
      </c>
      <c r="U1389">
        <f t="shared" si="64"/>
        <v>0</v>
      </c>
      <c r="V1389">
        <f>HLOOKUP("In Use MiB",'vInfo (Imported)'!$1:$5000,M1389,FALSE)</f>
        <v>0</v>
      </c>
    </row>
    <row r="1390" spans="1:22" ht="13" x14ac:dyDescent="0.3">
      <c r="A1390" s="46">
        <f>'vHosts (Imported)'!A1390</f>
        <v>0</v>
      </c>
      <c r="B1390" s="51">
        <f t="shared" si="66"/>
        <v>4968</v>
      </c>
      <c r="C1390" s="49">
        <f>HLOOKUP("# Cores",'vHosts (Imported)'!$1:$5000,M1390,FALSE)</f>
        <v>0</v>
      </c>
      <c r="D1390" s="52">
        <f>HLOOKUP("# Memory",'vHosts (Imported)'!$1:$5000,M1390,FALSE)</f>
        <v>0</v>
      </c>
      <c r="M1390" s="45">
        <f t="shared" si="65"/>
        <v>1390</v>
      </c>
      <c r="N1390" s="38">
        <f>HLOOKUP("Host",'vInfo (Imported)'!$1:$5000,M1390,FALSE)</f>
        <v>0</v>
      </c>
      <c r="R1390">
        <f>HLOOKUP("CPUs",'vInfo (Imported)'!$1:$5000,M1390,FALSE)</f>
        <v>0</v>
      </c>
      <c r="S1390">
        <f>HLOOKUP("Memory",'vInfo (Imported)'!$1:$5000,M1390,FALSE)</f>
        <v>0</v>
      </c>
      <c r="T1390">
        <f>HLOOKUP("Provisioned MiB",'vInfo (Imported)'!$1:$5000,M1390,FALSE)</f>
        <v>0</v>
      </c>
      <c r="U1390">
        <f t="shared" si="64"/>
        <v>0</v>
      </c>
      <c r="V1390">
        <f>HLOOKUP("In Use MiB",'vInfo (Imported)'!$1:$5000,M1390,FALSE)</f>
        <v>0</v>
      </c>
    </row>
    <row r="1391" spans="1:22" ht="13" x14ac:dyDescent="0.3">
      <c r="A1391" s="46">
        <f>'vHosts (Imported)'!A1391</f>
        <v>0</v>
      </c>
      <c r="B1391" s="51">
        <f t="shared" si="66"/>
        <v>4968</v>
      </c>
      <c r="C1391" s="49">
        <f>HLOOKUP("# Cores",'vHosts (Imported)'!$1:$5000,M1391,FALSE)</f>
        <v>0</v>
      </c>
      <c r="D1391" s="52">
        <f>HLOOKUP("# Memory",'vHosts (Imported)'!$1:$5000,M1391,FALSE)</f>
        <v>0</v>
      </c>
      <c r="M1391" s="45">
        <f t="shared" si="65"/>
        <v>1391</v>
      </c>
      <c r="N1391" s="38">
        <f>HLOOKUP("Host",'vInfo (Imported)'!$1:$5000,M1391,FALSE)</f>
        <v>0</v>
      </c>
      <c r="R1391">
        <f>HLOOKUP("CPUs",'vInfo (Imported)'!$1:$5000,M1391,FALSE)</f>
        <v>0</v>
      </c>
      <c r="S1391">
        <f>HLOOKUP("Memory",'vInfo (Imported)'!$1:$5000,M1391,FALSE)</f>
        <v>0</v>
      </c>
      <c r="T1391">
        <f>HLOOKUP("Provisioned MiB",'vInfo (Imported)'!$1:$5000,M1391,FALSE)</f>
        <v>0</v>
      </c>
      <c r="U1391">
        <f t="shared" si="64"/>
        <v>0</v>
      </c>
      <c r="V1391">
        <f>HLOOKUP("In Use MiB",'vInfo (Imported)'!$1:$5000,M1391,FALSE)</f>
        <v>0</v>
      </c>
    </row>
    <row r="1392" spans="1:22" ht="13" x14ac:dyDescent="0.3">
      <c r="A1392" s="46">
        <f>'vHosts (Imported)'!A1392</f>
        <v>0</v>
      </c>
      <c r="B1392" s="51">
        <f t="shared" si="66"/>
        <v>4968</v>
      </c>
      <c r="C1392" s="49">
        <f>HLOOKUP("# Cores",'vHosts (Imported)'!$1:$5000,M1392,FALSE)</f>
        <v>0</v>
      </c>
      <c r="D1392" s="52">
        <f>HLOOKUP("# Memory",'vHosts (Imported)'!$1:$5000,M1392,FALSE)</f>
        <v>0</v>
      </c>
      <c r="M1392" s="45">
        <f t="shared" si="65"/>
        <v>1392</v>
      </c>
      <c r="N1392" s="38">
        <f>HLOOKUP("Host",'vInfo (Imported)'!$1:$5000,M1392,FALSE)</f>
        <v>0</v>
      </c>
      <c r="R1392">
        <f>HLOOKUP("CPUs",'vInfo (Imported)'!$1:$5000,M1392,FALSE)</f>
        <v>0</v>
      </c>
      <c r="S1392">
        <f>HLOOKUP("Memory",'vInfo (Imported)'!$1:$5000,M1392,FALSE)</f>
        <v>0</v>
      </c>
      <c r="T1392">
        <f>HLOOKUP("Provisioned MiB",'vInfo (Imported)'!$1:$5000,M1392,FALSE)</f>
        <v>0</v>
      </c>
      <c r="U1392">
        <f t="shared" si="64"/>
        <v>0</v>
      </c>
      <c r="V1392">
        <f>HLOOKUP("In Use MiB",'vInfo (Imported)'!$1:$5000,M1392,FALSE)</f>
        <v>0</v>
      </c>
    </row>
    <row r="1393" spans="1:22" ht="13" x14ac:dyDescent="0.3">
      <c r="A1393" s="46">
        <f>'vHosts (Imported)'!A1393</f>
        <v>0</v>
      </c>
      <c r="B1393" s="51">
        <f t="shared" si="66"/>
        <v>4968</v>
      </c>
      <c r="C1393" s="49">
        <f>HLOOKUP("# Cores",'vHosts (Imported)'!$1:$5000,M1393,FALSE)</f>
        <v>0</v>
      </c>
      <c r="D1393" s="52">
        <f>HLOOKUP("# Memory",'vHosts (Imported)'!$1:$5000,M1393,FALSE)</f>
        <v>0</v>
      </c>
      <c r="M1393" s="45">
        <f t="shared" si="65"/>
        <v>1393</v>
      </c>
      <c r="N1393" s="38">
        <f>HLOOKUP("Host",'vInfo (Imported)'!$1:$5000,M1393,FALSE)</f>
        <v>0</v>
      </c>
      <c r="R1393">
        <f>HLOOKUP("CPUs",'vInfo (Imported)'!$1:$5000,M1393,FALSE)</f>
        <v>0</v>
      </c>
      <c r="S1393">
        <f>HLOOKUP("Memory",'vInfo (Imported)'!$1:$5000,M1393,FALSE)</f>
        <v>0</v>
      </c>
      <c r="T1393">
        <f>HLOOKUP("Provisioned MiB",'vInfo (Imported)'!$1:$5000,M1393,FALSE)</f>
        <v>0</v>
      </c>
      <c r="U1393">
        <f t="shared" si="64"/>
        <v>0</v>
      </c>
      <c r="V1393">
        <f>HLOOKUP("In Use MiB",'vInfo (Imported)'!$1:$5000,M1393,FALSE)</f>
        <v>0</v>
      </c>
    </row>
    <row r="1394" spans="1:22" ht="13" x14ac:dyDescent="0.3">
      <c r="A1394" s="46">
        <f>'vHosts (Imported)'!A1394</f>
        <v>0</v>
      </c>
      <c r="B1394" s="51">
        <f t="shared" si="66"/>
        <v>4968</v>
      </c>
      <c r="C1394" s="49">
        <f>HLOOKUP("# Cores",'vHosts (Imported)'!$1:$5000,M1394,FALSE)</f>
        <v>0</v>
      </c>
      <c r="D1394" s="52">
        <f>HLOOKUP("# Memory",'vHosts (Imported)'!$1:$5000,M1394,FALSE)</f>
        <v>0</v>
      </c>
      <c r="M1394" s="45">
        <f t="shared" si="65"/>
        <v>1394</v>
      </c>
      <c r="N1394" s="38">
        <f>HLOOKUP("Host",'vInfo (Imported)'!$1:$5000,M1394,FALSE)</f>
        <v>0</v>
      </c>
      <c r="R1394">
        <f>HLOOKUP("CPUs",'vInfo (Imported)'!$1:$5000,M1394,FALSE)</f>
        <v>0</v>
      </c>
      <c r="S1394">
        <f>HLOOKUP("Memory",'vInfo (Imported)'!$1:$5000,M1394,FALSE)</f>
        <v>0</v>
      </c>
      <c r="T1394">
        <f>HLOOKUP("Provisioned MiB",'vInfo (Imported)'!$1:$5000,M1394,FALSE)</f>
        <v>0</v>
      </c>
      <c r="U1394">
        <f t="shared" si="64"/>
        <v>0</v>
      </c>
      <c r="V1394">
        <f>HLOOKUP("In Use MiB",'vInfo (Imported)'!$1:$5000,M1394,FALSE)</f>
        <v>0</v>
      </c>
    </row>
    <row r="1395" spans="1:22" ht="13" x14ac:dyDescent="0.3">
      <c r="A1395" s="46">
        <f>'vHosts (Imported)'!A1395</f>
        <v>0</v>
      </c>
      <c r="B1395" s="51">
        <f t="shared" si="66"/>
        <v>4968</v>
      </c>
      <c r="C1395" s="49">
        <f>HLOOKUP("# Cores",'vHosts (Imported)'!$1:$5000,M1395,FALSE)</f>
        <v>0</v>
      </c>
      <c r="D1395" s="52">
        <f>HLOOKUP("# Memory",'vHosts (Imported)'!$1:$5000,M1395,FALSE)</f>
        <v>0</v>
      </c>
      <c r="M1395" s="45">
        <f t="shared" si="65"/>
        <v>1395</v>
      </c>
      <c r="N1395" s="38">
        <f>HLOOKUP("Host",'vInfo (Imported)'!$1:$5000,M1395,FALSE)</f>
        <v>0</v>
      </c>
      <c r="R1395">
        <f>HLOOKUP("CPUs",'vInfo (Imported)'!$1:$5000,M1395,FALSE)</f>
        <v>0</v>
      </c>
      <c r="S1395">
        <f>HLOOKUP("Memory",'vInfo (Imported)'!$1:$5000,M1395,FALSE)</f>
        <v>0</v>
      </c>
      <c r="T1395">
        <f>HLOOKUP("Provisioned MiB",'vInfo (Imported)'!$1:$5000,M1395,FALSE)</f>
        <v>0</v>
      </c>
      <c r="U1395">
        <f t="shared" si="64"/>
        <v>0</v>
      </c>
      <c r="V1395">
        <f>HLOOKUP("In Use MiB",'vInfo (Imported)'!$1:$5000,M1395,FALSE)</f>
        <v>0</v>
      </c>
    </row>
    <row r="1396" spans="1:22" ht="13" x14ac:dyDescent="0.3">
      <c r="A1396" s="46">
        <f>'vHosts (Imported)'!A1396</f>
        <v>0</v>
      </c>
      <c r="B1396" s="51">
        <f t="shared" si="66"/>
        <v>4968</v>
      </c>
      <c r="C1396" s="49">
        <f>HLOOKUP("# Cores",'vHosts (Imported)'!$1:$5000,M1396,FALSE)</f>
        <v>0</v>
      </c>
      <c r="D1396" s="52">
        <f>HLOOKUP("# Memory",'vHosts (Imported)'!$1:$5000,M1396,FALSE)</f>
        <v>0</v>
      </c>
      <c r="M1396" s="45">
        <f t="shared" si="65"/>
        <v>1396</v>
      </c>
      <c r="N1396" s="38">
        <f>HLOOKUP("Host",'vInfo (Imported)'!$1:$5000,M1396,FALSE)</f>
        <v>0</v>
      </c>
      <c r="R1396">
        <f>HLOOKUP("CPUs",'vInfo (Imported)'!$1:$5000,M1396,FALSE)</f>
        <v>0</v>
      </c>
      <c r="S1396">
        <f>HLOOKUP("Memory",'vInfo (Imported)'!$1:$5000,M1396,FALSE)</f>
        <v>0</v>
      </c>
      <c r="T1396">
        <f>HLOOKUP("Provisioned MiB",'vInfo (Imported)'!$1:$5000,M1396,FALSE)</f>
        <v>0</v>
      </c>
      <c r="U1396">
        <f t="shared" si="64"/>
        <v>0</v>
      </c>
      <c r="V1396">
        <f>HLOOKUP("In Use MiB",'vInfo (Imported)'!$1:$5000,M1396,FALSE)</f>
        <v>0</v>
      </c>
    </row>
    <row r="1397" spans="1:22" ht="13" x14ac:dyDescent="0.3">
      <c r="A1397" s="46">
        <f>'vHosts (Imported)'!A1397</f>
        <v>0</v>
      </c>
      <c r="B1397" s="51">
        <f t="shared" si="66"/>
        <v>4968</v>
      </c>
      <c r="C1397" s="49">
        <f>HLOOKUP("# Cores",'vHosts (Imported)'!$1:$5000,M1397,FALSE)</f>
        <v>0</v>
      </c>
      <c r="D1397" s="52">
        <f>HLOOKUP("# Memory",'vHosts (Imported)'!$1:$5000,M1397,FALSE)</f>
        <v>0</v>
      </c>
      <c r="M1397" s="45">
        <f t="shared" si="65"/>
        <v>1397</v>
      </c>
      <c r="N1397" s="38">
        <f>HLOOKUP("Host",'vInfo (Imported)'!$1:$5000,M1397,FALSE)</f>
        <v>0</v>
      </c>
      <c r="R1397">
        <f>HLOOKUP("CPUs",'vInfo (Imported)'!$1:$5000,M1397,FALSE)</f>
        <v>0</v>
      </c>
      <c r="S1397">
        <f>HLOOKUP("Memory",'vInfo (Imported)'!$1:$5000,M1397,FALSE)</f>
        <v>0</v>
      </c>
      <c r="T1397">
        <f>HLOOKUP("Provisioned MiB",'vInfo (Imported)'!$1:$5000,M1397,FALSE)</f>
        <v>0</v>
      </c>
      <c r="U1397">
        <f t="shared" si="64"/>
        <v>0</v>
      </c>
      <c r="V1397">
        <f>HLOOKUP("In Use MiB",'vInfo (Imported)'!$1:$5000,M1397,FALSE)</f>
        <v>0</v>
      </c>
    </row>
    <row r="1398" spans="1:22" ht="13" x14ac:dyDescent="0.3">
      <c r="A1398" s="46">
        <f>'vHosts (Imported)'!A1398</f>
        <v>0</v>
      </c>
      <c r="B1398" s="51">
        <f t="shared" si="66"/>
        <v>4968</v>
      </c>
      <c r="C1398" s="49">
        <f>HLOOKUP("# Cores",'vHosts (Imported)'!$1:$5000,M1398,FALSE)</f>
        <v>0</v>
      </c>
      <c r="D1398" s="52">
        <f>HLOOKUP("# Memory",'vHosts (Imported)'!$1:$5000,M1398,FALSE)</f>
        <v>0</v>
      </c>
      <c r="M1398" s="45">
        <f t="shared" si="65"/>
        <v>1398</v>
      </c>
      <c r="N1398" s="38">
        <f>HLOOKUP("Host",'vInfo (Imported)'!$1:$5000,M1398,FALSE)</f>
        <v>0</v>
      </c>
      <c r="R1398">
        <f>HLOOKUP("CPUs",'vInfo (Imported)'!$1:$5000,M1398,FALSE)</f>
        <v>0</v>
      </c>
      <c r="S1398">
        <f>HLOOKUP("Memory",'vInfo (Imported)'!$1:$5000,M1398,FALSE)</f>
        <v>0</v>
      </c>
      <c r="T1398">
        <f>HLOOKUP("Provisioned MiB",'vInfo (Imported)'!$1:$5000,M1398,FALSE)</f>
        <v>0</v>
      </c>
      <c r="U1398">
        <f t="shared" si="64"/>
        <v>0</v>
      </c>
      <c r="V1398">
        <f>HLOOKUP("In Use MiB",'vInfo (Imported)'!$1:$5000,M1398,FALSE)</f>
        <v>0</v>
      </c>
    </row>
    <row r="1399" spans="1:22" ht="13" x14ac:dyDescent="0.3">
      <c r="A1399" s="46">
        <f>'vHosts (Imported)'!A1399</f>
        <v>0</v>
      </c>
      <c r="B1399" s="51">
        <f t="shared" si="66"/>
        <v>4968</v>
      </c>
      <c r="C1399" s="49">
        <f>HLOOKUP("# Cores",'vHosts (Imported)'!$1:$5000,M1399,FALSE)</f>
        <v>0</v>
      </c>
      <c r="D1399" s="52">
        <f>HLOOKUP("# Memory",'vHosts (Imported)'!$1:$5000,M1399,FALSE)</f>
        <v>0</v>
      </c>
      <c r="M1399" s="45">
        <f t="shared" si="65"/>
        <v>1399</v>
      </c>
      <c r="N1399" s="38">
        <f>HLOOKUP("Host",'vInfo (Imported)'!$1:$5000,M1399,FALSE)</f>
        <v>0</v>
      </c>
      <c r="R1399">
        <f>HLOOKUP("CPUs",'vInfo (Imported)'!$1:$5000,M1399,FALSE)</f>
        <v>0</v>
      </c>
      <c r="S1399">
        <f>HLOOKUP("Memory",'vInfo (Imported)'!$1:$5000,M1399,FALSE)</f>
        <v>0</v>
      </c>
      <c r="T1399">
        <f>HLOOKUP("Provisioned MiB",'vInfo (Imported)'!$1:$5000,M1399,FALSE)</f>
        <v>0</v>
      </c>
      <c r="U1399">
        <f t="shared" si="64"/>
        <v>0</v>
      </c>
      <c r="V1399">
        <f>HLOOKUP("In Use MiB",'vInfo (Imported)'!$1:$5000,M1399,FALSE)</f>
        <v>0</v>
      </c>
    </row>
    <row r="1400" spans="1:22" ht="13" x14ac:dyDescent="0.3">
      <c r="A1400" s="46">
        <f>'vHosts (Imported)'!A1400</f>
        <v>0</v>
      </c>
      <c r="B1400" s="51">
        <f t="shared" si="66"/>
        <v>4968</v>
      </c>
      <c r="C1400" s="49">
        <f>HLOOKUP("# Cores",'vHosts (Imported)'!$1:$5000,M1400,FALSE)</f>
        <v>0</v>
      </c>
      <c r="D1400" s="52">
        <f>HLOOKUP("# Memory",'vHosts (Imported)'!$1:$5000,M1400,FALSE)</f>
        <v>0</v>
      </c>
      <c r="M1400" s="45">
        <f t="shared" si="65"/>
        <v>1400</v>
      </c>
      <c r="N1400" s="38">
        <f>HLOOKUP("Host",'vInfo (Imported)'!$1:$5000,M1400,FALSE)</f>
        <v>0</v>
      </c>
      <c r="R1400">
        <f>HLOOKUP("CPUs",'vInfo (Imported)'!$1:$5000,M1400,FALSE)</f>
        <v>0</v>
      </c>
      <c r="S1400">
        <f>HLOOKUP("Memory",'vInfo (Imported)'!$1:$5000,M1400,FALSE)</f>
        <v>0</v>
      </c>
      <c r="T1400">
        <f>HLOOKUP("Provisioned MiB",'vInfo (Imported)'!$1:$5000,M1400,FALSE)</f>
        <v>0</v>
      </c>
      <c r="U1400">
        <f t="shared" si="64"/>
        <v>0</v>
      </c>
      <c r="V1400">
        <f>HLOOKUP("In Use MiB",'vInfo (Imported)'!$1:$5000,M1400,FALSE)</f>
        <v>0</v>
      </c>
    </row>
    <row r="1401" spans="1:22" ht="13" x14ac:dyDescent="0.3">
      <c r="A1401" s="46">
        <f>'vHosts (Imported)'!A1401</f>
        <v>0</v>
      </c>
      <c r="B1401" s="51">
        <f t="shared" si="66"/>
        <v>4968</v>
      </c>
      <c r="C1401" s="49">
        <f>HLOOKUP("# Cores",'vHosts (Imported)'!$1:$5000,M1401,FALSE)</f>
        <v>0</v>
      </c>
      <c r="D1401" s="52">
        <f>HLOOKUP("# Memory",'vHosts (Imported)'!$1:$5000,M1401,FALSE)</f>
        <v>0</v>
      </c>
      <c r="M1401" s="45">
        <f t="shared" si="65"/>
        <v>1401</v>
      </c>
      <c r="N1401" s="38">
        <f>HLOOKUP("Host",'vInfo (Imported)'!$1:$5000,M1401,FALSE)</f>
        <v>0</v>
      </c>
      <c r="R1401">
        <f>HLOOKUP("CPUs",'vInfo (Imported)'!$1:$5000,M1401,FALSE)</f>
        <v>0</v>
      </c>
      <c r="S1401">
        <f>HLOOKUP("Memory",'vInfo (Imported)'!$1:$5000,M1401,FALSE)</f>
        <v>0</v>
      </c>
      <c r="T1401">
        <f>HLOOKUP("Provisioned MiB",'vInfo (Imported)'!$1:$5000,M1401,FALSE)</f>
        <v>0</v>
      </c>
      <c r="U1401">
        <f t="shared" si="64"/>
        <v>0</v>
      </c>
      <c r="V1401">
        <f>HLOOKUP("In Use MiB",'vInfo (Imported)'!$1:$5000,M1401,FALSE)</f>
        <v>0</v>
      </c>
    </row>
    <row r="1402" spans="1:22" ht="13" x14ac:dyDescent="0.3">
      <c r="A1402" s="46">
        <f>'vHosts (Imported)'!A1402</f>
        <v>0</v>
      </c>
      <c r="B1402" s="51">
        <f t="shared" si="66"/>
        <v>4968</v>
      </c>
      <c r="C1402" s="49">
        <f>HLOOKUP("# Cores",'vHosts (Imported)'!$1:$5000,M1402,FALSE)</f>
        <v>0</v>
      </c>
      <c r="D1402" s="52">
        <f>HLOOKUP("# Memory",'vHosts (Imported)'!$1:$5000,M1402,FALSE)</f>
        <v>0</v>
      </c>
      <c r="M1402" s="45">
        <f t="shared" si="65"/>
        <v>1402</v>
      </c>
      <c r="N1402" s="38">
        <f>HLOOKUP("Host",'vInfo (Imported)'!$1:$5000,M1402,FALSE)</f>
        <v>0</v>
      </c>
      <c r="R1402">
        <f>HLOOKUP("CPUs",'vInfo (Imported)'!$1:$5000,M1402,FALSE)</f>
        <v>0</v>
      </c>
      <c r="S1402">
        <f>HLOOKUP("Memory",'vInfo (Imported)'!$1:$5000,M1402,FALSE)</f>
        <v>0</v>
      </c>
      <c r="T1402">
        <f>HLOOKUP("Provisioned MiB",'vInfo (Imported)'!$1:$5000,M1402,FALSE)</f>
        <v>0</v>
      </c>
      <c r="U1402">
        <f t="shared" si="64"/>
        <v>0</v>
      </c>
      <c r="V1402">
        <f>HLOOKUP("In Use MiB",'vInfo (Imported)'!$1:$5000,M1402,FALSE)</f>
        <v>0</v>
      </c>
    </row>
    <row r="1403" spans="1:22" ht="13" x14ac:dyDescent="0.3">
      <c r="A1403" s="46">
        <f>'vHosts (Imported)'!A1403</f>
        <v>0</v>
      </c>
      <c r="B1403" s="51">
        <f t="shared" si="66"/>
        <v>4968</v>
      </c>
      <c r="C1403" s="49">
        <f>HLOOKUP("# Cores",'vHosts (Imported)'!$1:$5000,M1403,FALSE)</f>
        <v>0</v>
      </c>
      <c r="D1403" s="52">
        <f>HLOOKUP("# Memory",'vHosts (Imported)'!$1:$5000,M1403,FALSE)</f>
        <v>0</v>
      </c>
      <c r="M1403" s="45">
        <f t="shared" si="65"/>
        <v>1403</v>
      </c>
      <c r="N1403" s="38">
        <f>HLOOKUP("Host",'vInfo (Imported)'!$1:$5000,M1403,FALSE)</f>
        <v>0</v>
      </c>
      <c r="R1403">
        <f>HLOOKUP("CPUs",'vInfo (Imported)'!$1:$5000,M1403,FALSE)</f>
        <v>0</v>
      </c>
      <c r="S1403">
        <f>HLOOKUP("Memory",'vInfo (Imported)'!$1:$5000,M1403,FALSE)</f>
        <v>0</v>
      </c>
      <c r="T1403">
        <f>HLOOKUP("Provisioned MiB",'vInfo (Imported)'!$1:$5000,M1403,FALSE)</f>
        <v>0</v>
      </c>
      <c r="U1403">
        <f t="shared" si="64"/>
        <v>0</v>
      </c>
      <c r="V1403">
        <f>HLOOKUP("In Use MiB",'vInfo (Imported)'!$1:$5000,M1403,FALSE)</f>
        <v>0</v>
      </c>
    </row>
    <row r="1404" spans="1:22" ht="13" x14ac:dyDescent="0.3">
      <c r="A1404" s="46">
        <f>'vHosts (Imported)'!A1404</f>
        <v>0</v>
      </c>
      <c r="B1404" s="51">
        <f t="shared" si="66"/>
        <v>4968</v>
      </c>
      <c r="C1404" s="49">
        <f>HLOOKUP("# Cores",'vHosts (Imported)'!$1:$5000,M1404,FALSE)</f>
        <v>0</v>
      </c>
      <c r="D1404" s="52">
        <f>HLOOKUP("# Memory",'vHosts (Imported)'!$1:$5000,M1404,FALSE)</f>
        <v>0</v>
      </c>
      <c r="M1404" s="45">
        <f t="shared" si="65"/>
        <v>1404</v>
      </c>
      <c r="N1404" s="38">
        <f>HLOOKUP("Host",'vInfo (Imported)'!$1:$5000,M1404,FALSE)</f>
        <v>0</v>
      </c>
      <c r="R1404">
        <f>HLOOKUP("CPUs",'vInfo (Imported)'!$1:$5000,M1404,FALSE)</f>
        <v>0</v>
      </c>
      <c r="S1404">
        <f>HLOOKUP("Memory",'vInfo (Imported)'!$1:$5000,M1404,FALSE)</f>
        <v>0</v>
      </c>
      <c r="T1404">
        <f>HLOOKUP("Provisioned MiB",'vInfo (Imported)'!$1:$5000,M1404,FALSE)</f>
        <v>0</v>
      </c>
      <c r="U1404">
        <f t="shared" si="64"/>
        <v>0</v>
      </c>
      <c r="V1404">
        <f>HLOOKUP("In Use MiB",'vInfo (Imported)'!$1:$5000,M1404,FALSE)</f>
        <v>0</v>
      </c>
    </row>
    <row r="1405" spans="1:22" ht="13" x14ac:dyDescent="0.3">
      <c r="A1405" s="46">
        <f>'vHosts (Imported)'!A1405</f>
        <v>0</v>
      </c>
      <c r="B1405" s="51">
        <f t="shared" si="66"/>
        <v>4968</v>
      </c>
      <c r="C1405" s="49">
        <f>HLOOKUP("# Cores",'vHosts (Imported)'!$1:$5000,M1405,FALSE)</f>
        <v>0</v>
      </c>
      <c r="D1405" s="52">
        <f>HLOOKUP("# Memory",'vHosts (Imported)'!$1:$5000,M1405,FALSE)</f>
        <v>0</v>
      </c>
      <c r="M1405" s="45">
        <f t="shared" si="65"/>
        <v>1405</v>
      </c>
      <c r="N1405" s="38">
        <f>HLOOKUP("Host",'vInfo (Imported)'!$1:$5000,M1405,FALSE)</f>
        <v>0</v>
      </c>
      <c r="R1405">
        <f>HLOOKUP("CPUs",'vInfo (Imported)'!$1:$5000,M1405,FALSE)</f>
        <v>0</v>
      </c>
      <c r="S1405">
        <f>HLOOKUP("Memory",'vInfo (Imported)'!$1:$5000,M1405,FALSE)</f>
        <v>0</v>
      </c>
      <c r="T1405">
        <f>HLOOKUP("Provisioned MiB",'vInfo (Imported)'!$1:$5000,M1405,FALSE)</f>
        <v>0</v>
      </c>
      <c r="U1405">
        <f t="shared" si="64"/>
        <v>0</v>
      </c>
      <c r="V1405">
        <f>HLOOKUP("In Use MiB",'vInfo (Imported)'!$1:$5000,M1405,FALSE)</f>
        <v>0</v>
      </c>
    </row>
    <row r="1406" spans="1:22" ht="13" x14ac:dyDescent="0.3">
      <c r="A1406" s="46">
        <f>'vHosts (Imported)'!A1406</f>
        <v>0</v>
      </c>
      <c r="B1406" s="51">
        <f t="shared" si="66"/>
        <v>4968</v>
      </c>
      <c r="C1406" s="49">
        <f>HLOOKUP("# Cores",'vHosts (Imported)'!$1:$5000,M1406,FALSE)</f>
        <v>0</v>
      </c>
      <c r="D1406" s="52">
        <f>HLOOKUP("# Memory",'vHosts (Imported)'!$1:$5000,M1406,FALSE)</f>
        <v>0</v>
      </c>
      <c r="M1406" s="45">
        <f t="shared" si="65"/>
        <v>1406</v>
      </c>
      <c r="N1406" s="38">
        <f>HLOOKUP("Host",'vInfo (Imported)'!$1:$5000,M1406,FALSE)</f>
        <v>0</v>
      </c>
      <c r="R1406">
        <f>HLOOKUP("CPUs",'vInfo (Imported)'!$1:$5000,M1406,FALSE)</f>
        <v>0</v>
      </c>
      <c r="S1406">
        <f>HLOOKUP("Memory",'vInfo (Imported)'!$1:$5000,M1406,FALSE)</f>
        <v>0</v>
      </c>
      <c r="T1406">
        <f>HLOOKUP("Provisioned MiB",'vInfo (Imported)'!$1:$5000,M1406,FALSE)</f>
        <v>0</v>
      </c>
      <c r="U1406">
        <f t="shared" si="64"/>
        <v>0</v>
      </c>
      <c r="V1406">
        <f>HLOOKUP("In Use MiB",'vInfo (Imported)'!$1:$5000,M1406,FALSE)</f>
        <v>0</v>
      </c>
    </row>
    <row r="1407" spans="1:22" ht="13" x14ac:dyDescent="0.3">
      <c r="A1407" s="46">
        <f>'vHosts (Imported)'!A1407</f>
        <v>0</v>
      </c>
      <c r="B1407" s="51">
        <f t="shared" si="66"/>
        <v>4968</v>
      </c>
      <c r="C1407" s="49">
        <f>HLOOKUP("# Cores",'vHosts (Imported)'!$1:$5000,M1407,FALSE)</f>
        <v>0</v>
      </c>
      <c r="D1407" s="52">
        <f>HLOOKUP("# Memory",'vHosts (Imported)'!$1:$5000,M1407,FALSE)</f>
        <v>0</v>
      </c>
      <c r="M1407" s="45">
        <f t="shared" si="65"/>
        <v>1407</v>
      </c>
      <c r="N1407" s="38">
        <f>HLOOKUP("Host",'vInfo (Imported)'!$1:$5000,M1407,FALSE)</f>
        <v>0</v>
      </c>
      <c r="R1407">
        <f>HLOOKUP("CPUs",'vInfo (Imported)'!$1:$5000,M1407,FALSE)</f>
        <v>0</v>
      </c>
      <c r="S1407">
        <f>HLOOKUP("Memory",'vInfo (Imported)'!$1:$5000,M1407,FALSE)</f>
        <v>0</v>
      </c>
      <c r="T1407">
        <f>HLOOKUP("Provisioned MiB",'vInfo (Imported)'!$1:$5000,M1407,FALSE)</f>
        <v>0</v>
      </c>
      <c r="U1407">
        <f t="shared" si="64"/>
        <v>0</v>
      </c>
      <c r="V1407">
        <f>HLOOKUP("In Use MiB",'vInfo (Imported)'!$1:$5000,M1407,FALSE)</f>
        <v>0</v>
      </c>
    </row>
    <row r="1408" spans="1:22" ht="13" x14ac:dyDescent="0.3">
      <c r="A1408" s="46">
        <f>'vHosts (Imported)'!A1408</f>
        <v>0</v>
      </c>
      <c r="B1408" s="51">
        <f t="shared" si="66"/>
        <v>4968</v>
      </c>
      <c r="C1408" s="49">
        <f>HLOOKUP("# Cores",'vHosts (Imported)'!$1:$5000,M1408,FALSE)</f>
        <v>0</v>
      </c>
      <c r="D1408" s="52">
        <f>HLOOKUP("# Memory",'vHosts (Imported)'!$1:$5000,M1408,FALSE)</f>
        <v>0</v>
      </c>
      <c r="M1408" s="45">
        <f t="shared" si="65"/>
        <v>1408</v>
      </c>
      <c r="N1408" s="38">
        <f>HLOOKUP("Host",'vInfo (Imported)'!$1:$5000,M1408,FALSE)</f>
        <v>0</v>
      </c>
      <c r="R1408">
        <f>HLOOKUP("CPUs",'vInfo (Imported)'!$1:$5000,M1408,FALSE)</f>
        <v>0</v>
      </c>
      <c r="S1408">
        <f>HLOOKUP("Memory",'vInfo (Imported)'!$1:$5000,M1408,FALSE)</f>
        <v>0</v>
      </c>
      <c r="T1408">
        <f>HLOOKUP("Provisioned MiB",'vInfo (Imported)'!$1:$5000,M1408,FALSE)</f>
        <v>0</v>
      </c>
      <c r="U1408">
        <f t="shared" si="64"/>
        <v>0</v>
      </c>
      <c r="V1408">
        <f>HLOOKUP("In Use MiB",'vInfo (Imported)'!$1:$5000,M1408,FALSE)</f>
        <v>0</v>
      </c>
    </row>
    <row r="1409" spans="1:22" ht="13" x14ac:dyDescent="0.3">
      <c r="A1409" s="46">
        <f>'vHosts (Imported)'!A1409</f>
        <v>0</v>
      </c>
      <c r="B1409" s="51">
        <f t="shared" si="66"/>
        <v>4968</v>
      </c>
      <c r="C1409" s="49">
        <f>HLOOKUP("# Cores",'vHosts (Imported)'!$1:$5000,M1409,FALSE)</f>
        <v>0</v>
      </c>
      <c r="D1409" s="52">
        <f>HLOOKUP("# Memory",'vHosts (Imported)'!$1:$5000,M1409,FALSE)</f>
        <v>0</v>
      </c>
      <c r="M1409" s="45">
        <f t="shared" si="65"/>
        <v>1409</v>
      </c>
      <c r="N1409" s="38">
        <f>HLOOKUP("Host",'vInfo (Imported)'!$1:$5000,M1409,FALSE)</f>
        <v>0</v>
      </c>
      <c r="R1409">
        <f>HLOOKUP("CPUs",'vInfo (Imported)'!$1:$5000,M1409,FALSE)</f>
        <v>0</v>
      </c>
      <c r="S1409">
        <f>HLOOKUP("Memory",'vInfo (Imported)'!$1:$5000,M1409,FALSE)</f>
        <v>0</v>
      </c>
      <c r="T1409">
        <f>HLOOKUP("Provisioned MiB",'vInfo (Imported)'!$1:$5000,M1409,FALSE)</f>
        <v>0</v>
      </c>
      <c r="U1409">
        <f t="shared" si="64"/>
        <v>0</v>
      </c>
      <c r="V1409">
        <f>HLOOKUP("In Use MiB",'vInfo (Imported)'!$1:$5000,M1409,FALSE)</f>
        <v>0</v>
      </c>
    </row>
    <row r="1410" spans="1:22" ht="13" x14ac:dyDescent="0.3">
      <c r="A1410" s="46">
        <f>'vHosts (Imported)'!A1410</f>
        <v>0</v>
      </c>
      <c r="B1410" s="51">
        <f t="shared" si="66"/>
        <v>4968</v>
      </c>
      <c r="C1410" s="49">
        <f>HLOOKUP("# Cores",'vHosts (Imported)'!$1:$5000,M1410,FALSE)</f>
        <v>0</v>
      </c>
      <c r="D1410" s="52">
        <f>HLOOKUP("# Memory",'vHosts (Imported)'!$1:$5000,M1410,FALSE)</f>
        <v>0</v>
      </c>
      <c r="M1410" s="45">
        <f t="shared" si="65"/>
        <v>1410</v>
      </c>
      <c r="N1410" s="38">
        <f>HLOOKUP("Host",'vInfo (Imported)'!$1:$5000,M1410,FALSE)</f>
        <v>0</v>
      </c>
      <c r="R1410">
        <f>HLOOKUP("CPUs",'vInfo (Imported)'!$1:$5000,M1410,FALSE)</f>
        <v>0</v>
      </c>
      <c r="S1410">
        <f>HLOOKUP("Memory",'vInfo (Imported)'!$1:$5000,M1410,FALSE)</f>
        <v>0</v>
      </c>
      <c r="T1410">
        <f>HLOOKUP("Provisioned MiB",'vInfo (Imported)'!$1:$5000,M1410,FALSE)</f>
        <v>0</v>
      </c>
      <c r="U1410">
        <f t="shared" si="64"/>
        <v>0</v>
      </c>
      <c r="V1410">
        <f>HLOOKUP("In Use MiB",'vInfo (Imported)'!$1:$5000,M1410,FALSE)</f>
        <v>0</v>
      </c>
    </row>
    <row r="1411" spans="1:22" ht="13" x14ac:dyDescent="0.3">
      <c r="A1411" s="46">
        <f>'vHosts (Imported)'!A1411</f>
        <v>0</v>
      </c>
      <c r="B1411" s="51">
        <f t="shared" si="66"/>
        <v>4968</v>
      </c>
      <c r="C1411" s="49">
        <f>HLOOKUP("# Cores",'vHosts (Imported)'!$1:$5000,M1411,FALSE)</f>
        <v>0</v>
      </c>
      <c r="D1411" s="52">
        <f>HLOOKUP("# Memory",'vHosts (Imported)'!$1:$5000,M1411,FALSE)</f>
        <v>0</v>
      </c>
      <c r="M1411" s="45">
        <f t="shared" si="65"/>
        <v>1411</v>
      </c>
      <c r="N1411" s="38">
        <f>HLOOKUP("Host",'vInfo (Imported)'!$1:$5000,M1411,FALSE)</f>
        <v>0</v>
      </c>
      <c r="R1411">
        <f>HLOOKUP("CPUs",'vInfo (Imported)'!$1:$5000,M1411,FALSE)</f>
        <v>0</v>
      </c>
      <c r="S1411">
        <f>HLOOKUP("Memory",'vInfo (Imported)'!$1:$5000,M1411,FALSE)</f>
        <v>0</v>
      </c>
      <c r="T1411">
        <f>HLOOKUP("Provisioned MiB",'vInfo (Imported)'!$1:$5000,M1411,FALSE)</f>
        <v>0</v>
      </c>
      <c r="U1411">
        <f t="shared" ref="U1411:U1474" si="67">T1411-V1411</f>
        <v>0</v>
      </c>
      <c r="V1411">
        <f>HLOOKUP("In Use MiB",'vInfo (Imported)'!$1:$5000,M1411,FALSE)</f>
        <v>0</v>
      </c>
    </row>
    <row r="1412" spans="1:22" ht="13" x14ac:dyDescent="0.3">
      <c r="A1412" s="46">
        <f>'vHosts (Imported)'!A1412</f>
        <v>0</v>
      </c>
      <c r="B1412" s="51">
        <f t="shared" si="66"/>
        <v>4968</v>
      </c>
      <c r="C1412" s="49">
        <f>HLOOKUP("# Cores",'vHosts (Imported)'!$1:$5000,M1412,FALSE)</f>
        <v>0</v>
      </c>
      <c r="D1412" s="52">
        <f>HLOOKUP("# Memory",'vHosts (Imported)'!$1:$5000,M1412,FALSE)</f>
        <v>0</v>
      </c>
      <c r="M1412" s="45">
        <f t="shared" ref="M1412:M1475" si="68">M1411+1</f>
        <v>1412</v>
      </c>
      <c r="N1412" s="38">
        <f>HLOOKUP("Host",'vInfo (Imported)'!$1:$5000,M1412,FALSE)</f>
        <v>0</v>
      </c>
      <c r="R1412">
        <f>HLOOKUP("CPUs",'vInfo (Imported)'!$1:$5000,M1412,FALSE)</f>
        <v>0</v>
      </c>
      <c r="S1412">
        <f>HLOOKUP("Memory",'vInfo (Imported)'!$1:$5000,M1412,FALSE)</f>
        <v>0</v>
      </c>
      <c r="T1412">
        <f>HLOOKUP("Provisioned MiB",'vInfo (Imported)'!$1:$5000,M1412,FALSE)</f>
        <v>0</v>
      </c>
      <c r="U1412">
        <f t="shared" si="67"/>
        <v>0</v>
      </c>
      <c r="V1412">
        <f>HLOOKUP("In Use MiB",'vInfo (Imported)'!$1:$5000,M1412,FALSE)</f>
        <v>0</v>
      </c>
    </row>
    <row r="1413" spans="1:22" ht="13" x14ac:dyDescent="0.3">
      <c r="A1413" s="46">
        <f>'vHosts (Imported)'!A1413</f>
        <v>0</v>
      </c>
      <c r="B1413" s="51">
        <f t="shared" si="66"/>
        <v>4968</v>
      </c>
      <c r="C1413" s="49">
        <f>HLOOKUP("# Cores",'vHosts (Imported)'!$1:$5000,M1413,FALSE)</f>
        <v>0</v>
      </c>
      <c r="D1413" s="52">
        <f>HLOOKUP("# Memory",'vHosts (Imported)'!$1:$5000,M1413,FALSE)</f>
        <v>0</v>
      </c>
      <c r="M1413" s="45">
        <f t="shared" si="68"/>
        <v>1413</v>
      </c>
      <c r="N1413" s="38">
        <f>HLOOKUP("Host",'vInfo (Imported)'!$1:$5000,M1413,FALSE)</f>
        <v>0</v>
      </c>
      <c r="R1413">
        <f>HLOOKUP("CPUs",'vInfo (Imported)'!$1:$5000,M1413,FALSE)</f>
        <v>0</v>
      </c>
      <c r="S1413">
        <f>HLOOKUP("Memory",'vInfo (Imported)'!$1:$5000,M1413,FALSE)</f>
        <v>0</v>
      </c>
      <c r="T1413">
        <f>HLOOKUP("Provisioned MiB",'vInfo (Imported)'!$1:$5000,M1413,FALSE)</f>
        <v>0</v>
      </c>
      <c r="U1413">
        <f t="shared" si="67"/>
        <v>0</v>
      </c>
      <c r="V1413">
        <f>HLOOKUP("In Use MiB",'vInfo (Imported)'!$1:$5000,M1413,FALSE)</f>
        <v>0</v>
      </c>
    </row>
    <row r="1414" spans="1:22" ht="13" x14ac:dyDescent="0.3">
      <c r="A1414" s="46">
        <f>'vHosts (Imported)'!A1414</f>
        <v>0</v>
      </c>
      <c r="B1414" s="51">
        <f t="shared" si="66"/>
        <v>4968</v>
      </c>
      <c r="C1414" s="49">
        <f>HLOOKUP("# Cores",'vHosts (Imported)'!$1:$5000,M1414,FALSE)</f>
        <v>0</v>
      </c>
      <c r="D1414" s="52">
        <f>HLOOKUP("# Memory",'vHosts (Imported)'!$1:$5000,M1414,FALSE)</f>
        <v>0</v>
      </c>
      <c r="M1414" s="45">
        <f t="shared" si="68"/>
        <v>1414</v>
      </c>
      <c r="N1414" s="38">
        <f>HLOOKUP("Host",'vInfo (Imported)'!$1:$5000,M1414,FALSE)</f>
        <v>0</v>
      </c>
      <c r="R1414">
        <f>HLOOKUP("CPUs",'vInfo (Imported)'!$1:$5000,M1414,FALSE)</f>
        <v>0</v>
      </c>
      <c r="S1414">
        <f>HLOOKUP("Memory",'vInfo (Imported)'!$1:$5000,M1414,FALSE)</f>
        <v>0</v>
      </c>
      <c r="T1414">
        <f>HLOOKUP("Provisioned MiB",'vInfo (Imported)'!$1:$5000,M1414,FALSE)</f>
        <v>0</v>
      </c>
      <c r="U1414">
        <f t="shared" si="67"/>
        <v>0</v>
      </c>
      <c r="V1414">
        <f>HLOOKUP("In Use MiB",'vInfo (Imported)'!$1:$5000,M1414,FALSE)</f>
        <v>0</v>
      </c>
    </row>
    <row r="1415" spans="1:22" ht="13" x14ac:dyDescent="0.3">
      <c r="A1415" s="46">
        <f>'vHosts (Imported)'!A1415</f>
        <v>0</v>
      </c>
      <c r="B1415" s="51">
        <f t="shared" si="66"/>
        <v>4968</v>
      </c>
      <c r="C1415" s="49">
        <f>HLOOKUP("# Cores",'vHosts (Imported)'!$1:$5000,M1415,FALSE)</f>
        <v>0</v>
      </c>
      <c r="D1415" s="52">
        <f>HLOOKUP("# Memory",'vHosts (Imported)'!$1:$5000,M1415,FALSE)</f>
        <v>0</v>
      </c>
      <c r="M1415" s="45">
        <f t="shared" si="68"/>
        <v>1415</v>
      </c>
      <c r="N1415" s="38">
        <f>HLOOKUP("Host",'vInfo (Imported)'!$1:$5000,M1415,FALSE)</f>
        <v>0</v>
      </c>
      <c r="R1415">
        <f>HLOOKUP("CPUs",'vInfo (Imported)'!$1:$5000,M1415,FALSE)</f>
        <v>0</v>
      </c>
      <c r="S1415">
        <f>HLOOKUP("Memory",'vInfo (Imported)'!$1:$5000,M1415,FALSE)</f>
        <v>0</v>
      </c>
      <c r="T1415">
        <f>HLOOKUP("Provisioned MiB",'vInfo (Imported)'!$1:$5000,M1415,FALSE)</f>
        <v>0</v>
      </c>
      <c r="U1415">
        <f t="shared" si="67"/>
        <v>0</v>
      </c>
      <c r="V1415">
        <f>HLOOKUP("In Use MiB",'vInfo (Imported)'!$1:$5000,M1415,FALSE)</f>
        <v>0</v>
      </c>
    </row>
    <row r="1416" spans="1:22" ht="13" x14ac:dyDescent="0.3">
      <c r="A1416" s="46">
        <f>'vHosts (Imported)'!A1416</f>
        <v>0</v>
      </c>
      <c r="B1416" s="51">
        <f t="shared" si="66"/>
        <v>4968</v>
      </c>
      <c r="C1416" s="49">
        <f>HLOOKUP("# Cores",'vHosts (Imported)'!$1:$5000,M1416,FALSE)</f>
        <v>0</v>
      </c>
      <c r="D1416" s="52">
        <f>HLOOKUP("# Memory",'vHosts (Imported)'!$1:$5000,M1416,FALSE)</f>
        <v>0</v>
      </c>
      <c r="M1416" s="45">
        <f t="shared" si="68"/>
        <v>1416</v>
      </c>
      <c r="N1416" s="38">
        <f>HLOOKUP("Host",'vInfo (Imported)'!$1:$5000,M1416,FALSE)</f>
        <v>0</v>
      </c>
      <c r="R1416">
        <f>HLOOKUP("CPUs",'vInfo (Imported)'!$1:$5000,M1416,FALSE)</f>
        <v>0</v>
      </c>
      <c r="S1416">
        <f>HLOOKUP("Memory",'vInfo (Imported)'!$1:$5000,M1416,FALSE)</f>
        <v>0</v>
      </c>
      <c r="T1416">
        <f>HLOOKUP("Provisioned MiB",'vInfo (Imported)'!$1:$5000,M1416,FALSE)</f>
        <v>0</v>
      </c>
      <c r="U1416">
        <f t="shared" si="67"/>
        <v>0</v>
      </c>
      <c r="V1416">
        <f>HLOOKUP("In Use MiB",'vInfo (Imported)'!$1:$5000,M1416,FALSE)</f>
        <v>0</v>
      </c>
    </row>
    <row r="1417" spans="1:22" ht="13" x14ac:dyDescent="0.3">
      <c r="A1417" s="46">
        <f>'vHosts (Imported)'!A1417</f>
        <v>0</v>
      </c>
      <c r="B1417" s="51">
        <f t="shared" si="66"/>
        <v>4968</v>
      </c>
      <c r="C1417" s="49">
        <f>HLOOKUP("# Cores",'vHosts (Imported)'!$1:$5000,M1417,FALSE)</f>
        <v>0</v>
      </c>
      <c r="D1417" s="52">
        <f>HLOOKUP("# Memory",'vHosts (Imported)'!$1:$5000,M1417,FALSE)</f>
        <v>0</v>
      </c>
      <c r="M1417" s="45">
        <f t="shared" si="68"/>
        <v>1417</v>
      </c>
      <c r="N1417" s="38">
        <f>HLOOKUP("Host",'vInfo (Imported)'!$1:$5000,M1417,FALSE)</f>
        <v>0</v>
      </c>
      <c r="R1417">
        <f>HLOOKUP("CPUs",'vInfo (Imported)'!$1:$5000,M1417,FALSE)</f>
        <v>0</v>
      </c>
      <c r="S1417">
        <f>HLOOKUP("Memory",'vInfo (Imported)'!$1:$5000,M1417,FALSE)</f>
        <v>0</v>
      </c>
      <c r="T1417">
        <f>HLOOKUP("Provisioned MiB",'vInfo (Imported)'!$1:$5000,M1417,FALSE)</f>
        <v>0</v>
      </c>
      <c r="U1417">
        <f t="shared" si="67"/>
        <v>0</v>
      </c>
      <c r="V1417">
        <f>HLOOKUP("In Use MiB",'vInfo (Imported)'!$1:$5000,M1417,FALSE)</f>
        <v>0</v>
      </c>
    </row>
    <row r="1418" spans="1:22" ht="13" x14ac:dyDescent="0.3">
      <c r="A1418" s="46">
        <f>'vHosts (Imported)'!A1418</f>
        <v>0</v>
      </c>
      <c r="B1418" s="51">
        <f t="shared" si="66"/>
        <v>4968</v>
      </c>
      <c r="C1418" s="49">
        <f>HLOOKUP("# Cores",'vHosts (Imported)'!$1:$5000,M1418,FALSE)</f>
        <v>0</v>
      </c>
      <c r="D1418" s="52">
        <f>HLOOKUP("# Memory",'vHosts (Imported)'!$1:$5000,M1418,FALSE)</f>
        <v>0</v>
      </c>
      <c r="M1418" s="45">
        <f t="shared" si="68"/>
        <v>1418</v>
      </c>
      <c r="N1418" s="38">
        <f>HLOOKUP("Host",'vInfo (Imported)'!$1:$5000,M1418,FALSE)</f>
        <v>0</v>
      </c>
      <c r="R1418">
        <f>HLOOKUP("CPUs",'vInfo (Imported)'!$1:$5000,M1418,FALSE)</f>
        <v>0</v>
      </c>
      <c r="S1418">
        <f>HLOOKUP("Memory",'vInfo (Imported)'!$1:$5000,M1418,FALSE)</f>
        <v>0</v>
      </c>
      <c r="T1418">
        <f>HLOOKUP("Provisioned MiB",'vInfo (Imported)'!$1:$5000,M1418,FALSE)</f>
        <v>0</v>
      </c>
      <c r="U1418">
        <f t="shared" si="67"/>
        <v>0</v>
      </c>
      <c r="V1418">
        <f>HLOOKUP("In Use MiB",'vInfo (Imported)'!$1:$5000,M1418,FALSE)</f>
        <v>0</v>
      </c>
    </row>
    <row r="1419" spans="1:22" ht="13" x14ac:dyDescent="0.3">
      <c r="A1419" s="46">
        <f>'vHosts (Imported)'!A1419</f>
        <v>0</v>
      </c>
      <c r="B1419" s="51">
        <f t="shared" si="66"/>
        <v>4968</v>
      </c>
      <c r="C1419" s="49">
        <f>HLOOKUP("# Cores",'vHosts (Imported)'!$1:$5000,M1419,FALSE)</f>
        <v>0</v>
      </c>
      <c r="D1419" s="52">
        <f>HLOOKUP("# Memory",'vHosts (Imported)'!$1:$5000,M1419,FALSE)</f>
        <v>0</v>
      </c>
      <c r="M1419" s="45">
        <f t="shared" si="68"/>
        <v>1419</v>
      </c>
      <c r="N1419" s="38">
        <f>HLOOKUP("Host",'vInfo (Imported)'!$1:$5000,M1419,FALSE)</f>
        <v>0</v>
      </c>
      <c r="R1419">
        <f>HLOOKUP("CPUs",'vInfo (Imported)'!$1:$5000,M1419,FALSE)</f>
        <v>0</v>
      </c>
      <c r="S1419">
        <f>HLOOKUP("Memory",'vInfo (Imported)'!$1:$5000,M1419,FALSE)</f>
        <v>0</v>
      </c>
      <c r="T1419">
        <f>HLOOKUP("Provisioned MiB",'vInfo (Imported)'!$1:$5000,M1419,FALSE)</f>
        <v>0</v>
      </c>
      <c r="U1419">
        <f t="shared" si="67"/>
        <v>0</v>
      </c>
      <c r="V1419">
        <f>HLOOKUP("In Use MiB",'vInfo (Imported)'!$1:$5000,M1419,FALSE)</f>
        <v>0</v>
      </c>
    </row>
    <row r="1420" spans="1:22" ht="13" x14ac:dyDescent="0.3">
      <c r="A1420" s="46">
        <f>'vHosts (Imported)'!A1420</f>
        <v>0</v>
      </c>
      <c r="B1420" s="51">
        <f t="shared" si="66"/>
        <v>4968</v>
      </c>
      <c r="C1420" s="49">
        <f>HLOOKUP("# Cores",'vHosts (Imported)'!$1:$5000,M1420,FALSE)</f>
        <v>0</v>
      </c>
      <c r="D1420" s="52">
        <f>HLOOKUP("# Memory",'vHosts (Imported)'!$1:$5000,M1420,FALSE)</f>
        <v>0</v>
      </c>
      <c r="M1420" s="45">
        <f t="shared" si="68"/>
        <v>1420</v>
      </c>
      <c r="N1420" s="38">
        <f>HLOOKUP("Host",'vInfo (Imported)'!$1:$5000,M1420,FALSE)</f>
        <v>0</v>
      </c>
      <c r="R1420">
        <f>HLOOKUP("CPUs",'vInfo (Imported)'!$1:$5000,M1420,FALSE)</f>
        <v>0</v>
      </c>
      <c r="S1420">
        <f>HLOOKUP("Memory",'vInfo (Imported)'!$1:$5000,M1420,FALSE)</f>
        <v>0</v>
      </c>
      <c r="T1420">
        <f>HLOOKUP("Provisioned MiB",'vInfo (Imported)'!$1:$5000,M1420,FALSE)</f>
        <v>0</v>
      </c>
      <c r="U1420">
        <f t="shared" si="67"/>
        <v>0</v>
      </c>
      <c r="V1420">
        <f>HLOOKUP("In Use MiB",'vInfo (Imported)'!$1:$5000,M1420,FALSE)</f>
        <v>0</v>
      </c>
    </row>
    <row r="1421" spans="1:22" ht="13" x14ac:dyDescent="0.3">
      <c r="A1421" s="46">
        <f>'vHosts (Imported)'!A1421</f>
        <v>0</v>
      </c>
      <c r="B1421" s="51">
        <f t="shared" si="66"/>
        <v>4968</v>
      </c>
      <c r="C1421" s="49">
        <f>HLOOKUP("# Cores",'vHosts (Imported)'!$1:$5000,M1421,FALSE)</f>
        <v>0</v>
      </c>
      <c r="D1421" s="52">
        <f>HLOOKUP("# Memory",'vHosts (Imported)'!$1:$5000,M1421,FALSE)</f>
        <v>0</v>
      </c>
      <c r="M1421" s="45">
        <f t="shared" si="68"/>
        <v>1421</v>
      </c>
      <c r="N1421" s="38">
        <f>HLOOKUP("Host",'vInfo (Imported)'!$1:$5000,M1421,FALSE)</f>
        <v>0</v>
      </c>
      <c r="R1421">
        <f>HLOOKUP("CPUs",'vInfo (Imported)'!$1:$5000,M1421,FALSE)</f>
        <v>0</v>
      </c>
      <c r="S1421">
        <f>HLOOKUP("Memory",'vInfo (Imported)'!$1:$5000,M1421,FALSE)</f>
        <v>0</v>
      </c>
      <c r="T1421">
        <f>HLOOKUP("Provisioned MiB",'vInfo (Imported)'!$1:$5000,M1421,FALSE)</f>
        <v>0</v>
      </c>
      <c r="U1421">
        <f t="shared" si="67"/>
        <v>0</v>
      </c>
      <c r="V1421">
        <f>HLOOKUP("In Use MiB",'vInfo (Imported)'!$1:$5000,M1421,FALSE)</f>
        <v>0</v>
      </c>
    </row>
    <row r="1422" spans="1:22" ht="13" x14ac:dyDescent="0.3">
      <c r="A1422" s="46">
        <f>'vHosts (Imported)'!A1422</f>
        <v>0</v>
      </c>
      <c r="B1422" s="51">
        <f t="shared" si="66"/>
        <v>4968</v>
      </c>
      <c r="C1422" s="49">
        <f>HLOOKUP("# Cores",'vHosts (Imported)'!$1:$5000,M1422,FALSE)</f>
        <v>0</v>
      </c>
      <c r="D1422" s="52">
        <f>HLOOKUP("# Memory",'vHosts (Imported)'!$1:$5000,M1422,FALSE)</f>
        <v>0</v>
      </c>
      <c r="M1422" s="45">
        <f t="shared" si="68"/>
        <v>1422</v>
      </c>
      <c r="N1422" s="38">
        <f>HLOOKUP("Host",'vInfo (Imported)'!$1:$5000,M1422,FALSE)</f>
        <v>0</v>
      </c>
      <c r="R1422">
        <f>HLOOKUP("CPUs",'vInfo (Imported)'!$1:$5000,M1422,FALSE)</f>
        <v>0</v>
      </c>
      <c r="S1422">
        <f>HLOOKUP("Memory",'vInfo (Imported)'!$1:$5000,M1422,FALSE)</f>
        <v>0</v>
      </c>
      <c r="T1422">
        <f>HLOOKUP("Provisioned MiB",'vInfo (Imported)'!$1:$5000,M1422,FALSE)</f>
        <v>0</v>
      </c>
      <c r="U1422">
        <f t="shared" si="67"/>
        <v>0</v>
      </c>
      <c r="V1422">
        <f>HLOOKUP("In Use MiB",'vInfo (Imported)'!$1:$5000,M1422,FALSE)</f>
        <v>0</v>
      </c>
    </row>
    <row r="1423" spans="1:22" ht="13" x14ac:dyDescent="0.3">
      <c r="A1423" s="46">
        <f>'vHosts (Imported)'!A1423</f>
        <v>0</v>
      </c>
      <c r="B1423" s="51">
        <f t="shared" si="66"/>
        <v>4968</v>
      </c>
      <c r="C1423" s="49">
        <f>HLOOKUP("# Cores",'vHosts (Imported)'!$1:$5000,M1423,FALSE)</f>
        <v>0</v>
      </c>
      <c r="D1423" s="52">
        <f>HLOOKUP("# Memory",'vHosts (Imported)'!$1:$5000,M1423,FALSE)</f>
        <v>0</v>
      </c>
      <c r="M1423" s="45">
        <f t="shared" si="68"/>
        <v>1423</v>
      </c>
      <c r="N1423" s="38">
        <f>HLOOKUP("Host",'vInfo (Imported)'!$1:$5000,M1423,FALSE)</f>
        <v>0</v>
      </c>
      <c r="R1423">
        <f>HLOOKUP("CPUs",'vInfo (Imported)'!$1:$5000,M1423,FALSE)</f>
        <v>0</v>
      </c>
      <c r="S1423">
        <f>HLOOKUP("Memory",'vInfo (Imported)'!$1:$5000,M1423,FALSE)</f>
        <v>0</v>
      </c>
      <c r="T1423">
        <f>HLOOKUP("Provisioned MiB",'vInfo (Imported)'!$1:$5000,M1423,FALSE)</f>
        <v>0</v>
      </c>
      <c r="U1423">
        <f t="shared" si="67"/>
        <v>0</v>
      </c>
      <c r="V1423">
        <f>HLOOKUP("In Use MiB",'vInfo (Imported)'!$1:$5000,M1423,FALSE)</f>
        <v>0</v>
      </c>
    </row>
    <row r="1424" spans="1:22" ht="13" x14ac:dyDescent="0.3">
      <c r="A1424" s="46">
        <f>'vHosts (Imported)'!A1424</f>
        <v>0</v>
      </c>
      <c r="B1424" s="51">
        <f t="shared" si="66"/>
        <v>4968</v>
      </c>
      <c r="C1424" s="49">
        <f>HLOOKUP("# Cores",'vHosts (Imported)'!$1:$5000,M1424,FALSE)</f>
        <v>0</v>
      </c>
      <c r="D1424" s="52">
        <f>HLOOKUP("# Memory",'vHosts (Imported)'!$1:$5000,M1424,FALSE)</f>
        <v>0</v>
      </c>
      <c r="M1424" s="45">
        <f t="shared" si="68"/>
        <v>1424</v>
      </c>
      <c r="N1424" s="38">
        <f>HLOOKUP("Host",'vInfo (Imported)'!$1:$5000,M1424,FALSE)</f>
        <v>0</v>
      </c>
      <c r="R1424">
        <f>HLOOKUP("CPUs",'vInfo (Imported)'!$1:$5000,M1424,FALSE)</f>
        <v>0</v>
      </c>
      <c r="S1424">
        <f>HLOOKUP("Memory",'vInfo (Imported)'!$1:$5000,M1424,FALSE)</f>
        <v>0</v>
      </c>
      <c r="T1424">
        <f>HLOOKUP("Provisioned MiB",'vInfo (Imported)'!$1:$5000,M1424,FALSE)</f>
        <v>0</v>
      </c>
      <c r="U1424">
        <f t="shared" si="67"/>
        <v>0</v>
      </c>
      <c r="V1424">
        <f>HLOOKUP("In Use MiB",'vInfo (Imported)'!$1:$5000,M1424,FALSE)</f>
        <v>0</v>
      </c>
    </row>
    <row r="1425" spans="1:22" ht="13" x14ac:dyDescent="0.3">
      <c r="A1425" s="46">
        <f>'vHosts (Imported)'!A1425</f>
        <v>0</v>
      </c>
      <c r="B1425" s="51">
        <f t="shared" si="66"/>
        <v>4968</v>
      </c>
      <c r="C1425" s="49">
        <f>HLOOKUP("# Cores",'vHosts (Imported)'!$1:$5000,M1425,FALSE)</f>
        <v>0</v>
      </c>
      <c r="D1425" s="52">
        <f>HLOOKUP("# Memory",'vHosts (Imported)'!$1:$5000,M1425,FALSE)</f>
        <v>0</v>
      </c>
      <c r="M1425" s="45">
        <f t="shared" si="68"/>
        <v>1425</v>
      </c>
      <c r="N1425" s="38">
        <f>HLOOKUP("Host",'vInfo (Imported)'!$1:$5000,M1425,FALSE)</f>
        <v>0</v>
      </c>
      <c r="R1425">
        <f>HLOOKUP("CPUs",'vInfo (Imported)'!$1:$5000,M1425,FALSE)</f>
        <v>0</v>
      </c>
      <c r="S1425">
        <f>HLOOKUP("Memory",'vInfo (Imported)'!$1:$5000,M1425,FALSE)</f>
        <v>0</v>
      </c>
      <c r="T1425">
        <f>HLOOKUP("Provisioned MiB",'vInfo (Imported)'!$1:$5000,M1425,FALSE)</f>
        <v>0</v>
      </c>
      <c r="U1425">
        <f t="shared" si="67"/>
        <v>0</v>
      </c>
      <c r="V1425">
        <f>HLOOKUP("In Use MiB",'vInfo (Imported)'!$1:$5000,M1425,FALSE)</f>
        <v>0</v>
      </c>
    </row>
    <row r="1426" spans="1:22" ht="13" x14ac:dyDescent="0.3">
      <c r="A1426" s="46">
        <f>'vHosts (Imported)'!A1426</f>
        <v>0</v>
      </c>
      <c r="B1426" s="51">
        <f t="shared" si="66"/>
        <v>4968</v>
      </c>
      <c r="C1426" s="49">
        <f>HLOOKUP("# Cores",'vHosts (Imported)'!$1:$5000,M1426,FALSE)</f>
        <v>0</v>
      </c>
      <c r="D1426" s="52">
        <f>HLOOKUP("# Memory",'vHosts (Imported)'!$1:$5000,M1426,FALSE)</f>
        <v>0</v>
      </c>
      <c r="M1426" s="45">
        <f t="shared" si="68"/>
        <v>1426</v>
      </c>
      <c r="N1426" s="38">
        <f>HLOOKUP("Host",'vInfo (Imported)'!$1:$5000,M1426,FALSE)</f>
        <v>0</v>
      </c>
      <c r="R1426">
        <f>HLOOKUP("CPUs",'vInfo (Imported)'!$1:$5000,M1426,FALSE)</f>
        <v>0</v>
      </c>
      <c r="S1426">
        <f>HLOOKUP("Memory",'vInfo (Imported)'!$1:$5000,M1426,FALSE)</f>
        <v>0</v>
      </c>
      <c r="T1426">
        <f>HLOOKUP("Provisioned MiB",'vInfo (Imported)'!$1:$5000,M1426,FALSE)</f>
        <v>0</v>
      </c>
      <c r="U1426">
        <f t="shared" si="67"/>
        <v>0</v>
      </c>
      <c r="V1426">
        <f>HLOOKUP("In Use MiB",'vInfo (Imported)'!$1:$5000,M1426,FALSE)</f>
        <v>0</v>
      </c>
    </row>
    <row r="1427" spans="1:22" ht="13" x14ac:dyDescent="0.3">
      <c r="A1427" s="46">
        <f>'vHosts (Imported)'!A1427</f>
        <v>0</v>
      </c>
      <c r="B1427" s="51">
        <f t="shared" si="66"/>
        <v>4968</v>
      </c>
      <c r="C1427" s="49">
        <f>HLOOKUP("# Cores",'vHosts (Imported)'!$1:$5000,M1427,FALSE)</f>
        <v>0</v>
      </c>
      <c r="D1427" s="52">
        <f>HLOOKUP("# Memory",'vHosts (Imported)'!$1:$5000,M1427,FALSE)</f>
        <v>0</v>
      </c>
      <c r="M1427" s="45">
        <f t="shared" si="68"/>
        <v>1427</v>
      </c>
      <c r="N1427" s="38">
        <f>HLOOKUP("Host",'vInfo (Imported)'!$1:$5000,M1427,FALSE)</f>
        <v>0</v>
      </c>
      <c r="R1427">
        <f>HLOOKUP("CPUs",'vInfo (Imported)'!$1:$5000,M1427,FALSE)</f>
        <v>0</v>
      </c>
      <c r="S1427">
        <f>HLOOKUP("Memory",'vInfo (Imported)'!$1:$5000,M1427,FALSE)</f>
        <v>0</v>
      </c>
      <c r="T1427">
        <f>HLOOKUP("Provisioned MiB",'vInfo (Imported)'!$1:$5000,M1427,FALSE)</f>
        <v>0</v>
      </c>
      <c r="U1427">
        <f t="shared" si="67"/>
        <v>0</v>
      </c>
      <c r="V1427">
        <f>HLOOKUP("In Use MiB",'vInfo (Imported)'!$1:$5000,M1427,FALSE)</f>
        <v>0</v>
      </c>
    </row>
    <row r="1428" spans="1:22" ht="13" x14ac:dyDescent="0.3">
      <c r="A1428" s="46">
        <f>'vHosts (Imported)'!A1428</f>
        <v>0</v>
      </c>
      <c r="B1428" s="51">
        <f t="shared" si="66"/>
        <v>4968</v>
      </c>
      <c r="C1428" s="49">
        <f>HLOOKUP("# Cores",'vHosts (Imported)'!$1:$5000,M1428,FALSE)</f>
        <v>0</v>
      </c>
      <c r="D1428" s="52">
        <f>HLOOKUP("# Memory",'vHosts (Imported)'!$1:$5000,M1428,FALSE)</f>
        <v>0</v>
      </c>
      <c r="M1428" s="45">
        <f t="shared" si="68"/>
        <v>1428</v>
      </c>
      <c r="N1428" s="38">
        <f>HLOOKUP("Host",'vInfo (Imported)'!$1:$5000,M1428,FALSE)</f>
        <v>0</v>
      </c>
      <c r="R1428">
        <f>HLOOKUP("CPUs",'vInfo (Imported)'!$1:$5000,M1428,FALSE)</f>
        <v>0</v>
      </c>
      <c r="S1428">
        <f>HLOOKUP("Memory",'vInfo (Imported)'!$1:$5000,M1428,FALSE)</f>
        <v>0</v>
      </c>
      <c r="T1428">
        <f>HLOOKUP("Provisioned MiB",'vInfo (Imported)'!$1:$5000,M1428,FALSE)</f>
        <v>0</v>
      </c>
      <c r="U1428">
        <f t="shared" si="67"/>
        <v>0</v>
      </c>
      <c r="V1428">
        <f>HLOOKUP("In Use MiB",'vInfo (Imported)'!$1:$5000,M1428,FALSE)</f>
        <v>0</v>
      </c>
    </row>
    <row r="1429" spans="1:22" ht="13" x14ac:dyDescent="0.3">
      <c r="A1429" s="46">
        <f>'vHosts (Imported)'!A1429</f>
        <v>0</v>
      </c>
      <c r="B1429" s="51">
        <f t="shared" si="66"/>
        <v>4968</v>
      </c>
      <c r="C1429" s="49">
        <f>HLOOKUP("# Cores",'vHosts (Imported)'!$1:$5000,M1429,FALSE)</f>
        <v>0</v>
      </c>
      <c r="D1429" s="52">
        <f>HLOOKUP("# Memory",'vHosts (Imported)'!$1:$5000,M1429,FALSE)</f>
        <v>0</v>
      </c>
      <c r="M1429" s="45">
        <f t="shared" si="68"/>
        <v>1429</v>
      </c>
      <c r="N1429" s="38">
        <f>HLOOKUP("Host",'vInfo (Imported)'!$1:$5000,M1429,FALSE)</f>
        <v>0</v>
      </c>
      <c r="R1429">
        <f>HLOOKUP("CPUs",'vInfo (Imported)'!$1:$5000,M1429,FALSE)</f>
        <v>0</v>
      </c>
      <c r="S1429">
        <f>HLOOKUP("Memory",'vInfo (Imported)'!$1:$5000,M1429,FALSE)</f>
        <v>0</v>
      </c>
      <c r="T1429">
        <f>HLOOKUP("Provisioned MiB",'vInfo (Imported)'!$1:$5000,M1429,FALSE)</f>
        <v>0</v>
      </c>
      <c r="U1429">
        <f t="shared" si="67"/>
        <v>0</v>
      </c>
      <c r="V1429">
        <f>HLOOKUP("In Use MiB",'vInfo (Imported)'!$1:$5000,M1429,FALSE)</f>
        <v>0</v>
      </c>
    </row>
    <row r="1430" spans="1:22" ht="13" x14ac:dyDescent="0.3">
      <c r="A1430" s="46">
        <f>'vHosts (Imported)'!A1430</f>
        <v>0</v>
      </c>
      <c r="B1430" s="51">
        <f t="shared" si="66"/>
        <v>4968</v>
      </c>
      <c r="C1430" s="49">
        <f>HLOOKUP("# Cores",'vHosts (Imported)'!$1:$5000,M1430,FALSE)</f>
        <v>0</v>
      </c>
      <c r="D1430" s="52">
        <f>HLOOKUP("# Memory",'vHosts (Imported)'!$1:$5000,M1430,FALSE)</f>
        <v>0</v>
      </c>
      <c r="M1430" s="45">
        <f t="shared" si="68"/>
        <v>1430</v>
      </c>
      <c r="N1430" s="38">
        <f>HLOOKUP("Host",'vInfo (Imported)'!$1:$5000,M1430,FALSE)</f>
        <v>0</v>
      </c>
      <c r="R1430">
        <f>HLOOKUP("CPUs",'vInfo (Imported)'!$1:$5000,M1430,FALSE)</f>
        <v>0</v>
      </c>
      <c r="S1430">
        <f>HLOOKUP("Memory",'vInfo (Imported)'!$1:$5000,M1430,FALSE)</f>
        <v>0</v>
      </c>
      <c r="T1430">
        <f>HLOOKUP("Provisioned MiB",'vInfo (Imported)'!$1:$5000,M1430,FALSE)</f>
        <v>0</v>
      </c>
      <c r="U1430">
        <f t="shared" si="67"/>
        <v>0</v>
      </c>
      <c r="V1430">
        <f>HLOOKUP("In Use MiB",'vInfo (Imported)'!$1:$5000,M1430,FALSE)</f>
        <v>0</v>
      </c>
    </row>
    <row r="1431" spans="1:22" ht="13" x14ac:dyDescent="0.3">
      <c r="A1431" s="46">
        <f>'vHosts (Imported)'!A1431</f>
        <v>0</v>
      </c>
      <c r="B1431" s="51">
        <f t="shared" si="66"/>
        <v>4968</v>
      </c>
      <c r="C1431" s="49">
        <f>HLOOKUP("# Cores",'vHosts (Imported)'!$1:$5000,M1431,FALSE)</f>
        <v>0</v>
      </c>
      <c r="D1431" s="52">
        <f>HLOOKUP("# Memory",'vHosts (Imported)'!$1:$5000,M1431,FALSE)</f>
        <v>0</v>
      </c>
      <c r="M1431" s="45">
        <f t="shared" si="68"/>
        <v>1431</v>
      </c>
      <c r="N1431" s="38">
        <f>HLOOKUP("Host",'vInfo (Imported)'!$1:$5000,M1431,FALSE)</f>
        <v>0</v>
      </c>
      <c r="R1431">
        <f>HLOOKUP("CPUs",'vInfo (Imported)'!$1:$5000,M1431,FALSE)</f>
        <v>0</v>
      </c>
      <c r="S1431">
        <f>HLOOKUP("Memory",'vInfo (Imported)'!$1:$5000,M1431,FALSE)</f>
        <v>0</v>
      </c>
      <c r="T1431">
        <f>HLOOKUP("Provisioned MiB",'vInfo (Imported)'!$1:$5000,M1431,FALSE)</f>
        <v>0</v>
      </c>
      <c r="U1431">
        <f t="shared" si="67"/>
        <v>0</v>
      </c>
      <c r="V1431">
        <f>HLOOKUP("In Use MiB",'vInfo (Imported)'!$1:$5000,M1431,FALSE)</f>
        <v>0</v>
      </c>
    </row>
    <row r="1432" spans="1:22" ht="13" x14ac:dyDescent="0.3">
      <c r="A1432" s="46">
        <f>'vHosts (Imported)'!A1432</f>
        <v>0</v>
      </c>
      <c r="B1432" s="51">
        <f t="shared" si="66"/>
        <v>4968</v>
      </c>
      <c r="C1432" s="49">
        <f>HLOOKUP("# Cores",'vHosts (Imported)'!$1:$5000,M1432,FALSE)</f>
        <v>0</v>
      </c>
      <c r="D1432" s="52">
        <f>HLOOKUP("# Memory",'vHosts (Imported)'!$1:$5000,M1432,FALSE)</f>
        <v>0</v>
      </c>
      <c r="M1432" s="45">
        <f t="shared" si="68"/>
        <v>1432</v>
      </c>
      <c r="N1432" s="38">
        <f>HLOOKUP("Host",'vInfo (Imported)'!$1:$5000,M1432,FALSE)</f>
        <v>0</v>
      </c>
      <c r="R1432">
        <f>HLOOKUP("CPUs",'vInfo (Imported)'!$1:$5000,M1432,FALSE)</f>
        <v>0</v>
      </c>
      <c r="S1432">
        <f>HLOOKUP("Memory",'vInfo (Imported)'!$1:$5000,M1432,FALSE)</f>
        <v>0</v>
      </c>
      <c r="T1432">
        <f>HLOOKUP("Provisioned MiB",'vInfo (Imported)'!$1:$5000,M1432,FALSE)</f>
        <v>0</v>
      </c>
      <c r="U1432">
        <f t="shared" si="67"/>
        <v>0</v>
      </c>
      <c r="V1432">
        <f>HLOOKUP("In Use MiB",'vInfo (Imported)'!$1:$5000,M1432,FALSE)</f>
        <v>0</v>
      </c>
    </row>
    <row r="1433" spans="1:22" ht="13" x14ac:dyDescent="0.3">
      <c r="A1433" s="46">
        <f>'vHosts (Imported)'!A1433</f>
        <v>0</v>
      </c>
      <c r="B1433" s="51">
        <f t="shared" si="66"/>
        <v>4968</v>
      </c>
      <c r="C1433" s="49">
        <f>HLOOKUP("# Cores",'vHosts (Imported)'!$1:$5000,M1433,FALSE)</f>
        <v>0</v>
      </c>
      <c r="D1433" s="52">
        <f>HLOOKUP("# Memory",'vHosts (Imported)'!$1:$5000,M1433,FALSE)</f>
        <v>0</v>
      </c>
      <c r="M1433" s="45">
        <f t="shared" si="68"/>
        <v>1433</v>
      </c>
      <c r="N1433" s="38">
        <f>HLOOKUP("Host",'vInfo (Imported)'!$1:$5000,M1433,FALSE)</f>
        <v>0</v>
      </c>
      <c r="R1433">
        <f>HLOOKUP("CPUs",'vInfo (Imported)'!$1:$5000,M1433,FALSE)</f>
        <v>0</v>
      </c>
      <c r="S1433">
        <f>HLOOKUP("Memory",'vInfo (Imported)'!$1:$5000,M1433,FALSE)</f>
        <v>0</v>
      </c>
      <c r="T1433">
        <f>HLOOKUP("Provisioned MiB",'vInfo (Imported)'!$1:$5000,M1433,FALSE)</f>
        <v>0</v>
      </c>
      <c r="U1433">
        <f t="shared" si="67"/>
        <v>0</v>
      </c>
      <c r="V1433">
        <f>HLOOKUP("In Use MiB",'vInfo (Imported)'!$1:$5000,M1433,FALSE)</f>
        <v>0</v>
      </c>
    </row>
    <row r="1434" spans="1:22" ht="13" x14ac:dyDescent="0.3">
      <c r="A1434" s="46">
        <f>'vHosts (Imported)'!A1434</f>
        <v>0</v>
      </c>
      <c r="B1434" s="51">
        <f t="shared" si="66"/>
        <v>4968</v>
      </c>
      <c r="C1434" s="49">
        <f>HLOOKUP("# Cores",'vHosts (Imported)'!$1:$5000,M1434,FALSE)</f>
        <v>0</v>
      </c>
      <c r="D1434" s="52">
        <f>HLOOKUP("# Memory",'vHosts (Imported)'!$1:$5000,M1434,FALSE)</f>
        <v>0</v>
      </c>
      <c r="M1434" s="45">
        <f t="shared" si="68"/>
        <v>1434</v>
      </c>
      <c r="N1434" s="38">
        <f>HLOOKUP("Host",'vInfo (Imported)'!$1:$5000,M1434,FALSE)</f>
        <v>0</v>
      </c>
      <c r="R1434">
        <f>HLOOKUP("CPUs",'vInfo (Imported)'!$1:$5000,M1434,FALSE)</f>
        <v>0</v>
      </c>
      <c r="S1434">
        <f>HLOOKUP("Memory",'vInfo (Imported)'!$1:$5000,M1434,FALSE)</f>
        <v>0</v>
      </c>
      <c r="T1434">
        <f>HLOOKUP("Provisioned MiB",'vInfo (Imported)'!$1:$5000,M1434,FALSE)</f>
        <v>0</v>
      </c>
      <c r="U1434">
        <f t="shared" si="67"/>
        <v>0</v>
      </c>
      <c r="V1434">
        <f>HLOOKUP("In Use MiB",'vInfo (Imported)'!$1:$5000,M1434,FALSE)</f>
        <v>0</v>
      </c>
    </row>
    <row r="1435" spans="1:22" ht="13" x14ac:dyDescent="0.3">
      <c r="A1435" s="46">
        <f>'vHosts (Imported)'!A1435</f>
        <v>0</v>
      </c>
      <c r="B1435" s="51">
        <f t="shared" si="66"/>
        <v>4968</v>
      </c>
      <c r="C1435" s="49">
        <f>HLOOKUP("# Cores",'vHosts (Imported)'!$1:$5000,M1435,FALSE)</f>
        <v>0</v>
      </c>
      <c r="D1435" s="52">
        <f>HLOOKUP("# Memory",'vHosts (Imported)'!$1:$5000,M1435,FALSE)</f>
        <v>0</v>
      </c>
      <c r="M1435" s="45">
        <f t="shared" si="68"/>
        <v>1435</v>
      </c>
      <c r="N1435" s="38">
        <f>HLOOKUP("Host",'vInfo (Imported)'!$1:$5000,M1435,FALSE)</f>
        <v>0</v>
      </c>
      <c r="R1435">
        <f>HLOOKUP("CPUs",'vInfo (Imported)'!$1:$5000,M1435,FALSE)</f>
        <v>0</v>
      </c>
      <c r="S1435">
        <f>HLOOKUP("Memory",'vInfo (Imported)'!$1:$5000,M1435,FALSE)</f>
        <v>0</v>
      </c>
      <c r="T1435">
        <f>HLOOKUP("Provisioned MiB",'vInfo (Imported)'!$1:$5000,M1435,FALSE)</f>
        <v>0</v>
      </c>
      <c r="U1435">
        <f t="shared" si="67"/>
        <v>0</v>
      </c>
      <c r="V1435">
        <f>HLOOKUP("In Use MiB",'vInfo (Imported)'!$1:$5000,M1435,FALSE)</f>
        <v>0</v>
      </c>
    </row>
    <row r="1436" spans="1:22" ht="13" x14ac:dyDescent="0.3">
      <c r="A1436" s="46">
        <f>'vHosts (Imported)'!A1436</f>
        <v>0</v>
      </c>
      <c r="B1436" s="51">
        <f t="shared" si="66"/>
        <v>4968</v>
      </c>
      <c r="C1436" s="49">
        <f>HLOOKUP("# Cores",'vHosts (Imported)'!$1:$5000,M1436,FALSE)</f>
        <v>0</v>
      </c>
      <c r="D1436" s="52">
        <f>HLOOKUP("# Memory",'vHosts (Imported)'!$1:$5000,M1436,FALSE)</f>
        <v>0</v>
      </c>
      <c r="M1436" s="45">
        <f t="shared" si="68"/>
        <v>1436</v>
      </c>
      <c r="N1436" s="38">
        <f>HLOOKUP("Host",'vInfo (Imported)'!$1:$5000,M1436,FALSE)</f>
        <v>0</v>
      </c>
      <c r="R1436">
        <f>HLOOKUP("CPUs",'vInfo (Imported)'!$1:$5000,M1436,FALSE)</f>
        <v>0</v>
      </c>
      <c r="S1436">
        <f>HLOOKUP("Memory",'vInfo (Imported)'!$1:$5000,M1436,FALSE)</f>
        <v>0</v>
      </c>
      <c r="T1436">
        <f>HLOOKUP("Provisioned MiB",'vInfo (Imported)'!$1:$5000,M1436,FALSE)</f>
        <v>0</v>
      </c>
      <c r="U1436">
        <f t="shared" si="67"/>
        <v>0</v>
      </c>
      <c r="V1436">
        <f>HLOOKUP("In Use MiB",'vInfo (Imported)'!$1:$5000,M1436,FALSE)</f>
        <v>0</v>
      </c>
    </row>
    <row r="1437" spans="1:22" ht="13" x14ac:dyDescent="0.3">
      <c r="A1437" s="46">
        <f>'vHosts (Imported)'!A1437</f>
        <v>0</v>
      </c>
      <c r="B1437" s="51">
        <f t="shared" si="66"/>
        <v>4968</v>
      </c>
      <c r="C1437" s="49">
        <f>HLOOKUP("# Cores",'vHosts (Imported)'!$1:$5000,M1437,FALSE)</f>
        <v>0</v>
      </c>
      <c r="D1437" s="52">
        <f>HLOOKUP("# Memory",'vHosts (Imported)'!$1:$5000,M1437,FALSE)</f>
        <v>0</v>
      </c>
      <c r="M1437" s="45">
        <f t="shared" si="68"/>
        <v>1437</v>
      </c>
      <c r="N1437" s="38">
        <f>HLOOKUP("Host",'vInfo (Imported)'!$1:$5000,M1437,FALSE)</f>
        <v>0</v>
      </c>
      <c r="R1437">
        <f>HLOOKUP("CPUs",'vInfo (Imported)'!$1:$5000,M1437,FALSE)</f>
        <v>0</v>
      </c>
      <c r="S1437">
        <f>HLOOKUP("Memory",'vInfo (Imported)'!$1:$5000,M1437,FALSE)</f>
        <v>0</v>
      </c>
      <c r="T1437">
        <f>HLOOKUP("Provisioned MiB",'vInfo (Imported)'!$1:$5000,M1437,FALSE)</f>
        <v>0</v>
      </c>
      <c r="U1437">
        <f t="shared" si="67"/>
        <v>0</v>
      </c>
      <c r="V1437">
        <f>HLOOKUP("In Use MiB",'vInfo (Imported)'!$1:$5000,M1437,FALSE)</f>
        <v>0</v>
      </c>
    </row>
    <row r="1438" spans="1:22" ht="13" x14ac:dyDescent="0.3">
      <c r="A1438" s="46">
        <f>'vHosts (Imported)'!A1438</f>
        <v>0</v>
      </c>
      <c r="B1438" s="51">
        <f t="shared" si="66"/>
        <v>4968</v>
      </c>
      <c r="C1438" s="49">
        <f>HLOOKUP("# Cores",'vHosts (Imported)'!$1:$5000,M1438,FALSE)</f>
        <v>0</v>
      </c>
      <c r="D1438" s="52">
        <f>HLOOKUP("# Memory",'vHosts (Imported)'!$1:$5000,M1438,FALSE)</f>
        <v>0</v>
      </c>
      <c r="M1438" s="45">
        <f t="shared" si="68"/>
        <v>1438</v>
      </c>
      <c r="N1438" s="38">
        <f>HLOOKUP("Host",'vInfo (Imported)'!$1:$5000,M1438,FALSE)</f>
        <v>0</v>
      </c>
      <c r="R1438">
        <f>HLOOKUP("CPUs",'vInfo (Imported)'!$1:$5000,M1438,FALSE)</f>
        <v>0</v>
      </c>
      <c r="S1438">
        <f>HLOOKUP("Memory",'vInfo (Imported)'!$1:$5000,M1438,FALSE)</f>
        <v>0</v>
      </c>
      <c r="T1438">
        <f>HLOOKUP("Provisioned MiB",'vInfo (Imported)'!$1:$5000,M1438,FALSE)</f>
        <v>0</v>
      </c>
      <c r="U1438">
        <f t="shared" si="67"/>
        <v>0</v>
      </c>
      <c r="V1438">
        <f>HLOOKUP("In Use MiB",'vInfo (Imported)'!$1:$5000,M1438,FALSE)</f>
        <v>0</v>
      </c>
    </row>
    <row r="1439" spans="1:22" ht="13" x14ac:dyDescent="0.3">
      <c r="A1439" s="46">
        <f>'vHosts (Imported)'!A1439</f>
        <v>0</v>
      </c>
      <c r="B1439" s="51">
        <f t="shared" si="66"/>
        <v>4968</v>
      </c>
      <c r="C1439" s="49">
        <f>HLOOKUP("# Cores",'vHosts (Imported)'!$1:$5000,M1439,FALSE)</f>
        <v>0</v>
      </c>
      <c r="D1439" s="52">
        <f>HLOOKUP("# Memory",'vHosts (Imported)'!$1:$5000,M1439,FALSE)</f>
        <v>0</v>
      </c>
      <c r="M1439" s="45">
        <f t="shared" si="68"/>
        <v>1439</v>
      </c>
      <c r="N1439" s="38">
        <f>HLOOKUP("Host",'vInfo (Imported)'!$1:$5000,M1439,FALSE)</f>
        <v>0</v>
      </c>
      <c r="R1439">
        <f>HLOOKUP("CPUs",'vInfo (Imported)'!$1:$5000,M1439,FALSE)</f>
        <v>0</v>
      </c>
      <c r="S1439">
        <f>HLOOKUP("Memory",'vInfo (Imported)'!$1:$5000,M1439,FALSE)</f>
        <v>0</v>
      </c>
      <c r="T1439">
        <f>HLOOKUP("Provisioned MiB",'vInfo (Imported)'!$1:$5000,M1439,FALSE)</f>
        <v>0</v>
      </c>
      <c r="U1439">
        <f t="shared" si="67"/>
        <v>0</v>
      </c>
      <c r="V1439">
        <f>HLOOKUP("In Use MiB",'vInfo (Imported)'!$1:$5000,M1439,FALSE)</f>
        <v>0</v>
      </c>
    </row>
    <row r="1440" spans="1:22" ht="13" x14ac:dyDescent="0.3">
      <c r="A1440" s="46">
        <f>'vHosts (Imported)'!A1440</f>
        <v>0</v>
      </c>
      <c r="B1440" s="51">
        <f t="shared" si="66"/>
        <v>4968</v>
      </c>
      <c r="C1440" s="49">
        <f>HLOOKUP("# Cores",'vHosts (Imported)'!$1:$5000,M1440,FALSE)</f>
        <v>0</v>
      </c>
      <c r="D1440" s="52">
        <f>HLOOKUP("# Memory",'vHosts (Imported)'!$1:$5000,M1440,FALSE)</f>
        <v>0</v>
      </c>
      <c r="M1440" s="45">
        <f t="shared" si="68"/>
        <v>1440</v>
      </c>
      <c r="N1440" s="38">
        <f>HLOOKUP("Host",'vInfo (Imported)'!$1:$5000,M1440,FALSE)</f>
        <v>0</v>
      </c>
      <c r="R1440">
        <f>HLOOKUP("CPUs",'vInfo (Imported)'!$1:$5000,M1440,FALSE)</f>
        <v>0</v>
      </c>
      <c r="S1440">
        <f>HLOOKUP("Memory",'vInfo (Imported)'!$1:$5000,M1440,FALSE)</f>
        <v>0</v>
      </c>
      <c r="T1440">
        <f>HLOOKUP("Provisioned MiB",'vInfo (Imported)'!$1:$5000,M1440,FALSE)</f>
        <v>0</v>
      </c>
      <c r="U1440">
        <f t="shared" si="67"/>
        <v>0</v>
      </c>
      <c r="V1440">
        <f>HLOOKUP("In Use MiB",'vInfo (Imported)'!$1:$5000,M1440,FALSE)</f>
        <v>0</v>
      </c>
    </row>
    <row r="1441" spans="1:22" ht="13" x14ac:dyDescent="0.3">
      <c r="A1441" s="46">
        <f>'vHosts (Imported)'!A1441</f>
        <v>0</v>
      </c>
      <c r="B1441" s="51">
        <f t="shared" si="66"/>
        <v>4968</v>
      </c>
      <c r="C1441" s="49">
        <f>HLOOKUP("# Cores",'vHosts (Imported)'!$1:$5000,M1441,FALSE)</f>
        <v>0</v>
      </c>
      <c r="D1441" s="52">
        <f>HLOOKUP("# Memory",'vHosts (Imported)'!$1:$5000,M1441,FALSE)</f>
        <v>0</v>
      </c>
      <c r="M1441" s="45">
        <f t="shared" si="68"/>
        <v>1441</v>
      </c>
      <c r="N1441" s="38">
        <f>HLOOKUP("Host",'vInfo (Imported)'!$1:$5000,M1441,FALSE)</f>
        <v>0</v>
      </c>
      <c r="R1441">
        <f>HLOOKUP("CPUs",'vInfo (Imported)'!$1:$5000,M1441,FALSE)</f>
        <v>0</v>
      </c>
      <c r="S1441">
        <f>HLOOKUP("Memory",'vInfo (Imported)'!$1:$5000,M1441,FALSE)</f>
        <v>0</v>
      </c>
      <c r="T1441">
        <f>HLOOKUP("Provisioned MiB",'vInfo (Imported)'!$1:$5000,M1441,FALSE)</f>
        <v>0</v>
      </c>
      <c r="U1441">
        <f t="shared" si="67"/>
        <v>0</v>
      </c>
      <c r="V1441">
        <f>HLOOKUP("In Use MiB",'vInfo (Imported)'!$1:$5000,M1441,FALSE)</f>
        <v>0</v>
      </c>
    </row>
    <row r="1442" spans="1:22" ht="13" x14ac:dyDescent="0.3">
      <c r="A1442" s="46">
        <f>'vHosts (Imported)'!A1442</f>
        <v>0</v>
      </c>
      <c r="B1442" s="51">
        <f t="shared" si="66"/>
        <v>4968</v>
      </c>
      <c r="C1442" s="49">
        <f>HLOOKUP("# Cores",'vHosts (Imported)'!$1:$5000,M1442,FALSE)</f>
        <v>0</v>
      </c>
      <c r="D1442" s="52">
        <f>HLOOKUP("# Memory",'vHosts (Imported)'!$1:$5000,M1442,FALSE)</f>
        <v>0</v>
      </c>
      <c r="M1442" s="45">
        <f t="shared" si="68"/>
        <v>1442</v>
      </c>
      <c r="N1442" s="38">
        <f>HLOOKUP("Host",'vInfo (Imported)'!$1:$5000,M1442,FALSE)</f>
        <v>0</v>
      </c>
      <c r="R1442">
        <f>HLOOKUP("CPUs",'vInfo (Imported)'!$1:$5000,M1442,FALSE)</f>
        <v>0</v>
      </c>
      <c r="S1442">
        <f>HLOOKUP("Memory",'vInfo (Imported)'!$1:$5000,M1442,FALSE)</f>
        <v>0</v>
      </c>
      <c r="T1442">
        <f>HLOOKUP("Provisioned MiB",'vInfo (Imported)'!$1:$5000,M1442,FALSE)</f>
        <v>0</v>
      </c>
      <c r="U1442">
        <f t="shared" si="67"/>
        <v>0</v>
      </c>
      <c r="V1442">
        <f>HLOOKUP("In Use MiB",'vInfo (Imported)'!$1:$5000,M1442,FALSE)</f>
        <v>0</v>
      </c>
    </row>
    <row r="1443" spans="1:22" ht="13" x14ac:dyDescent="0.3">
      <c r="A1443" s="46">
        <f>'vHosts (Imported)'!A1443</f>
        <v>0</v>
      </c>
      <c r="B1443" s="51">
        <f t="shared" si="66"/>
        <v>4968</v>
      </c>
      <c r="C1443" s="49">
        <f>HLOOKUP("# Cores",'vHosts (Imported)'!$1:$5000,M1443,FALSE)</f>
        <v>0</v>
      </c>
      <c r="D1443" s="52">
        <f>HLOOKUP("# Memory",'vHosts (Imported)'!$1:$5000,M1443,FALSE)</f>
        <v>0</v>
      </c>
      <c r="M1443" s="45">
        <f t="shared" si="68"/>
        <v>1443</v>
      </c>
      <c r="N1443" s="38">
        <f>HLOOKUP("Host",'vInfo (Imported)'!$1:$5000,M1443,FALSE)</f>
        <v>0</v>
      </c>
      <c r="R1443">
        <f>HLOOKUP("CPUs",'vInfo (Imported)'!$1:$5000,M1443,FALSE)</f>
        <v>0</v>
      </c>
      <c r="S1443">
        <f>HLOOKUP("Memory",'vInfo (Imported)'!$1:$5000,M1443,FALSE)</f>
        <v>0</v>
      </c>
      <c r="T1443">
        <f>HLOOKUP("Provisioned MiB",'vInfo (Imported)'!$1:$5000,M1443,FALSE)</f>
        <v>0</v>
      </c>
      <c r="U1443">
        <f t="shared" si="67"/>
        <v>0</v>
      </c>
      <c r="V1443">
        <f>HLOOKUP("In Use MiB",'vInfo (Imported)'!$1:$5000,M1443,FALSE)</f>
        <v>0</v>
      </c>
    </row>
    <row r="1444" spans="1:22" ht="13" x14ac:dyDescent="0.3">
      <c r="A1444" s="46">
        <f>'vHosts (Imported)'!A1444</f>
        <v>0</v>
      </c>
      <c r="B1444" s="51">
        <f t="shared" si="66"/>
        <v>4968</v>
      </c>
      <c r="C1444" s="49">
        <f>HLOOKUP("# Cores",'vHosts (Imported)'!$1:$5000,M1444,FALSE)</f>
        <v>0</v>
      </c>
      <c r="D1444" s="52">
        <f>HLOOKUP("# Memory",'vHosts (Imported)'!$1:$5000,M1444,FALSE)</f>
        <v>0</v>
      </c>
      <c r="M1444" s="45">
        <f t="shared" si="68"/>
        <v>1444</v>
      </c>
      <c r="N1444" s="38">
        <f>HLOOKUP("Host",'vInfo (Imported)'!$1:$5000,M1444,FALSE)</f>
        <v>0</v>
      </c>
      <c r="R1444">
        <f>HLOOKUP("CPUs",'vInfo (Imported)'!$1:$5000,M1444,FALSE)</f>
        <v>0</v>
      </c>
      <c r="S1444">
        <f>HLOOKUP("Memory",'vInfo (Imported)'!$1:$5000,M1444,FALSE)</f>
        <v>0</v>
      </c>
      <c r="T1444">
        <f>HLOOKUP("Provisioned MiB",'vInfo (Imported)'!$1:$5000,M1444,FALSE)</f>
        <v>0</v>
      </c>
      <c r="U1444">
        <f t="shared" si="67"/>
        <v>0</v>
      </c>
      <c r="V1444">
        <f>HLOOKUP("In Use MiB",'vInfo (Imported)'!$1:$5000,M1444,FALSE)</f>
        <v>0</v>
      </c>
    </row>
    <row r="1445" spans="1:22" ht="13" x14ac:dyDescent="0.3">
      <c r="A1445" s="46">
        <f>'vHosts (Imported)'!A1445</f>
        <v>0</v>
      </c>
      <c r="B1445" s="51">
        <f t="shared" si="66"/>
        <v>4968</v>
      </c>
      <c r="C1445" s="49">
        <f>HLOOKUP("# Cores",'vHosts (Imported)'!$1:$5000,M1445,FALSE)</f>
        <v>0</v>
      </c>
      <c r="D1445" s="52">
        <f>HLOOKUP("# Memory",'vHosts (Imported)'!$1:$5000,M1445,FALSE)</f>
        <v>0</v>
      </c>
      <c r="M1445" s="45">
        <f t="shared" si="68"/>
        <v>1445</v>
      </c>
      <c r="N1445" s="38">
        <f>HLOOKUP("Host",'vInfo (Imported)'!$1:$5000,M1445,FALSE)</f>
        <v>0</v>
      </c>
      <c r="R1445">
        <f>HLOOKUP("CPUs",'vInfo (Imported)'!$1:$5000,M1445,FALSE)</f>
        <v>0</v>
      </c>
      <c r="S1445">
        <f>HLOOKUP("Memory",'vInfo (Imported)'!$1:$5000,M1445,FALSE)</f>
        <v>0</v>
      </c>
      <c r="T1445">
        <f>HLOOKUP("Provisioned MiB",'vInfo (Imported)'!$1:$5000,M1445,FALSE)</f>
        <v>0</v>
      </c>
      <c r="U1445">
        <f t="shared" si="67"/>
        <v>0</v>
      </c>
      <c r="V1445">
        <f>HLOOKUP("In Use MiB",'vInfo (Imported)'!$1:$5000,M1445,FALSE)</f>
        <v>0</v>
      </c>
    </row>
    <row r="1446" spans="1:22" ht="13" x14ac:dyDescent="0.3">
      <c r="A1446" s="46">
        <f>'vHosts (Imported)'!A1446</f>
        <v>0</v>
      </c>
      <c r="B1446" s="51">
        <f t="shared" si="66"/>
        <v>4968</v>
      </c>
      <c r="C1446" s="49">
        <f>HLOOKUP("# Cores",'vHosts (Imported)'!$1:$5000,M1446,FALSE)</f>
        <v>0</v>
      </c>
      <c r="D1446" s="52">
        <f>HLOOKUP("# Memory",'vHosts (Imported)'!$1:$5000,M1446,FALSE)</f>
        <v>0</v>
      </c>
      <c r="M1446" s="45">
        <f t="shared" si="68"/>
        <v>1446</v>
      </c>
      <c r="N1446" s="38">
        <f>HLOOKUP("Host",'vInfo (Imported)'!$1:$5000,M1446,FALSE)</f>
        <v>0</v>
      </c>
      <c r="R1446">
        <f>HLOOKUP("CPUs",'vInfo (Imported)'!$1:$5000,M1446,FALSE)</f>
        <v>0</v>
      </c>
      <c r="S1446">
        <f>HLOOKUP("Memory",'vInfo (Imported)'!$1:$5000,M1446,FALSE)</f>
        <v>0</v>
      </c>
      <c r="T1446">
        <f>HLOOKUP("Provisioned MiB",'vInfo (Imported)'!$1:$5000,M1446,FALSE)</f>
        <v>0</v>
      </c>
      <c r="U1446">
        <f t="shared" si="67"/>
        <v>0</v>
      </c>
      <c r="V1446">
        <f>HLOOKUP("In Use MiB",'vInfo (Imported)'!$1:$5000,M1446,FALSE)</f>
        <v>0</v>
      </c>
    </row>
    <row r="1447" spans="1:22" ht="13" x14ac:dyDescent="0.3">
      <c r="A1447" s="46">
        <f>'vHosts (Imported)'!A1447</f>
        <v>0</v>
      </c>
      <c r="B1447" s="51">
        <f t="shared" si="66"/>
        <v>4968</v>
      </c>
      <c r="C1447" s="49">
        <f>HLOOKUP("# Cores",'vHosts (Imported)'!$1:$5000,M1447,FALSE)</f>
        <v>0</v>
      </c>
      <c r="D1447" s="52">
        <f>HLOOKUP("# Memory",'vHosts (Imported)'!$1:$5000,M1447,FALSE)</f>
        <v>0</v>
      </c>
      <c r="M1447" s="45">
        <f t="shared" si="68"/>
        <v>1447</v>
      </c>
      <c r="N1447" s="38">
        <f>HLOOKUP("Host",'vInfo (Imported)'!$1:$5000,M1447,FALSE)</f>
        <v>0</v>
      </c>
      <c r="R1447">
        <f>HLOOKUP("CPUs",'vInfo (Imported)'!$1:$5000,M1447,FALSE)</f>
        <v>0</v>
      </c>
      <c r="S1447">
        <f>HLOOKUP("Memory",'vInfo (Imported)'!$1:$5000,M1447,FALSE)</f>
        <v>0</v>
      </c>
      <c r="T1447">
        <f>HLOOKUP("Provisioned MiB",'vInfo (Imported)'!$1:$5000,M1447,FALSE)</f>
        <v>0</v>
      </c>
      <c r="U1447">
        <f t="shared" si="67"/>
        <v>0</v>
      </c>
      <c r="V1447">
        <f>HLOOKUP("In Use MiB",'vInfo (Imported)'!$1:$5000,M1447,FALSE)</f>
        <v>0</v>
      </c>
    </row>
    <row r="1448" spans="1:22" ht="13" x14ac:dyDescent="0.3">
      <c r="A1448" s="46">
        <f>'vHosts (Imported)'!A1448</f>
        <v>0</v>
      </c>
      <c r="B1448" s="51">
        <f t="shared" ref="B1448:B1511" si="69">COUNTIF(N:N,A1448)</f>
        <v>4968</v>
      </c>
      <c r="C1448" s="49">
        <f>HLOOKUP("# Cores",'vHosts (Imported)'!$1:$5000,M1448,FALSE)</f>
        <v>0</v>
      </c>
      <c r="D1448" s="52">
        <f>HLOOKUP("# Memory",'vHosts (Imported)'!$1:$5000,M1448,FALSE)</f>
        <v>0</v>
      </c>
      <c r="M1448" s="45">
        <f t="shared" si="68"/>
        <v>1448</v>
      </c>
      <c r="N1448" s="38">
        <f>HLOOKUP("Host",'vInfo (Imported)'!$1:$5000,M1448,FALSE)</f>
        <v>0</v>
      </c>
      <c r="R1448">
        <f>HLOOKUP("CPUs",'vInfo (Imported)'!$1:$5000,M1448,FALSE)</f>
        <v>0</v>
      </c>
      <c r="S1448">
        <f>HLOOKUP("Memory",'vInfo (Imported)'!$1:$5000,M1448,FALSE)</f>
        <v>0</v>
      </c>
      <c r="T1448">
        <f>HLOOKUP("Provisioned MiB",'vInfo (Imported)'!$1:$5000,M1448,FALSE)</f>
        <v>0</v>
      </c>
      <c r="U1448">
        <f t="shared" si="67"/>
        <v>0</v>
      </c>
      <c r="V1448">
        <f>HLOOKUP("In Use MiB",'vInfo (Imported)'!$1:$5000,M1448,FALSE)</f>
        <v>0</v>
      </c>
    </row>
    <row r="1449" spans="1:22" ht="13" x14ac:dyDescent="0.3">
      <c r="A1449" s="46">
        <f>'vHosts (Imported)'!A1449</f>
        <v>0</v>
      </c>
      <c r="B1449" s="51">
        <f t="shared" si="69"/>
        <v>4968</v>
      </c>
      <c r="C1449" s="49">
        <f>HLOOKUP("# Cores",'vHosts (Imported)'!$1:$5000,M1449,FALSE)</f>
        <v>0</v>
      </c>
      <c r="D1449" s="52">
        <f>HLOOKUP("# Memory",'vHosts (Imported)'!$1:$5000,M1449,FALSE)</f>
        <v>0</v>
      </c>
      <c r="M1449" s="45">
        <f t="shared" si="68"/>
        <v>1449</v>
      </c>
      <c r="N1449" s="38">
        <f>HLOOKUP("Host",'vInfo (Imported)'!$1:$5000,M1449,FALSE)</f>
        <v>0</v>
      </c>
      <c r="R1449">
        <f>HLOOKUP("CPUs",'vInfo (Imported)'!$1:$5000,M1449,FALSE)</f>
        <v>0</v>
      </c>
      <c r="S1449">
        <f>HLOOKUP("Memory",'vInfo (Imported)'!$1:$5000,M1449,FALSE)</f>
        <v>0</v>
      </c>
      <c r="T1449">
        <f>HLOOKUP("Provisioned MiB",'vInfo (Imported)'!$1:$5000,M1449,FALSE)</f>
        <v>0</v>
      </c>
      <c r="U1449">
        <f t="shared" si="67"/>
        <v>0</v>
      </c>
      <c r="V1449">
        <f>HLOOKUP("In Use MiB",'vInfo (Imported)'!$1:$5000,M1449,FALSE)</f>
        <v>0</v>
      </c>
    </row>
    <row r="1450" spans="1:22" ht="13" x14ac:dyDescent="0.3">
      <c r="A1450" s="46">
        <f>'vHosts (Imported)'!A1450</f>
        <v>0</v>
      </c>
      <c r="B1450" s="51">
        <f t="shared" si="69"/>
        <v>4968</v>
      </c>
      <c r="C1450" s="49">
        <f>HLOOKUP("# Cores",'vHosts (Imported)'!$1:$5000,M1450,FALSE)</f>
        <v>0</v>
      </c>
      <c r="D1450" s="52">
        <f>HLOOKUP("# Memory",'vHosts (Imported)'!$1:$5000,M1450,FALSE)</f>
        <v>0</v>
      </c>
      <c r="M1450" s="45">
        <f t="shared" si="68"/>
        <v>1450</v>
      </c>
      <c r="N1450" s="38">
        <f>HLOOKUP("Host",'vInfo (Imported)'!$1:$5000,M1450,FALSE)</f>
        <v>0</v>
      </c>
      <c r="R1450">
        <f>HLOOKUP("CPUs",'vInfo (Imported)'!$1:$5000,M1450,FALSE)</f>
        <v>0</v>
      </c>
      <c r="S1450">
        <f>HLOOKUP("Memory",'vInfo (Imported)'!$1:$5000,M1450,FALSE)</f>
        <v>0</v>
      </c>
      <c r="T1450">
        <f>HLOOKUP("Provisioned MiB",'vInfo (Imported)'!$1:$5000,M1450,FALSE)</f>
        <v>0</v>
      </c>
      <c r="U1450">
        <f t="shared" si="67"/>
        <v>0</v>
      </c>
      <c r="V1450">
        <f>HLOOKUP("In Use MiB",'vInfo (Imported)'!$1:$5000,M1450,FALSE)</f>
        <v>0</v>
      </c>
    </row>
    <row r="1451" spans="1:22" ht="13" x14ac:dyDescent="0.3">
      <c r="A1451" s="46">
        <f>'vHosts (Imported)'!A1451</f>
        <v>0</v>
      </c>
      <c r="B1451" s="51">
        <f t="shared" si="69"/>
        <v>4968</v>
      </c>
      <c r="C1451" s="49">
        <f>HLOOKUP("# Cores",'vHosts (Imported)'!$1:$5000,M1451,FALSE)</f>
        <v>0</v>
      </c>
      <c r="D1451" s="52">
        <f>HLOOKUP("# Memory",'vHosts (Imported)'!$1:$5000,M1451,FALSE)</f>
        <v>0</v>
      </c>
      <c r="M1451" s="45">
        <f t="shared" si="68"/>
        <v>1451</v>
      </c>
      <c r="N1451" s="38">
        <f>HLOOKUP("Host",'vInfo (Imported)'!$1:$5000,M1451,FALSE)</f>
        <v>0</v>
      </c>
      <c r="R1451">
        <f>HLOOKUP("CPUs",'vInfo (Imported)'!$1:$5000,M1451,FALSE)</f>
        <v>0</v>
      </c>
      <c r="S1451">
        <f>HLOOKUP("Memory",'vInfo (Imported)'!$1:$5000,M1451,FALSE)</f>
        <v>0</v>
      </c>
      <c r="T1451">
        <f>HLOOKUP("Provisioned MiB",'vInfo (Imported)'!$1:$5000,M1451,FALSE)</f>
        <v>0</v>
      </c>
      <c r="U1451">
        <f t="shared" si="67"/>
        <v>0</v>
      </c>
      <c r="V1451">
        <f>HLOOKUP("In Use MiB",'vInfo (Imported)'!$1:$5000,M1451,FALSE)</f>
        <v>0</v>
      </c>
    </row>
    <row r="1452" spans="1:22" ht="13" x14ac:dyDescent="0.3">
      <c r="A1452" s="46">
        <f>'vHosts (Imported)'!A1452</f>
        <v>0</v>
      </c>
      <c r="B1452" s="51">
        <f t="shared" si="69"/>
        <v>4968</v>
      </c>
      <c r="C1452" s="49">
        <f>HLOOKUP("# Cores",'vHosts (Imported)'!$1:$5000,M1452,FALSE)</f>
        <v>0</v>
      </c>
      <c r="D1452" s="52">
        <f>HLOOKUP("# Memory",'vHosts (Imported)'!$1:$5000,M1452,FALSE)</f>
        <v>0</v>
      </c>
      <c r="M1452" s="45">
        <f t="shared" si="68"/>
        <v>1452</v>
      </c>
      <c r="N1452" s="38">
        <f>HLOOKUP("Host",'vInfo (Imported)'!$1:$5000,M1452,FALSE)</f>
        <v>0</v>
      </c>
      <c r="R1452">
        <f>HLOOKUP("CPUs",'vInfo (Imported)'!$1:$5000,M1452,FALSE)</f>
        <v>0</v>
      </c>
      <c r="S1452">
        <f>HLOOKUP("Memory",'vInfo (Imported)'!$1:$5000,M1452,FALSE)</f>
        <v>0</v>
      </c>
      <c r="T1452">
        <f>HLOOKUP("Provisioned MiB",'vInfo (Imported)'!$1:$5000,M1452,FALSE)</f>
        <v>0</v>
      </c>
      <c r="U1452">
        <f t="shared" si="67"/>
        <v>0</v>
      </c>
      <c r="V1452">
        <f>HLOOKUP("In Use MiB",'vInfo (Imported)'!$1:$5000,M1452,FALSE)</f>
        <v>0</v>
      </c>
    </row>
    <row r="1453" spans="1:22" ht="13" x14ac:dyDescent="0.3">
      <c r="A1453" s="46">
        <f>'vHosts (Imported)'!A1453</f>
        <v>0</v>
      </c>
      <c r="B1453" s="51">
        <f t="shared" si="69"/>
        <v>4968</v>
      </c>
      <c r="C1453" s="49">
        <f>HLOOKUP("# Cores",'vHosts (Imported)'!$1:$5000,M1453,FALSE)</f>
        <v>0</v>
      </c>
      <c r="D1453" s="52">
        <f>HLOOKUP("# Memory",'vHosts (Imported)'!$1:$5000,M1453,FALSE)</f>
        <v>0</v>
      </c>
      <c r="M1453" s="45">
        <f t="shared" si="68"/>
        <v>1453</v>
      </c>
      <c r="N1453" s="38">
        <f>HLOOKUP("Host",'vInfo (Imported)'!$1:$5000,M1453,FALSE)</f>
        <v>0</v>
      </c>
      <c r="R1453">
        <f>HLOOKUP("CPUs",'vInfo (Imported)'!$1:$5000,M1453,FALSE)</f>
        <v>0</v>
      </c>
      <c r="S1453">
        <f>HLOOKUP("Memory",'vInfo (Imported)'!$1:$5000,M1453,FALSE)</f>
        <v>0</v>
      </c>
      <c r="T1453">
        <f>HLOOKUP("Provisioned MiB",'vInfo (Imported)'!$1:$5000,M1453,FALSE)</f>
        <v>0</v>
      </c>
      <c r="U1453">
        <f t="shared" si="67"/>
        <v>0</v>
      </c>
      <c r="V1453">
        <f>HLOOKUP("In Use MiB",'vInfo (Imported)'!$1:$5000,M1453,FALSE)</f>
        <v>0</v>
      </c>
    </row>
    <row r="1454" spans="1:22" ht="13" x14ac:dyDescent="0.3">
      <c r="A1454" s="46">
        <f>'vHosts (Imported)'!A1454</f>
        <v>0</v>
      </c>
      <c r="B1454" s="51">
        <f t="shared" si="69"/>
        <v>4968</v>
      </c>
      <c r="C1454" s="49">
        <f>HLOOKUP("# Cores",'vHosts (Imported)'!$1:$5000,M1454,FALSE)</f>
        <v>0</v>
      </c>
      <c r="D1454" s="52">
        <f>HLOOKUP("# Memory",'vHosts (Imported)'!$1:$5000,M1454,FALSE)</f>
        <v>0</v>
      </c>
      <c r="M1454" s="45">
        <f t="shared" si="68"/>
        <v>1454</v>
      </c>
      <c r="N1454" s="38">
        <f>HLOOKUP("Host",'vInfo (Imported)'!$1:$5000,M1454,FALSE)</f>
        <v>0</v>
      </c>
      <c r="R1454">
        <f>HLOOKUP("CPUs",'vInfo (Imported)'!$1:$5000,M1454,FALSE)</f>
        <v>0</v>
      </c>
      <c r="S1454">
        <f>HLOOKUP("Memory",'vInfo (Imported)'!$1:$5000,M1454,FALSE)</f>
        <v>0</v>
      </c>
      <c r="T1454">
        <f>HLOOKUP("Provisioned MiB",'vInfo (Imported)'!$1:$5000,M1454,FALSE)</f>
        <v>0</v>
      </c>
      <c r="U1454">
        <f t="shared" si="67"/>
        <v>0</v>
      </c>
      <c r="V1454">
        <f>HLOOKUP("In Use MiB",'vInfo (Imported)'!$1:$5000,M1454,FALSE)</f>
        <v>0</v>
      </c>
    </row>
    <row r="1455" spans="1:22" ht="13" x14ac:dyDescent="0.3">
      <c r="A1455" s="46">
        <f>'vHosts (Imported)'!A1455</f>
        <v>0</v>
      </c>
      <c r="B1455" s="51">
        <f t="shared" si="69"/>
        <v>4968</v>
      </c>
      <c r="C1455" s="49">
        <f>HLOOKUP("# Cores",'vHosts (Imported)'!$1:$5000,M1455,FALSE)</f>
        <v>0</v>
      </c>
      <c r="D1455" s="52">
        <f>HLOOKUP("# Memory",'vHosts (Imported)'!$1:$5000,M1455,FALSE)</f>
        <v>0</v>
      </c>
      <c r="M1455" s="45">
        <f t="shared" si="68"/>
        <v>1455</v>
      </c>
      <c r="N1455" s="38">
        <f>HLOOKUP("Host",'vInfo (Imported)'!$1:$5000,M1455,FALSE)</f>
        <v>0</v>
      </c>
      <c r="R1455">
        <f>HLOOKUP("CPUs",'vInfo (Imported)'!$1:$5000,M1455,FALSE)</f>
        <v>0</v>
      </c>
      <c r="S1455">
        <f>HLOOKUP("Memory",'vInfo (Imported)'!$1:$5000,M1455,FALSE)</f>
        <v>0</v>
      </c>
      <c r="T1455">
        <f>HLOOKUP("Provisioned MiB",'vInfo (Imported)'!$1:$5000,M1455,FALSE)</f>
        <v>0</v>
      </c>
      <c r="U1455">
        <f t="shared" si="67"/>
        <v>0</v>
      </c>
      <c r="V1455">
        <f>HLOOKUP("In Use MiB",'vInfo (Imported)'!$1:$5000,M1455,FALSE)</f>
        <v>0</v>
      </c>
    </row>
    <row r="1456" spans="1:22" ht="13" x14ac:dyDescent="0.3">
      <c r="A1456" s="46">
        <f>'vHosts (Imported)'!A1456</f>
        <v>0</v>
      </c>
      <c r="B1456" s="51">
        <f t="shared" si="69"/>
        <v>4968</v>
      </c>
      <c r="C1456" s="49">
        <f>HLOOKUP("# Cores",'vHosts (Imported)'!$1:$5000,M1456,FALSE)</f>
        <v>0</v>
      </c>
      <c r="D1456" s="52">
        <f>HLOOKUP("# Memory",'vHosts (Imported)'!$1:$5000,M1456,FALSE)</f>
        <v>0</v>
      </c>
      <c r="M1456" s="45">
        <f t="shared" si="68"/>
        <v>1456</v>
      </c>
      <c r="N1456" s="38">
        <f>HLOOKUP("Host",'vInfo (Imported)'!$1:$5000,M1456,FALSE)</f>
        <v>0</v>
      </c>
      <c r="R1456">
        <f>HLOOKUP("CPUs",'vInfo (Imported)'!$1:$5000,M1456,FALSE)</f>
        <v>0</v>
      </c>
      <c r="S1456">
        <f>HLOOKUP("Memory",'vInfo (Imported)'!$1:$5000,M1456,FALSE)</f>
        <v>0</v>
      </c>
      <c r="T1456">
        <f>HLOOKUP("Provisioned MiB",'vInfo (Imported)'!$1:$5000,M1456,FALSE)</f>
        <v>0</v>
      </c>
      <c r="U1456">
        <f t="shared" si="67"/>
        <v>0</v>
      </c>
      <c r="V1456">
        <f>HLOOKUP("In Use MiB",'vInfo (Imported)'!$1:$5000,M1456,FALSE)</f>
        <v>0</v>
      </c>
    </row>
    <row r="1457" spans="1:22" ht="13" x14ac:dyDescent="0.3">
      <c r="A1457" s="46">
        <f>'vHosts (Imported)'!A1457</f>
        <v>0</v>
      </c>
      <c r="B1457" s="51">
        <f t="shared" si="69"/>
        <v>4968</v>
      </c>
      <c r="C1457" s="49">
        <f>HLOOKUP("# Cores",'vHosts (Imported)'!$1:$5000,M1457,FALSE)</f>
        <v>0</v>
      </c>
      <c r="D1457" s="52">
        <f>HLOOKUP("# Memory",'vHosts (Imported)'!$1:$5000,M1457,FALSE)</f>
        <v>0</v>
      </c>
      <c r="M1457" s="45">
        <f t="shared" si="68"/>
        <v>1457</v>
      </c>
      <c r="N1457" s="38">
        <f>HLOOKUP("Host",'vInfo (Imported)'!$1:$5000,M1457,FALSE)</f>
        <v>0</v>
      </c>
      <c r="R1457">
        <f>HLOOKUP("CPUs",'vInfo (Imported)'!$1:$5000,M1457,FALSE)</f>
        <v>0</v>
      </c>
      <c r="S1457">
        <f>HLOOKUP("Memory",'vInfo (Imported)'!$1:$5000,M1457,FALSE)</f>
        <v>0</v>
      </c>
      <c r="T1457">
        <f>HLOOKUP("Provisioned MiB",'vInfo (Imported)'!$1:$5000,M1457,FALSE)</f>
        <v>0</v>
      </c>
      <c r="U1457">
        <f t="shared" si="67"/>
        <v>0</v>
      </c>
      <c r="V1457">
        <f>HLOOKUP("In Use MiB",'vInfo (Imported)'!$1:$5000,M1457,FALSE)</f>
        <v>0</v>
      </c>
    </row>
    <row r="1458" spans="1:22" ht="13" x14ac:dyDescent="0.3">
      <c r="A1458" s="46">
        <f>'vHosts (Imported)'!A1458</f>
        <v>0</v>
      </c>
      <c r="B1458" s="51">
        <f t="shared" si="69"/>
        <v>4968</v>
      </c>
      <c r="C1458" s="49">
        <f>HLOOKUP("# Cores",'vHosts (Imported)'!$1:$5000,M1458,FALSE)</f>
        <v>0</v>
      </c>
      <c r="D1458" s="52">
        <f>HLOOKUP("# Memory",'vHosts (Imported)'!$1:$5000,M1458,FALSE)</f>
        <v>0</v>
      </c>
      <c r="M1458" s="45">
        <f t="shared" si="68"/>
        <v>1458</v>
      </c>
      <c r="N1458" s="38">
        <f>HLOOKUP("Host",'vInfo (Imported)'!$1:$5000,M1458,FALSE)</f>
        <v>0</v>
      </c>
      <c r="R1458">
        <f>HLOOKUP("CPUs",'vInfo (Imported)'!$1:$5000,M1458,FALSE)</f>
        <v>0</v>
      </c>
      <c r="S1458">
        <f>HLOOKUP("Memory",'vInfo (Imported)'!$1:$5000,M1458,FALSE)</f>
        <v>0</v>
      </c>
      <c r="T1458">
        <f>HLOOKUP("Provisioned MiB",'vInfo (Imported)'!$1:$5000,M1458,FALSE)</f>
        <v>0</v>
      </c>
      <c r="U1458">
        <f t="shared" si="67"/>
        <v>0</v>
      </c>
      <c r="V1458">
        <f>HLOOKUP("In Use MiB",'vInfo (Imported)'!$1:$5000,M1458,FALSE)</f>
        <v>0</v>
      </c>
    </row>
    <row r="1459" spans="1:22" ht="13" x14ac:dyDescent="0.3">
      <c r="A1459" s="46">
        <f>'vHosts (Imported)'!A1459</f>
        <v>0</v>
      </c>
      <c r="B1459" s="51">
        <f t="shared" si="69"/>
        <v>4968</v>
      </c>
      <c r="C1459" s="49">
        <f>HLOOKUP("# Cores",'vHosts (Imported)'!$1:$5000,M1459,FALSE)</f>
        <v>0</v>
      </c>
      <c r="D1459" s="52">
        <f>HLOOKUP("# Memory",'vHosts (Imported)'!$1:$5000,M1459,FALSE)</f>
        <v>0</v>
      </c>
      <c r="M1459" s="45">
        <f t="shared" si="68"/>
        <v>1459</v>
      </c>
      <c r="N1459" s="38">
        <f>HLOOKUP("Host",'vInfo (Imported)'!$1:$5000,M1459,FALSE)</f>
        <v>0</v>
      </c>
      <c r="R1459">
        <f>HLOOKUP("CPUs",'vInfo (Imported)'!$1:$5000,M1459,FALSE)</f>
        <v>0</v>
      </c>
      <c r="S1459">
        <f>HLOOKUP("Memory",'vInfo (Imported)'!$1:$5000,M1459,FALSE)</f>
        <v>0</v>
      </c>
      <c r="T1459">
        <f>HLOOKUP("Provisioned MiB",'vInfo (Imported)'!$1:$5000,M1459,FALSE)</f>
        <v>0</v>
      </c>
      <c r="U1459">
        <f t="shared" si="67"/>
        <v>0</v>
      </c>
      <c r="V1459">
        <f>HLOOKUP("In Use MiB",'vInfo (Imported)'!$1:$5000,M1459,FALSE)</f>
        <v>0</v>
      </c>
    </row>
    <row r="1460" spans="1:22" ht="13" x14ac:dyDescent="0.3">
      <c r="A1460" s="46">
        <f>'vHosts (Imported)'!A1460</f>
        <v>0</v>
      </c>
      <c r="B1460" s="51">
        <f t="shared" si="69"/>
        <v>4968</v>
      </c>
      <c r="C1460" s="49">
        <f>HLOOKUP("# Cores",'vHosts (Imported)'!$1:$5000,M1460,FALSE)</f>
        <v>0</v>
      </c>
      <c r="D1460" s="52">
        <f>HLOOKUP("# Memory",'vHosts (Imported)'!$1:$5000,M1460,FALSE)</f>
        <v>0</v>
      </c>
      <c r="M1460" s="45">
        <f t="shared" si="68"/>
        <v>1460</v>
      </c>
      <c r="N1460" s="38">
        <f>HLOOKUP("Host",'vInfo (Imported)'!$1:$5000,M1460,FALSE)</f>
        <v>0</v>
      </c>
      <c r="R1460">
        <f>HLOOKUP("CPUs",'vInfo (Imported)'!$1:$5000,M1460,FALSE)</f>
        <v>0</v>
      </c>
      <c r="S1460">
        <f>HLOOKUP("Memory",'vInfo (Imported)'!$1:$5000,M1460,FALSE)</f>
        <v>0</v>
      </c>
      <c r="T1460">
        <f>HLOOKUP("Provisioned MiB",'vInfo (Imported)'!$1:$5000,M1460,FALSE)</f>
        <v>0</v>
      </c>
      <c r="U1460">
        <f t="shared" si="67"/>
        <v>0</v>
      </c>
      <c r="V1460">
        <f>HLOOKUP("In Use MiB",'vInfo (Imported)'!$1:$5000,M1460,FALSE)</f>
        <v>0</v>
      </c>
    </row>
    <row r="1461" spans="1:22" ht="13" x14ac:dyDescent="0.3">
      <c r="A1461" s="46">
        <f>'vHosts (Imported)'!A1461</f>
        <v>0</v>
      </c>
      <c r="B1461" s="51">
        <f t="shared" si="69"/>
        <v>4968</v>
      </c>
      <c r="C1461" s="49">
        <f>HLOOKUP("# Cores",'vHosts (Imported)'!$1:$5000,M1461,FALSE)</f>
        <v>0</v>
      </c>
      <c r="D1461" s="52">
        <f>HLOOKUP("# Memory",'vHosts (Imported)'!$1:$5000,M1461,FALSE)</f>
        <v>0</v>
      </c>
      <c r="M1461" s="45">
        <f t="shared" si="68"/>
        <v>1461</v>
      </c>
      <c r="N1461" s="38">
        <f>HLOOKUP("Host",'vInfo (Imported)'!$1:$5000,M1461,FALSE)</f>
        <v>0</v>
      </c>
      <c r="R1461">
        <f>HLOOKUP("CPUs",'vInfo (Imported)'!$1:$5000,M1461,FALSE)</f>
        <v>0</v>
      </c>
      <c r="S1461">
        <f>HLOOKUP("Memory",'vInfo (Imported)'!$1:$5000,M1461,FALSE)</f>
        <v>0</v>
      </c>
      <c r="T1461">
        <f>HLOOKUP("Provisioned MiB",'vInfo (Imported)'!$1:$5000,M1461,FALSE)</f>
        <v>0</v>
      </c>
      <c r="U1461">
        <f t="shared" si="67"/>
        <v>0</v>
      </c>
      <c r="V1461">
        <f>HLOOKUP("In Use MiB",'vInfo (Imported)'!$1:$5000,M1461,FALSE)</f>
        <v>0</v>
      </c>
    </row>
    <row r="1462" spans="1:22" ht="13" x14ac:dyDescent="0.3">
      <c r="A1462" s="46">
        <f>'vHosts (Imported)'!A1462</f>
        <v>0</v>
      </c>
      <c r="B1462" s="51">
        <f t="shared" si="69"/>
        <v>4968</v>
      </c>
      <c r="C1462" s="49">
        <f>HLOOKUP("# Cores",'vHosts (Imported)'!$1:$5000,M1462,FALSE)</f>
        <v>0</v>
      </c>
      <c r="D1462" s="52">
        <f>HLOOKUP("# Memory",'vHosts (Imported)'!$1:$5000,M1462,FALSE)</f>
        <v>0</v>
      </c>
      <c r="M1462" s="45">
        <f t="shared" si="68"/>
        <v>1462</v>
      </c>
      <c r="N1462" s="38">
        <f>HLOOKUP("Host",'vInfo (Imported)'!$1:$5000,M1462,FALSE)</f>
        <v>0</v>
      </c>
      <c r="R1462">
        <f>HLOOKUP("CPUs",'vInfo (Imported)'!$1:$5000,M1462,FALSE)</f>
        <v>0</v>
      </c>
      <c r="S1462">
        <f>HLOOKUP("Memory",'vInfo (Imported)'!$1:$5000,M1462,FALSE)</f>
        <v>0</v>
      </c>
      <c r="T1462">
        <f>HLOOKUP("Provisioned MiB",'vInfo (Imported)'!$1:$5000,M1462,FALSE)</f>
        <v>0</v>
      </c>
      <c r="U1462">
        <f t="shared" si="67"/>
        <v>0</v>
      </c>
      <c r="V1462">
        <f>HLOOKUP("In Use MiB",'vInfo (Imported)'!$1:$5000,M1462,FALSE)</f>
        <v>0</v>
      </c>
    </row>
    <row r="1463" spans="1:22" ht="13" x14ac:dyDescent="0.3">
      <c r="A1463" s="46">
        <f>'vHosts (Imported)'!A1463</f>
        <v>0</v>
      </c>
      <c r="B1463" s="51">
        <f t="shared" si="69"/>
        <v>4968</v>
      </c>
      <c r="C1463" s="49">
        <f>HLOOKUP("# Cores",'vHosts (Imported)'!$1:$5000,M1463,FALSE)</f>
        <v>0</v>
      </c>
      <c r="D1463" s="52">
        <f>HLOOKUP("# Memory",'vHosts (Imported)'!$1:$5000,M1463,FALSE)</f>
        <v>0</v>
      </c>
      <c r="M1463" s="45">
        <f t="shared" si="68"/>
        <v>1463</v>
      </c>
      <c r="N1463" s="38">
        <f>HLOOKUP("Host",'vInfo (Imported)'!$1:$5000,M1463,FALSE)</f>
        <v>0</v>
      </c>
      <c r="R1463">
        <f>HLOOKUP("CPUs",'vInfo (Imported)'!$1:$5000,M1463,FALSE)</f>
        <v>0</v>
      </c>
      <c r="S1463">
        <f>HLOOKUP("Memory",'vInfo (Imported)'!$1:$5000,M1463,FALSE)</f>
        <v>0</v>
      </c>
      <c r="T1463">
        <f>HLOOKUP("Provisioned MiB",'vInfo (Imported)'!$1:$5000,M1463,FALSE)</f>
        <v>0</v>
      </c>
      <c r="U1463">
        <f t="shared" si="67"/>
        <v>0</v>
      </c>
      <c r="V1463">
        <f>HLOOKUP("In Use MiB",'vInfo (Imported)'!$1:$5000,M1463,FALSE)</f>
        <v>0</v>
      </c>
    </row>
    <row r="1464" spans="1:22" ht="13" x14ac:dyDescent="0.3">
      <c r="A1464" s="46">
        <f>'vHosts (Imported)'!A1464</f>
        <v>0</v>
      </c>
      <c r="B1464" s="51">
        <f t="shared" si="69"/>
        <v>4968</v>
      </c>
      <c r="C1464" s="49">
        <f>HLOOKUP("# Cores",'vHosts (Imported)'!$1:$5000,M1464,FALSE)</f>
        <v>0</v>
      </c>
      <c r="D1464" s="52">
        <f>HLOOKUP("# Memory",'vHosts (Imported)'!$1:$5000,M1464,FALSE)</f>
        <v>0</v>
      </c>
      <c r="M1464" s="45">
        <f t="shared" si="68"/>
        <v>1464</v>
      </c>
      <c r="N1464" s="38">
        <f>HLOOKUP("Host",'vInfo (Imported)'!$1:$5000,M1464,FALSE)</f>
        <v>0</v>
      </c>
      <c r="R1464">
        <f>HLOOKUP("CPUs",'vInfo (Imported)'!$1:$5000,M1464,FALSE)</f>
        <v>0</v>
      </c>
      <c r="S1464">
        <f>HLOOKUP("Memory",'vInfo (Imported)'!$1:$5000,M1464,FALSE)</f>
        <v>0</v>
      </c>
      <c r="T1464">
        <f>HLOOKUP("Provisioned MiB",'vInfo (Imported)'!$1:$5000,M1464,FALSE)</f>
        <v>0</v>
      </c>
      <c r="U1464">
        <f t="shared" si="67"/>
        <v>0</v>
      </c>
      <c r="V1464">
        <f>HLOOKUP("In Use MiB",'vInfo (Imported)'!$1:$5000,M1464,FALSE)</f>
        <v>0</v>
      </c>
    </row>
    <row r="1465" spans="1:22" ht="13" x14ac:dyDescent="0.3">
      <c r="A1465" s="46">
        <f>'vHosts (Imported)'!A1465</f>
        <v>0</v>
      </c>
      <c r="B1465" s="51">
        <f t="shared" si="69"/>
        <v>4968</v>
      </c>
      <c r="C1465" s="49">
        <f>HLOOKUP("# Cores",'vHosts (Imported)'!$1:$5000,M1465,FALSE)</f>
        <v>0</v>
      </c>
      <c r="D1465" s="52">
        <f>HLOOKUP("# Memory",'vHosts (Imported)'!$1:$5000,M1465,FALSE)</f>
        <v>0</v>
      </c>
      <c r="M1465" s="45">
        <f t="shared" si="68"/>
        <v>1465</v>
      </c>
      <c r="N1465" s="38">
        <f>HLOOKUP("Host",'vInfo (Imported)'!$1:$5000,M1465,FALSE)</f>
        <v>0</v>
      </c>
      <c r="R1465">
        <f>HLOOKUP("CPUs",'vInfo (Imported)'!$1:$5000,M1465,FALSE)</f>
        <v>0</v>
      </c>
      <c r="S1465">
        <f>HLOOKUP("Memory",'vInfo (Imported)'!$1:$5000,M1465,FALSE)</f>
        <v>0</v>
      </c>
      <c r="T1465">
        <f>HLOOKUP("Provisioned MiB",'vInfo (Imported)'!$1:$5000,M1465,FALSE)</f>
        <v>0</v>
      </c>
      <c r="U1465">
        <f t="shared" si="67"/>
        <v>0</v>
      </c>
      <c r="V1465">
        <f>HLOOKUP("In Use MiB",'vInfo (Imported)'!$1:$5000,M1465,FALSE)</f>
        <v>0</v>
      </c>
    </row>
    <row r="1466" spans="1:22" ht="13" x14ac:dyDescent="0.3">
      <c r="A1466" s="46">
        <f>'vHosts (Imported)'!A1466</f>
        <v>0</v>
      </c>
      <c r="B1466" s="51">
        <f t="shared" si="69"/>
        <v>4968</v>
      </c>
      <c r="C1466" s="49">
        <f>HLOOKUP("# Cores",'vHosts (Imported)'!$1:$5000,M1466,FALSE)</f>
        <v>0</v>
      </c>
      <c r="D1466" s="52">
        <f>HLOOKUP("# Memory",'vHosts (Imported)'!$1:$5000,M1466,FALSE)</f>
        <v>0</v>
      </c>
      <c r="M1466" s="45">
        <f t="shared" si="68"/>
        <v>1466</v>
      </c>
      <c r="N1466" s="38">
        <f>HLOOKUP("Host",'vInfo (Imported)'!$1:$5000,M1466,FALSE)</f>
        <v>0</v>
      </c>
      <c r="R1466">
        <f>HLOOKUP("CPUs",'vInfo (Imported)'!$1:$5000,M1466,FALSE)</f>
        <v>0</v>
      </c>
      <c r="S1466">
        <f>HLOOKUP("Memory",'vInfo (Imported)'!$1:$5000,M1466,FALSE)</f>
        <v>0</v>
      </c>
      <c r="T1466">
        <f>HLOOKUP("Provisioned MiB",'vInfo (Imported)'!$1:$5000,M1466,FALSE)</f>
        <v>0</v>
      </c>
      <c r="U1466">
        <f t="shared" si="67"/>
        <v>0</v>
      </c>
      <c r="V1466">
        <f>HLOOKUP("In Use MiB",'vInfo (Imported)'!$1:$5000,M1466,FALSE)</f>
        <v>0</v>
      </c>
    </row>
    <row r="1467" spans="1:22" ht="13" x14ac:dyDescent="0.3">
      <c r="A1467" s="46">
        <f>'vHosts (Imported)'!A1467</f>
        <v>0</v>
      </c>
      <c r="B1467" s="51">
        <f t="shared" si="69"/>
        <v>4968</v>
      </c>
      <c r="C1467" s="49">
        <f>HLOOKUP("# Cores",'vHosts (Imported)'!$1:$5000,M1467,FALSE)</f>
        <v>0</v>
      </c>
      <c r="D1467" s="52">
        <f>HLOOKUP("# Memory",'vHosts (Imported)'!$1:$5000,M1467,FALSE)</f>
        <v>0</v>
      </c>
      <c r="M1467" s="45">
        <f t="shared" si="68"/>
        <v>1467</v>
      </c>
      <c r="N1467" s="38">
        <f>HLOOKUP("Host",'vInfo (Imported)'!$1:$5000,M1467,FALSE)</f>
        <v>0</v>
      </c>
      <c r="R1467">
        <f>HLOOKUP("CPUs",'vInfo (Imported)'!$1:$5000,M1467,FALSE)</f>
        <v>0</v>
      </c>
      <c r="S1467">
        <f>HLOOKUP("Memory",'vInfo (Imported)'!$1:$5000,M1467,FALSE)</f>
        <v>0</v>
      </c>
      <c r="T1467">
        <f>HLOOKUP("Provisioned MiB",'vInfo (Imported)'!$1:$5000,M1467,FALSE)</f>
        <v>0</v>
      </c>
      <c r="U1467">
        <f t="shared" si="67"/>
        <v>0</v>
      </c>
      <c r="V1467">
        <f>HLOOKUP("In Use MiB",'vInfo (Imported)'!$1:$5000,M1467,FALSE)</f>
        <v>0</v>
      </c>
    </row>
    <row r="1468" spans="1:22" ht="13" x14ac:dyDescent="0.3">
      <c r="A1468" s="46">
        <f>'vHosts (Imported)'!A1468</f>
        <v>0</v>
      </c>
      <c r="B1468" s="51">
        <f t="shared" si="69"/>
        <v>4968</v>
      </c>
      <c r="C1468" s="49">
        <f>HLOOKUP("# Cores",'vHosts (Imported)'!$1:$5000,M1468,FALSE)</f>
        <v>0</v>
      </c>
      <c r="D1468" s="52">
        <f>HLOOKUP("# Memory",'vHosts (Imported)'!$1:$5000,M1468,FALSE)</f>
        <v>0</v>
      </c>
      <c r="M1468" s="45">
        <f t="shared" si="68"/>
        <v>1468</v>
      </c>
      <c r="N1468" s="38">
        <f>HLOOKUP("Host",'vInfo (Imported)'!$1:$5000,M1468,FALSE)</f>
        <v>0</v>
      </c>
      <c r="R1468">
        <f>HLOOKUP("CPUs",'vInfo (Imported)'!$1:$5000,M1468,FALSE)</f>
        <v>0</v>
      </c>
      <c r="S1468">
        <f>HLOOKUP("Memory",'vInfo (Imported)'!$1:$5000,M1468,FALSE)</f>
        <v>0</v>
      </c>
      <c r="T1468">
        <f>HLOOKUP("Provisioned MiB",'vInfo (Imported)'!$1:$5000,M1468,FALSE)</f>
        <v>0</v>
      </c>
      <c r="U1468">
        <f t="shared" si="67"/>
        <v>0</v>
      </c>
      <c r="V1468">
        <f>HLOOKUP("In Use MiB",'vInfo (Imported)'!$1:$5000,M1468,FALSE)</f>
        <v>0</v>
      </c>
    </row>
    <row r="1469" spans="1:22" ht="13" x14ac:dyDescent="0.3">
      <c r="A1469" s="46">
        <f>'vHosts (Imported)'!A1469</f>
        <v>0</v>
      </c>
      <c r="B1469" s="51">
        <f t="shared" si="69"/>
        <v>4968</v>
      </c>
      <c r="C1469" s="49">
        <f>HLOOKUP("# Cores",'vHosts (Imported)'!$1:$5000,M1469,FALSE)</f>
        <v>0</v>
      </c>
      <c r="D1469" s="52">
        <f>HLOOKUP("# Memory",'vHosts (Imported)'!$1:$5000,M1469,FALSE)</f>
        <v>0</v>
      </c>
      <c r="M1469" s="45">
        <f t="shared" si="68"/>
        <v>1469</v>
      </c>
      <c r="N1469" s="38">
        <f>HLOOKUP("Host",'vInfo (Imported)'!$1:$5000,M1469,FALSE)</f>
        <v>0</v>
      </c>
      <c r="R1469">
        <f>HLOOKUP("CPUs",'vInfo (Imported)'!$1:$5000,M1469,FALSE)</f>
        <v>0</v>
      </c>
      <c r="S1469">
        <f>HLOOKUP("Memory",'vInfo (Imported)'!$1:$5000,M1469,FALSE)</f>
        <v>0</v>
      </c>
      <c r="T1469">
        <f>HLOOKUP("Provisioned MiB",'vInfo (Imported)'!$1:$5000,M1469,FALSE)</f>
        <v>0</v>
      </c>
      <c r="U1469">
        <f t="shared" si="67"/>
        <v>0</v>
      </c>
      <c r="V1469">
        <f>HLOOKUP("In Use MiB",'vInfo (Imported)'!$1:$5000,M1469,FALSE)</f>
        <v>0</v>
      </c>
    </row>
    <row r="1470" spans="1:22" ht="13" x14ac:dyDescent="0.3">
      <c r="A1470" s="46">
        <f>'vHosts (Imported)'!A1470</f>
        <v>0</v>
      </c>
      <c r="B1470" s="51">
        <f t="shared" si="69"/>
        <v>4968</v>
      </c>
      <c r="C1470" s="49">
        <f>HLOOKUP("# Cores",'vHosts (Imported)'!$1:$5000,M1470,FALSE)</f>
        <v>0</v>
      </c>
      <c r="D1470" s="52">
        <f>HLOOKUP("# Memory",'vHosts (Imported)'!$1:$5000,M1470,FALSE)</f>
        <v>0</v>
      </c>
      <c r="M1470" s="45">
        <f t="shared" si="68"/>
        <v>1470</v>
      </c>
      <c r="N1470" s="38">
        <f>HLOOKUP("Host",'vInfo (Imported)'!$1:$5000,M1470,FALSE)</f>
        <v>0</v>
      </c>
      <c r="R1470">
        <f>HLOOKUP("CPUs",'vInfo (Imported)'!$1:$5000,M1470,FALSE)</f>
        <v>0</v>
      </c>
      <c r="S1470">
        <f>HLOOKUP("Memory",'vInfo (Imported)'!$1:$5000,M1470,FALSE)</f>
        <v>0</v>
      </c>
      <c r="T1470">
        <f>HLOOKUP("Provisioned MiB",'vInfo (Imported)'!$1:$5000,M1470,FALSE)</f>
        <v>0</v>
      </c>
      <c r="U1470">
        <f t="shared" si="67"/>
        <v>0</v>
      </c>
      <c r="V1470">
        <f>HLOOKUP("In Use MiB",'vInfo (Imported)'!$1:$5000,M1470,FALSE)</f>
        <v>0</v>
      </c>
    </row>
    <row r="1471" spans="1:22" ht="13" x14ac:dyDescent="0.3">
      <c r="A1471" s="46">
        <f>'vHosts (Imported)'!A1471</f>
        <v>0</v>
      </c>
      <c r="B1471" s="51">
        <f t="shared" si="69"/>
        <v>4968</v>
      </c>
      <c r="C1471" s="49">
        <f>HLOOKUP("# Cores",'vHosts (Imported)'!$1:$5000,M1471,FALSE)</f>
        <v>0</v>
      </c>
      <c r="D1471" s="52">
        <f>HLOOKUP("# Memory",'vHosts (Imported)'!$1:$5000,M1471,FALSE)</f>
        <v>0</v>
      </c>
      <c r="M1471" s="45">
        <f t="shared" si="68"/>
        <v>1471</v>
      </c>
      <c r="N1471" s="38">
        <f>HLOOKUP("Host",'vInfo (Imported)'!$1:$5000,M1471,FALSE)</f>
        <v>0</v>
      </c>
      <c r="R1471">
        <f>HLOOKUP("CPUs",'vInfo (Imported)'!$1:$5000,M1471,FALSE)</f>
        <v>0</v>
      </c>
      <c r="S1471">
        <f>HLOOKUP("Memory",'vInfo (Imported)'!$1:$5000,M1471,FALSE)</f>
        <v>0</v>
      </c>
      <c r="T1471">
        <f>HLOOKUP("Provisioned MiB",'vInfo (Imported)'!$1:$5000,M1471,FALSE)</f>
        <v>0</v>
      </c>
      <c r="U1471">
        <f t="shared" si="67"/>
        <v>0</v>
      </c>
      <c r="V1471">
        <f>HLOOKUP("In Use MiB",'vInfo (Imported)'!$1:$5000,M1471,FALSE)</f>
        <v>0</v>
      </c>
    </row>
    <row r="1472" spans="1:22" ht="13" x14ac:dyDescent="0.3">
      <c r="A1472" s="46">
        <f>'vHosts (Imported)'!A1472</f>
        <v>0</v>
      </c>
      <c r="B1472" s="51">
        <f t="shared" si="69"/>
        <v>4968</v>
      </c>
      <c r="C1472" s="49">
        <f>HLOOKUP("# Cores",'vHosts (Imported)'!$1:$5000,M1472,FALSE)</f>
        <v>0</v>
      </c>
      <c r="D1472" s="52">
        <f>HLOOKUP("# Memory",'vHosts (Imported)'!$1:$5000,M1472,FALSE)</f>
        <v>0</v>
      </c>
      <c r="M1472" s="45">
        <f t="shared" si="68"/>
        <v>1472</v>
      </c>
      <c r="N1472" s="38">
        <f>HLOOKUP("Host",'vInfo (Imported)'!$1:$5000,M1472,FALSE)</f>
        <v>0</v>
      </c>
      <c r="R1472">
        <f>HLOOKUP("CPUs",'vInfo (Imported)'!$1:$5000,M1472,FALSE)</f>
        <v>0</v>
      </c>
      <c r="S1472">
        <f>HLOOKUP("Memory",'vInfo (Imported)'!$1:$5000,M1472,FALSE)</f>
        <v>0</v>
      </c>
      <c r="T1472">
        <f>HLOOKUP("Provisioned MiB",'vInfo (Imported)'!$1:$5000,M1472,FALSE)</f>
        <v>0</v>
      </c>
      <c r="U1472">
        <f t="shared" si="67"/>
        <v>0</v>
      </c>
      <c r="V1472">
        <f>HLOOKUP("In Use MiB",'vInfo (Imported)'!$1:$5000,M1472,FALSE)</f>
        <v>0</v>
      </c>
    </row>
    <row r="1473" spans="1:22" ht="13" x14ac:dyDescent="0.3">
      <c r="A1473" s="46">
        <f>'vHosts (Imported)'!A1473</f>
        <v>0</v>
      </c>
      <c r="B1473" s="51">
        <f t="shared" si="69"/>
        <v>4968</v>
      </c>
      <c r="C1473" s="49">
        <f>HLOOKUP("# Cores",'vHosts (Imported)'!$1:$5000,M1473,FALSE)</f>
        <v>0</v>
      </c>
      <c r="D1473" s="52">
        <f>HLOOKUP("# Memory",'vHosts (Imported)'!$1:$5000,M1473,FALSE)</f>
        <v>0</v>
      </c>
      <c r="M1473" s="45">
        <f t="shared" si="68"/>
        <v>1473</v>
      </c>
      <c r="N1473" s="38">
        <f>HLOOKUP("Host",'vInfo (Imported)'!$1:$5000,M1473,FALSE)</f>
        <v>0</v>
      </c>
      <c r="R1473">
        <f>HLOOKUP("CPUs",'vInfo (Imported)'!$1:$5000,M1473,FALSE)</f>
        <v>0</v>
      </c>
      <c r="S1473">
        <f>HLOOKUP("Memory",'vInfo (Imported)'!$1:$5000,M1473,FALSE)</f>
        <v>0</v>
      </c>
      <c r="T1473">
        <f>HLOOKUP("Provisioned MiB",'vInfo (Imported)'!$1:$5000,M1473,FALSE)</f>
        <v>0</v>
      </c>
      <c r="U1473">
        <f t="shared" si="67"/>
        <v>0</v>
      </c>
      <c r="V1473">
        <f>HLOOKUP("In Use MiB",'vInfo (Imported)'!$1:$5000,M1473,FALSE)</f>
        <v>0</v>
      </c>
    </row>
    <row r="1474" spans="1:22" ht="13" x14ac:dyDescent="0.3">
      <c r="A1474" s="46">
        <f>'vHosts (Imported)'!A1474</f>
        <v>0</v>
      </c>
      <c r="B1474" s="51">
        <f t="shared" si="69"/>
        <v>4968</v>
      </c>
      <c r="C1474" s="49">
        <f>HLOOKUP("# Cores",'vHosts (Imported)'!$1:$5000,M1474,FALSE)</f>
        <v>0</v>
      </c>
      <c r="D1474" s="52">
        <f>HLOOKUP("# Memory",'vHosts (Imported)'!$1:$5000,M1474,FALSE)</f>
        <v>0</v>
      </c>
      <c r="M1474" s="45">
        <f t="shared" si="68"/>
        <v>1474</v>
      </c>
      <c r="N1474" s="38">
        <f>HLOOKUP("Host",'vInfo (Imported)'!$1:$5000,M1474,FALSE)</f>
        <v>0</v>
      </c>
      <c r="R1474">
        <f>HLOOKUP("CPUs",'vInfo (Imported)'!$1:$5000,M1474,FALSE)</f>
        <v>0</v>
      </c>
      <c r="S1474">
        <f>HLOOKUP("Memory",'vInfo (Imported)'!$1:$5000,M1474,FALSE)</f>
        <v>0</v>
      </c>
      <c r="T1474">
        <f>HLOOKUP("Provisioned MiB",'vInfo (Imported)'!$1:$5000,M1474,FALSE)</f>
        <v>0</v>
      </c>
      <c r="U1474">
        <f t="shared" si="67"/>
        <v>0</v>
      </c>
      <c r="V1474">
        <f>HLOOKUP("In Use MiB",'vInfo (Imported)'!$1:$5000,M1474,FALSE)</f>
        <v>0</v>
      </c>
    </row>
    <row r="1475" spans="1:22" ht="13" x14ac:dyDescent="0.3">
      <c r="A1475" s="46">
        <f>'vHosts (Imported)'!A1475</f>
        <v>0</v>
      </c>
      <c r="B1475" s="51">
        <f t="shared" si="69"/>
        <v>4968</v>
      </c>
      <c r="C1475" s="49">
        <f>HLOOKUP("# Cores",'vHosts (Imported)'!$1:$5000,M1475,FALSE)</f>
        <v>0</v>
      </c>
      <c r="D1475" s="52">
        <f>HLOOKUP("# Memory",'vHosts (Imported)'!$1:$5000,M1475,FALSE)</f>
        <v>0</v>
      </c>
      <c r="M1475" s="45">
        <f t="shared" si="68"/>
        <v>1475</v>
      </c>
      <c r="N1475" s="38">
        <f>HLOOKUP("Host",'vInfo (Imported)'!$1:$5000,M1475,FALSE)</f>
        <v>0</v>
      </c>
      <c r="R1475">
        <f>HLOOKUP("CPUs",'vInfo (Imported)'!$1:$5000,M1475,FALSE)</f>
        <v>0</v>
      </c>
      <c r="S1475">
        <f>HLOOKUP("Memory",'vInfo (Imported)'!$1:$5000,M1475,FALSE)</f>
        <v>0</v>
      </c>
      <c r="T1475">
        <f>HLOOKUP("Provisioned MiB",'vInfo (Imported)'!$1:$5000,M1475,FALSE)</f>
        <v>0</v>
      </c>
      <c r="U1475">
        <f t="shared" ref="U1475:U1538" si="70">T1475-V1475</f>
        <v>0</v>
      </c>
      <c r="V1475">
        <f>HLOOKUP("In Use MiB",'vInfo (Imported)'!$1:$5000,M1475,FALSE)</f>
        <v>0</v>
      </c>
    </row>
    <row r="1476" spans="1:22" ht="13" x14ac:dyDescent="0.3">
      <c r="A1476" s="46">
        <f>'vHosts (Imported)'!A1476</f>
        <v>0</v>
      </c>
      <c r="B1476" s="51">
        <f t="shared" si="69"/>
        <v>4968</v>
      </c>
      <c r="C1476" s="49">
        <f>HLOOKUP("# Cores",'vHosts (Imported)'!$1:$5000,M1476,FALSE)</f>
        <v>0</v>
      </c>
      <c r="D1476" s="52">
        <f>HLOOKUP("# Memory",'vHosts (Imported)'!$1:$5000,M1476,FALSE)</f>
        <v>0</v>
      </c>
      <c r="M1476" s="45">
        <f t="shared" ref="M1476:M1539" si="71">M1475+1</f>
        <v>1476</v>
      </c>
      <c r="N1476" s="38">
        <f>HLOOKUP("Host",'vInfo (Imported)'!$1:$5000,M1476,FALSE)</f>
        <v>0</v>
      </c>
      <c r="R1476">
        <f>HLOOKUP("CPUs",'vInfo (Imported)'!$1:$5000,M1476,FALSE)</f>
        <v>0</v>
      </c>
      <c r="S1476">
        <f>HLOOKUP("Memory",'vInfo (Imported)'!$1:$5000,M1476,FALSE)</f>
        <v>0</v>
      </c>
      <c r="T1476">
        <f>HLOOKUP("Provisioned MiB",'vInfo (Imported)'!$1:$5000,M1476,FALSE)</f>
        <v>0</v>
      </c>
      <c r="U1476">
        <f t="shared" si="70"/>
        <v>0</v>
      </c>
      <c r="V1476">
        <f>HLOOKUP("In Use MiB",'vInfo (Imported)'!$1:$5000,M1476,FALSE)</f>
        <v>0</v>
      </c>
    </row>
    <row r="1477" spans="1:22" ht="13" x14ac:dyDescent="0.3">
      <c r="A1477" s="46">
        <f>'vHosts (Imported)'!A1477</f>
        <v>0</v>
      </c>
      <c r="B1477" s="51">
        <f t="shared" si="69"/>
        <v>4968</v>
      </c>
      <c r="C1477" s="49">
        <f>HLOOKUP("# Cores",'vHosts (Imported)'!$1:$5000,M1477,FALSE)</f>
        <v>0</v>
      </c>
      <c r="D1477" s="52">
        <f>HLOOKUP("# Memory",'vHosts (Imported)'!$1:$5000,M1477,FALSE)</f>
        <v>0</v>
      </c>
      <c r="M1477" s="45">
        <f t="shared" si="71"/>
        <v>1477</v>
      </c>
      <c r="N1477" s="38">
        <f>HLOOKUP("Host",'vInfo (Imported)'!$1:$5000,M1477,FALSE)</f>
        <v>0</v>
      </c>
      <c r="R1477">
        <f>HLOOKUP("CPUs",'vInfo (Imported)'!$1:$5000,M1477,FALSE)</f>
        <v>0</v>
      </c>
      <c r="S1477">
        <f>HLOOKUP("Memory",'vInfo (Imported)'!$1:$5000,M1477,FALSE)</f>
        <v>0</v>
      </c>
      <c r="T1477">
        <f>HLOOKUP("Provisioned MiB",'vInfo (Imported)'!$1:$5000,M1477,FALSE)</f>
        <v>0</v>
      </c>
      <c r="U1477">
        <f t="shared" si="70"/>
        <v>0</v>
      </c>
      <c r="V1477">
        <f>HLOOKUP("In Use MiB",'vInfo (Imported)'!$1:$5000,M1477,FALSE)</f>
        <v>0</v>
      </c>
    </row>
    <row r="1478" spans="1:22" ht="13" x14ac:dyDescent="0.3">
      <c r="A1478" s="46">
        <f>'vHosts (Imported)'!A1478</f>
        <v>0</v>
      </c>
      <c r="B1478" s="51">
        <f t="shared" si="69"/>
        <v>4968</v>
      </c>
      <c r="C1478" s="49">
        <f>HLOOKUP("# Cores",'vHosts (Imported)'!$1:$5000,M1478,FALSE)</f>
        <v>0</v>
      </c>
      <c r="D1478" s="52">
        <f>HLOOKUP("# Memory",'vHosts (Imported)'!$1:$5000,M1478,FALSE)</f>
        <v>0</v>
      </c>
      <c r="M1478" s="45">
        <f t="shared" si="71"/>
        <v>1478</v>
      </c>
      <c r="N1478" s="38">
        <f>HLOOKUP("Host",'vInfo (Imported)'!$1:$5000,M1478,FALSE)</f>
        <v>0</v>
      </c>
      <c r="R1478">
        <f>HLOOKUP("CPUs",'vInfo (Imported)'!$1:$5000,M1478,FALSE)</f>
        <v>0</v>
      </c>
      <c r="S1478">
        <f>HLOOKUP("Memory",'vInfo (Imported)'!$1:$5000,M1478,FALSE)</f>
        <v>0</v>
      </c>
      <c r="T1478">
        <f>HLOOKUP("Provisioned MiB",'vInfo (Imported)'!$1:$5000,M1478,FALSE)</f>
        <v>0</v>
      </c>
      <c r="U1478">
        <f t="shared" si="70"/>
        <v>0</v>
      </c>
      <c r="V1478">
        <f>HLOOKUP("In Use MiB",'vInfo (Imported)'!$1:$5000,M1478,FALSE)</f>
        <v>0</v>
      </c>
    </row>
    <row r="1479" spans="1:22" ht="13" x14ac:dyDescent="0.3">
      <c r="A1479" s="46">
        <f>'vHosts (Imported)'!A1479</f>
        <v>0</v>
      </c>
      <c r="B1479" s="51">
        <f t="shared" si="69"/>
        <v>4968</v>
      </c>
      <c r="C1479" s="49">
        <f>HLOOKUP("# Cores",'vHosts (Imported)'!$1:$5000,M1479,FALSE)</f>
        <v>0</v>
      </c>
      <c r="D1479" s="52">
        <f>HLOOKUP("# Memory",'vHosts (Imported)'!$1:$5000,M1479,FALSE)</f>
        <v>0</v>
      </c>
      <c r="M1479" s="45">
        <f t="shared" si="71"/>
        <v>1479</v>
      </c>
      <c r="N1479" s="38">
        <f>HLOOKUP("Host",'vInfo (Imported)'!$1:$5000,M1479,FALSE)</f>
        <v>0</v>
      </c>
      <c r="R1479">
        <f>HLOOKUP("CPUs",'vInfo (Imported)'!$1:$5000,M1479,FALSE)</f>
        <v>0</v>
      </c>
      <c r="S1479">
        <f>HLOOKUP("Memory",'vInfo (Imported)'!$1:$5000,M1479,FALSE)</f>
        <v>0</v>
      </c>
      <c r="T1479">
        <f>HLOOKUP("Provisioned MiB",'vInfo (Imported)'!$1:$5000,M1479,FALSE)</f>
        <v>0</v>
      </c>
      <c r="U1479">
        <f t="shared" si="70"/>
        <v>0</v>
      </c>
      <c r="V1479">
        <f>HLOOKUP("In Use MiB",'vInfo (Imported)'!$1:$5000,M1479,FALSE)</f>
        <v>0</v>
      </c>
    </row>
    <row r="1480" spans="1:22" ht="13" x14ac:dyDescent="0.3">
      <c r="A1480" s="46">
        <f>'vHosts (Imported)'!A1480</f>
        <v>0</v>
      </c>
      <c r="B1480" s="51">
        <f t="shared" si="69"/>
        <v>4968</v>
      </c>
      <c r="C1480" s="49">
        <f>HLOOKUP("# Cores",'vHosts (Imported)'!$1:$5000,M1480,FALSE)</f>
        <v>0</v>
      </c>
      <c r="D1480" s="52">
        <f>HLOOKUP("# Memory",'vHosts (Imported)'!$1:$5000,M1480,FALSE)</f>
        <v>0</v>
      </c>
      <c r="M1480" s="45">
        <f t="shared" si="71"/>
        <v>1480</v>
      </c>
      <c r="N1480" s="38">
        <f>HLOOKUP("Host",'vInfo (Imported)'!$1:$5000,M1480,FALSE)</f>
        <v>0</v>
      </c>
      <c r="R1480">
        <f>HLOOKUP("CPUs",'vInfo (Imported)'!$1:$5000,M1480,FALSE)</f>
        <v>0</v>
      </c>
      <c r="S1480">
        <f>HLOOKUP("Memory",'vInfo (Imported)'!$1:$5000,M1480,FALSE)</f>
        <v>0</v>
      </c>
      <c r="T1480">
        <f>HLOOKUP("Provisioned MiB",'vInfo (Imported)'!$1:$5000,M1480,FALSE)</f>
        <v>0</v>
      </c>
      <c r="U1480">
        <f t="shared" si="70"/>
        <v>0</v>
      </c>
      <c r="V1480">
        <f>HLOOKUP("In Use MiB",'vInfo (Imported)'!$1:$5000,M1480,FALSE)</f>
        <v>0</v>
      </c>
    </row>
    <row r="1481" spans="1:22" ht="13" x14ac:dyDescent="0.3">
      <c r="A1481" s="46">
        <f>'vHosts (Imported)'!A1481</f>
        <v>0</v>
      </c>
      <c r="B1481" s="51">
        <f t="shared" si="69"/>
        <v>4968</v>
      </c>
      <c r="C1481" s="49">
        <f>HLOOKUP("# Cores",'vHosts (Imported)'!$1:$5000,M1481,FALSE)</f>
        <v>0</v>
      </c>
      <c r="D1481" s="52">
        <f>HLOOKUP("# Memory",'vHosts (Imported)'!$1:$5000,M1481,FALSE)</f>
        <v>0</v>
      </c>
      <c r="M1481" s="45">
        <f t="shared" si="71"/>
        <v>1481</v>
      </c>
      <c r="N1481" s="38">
        <f>HLOOKUP("Host",'vInfo (Imported)'!$1:$5000,M1481,FALSE)</f>
        <v>0</v>
      </c>
      <c r="R1481">
        <f>HLOOKUP("CPUs",'vInfo (Imported)'!$1:$5000,M1481,FALSE)</f>
        <v>0</v>
      </c>
      <c r="S1481">
        <f>HLOOKUP("Memory",'vInfo (Imported)'!$1:$5000,M1481,FALSE)</f>
        <v>0</v>
      </c>
      <c r="T1481">
        <f>HLOOKUP("Provisioned MiB",'vInfo (Imported)'!$1:$5000,M1481,FALSE)</f>
        <v>0</v>
      </c>
      <c r="U1481">
        <f t="shared" si="70"/>
        <v>0</v>
      </c>
      <c r="V1481">
        <f>HLOOKUP("In Use MiB",'vInfo (Imported)'!$1:$5000,M1481,FALSE)</f>
        <v>0</v>
      </c>
    </row>
    <row r="1482" spans="1:22" ht="13" x14ac:dyDescent="0.3">
      <c r="A1482" s="46">
        <f>'vHosts (Imported)'!A1482</f>
        <v>0</v>
      </c>
      <c r="B1482" s="51">
        <f t="shared" si="69"/>
        <v>4968</v>
      </c>
      <c r="C1482" s="49">
        <f>HLOOKUP("# Cores",'vHosts (Imported)'!$1:$5000,M1482,FALSE)</f>
        <v>0</v>
      </c>
      <c r="D1482" s="52">
        <f>HLOOKUP("# Memory",'vHosts (Imported)'!$1:$5000,M1482,FALSE)</f>
        <v>0</v>
      </c>
      <c r="M1482" s="45">
        <f t="shared" si="71"/>
        <v>1482</v>
      </c>
      <c r="N1482" s="38">
        <f>HLOOKUP("Host",'vInfo (Imported)'!$1:$5000,M1482,FALSE)</f>
        <v>0</v>
      </c>
      <c r="R1482">
        <f>HLOOKUP("CPUs",'vInfo (Imported)'!$1:$5000,M1482,FALSE)</f>
        <v>0</v>
      </c>
      <c r="S1482">
        <f>HLOOKUP("Memory",'vInfo (Imported)'!$1:$5000,M1482,FALSE)</f>
        <v>0</v>
      </c>
      <c r="T1482">
        <f>HLOOKUP("Provisioned MiB",'vInfo (Imported)'!$1:$5000,M1482,FALSE)</f>
        <v>0</v>
      </c>
      <c r="U1482">
        <f t="shared" si="70"/>
        <v>0</v>
      </c>
      <c r="V1482">
        <f>HLOOKUP("In Use MiB",'vInfo (Imported)'!$1:$5000,M1482,FALSE)</f>
        <v>0</v>
      </c>
    </row>
    <row r="1483" spans="1:22" ht="13" x14ac:dyDescent="0.3">
      <c r="A1483" s="46">
        <f>'vHosts (Imported)'!A1483</f>
        <v>0</v>
      </c>
      <c r="B1483" s="51">
        <f t="shared" si="69"/>
        <v>4968</v>
      </c>
      <c r="C1483" s="49">
        <f>HLOOKUP("# Cores",'vHosts (Imported)'!$1:$5000,M1483,FALSE)</f>
        <v>0</v>
      </c>
      <c r="D1483" s="52">
        <f>HLOOKUP("# Memory",'vHosts (Imported)'!$1:$5000,M1483,FALSE)</f>
        <v>0</v>
      </c>
      <c r="M1483" s="45">
        <f t="shared" si="71"/>
        <v>1483</v>
      </c>
      <c r="N1483" s="38">
        <f>HLOOKUP("Host",'vInfo (Imported)'!$1:$5000,M1483,FALSE)</f>
        <v>0</v>
      </c>
      <c r="R1483">
        <f>HLOOKUP("CPUs",'vInfo (Imported)'!$1:$5000,M1483,FALSE)</f>
        <v>0</v>
      </c>
      <c r="S1483">
        <f>HLOOKUP("Memory",'vInfo (Imported)'!$1:$5000,M1483,FALSE)</f>
        <v>0</v>
      </c>
      <c r="T1483">
        <f>HLOOKUP("Provisioned MiB",'vInfo (Imported)'!$1:$5000,M1483,FALSE)</f>
        <v>0</v>
      </c>
      <c r="U1483">
        <f t="shared" si="70"/>
        <v>0</v>
      </c>
      <c r="V1483">
        <f>HLOOKUP("In Use MiB",'vInfo (Imported)'!$1:$5000,M1483,FALSE)</f>
        <v>0</v>
      </c>
    </row>
    <row r="1484" spans="1:22" ht="13" x14ac:dyDescent="0.3">
      <c r="A1484" s="46">
        <f>'vHosts (Imported)'!A1484</f>
        <v>0</v>
      </c>
      <c r="B1484" s="51">
        <f t="shared" si="69"/>
        <v>4968</v>
      </c>
      <c r="C1484" s="49">
        <f>HLOOKUP("# Cores",'vHosts (Imported)'!$1:$5000,M1484,FALSE)</f>
        <v>0</v>
      </c>
      <c r="D1484" s="52">
        <f>HLOOKUP("# Memory",'vHosts (Imported)'!$1:$5000,M1484,FALSE)</f>
        <v>0</v>
      </c>
      <c r="M1484" s="45">
        <f t="shared" si="71"/>
        <v>1484</v>
      </c>
      <c r="N1484" s="38">
        <f>HLOOKUP("Host",'vInfo (Imported)'!$1:$5000,M1484,FALSE)</f>
        <v>0</v>
      </c>
      <c r="R1484">
        <f>HLOOKUP("CPUs",'vInfo (Imported)'!$1:$5000,M1484,FALSE)</f>
        <v>0</v>
      </c>
      <c r="S1484">
        <f>HLOOKUP("Memory",'vInfo (Imported)'!$1:$5000,M1484,FALSE)</f>
        <v>0</v>
      </c>
      <c r="T1484">
        <f>HLOOKUP("Provisioned MiB",'vInfo (Imported)'!$1:$5000,M1484,FALSE)</f>
        <v>0</v>
      </c>
      <c r="U1484">
        <f t="shared" si="70"/>
        <v>0</v>
      </c>
      <c r="V1484">
        <f>HLOOKUP("In Use MiB",'vInfo (Imported)'!$1:$5000,M1484,FALSE)</f>
        <v>0</v>
      </c>
    </row>
    <row r="1485" spans="1:22" ht="13" x14ac:dyDescent="0.3">
      <c r="A1485" s="46">
        <f>'vHosts (Imported)'!A1485</f>
        <v>0</v>
      </c>
      <c r="B1485" s="51">
        <f t="shared" si="69"/>
        <v>4968</v>
      </c>
      <c r="C1485" s="49">
        <f>HLOOKUP("# Cores",'vHosts (Imported)'!$1:$5000,M1485,FALSE)</f>
        <v>0</v>
      </c>
      <c r="D1485" s="52">
        <f>HLOOKUP("# Memory",'vHosts (Imported)'!$1:$5000,M1485,FALSE)</f>
        <v>0</v>
      </c>
      <c r="M1485" s="45">
        <f t="shared" si="71"/>
        <v>1485</v>
      </c>
      <c r="N1485" s="38">
        <f>HLOOKUP("Host",'vInfo (Imported)'!$1:$5000,M1485,FALSE)</f>
        <v>0</v>
      </c>
      <c r="R1485">
        <f>HLOOKUP("CPUs",'vInfo (Imported)'!$1:$5000,M1485,FALSE)</f>
        <v>0</v>
      </c>
      <c r="S1485">
        <f>HLOOKUP("Memory",'vInfo (Imported)'!$1:$5000,M1485,FALSE)</f>
        <v>0</v>
      </c>
      <c r="T1485">
        <f>HLOOKUP("Provisioned MiB",'vInfo (Imported)'!$1:$5000,M1485,FALSE)</f>
        <v>0</v>
      </c>
      <c r="U1485">
        <f t="shared" si="70"/>
        <v>0</v>
      </c>
      <c r="V1485">
        <f>HLOOKUP("In Use MiB",'vInfo (Imported)'!$1:$5000,M1485,FALSE)</f>
        <v>0</v>
      </c>
    </row>
    <row r="1486" spans="1:22" ht="13" x14ac:dyDescent="0.3">
      <c r="A1486" s="46">
        <f>'vHosts (Imported)'!A1486</f>
        <v>0</v>
      </c>
      <c r="B1486" s="51">
        <f t="shared" si="69"/>
        <v>4968</v>
      </c>
      <c r="C1486" s="49">
        <f>HLOOKUP("# Cores",'vHosts (Imported)'!$1:$5000,M1486,FALSE)</f>
        <v>0</v>
      </c>
      <c r="D1486" s="52">
        <f>HLOOKUP("# Memory",'vHosts (Imported)'!$1:$5000,M1486,FALSE)</f>
        <v>0</v>
      </c>
      <c r="M1486" s="45">
        <f t="shared" si="71"/>
        <v>1486</v>
      </c>
      <c r="N1486" s="38">
        <f>HLOOKUP("Host",'vInfo (Imported)'!$1:$5000,M1486,FALSE)</f>
        <v>0</v>
      </c>
      <c r="R1486">
        <f>HLOOKUP("CPUs",'vInfo (Imported)'!$1:$5000,M1486,FALSE)</f>
        <v>0</v>
      </c>
      <c r="S1486">
        <f>HLOOKUP("Memory",'vInfo (Imported)'!$1:$5000,M1486,FALSE)</f>
        <v>0</v>
      </c>
      <c r="T1486">
        <f>HLOOKUP("Provisioned MiB",'vInfo (Imported)'!$1:$5000,M1486,FALSE)</f>
        <v>0</v>
      </c>
      <c r="U1486">
        <f t="shared" si="70"/>
        <v>0</v>
      </c>
      <c r="V1486">
        <f>HLOOKUP("In Use MiB",'vInfo (Imported)'!$1:$5000,M1486,FALSE)</f>
        <v>0</v>
      </c>
    </row>
    <row r="1487" spans="1:22" ht="13" x14ac:dyDescent="0.3">
      <c r="A1487" s="46">
        <f>'vHosts (Imported)'!A1487</f>
        <v>0</v>
      </c>
      <c r="B1487" s="51">
        <f t="shared" si="69"/>
        <v>4968</v>
      </c>
      <c r="C1487" s="49">
        <f>HLOOKUP("# Cores",'vHosts (Imported)'!$1:$5000,M1487,FALSE)</f>
        <v>0</v>
      </c>
      <c r="D1487" s="52">
        <f>HLOOKUP("# Memory",'vHosts (Imported)'!$1:$5000,M1487,FALSE)</f>
        <v>0</v>
      </c>
      <c r="M1487" s="45">
        <f t="shared" si="71"/>
        <v>1487</v>
      </c>
      <c r="N1487" s="38">
        <f>HLOOKUP("Host",'vInfo (Imported)'!$1:$5000,M1487,FALSE)</f>
        <v>0</v>
      </c>
      <c r="R1487">
        <f>HLOOKUP("CPUs",'vInfo (Imported)'!$1:$5000,M1487,FALSE)</f>
        <v>0</v>
      </c>
      <c r="S1487">
        <f>HLOOKUP("Memory",'vInfo (Imported)'!$1:$5000,M1487,FALSE)</f>
        <v>0</v>
      </c>
      <c r="T1487">
        <f>HLOOKUP("Provisioned MiB",'vInfo (Imported)'!$1:$5000,M1487,FALSE)</f>
        <v>0</v>
      </c>
      <c r="U1487">
        <f t="shared" si="70"/>
        <v>0</v>
      </c>
      <c r="V1487">
        <f>HLOOKUP("In Use MiB",'vInfo (Imported)'!$1:$5000,M1487,FALSE)</f>
        <v>0</v>
      </c>
    </row>
    <row r="1488" spans="1:22" ht="13" x14ac:dyDescent="0.3">
      <c r="A1488" s="46">
        <f>'vHosts (Imported)'!A1488</f>
        <v>0</v>
      </c>
      <c r="B1488" s="51">
        <f t="shared" si="69"/>
        <v>4968</v>
      </c>
      <c r="C1488" s="49">
        <f>HLOOKUP("# Cores",'vHosts (Imported)'!$1:$5000,M1488,FALSE)</f>
        <v>0</v>
      </c>
      <c r="D1488" s="52">
        <f>HLOOKUP("# Memory",'vHosts (Imported)'!$1:$5000,M1488,FALSE)</f>
        <v>0</v>
      </c>
      <c r="M1488" s="45">
        <f t="shared" si="71"/>
        <v>1488</v>
      </c>
      <c r="N1488" s="38">
        <f>HLOOKUP("Host",'vInfo (Imported)'!$1:$5000,M1488,FALSE)</f>
        <v>0</v>
      </c>
      <c r="R1488">
        <f>HLOOKUP("CPUs",'vInfo (Imported)'!$1:$5000,M1488,FALSE)</f>
        <v>0</v>
      </c>
      <c r="S1488">
        <f>HLOOKUP("Memory",'vInfo (Imported)'!$1:$5000,M1488,FALSE)</f>
        <v>0</v>
      </c>
      <c r="T1488">
        <f>HLOOKUP("Provisioned MiB",'vInfo (Imported)'!$1:$5000,M1488,FALSE)</f>
        <v>0</v>
      </c>
      <c r="U1488">
        <f t="shared" si="70"/>
        <v>0</v>
      </c>
      <c r="V1488">
        <f>HLOOKUP("In Use MiB",'vInfo (Imported)'!$1:$5000,M1488,FALSE)</f>
        <v>0</v>
      </c>
    </row>
    <row r="1489" spans="1:22" ht="13" x14ac:dyDescent="0.3">
      <c r="A1489" s="46">
        <f>'vHosts (Imported)'!A1489</f>
        <v>0</v>
      </c>
      <c r="B1489" s="51">
        <f t="shared" si="69"/>
        <v>4968</v>
      </c>
      <c r="C1489" s="49">
        <f>HLOOKUP("# Cores",'vHosts (Imported)'!$1:$5000,M1489,FALSE)</f>
        <v>0</v>
      </c>
      <c r="D1489" s="52">
        <f>HLOOKUP("# Memory",'vHosts (Imported)'!$1:$5000,M1489,FALSE)</f>
        <v>0</v>
      </c>
      <c r="M1489" s="45">
        <f t="shared" si="71"/>
        <v>1489</v>
      </c>
      <c r="N1489" s="38">
        <f>HLOOKUP("Host",'vInfo (Imported)'!$1:$5000,M1489,FALSE)</f>
        <v>0</v>
      </c>
      <c r="R1489">
        <f>HLOOKUP("CPUs",'vInfo (Imported)'!$1:$5000,M1489,FALSE)</f>
        <v>0</v>
      </c>
      <c r="S1489">
        <f>HLOOKUP("Memory",'vInfo (Imported)'!$1:$5000,M1489,FALSE)</f>
        <v>0</v>
      </c>
      <c r="T1489">
        <f>HLOOKUP("Provisioned MiB",'vInfo (Imported)'!$1:$5000,M1489,FALSE)</f>
        <v>0</v>
      </c>
      <c r="U1489">
        <f t="shared" si="70"/>
        <v>0</v>
      </c>
      <c r="V1489">
        <f>HLOOKUP("In Use MiB",'vInfo (Imported)'!$1:$5000,M1489,FALSE)</f>
        <v>0</v>
      </c>
    </row>
    <row r="1490" spans="1:22" ht="13" x14ac:dyDescent="0.3">
      <c r="A1490" s="46">
        <f>'vHosts (Imported)'!A1490</f>
        <v>0</v>
      </c>
      <c r="B1490" s="51">
        <f t="shared" si="69"/>
        <v>4968</v>
      </c>
      <c r="C1490" s="49">
        <f>HLOOKUP("# Cores",'vHosts (Imported)'!$1:$5000,M1490,FALSE)</f>
        <v>0</v>
      </c>
      <c r="D1490" s="52">
        <f>HLOOKUP("# Memory",'vHosts (Imported)'!$1:$5000,M1490,FALSE)</f>
        <v>0</v>
      </c>
      <c r="M1490" s="45">
        <f t="shared" si="71"/>
        <v>1490</v>
      </c>
      <c r="N1490" s="38">
        <f>HLOOKUP("Host",'vInfo (Imported)'!$1:$5000,M1490,FALSE)</f>
        <v>0</v>
      </c>
      <c r="R1490">
        <f>HLOOKUP("CPUs",'vInfo (Imported)'!$1:$5000,M1490,FALSE)</f>
        <v>0</v>
      </c>
      <c r="S1490">
        <f>HLOOKUP("Memory",'vInfo (Imported)'!$1:$5000,M1490,FALSE)</f>
        <v>0</v>
      </c>
      <c r="T1490">
        <f>HLOOKUP("Provisioned MiB",'vInfo (Imported)'!$1:$5000,M1490,FALSE)</f>
        <v>0</v>
      </c>
      <c r="U1490">
        <f t="shared" si="70"/>
        <v>0</v>
      </c>
      <c r="V1490">
        <f>HLOOKUP("In Use MiB",'vInfo (Imported)'!$1:$5000,M1490,FALSE)</f>
        <v>0</v>
      </c>
    </row>
    <row r="1491" spans="1:22" ht="13" x14ac:dyDescent="0.3">
      <c r="A1491" s="46">
        <f>'vHosts (Imported)'!A1491</f>
        <v>0</v>
      </c>
      <c r="B1491" s="51">
        <f t="shared" si="69"/>
        <v>4968</v>
      </c>
      <c r="C1491" s="49">
        <f>HLOOKUP("# Cores",'vHosts (Imported)'!$1:$5000,M1491,FALSE)</f>
        <v>0</v>
      </c>
      <c r="D1491" s="52">
        <f>HLOOKUP("# Memory",'vHosts (Imported)'!$1:$5000,M1491,FALSE)</f>
        <v>0</v>
      </c>
      <c r="M1491" s="45">
        <f t="shared" si="71"/>
        <v>1491</v>
      </c>
      <c r="N1491" s="38">
        <f>HLOOKUP("Host",'vInfo (Imported)'!$1:$5000,M1491,FALSE)</f>
        <v>0</v>
      </c>
      <c r="R1491">
        <f>HLOOKUP("CPUs",'vInfo (Imported)'!$1:$5000,M1491,FALSE)</f>
        <v>0</v>
      </c>
      <c r="S1491">
        <f>HLOOKUP("Memory",'vInfo (Imported)'!$1:$5000,M1491,FALSE)</f>
        <v>0</v>
      </c>
      <c r="T1491">
        <f>HLOOKUP("Provisioned MiB",'vInfo (Imported)'!$1:$5000,M1491,FALSE)</f>
        <v>0</v>
      </c>
      <c r="U1491">
        <f t="shared" si="70"/>
        <v>0</v>
      </c>
      <c r="V1491">
        <f>HLOOKUP("In Use MiB",'vInfo (Imported)'!$1:$5000,M1491,FALSE)</f>
        <v>0</v>
      </c>
    </row>
    <row r="1492" spans="1:22" ht="13" x14ac:dyDescent="0.3">
      <c r="A1492" s="46">
        <f>'vHosts (Imported)'!A1492</f>
        <v>0</v>
      </c>
      <c r="B1492" s="51">
        <f t="shared" si="69"/>
        <v>4968</v>
      </c>
      <c r="C1492" s="49">
        <f>HLOOKUP("# Cores",'vHosts (Imported)'!$1:$5000,M1492,FALSE)</f>
        <v>0</v>
      </c>
      <c r="D1492" s="52">
        <f>HLOOKUP("# Memory",'vHosts (Imported)'!$1:$5000,M1492,FALSE)</f>
        <v>0</v>
      </c>
      <c r="M1492" s="45">
        <f t="shared" si="71"/>
        <v>1492</v>
      </c>
      <c r="N1492" s="38">
        <f>HLOOKUP("Host",'vInfo (Imported)'!$1:$5000,M1492,FALSE)</f>
        <v>0</v>
      </c>
      <c r="R1492">
        <f>HLOOKUP("CPUs",'vInfo (Imported)'!$1:$5000,M1492,FALSE)</f>
        <v>0</v>
      </c>
      <c r="S1492">
        <f>HLOOKUP("Memory",'vInfo (Imported)'!$1:$5000,M1492,FALSE)</f>
        <v>0</v>
      </c>
      <c r="T1492">
        <f>HLOOKUP("Provisioned MiB",'vInfo (Imported)'!$1:$5000,M1492,FALSE)</f>
        <v>0</v>
      </c>
      <c r="U1492">
        <f t="shared" si="70"/>
        <v>0</v>
      </c>
      <c r="V1492">
        <f>HLOOKUP("In Use MiB",'vInfo (Imported)'!$1:$5000,M1492,FALSE)</f>
        <v>0</v>
      </c>
    </row>
    <row r="1493" spans="1:22" ht="13" x14ac:dyDescent="0.3">
      <c r="A1493" s="46">
        <f>'vHosts (Imported)'!A1493</f>
        <v>0</v>
      </c>
      <c r="B1493" s="51">
        <f t="shared" si="69"/>
        <v>4968</v>
      </c>
      <c r="C1493" s="49">
        <f>HLOOKUP("# Cores",'vHosts (Imported)'!$1:$5000,M1493,FALSE)</f>
        <v>0</v>
      </c>
      <c r="D1493" s="52">
        <f>HLOOKUP("# Memory",'vHosts (Imported)'!$1:$5000,M1493,FALSE)</f>
        <v>0</v>
      </c>
      <c r="M1493" s="45">
        <f t="shared" si="71"/>
        <v>1493</v>
      </c>
      <c r="N1493" s="38">
        <f>HLOOKUP("Host",'vInfo (Imported)'!$1:$5000,M1493,FALSE)</f>
        <v>0</v>
      </c>
      <c r="R1493">
        <f>HLOOKUP("CPUs",'vInfo (Imported)'!$1:$5000,M1493,FALSE)</f>
        <v>0</v>
      </c>
      <c r="S1493">
        <f>HLOOKUP("Memory",'vInfo (Imported)'!$1:$5000,M1493,FALSE)</f>
        <v>0</v>
      </c>
      <c r="T1493">
        <f>HLOOKUP("Provisioned MiB",'vInfo (Imported)'!$1:$5000,M1493,FALSE)</f>
        <v>0</v>
      </c>
      <c r="U1493">
        <f t="shared" si="70"/>
        <v>0</v>
      </c>
      <c r="V1493">
        <f>HLOOKUP("In Use MiB",'vInfo (Imported)'!$1:$5000,M1493,FALSE)</f>
        <v>0</v>
      </c>
    </row>
    <row r="1494" spans="1:22" ht="13" x14ac:dyDescent="0.3">
      <c r="A1494" s="46">
        <f>'vHosts (Imported)'!A1494</f>
        <v>0</v>
      </c>
      <c r="B1494" s="51">
        <f t="shared" si="69"/>
        <v>4968</v>
      </c>
      <c r="C1494" s="49">
        <f>HLOOKUP("# Cores",'vHosts (Imported)'!$1:$5000,M1494,FALSE)</f>
        <v>0</v>
      </c>
      <c r="D1494" s="52">
        <f>HLOOKUP("# Memory",'vHosts (Imported)'!$1:$5000,M1494,FALSE)</f>
        <v>0</v>
      </c>
      <c r="M1494" s="45">
        <f t="shared" si="71"/>
        <v>1494</v>
      </c>
      <c r="N1494" s="38">
        <f>HLOOKUP("Host",'vInfo (Imported)'!$1:$5000,M1494,FALSE)</f>
        <v>0</v>
      </c>
      <c r="R1494">
        <f>HLOOKUP("CPUs",'vInfo (Imported)'!$1:$5000,M1494,FALSE)</f>
        <v>0</v>
      </c>
      <c r="S1494">
        <f>HLOOKUP("Memory",'vInfo (Imported)'!$1:$5000,M1494,FALSE)</f>
        <v>0</v>
      </c>
      <c r="T1494">
        <f>HLOOKUP("Provisioned MiB",'vInfo (Imported)'!$1:$5000,M1494,FALSE)</f>
        <v>0</v>
      </c>
      <c r="U1494">
        <f t="shared" si="70"/>
        <v>0</v>
      </c>
      <c r="V1494">
        <f>HLOOKUP("In Use MiB",'vInfo (Imported)'!$1:$5000,M1494,FALSE)</f>
        <v>0</v>
      </c>
    </row>
    <row r="1495" spans="1:22" ht="13" x14ac:dyDescent="0.3">
      <c r="A1495" s="46">
        <f>'vHosts (Imported)'!A1495</f>
        <v>0</v>
      </c>
      <c r="B1495" s="51">
        <f t="shared" si="69"/>
        <v>4968</v>
      </c>
      <c r="C1495" s="49">
        <f>HLOOKUP("# Cores",'vHosts (Imported)'!$1:$5000,M1495,FALSE)</f>
        <v>0</v>
      </c>
      <c r="D1495" s="52">
        <f>HLOOKUP("# Memory",'vHosts (Imported)'!$1:$5000,M1495,FALSE)</f>
        <v>0</v>
      </c>
      <c r="M1495" s="45">
        <f t="shared" si="71"/>
        <v>1495</v>
      </c>
      <c r="N1495" s="38">
        <f>HLOOKUP("Host",'vInfo (Imported)'!$1:$5000,M1495,FALSE)</f>
        <v>0</v>
      </c>
      <c r="R1495">
        <f>HLOOKUP("CPUs",'vInfo (Imported)'!$1:$5000,M1495,FALSE)</f>
        <v>0</v>
      </c>
      <c r="S1495">
        <f>HLOOKUP("Memory",'vInfo (Imported)'!$1:$5000,M1495,FALSE)</f>
        <v>0</v>
      </c>
      <c r="T1495">
        <f>HLOOKUP("Provisioned MiB",'vInfo (Imported)'!$1:$5000,M1495,FALSE)</f>
        <v>0</v>
      </c>
      <c r="U1495">
        <f t="shared" si="70"/>
        <v>0</v>
      </c>
      <c r="V1495">
        <f>HLOOKUP("In Use MiB",'vInfo (Imported)'!$1:$5000,M1495,FALSE)</f>
        <v>0</v>
      </c>
    </row>
    <row r="1496" spans="1:22" ht="13" x14ac:dyDescent="0.3">
      <c r="A1496" s="46">
        <f>'vHosts (Imported)'!A1496</f>
        <v>0</v>
      </c>
      <c r="B1496" s="51">
        <f t="shared" si="69"/>
        <v>4968</v>
      </c>
      <c r="C1496" s="49">
        <f>HLOOKUP("# Cores",'vHosts (Imported)'!$1:$5000,M1496,FALSE)</f>
        <v>0</v>
      </c>
      <c r="D1496" s="52">
        <f>HLOOKUP("# Memory",'vHosts (Imported)'!$1:$5000,M1496,FALSE)</f>
        <v>0</v>
      </c>
      <c r="M1496" s="45">
        <f t="shared" si="71"/>
        <v>1496</v>
      </c>
      <c r="N1496" s="38">
        <f>HLOOKUP("Host",'vInfo (Imported)'!$1:$5000,M1496,FALSE)</f>
        <v>0</v>
      </c>
      <c r="R1496">
        <f>HLOOKUP("CPUs",'vInfo (Imported)'!$1:$5000,M1496,FALSE)</f>
        <v>0</v>
      </c>
      <c r="S1496">
        <f>HLOOKUP("Memory",'vInfo (Imported)'!$1:$5000,M1496,FALSE)</f>
        <v>0</v>
      </c>
      <c r="T1496">
        <f>HLOOKUP("Provisioned MiB",'vInfo (Imported)'!$1:$5000,M1496,FALSE)</f>
        <v>0</v>
      </c>
      <c r="U1496">
        <f t="shared" si="70"/>
        <v>0</v>
      </c>
      <c r="V1496">
        <f>HLOOKUP("In Use MiB",'vInfo (Imported)'!$1:$5000,M1496,FALSE)</f>
        <v>0</v>
      </c>
    </row>
    <row r="1497" spans="1:22" ht="13" x14ac:dyDescent="0.3">
      <c r="A1497" s="46">
        <f>'vHosts (Imported)'!A1497</f>
        <v>0</v>
      </c>
      <c r="B1497" s="51">
        <f t="shared" si="69"/>
        <v>4968</v>
      </c>
      <c r="C1497" s="49">
        <f>HLOOKUP("# Cores",'vHosts (Imported)'!$1:$5000,M1497,FALSE)</f>
        <v>0</v>
      </c>
      <c r="D1497" s="52">
        <f>HLOOKUP("# Memory",'vHosts (Imported)'!$1:$5000,M1497,FALSE)</f>
        <v>0</v>
      </c>
      <c r="M1497" s="45">
        <f t="shared" si="71"/>
        <v>1497</v>
      </c>
      <c r="N1497" s="38">
        <f>HLOOKUP("Host",'vInfo (Imported)'!$1:$5000,M1497,FALSE)</f>
        <v>0</v>
      </c>
      <c r="R1497">
        <f>HLOOKUP("CPUs",'vInfo (Imported)'!$1:$5000,M1497,FALSE)</f>
        <v>0</v>
      </c>
      <c r="S1497">
        <f>HLOOKUP("Memory",'vInfo (Imported)'!$1:$5000,M1497,FALSE)</f>
        <v>0</v>
      </c>
      <c r="T1497">
        <f>HLOOKUP("Provisioned MiB",'vInfo (Imported)'!$1:$5000,M1497,FALSE)</f>
        <v>0</v>
      </c>
      <c r="U1497">
        <f t="shared" si="70"/>
        <v>0</v>
      </c>
      <c r="V1497">
        <f>HLOOKUP("In Use MiB",'vInfo (Imported)'!$1:$5000,M1497,FALSE)</f>
        <v>0</v>
      </c>
    </row>
    <row r="1498" spans="1:22" ht="13" x14ac:dyDescent="0.3">
      <c r="A1498" s="46">
        <f>'vHosts (Imported)'!A1498</f>
        <v>0</v>
      </c>
      <c r="B1498" s="51">
        <f t="shared" si="69"/>
        <v>4968</v>
      </c>
      <c r="C1498" s="49">
        <f>HLOOKUP("# Cores",'vHosts (Imported)'!$1:$5000,M1498,FALSE)</f>
        <v>0</v>
      </c>
      <c r="D1498" s="52">
        <f>HLOOKUP("# Memory",'vHosts (Imported)'!$1:$5000,M1498,FALSE)</f>
        <v>0</v>
      </c>
      <c r="M1498" s="45">
        <f t="shared" si="71"/>
        <v>1498</v>
      </c>
      <c r="N1498" s="38">
        <f>HLOOKUP("Host",'vInfo (Imported)'!$1:$5000,M1498,FALSE)</f>
        <v>0</v>
      </c>
      <c r="R1498">
        <f>HLOOKUP("CPUs",'vInfo (Imported)'!$1:$5000,M1498,FALSE)</f>
        <v>0</v>
      </c>
      <c r="S1498">
        <f>HLOOKUP("Memory",'vInfo (Imported)'!$1:$5000,M1498,FALSE)</f>
        <v>0</v>
      </c>
      <c r="T1498">
        <f>HLOOKUP("Provisioned MiB",'vInfo (Imported)'!$1:$5000,M1498,FALSE)</f>
        <v>0</v>
      </c>
      <c r="U1498">
        <f t="shared" si="70"/>
        <v>0</v>
      </c>
      <c r="V1498">
        <f>HLOOKUP("In Use MiB",'vInfo (Imported)'!$1:$5000,M1498,FALSE)</f>
        <v>0</v>
      </c>
    </row>
    <row r="1499" spans="1:22" ht="13" x14ac:dyDescent="0.3">
      <c r="A1499" s="46">
        <f>'vHosts (Imported)'!A1499</f>
        <v>0</v>
      </c>
      <c r="B1499" s="51">
        <f t="shared" si="69"/>
        <v>4968</v>
      </c>
      <c r="C1499" s="49">
        <f>HLOOKUP("# Cores",'vHosts (Imported)'!$1:$5000,M1499,FALSE)</f>
        <v>0</v>
      </c>
      <c r="D1499" s="52">
        <f>HLOOKUP("# Memory",'vHosts (Imported)'!$1:$5000,M1499,FALSE)</f>
        <v>0</v>
      </c>
      <c r="M1499" s="45">
        <f t="shared" si="71"/>
        <v>1499</v>
      </c>
      <c r="N1499" s="38">
        <f>HLOOKUP("Host",'vInfo (Imported)'!$1:$5000,M1499,FALSE)</f>
        <v>0</v>
      </c>
      <c r="R1499">
        <f>HLOOKUP("CPUs",'vInfo (Imported)'!$1:$5000,M1499,FALSE)</f>
        <v>0</v>
      </c>
      <c r="S1499">
        <f>HLOOKUP("Memory",'vInfo (Imported)'!$1:$5000,M1499,FALSE)</f>
        <v>0</v>
      </c>
      <c r="T1499">
        <f>HLOOKUP("Provisioned MiB",'vInfo (Imported)'!$1:$5000,M1499,FALSE)</f>
        <v>0</v>
      </c>
      <c r="U1499">
        <f t="shared" si="70"/>
        <v>0</v>
      </c>
      <c r="V1499">
        <f>HLOOKUP("In Use MiB",'vInfo (Imported)'!$1:$5000,M1499,FALSE)</f>
        <v>0</v>
      </c>
    </row>
    <row r="1500" spans="1:22" ht="13" x14ac:dyDescent="0.3">
      <c r="A1500" s="46">
        <f>'vHosts (Imported)'!A1500</f>
        <v>0</v>
      </c>
      <c r="B1500" s="51">
        <f t="shared" si="69"/>
        <v>4968</v>
      </c>
      <c r="C1500" s="49">
        <f>HLOOKUP("# Cores",'vHosts (Imported)'!$1:$5000,M1500,FALSE)</f>
        <v>0</v>
      </c>
      <c r="D1500" s="52">
        <f>HLOOKUP("# Memory",'vHosts (Imported)'!$1:$5000,M1500,FALSE)</f>
        <v>0</v>
      </c>
      <c r="M1500" s="45">
        <f t="shared" si="71"/>
        <v>1500</v>
      </c>
      <c r="N1500" s="38">
        <f>HLOOKUP("Host",'vInfo (Imported)'!$1:$5000,M1500,FALSE)</f>
        <v>0</v>
      </c>
      <c r="R1500">
        <f>HLOOKUP("CPUs",'vInfo (Imported)'!$1:$5000,M1500,FALSE)</f>
        <v>0</v>
      </c>
      <c r="S1500">
        <f>HLOOKUP("Memory",'vInfo (Imported)'!$1:$5000,M1500,FALSE)</f>
        <v>0</v>
      </c>
      <c r="T1500">
        <f>HLOOKUP("Provisioned MiB",'vInfo (Imported)'!$1:$5000,M1500,FALSE)</f>
        <v>0</v>
      </c>
      <c r="U1500">
        <f t="shared" si="70"/>
        <v>0</v>
      </c>
      <c r="V1500">
        <f>HLOOKUP("In Use MiB",'vInfo (Imported)'!$1:$5000,M1500,FALSE)</f>
        <v>0</v>
      </c>
    </row>
    <row r="1501" spans="1:22" ht="13" x14ac:dyDescent="0.3">
      <c r="A1501" s="46">
        <f>'vHosts (Imported)'!A1501</f>
        <v>0</v>
      </c>
      <c r="B1501" s="51">
        <f t="shared" si="69"/>
        <v>4968</v>
      </c>
      <c r="C1501" s="49">
        <f>HLOOKUP("# Cores",'vHosts (Imported)'!$1:$5000,M1501,FALSE)</f>
        <v>0</v>
      </c>
      <c r="D1501" s="52">
        <f>HLOOKUP("# Memory",'vHosts (Imported)'!$1:$5000,M1501,FALSE)</f>
        <v>0</v>
      </c>
      <c r="M1501" s="45">
        <f t="shared" si="71"/>
        <v>1501</v>
      </c>
      <c r="N1501" s="38">
        <f>HLOOKUP("Host",'vInfo (Imported)'!$1:$5000,M1501,FALSE)</f>
        <v>0</v>
      </c>
      <c r="R1501">
        <f>HLOOKUP("CPUs",'vInfo (Imported)'!$1:$5000,M1501,FALSE)</f>
        <v>0</v>
      </c>
      <c r="S1501">
        <f>HLOOKUP("Memory",'vInfo (Imported)'!$1:$5000,M1501,FALSE)</f>
        <v>0</v>
      </c>
      <c r="T1501">
        <f>HLOOKUP("Provisioned MiB",'vInfo (Imported)'!$1:$5000,M1501,FALSE)</f>
        <v>0</v>
      </c>
      <c r="U1501">
        <f t="shared" si="70"/>
        <v>0</v>
      </c>
      <c r="V1501">
        <f>HLOOKUP("In Use MiB",'vInfo (Imported)'!$1:$5000,M1501,FALSE)</f>
        <v>0</v>
      </c>
    </row>
    <row r="1502" spans="1:22" ht="13" x14ac:dyDescent="0.3">
      <c r="A1502" s="46">
        <f>'vHosts (Imported)'!A1502</f>
        <v>0</v>
      </c>
      <c r="B1502" s="51">
        <f t="shared" si="69"/>
        <v>4968</v>
      </c>
      <c r="C1502" s="49">
        <f>HLOOKUP("# Cores",'vHosts (Imported)'!$1:$5000,M1502,FALSE)</f>
        <v>0</v>
      </c>
      <c r="D1502" s="52">
        <f>HLOOKUP("# Memory",'vHosts (Imported)'!$1:$5000,M1502,FALSE)</f>
        <v>0</v>
      </c>
      <c r="M1502" s="45">
        <f t="shared" si="71"/>
        <v>1502</v>
      </c>
      <c r="N1502" s="38">
        <f>HLOOKUP("Host",'vInfo (Imported)'!$1:$5000,M1502,FALSE)</f>
        <v>0</v>
      </c>
      <c r="R1502">
        <f>HLOOKUP("CPUs",'vInfo (Imported)'!$1:$5000,M1502,FALSE)</f>
        <v>0</v>
      </c>
      <c r="S1502">
        <f>HLOOKUP("Memory",'vInfo (Imported)'!$1:$5000,M1502,FALSE)</f>
        <v>0</v>
      </c>
      <c r="T1502">
        <f>HLOOKUP("Provisioned MiB",'vInfo (Imported)'!$1:$5000,M1502,FALSE)</f>
        <v>0</v>
      </c>
      <c r="U1502">
        <f t="shared" si="70"/>
        <v>0</v>
      </c>
      <c r="V1502">
        <f>HLOOKUP("In Use MiB",'vInfo (Imported)'!$1:$5000,M1502,FALSE)</f>
        <v>0</v>
      </c>
    </row>
    <row r="1503" spans="1:22" ht="13" x14ac:dyDescent="0.3">
      <c r="A1503" s="46">
        <f>'vHosts (Imported)'!A1503</f>
        <v>0</v>
      </c>
      <c r="B1503" s="51">
        <f t="shared" si="69"/>
        <v>4968</v>
      </c>
      <c r="C1503" s="49">
        <f>HLOOKUP("# Cores",'vHosts (Imported)'!$1:$5000,M1503,FALSE)</f>
        <v>0</v>
      </c>
      <c r="D1503" s="52">
        <f>HLOOKUP("# Memory",'vHosts (Imported)'!$1:$5000,M1503,FALSE)</f>
        <v>0</v>
      </c>
      <c r="M1503" s="45">
        <f t="shared" si="71"/>
        <v>1503</v>
      </c>
      <c r="N1503" s="38">
        <f>HLOOKUP("Host",'vInfo (Imported)'!$1:$5000,M1503,FALSE)</f>
        <v>0</v>
      </c>
      <c r="R1503">
        <f>HLOOKUP("CPUs",'vInfo (Imported)'!$1:$5000,M1503,FALSE)</f>
        <v>0</v>
      </c>
      <c r="S1503">
        <f>HLOOKUP("Memory",'vInfo (Imported)'!$1:$5000,M1503,FALSE)</f>
        <v>0</v>
      </c>
      <c r="T1503">
        <f>HLOOKUP("Provisioned MiB",'vInfo (Imported)'!$1:$5000,M1503,FALSE)</f>
        <v>0</v>
      </c>
      <c r="U1503">
        <f t="shared" si="70"/>
        <v>0</v>
      </c>
      <c r="V1503">
        <f>HLOOKUP("In Use MiB",'vInfo (Imported)'!$1:$5000,M1503,FALSE)</f>
        <v>0</v>
      </c>
    </row>
    <row r="1504" spans="1:22" ht="13" x14ac:dyDescent="0.3">
      <c r="A1504" s="46">
        <f>'vHosts (Imported)'!A1504</f>
        <v>0</v>
      </c>
      <c r="B1504" s="51">
        <f t="shared" si="69"/>
        <v>4968</v>
      </c>
      <c r="C1504" s="49">
        <f>HLOOKUP("# Cores",'vHosts (Imported)'!$1:$5000,M1504,FALSE)</f>
        <v>0</v>
      </c>
      <c r="D1504" s="52">
        <f>HLOOKUP("# Memory",'vHosts (Imported)'!$1:$5000,M1504,FALSE)</f>
        <v>0</v>
      </c>
      <c r="M1504" s="45">
        <f t="shared" si="71"/>
        <v>1504</v>
      </c>
      <c r="N1504" s="38">
        <f>HLOOKUP("Host",'vInfo (Imported)'!$1:$5000,M1504,FALSE)</f>
        <v>0</v>
      </c>
      <c r="R1504">
        <f>HLOOKUP("CPUs",'vInfo (Imported)'!$1:$5000,M1504,FALSE)</f>
        <v>0</v>
      </c>
      <c r="S1504">
        <f>HLOOKUP("Memory",'vInfo (Imported)'!$1:$5000,M1504,FALSE)</f>
        <v>0</v>
      </c>
      <c r="T1504">
        <f>HLOOKUP("Provisioned MiB",'vInfo (Imported)'!$1:$5000,M1504,FALSE)</f>
        <v>0</v>
      </c>
      <c r="U1504">
        <f t="shared" si="70"/>
        <v>0</v>
      </c>
      <c r="V1504">
        <f>HLOOKUP("In Use MiB",'vInfo (Imported)'!$1:$5000,M1504,FALSE)</f>
        <v>0</v>
      </c>
    </row>
    <row r="1505" spans="1:22" ht="13" x14ac:dyDescent="0.3">
      <c r="A1505" s="46">
        <f>'vHosts (Imported)'!A1505</f>
        <v>0</v>
      </c>
      <c r="B1505" s="51">
        <f t="shared" si="69"/>
        <v>4968</v>
      </c>
      <c r="C1505" s="49">
        <f>HLOOKUP("# Cores",'vHosts (Imported)'!$1:$5000,M1505,FALSE)</f>
        <v>0</v>
      </c>
      <c r="D1505" s="52">
        <f>HLOOKUP("# Memory",'vHosts (Imported)'!$1:$5000,M1505,FALSE)</f>
        <v>0</v>
      </c>
      <c r="M1505" s="45">
        <f t="shared" si="71"/>
        <v>1505</v>
      </c>
      <c r="N1505" s="38">
        <f>HLOOKUP("Host",'vInfo (Imported)'!$1:$5000,M1505,FALSE)</f>
        <v>0</v>
      </c>
      <c r="R1505">
        <f>HLOOKUP("CPUs",'vInfo (Imported)'!$1:$5000,M1505,FALSE)</f>
        <v>0</v>
      </c>
      <c r="S1505">
        <f>HLOOKUP("Memory",'vInfo (Imported)'!$1:$5000,M1505,FALSE)</f>
        <v>0</v>
      </c>
      <c r="T1505">
        <f>HLOOKUP("Provisioned MiB",'vInfo (Imported)'!$1:$5000,M1505,FALSE)</f>
        <v>0</v>
      </c>
      <c r="U1505">
        <f t="shared" si="70"/>
        <v>0</v>
      </c>
      <c r="V1505">
        <f>HLOOKUP("In Use MiB",'vInfo (Imported)'!$1:$5000,M1505,FALSE)</f>
        <v>0</v>
      </c>
    </row>
    <row r="1506" spans="1:22" ht="13" x14ac:dyDescent="0.3">
      <c r="A1506" s="46">
        <f>'vHosts (Imported)'!A1506</f>
        <v>0</v>
      </c>
      <c r="B1506" s="51">
        <f t="shared" si="69"/>
        <v>4968</v>
      </c>
      <c r="C1506" s="49">
        <f>HLOOKUP("# Cores",'vHosts (Imported)'!$1:$5000,M1506,FALSE)</f>
        <v>0</v>
      </c>
      <c r="D1506" s="52">
        <f>HLOOKUP("# Memory",'vHosts (Imported)'!$1:$5000,M1506,FALSE)</f>
        <v>0</v>
      </c>
      <c r="M1506" s="45">
        <f t="shared" si="71"/>
        <v>1506</v>
      </c>
      <c r="N1506" s="38">
        <f>HLOOKUP("Host",'vInfo (Imported)'!$1:$5000,M1506,FALSE)</f>
        <v>0</v>
      </c>
      <c r="R1506">
        <f>HLOOKUP("CPUs",'vInfo (Imported)'!$1:$5000,M1506,FALSE)</f>
        <v>0</v>
      </c>
      <c r="S1506">
        <f>HLOOKUP("Memory",'vInfo (Imported)'!$1:$5000,M1506,FALSE)</f>
        <v>0</v>
      </c>
      <c r="T1506">
        <f>HLOOKUP("Provisioned MiB",'vInfo (Imported)'!$1:$5000,M1506,FALSE)</f>
        <v>0</v>
      </c>
      <c r="U1506">
        <f t="shared" si="70"/>
        <v>0</v>
      </c>
      <c r="V1506">
        <f>HLOOKUP("In Use MiB",'vInfo (Imported)'!$1:$5000,M1506,FALSE)</f>
        <v>0</v>
      </c>
    </row>
    <row r="1507" spans="1:22" ht="13" x14ac:dyDescent="0.3">
      <c r="A1507" s="46">
        <f>'vHosts (Imported)'!A1507</f>
        <v>0</v>
      </c>
      <c r="B1507" s="51">
        <f t="shared" si="69"/>
        <v>4968</v>
      </c>
      <c r="C1507" s="49">
        <f>HLOOKUP("# Cores",'vHosts (Imported)'!$1:$5000,M1507,FALSE)</f>
        <v>0</v>
      </c>
      <c r="D1507" s="52">
        <f>HLOOKUP("# Memory",'vHosts (Imported)'!$1:$5000,M1507,FALSE)</f>
        <v>0</v>
      </c>
      <c r="M1507" s="45">
        <f t="shared" si="71"/>
        <v>1507</v>
      </c>
      <c r="N1507" s="38">
        <f>HLOOKUP("Host",'vInfo (Imported)'!$1:$5000,M1507,FALSE)</f>
        <v>0</v>
      </c>
      <c r="R1507">
        <f>HLOOKUP("CPUs",'vInfo (Imported)'!$1:$5000,M1507,FALSE)</f>
        <v>0</v>
      </c>
      <c r="S1507">
        <f>HLOOKUP("Memory",'vInfo (Imported)'!$1:$5000,M1507,FALSE)</f>
        <v>0</v>
      </c>
      <c r="T1507">
        <f>HLOOKUP("Provisioned MiB",'vInfo (Imported)'!$1:$5000,M1507,FALSE)</f>
        <v>0</v>
      </c>
      <c r="U1507">
        <f t="shared" si="70"/>
        <v>0</v>
      </c>
      <c r="V1507">
        <f>HLOOKUP("In Use MiB",'vInfo (Imported)'!$1:$5000,M1507,FALSE)</f>
        <v>0</v>
      </c>
    </row>
    <row r="1508" spans="1:22" ht="13" x14ac:dyDescent="0.3">
      <c r="A1508" s="46">
        <f>'vHosts (Imported)'!A1508</f>
        <v>0</v>
      </c>
      <c r="B1508" s="51">
        <f t="shared" si="69"/>
        <v>4968</v>
      </c>
      <c r="C1508" s="49">
        <f>HLOOKUP("# Cores",'vHosts (Imported)'!$1:$5000,M1508,FALSE)</f>
        <v>0</v>
      </c>
      <c r="D1508" s="52">
        <f>HLOOKUP("# Memory",'vHosts (Imported)'!$1:$5000,M1508,FALSE)</f>
        <v>0</v>
      </c>
      <c r="M1508" s="45">
        <f t="shared" si="71"/>
        <v>1508</v>
      </c>
      <c r="N1508" s="38">
        <f>HLOOKUP("Host",'vInfo (Imported)'!$1:$5000,M1508,FALSE)</f>
        <v>0</v>
      </c>
      <c r="R1508">
        <f>HLOOKUP("CPUs",'vInfo (Imported)'!$1:$5000,M1508,FALSE)</f>
        <v>0</v>
      </c>
      <c r="S1508">
        <f>HLOOKUP("Memory",'vInfo (Imported)'!$1:$5000,M1508,FALSE)</f>
        <v>0</v>
      </c>
      <c r="T1508">
        <f>HLOOKUP("Provisioned MiB",'vInfo (Imported)'!$1:$5000,M1508,FALSE)</f>
        <v>0</v>
      </c>
      <c r="U1508">
        <f t="shared" si="70"/>
        <v>0</v>
      </c>
      <c r="V1508">
        <f>HLOOKUP("In Use MiB",'vInfo (Imported)'!$1:$5000,M1508,FALSE)</f>
        <v>0</v>
      </c>
    </row>
    <row r="1509" spans="1:22" ht="13" x14ac:dyDescent="0.3">
      <c r="A1509" s="46">
        <f>'vHosts (Imported)'!A1509</f>
        <v>0</v>
      </c>
      <c r="B1509" s="51">
        <f t="shared" si="69"/>
        <v>4968</v>
      </c>
      <c r="C1509" s="49">
        <f>HLOOKUP("# Cores",'vHosts (Imported)'!$1:$5000,M1509,FALSE)</f>
        <v>0</v>
      </c>
      <c r="D1509" s="52">
        <f>HLOOKUP("# Memory",'vHosts (Imported)'!$1:$5000,M1509,FALSE)</f>
        <v>0</v>
      </c>
      <c r="M1509" s="45">
        <f t="shared" si="71"/>
        <v>1509</v>
      </c>
      <c r="N1509" s="38">
        <f>HLOOKUP("Host",'vInfo (Imported)'!$1:$5000,M1509,FALSE)</f>
        <v>0</v>
      </c>
      <c r="R1509">
        <f>HLOOKUP("CPUs",'vInfo (Imported)'!$1:$5000,M1509,FALSE)</f>
        <v>0</v>
      </c>
      <c r="S1509">
        <f>HLOOKUP("Memory",'vInfo (Imported)'!$1:$5000,M1509,FALSE)</f>
        <v>0</v>
      </c>
      <c r="T1509">
        <f>HLOOKUP("Provisioned MiB",'vInfo (Imported)'!$1:$5000,M1509,FALSE)</f>
        <v>0</v>
      </c>
      <c r="U1509">
        <f t="shared" si="70"/>
        <v>0</v>
      </c>
      <c r="V1509">
        <f>HLOOKUP("In Use MiB",'vInfo (Imported)'!$1:$5000,M1509,FALSE)</f>
        <v>0</v>
      </c>
    </row>
    <row r="1510" spans="1:22" ht="13" x14ac:dyDescent="0.3">
      <c r="A1510" s="46">
        <f>'vHosts (Imported)'!A1510</f>
        <v>0</v>
      </c>
      <c r="B1510" s="51">
        <f t="shared" si="69"/>
        <v>4968</v>
      </c>
      <c r="C1510" s="49">
        <f>HLOOKUP("# Cores",'vHosts (Imported)'!$1:$5000,M1510,FALSE)</f>
        <v>0</v>
      </c>
      <c r="D1510" s="52">
        <f>HLOOKUP("# Memory",'vHosts (Imported)'!$1:$5000,M1510,FALSE)</f>
        <v>0</v>
      </c>
      <c r="M1510" s="45">
        <f t="shared" si="71"/>
        <v>1510</v>
      </c>
      <c r="N1510" s="38">
        <f>HLOOKUP("Host",'vInfo (Imported)'!$1:$5000,M1510,FALSE)</f>
        <v>0</v>
      </c>
      <c r="R1510">
        <f>HLOOKUP("CPUs",'vInfo (Imported)'!$1:$5000,M1510,FALSE)</f>
        <v>0</v>
      </c>
      <c r="S1510">
        <f>HLOOKUP("Memory",'vInfo (Imported)'!$1:$5000,M1510,FALSE)</f>
        <v>0</v>
      </c>
      <c r="T1510">
        <f>HLOOKUP("Provisioned MiB",'vInfo (Imported)'!$1:$5000,M1510,FALSE)</f>
        <v>0</v>
      </c>
      <c r="U1510">
        <f t="shared" si="70"/>
        <v>0</v>
      </c>
      <c r="V1510">
        <f>HLOOKUP("In Use MiB",'vInfo (Imported)'!$1:$5000,M1510,FALSE)</f>
        <v>0</v>
      </c>
    </row>
    <row r="1511" spans="1:22" ht="13" x14ac:dyDescent="0.3">
      <c r="A1511" s="46">
        <f>'vHosts (Imported)'!A1511</f>
        <v>0</v>
      </c>
      <c r="B1511" s="51">
        <f t="shared" si="69"/>
        <v>4968</v>
      </c>
      <c r="C1511" s="49">
        <f>HLOOKUP("# Cores",'vHosts (Imported)'!$1:$5000,M1511,FALSE)</f>
        <v>0</v>
      </c>
      <c r="D1511" s="52">
        <f>HLOOKUP("# Memory",'vHosts (Imported)'!$1:$5000,M1511,FALSE)</f>
        <v>0</v>
      </c>
      <c r="M1511" s="45">
        <f t="shared" si="71"/>
        <v>1511</v>
      </c>
      <c r="N1511" s="38">
        <f>HLOOKUP("Host",'vInfo (Imported)'!$1:$5000,M1511,FALSE)</f>
        <v>0</v>
      </c>
      <c r="R1511">
        <f>HLOOKUP("CPUs",'vInfo (Imported)'!$1:$5000,M1511,FALSE)</f>
        <v>0</v>
      </c>
      <c r="S1511">
        <f>HLOOKUP("Memory",'vInfo (Imported)'!$1:$5000,M1511,FALSE)</f>
        <v>0</v>
      </c>
      <c r="T1511">
        <f>HLOOKUP("Provisioned MiB",'vInfo (Imported)'!$1:$5000,M1511,FALSE)</f>
        <v>0</v>
      </c>
      <c r="U1511">
        <f t="shared" si="70"/>
        <v>0</v>
      </c>
      <c r="V1511">
        <f>HLOOKUP("In Use MiB",'vInfo (Imported)'!$1:$5000,M1511,FALSE)</f>
        <v>0</v>
      </c>
    </row>
    <row r="1512" spans="1:22" ht="13" x14ac:dyDescent="0.3">
      <c r="A1512" s="46">
        <f>'vHosts (Imported)'!A1512</f>
        <v>0</v>
      </c>
      <c r="B1512" s="51">
        <f t="shared" ref="B1512:B1575" si="72">COUNTIF(N:N,A1512)</f>
        <v>4968</v>
      </c>
      <c r="C1512" s="49">
        <f>HLOOKUP("# Cores",'vHosts (Imported)'!$1:$5000,M1512,FALSE)</f>
        <v>0</v>
      </c>
      <c r="D1512" s="52">
        <f>HLOOKUP("# Memory",'vHosts (Imported)'!$1:$5000,M1512,FALSE)</f>
        <v>0</v>
      </c>
      <c r="M1512" s="45">
        <f t="shared" si="71"/>
        <v>1512</v>
      </c>
      <c r="N1512" s="38">
        <f>HLOOKUP("Host",'vInfo (Imported)'!$1:$5000,M1512,FALSE)</f>
        <v>0</v>
      </c>
      <c r="R1512">
        <f>HLOOKUP("CPUs",'vInfo (Imported)'!$1:$5000,M1512,FALSE)</f>
        <v>0</v>
      </c>
      <c r="S1512">
        <f>HLOOKUP("Memory",'vInfo (Imported)'!$1:$5000,M1512,FALSE)</f>
        <v>0</v>
      </c>
      <c r="T1512">
        <f>HLOOKUP("Provisioned MiB",'vInfo (Imported)'!$1:$5000,M1512,FALSE)</f>
        <v>0</v>
      </c>
      <c r="U1512">
        <f t="shared" si="70"/>
        <v>0</v>
      </c>
      <c r="V1512">
        <f>HLOOKUP("In Use MiB",'vInfo (Imported)'!$1:$5000,M1512,FALSE)</f>
        <v>0</v>
      </c>
    </row>
    <row r="1513" spans="1:22" ht="13" x14ac:dyDescent="0.3">
      <c r="A1513" s="46">
        <f>'vHosts (Imported)'!A1513</f>
        <v>0</v>
      </c>
      <c r="B1513" s="51">
        <f t="shared" si="72"/>
        <v>4968</v>
      </c>
      <c r="C1513" s="49">
        <f>HLOOKUP("# Cores",'vHosts (Imported)'!$1:$5000,M1513,FALSE)</f>
        <v>0</v>
      </c>
      <c r="D1513" s="52">
        <f>HLOOKUP("# Memory",'vHosts (Imported)'!$1:$5000,M1513,FALSE)</f>
        <v>0</v>
      </c>
      <c r="M1513" s="45">
        <f t="shared" si="71"/>
        <v>1513</v>
      </c>
      <c r="N1513" s="38">
        <f>HLOOKUP("Host",'vInfo (Imported)'!$1:$5000,M1513,FALSE)</f>
        <v>0</v>
      </c>
      <c r="R1513">
        <f>HLOOKUP("CPUs",'vInfo (Imported)'!$1:$5000,M1513,FALSE)</f>
        <v>0</v>
      </c>
      <c r="S1513">
        <f>HLOOKUP("Memory",'vInfo (Imported)'!$1:$5000,M1513,FALSE)</f>
        <v>0</v>
      </c>
      <c r="T1513">
        <f>HLOOKUP("Provisioned MiB",'vInfo (Imported)'!$1:$5000,M1513,FALSE)</f>
        <v>0</v>
      </c>
      <c r="U1513">
        <f t="shared" si="70"/>
        <v>0</v>
      </c>
      <c r="V1513">
        <f>HLOOKUP("In Use MiB",'vInfo (Imported)'!$1:$5000,M1513,FALSE)</f>
        <v>0</v>
      </c>
    </row>
    <row r="1514" spans="1:22" ht="13" x14ac:dyDescent="0.3">
      <c r="A1514" s="46">
        <f>'vHosts (Imported)'!A1514</f>
        <v>0</v>
      </c>
      <c r="B1514" s="51">
        <f t="shared" si="72"/>
        <v>4968</v>
      </c>
      <c r="C1514" s="49">
        <f>HLOOKUP("# Cores",'vHosts (Imported)'!$1:$5000,M1514,FALSE)</f>
        <v>0</v>
      </c>
      <c r="D1514" s="52">
        <f>HLOOKUP("# Memory",'vHosts (Imported)'!$1:$5000,M1514,FALSE)</f>
        <v>0</v>
      </c>
      <c r="M1514" s="45">
        <f t="shared" si="71"/>
        <v>1514</v>
      </c>
      <c r="N1514" s="38">
        <f>HLOOKUP("Host",'vInfo (Imported)'!$1:$5000,M1514,FALSE)</f>
        <v>0</v>
      </c>
      <c r="R1514">
        <f>HLOOKUP("CPUs",'vInfo (Imported)'!$1:$5000,M1514,FALSE)</f>
        <v>0</v>
      </c>
      <c r="S1514">
        <f>HLOOKUP("Memory",'vInfo (Imported)'!$1:$5000,M1514,FALSE)</f>
        <v>0</v>
      </c>
      <c r="T1514">
        <f>HLOOKUP("Provisioned MiB",'vInfo (Imported)'!$1:$5000,M1514,FALSE)</f>
        <v>0</v>
      </c>
      <c r="U1514">
        <f t="shared" si="70"/>
        <v>0</v>
      </c>
      <c r="V1514">
        <f>HLOOKUP("In Use MiB",'vInfo (Imported)'!$1:$5000,M1514,FALSE)</f>
        <v>0</v>
      </c>
    </row>
    <row r="1515" spans="1:22" ht="13" x14ac:dyDescent="0.3">
      <c r="A1515" s="46">
        <f>'vHosts (Imported)'!A1515</f>
        <v>0</v>
      </c>
      <c r="B1515" s="51">
        <f t="shared" si="72"/>
        <v>4968</v>
      </c>
      <c r="C1515" s="49">
        <f>HLOOKUP("# Cores",'vHosts (Imported)'!$1:$5000,M1515,FALSE)</f>
        <v>0</v>
      </c>
      <c r="D1515" s="52">
        <f>HLOOKUP("# Memory",'vHosts (Imported)'!$1:$5000,M1515,FALSE)</f>
        <v>0</v>
      </c>
      <c r="M1515" s="45">
        <f t="shared" si="71"/>
        <v>1515</v>
      </c>
      <c r="N1515" s="38">
        <f>HLOOKUP("Host",'vInfo (Imported)'!$1:$5000,M1515,FALSE)</f>
        <v>0</v>
      </c>
      <c r="R1515">
        <f>HLOOKUP("CPUs",'vInfo (Imported)'!$1:$5000,M1515,FALSE)</f>
        <v>0</v>
      </c>
      <c r="S1515">
        <f>HLOOKUP("Memory",'vInfo (Imported)'!$1:$5000,M1515,FALSE)</f>
        <v>0</v>
      </c>
      <c r="T1515">
        <f>HLOOKUP("Provisioned MiB",'vInfo (Imported)'!$1:$5000,M1515,FALSE)</f>
        <v>0</v>
      </c>
      <c r="U1515">
        <f t="shared" si="70"/>
        <v>0</v>
      </c>
      <c r="V1515">
        <f>HLOOKUP("In Use MiB",'vInfo (Imported)'!$1:$5000,M1515,FALSE)</f>
        <v>0</v>
      </c>
    </row>
    <row r="1516" spans="1:22" ht="13" x14ac:dyDescent="0.3">
      <c r="A1516" s="46">
        <f>'vHosts (Imported)'!A1516</f>
        <v>0</v>
      </c>
      <c r="B1516" s="51">
        <f t="shared" si="72"/>
        <v>4968</v>
      </c>
      <c r="C1516" s="49">
        <f>HLOOKUP("# Cores",'vHosts (Imported)'!$1:$5000,M1516,FALSE)</f>
        <v>0</v>
      </c>
      <c r="D1516" s="52">
        <f>HLOOKUP("# Memory",'vHosts (Imported)'!$1:$5000,M1516,FALSE)</f>
        <v>0</v>
      </c>
      <c r="M1516" s="45">
        <f t="shared" si="71"/>
        <v>1516</v>
      </c>
      <c r="N1516" s="38">
        <f>HLOOKUP("Host",'vInfo (Imported)'!$1:$5000,M1516,FALSE)</f>
        <v>0</v>
      </c>
      <c r="R1516">
        <f>HLOOKUP("CPUs",'vInfo (Imported)'!$1:$5000,M1516,FALSE)</f>
        <v>0</v>
      </c>
      <c r="S1516">
        <f>HLOOKUP("Memory",'vInfo (Imported)'!$1:$5000,M1516,FALSE)</f>
        <v>0</v>
      </c>
      <c r="T1516">
        <f>HLOOKUP("Provisioned MiB",'vInfo (Imported)'!$1:$5000,M1516,FALSE)</f>
        <v>0</v>
      </c>
      <c r="U1516">
        <f t="shared" si="70"/>
        <v>0</v>
      </c>
      <c r="V1516">
        <f>HLOOKUP("In Use MiB",'vInfo (Imported)'!$1:$5000,M1516,FALSE)</f>
        <v>0</v>
      </c>
    </row>
    <row r="1517" spans="1:22" ht="13" x14ac:dyDescent="0.3">
      <c r="A1517" s="46">
        <f>'vHosts (Imported)'!A1517</f>
        <v>0</v>
      </c>
      <c r="B1517" s="51">
        <f t="shared" si="72"/>
        <v>4968</v>
      </c>
      <c r="C1517" s="49">
        <f>HLOOKUP("# Cores",'vHosts (Imported)'!$1:$5000,M1517,FALSE)</f>
        <v>0</v>
      </c>
      <c r="D1517" s="52">
        <f>HLOOKUP("# Memory",'vHosts (Imported)'!$1:$5000,M1517,FALSE)</f>
        <v>0</v>
      </c>
      <c r="M1517" s="45">
        <f t="shared" si="71"/>
        <v>1517</v>
      </c>
      <c r="N1517" s="38">
        <f>HLOOKUP("Host",'vInfo (Imported)'!$1:$5000,M1517,FALSE)</f>
        <v>0</v>
      </c>
      <c r="R1517">
        <f>HLOOKUP("CPUs",'vInfo (Imported)'!$1:$5000,M1517,FALSE)</f>
        <v>0</v>
      </c>
      <c r="S1517">
        <f>HLOOKUP("Memory",'vInfo (Imported)'!$1:$5000,M1517,FALSE)</f>
        <v>0</v>
      </c>
      <c r="T1517">
        <f>HLOOKUP("Provisioned MiB",'vInfo (Imported)'!$1:$5000,M1517,FALSE)</f>
        <v>0</v>
      </c>
      <c r="U1517">
        <f t="shared" si="70"/>
        <v>0</v>
      </c>
      <c r="V1517">
        <f>HLOOKUP("In Use MiB",'vInfo (Imported)'!$1:$5000,M1517,FALSE)</f>
        <v>0</v>
      </c>
    </row>
    <row r="1518" spans="1:22" ht="13" x14ac:dyDescent="0.3">
      <c r="A1518" s="46">
        <f>'vHosts (Imported)'!A1518</f>
        <v>0</v>
      </c>
      <c r="B1518" s="51">
        <f t="shared" si="72"/>
        <v>4968</v>
      </c>
      <c r="C1518" s="49">
        <f>HLOOKUP("# Cores",'vHosts (Imported)'!$1:$5000,M1518,FALSE)</f>
        <v>0</v>
      </c>
      <c r="D1518" s="52">
        <f>HLOOKUP("# Memory",'vHosts (Imported)'!$1:$5000,M1518,FALSE)</f>
        <v>0</v>
      </c>
      <c r="M1518" s="45">
        <f t="shared" si="71"/>
        <v>1518</v>
      </c>
      <c r="N1518" s="38">
        <f>HLOOKUP("Host",'vInfo (Imported)'!$1:$5000,M1518,FALSE)</f>
        <v>0</v>
      </c>
      <c r="R1518">
        <f>HLOOKUP("CPUs",'vInfo (Imported)'!$1:$5000,M1518,FALSE)</f>
        <v>0</v>
      </c>
      <c r="S1518">
        <f>HLOOKUP("Memory",'vInfo (Imported)'!$1:$5000,M1518,FALSE)</f>
        <v>0</v>
      </c>
      <c r="T1518">
        <f>HLOOKUP("Provisioned MiB",'vInfo (Imported)'!$1:$5000,M1518,FALSE)</f>
        <v>0</v>
      </c>
      <c r="U1518">
        <f t="shared" si="70"/>
        <v>0</v>
      </c>
      <c r="V1518">
        <f>HLOOKUP("In Use MiB",'vInfo (Imported)'!$1:$5000,M1518,FALSE)</f>
        <v>0</v>
      </c>
    </row>
    <row r="1519" spans="1:22" ht="13" x14ac:dyDescent="0.3">
      <c r="A1519" s="46">
        <f>'vHosts (Imported)'!A1519</f>
        <v>0</v>
      </c>
      <c r="B1519" s="51">
        <f t="shared" si="72"/>
        <v>4968</v>
      </c>
      <c r="C1519" s="49">
        <f>HLOOKUP("# Cores",'vHosts (Imported)'!$1:$5000,M1519,FALSE)</f>
        <v>0</v>
      </c>
      <c r="D1519" s="52">
        <f>HLOOKUP("# Memory",'vHosts (Imported)'!$1:$5000,M1519,FALSE)</f>
        <v>0</v>
      </c>
      <c r="M1519" s="45">
        <f t="shared" si="71"/>
        <v>1519</v>
      </c>
      <c r="N1519" s="38">
        <f>HLOOKUP("Host",'vInfo (Imported)'!$1:$5000,M1519,FALSE)</f>
        <v>0</v>
      </c>
      <c r="R1519">
        <f>HLOOKUP("CPUs",'vInfo (Imported)'!$1:$5000,M1519,FALSE)</f>
        <v>0</v>
      </c>
      <c r="S1519">
        <f>HLOOKUP("Memory",'vInfo (Imported)'!$1:$5000,M1519,FALSE)</f>
        <v>0</v>
      </c>
      <c r="T1519">
        <f>HLOOKUP("Provisioned MiB",'vInfo (Imported)'!$1:$5000,M1519,FALSE)</f>
        <v>0</v>
      </c>
      <c r="U1519">
        <f t="shared" si="70"/>
        <v>0</v>
      </c>
      <c r="V1519">
        <f>HLOOKUP("In Use MiB",'vInfo (Imported)'!$1:$5000,M1519,FALSE)</f>
        <v>0</v>
      </c>
    </row>
    <row r="1520" spans="1:22" ht="13" x14ac:dyDescent="0.3">
      <c r="A1520" s="46">
        <f>'vHosts (Imported)'!A1520</f>
        <v>0</v>
      </c>
      <c r="B1520" s="51">
        <f t="shared" si="72"/>
        <v>4968</v>
      </c>
      <c r="C1520" s="49">
        <f>HLOOKUP("# Cores",'vHosts (Imported)'!$1:$5000,M1520,FALSE)</f>
        <v>0</v>
      </c>
      <c r="D1520" s="52">
        <f>HLOOKUP("# Memory",'vHosts (Imported)'!$1:$5000,M1520,FALSE)</f>
        <v>0</v>
      </c>
      <c r="M1520" s="45">
        <f t="shared" si="71"/>
        <v>1520</v>
      </c>
      <c r="N1520" s="38">
        <f>HLOOKUP("Host",'vInfo (Imported)'!$1:$5000,M1520,FALSE)</f>
        <v>0</v>
      </c>
      <c r="R1520">
        <f>HLOOKUP("CPUs",'vInfo (Imported)'!$1:$5000,M1520,FALSE)</f>
        <v>0</v>
      </c>
      <c r="S1520">
        <f>HLOOKUP("Memory",'vInfo (Imported)'!$1:$5000,M1520,FALSE)</f>
        <v>0</v>
      </c>
      <c r="T1520">
        <f>HLOOKUP("Provisioned MiB",'vInfo (Imported)'!$1:$5000,M1520,FALSE)</f>
        <v>0</v>
      </c>
      <c r="U1520">
        <f t="shared" si="70"/>
        <v>0</v>
      </c>
      <c r="V1520">
        <f>HLOOKUP("In Use MiB",'vInfo (Imported)'!$1:$5000,M1520,FALSE)</f>
        <v>0</v>
      </c>
    </row>
    <row r="1521" spans="1:22" ht="13" x14ac:dyDescent="0.3">
      <c r="A1521" s="46">
        <f>'vHosts (Imported)'!A1521</f>
        <v>0</v>
      </c>
      <c r="B1521" s="51">
        <f t="shared" si="72"/>
        <v>4968</v>
      </c>
      <c r="C1521" s="49">
        <f>HLOOKUP("# Cores",'vHosts (Imported)'!$1:$5000,M1521,FALSE)</f>
        <v>0</v>
      </c>
      <c r="D1521" s="52">
        <f>HLOOKUP("# Memory",'vHosts (Imported)'!$1:$5000,M1521,FALSE)</f>
        <v>0</v>
      </c>
      <c r="M1521" s="45">
        <f t="shared" si="71"/>
        <v>1521</v>
      </c>
      <c r="N1521" s="38">
        <f>HLOOKUP("Host",'vInfo (Imported)'!$1:$5000,M1521,FALSE)</f>
        <v>0</v>
      </c>
      <c r="R1521">
        <f>HLOOKUP("CPUs",'vInfo (Imported)'!$1:$5000,M1521,FALSE)</f>
        <v>0</v>
      </c>
      <c r="S1521">
        <f>HLOOKUP("Memory",'vInfo (Imported)'!$1:$5000,M1521,FALSE)</f>
        <v>0</v>
      </c>
      <c r="T1521">
        <f>HLOOKUP("Provisioned MiB",'vInfo (Imported)'!$1:$5000,M1521,FALSE)</f>
        <v>0</v>
      </c>
      <c r="U1521">
        <f t="shared" si="70"/>
        <v>0</v>
      </c>
      <c r="V1521">
        <f>HLOOKUP("In Use MiB",'vInfo (Imported)'!$1:$5000,M1521,FALSE)</f>
        <v>0</v>
      </c>
    </row>
    <row r="1522" spans="1:22" ht="13" x14ac:dyDescent="0.3">
      <c r="A1522" s="46">
        <f>'vHosts (Imported)'!A1522</f>
        <v>0</v>
      </c>
      <c r="B1522" s="51">
        <f t="shared" si="72"/>
        <v>4968</v>
      </c>
      <c r="C1522" s="49">
        <f>HLOOKUP("# Cores",'vHosts (Imported)'!$1:$5000,M1522,FALSE)</f>
        <v>0</v>
      </c>
      <c r="D1522" s="52">
        <f>HLOOKUP("# Memory",'vHosts (Imported)'!$1:$5000,M1522,FALSE)</f>
        <v>0</v>
      </c>
      <c r="M1522" s="45">
        <f t="shared" si="71"/>
        <v>1522</v>
      </c>
      <c r="N1522" s="38">
        <f>HLOOKUP("Host",'vInfo (Imported)'!$1:$5000,M1522,FALSE)</f>
        <v>0</v>
      </c>
      <c r="R1522">
        <f>HLOOKUP("CPUs",'vInfo (Imported)'!$1:$5000,M1522,FALSE)</f>
        <v>0</v>
      </c>
      <c r="S1522">
        <f>HLOOKUP("Memory",'vInfo (Imported)'!$1:$5000,M1522,FALSE)</f>
        <v>0</v>
      </c>
      <c r="T1522">
        <f>HLOOKUP("Provisioned MiB",'vInfo (Imported)'!$1:$5000,M1522,FALSE)</f>
        <v>0</v>
      </c>
      <c r="U1522">
        <f t="shared" si="70"/>
        <v>0</v>
      </c>
      <c r="V1522">
        <f>HLOOKUP("In Use MiB",'vInfo (Imported)'!$1:$5000,M1522,FALSE)</f>
        <v>0</v>
      </c>
    </row>
    <row r="1523" spans="1:22" ht="13" x14ac:dyDescent="0.3">
      <c r="A1523" s="46">
        <f>'vHosts (Imported)'!A1523</f>
        <v>0</v>
      </c>
      <c r="B1523" s="51">
        <f t="shared" si="72"/>
        <v>4968</v>
      </c>
      <c r="C1523" s="49">
        <f>HLOOKUP("# Cores",'vHosts (Imported)'!$1:$5000,M1523,FALSE)</f>
        <v>0</v>
      </c>
      <c r="D1523" s="52">
        <f>HLOOKUP("# Memory",'vHosts (Imported)'!$1:$5000,M1523,FALSE)</f>
        <v>0</v>
      </c>
      <c r="M1523" s="45">
        <f t="shared" si="71"/>
        <v>1523</v>
      </c>
      <c r="N1523" s="38">
        <f>HLOOKUP("Host",'vInfo (Imported)'!$1:$5000,M1523,FALSE)</f>
        <v>0</v>
      </c>
      <c r="R1523">
        <f>HLOOKUP("CPUs",'vInfo (Imported)'!$1:$5000,M1523,FALSE)</f>
        <v>0</v>
      </c>
      <c r="S1523">
        <f>HLOOKUP("Memory",'vInfo (Imported)'!$1:$5000,M1523,FALSE)</f>
        <v>0</v>
      </c>
      <c r="T1523">
        <f>HLOOKUP("Provisioned MiB",'vInfo (Imported)'!$1:$5000,M1523,FALSE)</f>
        <v>0</v>
      </c>
      <c r="U1523">
        <f t="shared" si="70"/>
        <v>0</v>
      </c>
      <c r="V1523">
        <f>HLOOKUP("In Use MiB",'vInfo (Imported)'!$1:$5000,M1523,FALSE)</f>
        <v>0</v>
      </c>
    </row>
    <row r="1524" spans="1:22" ht="13" x14ac:dyDescent="0.3">
      <c r="A1524" s="46">
        <f>'vHosts (Imported)'!A1524</f>
        <v>0</v>
      </c>
      <c r="B1524" s="51">
        <f t="shared" si="72"/>
        <v>4968</v>
      </c>
      <c r="C1524" s="49">
        <f>HLOOKUP("# Cores",'vHosts (Imported)'!$1:$5000,M1524,FALSE)</f>
        <v>0</v>
      </c>
      <c r="D1524" s="52">
        <f>HLOOKUP("# Memory",'vHosts (Imported)'!$1:$5000,M1524,FALSE)</f>
        <v>0</v>
      </c>
      <c r="M1524" s="45">
        <f t="shared" si="71"/>
        <v>1524</v>
      </c>
      <c r="N1524" s="38">
        <f>HLOOKUP("Host",'vInfo (Imported)'!$1:$5000,M1524,FALSE)</f>
        <v>0</v>
      </c>
      <c r="R1524">
        <f>HLOOKUP("CPUs",'vInfo (Imported)'!$1:$5000,M1524,FALSE)</f>
        <v>0</v>
      </c>
      <c r="S1524">
        <f>HLOOKUP("Memory",'vInfo (Imported)'!$1:$5000,M1524,FALSE)</f>
        <v>0</v>
      </c>
      <c r="T1524">
        <f>HLOOKUP("Provisioned MiB",'vInfo (Imported)'!$1:$5000,M1524,FALSE)</f>
        <v>0</v>
      </c>
      <c r="U1524">
        <f t="shared" si="70"/>
        <v>0</v>
      </c>
      <c r="V1524">
        <f>HLOOKUP("In Use MiB",'vInfo (Imported)'!$1:$5000,M1524,FALSE)</f>
        <v>0</v>
      </c>
    </row>
    <row r="1525" spans="1:22" ht="13" x14ac:dyDescent="0.3">
      <c r="A1525" s="46">
        <f>'vHosts (Imported)'!A1525</f>
        <v>0</v>
      </c>
      <c r="B1525" s="51">
        <f t="shared" si="72"/>
        <v>4968</v>
      </c>
      <c r="C1525" s="49">
        <f>HLOOKUP("# Cores",'vHosts (Imported)'!$1:$5000,M1525,FALSE)</f>
        <v>0</v>
      </c>
      <c r="D1525" s="52">
        <f>HLOOKUP("# Memory",'vHosts (Imported)'!$1:$5000,M1525,FALSE)</f>
        <v>0</v>
      </c>
      <c r="M1525" s="45">
        <f t="shared" si="71"/>
        <v>1525</v>
      </c>
      <c r="N1525" s="38">
        <f>HLOOKUP("Host",'vInfo (Imported)'!$1:$5000,M1525,FALSE)</f>
        <v>0</v>
      </c>
      <c r="R1525">
        <f>HLOOKUP("CPUs",'vInfo (Imported)'!$1:$5000,M1525,FALSE)</f>
        <v>0</v>
      </c>
      <c r="S1525">
        <f>HLOOKUP("Memory",'vInfo (Imported)'!$1:$5000,M1525,FALSE)</f>
        <v>0</v>
      </c>
      <c r="T1525">
        <f>HLOOKUP("Provisioned MiB",'vInfo (Imported)'!$1:$5000,M1525,FALSE)</f>
        <v>0</v>
      </c>
      <c r="U1525">
        <f t="shared" si="70"/>
        <v>0</v>
      </c>
      <c r="V1525">
        <f>HLOOKUP("In Use MiB",'vInfo (Imported)'!$1:$5000,M1525,FALSE)</f>
        <v>0</v>
      </c>
    </row>
    <row r="1526" spans="1:22" ht="13" x14ac:dyDescent="0.3">
      <c r="A1526" s="46">
        <f>'vHosts (Imported)'!A1526</f>
        <v>0</v>
      </c>
      <c r="B1526" s="51">
        <f t="shared" si="72"/>
        <v>4968</v>
      </c>
      <c r="C1526" s="49">
        <f>HLOOKUP("# Cores",'vHosts (Imported)'!$1:$5000,M1526,FALSE)</f>
        <v>0</v>
      </c>
      <c r="D1526" s="52">
        <f>HLOOKUP("# Memory",'vHosts (Imported)'!$1:$5000,M1526,FALSE)</f>
        <v>0</v>
      </c>
      <c r="M1526" s="45">
        <f t="shared" si="71"/>
        <v>1526</v>
      </c>
      <c r="N1526" s="38">
        <f>HLOOKUP("Host",'vInfo (Imported)'!$1:$5000,M1526,FALSE)</f>
        <v>0</v>
      </c>
      <c r="R1526">
        <f>HLOOKUP("CPUs",'vInfo (Imported)'!$1:$5000,M1526,FALSE)</f>
        <v>0</v>
      </c>
      <c r="S1526">
        <f>HLOOKUP("Memory",'vInfo (Imported)'!$1:$5000,M1526,FALSE)</f>
        <v>0</v>
      </c>
      <c r="T1526">
        <f>HLOOKUP("Provisioned MiB",'vInfo (Imported)'!$1:$5000,M1526,FALSE)</f>
        <v>0</v>
      </c>
      <c r="U1526">
        <f t="shared" si="70"/>
        <v>0</v>
      </c>
      <c r="V1526">
        <f>HLOOKUP("In Use MiB",'vInfo (Imported)'!$1:$5000,M1526,FALSE)</f>
        <v>0</v>
      </c>
    </row>
    <row r="1527" spans="1:22" ht="13" x14ac:dyDescent="0.3">
      <c r="A1527" s="46">
        <f>'vHosts (Imported)'!A1527</f>
        <v>0</v>
      </c>
      <c r="B1527" s="51">
        <f t="shared" si="72"/>
        <v>4968</v>
      </c>
      <c r="C1527" s="49">
        <f>HLOOKUP("# Cores",'vHosts (Imported)'!$1:$5000,M1527,FALSE)</f>
        <v>0</v>
      </c>
      <c r="D1527" s="52">
        <f>HLOOKUP("# Memory",'vHosts (Imported)'!$1:$5000,M1527,FALSE)</f>
        <v>0</v>
      </c>
      <c r="M1527" s="45">
        <f t="shared" si="71"/>
        <v>1527</v>
      </c>
      <c r="N1527" s="38">
        <f>HLOOKUP("Host",'vInfo (Imported)'!$1:$5000,M1527,FALSE)</f>
        <v>0</v>
      </c>
      <c r="R1527">
        <f>HLOOKUP("CPUs",'vInfo (Imported)'!$1:$5000,M1527,FALSE)</f>
        <v>0</v>
      </c>
      <c r="S1527">
        <f>HLOOKUP("Memory",'vInfo (Imported)'!$1:$5000,M1527,FALSE)</f>
        <v>0</v>
      </c>
      <c r="T1527">
        <f>HLOOKUP("Provisioned MiB",'vInfo (Imported)'!$1:$5000,M1527,FALSE)</f>
        <v>0</v>
      </c>
      <c r="U1527">
        <f t="shared" si="70"/>
        <v>0</v>
      </c>
      <c r="V1527">
        <f>HLOOKUP("In Use MiB",'vInfo (Imported)'!$1:$5000,M1527,FALSE)</f>
        <v>0</v>
      </c>
    </row>
    <row r="1528" spans="1:22" ht="13" x14ac:dyDescent="0.3">
      <c r="A1528" s="46">
        <f>'vHosts (Imported)'!A1528</f>
        <v>0</v>
      </c>
      <c r="B1528" s="51">
        <f t="shared" si="72"/>
        <v>4968</v>
      </c>
      <c r="C1528" s="49">
        <f>HLOOKUP("# Cores",'vHosts (Imported)'!$1:$5000,M1528,FALSE)</f>
        <v>0</v>
      </c>
      <c r="D1528" s="52">
        <f>HLOOKUP("# Memory",'vHosts (Imported)'!$1:$5000,M1528,FALSE)</f>
        <v>0</v>
      </c>
      <c r="M1528" s="45">
        <f t="shared" si="71"/>
        <v>1528</v>
      </c>
      <c r="N1528" s="38">
        <f>HLOOKUP("Host",'vInfo (Imported)'!$1:$5000,M1528,FALSE)</f>
        <v>0</v>
      </c>
      <c r="R1528">
        <f>HLOOKUP("CPUs",'vInfo (Imported)'!$1:$5000,M1528,FALSE)</f>
        <v>0</v>
      </c>
      <c r="S1528">
        <f>HLOOKUP("Memory",'vInfo (Imported)'!$1:$5000,M1528,FALSE)</f>
        <v>0</v>
      </c>
      <c r="T1528">
        <f>HLOOKUP("Provisioned MiB",'vInfo (Imported)'!$1:$5000,M1528,FALSE)</f>
        <v>0</v>
      </c>
      <c r="U1528">
        <f t="shared" si="70"/>
        <v>0</v>
      </c>
      <c r="V1528">
        <f>HLOOKUP("In Use MiB",'vInfo (Imported)'!$1:$5000,M1528,FALSE)</f>
        <v>0</v>
      </c>
    </row>
    <row r="1529" spans="1:22" ht="13" x14ac:dyDescent="0.3">
      <c r="A1529" s="46">
        <f>'vHosts (Imported)'!A1529</f>
        <v>0</v>
      </c>
      <c r="B1529" s="51">
        <f t="shared" si="72"/>
        <v>4968</v>
      </c>
      <c r="C1529" s="49">
        <f>HLOOKUP("# Cores",'vHosts (Imported)'!$1:$5000,M1529,FALSE)</f>
        <v>0</v>
      </c>
      <c r="D1529" s="52">
        <f>HLOOKUP("# Memory",'vHosts (Imported)'!$1:$5000,M1529,FALSE)</f>
        <v>0</v>
      </c>
      <c r="M1529" s="45">
        <f t="shared" si="71"/>
        <v>1529</v>
      </c>
      <c r="N1529" s="38">
        <f>HLOOKUP("Host",'vInfo (Imported)'!$1:$5000,M1529,FALSE)</f>
        <v>0</v>
      </c>
      <c r="R1529">
        <f>HLOOKUP("CPUs",'vInfo (Imported)'!$1:$5000,M1529,FALSE)</f>
        <v>0</v>
      </c>
      <c r="S1529">
        <f>HLOOKUP("Memory",'vInfo (Imported)'!$1:$5000,M1529,FALSE)</f>
        <v>0</v>
      </c>
      <c r="T1529">
        <f>HLOOKUP("Provisioned MiB",'vInfo (Imported)'!$1:$5000,M1529,FALSE)</f>
        <v>0</v>
      </c>
      <c r="U1529">
        <f t="shared" si="70"/>
        <v>0</v>
      </c>
      <c r="V1529">
        <f>HLOOKUP("In Use MiB",'vInfo (Imported)'!$1:$5000,M1529,FALSE)</f>
        <v>0</v>
      </c>
    </row>
    <row r="1530" spans="1:22" ht="13" x14ac:dyDescent="0.3">
      <c r="A1530" s="46">
        <f>'vHosts (Imported)'!A1530</f>
        <v>0</v>
      </c>
      <c r="B1530" s="51">
        <f t="shared" si="72"/>
        <v>4968</v>
      </c>
      <c r="C1530" s="49">
        <f>HLOOKUP("# Cores",'vHosts (Imported)'!$1:$5000,M1530,FALSE)</f>
        <v>0</v>
      </c>
      <c r="D1530" s="52">
        <f>HLOOKUP("# Memory",'vHosts (Imported)'!$1:$5000,M1530,FALSE)</f>
        <v>0</v>
      </c>
      <c r="M1530" s="45">
        <f t="shared" si="71"/>
        <v>1530</v>
      </c>
      <c r="N1530" s="38">
        <f>HLOOKUP("Host",'vInfo (Imported)'!$1:$5000,M1530,FALSE)</f>
        <v>0</v>
      </c>
      <c r="R1530">
        <f>HLOOKUP("CPUs",'vInfo (Imported)'!$1:$5000,M1530,FALSE)</f>
        <v>0</v>
      </c>
      <c r="S1530">
        <f>HLOOKUP("Memory",'vInfo (Imported)'!$1:$5000,M1530,FALSE)</f>
        <v>0</v>
      </c>
      <c r="T1530">
        <f>HLOOKUP("Provisioned MiB",'vInfo (Imported)'!$1:$5000,M1530,FALSE)</f>
        <v>0</v>
      </c>
      <c r="U1530">
        <f t="shared" si="70"/>
        <v>0</v>
      </c>
      <c r="V1530">
        <f>HLOOKUP("In Use MiB",'vInfo (Imported)'!$1:$5000,M1530,FALSE)</f>
        <v>0</v>
      </c>
    </row>
    <row r="1531" spans="1:22" ht="13" x14ac:dyDescent="0.3">
      <c r="A1531" s="46">
        <f>'vHosts (Imported)'!A1531</f>
        <v>0</v>
      </c>
      <c r="B1531" s="51">
        <f t="shared" si="72"/>
        <v>4968</v>
      </c>
      <c r="C1531" s="49">
        <f>HLOOKUP("# Cores",'vHosts (Imported)'!$1:$5000,M1531,FALSE)</f>
        <v>0</v>
      </c>
      <c r="D1531" s="52">
        <f>HLOOKUP("# Memory",'vHosts (Imported)'!$1:$5000,M1531,FALSE)</f>
        <v>0</v>
      </c>
      <c r="M1531" s="45">
        <f t="shared" si="71"/>
        <v>1531</v>
      </c>
      <c r="N1531" s="38">
        <f>HLOOKUP("Host",'vInfo (Imported)'!$1:$5000,M1531,FALSE)</f>
        <v>0</v>
      </c>
      <c r="R1531">
        <f>HLOOKUP("CPUs",'vInfo (Imported)'!$1:$5000,M1531,FALSE)</f>
        <v>0</v>
      </c>
      <c r="S1531">
        <f>HLOOKUP("Memory",'vInfo (Imported)'!$1:$5000,M1531,FALSE)</f>
        <v>0</v>
      </c>
      <c r="T1531">
        <f>HLOOKUP("Provisioned MiB",'vInfo (Imported)'!$1:$5000,M1531,FALSE)</f>
        <v>0</v>
      </c>
      <c r="U1531">
        <f t="shared" si="70"/>
        <v>0</v>
      </c>
      <c r="V1531">
        <f>HLOOKUP("In Use MiB",'vInfo (Imported)'!$1:$5000,M1531,FALSE)</f>
        <v>0</v>
      </c>
    </row>
    <row r="1532" spans="1:22" ht="13" x14ac:dyDescent="0.3">
      <c r="A1532" s="46">
        <f>'vHosts (Imported)'!A1532</f>
        <v>0</v>
      </c>
      <c r="B1532" s="51">
        <f t="shared" si="72"/>
        <v>4968</v>
      </c>
      <c r="C1532" s="49">
        <f>HLOOKUP("# Cores",'vHosts (Imported)'!$1:$5000,M1532,FALSE)</f>
        <v>0</v>
      </c>
      <c r="D1532" s="52">
        <f>HLOOKUP("# Memory",'vHosts (Imported)'!$1:$5000,M1532,FALSE)</f>
        <v>0</v>
      </c>
      <c r="M1532" s="45">
        <f t="shared" si="71"/>
        <v>1532</v>
      </c>
      <c r="N1532" s="38">
        <f>HLOOKUP("Host",'vInfo (Imported)'!$1:$5000,M1532,FALSE)</f>
        <v>0</v>
      </c>
      <c r="R1532">
        <f>HLOOKUP("CPUs",'vInfo (Imported)'!$1:$5000,M1532,FALSE)</f>
        <v>0</v>
      </c>
      <c r="S1532">
        <f>HLOOKUP("Memory",'vInfo (Imported)'!$1:$5000,M1532,FALSE)</f>
        <v>0</v>
      </c>
      <c r="T1532">
        <f>HLOOKUP("Provisioned MiB",'vInfo (Imported)'!$1:$5000,M1532,FALSE)</f>
        <v>0</v>
      </c>
      <c r="U1532">
        <f t="shared" si="70"/>
        <v>0</v>
      </c>
      <c r="V1532">
        <f>HLOOKUP("In Use MiB",'vInfo (Imported)'!$1:$5000,M1532,FALSE)</f>
        <v>0</v>
      </c>
    </row>
    <row r="1533" spans="1:22" ht="13" x14ac:dyDescent="0.3">
      <c r="A1533" s="46">
        <f>'vHosts (Imported)'!A1533</f>
        <v>0</v>
      </c>
      <c r="B1533" s="51">
        <f t="shared" si="72"/>
        <v>4968</v>
      </c>
      <c r="C1533" s="49">
        <f>HLOOKUP("# Cores",'vHosts (Imported)'!$1:$5000,M1533,FALSE)</f>
        <v>0</v>
      </c>
      <c r="D1533" s="52">
        <f>HLOOKUP("# Memory",'vHosts (Imported)'!$1:$5000,M1533,FALSE)</f>
        <v>0</v>
      </c>
      <c r="M1533" s="45">
        <f t="shared" si="71"/>
        <v>1533</v>
      </c>
      <c r="N1533" s="38">
        <f>HLOOKUP("Host",'vInfo (Imported)'!$1:$5000,M1533,FALSE)</f>
        <v>0</v>
      </c>
      <c r="R1533">
        <f>HLOOKUP("CPUs",'vInfo (Imported)'!$1:$5000,M1533,FALSE)</f>
        <v>0</v>
      </c>
      <c r="S1533">
        <f>HLOOKUP("Memory",'vInfo (Imported)'!$1:$5000,M1533,FALSE)</f>
        <v>0</v>
      </c>
      <c r="T1533">
        <f>HLOOKUP("Provisioned MiB",'vInfo (Imported)'!$1:$5000,M1533,FALSE)</f>
        <v>0</v>
      </c>
      <c r="U1533">
        <f t="shared" si="70"/>
        <v>0</v>
      </c>
      <c r="V1533">
        <f>HLOOKUP("In Use MiB",'vInfo (Imported)'!$1:$5000,M1533,FALSE)</f>
        <v>0</v>
      </c>
    </row>
    <row r="1534" spans="1:22" ht="13" x14ac:dyDescent="0.3">
      <c r="A1534" s="46">
        <f>'vHosts (Imported)'!A1534</f>
        <v>0</v>
      </c>
      <c r="B1534" s="51">
        <f t="shared" si="72"/>
        <v>4968</v>
      </c>
      <c r="C1534" s="49">
        <f>HLOOKUP("# Cores",'vHosts (Imported)'!$1:$5000,M1534,FALSE)</f>
        <v>0</v>
      </c>
      <c r="D1534" s="52">
        <f>HLOOKUP("# Memory",'vHosts (Imported)'!$1:$5000,M1534,FALSE)</f>
        <v>0</v>
      </c>
      <c r="M1534" s="45">
        <f t="shared" si="71"/>
        <v>1534</v>
      </c>
      <c r="N1534" s="38">
        <f>HLOOKUP("Host",'vInfo (Imported)'!$1:$5000,M1534,FALSE)</f>
        <v>0</v>
      </c>
      <c r="R1534">
        <f>HLOOKUP("CPUs",'vInfo (Imported)'!$1:$5000,M1534,FALSE)</f>
        <v>0</v>
      </c>
      <c r="S1534">
        <f>HLOOKUP("Memory",'vInfo (Imported)'!$1:$5000,M1534,FALSE)</f>
        <v>0</v>
      </c>
      <c r="T1534">
        <f>HLOOKUP("Provisioned MiB",'vInfo (Imported)'!$1:$5000,M1534,FALSE)</f>
        <v>0</v>
      </c>
      <c r="U1534">
        <f t="shared" si="70"/>
        <v>0</v>
      </c>
      <c r="V1534">
        <f>HLOOKUP("In Use MiB",'vInfo (Imported)'!$1:$5000,M1534,FALSE)</f>
        <v>0</v>
      </c>
    </row>
    <row r="1535" spans="1:22" ht="13" x14ac:dyDescent="0.3">
      <c r="A1535" s="46">
        <f>'vHosts (Imported)'!A1535</f>
        <v>0</v>
      </c>
      <c r="B1535" s="51">
        <f t="shared" si="72"/>
        <v>4968</v>
      </c>
      <c r="C1535" s="49">
        <f>HLOOKUP("# Cores",'vHosts (Imported)'!$1:$5000,M1535,FALSE)</f>
        <v>0</v>
      </c>
      <c r="D1535" s="52">
        <f>HLOOKUP("# Memory",'vHosts (Imported)'!$1:$5000,M1535,FALSE)</f>
        <v>0</v>
      </c>
      <c r="M1535" s="45">
        <f t="shared" si="71"/>
        <v>1535</v>
      </c>
      <c r="N1535" s="38">
        <f>HLOOKUP("Host",'vInfo (Imported)'!$1:$5000,M1535,FALSE)</f>
        <v>0</v>
      </c>
      <c r="R1535">
        <f>HLOOKUP("CPUs",'vInfo (Imported)'!$1:$5000,M1535,FALSE)</f>
        <v>0</v>
      </c>
      <c r="S1535">
        <f>HLOOKUP("Memory",'vInfo (Imported)'!$1:$5000,M1535,FALSE)</f>
        <v>0</v>
      </c>
      <c r="T1535">
        <f>HLOOKUP("Provisioned MiB",'vInfo (Imported)'!$1:$5000,M1535,FALSE)</f>
        <v>0</v>
      </c>
      <c r="U1535">
        <f t="shared" si="70"/>
        <v>0</v>
      </c>
      <c r="V1535">
        <f>HLOOKUP("In Use MiB",'vInfo (Imported)'!$1:$5000,M1535,FALSE)</f>
        <v>0</v>
      </c>
    </row>
    <row r="1536" spans="1:22" ht="13" x14ac:dyDescent="0.3">
      <c r="A1536" s="46">
        <f>'vHosts (Imported)'!A1536</f>
        <v>0</v>
      </c>
      <c r="B1536" s="51">
        <f t="shared" si="72"/>
        <v>4968</v>
      </c>
      <c r="C1536" s="49">
        <f>HLOOKUP("# Cores",'vHosts (Imported)'!$1:$5000,M1536,FALSE)</f>
        <v>0</v>
      </c>
      <c r="D1536" s="52">
        <f>HLOOKUP("# Memory",'vHosts (Imported)'!$1:$5000,M1536,FALSE)</f>
        <v>0</v>
      </c>
      <c r="M1536" s="45">
        <f t="shared" si="71"/>
        <v>1536</v>
      </c>
      <c r="N1536" s="38">
        <f>HLOOKUP("Host",'vInfo (Imported)'!$1:$5000,M1536,FALSE)</f>
        <v>0</v>
      </c>
      <c r="R1536">
        <f>HLOOKUP("CPUs",'vInfo (Imported)'!$1:$5000,M1536,FALSE)</f>
        <v>0</v>
      </c>
      <c r="S1536">
        <f>HLOOKUP("Memory",'vInfo (Imported)'!$1:$5000,M1536,FALSE)</f>
        <v>0</v>
      </c>
      <c r="T1536">
        <f>HLOOKUP("Provisioned MiB",'vInfo (Imported)'!$1:$5000,M1536,FALSE)</f>
        <v>0</v>
      </c>
      <c r="U1536">
        <f t="shared" si="70"/>
        <v>0</v>
      </c>
      <c r="V1536">
        <f>HLOOKUP("In Use MiB",'vInfo (Imported)'!$1:$5000,M1536,FALSE)</f>
        <v>0</v>
      </c>
    </row>
    <row r="1537" spans="1:22" ht="13" x14ac:dyDescent="0.3">
      <c r="A1537" s="46">
        <f>'vHosts (Imported)'!A1537</f>
        <v>0</v>
      </c>
      <c r="B1537" s="51">
        <f t="shared" si="72"/>
        <v>4968</v>
      </c>
      <c r="C1537" s="49">
        <f>HLOOKUP("# Cores",'vHosts (Imported)'!$1:$5000,M1537,FALSE)</f>
        <v>0</v>
      </c>
      <c r="D1537" s="52">
        <f>HLOOKUP("# Memory",'vHosts (Imported)'!$1:$5000,M1537,FALSE)</f>
        <v>0</v>
      </c>
      <c r="M1537" s="45">
        <f t="shared" si="71"/>
        <v>1537</v>
      </c>
      <c r="N1537" s="38">
        <f>HLOOKUP("Host",'vInfo (Imported)'!$1:$5000,M1537,FALSE)</f>
        <v>0</v>
      </c>
      <c r="R1537">
        <f>HLOOKUP("CPUs",'vInfo (Imported)'!$1:$5000,M1537,FALSE)</f>
        <v>0</v>
      </c>
      <c r="S1537">
        <f>HLOOKUP("Memory",'vInfo (Imported)'!$1:$5000,M1537,FALSE)</f>
        <v>0</v>
      </c>
      <c r="T1537">
        <f>HLOOKUP("Provisioned MiB",'vInfo (Imported)'!$1:$5000,M1537,FALSE)</f>
        <v>0</v>
      </c>
      <c r="U1537">
        <f t="shared" si="70"/>
        <v>0</v>
      </c>
      <c r="V1537">
        <f>HLOOKUP("In Use MiB",'vInfo (Imported)'!$1:$5000,M1537,FALSE)</f>
        <v>0</v>
      </c>
    </row>
    <row r="1538" spans="1:22" ht="13" x14ac:dyDescent="0.3">
      <c r="A1538" s="46">
        <f>'vHosts (Imported)'!A1538</f>
        <v>0</v>
      </c>
      <c r="B1538" s="51">
        <f t="shared" si="72"/>
        <v>4968</v>
      </c>
      <c r="C1538" s="49">
        <f>HLOOKUP("# Cores",'vHosts (Imported)'!$1:$5000,M1538,FALSE)</f>
        <v>0</v>
      </c>
      <c r="D1538" s="52">
        <f>HLOOKUP("# Memory",'vHosts (Imported)'!$1:$5000,M1538,FALSE)</f>
        <v>0</v>
      </c>
      <c r="M1538" s="45">
        <f t="shared" si="71"/>
        <v>1538</v>
      </c>
      <c r="N1538" s="38">
        <f>HLOOKUP("Host",'vInfo (Imported)'!$1:$5000,M1538,FALSE)</f>
        <v>0</v>
      </c>
      <c r="R1538">
        <f>HLOOKUP("CPUs",'vInfo (Imported)'!$1:$5000,M1538,FALSE)</f>
        <v>0</v>
      </c>
      <c r="S1538">
        <f>HLOOKUP("Memory",'vInfo (Imported)'!$1:$5000,M1538,FALSE)</f>
        <v>0</v>
      </c>
      <c r="T1538">
        <f>HLOOKUP("Provisioned MiB",'vInfo (Imported)'!$1:$5000,M1538,FALSE)</f>
        <v>0</v>
      </c>
      <c r="U1538">
        <f t="shared" si="70"/>
        <v>0</v>
      </c>
      <c r="V1538">
        <f>HLOOKUP("In Use MiB",'vInfo (Imported)'!$1:$5000,M1538,FALSE)</f>
        <v>0</v>
      </c>
    </row>
    <row r="1539" spans="1:22" ht="13" x14ac:dyDescent="0.3">
      <c r="A1539" s="46">
        <f>'vHosts (Imported)'!A1539</f>
        <v>0</v>
      </c>
      <c r="B1539" s="51">
        <f t="shared" si="72"/>
        <v>4968</v>
      </c>
      <c r="C1539" s="49">
        <f>HLOOKUP("# Cores",'vHosts (Imported)'!$1:$5000,M1539,FALSE)</f>
        <v>0</v>
      </c>
      <c r="D1539" s="52">
        <f>HLOOKUP("# Memory",'vHosts (Imported)'!$1:$5000,M1539,FALSE)</f>
        <v>0</v>
      </c>
      <c r="M1539" s="45">
        <f t="shared" si="71"/>
        <v>1539</v>
      </c>
      <c r="N1539" s="38">
        <f>HLOOKUP("Host",'vInfo (Imported)'!$1:$5000,M1539,FALSE)</f>
        <v>0</v>
      </c>
      <c r="R1539">
        <f>HLOOKUP("CPUs",'vInfo (Imported)'!$1:$5000,M1539,FALSE)</f>
        <v>0</v>
      </c>
      <c r="S1539">
        <f>HLOOKUP("Memory",'vInfo (Imported)'!$1:$5000,M1539,FALSE)</f>
        <v>0</v>
      </c>
      <c r="T1539">
        <f>HLOOKUP("Provisioned MiB",'vInfo (Imported)'!$1:$5000,M1539,FALSE)</f>
        <v>0</v>
      </c>
      <c r="U1539">
        <f t="shared" ref="U1539:U1602" si="73">T1539-V1539</f>
        <v>0</v>
      </c>
      <c r="V1539">
        <f>HLOOKUP("In Use MiB",'vInfo (Imported)'!$1:$5000,M1539,FALSE)</f>
        <v>0</v>
      </c>
    </row>
    <row r="1540" spans="1:22" ht="13" x14ac:dyDescent="0.3">
      <c r="A1540" s="46">
        <f>'vHosts (Imported)'!A1540</f>
        <v>0</v>
      </c>
      <c r="B1540" s="51">
        <f t="shared" si="72"/>
        <v>4968</v>
      </c>
      <c r="C1540" s="49">
        <f>HLOOKUP("# Cores",'vHosts (Imported)'!$1:$5000,M1540,FALSE)</f>
        <v>0</v>
      </c>
      <c r="D1540" s="52">
        <f>HLOOKUP("# Memory",'vHosts (Imported)'!$1:$5000,M1540,FALSE)</f>
        <v>0</v>
      </c>
      <c r="M1540" s="45">
        <f t="shared" ref="M1540:M1603" si="74">M1539+1</f>
        <v>1540</v>
      </c>
      <c r="N1540" s="38">
        <f>HLOOKUP("Host",'vInfo (Imported)'!$1:$5000,M1540,FALSE)</f>
        <v>0</v>
      </c>
      <c r="R1540">
        <f>HLOOKUP("CPUs",'vInfo (Imported)'!$1:$5000,M1540,FALSE)</f>
        <v>0</v>
      </c>
      <c r="S1540">
        <f>HLOOKUP("Memory",'vInfo (Imported)'!$1:$5000,M1540,FALSE)</f>
        <v>0</v>
      </c>
      <c r="T1540">
        <f>HLOOKUP("Provisioned MiB",'vInfo (Imported)'!$1:$5000,M1540,FALSE)</f>
        <v>0</v>
      </c>
      <c r="U1540">
        <f t="shared" si="73"/>
        <v>0</v>
      </c>
      <c r="V1540">
        <f>HLOOKUP("In Use MiB",'vInfo (Imported)'!$1:$5000,M1540,FALSE)</f>
        <v>0</v>
      </c>
    </row>
    <row r="1541" spans="1:22" ht="13" x14ac:dyDescent="0.3">
      <c r="A1541" s="46">
        <f>'vHosts (Imported)'!A1541</f>
        <v>0</v>
      </c>
      <c r="B1541" s="51">
        <f t="shared" si="72"/>
        <v>4968</v>
      </c>
      <c r="C1541" s="49">
        <f>HLOOKUP("# Cores",'vHosts (Imported)'!$1:$5000,M1541,FALSE)</f>
        <v>0</v>
      </c>
      <c r="D1541" s="52">
        <f>HLOOKUP("# Memory",'vHosts (Imported)'!$1:$5000,M1541,FALSE)</f>
        <v>0</v>
      </c>
      <c r="M1541" s="45">
        <f t="shared" si="74"/>
        <v>1541</v>
      </c>
      <c r="N1541" s="38">
        <f>HLOOKUP("Host",'vInfo (Imported)'!$1:$5000,M1541,FALSE)</f>
        <v>0</v>
      </c>
      <c r="R1541">
        <f>HLOOKUP("CPUs",'vInfo (Imported)'!$1:$5000,M1541,FALSE)</f>
        <v>0</v>
      </c>
      <c r="S1541">
        <f>HLOOKUP("Memory",'vInfo (Imported)'!$1:$5000,M1541,FALSE)</f>
        <v>0</v>
      </c>
      <c r="T1541">
        <f>HLOOKUP("Provisioned MiB",'vInfo (Imported)'!$1:$5000,M1541,FALSE)</f>
        <v>0</v>
      </c>
      <c r="U1541">
        <f t="shared" si="73"/>
        <v>0</v>
      </c>
      <c r="V1541">
        <f>HLOOKUP("In Use MiB",'vInfo (Imported)'!$1:$5000,M1541,FALSE)</f>
        <v>0</v>
      </c>
    </row>
    <row r="1542" spans="1:22" ht="13" x14ac:dyDescent="0.3">
      <c r="A1542" s="46">
        <f>'vHosts (Imported)'!A1542</f>
        <v>0</v>
      </c>
      <c r="B1542" s="51">
        <f t="shared" si="72"/>
        <v>4968</v>
      </c>
      <c r="C1542" s="49">
        <f>HLOOKUP("# Cores",'vHosts (Imported)'!$1:$5000,M1542,FALSE)</f>
        <v>0</v>
      </c>
      <c r="D1542" s="52">
        <f>HLOOKUP("# Memory",'vHosts (Imported)'!$1:$5000,M1542,FALSE)</f>
        <v>0</v>
      </c>
      <c r="M1542" s="45">
        <f t="shared" si="74"/>
        <v>1542</v>
      </c>
      <c r="N1542" s="38">
        <f>HLOOKUP("Host",'vInfo (Imported)'!$1:$5000,M1542,FALSE)</f>
        <v>0</v>
      </c>
      <c r="R1542">
        <f>HLOOKUP("CPUs",'vInfo (Imported)'!$1:$5000,M1542,FALSE)</f>
        <v>0</v>
      </c>
      <c r="S1542">
        <f>HLOOKUP("Memory",'vInfo (Imported)'!$1:$5000,M1542,FALSE)</f>
        <v>0</v>
      </c>
      <c r="T1542">
        <f>HLOOKUP("Provisioned MiB",'vInfo (Imported)'!$1:$5000,M1542,FALSE)</f>
        <v>0</v>
      </c>
      <c r="U1542">
        <f t="shared" si="73"/>
        <v>0</v>
      </c>
      <c r="V1542">
        <f>HLOOKUP("In Use MiB",'vInfo (Imported)'!$1:$5000,M1542,FALSE)</f>
        <v>0</v>
      </c>
    </row>
    <row r="1543" spans="1:22" ht="13" x14ac:dyDescent="0.3">
      <c r="A1543" s="46">
        <f>'vHosts (Imported)'!A1543</f>
        <v>0</v>
      </c>
      <c r="B1543" s="51">
        <f t="shared" si="72"/>
        <v>4968</v>
      </c>
      <c r="C1543" s="49">
        <f>HLOOKUP("# Cores",'vHosts (Imported)'!$1:$5000,M1543,FALSE)</f>
        <v>0</v>
      </c>
      <c r="D1543" s="52">
        <f>HLOOKUP("# Memory",'vHosts (Imported)'!$1:$5000,M1543,FALSE)</f>
        <v>0</v>
      </c>
      <c r="M1543" s="45">
        <f t="shared" si="74"/>
        <v>1543</v>
      </c>
      <c r="N1543" s="38">
        <f>HLOOKUP("Host",'vInfo (Imported)'!$1:$5000,M1543,FALSE)</f>
        <v>0</v>
      </c>
      <c r="R1543">
        <f>HLOOKUP("CPUs",'vInfo (Imported)'!$1:$5000,M1543,FALSE)</f>
        <v>0</v>
      </c>
      <c r="S1543">
        <f>HLOOKUP("Memory",'vInfo (Imported)'!$1:$5000,M1543,FALSE)</f>
        <v>0</v>
      </c>
      <c r="T1543">
        <f>HLOOKUP("Provisioned MiB",'vInfo (Imported)'!$1:$5000,M1543,FALSE)</f>
        <v>0</v>
      </c>
      <c r="U1543">
        <f t="shared" si="73"/>
        <v>0</v>
      </c>
      <c r="V1543">
        <f>HLOOKUP("In Use MiB",'vInfo (Imported)'!$1:$5000,M1543,FALSE)</f>
        <v>0</v>
      </c>
    </row>
    <row r="1544" spans="1:22" ht="13" x14ac:dyDescent="0.3">
      <c r="A1544" s="46">
        <f>'vHosts (Imported)'!A1544</f>
        <v>0</v>
      </c>
      <c r="B1544" s="51">
        <f t="shared" si="72"/>
        <v>4968</v>
      </c>
      <c r="C1544" s="49">
        <f>HLOOKUP("# Cores",'vHosts (Imported)'!$1:$5000,M1544,FALSE)</f>
        <v>0</v>
      </c>
      <c r="D1544" s="52">
        <f>HLOOKUP("# Memory",'vHosts (Imported)'!$1:$5000,M1544,FALSE)</f>
        <v>0</v>
      </c>
      <c r="M1544" s="45">
        <f t="shared" si="74"/>
        <v>1544</v>
      </c>
      <c r="N1544" s="38">
        <f>HLOOKUP("Host",'vInfo (Imported)'!$1:$5000,M1544,FALSE)</f>
        <v>0</v>
      </c>
      <c r="R1544">
        <f>HLOOKUP("CPUs",'vInfo (Imported)'!$1:$5000,M1544,FALSE)</f>
        <v>0</v>
      </c>
      <c r="S1544">
        <f>HLOOKUP("Memory",'vInfo (Imported)'!$1:$5000,M1544,FALSE)</f>
        <v>0</v>
      </c>
      <c r="T1544">
        <f>HLOOKUP("Provisioned MiB",'vInfo (Imported)'!$1:$5000,M1544,FALSE)</f>
        <v>0</v>
      </c>
      <c r="U1544">
        <f t="shared" si="73"/>
        <v>0</v>
      </c>
      <c r="V1544">
        <f>HLOOKUP("In Use MiB",'vInfo (Imported)'!$1:$5000,M1544,FALSE)</f>
        <v>0</v>
      </c>
    </row>
    <row r="1545" spans="1:22" ht="13" x14ac:dyDescent="0.3">
      <c r="A1545" s="46">
        <f>'vHosts (Imported)'!A1545</f>
        <v>0</v>
      </c>
      <c r="B1545" s="51">
        <f t="shared" si="72"/>
        <v>4968</v>
      </c>
      <c r="C1545" s="49">
        <f>HLOOKUP("# Cores",'vHosts (Imported)'!$1:$5000,M1545,FALSE)</f>
        <v>0</v>
      </c>
      <c r="D1545" s="52">
        <f>HLOOKUP("# Memory",'vHosts (Imported)'!$1:$5000,M1545,FALSE)</f>
        <v>0</v>
      </c>
      <c r="M1545" s="45">
        <f t="shared" si="74"/>
        <v>1545</v>
      </c>
      <c r="N1545" s="38">
        <f>HLOOKUP("Host",'vInfo (Imported)'!$1:$5000,M1545,FALSE)</f>
        <v>0</v>
      </c>
      <c r="R1545">
        <f>HLOOKUP("CPUs",'vInfo (Imported)'!$1:$5000,M1545,FALSE)</f>
        <v>0</v>
      </c>
      <c r="S1545">
        <f>HLOOKUP("Memory",'vInfo (Imported)'!$1:$5000,M1545,FALSE)</f>
        <v>0</v>
      </c>
      <c r="T1545">
        <f>HLOOKUP("Provisioned MiB",'vInfo (Imported)'!$1:$5000,M1545,FALSE)</f>
        <v>0</v>
      </c>
      <c r="U1545">
        <f t="shared" si="73"/>
        <v>0</v>
      </c>
      <c r="V1545">
        <f>HLOOKUP("In Use MiB",'vInfo (Imported)'!$1:$5000,M1545,FALSE)</f>
        <v>0</v>
      </c>
    </row>
    <row r="1546" spans="1:22" ht="13" x14ac:dyDescent="0.3">
      <c r="A1546" s="46">
        <f>'vHosts (Imported)'!A1546</f>
        <v>0</v>
      </c>
      <c r="B1546" s="51">
        <f t="shared" si="72"/>
        <v>4968</v>
      </c>
      <c r="C1546" s="49">
        <f>HLOOKUP("# Cores",'vHosts (Imported)'!$1:$5000,M1546,FALSE)</f>
        <v>0</v>
      </c>
      <c r="D1546" s="52">
        <f>HLOOKUP("# Memory",'vHosts (Imported)'!$1:$5000,M1546,FALSE)</f>
        <v>0</v>
      </c>
      <c r="M1546" s="45">
        <f t="shared" si="74"/>
        <v>1546</v>
      </c>
      <c r="N1546" s="38">
        <f>HLOOKUP("Host",'vInfo (Imported)'!$1:$5000,M1546,FALSE)</f>
        <v>0</v>
      </c>
      <c r="R1546">
        <f>HLOOKUP("CPUs",'vInfo (Imported)'!$1:$5000,M1546,FALSE)</f>
        <v>0</v>
      </c>
      <c r="S1546">
        <f>HLOOKUP("Memory",'vInfo (Imported)'!$1:$5000,M1546,FALSE)</f>
        <v>0</v>
      </c>
      <c r="T1546">
        <f>HLOOKUP("Provisioned MiB",'vInfo (Imported)'!$1:$5000,M1546,FALSE)</f>
        <v>0</v>
      </c>
      <c r="U1546">
        <f t="shared" si="73"/>
        <v>0</v>
      </c>
      <c r="V1546">
        <f>HLOOKUP("In Use MiB",'vInfo (Imported)'!$1:$5000,M1546,FALSE)</f>
        <v>0</v>
      </c>
    </row>
    <row r="1547" spans="1:22" ht="13" x14ac:dyDescent="0.3">
      <c r="A1547" s="46">
        <f>'vHosts (Imported)'!A1547</f>
        <v>0</v>
      </c>
      <c r="B1547" s="51">
        <f t="shared" si="72"/>
        <v>4968</v>
      </c>
      <c r="C1547" s="49">
        <f>HLOOKUP("# Cores",'vHosts (Imported)'!$1:$5000,M1547,FALSE)</f>
        <v>0</v>
      </c>
      <c r="D1547" s="52">
        <f>HLOOKUP("# Memory",'vHosts (Imported)'!$1:$5000,M1547,FALSE)</f>
        <v>0</v>
      </c>
      <c r="M1547" s="45">
        <f t="shared" si="74"/>
        <v>1547</v>
      </c>
      <c r="N1547" s="38">
        <f>HLOOKUP("Host",'vInfo (Imported)'!$1:$5000,M1547,FALSE)</f>
        <v>0</v>
      </c>
      <c r="R1547">
        <f>HLOOKUP("CPUs",'vInfo (Imported)'!$1:$5000,M1547,FALSE)</f>
        <v>0</v>
      </c>
      <c r="S1547">
        <f>HLOOKUP("Memory",'vInfo (Imported)'!$1:$5000,M1547,FALSE)</f>
        <v>0</v>
      </c>
      <c r="T1547">
        <f>HLOOKUP("Provisioned MiB",'vInfo (Imported)'!$1:$5000,M1547,FALSE)</f>
        <v>0</v>
      </c>
      <c r="U1547">
        <f t="shared" si="73"/>
        <v>0</v>
      </c>
      <c r="V1547">
        <f>HLOOKUP("In Use MiB",'vInfo (Imported)'!$1:$5000,M1547,FALSE)</f>
        <v>0</v>
      </c>
    </row>
    <row r="1548" spans="1:22" ht="13" x14ac:dyDescent="0.3">
      <c r="A1548" s="46">
        <f>'vHosts (Imported)'!A1548</f>
        <v>0</v>
      </c>
      <c r="B1548" s="51">
        <f t="shared" si="72"/>
        <v>4968</v>
      </c>
      <c r="C1548" s="49">
        <f>HLOOKUP("# Cores",'vHosts (Imported)'!$1:$5000,M1548,FALSE)</f>
        <v>0</v>
      </c>
      <c r="D1548" s="52">
        <f>HLOOKUP("# Memory",'vHosts (Imported)'!$1:$5000,M1548,FALSE)</f>
        <v>0</v>
      </c>
      <c r="M1548" s="45">
        <f t="shared" si="74"/>
        <v>1548</v>
      </c>
      <c r="N1548" s="38">
        <f>HLOOKUP("Host",'vInfo (Imported)'!$1:$5000,M1548,FALSE)</f>
        <v>0</v>
      </c>
      <c r="R1548">
        <f>HLOOKUP("CPUs",'vInfo (Imported)'!$1:$5000,M1548,FALSE)</f>
        <v>0</v>
      </c>
      <c r="S1548">
        <f>HLOOKUP("Memory",'vInfo (Imported)'!$1:$5000,M1548,FALSE)</f>
        <v>0</v>
      </c>
      <c r="T1548">
        <f>HLOOKUP("Provisioned MiB",'vInfo (Imported)'!$1:$5000,M1548,FALSE)</f>
        <v>0</v>
      </c>
      <c r="U1548">
        <f t="shared" si="73"/>
        <v>0</v>
      </c>
      <c r="V1548">
        <f>HLOOKUP("In Use MiB",'vInfo (Imported)'!$1:$5000,M1548,FALSE)</f>
        <v>0</v>
      </c>
    </row>
    <row r="1549" spans="1:22" ht="13" x14ac:dyDescent="0.3">
      <c r="A1549" s="46">
        <f>'vHosts (Imported)'!A1549</f>
        <v>0</v>
      </c>
      <c r="B1549" s="51">
        <f t="shared" si="72"/>
        <v>4968</v>
      </c>
      <c r="C1549" s="49">
        <f>HLOOKUP("# Cores",'vHosts (Imported)'!$1:$5000,M1549,FALSE)</f>
        <v>0</v>
      </c>
      <c r="D1549" s="52">
        <f>HLOOKUP("# Memory",'vHosts (Imported)'!$1:$5000,M1549,FALSE)</f>
        <v>0</v>
      </c>
      <c r="M1549" s="45">
        <f t="shared" si="74"/>
        <v>1549</v>
      </c>
      <c r="N1549" s="38">
        <f>HLOOKUP("Host",'vInfo (Imported)'!$1:$5000,M1549,FALSE)</f>
        <v>0</v>
      </c>
      <c r="R1549">
        <f>HLOOKUP("CPUs",'vInfo (Imported)'!$1:$5000,M1549,FALSE)</f>
        <v>0</v>
      </c>
      <c r="S1549">
        <f>HLOOKUP("Memory",'vInfo (Imported)'!$1:$5000,M1549,FALSE)</f>
        <v>0</v>
      </c>
      <c r="T1549">
        <f>HLOOKUP("Provisioned MiB",'vInfo (Imported)'!$1:$5000,M1549,FALSE)</f>
        <v>0</v>
      </c>
      <c r="U1549">
        <f t="shared" si="73"/>
        <v>0</v>
      </c>
      <c r="V1549">
        <f>HLOOKUP("In Use MiB",'vInfo (Imported)'!$1:$5000,M1549,FALSE)</f>
        <v>0</v>
      </c>
    </row>
    <row r="1550" spans="1:22" ht="13" x14ac:dyDescent="0.3">
      <c r="A1550" s="46">
        <f>'vHosts (Imported)'!A1550</f>
        <v>0</v>
      </c>
      <c r="B1550" s="51">
        <f t="shared" si="72"/>
        <v>4968</v>
      </c>
      <c r="C1550" s="49">
        <f>HLOOKUP("# Cores",'vHosts (Imported)'!$1:$5000,M1550,FALSE)</f>
        <v>0</v>
      </c>
      <c r="D1550" s="52">
        <f>HLOOKUP("# Memory",'vHosts (Imported)'!$1:$5000,M1550,FALSE)</f>
        <v>0</v>
      </c>
      <c r="M1550" s="45">
        <f t="shared" si="74"/>
        <v>1550</v>
      </c>
      <c r="N1550" s="38">
        <f>HLOOKUP("Host",'vInfo (Imported)'!$1:$5000,M1550,FALSE)</f>
        <v>0</v>
      </c>
      <c r="R1550">
        <f>HLOOKUP("CPUs",'vInfo (Imported)'!$1:$5000,M1550,FALSE)</f>
        <v>0</v>
      </c>
      <c r="S1550">
        <f>HLOOKUP("Memory",'vInfo (Imported)'!$1:$5000,M1550,FALSE)</f>
        <v>0</v>
      </c>
      <c r="T1550">
        <f>HLOOKUP("Provisioned MiB",'vInfo (Imported)'!$1:$5000,M1550,FALSE)</f>
        <v>0</v>
      </c>
      <c r="U1550">
        <f t="shared" si="73"/>
        <v>0</v>
      </c>
      <c r="V1550">
        <f>HLOOKUP("In Use MiB",'vInfo (Imported)'!$1:$5000,M1550,FALSE)</f>
        <v>0</v>
      </c>
    </row>
    <row r="1551" spans="1:22" ht="13" x14ac:dyDescent="0.3">
      <c r="A1551" s="46">
        <f>'vHosts (Imported)'!A1551</f>
        <v>0</v>
      </c>
      <c r="B1551" s="51">
        <f t="shared" si="72"/>
        <v>4968</v>
      </c>
      <c r="C1551" s="49">
        <f>HLOOKUP("# Cores",'vHosts (Imported)'!$1:$5000,M1551,FALSE)</f>
        <v>0</v>
      </c>
      <c r="D1551" s="52">
        <f>HLOOKUP("# Memory",'vHosts (Imported)'!$1:$5000,M1551,FALSE)</f>
        <v>0</v>
      </c>
      <c r="M1551" s="45">
        <f t="shared" si="74"/>
        <v>1551</v>
      </c>
      <c r="N1551" s="38">
        <f>HLOOKUP("Host",'vInfo (Imported)'!$1:$5000,M1551,FALSE)</f>
        <v>0</v>
      </c>
      <c r="R1551">
        <f>HLOOKUP("CPUs",'vInfo (Imported)'!$1:$5000,M1551,FALSE)</f>
        <v>0</v>
      </c>
      <c r="S1551">
        <f>HLOOKUP("Memory",'vInfo (Imported)'!$1:$5000,M1551,FALSE)</f>
        <v>0</v>
      </c>
      <c r="T1551">
        <f>HLOOKUP("Provisioned MiB",'vInfo (Imported)'!$1:$5000,M1551,FALSE)</f>
        <v>0</v>
      </c>
      <c r="U1551">
        <f t="shared" si="73"/>
        <v>0</v>
      </c>
      <c r="V1551">
        <f>HLOOKUP("In Use MiB",'vInfo (Imported)'!$1:$5000,M1551,FALSE)</f>
        <v>0</v>
      </c>
    </row>
    <row r="1552" spans="1:22" ht="13" x14ac:dyDescent="0.3">
      <c r="A1552" s="46">
        <f>'vHosts (Imported)'!A1552</f>
        <v>0</v>
      </c>
      <c r="B1552" s="51">
        <f t="shared" si="72"/>
        <v>4968</v>
      </c>
      <c r="C1552" s="49">
        <f>HLOOKUP("# Cores",'vHosts (Imported)'!$1:$5000,M1552,FALSE)</f>
        <v>0</v>
      </c>
      <c r="D1552" s="52">
        <f>HLOOKUP("# Memory",'vHosts (Imported)'!$1:$5000,M1552,FALSE)</f>
        <v>0</v>
      </c>
      <c r="M1552" s="45">
        <f t="shared" si="74"/>
        <v>1552</v>
      </c>
      <c r="N1552" s="38">
        <f>HLOOKUP("Host",'vInfo (Imported)'!$1:$5000,M1552,FALSE)</f>
        <v>0</v>
      </c>
      <c r="R1552">
        <f>HLOOKUP("CPUs",'vInfo (Imported)'!$1:$5000,M1552,FALSE)</f>
        <v>0</v>
      </c>
      <c r="S1552">
        <f>HLOOKUP("Memory",'vInfo (Imported)'!$1:$5000,M1552,FALSE)</f>
        <v>0</v>
      </c>
      <c r="T1552">
        <f>HLOOKUP("Provisioned MiB",'vInfo (Imported)'!$1:$5000,M1552,FALSE)</f>
        <v>0</v>
      </c>
      <c r="U1552">
        <f t="shared" si="73"/>
        <v>0</v>
      </c>
      <c r="V1552">
        <f>HLOOKUP("In Use MiB",'vInfo (Imported)'!$1:$5000,M1552,FALSE)</f>
        <v>0</v>
      </c>
    </row>
    <row r="1553" spans="1:22" ht="13" x14ac:dyDescent="0.3">
      <c r="A1553" s="46">
        <f>'vHosts (Imported)'!A1553</f>
        <v>0</v>
      </c>
      <c r="B1553" s="51">
        <f t="shared" si="72"/>
        <v>4968</v>
      </c>
      <c r="C1553" s="49">
        <f>HLOOKUP("# Cores",'vHosts (Imported)'!$1:$5000,M1553,FALSE)</f>
        <v>0</v>
      </c>
      <c r="D1553" s="52">
        <f>HLOOKUP("# Memory",'vHosts (Imported)'!$1:$5000,M1553,FALSE)</f>
        <v>0</v>
      </c>
      <c r="M1553" s="45">
        <f t="shared" si="74"/>
        <v>1553</v>
      </c>
      <c r="N1553" s="38">
        <f>HLOOKUP("Host",'vInfo (Imported)'!$1:$5000,M1553,FALSE)</f>
        <v>0</v>
      </c>
      <c r="R1553">
        <f>HLOOKUP("CPUs",'vInfo (Imported)'!$1:$5000,M1553,FALSE)</f>
        <v>0</v>
      </c>
      <c r="S1553">
        <f>HLOOKUP("Memory",'vInfo (Imported)'!$1:$5000,M1553,FALSE)</f>
        <v>0</v>
      </c>
      <c r="T1553">
        <f>HLOOKUP("Provisioned MiB",'vInfo (Imported)'!$1:$5000,M1553,FALSE)</f>
        <v>0</v>
      </c>
      <c r="U1553">
        <f t="shared" si="73"/>
        <v>0</v>
      </c>
      <c r="V1553">
        <f>HLOOKUP("In Use MiB",'vInfo (Imported)'!$1:$5000,M1553,FALSE)</f>
        <v>0</v>
      </c>
    </row>
    <row r="1554" spans="1:22" ht="13" x14ac:dyDescent="0.3">
      <c r="A1554" s="46">
        <f>'vHosts (Imported)'!A1554</f>
        <v>0</v>
      </c>
      <c r="B1554" s="51">
        <f t="shared" si="72"/>
        <v>4968</v>
      </c>
      <c r="C1554" s="49">
        <f>HLOOKUP("# Cores",'vHosts (Imported)'!$1:$5000,M1554,FALSE)</f>
        <v>0</v>
      </c>
      <c r="D1554" s="52">
        <f>HLOOKUP("# Memory",'vHosts (Imported)'!$1:$5000,M1554,FALSE)</f>
        <v>0</v>
      </c>
      <c r="M1554" s="45">
        <f t="shared" si="74"/>
        <v>1554</v>
      </c>
      <c r="N1554" s="38">
        <f>HLOOKUP("Host",'vInfo (Imported)'!$1:$5000,M1554,FALSE)</f>
        <v>0</v>
      </c>
      <c r="R1554">
        <f>HLOOKUP("CPUs",'vInfo (Imported)'!$1:$5000,M1554,FALSE)</f>
        <v>0</v>
      </c>
      <c r="S1554">
        <f>HLOOKUP("Memory",'vInfo (Imported)'!$1:$5000,M1554,FALSE)</f>
        <v>0</v>
      </c>
      <c r="T1554">
        <f>HLOOKUP("Provisioned MiB",'vInfo (Imported)'!$1:$5000,M1554,FALSE)</f>
        <v>0</v>
      </c>
      <c r="U1554">
        <f t="shared" si="73"/>
        <v>0</v>
      </c>
      <c r="V1554">
        <f>HLOOKUP("In Use MiB",'vInfo (Imported)'!$1:$5000,M1554,FALSE)</f>
        <v>0</v>
      </c>
    </row>
    <row r="1555" spans="1:22" ht="13" x14ac:dyDescent="0.3">
      <c r="A1555" s="46">
        <f>'vHosts (Imported)'!A1555</f>
        <v>0</v>
      </c>
      <c r="B1555" s="51">
        <f t="shared" si="72"/>
        <v>4968</v>
      </c>
      <c r="C1555" s="49">
        <f>HLOOKUP("# Cores",'vHosts (Imported)'!$1:$5000,M1555,FALSE)</f>
        <v>0</v>
      </c>
      <c r="D1555" s="52">
        <f>HLOOKUP("# Memory",'vHosts (Imported)'!$1:$5000,M1555,FALSE)</f>
        <v>0</v>
      </c>
      <c r="M1555" s="45">
        <f t="shared" si="74"/>
        <v>1555</v>
      </c>
      <c r="N1555" s="38">
        <f>HLOOKUP("Host",'vInfo (Imported)'!$1:$5000,M1555,FALSE)</f>
        <v>0</v>
      </c>
      <c r="R1555">
        <f>HLOOKUP("CPUs",'vInfo (Imported)'!$1:$5000,M1555,FALSE)</f>
        <v>0</v>
      </c>
      <c r="S1555">
        <f>HLOOKUP("Memory",'vInfo (Imported)'!$1:$5000,M1555,FALSE)</f>
        <v>0</v>
      </c>
      <c r="T1555">
        <f>HLOOKUP("Provisioned MiB",'vInfo (Imported)'!$1:$5000,M1555,FALSE)</f>
        <v>0</v>
      </c>
      <c r="U1555">
        <f t="shared" si="73"/>
        <v>0</v>
      </c>
      <c r="V1555">
        <f>HLOOKUP("In Use MiB",'vInfo (Imported)'!$1:$5000,M1555,FALSE)</f>
        <v>0</v>
      </c>
    </row>
    <row r="1556" spans="1:22" ht="13" x14ac:dyDescent="0.3">
      <c r="A1556" s="46">
        <f>'vHosts (Imported)'!A1556</f>
        <v>0</v>
      </c>
      <c r="B1556" s="51">
        <f t="shared" si="72"/>
        <v>4968</v>
      </c>
      <c r="C1556" s="49">
        <f>HLOOKUP("# Cores",'vHosts (Imported)'!$1:$5000,M1556,FALSE)</f>
        <v>0</v>
      </c>
      <c r="D1556" s="52">
        <f>HLOOKUP("# Memory",'vHosts (Imported)'!$1:$5000,M1556,FALSE)</f>
        <v>0</v>
      </c>
      <c r="M1556" s="45">
        <f t="shared" si="74"/>
        <v>1556</v>
      </c>
      <c r="N1556" s="38">
        <f>HLOOKUP("Host",'vInfo (Imported)'!$1:$5000,M1556,FALSE)</f>
        <v>0</v>
      </c>
      <c r="R1556">
        <f>HLOOKUP("CPUs",'vInfo (Imported)'!$1:$5000,M1556,FALSE)</f>
        <v>0</v>
      </c>
      <c r="S1556">
        <f>HLOOKUP("Memory",'vInfo (Imported)'!$1:$5000,M1556,FALSE)</f>
        <v>0</v>
      </c>
      <c r="T1556">
        <f>HLOOKUP("Provisioned MiB",'vInfo (Imported)'!$1:$5000,M1556,FALSE)</f>
        <v>0</v>
      </c>
      <c r="U1556">
        <f t="shared" si="73"/>
        <v>0</v>
      </c>
      <c r="V1556">
        <f>HLOOKUP("In Use MiB",'vInfo (Imported)'!$1:$5000,M1556,FALSE)</f>
        <v>0</v>
      </c>
    </row>
    <row r="1557" spans="1:22" ht="13" x14ac:dyDescent="0.3">
      <c r="A1557" s="46">
        <f>'vHosts (Imported)'!A1557</f>
        <v>0</v>
      </c>
      <c r="B1557" s="51">
        <f t="shared" si="72"/>
        <v>4968</v>
      </c>
      <c r="C1557" s="49">
        <f>HLOOKUP("# Cores",'vHosts (Imported)'!$1:$5000,M1557,FALSE)</f>
        <v>0</v>
      </c>
      <c r="D1557" s="52">
        <f>HLOOKUP("# Memory",'vHosts (Imported)'!$1:$5000,M1557,FALSE)</f>
        <v>0</v>
      </c>
      <c r="M1557" s="45">
        <f t="shared" si="74"/>
        <v>1557</v>
      </c>
      <c r="N1557" s="38">
        <f>HLOOKUP("Host",'vInfo (Imported)'!$1:$5000,M1557,FALSE)</f>
        <v>0</v>
      </c>
      <c r="R1557">
        <f>HLOOKUP("CPUs",'vInfo (Imported)'!$1:$5000,M1557,FALSE)</f>
        <v>0</v>
      </c>
      <c r="S1557">
        <f>HLOOKUP("Memory",'vInfo (Imported)'!$1:$5000,M1557,FALSE)</f>
        <v>0</v>
      </c>
      <c r="T1557">
        <f>HLOOKUP("Provisioned MiB",'vInfo (Imported)'!$1:$5000,M1557,FALSE)</f>
        <v>0</v>
      </c>
      <c r="U1557">
        <f t="shared" si="73"/>
        <v>0</v>
      </c>
      <c r="V1557">
        <f>HLOOKUP("In Use MiB",'vInfo (Imported)'!$1:$5000,M1557,FALSE)</f>
        <v>0</v>
      </c>
    </row>
    <row r="1558" spans="1:22" ht="13" x14ac:dyDescent="0.3">
      <c r="A1558" s="46">
        <f>'vHosts (Imported)'!A1558</f>
        <v>0</v>
      </c>
      <c r="B1558" s="51">
        <f t="shared" si="72"/>
        <v>4968</v>
      </c>
      <c r="C1558" s="49">
        <f>HLOOKUP("# Cores",'vHosts (Imported)'!$1:$5000,M1558,FALSE)</f>
        <v>0</v>
      </c>
      <c r="D1558" s="52">
        <f>HLOOKUP("# Memory",'vHosts (Imported)'!$1:$5000,M1558,FALSE)</f>
        <v>0</v>
      </c>
      <c r="M1558" s="45">
        <f t="shared" si="74"/>
        <v>1558</v>
      </c>
      <c r="N1558" s="38">
        <f>HLOOKUP("Host",'vInfo (Imported)'!$1:$5000,M1558,FALSE)</f>
        <v>0</v>
      </c>
      <c r="R1558">
        <f>HLOOKUP("CPUs",'vInfo (Imported)'!$1:$5000,M1558,FALSE)</f>
        <v>0</v>
      </c>
      <c r="S1558">
        <f>HLOOKUP("Memory",'vInfo (Imported)'!$1:$5000,M1558,FALSE)</f>
        <v>0</v>
      </c>
      <c r="T1558">
        <f>HLOOKUP("Provisioned MiB",'vInfo (Imported)'!$1:$5000,M1558,FALSE)</f>
        <v>0</v>
      </c>
      <c r="U1558">
        <f t="shared" si="73"/>
        <v>0</v>
      </c>
      <c r="V1558">
        <f>HLOOKUP("In Use MiB",'vInfo (Imported)'!$1:$5000,M1558,FALSE)</f>
        <v>0</v>
      </c>
    </row>
    <row r="1559" spans="1:22" ht="13" x14ac:dyDescent="0.3">
      <c r="A1559" s="46">
        <f>'vHosts (Imported)'!A1559</f>
        <v>0</v>
      </c>
      <c r="B1559" s="51">
        <f t="shared" si="72"/>
        <v>4968</v>
      </c>
      <c r="C1559" s="49">
        <f>HLOOKUP("# Cores",'vHosts (Imported)'!$1:$5000,M1559,FALSE)</f>
        <v>0</v>
      </c>
      <c r="D1559" s="52">
        <f>HLOOKUP("# Memory",'vHosts (Imported)'!$1:$5000,M1559,FALSE)</f>
        <v>0</v>
      </c>
      <c r="M1559" s="45">
        <f t="shared" si="74"/>
        <v>1559</v>
      </c>
      <c r="N1559" s="38">
        <f>HLOOKUP("Host",'vInfo (Imported)'!$1:$5000,M1559,FALSE)</f>
        <v>0</v>
      </c>
      <c r="R1559">
        <f>HLOOKUP("CPUs",'vInfo (Imported)'!$1:$5000,M1559,FALSE)</f>
        <v>0</v>
      </c>
      <c r="S1559">
        <f>HLOOKUP("Memory",'vInfo (Imported)'!$1:$5000,M1559,FALSE)</f>
        <v>0</v>
      </c>
      <c r="T1559">
        <f>HLOOKUP("Provisioned MiB",'vInfo (Imported)'!$1:$5000,M1559,FALSE)</f>
        <v>0</v>
      </c>
      <c r="U1559">
        <f t="shared" si="73"/>
        <v>0</v>
      </c>
      <c r="V1559">
        <f>HLOOKUP("In Use MiB",'vInfo (Imported)'!$1:$5000,M1559,FALSE)</f>
        <v>0</v>
      </c>
    </row>
    <row r="1560" spans="1:22" ht="13" x14ac:dyDescent="0.3">
      <c r="A1560" s="46">
        <f>'vHosts (Imported)'!A1560</f>
        <v>0</v>
      </c>
      <c r="B1560" s="51">
        <f t="shared" si="72"/>
        <v>4968</v>
      </c>
      <c r="C1560" s="49">
        <f>HLOOKUP("# Cores",'vHosts (Imported)'!$1:$5000,M1560,FALSE)</f>
        <v>0</v>
      </c>
      <c r="D1560" s="52">
        <f>HLOOKUP("# Memory",'vHosts (Imported)'!$1:$5000,M1560,FALSE)</f>
        <v>0</v>
      </c>
      <c r="M1560" s="45">
        <f t="shared" si="74"/>
        <v>1560</v>
      </c>
      <c r="N1560" s="38">
        <f>HLOOKUP("Host",'vInfo (Imported)'!$1:$5000,M1560,FALSE)</f>
        <v>0</v>
      </c>
      <c r="R1560">
        <f>HLOOKUP("CPUs",'vInfo (Imported)'!$1:$5000,M1560,FALSE)</f>
        <v>0</v>
      </c>
      <c r="S1560">
        <f>HLOOKUP("Memory",'vInfo (Imported)'!$1:$5000,M1560,FALSE)</f>
        <v>0</v>
      </c>
      <c r="T1560">
        <f>HLOOKUP("Provisioned MiB",'vInfo (Imported)'!$1:$5000,M1560,FALSE)</f>
        <v>0</v>
      </c>
      <c r="U1560">
        <f t="shared" si="73"/>
        <v>0</v>
      </c>
      <c r="V1560">
        <f>HLOOKUP("In Use MiB",'vInfo (Imported)'!$1:$5000,M1560,FALSE)</f>
        <v>0</v>
      </c>
    </row>
    <row r="1561" spans="1:22" ht="13" x14ac:dyDescent="0.3">
      <c r="A1561" s="46">
        <f>'vHosts (Imported)'!A1561</f>
        <v>0</v>
      </c>
      <c r="B1561" s="51">
        <f t="shared" si="72"/>
        <v>4968</v>
      </c>
      <c r="C1561" s="49">
        <f>HLOOKUP("# Cores",'vHosts (Imported)'!$1:$5000,M1561,FALSE)</f>
        <v>0</v>
      </c>
      <c r="D1561" s="52">
        <f>HLOOKUP("# Memory",'vHosts (Imported)'!$1:$5000,M1561,FALSE)</f>
        <v>0</v>
      </c>
      <c r="M1561" s="45">
        <f t="shared" si="74"/>
        <v>1561</v>
      </c>
      <c r="N1561" s="38">
        <f>HLOOKUP("Host",'vInfo (Imported)'!$1:$5000,M1561,FALSE)</f>
        <v>0</v>
      </c>
      <c r="R1561">
        <f>HLOOKUP("CPUs",'vInfo (Imported)'!$1:$5000,M1561,FALSE)</f>
        <v>0</v>
      </c>
      <c r="S1561">
        <f>HLOOKUP("Memory",'vInfo (Imported)'!$1:$5000,M1561,FALSE)</f>
        <v>0</v>
      </c>
      <c r="T1561">
        <f>HLOOKUP("Provisioned MiB",'vInfo (Imported)'!$1:$5000,M1561,FALSE)</f>
        <v>0</v>
      </c>
      <c r="U1561">
        <f t="shared" si="73"/>
        <v>0</v>
      </c>
      <c r="V1561">
        <f>HLOOKUP("In Use MiB",'vInfo (Imported)'!$1:$5000,M1561,FALSE)</f>
        <v>0</v>
      </c>
    </row>
    <row r="1562" spans="1:22" ht="13" x14ac:dyDescent="0.3">
      <c r="A1562" s="46">
        <f>'vHosts (Imported)'!A1562</f>
        <v>0</v>
      </c>
      <c r="B1562" s="51">
        <f t="shared" si="72"/>
        <v>4968</v>
      </c>
      <c r="C1562" s="49">
        <f>HLOOKUP("# Cores",'vHosts (Imported)'!$1:$5000,M1562,FALSE)</f>
        <v>0</v>
      </c>
      <c r="D1562" s="52">
        <f>HLOOKUP("# Memory",'vHosts (Imported)'!$1:$5000,M1562,FALSE)</f>
        <v>0</v>
      </c>
      <c r="M1562" s="45">
        <f t="shared" si="74"/>
        <v>1562</v>
      </c>
      <c r="N1562" s="38">
        <f>HLOOKUP("Host",'vInfo (Imported)'!$1:$5000,M1562,FALSE)</f>
        <v>0</v>
      </c>
      <c r="R1562">
        <f>HLOOKUP("CPUs",'vInfo (Imported)'!$1:$5000,M1562,FALSE)</f>
        <v>0</v>
      </c>
      <c r="S1562">
        <f>HLOOKUP("Memory",'vInfo (Imported)'!$1:$5000,M1562,FALSE)</f>
        <v>0</v>
      </c>
      <c r="T1562">
        <f>HLOOKUP("Provisioned MiB",'vInfo (Imported)'!$1:$5000,M1562,FALSE)</f>
        <v>0</v>
      </c>
      <c r="U1562">
        <f t="shared" si="73"/>
        <v>0</v>
      </c>
      <c r="V1562">
        <f>HLOOKUP("In Use MiB",'vInfo (Imported)'!$1:$5000,M1562,FALSE)</f>
        <v>0</v>
      </c>
    </row>
    <row r="1563" spans="1:22" ht="13" x14ac:dyDescent="0.3">
      <c r="A1563" s="46">
        <f>'vHosts (Imported)'!A1563</f>
        <v>0</v>
      </c>
      <c r="B1563" s="51">
        <f t="shared" si="72"/>
        <v>4968</v>
      </c>
      <c r="C1563" s="49">
        <f>HLOOKUP("# Cores",'vHosts (Imported)'!$1:$5000,M1563,FALSE)</f>
        <v>0</v>
      </c>
      <c r="D1563" s="52">
        <f>HLOOKUP("# Memory",'vHosts (Imported)'!$1:$5000,M1563,FALSE)</f>
        <v>0</v>
      </c>
      <c r="M1563" s="45">
        <f t="shared" si="74"/>
        <v>1563</v>
      </c>
      <c r="N1563" s="38">
        <f>HLOOKUP("Host",'vInfo (Imported)'!$1:$5000,M1563,FALSE)</f>
        <v>0</v>
      </c>
      <c r="R1563">
        <f>HLOOKUP("CPUs",'vInfo (Imported)'!$1:$5000,M1563,FALSE)</f>
        <v>0</v>
      </c>
      <c r="S1563">
        <f>HLOOKUP("Memory",'vInfo (Imported)'!$1:$5000,M1563,FALSE)</f>
        <v>0</v>
      </c>
      <c r="T1563">
        <f>HLOOKUP("Provisioned MiB",'vInfo (Imported)'!$1:$5000,M1563,FALSE)</f>
        <v>0</v>
      </c>
      <c r="U1563">
        <f t="shared" si="73"/>
        <v>0</v>
      </c>
      <c r="V1563">
        <f>HLOOKUP("In Use MiB",'vInfo (Imported)'!$1:$5000,M1563,FALSE)</f>
        <v>0</v>
      </c>
    </row>
    <row r="1564" spans="1:22" ht="13" x14ac:dyDescent="0.3">
      <c r="A1564" s="46">
        <f>'vHosts (Imported)'!A1564</f>
        <v>0</v>
      </c>
      <c r="B1564" s="51">
        <f t="shared" si="72"/>
        <v>4968</v>
      </c>
      <c r="C1564" s="49">
        <f>HLOOKUP("# Cores",'vHosts (Imported)'!$1:$5000,M1564,FALSE)</f>
        <v>0</v>
      </c>
      <c r="D1564" s="52">
        <f>HLOOKUP("# Memory",'vHosts (Imported)'!$1:$5000,M1564,FALSE)</f>
        <v>0</v>
      </c>
      <c r="M1564" s="45">
        <f t="shared" si="74"/>
        <v>1564</v>
      </c>
      <c r="N1564" s="38">
        <f>HLOOKUP("Host",'vInfo (Imported)'!$1:$5000,M1564,FALSE)</f>
        <v>0</v>
      </c>
      <c r="R1564">
        <f>HLOOKUP("CPUs",'vInfo (Imported)'!$1:$5000,M1564,FALSE)</f>
        <v>0</v>
      </c>
      <c r="S1564">
        <f>HLOOKUP("Memory",'vInfo (Imported)'!$1:$5000,M1564,FALSE)</f>
        <v>0</v>
      </c>
      <c r="T1564">
        <f>HLOOKUP("Provisioned MiB",'vInfo (Imported)'!$1:$5000,M1564,FALSE)</f>
        <v>0</v>
      </c>
      <c r="U1564">
        <f t="shared" si="73"/>
        <v>0</v>
      </c>
      <c r="V1564">
        <f>HLOOKUP("In Use MiB",'vInfo (Imported)'!$1:$5000,M1564,FALSE)</f>
        <v>0</v>
      </c>
    </row>
    <row r="1565" spans="1:22" ht="13" x14ac:dyDescent="0.3">
      <c r="A1565" s="46">
        <f>'vHosts (Imported)'!A1565</f>
        <v>0</v>
      </c>
      <c r="B1565" s="51">
        <f t="shared" si="72"/>
        <v>4968</v>
      </c>
      <c r="C1565" s="49">
        <f>HLOOKUP("# Cores",'vHosts (Imported)'!$1:$5000,M1565,FALSE)</f>
        <v>0</v>
      </c>
      <c r="D1565" s="52">
        <f>HLOOKUP("# Memory",'vHosts (Imported)'!$1:$5000,M1565,FALSE)</f>
        <v>0</v>
      </c>
      <c r="M1565" s="45">
        <f t="shared" si="74"/>
        <v>1565</v>
      </c>
      <c r="N1565" s="38">
        <f>HLOOKUP("Host",'vInfo (Imported)'!$1:$5000,M1565,FALSE)</f>
        <v>0</v>
      </c>
      <c r="R1565">
        <f>HLOOKUP("CPUs",'vInfo (Imported)'!$1:$5000,M1565,FALSE)</f>
        <v>0</v>
      </c>
      <c r="S1565">
        <f>HLOOKUP("Memory",'vInfo (Imported)'!$1:$5000,M1565,FALSE)</f>
        <v>0</v>
      </c>
      <c r="T1565">
        <f>HLOOKUP("Provisioned MiB",'vInfo (Imported)'!$1:$5000,M1565,FALSE)</f>
        <v>0</v>
      </c>
      <c r="U1565">
        <f t="shared" si="73"/>
        <v>0</v>
      </c>
      <c r="V1565">
        <f>HLOOKUP("In Use MiB",'vInfo (Imported)'!$1:$5000,M1565,FALSE)</f>
        <v>0</v>
      </c>
    </row>
    <row r="1566" spans="1:22" ht="13" x14ac:dyDescent="0.3">
      <c r="A1566" s="46">
        <f>'vHosts (Imported)'!A1566</f>
        <v>0</v>
      </c>
      <c r="B1566" s="51">
        <f t="shared" si="72"/>
        <v>4968</v>
      </c>
      <c r="C1566" s="49">
        <f>HLOOKUP("# Cores",'vHosts (Imported)'!$1:$5000,M1566,FALSE)</f>
        <v>0</v>
      </c>
      <c r="D1566" s="52">
        <f>HLOOKUP("# Memory",'vHosts (Imported)'!$1:$5000,M1566,FALSE)</f>
        <v>0</v>
      </c>
      <c r="M1566" s="45">
        <f t="shared" si="74"/>
        <v>1566</v>
      </c>
      <c r="N1566" s="38">
        <f>HLOOKUP("Host",'vInfo (Imported)'!$1:$5000,M1566,FALSE)</f>
        <v>0</v>
      </c>
      <c r="R1566">
        <f>HLOOKUP("CPUs",'vInfo (Imported)'!$1:$5000,M1566,FALSE)</f>
        <v>0</v>
      </c>
      <c r="S1566">
        <f>HLOOKUP("Memory",'vInfo (Imported)'!$1:$5000,M1566,FALSE)</f>
        <v>0</v>
      </c>
      <c r="T1566">
        <f>HLOOKUP("Provisioned MiB",'vInfo (Imported)'!$1:$5000,M1566,FALSE)</f>
        <v>0</v>
      </c>
      <c r="U1566">
        <f t="shared" si="73"/>
        <v>0</v>
      </c>
      <c r="V1566">
        <f>HLOOKUP("In Use MiB",'vInfo (Imported)'!$1:$5000,M1566,FALSE)</f>
        <v>0</v>
      </c>
    </row>
    <row r="1567" spans="1:22" ht="13" x14ac:dyDescent="0.3">
      <c r="A1567" s="46">
        <f>'vHosts (Imported)'!A1567</f>
        <v>0</v>
      </c>
      <c r="B1567" s="51">
        <f t="shared" si="72"/>
        <v>4968</v>
      </c>
      <c r="C1567" s="49">
        <f>HLOOKUP("# Cores",'vHosts (Imported)'!$1:$5000,M1567,FALSE)</f>
        <v>0</v>
      </c>
      <c r="D1567" s="52">
        <f>HLOOKUP("# Memory",'vHosts (Imported)'!$1:$5000,M1567,FALSE)</f>
        <v>0</v>
      </c>
      <c r="M1567" s="45">
        <f t="shared" si="74"/>
        <v>1567</v>
      </c>
      <c r="N1567" s="38">
        <f>HLOOKUP("Host",'vInfo (Imported)'!$1:$5000,M1567,FALSE)</f>
        <v>0</v>
      </c>
      <c r="R1567">
        <f>HLOOKUP("CPUs",'vInfo (Imported)'!$1:$5000,M1567,FALSE)</f>
        <v>0</v>
      </c>
      <c r="S1567">
        <f>HLOOKUP("Memory",'vInfo (Imported)'!$1:$5000,M1567,FALSE)</f>
        <v>0</v>
      </c>
      <c r="T1567">
        <f>HLOOKUP("Provisioned MiB",'vInfo (Imported)'!$1:$5000,M1567,FALSE)</f>
        <v>0</v>
      </c>
      <c r="U1567">
        <f t="shared" si="73"/>
        <v>0</v>
      </c>
      <c r="V1567">
        <f>HLOOKUP("In Use MiB",'vInfo (Imported)'!$1:$5000,M1567,FALSE)</f>
        <v>0</v>
      </c>
    </row>
    <row r="1568" spans="1:22" ht="13" x14ac:dyDescent="0.3">
      <c r="A1568" s="46">
        <f>'vHosts (Imported)'!A1568</f>
        <v>0</v>
      </c>
      <c r="B1568" s="51">
        <f t="shared" si="72"/>
        <v>4968</v>
      </c>
      <c r="C1568" s="49">
        <f>HLOOKUP("# Cores",'vHosts (Imported)'!$1:$5000,M1568,FALSE)</f>
        <v>0</v>
      </c>
      <c r="D1568" s="52">
        <f>HLOOKUP("# Memory",'vHosts (Imported)'!$1:$5000,M1568,FALSE)</f>
        <v>0</v>
      </c>
      <c r="M1568" s="45">
        <f t="shared" si="74"/>
        <v>1568</v>
      </c>
      <c r="N1568" s="38">
        <f>HLOOKUP("Host",'vInfo (Imported)'!$1:$5000,M1568,FALSE)</f>
        <v>0</v>
      </c>
      <c r="R1568">
        <f>HLOOKUP("CPUs",'vInfo (Imported)'!$1:$5000,M1568,FALSE)</f>
        <v>0</v>
      </c>
      <c r="S1568">
        <f>HLOOKUP("Memory",'vInfo (Imported)'!$1:$5000,M1568,FALSE)</f>
        <v>0</v>
      </c>
      <c r="T1568">
        <f>HLOOKUP("Provisioned MiB",'vInfo (Imported)'!$1:$5000,M1568,FALSE)</f>
        <v>0</v>
      </c>
      <c r="U1568">
        <f t="shared" si="73"/>
        <v>0</v>
      </c>
      <c r="V1568">
        <f>HLOOKUP("In Use MiB",'vInfo (Imported)'!$1:$5000,M1568,FALSE)</f>
        <v>0</v>
      </c>
    </row>
    <row r="1569" spans="1:22" ht="13" x14ac:dyDescent="0.3">
      <c r="A1569" s="46">
        <f>'vHosts (Imported)'!A1569</f>
        <v>0</v>
      </c>
      <c r="B1569" s="51">
        <f t="shared" si="72"/>
        <v>4968</v>
      </c>
      <c r="C1569" s="49">
        <f>HLOOKUP("# Cores",'vHosts (Imported)'!$1:$5000,M1569,FALSE)</f>
        <v>0</v>
      </c>
      <c r="D1569" s="52">
        <f>HLOOKUP("# Memory",'vHosts (Imported)'!$1:$5000,M1569,FALSE)</f>
        <v>0</v>
      </c>
      <c r="M1569" s="45">
        <f t="shared" si="74"/>
        <v>1569</v>
      </c>
      <c r="N1569" s="38">
        <f>HLOOKUP("Host",'vInfo (Imported)'!$1:$5000,M1569,FALSE)</f>
        <v>0</v>
      </c>
      <c r="R1569">
        <f>HLOOKUP("CPUs",'vInfo (Imported)'!$1:$5000,M1569,FALSE)</f>
        <v>0</v>
      </c>
      <c r="S1569">
        <f>HLOOKUP("Memory",'vInfo (Imported)'!$1:$5000,M1569,FALSE)</f>
        <v>0</v>
      </c>
      <c r="T1569">
        <f>HLOOKUP("Provisioned MiB",'vInfo (Imported)'!$1:$5000,M1569,FALSE)</f>
        <v>0</v>
      </c>
      <c r="U1569">
        <f t="shared" si="73"/>
        <v>0</v>
      </c>
      <c r="V1569">
        <f>HLOOKUP("In Use MiB",'vInfo (Imported)'!$1:$5000,M1569,FALSE)</f>
        <v>0</v>
      </c>
    </row>
    <row r="1570" spans="1:22" ht="13" x14ac:dyDescent="0.3">
      <c r="A1570" s="46">
        <f>'vHosts (Imported)'!A1570</f>
        <v>0</v>
      </c>
      <c r="B1570" s="51">
        <f t="shared" si="72"/>
        <v>4968</v>
      </c>
      <c r="C1570" s="49">
        <f>HLOOKUP("# Cores",'vHosts (Imported)'!$1:$5000,M1570,FALSE)</f>
        <v>0</v>
      </c>
      <c r="D1570" s="52">
        <f>HLOOKUP("# Memory",'vHosts (Imported)'!$1:$5000,M1570,FALSE)</f>
        <v>0</v>
      </c>
      <c r="M1570" s="45">
        <f t="shared" si="74"/>
        <v>1570</v>
      </c>
      <c r="N1570" s="38">
        <f>HLOOKUP("Host",'vInfo (Imported)'!$1:$5000,M1570,FALSE)</f>
        <v>0</v>
      </c>
      <c r="R1570">
        <f>HLOOKUP("CPUs",'vInfo (Imported)'!$1:$5000,M1570,FALSE)</f>
        <v>0</v>
      </c>
      <c r="S1570">
        <f>HLOOKUP("Memory",'vInfo (Imported)'!$1:$5000,M1570,FALSE)</f>
        <v>0</v>
      </c>
      <c r="T1570">
        <f>HLOOKUP("Provisioned MiB",'vInfo (Imported)'!$1:$5000,M1570,FALSE)</f>
        <v>0</v>
      </c>
      <c r="U1570">
        <f t="shared" si="73"/>
        <v>0</v>
      </c>
      <c r="V1570">
        <f>HLOOKUP("In Use MiB",'vInfo (Imported)'!$1:$5000,M1570,FALSE)</f>
        <v>0</v>
      </c>
    </row>
    <row r="1571" spans="1:22" ht="13" x14ac:dyDescent="0.3">
      <c r="A1571" s="46">
        <f>'vHosts (Imported)'!A1571</f>
        <v>0</v>
      </c>
      <c r="B1571" s="51">
        <f t="shared" si="72"/>
        <v>4968</v>
      </c>
      <c r="C1571" s="49">
        <f>HLOOKUP("# Cores",'vHosts (Imported)'!$1:$5000,M1571,FALSE)</f>
        <v>0</v>
      </c>
      <c r="D1571" s="52">
        <f>HLOOKUP("# Memory",'vHosts (Imported)'!$1:$5000,M1571,FALSE)</f>
        <v>0</v>
      </c>
      <c r="M1571" s="45">
        <f t="shared" si="74"/>
        <v>1571</v>
      </c>
      <c r="N1571" s="38">
        <f>HLOOKUP("Host",'vInfo (Imported)'!$1:$5000,M1571,FALSE)</f>
        <v>0</v>
      </c>
      <c r="R1571">
        <f>HLOOKUP("CPUs",'vInfo (Imported)'!$1:$5000,M1571,FALSE)</f>
        <v>0</v>
      </c>
      <c r="S1571">
        <f>HLOOKUP("Memory",'vInfo (Imported)'!$1:$5000,M1571,FALSE)</f>
        <v>0</v>
      </c>
      <c r="T1571">
        <f>HLOOKUP("Provisioned MiB",'vInfo (Imported)'!$1:$5000,M1571,FALSE)</f>
        <v>0</v>
      </c>
      <c r="U1571">
        <f t="shared" si="73"/>
        <v>0</v>
      </c>
      <c r="V1571">
        <f>HLOOKUP("In Use MiB",'vInfo (Imported)'!$1:$5000,M1571,FALSE)</f>
        <v>0</v>
      </c>
    </row>
    <row r="1572" spans="1:22" ht="13" x14ac:dyDescent="0.3">
      <c r="A1572" s="46">
        <f>'vHosts (Imported)'!A1572</f>
        <v>0</v>
      </c>
      <c r="B1572" s="51">
        <f t="shared" si="72"/>
        <v>4968</v>
      </c>
      <c r="C1572" s="49">
        <f>HLOOKUP("# Cores",'vHosts (Imported)'!$1:$5000,M1572,FALSE)</f>
        <v>0</v>
      </c>
      <c r="D1572" s="52">
        <f>HLOOKUP("# Memory",'vHosts (Imported)'!$1:$5000,M1572,FALSE)</f>
        <v>0</v>
      </c>
      <c r="M1572" s="45">
        <f t="shared" si="74"/>
        <v>1572</v>
      </c>
      <c r="N1572" s="38">
        <f>HLOOKUP("Host",'vInfo (Imported)'!$1:$5000,M1572,FALSE)</f>
        <v>0</v>
      </c>
      <c r="R1572">
        <f>HLOOKUP("CPUs",'vInfo (Imported)'!$1:$5000,M1572,FALSE)</f>
        <v>0</v>
      </c>
      <c r="S1572">
        <f>HLOOKUP("Memory",'vInfo (Imported)'!$1:$5000,M1572,FALSE)</f>
        <v>0</v>
      </c>
      <c r="T1572">
        <f>HLOOKUP("Provisioned MiB",'vInfo (Imported)'!$1:$5000,M1572,FALSE)</f>
        <v>0</v>
      </c>
      <c r="U1572">
        <f t="shared" si="73"/>
        <v>0</v>
      </c>
      <c r="V1572">
        <f>HLOOKUP("In Use MiB",'vInfo (Imported)'!$1:$5000,M1572,FALSE)</f>
        <v>0</v>
      </c>
    </row>
    <row r="1573" spans="1:22" ht="13" x14ac:dyDescent="0.3">
      <c r="A1573" s="46">
        <f>'vHosts (Imported)'!A1573</f>
        <v>0</v>
      </c>
      <c r="B1573" s="51">
        <f t="shared" si="72"/>
        <v>4968</v>
      </c>
      <c r="C1573" s="49">
        <f>HLOOKUP("# Cores",'vHosts (Imported)'!$1:$5000,M1573,FALSE)</f>
        <v>0</v>
      </c>
      <c r="D1573" s="52">
        <f>HLOOKUP("# Memory",'vHosts (Imported)'!$1:$5000,M1573,FALSE)</f>
        <v>0</v>
      </c>
      <c r="M1573" s="45">
        <f t="shared" si="74"/>
        <v>1573</v>
      </c>
      <c r="N1573" s="38">
        <f>HLOOKUP("Host",'vInfo (Imported)'!$1:$5000,M1573,FALSE)</f>
        <v>0</v>
      </c>
      <c r="R1573">
        <f>HLOOKUP("CPUs",'vInfo (Imported)'!$1:$5000,M1573,FALSE)</f>
        <v>0</v>
      </c>
      <c r="S1573">
        <f>HLOOKUP("Memory",'vInfo (Imported)'!$1:$5000,M1573,FALSE)</f>
        <v>0</v>
      </c>
      <c r="T1573">
        <f>HLOOKUP("Provisioned MiB",'vInfo (Imported)'!$1:$5000,M1573,FALSE)</f>
        <v>0</v>
      </c>
      <c r="U1573">
        <f t="shared" si="73"/>
        <v>0</v>
      </c>
      <c r="V1573">
        <f>HLOOKUP("In Use MiB",'vInfo (Imported)'!$1:$5000,M1573,FALSE)</f>
        <v>0</v>
      </c>
    </row>
    <row r="1574" spans="1:22" ht="13" x14ac:dyDescent="0.3">
      <c r="A1574" s="46">
        <f>'vHosts (Imported)'!A1574</f>
        <v>0</v>
      </c>
      <c r="B1574" s="51">
        <f t="shared" si="72"/>
        <v>4968</v>
      </c>
      <c r="C1574" s="49">
        <f>HLOOKUP("# Cores",'vHosts (Imported)'!$1:$5000,M1574,FALSE)</f>
        <v>0</v>
      </c>
      <c r="D1574" s="52">
        <f>HLOOKUP("# Memory",'vHosts (Imported)'!$1:$5000,M1574,FALSE)</f>
        <v>0</v>
      </c>
      <c r="M1574" s="45">
        <f t="shared" si="74"/>
        <v>1574</v>
      </c>
      <c r="N1574" s="38">
        <f>HLOOKUP("Host",'vInfo (Imported)'!$1:$5000,M1574,FALSE)</f>
        <v>0</v>
      </c>
      <c r="R1574">
        <f>HLOOKUP("CPUs",'vInfo (Imported)'!$1:$5000,M1574,FALSE)</f>
        <v>0</v>
      </c>
      <c r="S1574">
        <f>HLOOKUP("Memory",'vInfo (Imported)'!$1:$5000,M1574,FALSE)</f>
        <v>0</v>
      </c>
      <c r="T1574">
        <f>HLOOKUP("Provisioned MiB",'vInfo (Imported)'!$1:$5000,M1574,FALSE)</f>
        <v>0</v>
      </c>
      <c r="U1574">
        <f t="shared" si="73"/>
        <v>0</v>
      </c>
      <c r="V1574">
        <f>HLOOKUP("In Use MiB",'vInfo (Imported)'!$1:$5000,M1574,FALSE)</f>
        <v>0</v>
      </c>
    </row>
    <row r="1575" spans="1:22" ht="13" x14ac:dyDescent="0.3">
      <c r="A1575" s="46">
        <f>'vHosts (Imported)'!A1575</f>
        <v>0</v>
      </c>
      <c r="B1575" s="51">
        <f t="shared" si="72"/>
        <v>4968</v>
      </c>
      <c r="C1575" s="49">
        <f>HLOOKUP("# Cores",'vHosts (Imported)'!$1:$5000,M1575,FALSE)</f>
        <v>0</v>
      </c>
      <c r="D1575" s="52">
        <f>HLOOKUP("# Memory",'vHosts (Imported)'!$1:$5000,M1575,FALSE)</f>
        <v>0</v>
      </c>
      <c r="M1575" s="45">
        <f t="shared" si="74"/>
        <v>1575</v>
      </c>
      <c r="N1575" s="38">
        <f>HLOOKUP("Host",'vInfo (Imported)'!$1:$5000,M1575,FALSE)</f>
        <v>0</v>
      </c>
      <c r="R1575">
        <f>HLOOKUP("CPUs",'vInfo (Imported)'!$1:$5000,M1575,FALSE)</f>
        <v>0</v>
      </c>
      <c r="S1575">
        <f>HLOOKUP("Memory",'vInfo (Imported)'!$1:$5000,M1575,FALSE)</f>
        <v>0</v>
      </c>
      <c r="T1575">
        <f>HLOOKUP("Provisioned MiB",'vInfo (Imported)'!$1:$5000,M1575,FALSE)</f>
        <v>0</v>
      </c>
      <c r="U1575">
        <f t="shared" si="73"/>
        <v>0</v>
      </c>
      <c r="V1575">
        <f>HLOOKUP("In Use MiB",'vInfo (Imported)'!$1:$5000,M1575,FALSE)</f>
        <v>0</v>
      </c>
    </row>
    <row r="1576" spans="1:22" ht="13" x14ac:dyDescent="0.3">
      <c r="A1576" s="46">
        <f>'vHosts (Imported)'!A1576</f>
        <v>0</v>
      </c>
      <c r="B1576" s="51">
        <f t="shared" ref="B1576:B1639" si="75">COUNTIF(N:N,A1576)</f>
        <v>4968</v>
      </c>
      <c r="C1576" s="49">
        <f>HLOOKUP("# Cores",'vHosts (Imported)'!$1:$5000,M1576,FALSE)</f>
        <v>0</v>
      </c>
      <c r="D1576" s="52">
        <f>HLOOKUP("# Memory",'vHosts (Imported)'!$1:$5000,M1576,FALSE)</f>
        <v>0</v>
      </c>
      <c r="M1576" s="45">
        <f t="shared" si="74"/>
        <v>1576</v>
      </c>
      <c r="N1576" s="38">
        <f>HLOOKUP("Host",'vInfo (Imported)'!$1:$5000,M1576,FALSE)</f>
        <v>0</v>
      </c>
      <c r="R1576">
        <f>HLOOKUP("CPUs",'vInfo (Imported)'!$1:$5000,M1576,FALSE)</f>
        <v>0</v>
      </c>
      <c r="S1576">
        <f>HLOOKUP("Memory",'vInfo (Imported)'!$1:$5000,M1576,FALSE)</f>
        <v>0</v>
      </c>
      <c r="T1576">
        <f>HLOOKUP("Provisioned MiB",'vInfo (Imported)'!$1:$5000,M1576,FALSE)</f>
        <v>0</v>
      </c>
      <c r="U1576">
        <f t="shared" si="73"/>
        <v>0</v>
      </c>
      <c r="V1576">
        <f>HLOOKUP("In Use MiB",'vInfo (Imported)'!$1:$5000,M1576,FALSE)</f>
        <v>0</v>
      </c>
    </row>
    <row r="1577" spans="1:22" ht="13" x14ac:dyDescent="0.3">
      <c r="A1577" s="46">
        <f>'vHosts (Imported)'!A1577</f>
        <v>0</v>
      </c>
      <c r="B1577" s="51">
        <f t="shared" si="75"/>
        <v>4968</v>
      </c>
      <c r="C1577" s="49">
        <f>HLOOKUP("# Cores",'vHosts (Imported)'!$1:$5000,M1577,FALSE)</f>
        <v>0</v>
      </c>
      <c r="D1577" s="52">
        <f>HLOOKUP("# Memory",'vHosts (Imported)'!$1:$5000,M1577,FALSE)</f>
        <v>0</v>
      </c>
      <c r="M1577" s="45">
        <f t="shared" si="74"/>
        <v>1577</v>
      </c>
      <c r="N1577" s="38">
        <f>HLOOKUP("Host",'vInfo (Imported)'!$1:$5000,M1577,FALSE)</f>
        <v>0</v>
      </c>
      <c r="R1577">
        <f>HLOOKUP("CPUs",'vInfo (Imported)'!$1:$5000,M1577,FALSE)</f>
        <v>0</v>
      </c>
      <c r="S1577">
        <f>HLOOKUP("Memory",'vInfo (Imported)'!$1:$5000,M1577,FALSE)</f>
        <v>0</v>
      </c>
      <c r="T1577">
        <f>HLOOKUP("Provisioned MiB",'vInfo (Imported)'!$1:$5000,M1577,FALSE)</f>
        <v>0</v>
      </c>
      <c r="U1577">
        <f t="shared" si="73"/>
        <v>0</v>
      </c>
      <c r="V1577">
        <f>HLOOKUP("In Use MiB",'vInfo (Imported)'!$1:$5000,M1577,FALSE)</f>
        <v>0</v>
      </c>
    </row>
    <row r="1578" spans="1:22" ht="13" x14ac:dyDescent="0.3">
      <c r="A1578" s="46">
        <f>'vHosts (Imported)'!A1578</f>
        <v>0</v>
      </c>
      <c r="B1578" s="51">
        <f t="shared" si="75"/>
        <v>4968</v>
      </c>
      <c r="C1578" s="49">
        <f>HLOOKUP("# Cores",'vHosts (Imported)'!$1:$5000,M1578,FALSE)</f>
        <v>0</v>
      </c>
      <c r="D1578" s="52">
        <f>HLOOKUP("# Memory",'vHosts (Imported)'!$1:$5000,M1578,FALSE)</f>
        <v>0</v>
      </c>
      <c r="M1578" s="45">
        <f t="shared" si="74"/>
        <v>1578</v>
      </c>
      <c r="N1578" s="38">
        <f>HLOOKUP("Host",'vInfo (Imported)'!$1:$5000,M1578,FALSE)</f>
        <v>0</v>
      </c>
      <c r="R1578">
        <f>HLOOKUP("CPUs",'vInfo (Imported)'!$1:$5000,M1578,FALSE)</f>
        <v>0</v>
      </c>
      <c r="S1578">
        <f>HLOOKUP("Memory",'vInfo (Imported)'!$1:$5000,M1578,FALSE)</f>
        <v>0</v>
      </c>
      <c r="T1578">
        <f>HLOOKUP("Provisioned MiB",'vInfo (Imported)'!$1:$5000,M1578,FALSE)</f>
        <v>0</v>
      </c>
      <c r="U1578">
        <f t="shared" si="73"/>
        <v>0</v>
      </c>
      <c r="V1578">
        <f>HLOOKUP("In Use MiB",'vInfo (Imported)'!$1:$5000,M1578,FALSE)</f>
        <v>0</v>
      </c>
    </row>
    <row r="1579" spans="1:22" ht="13" x14ac:dyDescent="0.3">
      <c r="A1579" s="46">
        <f>'vHosts (Imported)'!A1579</f>
        <v>0</v>
      </c>
      <c r="B1579" s="51">
        <f t="shared" si="75"/>
        <v>4968</v>
      </c>
      <c r="C1579" s="49">
        <f>HLOOKUP("# Cores",'vHosts (Imported)'!$1:$5000,M1579,FALSE)</f>
        <v>0</v>
      </c>
      <c r="D1579" s="52">
        <f>HLOOKUP("# Memory",'vHosts (Imported)'!$1:$5000,M1579,FALSE)</f>
        <v>0</v>
      </c>
      <c r="M1579" s="45">
        <f t="shared" si="74"/>
        <v>1579</v>
      </c>
      <c r="N1579" s="38">
        <f>HLOOKUP("Host",'vInfo (Imported)'!$1:$5000,M1579,FALSE)</f>
        <v>0</v>
      </c>
      <c r="R1579">
        <f>HLOOKUP("CPUs",'vInfo (Imported)'!$1:$5000,M1579,FALSE)</f>
        <v>0</v>
      </c>
      <c r="S1579">
        <f>HLOOKUP("Memory",'vInfo (Imported)'!$1:$5000,M1579,FALSE)</f>
        <v>0</v>
      </c>
      <c r="T1579">
        <f>HLOOKUP("Provisioned MiB",'vInfo (Imported)'!$1:$5000,M1579,FALSE)</f>
        <v>0</v>
      </c>
      <c r="U1579">
        <f t="shared" si="73"/>
        <v>0</v>
      </c>
      <c r="V1579">
        <f>HLOOKUP("In Use MiB",'vInfo (Imported)'!$1:$5000,M1579,FALSE)</f>
        <v>0</v>
      </c>
    </row>
    <row r="1580" spans="1:22" ht="13" x14ac:dyDescent="0.3">
      <c r="A1580" s="46">
        <f>'vHosts (Imported)'!A1580</f>
        <v>0</v>
      </c>
      <c r="B1580" s="51">
        <f t="shared" si="75"/>
        <v>4968</v>
      </c>
      <c r="C1580" s="49">
        <f>HLOOKUP("# Cores",'vHosts (Imported)'!$1:$5000,M1580,FALSE)</f>
        <v>0</v>
      </c>
      <c r="D1580" s="52">
        <f>HLOOKUP("# Memory",'vHosts (Imported)'!$1:$5000,M1580,FALSE)</f>
        <v>0</v>
      </c>
      <c r="M1580" s="45">
        <f t="shared" si="74"/>
        <v>1580</v>
      </c>
      <c r="N1580" s="38">
        <f>HLOOKUP("Host",'vInfo (Imported)'!$1:$5000,M1580,FALSE)</f>
        <v>0</v>
      </c>
      <c r="R1580">
        <f>HLOOKUP("CPUs",'vInfo (Imported)'!$1:$5000,M1580,FALSE)</f>
        <v>0</v>
      </c>
      <c r="S1580">
        <f>HLOOKUP("Memory",'vInfo (Imported)'!$1:$5000,M1580,FALSE)</f>
        <v>0</v>
      </c>
      <c r="T1580">
        <f>HLOOKUP("Provisioned MiB",'vInfo (Imported)'!$1:$5000,M1580,FALSE)</f>
        <v>0</v>
      </c>
      <c r="U1580">
        <f t="shared" si="73"/>
        <v>0</v>
      </c>
      <c r="V1580">
        <f>HLOOKUP("In Use MiB",'vInfo (Imported)'!$1:$5000,M1580,FALSE)</f>
        <v>0</v>
      </c>
    </row>
    <row r="1581" spans="1:22" ht="13" x14ac:dyDescent="0.3">
      <c r="A1581" s="46">
        <f>'vHosts (Imported)'!A1581</f>
        <v>0</v>
      </c>
      <c r="B1581" s="51">
        <f t="shared" si="75"/>
        <v>4968</v>
      </c>
      <c r="C1581" s="49">
        <f>HLOOKUP("# Cores",'vHosts (Imported)'!$1:$5000,M1581,FALSE)</f>
        <v>0</v>
      </c>
      <c r="D1581" s="52">
        <f>HLOOKUP("# Memory",'vHosts (Imported)'!$1:$5000,M1581,FALSE)</f>
        <v>0</v>
      </c>
      <c r="M1581" s="45">
        <f t="shared" si="74"/>
        <v>1581</v>
      </c>
      <c r="N1581" s="38">
        <f>HLOOKUP("Host",'vInfo (Imported)'!$1:$5000,M1581,FALSE)</f>
        <v>0</v>
      </c>
      <c r="R1581">
        <f>HLOOKUP("CPUs",'vInfo (Imported)'!$1:$5000,M1581,FALSE)</f>
        <v>0</v>
      </c>
      <c r="S1581">
        <f>HLOOKUP("Memory",'vInfo (Imported)'!$1:$5000,M1581,FALSE)</f>
        <v>0</v>
      </c>
      <c r="T1581">
        <f>HLOOKUP("Provisioned MiB",'vInfo (Imported)'!$1:$5000,M1581,FALSE)</f>
        <v>0</v>
      </c>
      <c r="U1581">
        <f t="shared" si="73"/>
        <v>0</v>
      </c>
      <c r="V1581">
        <f>HLOOKUP("In Use MiB",'vInfo (Imported)'!$1:$5000,M1581,FALSE)</f>
        <v>0</v>
      </c>
    </row>
    <row r="1582" spans="1:22" ht="13" x14ac:dyDescent="0.3">
      <c r="A1582" s="46">
        <f>'vHosts (Imported)'!A1582</f>
        <v>0</v>
      </c>
      <c r="B1582" s="51">
        <f t="shared" si="75"/>
        <v>4968</v>
      </c>
      <c r="C1582" s="49">
        <f>HLOOKUP("# Cores",'vHosts (Imported)'!$1:$5000,M1582,FALSE)</f>
        <v>0</v>
      </c>
      <c r="D1582" s="52">
        <f>HLOOKUP("# Memory",'vHosts (Imported)'!$1:$5000,M1582,FALSE)</f>
        <v>0</v>
      </c>
      <c r="M1582" s="45">
        <f t="shared" si="74"/>
        <v>1582</v>
      </c>
      <c r="N1582" s="38">
        <f>HLOOKUP("Host",'vInfo (Imported)'!$1:$5000,M1582,FALSE)</f>
        <v>0</v>
      </c>
      <c r="R1582">
        <f>HLOOKUP("CPUs",'vInfo (Imported)'!$1:$5000,M1582,FALSE)</f>
        <v>0</v>
      </c>
      <c r="S1582">
        <f>HLOOKUP("Memory",'vInfo (Imported)'!$1:$5000,M1582,FALSE)</f>
        <v>0</v>
      </c>
      <c r="T1582">
        <f>HLOOKUP("Provisioned MiB",'vInfo (Imported)'!$1:$5000,M1582,FALSE)</f>
        <v>0</v>
      </c>
      <c r="U1582">
        <f t="shared" si="73"/>
        <v>0</v>
      </c>
      <c r="V1582">
        <f>HLOOKUP("In Use MiB",'vInfo (Imported)'!$1:$5000,M1582,FALSE)</f>
        <v>0</v>
      </c>
    </row>
    <row r="1583" spans="1:22" ht="13" x14ac:dyDescent="0.3">
      <c r="A1583" s="46">
        <f>'vHosts (Imported)'!A1583</f>
        <v>0</v>
      </c>
      <c r="B1583" s="51">
        <f t="shared" si="75"/>
        <v>4968</v>
      </c>
      <c r="C1583" s="49">
        <f>HLOOKUP("# Cores",'vHosts (Imported)'!$1:$5000,M1583,FALSE)</f>
        <v>0</v>
      </c>
      <c r="D1583" s="52">
        <f>HLOOKUP("# Memory",'vHosts (Imported)'!$1:$5000,M1583,FALSE)</f>
        <v>0</v>
      </c>
      <c r="M1583" s="45">
        <f t="shared" si="74"/>
        <v>1583</v>
      </c>
      <c r="N1583" s="38">
        <f>HLOOKUP("Host",'vInfo (Imported)'!$1:$5000,M1583,FALSE)</f>
        <v>0</v>
      </c>
      <c r="R1583">
        <f>HLOOKUP("CPUs",'vInfo (Imported)'!$1:$5000,M1583,FALSE)</f>
        <v>0</v>
      </c>
      <c r="S1583">
        <f>HLOOKUP("Memory",'vInfo (Imported)'!$1:$5000,M1583,FALSE)</f>
        <v>0</v>
      </c>
      <c r="T1583">
        <f>HLOOKUP("Provisioned MiB",'vInfo (Imported)'!$1:$5000,M1583,FALSE)</f>
        <v>0</v>
      </c>
      <c r="U1583">
        <f t="shared" si="73"/>
        <v>0</v>
      </c>
      <c r="V1583">
        <f>HLOOKUP("In Use MiB",'vInfo (Imported)'!$1:$5000,M1583,FALSE)</f>
        <v>0</v>
      </c>
    </row>
    <row r="1584" spans="1:22" ht="13" x14ac:dyDescent="0.3">
      <c r="A1584" s="46">
        <f>'vHosts (Imported)'!A1584</f>
        <v>0</v>
      </c>
      <c r="B1584" s="51">
        <f t="shared" si="75"/>
        <v>4968</v>
      </c>
      <c r="C1584" s="49">
        <f>HLOOKUP("# Cores",'vHosts (Imported)'!$1:$5000,M1584,FALSE)</f>
        <v>0</v>
      </c>
      <c r="D1584" s="52">
        <f>HLOOKUP("# Memory",'vHosts (Imported)'!$1:$5000,M1584,FALSE)</f>
        <v>0</v>
      </c>
      <c r="M1584" s="45">
        <f t="shared" si="74"/>
        <v>1584</v>
      </c>
      <c r="N1584" s="38">
        <f>HLOOKUP("Host",'vInfo (Imported)'!$1:$5000,M1584,FALSE)</f>
        <v>0</v>
      </c>
      <c r="R1584">
        <f>HLOOKUP("CPUs",'vInfo (Imported)'!$1:$5000,M1584,FALSE)</f>
        <v>0</v>
      </c>
      <c r="S1584">
        <f>HLOOKUP("Memory",'vInfo (Imported)'!$1:$5000,M1584,FALSE)</f>
        <v>0</v>
      </c>
      <c r="T1584">
        <f>HLOOKUP("Provisioned MiB",'vInfo (Imported)'!$1:$5000,M1584,FALSE)</f>
        <v>0</v>
      </c>
      <c r="U1584">
        <f t="shared" si="73"/>
        <v>0</v>
      </c>
      <c r="V1584">
        <f>HLOOKUP("In Use MiB",'vInfo (Imported)'!$1:$5000,M1584,FALSE)</f>
        <v>0</v>
      </c>
    </row>
    <row r="1585" spans="1:22" ht="13" x14ac:dyDescent="0.3">
      <c r="A1585" s="46">
        <f>'vHosts (Imported)'!A1585</f>
        <v>0</v>
      </c>
      <c r="B1585" s="51">
        <f t="shared" si="75"/>
        <v>4968</v>
      </c>
      <c r="C1585" s="49">
        <f>HLOOKUP("# Cores",'vHosts (Imported)'!$1:$5000,M1585,FALSE)</f>
        <v>0</v>
      </c>
      <c r="D1585" s="52">
        <f>HLOOKUP("# Memory",'vHosts (Imported)'!$1:$5000,M1585,FALSE)</f>
        <v>0</v>
      </c>
      <c r="M1585" s="45">
        <f t="shared" si="74"/>
        <v>1585</v>
      </c>
      <c r="N1585" s="38">
        <f>HLOOKUP("Host",'vInfo (Imported)'!$1:$5000,M1585,FALSE)</f>
        <v>0</v>
      </c>
      <c r="R1585">
        <f>HLOOKUP("CPUs",'vInfo (Imported)'!$1:$5000,M1585,FALSE)</f>
        <v>0</v>
      </c>
      <c r="S1585">
        <f>HLOOKUP("Memory",'vInfo (Imported)'!$1:$5000,M1585,FALSE)</f>
        <v>0</v>
      </c>
      <c r="T1585">
        <f>HLOOKUP("Provisioned MiB",'vInfo (Imported)'!$1:$5000,M1585,FALSE)</f>
        <v>0</v>
      </c>
      <c r="U1585">
        <f t="shared" si="73"/>
        <v>0</v>
      </c>
      <c r="V1585">
        <f>HLOOKUP("In Use MiB",'vInfo (Imported)'!$1:$5000,M1585,FALSE)</f>
        <v>0</v>
      </c>
    </row>
    <row r="1586" spans="1:22" ht="13" x14ac:dyDescent="0.3">
      <c r="A1586" s="46">
        <f>'vHosts (Imported)'!A1586</f>
        <v>0</v>
      </c>
      <c r="B1586" s="51">
        <f t="shared" si="75"/>
        <v>4968</v>
      </c>
      <c r="C1586" s="49">
        <f>HLOOKUP("# Cores",'vHosts (Imported)'!$1:$5000,M1586,FALSE)</f>
        <v>0</v>
      </c>
      <c r="D1586" s="52">
        <f>HLOOKUP("# Memory",'vHosts (Imported)'!$1:$5000,M1586,FALSE)</f>
        <v>0</v>
      </c>
      <c r="M1586" s="45">
        <f t="shared" si="74"/>
        <v>1586</v>
      </c>
      <c r="N1586" s="38">
        <f>HLOOKUP("Host",'vInfo (Imported)'!$1:$5000,M1586,FALSE)</f>
        <v>0</v>
      </c>
      <c r="R1586">
        <f>HLOOKUP("CPUs",'vInfo (Imported)'!$1:$5000,M1586,FALSE)</f>
        <v>0</v>
      </c>
      <c r="S1586">
        <f>HLOOKUP("Memory",'vInfo (Imported)'!$1:$5000,M1586,FALSE)</f>
        <v>0</v>
      </c>
      <c r="T1586">
        <f>HLOOKUP("Provisioned MiB",'vInfo (Imported)'!$1:$5000,M1586,FALSE)</f>
        <v>0</v>
      </c>
      <c r="U1586">
        <f t="shared" si="73"/>
        <v>0</v>
      </c>
      <c r="V1586">
        <f>HLOOKUP("In Use MiB",'vInfo (Imported)'!$1:$5000,M1586,FALSE)</f>
        <v>0</v>
      </c>
    </row>
    <row r="1587" spans="1:22" ht="13" x14ac:dyDescent="0.3">
      <c r="A1587" s="46">
        <f>'vHosts (Imported)'!A1587</f>
        <v>0</v>
      </c>
      <c r="B1587" s="51">
        <f t="shared" si="75"/>
        <v>4968</v>
      </c>
      <c r="C1587" s="49">
        <f>HLOOKUP("# Cores",'vHosts (Imported)'!$1:$5000,M1587,FALSE)</f>
        <v>0</v>
      </c>
      <c r="D1587" s="52">
        <f>HLOOKUP("# Memory",'vHosts (Imported)'!$1:$5000,M1587,FALSE)</f>
        <v>0</v>
      </c>
      <c r="M1587" s="45">
        <f t="shared" si="74"/>
        <v>1587</v>
      </c>
      <c r="N1587" s="38">
        <f>HLOOKUP("Host",'vInfo (Imported)'!$1:$5000,M1587,FALSE)</f>
        <v>0</v>
      </c>
      <c r="R1587">
        <f>HLOOKUP("CPUs",'vInfo (Imported)'!$1:$5000,M1587,FALSE)</f>
        <v>0</v>
      </c>
      <c r="S1587">
        <f>HLOOKUP("Memory",'vInfo (Imported)'!$1:$5000,M1587,FALSE)</f>
        <v>0</v>
      </c>
      <c r="T1587">
        <f>HLOOKUP("Provisioned MiB",'vInfo (Imported)'!$1:$5000,M1587,FALSE)</f>
        <v>0</v>
      </c>
      <c r="U1587">
        <f t="shared" si="73"/>
        <v>0</v>
      </c>
      <c r="V1587">
        <f>HLOOKUP("In Use MiB",'vInfo (Imported)'!$1:$5000,M1587,FALSE)</f>
        <v>0</v>
      </c>
    </row>
    <row r="1588" spans="1:22" ht="13" x14ac:dyDescent="0.3">
      <c r="A1588" s="46">
        <f>'vHosts (Imported)'!A1588</f>
        <v>0</v>
      </c>
      <c r="B1588" s="51">
        <f t="shared" si="75"/>
        <v>4968</v>
      </c>
      <c r="C1588" s="49">
        <f>HLOOKUP("# Cores",'vHosts (Imported)'!$1:$5000,M1588,FALSE)</f>
        <v>0</v>
      </c>
      <c r="D1588" s="52">
        <f>HLOOKUP("# Memory",'vHosts (Imported)'!$1:$5000,M1588,FALSE)</f>
        <v>0</v>
      </c>
      <c r="M1588" s="45">
        <f t="shared" si="74"/>
        <v>1588</v>
      </c>
      <c r="N1588" s="38">
        <f>HLOOKUP("Host",'vInfo (Imported)'!$1:$5000,M1588,FALSE)</f>
        <v>0</v>
      </c>
      <c r="R1588">
        <f>HLOOKUP("CPUs",'vInfo (Imported)'!$1:$5000,M1588,FALSE)</f>
        <v>0</v>
      </c>
      <c r="S1588">
        <f>HLOOKUP("Memory",'vInfo (Imported)'!$1:$5000,M1588,FALSE)</f>
        <v>0</v>
      </c>
      <c r="T1588">
        <f>HLOOKUP("Provisioned MiB",'vInfo (Imported)'!$1:$5000,M1588,FALSE)</f>
        <v>0</v>
      </c>
      <c r="U1588">
        <f t="shared" si="73"/>
        <v>0</v>
      </c>
      <c r="V1588">
        <f>HLOOKUP("In Use MiB",'vInfo (Imported)'!$1:$5000,M1588,FALSE)</f>
        <v>0</v>
      </c>
    </row>
    <row r="1589" spans="1:22" ht="13" x14ac:dyDescent="0.3">
      <c r="A1589" s="46">
        <f>'vHosts (Imported)'!A1589</f>
        <v>0</v>
      </c>
      <c r="B1589" s="51">
        <f t="shared" si="75"/>
        <v>4968</v>
      </c>
      <c r="C1589" s="49">
        <f>HLOOKUP("# Cores",'vHosts (Imported)'!$1:$5000,M1589,FALSE)</f>
        <v>0</v>
      </c>
      <c r="D1589" s="52">
        <f>HLOOKUP("# Memory",'vHosts (Imported)'!$1:$5000,M1589,FALSE)</f>
        <v>0</v>
      </c>
      <c r="M1589" s="45">
        <f t="shared" si="74"/>
        <v>1589</v>
      </c>
      <c r="N1589" s="38">
        <f>HLOOKUP("Host",'vInfo (Imported)'!$1:$5000,M1589,FALSE)</f>
        <v>0</v>
      </c>
      <c r="R1589">
        <f>HLOOKUP("CPUs",'vInfo (Imported)'!$1:$5000,M1589,FALSE)</f>
        <v>0</v>
      </c>
      <c r="S1589">
        <f>HLOOKUP("Memory",'vInfo (Imported)'!$1:$5000,M1589,FALSE)</f>
        <v>0</v>
      </c>
      <c r="T1589">
        <f>HLOOKUP("Provisioned MiB",'vInfo (Imported)'!$1:$5000,M1589,FALSE)</f>
        <v>0</v>
      </c>
      <c r="U1589">
        <f t="shared" si="73"/>
        <v>0</v>
      </c>
      <c r="V1589">
        <f>HLOOKUP("In Use MiB",'vInfo (Imported)'!$1:$5000,M1589,FALSE)</f>
        <v>0</v>
      </c>
    </row>
    <row r="1590" spans="1:22" ht="13" x14ac:dyDescent="0.3">
      <c r="A1590" s="46">
        <f>'vHosts (Imported)'!A1590</f>
        <v>0</v>
      </c>
      <c r="B1590" s="51">
        <f t="shared" si="75"/>
        <v>4968</v>
      </c>
      <c r="C1590" s="49">
        <f>HLOOKUP("# Cores",'vHosts (Imported)'!$1:$5000,M1590,FALSE)</f>
        <v>0</v>
      </c>
      <c r="D1590" s="52">
        <f>HLOOKUP("# Memory",'vHosts (Imported)'!$1:$5000,M1590,FALSE)</f>
        <v>0</v>
      </c>
      <c r="M1590" s="45">
        <f t="shared" si="74"/>
        <v>1590</v>
      </c>
      <c r="N1590" s="38">
        <f>HLOOKUP("Host",'vInfo (Imported)'!$1:$5000,M1590,FALSE)</f>
        <v>0</v>
      </c>
      <c r="R1590">
        <f>HLOOKUP("CPUs",'vInfo (Imported)'!$1:$5000,M1590,FALSE)</f>
        <v>0</v>
      </c>
      <c r="S1590">
        <f>HLOOKUP("Memory",'vInfo (Imported)'!$1:$5000,M1590,FALSE)</f>
        <v>0</v>
      </c>
      <c r="T1590">
        <f>HLOOKUP("Provisioned MiB",'vInfo (Imported)'!$1:$5000,M1590,FALSE)</f>
        <v>0</v>
      </c>
      <c r="U1590">
        <f t="shared" si="73"/>
        <v>0</v>
      </c>
      <c r="V1590">
        <f>HLOOKUP("In Use MiB",'vInfo (Imported)'!$1:$5000,M1590,FALSE)</f>
        <v>0</v>
      </c>
    </row>
    <row r="1591" spans="1:22" ht="13" x14ac:dyDescent="0.3">
      <c r="A1591" s="46">
        <f>'vHosts (Imported)'!A1591</f>
        <v>0</v>
      </c>
      <c r="B1591" s="51">
        <f t="shared" si="75"/>
        <v>4968</v>
      </c>
      <c r="C1591" s="49">
        <f>HLOOKUP("# Cores",'vHosts (Imported)'!$1:$5000,M1591,FALSE)</f>
        <v>0</v>
      </c>
      <c r="D1591" s="52">
        <f>HLOOKUP("# Memory",'vHosts (Imported)'!$1:$5000,M1591,FALSE)</f>
        <v>0</v>
      </c>
      <c r="M1591" s="45">
        <f t="shared" si="74"/>
        <v>1591</v>
      </c>
      <c r="N1591" s="38">
        <f>HLOOKUP("Host",'vInfo (Imported)'!$1:$5000,M1591,FALSE)</f>
        <v>0</v>
      </c>
      <c r="R1591">
        <f>HLOOKUP("CPUs",'vInfo (Imported)'!$1:$5000,M1591,FALSE)</f>
        <v>0</v>
      </c>
      <c r="S1591">
        <f>HLOOKUP("Memory",'vInfo (Imported)'!$1:$5000,M1591,FALSE)</f>
        <v>0</v>
      </c>
      <c r="T1591">
        <f>HLOOKUP("Provisioned MiB",'vInfo (Imported)'!$1:$5000,M1591,FALSE)</f>
        <v>0</v>
      </c>
      <c r="U1591">
        <f t="shared" si="73"/>
        <v>0</v>
      </c>
      <c r="V1591">
        <f>HLOOKUP("In Use MiB",'vInfo (Imported)'!$1:$5000,M1591,FALSE)</f>
        <v>0</v>
      </c>
    </row>
    <row r="1592" spans="1:22" ht="13" x14ac:dyDescent="0.3">
      <c r="A1592" s="46">
        <f>'vHosts (Imported)'!A1592</f>
        <v>0</v>
      </c>
      <c r="B1592" s="51">
        <f t="shared" si="75"/>
        <v>4968</v>
      </c>
      <c r="C1592" s="49">
        <f>HLOOKUP("# Cores",'vHosts (Imported)'!$1:$5000,M1592,FALSE)</f>
        <v>0</v>
      </c>
      <c r="D1592" s="52">
        <f>HLOOKUP("# Memory",'vHosts (Imported)'!$1:$5000,M1592,FALSE)</f>
        <v>0</v>
      </c>
      <c r="M1592" s="45">
        <f t="shared" si="74"/>
        <v>1592</v>
      </c>
      <c r="N1592" s="38">
        <f>HLOOKUP("Host",'vInfo (Imported)'!$1:$5000,M1592,FALSE)</f>
        <v>0</v>
      </c>
      <c r="R1592">
        <f>HLOOKUP("CPUs",'vInfo (Imported)'!$1:$5000,M1592,FALSE)</f>
        <v>0</v>
      </c>
      <c r="S1592">
        <f>HLOOKUP("Memory",'vInfo (Imported)'!$1:$5000,M1592,FALSE)</f>
        <v>0</v>
      </c>
      <c r="T1592">
        <f>HLOOKUP("Provisioned MiB",'vInfo (Imported)'!$1:$5000,M1592,FALSE)</f>
        <v>0</v>
      </c>
      <c r="U1592">
        <f t="shared" si="73"/>
        <v>0</v>
      </c>
      <c r="V1592">
        <f>HLOOKUP("In Use MiB",'vInfo (Imported)'!$1:$5000,M1592,FALSE)</f>
        <v>0</v>
      </c>
    </row>
    <row r="1593" spans="1:22" ht="13" x14ac:dyDescent="0.3">
      <c r="A1593" s="46">
        <f>'vHosts (Imported)'!A1593</f>
        <v>0</v>
      </c>
      <c r="B1593" s="51">
        <f t="shared" si="75"/>
        <v>4968</v>
      </c>
      <c r="C1593" s="49">
        <f>HLOOKUP("# Cores",'vHosts (Imported)'!$1:$5000,M1593,FALSE)</f>
        <v>0</v>
      </c>
      <c r="D1593" s="52">
        <f>HLOOKUP("# Memory",'vHosts (Imported)'!$1:$5000,M1593,FALSE)</f>
        <v>0</v>
      </c>
      <c r="M1593" s="45">
        <f t="shared" si="74"/>
        <v>1593</v>
      </c>
      <c r="N1593" s="38">
        <f>HLOOKUP("Host",'vInfo (Imported)'!$1:$5000,M1593,FALSE)</f>
        <v>0</v>
      </c>
      <c r="R1593">
        <f>HLOOKUP("CPUs",'vInfo (Imported)'!$1:$5000,M1593,FALSE)</f>
        <v>0</v>
      </c>
      <c r="S1593">
        <f>HLOOKUP("Memory",'vInfo (Imported)'!$1:$5000,M1593,FALSE)</f>
        <v>0</v>
      </c>
      <c r="T1593">
        <f>HLOOKUP("Provisioned MiB",'vInfo (Imported)'!$1:$5000,M1593,FALSE)</f>
        <v>0</v>
      </c>
      <c r="U1593">
        <f t="shared" si="73"/>
        <v>0</v>
      </c>
      <c r="V1593">
        <f>HLOOKUP("In Use MiB",'vInfo (Imported)'!$1:$5000,M1593,FALSE)</f>
        <v>0</v>
      </c>
    </row>
    <row r="1594" spans="1:22" ht="13" x14ac:dyDescent="0.3">
      <c r="A1594" s="46">
        <f>'vHosts (Imported)'!A1594</f>
        <v>0</v>
      </c>
      <c r="B1594" s="51">
        <f t="shared" si="75"/>
        <v>4968</v>
      </c>
      <c r="C1594" s="49">
        <f>HLOOKUP("# Cores",'vHosts (Imported)'!$1:$5000,M1594,FALSE)</f>
        <v>0</v>
      </c>
      <c r="D1594" s="52">
        <f>HLOOKUP("# Memory",'vHosts (Imported)'!$1:$5000,M1594,FALSE)</f>
        <v>0</v>
      </c>
      <c r="M1594" s="45">
        <f t="shared" si="74"/>
        <v>1594</v>
      </c>
      <c r="N1594" s="38">
        <f>HLOOKUP("Host",'vInfo (Imported)'!$1:$5000,M1594,FALSE)</f>
        <v>0</v>
      </c>
      <c r="R1594">
        <f>HLOOKUP("CPUs",'vInfo (Imported)'!$1:$5000,M1594,FALSE)</f>
        <v>0</v>
      </c>
      <c r="S1594">
        <f>HLOOKUP("Memory",'vInfo (Imported)'!$1:$5000,M1594,FALSE)</f>
        <v>0</v>
      </c>
      <c r="T1594">
        <f>HLOOKUP("Provisioned MiB",'vInfo (Imported)'!$1:$5000,M1594,FALSE)</f>
        <v>0</v>
      </c>
      <c r="U1594">
        <f t="shared" si="73"/>
        <v>0</v>
      </c>
      <c r="V1594">
        <f>HLOOKUP("In Use MiB",'vInfo (Imported)'!$1:$5000,M1594,FALSE)</f>
        <v>0</v>
      </c>
    </row>
    <row r="1595" spans="1:22" ht="13" x14ac:dyDescent="0.3">
      <c r="A1595" s="46">
        <f>'vHosts (Imported)'!A1595</f>
        <v>0</v>
      </c>
      <c r="B1595" s="51">
        <f t="shared" si="75"/>
        <v>4968</v>
      </c>
      <c r="C1595" s="49">
        <f>HLOOKUP("# Cores",'vHosts (Imported)'!$1:$5000,M1595,FALSE)</f>
        <v>0</v>
      </c>
      <c r="D1595" s="52">
        <f>HLOOKUP("# Memory",'vHosts (Imported)'!$1:$5000,M1595,FALSE)</f>
        <v>0</v>
      </c>
      <c r="M1595" s="45">
        <f t="shared" si="74"/>
        <v>1595</v>
      </c>
      <c r="N1595" s="38">
        <f>HLOOKUP("Host",'vInfo (Imported)'!$1:$5000,M1595,FALSE)</f>
        <v>0</v>
      </c>
      <c r="R1595">
        <f>HLOOKUP("CPUs",'vInfo (Imported)'!$1:$5000,M1595,FALSE)</f>
        <v>0</v>
      </c>
      <c r="S1595">
        <f>HLOOKUP("Memory",'vInfo (Imported)'!$1:$5000,M1595,FALSE)</f>
        <v>0</v>
      </c>
      <c r="T1595">
        <f>HLOOKUP("Provisioned MiB",'vInfo (Imported)'!$1:$5000,M1595,FALSE)</f>
        <v>0</v>
      </c>
      <c r="U1595">
        <f t="shared" si="73"/>
        <v>0</v>
      </c>
      <c r="V1595">
        <f>HLOOKUP("In Use MiB",'vInfo (Imported)'!$1:$5000,M1595,FALSE)</f>
        <v>0</v>
      </c>
    </row>
    <row r="1596" spans="1:22" ht="13" x14ac:dyDescent="0.3">
      <c r="A1596" s="46">
        <f>'vHosts (Imported)'!A1596</f>
        <v>0</v>
      </c>
      <c r="B1596" s="51">
        <f t="shared" si="75"/>
        <v>4968</v>
      </c>
      <c r="C1596" s="49">
        <f>HLOOKUP("# Cores",'vHosts (Imported)'!$1:$5000,M1596,FALSE)</f>
        <v>0</v>
      </c>
      <c r="D1596" s="52">
        <f>HLOOKUP("# Memory",'vHosts (Imported)'!$1:$5000,M1596,FALSE)</f>
        <v>0</v>
      </c>
      <c r="M1596" s="45">
        <f t="shared" si="74"/>
        <v>1596</v>
      </c>
      <c r="N1596" s="38">
        <f>HLOOKUP("Host",'vInfo (Imported)'!$1:$5000,M1596,FALSE)</f>
        <v>0</v>
      </c>
      <c r="R1596">
        <f>HLOOKUP("CPUs",'vInfo (Imported)'!$1:$5000,M1596,FALSE)</f>
        <v>0</v>
      </c>
      <c r="S1596">
        <f>HLOOKUP("Memory",'vInfo (Imported)'!$1:$5000,M1596,FALSE)</f>
        <v>0</v>
      </c>
      <c r="T1596">
        <f>HLOOKUP("Provisioned MiB",'vInfo (Imported)'!$1:$5000,M1596,FALSE)</f>
        <v>0</v>
      </c>
      <c r="U1596">
        <f t="shared" si="73"/>
        <v>0</v>
      </c>
      <c r="V1596">
        <f>HLOOKUP("In Use MiB",'vInfo (Imported)'!$1:$5000,M1596,FALSE)</f>
        <v>0</v>
      </c>
    </row>
    <row r="1597" spans="1:22" ht="13" x14ac:dyDescent="0.3">
      <c r="A1597" s="46">
        <f>'vHosts (Imported)'!A1597</f>
        <v>0</v>
      </c>
      <c r="B1597" s="51">
        <f t="shared" si="75"/>
        <v>4968</v>
      </c>
      <c r="C1597" s="49">
        <f>HLOOKUP("# Cores",'vHosts (Imported)'!$1:$5000,M1597,FALSE)</f>
        <v>0</v>
      </c>
      <c r="D1597" s="52">
        <f>HLOOKUP("# Memory",'vHosts (Imported)'!$1:$5000,M1597,FALSE)</f>
        <v>0</v>
      </c>
      <c r="M1597" s="45">
        <f t="shared" si="74"/>
        <v>1597</v>
      </c>
      <c r="N1597" s="38">
        <f>HLOOKUP("Host",'vInfo (Imported)'!$1:$5000,M1597,FALSE)</f>
        <v>0</v>
      </c>
      <c r="R1597">
        <f>HLOOKUP("CPUs",'vInfo (Imported)'!$1:$5000,M1597,FALSE)</f>
        <v>0</v>
      </c>
      <c r="S1597">
        <f>HLOOKUP("Memory",'vInfo (Imported)'!$1:$5000,M1597,FALSE)</f>
        <v>0</v>
      </c>
      <c r="T1597">
        <f>HLOOKUP("Provisioned MiB",'vInfo (Imported)'!$1:$5000,M1597,FALSE)</f>
        <v>0</v>
      </c>
      <c r="U1597">
        <f t="shared" si="73"/>
        <v>0</v>
      </c>
      <c r="V1597">
        <f>HLOOKUP("In Use MiB",'vInfo (Imported)'!$1:$5000,M1597,FALSE)</f>
        <v>0</v>
      </c>
    </row>
    <row r="1598" spans="1:22" ht="13" x14ac:dyDescent="0.3">
      <c r="A1598" s="46">
        <f>'vHosts (Imported)'!A1598</f>
        <v>0</v>
      </c>
      <c r="B1598" s="51">
        <f t="shared" si="75"/>
        <v>4968</v>
      </c>
      <c r="C1598" s="49">
        <f>HLOOKUP("# Cores",'vHosts (Imported)'!$1:$5000,M1598,FALSE)</f>
        <v>0</v>
      </c>
      <c r="D1598" s="52">
        <f>HLOOKUP("# Memory",'vHosts (Imported)'!$1:$5000,M1598,FALSE)</f>
        <v>0</v>
      </c>
      <c r="M1598" s="45">
        <f t="shared" si="74"/>
        <v>1598</v>
      </c>
      <c r="N1598" s="38">
        <f>HLOOKUP("Host",'vInfo (Imported)'!$1:$5000,M1598,FALSE)</f>
        <v>0</v>
      </c>
      <c r="R1598">
        <f>HLOOKUP("CPUs",'vInfo (Imported)'!$1:$5000,M1598,FALSE)</f>
        <v>0</v>
      </c>
      <c r="S1598">
        <f>HLOOKUP("Memory",'vInfo (Imported)'!$1:$5000,M1598,FALSE)</f>
        <v>0</v>
      </c>
      <c r="T1598">
        <f>HLOOKUP("Provisioned MiB",'vInfo (Imported)'!$1:$5000,M1598,FALSE)</f>
        <v>0</v>
      </c>
      <c r="U1598">
        <f t="shared" si="73"/>
        <v>0</v>
      </c>
      <c r="V1598">
        <f>HLOOKUP("In Use MiB",'vInfo (Imported)'!$1:$5000,M1598,FALSE)</f>
        <v>0</v>
      </c>
    </row>
    <row r="1599" spans="1:22" ht="13" x14ac:dyDescent="0.3">
      <c r="A1599" s="46">
        <f>'vHosts (Imported)'!A1599</f>
        <v>0</v>
      </c>
      <c r="B1599" s="51">
        <f t="shared" si="75"/>
        <v>4968</v>
      </c>
      <c r="C1599" s="49">
        <f>HLOOKUP("# Cores",'vHosts (Imported)'!$1:$5000,M1599,FALSE)</f>
        <v>0</v>
      </c>
      <c r="D1599" s="52">
        <f>HLOOKUP("# Memory",'vHosts (Imported)'!$1:$5000,M1599,FALSE)</f>
        <v>0</v>
      </c>
      <c r="M1599" s="45">
        <f t="shared" si="74"/>
        <v>1599</v>
      </c>
      <c r="N1599" s="38">
        <f>HLOOKUP("Host",'vInfo (Imported)'!$1:$5000,M1599,FALSE)</f>
        <v>0</v>
      </c>
      <c r="R1599">
        <f>HLOOKUP("CPUs",'vInfo (Imported)'!$1:$5000,M1599,FALSE)</f>
        <v>0</v>
      </c>
      <c r="S1599">
        <f>HLOOKUP("Memory",'vInfo (Imported)'!$1:$5000,M1599,FALSE)</f>
        <v>0</v>
      </c>
      <c r="T1599">
        <f>HLOOKUP("Provisioned MiB",'vInfo (Imported)'!$1:$5000,M1599,FALSE)</f>
        <v>0</v>
      </c>
      <c r="U1599">
        <f t="shared" si="73"/>
        <v>0</v>
      </c>
      <c r="V1599">
        <f>HLOOKUP("In Use MiB",'vInfo (Imported)'!$1:$5000,M1599,FALSE)</f>
        <v>0</v>
      </c>
    </row>
    <row r="1600" spans="1:22" ht="13" x14ac:dyDescent="0.3">
      <c r="A1600" s="46">
        <f>'vHosts (Imported)'!A1600</f>
        <v>0</v>
      </c>
      <c r="B1600" s="51">
        <f t="shared" si="75"/>
        <v>4968</v>
      </c>
      <c r="C1600" s="49">
        <f>HLOOKUP("# Cores",'vHosts (Imported)'!$1:$5000,M1600,FALSE)</f>
        <v>0</v>
      </c>
      <c r="D1600" s="52">
        <f>HLOOKUP("# Memory",'vHosts (Imported)'!$1:$5000,M1600,FALSE)</f>
        <v>0</v>
      </c>
      <c r="M1600" s="45">
        <f t="shared" si="74"/>
        <v>1600</v>
      </c>
      <c r="N1600" s="38">
        <f>HLOOKUP("Host",'vInfo (Imported)'!$1:$5000,M1600,FALSE)</f>
        <v>0</v>
      </c>
      <c r="R1600">
        <f>HLOOKUP("CPUs",'vInfo (Imported)'!$1:$5000,M1600,FALSE)</f>
        <v>0</v>
      </c>
      <c r="S1600">
        <f>HLOOKUP("Memory",'vInfo (Imported)'!$1:$5000,M1600,FALSE)</f>
        <v>0</v>
      </c>
      <c r="T1600">
        <f>HLOOKUP("Provisioned MiB",'vInfo (Imported)'!$1:$5000,M1600,FALSE)</f>
        <v>0</v>
      </c>
      <c r="U1600">
        <f t="shared" si="73"/>
        <v>0</v>
      </c>
      <c r="V1600">
        <f>HLOOKUP("In Use MiB",'vInfo (Imported)'!$1:$5000,M1600,FALSE)</f>
        <v>0</v>
      </c>
    </row>
    <row r="1601" spans="1:22" ht="13" x14ac:dyDescent="0.3">
      <c r="A1601" s="46">
        <f>'vHosts (Imported)'!A1601</f>
        <v>0</v>
      </c>
      <c r="B1601" s="51">
        <f t="shared" si="75"/>
        <v>4968</v>
      </c>
      <c r="C1601" s="49">
        <f>HLOOKUP("# Cores",'vHosts (Imported)'!$1:$5000,M1601,FALSE)</f>
        <v>0</v>
      </c>
      <c r="D1601" s="52">
        <f>HLOOKUP("# Memory",'vHosts (Imported)'!$1:$5000,M1601,FALSE)</f>
        <v>0</v>
      </c>
      <c r="M1601" s="45">
        <f t="shared" si="74"/>
        <v>1601</v>
      </c>
      <c r="N1601" s="38">
        <f>HLOOKUP("Host",'vInfo (Imported)'!$1:$5000,M1601,FALSE)</f>
        <v>0</v>
      </c>
      <c r="R1601">
        <f>HLOOKUP("CPUs",'vInfo (Imported)'!$1:$5000,M1601,FALSE)</f>
        <v>0</v>
      </c>
      <c r="S1601">
        <f>HLOOKUP("Memory",'vInfo (Imported)'!$1:$5000,M1601,FALSE)</f>
        <v>0</v>
      </c>
      <c r="T1601">
        <f>HLOOKUP("Provisioned MiB",'vInfo (Imported)'!$1:$5000,M1601,FALSE)</f>
        <v>0</v>
      </c>
      <c r="U1601">
        <f t="shared" si="73"/>
        <v>0</v>
      </c>
      <c r="V1601">
        <f>HLOOKUP("In Use MiB",'vInfo (Imported)'!$1:$5000,M1601,FALSE)</f>
        <v>0</v>
      </c>
    </row>
    <row r="1602" spans="1:22" ht="13" x14ac:dyDescent="0.3">
      <c r="A1602" s="46">
        <f>'vHosts (Imported)'!A1602</f>
        <v>0</v>
      </c>
      <c r="B1602" s="51">
        <f t="shared" si="75"/>
        <v>4968</v>
      </c>
      <c r="C1602" s="49">
        <f>HLOOKUP("# Cores",'vHosts (Imported)'!$1:$5000,M1602,FALSE)</f>
        <v>0</v>
      </c>
      <c r="D1602" s="52">
        <f>HLOOKUP("# Memory",'vHosts (Imported)'!$1:$5000,M1602,FALSE)</f>
        <v>0</v>
      </c>
      <c r="M1602" s="45">
        <f t="shared" si="74"/>
        <v>1602</v>
      </c>
      <c r="N1602" s="38">
        <f>HLOOKUP("Host",'vInfo (Imported)'!$1:$5000,M1602,FALSE)</f>
        <v>0</v>
      </c>
      <c r="R1602">
        <f>HLOOKUP("CPUs",'vInfo (Imported)'!$1:$5000,M1602,FALSE)</f>
        <v>0</v>
      </c>
      <c r="S1602">
        <f>HLOOKUP("Memory",'vInfo (Imported)'!$1:$5000,M1602,FALSE)</f>
        <v>0</v>
      </c>
      <c r="T1602">
        <f>HLOOKUP("Provisioned MiB",'vInfo (Imported)'!$1:$5000,M1602,FALSE)</f>
        <v>0</v>
      </c>
      <c r="U1602">
        <f t="shared" si="73"/>
        <v>0</v>
      </c>
      <c r="V1602">
        <f>HLOOKUP("In Use MiB",'vInfo (Imported)'!$1:$5000,M1602,FALSE)</f>
        <v>0</v>
      </c>
    </row>
    <row r="1603" spans="1:22" ht="13" x14ac:dyDescent="0.3">
      <c r="A1603" s="46">
        <f>'vHosts (Imported)'!A1603</f>
        <v>0</v>
      </c>
      <c r="B1603" s="51">
        <f t="shared" si="75"/>
        <v>4968</v>
      </c>
      <c r="C1603" s="49">
        <f>HLOOKUP("# Cores",'vHosts (Imported)'!$1:$5000,M1603,FALSE)</f>
        <v>0</v>
      </c>
      <c r="D1603" s="52">
        <f>HLOOKUP("# Memory",'vHosts (Imported)'!$1:$5000,M1603,FALSE)</f>
        <v>0</v>
      </c>
      <c r="M1603" s="45">
        <f t="shared" si="74"/>
        <v>1603</v>
      </c>
      <c r="N1603" s="38">
        <f>HLOOKUP("Host",'vInfo (Imported)'!$1:$5000,M1603,FALSE)</f>
        <v>0</v>
      </c>
      <c r="R1603">
        <f>HLOOKUP("CPUs",'vInfo (Imported)'!$1:$5000,M1603,FALSE)</f>
        <v>0</v>
      </c>
      <c r="S1603">
        <f>HLOOKUP("Memory",'vInfo (Imported)'!$1:$5000,M1603,FALSE)</f>
        <v>0</v>
      </c>
      <c r="T1603">
        <f>HLOOKUP("Provisioned MiB",'vInfo (Imported)'!$1:$5000,M1603,FALSE)</f>
        <v>0</v>
      </c>
      <c r="U1603">
        <f t="shared" ref="U1603:U1666" si="76">T1603-V1603</f>
        <v>0</v>
      </c>
      <c r="V1603">
        <f>HLOOKUP("In Use MiB",'vInfo (Imported)'!$1:$5000,M1603,FALSE)</f>
        <v>0</v>
      </c>
    </row>
    <row r="1604" spans="1:22" ht="13" x14ac:dyDescent="0.3">
      <c r="A1604" s="46">
        <f>'vHosts (Imported)'!A1604</f>
        <v>0</v>
      </c>
      <c r="B1604" s="51">
        <f t="shared" si="75"/>
        <v>4968</v>
      </c>
      <c r="C1604" s="49">
        <f>HLOOKUP("# Cores",'vHosts (Imported)'!$1:$5000,M1604,FALSE)</f>
        <v>0</v>
      </c>
      <c r="D1604" s="52">
        <f>HLOOKUP("# Memory",'vHosts (Imported)'!$1:$5000,M1604,FALSE)</f>
        <v>0</v>
      </c>
      <c r="M1604" s="45">
        <f t="shared" ref="M1604:M1667" si="77">M1603+1</f>
        <v>1604</v>
      </c>
      <c r="N1604" s="38">
        <f>HLOOKUP("Host",'vInfo (Imported)'!$1:$5000,M1604,FALSE)</f>
        <v>0</v>
      </c>
      <c r="R1604">
        <f>HLOOKUP("CPUs",'vInfo (Imported)'!$1:$5000,M1604,FALSE)</f>
        <v>0</v>
      </c>
      <c r="S1604">
        <f>HLOOKUP("Memory",'vInfo (Imported)'!$1:$5000,M1604,FALSE)</f>
        <v>0</v>
      </c>
      <c r="T1604">
        <f>HLOOKUP("Provisioned MiB",'vInfo (Imported)'!$1:$5000,M1604,FALSE)</f>
        <v>0</v>
      </c>
      <c r="U1604">
        <f t="shared" si="76"/>
        <v>0</v>
      </c>
      <c r="V1604">
        <f>HLOOKUP("In Use MiB",'vInfo (Imported)'!$1:$5000,M1604,FALSE)</f>
        <v>0</v>
      </c>
    </row>
    <row r="1605" spans="1:22" ht="13" x14ac:dyDescent="0.3">
      <c r="A1605" s="46">
        <f>'vHosts (Imported)'!A1605</f>
        <v>0</v>
      </c>
      <c r="B1605" s="51">
        <f t="shared" si="75"/>
        <v>4968</v>
      </c>
      <c r="C1605" s="49">
        <f>HLOOKUP("# Cores",'vHosts (Imported)'!$1:$5000,M1605,FALSE)</f>
        <v>0</v>
      </c>
      <c r="D1605" s="52">
        <f>HLOOKUP("# Memory",'vHosts (Imported)'!$1:$5000,M1605,FALSE)</f>
        <v>0</v>
      </c>
      <c r="M1605" s="45">
        <f t="shared" si="77"/>
        <v>1605</v>
      </c>
      <c r="N1605" s="38">
        <f>HLOOKUP("Host",'vInfo (Imported)'!$1:$5000,M1605,FALSE)</f>
        <v>0</v>
      </c>
      <c r="R1605">
        <f>HLOOKUP("CPUs",'vInfo (Imported)'!$1:$5000,M1605,FALSE)</f>
        <v>0</v>
      </c>
      <c r="S1605">
        <f>HLOOKUP("Memory",'vInfo (Imported)'!$1:$5000,M1605,FALSE)</f>
        <v>0</v>
      </c>
      <c r="T1605">
        <f>HLOOKUP("Provisioned MiB",'vInfo (Imported)'!$1:$5000,M1605,FALSE)</f>
        <v>0</v>
      </c>
      <c r="U1605">
        <f t="shared" si="76"/>
        <v>0</v>
      </c>
      <c r="V1605">
        <f>HLOOKUP("In Use MiB",'vInfo (Imported)'!$1:$5000,M1605,FALSE)</f>
        <v>0</v>
      </c>
    </row>
    <row r="1606" spans="1:22" ht="13" x14ac:dyDescent="0.3">
      <c r="A1606" s="46">
        <f>'vHosts (Imported)'!A1606</f>
        <v>0</v>
      </c>
      <c r="B1606" s="51">
        <f t="shared" si="75"/>
        <v>4968</v>
      </c>
      <c r="C1606" s="49">
        <f>HLOOKUP("# Cores",'vHosts (Imported)'!$1:$5000,M1606,FALSE)</f>
        <v>0</v>
      </c>
      <c r="D1606" s="52">
        <f>HLOOKUP("# Memory",'vHosts (Imported)'!$1:$5000,M1606,FALSE)</f>
        <v>0</v>
      </c>
      <c r="M1606" s="45">
        <f t="shared" si="77"/>
        <v>1606</v>
      </c>
      <c r="N1606" s="38">
        <f>HLOOKUP("Host",'vInfo (Imported)'!$1:$5000,M1606,FALSE)</f>
        <v>0</v>
      </c>
      <c r="R1606">
        <f>HLOOKUP("CPUs",'vInfo (Imported)'!$1:$5000,M1606,FALSE)</f>
        <v>0</v>
      </c>
      <c r="S1606">
        <f>HLOOKUP("Memory",'vInfo (Imported)'!$1:$5000,M1606,FALSE)</f>
        <v>0</v>
      </c>
      <c r="T1606">
        <f>HLOOKUP("Provisioned MiB",'vInfo (Imported)'!$1:$5000,M1606,FALSE)</f>
        <v>0</v>
      </c>
      <c r="U1606">
        <f t="shared" si="76"/>
        <v>0</v>
      </c>
      <c r="V1606">
        <f>HLOOKUP("In Use MiB",'vInfo (Imported)'!$1:$5000,M1606,FALSE)</f>
        <v>0</v>
      </c>
    </row>
    <row r="1607" spans="1:22" ht="13" x14ac:dyDescent="0.3">
      <c r="A1607" s="46">
        <f>'vHosts (Imported)'!A1607</f>
        <v>0</v>
      </c>
      <c r="B1607" s="51">
        <f t="shared" si="75"/>
        <v>4968</v>
      </c>
      <c r="C1607" s="49">
        <f>HLOOKUP("# Cores",'vHosts (Imported)'!$1:$5000,M1607,FALSE)</f>
        <v>0</v>
      </c>
      <c r="D1607" s="52">
        <f>HLOOKUP("# Memory",'vHosts (Imported)'!$1:$5000,M1607,FALSE)</f>
        <v>0</v>
      </c>
      <c r="M1607" s="45">
        <f t="shared" si="77"/>
        <v>1607</v>
      </c>
      <c r="N1607" s="38">
        <f>HLOOKUP("Host",'vInfo (Imported)'!$1:$5000,M1607,FALSE)</f>
        <v>0</v>
      </c>
      <c r="R1607">
        <f>HLOOKUP("CPUs",'vInfo (Imported)'!$1:$5000,M1607,FALSE)</f>
        <v>0</v>
      </c>
      <c r="S1607">
        <f>HLOOKUP("Memory",'vInfo (Imported)'!$1:$5000,M1607,FALSE)</f>
        <v>0</v>
      </c>
      <c r="T1607">
        <f>HLOOKUP("Provisioned MiB",'vInfo (Imported)'!$1:$5000,M1607,FALSE)</f>
        <v>0</v>
      </c>
      <c r="U1607">
        <f t="shared" si="76"/>
        <v>0</v>
      </c>
      <c r="V1607">
        <f>HLOOKUP("In Use MiB",'vInfo (Imported)'!$1:$5000,M1607,FALSE)</f>
        <v>0</v>
      </c>
    </row>
    <row r="1608" spans="1:22" ht="13" x14ac:dyDescent="0.3">
      <c r="A1608" s="46">
        <f>'vHosts (Imported)'!A1608</f>
        <v>0</v>
      </c>
      <c r="B1608" s="51">
        <f t="shared" si="75"/>
        <v>4968</v>
      </c>
      <c r="C1608" s="49">
        <f>HLOOKUP("# Cores",'vHosts (Imported)'!$1:$5000,M1608,FALSE)</f>
        <v>0</v>
      </c>
      <c r="D1608" s="52">
        <f>HLOOKUP("# Memory",'vHosts (Imported)'!$1:$5000,M1608,FALSE)</f>
        <v>0</v>
      </c>
      <c r="M1608" s="45">
        <f t="shared" si="77"/>
        <v>1608</v>
      </c>
      <c r="N1608" s="38">
        <f>HLOOKUP("Host",'vInfo (Imported)'!$1:$5000,M1608,FALSE)</f>
        <v>0</v>
      </c>
      <c r="R1608">
        <f>HLOOKUP("CPUs",'vInfo (Imported)'!$1:$5000,M1608,FALSE)</f>
        <v>0</v>
      </c>
      <c r="S1608">
        <f>HLOOKUP("Memory",'vInfo (Imported)'!$1:$5000,M1608,FALSE)</f>
        <v>0</v>
      </c>
      <c r="T1608">
        <f>HLOOKUP("Provisioned MiB",'vInfo (Imported)'!$1:$5000,M1608,FALSE)</f>
        <v>0</v>
      </c>
      <c r="U1608">
        <f t="shared" si="76"/>
        <v>0</v>
      </c>
      <c r="V1608">
        <f>HLOOKUP("In Use MiB",'vInfo (Imported)'!$1:$5000,M1608,FALSE)</f>
        <v>0</v>
      </c>
    </row>
    <row r="1609" spans="1:22" ht="13" x14ac:dyDescent="0.3">
      <c r="A1609" s="46">
        <f>'vHosts (Imported)'!A1609</f>
        <v>0</v>
      </c>
      <c r="B1609" s="51">
        <f t="shared" si="75"/>
        <v>4968</v>
      </c>
      <c r="C1609" s="49">
        <f>HLOOKUP("# Cores",'vHosts (Imported)'!$1:$5000,M1609,FALSE)</f>
        <v>0</v>
      </c>
      <c r="D1609" s="52">
        <f>HLOOKUP("# Memory",'vHosts (Imported)'!$1:$5000,M1609,FALSE)</f>
        <v>0</v>
      </c>
      <c r="M1609" s="45">
        <f t="shared" si="77"/>
        <v>1609</v>
      </c>
      <c r="N1609" s="38">
        <f>HLOOKUP("Host",'vInfo (Imported)'!$1:$5000,M1609,FALSE)</f>
        <v>0</v>
      </c>
      <c r="R1609">
        <f>HLOOKUP("CPUs",'vInfo (Imported)'!$1:$5000,M1609,FALSE)</f>
        <v>0</v>
      </c>
      <c r="S1609">
        <f>HLOOKUP("Memory",'vInfo (Imported)'!$1:$5000,M1609,FALSE)</f>
        <v>0</v>
      </c>
      <c r="T1609">
        <f>HLOOKUP("Provisioned MiB",'vInfo (Imported)'!$1:$5000,M1609,FALSE)</f>
        <v>0</v>
      </c>
      <c r="U1609">
        <f t="shared" si="76"/>
        <v>0</v>
      </c>
      <c r="V1609">
        <f>HLOOKUP("In Use MiB",'vInfo (Imported)'!$1:$5000,M1609,FALSE)</f>
        <v>0</v>
      </c>
    </row>
    <row r="1610" spans="1:22" ht="13" x14ac:dyDescent="0.3">
      <c r="A1610" s="46">
        <f>'vHosts (Imported)'!A1610</f>
        <v>0</v>
      </c>
      <c r="B1610" s="51">
        <f t="shared" si="75"/>
        <v>4968</v>
      </c>
      <c r="C1610" s="49">
        <f>HLOOKUP("# Cores",'vHosts (Imported)'!$1:$5000,M1610,FALSE)</f>
        <v>0</v>
      </c>
      <c r="D1610" s="52">
        <f>HLOOKUP("# Memory",'vHosts (Imported)'!$1:$5000,M1610,FALSE)</f>
        <v>0</v>
      </c>
      <c r="M1610" s="45">
        <f t="shared" si="77"/>
        <v>1610</v>
      </c>
      <c r="N1610" s="38">
        <f>HLOOKUP("Host",'vInfo (Imported)'!$1:$5000,M1610,FALSE)</f>
        <v>0</v>
      </c>
      <c r="R1610">
        <f>HLOOKUP("CPUs",'vInfo (Imported)'!$1:$5000,M1610,FALSE)</f>
        <v>0</v>
      </c>
      <c r="S1610">
        <f>HLOOKUP("Memory",'vInfo (Imported)'!$1:$5000,M1610,FALSE)</f>
        <v>0</v>
      </c>
      <c r="T1610">
        <f>HLOOKUP("Provisioned MiB",'vInfo (Imported)'!$1:$5000,M1610,FALSE)</f>
        <v>0</v>
      </c>
      <c r="U1610">
        <f t="shared" si="76"/>
        <v>0</v>
      </c>
      <c r="V1610">
        <f>HLOOKUP("In Use MiB",'vInfo (Imported)'!$1:$5000,M1610,FALSE)</f>
        <v>0</v>
      </c>
    </row>
    <row r="1611" spans="1:22" ht="13" x14ac:dyDescent="0.3">
      <c r="A1611" s="46">
        <f>'vHosts (Imported)'!A1611</f>
        <v>0</v>
      </c>
      <c r="B1611" s="51">
        <f t="shared" si="75"/>
        <v>4968</v>
      </c>
      <c r="C1611" s="49">
        <f>HLOOKUP("# Cores",'vHosts (Imported)'!$1:$5000,M1611,FALSE)</f>
        <v>0</v>
      </c>
      <c r="D1611" s="52">
        <f>HLOOKUP("# Memory",'vHosts (Imported)'!$1:$5000,M1611,FALSE)</f>
        <v>0</v>
      </c>
      <c r="M1611" s="45">
        <f t="shared" si="77"/>
        <v>1611</v>
      </c>
      <c r="N1611" s="38">
        <f>HLOOKUP("Host",'vInfo (Imported)'!$1:$5000,M1611,FALSE)</f>
        <v>0</v>
      </c>
      <c r="R1611">
        <f>HLOOKUP("CPUs",'vInfo (Imported)'!$1:$5000,M1611,FALSE)</f>
        <v>0</v>
      </c>
      <c r="S1611">
        <f>HLOOKUP("Memory",'vInfo (Imported)'!$1:$5000,M1611,FALSE)</f>
        <v>0</v>
      </c>
      <c r="T1611">
        <f>HLOOKUP("Provisioned MiB",'vInfo (Imported)'!$1:$5000,M1611,FALSE)</f>
        <v>0</v>
      </c>
      <c r="U1611">
        <f t="shared" si="76"/>
        <v>0</v>
      </c>
      <c r="V1611">
        <f>HLOOKUP("In Use MiB",'vInfo (Imported)'!$1:$5000,M1611,FALSE)</f>
        <v>0</v>
      </c>
    </row>
    <row r="1612" spans="1:22" ht="13" x14ac:dyDescent="0.3">
      <c r="A1612" s="46">
        <f>'vHosts (Imported)'!A1612</f>
        <v>0</v>
      </c>
      <c r="B1612" s="51">
        <f t="shared" si="75"/>
        <v>4968</v>
      </c>
      <c r="C1612" s="49">
        <f>HLOOKUP("# Cores",'vHosts (Imported)'!$1:$5000,M1612,FALSE)</f>
        <v>0</v>
      </c>
      <c r="D1612" s="52">
        <f>HLOOKUP("# Memory",'vHosts (Imported)'!$1:$5000,M1612,FALSE)</f>
        <v>0</v>
      </c>
      <c r="M1612" s="45">
        <f t="shared" si="77"/>
        <v>1612</v>
      </c>
      <c r="N1612" s="38">
        <f>HLOOKUP("Host",'vInfo (Imported)'!$1:$5000,M1612,FALSE)</f>
        <v>0</v>
      </c>
      <c r="R1612">
        <f>HLOOKUP("CPUs",'vInfo (Imported)'!$1:$5000,M1612,FALSE)</f>
        <v>0</v>
      </c>
      <c r="S1612">
        <f>HLOOKUP("Memory",'vInfo (Imported)'!$1:$5000,M1612,FALSE)</f>
        <v>0</v>
      </c>
      <c r="T1612">
        <f>HLOOKUP("Provisioned MiB",'vInfo (Imported)'!$1:$5000,M1612,FALSE)</f>
        <v>0</v>
      </c>
      <c r="U1612">
        <f t="shared" si="76"/>
        <v>0</v>
      </c>
      <c r="V1612">
        <f>HLOOKUP("In Use MiB",'vInfo (Imported)'!$1:$5000,M1612,FALSE)</f>
        <v>0</v>
      </c>
    </row>
    <row r="1613" spans="1:22" ht="13" x14ac:dyDescent="0.3">
      <c r="A1613" s="46">
        <f>'vHosts (Imported)'!A1613</f>
        <v>0</v>
      </c>
      <c r="B1613" s="51">
        <f t="shared" si="75"/>
        <v>4968</v>
      </c>
      <c r="C1613" s="49">
        <f>HLOOKUP("# Cores",'vHosts (Imported)'!$1:$5000,M1613,FALSE)</f>
        <v>0</v>
      </c>
      <c r="D1613" s="52">
        <f>HLOOKUP("# Memory",'vHosts (Imported)'!$1:$5000,M1613,FALSE)</f>
        <v>0</v>
      </c>
      <c r="M1613" s="45">
        <f t="shared" si="77"/>
        <v>1613</v>
      </c>
      <c r="N1613" s="38">
        <f>HLOOKUP("Host",'vInfo (Imported)'!$1:$5000,M1613,FALSE)</f>
        <v>0</v>
      </c>
      <c r="R1613">
        <f>HLOOKUP("CPUs",'vInfo (Imported)'!$1:$5000,M1613,FALSE)</f>
        <v>0</v>
      </c>
      <c r="S1613">
        <f>HLOOKUP("Memory",'vInfo (Imported)'!$1:$5000,M1613,FALSE)</f>
        <v>0</v>
      </c>
      <c r="T1613">
        <f>HLOOKUP("Provisioned MiB",'vInfo (Imported)'!$1:$5000,M1613,FALSE)</f>
        <v>0</v>
      </c>
      <c r="U1613">
        <f t="shared" si="76"/>
        <v>0</v>
      </c>
      <c r="V1613">
        <f>HLOOKUP("In Use MiB",'vInfo (Imported)'!$1:$5000,M1613,FALSE)</f>
        <v>0</v>
      </c>
    </row>
    <row r="1614" spans="1:22" ht="13" x14ac:dyDescent="0.3">
      <c r="A1614" s="46">
        <f>'vHosts (Imported)'!A1614</f>
        <v>0</v>
      </c>
      <c r="B1614" s="51">
        <f t="shared" si="75"/>
        <v>4968</v>
      </c>
      <c r="C1614" s="49">
        <f>HLOOKUP("# Cores",'vHosts (Imported)'!$1:$5000,M1614,FALSE)</f>
        <v>0</v>
      </c>
      <c r="D1614" s="52">
        <f>HLOOKUP("# Memory",'vHosts (Imported)'!$1:$5000,M1614,FALSE)</f>
        <v>0</v>
      </c>
      <c r="M1614" s="45">
        <f t="shared" si="77"/>
        <v>1614</v>
      </c>
      <c r="N1614" s="38">
        <f>HLOOKUP("Host",'vInfo (Imported)'!$1:$5000,M1614,FALSE)</f>
        <v>0</v>
      </c>
      <c r="R1614">
        <f>HLOOKUP("CPUs",'vInfo (Imported)'!$1:$5000,M1614,FALSE)</f>
        <v>0</v>
      </c>
      <c r="S1614">
        <f>HLOOKUP("Memory",'vInfo (Imported)'!$1:$5000,M1614,FALSE)</f>
        <v>0</v>
      </c>
      <c r="T1614">
        <f>HLOOKUP("Provisioned MiB",'vInfo (Imported)'!$1:$5000,M1614,FALSE)</f>
        <v>0</v>
      </c>
      <c r="U1614">
        <f t="shared" si="76"/>
        <v>0</v>
      </c>
      <c r="V1614">
        <f>HLOOKUP("In Use MiB",'vInfo (Imported)'!$1:$5000,M1614,FALSE)</f>
        <v>0</v>
      </c>
    </row>
    <row r="1615" spans="1:22" ht="13" x14ac:dyDescent="0.3">
      <c r="A1615" s="46">
        <f>'vHosts (Imported)'!A1615</f>
        <v>0</v>
      </c>
      <c r="B1615" s="51">
        <f t="shared" si="75"/>
        <v>4968</v>
      </c>
      <c r="C1615" s="49">
        <f>HLOOKUP("# Cores",'vHosts (Imported)'!$1:$5000,M1615,FALSE)</f>
        <v>0</v>
      </c>
      <c r="D1615" s="52">
        <f>HLOOKUP("# Memory",'vHosts (Imported)'!$1:$5000,M1615,FALSE)</f>
        <v>0</v>
      </c>
      <c r="M1615" s="45">
        <f t="shared" si="77"/>
        <v>1615</v>
      </c>
      <c r="N1615" s="38">
        <f>HLOOKUP("Host",'vInfo (Imported)'!$1:$5000,M1615,FALSE)</f>
        <v>0</v>
      </c>
      <c r="R1615">
        <f>HLOOKUP("CPUs",'vInfo (Imported)'!$1:$5000,M1615,FALSE)</f>
        <v>0</v>
      </c>
      <c r="S1615">
        <f>HLOOKUP("Memory",'vInfo (Imported)'!$1:$5000,M1615,FALSE)</f>
        <v>0</v>
      </c>
      <c r="T1615">
        <f>HLOOKUP("Provisioned MiB",'vInfo (Imported)'!$1:$5000,M1615,FALSE)</f>
        <v>0</v>
      </c>
      <c r="U1615">
        <f t="shared" si="76"/>
        <v>0</v>
      </c>
      <c r="V1615">
        <f>HLOOKUP("In Use MiB",'vInfo (Imported)'!$1:$5000,M1615,FALSE)</f>
        <v>0</v>
      </c>
    </row>
    <row r="1616" spans="1:22" ht="13" x14ac:dyDescent="0.3">
      <c r="A1616" s="46">
        <f>'vHosts (Imported)'!A1616</f>
        <v>0</v>
      </c>
      <c r="B1616" s="51">
        <f t="shared" si="75"/>
        <v>4968</v>
      </c>
      <c r="C1616" s="49">
        <f>HLOOKUP("# Cores",'vHosts (Imported)'!$1:$5000,M1616,FALSE)</f>
        <v>0</v>
      </c>
      <c r="D1616" s="52">
        <f>HLOOKUP("# Memory",'vHosts (Imported)'!$1:$5000,M1616,FALSE)</f>
        <v>0</v>
      </c>
      <c r="M1616" s="45">
        <f t="shared" si="77"/>
        <v>1616</v>
      </c>
      <c r="N1616" s="38">
        <f>HLOOKUP("Host",'vInfo (Imported)'!$1:$5000,M1616,FALSE)</f>
        <v>0</v>
      </c>
      <c r="R1616">
        <f>HLOOKUP("CPUs",'vInfo (Imported)'!$1:$5000,M1616,FALSE)</f>
        <v>0</v>
      </c>
      <c r="S1616">
        <f>HLOOKUP("Memory",'vInfo (Imported)'!$1:$5000,M1616,FALSE)</f>
        <v>0</v>
      </c>
      <c r="T1616">
        <f>HLOOKUP("Provisioned MiB",'vInfo (Imported)'!$1:$5000,M1616,FALSE)</f>
        <v>0</v>
      </c>
      <c r="U1616">
        <f t="shared" si="76"/>
        <v>0</v>
      </c>
      <c r="V1616">
        <f>HLOOKUP("In Use MiB",'vInfo (Imported)'!$1:$5000,M1616,FALSE)</f>
        <v>0</v>
      </c>
    </row>
    <row r="1617" spans="1:22" ht="13" x14ac:dyDescent="0.3">
      <c r="A1617" s="46">
        <f>'vHosts (Imported)'!A1617</f>
        <v>0</v>
      </c>
      <c r="B1617" s="51">
        <f t="shared" si="75"/>
        <v>4968</v>
      </c>
      <c r="C1617" s="49">
        <f>HLOOKUP("# Cores",'vHosts (Imported)'!$1:$5000,M1617,FALSE)</f>
        <v>0</v>
      </c>
      <c r="D1617" s="52">
        <f>HLOOKUP("# Memory",'vHosts (Imported)'!$1:$5000,M1617,FALSE)</f>
        <v>0</v>
      </c>
      <c r="M1617" s="45">
        <f t="shared" si="77"/>
        <v>1617</v>
      </c>
      <c r="N1617" s="38">
        <f>HLOOKUP("Host",'vInfo (Imported)'!$1:$5000,M1617,FALSE)</f>
        <v>0</v>
      </c>
      <c r="R1617">
        <f>HLOOKUP("CPUs",'vInfo (Imported)'!$1:$5000,M1617,FALSE)</f>
        <v>0</v>
      </c>
      <c r="S1617">
        <f>HLOOKUP("Memory",'vInfo (Imported)'!$1:$5000,M1617,FALSE)</f>
        <v>0</v>
      </c>
      <c r="T1617">
        <f>HLOOKUP("Provisioned MiB",'vInfo (Imported)'!$1:$5000,M1617,FALSE)</f>
        <v>0</v>
      </c>
      <c r="U1617">
        <f t="shared" si="76"/>
        <v>0</v>
      </c>
      <c r="V1617">
        <f>HLOOKUP("In Use MiB",'vInfo (Imported)'!$1:$5000,M1617,FALSE)</f>
        <v>0</v>
      </c>
    </row>
    <row r="1618" spans="1:22" ht="13" x14ac:dyDescent="0.3">
      <c r="A1618" s="46">
        <f>'vHosts (Imported)'!A1618</f>
        <v>0</v>
      </c>
      <c r="B1618" s="51">
        <f t="shared" si="75"/>
        <v>4968</v>
      </c>
      <c r="C1618" s="49">
        <f>HLOOKUP("# Cores",'vHosts (Imported)'!$1:$5000,M1618,FALSE)</f>
        <v>0</v>
      </c>
      <c r="D1618" s="52">
        <f>HLOOKUP("# Memory",'vHosts (Imported)'!$1:$5000,M1618,FALSE)</f>
        <v>0</v>
      </c>
      <c r="M1618" s="45">
        <f t="shared" si="77"/>
        <v>1618</v>
      </c>
      <c r="N1618" s="38">
        <f>HLOOKUP("Host",'vInfo (Imported)'!$1:$5000,M1618,FALSE)</f>
        <v>0</v>
      </c>
      <c r="R1618">
        <f>HLOOKUP("CPUs",'vInfo (Imported)'!$1:$5000,M1618,FALSE)</f>
        <v>0</v>
      </c>
      <c r="S1618">
        <f>HLOOKUP("Memory",'vInfo (Imported)'!$1:$5000,M1618,FALSE)</f>
        <v>0</v>
      </c>
      <c r="T1618">
        <f>HLOOKUP("Provisioned MiB",'vInfo (Imported)'!$1:$5000,M1618,FALSE)</f>
        <v>0</v>
      </c>
      <c r="U1618">
        <f t="shared" si="76"/>
        <v>0</v>
      </c>
      <c r="V1618">
        <f>HLOOKUP("In Use MiB",'vInfo (Imported)'!$1:$5000,M1618,FALSE)</f>
        <v>0</v>
      </c>
    </row>
    <row r="1619" spans="1:22" ht="13" x14ac:dyDescent="0.3">
      <c r="A1619" s="46">
        <f>'vHosts (Imported)'!A1619</f>
        <v>0</v>
      </c>
      <c r="B1619" s="51">
        <f t="shared" si="75"/>
        <v>4968</v>
      </c>
      <c r="C1619" s="49">
        <f>HLOOKUP("# Cores",'vHosts (Imported)'!$1:$5000,M1619,FALSE)</f>
        <v>0</v>
      </c>
      <c r="D1619" s="52">
        <f>HLOOKUP("# Memory",'vHosts (Imported)'!$1:$5000,M1619,FALSE)</f>
        <v>0</v>
      </c>
      <c r="M1619" s="45">
        <f t="shared" si="77"/>
        <v>1619</v>
      </c>
      <c r="N1619" s="38">
        <f>HLOOKUP("Host",'vInfo (Imported)'!$1:$5000,M1619,FALSE)</f>
        <v>0</v>
      </c>
      <c r="R1619">
        <f>HLOOKUP("CPUs",'vInfo (Imported)'!$1:$5000,M1619,FALSE)</f>
        <v>0</v>
      </c>
      <c r="S1619">
        <f>HLOOKUP("Memory",'vInfo (Imported)'!$1:$5000,M1619,FALSE)</f>
        <v>0</v>
      </c>
      <c r="T1619">
        <f>HLOOKUP("Provisioned MiB",'vInfo (Imported)'!$1:$5000,M1619,FALSE)</f>
        <v>0</v>
      </c>
      <c r="U1619">
        <f t="shared" si="76"/>
        <v>0</v>
      </c>
      <c r="V1619">
        <f>HLOOKUP("In Use MiB",'vInfo (Imported)'!$1:$5000,M1619,FALSE)</f>
        <v>0</v>
      </c>
    </row>
    <row r="1620" spans="1:22" ht="13" x14ac:dyDescent="0.3">
      <c r="A1620" s="46">
        <f>'vHosts (Imported)'!A1620</f>
        <v>0</v>
      </c>
      <c r="B1620" s="51">
        <f t="shared" si="75"/>
        <v>4968</v>
      </c>
      <c r="C1620" s="49">
        <f>HLOOKUP("# Cores",'vHosts (Imported)'!$1:$5000,M1620,FALSE)</f>
        <v>0</v>
      </c>
      <c r="D1620" s="52">
        <f>HLOOKUP("# Memory",'vHosts (Imported)'!$1:$5000,M1620,FALSE)</f>
        <v>0</v>
      </c>
      <c r="M1620" s="45">
        <f t="shared" si="77"/>
        <v>1620</v>
      </c>
      <c r="N1620" s="38">
        <f>HLOOKUP("Host",'vInfo (Imported)'!$1:$5000,M1620,FALSE)</f>
        <v>0</v>
      </c>
      <c r="R1620">
        <f>HLOOKUP("CPUs",'vInfo (Imported)'!$1:$5000,M1620,FALSE)</f>
        <v>0</v>
      </c>
      <c r="S1620">
        <f>HLOOKUP("Memory",'vInfo (Imported)'!$1:$5000,M1620,FALSE)</f>
        <v>0</v>
      </c>
      <c r="T1620">
        <f>HLOOKUP("Provisioned MiB",'vInfo (Imported)'!$1:$5000,M1620,FALSE)</f>
        <v>0</v>
      </c>
      <c r="U1620">
        <f t="shared" si="76"/>
        <v>0</v>
      </c>
      <c r="V1620">
        <f>HLOOKUP("In Use MiB",'vInfo (Imported)'!$1:$5000,M1620,FALSE)</f>
        <v>0</v>
      </c>
    </row>
    <row r="1621" spans="1:22" ht="13" x14ac:dyDescent="0.3">
      <c r="A1621" s="46">
        <f>'vHosts (Imported)'!A1621</f>
        <v>0</v>
      </c>
      <c r="B1621" s="51">
        <f t="shared" si="75"/>
        <v>4968</v>
      </c>
      <c r="C1621" s="49">
        <f>HLOOKUP("# Cores",'vHosts (Imported)'!$1:$5000,M1621,FALSE)</f>
        <v>0</v>
      </c>
      <c r="D1621" s="52">
        <f>HLOOKUP("# Memory",'vHosts (Imported)'!$1:$5000,M1621,FALSE)</f>
        <v>0</v>
      </c>
      <c r="M1621" s="45">
        <f t="shared" si="77"/>
        <v>1621</v>
      </c>
      <c r="N1621" s="38">
        <f>HLOOKUP("Host",'vInfo (Imported)'!$1:$5000,M1621,FALSE)</f>
        <v>0</v>
      </c>
      <c r="R1621">
        <f>HLOOKUP("CPUs",'vInfo (Imported)'!$1:$5000,M1621,FALSE)</f>
        <v>0</v>
      </c>
      <c r="S1621">
        <f>HLOOKUP("Memory",'vInfo (Imported)'!$1:$5000,M1621,FALSE)</f>
        <v>0</v>
      </c>
      <c r="T1621">
        <f>HLOOKUP("Provisioned MiB",'vInfo (Imported)'!$1:$5000,M1621,FALSE)</f>
        <v>0</v>
      </c>
      <c r="U1621">
        <f t="shared" si="76"/>
        <v>0</v>
      </c>
      <c r="V1621">
        <f>HLOOKUP("In Use MiB",'vInfo (Imported)'!$1:$5000,M1621,FALSE)</f>
        <v>0</v>
      </c>
    </row>
    <row r="1622" spans="1:22" ht="13" x14ac:dyDescent="0.3">
      <c r="A1622" s="46">
        <f>'vHosts (Imported)'!A1622</f>
        <v>0</v>
      </c>
      <c r="B1622" s="51">
        <f t="shared" si="75"/>
        <v>4968</v>
      </c>
      <c r="C1622" s="49">
        <f>HLOOKUP("# Cores",'vHosts (Imported)'!$1:$5000,M1622,FALSE)</f>
        <v>0</v>
      </c>
      <c r="D1622" s="52">
        <f>HLOOKUP("# Memory",'vHosts (Imported)'!$1:$5000,M1622,FALSE)</f>
        <v>0</v>
      </c>
      <c r="M1622" s="45">
        <f t="shared" si="77"/>
        <v>1622</v>
      </c>
      <c r="N1622" s="38">
        <f>HLOOKUP("Host",'vInfo (Imported)'!$1:$5000,M1622,FALSE)</f>
        <v>0</v>
      </c>
      <c r="R1622">
        <f>HLOOKUP("CPUs",'vInfo (Imported)'!$1:$5000,M1622,FALSE)</f>
        <v>0</v>
      </c>
      <c r="S1622">
        <f>HLOOKUP("Memory",'vInfo (Imported)'!$1:$5000,M1622,FALSE)</f>
        <v>0</v>
      </c>
      <c r="T1622">
        <f>HLOOKUP("Provisioned MiB",'vInfo (Imported)'!$1:$5000,M1622,FALSE)</f>
        <v>0</v>
      </c>
      <c r="U1622">
        <f t="shared" si="76"/>
        <v>0</v>
      </c>
      <c r="V1622">
        <f>HLOOKUP("In Use MiB",'vInfo (Imported)'!$1:$5000,M1622,FALSE)</f>
        <v>0</v>
      </c>
    </row>
    <row r="1623" spans="1:22" ht="13" x14ac:dyDescent="0.3">
      <c r="A1623" s="46">
        <f>'vHosts (Imported)'!A1623</f>
        <v>0</v>
      </c>
      <c r="B1623" s="51">
        <f t="shared" si="75"/>
        <v>4968</v>
      </c>
      <c r="C1623" s="49">
        <f>HLOOKUP("# Cores",'vHosts (Imported)'!$1:$5000,M1623,FALSE)</f>
        <v>0</v>
      </c>
      <c r="D1623" s="52">
        <f>HLOOKUP("# Memory",'vHosts (Imported)'!$1:$5000,M1623,FALSE)</f>
        <v>0</v>
      </c>
      <c r="M1623" s="45">
        <f t="shared" si="77"/>
        <v>1623</v>
      </c>
      <c r="N1623" s="38">
        <f>HLOOKUP("Host",'vInfo (Imported)'!$1:$5000,M1623,FALSE)</f>
        <v>0</v>
      </c>
      <c r="R1623">
        <f>HLOOKUP("CPUs",'vInfo (Imported)'!$1:$5000,M1623,FALSE)</f>
        <v>0</v>
      </c>
      <c r="S1623">
        <f>HLOOKUP("Memory",'vInfo (Imported)'!$1:$5000,M1623,FALSE)</f>
        <v>0</v>
      </c>
      <c r="T1623">
        <f>HLOOKUP("Provisioned MiB",'vInfo (Imported)'!$1:$5000,M1623,FALSE)</f>
        <v>0</v>
      </c>
      <c r="U1623">
        <f t="shared" si="76"/>
        <v>0</v>
      </c>
      <c r="V1623">
        <f>HLOOKUP("In Use MiB",'vInfo (Imported)'!$1:$5000,M1623,FALSE)</f>
        <v>0</v>
      </c>
    </row>
    <row r="1624" spans="1:22" ht="13" x14ac:dyDescent="0.3">
      <c r="A1624" s="46">
        <f>'vHosts (Imported)'!A1624</f>
        <v>0</v>
      </c>
      <c r="B1624" s="51">
        <f t="shared" si="75"/>
        <v>4968</v>
      </c>
      <c r="C1624" s="49">
        <f>HLOOKUP("# Cores",'vHosts (Imported)'!$1:$5000,M1624,FALSE)</f>
        <v>0</v>
      </c>
      <c r="D1624" s="52">
        <f>HLOOKUP("# Memory",'vHosts (Imported)'!$1:$5000,M1624,FALSE)</f>
        <v>0</v>
      </c>
      <c r="M1624" s="45">
        <f t="shared" si="77"/>
        <v>1624</v>
      </c>
      <c r="N1624" s="38">
        <f>HLOOKUP("Host",'vInfo (Imported)'!$1:$5000,M1624,FALSE)</f>
        <v>0</v>
      </c>
      <c r="R1624">
        <f>HLOOKUP("CPUs",'vInfo (Imported)'!$1:$5000,M1624,FALSE)</f>
        <v>0</v>
      </c>
      <c r="S1624">
        <f>HLOOKUP("Memory",'vInfo (Imported)'!$1:$5000,M1624,FALSE)</f>
        <v>0</v>
      </c>
      <c r="T1624">
        <f>HLOOKUP("Provisioned MiB",'vInfo (Imported)'!$1:$5000,M1624,FALSE)</f>
        <v>0</v>
      </c>
      <c r="U1624">
        <f t="shared" si="76"/>
        <v>0</v>
      </c>
      <c r="V1624">
        <f>HLOOKUP("In Use MiB",'vInfo (Imported)'!$1:$5000,M1624,FALSE)</f>
        <v>0</v>
      </c>
    </row>
    <row r="1625" spans="1:22" ht="13" x14ac:dyDescent="0.3">
      <c r="A1625" s="46">
        <f>'vHosts (Imported)'!A1625</f>
        <v>0</v>
      </c>
      <c r="B1625" s="51">
        <f t="shared" si="75"/>
        <v>4968</v>
      </c>
      <c r="C1625" s="49">
        <f>HLOOKUP("# Cores",'vHosts (Imported)'!$1:$5000,M1625,FALSE)</f>
        <v>0</v>
      </c>
      <c r="D1625" s="52">
        <f>HLOOKUP("# Memory",'vHosts (Imported)'!$1:$5000,M1625,FALSE)</f>
        <v>0</v>
      </c>
      <c r="M1625" s="45">
        <f t="shared" si="77"/>
        <v>1625</v>
      </c>
      <c r="N1625" s="38">
        <f>HLOOKUP("Host",'vInfo (Imported)'!$1:$5000,M1625,FALSE)</f>
        <v>0</v>
      </c>
      <c r="R1625">
        <f>HLOOKUP("CPUs",'vInfo (Imported)'!$1:$5000,M1625,FALSE)</f>
        <v>0</v>
      </c>
      <c r="S1625">
        <f>HLOOKUP("Memory",'vInfo (Imported)'!$1:$5000,M1625,FALSE)</f>
        <v>0</v>
      </c>
      <c r="T1625">
        <f>HLOOKUP("Provisioned MiB",'vInfo (Imported)'!$1:$5000,M1625,FALSE)</f>
        <v>0</v>
      </c>
      <c r="U1625">
        <f t="shared" si="76"/>
        <v>0</v>
      </c>
      <c r="V1625">
        <f>HLOOKUP("In Use MiB",'vInfo (Imported)'!$1:$5000,M1625,FALSE)</f>
        <v>0</v>
      </c>
    </row>
    <row r="1626" spans="1:22" ht="13" x14ac:dyDescent="0.3">
      <c r="A1626" s="46">
        <f>'vHosts (Imported)'!A1626</f>
        <v>0</v>
      </c>
      <c r="B1626" s="51">
        <f t="shared" si="75"/>
        <v>4968</v>
      </c>
      <c r="C1626" s="49">
        <f>HLOOKUP("# Cores",'vHosts (Imported)'!$1:$5000,M1626,FALSE)</f>
        <v>0</v>
      </c>
      <c r="D1626" s="52">
        <f>HLOOKUP("# Memory",'vHosts (Imported)'!$1:$5000,M1626,FALSE)</f>
        <v>0</v>
      </c>
      <c r="M1626" s="45">
        <f t="shared" si="77"/>
        <v>1626</v>
      </c>
      <c r="N1626" s="38">
        <f>HLOOKUP("Host",'vInfo (Imported)'!$1:$5000,M1626,FALSE)</f>
        <v>0</v>
      </c>
      <c r="R1626">
        <f>HLOOKUP("CPUs",'vInfo (Imported)'!$1:$5000,M1626,FALSE)</f>
        <v>0</v>
      </c>
      <c r="S1626">
        <f>HLOOKUP("Memory",'vInfo (Imported)'!$1:$5000,M1626,FALSE)</f>
        <v>0</v>
      </c>
      <c r="T1626">
        <f>HLOOKUP("Provisioned MiB",'vInfo (Imported)'!$1:$5000,M1626,FALSE)</f>
        <v>0</v>
      </c>
      <c r="U1626">
        <f t="shared" si="76"/>
        <v>0</v>
      </c>
      <c r="V1626">
        <f>HLOOKUP("In Use MiB",'vInfo (Imported)'!$1:$5000,M1626,FALSE)</f>
        <v>0</v>
      </c>
    </row>
    <row r="1627" spans="1:22" ht="13" x14ac:dyDescent="0.3">
      <c r="A1627" s="46">
        <f>'vHosts (Imported)'!A1627</f>
        <v>0</v>
      </c>
      <c r="B1627" s="51">
        <f t="shared" si="75"/>
        <v>4968</v>
      </c>
      <c r="C1627" s="49">
        <f>HLOOKUP("# Cores",'vHosts (Imported)'!$1:$5000,M1627,FALSE)</f>
        <v>0</v>
      </c>
      <c r="D1627" s="52">
        <f>HLOOKUP("# Memory",'vHosts (Imported)'!$1:$5000,M1627,FALSE)</f>
        <v>0</v>
      </c>
      <c r="M1627" s="45">
        <f t="shared" si="77"/>
        <v>1627</v>
      </c>
      <c r="N1627" s="38">
        <f>HLOOKUP("Host",'vInfo (Imported)'!$1:$5000,M1627,FALSE)</f>
        <v>0</v>
      </c>
      <c r="R1627">
        <f>HLOOKUP("CPUs",'vInfo (Imported)'!$1:$5000,M1627,FALSE)</f>
        <v>0</v>
      </c>
      <c r="S1627">
        <f>HLOOKUP("Memory",'vInfo (Imported)'!$1:$5000,M1627,FALSE)</f>
        <v>0</v>
      </c>
      <c r="T1627">
        <f>HLOOKUP("Provisioned MiB",'vInfo (Imported)'!$1:$5000,M1627,FALSE)</f>
        <v>0</v>
      </c>
      <c r="U1627">
        <f t="shared" si="76"/>
        <v>0</v>
      </c>
      <c r="V1627">
        <f>HLOOKUP("In Use MiB",'vInfo (Imported)'!$1:$5000,M1627,FALSE)</f>
        <v>0</v>
      </c>
    </row>
    <row r="1628" spans="1:22" ht="13" x14ac:dyDescent="0.3">
      <c r="A1628" s="46">
        <f>'vHosts (Imported)'!A1628</f>
        <v>0</v>
      </c>
      <c r="B1628" s="51">
        <f t="shared" si="75"/>
        <v>4968</v>
      </c>
      <c r="C1628" s="49">
        <f>HLOOKUP("# Cores",'vHosts (Imported)'!$1:$5000,M1628,FALSE)</f>
        <v>0</v>
      </c>
      <c r="D1628" s="52">
        <f>HLOOKUP("# Memory",'vHosts (Imported)'!$1:$5000,M1628,FALSE)</f>
        <v>0</v>
      </c>
      <c r="M1628" s="45">
        <f t="shared" si="77"/>
        <v>1628</v>
      </c>
      <c r="N1628" s="38">
        <f>HLOOKUP("Host",'vInfo (Imported)'!$1:$5000,M1628,FALSE)</f>
        <v>0</v>
      </c>
      <c r="R1628">
        <f>HLOOKUP("CPUs",'vInfo (Imported)'!$1:$5000,M1628,FALSE)</f>
        <v>0</v>
      </c>
      <c r="S1628">
        <f>HLOOKUP("Memory",'vInfo (Imported)'!$1:$5000,M1628,FALSE)</f>
        <v>0</v>
      </c>
      <c r="T1628">
        <f>HLOOKUP("Provisioned MiB",'vInfo (Imported)'!$1:$5000,M1628,FALSE)</f>
        <v>0</v>
      </c>
      <c r="U1628">
        <f t="shared" si="76"/>
        <v>0</v>
      </c>
      <c r="V1628">
        <f>HLOOKUP("In Use MiB",'vInfo (Imported)'!$1:$5000,M1628,FALSE)</f>
        <v>0</v>
      </c>
    </row>
    <row r="1629" spans="1:22" ht="13" x14ac:dyDescent="0.3">
      <c r="A1629" s="46">
        <f>'vHosts (Imported)'!A1629</f>
        <v>0</v>
      </c>
      <c r="B1629" s="51">
        <f t="shared" si="75"/>
        <v>4968</v>
      </c>
      <c r="C1629" s="49">
        <f>HLOOKUP("# Cores",'vHosts (Imported)'!$1:$5000,M1629,FALSE)</f>
        <v>0</v>
      </c>
      <c r="D1629" s="52">
        <f>HLOOKUP("# Memory",'vHosts (Imported)'!$1:$5000,M1629,FALSE)</f>
        <v>0</v>
      </c>
      <c r="M1629" s="45">
        <f t="shared" si="77"/>
        <v>1629</v>
      </c>
      <c r="N1629" s="38">
        <f>HLOOKUP("Host",'vInfo (Imported)'!$1:$5000,M1629,FALSE)</f>
        <v>0</v>
      </c>
      <c r="R1629">
        <f>HLOOKUP("CPUs",'vInfo (Imported)'!$1:$5000,M1629,FALSE)</f>
        <v>0</v>
      </c>
      <c r="S1629">
        <f>HLOOKUP("Memory",'vInfo (Imported)'!$1:$5000,M1629,FALSE)</f>
        <v>0</v>
      </c>
      <c r="T1629">
        <f>HLOOKUP("Provisioned MiB",'vInfo (Imported)'!$1:$5000,M1629,FALSE)</f>
        <v>0</v>
      </c>
      <c r="U1629">
        <f t="shared" si="76"/>
        <v>0</v>
      </c>
      <c r="V1629">
        <f>HLOOKUP("In Use MiB",'vInfo (Imported)'!$1:$5000,M1629,FALSE)</f>
        <v>0</v>
      </c>
    </row>
    <row r="1630" spans="1:22" ht="13" x14ac:dyDescent="0.3">
      <c r="A1630" s="46">
        <f>'vHosts (Imported)'!A1630</f>
        <v>0</v>
      </c>
      <c r="B1630" s="51">
        <f t="shared" si="75"/>
        <v>4968</v>
      </c>
      <c r="C1630" s="49">
        <f>HLOOKUP("# Cores",'vHosts (Imported)'!$1:$5000,M1630,FALSE)</f>
        <v>0</v>
      </c>
      <c r="D1630" s="52">
        <f>HLOOKUP("# Memory",'vHosts (Imported)'!$1:$5000,M1630,FALSE)</f>
        <v>0</v>
      </c>
      <c r="M1630" s="45">
        <f t="shared" si="77"/>
        <v>1630</v>
      </c>
      <c r="N1630" s="38">
        <f>HLOOKUP("Host",'vInfo (Imported)'!$1:$5000,M1630,FALSE)</f>
        <v>0</v>
      </c>
      <c r="R1630">
        <f>HLOOKUP("CPUs",'vInfo (Imported)'!$1:$5000,M1630,FALSE)</f>
        <v>0</v>
      </c>
      <c r="S1630">
        <f>HLOOKUP("Memory",'vInfo (Imported)'!$1:$5000,M1630,FALSE)</f>
        <v>0</v>
      </c>
      <c r="T1630">
        <f>HLOOKUP("Provisioned MiB",'vInfo (Imported)'!$1:$5000,M1630,FALSE)</f>
        <v>0</v>
      </c>
      <c r="U1630">
        <f t="shared" si="76"/>
        <v>0</v>
      </c>
      <c r="V1630">
        <f>HLOOKUP("In Use MiB",'vInfo (Imported)'!$1:$5000,M1630,FALSE)</f>
        <v>0</v>
      </c>
    </row>
    <row r="1631" spans="1:22" ht="13" x14ac:dyDescent="0.3">
      <c r="A1631" s="46">
        <f>'vHosts (Imported)'!A1631</f>
        <v>0</v>
      </c>
      <c r="B1631" s="51">
        <f t="shared" si="75"/>
        <v>4968</v>
      </c>
      <c r="C1631" s="49">
        <f>HLOOKUP("# Cores",'vHosts (Imported)'!$1:$5000,M1631,FALSE)</f>
        <v>0</v>
      </c>
      <c r="D1631" s="52">
        <f>HLOOKUP("# Memory",'vHosts (Imported)'!$1:$5000,M1631,FALSE)</f>
        <v>0</v>
      </c>
      <c r="M1631" s="45">
        <f t="shared" si="77"/>
        <v>1631</v>
      </c>
      <c r="N1631" s="38">
        <f>HLOOKUP("Host",'vInfo (Imported)'!$1:$5000,M1631,FALSE)</f>
        <v>0</v>
      </c>
      <c r="R1631">
        <f>HLOOKUP("CPUs",'vInfo (Imported)'!$1:$5000,M1631,FALSE)</f>
        <v>0</v>
      </c>
      <c r="S1631">
        <f>HLOOKUP("Memory",'vInfo (Imported)'!$1:$5000,M1631,FALSE)</f>
        <v>0</v>
      </c>
      <c r="T1631">
        <f>HLOOKUP("Provisioned MiB",'vInfo (Imported)'!$1:$5000,M1631,FALSE)</f>
        <v>0</v>
      </c>
      <c r="U1631">
        <f t="shared" si="76"/>
        <v>0</v>
      </c>
      <c r="V1631">
        <f>HLOOKUP("In Use MiB",'vInfo (Imported)'!$1:$5000,M1631,FALSE)</f>
        <v>0</v>
      </c>
    </row>
    <row r="1632" spans="1:22" ht="13" x14ac:dyDescent="0.3">
      <c r="A1632" s="46">
        <f>'vHosts (Imported)'!A1632</f>
        <v>0</v>
      </c>
      <c r="B1632" s="51">
        <f t="shared" si="75"/>
        <v>4968</v>
      </c>
      <c r="C1632" s="49">
        <f>HLOOKUP("# Cores",'vHosts (Imported)'!$1:$5000,M1632,FALSE)</f>
        <v>0</v>
      </c>
      <c r="D1632" s="52">
        <f>HLOOKUP("# Memory",'vHosts (Imported)'!$1:$5000,M1632,FALSE)</f>
        <v>0</v>
      </c>
      <c r="M1632" s="45">
        <f t="shared" si="77"/>
        <v>1632</v>
      </c>
      <c r="N1632" s="38">
        <f>HLOOKUP("Host",'vInfo (Imported)'!$1:$5000,M1632,FALSE)</f>
        <v>0</v>
      </c>
      <c r="R1632">
        <f>HLOOKUP("CPUs",'vInfo (Imported)'!$1:$5000,M1632,FALSE)</f>
        <v>0</v>
      </c>
      <c r="S1632">
        <f>HLOOKUP("Memory",'vInfo (Imported)'!$1:$5000,M1632,FALSE)</f>
        <v>0</v>
      </c>
      <c r="T1632">
        <f>HLOOKUP("Provisioned MiB",'vInfo (Imported)'!$1:$5000,M1632,FALSE)</f>
        <v>0</v>
      </c>
      <c r="U1632">
        <f t="shared" si="76"/>
        <v>0</v>
      </c>
      <c r="V1632">
        <f>HLOOKUP("In Use MiB",'vInfo (Imported)'!$1:$5000,M1632,FALSE)</f>
        <v>0</v>
      </c>
    </row>
    <row r="1633" spans="1:22" ht="13" x14ac:dyDescent="0.3">
      <c r="A1633" s="46">
        <f>'vHosts (Imported)'!A1633</f>
        <v>0</v>
      </c>
      <c r="B1633" s="51">
        <f t="shared" si="75"/>
        <v>4968</v>
      </c>
      <c r="C1633" s="49">
        <f>HLOOKUP("# Cores",'vHosts (Imported)'!$1:$5000,M1633,FALSE)</f>
        <v>0</v>
      </c>
      <c r="D1633" s="52">
        <f>HLOOKUP("# Memory",'vHosts (Imported)'!$1:$5000,M1633,FALSE)</f>
        <v>0</v>
      </c>
      <c r="M1633" s="45">
        <f t="shared" si="77"/>
        <v>1633</v>
      </c>
      <c r="N1633" s="38">
        <f>HLOOKUP("Host",'vInfo (Imported)'!$1:$5000,M1633,FALSE)</f>
        <v>0</v>
      </c>
      <c r="R1633">
        <f>HLOOKUP("CPUs",'vInfo (Imported)'!$1:$5000,M1633,FALSE)</f>
        <v>0</v>
      </c>
      <c r="S1633">
        <f>HLOOKUP("Memory",'vInfo (Imported)'!$1:$5000,M1633,FALSE)</f>
        <v>0</v>
      </c>
      <c r="T1633">
        <f>HLOOKUP("Provisioned MiB",'vInfo (Imported)'!$1:$5000,M1633,FALSE)</f>
        <v>0</v>
      </c>
      <c r="U1633">
        <f t="shared" si="76"/>
        <v>0</v>
      </c>
      <c r="V1633">
        <f>HLOOKUP("In Use MiB",'vInfo (Imported)'!$1:$5000,M1633,FALSE)</f>
        <v>0</v>
      </c>
    </row>
    <row r="1634" spans="1:22" ht="13" x14ac:dyDescent="0.3">
      <c r="A1634" s="46">
        <f>'vHosts (Imported)'!A1634</f>
        <v>0</v>
      </c>
      <c r="B1634" s="51">
        <f t="shared" si="75"/>
        <v>4968</v>
      </c>
      <c r="C1634" s="49">
        <f>HLOOKUP("# Cores",'vHosts (Imported)'!$1:$5000,M1634,FALSE)</f>
        <v>0</v>
      </c>
      <c r="D1634" s="52">
        <f>HLOOKUP("# Memory",'vHosts (Imported)'!$1:$5000,M1634,FALSE)</f>
        <v>0</v>
      </c>
      <c r="M1634" s="45">
        <f t="shared" si="77"/>
        <v>1634</v>
      </c>
      <c r="N1634" s="38">
        <f>HLOOKUP("Host",'vInfo (Imported)'!$1:$5000,M1634,FALSE)</f>
        <v>0</v>
      </c>
      <c r="R1634">
        <f>HLOOKUP("CPUs",'vInfo (Imported)'!$1:$5000,M1634,FALSE)</f>
        <v>0</v>
      </c>
      <c r="S1634">
        <f>HLOOKUP("Memory",'vInfo (Imported)'!$1:$5000,M1634,FALSE)</f>
        <v>0</v>
      </c>
      <c r="T1634">
        <f>HLOOKUP("Provisioned MiB",'vInfo (Imported)'!$1:$5000,M1634,FALSE)</f>
        <v>0</v>
      </c>
      <c r="U1634">
        <f t="shared" si="76"/>
        <v>0</v>
      </c>
      <c r="V1634">
        <f>HLOOKUP("In Use MiB",'vInfo (Imported)'!$1:$5000,M1634,FALSE)</f>
        <v>0</v>
      </c>
    </row>
    <row r="1635" spans="1:22" ht="13" x14ac:dyDescent="0.3">
      <c r="A1635" s="46">
        <f>'vHosts (Imported)'!A1635</f>
        <v>0</v>
      </c>
      <c r="B1635" s="51">
        <f t="shared" si="75"/>
        <v>4968</v>
      </c>
      <c r="C1635" s="49">
        <f>HLOOKUP("# Cores",'vHosts (Imported)'!$1:$5000,M1635,FALSE)</f>
        <v>0</v>
      </c>
      <c r="D1635" s="52">
        <f>HLOOKUP("# Memory",'vHosts (Imported)'!$1:$5000,M1635,FALSE)</f>
        <v>0</v>
      </c>
      <c r="M1635" s="45">
        <f t="shared" si="77"/>
        <v>1635</v>
      </c>
      <c r="N1635" s="38">
        <f>HLOOKUP("Host",'vInfo (Imported)'!$1:$5000,M1635,FALSE)</f>
        <v>0</v>
      </c>
      <c r="R1635">
        <f>HLOOKUP("CPUs",'vInfo (Imported)'!$1:$5000,M1635,FALSE)</f>
        <v>0</v>
      </c>
      <c r="S1635">
        <f>HLOOKUP("Memory",'vInfo (Imported)'!$1:$5000,M1635,FALSE)</f>
        <v>0</v>
      </c>
      <c r="T1635">
        <f>HLOOKUP("Provisioned MiB",'vInfo (Imported)'!$1:$5000,M1635,FALSE)</f>
        <v>0</v>
      </c>
      <c r="U1635">
        <f t="shared" si="76"/>
        <v>0</v>
      </c>
      <c r="V1635">
        <f>HLOOKUP("In Use MiB",'vInfo (Imported)'!$1:$5000,M1635,FALSE)</f>
        <v>0</v>
      </c>
    </row>
    <row r="1636" spans="1:22" ht="13" x14ac:dyDescent="0.3">
      <c r="A1636" s="46">
        <f>'vHosts (Imported)'!A1636</f>
        <v>0</v>
      </c>
      <c r="B1636" s="51">
        <f t="shared" si="75"/>
        <v>4968</v>
      </c>
      <c r="C1636" s="49">
        <f>HLOOKUP("# Cores",'vHosts (Imported)'!$1:$5000,M1636,FALSE)</f>
        <v>0</v>
      </c>
      <c r="D1636" s="52">
        <f>HLOOKUP("# Memory",'vHosts (Imported)'!$1:$5000,M1636,FALSE)</f>
        <v>0</v>
      </c>
      <c r="M1636" s="45">
        <f t="shared" si="77"/>
        <v>1636</v>
      </c>
      <c r="N1636" s="38">
        <f>HLOOKUP("Host",'vInfo (Imported)'!$1:$5000,M1636,FALSE)</f>
        <v>0</v>
      </c>
      <c r="R1636">
        <f>HLOOKUP("CPUs",'vInfo (Imported)'!$1:$5000,M1636,FALSE)</f>
        <v>0</v>
      </c>
      <c r="S1636">
        <f>HLOOKUP("Memory",'vInfo (Imported)'!$1:$5000,M1636,FALSE)</f>
        <v>0</v>
      </c>
      <c r="T1636">
        <f>HLOOKUP("Provisioned MiB",'vInfo (Imported)'!$1:$5000,M1636,FALSE)</f>
        <v>0</v>
      </c>
      <c r="U1636">
        <f t="shared" si="76"/>
        <v>0</v>
      </c>
      <c r="V1636">
        <f>HLOOKUP("In Use MiB",'vInfo (Imported)'!$1:$5000,M1636,FALSE)</f>
        <v>0</v>
      </c>
    </row>
    <row r="1637" spans="1:22" ht="13" x14ac:dyDescent="0.3">
      <c r="A1637" s="46">
        <f>'vHosts (Imported)'!A1637</f>
        <v>0</v>
      </c>
      <c r="B1637" s="51">
        <f t="shared" si="75"/>
        <v>4968</v>
      </c>
      <c r="C1637" s="49">
        <f>HLOOKUP("# Cores",'vHosts (Imported)'!$1:$5000,M1637,FALSE)</f>
        <v>0</v>
      </c>
      <c r="D1637" s="52">
        <f>HLOOKUP("# Memory",'vHosts (Imported)'!$1:$5000,M1637,FALSE)</f>
        <v>0</v>
      </c>
      <c r="M1637" s="45">
        <f t="shared" si="77"/>
        <v>1637</v>
      </c>
      <c r="N1637" s="38">
        <f>HLOOKUP("Host",'vInfo (Imported)'!$1:$5000,M1637,FALSE)</f>
        <v>0</v>
      </c>
      <c r="R1637">
        <f>HLOOKUP("CPUs",'vInfo (Imported)'!$1:$5000,M1637,FALSE)</f>
        <v>0</v>
      </c>
      <c r="S1637">
        <f>HLOOKUP("Memory",'vInfo (Imported)'!$1:$5000,M1637,FALSE)</f>
        <v>0</v>
      </c>
      <c r="T1637">
        <f>HLOOKUP("Provisioned MiB",'vInfo (Imported)'!$1:$5000,M1637,FALSE)</f>
        <v>0</v>
      </c>
      <c r="U1637">
        <f t="shared" si="76"/>
        <v>0</v>
      </c>
      <c r="V1637">
        <f>HLOOKUP("In Use MiB",'vInfo (Imported)'!$1:$5000,M1637,FALSE)</f>
        <v>0</v>
      </c>
    </row>
    <row r="1638" spans="1:22" ht="13" x14ac:dyDescent="0.3">
      <c r="A1638" s="46">
        <f>'vHosts (Imported)'!A1638</f>
        <v>0</v>
      </c>
      <c r="B1638" s="51">
        <f t="shared" si="75"/>
        <v>4968</v>
      </c>
      <c r="C1638" s="49">
        <f>HLOOKUP("# Cores",'vHosts (Imported)'!$1:$5000,M1638,FALSE)</f>
        <v>0</v>
      </c>
      <c r="D1638" s="52">
        <f>HLOOKUP("# Memory",'vHosts (Imported)'!$1:$5000,M1638,FALSE)</f>
        <v>0</v>
      </c>
      <c r="M1638" s="45">
        <f t="shared" si="77"/>
        <v>1638</v>
      </c>
      <c r="N1638" s="38">
        <f>HLOOKUP("Host",'vInfo (Imported)'!$1:$5000,M1638,FALSE)</f>
        <v>0</v>
      </c>
      <c r="R1638">
        <f>HLOOKUP("CPUs",'vInfo (Imported)'!$1:$5000,M1638,FALSE)</f>
        <v>0</v>
      </c>
      <c r="S1638">
        <f>HLOOKUP("Memory",'vInfo (Imported)'!$1:$5000,M1638,FALSE)</f>
        <v>0</v>
      </c>
      <c r="T1638">
        <f>HLOOKUP("Provisioned MiB",'vInfo (Imported)'!$1:$5000,M1638,FALSE)</f>
        <v>0</v>
      </c>
      <c r="U1638">
        <f t="shared" si="76"/>
        <v>0</v>
      </c>
      <c r="V1638">
        <f>HLOOKUP("In Use MiB",'vInfo (Imported)'!$1:$5000,M1638,FALSE)</f>
        <v>0</v>
      </c>
    </row>
    <row r="1639" spans="1:22" ht="13" x14ac:dyDescent="0.3">
      <c r="A1639" s="46">
        <f>'vHosts (Imported)'!A1639</f>
        <v>0</v>
      </c>
      <c r="B1639" s="51">
        <f t="shared" si="75"/>
        <v>4968</v>
      </c>
      <c r="C1639" s="49">
        <f>HLOOKUP("# Cores",'vHosts (Imported)'!$1:$5000,M1639,FALSE)</f>
        <v>0</v>
      </c>
      <c r="D1639" s="52">
        <f>HLOOKUP("# Memory",'vHosts (Imported)'!$1:$5000,M1639,FALSE)</f>
        <v>0</v>
      </c>
      <c r="M1639" s="45">
        <f t="shared" si="77"/>
        <v>1639</v>
      </c>
      <c r="N1639" s="38">
        <f>HLOOKUP("Host",'vInfo (Imported)'!$1:$5000,M1639,FALSE)</f>
        <v>0</v>
      </c>
      <c r="R1639">
        <f>HLOOKUP("CPUs",'vInfo (Imported)'!$1:$5000,M1639,FALSE)</f>
        <v>0</v>
      </c>
      <c r="S1639">
        <f>HLOOKUP("Memory",'vInfo (Imported)'!$1:$5000,M1639,FALSE)</f>
        <v>0</v>
      </c>
      <c r="T1639">
        <f>HLOOKUP("Provisioned MiB",'vInfo (Imported)'!$1:$5000,M1639,FALSE)</f>
        <v>0</v>
      </c>
      <c r="U1639">
        <f t="shared" si="76"/>
        <v>0</v>
      </c>
      <c r="V1639">
        <f>HLOOKUP("In Use MiB",'vInfo (Imported)'!$1:$5000,M1639,FALSE)</f>
        <v>0</v>
      </c>
    </row>
    <row r="1640" spans="1:22" ht="13" x14ac:dyDescent="0.3">
      <c r="A1640" s="46">
        <f>'vHosts (Imported)'!A1640</f>
        <v>0</v>
      </c>
      <c r="B1640" s="51">
        <f t="shared" ref="B1640:B1703" si="78">COUNTIF(N:N,A1640)</f>
        <v>4968</v>
      </c>
      <c r="C1640" s="49">
        <f>HLOOKUP("# Cores",'vHosts (Imported)'!$1:$5000,M1640,FALSE)</f>
        <v>0</v>
      </c>
      <c r="D1640" s="52">
        <f>HLOOKUP("# Memory",'vHosts (Imported)'!$1:$5000,M1640,FALSE)</f>
        <v>0</v>
      </c>
      <c r="M1640" s="45">
        <f t="shared" si="77"/>
        <v>1640</v>
      </c>
      <c r="N1640" s="38">
        <f>HLOOKUP("Host",'vInfo (Imported)'!$1:$5000,M1640,FALSE)</f>
        <v>0</v>
      </c>
      <c r="R1640">
        <f>HLOOKUP("CPUs",'vInfo (Imported)'!$1:$5000,M1640,FALSE)</f>
        <v>0</v>
      </c>
      <c r="S1640">
        <f>HLOOKUP("Memory",'vInfo (Imported)'!$1:$5000,M1640,FALSE)</f>
        <v>0</v>
      </c>
      <c r="T1640">
        <f>HLOOKUP("Provisioned MiB",'vInfo (Imported)'!$1:$5000,M1640,FALSE)</f>
        <v>0</v>
      </c>
      <c r="U1640">
        <f t="shared" si="76"/>
        <v>0</v>
      </c>
      <c r="V1640">
        <f>HLOOKUP("In Use MiB",'vInfo (Imported)'!$1:$5000,M1640,FALSE)</f>
        <v>0</v>
      </c>
    </row>
    <row r="1641" spans="1:22" ht="13" x14ac:dyDescent="0.3">
      <c r="A1641" s="46">
        <f>'vHosts (Imported)'!A1641</f>
        <v>0</v>
      </c>
      <c r="B1641" s="51">
        <f t="shared" si="78"/>
        <v>4968</v>
      </c>
      <c r="C1641" s="49">
        <f>HLOOKUP("# Cores",'vHosts (Imported)'!$1:$5000,M1641,FALSE)</f>
        <v>0</v>
      </c>
      <c r="D1641" s="52">
        <f>HLOOKUP("# Memory",'vHosts (Imported)'!$1:$5000,M1641,FALSE)</f>
        <v>0</v>
      </c>
      <c r="M1641" s="45">
        <f t="shared" si="77"/>
        <v>1641</v>
      </c>
      <c r="N1641" s="38">
        <f>HLOOKUP("Host",'vInfo (Imported)'!$1:$5000,M1641,FALSE)</f>
        <v>0</v>
      </c>
      <c r="R1641">
        <f>HLOOKUP("CPUs",'vInfo (Imported)'!$1:$5000,M1641,FALSE)</f>
        <v>0</v>
      </c>
      <c r="S1641">
        <f>HLOOKUP("Memory",'vInfo (Imported)'!$1:$5000,M1641,FALSE)</f>
        <v>0</v>
      </c>
      <c r="T1641">
        <f>HLOOKUP("Provisioned MiB",'vInfo (Imported)'!$1:$5000,M1641,FALSE)</f>
        <v>0</v>
      </c>
      <c r="U1641">
        <f t="shared" si="76"/>
        <v>0</v>
      </c>
      <c r="V1641">
        <f>HLOOKUP("In Use MiB",'vInfo (Imported)'!$1:$5000,M1641,FALSE)</f>
        <v>0</v>
      </c>
    </row>
    <row r="1642" spans="1:22" ht="13" x14ac:dyDescent="0.3">
      <c r="A1642" s="46">
        <f>'vHosts (Imported)'!A1642</f>
        <v>0</v>
      </c>
      <c r="B1642" s="51">
        <f t="shared" si="78"/>
        <v>4968</v>
      </c>
      <c r="C1642" s="49">
        <f>HLOOKUP("# Cores",'vHosts (Imported)'!$1:$5000,M1642,FALSE)</f>
        <v>0</v>
      </c>
      <c r="D1642" s="52">
        <f>HLOOKUP("# Memory",'vHosts (Imported)'!$1:$5000,M1642,FALSE)</f>
        <v>0</v>
      </c>
      <c r="M1642" s="45">
        <f t="shared" si="77"/>
        <v>1642</v>
      </c>
      <c r="N1642" s="38">
        <f>HLOOKUP("Host",'vInfo (Imported)'!$1:$5000,M1642,FALSE)</f>
        <v>0</v>
      </c>
      <c r="R1642">
        <f>HLOOKUP("CPUs",'vInfo (Imported)'!$1:$5000,M1642,FALSE)</f>
        <v>0</v>
      </c>
      <c r="S1642">
        <f>HLOOKUP("Memory",'vInfo (Imported)'!$1:$5000,M1642,FALSE)</f>
        <v>0</v>
      </c>
      <c r="T1642">
        <f>HLOOKUP("Provisioned MiB",'vInfo (Imported)'!$1:$5000,M1642,FALSE)</f>
        <v>0</v>
      </c>
      <c r="U1642">
        <f t="shared" si="76"/>
        <v>0</v>
      </c>
      <c r="V1642">
        <f>HLOOKUP("In Use MiB",'vInfo (Imported)'!$1:$5000,M1642,FALSE)</f>
        <v>0</v>
      </c>
    </row>
    <row r="1643" spans="1:22" ht="13" x14ac:dyDescent="0.3">
      <c r="A1643" s="46">
        <f>'vHosts (Imported)'!A1643</f>
        <v>0</v>
      </c>
      <c r="B1643" s="51">
        <f t="shared" si="78"/>
        <v>4968</v>
      </c>
      <c r="C1643" s="49">
        <f>HLOOKUP("# Cores",'vHosts (Imported)'!$1:$5000,M1643,FALSE)</f>
        <v>0</v>
      </c>
      <c r="D1643" s="52">
        <f>HLOOKUP("# Memory",'vHosts (Imported)'!$1:$5000,M1643,FALSE)</f>
        <v>0</v>
      </c>
      <c r="M1643" s="45">
        <f t="shared" si="77"/>
        <v>1643</v>
      </c>
      <c r="N1643" s="38">
        <f>HLOOKUP("Host",'vInfo (Imported)'!$1:$5000,M1643,FALSE)</f>
        <v>0</v>
      </c>
      <c r="R1643">
        <f>HLOOKUP("CPUs",'vInfo (Imported)'!$1:$5000,M1643,FALSE)</f>
        <v>0</v>
      </c>
      <c r="S1643">
        <f>HLOOKUP("Memory",'vInfo (Imported)'!$1:$5000,M1643,FALSE)</f>
        <v>0</v>
      </c>
      <c r="T1643">
        <f>HLOOKUP("Provisioned MiB",'vInfo (Imported)'!$1:$5000,M1643,FALSE)</f>
        <v>0</v>
      </c>
      <c r="U1643">
        <f t="shared" si="76"/>
        <v>0</v>
      </c>
      <c r="V1643">
        <f>HLOOKUP("In Use MiB",'vInfo (Imported)'!$1:$5000,M1643,FALSE)</f>
        <v>0</v>
      </c>
    </row>
    <row r="1644" spans="1:22" ht="13" x14ac:dyDescent="0.3">
      <c r="A1644" s="46">
        <f>'vHosts (Imported)'!A1644</f>
        <v>0</v>
      </c>
      <c r="B1644" s="51">
        <f t="shared" si="78"/>
        <v>4968</v>
      </c>
      <c r="C1644" s="49">
        <f>HLOOKUP("# Cores",'vHosts (Imported)'!$1:$5000,M1644,FALSE)</f>
        <v>0</v>
      </c>
      <c r="D1644" s="52">
        <f>HLOOKUP("# Memory",'vHosts (Imported)'!$1:$5000,M1644,FALSE)</f>
        <v>0</v>
      </c>
      <c r="M1644" s="45">
        <f t="shared" si="77"/>
        <v>1644</v>
      </c>
      <c r="N1644" s="38">
        <f>HLOOKUP("Host",'vInfo (Imported)'!$1:$5000,M1644,FALSE)</f>
        <v>0</v>
      </c>
      <c r="R1644">
        <f>HLOOKUP("CPUs",'vInfo (Imported)'!$1:$5000,M1644,FALSE)</f>
        <v>0</v>
      </c>
      <c r="S1644">
        <f>HLOOKUP("Memory",'vInfo (Imported)'!$1:$5000,M1644,FALSE)</f>
        <v>0</v>
      </c>
      <c r="T1644">
        <f>HLOOKUP("Provisioned MiB",'vInfo (Imported)'!$1:$5000,M1644,FALSE)</f>
        <v>0</v>
      </c>
      <c r="U1644">
        <f t="shared" si="76"/>
        <v>0</v>
      </c>
      <c r="V1644">
        <f>HLOOKUP("In Use MiB",'vInfo (Imported)'!$1:$5000,M1644,FALSE)</f>
        <v>0</v>
      </c>
    </row>
    <row r="1645" spans="1:22" ht="13" x14ac:dyDescent="0.3">
      <c r="A1645" s="46">
        <f>'vHosts (Imported)'!A1645</f>
        <v>0</v>
      </c>
      <c r="B1645" s="51">
        <f t="shared" si="78"/>
        <v>4968</v>
      </c>
      <c r="C1645" s="49">
        <f>HLOOKUP("# Cores",'vHosts (Imported)'!$1:$5000,M1645,FALSE)</f>
        <v>0</v>
      </c>
      <c r="D1645" s="52">
        <f>HLOOKUP("# Memory",'vHosts (Imported)'!$1:$5000,M1645,FALSE)</f>
        <v>0</v>
      </c>
      <c r="M1645" s="45">
        <f t="shared" si="77"/>
        <v>1645</v>
      </c>
      <c r="N1645" s="38">
        <f>HLOOKUP("Host",'vInfo (Imported)'!$1:$5000,M1645,FALSE)</f>
        <v>0</v>
      </c>
      <c r="R1645">
        <f>HLOOKUP("CPUs",'vInfo (Imported)'!$1:$5000,M1645,FALSE)</f>
        <v>0</v>
      </c>
      <c r="S1645">
        <f>HLOOKUP("Memory",'vInfo (Imported)'!$1:$5000,M1645,FALSE)</f>
        <v>0</v>
      </c>
      <c r="T1645">
        <f>HLOOKUP("Provisioned MiB",'vInfo (Imported)'!$1:$5000,M1645,FALSE)</f>
        <v>0</v>
      </c>
      <c r="U1645">
        <f t="shared" si="76"/>
        <v>0</v>
      </c>
      <c r="V1645">
        <f>HLOOKUP("In Use MiB",'vInfo (Imported)'!$1:$5000,M1645,FALSE)</f>
        <v>0</v>
      </c>
    </row>
    <row r="1646" spans="1:22" ht="13" x14ac:dyDescent="0.3">
      <c r="A1646" s="46">
        <f>'vHosts (Imported)'!A1646</f>
        <v>0</v>
      </c>
      <c r="B1646" s="51">
        <f t="shared" si="78"/>
        <v>4968</v>
      </c>
      <c r="C1646" s="49">
        <f>HLOOKUP("# Cores",'vHosts (Imported)'!$1:$5000,M1646,FALSE)</f>
        <v>0</v>
      </c>
      <c r="D1646" s="52">
        <f>HLOOKUP("# Memory",'vHosts (Imported)'!$1:$5000,M1646,FALSE)</f>
        <v>0</v>
      </c>
      <c r="M1646" s="45">
        <f t="shared" si="77"/>
        <v>1646</v>
      </c>
      <c r="N1646" s="38">
        <f>HLOOKUP("Host",'vInfo (Imported)'!$1:$5000,M1646,FALSE)</f>
        <v>0</v>
      </c>
      <c r="R1646">
        <f>HLOOKUP("CPUs",'vInfo (Imported)'!$1:$5000,M1646,FALSE)</f>
        <v>0</v>
      </c>
      <c r="S1646">
        <f>HLOOKUP("Memory",'vInfo (Imported)'!$1:$5000,M1646,FALSE)</f>
        <v>0</v>
      </c>
      <c r="T1646">
        <f>HLOOKUP("Provisioned MiB",'vInfo (Imported)'!$1:$5000,M1646,FALSE)</f>
        <v>0</v>
      </c>
      <c r="U1646">
        <f t="shared" si="76"/>
        <v>0</v>
      </c>
      <c r="V1646">
        <f>HLOOKUP("In Use MiB",'vInfo (Imported)'!$1:$5000,M1646,FALSE)</f>
        <v>0</v>
      </c>
    </row>
    <row r="1647" spans="1:22" ht="13" x14ac:dyDescent="0.3">
      <c r="A1647" s="46">
        <f>'vHosts (Imported)'!A1647</f>
        <v>0</v>
      </c>
      <c r="B1647" s="51">
        <f t="shared" si="78"/>
        <v>4968</v>
      </c>
      <c r="C1647" s="49">
        <f>HLOOKUP("# Cores",'vHosts (Imported)'!$1:$5000,M1647,FALSE)</f>
        <v>0</v>
      </c>
      <c r="D1647" s="52">
        <f>HLOOKUP("# Memory",'vHosts (Imported)'!$1:$5000,M1647,FALSE)</f>
        <v>0</v>
      </c>
      <c r="M1647" s="45">
        <f t="shared" si="77"/>
        <v>1647</v>
      </c>
      <c r="N1647" s="38">
        <f>HLOOKUP("Host",'vInfo (Imported)'!$1:$5000,M1647,FALSE)</f>
        <v>0</v>
      </c>
      <c r="R1647">
        <f>HLOOKUP("CPUs",'vInfo (Imported)'!$1:$5000,M1647,FALSE)</f>
        <v>0</v>
      </c>
      <c r="S1647">
        <f>HLOOKUP("Memory",'vInfo (Imported)'!$1:$5000,M1647,FALSE)</f>
        <v>0</v>
      </c>
      <c r="T1647">
        <f>HLOOKUP("Provisioned MiB",'vInfo (Imported)'!$1:$5000,M1647,FALSE)</f>
        <v>0</v>
      </c>
      <c r="U1647">
        <f t="shared" si="76"/>
        <v>0</v>
      </c>
      <c r="V1647">
        <f>HLOOKUP("In Use MiB",'vInfo (Imported)'!$1:$5000,M1647,FALSE)</f>
        <v>0</v>
      </c>
    </row>
    <row r="1648" spans="1:22" ht="13" x14ac:dyDescent="0.3">
      <c r="A1648" s="46">
        <f>'vHosts (Imported)'!A1648</f>
        <v>0</v>
      </c>
      <c r="B1648" s="51">
        <f t="shared" si="78"/>
        <v>4968</v>
      </c>
      <c r="C1648" s="49">
        <f>HLOOKUP("# Cores",'vHosts (Imported)'!$1:$5000,M1648,FALSE)</f>
        <v>0</v>
      </c>
      <c r="D1648" s="52">
        <f>HLOOKUP("# Memory",'vHosts (Imported)'!$1:$5000,M1648,FALSE)</f>
        <v>0</v>
      </c>
      <c r="M1648" s="45">
        <f t="shared" si="77"/>
        <v>1648</v>
      </c>
      <c r="N1648" s="38">
        <f>HLOOKUP("Host",'vInfo (Imported)'!$1:$5000,M1648,FALSE)</f>
        <v>0</v>
      </c>
      <c r="R1648">
        <f>HLOOKUP("CPUs",'vInfo (Imported)'!$1:$5000,M1648,FALSE)</f>
        <v>0</v>
      </c>
      <c r="S1648">
        <f>HLOOKUP("Memory",'vInfo (Imported)'!$1:$5000,M1648,FALSE)</f>
        <v>0</v>
      </c>
      <c r="T1648">
        <f>HLOOKUP("Provisioned MiB",'vInfo (Imported)'!$1:$5000,M1648,FALSE)</f>
        <v>0</v>
      </c>
      <c r="U1648">
        <f t="shared" si="76"/>
        <v>0</v>
      </c>
      <c r="V1648">
        <f>HLOOKUP("In Use MiB",'vInfo (Imported)'!$1:$5000,M1648,FALSE)</f>
        <v>0</v>
      </c>
    </row>
    <row r="1649" spans="1:22" ht="13" x14ac:dyDescent="0.3">
      <c r="A1649" s="46">
        <f>'vHosts (Imported)'!A1649</f>
        <v>0</v>
      </c>
      <c r="B1649" s="51">
        <f t="shared" si="78"/>
        <v>4968</v>
      </c>
      <c r="C1649" s="49">
        <f>HLOOKUP("# Cores",'vHosts (Imported)'!$1:$5000,M1649,FALSE)</f>
        <v>0</v>
      </c>
      <c r="D1649" s="52">
        <f>HLOOKUP("# Memory",'vHosts (Imported)'!$1:$5000,M1649,FALSE)</f>
        <v>0</v>
      </c>
      <c r="M1649" s="45">
        <f t="shared" si="77"/>
        <v>1649</v>
      </c>
      <c r="N1649" s="38">
        <f>HLOOKUP("Host",'vInfo (Imported)'!$1:$5000,M1649,FALSE)</f>
        <v>0</v>
      </c>
      <c r="R1649">
        <f>HLOOKUP("CPUs",'vInfo (Imported)'!$1:$5000,M1649,FALSE)</f>
        <v>0</v>
      </c>
      <c r="S1649">
        <f>HLOOKUP("Memory",'vInfo (Imported)'!$1:$5000,M1649,FALSE)</f>
        <v>0</v>
      </c>
      <c r="T1649">
        <f>HLOOKUP("Provisioned MiB",'vInfo (Imported)'!$1:$5000,M1649,FALSE)</f>
        <v>0</v>
      </c>
      <c r="U1649">
        <f t="shared" si="76"/>
        <v>0</v>
      </c>
      <c r="V1649">
        <f>HLOOKUP("In Use MiB",'vInfo (Imported)'!$1:$5000,M1649,FALSE)</f>
        <v>0</v>
      </c>
    </row>
    <row r="1650" spans="1:22" ht="13" x14ac:dyDescent="0.3">
      <c r="A1650" s="46">
        <f>'vHosts (Imported)'!A1650</f>
        <v>0</v>
      </c>
      <c r="B1650" s="51">
        <f t="shared" si="78"/>
        <v>4968</v>
      </c>
      <c r="C1650" s="49">
        <f>HLOOKUP("# Cores",'vHosts (Imported)'!$1:$5000,M1650,FALSE)</f>
        <v>0</v>
      </c>
      <c r="D1650" s="52">
        <f>HLOOKUP("# Memory",'vHosts (Imported)'!$1:$5000,M1650,FALSE)</f>
        <v>0</v>
      </c>
      <c r="M1650" s="45">
        <f t="shared" si="77"/>
        <v>1650</v>
      </c>
      <c r="N1650" s="38">
        <f>HLOOKUP("Host",'vInfo (Imported)'!$1:$5000,M1650,FALSE)</f>
        <v>0</v>
      </c>
      <c r="R1650">
        <f>HLOOKUP("CPUs",'vInfo (Imported)'!$1:$5000,M1650,FALSE)</f>
        <v>0</v>
      </c>
      <c r="S1650">
        <f>HLOOKUP("Memory",'vInfo (Imported)'!$1:$5000,M1650,FALSE)</f>
        <v>0</v>
      </c>
      <c r="T1650">
        <f>HLOOKUP("Provisioned MiB",'vInfo (Imported)'!$1:$5000,M1650,FALSE)</f>
        <v>0</v>
      </c>
      <c r="U1650">
        <f t="shared" si="76"/>
        <v>0</v>
      </c>
      <c r="V1650">
        <f>HLOOKUP("In Use MiB",'vInfo (Imported)'!$1:$5000,M1650,FALSE)</f>
        <v>0</v>
      </c>
    </row>
    <row r="1651" spans="1:22" ht="13" x14ac:dyDescent="0.3">
      <c r="A1651" s="46">
        <f>'vHosts (Imported)'!A1651</f>
        <v>0</v>
      </c>
      <c r="B1651" s="51">
        <f t="shared" si="78"/>
        <v>4968</v>
      </c>
      <c r="C1651" s="49">
        <f>HLOOKUP("# Cores",'vHosts (Imported)'!$1:$5000,M1651,FALSE)</f>
        <v>0</v>
      </c>
      <c r="D1651" s="52">
        <f>HLOOKUP("# Memory",'vHosts (Imported)'!$1:$5000,M1651,FALSE)</f>
        <v>0</v>
      </c>
      <c r="M1651" s="45">
        <f t="shared" si="77"/>
        <v>1651</v>
      </c>
      <c r="N1651" s="38">
        <f>HLOOKUP("Host",'vInfo (Imported)'!$1:$5000,M1651,FALSE)</f>
        <v>0</v>
      </c>
      <c r="R1651">
        <f>HLOOKUP("CPUs",'vInfo (Imported)'!$1:$5000,M1651,FALSE)</f>
        <v>0</v>
      </c>
      <c r="S1651">
        <f>HLOOKUP("Memory",'vInfo (Imported)'!$1:$5000,M1651,FALSE)</f>
        <v>0</v>
      </c>
      <c r="T1651">
        <f>HLOOKUP("Provisioned MiB",'vInfo (Imported)'!$1:$5000,M1651,FALSE)</f>
        <v>0</v>
      </c>
      <c r="U1651">
        <f t="shared" si="76"/>
        <v>0</v>
      </c>
      <c r="V1651">
        <f>HLOOKUP("In Use MiB",'vInfo (Imported)'!$1:$5000,M1651,FALSE)</f>
        <v>0</v>
      </c>
    </row>
    <row r="1652" spans="1:22" ht="13" x14ac:dyDescent="0.3">
      <c r="A1652" s="46">
        <f>'vHosts (Imported)'!A1652</f>
        <v>0</v>
      </c>
      <c r="B1652" s="51">
        <f t="shared" si="78"/>
        <v>4968</v>
      </c>
      <c r="C1652" s="49">
        <f>HLOOKUP("# Cores",'vHosts (Imported)'!$1:$5000,M1652,FALSE)</f>
        <v>0</v>
      </c>
      <c r="D1652" s="52">
        <f>HLOOKUP("# Memory",'vHosts (Imported)'!$1:$5000,M1652,FALSE)</f>
        <v>0</v>
      </c>
      <c r="M1652" s="45">
        <f t="shared" si="77"/>
        <v>1652</v>
      </c>
      <c r="N1652" s="38">
        <f>HLOOKUP("Host",'vInfo (Imported)'!$1:$5000,M1652,FALSE)</f>
        <v>0</v>
      </c>
      <c r="R1652">
        <f>HLOOKUP("CPUs",'vInfo (Imported)'!$1:$5000,M1652,FALSE)</f>
        <v>0</v>
      </c>
      <c r="S1652">
        <f>HLOOKUP("Memory",'vInfo (Imported)'!$1:$5000,M1652,FALSE)</f>
        <v>0</v>
      </c>
      <c r="T1652">
        <f>HLOOKUP("Provisioned MiB",'vInfo (Imported)'!$1:$5000,M1652,FALSE)</f>
        <v>0</v>
      </c>
      <c r="U1652">
        <f t="shared" si="76"/>
        <v>0</v>
      </c>
      <c r="V1652">
        <f>HLOOKUP("In Use MiB",'vInfo (Imported)'!$1:$5000,M1652,FALSE)</f>
        <v>0</v>
      </c>
    </row>
    <row r="1653" spans="1:22" ht="13" x14ac:dyDescent="0.3">
      <c r="A1653" s="46">
        <f>'vHosts (Imported)'!A1653</f>
        <v>0</v>
      </c>
      <c r="B1653" s="51">
        <f t="shared" si="78"/>
        <v>4968</v>
      </c>
      <c r="C1653" s="49">
        <f>HLOOKUP("# Cores",'vHosts (Imported)'!$1:$5000,M1653,FALSE)</f>
        <v>0</v>
      </c>
      <c r="D1653" s="52">
        <f>HLOOKUP("# Memory",'vHosts (Imported)'!$1:$5000,M1653,FALSE)</f>
        <v>0</v>
      </c>
      <c r="M1653" s="45">
        <f t="shared" si="77"/>
        <v>1653</v>
      </c>
      <c r="N1653" s="38">
        <f>HLOOKUP("Host",'vInfo (Imported)'!$1:$5000,M1653,FALSE)</f>
        <v>0</v>
      </c>
      <c r="R1653">
        <f>HLOOKUP("CPUs",'vInfo (Imported)'!$1:$5000,M1653,FALSE)</f>
        <v>0</v>
      </c>
      <c r="S1653">
        <f>HLOOKUP("Memory",'vInfo (Imported)'!$1:$5000,M1653,FALSE)</f>
        <v>0</v>
      </c>
      <c r="T1653">
        <f>HLOOKUP("Provisioned MiB",'vInfo (Imported)'!$1:$5000,M1653,FALSE)</f>
        <v>0</v>
      </c>
      <c r="U1653">
        <f t="shared" si="76"/>
        <v>0</v>
      </c>
      <c r="V1653">
        <f>HLOOKUP("In Use MiB",'vInfo (Imported)'!$1:$5000,M1653,FALSE)</f>
        <v>0</v>
      </c>
    </row>
    <row r="1654" spans="1:22" ht="13" x14ac:dyDescent="0.3">
      <c r="A1654" s="46">
        <f>'vHosts (Imported)'!A1654</f>
        <v>0</v>
      </c>
      <c r="B1654" s="51">
        <f t="shared" si="78"/>
        <v>4968</v>
      </c>
      <c r="C1654" s="49">
        <f>HLOOKUP("# Cores",'vHosts (Imported)'!$1:$5000,M1654,FALSE)</f>
        <v>0</v>
      </c>
      <c r="D1654" s="52">
        <f>HLOOKUP("# Memory",'vHosts (Imported)'!$1:$5000,M1654,FALSE)</f>
        <v>0</v>
      </c>
      <c r="M1654" s="45">
        <f t="shared" si="77"/>
        <v>1654</v>
      </c>
      <c r="N1654" s="38">
        <f>HLOOKUP("Host",'vInfo (Imported)'!$1:$5000,M1654,FALSE)</f>
        <v>0</v>
      </c>
      <c r="R1654">
        <f>HLOOKUP("CPUs",'vInfo (Imported)'!$1:$5000,M1654,FALSE)</f>
        <v>0</v>
      </c>
      <c r="S1654">
        <f>HLOOKUP("Memory",'vInfo (Imported)'!$1:$5000,M1654,FALSE)</f>
        <v>0</v>
      </c>
      <c r="T1654">
        <f>HLOOKUP("Provisioned MiB",'vInfo (Imported)'!$1:$5000,M1654,FALSE)</f>
        <v>0</v>
      </c>
      <c r="U1654">
        <f t="shared" si="76"/>
        <v>0</v>
      </c>
      <c r="V1654">
        <f>HLOOKUP("In Use MiB",'vInfo (Imported)'!$1:$5000,M1654,FALSE)</f>
        <v>0</v>
      </c>
    </row>
    <row r="1655" spans="1:22" ht="13" x14ac:dyDescent="0.3">
      <c r="A1655" s="46">
        <f>'vHosts (Imported)'!A1655</f>
        <v>0</v>
      </c>
      <c r="B1655" s="51">
        <f t="shared" si="78"/>
        <v>4968</v>
      </c>
      <c r="C1655" s="49">
        <f>HLOOKUP("# Cores",'vHosts (Imported)'!$1:$5000,M1655,FALSE)</f>
        <v>0</v>
      </c>
      <c r="D1655" s="52">
        <f>HLOOKUP("# Memory",'vHosts (Imported)'!$1:$5000,M1655,FALSE)</f>
        <v>0</v>
      </c>
      <c r="M1655" s="45">
        <f t="shared" si="77"/>
        <v>1655</v>
      </c>
      <c r="N1655" s="38">
        <f>HLOOKUP("Host",'vInfo (Imported)'!$1:$5000,M1655,FALSE)</f>
        <v>0</v>
      </c>
      <c r="R1655">
        <f>HLOOKUP("CPUs",'vInfo (Imported)'!$1:$5000,M1655,FALSE)</f>
        <v>0</v>
      </c>
      <c r="S1655">
        <f>HLOOKUP("Memory",'vInfo (Imported)'!$1:$5000,M1655,FALSE)</f>
        <v>0</v>
      </c>
      <c r="T1655">
        <f>HLOOKUP("Provisioned MiB",'vInfo (Imported)'!$1:$5000,M1655,FALSE)</f>
        <v>0</v>
      </c>
      <c r="U1655">
        <f t="shared" si="76"/>
        <v>0</v>
      </c>
      <c r="V1655">
        <f>HLOOKUP("In Use MiB",'vInfo (Imported)'!$1:$5000,M1655,FALSE)</f>
        <v>0</v>
      </c>
    </row>
    <row r="1656" spans="1:22" ht="13" x14ac:dyDescent="0.3">
      <c r="A1656" s="46">
        <f>'vHosts (Imported)'!A1656</f>
        <v>0</v>
      </c>
      <c r="B1656" s="51">
        <f t="shared" si="78"/>
        <v>4968</v>
      </c>
      <c r="C1656" s="49">
        <f>HLOOKUP("# Cores",'vHosts (Imported)'!$1:$5000,M1656,FALSE)</f>
        <v>0</v>
      </c>
      <c r="D1656" s="52">
        <f>HLOOKUP("# Memory",'vHosts (Imported)'!$1:$5000,M1656,FALSE)</f>
        <v>0</v>
      </c>
      <c r="M1656" s="45">
        <f t="shared" si="77"/>
        <v>1656</v>
      </c>
      <c r="N1656" s="38">
        <f>HLOOKUP("Host",'vInfo (Imported)'!$1:$5000,M1656,FALSE)</f>
        <v>0</v>
      </c>
      <c r="R1656">
        <f>HLOOKUP("CPUs",'vInfo (Imported)'!$1:$5000,M1656,FALSE)</f>
        <v>0</v>
      </c>
      <c r="S1656">
        <f>HLOOKUP("Memory",'vInfo (Imported)'!$1:$5000,M1656,FALSE)</f>
        <v>0</v>
      </c>
      <c r="T1656">
        <f>HLOOKUP("Provisioned MiB",'vInfo (Imported)'!$1:$5000,M1656,FALSE)</f>
        <v>0</v>
      </c>
      <c r="U1656">
        <f t="shared" si="76"/>
        <v>0</v>
      </c>
      <c r="V1656">
        <f>HLOOKUP("In Use MiB",'vInfo (Imported)'!$1:$5000,M1656,FALSE)</f>
        <v>0</v>
      </c>
    </row>
    <row r="1657" spans="1:22" ht="13" x14ac:dyDescent="0.3">
      <c r="A1657" s="46">
        <f>'vHosts (Imported)'!A1657</f>
        <v>0</v>
      </c>
      <c r="B1657" s="51">
        <f t="shared" si="78"/>
        <v>4968</v>
      </c>
      <c r="C1657" s="49">
        <f>HLOOKUP("# Cores",'vHosts (Imported)'!$1:$5000,M1657,FALSE)</f>
        <v>0</v>
      </c>
      <c r="D1657" s="52">
        <f>HLOOKUP("# Memory",'vHosts (Imported)'!$1:$5000,M1657,FALSE)</f>
        <v>0</v>
      </c>
      <c r="M1657" s="45">
        <f t="shared" si="77"/>
        <v>1657</v>
      </c>
      <c r="N1657" s="38">
        <f>HLOOKUP("Host",'vInfo (Imported)'!$1:$5000,M1657,FALSE)</f>
        <v>0</v>
      </c>
      <c r="R1657">
        <f>HLOOKUP("CPUs",'vInfo (Imported)'!$1:$5000,M1657,FALSE)</f>
        <v>0</v>
      </c>
      <c r="S1657">
        <f>HLOOKUP("Memory",'vInfo (Imported)'!$1:$5000,M1657,FALSE)</f>
        <v>0</v>
      </c>
      <c r="T1657">
        <f>HLOOKUP("Provisioned MiB",'vInfo (Imported)'!$1:$5000,M1657,FALSE)</f>
        <v>0</v>
      </c>
      <c r="U1657">
        <f t="shared" si="76"/>
        <v>0</v>
      </c>
      <c r="V1657">
        <f>HLOOKUP("In Use MiB",'vInfo (Imported)'!$1:$5000,M1657,FALSE)</f>
        <v>0</v>
      </c>
    </row>
    <row r="1658" spans="1:22" ht="13" x14ac:dyDescent="0.3">
      <c r="A1658" s="46">
        <f>'vHosts (Imported)'!A1658</f>
        <v>0</v>
      </c>
      <c r="B1658" s="51">
        <f t="shared" si="78"/>
        <v>4968</v>
      </c>
      <c r="C1658" s="49">
        <f>HLOOKUP("# Cores",'vHosts (Imported)'!$1:$5000,M1658,FALSE)</f>
        <v>0</v>
      </c>
      <c r="D1658" s="52">
        <f>HLOOKUP("# Memory",'vHosts (Imported)'!$1:$5000,M1658,FALSE)</f>
        <v>0</v>
      </c>
      <c r="M1658" s="45">
        <f t="shared" si="77"/>
        <v>1658</v>
      </c>
      <c r="N1658" s="38">
        <f>HLOOKUP("Host",'vInfo (Imported)'!$1:$5000,M1658,FALSE)</f>
        <v>0</v>
      </c>
      <c r="R1658">
        <f>HLOOKUP("CPUs",'vInfo (Imported)'!$1:$5000,M1658,FALSE)</f>
        <v>0</v>
      </c>
      <c r="S1658">
        <f>HLOOKUP("Memory",'vInfo (Imported)'!$1:$5000,M1658,FALSE)</f>
        <v>0</v>
      </c>
      <c r="T1658">
        <f>HLOOKUP("Provisioned MiB",'vInfo (Imported)'!$1:$5000,M1658,FALSE)</f>
        <v>0</v>
      </c>
      <c r="U1658">
        <f t="shared" si="76"/>
        <v>0</v>
      </c>
      <c r="V1658">
        <f>HLOOKUP("In Use MiB",'vInfo (Imported)'!$1:$5000,M1658,FALSE)</f>
        <v>0</v>
      </c>
    </row>
    <row r="1659" spans="1:22" ht="13" x14ac:dyDescent="0.3">
      <c r="A1659" s="46">
        <f>'vHosts (Imported)'!A1659</f>
        <v>0</v>
      </c>
      <c r="B1659" s="51">
        <f t="shared" si="78"/>
        <v>4968</v>
      </c>
      <c r="C1659" s="49">
        <f>HLOOKUP("# Cores",'vHosts (Imported)'!$1:$5000,M1659,FALSE)</f>
        <v>0</v>
      </c>
      <c r="D1659" s="52">
        <f>HLOOKUP("# Memory",'vHosts (Imported)'!$1:$5000,M1659,FALSE)</f>
        <v>0</v>
      </c>
      <c r="M1659" s="45">
        <f t="shared" si="77"/>
        <v>1659</v>
      </c>
      <c r="N1659" s="38">
        <f>HLOOKUP("Host",'vInfo (Imported)'!$1:$5000,M1659,FALSE)</f>
        <v>0</v>
      </c>
      <c r="R1659">
        <f>HLOOKUP("CPUs",'vInfo (Imported)'!$1:$5000,M1659,FALSE)</f>
        <v>0</v>
      </c>
      <c r="S1659">
        <f>HLOOKUP("Memory",'vInfo (Imported)'!$1:$5000,M1659,FALSE)</f>
        <v>0</v>
      </c>
      <c r="T1659">
        <f>HLOOKUP("Provisioned MiB",'vInfo (Imported)'!$1:$5000,M1659,FALSE)</f>
        <v>0</v>
      </c>
      <c r="U1659">
        <f t="shared" si="76"/>
        <v>0</v>
      </c>
      <c r="V1659">
        <f>HLOOKUP("In Use MiB",'vInfo (Imported)'!$1:$5000,M1659,FALSE)</f>
        <v>0</v>
      </c>
    </row>
    <row r="1660" spans="1:22" ht="13" x14ac:dyDescent="0.3">
      <c r="A1660" s="46">
        <f>'vHosts (Imported)'!A1660</f>
        <v>0</v>
      </c>
      <c r="B1660" s="51">
        <f t="shared" si="78"/>
        <v>4968</v>
      </c>
      <c r="C1660" s="49">
        <f>HLOOKUP("# Cores",'vHosts (Imported)'!$1:$5000,M1660,FALSE)</f>
        <v>0</v>
      </c>
      <c r="D1660" s="52">
        <f>HLOOKUP("# Memory",'vHosts (Imported)'!$1:$5000,M1660,FALSE)</f>
        <v>0</v>
      </c>
      <c r="M1660" s="45">
        <f t="shared" si="77"/>
        <v>1660</v>
      </c>
      <c r="N1660" s="38">
        <f>HLOOKUP("Host",'vInfo (Imported)'!$1:$5000,M1660,FALSE)</f>
        <v>0</v>
      </c>
      <c r="R1660">
        <f>HLOOKUP("CPUs",'vInfo (Imported)'!$1:$5000,M1660,FALSE)</f>
        <v>0</v>
      </c>
      <c r="S1660">
        <f>HLOOKUP("Memory",'vInfo (Imported)'!$1:$5000,M1660,FALSE)</f>
        <v>0</v>
      </c>
      <c r="T1660">
        <f>HLOOKUP("Provisioned MiB",'vInfo (Imported)'!$1:$5000,M1660,FALSE)</f>
        <v>0</v>
      </c>
      <c r="U1660">
        <f t="shared" si="76"/>
        <v>0</v>
      </c>
      <c r="V1660">
        <f>HLOOKUP("In Use MiB",'vInfo (Imported)'!$1:$5000,M1660,FALSE)</f>
        <v>0</v>
      </c>
    </row>
    <row r="1661" spans="1:22" ht="13" x14ac:dyDescent="0.3">
      <c r="A1661" s="46">
        <f>'vHosts (Imported)'!A1661</f>
        <v>0</v>
      </c>
      <c r="B1661" s="51">
        <f t="shared" si="78"/>
        <v>4968</v>
      </c>
      <c r="C1661" s="49">
        <f>HLOOKUP("# Cores",'vHosts (Imported)'!$1:$5000,M1661,FALSE)</f>
        <v>0</v>
      </c>
      <c r="D1661" s="52">
        <f>HLOOKUP("# Memory",'vHosts (Imported)'!$1:$5000,M1661,FALSE)</f>
        <v>0</v>
      </c>
      <c r="M1661" s="45">
        <f t="shared" si="77"/>
        <v>1661</v>
      </c>
      <c r="N1661" s="38">
        <f>HLOOKUP("Host",'vInfo (Imported)'!$1:$5000,M1661,FALSE)</f>
        <v>0</v>
      </c>
      <c r="R1661">
        <f>HLOOKUP("CPUs",'vInfo (Imported)'!$1:$5000,M1661,FALSE)</f>
        <v>0</v>
      </c>
      <c r="S1661">
        <f>HLOOKUP("Memory",'vInfo (Imported)'!$1:$5000,M1661,FALSE)</f>
        <v>0</v>
      </c>
      <c r="T1661">
        <f>HLOOKUP("Provisioned MiB",'vInfo (Imported)'!$1:$5000,M1661,FALSE)</f>
        <v>0</v>
      </c>
      <c r="U1661">
        <f t="shared" si="76"/>
        <v>0</v>
      </c>
      <c r="V1661">
        <f>HLOOKUP("In Use MiB",'vInfo (Imported)'!$1:$5000,M1661,FALSE)</f>
        <v>0</v>
      </c>
    </row>
    <row r="1662" spans="1:22" ht="13" x14ac:dyDescent="0.3">
      <c r="A1662" s="46">
        <f>'vHosts (Imported)'!A1662</f>
        <v>0</v>
      </c>
      <c r="B1662" s="51">
        <f t="shared" si="78"/>
        <v>4968</v>
      </c>
      <c r="C1662" s="49">
        <f>HLOOKUP("# Cores",'vHosts (Imported)'!$1:$5000,M1662,FALSE)</f>
        <v>0</v>
      </c>
      <c r="D1662" s="52">
        <f>HLOOKUP("# Memory",'vHosts (Imported)'!$1:$5000,M1662,FALSE)</f>
        <v>0</v>
      </c>
      <c r="M1662" s="45">
        <f t="shared" si="77"/>
        <v>1662</v>
      </c>
      <c r="N1662" s="38">
        <f>HLOOKUP("Host",'vInfo (Imported)'!$1:$5000,M1662,FALSE)</f>
        <v>0</v>
      </c>
      <c r="R1662">
        <f>HLOOKUP("CPUs",'vInfo (Imported)'!$1:$5000,M1662,FALSE)</f>
        <v>0</v>
      </c>
      <c r="S1662">
        <f>HLOOKUP("Memory",'vInfo (Imported)'!$1:$5000,M1662,FALSE)</f>
        <v>0</v>
      </c>
      <c r="T1662">
        <f>HLOOKUP("Provisioned MiB",'vInfo (Imported)'!$1:$5000,M1662,FALSE)</f>
        <v>0</v>
      </c>
      <c r="U1662">
        <f t="shared" si="76"/>
        <v>0</v>
      </c>
      <c r="V1662">
        <f>HLOOKUP("In Use MiB",'vInfo (Imported)'!$1:$5000,M1662,FALSE)</f>
        <v>0</v>
      </c>
    </row>
    <row r="1663" spans="1:22" ht="13" x14ac:dyDescent="0.3">
      <c r="A1663" s="46">
        <f>'vHosts (Imported)'!A1663</f>
        <v>0</v>
      </c>
      <c r="B1663" s="51">
        <f t="shared" si="78"/>
        <v>4968</v>
      </c>
      <c r="C1663" s="49">
        <f>HLOOKUP("# Cores",'vHosts (Imported)'!$1:$5000,M1663,FALSE)</f>
        <v>0</v>
      </c>
      <c r="D1663" s="52">
        <f>HLOOKUP("# Memory",'vHosts (Imported)'!$1:$5000,M1663,FALSE)</f>
        <v>0</v>
      </c>
      <c r="M1663" s="45">
        <f t="shared" si="77"/>
        <v>1663</v>
      </c>
      <c r="N1663" s="38">
        <f>HLOOKUP("Host",'vInfo (Imported)'!$1:$5000,M1663,FALSE)</f>
        <v>0</v>
      </c>
      <c r="R1663">
        <f>HLOOKUP("CPUs",'vInfo (Imported)'!$1:$5000,M1663,FALSE)</f>
        <v>0</v>
      </c>
      <c r="S1663">
        <f>HLOOKUP("Memory",'vInfo (Imported)'!$1:$5000,M1663,FALSE)</f>
        <v>0</v>
      </c>
      <c r="T1663">
        <f>HLOOKUP("Provisioned MiB",'vInfo (Imported)'!$1:$5000,M1663,FALSE)</f>
        <v>0</v>
      </c>
      <c r="U1663">
        <f t="shared" si="76"/>
        <v>0</v>
      </c>
      <c r="V1663">
        <f>HLOOKUP("In Use MiB",'vInfo (Imported)'!$1:$5000,M1663,FALSE)</f>
        <v>0</v>
      </c>
    </row>
    <row r="1664" spans="1:22" ht="13" x14ac:dyDescent="0.3">
      <c r="A1664" s="46">
        <f>'vHosts (Imported)'!A1664</f>
        <v>0</v>
      </c>
      <c r="B1664" s="51">
        <f t="shared" si="78"/>
        <v>4968</v>
      </c>
      <c r="C1664" s="49">
        <f>HLOOKUP("# Cores",'vHosts (Imported)'!$1:$5000,M1664,FALSE)</f>
        <v>0</v>
      </c>
      <c r="D1664" s="52">
        <f>HLOOKUP("# Memory",'vHosts (Imported)'!$1:$5000,M1664,FALSE)</f>
        <v>0</v>
      </c>
      <c r="M1664" s="45">
        <f t="shared" si="77"/>
        <v>1664</v>
      </c>
      <c r="N1664" s="38">
        <f>HLOOKUP("Host",'vInfo (Imported)'!$1:$5000,M1664,FALSE)</f>
        <v>0</v>
      </c>
      <c r="R1664">
        <f>HLOOKUP("CPUs",'vInfo (Imported)'!$1:$5000,M1664,FALSE)</f>
        <v>0</v>
      </c>
      <c r="S1664">
        <f>HLOOKUP("Memory",'vInfo (Imported)'!$1:$5000,M1664,FALSE)</f>
        <v>0</v>
      </c>
      <c r="T1664">
        <f>HLOOKUP("Provisioned MiB",'vInfo (Imported)'!$1:$5000,M1664,FALSE)</f>
        <v>0</v>
      </c>
      <c r="U1664">
        <f t="shared" si="76"/>
        <v>0</v>
      </c>
      <c r="V1664">
        <f>HLOOKUP("In Use MiB",'vInfo (Imported)'!$1:$5000,M1664,FALSE)</f>
        <v>0</v>
      </c>
    </row>
    <row r="1665" spans="1:22" ht="13" x14ac:dyDescent="0.3">
      <c r="A1665" s="46">
        <f>'vHosts (Imported)'!A1665</f>
        <v>0</v>
      </c>
      <c r="B1665" s="51">
        <f t="shared" si="78"/>
        <v>4968</v>
      </c>
      <c r="C1665" s="49">
        <f>HLOOKUP("# Cores",'vHosts (Imported)'!$1:$5000,M1665,FALSE)</f>
        <v>0</v>
      </c>
      <c r="D1665" s="52">
        <f>HLOOKUP("# Memory",'vHosts (Imported)'!$1:$5000,M1665,FALSE)</f>
        <v>0</v>
      </c>
      <c r="M1665" s="45">
        <f t="shared" si="77"/>
        <v>1665</v>
      </c>
      <c r="N1665" s="38">
        <f>HLOOKUP("Host",'vInfo (Imported)'!$1:$5000,M1665,FALSE)</f>
        <v>0</v>
      </c>
      <c r="R1665">
        <f>HLOOKUP("CPUs",'vInfo (Imported)'!$1:$5000,M1665,FALSE)</f>
        <v>0</v>
      </c>
      <c r="S1665">
        <f>HLOOKUP("Memory",'vInfo (Imported)'!$1:$5000,M1665,FALSE)</f>
        <v>0</v>
      </c>
      <c r="T1665">
        <f>HLOOKUP("Provisioned MiB",'vInfo (Imported)'!$1:$5000,M1665,FALSE)</f>
        <v>0</v>
      </c>
      <c r="U1665">
        <f t="shared" si="76"/>
        <v>0</v>
      </c>
      <c r="V1665">
        <f>HLOOKUP("In Use MiB",'vInfo (Imported)'!$1:$5000,M1665,FALSE)</f>
        <v>0</v>
      </c>
    </row>
    <row r="1666" spans="1:22" ht="13" x14ac:dyDescent="0.3">
      <c r="A1666" s="46">
        <f>'vHosts (Imported)'!A1666</f>
        <v>0</v>
      </c>
      <c r="B1666" s="51">
        <f t="shared" si="78"/>
        <v>4968</v>
      </c>
      <c r="C1666" s="49">
        <f>HLOOKUP("# Cores",'vHosts (Imported)'!$1:$5000,M1666,FALSE)</f>
        <v>0</v>
      </c>
      <c r="D1666" s="52">
        <f>HLOOKUP("# Memory",'vHosts (Imported)'!$1:$5000,M1666,FALSE)</f>
        <v>0</v>
      </c>
      <c r="M1666" s="45">
        <f t="shared" si="77"/>
        <v>1666</v>
      </c>
      <c r="N1666" s="38">
        <f>HLOOKUP("Host",'vInfo (Imported)'!$1:$5000,M1666,FALSE)</f>
        <v>0</v>
      </c>
      <c r="R1666">
        <f>HLOOKUP("CPUs",'vInfo (Imported)'!$1:$5000,M1666,FALSE)</f>
        <v>0</v>
      </c>
      <c r="S1666">
        <f>HLOOKUP("Memory",'vInfo (Imported)'!$1:$5000,M1666,FALSE)</f>
        <v>0</v>
      </c>
      <c r="T1666">
        <f>HLOOKUP("Provisioned MiB",'vInfo (Imported)'!$1:$5000,M1666,FALSE)</f>
        <v>0</v>
      </c>
      <c r="U1666">
        <f t="shared" si="76"/>
        <v>0</v>
      </c>
      <c r="V1666">
        <f>HLOOKUP("In Use MiB",'vInfo (Imported)'!$1:$5000,M1666,FALSE)</f>
        <v>0</v>
      </c>
    </row>
    <row r="1667" spans="1:22" ht="13" x14ac:dyDescent="0.3">
      <c r="A1667" s="46">
        <f>'vHosts (Imported)'!A1667</f>
        <v>0</v>
      </c>
      <c r="B1667" s="51">
        <f t="shared" si="78"/>
        <v>4968</v>
      </c>
      <c r="C1667" s="49">
        <f>HLOOKUP("# Cores",'vHosts (Imported)'!$1:$5000,M1667,FALSE)</f>
        <v>0</v>
      </c>
      <c r="D1667" s="52">
        <f>HLOOKUP("# Memory",'vHosts (Imported)'!$1:$5000,M1667,FALSE)</f>
        <v>0</v>
      </c>
      <c r="M1667" s="45">
        <f t="shared" si="77"/>
        <v>1667</v>
      </c>
      <c r="N1667" s="38">
        <f>HLOOKUP("Host",'vInfo (Imported)'!$1:$5000,M1667,FALSE)</f>
        <v>0</v>
      </c>
      <c r="R1667">
        <f>HLOOKUP("CPUs",'vInfo (Imported)'!$1:$5000,M1667,FALSE)</f>
        <v>0</v>
      </c>
      <c r="S1667">
        <f>HLOOKUP("Memory",'vInfo (Imported)'!$1:$5000,M1667,FALSE)</f>
        <v>0</v>
      </c>
      <c r="T1667">
        <f>HLOOKUP("Provisioned MiB",'vInfo (Imported)'!$1:$5000,M1667,FALSE)</f>
        <v>0</v>
      </c>
      <c r="U1667">
        <f t="shared" ref="U1667:U1730" si="79">T1667-V1667</f>
        <v>0</v>
      </c>
      <c r="V1667">
        <f>HLOOKUP("In Use MiB",'vInfo (Imported)'!$1:$5000,M1667,FALSE)</f>
        <v>0</v>
      </c>
    </row>
    <row r="1668" spans="1:22" ht="13" x14ac:dyDescent="0.3">
      <c r="A1668" s="46">
        <f>'vHosts (Imported)'!A1668</f>
        <v>0</v>
      </c>
      <c r="B1668" s="51">
        <f t="shared" si="78"/>
        <v>4968</v>
      </c>
      <c r="C1668" s="49">
        <f>HLOOKUP("# Cores",'vHosts (Imported)'!$1:$5000,M1668,FALSE)</f>
        <v>0</v>
      </c>
      <c r="D1668" s="52">
        <f>HLOOKUP("# Memory",'vHosts (Imported)'!$1:$5000,M1668,FALSE)</f>
        <v>0</v>
      </c>
      <c r="M1668" s="45">
        <f t="shared" ref="M1668:M1731" si="80">M1667+1</f>
        <v>1668</v>
      </c>
      <c r="N1668" s="38">
        <f>HLOOKUP("Host",'vInfo (Imported)'!$1:$5000,M1668,FALSE)</f>
        <v>0</v>
      </c>
      <c r="R1668">
        <f>HLOOKUP("CPUs",'vInfo (Imported)'!$1:$5000,M1668,FALSE)</f>
        <v>0</v>
      </c>
      <c r="S1668">
        <f>HLOOKUP("Memory",'vInfo (Imported)'!$1:$5000,M1668,FALSE)</f>
        <v>0</v>
      </c>
      <c r="T1668">
        <f>HLOOKUP("Provisioned MiB",'vInfo (Imported)'!$1:$5000,M1668,FALSE)</f>
        <v>0</v>
      </c>
      <c r="U1668">
        <f t="shared" si="79"/>
        <v>0</v>
      </c>
      <c r="V1668">
        <f>HLOOKUP("In Use MiB",'vInfo (Imported)'!$1:$5000,M1668,FALSE)</f>
        <v>0</v>
      </c>
    </row>
    <row r="1669" spans="1:22" ht="13" x14ac:dyDescent="0.3">
      <c r="A1669" s="46">
        <f>'vHosts (Imported)'!A1669</f>
        <v>0</v>
      </c>
      <c r="B1669" s="51">
        <f t="shared" si="78"/>
        <v>4968</v>
      </c>
      <c r="C1669" s="49">
        <f>HLOOKUP("# Cores",'vHosts (Imported)'!$1:$5000,M1669,FALSE)</f>
        <v>0</v>
      </c>
      <c r="D1669" s="52">
        <f>HLOOKUP("# Memory",'vHosts (Imported)'!$1:$5000,M1669,FALSE)</f>
        <v>0</v>
      </c>
      <c r="M1669" s="45">
        <f t="shared" si="80"/>
        <v>1669</v>
      </c>
      <c r="N1669" s="38">
        <f>HLOOKUP("Host",'vInfo (Imported)'!$1:$5000,M1669,FALSE)</f>
        <v>0</v>
      </c>
      <c r="R1669">
        <f>HLOOKUP("CPUs",'vInfo (Imported)'!$1:$5000,M1669,FALSE)</f>
        <v>0</v>
      </c>
      <c r="S1669">
        <f>HLOOKUP("Memory",'vInfo (Imported)'!$1:$5000,M1669,FALSE)</f>
        <v>0</v>
      </c>
      <c r="T1669">
        <f>HLOOKUP("Provisioned MiB",'vInfo (Imported)'!$1:$5000,M1669,FALSE)</f>
        <v>0</v>
      </c>
      <c r="U1669">
        <f t="shared" si="79"/>
        <v>0</v>
      </c>
      <c r="V1669">
        <f>HLOOKUP("In Use MiB",'vInfo (Imported)'!$1:$5000,M1669,FALSE)</f>
        <v>0</v>
      </c>
    </row>
    <row r="1670" spans="1:22" ht="13" x14ac:dyDescent="0.3">
      <c r="A1670" s="46">
        <f>'vHosts (Imported)'!A1670</f>
        <v>0</v>
      </c>
      <c r="B1670" s="51">
        <f t="shared" si="78"/>
        <v>4968</v>
      </c>
      <c r="C1670" s="49">
        <f>HLOOKUP("# Cores",'vHosts (Imported)'!$1:$5000,M1670,FALSE)</f>
        <v>0</v>
      </c>
      <c r="D1670" s="52">
        <f>HLOOKUP("# Memory",'vHosts (Imported)'!$1:$5000,M1670,FALSE)</f>
        <v>0</v>
      </c>
      <c r="M1670" s="45">
        <f t="shared" si="80"/>
        <v>1670</v>
      </c>
      <c r="N1670" s="38">
        <f>HLOOKUP("Host",'vInfo (Imported)'!$1:$5000,M1670,FALSE)</f>
        <v>0</v>
      </c>
      <c r="R1670">
        <f>HLOOKUP("CPUs",'vInfo (Imported)'!$1:$5000,M1670,FALSE)</f>
        <v>0</v>
      </c>
      <c r="S1670">
        <f>HLOOKUP("Memory",'vInfo (Imported)'!$1:$5000,M1670,FALSE)</f>
        <v>0</v>
      </c>
      <c r="T1670">
        <f>HLOOKUP("Provisioned MiB",'vInfo (Imported)'!$1:$5000,M1670,FALSE)</f>
        <v>0</v>
      </c>
      <c r="U1670">
        <f t="shared" si="79"/>
        <v>0</v>
      </c>
      <c r="V1670">
        <f>HLOOKUP("In Use MiB",'vInfo (Imported)'!$1:$5000,M1670,FALSE)</f>
        <v>0</v>
      </c>
    </row>
    <row r="1671" spans="1:22" ht="13" x14ac:dyDescent="0.3">
      <c r="A1671" s="46">
        <f>'vHosts (Imported)'!A1671</f>
        <v>0</v>
      </c>
      <c r="B1671" s="51">
        <f t="shared" si="78"/>
        <v>4968</v>
      </c>
      <c r="C1671" s="49">
        <f>HLOOKUP("# Cores",'vHosts (Imported)'!$1:$5000,M1671,FALSE)</f>
        <v>0</v>
      </c>
      <c r="D1671" s="52">
        <f>HLOOKUP("# Memory",'vHosts (Imported)'!$1:$5000,M1671,FALSE)</f>
        <v>0</v>
      </c>
      <c r="M1671" s="45">
        <f t="shared" si="80"/>
        <v>1671</v>
      </c>
      <c r="N1671" s="38">
        <f>HLOOKUP("Host",'vInfo (Imported)'!$1:$5000,M1671,FALSE)</f>
        <v>0</v>
      </c>
      <c r="R1671">
        <f>HLOOKUP("CPUs",'vInfo (Imported)'!$1:$5000,M1671,FALSE)</f>
        <v>0</v>
      </c>
      <c r="S1671">
        <f>HLOOKUP("Memory",'vInfo (Imported)'!$1:$5000,M1671,FALSE)</f>
        <v>0</v>
      </c>
      <c r="T1671">
        <f>HLOOKUP("Provisioned MiB",'vInfo (Imported)'!$1:$5000,M1671,FALSE)</f>
        <v>0</v>
      </c>
      <c r="U1671">
        <f t="shared" si="79"/>
        <v>0</v>
      </c>
      <c r="V1671">
        <f>HLOOKUP("In Use MiB",'vInfo (Imported)'!$1:$5000,M1671,FALSE)</f>
        <v>0</v>
      </c>
    </row>
    <row r="1672" spans="1:22" ht="13" x14ac:dyDescent="0.3">
      <c r="A1672" s="46">
        <f>'vHosts (Imported)'!A1672</f>
        <v>0</v>
      </c>
      <c r="B1672" s="51">
        <f t="shared" si="78"/>
        <v>4968</v>
      </c>
      <c r="C1672" s="49">
        <f>HLOOKUP("# Cores",'vHosts (Imported)'!$1:$5000,M1672,FALSE)</f>
        <v>0</v>
      </c>
      <c r="D1672" s="52">
        <f>HLOOKUP("# Memory",'vHosts (Imported)'!$1:$5000,M1672,FALSE)</f>
        <v>0</v>
      </c>
      <c r="M1672" s="45">
        <f t="shared" si="80"/>
        <v>1672</v>
      </c>
      <c r="N1672" s="38">
        <f>HLOOKUP("Host",'vInfo (Imported)'!$1:$5000,M1672,FALSE)</f>
        <v>0</v>
      </c>
      <c r="R1672">
        <f>HLOOKUP("CPUs",'vInfo (Imported)'!$1:$5000,M1672,FALSE)</f>
        <v>0</v>
      </c>
      <c r="S1672">
        <f>HLOOKUP("Memory",'vInfo (Imported)'!$1:$5000,M1672,FALSE)</f>
        <v>0</v>
      </c>
      <c r="T1672">
        <f>HLOOKUP("Provisioned MiB",'vInfo (Imported)'!$1:$5000,M1672,FALSE)</f>
        <v>0</v>
      </c>
      <c r="U1672">
        <f t="shared" si="79"/>
        <v>0</v>
      </c>
      <c r="V1672">
        <f>HLOOKUP("In Use MiB",'vInfo (Imported)'!$1:$5000,M1672,FALSE)</f>
        <v>0</v>
      </c>
    </row>
    <row r="1673" spans="1:22" ht="13" x14ac:dyDescent="0.3">
      <c r="A1673" s="46">
        <f>'vHosts (Imported)'!A1673</f>
        <v>0</v>
      </c>
      <c r="B1673" s="51">
        <f t="shared" si="78"/>
        <v>4968</v>
      </c>
      <c r="C1673" s="49">
        <f>HLOOKUP("# Cores",'vHosts (Imported)'!$1:$5000,M1673,FALSE)</f>
        <v>0</v>
      </c>
      <c r="D1673" s="52">
        <f>HLOOKUP("# Memory",'vHosts (Imported)'!$1:$5000,M1673,FALSE)</f>
        <v>0</v>
      </c>
      <c r="M1673" s="45">
        <f t="shared" si="80"/>
        <v>1673</v>
      </c>
      <c r="N1673" s="38">
        <f>HLOOKUP("Host",'vInfo (Imported)'!$1:$5000,M1673,FALSE)</f>
        <v>0</v>
      </c>
      <c r="R1673">
        <f>HLOOKUP("CPUs",'vInfo (Imported)'!$1:$5000,M1673,FALSE)</f>
        <v>0</v>
      </c>
      <c r="S1673">
        <f>HLOOKUP("Memory",'vInfo (Imported)'!$1:$5000,M1673,FALSE)</f>
        <v>0</v>
      </c>
      <c r="T1673">
        <f>HLOOKUP("Provisioned MiB",'vInfo (Imported)'!$1:$5000,M1673,FALSE)</f>
        <v>0</v>
      </c>
      <c r="U1673">
        <f t="shared" si="79"/>
        <v>0</v>
      </c>
      <c r="V1673">
        <f>HLOOKUP("In Use MiB",'vInfo (Imported)'!$1:$5000,M1673,FALSE)</f>
        <v>0</v>
      </c>
    </row>
    <row r="1674" spans="1:22" ht="13" x14ac:dyDescent="0.3">
      <c r="A1674" s="46">
        <f>'vHosts (Imported)'!A1674</f>
        <v>0</v>
      </c>
      <c r="B1674" s="51">
        <f t="shared" si="78"/>
        <v>4968</v>
      </c>
      <c r="C1674" s="49">
        <f>HLOOKUP("# Cores",'vHosts (Imported)'!$1:$5000,M1674,FALSE)</f>
        <v>0</v>
      </c>
      <c r="D1674" s="52">
        <f>HLOOKUP("# Memory",'vHosts (Imported)'!$1:$5000,M1674,FALSE)</f>
        <v>0</v>
      </c>
      <c r="M1674" s="45">
        <f t="shared" si="80"/>
        <v>1674</v>
      </c>
      <c r="N1674" s="38">
        <f>HLOOKUP("Host",'vInfo (Imported)'!$1:$5000,M1674,FALSE)</f>
        <v>0</v>
      </c>
      <c r="R1674">
        <f>HLOOKUP("CPUs",'vInfo (Imported)'!$1:$5000,M1674,FALSE)</f>
        <v>0</v>
      </c>
      <c r="S1674">
        <f>HLOOKUP("Memory",'vInfo (Imported)'!$1:$5000,M1674,FALSE)</f>
        <v>0</v>
      </c>
      <c r="T1674">
        <f>HLOOKUP("Provisioned MiB",'vInfo (Imported)'!$1:$5000,M1674,FALSE)</f>
        <v>0</v>
      </c>
      <c r="U1674">
        <f t="shared" si="79"/>
        <v>0</v>
      </c>
      <c r="V1674">
        <f>HLOOKUP("In Use MiB",'vInfo (Imported)'!$1:$5000,M1674,FALSE)</f>
        <v>0</v>
      </c>
    </row>
    <row r="1675" spans="1:22" ht="13" x14ac:dyDescent="0.3">
      <c r="A1675" s="46">
        <f>'vHosts (Imported)'!A1675</f>
        <v>0</v>
      </c>
      <c r="B1675" s="51">
        <f t="shared" si="78"/>
        <v>4968</v>
      </c>
      <c r="C1675" s="49">
        <f>HLOOKUP("# Cores",'vHosts (Imported)'!$1:$5000,M1675,FALSE)</f>
        <v>0</v>
      </c>
      <c r="D1675" s="52">
        <f>HLOOKUP("# Memory",'vHosts (Imported)'!$1:$5000,M1675,FALSE)</f>
        <v>0</v>
      </c>
      <c r="M1675" s="45">
        <f t="shared" si="80"/>
        <v>1675</v>
      </c>
      <c r="N1675" s="38">
        <f>HLOOKUP("Host",'vInfo (Imported)'!$1:$5000,M1675,FALSE)</f>
        <v>0</v>
      </c>
      <c r="R1675">
        <f>HLOOKUP("CPUs",'vInfo (Imported)'!$1:$5000,M1675,FALSE)</f>
        <v>0</v>
      </c>
      <c r="S1675">
        <f>HLOOKUP("Memory",'vInfo (Imported)'!$1:$5000,M1675,FALSE)</f>
        <v>0</v>
      </c>
      <c r="T1675">
        <f>HLOOKUP("Provisioned MiB",'vInfo (Imported)'!$1:$5000,M1675,FALSE)</f>
        <v>0</v>
      </c>
      <c r="U1675">
        <f t="shared" si="79"/>
        <v>0</v>
      </c>
      <c r="V1675">
        <f>HLOOKUP("In Use MiB",'vInfo (Imported)'!$1:$5000,M1675,FALSE)</f>
        <v>0</v>
      </c>
    </row>
    <row r="1676" spans="1:22" ht="13" x14ac:dyDescent="0.3">
      <c r="A1676" s="46">
        <f>'vHosts (Imported)'!A1676</f>
        <v>0</v>
      </c>
      <c r="B1676" s="51">
        <f t="shared" si="78"/>
        <v>4968</v>
      </c>
      <c r="C1676" s="49">
        <f>HLOOKUP("# Cores",'vHosts (Imported)'!$1:$5000,M1676,FALSE)</f>
        <v>0</v>
      </c>
      <c r="D1676" s="52">
        <f>HLOOKUP("# Memory",'vHosts (Imported)'!$1:$5000,M1676,FALSE)</f>
        <v>0</v>
      </c>
      <c r="M1676" s="45">
        <f t="shared" si="80"/>
        <v>1676</v>
      </c>
      <c r="N1676" s="38">
        <f>HLOOKUP("Host",'vInfo (Imported)'!$1:$5000,M1676,FALSE)</f>
        <v>0</v>
      </c>
      <c r="R1676">
        <f>HLOOKUP("CPUs",'vInfo (Imported)'!$1:$5000,M1676,FALSE)</f>
        <v>0</v>
      </c>
      <c r="S1676">
        <f>HLOOKUP("Memory",'vInfo (Imported)'!$1:$5000,M1676,FALSE)</f>
        <v>0</v>
      </c>
      <c r="T1676">
        <f>HLOOKUP("Provisioned MiB",'vInfo (Imported)'!$1:$5000,M1676,FALSE)</f>
        <v>0</v>
      </c>
      <c r="U1676">
        <f t="shared" si="79"/>
        <v>0</v>
      </c>
      <c r="V1676">
        <f>HLOOKUP("In Use MiB",'vInfo (Imported)'!$1:$5000,M1676,FALSE)</f>
        <v>0</v>
      </c>
    </row>
    <row r="1677" spans="1:22" ht="13" x14ac:dyDescent="0.3">
      <c r="A1677" s="46">
        <f>'vHosts (Imported)'!A1677</f>
        <v>0</v>
      </c>
      <c r="B1677" s="51">
        <f t="shared" si="78"/>
        <v>4968</v>
      </c>
      <c r="C1677" s="49">
        <f>HLOOKUP("# Cores",'vHosts (Imported)'!$1:$5000,M1677,FALSE)</f>
        <v>0</v>
      </c>
      <c r="D1677" s="52">
        <f>HLOOKUP("# Memory",'vHosts (Imported)'!$1:$5000,M1677,FALSE)</f>
        <v>0</v>
      </c>
      <c r="M1677" s="45">
        <f t="shared" si="80"/>
        <v>1677</v>
      </c>
      <c r="N1677" s="38">
        <f>HLOOKUP("Host",'vInfo (Imported)'!$1:$5000,M1677,FALSE)</f>
        <v>0</v>
      </c>
      <c r="R1677">
        <f>HLOOKUP("CPUs",'vInfo (Imported)'!$1:$5000,M1677,FALSE)</f>
        <v>0</v>
      </c>
      <c r="S1677">
        <f>HLOOKUP("Memory",'vInfo (Imported)'!$1:$5000,M1677,FALSE)</f>
        <v>0</v>
      </c>
      <c r="T1677">
        <f>HLOOKUP("Provisioned MiB",'vInfo (Imported)'!$1:$5000,M1677,FALSE)</f>
        <v>0</v>
      </c>
      <c r="U1677">
        <f t="shared" si="79"/>
        <v>0</v>
      </c>
      <c r="V1677">
        <f>HLOOKUP("In Use MiB",'vInfo (Imported)'!$1:$5000,M1677,FALSE)</f>
        <v>0</v>
      </c>
    </row>
    <row r="1678" spans="1:22" ht="13" x14ac:dyDescent="0.3">
      <c r="A1678" s="46">
        <f>'vHosts (Imported)'!A1678</f>
        <v>0</v>
      </c>
      <c r="B1678" s="51">
        <f t="shared" si="78"/>
        <v>4968</v>
      </c>
      <c r="C1678" s="49">
        <f>HLOOKUP("# Cores",'vHosts (Imported)'!$1:$5000,M1678,FALSE)</f>
        <v>0</v>
      </c>
      <c r="D1678" s="52">
        <f>HLOOKUP("# Memory",'vHosts (Imported)'!$1:$5000,M1678,FALSE)</f>
        <v>0</v>
      </c>
      <c r="M1678" s="45">
        <f t="shared" si="80"/>
        <v>1678</v>
      </c>
      <c r="N1678" s="38">
        <f>HLOOKUP("Host",'vInfo (Imported)'!$1:$5000,M1678,FALSE)</f>
        <v>0</v>
      </c>
      <c r="R1678">
        <f>HLOOKUP("CPUs",'vInfo (Imported)'!$1:$5000,M1678,FALSE)</f>
        <v>0</v>
      </c>
      <c r="S1678">
        <f>HLOOKUP("Memory",'vInfo (Imported)'!$1:$5000,M1678,FALSE)</f>
        <v>0</v>
      </c>
      <c r="T1678">
        <f>HLOOKUP("Provisioned MiB",'vInfo (Imported)'!$1:$5000,M1678,FALSE)</f>
        <v>0</v>
      </c>
      <c r="U1678">
        <f t="shared" si="79"/>
        <v>0</v>
      </c>
      <c r="V1678">
        <f>HLOOKUP("In Use MiB",'vInfo (Imported)'!$1:$5000,M1678,FALSE)</f>
        <v>0</v>
      </c>
    </row>
    <row r="1679" spans="1:22" ht="13" x14ac:dyDescent="0.3">
      <c r="A1679" s="46">
        <f>'vHosts (Imported)'!A1679</f>
        <v>0</v>
      </c>
      <c r="B1679" s="51">
        <f t="shared" si="78"/>
        <v>4968</v>
      </c>
      <c r="C1679" s="49">
        <f>HLOOKUP("# Cores",'vHosts (Imported)'!$1:$5000,M1679,FALSE)</f>
        <v>0</v>
      </c>
      <c r="D1679" s="52">
        <f>HLOOKUP("# Memory",'vHosts (Imported)'!$1:$5000,M1679,FALSE)</f>
        <v>0</v>
      </c>
      <c r="M1679" s="45">
        <f t="shared" si="80"/>
        <v>1679</v>
      </c>
      <c r="N1679" s="38">
        <f>HLOOKUP("Host",'vInfo (Imported)'!$1:$5000,M1679,FALSE)</f>
        <v>0</v>
      </c>
      <c r="R1679">
        <f>HLOOKUP("CPUs",'vInfo (Imported)'!$1:$5000,M1679,FALSE)</f>
        <v>0</v>
      </c>
      <c r="S1679">
        <f>HLOOKUP("Memory",'vInfo (Imported)'!$1:$5000,M1679,FALSE)</f>
        <v>0</v>
      </c>
      <c r="T1679">
        <f>HLOOKUP("Provisioned MiB",'vInfo (Imported)'!$1:$5000,M1679,FALSE)</f>
        <v>0</v>
      </c>
      <c r="U1679">
        <f t="shared" si="79"/>
        <v>0</v>
      </c>
      <c r="V1679">
        <f>HLOOKUP("In Use MiB",'vInfo (Imported)'!$1:$5000,M1679,FALSE)</f>
        <v>0</v>
      </c>
    </row>
    <row r="1680" spans="1:22" ht="13" x14ac:dyDescent="0.3">
      <c r="A1680" s="46">
        <f>'vHosts (Imported)'!A1680</f>
        <v>0</v>
      </c>
      <c r="B1680" s="51">
        <f t="shared" si="78"/>
        <v>4968</v>
      </c>
      <c r="C1680" s="49">
        <f>HLOOKUP("# Cores",'vHosts (Imported)'!$1:$5000,M1680,FALSE)</f>
        <v>0</v>
      </c>
      <c r="D1680" s="52">
        <f>HLOOKUP("# Memory",'vHosts (Imported)'!$1:$5000,M1680,FALSE)</f>
        <v>0</v>
      </c>
      <c r="M1680" s="45">
        <f t="shared" si="80"/>
        <v>1680</v>
      </c>
      <c r="N1680" s="38">
        <f>HLOOKUP("Host",'vInfo (Imported)'!$1:$5000,M1680,FALSE)</f>
        <v>0</v>
      </c>
      <c r="R1680">
        <f>HLOOKUP("CPUs",'vInfo (Imported)'!$1:$5000,M1680,FALSE)</f>
        <v>0</v>
      </c>
      <c r="S1680">
        <f>HLOOKUP("Memory",'vInfo (Imported)'!$1:$5000,M1680,FALSE)</f>
        <v>0</v>
      </c>
      <c r="T1680">
        <f>HLOOKUP("Provisioned MiB",'vInfo (Imported)'!$1:$5000,M1680,FALSE)</f>
        <v>0</v>
      </c>
      <c r="U1680">
        <f t="shared" si="79"/>
        <v>0</v>
      </c>
      <c r="V1680">
        <f>HLOOKUP("In Use MiB",'vInfo (Imported)'!$1:$5000,M1680,FALSE)</f>
        <v>0</v>
      </c>
    </row>
    <row r="1681" spans="1:22" ht="13" x14ac:dyDescent="0.3">
      <c r="A1681" s="46">
        <f>'vHosts (Imported)'!A1681</f>
        <v>0</v>
      </c>
      <c r="B1681" s="51">
        <f t="shared" si="78"/>
        <v>4968</v>
      </c>
      <c r="C1681" s="49">
        <f>HLOOKUP("# Cores",'vHosts (Imported)'!$1:$5000,M1681,FALSE)</f>
        <v>0</v>
      </c>
      <c r="D1681" s="52">
        <f>HLOOKUP("# Memory",'vHosts (Imported)'!$1:$5000,M1681,FALSE)</f>
        <v>0</v>
      </c>
      <c r="M1681" s="45">
        <f t="shared" si="80"/>
        <v>1681</v>
      </c>
      <c r="N1681" s="38">
        <f>HLOOKUP("Host",'vInfo (Imported)'!$1:$5000,M1681,FALSE)</f>
        <v>0</v>
      </c>
      <c r="R1681">
        <f>HLOOKUP("CPUs",'vInfo (Imported)'!$1:$5000,M1681,FALSE)</f>
        <v>0</v>
      </c>
      <c r="S1681">
        <f>HLOOKUP("Memory",'vInfo (Imported)'!$1:$5000,M1681,FALSE)</f>
        <v>0</v>
      </c>
      <c r="T1681">
        <f>HLOOKUP("Provisioned MiB",'vInfo (Imported)'!$1:$5000,M1681,FALSE)</f>
        <v>0</v>
      </c>
      <c r="U1681">
        <f t="shared" si="79"/>
        <v>0</v>
      </c>
      <c r="V1681">
        <f>HLOOKUP("In Use MiB",'vInfo (Imported)'!$1:$5000,M1681,FALSE)</f>
        <v>0</v>
      </c>
    </row>
    <row r="1682" spans="1:22" ht="13" x14ac:dyDescent="0.3">
      <c r="A1682" s="46">
        <f>'vHosts (Imported)'!A1682</f>
        <v>0</v>
      </c>
      <c r="B1682" s="51">
        <f t="shared" si="78"/>
        <v>4968</v>
      </c>
      <c r="C1682" s="49">
        <f>HLOOKUP("# Cores",'vHosts (Imported)'!$1:$5000,M1682,FALSE)</f>
        <v>0</v>
      </c>
      <c r="D1682" s="52">
        <f>HLOOKUP("# Memory",'vHosts (Imported)'!$1:$5000,M1682,FALSE)</f>
        <v>0</v>
      </c>
      <c r="M1682" s="45">
        <f t="shared" si="80"/>
        <v>1682</v>
      </c>
      <c r="N1682" s="38">
        <f>HLOOKUP("Host",'vInfo (Imported)'!$1:$5000,M1682,FALSE)</f>
        <v>0</v>
      </c>
      <c r="R1682">
        <f>HLOOKUP("CPUs",'vInfo (Imported)'!$1:$5000,M1682,FALSE)</f>
        <v>0</v>
      </c>
      <c r="S1682">
        <f>HLOOKUP("Memory",'vInfo (Imported)'!$1:$5000,M1682,FALSE)</f>
        <v>0</v>
      </c>
      <c r="T1682">
        <f>HLOOKUP("Provisioned MiB",'vInfo (Imported)'!$1:$5000,M1682,FALSE)</f>
        <v>0</v>
      </c>
      <c r="U1682">
        <f t="shared" si="79"/>
        <v>0</v>
      </c>
      <c r="V1682">
        <f>HLOOKUP("In Use MiB",'vInfo (Imported)'!$1:$5000,M1682,FALSE)</f>
        <v>0</v>
      </c>
    </row>
    <row r="1683" spans="1:22" ht="13" x14ac:dyDescent="0.3">
      <c r="A1683" s="46">
        <f>'vHosts (Imported)'!A1683</f>
        <v>0</v>
      </c>
      <c r="B1683" s="51">
        <f t="shared" si="78"/>
        <v>4968</v>
      </c>
      <c r="C1683" s="49">
        <f>HLOOKUP("# Cores",'vHosts (Imported)'!$1:$5000,M1683,FALSE)</f>
        <v>0</v>
      </c>
      <c r="D1683" s="52">
        <f>HLOOKUP("# Memory",'vHosts (Imported)'!$1:$5000,M1683,FALSE)</f>
        <v>0</v>
      </c>
      <c r="M1683" s="45">
        <f t="shared" si="80"/>
        <v>1683</v>
      </c>
      <c r="N1683" s="38">
        <f>HLOOKUP("Host",'vInfo (Imported)'!$1:$5000,M1683,FALSE)</f>
        <v>0</v>
      </c>
      <c r="R1683">
        <f>HLOOKUP("CPUs",'vInfo (Imported)'!$1:$5000,M1683,FALSE)</f>
        <v>0</v>
      </c>
      <c r="S1683">
        <f>HLOOKUP("Memory",'vInfo (Imported)'!$1:$5000,M1683,FALSE)</f>
        <v>0</v>
      </c>
      <c r="T1683">
        <f>HLOOKUP("Provisioned MiB",'vInfo (Imported)'!$1:$5000,M1683,FALSE)</f>
        <v>0</v>
      </c>
      <c r="U1683">
        <f t="shared" si="79"/>
        <v>0</v>
      </c>
      <c r="V1683">
        <f>HLOOKUP("In Use MiB",'vInfo (Imported)'!$1:$5000,M1683,FALSE)</f>
        <v>0</v>
      </c>
    </row>
    <row r="1684" spans="1:22" ht="13" x14ac:dyDescent="0.3">
      <c r="A1684" s="46">
        <f>'vHosts (Imported)'!A1684</f>
        <v>0</v>
      </c>
      <c r="B1684" s="51">
        <f t="shared" si="78"/>
        <v>4968</v>
      </c>
      <c r="C1684" s="49">
        <f>HLOOKUP("# Cores",'vHosts (Imported)'!$1:$5000,M1684,FALSE)</f>
        <v>0</v>
      </c>
      <c r="D1684" s="52">
        <f>HLOOKUP("# Memory",'vHosts (Imported)'!$1:$5000,M1684,FALSE)</f>
        <v>0</v>
      </c>
      <c r="M1684" s="45">
        <f t="shared" si="80"/>
        <v>1684</v>
      </c>
      <c r="N1684" s="38">
        <f>HLOOKUP("Host",'vInfo (Imported)'!$1:$5000,M1684,FALSE)</f>
        <v>0</v>
      </c>
      <c r="R1684">
        <f>HLOOKUP("CPUs",'vInfo (Imported)'!$1:$5000,M1684,FALSE)</f>
        <v>0</v>
      </c>
      <c r="S1684">
        <f>HLOOKUP("Memory",'vInfo (Imported)'!$1:$5000,M1684,FALSE)</f>
        <v>0</v>
      </c>
      <c r="T1684">
        <f>HLOOKUP("Provisioned MiB",'vInfo (Imported)'!$1:$5000,M1684,FALSE)</f>
        <v>0</v>
      </c>
      <c r="U1684">
        <f t="shared" si="79"/>
        <v>0</v>
      </c>
      <c r="V1684">
        <f>HLOOKUP("In Use MiB",'vInfo (Imported)'!$1:$5000,M1684,FALSE)</f>
        <v>0</v>
      </c>
    </row>
    <row r="1685" spans="1:22" ht="13" x14ac:dyDescent="0.3">
      <c r="A1685" s="46">
        <f>'vHosts (Imported)'!A1685</f>
        <v>0</v>
      </c>
      <c r="B1685" s="51">
        <f t="shared" si="78"/>
        <v>4968</v>
      </c>
      <c r="C1685" s="49">
        <f>HLOOKUP("# Cores",'vHosts (Imported)'!$1:$5000,M1685,FALSE)</f>
        <v>0</v>
      </c>
      <c r="D1685" s="52">
        <f>HLOOKUP("# Memory",'vHosts (Imported)'!$1:$5000,M1685,FALSE)</f>
        <v>0</v>
      </c>
      <c r="M1685" s="45">
        <f t="shared" si="80"/>
        <v>1685</v>
      </c>
      <c r="N1685" s="38">
        <f>HLOOKUP("Host",'vInfo (Imported)'!$1:$5000,M1685,FALSE)</f>
        <v>0</v>
      </c>
      <c r="R1685">
        <f>HLOOKUP("CPUs",'vInfo (Imported)'!$1:$5000,M1685,FALSE)</f>
        <v>0</v>
      </c>
      <c r="S1685">
        <f>HLOOKUP("Memory",'vInfo (Imported)'!$1:$5000,M1685,FALSE)</f>
        <v>0</v>
      </c>
      <c r="T1685">
        <f>HLOOKUP("Provisioned MiB",'vInfo (Imported)'!$1:$5000,M1685,FALSE)</f>
        <v>0</v>
      </c>
      <c r="U1685">
        <f t="shared" si="79"/>
        <v>0</v>
      </c>
      <c r="V1685">
        <f>HLOOKUP("In Use MiB",'vInfo (Imported)'!$1:$5000,M1685,FALSE)</f>
        <v>0</v>
      </c>
    </row>
    <row r="1686" spans="1:22" ht="13" x14ac:dyDescent="0.3">
      <c r="A1686" s="46">
        <f>'vHosts (Imported)'!A1686</f>
        <v>0</v>
      </c>
      <c r="B1686" s="51">
        <f t="shared" si="78"/>
        <v>4968</v>
      </c>
      <c r="C1686" s="49">
        <f>HLOOKUP("# Cores",'vHosts (Imported)'!$1:$5000,M1686,FALSE)</f>
        <v>0</v>
      </c>
      <c r="D1686" s="52">
        <f>HLOOKUP("# Memory",'vHosts (Imported)'!$1:$5000,M1686,FALSE)</f>
        <v>0</v>
      </c>
      <c r="M1686" s="45">
        <f t="shared" si="80"/>
        <v>1686</v>
      </c>
      <c r="N1686" s="38">
        <f>HLOOKUP("Host",'vInfo (Imported)'!$1:$5000,M1686,FALSE)</f>
        <v>0</v>
      </c>
      <c r="R1686">
        <f>HLOOKUP("CPUs",'vInfo (Imported)'!$1:$5000,M1686,FALSE)</f>
        <v>0</v>
      </c>
      <c r="S1686">
        <f>HLOOKUP("Memory",'vInfo (Imported)'!$1:$5000,M1686,FALSE)</f>
        <v>0</v>
      </c>
      <c r="T1686">
        <f>HLOOKUP("Provisioned MiB",'vInfo (Imported)'!$1:$5000,M1686,FALSE)</f>
        <v>0</v>
      </c>
      <c r="U1686">
        <f t="shared" si="79"/>
        <v>0</v>
      </c>
      <c r="V1686">
        <f>HLOOKUP("In Use MiB",'vInfo (Imported)'!$1:$5000,M1686,FALSE)</f>
        <v>0</v>
      </c>
    </row>
    <row r="1687" spans="1:22" ht="13" x14ac:dyDescent="0.3">
      <c r="A1687" s="46">
        <f>'vHosts (Imported)'!A1687</f>
        <v>0</v>
      </c>
      <c r="B1687" s="51">
        <f t="shared" si="78"/>
        <v>4968</v>
      </c>
      <c r="C1687" s="49">
        <f>HLOOKUP("# Cores",'vHosts (Imported)'!$1:$5000,M1687,FALSE)</f>
        <v>0</v>
      </c>
      <c r="D1687" s="52">
        <f>HLOOKUP("# Memory",'vHosts (Imported)'!$1:$5000,M1687,FALSE)</f>
        <v>0</v>
      </c>
      <c r="M1687" s="45">
        <f t="shared" si="80"/>
        <v>1687</v>
      </c>
      <c r="N1687" s="38">
        <f>HLOOKUP("Host",'vInfo (Imported)'!$1:$5000,M1687,FALSE)</f>
        <v>0</v>
      </c>
      <c r="R1687">
        <f>HLOOKUP("CPUs",'vInfo (Imported)'!$1:$5000,M1687,FALSE)</f>
        <v>0</v>
      </c>
      <c r="S1687">
        <f>HLOOKUP("Memory",'vInfo (Imported)'!$1:$5000,M1687,FALSE)</f>
        <v>0</v>
      </c>
      <c r="T1687">
        <f>HLOOKUP("Provisioned MiB",'vInfo (Imported)'!$1:$5000,M1687,FALSE)</f>
        <v>0</v>
      </c>
      <c r="U1687">
        <f t="shared" si="79"/>
        <v>0</v>
      </c>
      <c r="V1687">
        <f>HLOOKUP("In Use MiB",'vInfo (Imported)'!$1:$5000,M1687,FALSE)</f>
        <v>0</v>
      </c>
    </row>
    <row r="1688" spans="1:22" ht="13" x14ac:dyDescent="0.3">
      <c r="A1688" s="46">
        <f>'vHosts (Imported)'!A1688</f>
        <v>0</v>
      </c>
      <c r="B1688" s="51">
        <f t="shared" si="78"/>
        <v>4968</v>
      </c>
      <c r="C1688" s="49">
        <f>HLOOKUP("# Cores",'vHosts (Imported)'!$1:$5000,M1688,FALSE)</f>
        <v>0</v>
      </c>
      <c r="D1688" s="52">
        <f>HLOOKUP("# Memory",'vHosts (Imported)'!$1:$5000,M1688,FALSE)</f>
        <v>0</v>
      </c>
      <c r="M1688" s="45">
        <f t="shared" si="80"/>
        <v>1688</v>
      </c>
      <c r="N1688" s="38">
        <f>HLOOKUP("Host",'vInfo (Imported)'!$1:$5000,M1688,FALSE)</f>
        <v>0</v>
      </c>
      <c r="R1688">
        <f>HLOOKUP("CPUs",'vInfo (Imported)'!$1:$5000,M1688,FALSE)</f>
        <v>0</v>
      </c>
      <c r="S1688">
        <f>HLOOKUP("Memory",'vInfo (Imported)'!$1:$5000,M1688,FALSE)</f>
        <v>0</v>
      </c>
      <c r="T1688">
        <f>HLOOKUP("Provisioned MiB",'vInfo (Imported)'!$1:$5000,M1688,FALSE)</f>
        <v>0</v>
      </c>
      <c r="U1688">
        <f t="shared" si="79"/>
        <v>0</v>
      </c>
      <c r="V1688">
        <f>HLOOKUP("In Use MiB",'vInfo (Imported)'!$1:$5000,M1688,FALSE)</f>
        <v>0</v>
      </c>
    </row>
    <row r="1689" spans="1:22" ht="13" x14ac:dyDescent="0.3">
      <c r="A1689" s="46">
        <f>'vHosts (Imported)'!A1689</f>
        <v>0</v>
      </c>
      <c r="B1689" s="51">
        <f t="shared" si="78"/>
        <v>4968</v>
      </c>
      <c r="C1689" s="49">
        <f>HLOOKUP("# Cores",'vHosts (Imported)'!$1:$5000,M1689,FALSE)</f>
        <v>0</v>
      </c>
      <c r="D1689" s="52">
        <f>HLOOKUP("# Memory",'vHosts (Imported)'!$1:$5000,M1689,FALSE)</f>
        <v>0</v>
      </c>
      <c r="M1689" s="45">
        <f t="shared" si="80"/>
        <v>1689</v>
      </c>
      <c r="N1689" s="38">
        <f>HLOOKUP("Host",'vInfo (Imported)'!$1:$5000,M1689,FALSE)</f>
        <v>0</v>
      </c>
      <c r="R1689">
        <f>HLOOKUP("CPUs",'vInfo (Imported)'!$1:$5000,M1689,FALSE)</f>
        <v>0</v>
      </c>
      <c r="S1689">
        <f>HLOOKUP("Memory",'vInfo (Imported)'!$1:$5000,M1689,FALSE)</f>
        <v>0</v>
      </c>
      <c r="T1689">
        <f>HLOOKUP("Provisioned MiB",'vInfo (Imported)'!$1:$5000,M1689,FALSE)</f>
        <v>0</v>
      </c>
      <c r="U1689">
        <f t="shared" si="79"/>
        <v>0</v>
      </c>
      <c r="V1689">
        <f>HLOOKUP("In Use MiB",'vInfo (Imported)'!$1:$5000,M1689,FALSE)</f>
        <v>0</v>
      </c>
    </row>
    <row r="1690" spans="1:22" ht="13" x14ac:dyDescent="0.3">
      <c r="A1690" s="46">
        <f>'vHosts (Imported)'!A1690</f>
        <v>0</v>
      </c>
      <c r="B1690" s="51">
        <f t="shared" si="78"/>
        <v>4968</v>
      </c>
      <c r="C1690" s="49">
        <f>HLOOKUP("# Cores",'vHosts (Imported)'!$1:$5000,M1690,FALSE)</f>
        <v>0</v>
      </c>
      <c r="D1690" s="52">
        <f>HLOOKUP("# Memory",'vHosts (Imported)'!$1:$5000,M1690,FALSE)</f>
        <v>0</v>
      </c>
      <c r="M1690" s="45">
        <f t="shared" si="80"/>
        <v>1690</v>
      </c>
      <c r="N1690" s="38">
        <f>HLOOKUP("Host",'vInfo (Imported)'!$1:$5000,M1690,FALSE)</f>
        <v>0</v>
      </c>
      <c r="R1690">
        <f>HLOOKUP("CPUs",'vInfo (Imported)'!$1:$5000,M1690,FALSE)</f>
        <v>0</v>
      </c>
      <c r="S1690">
        <f>HLOOKUP("Memory",'vInfo (Imported)'!$1:$5000,M1690,FALSE)</f>
        <v>0</v>
      </c>
      <c r="T1690">
        <f>HLOOKUP("Provisioned MiB",'vInfo (Imported)'!$1:$5000,M1690,FALSE)</f>
        <v>0</v>
      </c>
      <c r="U1690">
        <f t="shared" si="79"/>
        <v>0</v>
      </c>
      <c r="V1690">
        <f>HLOOKUP("In Use MiB",'vInfo (Imported)'!$1:$5000,M1690,FALSE)</f>
        <v>0</v>
      </c>
    </row>
    <row r="1691" spans="1:22" ht="13" x14ac:dyDescent="0.3">
      <c r="A1691" s="46">
        <f>'vHosts (Imported)'!A1691</f>
        <v>0</v>
      </c>
      <c r="B1691" s="51">
        <f t="shared" si="78"/>
        <v>4968</v>
      </c>
      <c r="C1691" s="49">
        <f>HLOOKUP("# Cores",'vHosts (Imported)'!$1:$5000,M1691,FALSE)</f>
        <v>0</v>
      </c>
      <c r="D1691" s="52">
        <f>HLOOKUP("# Memory",'vHosts (Imported)'!$1:$5000,M1691,FALSE)</f>
        <v>0</v>
      </c>
      <c r="M1691" s="45">
        <f t="shared" si="80"/>
        <v>1691</v>
      </c>
      <c r="N1691" s="38">
        <f>HLOOKUP("Host",'vInfo (Imported)'!$1:$5000,M1691,FALSE)</f>
        <v>0</v>
      </c>
      <c r="R1691">
        <f>HLOOKUP("CPUs",'vInfo (Imported)'!$1:$5000,M1691,FALSE)</f>
        <v>0</v>
      </c>
      <c r="S1691">
        <f>HLOOKUP("Memory",'vInfo (Imported)'!$1:$5000,M1691,FALSE)</f>
        <v>0</v>
      </c>
      <c r="T1691">
        <f>HLOOKUP("Provisioned MiB",'vInfo (Imported)'!$1:$5000,M1691,FALSE)</f>
        <v>0</v>
      </c>
      <c r="U1691">
        <f t="shared" si="79"/>
        <v>0</v>
      </c>
      <c r="V1691">
        <f>HLOOKUP("In Use MiB",'vInfo (Imported)'!$1:$5000,M1691,FALSE)</f>
        <v>0</v>
      </c>
    </row>
    <row r="1692" spans="1:22" ht="13" x14ac:dyDescent="0.3">
      <c r="A1692" s="46">
        <f>'vHosts (Imported)'!A1692</f>
        <v>0</v>
      </c>
      <c r="B1692" s="51">
        <f t="shared" si="78"/>
        <v>4968</v>
      </c>
      <c r="C1692" s="49">
        <f>HLOOKUP("# Cores",'vHosts (Imported)'!$1:$5000,M1692,FALSE)</f>
        <v>0</v>
      </c>
      <c r="D1692" s="52">
        <f>HLOOKUP("# Memory",'vHosts (Imported)'!$1:$5000,M1692,FALSE)</f>
        <v>0</v>
      </c>
      <c r="M1692" s="45">
        <f t="shared" si="80"/>
        <v>1692</v>
      </c>
      <c r="N1692" s="38">
        <f>HLOOKUP("Host",'vInfo (Imported)'!$1:$5000,M1692,FALSE)</f>
        <v>0</v>
      </c>
      <c r="R1692">
        <f>HLOOKUP("CPUs",'vInfo (Imported)'!$1:$5000,M1692,FALSE)</f>
        <v>0</v>
      </c>
      <c r="S1692">
        <f>HLOOKUP("Memory",'vInfo (Imported)'!$1:$5000,M1692,FALSE)</f>
        <v>0</v>
      </c>
      <c r="T1692">
        <f>HLOOKUP("Provisioned MiB",'vInfo (Imported)'!$1:$5000,M1692,FALSE)</f>
        <v>0</v>
      </c>
      <c r="U1692">
        <f t="shared" si="79"/>
        <v>0</v>
      </c>
      <c r="V1692">
        <f>HLOOKUP("In Use MiB",'vInfo (Imported)'!$1:$5000,M1692,FALSE)</f>
        <v>0</v>
      </c>
    </row>
    <row r="1693" spans="1:22" ht="13" x14ac:dyDescent="0.3">
      <c r="A1693" s="46">
        <f>'vHosts (Imported)'!A1693</f>
        <v>0</v>
      </c>
      <c r="B1693" s="51">
        <f t="shared" si="78"/>
        <v>4968</v>
      </c>
      <c r="C1693" s="49">
        <f>HLOOKUP("# Cores",'vHosts (Imported)'!$1:$5000,M1693,FALSE)</f>
        <v>0</v>
      </c>
      <c r="D1693" s="52">
        <f>HLOOKUP("# Memory",'vHosts (Imported)'!$1:$5000,M1693,FALSE)</f>
        <v>0</v>
      </c>
      <c r="M1693" s="45">
        <f t="shared" si="80"/>
        <v>1693</v>
      </c>
      <c r="N1693" s="38">
        <f>HLOOKUP("Host",'vInfo (Imported)'!$1:$5000,M1693,FALSE)</f>
        <v>0</v>
      </c>
      <c r="R1693">
        <f>HLOOKUP("CPUs",'vInfo (Imported)'!$1:$5000,M1693,FALSE)</f>
        <v>0</v>
      </c>
      <c r="S1693">
        <f>HLOOKUP("Memory",'vInfo (Imported)'!$1:$5000,M1693,FALSE)</f>
        <v>0</v>
      </c>
      <c r="T1693">
        <f>HLOOKUP("Provisioned MiB",'vInfo (Imported)'!$1:$5000,M1693,FALSE)</f>
        <v>0</v>
      </c>
      <c r="U1693">
        <f t="shared" si="79"/>
        <v>0</v>
      </c>
      <c r="V1693">
        <f>HLOOKUP("In Use MiB",'vInfo (Imported)'!$1:$5000,M1693,FALSE)</f>
        <v>0</v>
      </c>
    </row>
    <row r="1694" spans="1:22" ht="13" x14ac:dyDescent="0.3">
      <c r="A1694" s="46">
        <f>'vHosts (Imported)'!A1694</f>
        <v>0</v>
      </c>
      <c r="B1694" s="51">
        <f t="shared" si="78"/>
        <v>4968</v>
      </c>
      <c r="C1694" s="49">
        <f>HLOOKUP("# Cores",'vHosts (Imported)'!$1:$5000,M1694,FALSE)</f>
        <v>0</v>
      </c>
      <c r="D1694" s="52">
        <f>HLOOKUP("# Memory",'vHosts (Imported)'!$1:$5000,M1694,FALSE)</f>
        <v>0</v>
      </c>
      <c r="M1694" s="45">
        <f t="shared" si="80"/>
        <v>1694</v>
      </c>
      <c r="N1694" s="38">
        <f>HLOOKUP("Host",'vInfo (Imported)'!$1:$5000,M1694,FALSE)</f>
        <v>0</v>
      </c>
      <c r="R1694">
        <f>HLOOKUP("CPUs",'vInfo (Imported)'!$1:$5000,M1694,FALSE)</f>
        <v>0</v>
      </c>
      <c r="S1694">
        <f>HLOOKUP("Memory",'vInfo (Imported)'!$1:$5000,M1694,FALSE)</f>
        <v>0</v>
      </c>
      <c r="T1694">
        <f>HLOOKUP("Provisioned MiB",'vInfo (Imported)'!$1:$5000,M1694,FALSE)</f>
        <v>0</v>
      </c>
      <c r="U1694">
        <f t="shared" si="79"/>
        <v>0</v>
      </c>
      <c r="V1694">
        <f>HLOOKUP("In Use MiB",'vInfo (Imported)'!$1:$5000,M1694,FALSE)</f>
        <v>0</v>
      </c>
    </row>
    <row r="1695" spans="1:22" ht="13" x14ac:dyDescent="0.3">
      <c r="A1695" s="46">
        <f>'vHosts (Imported)'!A1695</f>
        <v>0</v>
      </c>
      <c r="B1695" s="51">
        <f t="shared" si="78"/>
        <v>4968</v>
      </c>
      <c r="C1695" s="49">
        <f>HLOOKUP("# Cores",'vHosts (Imported)'!$1:$5000,M1695,FALSE)</f>
        <v>0</v>
      </c>
      <c r="D1695" s="52">
        <f>HLOOKUP("# Memory",'vHosts (Imported)'!$1:$5000,M1695,FALSE)</f>
        <v>0</v>
      </c>
      <c r="M1695" s="45">
        <f t="shared" si="80"/>
        <v>1695</v>
      </c>
      <c r="N1695" s="38">
        <f>HLOOKUP("Host",'vInfo (Imported)'!$1:$5000,M1695,FALSE)</f>
        <v>0</v>
      </c>
      <c r="R1695">
        <f>HLOOKUP("CPUs",'vInfo (Imported)'!$1:$5000,M1695,FALSE)</f>
        <v>0</v>
      </c>
      <c r="S1695">
        <f>HLOOKUP("Memory",'vInfo (Imported)'!$1:$5000,M1695,FALSE)</f>
        <v>0</v>
      </c>
      <c r="T1695">
        <f>HLOOKUP("Provisioned MiB",'vInfo (Imported)'!$1:$5000,M1695,FALSE)</f>
        <v>0</v>
      </c>
      <c r="U1695">
        <f t="shared" si="79"/>
        <v>0</v>
      </c>
      <c r="V1695">
        <f>HLOOKUP("In Use MiB",'vInfo (Imported)'!$1:$5000,M1695,FALSE)</f>
        <v>0</v>
      </c>
    </row>
    <row r="1696" spans="1:22" ht="13" x14ac:dyDescent="0.3">
      <c r="A1696" s="46">
        <f>'vHosts (Imported)'!A1696</f>
        <v>0</v>
      </c>
      <c r="B1696" s="51">
        <f t="shared" si="78"/>
        <v>4968</v>
      </c>
      <c r="C1696" s="49">
        <f>HLOOKUP("# Cores",'vHosts (Imported)'!$1:$5000,M1696,FALSE)</f>
        <v>0</v>
      </c>
      <c r="D1696" s="52">
        <f>HLOOKUP("# Memory",'vHosts (Imported)'!$1:$5000,M1696,FALSE)</f>
        <v>0</v>
      </c>
      <c r="M1696" s="45">
        <f t="shared" si="80"/>
        <v>1696</v>
      </c>
      <c r="N1696" s="38">
        <f>HLOOKUP("Host",'vInfo (Imported)'!$1:$5000,M1696,FALSE)</f>
        <v>0</v>
      </c>
      <c r="R1696">
        <f>HLOOKUP("CPUs",'vInfo (Imported)'!$1:$5000,M1696,FALSE)</f>
        <v>0</v>
      </c>
      <c r="S1696">
        <f>HLOOKUP("Memory",'vInfo (Imported)'!$1:$5000,M1696,FALSE)</f>
        <v>0</v>
      </c>
      <c r="T1696">
        <f>HLOOKUP("Provisioned MiB",'vInfo (Imported)'!$1:$5000,M1696,FALSE)</f>
        <v>0</v>
      </c>
      <c r="U1696">
        <f t="shared" si="79"/>
        <v>0</v>
      </c>
      <c r="V1696">
        <f>HLOOKUP("In Use MiB",'vInfo (Imported)'!$1:$5000,M1696,FALSE)</f>
        <v>0</v>
      </c>
    </row>
    <row r="1697" spans="1:22" ht="13" x14ac:dyDescent="0.3">
      <c r="A1697" s="46">
        <f>'vHosts (Imported)'!A1697</f>
        <v>0</v>
      </c>
      <c r="B1697" s="51">
        <f t="shared" si="78"/>
        <v>4968</v>
      </c>
      <c r="C1697" s="49">
        <f>HLOOKUP("# Cores",'vHosts (Imported)'!$1:$5000,M1697,FALSE)</f>
        <v>0</v>
      </c>
      <c r="D1697" s="52">
        <f>HLOOKUP("# Memory",'vHosts (Imported)'!$1:$5000,M1697,FALSE)</f>
        <v>0</v>
      </c>
      <c r="M1697" s="45">
        <f t="shared" si="80"/>
        <v>1697</v>
      </c>
      <c r="N1697" s="38">
        <f>HLOOKUP("Host",'vInfo (Imported)'!$1:$5000,M1697,FALSE)</f>
        <v>0</v>
      </c>
      <c r="R1697">
        <f>HLOOKUP("CPUs",'vInfo (Imported)'!$1:$5000,M1697,FALSE)</f>
        <v>0</v>
      </c>
      <c r="S1697">
        <f>HLOOKUP("Memory",'vInfo (Imported)'!$1:$5000,M1697,FALSE)</f>
        <v>0</v>
      </c>
      <c r="T1697">
        <f>HLOOKUP("Provisioned MiB",'vInfo (Imported)'!$1:$5000,M1697,FALSE)</f>
        <v>0</v>
      </c>
      <c r="U1697">
        <f t="shared" si="79"/>
        <v>0</v>
      </c>
      <c r="V1697">
        <f>HLOOKUP("In Use MiB",'vInfo (Imported)'!$1:$5000,M1697,FALSE)</f>
        <v>0</v>
      </c>
    </row>
    <row r="1698" spans="1:22" ht="13" x14ac:dyDescent="0.3">
      <c r="A1698" s="46">
        <f>'vHosts (Imported)'!A1698</f>
        <v>0</v>
      </c>
      <c r="B1698" s="51">
        <f t="shared" si="78"/>
        <v>4968</v>
      </c>
      <c r="C1698" s="49">
        <f>HLOOKUP("# Cores",'vHosts (Imported)'!$1:$5000,M1698,FALSE)</f>
        <v>0</v>
      </c>
      <c r="D1698" s="52">
        <f>HLOOKUP("# Memory",'vHosts (Imported)'!$1:$5000,M1698,FALSE)</f>
        <v>0</v>
      </c>
      <c r="M1698" s="45">
        <f t="shared" si="80"/>
        <v>1698</v>
      </c>
      <c r="N1698" s="38">
        <f>HLOOKUP("Host",'vInfo (Imported)'!$1:$5000,M1698,FALSE)</f>
        <v>0</v>
      </c>
      <c r="R1698">
        <f>HLOOKUP("CPUs",'vInfo (Imported)'!$1:$5000,M1698,FALSE)</f>
        <v>0</v>
      </c>
      <c r="S1698">
        <f>HLOOKUP("Memory",'vInfo (Imported)'!$1:$5000,M1698,FALSE)</f>
        <v>0</v>
      </c>
      <c r="T1698">
        <f>HLOOKUP("Provisioned MiB",'vInfo (Imported)'!$1:$5000,M1698,FALSE)</f>
        <v>0</v>
      </c>
      <c r="U1698">
        <f t="shared" si="79"/>
        <v>0</v>
      </c>
      <c r="V1698">
        <f>HLOOKUP("In Use MiB",'vInfo (Imported)'!$1:$5000,M1698,FALSE)</f>
        <v>0</v>
      </c>
    </row>
    <row r="1699" spans="1:22" ht="13" x14ac:dyDescent="0.3">
      <c r="A1699" s="46">
        <f>'vHosts (Imported)'!A1699</f>
        <v>0</v>
      </c>
      <c r="B1699" s="51">
        <f t="shared" si="78"/>
        <v>4968</v>
      </c>
      <c r="C1699" s="49">
        <f>HLOOKUP("# Cores",'vHosts (Imported)'!$1:$5000,M1699,FALSE)</f>
        <v>0</v>
      </c>
      <c r="D1699" s="52">
        <f>HLOOKUP("# Memory",'vHosts (Imported)'!$1:$5000,M1699,FALSE)</f>
        <v>0</v>
      </c>
      <c r="M1699" s="45">
        <f t="shared" si="80"/>
        <v>1699</v>
      </c>
      <c r="N1699" s="38">
        <f>HLOOKUP("Host",'vInfo (Imported)'!$1:$5000,M1699,FALSE)</f>
        <v>0</v>
      </c>
      <c r="R1699">
        <f>HLOOKUP("CPUs",'vInfo (Imported)'!$1:$5000,M1699,FALSE)</f>
        <v>0</v>
      </c>
      <c r="S1699">
        <f>HLOOKUP("Memory",'vInfo (Imported)'!$1:$5000,M1699,FALSE)</f>
        <v>0</v>
      </c>
      <c r="T1699">
        <f>HLOOKUP("Provisioned MiB",'vInfo (Imported)'!$1:$5000,M1699,FALSE)</f>
        <v>0</v>
      </c>
      <c r="U1699">
        <f t="shared" si="79"/>
        <v>0</v>
      </c>
      <c r="V1699">
        <f>HLOOKUP("In Use MiB",'vInfo (Imported)'!$1:$5000,M1699,FALSE)</f>
        <v>0</v>
      </c>
    </row>
    <row r="1700" spans="1:22" ht="13" x14ac:dyDescent="0.3">
      <c r="A1700" s="46">
        <f>'vHosts (Imported)'!A1700</f>
        <v>0</v>
      </c>
      <c r="B1700" s="51">
        <f t="shared" si="78"/>
        <v>4968</v>
      </c>
      <c r="C1700" s="49">
        <f>HLOOKUP("# Cores",'vHosts (Imported)'!$1:$5000,M1700,FALSE)</f>
        <v>0</v>
      </c>
      <c r="D1700" s="52">
        <f>HLOOKUP("# Memory",'vHosts (Imported)'!$1:$5000,M1700,FALSE)</f>
        <v>0</v>
      </c>
      <c r="M1700" s="45">
        <f t="shared" si="80"/>
        <v>1700</v>
      </c>
      <c r="N1700" s="38">
        <f>HLOOKUP("Host",'vInfo (Imported)'!$1:$5000,M1700,FALSE)</f>
        <v>0</v>
      </c>
      <c r="R1700">
        <f>HLOOKUP("CPUs",'vInfo (Imported)'!$1:$5000,M1700,FALSE)</f>
        <v>0</v>
      </c>
      <c r="S1700">
        <f>HLOOKUP("Memory",'vInfo (Imported)'!$1:$5000,M1700,FALSE)</f>
        <v>0</v>
      </c>
      <c r="T1700">
        <f>HLOOKUP("Provisioned MiB",'vInfo (Imported)'!$1:$5000,M1700,FALSE)</f>
        <v>0</v>
      </c>
      <c r="U1700">
        <f t="shared" si="79"/>
        <v>0</v>
      </c>
      <c r="V1700">
        <f>HLOOKUP("In Use MiB",'vInfo (Imported)'!$1:$5000,M1700,FALSE)</f>
        <v>0</v>
      </c>
    </row>
    <row r="1701" spans="1:22" ht="13" x14ac:dyDescent="0.3">
      <c r="A1701" s="46">
        <f>'vHosts (Imported)'!A1701</f>
        <v>0</v>
      </c>
      <c r="B1701" s="51">
        <f t="shared" si="78"/>
        <v>4968</v>
      </c>
      <c r="C1701" s="49">
        <f>HLOOKUP("# Cores",'vHosts (Imported)'!$1:$5000,M1701,FALSE)</f>
        <v>0</v>
      </c>
      <c r="D1701" s="52">
        <f>HLOOKUP("# Memory",'vHosts (Imported)'!$1:$5000,M1701,FALSE)</f>
        <v>0</v>
      </c>
      <c r="M1701" s="45">
        <f t="shared" si="80"/>
        <v>1701</v>
      </c>
      <c r="N1701" s="38">
        <f>HLOOKUP("Host",'vInfo (Imported)'!$1:$5000,M1701,FALSE)</f>
        <v>0</v>
      </c>
      <c r="R1701">
        <f>HLOOKUP("CPUs",'vInfo (Imported)'!$1:$5000,M1701,FALSE)</f>
        <v>0</v>
      </c>
      <c r="S1701">
        <f>HLOOKUP("Memory",'vInfo (Imported)'!$1:$5000,M1701,FALSE)</f>
        <v>0</v>
      </c>
      <c r="T1701">
        <f>HLOOKUP("Provisioned MiB",'vInfo (Imported)'!$1:$5000,M1701,FALSE)</f>
        <v>0</v>
      </c>
      <c r="U1701">
        <f t="shared" si="79"/>
        <v>0</v>
      </c>
      <c r="V1701">
        <f>HLOOKUP("In Use MiB",'vInfo (Imported)'!$1:$5000,M1701,FALSE)</f>
        <v>0</v>
      </c>
    </row>
    <row r="1702" spans="1:22" ht="13" x14ac:dyDescent="0.3">
      <c r="A1702" s="46">
        <f>'vHosts (Imported)'!A1702</f>
        <v>0</v>
      </c>
      <c r="B1702" s="51">
        <f t="shared" si="78"/>
        <v>4968</v>
      </c>
      <c r="C1702" s="49">
        <f>HLOOKUP("# Cores",'vHosts (Imported)'!$1:$5000,M1702,FALSE)</f>
        <v>0</v>
      </c>
      <c r="D1702" s="52">
        <f>HLOOKUP("# Memory",'vHosts (Imported)'!$1:$5000,M1702,FALSE)</f>
        <v>0</v>
      </c>
      <c r="M1702" s="45">
        <f t="shared" si="80"/>
        <v>1702</v>
      </c>
      <c r="N1702" s="38">
        <f>HLOOKUP("Host",'vInfo (Imported)'!$1:$5000,M1702,FALSE)</f>
        <v>0</v>
      </c>
      <c r="R1702">
        <f>HLOOKUP("CPUs",'vInfo (Imported)'!$1:$5000,M1702,FALSE)</f>
        <v>0</v>
      </c>
      <c r="S1702">
        <f>HLOOKUP("Memory",'vInfo (Imported)'!$1:$5000,M1702,FALSE)</f>
        <v>0</v>
      </c>
      <c r="T1702">
        <f>HLOOKUP("Provisioned MiB",'vInfo (Imported)'!$1:$5000,M1702,FALSE)</f>
        <v>0</v>
      </c>
      <c r="U1702">
        <f t="shared" si="79"/>
        <v>0</v>
      </c>
      <c r="V1702">
        <f>HLOOKUP("In Use MiB",'vInfo (Imported)'!$1:$5000,M1702,FALSE)</f>
        <v>0</v>
      </c>
    </row>
    <row r="1703" spans="1:22" ht="13" x14ac:dyDescent="0.3">
      <c r="A1703" s="46">
        <f>'vHosts (Imported)'!A1703</f>
        <v>0</v>
      </c>
      <c r="B1703" s="51">
        <f t="shared" si="78"/>
        <v>4968</v>
      </c>
      <c r="C1703" s="49">
        <f>HLOOKUP("# Cores",'vHosts (Imported)'!$1:$5000,M1703,FALSE)</f>
        <v>0</v>
      </c>
      <c r="D1703" s="52">
        <f>HLOOKUP("# Memory",'vHosts (Imported)'!$1:$5000,M1703,FALSE)</f>
        <v>0</v>
      </c>
      <c r="M1703" s="45">
        <f t="shared" si="80"/>
        <v>1703</v>
      </c>
      <c r="N1703" s="38">
        <f>HLOOKUP("Host",'vInfo (Imported)'!$1:$5000,M1703,FALSE)</f>
        <v>0</v>
      </c>
      <c r="R1703">
        <f>HLOOKUP("CPUs",'vInfo (Imported)'!$1:$5000,M1703,FALSE)</f>
        <v>0</v>
      </c>
      <c r="S1703">
        <f>HLOOKUP("Memory",'vInfo (Imported)'!$1:$5000,M1703,FALSE)</f>
        <v>0</v>
      </c>
      <c r="T1703">
        <f>HLOOKUP("Provisioned MiB",'vInfo (Imported)'!$1:$5000,M1703,FALSE)</f>
        <v>0</v>
      </c>
      <c r="U1703">
        <f t="shared" si="79"/>
        <v>0</v>
      </c>
      <c r="V1703">
        <f>HLOOKUP("In Use MiB",'vInfo (Imported)'!$1:$5000,M1703,FALSE)</f>
        <v>0</v>
      </c>
    </row>
    <row r="1704" spans="1:22" ht="13" x14ac:dyDescent="0.3">
      <c r="A1704" s="46">
        <f>'vHosts (Imported)'!A1704</f>
        <v>0</v>
      </c>
      <c r="B1704" s="51">
        <f t="shared" ref="B1704:B1767" si="81">COUNTIF(N:N,A1704)</f>
        <v>4968</v>
      </c>
      <c r="C1704" s="49">
        <f>HLOOKUP("# Cores",'vHosts (Imported)'!$1:$5000,M1704,FALSE)</f>
        <v>0</v>
      </c>
      <c r="D1704" s="52">
        <f>HLOOKUP("# Memory",'vHosts (Imported)'!$1:$5000,M1704,FALSE)</f>
        <v>0</v>
      </c>
      <c r="M1704" s="45">
        <f t="shared" si="80"/>
        <v>1704</v>
      </c>
      <c r="N1704" s="38">
        <f>HLOOKUP("Host",'vInfo (Imported)'!$1:$5000,M1704,FALSE)</f>
        <v>0</v>
      </c>
      <c r="R1704">
        <f>HLOOKUP("CPUs",'vInfo (Imported)'!$1:$5000,M1704,FALSE)</f>
        <v>0</v>
      </c>
      <c r="S1704">
        <f>HLOOKUP("Memory",'vInfo (Imported)'!$1:$5000,M1704,FALSE)</f>
        <v>0</v>
      </c>
      <c r="T1704">
        <f>HLOOKUP("Provisioned MiB",'vInfo (Imported)'!$1:$5000,M1704,FALSE)</f>
        <v>0</v>
      </c>
      <c r="U1704">
        <f t="shared" si="79"/>
        <v>0</v>
      </c>
      <c r="V1704">
        <f>HLOOKUP("In Use MiB",'vInfo (Imported)'!$1:$5000,M1704,FALSE)</f>
        <v>0</v>
      </c>
    </row>
    <row r="1705" spans="1:22" ht="13" x14ac:dyDescent="0.3">
      <c r="A1705" s="46">
        <f>'vHosts (Imported)'!A1705</f>
        <v>0</v>
      </c>
      <c r="B1705" s="51">
        <f t="shared" si="81"/>
        <v>4968</v>
      </c>
      <c r="C1705" s="49">
        <f>HLOOKUP("# Cores",'vHosts (Imported)'!$1:$5000,M1705,FALSE)</f>
        <v>0</v>
      </c>
      <c r="D1705" s="52">
        <f>HLOOKUP("# Memory",'vHosts (Imported)'!$1:$5000,M1705,FALSE)</f>
        <v>0</v>
      </c>
      <c r="M1705" s="45">
        <f t="shared" si="80"/>
        <v>1705</v>
      </c>
      <c r="N1705" s="38">
        <f>HLOOKUP("Host",'vInfo (Imported)'!$1:$5000,M1705,FALSE)</f>
        <v>0</v>
      </c>
      <c r="R1705">
        <f>HLOOKUP("CPUs",'vInfo (Imported)'!$1:$5000,M1705,FALSE)</f>
        <v>0</v>
      </c>
      <c r="S1705">
        <f>HLOOKUP("Memory",'vInfo (Imported)'!$1:$5000,M1705,FALSE)</f>
        <v>0</v>
      </c>
      <c r="T1705">
        <f>HLOOKUP("Provisioned MiB",'vInfo (Imported)'!$1:$5000,M1705,FALSE)</f>
        <v>0</v>
      </c>
      <c r="U1705">
        <f t="shared" si="79"/>
        <v>0</v>
      </c>
      <c r="V1705">
        <f>HLOOKUP("In Use MiB",'vInfo (Imported)'!$1:$5000,M1705,FALSE)</f>
        <v>0</v>
      </c>
    </row>
    <row r="1706" spans="1:22" ht="13" x14ac:dyDescent="0.3">
      <c r="A1706" s="46">
        <f>'vHosts (Imported)'!A1706</f>
        <v>0</v>
      </c>
      <c r="B1706" s="51">
        <f t="shared" si="81"/>
        <v>4968</v>
      </c>
      <c r="C1706" s="49">
        <f>HLOOKUP("# Cores",'vHosts (Imported)'!$1:$5000,M1706,FALSE)</f>
        <v>0</v>
      </c>
      <c r="D1706" s="52">
        <f>HLOOKUP("# Memory",'vHosts (Imported)'!$1:$5000,M1706,FALSE)</f>
        <v>0</v>
      </c>
      <c r="M1706" s="45">
        <f t="shared" si="80"/>
        <v>1706</v>
      </c>
      <c r="N1706" s="38">
        <f>HLOOKUP("Host",'vInfo (Imported)'!$1:$5000,M1706,FALSE)</f>
        <v>0</v>
      </c>
      <c r="R1706">
        <f>HLOOKUP("CPUs",'vInfo (Imported)'!$1:$5000,M1706,FALSE)</f>
        <v>0</v>
      </c>
      <c r="S1706">
        <f>HLOOKUP("Memory",'vInfo (Imported)'!$1:$5000,M1706,FALSE)</f>
        <v>0</v>
      </c>
      <c r="T1706">
        <f>HLOOKUP("Provisioned MiB",'vInfo (Imported)'!$1:$5000,M1706,FALSE)</f>
        <v>0</v>
      </c>
      <c r="U1706">
        <f t="shared" si="79"/>
        <v>0</v>
      </c>
      <c r="V1706">
        <f>HLOOKUP("In Use MiB",'vInfo (Imported)'!$1:$5000,M1706,FALSE)</f>
        <v>0</v>
      </c>
    </row>
    <row r="1707" spans="1:22" ht="13" x14ac:dyDescent="0.3">
      <c r="A1707" s="46">
        <f>'vHosts (Imported)'!A1707</f>
        <v>0</v>
      </c>
      <c r="B1707" s="51">
        <f t="shared" si="81"/>
        <v>4968</v>
      </c>
      <c r="C1707" s="49">
        <f>HLOOKUP("# Cores",'vHosts (Imported)'!$1:$5000,M1707,FALSE)</f>
        <v>0</v>
      </c>
      <c r="D1707" s="52">
        <f>HLOOKUP("# Memory",'vHosts (Imported)'!$1:$5000,M1707,FALSE)</f>
        <v>0</v>
      </c>
      <c r="M1707" s="45">
        <f t="shared" si="80"/>
        <v>1707</v>
      </c>
      <c r="N1707" s="38">
        <f>HLOOKUP("Host",'vInfo (Imported)'!$1:$5000,M1707,FALSE)</f>
        <v>0</v>
      </c>
      <c r="R1707">
        <f>HLOOKUP("CPUs",'vInfo (Imported)'!$1:$5000,M1707,FALSE)</f>
        <v>0</v>
      </c>
      <c r="S1707">
        <f>HLOOKUP("Memory",'vInfo (Imported)'!$1:$5000,M1707,FALSE)</f>
        <v>0</v>
      </c>
      <c r="T1707">
        <f>HLOOKUP("Provisioned MiB",'vInfo (Imported)'!$1:$5000,M1707,FALSE)</f>
        <v>0</v>
      </c>
      <c r="U1707">
        <f t="shared" si="79"/>
        <v>0</v>
      </c>
      <c r="V1707">
        <f>HLOOKUP("In Use MiB",'vInfo (Imported)'!$1:$5000,M1707,FALSE)</f>
        <v>0</v>
      </c>
    </row>
    <row r="1708" spans="1:22" ht="13" x14ac:dyDescent="0.3">
      <c r="A1708" s="46">
        <f>'vHosts (Imported)'!A1708</f>
        <v>0</v>
      </c>
      <c r="B1708" s="51">
        <f t="shared" si="81"/>
        <v>4968</v>
      </c>
      <c r="C1708" s="49">
        <f>HLOOKUP("# Cores",'vHosts (Imported)'!$1:$5000,M1708,FALSE)</f>
        <v>0</v>
      </c>
      <c r="D1708" s="52">
        <f>HLOOKUP("# Memory",'vHosts (Imported)'!$1:$5000,M1708,FALSE)</f>
        <v>0</v>
      </c>
      <c r="M1708" s="45">
        <f t="shared" si="80"/>
        <v>1708</v>
      </c>
      <c r="N1708" s="38">
        <f>HLOOKUP("Host",'vInfo (Imported)'!$1:$5000,M1708,FALSE)</f>
        <v>0</v>
      </c>
      <c r="R1708">
        <f>HLOOKUP("CPUs",'vInfo (Imported)'!$1:$5000,M1708,FALSE)</f>
        <v>0</v>
      </c>
      <c r="S1708">
        <f>HLOOKUP("Memory",'vInfo (Imported)'!$1:$5000,M1708,FALSE)</f>
        <v>0</v>
      </c>
      <c r="T1708">
        <f>HLOOKUP("Provisioned MiB",'vInfo (Imported)'!$1:$5000,M1708,FALSE)</f>
        <v>0</v>
      </c>
      <c r="U1708">
        <f t="shared" si="79"/>
        <v>0</v>
      </c>
      <c r="V1708">
        <f>HLOOKUP("In Use MiB",'vInfo (Imported)'!$1:$5000,M1708,FALSE)</f>
        <v>0</v>
      </c>
    </row>
    <row r="1709" spans="1:22" ht="13" x14ac:dyDescent="0.3">
      <c r="A1709" s="46">
        <f>'vHosts (Imported)'!A1709</f>
        <v>0</v>
      </c>
      <c r="B1709" s="51">
        <f t="shared" si="81"/>
        <v>4968</v>
      </c>
      <c r="C1709" s="49">
        <f>HLOOKUP("# Cores",'vHosts (Imported)'!$1:$5000,M1709,FALSE)</f>
        <v>0</v>
      </c>
      <c r="D1709" s="52">
        <f>HLOOKUP("# Memory",'vHosts (Imported)'!$1:$5000,M1709,FALSE)</f>
        <v>0</v>
      </c>
      <c r="M1709" s="45">
        <f t="shared" si="80"/>
        <v>1709</v>
      </c>
      <c r="N1709" s="38">
        <f>HLOOKUP("Host",'vInfo (Imported)'!$1:$5000,M1709,FALSE)</f>
        <v>0</v>
      </c>
      <c r="R1709">
        <f>HLOOKUP("CPUs",'vInfo (Imported)'!$1:$5000,M1709,FALSE)</f>
        <v>0</v>
      </c>
      <c r="S1709">
        <f>HLOOKUP("Memory",'vInfo (Imported)'!$1:$5000,M1709,FALSE)</f>
        <v>0</v>
      </c>
      <c r="T1709">
        <f>HLOOKUP("Provisioned MiB",'vInfo (Imported)'!$1:$5000,M1709,FALSE)</f>
        <v>0</v>
      </c>
      <c r="U1709">
        <f t="shared" si="79"/>
        <v>0</v>
      </c>
      <c r="V1709">
        <f>HLOOKUP("In Use MiB",'vInfo (Imported)'!$1:$5000,M1709,FALSE)</f>
        <v>0</v>
      </c>
    </row>
    <row r="1710" spans="1:22" ht="13" x14ac:dyDescent="0.3">
      <c r="A1710" s="46">
        <f>'vHosts (Imported)'!A1710</f>
        <v>0</v>
      </c>
      <c r="B1710" s="51">
        <f t="shared" si="81"/>
        <v>4968</v>
      </c>
      <c r="C1710" s="49">
        <f>HLOOKUP("# Cores",'vHosts (Imported)'!$1:$5000,M1710,FALSE)</f>
        <v>0</v>
      </c>
      <c r="D1710" s="52">
        <f>HLOOKUP("# Memory",'vHosts (Imported)'!$1:$5000,M1710,FALSE)</f>
        <v>0</v>
      </c>
      <c r="M1710" s="45">
        <f t="shared" si="80"/>
        <v>1710</v>
      </c>
      <c r="N1710" s="38">
        <f>HLOOKUP("Host",'vInfo (Imported)'!$1:$5000,M1710,FALSE)</f>
        <v>0</v>
      </c>
      <c r="R1710">
        <f>HLOOKUP("CPUs",'vInfo (Imported)'!$1:$5000,M1710,FALSE)</f>
        <v>0</v>
      </c>
      <c r="S1710">
        <f>HLOOKUP("Memory",'vInfo (Imported)'!$1:$5000,M1710,FALSE)</f>
        <v>0</v>
      </c>
      <c r="T1710">
        <f>HLOOKUP("Provisioned MiB",'vInfo (Imported)'!$1:$5000,M1710,FALSE)</f>
        <v>0</v>
      </c>
      <c r="U1710">
        <f t="shared" si="79"/>
        <v>0</v>
      </c>
      <c r="V1710">
        <f>HLOOKUP("In Use MiB",'vInfo (Imported)'!$1:$5000,M1710,FALSE)</f>
        <v>0</v>
      </c>
    </row>
    <row r="1711" spans="1:22" ht="13" x14ac:dyDescent="0.3">
      <c r="A1711" s="46">
        <f>'vHosts (Imported)'!A1711</f>
        <v>0</v>
      </c>
      <c r="B1711" s="51">
        <f t="shared" si="81"/>
        <v>4968</v>
      </c>
      <c r="C1711" s="49">
        <f>HLOOKUP("# Cores",'vHosts (Imported)'!$1:$5000,M1711,FALSE)</f>
        <v>0</v>
      </c>
      <c r="D1711" s="52">
        <f>HLOOKUP("# Memory",'vHosts (Imported)'!$1:$5000,M1711,FALSE)</f>
        <v>0</v>
      </c>
      <c r="M1711" s="45">
        <f t="shared" si="80"/>
        <v>1711</v>
      </c>
      <c r="N1711" s="38">
        <f>HLOOKUP("Host",'vInfo (Imported)'!$1:$5000,M1711,FALSE)</f>
        <v>0</v>
      </c>
      <c r="R1711">
        <f>HLOOKUP("CPUs",'vInfo (Imported)'!$1:$5000,M1711,FALSE)</f>
        <v>0</v>
      </c>
      <c r="S1711">
        <f>HLOOKUP("Memory",'vInfo (Imported)'!$1:$5000,M1711,FALSE)</f>
        <v>0</v>
      </c>
      <c r="T1711">
        <f>HLOOKUP("Provisioned MiB",'vInfo (Imported)'!$1:$5000,M1711,FALSE)</f>
        <v>0</v>
      </c>
      <c r="U1711">
        <f t="shared" si="79"/>
        <v>0</v>
      </c>
      <c r="V1711">
        <f>HLOOKUP("In Use MiB",'vInfo (Imported)'!$1:$5000,M1711,FALSE)</f>
        <v>0</v>
      </c>
    </row>
    <row r="1712" spans="1:22" ht="13" x14ac:dyDescent="0.3">
      <c r="A1712" s="46">
        <f>'vHosts (Imported)'!A1712</f>
        <v>0</v>
      </c>
      <c r="B1712" s="51">
        <f t="shared" si="81"/>
        <v>4968</v>
      </c>
      <c r="C1712" s="49">
        <f>HLOOKUP("# Cores",'vHosts (Imported)'!$1:$5000,M1712,FALSE)</f>
        <v>0</v>
      </c>
      <c r="D1712" s="52">
        <f>HLOOKUP("# Memory",'vHosts (Imported)'!$1:$5000,M1712,FALSE)</f>
        <v>0</v>
      </c>
      <c r="M1712" s="45">
        <f t="shared" si="80"/>
        <v>1712</v>
      </c>
      <c r="N1712" s="38">
        <f>HLOOKUP("Host",'vInfo (Imported)'!$1:$5000,M1712,FALSE)</f>
        <v>0</v>
      </c>
      <c r="R1712">
        <f>HLOOKUP("CPUs",'vInfo (Imported)'!$1:$5000,M1712,FALSE)</f>
        <v>0</v>
      </c>
      <c r="S1712">
        <f>HLOOKUP("Memory",'vInfo (Imported)'!$1:$5000,M1712,FALSE)</f>
        <v>0</v>
      </c>
      <c r="T1712">
        <f>HLOOKUP("Provisioned MiB",'vInfo (Imported)'!$1:$5000,M1712,FALSE)</f>
        <v>0</v>
      </c>
      <c r="U1712">
        <f t="shared" si="79"/>
        <v>0</v>
      </c>
      <c r="V1712">
        <f>HLOOKUP("In Use MiB",'vInfo (Imported)'!$1:$5000,M1712,FALSE)</f>
        <v>0</v>
      </c>
    </row>
    <row r="1713" spans="1:22" ht="13" x14ac:dyDescent="0.3">
      <c r="A1713" s="46">
        <f>'vHosts (Imported)'!A1713</f>
        <v>0</v>
      </c>
      <c r="B1713" s="51">
        <f t="shared" si="81"/>
        <v>4968</v>
      </c>
      <c r="C1713" s="49">
        <f>HLOOKUP("# Cores",'vHosts (Imported)'!$1:$5000,M1713,FALSE)</f>
        <v>0</v>
      </c>
      <c r="D1713" s="52">
        <f>HLOOKUP("# Memory",'vHosts (Imported)'!$1:$5000,M1713,FALSE)</f>
        <v>0</v>
      </c>
      <c r="M1713" s="45">
        <f t="shared" si="80"/>
        <v>1713</v>
      </c>
      <c r="N1713" s="38">
        <f>HLOOKUP("Host",'vInfo (Imported)'!$1:$5000,M1713,FALSE)</f>
        <v>0</v>
      </c>
      <c r="R1713">
        <f>HLOOKUP("CPUs",'vInfo (Imported)'!$1:$5000,M1713,FALSE)</f>
        <v>0</v>
      </c>
      <c r="S1713">
        <f>HLOOKUP("Memory",'vInfo (Imported)'!$1:$5000,M1713,FALSE)</f>
        <v>0</v>
      </c>
      <c r="T1713">
        <f>HLOOKUP("Provisioned MiB",'vInfo (Imported)'!$1:$5000,M1713,FALSE)</f>
        <v>0</v>
      </c>
      <c r="U1713">
        <f t="shared" si="79"/>
        <v>0</v>
      </c>
      <c r="V1713">
        <f>HLOOKUP("In Use MiB",'vInfo (Imported)'!$1:$5000,M1713,FALSE)</f>
        <v>0</v>
      </c>
    </row>
    <row r="1714" spans="1:22" ht="13" x14ac:dyDescent="0.3">
      <c r="A1714" s="46">
        <f>'vHosts (Imported)'!A1714</f>
        <v>0</v>
      </c>
      <c r="B1714" s="51">
        <f t="shared" si="81"/>
        <v>4968</v>
      </c>
      <c r="C1714" s="49">
        <f>HLOOKUP("# Cores",'vHosts (Imported)'!$1:$5000,M1714,FALSE)</f>
        <v>0</v>
      </c>
      <c r="D1714" s="52">
        <f>HLOOKUP("# Memory",'vHosts (Imported)'!$1:$5000,M1714,FALSE)</f>
        <v>0</v>
      </c>
      <c r="M1714" s="45">
        <f t="shared" si="80"/>
        <v>1714</v>
      </c>
      <c r="N1714" s="38">
        <f>HLOOKUP("Host",'vInfo (Imported)'!$1:$5000,M1714,FALSE)</f>
        <v>0</v>
      </c>
      <c r="R1714">
        <f>HLOOKUP("CPUs",'vInfo (Imported)'!$1:$5000,M1714,FALSE)</f>
        <v>0</v>
      </c>
      <c r="S1714">
        <f>HLOOKUP("Memory",'vInfo (Imported)'!$1:$5000,M1714,FALSE)</f>
        <v>0</v>
      </c>
      <c r="T1714">
        <f>HLOOKUP("Provisioned MiB",'vInfo (Imported)'!$1:$5000,M1714,FALSE)</f>
        <v>0</v>
      </c>
      <c r="U1714">
        <f t="shared" si="79"/>
        <v>0</v>
      </c>
      <c r="V1714">
        <f>HLOOKUP("In Use MiB",'vInfo (Imported)'!$1:$5000,M1714,FALSE)</f>
        <v>0</v>
      </c>
    </row>
    <row r="1715" spans="1:22" ht="13" x14ac:dyDescent="0.3">
      <c r="A1715" s="46">
        <f>'vHosts (Imported)'!A1715</f>
        <v>0</v>
      </c>
      <c r="B1715" s="51">
        <f t="shared" si="81"/>
        <v>4968</v>
      </c>
      <c r="C1715" s="49">
        <f>HLOOKUP("# Cores",'vHosts (Imported)'!$1:$5000,M1715,FALSE)</f>
        <v>0</v>
      </c>
      <c r="D1715" s="52">
        <f>HLOOKUP("# Memory",'vHosts (Imported)'!$1:$5000,M1715,FALSE)</f>
        <v>0</v>
      </c>
      <c r="M1715" s="45">
        <f t="shared" si="80"/>
        <v>1715</v>
      </c>
      <c r="N1715" s="38">
        <f>HLOOKUP("Host",'vInfo (Imported)'!$1:$5000,M1715,FALSE)</f>
        <v>0</v>
      </c>
      <c r="R1715">
        <f>HLOOKUP("CPUs",'vInfo (Imported)'!$1:$5000,M1715,FALSE)</f>
        <v>0</v>
      </c>
      <c r="S1715">
        <f>HLOOKUP("Memory",'vInfo (Imported)'!$1:$5000,M1715,FALSE)</f>
        <v>0</v>
      </c>
      <c r="T1715">
        <f>HLOOKUP("Provisioned MiB",'vInfo (Imported)'!$1:$5000,M1715,FALSE)</f>
        <v>0</v>
      </c>
      <c r="U1715">
        <f t="shared" si="79"/>
        <v>0</v>
      </c>
      <c r="V1715">
        <f>HLOOKUP("In Use MiB",'vInfo (Imported)'!$1:$5000,M1715,FALSE)</f>
        <v>0</v>
      </c>
    </row>
    <row r="1716" spans="1:22" ht="13" x14ac:dyDescent="0.3">
      <c r="A1716" s="46">
        <f>'vHosts (Imported)'!A1716</f>
        <v>0</v>
      </c>
      <c r="B1716" s="51">
        <f t="shared" si="81"/>
        <v>4968</v>
      </c>
      <c r="C1716" s="49">
        <f>HLOOKUP("# Cores",'vHosts (Imported)'!$1:$5000,M1716,FALSE)</f>
        <v>0</v>
      </c>
      <c r="D1716" s="52">
        <f>HLOOKUP("# Memory",'vHosts (Imported)'!$1:$5000,M1716,FALSE)</f>
        <v>0</v>
      </c>
      <c r="M1716" s="45">
        <f t="shared" si="80"/>
        <v>1716</v>
      </c>
      <c r="N1716" s="38">
        <f>HLOOKUP("Host",'vInfo (Imported)'!$1:$5000,M1716,FALSE)</f>
        <v>0</v>
      </c>
      <c r="R1716">
        <f>HLOOKUP("CPUs",'vInfo (Imported)'!$1:$5000,M1716,FALSE)</f>
        <v>0</v>
      </c>
      <c r="S1716">
        <f>HLOOKUP("Memory",'vInfo (Imported)'!$1:$5000,M1716,FALSE)</f>
        <v>0</v>
      </c>
      <c r="T1716">
        <f>HLOOKUP("Provisioned MiB",'vInfo (Imported)'!$1:$5000,M1716,FALSE)</f>
        <v>0</v>
      </c>
      <c r="U1716">
        <f t="shared" si="79"/>
        <v>0</v>
      </c>
      <c r="V1716">
        <f>HLOOKUP("In Use MiB",'vInfo (Imported)'!$1:$5000,M1716,FALSE)</f>
        <v>0</v>
      </c>
    </row>
    <row r="1717" spans="1:22" ht="13" x14ac:dyDescent="0.3">
      <c r="A1717" s="46">
        <f>'vHosts (Imported)'!A1717</f>
        <v>0</v>
      </c>
      <c r="B1717" s="51">
        <f t="shared" si="81"/>
        <v>4968</v>
      </c>
      <c r="C1717" s="49">
        <f>HLOOKUP("# Cores",'vHosts (Imported)'!$1:$5000,M1717,FALSE)</f>
        <v>0</v>
      </c>
      <c r="D1717" s="52">
        <f>HLOOKUP("# Memory",'vHosts (Imported)'!$1:$5000,M1717,FALSE)</f>
        <v>0</v>
      </c>
      <c r="M1717" s="45">
        <f t="shared" si="80"/>
        <v>1717</v>
      </c>
      <c r="N1717" s="38">
        <f>HLOOKUP("Host",'vInfo (Imported)'!$1:$5000,M1717,FALSE)</f>
        <v>0</v>
      </c>
      <c r="R1717">
        <f>HLOOKUP("CPUs",'vInfo (Imported)'!$1:$5000,M1717,FALSE)</f>
        <v>0</v>
      </c>
      <c r="S1717">
        <f>HLOOKUP("Memory",'vInfo (Imported)'!$1:$5000,M1717,FALSE)</f>
        <v>0</v>
      </c>
      <c r="T1717">
        <f>HLOOKUP("Provisioned MiB",'vInfo (Imported)'!$1:$5000,M1717,FALSE)</f>
        <v>0</v>
      </c>
      <c r="U1717">
        <f t="shared" si="79"/>
        <v>0</v>
      </c>
      <c r="V1717">
        <f>HLOOKUP("In Use MiB",'vInfo (Imported)'!$1:$5000,M1717,FALSE)</f>
        <v>0</v>
      </c>
    </row>
    <row r="1718" spans="1:22" ht="13" x14ac:dyDescent="0.3">
      <c r="A1718" s="46">
        <f>'vHosts (Imported)'!A1718</f>
        <v>0</v>
      </c>
      <c r="B1718" s="51">
        <f t="shared" si="81"/>
        <v>4968</v>
      </c>
      <c r="C1718" s="49">
        <f>HLOOKUP("# Cores",'vHosts (Imported)'!$1:$5000,M1718,FALSE)</f>
        <v>0</v>
      </c>
      <c r="D1718" s="52">
        <f>HLOOKUP("# Memory",'vHosts (Imported)'!$1:$5000,M1718,FALSE)</f>
        <v>0</v>
      </c>
      <c r="M1718" s="45">
        <f t="shared" si="80"/>
        <v>1718</v>
      </c>
      <c r="N1718" s="38">
        <f>HLOOKUP("Host",'vInfo (Imported)'!$1:$5000,M1718,FALSE)</f>
        <v>0</v>
      </c>
      <c r="R1718">
        <f>HLOOKUP("CPUs",'vInfo (Imported)'!$1:$5000,M1718,FALSE)</f>
        <v>0</v>
      </c>
      <c r="S1718">
        <f>HLOOKUP("Memory",'vInfo (Imported)'!$1:$5000,M1718,FALSE)</f>
        <v>0</v>
      </c>
      <c r="T1718">
        <f>HLOOKUP("Provisioned MiB",'vInfo (Imported)'!$1:$5000,M1718,FALSE)</f>
        <v>0</v>
      </c>
      <c r="U1718">
        <f t="shared" si="79"/>
        <v>0</v>
      </c>
      <c r="V1718">
        <f>HLOOKUP("In Use MiB",'vInfo (Imported)'!$1:$5000,M1718,FALSE)</f>
        <v>0</v>
      </c>
    </row>
    <row r="1719" spans="1:22" ht="13" x14ac:dyDescent="0.3">
      <c r="A1719" s="46">
        <f>'vHosts (Imported)'!A1719</f>
        <v>0</v>
      </c>
      <c r="B1719" s="51">
        <f t="shared" si="81"/>
        <v>4968</v>
      </c>
      <c r="C1719" s="49">
        <f>HLOOKUP("# Cores",'vHosts (Imported)'!$1:$5000,M1719,FALSE)</f>
        <v>0</v>
      </c>
      <c r="D1719" s="52">
        <f>HLOOKUP("# Memory",'vHosts (Imported)'!$1:$5000,M1719,FALSE)</f>
        <v>0</v>
      </c>
      <c r="M1719" s="45">
        <f t="shared" si="80"/>
        <v>1719</v>
      </c>
      <c r="N1719" s="38">
        <f>HLOOKUP("Host",'vInfo (Imported)'!$1:$5000,M1719,FALSE)</f>
        <v>0</v>
      </c>
      <c r="R1719">
        <f>HLOOKUP("CPUs",'vInfo (Imported)'!$1:$5000,M1719,FALSE)</f>
        <v>0</v>
      </c>
      <c r="S1719">
        <f>HLOOKUP("Memory",'vInfo (Imported)'!$1:$5000,M1719,FALSE)</f>
        <v>0</v>
      </c>
      <c r="T1719">
        <f>HLOOKUP("Provisioned MiB",'vInfo (Imported)'!$1:$5000,M1719,FALSE)</f>
        <v>0</v>
      </c>
      <c r="U1719">
        <f t="shared" si="79"/>
        <v>0</v>
      </c>
      <c r="V1719">
        <f>HLOOKUP("In Use MiB",'vInfo (Imported)'!$1:$5000,M1719,FALSE)</f>
        <v>0</v>
      </c>
    </row>
    <row r="1720" spans="1:22" ht="13" x14ac:dyDescent="0.3">
      <c r="A1720" s="46">
        <f>'vHosts (Imported)'!A1720</f>
        <v>0</v>
      </c>
      <c r="B1720" s="51">
        <f t="shared" si="81"/>
        <v>4968</v>
      </c>
      <c r="C1720" s="49">
        <f>HLOOKUP("# Cores",'vHosts (Imported)'!$1:$5000,M1720,FALSE)</f>
        <v>0</v>
      </c>
      <c r="D1720" s="52">
        <f>HLOOKUP("# Memory",'vHosts (Imported)'!$1:$5000,M1720,FALSE)</f>
        <v>0</v>
      </c>
      <c r="M1720" s="45">
        <f t="shared" si="80"/>
        <v>1720</v>
      </c>
      <c r="N1720" s="38">
        <f>HLOOKUP("Host",'vInfo (Imported)'!$1:$5000,M1720,FALSE)</f>
        <v>0</v>
      </c>
      <c r="R1720">
        <f>HLOOKUP("CPUs",'vInfo (Imported)'!$1:$5000,M1720,FALSE)</f>
        <v>0</v>
      </c>
      <c r="S1720">
        <f>HLOOKUP("Memory",'vInfo (Imported)'!$1:$5000,M1720,FALSE)</f>
        <v>0</v>
      </c>
      <c r="T1720">
        <f>HLOOKUP("Provisioned MiB",'vInfo (Imported)'!$1:$5000,M1720,FALSE)</f>
        <v>0</v>
      </c>
      <c r="U1720">
        <f t="shared" si="79"/>
        <v>0</v>
      </c>
      <c r="V1720">
        <f>HLOOKUP("In Use MiB",'vInfo (Imported)'!$1:$5000,M1720,FALSE)</f>
        <v>0</v>
      </c>
    </row>
    <row r="1721" spans="1:22" ht="13" x14ac:dyDescent="0.3">
      <c r="A1721" s="46">
        <f>'vHosts (Imported)'!A1721</f>
        <v>0</v>
      </c>
      <c r="B1721" s="51">
        <f t="shared" si="81"/>
        <v>4968</v>
      </c>
      <c r="C1721" s="49">
        <f>HLOOKUP("# Cores",'vHosts (Imported)'!$1:$5000,M1721,FALSE)</f>
        <v>0</v>
      </c>
      <c r="D1721" s="52">
        <f>HLOOKUP("# Memory",'vHosts (Imported)'!$1:$5000,M1721,FALSE)</f>
        <v>0</v>
      </c>
      <c r="M1721" s="45">
        <f t="shared" si="80"/>
        <v>1721</v>
      </c>
      <c r="N1721" s="38">
        <f>HLOOKUP("Host",'vInfo (Imported)'!$1:$5000,M1721,FALSE)</f>
        <v>0</v>
      </c>
      <c r="R1721">
        <f>HLOOKUP("CPUs",'vInfo (Imported)'!$1:$5000,M1721,FALSE)</f>
        <v>0</v>
      </c>
      <c r="S1721">
        <f>HLOOKUP("Memory",'vInfo (Imported)'!$1:$5000,M1721,FALSE)</f>
        <v>0</v>
      </c>
      <c r="T1721">
        <f>HLOOKUP("Provisioned MiB",'vInfo (Imported)'!$1:$5000,M1721,FALSE)</f>
        <v>0</v>
      </c>
      <c r="U1721">
        <f t="shared" si="79"/>
        <v>0</v>
      </c>
      <c r="V1721">
        <f>HLOOKUP("In Use MiB",'vInfo (Imported)'!$1:$5000,M1721,FALSE)</f>
        <v>0</v>
      </c>
    </row>
    <row r="1722" spans="1:22" ht="13" x14ac:dyDescent="0.3">
      <c r="A1722" s="46">
        <f>'vHosts (Imported)'!A1722</f>
        <v>0</v>
      </c>
      <c r="B1722" s="51">
        <f t="shared" si="81"/>
        <v>4968</v>
      </c>
      <c r="C1722" s="49">
        <f>HLOOKUP("# Cores",'vHosts (Imported)'!$1:$5000,M1722,FALSE)</f>
        <v>0</v>
      </c>
      <c r="D1722" s="52">
        <f>HLOOKUP("# Memory",'vHosts (Imported)'!$1:$5000,M1722,FALSE)</f>
        <v>0</v>
      </c>
      <c r="M1722" s="45">
        <f t="shared" si="80"/>
        <v>1722</v>
      </c>
      <c r="N1722" s="38">
        <f>HLOOKUP("Host",'vInfo (Imported)'!$1:$5000,M1722,FALSE)</f>
        <v>0</v>
      </c>
      <c r="R1722">
        <f>HLOOKUP("CPUs",'vInfo (Imported)'!$1:$5000,M1722,FALSE)</f>
        <v>0</v>
      </c>
      <c r="S1722">
        <f>HLOOKUP("Memory",'vInfo (Imported)'!$1:$5000,M1722,FALSE)</f>
        <v>0</v>
      </c>
      <c r="T1722">
        <f>HLOOKUP("Provisioned MiB",'vInfo (Imported)'!$1:$5000,M1722,FALSE)</f>
        <v>0</v>
      </c>
      <c r="U1722">
        <f t="shared" si="79"/>
        <v>0</v>
      </c>
      <c r="V1722">
        <f>HLOOKUP("In Use MiB",'vInfo (Imported)'!$1:$5000,M1722,FALSE)</f>
        <v>0</v>
      </c>
    </row>
    <row r="1723" spans="1:22" ht="13" x14ac:dyDescent="0.3">
      <c r="A1723" s="46">
        <f>'vHosts (Imported)'!A1723</f>
        <v>0</v>
      </c>
      <c r="B1723" s="51">
        <f t="shared" si="81"/>
        <v>4968</v>
      </c>
      <c r="C1723" s="49">
        <f>HLOOKUP("# Cores",'vHosts (Imported)'!$1:$5000,M1723,FALSE)</f>
        <v>0</v>
      </c>
      <c r="D1723" s="52">
        <f>HLOOKUP("# Memory",'vHosts (Imported)'!$1:$5000,M1723,FALSE)</f>
        <v>0</v>
      </c>
      <c r="M1723" s="45">
        <f t="shared" si="80"/>
        <v>1723</v>
      </c>
      <c r="N1723" s="38">
        <f>HLOOKUP("Host",'vInfo (Imported)'!$1:$5000,M1723,FALSE)</f>
        <v>0</v>
      </c>
      <c r="R1723">
        <f>HLOOKUP("CPUs",'vInfo (Imported)'!$1:$5000,M1723,FALSE)</f>
        <v>0</v>
      </c>
      <c r="S1723">
        <f>HLOOKUP("Memory",'vInfo (Imported)'!$1:$5000,M1723,FALSE)</f>
        <v>0</v>
      </c>
      <c r="T1723">
        <f>HLOOKUP("Provisioned MiB",'vInfo (Imported)'!$1:$5000,M1723,FALSE)</f>
        <v>0</v>
      </c>
      <c r="U1723">
        <f t="shared" si="79"/>
        <v>0</v>
      </c>
      <c r="V1723">
        <f>HLOOKUP("In Use MiB",'vInfo (Imported)'!$1:$5000,M1723,FALSE)</f>
        <v>0</v>
      </c>
    </row>
    <row r="1724" spans="1:22" ht="13" x14ac:dyDescent="0.3">
      <c r="A1724" s="46">
        <f>'vHosts (Imported)'!A1724</f>
        <v>0</v>
      </c>
      <c r="B1724" s="51">
        <f t="shared" si="81"/>
        <v>4968</v>
      </c>
      <c r="C1724" s="49">
        <f>HLOOKUP("# Cores",'vHosts (Imported)'!$1:$5000,M1724,FALSE)</f>
        <v>0</v>
      </c>
      <c r="D1724" s="52">
        <f>HLOOKUP("# Memory",'vHosts (Imported)'!$1:$5000,M1724,FALSE)</f>
        <v>0</v>
      </c>
      <c r="M1724" s="45">
        <f t="shared" si="80"/>
        <v>1724</v>
      </c>
      <c r="N1724" s="38">
        <f>HLOOKUP("Host",'vInfo (Imported)'!$1:$5000,M1724,FALSE)</f>
        <v>0</v>
      </c>
      <c r="R1724">
        <f>HLOOKUP("CPUs",'vInfo (Imported)'!$1:$5000,M1724,FALSE)</f>
        <v>0</v>
      </c>
      <c r="S1724">
        <f>HLOOKUP("Memory",'vInfo (Imported)'!$1:$5000,M1724,FALSE)</f>
        <v>0</v>
      </c>
      <c r="T1724">
        <f>HLOOKUP("Provisioned MiB",'vInfo (Imported)'!$1:$5000,M1724,FALSE)</f>
        <v>0</v>
      </c>
      <c r="U1724">
        <f t="shared" si="79"/>
        <v>0</v>
      </c>
      <c r="V1724">
        <f>HLOOKUP("In Use MiB",'vInfo (Imported)'!$1:$5000,M1724,FALSE)</f>
        <v>0</v>
      </c>
    </row>
    <row r="1725" spans="1:22" ht="13" x14ac:dyDescent="0.3">
      <c r="A1725" s="46">
        <f>'vHosts (Imported)'!A1725</f>
        <v>0</v>
      </c>
      <c r="B1725" s="51">
        <f t="shared" si="81"/>
        <v>4968</v>
      </c>
      <c r="C1725" s="49">
        <f>HLOOKUP("# Cores",'vHosts (Imported)'!$1:$5000,M1725,FALSE)</f>
        <v>0</v>
      </c>
      <c r="D1725" s="52">
        <f>HLOOKUP("# Memory",'vHosts (Imported)'!$1:$5000,M1725,FALSE)</f>
        <v>0</v>
      </c>
      <c r="M1725" s="45">
        <f t="shared" si="80"/>
        <v>1725</v>
      </c>
      <c r="N1725" s="38">
        <f>HLOOKUP("Host",'vInfo (Imported)'!$1:$5000,M1725,FALSE)</f>
        <v>0</v>
      </c>
      <c r="R1725">
        <f>HLOOKUP("CPUs",'vInfo (Imported)'!$1:$5000,M1725,FALSE)</f>
        <v>0</v>
      </c>
      <c r="S1725">
        <f>HLOOKUP("Memory",'vInfo (Imported)'!$1:$5000,M1725,FALSE)</f>
        <v>0</v>
      </c>
      <c r="T1725">
        <f>HLOOKUP("Provisioned MiB",'vInfo (Imported)'!$1:$5000,M1725,FALSE)</f>
        <v>0</v>
      </c>
      <c r="U1725">
        <f t="shared" si="79"/>
        <v>0</v>
      </c>
      <c r="V1725">
        <f>HLOOKUP("In Use MiB",'vInfo (Imported)'!$1:$5000,M1725,FALSE)</f>
        <v>0</v>
      </c>
    </row>
    <row r="1726" spans="1:22" ht="13" x14ac:dyDescent="0.3">
      <c r="A1726" s="46">
        <f>'vHosts (Imported)'!A1726</f>
        <v>0</v>
      </c>
      <c r="B1726" s="51">
        <f t="shared" si="81"/>
        <v>4968</v>
      </c>
      <c r="C1726" s="49">
        <f>HLOOKUP("# Cores",'vHosts (Imported)'!$1:$5000,M1726,FALSE)</f>
        <v>0</v>
      </c>
      <c r="D1726" s="52">
        <f>HLOOKUP("# Memory",'vHosts (Imported)'!$1:$5000,M1726,FALSE)</f>
        <v>0</v>
      </c>
      <c r="M1726" s="45">
        <f t="shared" si="80"/>
        <v>1726</v>
      </c>
      <c r="N1726" s="38">
        <f>HLOOKUP("Host",'vInfo (Imported)'!$1:$5000,M1726,FALSE)</f>
        <v>0</v>
      </c>
      <c r="R1726">
        <f>HLOOKUP("CPUs",'vInfo (Imported)'!$1:$5000,M1726,FALSE)</f>
        <v>0</v>
      </c>
      <c r="S1726">
        <f>HLOOKUP("Memory",'vInfo (Imported)'!$1:$5000,M1726,FALSE)</f>
        <v>0</v>
      </c>
      <c r="T1726">
        <f>HLOOKUP("Provisioned MiB",'vInfo (Imported)'!$1:$5000,M1726,FALSE)</f>
        <v>0</v>
      </c>
      <c r="U1726">
        <f t="shared" si="79"/>
        <v>0</v>
      </c>
      <c r="V1726">
        <f>HLOOKUP("In Use MiB",'vInfo (Imported)'!$1:$5000,M1726,FALSE)</f>
        <v>0</v>
      </c>
    </row>
    <row r="1727" spans="1:22" ht="13" x14ac:dyDescent="0.3">
      <c r="A1727" s="46">
        <f>'vHosts (Imported)'!A1727</f>
        <v>0</v>
      </c>
      <c r="B1727" s="51">
        <f t="shared" si="81"/>
        <v>4968</v>
      </c>
      <c r="C1727" s="49">
        <f>HLOOKUP("# Cores",'vHosts (Imported)'!$1:$5000,M1727,FALSE)</f>
        <v>0</v>
      </c>
      <c r="D1727" s="52">
        <f>HLOOKUP("# Memory",'vHosts (Imported)'!$1:$5000,M1727,FALSE)</f>
        <v>0</v>
      </c>
      <c r="M1727" s="45">
        <f t="shared" si="80"/>
        <v>1727</v>
      </c>
      <c r="N1727" s="38">
        <f>HLOOKUP("Host",'vInfo (Imported)'!$1:$5000,M1727,FALSE)</f>
        <v>0</v>
      </c>
      <c r="R1727">
        <f>HLOOKUP("CPUs",'vInfo (Imported)'!$1:$5000,M1727,FALSE)</f>
        <v>0</v>
      </c>
      <c r="S1727">
        <f>HLOOKUP("Memory",'vInfo (Imported)'!$1:$5000,M1727,FALSE)</f>
        <v>0</v>
      </c>
      <c r="T1727">
        <f>HLOOKUP("Provisioned MiB",'vInfo (Imported)'!$1:$5000,M1727,FALSE)</f>
        <v>0</v>
      </c>
      <c r="U1727">
        <f t="shared" si="79"/>
        <v>0</v>
      </c>
      <c r="V1727">
        <f>HLOOKUP("In Use MiB",'vInfo (Imported)'!$1:$5000,M1727,FALSE)</f>
        <v>0</v>
      </c>
    </row>
    <row r="1728" spans="1:22" ht="13" x14ac:dyDescent="0.3">
      <c r="A1728" s="46">
        <f>'vHosts (Imported)'!A1728</f>
        <v>0</v>
      </c>
      <c r="B1728" s="51">
        <f t="shared" si="81"/>
        <v>4968</v>
      </c>
      <c r="C1728" s="49">
        <f>HLOOKUP("# Cores",'vHosts (Imported)'!$1:$5000,M1728,FALSE)</f>
        <v>0</v>
      </c>
      <c r="D1728" s="52">
        <f>HLOOKUP("# Memory",'vHosts (Imported)'!$1:$5000,M1728,FALSE)</f>
        <v>0</v>
      </c>
      <c r="M1728" s="45">
        <f t="shared" si="80"/>
        <v>1728</v>
      </c>
      <c r="N1728" s="38">
        <f>HLOOKUP("Host",'vInfo (Imported)'!$1:$5000,M1728,FALSE)</f>
        <v>0</v>
      </c>
      <c r="R1728">
        <f>HLOOKUP("CPUs",'vInfo (Imported)'!$1:$5000,M1728,FALSE)</f>
        <v>0</v>
      </c>
      <c r="S1728">
        <f>HLOOKUP("Memory",'vInfo (Imported)'!$1:$5000,M1728,FALSE)</f>
        <v>0</v>
      </c>
      <c r="T1728">
        <f>HLOOKUP("Provisioned MiB",'vInfo (Imported)'!$1:$5000,M1728,FALSE)</f>
        <v>0</v>
      </c>
      <c r="U1728">
        <f t="shared" si="79"/>
        <v>0</v>
      </c>
      <c r="V1728">
        <f>HLOOKUP("In Use MiB",'vInfo (Imported)'!$1:$5000,M1728,FALSE)</f>
        <v>0</v>
      </c>
    </row>
    <row r="1729" spans="1:22" ht="13" x14ac:dyDescent="0.3">
      <c r="A1729" s="46">
        <f>'vHosts (Imported)'!A1729</f>
        <v>0</v>
      </c>
      <c r="B1729" s="51">
        <f t="shared" si="81"/>
        <v>4968</v>
      </c>
      <c r="C1729" s="49">
        <f>HLOOKUP("# Cores",'vHosts (Imported)'!$1:$5000,M1729,FALSE)</f>
        <v>0</v>
      </c>
      <c r="D1729" s="52">
        <f>HLOOKUP("# Memory",'vHosts (Imported)'!$1:$5000,M1729,FALSE)</f>
        <v>0</v>
      </c>
      <c r="M1729" s="45">
        <f t="shared" si="80"/>
        <v>1729</v>
      </c>
      <c r="N1729" s="38">
        <f>HLOOKUP("Host",'vInfo (Imported)'!$1:$5000,M1729,FALSE)</f>
        <v>0</v>
      </c>
      <c r="R1729">
        <f>HLOOKUP("CPUs",'vInfo (Imported)'!$1:$5000,M1729,FALSE)</f>
        <v>0</v>
      </c>
      <c r="S1729">
        <f>HLOOKUP("Memory",'vInfo (Imported)'!$1:$5000,M1729,FALSE)</f>
        <v>0</v>
      </c>
      <c r="T1729">
        <f>HLOOKUP("Provisioned MiB",'vInfo (Imported)'!$1:$5000,M1729,FALSE)</f>
        <v>0</v>
      </c>
      <c r="U1729">
        <f t="shared" si="79"/>
        <v>0</v>
      </c>
      <c r="V1729">
        <f>HLOOKUP("In Use MiB",'vInfo (Imported)'!$1:$5000,M1729,FALSE)</f>
        <v>0</v>
      </c>
    </row>
    <row r="1730" spans="1:22" ht="13" x14ac:dyDescent="0.3">
      <c r="A1730" s="46">
        <f>'vHosts (Imported)'!A1730</f>
        <v>0</v>
      </c>
      <c r="B1730" s="51">
        <f t="shared" si="81"/>
        <v>4968</v>
      </c>
      <c r="C1730" s="49">
        <f>HLOOKUP("# Cores",'vHosts (Imported)'!$1:$5000,M1730,FALSE)</f>
        <v>0</v>
      </c>
      <c r="D1730" s="52">
        <f>HLOOKUP("# Memory",'vHosts (Imported)'!$1:$5000,M1730,FALSE)</f>
        <v>0</v>
      </c>
      <c r="M1730" s="45">
        <f t="shared" si="80"/>
        <v>1730</v>
      </c>
      <c r="N1730" s="38">
        <f>HLOOKUP("Host",'vInfo (Imported)'!$1:$5000,M1730,FALSE)</f>
        <v>0</v>
      </c>
      <c r="R1730">
        <f>HLOOKUP("CPUs",'vInfo (Imported)'!$1:$5000,M1730,FALSE)</f>
        <v>0</v>
      </c>
      <c r="S1730">
        <f>HLOOKUP("Memory",'vInfo (Imported)'!$1:$5000,M1730,FALSE)</f>
        <v>0</v>
      </c>
      <c r="T1730">
        <f>HLOOKUP("Provisioned MiB",'vInfo (Imported)'!$1:$5000,M1730,FALSE)</f>
        <v>0</v>
      </c>
      <c r="U1730">
        <f t="shared" si="79"/>
        <v>0</v>
      </c>
      <c r="V1730">
        <f>HLOOKUP("In Use MiB",'vInfo (Imported)'!$1:$5000,M1730,FALSE)</f>
        <v>0</v>
      </c>
    </row>
    <row r="1731" spans="1:22" ht="13" x14ac:dyDescent="0.3">
      <c r="A1731" s="46">
        <f>'vHosts (Imported)'!A1731</f>
        <v>0</v>
      </c>
      <c r="B1731" s="51">
        <f t="shared" si="81"/>
        <v>4968</v>
      </c>
      <c r="C1731" s="49">
        <f>HLOOKUP("# Cores",'vHosts (Imported)'!$1:$5000,M1731,FALSE)</f>
        <v>0</v>
      </c>
      <c r="D1731" s="52">
        <f>HLOOKUP("# Memory",'vHosts (Imported)'!$1:$5000,M1731,FALSE)</f>
        <v>0</v>
      </c>
      <c r="M1731" s="45">
        <f t="shared" si="80"/>
        <v>1731</v>
      </c>
      <c r="N1731" s="38">
        <f>HLOOKUP("Host",'vInfo (Imported)'!$1:$5000,M1731,FALSE)</f>
        <v>0</v>
      </c>
      <c r="R1731">
        <f>HLOOKUP("CPUs",'vInfo (Imported)'!$1:$5000,M1731,FALSE)</f>
        <v>0</v>
      </c>
      <c r="S1731">
        <f>HLOOKUP("Memory",'vInfo (Imported)'!$1:$5000,M1731,FALSE)</f>
        <v>0</v>
      </c>
      <c r="T1731">
        <f>HLOOKUP("Provisioned MiB",'vInfo (Imported)'!$1:$5000,M1731,FALSE)</f>
        <v>0</v>
      </c>
      <c r="U1731">
        <f t="shared" ref="U1731:U1794" si="82">T1731-V1731</f>
        <v>0</v>
      </c>
      <c r="V1731">
        <f>HLOOKUP("In Use MiB",'vInfo (Imported)'!$1:$5000,M1731,FALSE)</f>
        <v>0</v>
      </c>
    </row>
    <row r="1732" spans="1:22" ht="13" x14ac:dyDescent="0.3">
      <c r="A1732" s="46">
        <f>'vHosts (Imported)'!A1732</f>
        <v>0</v>
      </c>
      <c r="B1732" s="51">
        <f t="shared" si="81"/>
        <v>4968</v>
      </c>
      <c r="C1732" s="49">
        <f>HLOOKUP("# Cores",'vHosts (Imported)'!$1:$5000,M1732,FALSE)</f>
        <v>0</v>
      </c>
      <c r="D1732" s="52">
        <f>HLOOKUP("# Memory",'vHosts (Imported)'!$1:$5000,M1732,FALSE)</f>
        <v>0</v>
      </c>
      <c r="M1732" s="45">
        <f t="shared" ref="M1732:M1795" si="83">M1731+1</f>
        <v>1732</v>
      </c>
      <c r="N1732" s="38">
        <f>HLOOKUP("Host",'vInfo (Imported)'!$1:$5000,M1732,FALSE)</f>
        <v>0</v>
      </c>
      <c r="R1732">
        <f>HLOOKUP("CPUs",'vInfo (Imported)'!$1:$5000,M1732,FALSE)</f>
        <v>0</v>
      </c>
      <c r="S1732">
        <f>HLOOKUP("Memory",'vInfo (Imported)'!$1:$5000,M1732,FALSE)</f>
        <v>0</v>
      </c>
      <c r="T1732">
        <f>HLOOKUP("Provisioned MiB",'vInfo (Imported)'!$1:$5000,M1732,FALSE)</f>
        <v>0</v>
      </c>
      <c r="U1732">
        <f t="shared" si="82"/>
        <v>0</v>
      </c>
      <c r="V1732">
        <f>HLOOKUP("In Use MiB",'vInfo (Imported)'!$1:$5000,M1732,FALSE)</f>
        <v>0</v>
      </c>
    </row>
    <row r="1733" spans="1:22" ht="13" x14ac:dyDescent="0.3">
      <c r="A1733" s="46">
        <f>'vHosts (Imported)'!A1733</f>
        <v>0</v>
      </c>
      <c r="B1733" s="51">
        <f t="shared" si="81"/>
        <v>4968</v>
      </c>
      <c r="C1733" s="49">
        <f>HLOOKUP("# Cores",'vHosts (Imported)'!$1:$5000,M1733,FALSE)</f>
        <v>0</v>
      </c>
      <c r="D1733" s="52">
        <f>HLOOKUP("# Memory",'vHosts (Imported)'!$1:$5000,M1733,FALSE)</f>
        <v>0</v>
      </c>
      <c r="M1733" s="45">
        <f t="shared" si="83"/>
        <v>1733</v>
      </c>
      <c r="N1733" s="38">
        <f>HLOOKUP("Host",'vInfo (Imported)'!$1:$5000,M1733,FALSE)</f>
        <v>0</v>
      </c>
      <c r="R1733">
        <f>HLOOKUP("CPUs",'vInfo (Imported)'!$1:$5000,M1733,FALSE)</f>
        <v>0</v>
      </c>
      <c r="S1733">
        <f>HLOOKUP("Memory",'vInfo (Imported)'!$1:$5000,M1733,FALSE)</f>
        <v>0</v>
      </c>
      <c r="T1733">
        <f>HLOOKUP("Provisioned MiB",'vInfo (Imported)'!$1:$5000,M1733,FALSE)</f>
        <v>0</v>
      </c>
      <c r="U1733">
        <f t="shared" si="82"/>
        <v>0</v>
      </c>
      <c r="V1733">
        <f>HLOOKUP("In Use MiB",'vInfo (Imported)'!$1:$5000,M1733,FALSE)</f>
        <v>0</v>
      </c>
    </row>
    <row r="1734" spans="1:22" ht="13" x14ac:dyDescent="0.3">
      <c r="A1734" s="46">
        <f>'vHosts (Imported)'!A1734</f>
        <v>0</v>
      </c>
      <c r="B1734" s="51">
        <f t="shared" si="81"/>
        <v>4968</v>
      </c>
      <c r="C1734" s="49">
        <f>HLOOKUP("# Cores",'vHosts (Imported)'!$1:$5000,M1734,FALSE)</f>
        <v>0</v>
      </c>
      <c r="D1734" s="52">
        <f>HLOOKUP("# Memory",'vHosts (Imported)'!$1:$5000,M1734,FALSE)</f>
        <v>0</v>
      </c>
      <c r="M1734" s="45">
        <f t="shared" si="83"/>
        <v>1734</v>
      </c>
      <c r="N1734" s="38">
        <f>HLOOKUP("Host",'vInfo (Imported)'!$1:$5000,M1734,FALSE)</f>
        <v>0</v>
      </c>
      <c r="R1734">
        <f>HLOOKUP("CPUs",'vInfo (Imported)'!$1:$5000,M1734,FALSE)</f>
        <v>0</v>
      </c>
      <c r="S1734">
        <f>HLOOKUP("Memory",'vInfo (Imported)'!$1:$5000,M1734,FALSE)</f>
        <v>0</v>
      </c>
      <c r="T1734">
        <f>HLOOKUP("Provisioned MiB",'vInfo (Imported)'!$1:$5000,M1734,FALSE)</f>
        <v>0</v>
      </c>
      <c r="U1734">
        <f t="shared" si="82"/>
        <v>0</v>
      </c>
      <c r="V1734">
        <f>HLOOKUP("In Use MiB",'vInfo (Imported)'!$1:$5000,M1734,FALSE)</f>
        <v>0</v>
      </c>
    </row>
    <row r="1735" spans="1:22" ht="13" x14ac:dyDescent="0.3">
      <c r="A1735" s="46">
        <f>'vHosts (Imported)'!A1735</f>
        <v>0</v>
      </c>
      <c r="B1735" s="51">
        <f t="shared" si="81"/>
        <v>4968</v>
      </c>
      <c r="C1735" s="49">
        <f>HLOOKUP("# Cores",'vHosts (Imported)'!$1:$5000,M1735,FALSE)</f>
        <v>0</v>
      </c>
      <c r="D1735" s="52">
        <f>HLOOKUP("# Memory",'vHosts (Imported)'!$1:$5000,M1735,FALSE)</f>
        <v>0</v>
      </c>
      <c r="M1735" s="45">
        <f t="shared" si="83"/>
        <v>1735</v>
      </c>
      <c r="N1735" s="38">
        <f>HLOOKUP("Host",'vInfo (Imported)'!$1:$5000,M1735,FALSE)</f>
        <v>0</v>
      </c>
      <c r="R1735">
        <f>HLOOKUP("CPUs",'vInfo (Imported)'!$1:$5000,M1735,FALSE)</f>
        <v>0</v>
      </c>
      <c r="S1735">
        <f>HLOOKUP("Memory",'vInfo (Imported)'!$1:$5000,M1735,FALSE)</f>
        <v>0</v>
      </c>
      <c r="T1735">
        <f>HLOOKUP("Provisioned MiB",'vInfo (Imported)'!$1:$5000,M1735,FALSE)</f>
        <v>0</v>
      </c>
      <c r="U1735">
        <f t="shared" si="82"/>
        <v>0</v>
      </c>
      <c r="V1735">
        <f>HLOOKUP("In Use MiB",'vInfo (Imported)'!$1:$5000,M1735,FALSE)</f>
        <v>0</v>
      </c>
    </row>
    <row r="1736" spans="1:22" ht="13" x14ac:dyDescent="0.3">
      <c r="A1736" s="46">
        <f>'vHosts (Imported)'!A1736</f>
        <v>0</v>
      </c>
      <c r="B1736" s="51">
        <f t="shared" si="81"/>
        <v>4968</v>
      </c>
      <c r="C1736" s="49">
        <f>HLOOKUP("# Cores",'vHosts (Imported)'!$1:$5000,M1736,FALSE)</f>
        <v>0</v>
      </c>
      <c r="D1736" s="52">
        <f>HLOOKUP("# Memory",'vHosts (Imported)'!$1:$5000,M1736,FALSE)</f>
        <v>0</v>
      </c>
      <c r="M1736" s="45">
        <f t="shared" si="83"/>
        <v>1736</v>
      </c>
      <c r="N1736" s="38">
        <f>HLOOKUP("Host",'vInfo (Imported)'!$1:$5000,M1736,FALSE)</f>
        <v>0</v>
      </c>
      <c r="R1736">
        <f>HLOOKUP("CPUs",'vInfo (Imported)'!$1:$5000,M1736,FALSE)</f>
        <v>0</v>
      </c>
      <c r="S1736">
        <f>HLOOKUP("Memory",'vInfo (Imported)'!$1:$5000,M1736,FALSE)</f>
        <v>0</v>
      </c>
      <c r="T1736">
        <f>HLOOKUP("Provisioned MiB",'vInfo (Imported)'!$1:$5000,M1736,FALSE)</f>
        <v>0</v>
      </c>
      <c r="U1736">
        <f t="shared" si="82"/>
        <v>0</v>
      </c>
      <c r="V1736">
        <f>HLOOKUP("In Use MiB",'vInfo (Imported)'!$1:$5000,M1736,FALSE)</f>
        <v>0</v>
      </c>
    </row>
    <row r="1737" spans="1:22" ht="13" x14ac:dyDescent="0.3">
      <c r="A1737" s="46">
        <f>'vHosts (Imported)'!A1737</f>
        <v>0</v>
      </c>
      <c r="B1737" s="51">
        <f t="shared" si="81"/>
        <v>4968</v>
      </c>
      <c r="C1737" s="49">
        <f>HLOOKUP("# Cores",'vHosts (Imported)'!$1:$5000,M1737,FALSE)</f>
        <v>0</v>
      </c>
      <c r="D1737" s="52">
        <f>HLOOKUP("# Memory",'vHosts (Imported)'!$1:$5000,M1737,FALSE)</f>
        <v>0</v>
      </c>
      <c r="M1737" s="45">
        <f t="shared" si="83"/>
        <v>1737</v>
      </c>
      <c r="N1737" s="38">
        <f>HLOOKUP("Host",'vInfo (Imported)'!$1:$5000,M1737,FALSE)</f>
        <v>0</v>
      </c>
      <c r="R1737">
        <f>HLOOKUP("CPUs",'vInfo (Imported)'!$1:$5000,M1737,FALSE)</f>
        <v>0</v>
      </c>
      <c r="S1737">
        <f>HLOOKUP("Memory",'vInfo (Imported)'!$1:$5000,M1737,FALSE)</f>
        <v>0</v>
      </c>
      <c r="T1737">
        <f>HLOOKUP("Provisioned MiB",'vInfo (Imported)'!$1:$5000,M1737,FALSE)</f>
        <v>0</v>
      </c>
      <c r="U1737">
        <f t="shared" si="82"/>
        <v>0</v>
      </c>
      <c r="V1737">
        <f>HLOOKUP("In Use MiB",'vInfo (Imported)'!$1:$5000,M1737,FALSE)</f>
        <v>0</v>
      </c>
    </row>
    <row r="1738" spans="1:22" ht="13" x14ac:dyDescent="0.3">
      <c r="A1738" s="46">
        <f>'vHosts (Imported)'!A1738</f>
        <v>0</v>
      </c>
      <c r="B1738" s="51">
        <f t="shared" si="81"/>
        <v>4968</v>
      </c>
      <c r="C1738" s="49">
        <f>HLOOKUP("# Cores",'vHosts (Imported)'!$1:$5000,M1738,FALSE)</f>
        <v>0</v>
      </c>
      <c r="D1738" s="52">
        <f>HLOOKUP("# Memory",'vHosts (Imported)'!$1:$5000,M1738,FALSE)</f>
        <v>0</v>
      </c>
      <c r="M1738" s="45">
        <f t="shared" si="83"/>
        <v>1738</v>
      </c>
      <c r="N1738" s="38">
        <f>HLOOKUP("Host",'vInfo (Imported)'!$1:$5000,M1738,FALSE)</f>
        <v>0</v>
      </c>
      <c r="R1738">
        <f>HLOOKUP("CPUs",'vInfo (Imported)'!$1:$5000,M1738,FALSE)</f>
        <v>0</v>
      </c>
      <c r="S1738">
        <f>HLOOKUP("Memory",'vInfo (Imported)'!$1:$5000,M1738,FALSE)</f>
        <v>0</v>
      </c>
      <c r="T1738">
        <f>HLOOKUP("Provisioned MiB",'vInfo (Imported)'!$1:$5000,M1738,FALSE)</f>
        <v>0</v>
      </c>
      <c r="U1738">
        <f t="shared" si="82"/>
        <v>0</v>
      </c>
      <c r="V1738">
        <f>HLOOKUP("In Use MiB",'vInfo (Imported)'!$1:$5000,M1738,FALSE)</f>
        <v>0</v>
      </c>
    </row>
    <row r="1739" spans="1:22" ht="13" x14ac:dyDescent="0.3">
      <c r="A1739" s="46">
        <f>'vHosts (Imported)'!A1739</f>
        <v>0</v>
      </c>
      <c r="B1739" s="51">
        <f t="shared" si="81"/>
        <v>4968</v>
      </c>
      <c r="C1739" s="49">
        <f>HLOOKUP("# Cores",'vHosts (Imported)'!$1:$5000,M1739,FALSE)</f>
        <v>0</v>
      </c>
      <c r="D1739" s="52">
        <f>HLOOKUP("# Memory",'vHosts (Imported)'!$1:$5000,M1739,FALSE)</f>
        <v>0</v>
      </c>
      <c r="M1739" s="45">
        <f t="shared" si="83"/>
        <v>1739</v>
      </c>
      <c r="N1739" s="38">
        <f>HLOOKUP("Host",'vInfo (Imported)'!$1:$5000,M1739,FALSE)</f>
        <v>0</v>
      </c>
      <c r="R1739">
        <f>HLOOKUP("CPUs",'vInfo (Imported)'!$1:$5000,M1739,FALSE)</f>
        <v>0</v>
      </c>
      <c r="S1739">
        <f>HLOOKUP("Memory",'vInfo (Imported)'!$1:$5000,M1739,FALSE)</f>
        <v>0</v>
      </c>
      <c r="T1739">
        <f>HLOOKUP("Provisioned MiB",'vInfo (Imported)'!$1:$5000,M1739,FALSE)</f>
        <v>0</v>
      </c>
      <c r="U1739">
        <f t="shared" si="82"/>
        <v>0</v>
      </c>
      <c r="V1739">
        <f>HLOOKUP("In Use MiB",'vInfo (Imported)'!$1:$5000,M1739,FALSE)</f>
        <v>0</v>
      </c>
    </row>
    <row r="1740" spans="1:22" ht="13" x14ac:dyDescent="0.3">
      <c r="A1740" s="46">
        <f>'vHosts (Imported)'!A1740</f>
        <v>0</v>
      </c>
      <c r="B1740" s="51">
        <f t="shared" si="81"/>
        <v>4968</v>
      </c>
      <c r="C1740" s="49">
        <f>HLOOKUP("# Cores",'vHosts (Imported)'!$1:$5000,M1740,FALSE)</f>
        <v>0</v>
      </c>
      <c r="D1740" s="52">
        <f>HLOOKUP("# Memory",'vHosts (Imported)'!$1:$5000,M1740,FALSE)</f>
        <v>0</v>
      </c>
      <c r="M1740" s="45">
        <f t="shared" si="83"/>
        <v>1740</v>
      </c>
      <c r="N1740" s="38">
        <f>HLOOKUP("Host",'vInfo (Imported)'!$1:$5000,M1740,FALSE)</f>
        <v>0</v>
      </c>
      <c r="R1740">
        <f>HLOOKUP("CPUs",'vInfo (Imported)'!$1:$5000,M1740,FALSE)</f>
        <v>0</v>
      </c>
      <c r="S1740">
        <f>HLOOKUP("Memory",'vInfo (Imported)'!$1:$5000,M1740,FALSE)</f>
        <v>0</v>
      </c>
      <c r="T1740">
        <f>HLOOKUP("Provisioned MiB",'vInfo (Imported)'!$1:$5000,M1740,FALSE)</f>
        <v>0</v>
      </c>
      <c r="U1740">
        <f t="shared" si="82"/>
        <v>0</v>
      </c>
      <c r="V1740">
        <f>HLOOKUP("In Use MiB",'vInfo (Imported)'!$1:$5000,M1740,FALSE)</f>
        <v>0</v>
      </c>
    </row>
    <row r="1741" spans="1:22" ht="13" x14ac:dyDescent="0.3">
      <c r="A1741" s="46">
        <f>'vHosts (Imported)'!A1741</f>
        <v>0</v>
      </c>
      <c r="B1741" s="51">
        <f t="shared" si="81"/>
        <v>4968</v>
      </c>
      <c r="C1741" s="49">
        <f>HLOOKUP("# Cores",'vHosts (Imported)'!$1:$5000,M1741,FALSE)</f>
        <v>0</v>
      </c>
      <c r="D1741" s="52">
        <f>HLOOKUP("# Memory",'vHosts (Imported)'!$1:$5000,M1741,FALSE)</f>
        <v>0</v>
      </c>
      <c r="M1741" s="45">
        <f t="shared" si="83"/>
        <v>1741</v>
      </c>
      <c r="N1741" s="38">
        <f>HLOOKUP("Host",'vInfo (Imported)'!$1:$5000,M1741,FALSE)</f>
        <v>0</v>
      </c>
      <c r="R1741">
        <f>HLOOKUP("CPUs",'vInfo (Imported)'!$1:$5000,M1741,FALSE)</f>
        <v>0</v>
      </c>
      <c r="S1741">
        <f>HLOOKUP("Memory",'vInfo (Imported)'!$1:$5000,M1741,FALSE)</f>
        <v>0</v>
      </c>
      <c r="T1741">
        <f>HLOOKUP("Provisioned MiB",'vInfo (Imported)'!$1:$5000,M1741,FALSE)</f>
        <v>0</v>
      </c>
      <c r="U1741">
        <f t="shared" si="82"/>
        <v>0</v>
      </c>
      <c r="V1741">
        <f>HLOOKUP("In Use MiB",'vInfo (Imported)'!$1:$5000,M1741,FALSE)</f>
        <v>0</v>
      </c>
    </row>
    <row r="1742" spans="1:22" ht="13" x14ac:dyDescent="0.3">
      <c r="A1742" s="46">
        <f>'vHosts (Imported)'!A1742</f>
        <v>0</v>
      </c>
      <c r="B1742" s="51">
        <f t="shared" si="81"/>
        <v>4968</v>
      </c>
      <c r="C1742" s="49">
        <f>HLOOKUP("# Cores",'vHosts (Imported)'!$1:$5000,M1742,FALSE)</f>
        <v>0</v>
      </c>
      <c r="D1742" s="52">
        <f>HLOOKUP("# Memory",'vHosts (Imported)'!$1:$5000,M1742,FALSE)</f>
        <v>0</v>
      </c>
      <c r="M1742" s="45">
        <f t="shared" si="83"/>
        <v>1742</v>
      </c>
      <c r="N1742" s="38">
        <f>HLOOKUP("Host",'vInfo (Imported)'!$1:$5000,M1742,FALSE)</f>
        <v>0</v>
      </c>
      <c r="R1742">
        <f>HLOOKUP("CPUs",'vInfo (Imported)'!$1:$5000,M1742,FALSE)</f>
        <v>0</v>
      </c>
      <c r="S1742">
        <f>HLOOKUP("Memory",'vInfo (Imported)'!$1:$5000,M1742,FALSE)</f>
        <v>0</v>
      </c>
      <c r="T1742">
        <f>HLOOKUP("Provisioned MiB",'vInfo (Imported)'!$1:$5000,M1742,FALSE)</f>
        <v>0</v>
      </c>
      <c r="U1742">
        <f t="shared" si="82"/>
        <v>0</v>
      </c>
      <c r="V1742">
        <f>HLOOKUP("In Use MiB",'vInfo (Imported)'!$1:$5000,M1742,FALSE)</f>
        <v>0</v>
      </c>
    </row>
    <row r="1743" spans="1:22" ht="13" x14ac:dyDescent="0.3">
      <c r="A1743" s="46">
        <f>'vHosts (Imported)'!A1743</f>
        <v>0</v>
      </c>
      <c r="B1743" s="51">
        <f t="shared" si="81"/>
        <v>4968</v>
      </c>
      <c r="C1743" s="49">
        <f>HLOOKUP("# Cores",'vHosts (Imported)'!$1:$5000,M1743,FALSE)</f>
        <v>0</v>
      </c>
      <c r="D1743" s="52">
        <f>HLOOKUP("# Memory",'vHosts (Imported)'!$1:$5000,M1743,FALSE)</f>
        <v>0</v>
      </c>
      <c r="M1743" s="45">
        <f t="shared" si="83"/>
        <v>1743</v>
      </c>
      <c r="N1743" s="38">
        <f>HLOOKUP("Host",'vInfo (Imported)'!$1:$5000,M1743,FALSE)</f>
        <v>0</v>
      </c>
      <c r="R1743">
        <f>HLOOKUP("CPUs",'vInfo (Imported)'!$1:$5000,M1743,FALSE)</f>
        <v>0</v>
      </c>
      <c r="S1743">
        <f>HLOOKUP("Memory",'vInfo (Imported)'!$1:$5000,M1743,FALSE)</f>
        <v>0</v>
      </c>
      <c r="T1743">
        <f>HLOOKUP("Provisioned MiB",'vInfo (Imported)'!$1:$5000,M1743,FALSE)</f>
        <v>0</v>
      </c>
      <c r="U1743">
        <f t="shared" si="82"/>
        <v>0</v>
      </c>
      <c r="V1743">
        <f>HLOOKUP("In Use MiB",'vInfo (Imported)'!$1:$5000,M1743,FALSE)</f>
        <v>0</v>
      </c>
    </row>
    <row r="1744" spans="1:22" ht="13" x14ac:dyDescent="0.3">
      <c r="A1744" s="46">
        <f>'vHosts (Imported)'!A1744</f>
        <v>0</v>
      </c>
      <c r="B1744" s="51">
        <f t="shared" si="81"/>
        <v>4968</v>
      </c>
      <c r="C1744" s="49">
        <f>HLOOKUP("# Cores",'vHosts (Imported)'!$1:$5000,M1744,FALSE)</f>
        <v>0</v>
      </c>
      <c r="D1744" s="52">
        <f>HLOOKUP("# Memory",'vHosts (Imported)'!$1:$5000,M1744,FALSE)</f>
        <v>0</v>
      </c>
      <c r="M1744" s="45">
        <f t="shared" si="83"/>
        <v>1744</v>
      </c>
      <c r="N1744" s="38">
        <f>HLOOKUP("Host",'vInfo (Imported)'!$1:$5000,M1744,FALSE)</f>
        <v>0</v>
      </c>
      <c r="R1744">
        <f>HLOOKUP("CPUs",'vInfo (Imported)'!$1:$5000,M1744,FALSE)</f>
        <v>0</v>
      </c>
      <c r="S1744">
        <f>HLOOKUP("Memory",'vInfo (Imported)'!$1:$5000,M1744,FALSE)</f>
        <v>0</v>
      </c>
      <c r="T1744">
        <f>HLOOKUP("Provisioned MiB",'vInfo (Imported)'!$1:$5000,M1744,FALSE)</f>
        <v>0</v>
      </c>
      <c r="U1744">
        <f t="shared" si="82"/>
        <v>0</v>
      </c>
      <c r="V1744">
        <f>HLOOKUP("In Use MiB",'vInfo (Imported)'!$1:$5000,M1744,FALSE)</f>
        <v>0</v>
      </c>
    </row>
    <row r="1745" spans="1:22" ht="13" x14ac:dyDescent="0.3">
      <c r="A1745" s="46">
        <f>'vHosts (Imported)'!A1745</f>
        <v>0</v>
      </c>
      <c r="B1745" s="51">
        <f t="shared" si="81"/>
        <v>4968</v>
      </c>
      <c r="C1745" s="49">
        <f>HLOOKUP("# Cores",'vHosts (Imported)'!$1:$5000,M1745,FALSE)</f>
        <v>0</v>
      </c>
      <c r="D1745" s="52">
        <f>HLOOKUP("# Memory",'vHosts (Imported)'!$1:$5000,M1745,FALSE)</f>
        <v>0</v>
      </c>
      <c r="M1745" s="45">
        <f t="shared" si="83"/>
        <v>1745</v>
      </c>
      <c r="N1745" s="38">
        <f>HLOOKUP("Host",'vInfo (Imported)'!$1:$5000,M1745,FALSE)</f>
        <v>0</v>
      </c>
      <c r="R1745">
        <f>HLOOKUP("CPUs",'vInfo (Imported)'!$1:$5000,M1745,FALSE)</f>
        <v>0</v>
      </c>
      <c r="S1745">
        <f>HLOOKUP("Memory",'vInfo (Imported)'!$1:$5000,M1745,FALSE)</f>
        <v>0</v>
      </c>
      <c r="T1745">
        <f>HLOOKUP("Provisioned MiB",'vInfo (Imported)'!$1:$5000,M1745,FALSE)</f>
        <v>0</v>
      </c>
      <c r="U1745">
        <f t="shared" si="82"/>
        <v>0</v>
      </c>
      <c r="V1745">
        <f>HLOOKUP("In Use MiB",'vInfo (Imported)'!$1:$5000,M1745,FALSE)</f>
        <v>0</v>
      </c>
    </row>
    <row r="1746" spans="1:22" ht="13" x14ac:dyDescent="0.3">
      <c r="A1746" s="46">
        <f>'vHosts (Imported)'!A1746</f>
        <v>0</v>
      </c>
      <c r="B1746" s="51">
        <f t="shared" si="81"/>
        <v>4968</v>
      </c>
      <c r="C1746" s="49">
        <f>HLOOKUP("# Cores",'vHosts (Imported)'!$1:$5000,M1746,FALSE)</f>
        <v>0</v>
      </c>
      <c r="D1746" s="52">
        <f>HLOOKUP("# Memory",'vHosts (Imported)'!$1:$5000,M1746,FALSE)</f>
        <v>0</v>
      </c>
      <c r="M1746" s="45">
        <f t="shared" si="83"/>
        <v>1746</v>
      </c>
      <c r="N1746" s="38">
        <f>HLOOKUP("Host",'vInfo (Imported)'!$1:$5000,M1746,FALSE)</f>
        <v>0</v>
      </c>
      <c r="R1746">
        <f>HLOOKUP("CPUs",'vInfo (Imported)'!$1:$5000,M1746,FALSE)</f>
        <v>0</v>
      </c>
      <c r="S1746">
        <f>HLOOKUP("Memory",'vInfo (Imported)'!$1:$5000,M1746,FALSE)</f>
        <v>0</v>
      </c>
      <c r="T1746">
        <f>HLOOKUP("Provisioned MiB",'vInfo (Imported)'!$1:$5000,M1746,FALSE)</f>
        <v>0</v>
      </c>
      <c r="U1746">
        <f t="shared" si="82"/>
        <v>0</v>
      </c>
      <c r="V1746">
        <f>HLOOKUP("In Use MiB",'vInfo (Imported)'!$1:$5000,M1746,FALSE)</f>
        <v>0</v>
      </c>
    </row>
    <row r="1747" spans="1:22" ht="13" x14ac:dyDescent="0.3">
      <c r="A1747" s="46">
        <f>'vHosts (Imported)'!A1747</f>
        <v>0</v>
      </c>
      <c r="B1747" s="51">
        <f t="shared" si="81"/>
        <v>4968</v>
      </c>
      <c r="C1747" s="49">
        <f>HLOOKUP("# Cores",'vHosts (Imported)'!$1:$5000,M1747,FALSE)</f>
        <v>0</v>
      </c>
      <c r="D1747" s="52">
        <f>HLOOKUP("# Memory",'vHosts (Imported)'!$1:$5000,M1747,FALSE)</f>
        <v>0</v>
      </c>
      <c r="M1747" s="45">
        <f t="shared" si="83"/>
        <v>1747</v>
      </c>
      <c r="N1747" s="38">
        <f>HLOOKUP("Host",'vInfo (Imported)'!$1:$5000,M1747,FALSE)</f>
        <v>0</v>
      </c>
      <c r="R1747">
        <f>HLOOKUP("CPUs",'vInfo (Imported)'!$1:$5000,M1747,FALSE)</f>
        <v>0</v>
      </c>
      <c r="S1747">
        <f>HLOOKUP("Memory",'vInfo (Imported)'!$1:$5000,M1747,FALSE)</f>
        <v>0</v>
      </c>
      <c r="T1747">
        <f>HLOOKUP("Provisioned MiB",'vInfo (Imported)'!$1:$5000,M1747,FALSE)</f>
        <v>0</v>
      </c>
      <c r="U1747">
        <f t="shared" si="82"/>
        <v>0</v>
      </c>
      <c r="V1747">
        <f>HLOOKUP("In Use MiB",'vInfo (Imported)'!$1:$5000,M1747,FALSE)</f>
        <v>0</v>
      </c>
    </row>
    <row r="1748" spans="1:22" ht="13" x14ac:dyDescent="0.3">
      <c r="A1748" s="46">
        <f>'vHosts (Imported)'!A1748</f>
        <v>0</v>
      </c>
      <c r="B1748" s="51">
        <f t="shared" si="81"/>
        <v>4968</v>
      </c>
      <c r="C1748" s="49">
        <f>HLOOKUP("# Cores",'vHosts (Imported)'!$1:$5000,M1748,FALSE)</f>
        <v>0</v>
      </c>
      <c r="D1748" s="52">
        <f>HLOOKUP("# Memory",'vHosts (Imported)'!$1:$5000,M1748,FALSE)</f>
        <v>0</v>
      </c>
      <c r="M1748" s="45">
        <f t="shared" si="83"/>
        <v>1748</v>
      </c>
      <c r="N1748" s="38">
        <f>HLOOKUP("Host",'vInfo (Imported)'!$1:$5000,M1748,FALSE)</f>
        <v>0</v>
      </c>
      <c r="R1748">
        <f>HLOOKUP("CPUs",'vInfo (Imported)'!$1:$5000,M1748,FALSE)</f>
        <v>0</v>
      </c>
      <c r="S1748">
        <f>HLOOKUP("Memory",'vInfo (Imported)'!$1:$5000,M1748,FALSE)</f>
        <v>0</v>
      </c>
      <c r="T1748">
        <f>HLOOKUP("Provisioned MiB",'vInfo (Imported)'!$1:$5000,M1748,FALSE)</f>
        <v>0</v>
      </c>
      <c r="U1748">
        <f t="shared" si="82"/>
        <v>0</v>
      </c>
      <c r="V1748">
        <f>HLOOKUP("In Use MiB",'vInfo (Imported)'!$1:$5000,M1748,FALSE)</f>
        <v>0</v>
      </c>
    </row>
    <row r="1749" spans="1:22" ht="13" x14ac:dyDescent="0.3">
      <c r="A1749" s="46">
        <f>'vHosts (Imported)'!A1749</f>
        <v>0</v>
      </c>
      <c r="B1749" s="51">
        <f t="shared" si="81"/>
        <v>4968</v>
      </c>
      <c r="C1749" s="49">
        <f>HLOOKUP("# Cores",'vHosts (Imported)'!$1:$5000,M1749,FALSE)</f>
        <v>0</v>
      </c>
      <c r="D1749" s="52">
        <f>HLOOKUP("# Memory",'vHosts (Imported)'!$1:$5000,M1749,FALSE)</f>
        <v>0</v>
      </c>
      <c r="M1749" s="45">
        <f t="shared" si="83"/>
        <v>1749</v>
      </c>
      <c r="N1749" s="38">
        <f>HLOOKUP("Host",'vInfo (Imported)'!$1:$5000,M1749,FALSE)</f>
        <v>0</v>
      </c>
      <c r="R1749">
        <f>HLOOKUP("CPUs",'vInfo (Imported)'!$1:$5000,M1749,FALSE)</f>
        <v>0</v>
      </c>
      <c r="S1749">
        <f>HLOOKUP("Memory",'vInfo (Imported)'!$1:$5000,M1749,FALSE)</f>
        <v>0</v>
      </c>
      <c r="T1749">
        <f>HLOOKUP("Provisioned MiB",'vInfo (Imported)'!$1:$5000,M1749,FALSE)</f>
        <v>0</v>
      </c>
      <c r="U1749">
        <f t="shared" si="82"/>
        <v>0</v>
      </c>
      <c r="V1749">
        <f>HLOOKUP("In Use MiB",'vInfo (Imported)'!$1:$5000,M1749,FALSE)</f>
        <v>0</v>
      </c>
    </row>
    <row r="1750" spans="1:22" ht="13" x14ac:dyDescent="0.3">
      <c r="A1750" s="46">
        <f>'vHosts (Imported)'!A1750</f>
        <v>0</v>
      </c>
      <c r="B1750" s="51">
        <f t="shared" si="81"/>
        <v>4968</v>
      </c>
      <c r="C1750" s="49">
        <f>HLOOKUP("# Cores",'vHosts (Imported)'!$1:$5000,M1750,FALSE)</f>
        <v>0</v>
      </c>
      <c r="D1750" s="52">
        <f>HLOOKUP("# Memory",'vHosts (Imported)'!$1:$5000,M1750,FALSE)</f>
        <v>0</v>
      </c>
      <c r="M1750" s="45">
        <f t="shared" si="83"/>
        <v>1750</v>
      </c>
      <c r="N1750" s="38">
        <f>HLOOKUP("Host",'vInfo (Imported)'!$1:$5000,M1750,FALSE)</f>
        <v>0</v>
      </c>
      <c r="R1750">
        <f>HLOOKUP("CPUs",'vInfo (Imported)'!$1:$5000,M1750,FALSE)</f>
        <v>0</v>
      </c>
      <c r="S1750">
        <f>HLOOKUP("Memory",'vInfo (Imported)'!$1:$5000,M1750,FALSE)</f>
        <v>0</v>
      </c>
      <c r="T1750">
        <f>HLOOKUP("Provisioned MiB",'vInfo (Imported)'!$1:$5000,M1750,FALSE)</f>
        <v>0</v>
      </c>
      <c r="U1750">
        <f t="shared" si="82"/>
        <v>0</v>
      </c>
      <c r="V1750">
        <f>HLOOKUP("In Use MiB",'vInfo (Imported)'!$1:$5000,M1750,FALSE)</f>
        <v>0</v>
      </c>
    </row>
    <row r="1751" spans="1:22" ht="13" x14ac:dyDescent="0.3">
      <c r="A1751" s="46">
        <f>'vHosts (Imported)'!A1751</f>
        <v>0</v>
      </c>
      <c r="B1751" s="51">
        <f t="shared" si="81"/>
        <v>4968</v>
      </c>
      <c r="C1751" s="49">
        <f>HLOOKUP("# Cores",'vHosts (Imported)'!$1:$5000,M1751,FALSE)</f>
        <v>0</v>
      </c>
      <c r="D1751" s="52">
        <f>HLOOKUP("# Memory",'vHosts (Imported)'!$1:$5000,M1751,FALSE)</f>
        <v>0</v>
      </c>
      <c r="M1751" s="45">
        <f t="shared" si="83"/>
        <v>1751</v>
      </c>
      <c r="N1751" s="38">
        <f>HLOOKUP("Host",'vInfo (Imported)'!$1:$5000,M1751,FALSE)</f>
        <v>0</v>
      </c>
      <c r="R1751">
        <f>HLOOKUP("CPUs",'vInfo (Imported)'!$1:$5000,M1751,FALSE)</f>
        <v>0</v>
      </c>
      <c r="S1751">
        <f>HLOOKUP("Memory",'vInfo (Imported)'!$1:$5000,M1751,FALSE)</f>
        <v>0</v>
      </c>
      <c r="T1751">
        <f>HLOOKUP("Provisioned MiB",'vInfo (Imported)'!$1:$5000,M1751,FALSE)</f>
        <v>0</v>
      </c>
      <c r="U1751">
        <f t="shared" si="82"/>
        <v>0</v>
      </c>
      <c r="V1751">
        <f>HLOOKUP("In Use MiB",'vInfo (Imported)'!$1:$5000,M1751,FALSE)</f>
        <v>0</v>
      </c>
    </row>
    <row r="1752" spans="1:22" ht="13" x14ac:dyDescent="0.3">
      <c r="A1752" s="46">
        <f>'vHosts (Imported)'!A1752</f>
        <v>0</v>
      </c>
      <c r="B1752" s="51">
        <f t="shared" si="81"/>
        <v>4968</v>
      </c>
      <c r="C1752" s="49">
        <f>HLOOKUP("# Cores",'vHosts (Imported)'!$1:$5000,M1752,FALSE)</f>
        <v>0</v>
      </c>
      <c r="D1752" s="52">
        <f>HLOOKUP("# Memory",'vHosts (Imported)'!$1:$5000,M1752,FALSE)</f>
        <v>0</v>
      </c>
      <c r="M1752" s="45">
        <f t="shared" si="83"/>
        <v>1752</v>
      </c>
      <c r="N1752" s="38">
        <f>HLOOKUP("Host",'vInfo (Imported)'!$1:$5000,M1752,FALSE)</f>
        <v>0</v>
      </c>
      <c r="R1752">
        <f>HLOOKUP("CPUs",'vInfo (Imported)'!$1:$5000,M1752,FALSE)</f>
        <v>0</v>
      </c>
      <c r="S1752">
        <f>HLOOKUP("Memory",'vInfo (Imported)'!$1:$5000,M1752,FALSE)</f>
        <v>0</v>
      </c>
      <c r="T1752">
        <f>HLOOKUP("Provisioned MiB",'vInfo (Imported)'!$1:$5000,M1752,FALSE)</f>
        <v>0</v>
      </c>
      <c r="U1752">
        <f t="shared" si="82"/>
        <v>0</v>
      </c>
      <c r="V1752">
        <f>HLOOKUP("In Use MiB",'vInfo (Imported)'!$1:$5000,M1752,FALSE)</f>
        <v>0</v>
      </c>
    </row>
    <row r="1753" spans="1:22" ht="13" x14ac:dyDescent="0.3">
      <c r="A1753" s="46">
        <f>'vHosts (Imported)'!A1753</f>
        <v>0</v>
      </c>
      <c r="B1753" s="51">
        <f t="shared" si="81"/>
        <v>4968</v>
      </c>
      <c r="C1753" s="49">
        <f>HLOOKUP("# Cores",'vHosts (Imported)'!$1:$5000,M1753,FALSE)</f>
        <v>0</v>
      </c>
      <c r="D1753" s="52">
        <f>HLOOKUP("# Memory",'vHosts (Imported)'!$1:$5000,M1753,FALSE)</f>
        <v>0</v>
      </c>
      <c r="M1753" s="45">
        <f t="shared" si="83"/>
        <v>1753</v>
      </c>
      <c r="N1753" s="38">
        <f>HLOOKUP("Host",'vInfo (Imported)'!$1:$5000,M1753,FALSE)</f>
        <v>0</v>
      </c>
      <c r="R1753">
        <f>HLOOKUP("CPUs",'vInfo (Imported)'!$1:$5000,M1753,FALSE)</f>
        <v>0</v>
      </c>
      <c r="S1753">
        <f>HLOOKUP("Memory",'vInfo (Imported)'!$1:$5000,M1753,FALSE)</f>
        <v>0</v>
      </c>
      <c r="T1753">
        <f>HLOOKUP("Provisioned MiB",'vInfo (Imported)'!$1:$5000,M1753,FALSE)</f>
        <v>0</v>
      </c>
      <c r="U1753">
        <f t="shared" si="82"/>
        <v>0</v>
      </c>
      <c r="V1753">
        <f>HLOOKUP("In Use MiB",'vInfo (Imported)'!$1:$5000,M1753,FALSE)</f>
        <v>0</v>
      </c>
    </row>
    <row r="1754" spans="1:22" ht="13" x14ac:dyDescent="0.3">
      <c r="A1754" s="46">
        <f>'vHosts (Imported)'!A1754</f>
        <v>0</v>
      </c>
      <c r="B1754" s="51">
        <f t="shared" si="81"/>
        <v>4968</v>
      </c>
      <c r="C1754" s="49">
        <f>HLOOKUP("# Cores",'vHosts (Imported)'!$1:$5000,M1754,FALSE)</f>
        <v>0</v>
      </c>
      <c r="D1754" s="52">
        <f>HLOOKUP("# Memory",'vHosts (Imported)'!$1:$5000,M1754,FALSE)</f>
        <v>0</v>
      </c>
      <c r="M1754" s="45">
        <f t="shared" si="83"/>
        <v>1754</v>
      </c>
      <c r="N1754" s="38">
        <f>HLOOKUP("Host",'vInfo (Imported)'!$1:$5000,M1754,FALSE)</f>
        <v>0</v>
      </c>
      <c r="R1754">
        <f>HLOOKUP("CPUs",'vInfo (Imported)'!$1:$5000,M1754,FALSE)</f>
        <v>0</v>
      </c>
      <c r="S1754">
        <f>HLOOKUP("Memory",'vInfo (Imported)'!$1:$5000,M1754,FALSE)</f>
        <v>0</v>
      </c>
      <c r="T1754">
        <f>HLOOKUP("Provisioned MiB",'vInfo (Imported)'!$1:$5000,M1754,FALSE)</f>
        <v>0</v>
      </c>
      <c r="U1754">
        <f t="shared" si="82"/>
        <v>0</v>
      </c>
      <c r="V1754">
        <f>HLOOKUP("In Use MiB",'vInfo (Imported)'!$1:$5000,M1754,FALSE)</f>
        <v>0</v>
      </c>
    </row>
    <row r="1755" spans="1:22" ht="13" x14ac:dyDescent="0.3">
      <c r="A1755" s="46">
        <f>'vHosts (Imported)'!A1755</f>
        <v>0</v>
      </c>
      <c r="B1755" s="51">
        <f t="shared" si="81"/>
        <v>4968</v>
      </c>
      <c r="C1755" s="49">
        <f>HLOOKUP("# Cores",'vHosts (Imported)'!$1:$5000,M1755,FALSE)</f>
        <v>0</v>
      </c>
      <c r="D1755" s="52">
        <f>HLOOKUP("# Memory",'vHosts (Imported)'!$1:$5000,M1755,FALSE)</f>
        <v>0</v>
      </c>
      <c r="M1755" s="45">
        <f t="shared" si="83"/>
        <v>1755</v>
      </c>
      <c r="N1755" s="38">
        <f>HLOOKUP("Host",'vInfo (Imported)'!$1:$5000,M1755,FALSE)</f>
        <v>0</v>
      </c>
      <c r="R1755">
        <f>HLOOKUP("CPUs",'vInfo (Imported)'!$1:$5000,M1755,FALSE)</f>
        <v>0</v>
      </c>
      <c r="S1755">
        <f>HLOOKUP("Memory",'vInfo (Imported)'!$1:$5000,M1755,FALSE)</f>
        <v>0</v>
      </c>
      <c r="T1755">
        <f>HLOOKUP("Provisioned MiB",'vInfo (Imported)'!$1:$5000,M1755,FALSE)</f>
        <v>0</v>
      </c>
      <c r="U1755">
        <f t="shared" si="82"/>
        <v>0</v>
      </c>
      <c r="V1755">
        <f>HLOOKUP("In Use MiB",'vInfo (Imported)'!$1:$5000,M1755,FALSE)</f>
        <v>0</v>
      </c>
    </row>
    <row r="1756" spans="1:22" ht="13" x14ac:dyDescent="0.3">
      <c r="A1756" s="46">
        <f>'vHosts (Imported)'!A1756</f>
        <v>0</v>
      </c>
      <c r="B1756" s="51">
        <f t="shared" si="81"/>
        <v>4968</v>
      </c>
      <c r="C1756" s="49">
        <f>HLOOKUP("# Cores",'vHosts (Imported)'!$1:$5000,M1756,FALSE)</f>
        <v>0</v>
      </c>
      <c r="D1756" s="52">
        <f>HLOOKUP("# Memory",'vHosts (Imported)'!$1:$5000,M1756,FALSE)</f>
        <v>0</v>
      </c>
      <c r="M1756" s="45">
        <f t="shared" si="83"/>
        <v>1756</v>
      </c>
      <c r="N1756" s="38">
        <f>HLOOKUP("Host",'vInfo (Imported)'!$1:$5000,M1756,FALSE)</f>
        <v>0</v>
      </c>
      <c r="R1756">
        <f>HLOOKUP("CPUs",'vInfo (Imported)'!$1:$5000,M1756,FALSE)</f>
        <v>0</v>
      </c>
      <c r="S1756">
        <f>HLOOKUP("Memory",'vInfo (Imported)'!$1:$5000,M1756,FALSE)</f>
        <v>0</v>
      </c>
      <c r="T1756">
        <f>HLOOKUP("Provisioned MiB",'vInfo (Imported)'!$1:$5000,M1756,FALSE)</f>
        <v>0</v>
      </c>
      <c r="U1756">
        <f t="shared" si="82"/>
        <v>0</v>
      </c>
      <c r="V1756">
        <f>HLOOKUP("In Use MiB",'vInfo (Imported)'!$1:$5000,M1756,FALSE)</f>
        <v>0</v>
      </c>
    </row>
    <row r="1757" spans="1:22" ht="13" x14ac:dyDescent="0.3">
      <c r="A1757" s="46">
        <f>'vHosts (Imported)'!A1757</f>
        <v>0</v>
      </c>
      <c r="B1757" s="51">
        <f t="shared" si="81"/>
        <v>4968</v>
      </c>
      <c r="C1757" s="49">
        <f>HLOOKUP("# Cores",'vHosts (Imported)'!$1:$5000,M1757,FALSE)</f>
        <v>0</v>
      </c>
      <c r="D1757" s="52">
        <f>HLOOKUP("# Memory",'vHosts (Imported)'!$1:$5000,M1757,FALSE)</f>
        <v>0</v>
      </c>
      <c r="M1757" s="45">
        <f t="shared" si="83"/>
        <v>1757</v>
      </c>
      <c r="N1757" s="38">
        <f>HLOOKUP("Host",'vInfo (Imported)'!$1:$5000,M1757,FALSE)</f>
        <v>0</v>
      </c>
      <c r="R1757">
        <f>HLOOKUP("CPUs",'vInfo (Imported)'!$1:$5000,M1757,FALSE)</f>
        <v>0</v>
      </c>
      <c r="S1757">
        <f>HLOOKUP("Memory",'vInfo (Imported)'!$1:$5000,M1757,FALSE)</f>
        <v>0</v>
      </c>
      <c r="T1757">
        <f>HLOOKUP("Provisioned MiB",'vInfo (Imported)'!$1:$5000,M1757,FALSE)</f>
        <v>0</v>
      </c>
      <c r="U1757">
        <f t="shared" si="82"/>
        <v>0</v>
      </c>
      <c r="V1757">
        <f>HLOOKUP("In Use MiB",'vInfo (Imported)'!$1:$5000,M1757,FALSE)</f>
        <v>0</v>
      </c>
    </row>
    <row r="1758" spans="1:22" ht="13" x14ac:dyDescent="0.3">
      <c r="A1758" s="46">
        <f>'vHosts (Imported)'!A1758</f>
        <v>0</v>
      </c>
      <c r="B1758" s="51">
        <f t="shared" si="81"/>
        <v>4968</v>
      </c>
      <c r="C1758" s="49">
        <f>HLOOKUP("# Cores",'vHosts (Imported)'!$1:$5000,M1758,FALSE)</f>
        <v>0</v>
      </c>
      <c r="D1758" s="52">
        <f>HLOOKUP("# Memory",'vHosts (Imported)'!$1:$5000,M1758,FALSE)</f>
        <v>0</v>
      </c>
      <c r="M1758" s="45">
        <f t="shared" si="83"/>
        <v>1758</v>
      </c>
      <c r="N1758" s="38">
        <f>HLOOKUP("Host",'vInfo (Imported)'!$1:$5000,M1758,FALSE)</f>
        <v>0</v>
      </c>
      <c r="R1758">
        <f>HLOOKUP("CPUs",'vInfo (Imported)'!$1:$5000,M1758,FALSE)</f>
        <v>0</v>
      </c>
      <c r="S1758">
        <f>HLOOKUP("Memory",'vInfo (Imported)'!$1:$5000,M1758,FALSE)</f>
        <v>0</v>
      </c>
      <c r="T1758">
        <f>HLOOKUP("Provisioned MiB",'vInfo (Imported)'!$1:$5000,M1758,FALSE)</f>
        <v>0</v>
      </c>
      <c r="U1758">
        <f t="shared" si="82"/>
        <v>0</v>
      </c>
      <c r="V1758">
        <f>HLOOKUP("In Use MiB",'vInfo (Imported)'!$1:$5000,M1758,FALSE)</f>
        <v>0</v>
      </c>
    </row>
    <row r="1759" spans="1:22" ht="13" x14ac:dyDescent="0.3">
      <c r="A1759" s="46">
        <f>'vHosts (Imported)'!A1759</f>
        <v>0</v>
      </c>
      <c r="B1759" s="51">
        <f t="shared" si="81"/>
        <v>4968</v>
      </c>
      <c r="C1759" s="49">
        <f>HLOOKUP("# Cores",'vHosts (Imported)'!$1:$5000,M1759,FALSE)</f>
        <v>0</v>
      </c>
      <c r="D1759" s="52">
        <f>HLOOKUP("# Memory",'vHosts (Imported)'!$1:$5000,M1759,FALSE)</f>
        <v>0</v>
      </c>
      <c r="M1759" s="45">
        <f t="shared" si="83"/>
        <v>1759</v>
      </c>
      <c r="N1759" s="38">
        <f>HLOOKUP("Host",'vInfo (Imported)'!$1:$5000,M1759,FALSE)</f>
        <v>0</v>
      </c>
      <c r="R1759">
        <f>HLOOKUP("CPUs",'vInfo (Imported)'!$1:$5000,M1759,FALSE)</f>
        <v>0</v>
      </c>
      <c r="S1759">
        <f>HLOOKUP("Memory",'vInfo (Imported)'!$1:$5000,M1759,FALSE)</f>
        <v>0</v>
      </c>
      <c r="T1759">
        <f>HLOOKUP("Provisioned MiB",'vInfo (Imported)'!$1:$5000,M1759,FALSE)</f>
        <v>0</v>
      </c>
      <c r="U1759">
        <f t="shared" si="82"/>
        <v>0</v>
      </c>
      <c r="V1759">
        <f>HLOOKUP("In Use MiB",'vInfo (Imported)'!$1:$5000,M1759,FALSE)</f>
        <v>0</v>
      </c>
    </row>
    <row r="1760" spans="1:22" ht="13" x14ac:dyDescent="0.3">
      <c r="A1760" s="46">
        <f>'vHosts (Imported)'!A1760</f>
        <v>0</v>
      </c>
      <c r="B1760" s="51">
        <f t="shared" si="81"/>
        <v>4968</v>
      </c>
      <c r="C1760" s="49">
        <f>HLOOKUP("# Cores",'vHosts (Imported)'!$1:$5000,M1760,FALSE)</f>
        <v>0</v>
      </c>
      <c r="D1760" s="52">
        <f>HLOOKUP("# Memory",'vHosts (Imported)'!$1:$5000,M1760,FALSE)</f>
        <v>0</v>
      </c>
      <c r="M1760" s="45">
        <f t="shared" si="83"/>
        <v>1760</v>
      </c>
      <c r="N1760" s="38">
        <f>HLOOKUP("Host",'vInfo (Imported)'!$1:$5000,M1760,FALSE)</f>
        <v>0</v>
      </c>
      <c r="R1760">
        <f>HLOOKUP("CPUs",'vInfo (Imported)'!$1:$5000,M1760,FALSE)</f>
        <v>0</v>
      </c>
      <c r="S1760">
        <f>HLOOKUP("Memory",'vInfo (Imported)'!$1:$5000,M1760,FALSE)</f>
        <v>0</v>
      </c>
      <c r="T1760">
        <f>HLOOKUP("Provisioned MiB",'vInfo (Imported)'!$1:$5000,M1760,FALSE)</f>
        <v>0</v>
      </c>
      <c r="U1760">
        <f t="shared" si="82"/>
        <v>0</v>
      </c>
      <c r="V1760">
        <f>HLOOKUP("In Use MiB",'vInfo (Imported)'!$1:$5000,M1760,FALSE)</f>
        <v>0</v>
      </c>
    </row>
    <row r="1761" spans="1:22" ht="13" x14ac:dyDescent="0.3">
      <c r="A1761" s="46">
        <f>'vHosts (Imported)'!A1761</f>
        <v>0</v>
      </c>
      <c r="B1761" s="51">
        <f t="shared" si="81"/>
        <v>4968</v>
      </c>
      <c r="C1761" s="49">
        <f>HLOOKUP("# Cores",'vHosts (Imported)'!$1:$5000,M1761,FALSE)</f>
        <v>0</v>
      </c>
      <c r="D1761" s="52">
        <f>HLOOKUP("# Memory",'vHosts (Imported)'!$1:$5000,M1761,FALSE)</f>
        <v>0</v>
      </c>
      <c r="M1761" s="45">
        <f t="shared" si="83"/>
        <v>1761</v>
      </c>
      <c r="N1761" s="38">
        <f>HLOOKUP("Host",'vInfo (Imported)'!$1:$5000,M1761,FALSE)</f>
        <v>0</v>
      </c>
      <c r="R1761">
        <f>HLOOKUP("CPUs",'vInfo (Imported)'!$1:$5000,M1761,FALSE)</f>
        <v>0</v>
      </c>
      <c r="S1761">
        <f>HLOOKUP("Memory",'vInfo (Imported)'!$1:$5000,M1761,FALSE)</f>
        <v>0</v>
      </c>
      <c r="T1761">
        <f>HLOOKUP("Provisioned MiB",'vInfo (Imported)'!$1:$5000,M1761,FALSE)</f>
        <v>0</v>
      </c>
      <c r="U1761">
        <f t="shared" si="82"/>
        <v>0</v>
      </c>
      <c r="V1761">
        <f>HLOOKUP("In Use MiB",'vInfo (Imported)'!$1:$5000,M1761,FALSE)</f>
        <v>0</v>
      </c>
    </row>
    <row r="1762" spans="1:22" ht="13" x14ac:dyDescent="0.3">
      <c r="A1762" s="46">
        <f>'vHosts (Imported)'!A1762</f>
        <v>0</v>
      </c>
      <c r="B1762" s="51">
        <f t="shared" si="81"/>
        <v>4968</v>
      </c>
      <c r="C1762" s="49">
        <f>HLOOKUP("# Cores",'vHosts (Imported)'!$1:$5000,M1762,FALSE)</f>
        <v>0</v>
      </c>
      <c r="D1762" s="52">
        <f>HLOOKUP("# Memory",'vHosts (Imported)'!$1:$5000,M1762,FALSE)</f>
        <v>0</v>
      </c>
      <c r="M1762" s="45">
        <f t="shared" si="83"/>
        <v>1762</v>
      </c>
      <c r="N1762" s="38">
        <f>HLOOKUP("Host",'vInfo (Imported)'!$1:$5000,M1762,FALSE)</f>
        <v>0</v>
      </c>
      <c r="R1762">
        <f>HLOOKUP("CPUs",'vInfo (Imported)'!$1:$5000,M1762,FALSE)</f>
        <v>0</v>
      </c>
      <c r="S1762">
        <f>HLOOKUP("Memory",'vInfo (Imported)'!$1:$5000,M1762,FALSE)</f>
        <v>0</v>
      </c>
      <c r="T1762">
        <f>HLOOKUP("Provisioned MiB",'vInfo (Imported)'!$1:$5000,M1762,FALSE)</f>
        <v>0</v>
      </c>
      <c r="U1762">
        <f t="shared" si="82"/>
        <v>0</v>
      </c>
      <c r="V1762">
        <f>HLOOKUP("In Use MiB",'vInfo (Imported)'!$1:$5000,M1762,FALSE)</f>
        <v>0</v>
      </c>
    </row>
    <row r="1763" spans="1:22" ht="13" x14ac:dyDescent="0.3">
      <c r="A1763" s="46">
        <f>'vHosts (Imported)'!A1763</f>
        <v>0</v>
      </c>
      <c r="B1763" s="51">
        <f t="shared" si="81"/>
        <v>4968</v>
      </c>
      <c r="C1763" s="49">
        <f>HLOOKUP("# Cores",'vHosts (Imported)'!$1:$5000,M1763,FALSE)</f>
        <v>0</v>
      </c>
      <c r="D1763" s="52">
        <f>HLOOKUP("# Memory",'vHosts (Imported)'!$1:$5000,M1763,FALSE)</f>
        <v>0</v>
      </c>
      <c r="M1763" s="45">
        <f t="shared" si="83"/>
        <v>1763</v>
      </c>
      <c r="N1763" s="38">
        <f>HLOOKUP("Host",'vInfo (Imported)'!$1:$5000,M1763,FALSE)</f>
        <v>0</v>
      </c>
      <c r="R1763">
        <f>HLOOKUP("CPUs",'vInfo (Imported)'!$1:$5000,M1763,FALSE)</f>
        <v>0</v>
      </c>
      <c r="S1763">
        <f>HLOOKUP("Memory",'vInfo (Imported)'!$1:$5000,M1763,FALSE)</f>
        <v>0</v>
      </c>
      <c r="T1763">
        <f>HLOOKUP("Provisioned MiB",'vInfo (Imported)'!$1:$5000,M1763,FALSE)</f>
        <v>0</v>
      </c>
      <c r="U1763">
        <f t="shared" si="82"/>
        <v>0</v>
      </c>
      <c r="V1763">
        <f>HLOOKUP("In Use MiB",'vInfo (Imported)'!$1:$5000,M1763,FALSE)</f>
        <v>0</v>
      </c>
    </row>
    <row r="1764" spans="1:22" ht="13" x14ac:dyDescent="0.3">
      <c r="A1764" s="46">
        <f>'vHosts (Imported)'!A1764</f>
        <v>0</v>
      </c>
      <c r="B1764" s="51">
        <f t="shared" si="81"/>
        <v>4968</v>
      </c>
      <c r="C1764" s="49">
        <f>HLOOKUP("# Cores",'vHosts (Imported)'!$1:$5000,M1764,FALSE)</f>
        <v>0</v>
      </c>
      <c r="D1764" s="52">
        <f>HLOOKUP("# Memory",'vHosts (Imported)'!$1:$5000,M1764,FALSE)</f>
        <v>0</v>
      </c>
      <c r="M1764" s="45">
        <f t="shared" si="83"/>
        <v>1764</v>
      </c>
      <c r="N1764" s="38">
        <f>HLOOKUP("Host",'vInfo (Imported)'!$1:$5000,M1764,FALSE)</f>
        <v>0</v>
      </c>
      <c r="R1764">
        <f>HLOOKUP("CPUs",'vInfo (Imported)'!$1:$5000,M1764,FALSE)</f>
        <v>0</v>
      </c>
      <c r="S1764">
        <f>HLOOKUP("Memory",'vInfo (Imported)'!$1:$5000,M1764,FALSE)</f>
        <v>0</v>
      </c>
      <c r="T1764">
        <f>HLOOKUP("Provisioned MiB",'vInfo (Imported)'!$1:$5000,M1764,FALSE)</f>
        <v>0</v>
      </c>
      <c r="U1764">
        <f t="shared" si="82"/>
        <v>0</v>
      </c>
      <c r="V1764">
        <f>HLOOKUP("In Use MiB",'vInfo (Imported)'!$1:$5000,M1764,FALSE)</f>
        <v>0</v>
      </c>
    </row>
    <row r="1765" spans="1:22" ht="13" x14ac:dyDescent="0.3">
      <c r="A1765" s="46">
        <f>'vHosts (Imported)'!A1765</f>
        <v>0</v>
      </c>
      <c r="B1765" s="51">
        <f t="shared" si="81"/>
        <v>4968</v>
      </c>
      <c r="C1765" s="49">
        <f>HLOOKUP("# Cores",'vHosts (Imported)'!$1:$5000,M1765,FALSE)</f>
        <v>0</v>
      </c>
      <c r="D1765" s="52">
        <f>HLOOKUP("# Memory",'vHosts (Imported)'!$1:$5000,M1765,FALSE)</f>
        <v>0</v>
      </c>
      <c r="M1765" s="45">
        <f t="shared" si="83"/>
        <v>1765</v>
      </c>
      <c r="N1765" s="38">
        <f>HLOOKUP("Host",'vInfo (Imported)'!$1:$5000,M1765,FALSE)</f>
        <v>0</v>
      </c>
      <c r="R1765">
        <f>HLOOKUP("CPUs",'vInfo (Imported)'!$1:$5000,M1765,FALSE)</f>
        <v>0</v>
      </c>
      <c r="S1765">
        <f>HLOOKUP("Memory",'vInfo (Imported)'!$1:$5000,M1765,FALSE)</f>
        <v>0</v>
      </c>
      <c r="T1765">
        <f>HLOOKUP("Provisioned MiB",'vInfo (Imported)'!$1:$5000,M1765,FALSE)</f>
        <v>0</v>
      </c>
      <c r="U1765">
        <f t="shared" si="82"/>
        <v>0</v>
      </c>
      <c r="V1765">
        <f>HLOOKUP("In Use MiB",'vInfo (Imported)'!$1:$5000,M1765,FALSE)</f>
        <v>0</v>
      </c>
    </row>
    <row r="1766" spans="1:22" ht="13" x14ac:dyDescent="0.3">
      <c r="A1766" s="46">
        <f>'vHosts (Imported)'!A1766</f>
        <v>0</v>
      </c>
      <c r="B1766" s="51">
        <f t="shared" si="81"/>
        <v>4968</v>
      </c>
      <c r="C1766" s="49">
        <f>HLOOKUP("# Cores",'vHosts (Imported)'!$1:$5000,M1766,FALSE)</f>
        <v>0</v>
      </c>
      <c r="D1766" s="52">
        <f>HLOOKUP("# Memory",'vHosts (Imported)'!$1:$5000,M1766,FALSE)</f>
        <v>0</v>
      </c>
      <c r="M1766" s="45">
        <f t="shared" si="83"/>
        <v>1766</v>
      </c>
      <c r="N1766" s="38">
        <f>HLOOKUP("Host",'vInfo (Imported)'!$1:$5000,M1766,FALSE)</f>
        <v>0</v>
      </c>
      <c r="R1766">
        <f>HLOOKUP("CPUs",'vInfo (Imported)'!$1:$5000,M1766,FALSE)</f>
        <v>0</v>
      </c>
      <c r="S1766">
        <f>HLOOKUP("Memory",'vInfo (Imported)'!$1:$5000,M1766,FALSE)</f>
        <v>0</v>
      </c>
      <c r="T1766">
        <f>HLOOKUP("Provisioned MiB",'vInfo (Imported)'!$1:$5000,M1766,FALSE)</f>
        <v>0</v>
      </c>
      <c r="U1766">
        <f t="shared" si="82"/>
        <v>0</v>
      </c>
      <c r="V1766">
        <f>HLOOKUP("In Use MiB",'vInfo (Imported)'!$1:$5000,M1766,FALSE)</f>
        <v>0</v>
      </c>
    </row>
    <row r="1767" spans="1:22" ht="13" x14ac:dyDescent="0.3">
      <c r="A1767" s="46">
        <f>'vHosts (Imported)'!A1767</f>
        <v>0</v>
      </c>
      <c r="B1767" s="51">
        <f t="shared" si="81"/>
        <v>4968</v>
      </c>
      <c r="C1767" s="49">
        <f>HLOOKUP("# Cores",'vHosts (Imported)'!$1:$5000,M1767,FALSE)</f>
        <v>0</v>
      </c>
      <c r="D1767" s="52">
        <f>HLOOKUP("# Memory",'vHosts (Imported)'!$1:$5000,M1767,FALSE)</f>
        <v>0</v>
      </c>
      <c r="M1767" s="45">
        <f t="shared" si="83"/>
        <v>1767</v>
      </c>
      <c r="N1767" s="38">
        <f>HLOOKUP("Host",'vInfo (Imported)'!$1:$5000,M1767,FALSE)</f>
        <v>0</v>
      </c>
      <c r="R1767">
        <f>HLOOKUP("CPUs",'vInfo (Imported)'!$1:$5000,M1767,FALSE)</f>
        <v>0</v>
      </c>
      <c r="S1767">
        <f>HLOOKUP("Memory",'vInfo (Imported)'!$1:$5000,M1767,FALSE)</f>
        <v>0</v>
      </c>
      <c r="T1767">
        <f>HLOOKUP("Provisioned MiB",'vInfo (Imported)'!$1:$5000,M1767,FALSE)</f>
        <v>0</v>
      </c>
      <c r="U1767">
        <f t="shared" si="82"/>
        <v>0</v>
      </c>
      <c r="V1767">
        <f>HLOOKUP("In Use MiB",'vInfo (Imported)'!$1:$5000,M1767,FALSE)</f>
        <v>0</v>
      </c>
    </row>
    <row r="1768" spans="1:22" ht="13" x14ac:dyDescent="0.3">
      <c r="A1768" s="46">
        <f>'vHosts (Imported)'!A1768</f>
        <v>0</v>
      </c>
      <c r="B1768" s="51">
        <f t="shared" ref="B1768:B1831" si="84">COUNTIF(N:N,A1768)</f>
        <v>4968</v>
      </c>
      <c r="C1768" s="49">
        <f>HLOOKUP("# Cores",'vHosts (Imported)'!$1:$5000,M1768,FALSE)</f>
        <v>0</v>
      </c>
      <c r="D1768" s="52">
        <f>HLOOKUP("# Memory",'vHosts (Imported)'!$1:$5000,M1768,FALSE)</f>
        <v>0</v>
      </c>
      <c r="M1768" s="45">
        <f t="shared" si="83"/>
        <v>1768</v>
      </c>
      <c r="N1768" s="38">
        <f>HLOOKUP("Host",'vInfo (Imported)'!$1:$5000,M1768,FALSE)</f>
        <v>0</v>
      </c>
      <c r="R1768">
        <f>HLOOKUP("CPUs",'vInfo (Imported)'!$1:$5000,M1768,FALSE)</f>
        <v>0</v>
      </c>
      <c r="S1768">
        <f>HLOOKUP("Memory",'vInfo (Imported)'!$1:$5000,M1768,FALSE)</f>
        <v>0</v>
      </c>
      <c r="T1768">
        <f>HLOOKUP("Provisioned MiB",'vInfo (Imported)'!$1:$5000,M1768,FALSE)</f>
        <v>0</v>
      </c>
      <c r="U1768">
        <f t="shared" si="82"/>
        <v>0</v>
      </c>
      <c r="V1768">
        <f>HLOOKUP("In Use MiB",'vInfo (Imported)'!$1:$5000,M1768,FALSE)</f>
        <v>0</v>
      </c>
    </row>
    <row r="1769" spans="1:22" ht="13" x14ac:dyDescent="0.3">
      <c r="A1769" s="46">
        <f>'vHosts (Imported)'!A1769</f>
        <v>0</v>
      </c>
      <c r="B1769" s="51">
        <f t="shared" si="84"/>
        <v>4968</v>
      </c>
      <c r="C1769" s="49">
        <f>HLOOKUP("# Cores",'vHosts (Imported)'!$1:$5000,M1769,FALSE)</f>
        <v>0</v>
      </c>
      <c r="D1769" s="52">
        <f>HLOOKUP("# Memory",'vHosts (Imported)'!$1:$5000,M1769,FALSE)</f>
        <v>0</v>
      </c>
      <c r="M1769" s="45">
        <f t="shared" si="83"/>
        <v>1769</v>
      </c>
      <c r="N1769" s="38">
        <f>HLOOKUP("Host",'vInfo (Imported)'!$1:$5000,M1769,FALSE)</f>
        <v>0</v>
      </c>
      <c r="R1769">
        <f>HLOOKUP("CPUs",'vInfo (Imported)'!$1:$5000,M1769,FALSE)</f>
        <v>0</v>
      </c>
      <c r="S1769">
        <f>HLOOKUP("Memory",'vInfo (Imported)'!$1:$5000,M1769,FALSE)</f>
        <v>0</v>
      </c>
      <c r="T1769">
        <f>HLOOKUP("Provisioned MiB",'vInfo (Imported)'!$1:$5000,M1769,FALSE)</f>
        <v>0</v>
      </c>
      <c r="U1769">
        <f t="shared" si="82"/>
        <v>0</v>
      </c>
      <c r="V1769">
        <f>HLOOKUP("In Use MiB",'vInfo (Imported)'!$1:$5000,M1769,FALSE)</f>
        <v>0</v>
      </c>
    </row>
    <row r="1770" spans="1:22" ht="13" x14ac:dyDescent="0.3">
      <c r="A1770" s="46">
        <f>'vHosts (Imported)'!A1770</f>
        <v>0</v>
      </c>
      <c r="B1770" s="51">
        <f t="shared" si="84"/>
        <v>4968</v>
      </c>
      <c r="C1770" s="49">
        <f>HLOOKUP("# Cores",'vHosts (Imported)'!$1:$5000,M1770,FALSE)</f>
        <v>0</v>
      </c>
      <c r="D1770" s="52">
        <f>HLOOKUP("# Memory",'vHosts (Imported)'!$1:$5000,M1770,FALSE)</f>
        <v>0</v>
      </c>
      <c r="M1770" s="45">
        <f t="shared" si="83"/>
        <v>1770</v>
      </c>
      <c r="N1770" s="38">
        <f>HLOOKUP("Host",'vInfo (Imported)'!$1:$5000,M1770,FALSE)</f>
        <v>0</v>
      </c>
      <c r="R1770">
        <f>HLOOKUP("CPUs",'vInfo (Imported)'!$1:$5000,M1770,FALSE)</f>
        <v>0</v>
      </c>
      <c r="S1770">
        <f>HLOOKUP("Memory",'vInfo (Imported)'!$1:$5000,M1770,FALSE)</f>
        <v>0</v>
      </c>
      <c r="T1770">
        <f>HLOOKUP("Provisioned MiB",'vInfo (Imported)'!$1:$5000,M1770,FALSE)</f>
        <v>0</v>
      </c>
      <c r="U1770">
        <f t="shared" si="82"/>
        <v>0</v>
      </c>
      <c r="V1770">
        <f>HLOOKUP("In Use MiB",'vInfo (Imported)'!$1:$5000,M1770,FALSE)</f>
        <v>0</v>
      </c>
    </row>
    <row r="1771" spans="1:22" ht="13" x14ac:dyDescent="0.3">
      <c r="A1771" s="46">
        <f>'vHosts (Imported)'!A1771</f>
        <v>0</v>
      </c>
      <c r="B1771" s="51">
        <f t="shared" si="84"/>
        <v>4968</v>
      </c>
      <c r="C1771" s="49">
        <f>HLOOKUP("# Cores",'vHosts (Imported)'!$1:$5000,M1771,FALSE)</f>
        <v>0</v>
      </c>
      <c r="D1771" s="52">
        <f>HLOOKUP("# Memory",'vHosts (Imported)'!$1:$5000,M1771,FALSE)</f>
        <v>0</v>
      </c>
      <c r="M1771" s="45">
        <f t="shared" si="83"/>
        <v>1771</v>
      </c>
      <c r="N1771" s="38">
        <f>HLOOKUP("Host",'vInfo (Imported)'!$1:$5000,M1771,FALSE)</f>
        <v>0</v>
      </c>
      <c r="R1771">
        <f>HLOOKUP("CPUs",'vInfo (Imported)'!$1:$5000,M1771,FALSE)</f>
        <v>0</v>
      </c>
      <c r="S1771">
        <f>HLOOKUP("Memory",'vInfo (Imported)'!$1:$5000,M1771,FALSE)</f>
        <v>0</v>
      </c>
      <c r="T1771">
        <f>HLOOKUP("Provisioned MiB",'vInfo (Imported)'!$1:$5000,M1771,FALSE)</f>
        <v>0</v>
      </c>
      <c r="U1771">
        <f t="shared" si="82"/>
        <v>0</v>
      </c>
      <c r="V1771">
        <f>HLOOKUP("In Use MiB",'vInfo (Imported)'!$1:$5000,M1771,FALSE)</f>
        <v>0</v>
      </c>
    </row>
    <row r="1772" spans="1:22" ht="13" x14ac:dyDescent="0.3">
      <c r="A1772" s="46">
        <f>'vHosts (Imported)'!A1772</f>
        <v>0</v>
      </c>
      <c r="B1772" s="51">
        <f t="shared" si="84"/>
        <v>4968</v>
      </c>
      <c r="C1772" s="49">
        <f>HLOOKUP("# Cores",'vHosts (Imported)'!$1:$5000,M1772,FALSE)</f>
        <v>0</v>
      </c>
      <c r="D1772" s="52">
        <f>HLOOKUP("# Memory",'vHosts (Imported)'!$1:$5000,M1772,FALSE)</f>
        <v>0</v>
      </c>
      <c r="M1772" s="45">
        <f t="shared" si="83"/>
        <v>1772</v>
      </c>
      <c r="N1772" s="38">
        <f>HLOOKUP("Host",'vInfo (Imported)'!$1:$5000,M1772,FALSE)</f>
        <v>0</v>
      </c>
      <c r="R1772">
        <f>HLOOKUP("CPUs",'vInfo (Imported)'!$1:$5000,M1772,FALSE)</f>
        <v>0</v>
      </c>
      <c r="S1772">
        <f>HLOOKUP("Memory",'vInfo (Imported)'!$1:$5000,M1772,FALSE)</f>
        <v>0</v>
      </c>
      <c r="T1772">
        <f>HLOOKUP("Provisioned MiB",'vInfo (Imported)'!$1:$5000,M1772,FALSE)</f>
        <v>0</v>
      </c>
      <c r="U1772">
        <f t="shared" si="82"/>
        <v>0</v>
      </c>
      <c r="V1772">
        <f>HLOOKUP("In Use MiB",'vInfo (Imported)'!$1:$5000,M1772,FALSE)</f>
        <v>0</v>
      </c>
    </row>
    <row r="1773" spans="1:22" ht="13" x14ac:dyDescent="0.3">
      <c r="A1773" s="46">
        <f>'vHosts (Imported)'!A1773</f>
        <v>0</v>
      </c>
      <c r="B1773" s="51">
        <f t="shared" si="84"/>
        <v>4968</v>
      </c>
      <c r="C1773" s="49">
        <f>HLOOKUP("# Cores",'vHosts (Imported)'!$1:$5000,M1773,FALSE)</f>
        <v>0</v>
      </c>
      <c r="D1773" s="52">
        <f>HLOOKUP("# Memory",'vHosts (Imported)'!$1:$5000,M1773,FALSE)</f>
        <v>0</v>
      </c>
      <c r="M1773" s="45">
        <f t="shared" si="83"/>
        <v>1773</v>
      </c>
      <c r="N1773" s="38">
        <f>HLOOKUP("Host",'vInfo (Imported)'!$1:$5000,M1773,FALSE)</f>
        <v>0</v>
      </c>
      <c r="R1773">
        <f>HLOOKUP("CPUs",'vInfo (Imported)'!$1:$5000,M1773,FALSE)</f>
        <v>0</v>
      </c>
      <c r="S1773">
        <f>HLOOKUP("Memory",'vInfo (Imported)'!$1:$5000,M1773,FALSE)</f>
        <v>0</v>
      </c>
      <c r="T1773">
        <f>HLOOKUP("Provisioned MiB",'vInfo (Imported)'!$1:$5000,M1773,FALSE)</f>
        <v>0</v>
      </c>
      <c r="U1773">
        <f t="shared" si="82"/>
        <v>0</v>
      </c>
      <c r="V1773">
        <f>HLOOKUP("In Use MiB",'vInfo (Imported)'!$1:$5000,M1773,FALSE)</f>
        <v>0</v>
      </c>
    </row>
    <row r="1774" spans="1:22" ht="13" x14ac:dyDescent="0.3">
      <c r="A1774" s="46">
        <f>'vHosts (Imported)'!A1774</f>
        <v>0</v>
      </c>
      <c r="B1774" s="51">
        <f t="shared" si="84"/>
        <v>4968</v>
      </c>
      <c r="C1774" s="49">
        <f>HLOOKUP("# Cores",'vHosts (Imported)'!$1:$5000,M1774,FALSE)</f>
        <v>0</v>
      </c>
      <c r="D1774" s="52">
        <f>HLOOKUP("# Memory",'vHosts (Imported)'!$1:$5000,M1774,FALSE)</f>
        <v>0</v>
      </c>
      <c r="M1774" s="45">
        <f t="shared" si="83"/>
        <v>1774</v>
      </c>
      <c r="N1774" s="38">
        <f>HLOOKUP("Host",'vInfo (Imported)'!$1:$5000,M1774,FALSE)</f>
        <v>0</v>
      </c>
      <c r="R1774">
        <f>HLOOKUP("CPUs",'vInfo (Imported)'!$1:$5000,M1774,FALSE)</f>
        <v>0</v>
      </c>
      <c r="S1774">
        <f>HLOOKUP("Memory",'vInfo (Imported)'!$1:$5000,M1774,FALSE)</f>
        <v>0</v>
      </c>
      <c r="T1774">
        <f>HLOOKUP("Provisioned MiB",'vInfo (Imported)'!$1:$5000,M1774,FALSE)</f>
        <v>0</v>
      </c>
      <c r="U1774">
        <f t="shared" si="82"/>
        <v>0</v>
      </c>
      <c r="V1774">
        <f>HLOOKUP("In Use MiB",'vInfo (Imported)'!$1:$5000,M1774,FALSE)</f>
        <v>0</v>
      </c>
    </row>
    <row r="1775" spans="1:22" ht="13" x14ac:dyDescent="0.3">
      <c r="A1775" s="46">
        <f>'vHosts (Imported)'!A1775</f>
        <v>0</v>
      </c>
      <c r="B1775" s="51">
        <f t="shared" si="84"/>
        <v>4968</v>
      </c>
      <c r="C1775" s="49">
        <f>HLOOKUP("# Cores",'vHosts (Imported)'!$1:$5000,M1775,FALSE)</f>
        <v>0</v>
      </c>
      <c r="D1775" s="52">
        <f>HLOOKUP("# Memory",'vHosts (Imported)'!$1:$5000,M1775,FALSE)</f>
        <v>0</v>
      </c>
      <c r="M1775" s="45">
        <f t="shared" si="83"/>
        <v>1775</v>
      </c>
      <c r="N1775" s="38">
        <f>HLOOKUP("Host",'vInfo (Imported)'!$1:$5000,M1775,FALSE)</f>
        <v>0</v>
      </c>
      <c r="R1775">
        <f>HLOOKUP("CPUs",'vInfo (Imported)'!$1:$5000,M1775,FALSE)</f>
        <v>0</v>
      </c>
      <c r="S1775">
        <f>HLOOKUP("Memory",'vInfo (Imported)'!$1:$5000,M1775,FALSE)</f>
        <v>0</v>
      </c>
      <c r="T1775">
        <f>HLOOKUP("Provisioned MiB",'vInfo (Imported)'!$1:$5000,M1775,FALSE)</f>
        <v>0</v>
      </c>
      <c r="U1775">
        <f t="shared" si="82"/>
        <v>0</v>
      </c>
      <c r="V1775">
        <f>HLOOKUP("In Use MiB",'vInfo (Imported)'!$1:$5000,M1775,FALSE)</f>
        <v>0</v>
      </c>
    </row>
    <row r="1776" spans="1:22" ht="13" x14ac:dyDescent="0.3">
      <c r="A1776" s="46">
        <f>'vHosts (Imported)'!A1776</f>
        <v>0</v>
      </c>
      <c r="B1776" s="51">
        <f t="shared" si="84"/>
        <v>4968</v>
      </c>
      <c r="C1776" s="49">
        <f>HLOOKUP("# Cores",'vHosts (Imported)'!$1:$5000,M1776,FALSE)</f>
        <v>0</v>
      </c>
      <c r="D1776" s="52">
        <f>HLOOKUP("# Memory",'vHosts (Imported)'!$1:$5000,M1776,FALSE)</f>
        <v>0</v>
      </c>
      <c r="M1776" s="45">
        <f t="shared" si="83"/>
        <v>1776</v>
      </c>
      <c r="N1776" s="38">
        <f>HLOOKUP("Host",'vInfo (Imported)'!$1:$5000,M1776,FALSE)</f>
        <v>0</v>
      </c>
      <c r="R1776">
        <f>HLOOKUP("CPUs",'vInfo (Imported)'!$1:$5000,M1776,FALSE)</f>
        <v>0</v>
      </c>
      <c r="S1776">
        <f>HLOOKUP("Memory",'vInfo (Imported)'!$1:$5000,M1776,FALSE)</f>
        <v>0</v>
      </c>
      <c r="T1776">
        <f>HLOOKUP("Provisioned MiB",'vInfo (Imported)'!$1:$5000,M1776,FALSE)</f>
        <v>0</v>
      </c>
      <c r="U1776">
        <f t="shared" si="82"/>
        <v>0</v>
      </c>
      <c r="V1776">
        <f>HLOOKUP("In Use MiB",'vInfo (Imported)'!$1:$5000,M1776,FALSE)</f>
        <v>0</v>
      </c>
    </row>
    <row r="1777" spans="1:22" ht="13" x14ac:dyDescent="0.3">
      <c r="A1777" s="46">
        <f>'vHosts (Imported)'!A1777</f>
        <v>0</v>
      </c>
      <c r="B1777" s="51">
        <f t="shared" si="84"/>
        <v>4968</v>
      </c>
      <c r="C1777" s="49">
        <f>HLOOKUP("# Cores",'vHosts (Imported)'!$1:$5000,M1777,FALSE)</f>
        <v>0</v>
      </c>
      <c r="D1777" s="52">
        <f>HLOOKUP("# Memory",'vHosts (Imported)'!$1:$5000,M1777,FALSE)</f>
        <v>0</v>
      </c>
      <c r="M1777" s="45">
        <f t="shared" si="83"/>
        <v>1777</v>
      </c>
      <c r="N1777" s="38">
        <f>HLOOKUP("Host",'vInfo (Imported)'!$1:$5000,M1777,FALSE)</f>
        <v>0</v>
      </c>
      <c r="R1777">
        <f>HLOOKUP("CPUs",'vInfo (Imported)'!$1:$5000,M1777,FALSE)</f>
        <v>0</v>
      </c>
      <c r="S1777">
        <f>HLOOKUP("Memory",'vInfo (Imported)'!$1:$5000,M1777,FALSE)</f>
        <v>0</v>
      </c>
      <c r="T1777">
        <f>HLOOKUP("Provisioned MiB",'vInfo (Imported)'!$1:$5000,M1777,FALSE)</f>
        <v>0</v>
      </c>
      <c r="U1777">
        <f t="shared" si="82"/>
        <v>0</v>
      </c>
      <c r="V1777">
        <f>HLOOKUP("In Use MiB",'vInfo (Imported)'!$1:$5000,M1777,FALSE)</f>
        <v>0</v>
      </c>
    </row>
    <row r="1778" spans="1:22" ht="13" x14ac:dyDescent="0.3">
      <c r="A1778" s="46">
        <f>'vHosts (Imported)'!A1778</f>
        <v>0</v>
      </c>
      <c r="B1778" s="51">
        <f t="shared" si="84"/>
        <v>4968</v>
      </c>
      <c r="C1778" s="49">
        <f>HLOOKUP("# Cores",'vHosts (Imported)'!$1:$5000,M1778,FALSE)</f>
        <v>0</v>
      </c>
      <c r="D1778" s="52">
        <f>HLOOKUP("# Memory",'vHosts (Imported)'!$1:$5000,M1778,FALSE)</f>
        <v>0</v>
      </c>
      <c r="M1778" s="45">
        <f t="shared" si="83"/>
        <v>1778</v>
      </c>
      <c r="N1778" s="38">
        <f>HLOOKUP("Host",'vInfo (Imported)'!$1:$5000,M1778,FALSE)</f>
        <v>0</v>
      </c>
      <c r="R1778">
        <f>HLOOKUP("CPUs",'vInfo (Imported)'!$1:$5000,M1778,FALSE)</f>
        <v>0</v>
      </c>
      <c r="S1778">
        <f>HLOOKUP("Memory",'vInfo (Imported)'!$1:$5000,M1778,FALSE)</f>
        <v>0</v>
      </c>
      <c r="T1778">
        <f>HLOOKUP("Provisioned MiB",'vInfo (Imported)'!$1:$5000,M1778,FALSE)</f>
        <v>0</v>
      </c>
      <c r="U1778">
        <f t="shared" si="82"/>
        <v>0</v>
      </c>
      <c r="V1778">
        <f>HLOOKUP("In Use MiB",'vInfo (Imported)'!$1:$5000,M1778,FALSE)</f>
        <v>0</v>
      </c>
    </row>
    <row r="1779" spans="1:22" ht="13" x14ac:dyDescent="0.3">
      <c r="A1779" s="46">
        <f>'vHosts (Imported)'!A1779</f>
        <v>0</v>
      </c>
      <c r="B1779" s="51">
        <f t="shared" si="84"/>
        <v>4968</v>
      </c>
      <c r="C1779" s="49">
        <f>HLOOKUP("# Cores",'vHosts (Imported)'!$1:$5000,M1779,FALSE)</f>
        <v>0</v>
      </c>
      <c r="D1779" s="52">
        <f>HLOOKUP("# Memory",'vHosts (Imported)'!$1:$5000,M1779,FALSE)</f>
        <v>0</v>
      </c>
      <c r="M1779" s="45">
        <f t="shared" si="83"/>
        <v>1779</v>
      </c>
      <c r="N1779" s="38">
        <f>HLOOKUP("Host",'vInfo (Imported)'!$1:$5000,M1779,FALSE)</f>
        <v>0</v>
      </c>
      <c r="R1779">
        <f>HLOOKUP("CPUs",'vInfo (Imported)'!$1:$5000,M1779,FALSE)</f>
        <v>0</v>
      </c>
      <c r="S1779">
        <f>HLOOKUP("Memory",'vInfo (Imported)'!$1:$5000,M1779,FALSE)</f>
        <v>0</v>
      </c>
      <c r="T1779">
        <f>HLOOKUP("Provisioned MiB",'vInfo (Imported)'!$1:$5000,M1779,FALSE)</f>
        <v>0</v>
      </c>
      <c r="U1779">
        <f t="shared" si="82"/>
        <v>0</v>
      </c>
      <c r="V1779">
        <f>HLOOKUP("In Use MiB",'vInfo (Imported)'!$1:$5000,M1779,FALSE)</f>
        <v>0</v>
      </c>
    </row>
    <row r="1780" spans="1:22" ht="13" x14ac:dyDescent="0.3">
      <c r="A1780" s="46">
        <f>'vHosts (Imported)'!A1780</f>
        <v>0</v>
      </c>
      <c r="B1780" s="51">
        <f t="shared" si="84"/>
        <v>4968</v>
      </c>
      <c r="C1780" s="49">
        <f>HLOOKUP("# Cores",'vHosts (Imported)'!$1:$5000,M1780,FALSE)</f>
        <v>0</v>
      </c>
      <c r="D1780" s="52">
        <f>HLOOKUP("# Memory",'vHosts (Imported)'!$1:$5000,M1780,FALSE)</f>
        <v>0</v>
      </c>
      <c r="M1780" s="45">
        <f t="shared" si="83"/>
        <v>1780</v>
      </c>
      <c r="N1780" s="38">
        <f>HLOOKUP("Host",'vInfo (Imported)'!$1:$5000,M1780,FALSE)</f>
        <v>0</v>
      </c>
      <c r="R1780">
        <f>HLOOKUP("CPUs",'vInfo (Imported)'!$1:$5000,M1780,FALSE)</f>
        <v>0</v>
      </c>
      <c r="S1780">
        <f>HLOOKUP("Memory",'vInfo (Imported)'!$1:$5000,M1780,FALSE)</f>
        <v>0</v>
      </c>
      <c r="T1780">
        <f>HLOOKUP("Provisioned MiB",'vInfo (Imported)'!$1:$5000,M1780,FALSE)</f>
        <v>0</v>
      </c>
      <c r="U1780">
        <f t="shared" si="82"/>
        <v>0</v>
      </c>
      <c r="V1780">
        <f>HLOOKUP("In Use MiB",'vInfo (Imported)'!$1:$5000,M1780,FALSE)</f>
        <v>0</v>
      </c>
    </row>
    <row r="1781" spans="1:22" ht="13" x14ac:dyDescent="0.3">
      <c r="A1781" s="46">
        <f>'vHosts (Imported)'!A1781</f>
        <v>0</v>
      </c>
      <c r="B1781" s="51">
        <f t="shared" si="84"/>
        <v>4968</v>
      </c>
      <c r="C1781" s="49">
        <f>HLOOKUP("# Cores",'vHosts (Imported)'!$1:$5000,M1781,FALSE)</f>
        <v>0</v>
      </c>
      <c r="D1781" s="52">
        <f>HLOOKUP("# Memory",'vHosts (Imported)'!$1:$5000,M1781,FALSE)</f>
        <v>0</v>
      </c>
      <c r="M1781" s="45">
        <f t="shared" si="83"/>
        <v>1781</v>
      </c>
      <c r="N1781" s="38">
        <f>HLOOKUP("Host",'vInfo (Imported)'!$1:$5000,M1781,FALSE)</f>
        <v>0</v>
      </c>
      <c r="R1781">
        <f>HLOOKUP("CPUs",'vInfo (Imported)'!$1:$5000,M1781,FALSE)</f>
        <v>0</v>
      </c>
      <c r="S1781">
        <f>HLOOKUP("Memory",'vInfo (Imported)'!$1:$5000,M1781,FALSE)</f>
        <v>0</v>
      </c>
      <c r="T1781">
        <f>HLOOKUP("Provisioned MiB",'vInfo (Imported)'!$1:$5000,M1781,FALSE)</f>
        <v>0</v>
      </c>
      <c r="U1781">
        <f t="shared" si="82"/>
        <v>0</v>
      </c>
      <c r="V1781">
        <f>HLOOKUP("In Use MiB",'vInfo (Imported)'!$1:$5000,M1781,FALSE)</f>
        <v>0</v>
      </c>
    </row>
    <row r="1782" spans="1:22" ht="13" x14ac:dyDescent="0.3">
      <c r="A1782" s="46">
        <f>'vHosts (Imported)'!A1782</f>
        <v>0</v>
      </c>
      <c r="B1782" s="51">
        <f t="shared" si="84"/>
        <v>4968</v>
      </c>
      <c r="C1782" s="49">
        <f>HLOOKUP("# Cores",'vHosts (Imported)'!$1:$5000,M1782,FALSE)</f>
        <v>0</v>
      </c>
      <c r="D1782" s="52">
        <f>HLOOKUP("# Memory",'vHosts (Imported)'!$1:$5000,M1782,FALSE)</f>
        <v>0</v>
      </c>
      <c r="M1782" s="45">
        <f t="shared" si="83"/>
        <v>1782</v>
      </c>
      <c r="N1782" s="38">
        <f>HLOOKUP("Host",'vInfo (Imported)'!$1:$5000,M1782,FALSE)</f>
        <v>0</v>
      </c>
      <c r="R1782">
        <f>HLOOKUP("CPUs",'vInfo (Imported)'!$1:$5000,M1782,FALSE)</f>
        <v>0</v>
      </c>
      <c r="S1782">
        <f>HLOOKUP("Memory",'vInfo (Imported)'!$1:$5000,M1782,FALSE)</f>
        <v>0</v>
      </c>
      <c r="T1782">
        <f>HLOOKUP("Provisioned MiB",'vInfo (Imported)'!$1:$5000,M1782,FALSE)</f>
        <v>0</v>
      </c>
      <c r="U1782">
        <f t="shared" si="82"/>
        <v>0</v>
      </c>
      <c r="V1782">
        <f>HLOOKUP("In Use MiB",'vInfo (Imported)'!$1:$5000,M1782,FALSE)</f>
        <v>0</v>
      </c>
    </row>
    <row r="1783" spans="1:22" ht="13" x14ac:dyDescent="0.3">
      <c r="A1783" s="46">
        <f>'vHosts (Imported)'!A1783</f>
        <v>0</v>
      </c>
      <c r="B1783" s="51">
        <f t="shared" si="84"/>
        <v>4968</v>
      </c>
      <c r="C1783" s="49">
        <f>HLOOKUP("# Cores",'vHosts (Imported)'!$1:$5000,M1783,FALSE)</f>
        <v>0</v>
      </c>
      <c r="D1783" s="52">
        <f>HLOOKUP("# Memory",'vHosts (Imported)'!$1:$5000,M1783,FALSE)</f>
        <v>0</v>
      </c>
      <c r="M1783" s="45">
        <f t="shared" si="83"/>
        <v>1783</v>
      </c>
      <c r="N1783" s="38">
        <f>HLOOKUP("Host",'vInfo (Imported)'!$1:$5000,M1783,FALSE)</f>
        <v>0</v>
      </c>
      <c r="R1783">
        <f>HLOOKUP("CPUs",'vInfo (Imported)'!$1:$5000,M1783,FALSE)</f>
        <v>0</v>
      </c>
      <c r="S1783">
        <f>HLOOKUP("Memory",'vInfo (Imported)'!$1:$5000,M1783,FALSE)</f>
        <v>0</v>
      </c>
      <c r="T1783">
        <f>HLOOKUP("Provisioned MiB",'vInfo (Imported)'!$1:$5000,M1783,FALSE)</f>
        <v>0</v>
      </c>
      <c r="U1783">
        <f t="shared" si="82"/>
        <v>0</v>
      </c>
      <c r="V1783">
        <f>HLOOKUP("In Use MiB",'vInfo (Imported)'!$1:$5000,M1783,FALSE)</f>
        <v>0</v>
      </c>
    </row>
    <row r="1784" spans="1:22" ht="13" x14ac:dyDescent="0.3">
      <c r="A1784" s="46">
        <f>'vHosts (Imported)'!A1784</f>
        <v>0</v>
      </c>
      <c r="B1784" s="51">
        <f t="shared" si="84"/>
        <v>4968</v>
      </c>
      <c r="C1784" s="49">
        <f>HLOOKUP("# Cores",'vHosts (Imported)'!$1:$5000,M1784,FALSE)</f>
        <v>0</v>
      </c>
      <c r="D1784" s="52">
        <f>HLOOKUP("# Memory",'vHosts (Imported)'!$1:$5000,M1784,FALSE)</f>
        <v>0</v>
      </c>
      <c r="M1784" s="45">
        <f t="shared" si="83"/>
        <v>1784</v>
      </c>
      <c r="N1784" s="38">
        <f>HLOOKUP("Host",'vInfo (Imported)'!$1:$5000,M1784,FALSE)</f>
        <v>0</v>
      </c>
      <c r="R1784">
        <f>HLOOKUP("CPUs",'vInfo (Imported)'!$1:$5000,M1784,FALSE)</f>
        <v>0</v>
      </c>
      <c r="S1784">
        <f>HLOOKUP("Memory",'vInfo (Imported)'!$1:$5000,M1784,FALSE)</f>
        <v>0</v>
      </c>
      <c r="T1784">
        <f>HLOOKUP("Provisioned MiB",'vInfo (Imported)'!$1:$5000,M1784,FALSE)</f>
        <v>0</v>
      </c>
      <c r="U1784">
        <f t="shared" si="82"/>
        <v>0</v>
      </c>
      <c r="V1784">
        <f>HLOOKUP("In Use MiB",'vInfo (Imported)'!$1:$5000,M1784,FALSE)</f>
        <v>0</v>
      </c>
    </row>
    <row r="1785" spans="1:22" ht="13" x14ac:dyDescent="0.3">
      <c r="A1785" s="46">
        <f>'vHosts (Imported)'!A1785</f>
        <v>0</v>
      </c>
      <c r="B1785" s="51">
        <f t="shared" si="84"/>
        <v>4968</v>
      </c>
      <c r="C1785" s="49">
        <f>HLOOKUP("# Cores",'vHosts (Imported)'!$1:$5000,M1785,FALSE)</f>
        <v>0</v>
      </c>
      <c r="D1785" s="52">
        <f>HLOOKUP("# Memory",'vHosts (Imported)'!$1:$5000,M1785,FALSE)</f>
        <v>0</v>
      </c>
      <c r="M1785" s="45">
        <f t="shared" si="83"/>
        <v>1785</v>
      </c>
      <c r="N1785" s="38">
        <f>HLOOKUP("Host",'vInfo (Imported)'!$1:$5000,M1785,FALSE)</f>
        <v>0</v>
      </c>
      <c r="R1785">
        <f>HLOOKUP("CPUs",'vInfo (Imported)'!$1:$5000,M1785,FALSE)</f>
        <v>0</v>
      </c>
      <c r="S1785">
        <f>HLOOKUP("Memory",'vInfo (Imported)'!$1:$5000,M1785,FALSE)</f>
        <v>0</v>
      </c>
      <c r="T1785">
        <f>HLOOKUP("Provisioned MiB",'vInfo (Imported)'!$1:$5000,M1785,FALSE)</f>
        <v>0</v>
      </c>
      <c r="U1785">
        <f t="shared" si="82"/>
        <v>0</v>
      </c>
      <c r="V1785">
        <f>HLOOKUP("In Use MiB",'vInfo (Imported)'!$1:$5000,M1785,FALSE)</f>
        <v>0</v>
      </c>
    </row>
    <row r="1786" spans="1:22" ht="13" x14ac:dyDescent="0.3">
      <c r="A1786" s="46">
        <f>'vHosts (Imported)'!A1786</f>
        <v>0</v>
      </c>
      <c r="B1786" s="51">
        <f t="shared" si="84"/>
        <v>4968</v>
      </c>
      <c r="C1786" s="49">
        <f>HLOOKUP("# Cores",'vHosts (Imported)'!$1:$5000,M1786,FALSE)</f>
        <v>0</v>
      </c>
      <c r="D1786" s="52">
        <f>HLOOKUP("# Memory",'vHosts (Imported)'!$1:$5000,M1786,FALSE)</f>
        <v>0</v>
      </c>
      <c r="M1786" s="45">
        <f t="shared" si="83"/>
        <v>1786</v>
      </c>
      <c r="N1786" s="38">
        <f>HLOOKUP("Host",'vInfo (Imported)'!$1:$5000,M1786,FALSE)</f>
        <v>0</v>
      </c>
      <c r="R1786">
        <f>HLOOKUP("CPUs",'vInfo (Imported)'!$1:$5000,M1786,FALSE)</f>
        <v>0</v>
      </c>
      <c r="S1786">
        <f>HLOOKUP("Memory",'vInfo (Imported)'!$1:$5000,M1786,FALSE)</f>
        <v>0</v>
      </c>
      <c r="T1786">
        <f>HLOOKUP("Provisioned MiB",'vInfo (Imported)'!$1:$5000,M1786,FALSE)</f>
        <v>0</v>
      </c>
      <c r="U1786">
        <f t="shared" si="82"/>
        <v>0</v>
      </c>
      <c r="V1786">
        <f>HLOOKUP("In Use MiB",'vInfo (Imported)'!$1:$5000,M1786,FALSE)</f>
        <v>0</v>
      </c>
    </row>
    <row r="1787" spans="1:22" ht="13" x14ac:dyDescent="0.3">
      <c r="A1787" s="46">
        <f>'vHosts (Imported)'!A1787</f>
        <v>0</v>
      </c>
      <c r="B1787" s="51">
        <f t="shared" si="84"/>
        <v>4968</v>
      </c>
      <c r="C1787" s="49">
        <f>HLOOKUP("# Cores",'vHosts (Imported)'!$1:$5000,M1787,FALSE)</f>
        <v>0</v>
      </c>
      <c r="D1787" s="52">
        <f>HLOOKUP("# Memory",'vHosts (Imported)'!$1:$5000,M1787,FALSE)</f>
        <v>0</v>
      </c>
      <c r="M1787" s="45">
        <f t="shared" si="83"/>
        <v>1787</v>
      </c>
      <c r="N1787" s="38">
        <f>HLOOKUP("Host",'vInfo (Imported)'!$1:$5000,M1787,FALSE)</f>
        <v>0</v>
      </c>
      <c r="R1787">
        <f>HLOOKUP("CPUs",'vInfo (Imported)'!$1:$5000,M1787,FALSE)</f>
        <v>0</v>
      </c>
      <c r="S1787">
        <f>HLOOKUP("Memory",'vInfo (Imported)'!$1:$5000,M1787,FALSE)</f>
        <v>0</v>
      </c>
      <c r="T1787">
        <f>HLOOKUP("Provisioned MiB",'vInfo (Imported)'!$1:$5000,M1787,FALSE)</f>
        <v>0</v>
      </c>
      <c r="U1787">
        <f t="shared" si="82"/>
        <v>0</v>
      </c>
      <c r="V1787">
        <f>HLOOKUP("In Use MiB",'vInfo (Imported)'!$1:$5000,M1787,FALSE)</f>
        <v>0</v>
      </c>
    </row>
    <row r="1788" spans="1:22" ht="13" x14ac:dyDescent="0.3">
      <c r="A1788" s="46">
        <f>'vHosts (Imported)'!A1788</f>
        <v>0</v>
      </c>
      <c r="B1788" s="51">
        <f t="shared" si="84"/>
        <v>4968</v>
      </c>
      <c r="C1788" s="49">
        <f>HLOOKUP("# Cores",'vHosts (Imported)'!$1:$5000,M1788,FALSE)</f>
        <v>0</v>
      </c>
      <c r="D1788" s="52">
        <f>HLOOKUP("# Memory",'vHosts (Imported)'!$1:$5000,M1788,FALSE)</f>
        <v>0</v>
      </c>
      <c r="M1788" s="45">
        <f t="shared" si="83"/>
        <v>1788</v>
      </c>
      <c r="N1788" s="38">
        <f>HLOOKUP("Host",'vInfo (Imported)'!$1:$5000,M1788,FALSE)</f>
        <v>0</v>
      </c>
      <c r="R1788">
        <f>HLOOKUP("CPUs",'vInfo (Imported)'!$1:$5000,M1788,FALSE)</f>
        <v>0</v>
      </c>
      <c r="S1788">
        <f>HLOOKUP("Memory",'vInfo (Imported)'!$1:$5000,M1788,FALSE)</f>
        <v>0</v>
      </c>
      <c r="T1788">
        <f>HLOOKUP("Provisioned MiB",'vInfo (Imported)'!$1:$5000,M1788,FALSE)</f>
        <v>0</v>
      </c>
      <c r="U1788">
        <f t="shared" si="82"/>
        <v>0</v>
      </c>
      <c r="V1788">
        <f>HLOOKUP("In Use MiB",'vInfo (Imported)'!$1:$5000,M1788,FALSE)</f>
        <v>0</v>
      </c>
    </row>
    <row r="1789" spans="1:22" ht="13" x14ac:dyDescent="0.3">
      <c r="A1789" s="46">
        <f>'vHosts (Imported)'!A1789</f>
        <v>0</v>
      </c>
      <c r="B1789" s="51">
        <f t="shared" si="84"/>
        <v>4968</v>
      </c>
      <c r="C1789" s="49">
        <f>HLOOKUP("# Cores",'vHosts (Imported)'!$1:$5000,M1789,FALSE)</f>
        <v>0</v>
      </c>
      <c r="D1789" s="52">
        <f>HLOOKUP("# Memory",'vHosts (Imported)'!$1:$5000,M1789,FALSE)</f>
        <v>0</v>
      </c>
      <c r="M1789" s="45">
        <f t="shared" si="83"/>
        <v>1789</v>
      </c>
      <c r="N1789" s="38">
        <f>HLOOKUP("Host",'vInfo (Imported)'!$1:$5000,M1789,FALSE)</f>
        <v>0</v>
      </c>
      <c r="R1789">
        <f>HLOOKUP("CPUs",'vInfo (Imported)'!$1:$5000,M1789,FALSE)</f>
        <v>0</v>
      </c>
      <c r="S1789">
        <f>HLOOKUP("Memory",'vInfo (Imported)'!$1:$5000,M1789,FALSE)</f>
        <v>0</v>
      </c>
      <c r="T1789">
        <f>HLOOKUP("Provisioned MiB",'vInfo (Imported)'!$1:$5000,M1789,FALSE)</f>
        <v>0</v>
      </c>
      <c r="U1789">
        <f t="shared" si="82"/>
        <v>0</v>
      </c>
      <c r="V1789">
        <f>HLOOKUP("In Use MiB",'vInfo (Imported)'!$1:$5000,M1789,FALSE)</f>
        <v>0</v>
      </c>
    </row>
    <row r="1790" spans="1:22" ht="13" x14ac:dyDescent="0.3">
      <c r="A1790" s="46">
        <f>'vHosts (Imported)'!A1790</f>
        <v>0</v>
      </c>
      <c r="B1790" s="51">
        <f t="shared" si="84"/>
        <v>4968</v>
      </c>
      <c r="C1790" s="49">
        <f>HLOOKUP("# Cores",'vHosts (Imported)'!$1:$5000,M1790,FALSE)</f>
        <v>0</v>
      </c>
      <c r="D1790" s="52">
        <f>HLOOKUP("# Memory",'vHosts (Imported)'!$1:$5000,M1790,FALSE)</f>
        <v>0</v>
      </c>
      <c r="M1790" s="45">
        <f t="shared" si="83"/>
        <v>1790</v>
      </c>
      <c r="N1790" s="38">
        <f>HLOOKUP("Host",'vInfo (Imported)'!$1:$5000,M1790,FALSE)</f>
        <v>0</v>
      </c>
      <c r="R1790">
        <f>HLOOKUP("CPUs",'vInfo (Imported)'!$1:$5000,M1790,FALSE)</f>
        <v>0</v>
      </c>
      <c r="S1790">
        <f>HLOOKUP("Memory",'vInfo (Imported)'!$1:$5000,M1790,FALSE)</f>
        <v>0</v>
      </c>
      <c r="T1790">
        <f>HLOOKUP("Provisioned MiB",'vInfo (Imported)'!$1:$5000,M1790,FALSE)</f>
        <v>0</v>
      </c>
      <c r="U1790">
        <f t="shared" si="82"/>
        <v>0</v>
      </c>
      <c r="V1790">
        <f>HLOOKUP("In Use MiB",'vInfo (Imported)'!$1:$5000,M1790,FALSE)</f>
        <v>0</v>
      </c>
    </row>
    <row r="1791" spans="1:22" ht="13" x14ac:dyDescent="0.3">
      <c r="A1791" s="46">
        <f>'vHosts (Imported)'!A1791</f>
        <v>0</v>
      </c>
      <c r="B1791" s="51">
        <f t="shared" si="84"/>
        <v>4968</v>
      </c>
      <c r="C1791" s="49">
        <f>HLOOKUP("# Cores",'vHosts (Imported)'!$1:$5000,M1791,FALSE)</f>
        <v>0</v>
      </c>
      <c r="D1791" s="52">
        <f>HLOOKUP("# Memory",'vHosts (Imported)'!$1:$5000,M1791,FALSE)</f>
        <v>0</v>
      </c>
      <c r="M1791" s="45">
        <f t="shared" si="83"/>
        <v>1791</v>
      </c>
      <c r="N1791" s="38">
        <f>HLOOKUP("Host",'vInfo (Imported)'!$1:$5000,M1791,FALSE)</f>
        <v>0</v>
      </c>
      <c r="R1791">
        <f>HLOOKUP("CPUs",'vInfo (Imported)'!$1:$5000,M1791,FALSE)</f>
        <v>0</v>
      </c>
      <c r="S1791">
        <f>HLOOKUP("Memory",'vInfo (Imported)'!$1:$5000,M1791,FALSE)</f>
        <v>0</v>
      </c>
      <c r="T1791">
        <f>HLOOKUP("Provisioned MiB",'vInfo (Imported)'!$1:$5000,M1791,FALSE)</f>
        <v>0</v>
      </c>
      <c r="U1791">
        <f t="shared" si="82"/>
        <v>0</v>
      </c>
      <c r="V1791">
        <f>HLOOKUP("In Use MiB",'vInfo (Imported)'!$1:$5000,M1791,FALSE)</f>
        <v>0</v>
      </c>
    </row>
    <row r="1792" spans="1:22" ht="13" x14ac:dyDescent="0.3">
      <c r="A1792" s="46">
        <f>'vHosts (Imported)'!A1792</f>
        <v>0</v>
      </c>
      <c r="B1792" s="51">
        <f t="shared" si="84"/>
        <v>4968</v>
      </c>
      <c r="C1792" s="49">
        <f>HLOOKUP("# Cores",'vHosts (Imported)'!$1:$5000,M1792,FALSE)</f>
        <v>0</v>
      </c>
      <c r="D1792" s="52">
        <f>HLOOKUP("# Memory",'vHosts (Imported)'!$1:$5000,M1792,FALSE)</f>
        <v>0</v>
      </c>
      <c r="M1792" s="45">
        <f t="shared" si="83"/>
        <v>1792</v>
      </c>
      <c r="N1792" s="38">
        <f>HLOOKUP("Host",'vInfo (Imported)'!$1:$5000,M1792,FALSE)</f>
        <v>0</v>
      </c>
      <c r="R1792">
        <f>HLOOKUP("CPUs",'vInfo (Imported)'!$1:$5000,M1792,FALSE)</f>
        <v>0</v>
      </c>
      <c r="S1792">
        <f>HLOOKUP("Memory",'vInfo (Imported)'!$1:$5000,M1792,FALSE)</f>
        <v>0</v>
      </c>
      <c r="T1792">
        <f>HLOOKUP("Provisioned MiB",'vInfo (Imported)'!$1:$5000,M1792,FALSE)</f>
        <v>0</v>
      </c>
      <c r="U1792">
        <f t="shared" si="82"/>
        <v>0</v>
      </c>
      <c r="V1792">
        <f>HLOOKUP("In Use MiB",'vInfo (Imported)'!$1:$5000,M1792,FALSE)</f>
        <v>0</v>
      </c>
    </row>
    <row r="1793" spans="1:22" ht="13" x14ac:dyDescent="0.3">
      <c r="A1793" s="46">
        <f>'vHosts (Imported)'!A1793</f>
        <v>0</v>
      </c>
      <c r="B1793" s="51">
        <f t="shared" si="84"/>
        <v>4968</v>
      </c>
      <c r="C1793" s="49">
        <f>HLOOKUP("# Cores",'vHosts (Imported)'!$1:$5000,M1793,FALSE)</f>
        <v>0</v>
      </c>
      <c r="D1793" s="52">
        <f>HLOOKUP("# Memory",'vHosts (Imported)'!$1:$5000,M1793,FALSE)</f>
        <v>0</v>
      </c>
      <c r="M1793" s="45">
        <f t="shared" si="83"/>
        <v>1793</v>
      </c>
      <c r="N1793" s="38">
        <f>HLOOKUP("Host",'vInfo (Imported)'!$1:$5000,M1793,FALSE)</f>
        <v>0</v>
      </c>
      <c r="R1793">
        <f>HLOOKUP("CPUs",'vInfo (Imported)'!$1:$5000,M1793,FALSE)</f>
        <v>0</v>
      </c>
      <c r="S1793">
        <f>HLOOKUP("Memory",'vInfo (Imported)'!$1:$5000,M1793,FALSE)</f>
        <v>0</v>
      </c>
      <c r="T1793">
        <f>HLOOKUP("Provisioned MiB",'vInfo (Imported)'!$1:$5000,M1793,FALSE)</f>
        <v>0</v>
      </c>
      <c r="U1793">
        <f t="shared" si="82"/>
        <v>0</v>
      </c>
      <c r="V1793">
        <f>HLOOKUP("In Use MiB",'vInfo (Imported)'!$1:$5000,M1793,FALSE)</f>
        <v>0</v>
      </c>
    </row>
    <row r="1794" spans="1:22" ht="13" x14ac:dyDescent="0.3">
      <c r="A1794" s="46">
        <f>'vHosts (Imported)'!A1794</f>
        <v>0</v>
      </c>
      <c r="B1794" s="51">
        <f t="shared" si="84"/>
        <v>4968</v>
      </c>
      <c r="C1794" s="49">
        <f>HLOOKUP("# Cores",'vHosts (Imported)'!$1:$5000,M1794,FALSE)</f>
        <v>0</v>
      </c>
      <c r="D1794" s="52">
        <f>HLOOKUP("# Memory",'vHosts (Imported)'!$1:$5000,M1794,FALSE)</f>
        <v>0</v>
      </c>
      <c r="M1794" s="45">
        <f t="shared" si="83"/>
        <v>1794</v>
      </c>
      <c r="N1794" s="38">
        <f>HLOOKUP("Host",'vInfo (Imported)'!$1:$5000,M1794,FALSE)</f>
        <v>0</v>
      </c>
      <c r="R1794">
        <f>HLOOKUP("CPUs",'vInfo (Imported)'!$1:$5000,M1794,FALSE)</f>
        <v>0</v>
      </c>
      <c r="S1794">
        <f>HLOOKUP("Memory",'vInfo (Imported)'!$1:$5000,M1794,FALSE)</f>
        <v>0</v>
      </c>
      <c r="T1794">
        <f>HLOOKUP("Provisioned MiB",'vInfo (Imported)'!$1:$5000,M1794,FALSE)</f>
        <v>0</v>
      </c>
      <c r="U1794">
        <f t="shared" si="82"/>
        <v>0</v>
      </c>
      <c r="V1794">
        <f>HLOOKUP("In Use MiB",'vInfo (Imported)'!$1:$5000,M1794,FALSE)</f>
        <v>0</v>
      </c>
    </row>
    <row r="1795" spans="1:22" ht="13" x14ac:dyDescent="0.3">
      <c r="A1795" s="46">
        <f>'vHosts (Imported)'!A1795</f>
        <v>0</v>
      </c>
      <c r="B1795" s="51">
        <f t="shared" si="84"/>
        <v>4968</v>
      </c>
      <c r="C1795" s="49">
        <f>HLOOKUP("# Cores",'vHosts (Imported)'!$1:$5000,M1795,FALSE)</f>
        <v>0</v>
      </c>
      <c r="D1795" s="52">
        <f>HLOOKUP("# Memory",'vHosts (Imported)'!$1:$5000,M1795,FALSE)</f>
        <v>0</v>
      </c>
      <c r="M1795" s="45">
        <f t="shared" si="83"/>
        <v>1795</v>
      </c>
      <c r="N1795" s="38">
        <f>HLOOKUP("Host",'vInfo (Imported)'!$1:$5000,M1795,FALSE)</f>
        <v>0</v>
      </c>
      <c r="R1795">
        <f>HLOOKUP("CPUs",'vInfo (Imported)'!$1:$5000,M1795,FALSE)</f>
        <v>0</v>
      </c>
      <c r="S1795">
        <f>HLOOKUP("Memory",'vInfo (Imported)'!$1:$5000,M1795,FALSE)</f>
        <v>0</v>
      </c>
      <c r="T1795">
        <f>HLOOKUP("Provisioned MiB",'vInfo (Imported)'!$1:$5000,M1795,FALSE)</f>
        <v>0</v>
      </c>
      <c r="U1795">
        <f t="shared" ref="U1795:U1858" si="85">T1795-V1795</f>
        <v>0</v>
      </c>
      <c r="V1795">
        <f>HLOOKUP("In Use MiB",'vInfo (Imported)'!$1:$5000,M1795,FALSE)</f>
        <v>0</v>
      </c>
    </row>
    <row r="1796" spans="1:22" ht="13" x14ac:dyDescent="0.3">
      <c r="A1796" s="46">
        <f>'vHosts (Imported)'!A1796</f>
        <v>0</v>
      </c>
      <c r="B1796" s="51">
        <f t="shared" si="84"/>
        <v>4968</v>
      </c>
      <c r="C1796" s="49">
        <f>HLOOKUP("# Cores",'vHosts (Imported)'!$1:$5000,M1796,FALSE)</f>
        <v>0</v>
      </c>
      <c r="D1796" s="52">
        <f>HLOOKUP("# Memory",'vHosts (Imported)'!$1:$5000,M1796,FALSE)</f>
        <v>0</v>
      </c>
      <c r="M1796" s="45">
        <f t="shared" ref="M1796:M1859" si="86">M1795+1</f>
        <v>1796</v>
      </c>
      <c r="N1796" s="38">
        <f>HLOOKUP("Host",'vInfo (Imported)'!$1:$5000,M1796,FALSE)</f>
        <v>0</v>
      </c>
      <c r="R1796">
        <f>HLOOKUP("CPUs",'vInfo (Imported)'!$1:$5000,M1796,FALSE)</f>
        <v>0</v>
      </c>
      <c r="S1796">
        <f>HLOOKUP("Memory",'vInfo (Imported)'!$1:$5000,M1796,FALSE)</f>
        <v>0</v>
      </c>
      <c r="T1796">
        <f>HLOOKUP("Provisioned MiB",'vInfo (Imported)'!$1:$5000,M1796,FALSE)</f>
        <v>0</v>
      </c>
      <c r="U1796">
        <f t="shared" si="85"/>
        <v>0</v>
      </c>
      <c r="V1796">
        <f>HLOOKUP("In Use MiB",'vInfo (Imported)'!$1:$5000,M1796,FALSE)</f>
        <v>0</v>
      </c>
    </row>
    <row r="1797" spans="1:22" ht="13" x14ac:dyDescent="0.3">
      <c r="A1797" s="46">
        <f>'vHosts (Imported)'!A1797</f>
        <v>0</v>
      </c>
      <c r="B1797" s="51">
        <f t="shared" si="84"/>
        <v>4968</v>
      </c>
      <c r="C1797" s="49">
        <f>HLOOKUP("# Cores",'vHosts (Imported)'!$1:$5000,M1797,FALSE)</f>
        <v>0</v>
      </c>
      <c r="D1797" s="52">
        <f>HLOOKUP("# Memory",'vHosts (Imported)'!$1:$5000,M1797,FALSE)</f>
        <v>0</v>
      </c>
      <c r="M1797" s="45">
        <f t="shared" si="86"/>
        <v>1797</v>
      </c>
      <c r="N1797" s="38">
        <f>HLOOKUP("Host",'vInfo (Imported)'!$1:$5000,M1797,FALSE)</f>
        <v>0</v>
      </c>
      <c r="R1797">
        <f>HLOOKUP("CPUs",'vInfo (Imported)'!$1:$5000,M1797,FALSE)</f>
        <v>0</v>
      </c>
      <c r="S1797">
        <f>HLOOKUP("Memory",'vInfo (Imported)'!$1:$5000,M1797,FALSE)</f>
        <v>0</v>
      </c>
      <c r="T1797">
        <f>HLOOKUP("Provisioned MiB",'vInfo (Imported)'!$1:$5000,M1797,FALSE)</f>
        <v>0</v>
      </c>
      <c r="U1797">
        <f t="shared" si="85"/>
        <v>0</v>
      </c>
      <c r="V1797">
        <f>HLOOKUP("In Use MiB",'vInfo (Imported)'!$1:$5000,M1797,FALSE)</f>
        <v>0</v>
      </c>
    </row>
    <row r="1798" spans="1:22" ht="13" x14ac:dyDescent="0.3">
      <c r="A1798" s="46">
        <f>'vHosts (Imported)'!A1798</f>
        <v>0</v>
      </c>
      <c r="B1798" s="51">
        <f t="shared" si="84"/>
        <v>4968</v>
      </c>
      <c r="C1798" s="49">
        <f>HLOOKUP("# Cores",'vHosts (Imported)'!$1:$5000,M1798,FALSE)</f>
        <v>0</v>
      </c>
      <c r="D1798" s="52">
        <f>HLOOKUP("# Memory",'vHosts (Imported)'!$1:$5000,M1798,FALSE)</f>
        <v>0</v>
      </c>
      <c r="M1798" s="45">
        <f t="shared" si="86"/>
        <v>1798</v>
      </c>
      <c r="N1798" s="38">
        <f>HLOOKUP("Host",'vInfo (Imported)'!$1:$5000,M1798,FALSE)</f>
        <v>0</v>
      </c>
      <c r="R1798">
        <f>HLOOKUP("CPUs",'vInfo (Imported)'!$1:$5000,M1798,FALSE)</f>
        <v>0</v>
      </c>
      <c r="S1798">
        <f>HLOOKUP("Memory",'vInfo (Imported)'!$1:$5000,M1798,FALSE)</f>
        <v>0</v>
      </c>
      <c r="T1798">
        <f>HLOOKUP("Provisioned MiB",'vInfo (Imported)'!$1:$5000,M1798,FALSE)</f>
        <v>0</v>
      </c>
      <c r="U1798">
        <f t="shared" si="85"/>
        <v>0</v>
      </c>
      <c r="V1798">
        <f>HLOOKUP("In Use MiB",'vInfo (Imported)'!$1:$5000,M1798,FALSE)</f>
        <v>0</v>
      </c>
    </row>
    <row r="1799" spans="1:22" ht="13" x14ac:dyDescent="0.3">
      <c r="A1799" s="46">
        <f>'vHosts (Imported)'!A1799</f>
        <v>0</v>
      </c>
      <c r="B1799" s="51">
        <f t="shared" si="84"/>
        <v>4968</v>
      </c>
      <c r="C1799" s="49">
        <f>HLOOKUP("# Cores",'vHosts (Imported)'!$1:$5000,M1799,FALSE)</f>
        <v>0</v>
      </c>
      <c r="D1799" s="52">
        <f>HLOOKUP("# Memory",'vHosts (Imported)'!$1:$5000,M1799,FALSE)</f>
        <v>0</v>
      </c>
      <c r="M1799" s="45">
        <f t="shared" si="86"/>
        <v>1799</v>
      </c>
      <c r="N1799" s="38">
        <f>HLOOKUP("Host",'vInfo (Imported)'!$1:$5000,M1799,FALSE)</f>
        <v>0</v>
      </c>
      <c r="R1799">
        <f>HLOOKUP("CPUs",'vInfo (Imported)'!$1:$5000,M1799,FALSE)</f>
        <v>0</v>
      </c>
      <c r="S1799">
        <f>HLOOKUP("Memory",'vInfo (Imported)'!$1:$5000,M1799,FALSE)</f>
        <v>0</v>
      </c>
      <c r="T1799">
        <f>HLOOKUP("Provisioned MiB",'vInfo (Imported)'!$1:$5000,M1799,FALSE)</f>
        <v>0</v>
      </c>
      <c r="U1799">
        <f t="shared" si="85"/>
        <v>0</v>
      </c>
      <c r="V1799">
        <f>HLOOKUP("In Use MiB",'vInfo (Imported)'!$1:$5000,M1799,FALSE)</f>
        <v>0</v>
      </c>
    </row>
    <row r="1800" spans="1:22" ht="13" x14ac:dyDescent="0.3">
      <c r="A1800" s="46">
        <f>'vHosts (Imported)'!A1800</f>
        <v>0</v>
      </c>
      <c r="B1800" s="51">
        <f t="shared" si="84"/>
        <v>4968</v>
      </c>
      <c r="C1800" s="49">
        <f>HLOOKUP("# Cores",'vHosts (Imported)'!$1:$5000,M1800,FALSE)</f>
        <v>0</v>
      </c>
      <c r="D1800" s="52">
        <f>HLOOKUP("# Memory",'vHosts (Imported)'!$1:$5000,M1800,FALSE)</f>
        <v>0</v>
      </c>
      <c r="M1800" s="45">
        <f t="shared" si="86"/>
        <v>1800</v>
      </c>
      <c r="N1800" s="38">
        <f>HLOOKUP("Host",'vInfo (Imported)'!$1:$5000,M1800,FALSE)</f>
        <v>0</v>
      </c>
      <c r="R1800">
        <f>HLOOKUP("CPUs",'vInfo (Imported)'!$1:$5000,M1800,FALSE)</f>
        <v>0</v>
      </c>
      <c r="S1800">
        <f>HLOOKUP("Memory",'vInfo (Imported)'!$1:$5000,M1800,FALSE)</f>
        <v>0</v>
      </c>
      <c r="T1800">
        <f>HLOOKUP("Provisioned MiB",'vInfo (Imported)'!$1:$5000,M1800,FALSE)</f>
        <v>0</v>
      </c>
      <c r="U1800">
        <f t="shared" si="85"/>
        <v>0</v>
      </c>
      <c r="V1800">
        <f>HLOOKUP("In Use MiB",'vInfo (Imported)'!$1:$5000,M1800,FALSE)</f>
        <v>0</v>
      </c>
    </row>
    <row r="1801" spans="1:22" ht="13" x14ac:dyDescent="0.3">
      <c r="A1801" s="46">
        <f>'vHosts (Imported)'!A1801</f>
        <v>0</v>
      </c>
      <c r="B1801" s="51">
        <f t="shared" si="84"/>
        <v>4968</v>
      </c>
      <c r="C1801" s="49">
        <f>HLOOKUP("# Cores",'vHosts (Imported)'!$1:$5000,M1801,FALSE)</f>
        <v>0</v>
      </c>
      <c r="D1801" s="52">
        <f>HLOOKUP("# Memory",'vHosts (Imported)'!$1:$5000,M1801,FALSE)</f>
        <v>0</v>
      </c>
      <c r="M1801" s="45">
        <f t="shared" si="86"/>
        <v>1801</v>
      </c>
      <c r="N1801" s="38">
        <f>HLOOKUP("Host",'vInfo (Imported)'!$1:$5000,M1801,FALSE)</f>
        <v>0</v>
      </c>
      <c r="R1801">
        <f>HLOOKUP("CPUs",'vInfo (Imported)'!$1:$5000,M1801,FALSE)</f>
        <v>0</v>
      </c>
      <c r="S1801">
        <f>HLOOKUP("Memory",'vInfo (Imported)'!$1:$5000,M1801,FALSE)</f>
        <v>0</v>
      </c>
      <c r="T1801">
        <f>HLOOKUP("Provisioned MiB",'vInfo (Imported)'!$1:$5000,M1801,FALSE)</f>
        <v>0</v>
      </c>
      <c r="U1801">
        <f t="shared" si="85"/>
        <v>0</v>
      </c>
      <c r="V1801">
        <f>HLOOKUP("In Use MiB",'vInfo (Imported)'!$1:$5000,M1801,FALSE)</f>
        <v>0</v>
      </c>
    </row>
    <row r="1802" spans="1:22" ht="13" x14ac:dyDescent="0.3">
      <c r="A1802" s="46">
        <f>'vHosts (Imported)'!A1802</f>
        <v>0</v>
      </c>
      <c r="B1802" s="51">
        <f t="shared" si="84"/>
        <v>4968</v>
      </c>
      <c r="C1802" s="49">
        <f>HLOOKUP("# Cores",'vHosts (Imported)'!$1:$5000,M1802,FALSE)</f>
        <v>0</v>
      </c>
      <c r="D1802" s="52">
        <f>HLOOKUP("# Memory",'vHosts (Imported)'!$1:$5000,M1802,FALSE)</f>
        <v>0</v>
      </c>
      <c r="M1802" s="45">
        <f t="shared" si="86"/>
        <v>1802</v>
      </c>
      <c r="N1802" s="38">
        <f>HLOOKUP("Host",'vInfo (Imported)'!$1:$5000,M1802,FALSE)</f>
        <v>0</v>
      </c>
      <c r="R1802">
        <f>HLOOKUP("CPUs",'vInfo (Imported)'!$1:$5000,M1802,FALSE)</f>
        <v>0</v>
      </c>
      <c r="S1802">
        <f>HLOOKUP("Memory",'vInfo (Imported)'!$1:$5000,M1802,FALSE)</f>
        <v>0</v>
      </c>
      <c r="T1802">
        <f>HLOOKUP("Provisioned MiB",'vInfo (Imported)'!$1:$5000,M1802,FALSE)</f>
        <v>0</v>
      </c>
      <c r="U1802">
        <f t="shared" si="85"/>
        <v>0</v>
      </c>
      <c r="V1802">
        <f>HLOOKUP("In Use MiB",'vInfo (Imported)'!$1:$5000,M1802,FALSE)</f>
        <v>0</v>
      </c>
    </row>
    <row r="1803" spans="1:22" ht="13" x14ac:dyDescent="0.3">
      <c r="A1803" s="46">
        <f>'vHosts (Imported)'!A1803</f>
        <v>0</v>
      </c>
      <c r="B1803" s="51">
        <f t="shared" si="84"/>
        <v>4968</v>
      </c>
      <c r="C1803" s="49">
        <f>HLOOKUP("# Cores",'vHosts (Imported)'!$1:$5000,M1803,FALSE)</f>
        <v>0</v>
      </c>
      <c r="D1803" s="52">
        <f>HLOOKUP("# Memory",'vHosts (Imported)'!$1:$5000,M1803,FALSE)</f>
        <v>0</v>
      </c>
      <c r="M1803" s="45">
        <f t="shared" si="86"/>
        <v>1803</v>
      </c>
      <c r="N1803" s="38">
        <f>HLOOKUP("Host",'vInfo (Imported)'!$1:$5000,M1803,FALSE)</f>
        <v>0</v>
      </c>
      <c r="R1803">
        <f>HLOOKUP("CPUs",'vInfo (Imported)'!$1:$5000,M1803,FALSE)</f>
        <v>0</v>
      </c>
      <c r="S1803">
        <f>HLOOKUP("Memory",'vInfo (Imported)'!$1:$5000,M1803,FALSE)</f>
        <v>0</v>
      </c>
      <c r="T1803">
        <f>HLOOKUP("Provisioned MiB",'vInfo (Imported)'!$1:$5000,M1803,FALSE)</f>
        <v>0</v>
      </c>
      <c r="U1803">
        <f t="shared" si="85"/>
        <v>0</v>
      </c>
      <c r="V1803">
        <f>HLOOKUP("In Use MiB",'vInfo (Imported)'!$1:$5000,M1803,FALSE)</f>
        <v>0</v>
      </c>
    </row>
    <row r="1804" spans="1:22" ht="13" x14ac:dyDescent="0.3">
      <c r="A1804" s="46">
        <f>'vHosts (Imported)'!A1804</f>
        <v>0</v>
      </c>
      <c r="B1804" s="51">
        <f t="shared" si="84"/>
        <v>4968</v>
      </c>
      <c r="C1804" s="49">
        <f>HLOOKUP("# Cores",'vHosts (Imported)'!$1:$5000,M1804,FALSE)</f>
        <v>0</v>
      </c>
      <c r="D1804" s="52">
        <f>HLOOKUP("# Memory",'vHosts (Imported)'!$1:$5000,M1804,FALSE)</f>
        <v>0</v>
      </c>
      <c r="M1804" s="45">
        <f t="shared" si="86"/>
        <v>1804</v>
      </c>
      <c r="N1804" s="38">
        <f>HLOOKUP("Host",'vInfo (Imported)'!$1:$5000,M1804,FALSE)</f>
        <v>0</v>
      </c>
      <c r="R1804">
        <f>HLOOKUP("CPUs",'vInfo (Imported)'!$1:$5000,M1804,FALSE)</f>
        <v>0</v>
      </c>
      <c r="S1804">
        <f>HLOOKUP("Memory",'vInfo (Imported)'!$1:$5000,M1804,FALSE)</f>
        <v>0</v>
      </c>
      <c r="T1804">
        <f>HLOOKUP("Provisioned MiB",'vInfo (Imported)'!$1:$5000,M1804,FALSE)</f>
        <v>0</v>
      </c>
      <c r="U1804">
        <f t="shared" si="85"/>
        <v>0</v>
      </c>
      <c r="V1804">
        <f>HLOOKUP("In Use MiB",'vInfo (Imported)'!$1:$5000,M1804,FALSE)</f>
        <v>0</v>
      </c>
    </row>
    <row r="1805" spans="1:22" ht="13" x14ac:dyDescent="0.3">
      <c r="A1805" s="46">
        <f>'vHosts (Imported)'!A1805</f>
        <v>0</v>
      </c>
      <c r="B1805" s="51">
        <f t="shared" si="84"/>
        <v>4968</v>
      </c>
      <c r="C1805" s="49">
        <f>HLOOKUP("# Cores",'vHosts (Imported)'!$1:$5000,M1805,FALSE)</f>
        <v>0</v>
      </c>
      <c r="D1805" s="52">
        <f>HLOOKUP("# Memory",'vHosts (Imported)'!$1:$5000,M1805,FALSE)</f>
        <v>0</v>
      </c>
      <c r="M1805" s="45">
        <f t="shared" si="86"/>
        <v>1805</v>
      </c>
      <c r="N1805" s="38">
        <f>HLOOKUP("Host",'vInfo (Imported)'!$1:$5000,M1805,FALSE)</f>
        <v>0</v>
      </c>
      <c r="R1805">
        <f>HLOOKUP("CPUs",'vInfo (Imported)'!$1:$5000,M1805,FALSE)</f>
        <v>0</v>
      </c>
      <c r="S1805">
        <f>HLOOKUP("Memory",'vInfo (Imported)'!$1:$5000,M1805,FALSE)</f>
        <v>0</v>
      </c>
      <c r="T1805">
        <f>HLOOKUP("Provisioned MiB",'vInfo (Imported)'!$1:$5000,M1805,FALSE)</f>
        <v>0</v>
      </c>
      <c r="U1805">
        <f t="shared" si="85"/>
        <v>0</v>
      </c>
      <c r="V1805">
        <f>HLOOKUP("In Use MiB",'vInfo (Imported)'!$1:$5000,M1805,FALSE)</f>
        <v>0</v>
      </c>
    </row>
    <row r="1806" spans="1:22" ht="13" x14ac:dyDescent="0.3">
      <c r="A1806" s="46">
        <f>'vHosts (Imported)'!A1806</f>
        <v>0</v>
      </c>
      <c r="B1806" s="51">
        <f t="shared" si="84"/>
        <v>4968</v>
      </c>
      <c r="C1806" s="49">
        <f>HLOOKUP("# Cores",'vHosts (Imported)'!$1:$5000,M1806,FALSE)</f>
        <v>0</v>
      </c>
      <c r="D1806" s="52">
        <f>HLOOKUP("# Memory",'vHosts (Imported)'!$1:$5000,M1806,FALSE)</f>
        <v>0</v>
      </c>
      <c r="M1806" s="45">
        <f t="shared" si="86"/>
        <v>1806</v>
      </c>
      <c r="N1806" s="38">
        <f>HLOOKUP("Host",'vInfo (Imported)'!$1:$5000,M1806,FALSE)</f>
        <v>0</v>
      </c>
      <c r="R1806">
        <f>HLOOKUP("CPUs",'vInfo (Imported)'!$1:$5000,M1806,FALSE)</f>
        <v>0</v>
      </c>
      <c r="S1806">
        <f>HLOOKUP("Memory",'vInfo (Imported)'!$1:$5000,M1806,FALSE)</f>
        <v>0</v>
      </c>
      <c r="T1806">
        <f>HLOOKUP("Provisioned MiB",'vInfo (Imported)'!$1:$5000,M1806,FALSE)</f>
        <v>0</v>
      </c>
      <c r="U1806">
        <f t="shared" si="85"/>
        <v>0</v>
      </c>
      <c r="V1806">
        <f>HLOOKUP("In Use MiB",'vInfo (Imported)'!$1:$5000,M1806,FALSE)</f>
        <v>0</v>
      </c>
    </row>
    <row r="1807" spans="1:22" ht="13" x14ac:dyDescent="0.3">
      <c r="A1807" s="46">
        <f>'vHosts (Imported)'!A1807</f>
        <v>0</v>
      </c>
      <c r="B1807" s="51">
        <f t="shared" si="84"/>
        <v>4968</v>
      </c>
      <c r="C1807" s="49">
        <f>HLOOKUP("# Cores",'vHosts (Imported)'!$1:$5000,M1807,FALSE)</f>
        <v>0</v>
      </c>
      <c r="D1807" s="52">
        <f>HLOOKUP("# Memory",'vHosts (Imported)'!$1:$5000,M1807,FALSE)</f>
        <v>0</v>
      </c>
      <c r="M1807" s="45">
        <f t="shared" si="86"/>
        <v>1807</v>
      </c>
      <c r="N1807" s="38">
        <f>HLOOKUP("Host",'vInfo (Imported)'!$1:$5000,M1807,FALSE)</f>
        <v>0</v>
      </c>
      <c r="R1807">
        <f>HLOOKUP("CPUs",'vInfo (Imported)'!$1:$5000,M1807,FALSE)</f>
        <v>0</v>
      </c>
      <c r="S1807">
        <f>HLOOKUP("Memory",'vInfo (Imported)'!$1:$5000,M1807,FALSE)</f>
        <v>0</v>
      </c>
      <c r="T1807">
        <f>HLOOKUP("Provisioned MiB",'vInfo (Imported)'!$1:$5000,M1807,FALSE)</f>
        <v>0</v>
      </c>
      <c r="U1807">
        <f t="shared" si="85"/>
        <v>0</v>
      </c>
      <c r="V1807">
        <f>HLOOKUP("In Use MiB",'vInfo (Imported)'!$1:$5000,M1807,FALSE)</f>
        <v>0</v>
      </c>
    </row>
    <row r="1808" spans="1:22" ht="13" x14ac:dyDescent="0.3">
      <c r="A1808" s="46">
        <f>'vHosts (Imported)'!A1808</f>
        <v>0</v>
      </c>
      <c r="B1808" s="51">
        <f t="shared" si="84"/>
        <v>4968</v>
      </c>
      <c r="C1808" s="49">
        <f>HLOOKUP("# Cores",'vHosts (Imported)'!$1:$5000,M1808,FALSE)</f>
        <v>0</v>
      </c>
      <c r="D1808" s="52">
        <f>HLOOKUP("# Memory",'vHosts (Imported)'!$1:$5000,M1808,FALSE)</f>
        <v>0</v>
      </c>
      <c r="M1808" s="45">
        <f t="shared" si="86"/>
        <v>1808</v>
      </c>
      <c r="N1808" s="38">
        <f>HLOOKUP("Host",'vInfo (Imported)'!$1:$5000,M1808,FALSE)</f>
        <v>0</v>
      </c>
      <c r="R1808">
        <f>HLOOKUP("CPUs",'vInfo (Imported)'!$1:$5000,M1808,FALSE)</f>
        <v>0</v>
      </c>
      <c r="S1808">
        <f>HLOOKUP("Memory",'vInfo (Imported)'!$1:$5000,M1808,FALSE)</f>
        <v>0</v>
      </c>
      <c r="T1808">
        <f>HLOOKUP("Provisioned MiB",'vInfo (Imported)'!$1:$5000,M1808,FALSE)</f>
        <v>0</v>
      </c>
      <c r="U1808">
        <f t="shared" si="85"/>
        <v>0</v>
      </c>
      <c r="V1808">
        <f>HLOOKUP("In Use MiB",'vInfo (Imported)'!$1:$5000,M1808,FALSE)</f>
        <v>0</v>
      </c>
    </row>
    <row r="1809" spans="1:22" ht="13" x14ac:dyDescent="0.3">
      <c r="A1809" s="46">
        <f>'vHosts (Imported)'!A1809</f>
        <v>0</v>
      </c>
      <c r="B1809" s="51">
        <f t="shared" si="84"/>
        <v>4968</v>
      </c>
      <c r="C1809" s="49">
        <f>HLOOKUP("# Cores",'vHosts (Imported)'!$1:$5000,M1809,FALSE)</f>
        <v>0</v>
      </c>
      <c r="D1809" s="52">
        <f>HLOOKUP("# Memory",'vHosts (Imported)'!$1:$5000,M1809,FALSE)</f>
        <v>0</v>
      </c>
      <c r="M1809" s="45">
        <f t="shared" si="86"/>
        <v>1809</v>
      </c>
      <c r="N1809" s="38">
        <f>HLOOKUP("Host",'vInfo (Imported)'!$1:$5000,M1809,FALSE)</f>
        <v>0</v>
      </c>
      <c r="R1809">
        <f>HLOOKUP("CPUs",'vInfo (Imported)'!$1:$5000,M1809,FALSE)</f>
        <v>0</v>
      </c>
      <c r="S1809">
        <f>HLOOKUP("Memory",'vInfo (Imported)'!$1:$5000,M1809,FALSE)</f>
        <v>0</v>
      </c>
      <c r="T1809">
        <f>HLOOKUP("Provisioned MiB",'vInfo (Imported)'!$1:$5000,M1809,FALSE)</f>
        <v>0</v>
      </c>
      <c r="U1809">
        <f t="shared" si="85"/>
        <v>0</v>
      </c>
      <c r="V1809">
        <f>HLOOKUP("In Use MiB",'vInfo (Imported)'!$1:$5000,M1809,FALSE)</f>
        <v>0</v>
      </c>
    </row>
    <row r="1810" spans="1:22" ht="13" x14ac:dyDescent="0.3">
      <c r="A1810" s="46">
        <f>'vHosts (Imported)'!A1810</f>
        <v>0</v>
      </c>
      <c r="B1810" s="51">
        <f t="shared" si="84"/>
        <v>4968</v>
      </c>
      <c r="C1810" s="49">
        <f>HLOOKUP("# Cores",'vHosts (Imported)'!$1:$5000,M1810,FALSE)</f>
        <v>0</v>
      </c>
      <c r="D1810" s="52">
        <f>HLOOKUP("# Memory",'vHosts (Imported)'!$1:$5000,M1810,FALSE)</f>
        <v>0</v>
      </c>
      <c r="M1810" s="45">
        <f t="shared" si="86"/>
        <v>1810</v>
      </c>
      <c r="N1810" s="38">
        <f>HLOOKUP("Host",'vInfo (Imported)'!$1:$5000,M1810,FALSE)</f>
        <v>0</v>
      </c>
      <c r="R1810">
        <f>HLOOKUP("CPUs",'vInfo (Imported)'!$1:$5000,M1810,FALSE)</f>
        <v>0</v>
      </c>
      <c r="S1810">
        <f>HLOOKUP("Memory",'vInfo (Imported)'!$1:$5000,M1810,FALSE)</f>
        <v>0</v>
      </c>
      <c r="T1810">
        <f>HLOOKUP("Provisioned MiB",'vInfo (Imported)'!$1:$5000,M1810,FALSE)</f>
        <v>0</v>
      </c>
      <c r="U1810">
        <f t="shared" si="85"/>
        <v>0</v>
      </c>
      <c r="V1810">
        <f>HLOOKUP("In Use MiB",'vInfo (Imported)'!$1:$5000,M1810,FALSE)</f>
        <v>0</v>
      </c>
    </row>
    <row r="1811" spans="1:22" ht="13" x14ac:dyDescent="0.3">
      <c r="A1811" s="46">
        <f>'vHosts (Imported)'!A1811</f>
        <v>0</v>
      </c>
      <c r="B1811" s="51">
        <f t="shared" si="84"/>
        <v>4968</v>
      </c>
      <c r="C1811" s="49">
        <f>HLOOKUP("# Cores",'vHosts (Imported)'!$1:$5000,M1811,FALSE)</f>
        <v>0</v>
      </c>
      <c r="D1811" s="52">
        <f>HLOOKUP("# Memory",'vHosts (Imported)'!$1:$5000,M1811,FALSE)</f>
        <v>0</v>
      </c>
      <c r="M1811" s="45">
        <f t="shared" si="86"/>
        <v>1811</v>
      </c>
      <c r="N1811" s="38">
        <f>HLOOKUP("Host",'vInfo (Imported)'!$1:$5000,M1811,FALSE)</f>
        <v>0</v>
      </c>
      <c r="R1811">
        <f>HLOOKUP("CPUs",'vInfo (Imported)'!$1:$5000,M1811,FALSE)</f>
        <v>0</v>
      </c>
      <c r="S1811">
        <f>HLOOKUP("Memory",'vInfo (Imported)'!$1:$5000,M1811,FALSE)</f>
        <v>0</v>
      </c>
      <c r="T1811">
        <f>HLOOKUP("Provisioned MiB",'vInfo (Imported)'!$1:$5000,M1811,FALSE)</f>
        <v>0</v>
      </c>
      <c r="U1811">
        <f t="shared" si="85"/>
        <v>0</v>
      </c>
      <c r="V1811">
        <f>HLOOKUP("In Use MiB",'vInfo (Imported)'!$1:$5000,M1811,FALSE)</f>
        <v>0</v>
      </c>
    </row>
    <row r="1812" spans="1:22" ht="13" x14ac:dyDescent="0.3">
      <c r="A1812" s="46">
        <f>'vHosts (Imported)'!A1812</f>
        <v>0</v>
      </c>
      <c r="B1812" s="51">
        <f t="shared" si="84"/>
        <v>4968</v>
      </c>
      <c r="C1812" s="49">
        <f>HLOOKUP("# Cores",'vHosts (Imported)'!$1:$5000,M1812,FALSE)</f>
        <v>0</v>
      </c>
      <c r="D1812" s="52">
        <f>HLOOKUP("# Memory",'vHosts (Imported)'!$1:$5000,M1812,FALSE)</f>
        <v>0</v>
      </c>
      <c r="M1812" s="45">
        <f t="shared" si="86"/>
        <v>1812</v>
      </c>
      <c r="N1812" s="38">
        <f>HLOOKUP("Host",'vInfo (Imported)'!$1:$5000,M1812,FALSE)</f>
        <v>0</v>
      </c>
      <c r="R1812">
        <f>HLOOKUP("CPUs",'vInfo (Imported)'!$1:$5000,M1812,FALSE)</f>
        <v>0</v>
      </c>
      <c r="S1812">
        <f>HLOOKUP("Memory",'vInfo (Imported)'!$1:$5000,M1812,FALSE)</f>
        <v>0</v>
      </c>
      <c r="T1812">
        <f>HLOOKUP("Provisioned MiB",'vInfo (Imported)'!$1:$5000,M1812,FALSE)</f>
        <v>0</v>
      </c>
      <c r="U1812">
        <f t="shared" si="85"/>
        <v>0</v>
      </c>
      <c r="V1812">
        <f>HLOOKUP("In Use MiB",'vInfo (Imported)'!$1:$5000,M1812,FALSE)</f>
        <v>0</v>
      </c>
    </row>
    <row r="1813" spans="1:22" ht="13" x14ac:dyDescent="0.3">
      <c r="A1813" s="46">
        <f>'vHosts (Imported)'!A1813</f>
        <v>0</v>
      </c>
      <c r="B1813" s="51">
        <f t="shared" si="84"/>
        <v>4968</v>
      </c>
      <c r="C1813" s="49">
        <f>HLOOKUP("# Cores",'vHosts (Imported)'!$1:$5000,M1813,FALSE)</f>
        <v>0</v>
      </c>
      <c r="D1813" s="52">
        <f>HLOOKUP("# Memory",'vHosts (Imported)'!$1:$5000,M1813,FALSE)</f>
        <v>0</v>
      </c>
      <c r="M1813" s="45">
        <f t="shared" si="86"/>
        <v>1813</v>
      </c>
      <c r="N1813" s="38">
        <f>HLOOKUP("Host",'vInfo (Imported)'!$1:$5000,M1813,FALSE)</f>
        <v>0</v>
      </c>
      <c r="R1813">
        <f>HLOOKUP("CPUs",'vInfo (Imported)'!$1:$5000,M1813,FALSE)</f>
        <v>0</v>
      </c>
      <c r="S1813">
        <f>HLOOKUP("Memory",'vInfo (Imported)'!$1:$5000,M1813,FALSE)</f>
        <v>0</v>
      </c>
      <c r="T1813">
        <f>HLOOKUP("Provisioned MiB",'vInfo (Imported)'!$1:$5000,M1813,FALSE)</f>
        <v>0</v>
      </c>
      <c r="U1813">
        <f t="shared" si="85"/>
        <v>0</v>
      </c>
      <c r="V1813">
        <f>HLOOKUP("In Use MiB",'vInfo (Imported)'!$1:$5000,M1813,FALSE)</f>
        <v>0</v>
      </c>
    </row>
    <row r="1814" spans="1:22" ht="13" x14ac:dyDescent="0.3">
      <c r="A1814" s="46">
        <f>'vHosts (Imported)'!A1814</f>
        <v>0</v>
      </c>
      <c r="B1814" s="51">
        <f t="shared" si="84"/>
        <v>4968</v>
      </c>
      <c r="C1814" s="49">
        <f>HLOOKUP("# Cores",'vHosts (Imported)'!$1:$5000,M1814,FALSE)</f>
        <v>0</v>
      </c>
      <c r="D1814" s="52">
        <f>HLOOKUP("# Memory",'vHosts (Imported)'!$1:$5000,M1814,FALSE)</f>
        <v>0</v>
      </c>
      <c r="M1814" s="45">
        <f t="shared" si="86"/>
        <v>1814</v>
      </c>
      <c r="N1814" s="38">
        <f>HLOOKUP("Host",'vInfo (Imported)'!$1:$5000,M1814,FALSE)</f>
        <v>0</v>
      </c>
      <c r="R1814">
        <f>HLOOKUP("CPUs",'vInfo (Imported)'!$1:$5000,M1814,FALSE)</f>
        <v>0</v>
      </c>
      <c r="S1814">
        <f>HLOOKUP("Memory",'vInfo (Imported)'!$1:$5000,M1814,FALSE)</f>
        <v>0</v>
      </c>
      <c r="T1814">
        <f>HLOOKUP("Provisioned MiB",'vInfo (Imported)'!$1:$5000,M1814,FALSE)</f>
        <v>0</v>
      </c>
      <c r="U1814">
        <f t="shared" si="85"/>
        <v>0</v>
      </c>
      <c r="V1814">
        <f>HLOOKUP("In Use MiB",'vInfo (Imported)'!$1:$5000,M1814,FALSE)</f>
        <v>0</v>
      </c>
    </row>
    <row r="1815" spans="1:22" ht="13" x14ac:dyDescent="0.3">
      <c r="A1815" s="46">
        <f>'vHosts (Imported)'!A1815</f>
        <v>0</v>
      </c>
      <c r="B1815" s="51">
        <f t="shared" si="84"/>
        <v>4968</v>
      </c>
      <c r="C1815" s="49">
        <f>HLOOKUP("# Cores",'vHosts (Imported)'!$1:$5000,M1815,FALSE)</f>
        <v>0</v>
      </c>
      <c r="D1815" s="52">
        <f>HLOOKUP("# Memory",'vHosts (Imported)'!$1:$5000,M1815,FALSE)</f>
        <v>0</v>
      </c>
      <c r="M1815" s="45">
        <f t="shared" si="86"/>
        <v>1815</v>
      </c>
      <c r="N1815" s="38">
        <f>HLOOKUP("Host",'vInfo (Imported)'!$1:$5000,M1815,FALSE)</f>
        <v>0</v>
      </c>
      <c r="R1815">
        <f>HLOOKUP("CPUs",'vInfo (Imported)'!$1:$5000,M1815,FALSE)</f>
        <v>0</v>
      </c>
      <c r="S1815">
        <f>HLOOKUP("Memory",'vInfo (Imported)'!$1:$5000,M1815,FALSE)</f>
        <v>0</v>
      </c>
      <c r="T1815">
        <f>HLOOKUP("Provisioned MiB",'vInfo (Imported)'!$1:$5000,M1815,FALSE)</f>
        <v>0</v>
      </c>
      <c r="U1815">
        <f t="shared" si="85"/>
        <v>0</v>
      </c>
      <c r="V1815">
        <f>HLOOKUP("In Use MiB",'vInfo (Imported)'!$1:$5000,M1815,FALSE)</f>
        <v>0</v>
      </c>
    </row>
    <row r="1816" spans="1:22" ht="13" x14ac:dyDescent="0.3">
      <c r="A1816" s="46">
        <f>'vHosts (Imported)'!A1816</f>
        <v>0</v>
      </c>
      <c r="B1816" s="51">
        <f t="shared" si="84"/>
        <v>4968</v>
      </c>
      <c r="C1816" s="49">
        <f>HLOOKUP("# Cores",'vHosts (Imported)'!$1:$5000,M1816,FALSE)</f>
        <v>0</v>
      </c>
      <c r="D1816" s="52">
        <f>HLOOKUP("# Memory",'vHosts (Imported)'!$1:$5000,M1816,FALSE)</f>
        <v>0</v>
      </c>
      <c r="M1816" s="45">
        <f t="shared" si="86"/>
        <v>1816</v>
      </c>
      <c r="N1816" s="38">
        <f>HLOOKUP("Host",'vInfo (Imported)'!$1:$5000,M1816,FALSE)</f>
        <v>0</v>
      </c>
      <c r="R1816">
        <f>HLOOKUP("CPUs",'vInfo (Imported)'!$1:$5000,M1816,FALSE)</f>
        <v>0</v>
      </c>
      <c r="S1816">
        <f>HLOOKUP("Memory",'vInfo (Imported)'!$1:$5000,M1816,FALSE)</f>
        <v>0</v>
      </c>
      <c r="T1816">
        <f>HLOOKUP("Provisioned MiB",'vInfo (Imported)'!$1:$5000,M1816,FALSE)</f>
        <v>0</v>
      </c>
      <c r="U1816">
        <f t="shared" si="85"/>
        <v>0</v>
      </c>
      <c r="V1816">
        <f>HLOOKUP("In Use MiB",'vInfo (Imported)'!$1:$5000,M1816,FALSE)</f>
        <v>0</v>
      </c>
    </row>
    <row r="1817" spans="1:22" ht="13" x14ac:dyDescent="0.3">
      <c r="A1817" s="46">
        <f>'vHosts (Imported)'!A1817</f>
        <v>0</v>
      </c>
      <c r="B1817" s="51">
        <f t="shared" si="84"/>
        <v>4968</v>
      </c>
      <c r="C1817" s="49">
        <f>HLOOKUP("# Cores",'vHosts (Imported)'!$1:$5000,M1817,FALSE)</f>
        <v>0</v>
      </c>
      <c r="D1817" s="52">
        <f>HLOOKUP("# Memory",'vHosts (Imported)'!$1:$5000,M1817,FALSE)</f>
        <v>0</v>
      </c>
      <c r="M1817" s="45">
        <f t="shared" si="86"/>
        <v>1817</v>
      </c>
      <c r="N1817" s="38">
        <f>HLOOKUP("Host",'vInfo (Imported)'!$1:$5000,M1817,FALSE)</f>
        <v>0</v>
      </c>
      <c r="R1817">
        <f>HLOOKUP("CPUs",'vInfo (Imported)'!$1:$5000,M1817,FALSE)</f>
        <v>0</v>
      </c>
      <c r="S1817">
        <f>HLOOKUP("Memory",'vInfo (Imported)'!$1:$5000,M1817,FALSE)</f>
        <v>0</v>
      </c>
      <c r="T1817">
        <f>HLOOKUP("Provisioned MiB",'vInfo (Imported)'!$1:$5000,M1817,FALSE)</f>
        <v>0</v>
      </c>
      <c r="U1817">
        <f t="shared" si="85"/>
        <v>0</v>
      </c>
      <c r="V1817">
        <f>HLOOKUP("In Use MiB",'vInfo (Imported)'!$1:$5000,M1817,FALSE)</f>
        <v>0</v>
      </c>
    </row>
    <row r="1818" spans="1:22" ht="13" x14ac:dyDescent="0.3">
      <c r="A1818" s="46">
        <f>'vHosts (Imported)'!A1818</f>
        <v>0</v>
      </c>
      <c r="B1818" s="51">
        <f t="shared" si="84"/>
        <v>4968</v>
      </c>
      <c r="C1818" s="49">
        <f>HLOOKUP("# Cores",'vHosts (Imported)'!$1:$5000,M1818,FALSE)</f>
        <v>0</v>
      </c>
      <c r="D1818" s="52">
        <f>HLOOKUP("# Memory",'vHosts (Imported)'!$1:$5000,M1818,FALSE)</f>
        <v>0</v>
      </c>
      <c r="M1818" s="45">
        <f t="shared" si="86"/>
        <v>1818</v>
      </c>
      <c r="N1818" s="38">
        <f>HLOOKUP("Host",'vInfo (Imported)'!$1:$5000,M1818,FALSE)</f>
        <v>0</v>
      </c>
      <c r="R1818">
        <f>HLOOKUP("CPUs",'vInfo (Imported)'!$1:$5000,M1818,FALSE)</f>
        <v>0</v>
      </c>
      <c r="S1818">
        <f>HLOOKUP("Memory",'vInfo (Imported)'!$1:$5000,M1818,FALSE)</f>
        <v>0</v>
      </c>
      <c r="T1818">
        <f>HLOOKUP("Provisioned MiB",'vInfo (Imported)'!$1:$5000,M1818,FALSE)</f>
        <v>0</v>
      </c>
      <c r="U1818">
        <f t="shared" si="85"/>
        <v>0</v>
      </c>
      <c r="V1818">
        <f>HLOOKUP("In Use MiB",'vInfo (Imported)'!$1:$5000,M1818,FALSE)</f>
        <v>0</v>
      </c>
    </row>
    <row r="1819" spans="1:22" ht="13" x14ac:dyDescent="0.3">
      <c r="A1819" s="46">
        <f>'vHosts (Imported)'!A1819</f>
        <v>0</v>
      </c>
      <c r="B1819" s="51">
        <f t="shared" si="84"/>
        <v>4968</v>
      </c>
      <c r="C1819" s="49">
        <f>HLOOKUP("# Cores",'vHosts (Imported)'!$1:$5000,M1819,FALSE)</f>
        <v>0</v>
      </c>
      <c r="D1819" s="52">
        <f>HLOOKUP("# Memory",'vHosts (Imported)'!$1:$5000,M1819,FALSE)</f>
        <v>0</v>
      </c>
      <c r="M1819" s="45">
        <f t="shared" si="86"/>
        <v>1819</v>
      </c>
      <c r="N1819" s="38">
        <f>HLOOKUP("Host",'vInfo (Imported)'!$1:$5000,M1819,FALSE)</f>
        <v>0</v>
      </c>
      <c r="R1819">
        <f>HLOOKUP("CPUs",'vInfo (Imported)'!$1:$5000,M1819,FALSE)</f>
        <v>0</v>
      </c>
      <c r="S1819">
        <f>HLOOKUP("Memory",'vInfo (Imported)'!$1:$5000,M1819,FALSE)</f>
        <v>0</v>
      </c>
      <c r="T1819">
        <f>HLOOKUP("Provisioned MiB",'vInfo (Imported)'!$1:$5000,M1819,FALSE)</f>
        <v>0</v>
      </c>
      <c r="U1819">
        <f t="shared" si="85"/>
        <v>0</v>
      </c>
      <c r="V1819">
        <f>HLOOKUP("In Use MiB",'vInfo (Imported)'!$1:$5000,M1819,FALSE)</f>
        <v>0</v>
      </c>
    </row>
    <row r="1820" spans="1:22" ht="13" x14ac:dyDescent="0.3">
      <c r="A1820" s="46">
        <f>'vHosts (Imported)'!A1820</f>
        <v>0</v>
      </c>
      <c r="B1820" s="51">
        <f t="shared" si="84"/>
        <v>4968</v>
      </c>
      <c r="C1820" s="49">
        <f>HLOOKUP("# Cores",'vHosts (Imported)'!$1:$5000,M1820,FALSE)</f>
        <v>0</v>
      </c>
      <c r="D1820" s="52">
        <f>HLOOKUP("# Memory",'vHosts (Imported)'!$1:$5000,M1820,FALSE)</f>
        <v>0</v>
      </c>
      <c r="M1820" s="45">
        <f t="shared" si="86"/>
        <v>1820</v>
      </c>
      <c r="N1820" s="38">
        <f>HLOOKUP("Host",'vInfo (Imported)'!$1:$5000,M1820,FALSE)</f>
        <v>0</v>
      </c>
      <c r="R1820">
        <f>HLOOKUP("CPUs",'vInfo (Imported)'!$1:$5000,M1820,FALSE)</f>
        <v>0</v>
      </c>
      <c r="S1820">
        <f>HLOOKUP("Memory",'vInfo (Imported)'!$1:$5000,M1820,FALSE)</f>
        <v>0</v>
      </c>
      <c r="T1820">
        <f>HLOOKUP("Provisioned MiB",'vInfo (Imported)'!$1:$5000,M1820,FALSE)</f>
        <v>0</v>
      </c>
      <c r="U1820">
        <f t="shared" si="85"/>
        <v>0</v>
      </c>
      <c r="V1820">
        <f>HLOOKUP("In Use MiB",'vInfo (Imported)'!$1:$5000,M1820,FALSE)</f>
        <v>0</v>
      </c>
    </row>
    <row r="1821" spans="1:22" ht="13" x14ac:dyDescent="0.3">
      <c r="A1821" s="46">
        <f>'vHosts (Imported)'!A1821</f>
        <v>0</v>
      </c>
      <c r="B1821" s="51">
        <f t="shared" si="84"/>
        <v>4968</v>
      </c>
      <c r="C1821" s="49">
        <f>HLOOKUP("# Cores",'vHosts (Imported)'!$1:$5000,M1821,FALSE)</f>
        <v>0</v>
      </c>
      <c r="D1821" s="52">
        <f>HLOOKUP("# Memory",'vHosts (Imported)'!$1:$5000,M1821,FALSE)</f>
        <v>0</v>
      </c>
      <c r="M1821" s="45">
        <f t="shared" si="86"/>
        <v>1821</v>
      </c>
      <c r="N1821" s="38">
        <f>HLOOKUP("Host",'vInfo (Imported)'!$1:$5000,M1821,FALSE)</f>
        <v>0</v>
      </c>
      <c r="R1821">
        <f>HLOOKUP("CPUs",'vInfo (Imported)'!$1:$5000,M1821,FALSE)</f>
        <v>0</v>
      </c>
      <c r="S1821">
        <f>HLOOKUP("Memory",'vInfo (Imported)'!$1:$5000,M1821,FALSE)</f>
        <v>0</v>
      </c>
      <c r="T1821">
        <f>HLOOKUP("Provisioned MiB",'vInfo (Imported)'!$1:$5000,M1821,FALSE)</f>
        <v>0</v>
      </c>
      <c r="U1821">
        <f t="shared" si="85"/>
        <v>0</v>
      </c>
      <c r="V1821">
        <f>HLOOKUP("In Use MiB",'vInfo (Imported)'!$1:$5000,M1821,FALSE)</f>
        <v>0</v>
      </c>
    </row>
    <row r="1822" spans="1:22" ht="13" x14ac:dyDescent="0.3">
      <c r="A1822" s="46">
        <f>'vHosts (Imported)'!A1822</f>
        <v>0</v>
      </c>
      <c r="B1822" s="51">
        <f t="shared" si="84"/>
        <v>4968</v>
      </c>
      <c r="C1822" s="49">
        <f>HLOOKUP("# Cores",'vHosts (Imported)'!$1:$5000,M1822,FALSE)</f>
        <v>0</v>
      </c>
      <c r="D1822" s="52">
        <f>HLOOKUP("# Memory",'vHosts (Imported)'!$1:$5000,M1822,FALSE)</f>
        <v>0</v>
      </c>
      <c r="M1822" s="45">
        <f t="shared" si="86"/>
        <v>1822</v>
      </c>
      <c r="N1822" s="38">
        <f>HLOOKUP("Host",'vInfo (Imported)'!$1:$5000,M1822,FALSE)</f>
        <v>0</v>
      </c>
      <c r="R1822">
        <f>HLOOKUP("CPUs",'vInfo (Imported)'!$1:$5000,M1822,FALSE)</f>
        <v>0</v>
      </c>
      <c r="S1822">
        <f>HLOOKUP("Memory",'vInfo (Imported)'!$1:$5000,M1822,FALSE)</f>
        <v>0</v>
      </c>
      <c r="T1822">
        <f>HLOOKUP("Provisioned MiB",'vInfo (Imported)'!$1:$5000,M1822,FALSE)</f>
        <v>0</v>
      </c>
      <c r="U1822">
        <f t="shared" si="85"/>
        <v>0</v>
      </c>
      <c r="V1822">
        <f>HLOOKUP("In Use MiB",'vInfo (Imported)'!$1:$5000,M1822,FALSE)</f>
        <v>0</v>
      </c>
    </row>
    <row r="1823" spans="1:22" ht="13" x14ac:dyDescent="0.3">
      <c r="A1823" s="46">
        <f>'vHosts (Imported)'!A1823</f>
        <v>0</v>
      </c>
      <c r="B1823" s="51">
        <f t="shared" si="84"/>
        <v>4968</v>
      </c>
      <c r="C1823" s="49">
        <f>HLOOKUP("# Cores",'vHosts (Imported)'!$1:$5000,M1823,FALSE)</f>
        <v>0</v>
      </c>
      <c r="D1823" s="52">
        <f>HLOOKUP("# Memory",'vHosts (Imported)'!$1:$5000,M1823,FALSE)</f>
        <v>0</v>
      </c>
      <c r="M1823" s="45">
        <f t="shared" si="86"/>
        <v>1823</v>
      </c>
      <c r="N1823" s="38">
        <f>HLOOKUP("Host",'vInfo (Imported)'!$1:$5000,M1823,FALSE)</f>
        <v>0</v>
      </c>
      <c r="R1823">
        <f>HLOOKUP("CPUs",'vInfo (Imported)'!$1:$5000,M1823,FALSE)</f>
        <v>0</v>
      </c>
      <c r="S1823">
        <f>HLOOKUP("Memory",'vInfo (Imported)'!$1:$5000,M1823,FALSE)</f>
        <v>0</v>
      </c>
      <c r="T1823">
        <f>HLOOKUP("Provisioned MiB",'vInfo (Imported)'!$1:$5000,M1823,FALSE)</f>
        <v>0</v>
      </c>
      <c r="U1823">
        <f t="shared" si="85"/>
        <v>0</v>
      </c>
      <c r="V1823">
        <f>HLOOKUP("In Use MiB",'vInfo (Imported)'!$1:$5000,M1823,FALSE)</f>
        <v>0</v>
      </c>
    </row>
    <row r="1824" spans="1:22" ht="13" x14ac:dyDescent="0.3">
      <c r="A1824" s="46">
        <f>'vHosts (Imported)'!A1824</f>
        <v>0</v>
      </c>
      <c r="B1824" s="51">
        <f t="shared" si="84"/>
        <v>4968</v>
      </c>
      <c r="C1824" s="49">
        <f>HLOOKUP("# Cores",'vHosts (Imported)'!$1:$5000,M1824,FALSE)</f>
        <v>0</v>
      </c>
      <c r="D1824" s="52">
        <f>HLOOKUP("# Memory",'vHosts (Imported)'!$1:$5000,M1824,FALSE)</f>
        <v>0</v>
      </c>
      <c r="M1824" s="45">
        <f t="shared" si="86"/>
        <v>1824</v>
      </c>
      <c r="N1824" s="38">
        <f>HLOOKUP("Host",'vInfo (Imported)'!$1:$5000,M1824,FALSE)</f>
        <v>0</v>
      </c>
      <c r="R1824">
        <f>HLOOKUP("CPUs",'vInfo (Imported)'!$1:$5000,M1824,FALSE)</f>
        <v>0</v>
      </c>
      <c r="S1824">
        <f>HLOOKUP("Memory",'vInfo (Imported)'!$1:$5000,M1824,FALSE)</f>
        <v>0</v>
      </c>
      <c r="T1824">
        <f>HLOOKUP("Provisioned MiB",'vInfo (Imported)'!$1:$5000,M1824,FALSE)</f>
        <v>0</v>
      </c>
      <c r="U1824">
        <f t="shared" si="85"/>
        <v>0</v>
      </c>
      <c r="V1824">
        <f>HLOOKUP("In Use MiB",'vInfo (Imported)'!$1:$5000,M1824,FALSE)</f>
        <v>0</v>
      </c>
    </row>
    <row r="1825" spans="1:22" ht="13" x14ac:dyDescent="0.3">
      <c r="A1825" s="46">
        <f>'vHosts (Imported)'!A1825</f>
        <v>0</v>
      </c>
      <c r="B1825" s="51">
        <f t="shared" si="84"/>
        <v>4968</v>
      </c>
      <c r="C1825" s="49">
        <f>HLOOKUP("# Cores",'vHosts (Imported)'!$1:$5000,M1825,FALSE)</f>
        <v>0</v>
      </c>
      <c r="D1825" s="52">
        <f>HLOOKUP("# Memory",'vHosts (Imported)'!$1:$5000,M1825,FALSE)</f>
        <v>0</v>
      </c>
      <c r="M1825" s="45">
        <f t="shared" si="86"/>
        <v>1825</v>
      </c>
      <c r="N1825" s="38">
        <f>HLOOKUP("Host",'vInfo (Imported)'!$1:$5000,M1825,FALSE)</f>
        <v>0</v>
      </c>
      <c r="R1825">
        <f>HLOOKUP("CPUs",'vInfo (Imported)'!$1:$5000,M1825,FALSE)</f>
        <v>0</v>
      </c>
      <c r="S1825">
        <f>HLOOKUP("Memory",'vInfo (Imported)'!$1:$5000,M1825,FALSE)</f>
        <v>0</v>
      </c>
      <c r="T1825">
        <f>HLOOKUP("Provisioned MiB",'vInfo (Imported)'!$1:$5000,M1825,FALSE)</f>
        <v>0</v>
      </c>
      <c r="U1825">
        <f t="shared" si="85"/>
        <v>0</v>
      </c>
      <c r="V1825">
        <f>HLOOKUP("In Use MiB",'vInfo (Imported)'!$1:$5000,M1825,FALSE)</f>
        <v>0</v>
      </c>
    </row>
    <row r="1826" spans="1:22" ht="13" x14ac:dyDescent="0.3">
      <c r="A1826" s="46">
        <f>'vHosts (Imported)'!A1826</f>
        <v>0</v>
      </c>
      <c r="B1826" s="51">
        <f t="shared" si="84"/>
        <v>4968</v>
      </c>
      <c r="C1826" s="49">
        <f>HLOOKUP("# Cores",'vHosts (Imported)'!$1:$5000,M1826,FALSE)</f>
        <v>0</v>
      </c>
      <c r="D1826" s="52">
        <f>HLOOKUP("# Memory",'vHosts (Imported)'!$1:$5000,M1826,FALSE)</f>
        <v>0</v>
      </c>
      <c r="M1826" s="45">
        <f t="shared" si="86"/>
        <v>1826</v>
      </c>
      <c r="N1826" s="38">
        <f>HLOOKUP("Host",'vInfo (Imported)'!$1:$5000,M1826,FALSE)</f>
        <v>0</v>
      </c>
      <c r="R1826">
        <f>HLOOKUP("CPUs",'vInfo (Imported)'!$1:$5000,M1826,FALSE)</f>
        <v>0</v>
      </c>
      <c r="S1826">
        <f>HLOOKUP("Memory",'vInfo (Imported)'!$1:$5000,M1826,FALSE)</f>
        <v>0</v>
      </c>
      <c r="T1826">
        <f>HLOOKUP("Provisioned MiB",'vInfo (Imported)'!$1:$5000,M1826,FALSE)</f>
        <v>0</v>
      </c>
      <c r="U1826">
        <f t="shared" si="85"/>
        <v>0</v>
      </c>
      <c r="V1826">
        <f>HLOOKUP("In Use MiB",'vInfo (Imported)'!$1:$5000,M1826,FALSE)</f>
        <v>0</v>
      </c>
    </row>
    <row r="1827" spans="1:22" ht="13" x14ac:dyDescent="0.3">
      <c r="A1827" s="46">
        <f>'vHosts (Imported)'!A1827</f>
        <v>0</v>
      </c>
      <c r="B1827" s="51">
        <f t="shared" si="84"/>
        <v>4968</v>
      </c>
      <c r="C1827" s="49">
        <f>HLOOKUP("# Cores",'vHosts (Imported)'!$1:$5000,M1827,FALSE)</f>
        <v>0</v>
      </c>
      <c r="D1827" s="52">
        <f>HLOOKUP("# Memory",'vHosts (Imported)'!$1:$5000,M1827,FALSE)</f>
        <v>0</v>
      </c>
      <c r="M1827" s="45">
        <f t="shared" si="86"/>
        <v>1827</v>
      </c>
      <c r="N1827" s="38">
        <f>HLOOKUP("Host",'vInfo (Imported)'!$1:$5000,M1827,FALSE)</f>
        <v>0</v>
      </c>
      <c r="R1827">
        <f>HLOOKUP("CPUs",'vInfo (Imported)'!$1:$5000,M1827,FALSE)</f>
        <v>0</v>
      </c>
      <c r="S1827">
        <f>HLOOKUP("Memory",'vInfo (Imported)'!$1:$5000,M1827,FALSE)</f>
        <v>0</v>
      </c>
      <c r="T1827">
        <f>HLOOKUP("Provisioned MiB",'vInfo (Imported)'!$1:$5000,M1827,FALSE)</f>
        <v>0</v>
      </c>
      <c r="U1827">
        <f t="shared" si="85"/>
        <v>0</v>
      </c>
      <c r="V1827">
        <f>HLOOKUP("In Use MiB",'vInfo (Imported)'!$1:$5000,M1827,FALSE)</f>
        <v>0</v>
      </c>
    </row>
    <row r="1828" spans="1:22" ht="13" x14ac:dyDescent="0.3">
      <c r="A1828" s="46">
        <f>'vHosts (Imported)'!A1828</f>
        <v>0</v>
      </c>
      <c r="B1828" s="51">
        <f t="shared" si="84"/>
        <v>4968</v>
      </c>
      <c r="C1828" s="49">
        <f>HLOOKUP("# Cores",'vHosts (Imported)'!$1:$5000,M1828,FALSE)</f>
        <v>0</v>
      </c>
      <c r="D1828" s="52">
        <f>HLOOKUP("# Memory",'vHosts (Imported)'!$1:$5000,M1828,FALSE)</f>
        <v>0</v>
      </c>
      <c r="M1828" s="45">
        <f t="shared" si="86"/>
        <v>1828</v>
      </c>
      <c r="N1828" s="38">
        <f>HLOOKUP("Host",'vInfo (Imported)'!$1:$5000,M1828,FALSE)</f>
        <v>0</v>
      </c>
      <c r="R1828">
        <f>HLOOKUP("CPUs",'vInfo (Imported)'!$1:$5000,M1828,FALSE)</f>
        <v>0</v>
      </c>
      <c r="S1828">
        <f>HLOOKUP("Memory",'vInfo (Imported)'!$1:$5000,M1828,FALSE)</f>
        <v>0</v>
      </c>
      <c r="T1828">
        <f>HLOOKUP("Provisioned MiB",'vInfo (Imported)'!$1:$5000,M1828,FALSE)</f>
        <v>0</v>
      </c>
      <c r="U1828">
        <f t="shared" si="85"/>
        <v>0</v>
      </c>
      <c r="V1828">
        <f>HLOOKUP("In Use MiB",'vInfo (Imported)'!$1:$5000,M1828,FALSE)</f>
        <v>0</v>
      </c>
    </row>
    <row r="1829" spans="1:22" ht="13" x14ac:dyDescent="0.3">
      <c r="A1829" s="46">
        <f>'vHosts (Imported)'!A1829</f>
        <v>0</v>
      </c>
      <c r="B1829" s="51">
        <f t="shared" si="84"/>
        <v>4968</v>
      </c>
      <c r="C1829" s="49">
        <f>HLOOKUP("# Cores",'vHosts (Imported)'!$1:$5000,M1829,FALSE)</f>
        <v>0</v>
      </c>
      <c r="D1829" s="52">
        <f>HLOOKUP("# Memory",'vHosts (Imported)'!$1:$5000,M1829,FALSE)</f>
        <v>0</v>
      </c>
      <c r="M1829" s="45">
        <f t="shared" si="86"/>
        <v>1829</v>
      </c>
      <c r="N1829" s="38">
        <f>HLOOKUP("Host",'vInfo (Imported)'!$1:$5000,M1829,FALSE)</f>
        <v>0</v>
      </c>
      <c r="R1829">
        <f>HLOOKUP("CPUs",'vInfo (Imported)'!$1:$5000,M1829,FALSE)</f>
        <v>0</v>
      </c>
      <c r="S1829">
        <f>HLOOKUP("Memory",'vInfo (Imported)'!$1:$5000,M1829,FALSE)</f>
        <v>0</v>
      </c>
      <c r="T1829">
        <f>HLOOKUP("Provisioned MiB",'vInfo (Imported)'!$1:$5000,M1829,FALSE)</f>
        <v>0</v>
      </c>
      <c r="U1829">
        <f t="shared" si="85"/>
        <v>0</v>
      </c>
      <c r="V1829">
        <f>HLOOKUP("In Use MiB",'vInfo (Imported)'!$1:$5000,M1829,FALSE)</f>
        <v>0</v>
      </c>
    </row>
    <row r="1830" spans="1:22" ht="13" x14ac:dyDescent="0.3">
      <c r="A1830" s="46">
        <f>'vHosts (Imported)'!A1830</f>
        <v>0</v>
      </c>
      <c r="B1830" s="51">
        <f t="shared" si="84"/>
        <v>4968</v>
      </c>
      <c r="C1830" s="49">
        <f>HLOOKUP("# Cores",'vHosts (Imported)'!$1:$5000,M1830,FALSE)</f>
        <v>0</v>
      </c>
      <c r="D1830" s="52">
        <f>HLOOKUP("# Memory",'vHosts (Imported)'!$1:$5000,M1830,FALSE)</f>
        <v>0</v>
      </c>
      <c r="M1830" s="45">
        <f t="shared" si="86"/>
        <v>1830</v>
      </c>
      <c r="N1830" s="38">
        <f>HLOOKUP("Host",'vInfo (Imported)'!$1:$5000,M1830,FALSE)</f>
        <v>0</v>
      </c>
      <c r="R1830">
        <f>HLOOKUP("CPUs",'vInfo (Imported)'!$1:$5000,M1830,FALSE)</f>
        <v>0</v>
      </c>
      <c r="S1830">
        <f>HLOOKUP("Memory",'vInfo (Imported)'!$1:$5000,M1830,FALSE)</f>
        <v>0</v>
      </c>
      <c r="T1830">
        <f>HLOOKUP("Provisioned MiB",'vInfo (Imported)'!$1:$5000,M1830,FALSE)</f>
        <v>0</v>
      </c>
      <c r="U1830">
        <f t="shared" si="85"/>
        <v>0</v>
      </c>
      <c r="V1830">
        <f>HLOOKUP("In Use MiB",'vInfo (Imported)'!$1:$5000,M1830,FALSE)</f>
        <v>0</v>
      </c>
    </row>
    <row r="1831" spans="1:22" ht="13" x14ac:dyDescent="0.3">
      <c r="A1831" s="46">
        <f>'vHosts (Imported)'!A1831</f>
        <v>0</v>
      </c>
      <c r="B1831" s="51">
        <f t="shared" si="84"/>
        <v>4968</v>
      </c>
      <c r="C1831" s="49">
        <f>HLOOKUP("# Cores",'vHosts (Imported)'!$1:$5000,M1831,FALSE)</f>
        <v>0</v>
      </c>
      <c r="D1831" s="52">
        <f>HLOOKUP("# Memory",'vHosts (Imported)'!$1:$5000,M1831,FALSE)</f>
        <v>0</v>
      </c>
      <c r="M1831" s="45">
        <f t="shared" si="86"/>
        <v>1831</v>
      </c>
      <c r="N1831" s="38">
        <f>HLOOKUP("Host",'vInfo (Imported)'!$1:$5000,M1831,FALSE)</f>
        <v>0</v>
      </c>
      <c r="R1831">
        <f>HLOOKUP("CPUs",'vInfo (Imported)'!$1:$5000,M1831,FALSE)</f>
        <v>0</v>
      </c>
      <c r="S1831">
        <f>HLOOKUP("Memory",'vInfo (Imported)'!$1:$5000,M1831,FALSE)</f>
        <v>0</v>
      </c>
      <c r="T1831">
        <f>HLOOKUP("Provisioned MiB",'vInfo (Imported)'!$1:$5000,M1831,FALSE)</f>
        <v>0</v>
      </c>
      <c r="U1831">
        <f t="shared" si="85"/>
        <v>0</v>
      </c>
      <c r="V1831">
        <f>HLOOKUP("In Use MiB",'vInfo (Imported)'!$1:$5000,M1831,FALSE)</f>
        <v>0</v>
      </c>
    </row>
    <row r="1832" spans="1:22" ht="13" x14ac:dyDescent="0.3">
      <c r="A1832" s="46">
        <f>'vHosts (Imported)'!A1832</f>
        <v>0</v>
      </c>
      <c r="B1832" s="51">
        <f t="shared" ref="B1832:B1895" si="87">COUNTIF(N:N,A1832)</f>
        <v>4968</v>
      </c>
      <c r="C1832" s="49">
        <f>HLOOKUP("# Cores",'vHosts (Imported)'!$1:$5000,M1832,FALSE)</f>
        <v>0</v>
      </c>
      <c r="D1832" s="52">
        <f>HLOOKUP("# Memory",'vHosts (Imported)'!$1:$5000,M1832,FALSE)</f>
        <v>0</v>
      </c>
      <c r="M1832" s="45">
        <f t="shared" si="86"/>
        <v>1832</v>
      </c>
      <c r="N1832" s="38">
        <f>HLOOKUP("Host",'vInfo (Imported)'!$1:$5000,M1832,FALSE)</f>
        <v>0</v>
      </c>
      <c r="R1832">
        <f>HLOOKUP("CPUs",'vInfo (Imported)'!$1:$5000,M1832,FALSE)</f>
        <v>0</v>
      </c>
      <c r="S1832">
        <f>HLOOKUP("Memory",'vInfo (Imported)'!$1:$5000,M1832,FALSE)</f>
        <v>0</v>
      </c>
      <c r="T1832">
        <f>HLOOKUP("Provisioned MiB",'vInfo (Imported)'!$1:$5000,M1832,FALSE)</f>
        <v>0</v>
      </c>
      <c r="U1832">
        <f t="shared" si="85"/>
        <v>0</v>
      </c>
      <c r="V1832">
        <f>HLOOKUP("In Use MiB",'vInfo (Imported)'!$1:$5000,M1832,FALSE)</f>
        <v>0</v>
      </c>
    </row>
    <row r="1833" spans="1:22" ht="13" x14ac:dyDescent="0.3">
      <c r="A1833" s="46">
        <f>'vHosts (Imported)'!A1833</f>
        <v>0</v>
      </c>
      <c r="B1833" s="51">
        <f t="shared" si="87"/>
        <v>4968</v>
      </c>
      <c r="C1833" s="49">
        <f>HLOOKUP("# Cores",'vHosts (Imported)'!$1:$5000,M1833,FALSE)</f>
        <v>0</v>
      </c>
      <c r="D1833" s="52">
        <f>HLOOKUP("# Memory",'vHosts (Imported)'!$1:$5000,M1833,FALSE)</f>
        <v>0</v>
      </c>
      <c r="M1833" s="45">
        <f t="shared" si="86"/>
        <v>1833</v>
      </c>
      <c r="N1833" s="38">
        <f>HLOOKUP("Host",'vInfo (Imported)'!$1:$5000,M1833,FALSE)</f>
        <v>0</v>
      </c>
      <c r="R1833">
        <f>HLOOKUP("CPUs",'vInfo (Imported)'!$1:$5000,M1833,FALSE)</f>
        <v>0</v>
      </c>
      <c r="S1833">
        <f>HLOOKUP("Memory",'vInfo (Imported)'!$1:$5000,M1833,FALSE)</f>
        <v>0</v>
      </c>
      <c r="T1833">
        <f>HLOOKUP("Provisioned MiB",'vInfo (Imported)'!$1:$5000,M1833,FALSE)</f>
        <v>0</v>
      </c>
      <c r="U1833">
        <f t="shared" si="85"/>
        <v>0</v>
      </c>
      <c r="V1833">
        <f>HLOOKUP("In Use MiB",'vInfo (Imported)'!$1:$5000,M1833,FALSE)</f>
        <v>0</v>
      </c>
    </row>
    <row r="1834" spans="1:22" ht="13" x14ac:dyDescent="0.3">
      <c r="A1834" s="46">
        <f>'vHosts (Imported)'!A1834</f>
        <v>0</v>
      </c>
      <c r="B1834" s="51">
        <f t="shared" si="87"/>
        <v>4968</v>
      </c>
      <c r="C1834" s="49">
        <f>HLOOKUP("# Cores",'vHosts (Imported)'!$1:$5000,M1834,FALSE)</f>
        <v>0</v>
      </c>
      <c r="D1834" s="52">
        <f>HLOOKUP("# Memory",'vHosts (Imported)'!$1:$5000,M1834,FALSE)</f>
        <v>0</v>
      </c>
      <c r="M1834" s="45">
        <f t="shared" si="86"/>
        <v>1834</v>
      </c>
      <c r="N1834" s="38">
        <f>HLOOKUP("Host",'vInfo (Imported)'!$1:$5000,M1834,FALSE)</f>
        <v>0</v>
      </c>
      <c r="R1834">
        <f>HLOOKUP("CPUs",'vInfo (Imported)'!$1:$5000,M1834,FALSE)</f>
        <v>0</v>
      </c>
      <c r="S1834">
        <f>HLOOKUP("Memory",'vInfo (Imported)'!$1:$5000,M1834,FALSE)</f>
        <v>0</v>
      </c>
      <c r="T1834">
        <f>HLOOKUP("Provisioned MiB",'vInfo (Imported)'!$1:$5000,M1834,FALSE)</f>
        <v>0</v>
      </c>
      <c r="U1834">
        <f t="shared" si="85"/>
        <v>0</v>
      </c>
      <c r="V1834">
        <f>HLOOKUP("In Use MiB",'vInfo (Imported)'!$1:$5000,M1834,FALSE)</f>
        <v>0</v>
      </c>
    </row>
    <row r="1835" spans="1:22" ht="13" x14ac:dyDescent="0.3">
      <c r="A1835" s="46">
        <f>'vHosts (Imported)'!A1835</f>
        <v>0</v>
      </c>
      <c r="B1835" s="51">
        <f t="shared" si="87"/>
        <v>4968</v>
      </c>
      <c r="C1835" s="49">
        <f>HLOOKUP("# Cores",'vHosts (Imported)'!$1:$5000,M1835,FALSE)</f>
        <v>0</v>
      </c>
      <c r="D1835" s="52">
        <f>HLOOKUP("# Memory",'vHosts (Imported)'!$1:$5000,M1835,FALSE)</f>
        <v>0</v>
      </c>
      <c r="M1835" s="45">
        <f t="shared" si="86"/>
        <v>1835</v>
      </c>
      <c r="N1835" s="38">
        <f>HLOOKUP("Host",'vInfo (Imported)'!$1:$5000,M1835,FALSE)</f>
        <v>0</v>
      </c>
      <c r="R1835">
        <f>HLOOKUP("CPUs",'vInfo (Imported)'!$1:$5000,M1835,FALSE)</f>
        <v>0</v>
      </c>
      <c r="S1835">
        <f>HLOOKUP("Memory",'vInfo (Imported)'!$1:$5000,M1835,FALSE)</f>
        <v>0</v>
      </c>
      <c r="T1835">
        <f>HLOOKUP("Provisioned MiB",'vInfo (Imported)'!$1:$5000,M1835,FALSE)</f>
        <v>0</v>
      </c>
      <c r="U1835">
        <f t="shared" si="85"/>
        <v>0</v>
      </c>
      <c r="V1835">
        <f>HLOOKUP("In Use MiB",'vInfo (Imported)'!$1:$5000,M1835,FALSE)</f>
        <v>0</v>
      </c>
    </row>
    <row r="1836" spans="1:22" ht="13" x14ac:dyDescent="0.3">
      <c r="A1836" s="46">
        <f>'vHosts (Imported)'!A1836</f>
        <v>0</v>
      </c>
      <c r="B1836" s="51">
        <f t="shared" si="87"/>
        <v>4968</v>
      </c>
      <c r="C1836" s="49">
        <f>HLOOKUP("# Cores",'vHosts (Imported)'!$1:$5000,M1836,FALSE)</f>
        <v>0</v>
      </c>
      <c r="D1836" s="52">
        <f>HLOOKUP("# Memory",'vHosts (Imported)'!$1:$5000,M1836,FALSE)</f>
        <v>0</v>
      </c>
      <c r="M1836" s="45">
        <f t="shared" si="86"/>
        <v>1836</v>
      </c>
      <c r="N1836" s="38">
        <f>HLOOKUP("Host",'vInfo (Imported)'!$1:$5000,M1836,FALSE)</f>
        <v>0</v>
      </c>
      <c r="R1836">
        <f>HLOOKUP("CPUs",'vInfo (Imported)'!$1:$5000,M1836,FALSE)</f>
        <v>0</v>
      </c>
      <c r="S1836">
        <f>HLOOKUP("Memory",'vInfo (Imported)'!$1:$5000,M1836,FALSE)</f>
        <v>0</v>
      </c>
      <c r="T1836">
        <f>HLOOKUP("Provisioned MiB",'vInfo (Imported)'!$1:$5000,M1836,FALSE)</f>
        <v>0</v>
      </c>
      <c r="U1836">
        <f t="shared" si="85"/>
        <v>0</v>
      </c>
      <c r="V1836">
        <f>HLOOKUP("In Use MiB",'vInfo (Imported)'!$1:$5000,M1836,FALSE)</f>
        <v>0</v>
      </c>
    </row>
    <row r="1837" spans="1:22" ht="13" x14ac:dyDescent="0.3">
      <c r="A1837" s="46">
        <f>'vHosts (Imported)'!A1837</f>
        <v>0</v>
      </c>
      <c r="B1837" s="51">
        <f t="shared" si="87"/>
        <v>4968</v>
      </c>
      <c r="C1837" s="49">
        <f>HLOOKUP("# Cores",'vHosts (Imported)'!$1:$5000,M1837,FALSE)</f>
        <v>0</v>
      </c>
      <c r="D1837" s="52">
        <f>HLOOKUP("# Memory",'vHosts (Imported)'!$1:$5000,M1837,FALSE)</f>
        <v>0</v>
      </c>
      <c r="M1837" s="45">
        <f t="shared" si="86"/>
        <v>1837</v>
      </c>
      <c r="N1837" s="38">
        <f>HLOOKUP("Host",'vInfo (Imported)'!$1:$5000,M1837,FALSE)</f>
        <v>0</v>
      </c>
      <c r="R1837">
        <f>HLOOKUP("CPUs",'vInfo (Imported)'!$1:$5000,M1837,FALSE)</f>
        <v>0</v>
      </c>
      <c r="S1837">
        <f>HLOOKUP("Memory",'vInfo (Imported)'!$1:$5000,M1837,FALSE)</f>
        <v>0</v>
      </c>
      <c r="T1837">
        <f>HLOOKUP("Provisioned MiB",'vInfo (Imported)'!$1:$5000,M1837,FALSE)</f>
        <v>0</v>
      </c>
      <c r="U1837">
        <f t="shared" si="85"/>
        <v>0</v>
      </c>
      <c r="V1837">
        <f>HLOOKUP("In Use MiB",'vInfo (Imported)'!$1:$5000,M1837,FALSE)</f>
        <v>0</v>
      </c>
    </row>
    <row r="1838" spans="1:22" ht="13" x14ac:dyDescent="0.3">
      <c r="A1838" s="46">
        <f>'vHosts (Imported)'!A1838</f>
        <v>0</v>
      </c>
      <c r="B1838" s="51">
        <f t="shared" si="87"/>
        <v>4968</v>
      </c>
      <c r="C1838" s="49">
        <f>HLOOKUP("# Cores",'vHosts (Imported)'!$1:$5000,M1838,FALSE)</f>
        <v>0</v>
      </c>
      <c r="D1838" s="52">
        <f>HLOOKUP("# Memory",'vHosts (Imported)'!$1:$5000,M1838,FALSE)</f>
        <v>0</v>
      </c>
      <c r="M1838" s="45">
        <f t="shared" si="86"/>
        <v>1838</v>
      </c>
      <c r="N1838" s="38">
        <f>HLOOKUP("Host",'vInfo (Imported)'!$1:$5000,M1838,FALSE)</f>
        <v>0</v>
      </c>
      <c r="R1838">
        <f>HLOOKUP("CPUs",'vInfo (Imported)'!$1:$5000,M1838,FALSE)</f>
        <v>0</v>
      </c>
      <c r="S1838">
        <f>HLOOKUP("Memory",'vInfo (Imported)'!$1:$5000,M1838,FALSE)</f>
        <v>0</v>
      </c>
      <c r="T1838">
        <f>HLOOKUP("Provisioned MiB",'vInfo (Imported)'!$1:$5000,M1838,FALSE)</f>
        <v>0</v>
      </c>
      <c r="U1838">
        <f t="shared" si="85"/>
        <v>0</v>
      </c>
      <c r="V1838">
        <f>HLOOKUP("In Use MiB",'vInfo (Imported)'!$1:$5000,M1838,FALSE)</f>
        <v>0</v>
      </c>
    </row>
    <row r="1839" spans="1:22" ht="13" x14ac:dyDescent="0.3">
      <c r="A1839" s="46">
        <f>'vHosts (Imported)'!A1839</f>
        <v>0</v>
      </c>
      <c r="B1839" s="51">
        <f t="shared" si="87"/>
        <v>4968</v>
      </c>
      <c r="C1839" s="49">
        <f>HLOOKUP("# Cores",'vHosts (Imported)'!$1:$5000,M1839,FALSE)</f>
        <v>0</v>
      </c>
      <c r="D1839" s="52">
        <f>HLOOKUP("# Memory",'vHosts (Imported)'!$1:$5000,M1839,FALSE)</f>
        <v>0</v>
      </c>
      <c r="M1839" s="45">
        <f t="shared" si="86"/>
        <v>1839</v>
      </c>
      <c r="N1839" s="38">
        <f>HLOOKUP("Host",'vInfo (Imported)'!$1:$5000,M1839,FALSE)</f>
        <v>0</v>
      </c>
      <c r="R1839">
        <f>HLOOKUP("CPUs",'vInfo (Imported)'!$1:$5000,M1839,FALSE)</f>
        <v>0</v>
      </c>
      <c r="S1839">
        <f>HLOOKUP("Memory",'vInfo (Imported)'!$1:$5000,M1839,FALSE)</f>
        <v>0</v>
      </c>
      <c r="T1839">
        <f>HLOOKUP("Provisioned MiB",'vInfo (Imported)'!$1:$5000,M1839,FALSE)</f>
        <v>0</v>
      </c>
      <c r="U1839">
        <f t="shared" si="85"/>
        <v>0</v>
      </c>
      <c r="V1839">
        <f>HLOOKUP("In Use MiB",'vInfo (Imported)'!$1:$5000,M1839,FALSE)</f>
        <v>0</v>
      </c>
    </row>
    <row r="1840" spans="1:22" ht="13" x14ac:dyDescent="0.3">
      <c r="A1840" s="46">
        <f>'vHosts (Imported)'!A1840</f>
        <v>0</v>
      </c>
      <c r="B1840" s="51">
        <f t="shared" si="87"/>
        <v>4968</v>
      </c>
      <c r="C1840" s="49">
        <f>HLOOKUP("# Cores",'vHosts (Imported)'!$1:$5000,M1840,FALSE)</f>
        <v>0</v>
      </c>
      <c r="D1840" s="52">
        <f>HLOOKUP("# Memory",'vHosts (Imported)'!$1:$5000,M1840,FALSE)</f>
        <v>0</v>
      </c>
      <c r="M1840" s="45">
        <f t="shared" si="86"/>
        <v>1840</v>
      </c>
      <c r="N1840" s="38">
        <f>HLOOKUP("Host",'vInfo (Imported)'!$1:$5000,M1840,FALSE)</f>
        <v>0</v>
      </c>
      <c r="R1840">
        <f>HLOOKUP("CPUs",'vInfo (Imported)'!$1:$5000,M1840,FALSE)</f>
        <v>0</v>
      </c>
      <c r="S1840">
        <f>HLOOKUP("Memory",'vInfo (Imported)'!$1:$5000,M1840,FALSE)</f>
        <v>0</v>
      </c>
      <c r="T1840">
        <f>HLOOKUP("Provisioned MiB",'vInfo (Imported)'!$1:$5000,M1840,FALSE)</f>
        <v>0</v>
      </c>
      <c r="U1840">
        <f t="shared" si="85"/>
        <v>0</v>
      </c>
      <c r="V1840">
        <f>HLOOKUP("In Use MiB",'vInfo (Imported)'!$1:$5000,M1840,FALSE)</f>
        <v>0</v>
      </c>
    </row>
    <row r="1841" spans="1:22" ht="13" x14ac:dyDescent="0.3">
      <c r="A1841" s="46">
        <f>'vHosts (Imported)'!A1841</f>
        <v>0</v>
      </c>
      <c r="B1841" s="51">
        <f t="shared" si="87"/>
        <v>4968</v>
      </c>
      <c r="C1841" s="49">
        <f>HLOOKUP("# Cores",'vHosts (Imported)'!$1:$5000,M1841,FALSE)</f>
        <v>0</v>
      </c>
      <c r="D1841" s="52">
        <f>HLOOKUP("# Memory",'vHosts (Imported)'!$1:$5000,M1841,FALSE)</f>
        <v>0</v>
      </c>
      <c r="M1841" s="45">
        <f t="shared" si="86"/>
        <v>1841</v>
      </c>
      <c r="N1841" s="38">
        <f>HLOOKUP("Host",'vInfo (Imported)'!$1:$5000,M1841,FALSE)</f>
        <v>0</v>
      </c>
      <c r="R1841">
        <f>HLOOKUP("CPUs",'vInfo (Imported)'!$1:$5000,M1841,FALSE)</f>
        <v>0</v>
      </c>
      <c r="S1841">
        <f>HLOOKUP("Memory",'vInfo (Imported)'!$1:$5000,M1841,FALSE)</f>
        <v>0</v>
      </c>
      <c r="T1841">
        <f>HLOOKUP("Provisioned MiB",'vInfo (Imported)'!$1:$5000,M1841,FALSE)</f>
        <v>0</v>
      </c>
      <c r="U1841">
        <f t="shared" si="85"/>
        <v>0</v>
      </c>
      <c r="V1841">
        <f>HLOOKUP("In Use MiB",'vInfo (Imported)'!$1:$5000,M1841,FALSE)</f>
        <v>0</v>
      </c>
    </row>
    <row r="1842" spans="1:22" ht="13" x14ac:dyDescent="0.3">
      <c r="A1842" s="46">
        <f>'vHosts (Imported)'!A1842</f>
        <v>0</v>
      </c>
      <c r="B1842" s="51">
        <f t="shared" si="87"/>
        <v>4968</v>
      </c>
      <c r="C1842" s="49">
        <f>HLOOKUP("# Cores",'vHosts (Imported)'!$1:$5000,M1842,FALSE)</f>
        <v>0</v>
      </c>
      <c r="D1842" s="52">
        <f>HLOOKUP("# Memory",'vHosts (Imported)'!$1:$5000,M1842,FALSE)</f>
        <v>0</v>
      </c>
      <c r="M1842" s="45">
        <f t="shared" si="86"/>
        <v>1842</v>
      </c>
      <c r="N1842" s="38">
        <f>HLOOKUP("Host",'vInfo (Imported)'!$1:$5000,M1842,FALSE)</f>
        <v>0</v>
      </c>
      <c r="R1842">
        <f>HLOOKUP("CPUs",'vInfo (Imported)'!$1:$5000,M1842,FALSE)</f>
        <v>0</v>
      </c>
      <c r="S1842">
        <f>HLOOKUP("Memory",'vInfo (Imported)'!$1:$5000,M1842,FALSE)</f>
        <v>0</v>
      </c>
      <c r="T1842">
        <f>HLOOKUP("Provisioned MiB",'vInfo (Imported)'!$1:$5000,M1842,FALSE)</f>
        <v>0</v>
      </c>
      <c r="U1842">
        <f t="shared" si="85"/>
        <v>0</v>
      </c>
      <c r="V1842">
        <f>HLOOKUP("In Use MiB",'vInfo (Imported)'!$1:$5000,M1842,FALSE)</f>
        <v>0</v>
      </c>
    </row>
    <row r="1843" spans="1:22" ht="13" x14ac:dyDescent="0.3">
      <c r="A1843" s="46">
        <f>'vHosts (Imported)'!A1843</f>
        <v>0</v>
      </c>
      <c r="B1843" s="51">
        <f t="shared" si="87"/>
        <v>4968</v>
      </c>
      <c r="C1843" s="49">
        <f>HLOOKUP("# Cores",'vHosts (Imported)'!$1:$5000,M1843,FALSE)</f>
        <v>0</v>
      </c>
      <c r="D1843" s="52">
        <f>HLOOKUP("# Memory",'vHosts (Imported)'!$1:$5000,M1843,FALSE)</f>
        <v>0</v>
      </c>
      <c r="M1843" s="45">
        <f t="shared" si="86"/>
        <v>1843</v>
      </c>
      <c r="N1843" s="38">
        <f>HLOOKUP("Host",'vInfo (Imported)'!$1:$5000,M1843,FALSE)</f>
        <v>0</v>
      </c>
      <c r="R1843">
        <f>HLOOKUP("CPUs",'vInfo (Imported)'!$1:$5000,M1843,FALSE)</f>
        <v>0</v>
      </c>
      <c r="S1843">
        <f>HLOOKUP("Memory",'vInfo (Imported)'!$1:$5000,M1843,FALSE)</f>
        <v>0</v>
      </c>
      <c r="T1843">
        <f>HLOOKUP("Provisioned MiB",'vInfo (Imported)'!$1:$5000,M1843,FALSE)</f>
        <v>0</v>
      </c>
      <c r="U1843">
        <f t="shared" si="85"/>
        <v>0</v>
      </c>
      <c r="V1843">
        <f>HLOOKUP("In Use MiB",'vInfo (Imported)'!$1:$5000,M1843,FALSE)</f>
        <v>0</v>
      </c>
    </row>
    <row r="1844" spans="1:22" ht="13" x14ac:dyDescent="0.3">
      <c r="A1844" s="46">
        <f>'vHosts (Imported)'!A1844</f>
        <v>0</v>
      </c>
      <c r="B1844" s="51">
        <f t="shared" si="87"/>
        <v>4968</v>
      </c>
      <c r="C1844" s="49">
        <f>HLOOKUP("# Cores",'vHosts (Imported)'!$1:$5000,M1844,FALSE)</f>
        <v>0</v>
      </c>
      <c r="D1844" s="52">
        <f>HLOOKUP("# Memory",'vHosts (Imported)'!$1:$5000,M1844,FALSE)</f>
        <v>0</v>
      </c>
      <c r="M1844" s="45">
        <f t="shared" si="86"/>
        <v>1844</v>
      </c>
      <c r="N1844" s="38">
        <f>HLOOKUP("Host",'vInfo (Imported)'!$1:$5000,M1844,FALSE)</f>
        <v>0</v>
      </c>
      <c r="R1844">
        <f>HLOOKUP("CPUs",'vInfo (Imported)'!$1:$5000,M1844,FALSE)</f>
        <v>0</v>
      </c>
      <c r="S1844">
        <f>HLOOKUP("Memory",'vInfo (Imported)'!$1:$5000,M1844,FALSE)</f>
        <v>0</v>
      </c>
      <c r="T1844">
        <f>HLOOKUP("Provisioned MiB",'vInfo (Imported)'!$1:$5000,M1844,FALSE)</f>
        <v>0</v>
      </c>
      <c r="U1844">
        <f t="shared" si="85"/>
        <v>0</v>
      </c>
      <c r="V1844">
        <f>HLOOKUP("In Use MiB",'vInfo (Imported)'!$1:$5000,M1844,FALSE)</f>
        <v>0</v>
      </c>
    </row>
    <row r="1845" spans="1:22" ht="13" x14ac:dyDescent="0.3">
      <c r="A1845" s="46">
        <f>'vHosts (Imported)'!A1845</f>
        <v>0</v>
      </c>
      <c r="B1845" s="51">
        <f t="shared" si="87"/>
        <v>4968</v>
      </c>
      <c r="C1845" s="49">
        <f>HLOOKUP("# Cores",'vHosts (Imported)'!$1:$5000,M1845,FALSE)</f>
        <v>0</v>
      </c>
      <c r="D1845" s="52">
        <f>HLOOKUP("# Memory",'vHosts (Imported)'!$1:$5000,M1845,FALSE)</f>
        <v>0</v>
      </c>
      <c r="M1845" s="45">
        <f t="shared" si="86"/>
        <v>1845</v>
      </c>
      <c r="N1845" s="38">
        <f>HLOOKUP("Host",'vInfo (Imported)'!$1:$5000,M1845,FALSE)</f>
        <v>0</v>
      </c>
      <c r="R1845">
        <f>HLOOKUP("CPUs",'vInfo (Imported)'!$1:$5000,M1845,FALSE)</f>
        <v>0</v>
      </c>
      <c r="S1845">
        <f>HLOOKUP("Memory",'vInfo (Imported)'!$1:$5000,M1845,FALSE)</f>
        <v>0</v>
      </c>
      <c r="T1845">
        <f>HLOOKUP("Provisioned MiB",'vInfo (Imported)'!$1:$5000,M1845,FALSE)</f>
        <v>0</v>
      </c>
      <c r="U1845">
        <f t="shared" si="85"/>
        <v>0</v>
      </c>
      <c r="V1845">
        <f>HLOOKUP("In Use MiB",'vInfo (Imported)'!$1:$5000,M1845,FALSE)</f>
        <v>0</v>
      </c>
    </row>
    <row r="1846" spans="1:22" ht="13" x14ac:dyDescent="0.3">
      <c r="A1846" s="46">
        <f>'vHosts (Imported)'!A1846</f>
        <v>0</v>
      </c>
      <c r="B1846" s="51">
        <f t="shared" si="87"/>
        <v>4968</v>
      </c>
      <c r="C1846" s="49">
        <f>HLOOKUP("# Cores",'vHosts (Imported)'!$1:$5000,M1846,FALSE)</f>
        <v>0</v>
      </c>
      <c r="D1846" s="52">
        <f>HLOOKUP("# Memory",'vHosts (Imported)'!$1:$5000,M1846,FALSE)</f>
        <v>0</v>
      </c>
      <c r="M1846" s="45">
        <f t="shared" si="86"/>
        <v>1846</v>
      </c>
      <c r="N1846" s="38">
        <f>HLOOKUP("Host",'vInfo (Imported)'!$1:$5000,M1846,FALSE)</f>
        <v>0</v>
      </c>
      <c r="R1846">
        <f>HLOOKUP("CPUs",'vInfo (Imported)'!$1:$5000,M1846,FALSE)</f>
        <v>0</v>
      </c>
      <c r="S1846">
        <f>HLOOKUP("Memory",'vInfo (Imported)'!$1:$5000,M1846,FALSE)</f>
        <v>0</v>
      </c>
      <c r="T1846">
        <f>HLOOKUP("Provisioned MiB",'vInfo (Imported)'!$1:$5000,M1846,FALSE)</f>
        <v>0</v>
      </c>
      <c r="U1846">
        <f t="shared" si="85"/>
        <v>0</v>
      </c>
      <c r="V1846">
        <f>HLOOKUP("In Use MiB",'vInfo (Imported)'!$1:$5000,M1846,FALSE)</f>
        <v>0</v>
      </c>
    </row>
    <row r="1847" spans="1:22" ht="13" x14ac:dyDescent="0.3">
      <c r="A1847" s="46">
        <f>'vHosts (Imported)'!A1847</f>
        <v>0</v>
      </c>
      <c r="B1847" s="51">
        <f t="shared" si="87"/>
        <v>4968</v>
      </c>
      <c r="C1847" s="49">
        <f>HLOOKUP("# Cores",'vHosts (Imported)'!$1:$5000,M1847,FALSE)</f>
        <v>0</v>
      </c>
      <c r="D1847" s="52">
        <f>HLOOKUP("# Memory",'vHosts (Imported)'!$1:$5000,M1847,FALSE)</f>
        <v>0</v>
      </c>
      <c r="M1847" s="45">
        <f t="shared" si="86"/>
        <v>1847</v>
      </c>
      <c r="N1847" s="38">
        <f>HLOOKUP("Host",'vInfo (Imported)'!$1:$5000,M1847,FALSE)</f>
        <v>0</v>
      </c>
      <c r="R1847">
        <f>HLOOKUP("CPUs",'vInfo (Imported)'!$1:$5000,M1847,FALSE)</f>
        <v>0</v>
      </c>
      <c r="S1847">
        <f>HLOOKUP("Memory",'vInfo (Imported)'!$1:$5000,M1847,FALSE)</f>
        <v>0</v>
      </c>
      <c r="T1847">
        <f>HLOOKUP("Provisioned MiB",'vInfo (Imported)'!$1:$5000,M1847,FALSE)</f>
        <v>0</v>
      </c>
      <c r="U1847">
        <f t="shared" si="85"/>
        <v>0</v>
      </c>
      <c r="V1847">
        <f>HLOOKUP("In Use MiB",'vInfo (Imported)'!$1:$5000,M1847,FALSE)</f>
        <v>0</v>
      </c>
    </row>
    <row r="1848" spans="1:22" ht="13" x14ac:dyDescent="0.3">
      <c r="A1848" s="46">
        <f>'vHosts (Imported)'!A1848</f>
        <v>0</v>
      </c>
      <c r="B1848" s="51">
        <f t="shared" si="87"/>
        <v>4968</v>
      </c>
      <c r="C1848" s="49">
        <f>HLOOKUP("# Cores",'vHosts (Imported)'!$1:$5000,M1848,FALSE)</f>
        <v>0</v>
      </c>
      <c r="D1848" s="52">
        <f>HLOOKUP("# Memory",'vHosts (Imported)'!$1:$5000,M1848,FALSE)</f>
        <v>0</v>
      </c>
      <c r="M1848" s="45">
        <f t="shared" si="86"/>
        <v>1848</v>
      </c>
      <c r="N1848" s="38">
        <f>HLOOKUP("Host",'vInfo (Imported)'!$1:$5000,M1848,FALSE)</f>
        <v>0</v>
      </c>
      <c r="R1848">
        <f>HLOOKUP("CPUs",'vInfo (Imported)'!$1:$5000,M1848,FALSE)</f>
        <v>0</v>
      </c>
      <c r="S1848">
        <f>HLOOKUP("Memory",'vInfo (Imported)'!$1:$5000,M1848,FALSE)</f>
        <v>0</v>
      </c>
      <c r="T1848">
        <f>HLOOKUP("Provisioned MiB",'vInfo (Imported)'!$1:$5000,M1848,FALSE)</f>
        <v>0</v>
      </c>
      <c r="U1848">
        <f t="shared" si="85"/>
        <v>0</v>
      </c>
      <c r="V1848">
        <f>HLOOKUP("In Use MiB",'vInfo (Imported)'!$1:$5000,M1848,FALSE)</f>
        <v>0</v>
      </c>
    </row>
    <row r="1849" spans="1:22" ht="13" x14ac:dyDescent="0.3">
      <c r="A1849" s="46">
        <f>'vHosts (Imported)'!A1849</f>
        <v>0</v>
      </c>
      <c r="B1849" s="51">
        <f t="shared" si="87"/>
        <v>4968</v>
      </c>
      <c r="C1849" s="49">
        <f>HLOOKUP("# Cores",'vHosts (Imported)'!$1:$5000,M1849,FALSE)</f>
        <v>0</v>
      </c>
      <c r="D1849" s="52">
        <f>HLOOKUP("# Memory",'vHosts (Imported)'!$1:$5000,M1849,FALSE)</f>
        <v>0</v>
      </c>
      <c r="M1849" s="45">
        <f t="shared" si="86"/>
        <v>1849</v>
      </c>
      <c r="N1849" s="38">
        <f>HLOOKUP("Host",'vInfo (Imported)'!$1:$5000,M1849,FALSE)</f>
        <v>0</v>
      </c>
      <c r="R1849">
        <f>HLOOKUP("CPUs",'vInfo (Imported)'!$1:$5000,M1849,FALSE)</f>
        <v>0</v>
      </c>
      <c r="S1849">
        <f>HLOOKUP("Memory",'vInfo (Imported)'!$1:$5000,M1849,FALSE)</f>
        <v>0</v>
      </c>
      <c r="T1849">
        <f>HLOOKUP("Provisioned MiB",'vInfo (Imported)'!$1:$5000,M1849,FALSE)</f>
        <v>0</v>
      </c>
      <c r="U1849">
        <f t="shared" si="85"/>
        <v>0</v>
      </c>
      <c r="V1849">
        <f>HLOOKUP("In Use MiB",'vInfo (Imported)'!$1:$5000,M1849,FALSE)</f>
        <v>0</v>
      </c>
    </row>
    <row r="1850" spans="1:22" ht="13" x14ac:dyDescent="0.3">
      <c r="A1850" s="46">
        <f>'vHosts (Imported)'!A1850</f>
        <v>0</v>
      </c>
      <c r="B1850" s="51">
        <f t="shared" si="87"/>
        <v>4968</v>
      </c>
      <c r="C1850" s="49">
        <f>HLOOKUP("# Cores",'vHosts (Imported)'!$1:$5000,M1850,FALSE)</f>
        <v>0</v>
      </c>
      <c r="D1850" s="52">
        <f>HLOOKUP("# Memory",'vHosts (Imported)'!$1:$5000,M1850,FALSE)</f>
        <v>0</v>
      </c>
      <c r="M1850" s="45">
        <f t="shared" si="86"/>
        <v>1850</v>
      </c>
      <c r="N1850" s="38">
        <f>HLOOKUP("Host",'vInfo (Imported)'!$1:$5000,M1850,FALSE)</f>
        <v>0</v>
      </c>
      <c r="R1850">
        <f>HLOOKUP("CPUs",'vInfo (Imported)'!$1:$5000,M1850,FALSE)</f>
        <v>0</v>
      </c>
      <c r="S1850">
        <f>HLOOKUP("Memory",'vInfo (Imported)'!$1:$5000,M1850,FALSE)</f>
        <v>0</v>
      </c>
      <c r="T1850">
        <f>HLOOKUP("Provisioned MiB",'vInfo (Imported)'!$1:$5000,M1850,FALSE)</f>
        <v>0</v>
      </c>
      <c r="U1850">
        <f t="shared" si="85"/>
        <v>0</v>
      </c>
      <c r="V1850">
        <f>HLOOKUP("In Use MiB",'vInfo (Imported)'!$1:$5000,M1850,FALSE)</f>
        <v>0</v>
      </c>
    </row>
    <row r="1851" spans="1:22" ht="13" x14ac:dyDescent="0.3">
      <c r="A1851" s="46">
        <f>'vHosts (Imported)'!A1851</f>
        <v>0</v>
      </c>
      <c r="B1851" s="51">
        <f t="shared" si="87"/>
        <v>4968</v>
      </c>
      <c r="C1851" s="49">
        <f>HLOOKUP("# Cores",'vHosts (Imported)'!$1:$5000,M1851,FALSE)</f>
        <v>0</v>
      </c>
      <c r="D1851" s="52">
        <f>HLOOKUP("# Memory",'vHosts (Imported)'!$1:$5000,M1851,FALSE)</f>
        <v>0</v>
      </c>
      <c r="M1851" s="45">
        <f t="shared" si="86"/>
        <v>1851</v>
      </c>
      <c r="N1851" s="38">
        <f>HLOOKUP("Host",'vInfo (Imported)'!$1:$5000,M1851,FALSE)</f>
        <v>0</v>
      </c>
      <c r="R1851">
        <f>HLOOKUP("CPUs",'vInfo (Imported)'!$1:$5000,M1851,FALSE)</f>
        <v>0</v>
      </c>
      <c r="S1851">
        <f>HLOOKUP("Memory",'vInfo (Imported)'!$1:$5000,M1851,FALSE)</f>
        <v>0</v>
      </c>
      <c r="T1851">
        <f>HLOOKUP("Provisioned MiB",'vInfo (Imported)'!$1:$5000,M1851,FALSE)</f>
        <v>0</v>
      </c>
      <c r="U1851">
        <f t="shared" si="85"/>
        <v>0</v>
      </c>
      <c r="V1851">
        <f>HLOOKUP("In Use MiB",'vInfo (Imported)'!$1:$5000,M1851,FALSE)</f>
        <v>0</v>
      </c>
    </row>
    <row r="1852" spans="1:22" ht="13" x14ac:dyDescent="0.3">
      <c r="A1852" s="46">
        <f>'vHosts (Imported)'!A1852</f>
        <v>0</v>
      </c>
      <c r="B1852" s="51">
        <f t="shared" si="87"/>
        <v>4968</v>
      </c>
      <c r="C1852" s="49">
        <f>HLOOKUP("# Cores",'vHosts (Imported)'!$1:$5000,M1852,FALSE)</f>
        <v>0</v>
      </c>
      <c r="D1852" s="52">
        <f>HLOOKUP("# Memory",'vHosts (Imported)'!$1:$5000,M1852,FALSE)</f>
        <v>0</v>
      </c>
      <c r="M1852" s="45">
        <f t="shared" si="86"/>
        <v>1852</v>
      </c>
      <c r="N1852" s="38">
        <f>HLOOKUP("Host",'vInfo (Imported)'!$1:$5000,M1852,FALSE)</f>
        <v>0</v>
      </c>
      <c r="R1852">
        <f>HLOOKUP("CPUs",'vInfo (Imported)'!$1:$5000,M1852,FALSE)</f>
        <v>0</v>
      </c>
      <c r="S1852">
        <f>HLOOKUP("Memory",'vInfo (Imported)'!$1:$5000,M1852,FALSE)</f>
        <v>0</v>
      </c>
      <c r="T1852">
        <f>HLOOKUP("Provisioned MiB",'vInfo (Imported)'!$1:$5000,M1852,FALSE)</f>
        <v>0</v>
      </c>
      <c r="U1852">
        <f t="shared" si="85"/>
        <v>0</v>
      </c>
      <c r="V1852">
        <f>HLOOKUP("In Use MiB",'vInfo (Imported)'!$1:$5000,M1852,FALSE)</f>
        <v>0</v>
      </c>
    </row>
    <row r="1853" spans="1:22" ht="13" x14ac:dyDescent="0.3">
      <c r="A1853" s="46">
        <f>'vHosts (Imported)'!A1853</f>
        <v>0</v>
      </c>
      <c r="B1853" s="51">
        <f t="shared" si="87"/>
        <v>4968</v>
      </c>
      <c r="C1853" s="49">
        <f>HLOOKUP("# Cores",'vHosts (Imported)'!$1:$5000,M1853,FALSE)</f>
        <v>0</v>
      </c>
      <c r="D1853" s="52">
        <f>HLOOKUP("# Memory",'vHosts (Imported)'!$1:$5000,M1853,FALSE)</f>
        <v>0</v>
      </c>
      <c r="M1853" s="45">
        <f t="shared" si="86"/>
        <v>1853</v>
      </c>
      <c r="N1853" s="38">
        <f>HLOOKUP("Host",'vInfo (Imported)'!$1:$5000,M1853,FALSE)</f>
        <v>0</v>
      </c>
      <c r="R1853">
        <f>HLOOKUP("CPUs",'vInfo (Imported)'!$1:$5000,M1853,FALSE)</f>
        <v>0</v>
      </c>
      <c r="S1853">
        <f>HLOOKUP("Memory",'vInfo (Imported)'!$1:$5000,M1853,FALSE)</f>
        <v>0</v>
      </c>
      <c r="T1853">
        <f>HLOOKUP("Provisioned MiB",'vInfo (Imported)'!$1:$5000,M1853,FALSE)</f>
        <v>0</v>
      </c>
      <c r="U1853">
        <f t="shared" si="85"/>
        <v>0</v>
      </c>
      <c r="V1853">
        <f>HLOOKUP("In Use MiB",'vInfo (Imported)'!$1:$5000,M1853,FALSE)</f>
        <v>0</v>
      </c>
    </row>
    <row r="1854" spans="1:22" ht="13" x14ac:dyDescent="0.3">
      <c r="A1854" s="46">
        <f>'vHosts (Imported)'!A1854</f>
        <v>0</v>
      </c>
      <c r="B1854" s="51">
        <f t="shared" si="87"/>
        <v>4968</v>
      </c>
      <c r="C1854" s="49">
        <f>HLOOKUP("# Cores",'vHosts (Imported)'!$1:$5000,M1854,FALSE)</f>
        <v>0</v>
      </c>
      <c r="D1854" s="52">
        <f>HLOOKUP("# Memory",'vHosts (Imported)'!$1:$5000,M1854,FALSE)</f>
        <v>0</v>
      </c>
      <c r="M1854" s="45">
        <f t="shared" si="86"/>
        <v>1854</v>
      </c>
      <c r="N1854" s="38">
        <f>HLOOKUP("Host",'vInfo (Imported)'!$1:$5000,M1854,FALSE)</f>
        <v>0</v>
      </c>
      <c r="R1854">
        <f>HLOOKUP("CPUs",'vInfo (Imported)'!$1:$5000,M1854,FALSE)</f>
        <v>0</v>
      </c>
      <c r="S1854">
        <f>HLOOKUP("Memory",'vInfo (Imported)'!$1:$5000,M1854,FALSE)</f>
        <v>0</v>
      </c>
      <c r="T1854">
        <f>HLOOKUP("Provisioned MiB",'vInfo (Imported)'!$1:$5000,M1854,FALSE)</f>
        <v>0</v>
      </c>
      <c r="U1854">
        <f t="shared" si="85"/>
        <v>0</v>
      </c>
      <c r="V1854">
        <f>HLOOKUP("In Use MiB",'vInfo (Imported)'!$1:$5000,M1854,FALSE)</f>
        <v>0</v>
      </c>
    </row>
    <row r="1855" spans="1:22" ht="13" x14ac:dyDescent="0.3">
      <c r="A1855" s="46">
        <f>'vHosts (Imported)'!A1855</f>
        <v>0</v>
      </c>
      <c r="B1855" s="51">
        <f t="shared" si="87"/>
        <v>4968</v>
      </c>
      <c r="C1855" s="49">
        <f>HLOOKUP("# Cores",'vHosts (Imported)'!$1:$5000,M1855,FALSE)</f>
        <v>0</v>
      </c>
      <c r="D1855" s="52">
        <f>HLOOKUP("# Memory",'vHosts (Imported)'!$1:$5000,M1855,FALSE)</f>
        <v>0</v>
      </c>
      <c r="M1855" s="45">
        <f t="shared" si="86"/>
        <v>1855</v>
      </c>
      <c r="N1855" s="38">
        <f>HLOOKUP("Host",'vInfo (Imported)'!$1:$5000,M1855,FALSE)</f>
        <v>0</v>
      </c>
      <c r="R1855">
        <f>HLOOKUP("CPUs",'vInfo (Imported)'!$1:$5000,M1855,FALSE)</f>
        <v>0</v>
      </c>
      <c r="S1855">
        <f>HLOOKUP("Memory",'vInfo (Imported)'!$1:$5000,M1855,FALSE)</f>
        <v>0</v>
      </c>
      <c r="T1855">
        <f>HLOOKUP("Provisioned MiB",'vInfo (Imported)'!$1:$5000,M1855,FALSE)</f>
        <v>0</v>
      </c>
      <c r="U1855">
        <f t="shared" si="85"/>
        <v>0</v>
      </c>
      <c r="V1855">
        <f>HLOOKUP("In Use MiB",'vInfo (Imported)'!$1:$5000,M1855,FALSE)</f>
        <v>0</v>
      </c>
    </row>
    <row r="1856" spans="1:22" ht="13" x14ac:dyDescent="0.3">
      <c r="A1856" s="46">
        <f>'vHosts (Imported)'!A1856</f>
        <v>0</v>
      </c>
      <c r="B1856" s="51">
        <f t="shared" si="87"/>
        <v>4968</v>
      </c>
      <c r="C1856" s="49">
        <f>HLOOKUP("# Cores",'vHosts (Imported)'!$1:$5000,M1856,FALSE)</f>
        <v>0</v>
      </c>
      <c r="D1856" s="52">
        <f>HLOOKUP("# Memory",'vHosts (Imported)'!$1:$5000,M1856,FALSE)</f>
        <v>0</v>
      </c>
      <c r="M1856" s="45">
        <f t="shared" si="86"/>
        <v>1856</v>
      </c>
      <c r="N1856" s="38">
        <f>HLOOKUP("Host",'vInfo (Imported)'!$1:$5000,M1856,FALSE)</f>
        <v>0</v>
      </c>
      <c r="R1856">
        <f>HLOOKUP("CPUs",'vInfo (Imported)'!$1:$5000,M1856,FALSE)</f>
        <v>0</v>
      </c>
      <c r="S1856">
        <f>HLOOKUP("Memory",'vInfo (Imported)'!$1:$5000,M1856,FALSE)</f>
        <v>0</v>
      </c>
      <c r="T1856">
        <f>HLOOKUP("Provisioned MiB",'vInfo (Imported)'!$1:$5000,M1856,FALSE)</f>
        <v>0</v>
      </c>
      <c r="U1856">
        <f t="shared" si="85"/>
        <v>0</v>
      </c>
      <c r="V1856">
        <f>HLOOKUP("In Use MiB",'vInfo (Imported)'!$1:$5000,M1856,FALSE)</f>
        <v>0</v>
      </c>
    </row>
    <row r="1857" spans="1:22" ht="13" x14ac:dyDescent="0.3">
      <c r="A1857" s="46">
        <f>'vHosts (Imported)'!A1857</f>
        <v>0</v>
      </c>
      <c r="B1857" s="51">
        <f t="shared" si="87"/>
        <v>4968</v>
      </c>
      <c r="C1857" s="49">
        <f>HLOOKUP("# Cores",'vHosts (Imported)'!$1:$5000,M1857,FALSE)</f>
        <v>0</v>
      </c>
      <c r="D1857" s="52">
        <f>HLOOKUP("# Memory",'vHosts (Imported)'!$1:$5000,M1857,FALSE)</f>
        <v>0</v>
      </c>
      <c r="M1857" s="45">
        <f t="shared" si="86"/>
        <v>1857</v>
      </c>
      <c r="N1857" s="38">
        <f>HLOOKUP("Host",'vInfo (Imported)'!$1:$5000,M1857,FALSE)</f>
        <v>0</v>
      </c>
      <c r="R1857">
        <f>HLOOKUP("CPUs",'vInfo (Imported)'!$1:$5000,M1857,FALSE)</f>
        <v>0</v>
      </c>
      <c r="S1857">
        <f>HLOOKUP("Memory",'vInfo (Imported)'!$1:$5000,M1857,FALSE)</f>
        <v>0</v>
      </c>
      <c r="T1857">
        <f>HLOOKUP("Provisioned MiB",'vInfo (Imported)'!$1:$5000,M1857,FALSE)</f>
        <v>0</v>
      </c>
      <c r="U1857">
        <f t="shared" si="85"/>
        <v>0</v>
      </c>
      <c r="V1857">
        <f>HLOOKUP("In Use MiB",'vInfo (Imported)'!$1:$5000,M1857,FALSE)</f>
        <v>0</v>
      </c>
    </row>
    <row r="1858" spans="1:22" ht="13" x14ac:dyDescent="0.3">
      <c r="A1858" s="46">
        <f>'vHosts (Imported)'!A1858</f>
        <v>0</v>
      </c>
      <c r="B1858" s="51">
        <f t="shared" si="87"/>
        <v>4968</v>
      </c>
      <c r="C1858" s="49">
        <f>HLOOKUP("# Cores",'vHosts (Imported)'!$1:$5000,M1858,FALSE)</f>
        <v>0</v>
      </c>
      <c r="D1858" s="52">
        <f>HLOOKUP("# Memory",'vHosts (Imported)'!$1:$5000,M1858,FALSE)</f>
        <v>0</v>
      </c>
      <c r="M1858" s="45">
        <f t="shared" si="86"/>
        <v>1858</v>
      </c>
      <c r="N1858" s="38">
        <f>HLOOKUP("Host",'vInfo (Imported)'!$1:$5000,M1858,FALSE)</f>
        <v>0</v>
      </c>
      <c r="R1858">
        <f>HLOOKUP("CPUs",'vInfo (Imported)'!$1:$5000,M1858,FALSE)</f>
        <v>0</v>
      </c>
      <c r="S1858">
        <f>HLOOKUP("Memory",'vInfo (Imported)'!$1:$5000,M1858,FALSE)</f>
        <v>0</v>
      </c>
      <c r="T1858">
        <f>HLOOKUP("Provisioned MiB",'vInfo (Imported)'!$1:$5000,M1858,FALSE)</f>
        <v>0</v>
      </c>
      <c r="U1858">
        <f t="shared" si="85"/>
        <v>0</v>
      </c>
      <c r="V1858">
        <f>HLOOKUP("In Use MiB",'vInfo (Imported)'!$1:$5000,M1858,FALSE)</f>
        <v>0</v>
      </c>
    </row>
    <row r="1859" spans="1:22" ht="13" x14ac:dyDescent="0.3">
      <c r="A1859" s="46">
        <f>'vHosts (Imported)'!A1859</f>
        <v>0</v>
      </c>
      <c r="B1859" s="51">
        <f t="shared" si="87"/>
        <v>4968</v>
      </c>
      <c r="C1859" s="49">
        <f>HLOOKUP("# Cores",'vHosts (Imported)'!$1:$5000,M1859,FALSE)</f>
        <v>0</v>
      </c>
      <c r="D1859" s="52">
        <f>HLOOKUP("# Memory",'vHosts (Imported)'!$1:$5000,M1859,FALSE)</f>
        <v>0</v>
      </c>
      <c r="M1859" s="45">
        <f t="shared" si="86"/>
        <v>1859</v>
      </c>
      <c r="N1859" s="38">
        <f>HLOOKUP("Host",'vInfo (Imported)'!$1:$5000,M1859,FALSE)</f>
        <v>0</v>
      </c>
      <c r="R1859">
        <f>HLOOKUP("CPUs",'vInfo (Imported)'!$1:$5000,M1859,FALSE)</f>
        <v>0</v>
      </c>
      <c r="S1859">
        <f>HLOOKUP("Memory",'vInfo (Imported)'!$1:$5000,M1859,FALSE)</f>
        <v>0</v>
      </c>
      <c r="T1859">
        <f>HLOOKUP("Provisioned MiB",'vInfo (Imported)'!$1:$5000,M1859,FALSE)</f>
        <v>0</v>
      </c>
      <c r="U1859">
        <f t="shared" ref="U1859:U1922" si="88">T1859-V1859</f>
        <v>0</v>
      </c>
      <c r="V1859">
        <f>HLOOKUP("In Use MiB",'vInfo (Imported)'!$1:$5000,M1859,FALSE)</f>
        <v>0</v>
      </c>
    </row>
    <row r="1860" spans="1:22" ht="13" x14ac:dyDescent="0.3">
      <c r="A1860" s="46">
        <f>'vHosts (Imported)'!A1860</f>
        <v>0</v>
      </c>
      <c r="B1860" s="51">
        <f t="shared" si="87"/>
        <v>4968</v>
      </c>
      <c r="C1860" s="49">
        <f>HLOOKUP("# Cores",'vHosts (Imported)'!$1:$5000,M1860,FALSE)</f>
        <v>0</v>
      </c>
      <c r="D1860" s="52">
        <f>HLOOKUP("# Memory",'vHosts (Imported)'!$1:$5000,M1860,FALSE)</f>
        <v>0</v>
      </c>
      <c r="M1860" s="45">
        <f t="shared" ref="M1860:M1923" si="89">M1859+1</f>
        <v>1860</v>
      </c>
      <c r="N1860" s="38">
        <f>HLOOKUP("Host",'vInfo (Imported)'!$1:$5000,M1860,FALSE)</f>
        <v>0</v>
      </c>
      <c r="R1860">
        <f>HLOOKUP("CPUs",'vInfo (Imported)'!$1:$5000,M1860,FALSE)</f>
        <v>0</v>
      </c>
      <c r="S1860">
        <f>HLOOKUP("Memory",'vInfo (Imported)'!$1:$5000,M1860,FALSE)</f>
        <v>0</v>
      </c>
      <c r="T1860">
        <f>HLOOKUP("Provisioned MiB",'vInfo (Imported)'!$1:$5000,M1860,FALSE)</f>
        <v>0</v>
      </c>
      <c r="U1860">
        <f t="shared" si="88"/>
        <v>0</v>
      </c>
      <c r="V1860">
        <f>HLOOKUP("In Use MiB",'vInfo (Imported)'!$1:$5000,M1860,FALSE)</f>
        <v>0</v>
      </c>
    </row>
    <row r="1861" spans="1:22" ht="13" x14ac:dyDescent="0.3">
      <c r="A1861" s="46">
        <f>'vHosts (Imported)'!A1861</f>
        <v>0</v>
      </c>
      <c r="B1861" s="51">
        <f t="shared" si="87"/>
        <v>4968</v>
      </c>
      <c r="C1861" s="49">
        <f>HLOOKUP("# Cores",'vHosts (Imported)'!$1:$5000,M1861,FALSE)</f>
        <v>0</v>
      </c>
      <c r="D1861" s="52">
        <f>HLOOKUP("# Memory",'vHosts (Imported)'!$1:$5000,M1861,FALSE)</f>
        <v>0</v>
      </c>
      <c r="M1861" s="45">
        <f t="shared" si="89"/>
        <v>1861</v>
      </c>
      <c r="N1861" s="38">
        <f>HLOOKUP("Host",'vInfo (Imported)'!$1:$5000,M1861,FALSE)</f>
        <v>0</v>
      </c>
      <c r="R1861">
        <f>HLOOKUP("CPUs",'vInfo (Imported)'!$1:$5000,M1861,FALSE)</f>
        <v>0</v>
      </c>
      <c r="S1861">
        <f>HLOOKUP("Memory",'vInfo (Imported)'!$1:$5000,M1861,FALSE)</f>
        <v>0</v>
      </c>
      <c r="T1861">
        <f>HLOOKUP("Provisioned MiB",'vInfo (Imported)'!$1:$5000,M1861,FALSE)</f>
        <v>0</v>
      </c>
      <c r="U1861">
        <f t="shared" si="88"/>
        <v>0</v>
      </c>
      <c r="V1861">
        <f>HLOOKUP("In Use MiB",'vInfo (Imported)'!$1:$5000,M1861,FALSE)</f>
        <v>0</v>
      </c>
    </row>
    <row r="1862" spans="1:22" ht="13" x14ac:dyDescent="0.3">
      <c r="A1862" s="46">
        <f>'vHosts (Imported)'!A1862</f>
        <v>0</v>
      </c>
      <c r="B1862" s="51">
        <f t="shared" si="87"/>
        <v>4968</v>
      </c>
      <c r="C1862" s="49">
        <f>HLOOKUP("# Cores",'vHosts (Imported)'!$1:$5000,M1862,FALSE)</f>
        <v>0</v>
      </c>
      <c r="D1862" s="52">
        <f>HLOOKUP("# Memory",'vHosts (Imported)'!$1:$5000,M1862,FALSE)</f>
        <v>0</v>
      </c>
      <c r="M1862" s="45">
        <f t="shared" si="89"/>
        <v>1862</v>
      </c>
      <c r="N1862" s="38">
        <f>HLOOKUP("Host",'vInfo (Imported)'!$1:$5000,M1862,FALSE)</f>
        <v>0</v>
      </c>
      <c r="R1862">
        <f>HLOOKUP("CPUs",'vInfo (Imported)'!$1:$5000,M1862,FALSE)</f>
        <v>0</v>
      </c>
      <c r="S1862">
        <f>HLOOKUP("Memory",'vInfo (Imported)'!$1:$5000,M1862,FALSE)</f>
        <v>0</v>
      </c>
      <c r="T1862">
        <f>HLOOKUP("Provisioned MiB",'vInfo (Imported)'!$1:$5000,M1862,FALSE)</f>
        <v>0</v>
      </c>
      <c r="U1862">
        <f t="shared" si="88"/>
        <v>0</v>
      </c>
      <c r="V1862">
        <f>HLOOKUP("In Use MiB",'vInfo (Imported)'!$1:$5000,M1862,FALSE)</f>
        <v>0</v>
      </c>
    </row>
    <row r="1863" spans="1:22" ht="13" x14ac:dyDescent="0.3">
      <c r="A1863" s="46">
        <f>'vHosts (Imported)'!A1863</f>
        <v>0</v>
      </c>
      <c r="B1863" s="51">
        <f t="shared" si="87"/>
        <v>4968</v>
      </c>
      <c r="C1863" s="49">
        <f>HLOOKUP("# Cores",'vHosts (Imported)'!$1:$5000,M1863,FALSE)</f>
        <v>0</v>
      </c>
      <c r="D1863" s="52">
        <f>HLOOKUP("# Memory",'vHosts (Imported)'!$1:$5000,M1863,FALSE)</f>
        <v>0</v>
      </c>
      <c r="M1863" s="45">
        <f t="shared" si="89"/>
        <v>1863</v>
      </c>
      <c r="N1863" s="38">
        <f>HLOOKUP("Host",'vInfo (Imported)'!$1:$5000,M1863,FALSE)</f>
        <v>0</v>
      </c>
      <c r="R1863">
        <f>HLOOKUP("CPUs",'vInfo (Imported)'!$1:$5000,M1863,FALSE)</f>
        <v>0</v>
      </c>
      <c r="S1863">
        <f>HLOOKUP("Memory",'vInfo (Imported)'!$1:$5000,M1863,FALSE)</f>
        <v>0</v>
      </c>
      <c r="T1863">
        <f>HLOOKUP("Provisioned MiB",'vInfo (Imported)'!$1:$5000,M1863,FALSE)</f>
        <v>0</v>
      </c>
      <c r="U1863">
        <f t="shared" si="88"/>
        <v>0</v>
      </c>
      <c r="V1863">
        <f>HLOOKUP("In Use MiB",'vInfo (Imported)'!$1:$5000,M1863,FALSE)</f>
        <v>0</v>
      </c>
    </row>
    <row r="1864" spans="1:22" ht="13" x14ac:dyDescent="0.3">
      <c r="A1864" s="46">
        <f>'vHosts (Imported)'!A1864</f>
        <v>0</v>
      </c>
      <c r="B1864" s="51">
        <f t="shared" si="87"/>
        <v>4968</v>
      </c>
      <c r="C1864" s="49">
        <f>HLOOKUP("# Cores",'vHosts (Imported)'!$1:$5000,M1864,FALSE)</f>
        <v>0</v>
      </c>
      <c r="D1864" s="52">
        <f>HLOOKUP("# Memory",'vHosts (Imported)'!$1:$5000,M1864,FALSE)</f>
        <v>0</v>
      </c>
      <c r="M1864" s="45">
        <f t="shared" si="89"/>
        <v>1864</v>
      </c>
      <c r="N1864" s="38">
        <f>HLOOKUP("Host",'vInfo (Imported)'!$1:$5000,M1864,FALSE)</f>
        <v>0</v>
      </c>
      <c r="R1864">
        <f>HLOOKUP("CPUs",'vInfo (Imported)'!$1:$5000,M1864,FALSE)</f>
        <v>0</v>
      </c>
      <c r="S1864">
        <f>HLOOKUP("Memory",'vInfo (Imported)'!$1:$5000,M1864,FALSE)</f>
        <v>0</v>
      </c>
      <c r="T1864">
        <f>HLOOKUP("Provisioned MiB",'vInfo (Imported)'!$1:$5000,M1864,FALSE)</f>
        <v>0</v>
      </c>
      <c r="U1864">
        <f t="shared" si="88"/>
        <v>0</v>
      </c>
      <c r="V1864">
        <f>HLOOKUP("In Use MiB",'vInfo (Imported)'!$1:$5000,M1864,FALSE)</f>
        <v>0</v>
      </c>
    </row>
    <row r="1865" spans="1:22" ht="13" x14ac:dyDescent="0.3">
      <c r="A1865" s="46">
        <f>'vHosts (Imported)'!A1865</f>
        <v>0</v>
      </c>
      <c r="B1865" s="51">
        <f t="shared" si="87"/>
        <v>4968</v>
      </c>
      <c r="C1865" s="49">
        <f>HLOOKUP("# Cores",'vHosts (Imported)'!$1:$5000,M1865,FALSE)</f>
        <v>0</v>
      </c>
      <c r="D1865" s="52">
        <f>HLOOKUP("# Memory",'vHosts (Imported)'!$1:$5000,M1865,FALSE)</f>
        <v>0</v>
      </c>
      <c r="M1865" s="45">
        <f t="shared" si="89"/>
        <v>1865</v>
      </c>
      <c r="N1865" s="38">
        <f>HLOOKUP("Host",'vInfo (Imported)'!$1:$5000,M1865,FALSE)</f>
        <v>0</v>
      </c>
      <c r="R1865">
        <f>HLOOKUP("CPUs",'vInfo (Imported)'!$1:$5000,M1865,FALSE)</f>
        <v>0</v>
      </c>
      <c r="S1865">
        <f>HLOOKUP("Memory",'vInfo (Imported)'!$1:$5000,M1865,FALSE)</f>
        <v>0</v>
      </c>
      <c r="T1865">
        <f>HLOOKUP("Provisioned MiB",'vInfo (Imported)'!$1:$5000,M1865,FALSE)</f>
        <v>0</v>
      </c>
      <c r="U1865">
        <f t="shared" si="88"/>
        <v>0</v>
      </c>
      <c r="V1865">
        <f>HLOOKUP("In Use MiB",'vInfo (Imported)'!$1:$5000,M1865,FALSE)</f>
        <v>0</v>
      </c>
    </row>
    <row r="1866" spans="1:22" ht="13" x14ac:dyDescent="0.3">
      <c r="A1866" s="46">
        <f>'vHosts (Imported)'!A1866</f>
        <v>0</v>
      </c>
      <c r="B1866" s="51">
        <f t="shared" si="87"/>
        <v>4968</v>
      </c>
      <c r="C1866" s="49">
        <f>HLOOKUP("# Cores",'vHosts (Imported)'!$1:$5000,M1866,FALSE)</f>
        <v>0</v>
      </c>
      <c r="D1866" s="52">
        <f>HLOOKUP("# Memory",'vHosts (Imported)'!$1:$5000,M1866,FALSE)</f>
        <v>0</v>
      </c>
      <c r="M1866" s="45">
        <f t="shared" si="89"/>
        <v>1866</v>
      </c>
      <c r="N1866" s="38">
        <f>HLOOKUP("Host",'vInfo (Imported)'!$1:$5000,M1866,FALSE)</f>
        <v>0</v>
      </c>
      <c r="R1866">
        <f>HLOOKUP("CPUs",'vInfo (Imported)'!$1:$5000,M1866,FALSE)</f>
        <v>0</v>
      </c>
      <c r="S1866">
        <f>HLOOKUP("Memory",'vInfo (Imported)'!$1:$5000,M1866,FALSE)</f>
        <v>0</v>
      </c>
      <c r="T1866">
        <f>HLOOKUP("Provisioned MiB",'vInfo (Imported)'!$1:$5000,M1866,FALSE)</f>
        <v>0</v>
      </c>
      <c r="U1866">
        <f t="shared" si="88"/>
        <v>0</v>
      </c>
      <c r="V1866">
        <f>HLOOKUP("In Use MiB",'vInfo (Imported)'!$1:$5000,M1866,FALSE)</f>
        <v>0</v>
      </c>
    </row>
    <row r="1867" spans="1:22" ht="13" x14ac:dyDescent="0.3">
      <c r="A1867" s="46">
        <f>'vHosts (Imported)'!A1867</f>
        <v>0</v>
      </c>
      <c r="B1867" s="51">
        <f t="shared" si="87"/>
        <v>4968</v>
      </c>
      <c r="C1867" s="49">
        <f>HLOOKUP("# Cores",'vHosts (Imported)'!$1:$5000,M1867,FALSE)</f>
        <v>0</v>
      </c>
      <c r="D1867" s="52">
        <f>HLOOKUP("# Memory",'vHosts (Imported)'!$1:$5000,M1867,FALSE)</f>
        <v>0</v>
      </c>
      <c r="M1867" s="45">
        <f t="shared" si="89"/>
        <v>1867</v>
      </c>
      <c r="N1867" s="38">
        <f>HLOOKUP("Host",'vInfo (Imported)'!$1:$5000,M1867,FALSE)</f>
        <v>0</v>
      </c>
      <c r="R1867">
        <f>HLOOKUP("CPUs",'vInfo (Imported)'!$1:$5000,M1867,FALSE)</f>
        <v>0</v>
      </c>
      <c r="S1867">
        <f>HLOOKUP("Memory",'vInfo (Imported)'!$1:$5000,M1867,FALSE)</f>
        <v>0</v>
      </c>
      <c r="T1867">
        <f>HLOOKUP("Provisioned MiB",'vInfo (Imported)'!$1:$5000,M1867,FALSE)</f>
        <v>0</v>
      </c>
      <c r="U1867">
        <f t="shared" si="88"/>
        <v>0</v>
      </c>
      <c r="V1867">
        <f>HLOOKUP("In Use MiB",'vInfo (Imported)'!$1:$5000,M1867,FALSE)</f>
        <v>0</v>
      </c>
    </row>
    <row r="1868" spans="1:22" ht="13" x14ac:dyDescent="0.3">
      <c r="A1868" s="46">
        <f>'vHosts (Imported)'!A1868</f>
        <v>0</v>
      </c>
      <c r="B1868" s="51">
        <f t="shared" si="87"/>
        <v>4968</v>
      </c>
      <c r="C1868" s="49">
        <f>HLOOKUP("# Cores",'vHosts (Imported)'!$1:$5000,M1868,FALSE)</f>
        <v>0</v>
      </c>
      <c r="D1868" s="52">
        <f>HLOOKUP("# Memory",'vHosts (Imported)'!$1:$5000,M1868,FALSE)</f>
        <v>0</v>
      </c>
      <c r="M1868" s="45">
        <f t="shared" si="89"/>
        <v>1868</v>
      </c>
      <c r="N1868" s="38">
        <f>HLOOKUP("Host",'vInfo (Imported)'!$1:$5000,M1868,FALSE)</f>
        <v>0</v>
      </c>
      <c r="R1868">
        <f>HLOOKUP("CPUs",'vInfo (Imported)'!$1:$5000,M1868,FALSE)</f>
        <v>0</v>
      </c>
      <c r="S1868">
        <f>HLOOKUP("Memory",'vInfo (Imported)'!$1:$5000,M1868,FALSE)</f>
        <v>0</v>
      </c>
      <c r="T1868">
        <f>HLOOKUP("Provisioned MiB",'vInfo (Imported)'!$1:$5000,M1868,FALSE)</f>
        <v>0</v>
      </c>
      <c r="U1868">
        <f t="shared" si="88"/>
        <v>0</v>
      </c>
      <c r="V1868">
        <f>HLOOKUP("In Use MiB",'vInfo (Imported)'!$1:$5000,M1868,FALSE)</f>
        <v>0</v>
      </c>
    </row>
    <row r="1869" spans="1:22" ht="13" x14ac:dyDescent="0.3">
      <c r="A1869" s="46">
        <f>'vHosts (Imported)'!A1869</f>
        <v>0</v>
      </c>
      <c r="B1869" s="51">
        <f t="shared" si="87"/>
        <v>4968</v>
      </c>
      <c r="C1869" s="49">
        <f>HLOOKUP("# Cores",'vHosts (Imported)'!$1:$5000,M1869,FALSE)</f>
        <v>0</v>
      </c>
      <c r="D1869" s="52">
        <f>HLOOKUP("# Memory",'vHosts (Imported)'!$1:$5000,M1869,FALSE)</f>
        <v>0</v>
      </c>
      <c r="M1869" s="45">
        <f t="shared" si="89"/>
        <v>1869</v>
      </c>
      <c r="N1869" s="38">
        <f>HLOOKUP("Host",'vInfo (Imported)'!$1:$5000,M1869,FALSE)</f>
        <v>0</v>
      </c>
      <c r="R1869">
        <f>HLOOKUP("CPUs",'vInfo (Imported)'!$1:$5000,M1869,FALSE)</f>
        <v>0</v>
      </c>
      <c r="S1869">
        <f>HLOOKUP("Memory",'vInfo (Imported)'!$1:$5000,M1869,FALSE)</f>
        <v>0</v>
      </c>
      <c r="T1869">
        <f>HLOOKUP("Provisioned MiB",'vInfo (Imported)'!$1:$5000,M1869,FALSE)</f>
        <v>0</v>
      </c>
      <c r="U1869">
        <f t="shared" si="88"/>
        <v>0</v>
      </c>
      <c r="V1869">
        <f>HLOOKUP("In Use MiB",'vInfo (Imported)'!$1:$5000,M1869,FALSE)</f>
        <v>0</v>
      </c>
    </row>
    <row r="1870" spans="1:22" ht="13" x14ac:dyDescent="0.3">
      <c r="A1870" s="46">
        <f>'vHosts (Imported)'!A1870</f>
        <v>0</v>
      </c>
      <c r="B1870" s="51">
        <f t="shared" si="87"/>
        <v>4968</v>
      </c>
      <c r="C1870" s="49">
        <f>HLOOKUP("# Cores",'vHosts (Imported)'!$1:$5000,M1870,FALSE)</f>
        <v>0</v>
      </c>
      <c r="D1870" s="52">
        <f>HLOOKUP("# Memory",'vHosts (Imported)'!$1:$5000,M1870,FALSE)</f>
        <v>0</v>
      </c>
      <c r="M1870" s="45">
        <f t="shared" si="89"/>
        <v>1870</v>
      </c>
      <c r="N1870" s="38">
        <f>HLOOKUP("Host",'vInfo (Imported)'!$1:$5000,M1870,FALSE)</f>
        <v>0</v>
      </c>
      <c r="R1870">
        <f>HLOOKUP("CPUs",'vInfo (Imported)'!$1:$5000,M1870,FALSE)</f>
        <v>0</v>
      </c>
      <c r="S1870">
        <f>HLOOKUP("Memory",'vInfo (Imported)'!$1:$5000,M1870,FALSE)</f>
        <v>0</v>
      </c>
      <c r="T1870">
        <f>HLOOKUP("Provisioned MiB",'vInfo (Imported)'!$1:$5000,M1870,FALSE)</f>
        <v>0</v>
      </c>
      <c r="U1870">
        <f t="shared" si="88"/>
        <v>0</v>
      </c>
      <c r="V1870">
        <f>HLOOKUP("In Use MiB",'vInfo (Imported)'!$1:$5000,M1870,FALSE)</f>
        <v>0</v>
      </c>
    </row>
    <row r="1871" spans="1:22" ht="13" x14ac:dyDescent="0.3">
      <c r="A1871" s="46">
        <f>'vHosts (Imported)'!A1871</f>
        <v>0</v>
      </c>
      <c r="B1871" s="51">
        <f t="shared" si="87"/>
        <v>4968</v>
      </c>
      <c r="C1871" s="49">
        <f>HLOOKUP("# Cores",'vHosts (Imported)'!$1:$5000,M1871,FALSE)</f>
        <v>0</v>
      </c>
      <c r="D1871" s="52">
        <f>HLOOKUP("# Memory",'vHosts (Imported)'!$1:$5000,M1871,FALSE)</f>
        <v>0</v>
      </c>
      <c r="M1871" s="45">
        <f t="shared" si="89"/>
        <v>1871</v>
      </c>
      <c r="N1871" s="38">
        <f>HLOOKUP("Host",'vInfo (Imported)'!$1:$5000,M1871,FALSE)</f>
        <v>0</v>
      </c>
      <c r="R1871">
        <f>HLOOKUP("CPUs",'vInfo (Imported)'!$1:$5000,M1871,FALSE)</f>
        <v>0</v>
      </c>
      <c r="S1871">
        <f>HLOOKUP("Memory",'vInfo (Imported)'!$1:$5000,M1871,FALSE)</f>
        <v>0</v>
      </c>
      <c r="T1871">
        <f>HLOOKUP("Provisioned MiB",'vInfo (Imported)'!$1:$5000,M1871,FALSE)</f>
        <v>0</v>
      </c>
      <c r="U1871">
        <f t="shared" si="88"/>
        <v>0</v>
      </c>
      <c r="V1871">
        <f>HLOOKUP("In Use MiB",'vInfo (Imported)'!$1:$5000,M1871,FALSE)</f>
        <v>0</v>
      </c>
    </row>
    <row r="1872" spans="1:22" ht="13" x14ac:dyDescent="0.3">
      <c r="A1872" s="46">
        <f>'vHosts (Imported)'!A1872</f>
        <v>0</v>
      </c>
      <c r="B1872" s="51">
        <f t="shared" si="87"/>
        <v>4968</v>
      </c>
      <c r="C1872" s="49">
        <f>HLOOKUP("# Cores",'vHosts (Imported)'!$1:$5000,M1872,FALSE)</f>
        <v>0</v>
      </c>
      <c r="D1872" s="52">
        <f>HLOOKUP("# Memory",'vHosts (Imported)'!$1:$5000,M1872,FALSE)</f>
        <v>0</v>
      </c>
      <c r="M1872" s="45">
        <f t="shared" si="89"/>
        <v>1872</v>
      </c>
      <c r="N1872" s="38">
        <f>HLOOKUP("Host",'vInfo (Imported)'!$1:$5000,M1872,FALSE)</f>
        <v>0</v>
      </c>
      <c r="R1872">
        <f>HLOOKUP("CPUs",'vInfo (Imported)'!$1:$5000,M1872,FALSE)</f>
        <v>0</v>
      </c>
      <c r="S1872">
        <f>HLOOKUP("Memory",'vInfo (Imported)'!$1:$5000,M1872,FALSE)</f>
        <v>0</v>
      </c>
      <c r="T1872">
        <f>HLOOKUP("Provisioned MiB",'vInfo (Imported)'!$1:$5000,M1872,FALSE)</f>
        <v>0</v>
      </c>
      <c r="U1872">
        <f t="shared" si="88"/>
        <v>0</v>
      </c>
      <c r="V1872">
        <f>HLOOKUP("In Use MiB",'vInfo (Imported)'!$1:$5000,M1872,FALSE)</f>
        <v>0</v>
      </c>
    </row>
    <row r="1873" spans="1:22" ht="13" x14ac:dyDescent="0.3">
      <c r="A1873" s="46">
        <f>'vHosts (Imported)'!A1873</f>
        <v>0</v>
      </c>
      <c r="B1873" s="51">
        <f t="shared" si="87"/>
        <v>4968</v>
      </c>
      <c r="C1873" s="49">
        <f>HLOOKUP("# Cores",'vHosts (Imported)'!$1:$5000,M1873,FALSE)</f>
        <v>0</v>
      </c>
      <c r="D1873" s="52">
        <f>HLOOKUP("# Memory",'vHosts (Imported)'!$1:$5000,M1873,FALSE)</f>
        <v>0</v>
      </c>
      <c r="M1873" s="45">
        <f t="shared" si="89"/>
        <v>1873</v>
      </c>
      <c r="N1873" s="38">
        <f>HLOOKUP("Host",'vInfo (Imported)'!$1:$5000,M1873,FALSE)</f>
        <v>0</v>
      </c>
      <c r="R1873">
        <f>HLOOKUP("CPUs",'vInfo (Imported)'!$1:$5000,M1873,FALSE)</f>
        <v>0</v>
      </c>
      <c r="S1873">
        <f>HLOOKUP("Memory",'vInfo (Imported)'!$1:$5000,M1873,FALSE)</f>
        <v>0</v>
      </c>
      <c r="T1873">
        <f>HLOOKUP("Provisioned MiB",'vInfo (Imported)'!$1:$5000,M1873,FALSE)</f>
        <v>0</v>
      </c>
      <c r="U1873">
        <f t="shared" si="88"/>
        <v>0</v>
      </c>
      <c r="V1873">
        <f>HLOOKUP("In Use MiB",'vInfo (Imported)'!$1:$5000,M1873,FALSE)</f>
        <v>0</v>
      </c>
    </row>
    <row r="1874" spans="1:22" ht="13" x14ac:dyDescent="0.3">
      <c r="A1874" s="46">
        <f>'vHosts (Imported)'!A1874</f>
        <v>0</v>
      </c>
      <c r="B1874" s="51">
        <f t="shared" si="87"/>
        <v>4968</v>
      </c>
      <c r="C1874" s="49">
        <f>HLOOKUP("# Cores",'vHosts (Imported)'!$1:$5000,M1874,FALSE)</f>
        <v>0</v>
      </c>
      <c r="D1874" s="52">
        <f>HLOOKUP("# Memory",'vHosts (Imported)'!$1:$5000,M1874,FALSE)</f>
        <v>0</v>
      </c>
      <c r="M1874" s="45">
        <f t="shared" si="89"/>
        <v>1874</v>
      </c>
      <c r="N1874" s="38">
        <f>HLOOKUP("Host",'vInfo (Imported)'!$1:$5000,M1874,FALSE)</f>
        <v>0</v>
      </c>
      <c r="R1874">
        <f>HLOOKUP("CPUs",'vInfo (Imported)'!$1:$5000,M1874,FALSE)</f>
        <v>0</v>
      </c>
      <c r="S1874">
        <f>HLOOKUP("Memory",'vInfo (Imported)'!$1:$5000,M1874,FALSE)</f>
        <v>0</v>
      </c>
      <c r="T1874">
        <f>HLOOKUP("Provisioned MiB",'vInfo (Imported)'!$1:$5000,M1874,FALSE)</f>
        <v>0</v>
      </c>
      <c r="U1874">
        <f t="shared" si="88"/>
        <v>0</v>
      </c>
      <c r="V1874">
        <f>HLOOKUP("In Use MiB",'vInfo (Imported)'!$1:$5000,M1874,FALSE)</f>
        <v>0</v>
      </c>
    </row>
    <row r="1875" spans="1:22" ht="13" x14ac:dyDescent="0.3">
      <c r="A1875" s="46">
        <f>'vHosts (Imported)'!A1875</f>
        <v>0</v>
      </c>
      <c r="B1875" s="51">
        <f t="shared" si="87"/>
        <v>4968</v>
      </c>
      <c r="C1875" s="49">
        <f>HLOOKUP("# Cores",'vHosts (Imported)'!$1:$5000,M1875,FALSE)</f>
        <v>0</v>
      </c>
      <c r="D1875" s="52">
        <f>HLOOKUP("# Memory",'vHosts (Imported)'!$1:$5000,M1875,FALSE)</f>
        <v>0</v>
      </c>
      <c r="M1875" s="45">
        <f t="shared" si="89"/>
        <v>1875</v>
      </c>
      <c r="N1875" s="38">
        <f>HLOOKUP("Host",'vInfo (Imported)'!$1:$5000,M1875,FALSE)</f>
        <v>0</v>
      </c>
      <c r="R1875">
        <f>HLOOKUP("CPUs",'vInfo (Imported)'!$1:$5000,M1875,FALSE)</f>
        <v>0</v>
      </c>
      <c r="S1875">
        <f>HLOOKUP("Memory",'vInfo (Imported)'!$1:$5000,M1875,FALSE)</f>
        <v>0</v>
      </c>
      <c r="T1875">
        <f>HLOOKUP("Provisioned MiB",'vInfo (Imported)'!$1:$5000,M1875,FALSE)</f>
        <v>0</v>
      </c>
      <c r="U1875">
        <f t="shared" si="88"/>
        <v>0</v>
      </c>
      <c r="V1875">
        <f>HLOOKUP("In Use MiB",'vInfo (Imported)'!$1:$5000,M1875,FALSE)</f>
        <v>0</v>
      </c>
    </row>
    <row r="1876" spans="1:22" ht="13" x14ac:dyDescent="0.3">
      <c r="A1876" s="46">
        <f>'vHosts (Imported)'!A1876</f>
        <v>0</v>
      </c>
      <c r="B1876" s="51">
        <f t="shared" si="87"/>
        <v>4968</v>
      </c>
      <c r="C1876" s="49">
        <f>HLOOKUP("# Cores",'vHosts (Imported)'!$1:$5000,M1876,FALSE)</f>
        <v>0</v>
      </c>
      <c r="D1876" s="52">
        <f>HLOOKUP("# Memory",'vHosts (Imported)'!$1:$5000,M1876,FALSE)</f>
        <v>0</v>
      </c>
      <c r="M1876" s="45">
        <f t="shared" si="89"/>
        <v>1876</v>
      </c>
      <c r="N1876" s="38">
        <f>HLOOKUP("Host",'vInfo (Imported)'!$1:$5000,M1876,FALSE)</f>
        <v>0</v>
      </c>
      <c r="R1876">
        <f>HLOOKUP("CPUs",'vInfo (Imported)'!$1:$5000,M1876,FALSE)</f>
        <v>0</v>
      </c>
      <c r="S1876">
        <f>HLOOKUP("Memory",'vInfo (Imported)'!$1:$5000,M1876,FALSE)</f>
        <v>0</v>
      </c>
      <c r="T1876">
        <f>HLOOKUP("Provisioned MiB",'vInfo (Imported)'!$1:$5000,M1876,FALSE)</f>
        <v>0</v>
      </c>
      <c r="U1876">
        <f t="shared" si="88"/>
        <v>0</v>
      </c>
      <c r="V1876">
        <f>HLOOKUP("In Use MiB",'vInfo (Imported)'!$1:$5000,M1876,FALSE)</f>
        <v>0</v>
      </c>
    </row>
    <row r="1877" spans="1:22" ht="13" x14ac:dyDescent="0.3">
      <c r="A1877" s="46">
        <f>'vHosts (Imported)'!A1877</f>
        <v>0</v>
      </c>
      <c r="B1877" s="51">
        <f t="shared" si="87"/>
        <v>4968</v>
      </c>
      <c r="C1877" s="49">
        <f>HLOOKUP("# Cores",'vHosts (Imported)'!$1:$5000,M1877,FALSE)</f>
        <v>0</v>
      </c>
      <c r="D1877" s="52">
        <f>HLOOKUP("# Memory",'vHosts (Imported)'!$1:$5000,M1877,FALSE)</f>
        <v>0</v>
      </c>
      <c r="M1877" s="45">
        <f t="shared" si="89"/>
        <v>1877</v>
      </c>
      <c r="N1877" s="38">
        <f>HLOOKUP("Host",'vInfo (Imported)'!$1:$5000,M1877,FALSE)</f>
        <v>0</v>
      </c>
      <c r="R1877">
        <f>HLOOKUP("CPUs",'vInfo (Imported)'!$1:$5000,M1877,FALSE)</f>
        <v>0</v>
      </c>
      <c r="S1877">
        <f>HLOOKUP("Memory",'vInfo (Imported)'!$1:$5000,M1877,FALSE)</f>
        <v>0</v>
      </c>
      <c r="T1877">
        <f>HLOOKUP("Provisioned MiB",'vInfo (Imported)'!$1:$5000,M1877,FALSE)</f>
        <v>0</v>
      </c>
      <c r="U1877">
        <f t="shared" si="88"/>
        <v>0</v>
      </c>
      <c r="V1877">
        <f>HLOOKUP("In Use MiB",'vInfo (Imported)'!$1:$5000,M1877,FALSE)</f>
        <v>0</v>
      </c>
    </row>
    <row r="1878" spans="1:22" ht="13" x14ac:dyDescent="0.3">
      <c r="A1878" s="46">
        <f>'vHosts (Imported)'!A1878</f>
        <v>0</v>
      </c>
      <c r="B1878" s="51">
        <f t="shared" si="87"/>
        <v>4968</v>
      </c>
      <c r="C1878" s="49">
        <f>HLOOKUP("# Cores",'vHosts (Imported)'!$1:$5000,M1878,FALSE)</f>
        <v>0</v>
      </c>
      <c r="D1878" s="52">
        <f>HLOOKUP("# Memory",'vHosts (Imported)'!$1:$5000,M1878,FALSE)</f>
        <v>0</v>
      </c>
      <c r="M1878" s="45">
        <f t="shared" si="89"/>
        <v>1878</v>
      </c>
      <c r="N1878" s="38">
        <f>HLOOKUP("Host",'vInfo (Imported)'!$1:$5000,M1878,FALSE)</f>
        <v>0</v>
      </c>
      <c r="R1878">
        <f>HLOOKUP("CPUs",'vInfo (Imported)'!$1:$5000,M1878,FALSE)</f>
        <v>0</v>
      </c>
      <c r="S1878">
        <f>HLOOKUP("Memory",'vInfo (Imported)'!$1:$5000,M1878,FALSE)</f>
        <v>0</v>
      </c>
      <c r="T1878">
        <f>HLOOKUP("Provisioned MiB",'vInfo (Imported)'!$1:$5000,M1878,FALSE)</f>
        <v>0</v>
      </c>
      <c r="U1878">
        <f t="shared" si="88"/>
        <v>0</v>
      </c>
      <c r="V1878">
        <f>HLOOKUP("In Use MiB",'vInfo (Imported)'!$1:$5000,M1878,FALSE)</f>
        <v>0</v>
      </c>
    </row>
    <row r="1879" spans="1:22" ht="13" x14ac:dyDescent="0.3">
      <c r="A1879" s="46">
        <f>'vHosts (Imported)'!A1879</f>
        <v>0</v>
      </c>
      <c r="B1879" s="51">
        <f t="shared" si="87"/>
        <v>4968</v>
      </c>
      <c r="C1879" s="49">
        <f>HLOOKUP("# Cores",'vHosts (Imported)'!$1:$5000,M1879,FALSE)</f>
        <v>0</v>
      </c>
      <c r="D1879" s="52">
        <f>HLOOKUP("# Memory",'vHosts (Imported)'!$1:$5000,M1879,FALSE)</f>
        <v>0</v>
      </c>
      <c r="M1879" s="45">
        <f t="shared" si="89"/>
        <v>1879</v>
      </c>
      <c r="N1879" s="38">
        <f>HLOOKUP("Host",'vInfo (Imported)'!$1:$5000,M1879,FALSE)</f>
        <v>0</v>
      </c>
      <c r="R1879">
        <f>HLOOKUP("CPUs",'vInfo (Imported)'!$1:$5000,M1879,FALSE)</f>
        <v>0</v>
      </c>
      <c r="S1879">
        <f>HLOOKUP("Memory",'vInfo (Imported)'!$1:$5000,M1879,FALSE)</f>
        <v>0</v>
      </c>
      <c r="T1879">
        <f>HLOOKUP("Provisioned MiB",'vInfo (Imported)'!$1:$5000,M1879,FALSE)</f>
        <v>0</v>
      </c>
      <c r="U1879">
        <f t="shared" si="88"/>
        <v>0</v>
      </c>
      <c r="V1879">
        <f>HLOOKUP("In Use MiB",'vInfo (Imported)'!$1:$5000,M1879,FALSE)</f>
        <v>0</v>
      </c>
    </row>
    <row r="1880" spans="1:22" ht="13" x14ac:dyDescent="0.3">
      <c r="A1880" s="46">
        <f>'vHosts (Imported)'!A1880</f>
        <v>0</v>
      </c>
      <c r="B1880" s="51">
        <f t="shared" si="87"/>
        <v>4968</v>
      </c>
      <c r="C1880" s="49">
        <f>HLOOKUP("# Cores",'vHosts (Imported)'!$1:$5000,M1880,FALSE)</f>
        <v>0</v>
      </c>
      <c r="D1880" s="52">
        <f>HLOOKUP("# Memory",'vHosts (Imported)'!$1:$5000,M1880,FALSE)</f>
        <v>0</v>
      </c>
      <c r="M1880" s="45">
        <f t="shared" si="89"/>
        <v>1880</v>
      </c>
      <c r="N1880" s="38">
        <f>HLOOKUP("Host",'vInfo (Imported)'!$1:$5000,M1880,FALSE)</f>
        <v>0</v>
      </c>
      <c r="R1880">
        <f>HLOOKUP("CPUs",'vInfo (Imported)'!$1:$5000,M1880,FALSE)</f>
        <v>0</v>
      </c>
      <c r="S1880">
        <f>HLOOKUP("Memory",'vInfo (Imported)'!$1:$5000,M1880,FALSE)</f>
        <v>0</v>
      </c>
      <c r="T1880">
        <f>HLOOKUP("Provisioned MiB",'vInfo (Imported)'!$1:$5000,M1880,FALSE)</f>
        <v>0</v>
      </c>
      <c r="U1880">
        <f t="shared" si="88"/>
        <v>0</v>
      </c>
      <c r="V1880">
        <f>HLOOKUP("In Use MiB",'vInfo (Imported)'!$1:$5000,M1880,FALSE)</f>
        <v>0</v>
      </c>
    </row>
    <row r="1881" spans="1:22" ht="13" x14ac:dyDescent="0.3">
      <c r="A1881" s="46">
        <f>'vHosts (Imported)'!A1881</f>
        <v>0</v>
      </c>
      <c r="B1881" s="51">
        <f t="shared" si="87"/>
        <v>4968</v>
      </c>
      <c r="C1881" s="49">
        <f>HLOOKUP("# Cores",'vHosts (Imported)'!$1:$5000,M1881,FALSE)</f>
        <v>0</v>
      </c>
      <c r="D1881" s="52">
        <f>HLOOKUP("# Memory",'vHosts (Imported)'!$1:$5000,M1881,FALSE)</f>
        <v>0</v>
      </c>
      <c r="M1881" s="45">
        <f t="shared" si="89"/>
        <v>1881</v>
      </c>
      <c r="N1881" s="38">
        <f>HLOOKUP("Host",'vInfo (Imported)'!$1:$5000,M1881,FALSE)</f>
        <v>0</v>
      </c>
      <c r="R1881">
        <f>HLOOKUP("CPUs",'vInfo (Imported)'!$1:$5000,M1881,FALSE)</f>
        <v>0</v>
      </c>
      <c r="S1881">
        <f>HLOOKUP("Memory",'vInfo (Imported)'!$1:$5000,M1881,FALSE)</f>
        <v>0</v>
      </c>
      <c r="T1881">
        <f>HLOOKUP("Provisioned MiB",'vInfo (Imported)'!$1:$5000,M1881,FALSE)</f>
        <v>0</v>
      </c>
      <c r="U1881">
        <f t="shared" si="88"/>
        <v>0</v>
      </c>
      <c r="V1881">
        <f>HLOOKUP("In Use MiB",'vInfo (Imported)'!$1:$5000,M1881,FALSE)</f>
        <v>0</v>
      </c>
    </row>
    <row r="1882" spans="1:22" ht="13" x14ac:dyDescent="0.3">
      <c r="A1882" s="46">
        <f>'vHosts (Imported)'!A1882</f>
        <v>0</v>
      </c>
      <c r="B1882" s="51">
        <f t="shared" si="87"/>
        <v>4968</v>
      </c>
      <c r="C1882" s="49">
        <f>HLOOKUP("# Cores",'vHosts (Imported)'!$1:$5000,M1882,FALSE)</f>
        <v>0</v>
      </c>
      <c r="D1882" s="52">
        <f>HLOOKUP("# Memory",'vHosts (Imported)'!$1:$5000,M1882,FALSE)</f>
        <v>0</v>
      </c>
      <c r="M1882" s="45">
        <f t="shared" si="89"/>
        <v>1882</v>
      </c>
      <c r="N1882" s="38">
        <f>HLOOKUP("Host",'vInfo (Imported)'!$1:$5000,M1882,FALSE)</f>
        <v>0</v>
      </c>
      <c r="R1882">
        <f>HLOOKUP("CPUs",'vInfo (Imported)'!$1:$5000,M1882,FALSE)</f>
        <v>0</v>
      </c>
      <c r="S1882">
        <f>HLOOKUP("Memory",'vInfo (Imported)'!$1:$5000,M1882,FALSE)</f>
        <v>0</v>
      </c>
      <c r="T1882">
        <f>HLOOKUP("Provisioned MiB",'vInfo (Imported)'!$1:$5000,M1882,FALSE)</f>
        <v>0</v>
      </c>
      <c r="U1882">
        <f t="shared" si="88"/>
        <v>0</v>
      </c>
      <c r="V1882">
        <f>HLOOKUP("In Use MiB",'vInfo (Imported)'!$1:$5000,M1882,FALSE)</f>
        <v>0</v>
      </c>
    </row>
    <row r="1883" spans="1:22" ht="13" x14ac:dyDescent="0.3">
      <c r="A1883" s="46">
        <f>'vHosts (Imported)'!A1883</f>
        <v>0</v>
      </c>
      <c r="B1883" s="51">
        <f t="shared" si="87"/>
        <v>4968</v>
      </c>
      <c r="C1883" s="49">
        <f>HLOOKUP("# Cores",'vHosts (Imported)'!$1:$5000,M1883,FALSE)</f>
        <v>0</v>
      </c>
      <c r="D1883" s="52">
        <f>HLOOKUP("# Memory",'vHosts (Imported)'!$1:$5000,M1883,FALSE)</f>
        <v>0</v>
      </c>
      <c r="M1883" s="45">
        <f t="shared" si="89"/>
        <v>1883</v>
      </c>
      <c r="N1883" s="38">
        <f>HLOOKUP("Host",'vInfo (Imported)'!$1:$5000,M1883,FALSE)</f>
        <v>0</v>
      </c>
      <c r="R1883">
        <f>HLOOKUP("CPUs",'vInfo (Imported)'!$1:$5000,M1883,FALSE)</f>
        <v>0</v>
      </c>
      <c r="S1883">
        <f>HLOOKUP("Memory",'vInfo (Imported)'!$1:$5000,M1883,FALSE)</f>
        <v>0</v>
      </c>
      <c r="T1883">
        <f>HLOOKUP("Provisioned MiB",'vInfo (Imported)'!$1:$5000,M1883,FALSE)</f>
        <v>0</v>
      </c>
      <c r="U1883">
        <f t="shared" si="88"/>
        <v>0</v>
      </c>
      <c r="V1883">
        <f>HLOOKUP("In Use MiB",'vInfo (Imported)'!$1:$5000,M1883,FALSE)</f>
        <v>0</v>
      </c>
    </row>
    <row r="1884" spans="1:22" ht="13" x14ac:dyDescent="0.3">
      <c r="A1884" s="46">
        <f>'vHosts (Imported)'!A1884</f>
        <v>0</v>
      </c>
      <c r="B1884" s="51">
        <f t="shared" si="87"/>
        <v>4968</v>
      </c>
      <c r="C1884" s="49">
        <f>HLOOKUP("# Cores",'vHosts (Imported)'!$1:$5000,M1884,FALSE)</f>
        <v>0</v>
      </c>
      <c r="D1884" s="52">
        <f>HLOOKUP("# Memory",'vHosts (Imported)'!$1:$5000,M1884,FALSE)</f>
        <v>0</v>
      </c>
      <c r="M1884" s="45">
        <f t="shared" si="89"/>
        <v>1884</v>
      </c>
      <c r="N1884" s="38">
        <f>HLOOKUP("Host",'vInfo (Imported)'!$1:$5000,M1884,FALSE)</f>
        <v>0</v>
      </c>
      <c r="R1884">
        <f>HLOOKUP("CPUs",'vInfo (Imported)'!$1:$5000,M1884,FALSE)</f>
        <v>0</v>
      </c>
      <c r="S1884">
        <f>HLOOKUP("Memory",'vInfo (Imported)'!$1:$5000,M1884,FALSE)</f>
        <v>0</v>
      </c>
      <c r="T1884">
        <f>HLOOKUP("Provisioned MiB",'vInfo (Imported)'!$1:$5000,M1884,FALSE)</f>
        <v>0</v>
      </c>
      <c r="U1884">
        <f t="shared" si="88"/>
        <v>0</v>
      </c>
      <c r="V1884">
        <f>HLOOKUP("In Use MiB",'vInfo (Imported)'!$1:$5000,M1884,FALSE)</f>
        <v>0</v>
      </c>
    </row>
    <row r="1885" spans="1:22" ht="13" x14ac:dyDescent="0.3">
      <c r="A1885" s="46">
        <f>'vHosts (Imported)'!A1885</f>
        <v>0</v>
      </c>
      <c r="B1885" s="51">
        <f t="shared" si="87"/>
        <v>4968</v>
      </c>
      <c r="C1885" s="49">
        <f>HLOOKUP("# Cores",'vHosts (Imported)'!$1:$5000,M1885,FALSE)</f>
        <v>0</v>
      </c>
      <c r="D1885" s="52">
        <f>HLOOKUP("# Memory",'vHosts (Imported)'!$1:$5000,M1885,FALSE)</f>
        <v>0</v>
      </c>
      <c r="M1885" s="45">
        <f t="shared" si="89"/>
        <v>1885</v>
      </c>
      <c r="N1885" s="38">
        <f>HLOOKUP("Host",'vInfo (Imported)'!$1:$5000,M1885,FALSE)</f>
        <v>0</v>
      </c>
      <c r="R1885">
        <f>HLOOKUP("CPUs",'vInfo (Imported)'!$1:$5000,M1885,FALSE)</f>
        <v>0</v>
      </c>
      <c r="S1885">
        <f>HLOOKUP("Memory",'vInfo (Imported)'!$1:$5000,M1885,FALSE)</f>
        <v>0</v>
      </c>
      <c r="T1885">
        <f>HLOOKUP("Provisioned MiB",'vInfo (Imported)'!$1:$5000,M1885,FALSE)</f>
        <v>0</v>
      </c>
      <c r="U1885">
        <f t="shared" si="88"/>
        <v>0</v>
      </c>
      <c r="V1885">
        <f>HLOOKUP("In Use MiB",'vInfo (Imported)'!$1:$5000,M1885,FALSE)</f>
        <v>0</v>
      </c>
    </row>
    <row r="1886" spans="1:22" ht="13" x14ac:dyDescent="0.3">
      <c r="A1886" s="46">
        <f>'vHosts (Imported)'!A1886</f>
        <v>0</v>
      </c>
      <c r="B1886" s="51">
        <f t="shared" si="87"/>
        <v>4968</v>
      </c>
      <c r="C1886" s="49">
        <f>HLOOKUP("# Cores",'vHosts (Imported)'!$1:$5000,M1886,FALSE)</f>
        <v>0</v>
      </c>
      <c r="D1886" s="52">
        <f>HLOOKUP("# Memory",'vHosts (Imported)'!$1:$5000,M1886,FALSE)</f>
        <v>0</v>
      </c>
      <c r="M1886" s="45">
        <f t="shared" si="89"/>
        <v>1886</v>
      </c>
      <c r="N1886" s="38">
        <f>HLOOKUP("Host",'vInfo (Imported)'!$1:$5000,M1886,FALSE)</f>
        <v>0</v>
      </c>
      <c r="R1886">
        <f>HLOOKUP("CPUs",'vInfo (Imported)'!$1:$5000,M1886,FALSE)</f>
        <v>0</v>
      </c>
      <c r="S1886">
        <f>HLOOKUP("Memory",'vInfo (Imported)'!$1:$5000,M1886,FALSE)</f>
        <v>0</v>
      </c>
      <c r="T1886">
        <f>HLOOKUP("Provisioned MiB",'vInfo (Imported)'!$1:$5000,M1886,FALSE)</f>
        <v>0</v>
      </c>
      <c r="U1886">
        <f t="shared" si="88"/>
        <v>0</v>
      </c>
      <c r="V1886">
        <f>HLOOKUP("In Use MiB",'vInfo (Imported)'!$1:$5000,M1886,FALSE)</f>
        <v>0</v>
      </c>
    </row>
    <row r="1887" spans="1:22" ht="13" x14ac:dyDescent="0.3">
      <c r="A1887" s="46">
        <f>'vHosts (Imported)'!A1887</f>
        <v>0</v>
      </c>
      <c r="B1887" s="51">
        <f t="shared" si="87"/>
        <v>4968</v>
      </c>
      <c r="C1887" s="49">
        <f>HLOOKUP("# Cores",'vHosts (Imported)'!$1:$5000,M1887,FALSE)</f>
        <v>0</v>
      </c>
      <c r="D1887" s="52">
        <f>HLOOKUP("# Memory",'vHosts (Imported)'!$1:$5000,M1887,FALSE)</f>
        <v>0</v>
      </c>
      <c r="M1887" s="45">
        <f t="shared" si="89"/>
        <v>1887</v>
      </c>
      <c r="N1887" s="38">
        <f>HLOOKUP("Host",'vInfo (Imported)'!$1:$5000,M1887,FALSE)</f>
        <v>0</v>
      </c>
      <c r="R1887">
        <f>HLOOKUP("CPUs",'vInfo (Imported)'!$1:$5000,M1887,FALSE)</f>
        <v>0</v>
      </c>
      <c r="S1887">
        <f>HLOOKUP("Memory",'vInfo (Imported)'!$1:$5000,M1887,FALSE)</f>
        <v>0</v>
      </c>
      <c r="T1887">
        <f>HLOOKUP("Provisioned MiB",'vInfo (Imported)'!$1:$5000,M1887,FALSE)</f>
        <v>0</v>
      </c>
      <c r="U1887">
        <f t="shared" si="88"/>
        <v>0</v>
      </c>
      <c r="V1887">
        <f>HLOOKUP("In Use MiB",'vInfo (Imported)'!$1:$5000,M1887,FALSE)</f>
        <v>0</v>
      </c>
    </row>
    <row r="1888" spans="1:22" ht="13" x14ac:dyDescent="0.3">
      <c r="A1888" s="46">
        <f>'vHosts (Imported)'!A1888</f>
        <v>0</v>
      </c>
      <c r="B1888" s="51">
        <f t="shared" si="87"/>
        <v>4968</v>
      </c>
      <c r="C1888" s="49">
        <f>HLOOKUP("# Cores",'vHosts (Imported)'!$1:$5000,M1888,FALSE)</f>
        <v>0</v>
      </c>
      <c r="D1888" s="52">
        <f>HLOOKUP("# Memory",'vHosts (Imported)'!$1:$5000,M1888,FALSE)</f>
        <v>0</v>
      </c>
      <c r="M1888" s="45">
        <f t="shared" si="89"/>
        <v>1888</v>
      </c>
      <c r="N1888" s="38">
        <f>HLOOKUP("Host",'vInfo (Imported)'!$1:$5000,M1888,FALSE)</f>
        <v>0</v>
      </c>
      <c r="R1888">
        <f>HLOOKUP("CPUs",'vInfo (Imported)'!$1:$5000,M1888,FALSE)</f>
        <v>0</v>
      </c>
      <c r="S1888">
        <f>HLOOKUP("Memory",'vInfo (Imported)'!$1:$5000,M1888,FALSE)</f>
        <v>0</v>
      </c>
      <c r="T1888">
        <f>HLOOKUP("Provisioned MiB",'vInfo (Imported)'!$1:$5000,M1888,FALSE)</f>
        <v>0</v>
      </c>
      <c r="U1888">
        <f t="shared" si="88"/>
        <v>0</v>
      </c>
      <c r="V1888">
        <f>HLOOKUP("In Use MiB",'vInfo (Imported)'!$1:$5000,M1888,FALSE)</f>
        <v>0</v>
      </c>
    </row>
    <row r="1889" spans="1:22" ht="13" x14ac:dyDescent="0.3">
      <c r="A1889" s="46">
        <f>'vHosts (Imported)'!A1889</f>
        <v>0</v>
      </c>
      <c r="B1889" s="51">
        <f t="shared" si="87"/>
        <v>4968</v>
      </c>
      <c r="C1889" s="49">
        <f>HLOOKUP("# Cores",'vHosts (Imported)'!$1:$5000,M1889,FALSE)</f>
        <v>0</v>
      </c>
      <c r="D1889" s="52">
        <f>HLOOKUP("# Memory",'vHosts (Imported)'!$1:$5000,M1889,FALSE)</f>
        <v>0</v>
      </c>
      <c r="M1889" s="45">
        <f t="shared" si="89"/>
        <v>1889</v>
      </c>
      <c r="N1889" s="38">
        <f>HLOOKUP("Host",'vInfo (Imported)'!$1:$5000,M1889,FALSE)</f>
        <v>0</v>
      </c>
      <c r="R1889">
        <f>HLOOKUP("CPUs",'vInfo (Imported)'!$1:$5000,M1889,FALSE)</f>
        <v>0</v>
      </c>
      <c r="S1889">
        <f>HLOOKUP("Memory",'vInfo (Imported)'!$1:$5000,M1889,FALSE)</f>
        <v>0</v>
      </c>
      <c r="T1889">
        <f>HLOOKUP("Provisioned MiB",'vInfo (Imported)'!$1:$5000,M1889,FALSE)</f>
        <v>0</v>
      </c>
      <c r="U1889">
        <f t="shared" si="88"/>
        <v>0</v>
      </c>
      <c r="V1889">
        <f>HLOOKUP("In Use MiB",'vInfo (Imported)'!$1:$5000,M1889,FALSE)</f>
        <v>0</v>
      </c>
    </row>
    <row r="1890" spans="1:22" ht="13" x14ac:dyDescent="0.3">
      <c r="A1890" s="46">
        <f>'vHosts (Imported)'!A1890</f>
        <v>0</v>
      </c>
      <c r="B1890" s="51">
        <f t="shared" si="87"/>
        <v>4968</v>
      </c>
      <c r="C1890" s="49">
        <f>HLOOKUP("# Cores",'vHosts (Imported)'!$1:$5000,M1890,FALSE)</f>
        <v>0</v>
      </c>
      <c r="D1890" s="52">
        <f>HLOOKUP("# Memory",'vHosts (Imported)'!$1:$5000,M1890,FALSE)</f>
        <v>0</v>
      </c>
      <c r="M1890" s="45">
        <f t="shared" si="89"/>
        <v>1890</v>
      </c>
      <c r="N1890" s="38">
        <f>HLOOKUP("Host",'vInfo (Imported)'!$1:$5000,M1890,FALSE)</f>
        <v>0</v>
      </c>
      <c r="R1890">
        <f>HLOOKUP("CPUs",'vInfo (Imported)'!$1:$5000,M1890,FALSE)</f>
        <v>0</v>
      </c>
      <c r="S1890">
        <f>HLOOKUP("Memory",'vInfo (Imported)'!$1:$5000,M1890,FALSE)</f>
        <v>0</v>
      </c>
      <c r="T1890">
        <f>HLOOKUP("Provisioned MiB",'vInfo (Imported)'!$1:$5000,M1890,FALSE)</f>
        <v>0</v>
      </c>
      <c r="U1890">
        <f t="shared" si="88"/>
        <v>0</v>
      </c>
      <c r="V1890">
        <f>HLOOKUP("In Use MiB",'vInfo (Imported)'!$1:$5000,M1890,FALSE)</f>
        <v>0</v>
      </c>
    </row>
    <row r="1891" spans="1:22" ht="13" x14ac:dyDescent="0.3">
      <c r="A1891" s="46">
        <f>'vHosts (Imported)'!A1891</f>
        <v>0</v>
      </c>
      <c r="B1891" s="51">
        <f t="shared" si="87"/>
        <v>4968</v>
      </c>
      <c r="C1891" s="49">
        <f>HLOOKUP("# Cores",'vHosts (Imported)'!$1:$5000,M1891,FALSE)</f>
        <v>0</v>
      </c>
      <c r="D1891" s="52">
        <f>HLOOKUP("# Memory",'vHosts (Imported)'!$1:$5000,M1891,FALSE)</f>
        <v>0</v>
      </c>
      <c r="M1891" s="45">
        <f t="shared" si="89"/>
        <v>1891</v>
      </c>
      <c r="N1891" s="38">
        <f>HLOOKUP("Host",'vInfo (Imported)'!$1:$5000,M1891,FALSE)</f>
        <v>0</v>
      </c>
      <c r="R1891">
        <f>HLOOKUP("CPUs",'vInfo (Imported)'!$1:$5000,M1891,FALSE)</f>
        <v>0</v>
      </c>
      <c r="S1891">
        <f>HLOOKUP("Memory",'vInfo (Imported)'!$1:$5000,M1891,FALSE)</f>
        <v>0</v>
      </c>
      <c r="T1891">
        <f>HLOOKUP("Provisioned MiB",'vInfo (Imported)'!$1:$5000,M1891,FALSE)</f>
        <v>0</v>
      </c>
      <c r="U1891">
        <f t="shared" si="88"/>
        <v>0</v>
      </c>
      <c r="V1891">
        <f>HLOOKUP("In Use MiB",'vInfo (Imported)'!$1:$5000,M1891,FALSE)</f>
        <v>0</v>
      </c>
    </row>
    <row r="1892" spans="1:22" ht="13" x14ac:dyDescent="0.3">
      <c r="A1892" s="46">
        <f>'vHosts (Imported)'!A1892</f>
        <v>0</v>
      </c>
      <c r="B1892" s="51">
        <f t="shared" si="87"/>
        <v>4968</v>
      </c>
      <c r="C1892" s="49">
        <f>HLOOKUP("# Cores",'vHosts (Imported)'!$1:$5000,M1892,FALSE)</f>
        <v>0</v>
      </c>
      <c r="D1892" s="52">
        <f>HLOOKUP("# Memory",'vHosts (Imported)'!$1:$5000,M1892,FALSE)</f>
        <v>0</v>
      </c>
      <c r="M1892" s="45">
        <f t="shared" si="89"/>
        <v>1892</v>
      </c>
      <c r="N1892" s="38">
        <f>HLOOKUP("Host",'vInfo (Imported)'!$1:$5000,M1892,FALSE)</f>
        <v>0</v>
      </c>
      <c r="R1892">
        <f>HLOOKUP("CPUs",'vInfo (Imported)'!$1:$5000,M1892,FALSE)</f>
        <v>0</v>
      </c>
      <c r="S1892">
        <f>HLOOKUP("Memory",'vInfo (Imported)'!$1:$5000,M1892,FALSE)</f>
        <v>0</v>
      </c>
      <c r="T1892">
        <f>HLOOKUP("Provisioned MiB",'vInfo (Imported)'!$1:$5000,M1892,FALSE)</f>
        <v>0</v>
      </c>
      <c r="U1892">
        <f t="shared" si="88"/>
        <v>0</v>
      </c>
      <c r="V1892">
        <f>HLOOKUP("In Use MiB",'vInfo (Imported)'!$1:$5000,M1892,FALSE)</f>
        <v>0</v>
      </c>
    </row>
    <row r="1893" spans="1:22" ht="13" x14ac:dyDescent="0.3">
      <c r="A1893" s="46">
        <f>'vHosts (Imported)'!A1893</f>
        <v>0</v>
      </c>
      <c r="B1893" s="51">
        <f t="shared" si="87"/>
        <v>4968</v>
      </c>
      <c r="C1893" s="49">
        <f>HLOOKUP("# Cores",'vHosts (Imported)'!$1:$5000,M1893,FALSE)</f>
        <v>0</v>
      </c>
      <c r="D1893" s="52">
        <f>HLOOKUP("# Memory",'vHosts (Imported)'!$1:$5000,M1893,FALSE)</f>
        <v>0</v>
      </c>
      <c r="M1893" s="45">
        <f t="shared" si="89"/>
        <v>1893</v>
      </c>
      <c r="N1893" s="38">
        <f>HLOOKUP("Host",'vInfo (Imported)'!$1:$5000,M1893,FALSE)</f>
        <v>0</v>
      </c>
      <c r="R1893">
        <f>HLOOKUP("CPUs",'vInfo (Imported)'!$1:$5000,M1893,FALSE)</f>
        <v>0</v>
      </c>
      <c r="S1893">
        <f>HLOOKUP("Memory",'vInfo (Imported)'!$1:$5000,M1893,FALSE)</f>
        <v>0</v>
      </c>
      <c r="T1893">
        <f>HLOOKUP("Provisioned MiB",'vInfo (Imported)'!$1:$5000,M1893,FALSE)</f>
        <v>0</v>
      </c>
      <c r="U1893">
        <f t="shared" si="88"/>
        <v>0</v>
      </c>
      <c r="V1893">
        <f>HLOOKUP("In Use MiB",'vInfo (Imported)'!$1:$5000,M1893,FALSE)</f>
        <v>0</v>
      </c>
    </row>
    <row r="1894" spans="1:22" ht="13" x14ac:dyDescent="0.3">
      <c r="A1894" s="46">
        <f>'vHosts (Imported)'!A1894</f>
        <v>0</v>
      </c>
      <c r="B1894" s="51">
        <f t="shared" si="87"/>
        <v>4968</v>
      </c>
      <c r="C1894" s="49">
        <f>HLOOKUP("# Cores",'vHosts (Imported)'!$1:$5000,M1894,FALSE)</f>
        <v>0</v>
      </c>
      <c r="D1894" s="52">
        <f>HLOOKUP("# Memory",'vHosts (Imported)'!$1:$5000,M1894,FALSE)</f>
        <v>0</v>
      </c>
      <c r="M1894" s="45">
        <f t="shared" si="89"/>
        <v>1894</v>
      </c>
      <c r="N1894" s="38">
        <f>HLOOKUP("Host",'vInfo (Imported)'!$1:$5000,M1894,FALSE)</f>
        <v>0</v>
      </c>
      <c r="R1894">
        <f>HLOOKUP("CPUs",'vInfo (Imported)'!$1:$5000,M1894,FALSE)</f>
        <v>0</v>
      </c>
      <c r="S1894">
        <f>HLOOKUP("Memory",'vInfo (Imported)'!$1:$5000,M1894,FALSE)</f>
        <v>0</v>
      </c>
      <c r="T1894">
        <f>HLOOKUP("Provisioned MiB",'vInfo (Imported)'!$1:$5000,M1894,FALSE)</f>
        <v>0</v>
      </c>
      <c r="U1894">
        <f t="shared" si="88"/>
        <v>0</v>
      </c>
      <c r="V1894">
        <f>HLOOKUP("In Use MiB",'vInfo (Imported)'!$1:$5000,M1894,FALSE)</f>
        <v>0</v>
      </c>
    </row>
    <row r="1895" spans="1:22" ht="13" x14ac:dyDescent="0.3">
      <c r="A1895" s="46">
        <f>'vHosts (Imported)'!A1895</f>
        <v>0</v>
      </c>
      <c r="B1895" s="51">
        <f t="shared" si="87"/>
        <v>4968</v>
      </c>
      <c r="C1895" s="49">
        <f>HLOOKUP("# Cores",'vHosts (Imported)'!$1:$5000,M1895,FALSE)</f>
        <v>0</v>
      </c>
      <c r="D1895" s="52">
        <f>HLOOKUP("# Memory",'vHosts (Imported)'!$1:$5000,M1895,FALSE)</f>
        <v>0</v>
      </c>
      <c r="M1895" s="45">
        <f t="shared" si="89"/>
        <v>1895</v>
      </c>
      <c r="N1895" s="38">
        <f>HLOOKUP("Host",'vInfo (Imported)'!$1:$5000,M1895,FALSE)</f>
        <v>0</v>
      </c>
      <c r="R1895">
        <f>HLOOKUP("CPUs",'vInfo (Imported)'!$1:$5000,M1895,FALSE)</f>
        <v>0</v>
      </c>
      <c r="S1895">
        <f>HLOOKUP("Memory",'vInfo (Imported)'!$1:$5000,M1895,FALSE)</f>
        <v>0</v>
      </c>
      <c r="T1895">
        <f>HLOOKUP("Provisioned MiB",'vInfo (Imported)'!$1:$5000,M1895,FALSE)</f>
        <v>0</v>
      </c>
      <c r="U1895">
        <f t="shared" si="88"/>
        <v>0</v>
      </c>
      <c r="V1895">
        <f>HLOOKUP("In Use MiB",'vInfo (Imported)'!$1:$5000,M1895,FALSE)</f>
        <v>0</v>
      </c>
    </row>
    <row r="1896" spans="1:22" ht="13" x14ac:dyDescent="0.3">
      <c r="A1896" s="46">
        <f>'vHosts (Imported)'!A1896</f>
        <v>0</v>
      </c>
      <c r="B1896" s="51">
        <f t="shared" ref="B1896:B1959" si="90">COUNTIF(N:N,A1896)</f>
        <v>4968</v>
      </c>
      <c r="C1896" s="49">
        <f>HLOOKUP("# Cores",'vHosts (Imported)'!$1:$5000,M1896,FALSE)</f>
        <v>0</v>
      </c>
      <c r="D1896" s="52">
        <f>HLOOKUP("# Memory",'vHosts (Imported)'!$1:$5000,M1896,FALSE)</f>
        <v>0</v>
      </c>
      <c r="M1896" s="45">
        <f t="shared" si="89"/>
        <v>1896</v>
      </c>
      <c r="N1896" s="38">
        <f>HLOOKUP("Host",'vInfo (Imported)'!$1:$5000,M1896,FALSE)</f>
        <v>0</v>
      </c>
      <c r="R1896">
        <f>HLOOKUP("CPUs",'vInfo (Imported)'!$1:$5000,M1896,FALSE)</f>
        <v>0</v>
      </c>
      <c r="S1896">
        <f>HLOOKUP("Memory",'vInfo (Imported)'!$1:$5000,M1896,FALSE)</f>
        <v>0</v>
      </c>
      <c r="T1896">
        <f>HLOOKUP("Provisioned MiB",'vInfo (Imported)'!$1:$5000,M1896,FALSE)</f>
        <v>0</v>
      </c>
      <c r="U1896">
        <f t="shared" si="88"/>
        <v>0</v>
      </c>
      <c r="V1896">
        <f>HLOOKUP("In Use MiB",'vInfo (Imported)'!$1:$5000,M1896,FALSE)</f>
        <v>0</v>
      </c>
    </row>
    <row r="1897" spans="1:22" ht="13" x14ac:dyDescent="0.3">
      <c r="A1897" s="46">
        <f>'vHosts (Imported)'!A1897</f>
        <v>0</v>
      </c>
      <c r="B1897" s="51">
        <f t="shared" si="90"/>
        <v>4968</v>
      </c>
      <c r="C1897" s="49">
        <f>HLOOKUP("# Cores",'vHosts (Imported)'!$1:$5000,M1897,FALSE)</f>
        <v>0</v>
      </c>
      <c r="D1897" s="52">
        <f>HLOOKUP("# Memory",'vHosts (Imported)'!$1:$5000,M1897,FALSE)</f>
        <v>0</v>
      </c>
      <c r="M1897" s="45">
        <f t="shared" si="89"/>
        <v>1897</v>
      </c>
      <c r="N1897" s="38">
        <f>HLOOKUP("Host",'vInfo (Imported)'!$1:$5000,M1897,FALSE)</f>
        <v>0</v>
      </c>
      <c r="R1897">
        <f>HLOOKUP("CPUs",'vInfo (Imported)'!$1:$5000,M1897,FALSE)</f>
        <v>0</v>
      </c>
      <c r="S1897">
        <f>HLOOKUP("Memory",'vInfo (Imported)'!$1:$5000,M1897,FALSE)</f>
        <v>0</v>
      </c>
      <c r="T1897">
        <f>HLOOKUP("Provisioned MiB",'vInfo (Imported)'!$1:$5000,M1897,FALSE)</f>
        <v>0</v>
      </c>
      <c r="U1897">
        <f t="shared" si="88"/>
        <v>0</v>
      </c>
      <c r="V1897">
        <f>HLOOKUP("In Use MiB",'vInfo (Imported)'!$1:$5000,M1897,FALSE)</f>
        <v>0</v>
      </c>
    </row>
    <row r="1898" spans="1:22" ht="13" x14ac:dyDescent="0.3">
      <c r="A1898" s="46">
        <f>'vHosts (Imported)'!A1898</f>
        <v>0</v>
      </c>
      <c r="B1898" s="51">
        <f t="shared" si="90"/>
        <v>4968</v>
      </c>
      <c r="C1898" s="49">
        <f>HLOOKUP("# Cores",'vHosts (Imported)'!$1:$5000,M1898,FALSE)</f>
        <v>0</v>
      </c>
      <c r="D1898" s="52">
        <f>HLOOKUP("# Memory",'vHosts (Imported)'!$1:$5000,M1898,FALSE)</f>
        <v>0</v>
      </c>
      <c r="M1898" s="45">
        <f t="shared" si="89"/>
        <v>1898</v>
      </c>
      <c r="N1898" s="38">
        <f>HLOOKUP("Host",'vInfo (Imported)'!$1:$5000,M1898,FALSE)</f>
        <v>0</v>
      </c>
      <c r="R1898">
        <f>HLOOKUP("CPUs",'vInfo (Imported)'!$1:$5000,M1898,FALSE)</f>
        <v>0</v>
      </c>
      <c r="S1898">
        <f>HLOOKUP("Memory",'vInfo (Imported)'!$1:$5000,M1898,FALSE)</f>
        <v>0</v>
      </c>
      <c r="T1898">
        <f>HLOOKUP("Provisioned MiB",'vInfo (Imported)'!$1:$5000,M1898,FALSE)</f>
        <v>0</v>
      </c>
      <c r="U1898">
        <f t="shared" si="88"/>
        <v>0</v>
      </c>
      <c r="V1898">
        <f>HLOOKUP("In Use MiB",'vInfo (Imported)'!$1:$5000,M1898,FALSE)</f>
        <v>0</v>
      </c>
    </row>
    <row r="1899" spans="1:22" ht="13" x14ac:dyDescent="0.3">
      <c r="A1899" s="46">
        <f>'vHosts (Imported)'!A1899</f>
        <v>0</v>
      </c>
      <c r="B1899" s="51">
        <f t="shared" si="90"/>
        <v>4968</v>
      </c>
      <c r="C1899" s="49">
        <f>HLOOKUP("# Cores",'vHosts (Imported)'!$1:$5000,M1899,FALSE)</f>
        <v>0</v>
      </c>
      <c r="D1899" s="52">
        <f>HLOOKUP("# Memory",'vHosts (Imported)'!$1:$5000,M1899,FALSE)</f>
        <v>0</v>
      </c>
      <c r="M1899" s="45">
        <f t="shared" si="89"/>
        <v>1899</v>
      </c>
      <c r="N1899" s="38">
        <f>HLOOKUP("Host",'vInfo (Imported)'!$1:$5000,M1899,FALSE)</f>
        <v>0</v>
      </c>
      <c r="R1899">
        <f>HLOOKUP("CPUs",'vInfo (Imported)'!$1:$5000,M1899,FALSE)</f>
        <v>0</v>
      </c>
      <c r="S1899">
        <f>HLOOKUP("Memory",'vInfo (Imported)'!$1:$5000,M1899,FALSE)</f>
        <v>0</v>
      </c>
      <c r="T1899">
        <f>HLOOKUP("Provisioned MiB",'vInfo (Imported)'!$1:$5000,M1899,FALSE)</f>
        <v>0</v>
      </c>
      <c r="U1899">
        <f t="shared" si="88"/>
        <v>0</v>
      </c>
      <c r="V1899">
        <f>HLOOKUP("In Use MiB",'vInfo (Imported)'!$1:$5000,M1899,FALSE)</f>
        <v>0</v>
      </c>
    </row>
    <row r="1900" spans="1:22" ht="13" x14ac:dyDescent="0.3">
      <c r="A1900" s="46">
        <f>'vHosts (Imported)'!A1900</f>
        <v>0</v>
      </c>
      <c r="B1900" s="51">
        <f t="shared" si="90"/>
        <v>4968</v>
      </c>
      <c r="C1900" s="49">
        <f>HLOOKUP("# Cores",'vHosts (Imported)'!$1:$5000,M1900,FALSE)</f>
        <v>0</v>
      </c>
      <c r="D1900" s="52">
        <f>HLOOKUP("# Memory",'vHosts (Imported)'!$1:$5000,M1900,FALSE)</f>
        <v>0</v>
      </c>
      <c r="M1900" s="45">
        <f t="shared" si="89"/>
        <v>1900</v>
      </c>
      <c r="N1900" s="38">
        <f>HLOOKUP("Host",'vInfo (Imported)'!$1:$5000,M1900,FALSE)</f>
        <v>0</v>
      </c>
      <c r="R1900">
        <f>HLOOKUP("CPUs",'vInfo (Imported)'!$1:$5000,M1900,FALSE)</f>
        <v>0</v>
      </c>
      <c r="S1900">
        <f>HLOOKUP("Memory",'vInfo (Imported)'!$1:$5000,M1900,FALSE)</f>
        <v>0</v>
      </c>
      <c r="T1900">
        <f>HLOOKUP("Provisioned MiB",'vInfo (Imported)'!$1:$5000,M1900,FALSE)</f>
        <v>0</v>
      </c>
      <c r="U1900">
        <f t="shared" si="88"/>
        <v>0</v>
      </c>
      <c r="V1900">
        <f>HLOOKUP("In Use MiB",'vInfo (Imported)'!$1:$5000,M1900,FALSE)</f>
        <v>0</v>
      </c>
    </row>
    <row r="1901" spans="1:22" ht="13" x14ac:dyDescent="0.3">
      <c r="A1901" s="46">
        <f>'vHosts (Imported)'!A1901</f>
        <v>0</v>
      </c>
      <c r="B1901" s="51">
        <f t="shared" si="90"/>
        <v>4968</v>
      </c>
      <c r="C1901" s="49">
        <f>HLOOKUP("# Cores",'vHosts (Imported)'!$1:$5000,M1901,FALSE)</f>
        <v>0</v>
      </c>
      <c r="D1901" s="52">
        <f>HLOOKUP("# Memory",'vHosts (Imported)'!$1:$5000,M1901,FALSE)</f>
        <v>0</v>
      </c>
      <c r="M1901" s="45">
        <f t="shared" si="89"/>
        <v>1901</v>
      </c>
      <c r="N1901" s="38">
        <f>HLOOKUP("Host",'vInfo (Imported)'!$1:$5000,M1901,FALSE)</f>
        <v>0</v>
      </c>
      <c r="R1901">
        <f>HLOOKUP("CPUs",'vInfo (Imported)'!$1:$5000,M1901,FALSE)</f>
        <v>0</v>
      </c>
      <c r="S1901">
        <f>HLOOKUP("Memory",'vInfo (Imported)'!$1:$5000,M1901,FALSE)</f>
        <v>0</v>
      </c>
      <c r="T1901">
        <f>HLOOKUP("Provisioned MiB",'vInfo (Imported)'!$1:$5000,M1901,FALSE)</f>
        <v>0</v>
      </c>
      <c r="U1901">
        <f t="shared" si="88"/>
        <v>0</v>
      </c>
      <c r="V1901">
        <f>HLOOKUP("In Use MiB",'vInfo (Imported)'!$1:$5000,M1901,FALSE)</f>
        <v>0</v>
      </c>
    </row>
    <row r="1902" spans="1:22" ht="13" x14ac:dyDescent="0.3">
      <c r="A1902" s="46">
        <f>'vHosts (Imported)'!A1902</f>
        <v>0</v>
      </c>
      <c r="B1902" s="51">
        <f t="shared" si="90"/>
        <v>4968</v>
      </c>
      <c r="C1902" s="49">
        <f>HLOOKUP("# Cores",'vHosts (Imported)'!$1:$5000,M1902,FALSE)</f>
        <v>0</v>
      </c>
      <c r="D1902" s="52">
        <f>HLOOKUP("# Memory",'vHosts (Imported)'!$1:$5000,M1902,FALSE)</f>
        <v>0</v>
      </c>
      <c r="M1902" s="45">
        <f t="shared" si="89"/>
        <v>1902</v>
      </c>
      <c r="N1902" s="38">
        <f>HLOOKUP("Host",'vInfo (Imported)'!$1:$5000,M1902,FALSE)</f>
        <v>0</v>
      </c>
      <c r="R1902">
        <f>HLOOKUP("CPUs",'vInfo (Imported)'!$1:$5000,M1902,FALSE)</f>
        <v>0</v>
      </c>
      <c r="S1902">
        <f>HLOOKUP("Memory",'vInfo (Imported)'!$1:$5000,M1902,FALSE)</f>
        <v>0</v>
      </c>
      <c r="T1902">
        <f>HLOOKUP("Provisioned MiB",'vInfo (Imported)'!$1:$5000,M1902,FALSE)</f>
        <v>0</v>
      </c>
      <c r="U1902">
        <f t="shared" si="88"/>
        <v>0</v>
      </c>
      <c r="V1902">
        <f>HLOOKUP("In Use MiB",'vInfo (Imported)'!$1:$5000,M1902,FALSE)</f>
        <v>0</v>
      </c>
    </row>
    <row r="1903" spans="1:22" ht="13" x14ac:dyDescent="0.3">
      <c r="A1903" s="46">
        <f>'vHosts (Imported)'!A1903</f>
        <v>0</v>
      </c>
      <c r="B1903" s="51">
        <f t="shared" si="90"/>
        <v>4968</v>
      </c>
      <c r="C1903" s="49">
        <f>HLOOKUP("# Cores",'vHosts (Imported)'!$1:$5000,M1903,FALSE)</f>
        <v>0</v>
      </c>
      <c r="D1903" s="52">
        <f>HLOOKUP("# Memory",'vHosts (Imported)'!$1:$5000,M1903,FALSE)</f>
        <v>0</v>
      </c>
      <c r="M1903" s="45">
        <f t="shared" si="89"/>
        <v>1903</v>
      </c>
      <c r="N1903" s="38">
        <f>HLOOKUP("Host",'vInfo (Imported)'!$1:$5000,M1903,FALSE)</f>
        <v>0</v>
      </c>
      <c r="R1903">
        <f>HLOOKUP("CPUs",'vInfo (Imported)'!$1:$5000,M1903,FALSE)</f>
        <v>0</v>
      </c>
      <c r="S1903">
        <f>HLOOKUP("Memory",'vInfo (Imported)'!$1:$5000,M1903,FALSE)</f>
        <v>0</v>
      </c>
      <c r="T1903">
        <f>HLOOKUP("Provisioned MiB",'vInfo (Imported)'!$1:$5000,M1903,FALSE)</f>
        <v>0</v>
      </c>
      <c r="U1903">
        <f t="shared" si="88"/>
        <v>0</v>
      </c>
      <c r="V1903">
        <f>HLOOKUP("In Use MiB",'vInfo (Imported)'!$1:$5000,M1903,FALSE)</f>
        <v>0</v>
      </c>
    </row>
    <row r="1904" spans="1:22" ht="13" x14ac:dyDescent="0.3">
      <c r="A1904" s="46">
        <f>'vHosts (Imported)'!A1904</f>
        <v>0</v>
      </c>
      <c r="B1904" s="51">
        <f t="shared" si="90"/>
        <v>4968</v>
      </c>
      <c r="C1904" s="49">
        <f>HLOOKUP("# Cores",'vHosts (Imported)'!$1:$5000,M1904,FALSE)</f>
        <v>0</v>
      </c>
      <c r="D1904" s="52">
        <f>HLOOKUP("# Memory",'vHosts (Imported)'!$1:$5000,M1904,FALSE)</f>
        <v>0</v>
      </c>
      <c r="M1904" s="45">
        <f t="shared" si="89"/>
        <v>1904</v>
      </c>
      <c r="N1904" s="38">
        <f>HLOOKUP("Host",'vInfo (Imported)'!$1:$5000,M1904,FALSE)</f>
        <v>0</v>
      </c>
      <c r="R1904">
        <f>HLOOKUP("CPUs",'vInfo (Imported)'!$1:$5000,M1904,FALSE)</f>
        <v>0</v>
      </c>
      <c r="S1904">
        <f>HLOOKUP("Memory",'vInfo (Imported)'!$1:$5000,M1904,FALSE)</f>
        <v>0</v>
      </c>
      <c r="T1904">
        <f>HLOOKUP("Provisioned MiB",'vInfo (Imported)'!$1:$5000,M1904,FALSE)</f>
        <v>0</v>
      </c>
      <c r="U1904">
        <f t="shared" si="88"/>
        <v>0</v>
      </c>
      <c r="V1904">
        <f>HLOOKUP("In Use MiB",'vInfo (Imported)'!$1:$5000,M1904,FALSE)</f>
        <v>0</v>
      </c>
    </row>
    <row r="1905" spans="1:22" ht="13" x14ac:dyDescent="0.3">
      <c r="A1905" s="46">
        <f>'vHosts (Imported)'!A1905</f>
        <v>0</v>
      </c>
      <c r="B1905" s="51">
        <f t="shared" si="90"/>
        <v>4968</v>
      </c>
      <c r="C1905" s="49">
        <f>HLOOKUP("# Cores",'vHosts (Imported)'!$1:$5000,M1905,FALSE)</f>
        <v>0</v>
      </c>
      <c r="D1905" s="52">
        <f>HLOOKUP("# Memory",'vHosts (Imported)'!$1:$5000,M1905,FALSE)</f>
        <v>0</v>
      </c>
      <c r="M1905" s="45">
        <f t="shared" si="89"/>
        <v>1905</v>
      </c>
      <c r="N1905" s="38">
        <f>HLOOKUP("Host",'vInfo (Imported)'!$1:$5000,M1905,FALSE)</f>
        <v>0</v>
      </c>
      <c r="R1905">
        <f>HLOOKUP("CPUs",'vInfo (Imported)'!$1:$5000,M1905,FALSE)</f>
        <v>0</v>
      </c>
      <c r="S1905">
        <f>HLOOKUP("Memory",'vInfo (Imported)'!$1:$5000,M1905,FALSE)</f>
        <v>0</v>
      </c>
      <c r="T1905">
        <f>HLOOKUP("Provisioned MiB",'vInfo (Imported)'!$1:$5000,M1905,FALSE)</f>
        <v>0</v>
      </c>
      <c r="U1905">
        <f t="shared" si="88"/>
        <v>0</v>
      </c>
      <c r="V1905">
        <f>HLOOKUP("In Use MiB",'vInfo (Imported)'!$1:$5000,M1905,FALSE)</f>
        <v>0</v>
      </c>
    </row>
    <row r="1906" spans="1:22" ht="13" x14ac:dyDescent="0.3">
      <c r="A1906" s="46">
        <f>'vHosts (Imported)'!A1906</f>
        <v>0</v>
      </c>
      <c r="B1906" s="51">
        <f t="shared" si="90"/>
        <v>4968</v>
      </c>
      <c r="C1906" s="49">
        <f>HLOOKUP("# Cores",'vHosts (Imported)'!$1:$5000,M1906,FALSE)</f>
        <v>0</v>
      </c>
      <c r="D1906" s="52">
        <f>HLOOKUP("# Memory",'vHosts (Imported)'!$1:$5000,M1906,FALSE)</f>
        <v>0</v>
      </c>
      <c r="M1906" s="45">
        <f t="shared" si="89"/>
        <v>1906</v>
      </c>
      <c r="N1906" s="38">
        <f>HLOOKUP("Host",'vInfo (Imported)'!$1:$5000,M1906,FALSE)</f>
        <v>0</v>
      </c>
      <c r="R1906">
        <f>HLOOKUP("CPUs",'vInfo (Imported)'!$1:$5000,M1906,FALSE)</f>
        <v>0</v>
      </c>
      <c r="S1906">
        <f>HLOOKUP("Memory",'vInfo (Imported)'!$1:$5000,M1906,FALSE)</f>
        <v>0</v>
      </c>
      <c r="T1906">
        <f>HLOOKUP("Provisioned MiB",'vInfo (Imported)'!$1:$5000,M1906,FALSE)</f>
        <v>0</v>
      </c>
      <c r="U1906">
        <f t="shared" si="88"/>
        <v>0</v>
      </c>
      <c r="V1906">
        <f>HLOOKUP("In Use MiB",'vInfo (Imported)'!$1:$5000,M1906,FALSE)</f>
        <v>0</v>
      </c>
    </row>
    <row r="1907" spans="1:22" ht="13" x14ac:dyDescent="0.3">
      <c r="A1907" s="46">
        <f>'vHosts (Imported)'!A1907</f>
        <v>0</v>
      </c>
      <c r="B1907" s="51">
        <f t="shared" si="90"/>
        <v>4968</v>
      </c>
      <c r="C1907" s="49">
        <f>HLOOKUP("# Cores",'vHosts (Imported)'!$1:$5000,M1907,FALSE)</f>
        <v>0</v>
      </c>
      <c r="D1907" s="52">
        <f>HLOOKUP("# Memory",'vHosts (Imported)'!$1:$5000,M1907,FALSE)</f>
        <v>0</v>
      </c>
      <c r="M1907" s="45">
        <f t="shared" si="89"/>
        <v>1907</v>
      </c>
      <c r="N1907" s="38">
        <f>HLOOKUP("Host",'vInfo (Imported)'!$1:$5000,M1907,FALSE)</f>
        <v>0</v>
      </c>
      <c r="R1907">
        <f>HLOOKUP("CPUs",'vInfo (Imported)'!$1:$5000,M1907,FALSE)</f>
        <v>0</v>
      </c>
      <c r="S1907">
        <f>HLOOKUP("Memory",'vInfo (Imported)'!$1:$5000,M1907,FALSE)</f>
        <v>0</v>
      </c>
      <c r="T1907">
        <f>HLOOKUP("Provisioned MiB",'vInfo (Imported)'!$1:$5000,M1907,FALSE)</f>
        <v>0</v>
      </c>
      <c r="U1907">
        <f t="shared" si="88"/>
        <v>0</v>
      </c>
      <c r="V1907">
        <f>HLOOKUP("In Use MiB",'vInfo (Imported)'!$1:$5000,M1907,FALSE)</f>
        <v>0</v>
      </c>
    </row>
    <row r="1908" spans="1:22" ht="13" x14ac:dyDescent="0.3">
      <c r="A1908" s="46">
        <f>'vHosts (Imported)'!A1908</f>
        <v>0</v>
      </c>
      <c r="B1908" s="51">
        <f t="shared" si="90"/>
        <v>4968</v>
      </c>
      <c r="C1908" s="49">
        <f>HLOOKUP("# Cores",'vHosts (Imported)'!$1:$5000,M1908,FALSE)</f>
        <v>0</v>
      </c>
      <c r="D1908" s="52">
        <f>HLOOKUP("# Memory",'vHosts (Imported)'!$1:$5000,M1908,FALSE)</f>
        <v>0</v>
      </c>
      <c r="M1908" s="45">
        <f t="shared" si="89"/>
        <v>1908</v>
      </c>
      <c r="N1908" s="38">
        <f>HLOOKUP("Host",'vInfo (Imported)'!$1:$5000,M1908,FALSE)</f>
        <v>0</v>
      </c>
      <c r="R1908">
        <f>HLOOKUP("CPUs",'vInfo (Imported)'!$1:$5000,M1908,FALSE)</f>
        <v>0</v>
      </c>
      <c r="S1908">
        <f>HLOOKUP("Memory",'vInfo (Imported)'!$1:$5000,M1908,FALSE)</f>
        <v>0</v>
      </c>
      <c r="T1908">
        <f>HLOOKUP("Provisioned MiB",'vInfo (Imported)'!$1:$5000,M1908,FALSE)</f>
        <v>0</v>
      </c>
      <c r="U1908">
        <f t="shared" si="88"/>
        <v>0</v>
      </c>
      <c r="V1908">
        <f>HLOOKUP("In Use MiB",'vInfo (Imported)'!$1:$5000,M1908,FALSE)</f>
        <v>0</v>
      </c>
    </row>
    <row r="1909" spans="1:22" ht="13" x14ac:dyDescent="0.3">
      <c r="A1909" s="46">
        <f>'vHosts (Imported)'!A1909</f>
        <v>0</v>
      </c>
      <c r="B1909" s="51">
        <f t="shared" si="90"/>
        <v>4968</v>
      </c>
      <c r="C1909" s="49">
        <f>HLOOKUP("# Cores",'vHosts (Imported)'!$1:$5000,M1909,FALSE)</f>
        <v>0</v>
      </c>
      <c r="D1909" s="52">
        <f>HLOOKUP("# Memory",'vHosts (Imported)'!$1:$5000,M1909,FALSE)</f>
        <v>0</v>
      </c>
      <c r="M1909" s="45">
        <f t="shared" si="89"/>
        <v>1909</v>
      </c>
      <c r="N1909" s="38">
        <f>HLOOKUP("Host",'vInfo (Imported)'!$1:$5000,M1909,FALSE)</f>
        <v>0</v>
      </c>
      <c r="R1909">
        <f>HLOOKUP("CPUs",'vInfo (Imported)'!$1:$5000,M1909,FALSE)</f>
        <v>0</v>
      </c>
      <c r="S1909">
        <f>HLOOKUP("Memory",'vInfo (Imported)'!$1:$5000,M1909,FALSE)</f>
        <v>0</v>
      </c>
      <c r="T1909">
        <f>HLOOKUP("Provisioned MiB",'vInfo (Imported)'!$1:$5000,M1909,FALSE)</f>
        <v>0</v>
      </c>
      <c r="U1909">
        <f t="shared" si="88"/>
        <v>0</v>
      </c>
      <c r="V1909">
        <f>HLOOKUP("In Use MiB",'vInfo (Imported)'!$1:$5000,M1909,FALSE)</f>
        <v>0</v>
      </c>
    </row>
    <row r="1910" spans="1:22" ht="13" x14ac:dyDescent="0.3">
      <c r="A1910" s="46">
        <f>'vHosts (Imported)'!A1910</f>
        <v>0</v>
      </c>
      <c r="B1910" s="51">
        <f t="shared" si="90"/>
        <v>4968</v>
      </c>
      <c r="C1910" s="49">
        <f>HLOOKUP("# Cores",'vHosts (Imported)'!$1:$5000,M1910,FALSE)</f>
        <v>0</v>
      </c>
      <c r="D1910" s="52">
        <f>HLOOKUP("# Memory",'vHosts (Imported)'!$1:$5000,M1910,FALSE)</f>
        <v>0</v>
      </c>
      <c r="M1910" s="45">
        <f t="shared" si="89"/>
        <v>1910</v>
      </c>
      <c r="N1910" s="38">
        <f>HLOOKUP("Host",'vInfo (Imported)'!$1:$5000,M1910,FALSE)</f>
        <v>0</v>
      </c>
      <c r="R1910">
        <f>HLOOKUP("CPUs",'vInfo (Imported)'!$1:$5000,M1910,FALSE)</f>
        <v>0</v>
      </c>
      <c r="S1910">
        <f>HLOOKUP("Memory",'vInfo (Imported)'!$1:$5000,M1910,FALSE)</f>
        <v>0</v>
      </c>
      <c r="T1910">
        <f>HLOOKUP("Provisioned MiB",'vInfo (Imported)'!$1:$5000,M1910,FALSE)</f>
        <v>0</v>
      </c>
      <c r="U1910">
        <f t="shared" si="88"/>
        <v>0</v>
      </c>
      <c r="V1910">
        <f>HLOOKUP("In Use MiB",'vInfo (Imported)'!$1:$5000,M1910,FALSE)</f>
        <v>0</v>
      </c>
    </row>
    <row r="1911" spans="1:22" ht="13" x14ac:dyDescent="0.3">
      <c r="A1911" s="46">
        <f>'vHosts (Imported)'!A1911</f>
        <v>0</v>
      </c>
      <c r="B1911" s="51">
        <f t="shared" si="90"/>
        <v>4968</v>
      </c>
      <c r="C1911" s="49">
        <f>HLOOKUP("# Cores",'vHosts (Imported)'!$1:$5000,M1911,FALSE)</f>
        <v>0</v>
      </c>
      <c r="D1911" s="52">
        <f>HLOOKUP("# Memory",'vHosts (Imported)'!$1:$5000,M1911,FALSE)</f>
        <v>0</v>
      </c>
      <c r="M1911" s="45">
        <f t="shared" si="89"/>
        <v>1911</v>
      </c>
      <c r="N1911" s="38">
        <f>HLOOKUP("Host",'vInfo (Imported)'!$1:$5000,M1911,FALSE)</f>
        <v>0</v>
      </c>
      <c r="R1911">
        <f>HLOOKUP("CPUs",'vInfo (Imported)'!$1:$5000,M1911,FALSE)</f>
        <v>0</v>
      </c>
      <c r="S1911">
        <f>HLOOKUP("Memory",'vInfo (Imported)'!$1:$5000,M1911,FALSE)</f>
        <v>0</v>
      </c>
      <c r="T1911">
        <f>HLOOKUP("Provisioned MiB",'vInfo (Imported)'!$1:$5000,M1911,FALSE)</f>
        <v>0</v>
      </c>
      <c r="U1911">
        <f t="shared" si="88"/>
        <v>0</v>
      </c>
      <c r="V1911">
        <f>HLOOKUP("In Use MiB",'vInfo (Imported)'!$1:$5000,M1911,FALSE)</f>
        <v>0</v>
      </c>
    </row>
    <row r="1912" spans="1:22" ht="13" x14ac:dyDescent="0.3">
      <c r="A1912" s="46">
        <f>'vHosts (Imported)'!A1912</f>
        <v>0</v>
      </c>
      <c r="B1912" s="51">
        <f t="shared" si="90"/>
        <v>4968</v>
      </c>
      <c r="C1912" s="49">
        <f>HLOOKUP("# Cores",'vHosts (Imported)'!$1:$5000,M1912,FALSE)</f>
        <v>0</v>
      </c>
      <c r="D1912" s="52">
        <f>HLOOKUP("# Memory",'vHosts (Imported)'!$1:$5000,M1912,FALSE)</f>
        <v>0</v>
      </c>
      <c r="M1912" s="45">
        <f t="shared" si="89"/>
        <v>1912</v>
      </c>
      <c r="N1912" s="38">
        <f>HLOOKUP("Host",'vInfo (Imported)'!$1:$5000,M1912,FALSE)</f>
        <v>0</v>
      </c>
      <c r="R1912">
        <f>HLOOKUP("CPUs",'vInfo (Imported)'!$1:$5000,M1912,FALSE)</f>
        <v>0</v>
      </c>
      <c r="S1912">
        <f>HLOOKUP("Memory",'vInfo (Imported)'!$1:$5000,M1912,FALSE)</f>
        <v>0</v>
      </c>
      <c r="T1912">
        <f>HLOOKUP("Provisioned MiB",'vInfo (Imported)'!$1:$5000,M1912,FALSE)</f>
        <v>0</v>
      </c>
      <c r="U1912">
        <f t="shared" si="88"/>
        <v>0</v>
      </c>
      <c r="V1912">
        <f>HLOOKUP("In Use MiB",'vInfo (Imported)'!$1:$5000,M1912,FALSE)</f>
        <v>0</v>
      </c>
    </row>
    <row r="1913" spans="1:22" ht="13" x14ac:dyDescent="0.3">
      <c r="A1913" s="46">
        <f>'vHosts (Imported)'!A1913</f>
        <v>0</v>
      </c>
      <c r="B1913" s="51">
        <f t="shared" si="90"/>
        <v>4968</v>
      </c>
      <c r="C1913" s="49">
        <f>HLOOKUP("# Cores",'vHosts (Imported)'!$1:$5000,M1913,FALSE)</f>
        <v>0</v>
      </c>
      <c r="D1913" s="52">
        <f>HLOOKUP("# Memory",'vHosts (Imported)'!$1:$5000,M1913,FALSE)</f>
        <v>0</v>
      </c>
      <c r="M1913" s="45">
        <f t="shared" si="89"/>
        <v>1913</v>
      </c>
      <c r="N1913" s="38">
        <f>HLOOKUP("Host",'vInfo (Imported)'!$1:$5000,M1913,FALSE)</f>
        <v>0</v>
      </c>
      <c r="R1913">
        <f>HLOOKUP("CPUs",'vInfo (Imported)'!$1:$5000,M1913,FALSE)</f>
        <v>0</v>
      </c>
      <c r="S1913">
        <f>HLOOKUP("Memory",'vInfo (Imported)'!$1:$5000,M1913,FALSE)</f>
        <v>0</v>
      </c>
      <c r="T1913">
        <f>HLOOKUP("Provisioned MiB",'vInfo (Imported)'!$1:$5000,M1913,FALSE)</f>
        <v>0</v>
      </c>
      <c r="U1913">
        <f t="shared" si="88"/>
        <v>0</v>
      </c>
      <c r="V1913">
        <f>HLOOKUP("In Use MiB",'vInfo (Imported)'!$1:$5000,M1913,FALSE)</f>
        <v>0</v>
      </c>
    </row>
    <row r="1914" spans="1:22" ht="13" x14ac:dyDescent="0.3">
      <c r="A1914" s="46">
        <f>'vHosts (Imported)'!A1914</f>
        <v>0</v>
      </c>
      <c r="B1914" s="51">
        <f t="shared" si="90"/>
        <v>4968</v>
      </c>
      <c r="C1914" s="49">
        <f>HLOOKUP("# Cores",'vHosts (Imported)'!$1:$5000,M1914,FALSE)</f>
        <v>0</v>
      </c>
      <c r="D1914" s="52">
        <f>HLOOKUP("# Memory",'vHosts (Imported)'!$1:$5000,M1914,FALSE)</f>
        <v>0</v>
      </c>
      <c r="M1914" s="45">
        <f t="shared" si="89"/>
        <v>1914</v>
      </c>
      <c r="N1914" s="38">
        <f>HLOOKUP("Host",'vInfo (Imported)'!$1:$5000,M1914,FALSE)</f>
        <v>0</v>
      </c>
      <c r="R1914">
        <f>HLOOKUP("CPUs",'vInfo (Imported)'!$1:$5000,M1914,FALSE)</f>
        <v>0</v>
      </c>
      <c r="S1914">
        <f>HLOOKUP("Memory",'vInfo (Imported)'!$1:$5000,M1914,FALSE)</f>
        <v>0</v>
      </c>
      <c r="T1914">
        <f>HLOOKUP("Provisioned MiB",'vInfo (Imported)'!$1:$5000,M1914,FALSE)</f>
        <v>0</v>
      </c>
      <c r="U1914">
        <f t="shared" si="88"/>
        <v>0</v>
      </c>
      <c r="V1914">
        <f>HLOOKUP("In Use MiB",'vInfo (Imported)'!$1:$5000,M1914,FALSE)</f>
        <v>0</v>
      </c>
    </row>
    <row r="1915" spans="1:22" ht="13" x14ac:dyDescent="0.3">
      <c r="A1915" s="46">
        <f>'vHosts (Imported)'!A1915</f>
        <v>0</v>
      </c>
      <c r="B1915" s="51">
        <f t="shared" si="90"/>
        <v>4968</v>
      </c>
      <c r="C1915" s="49">
        <f>HLOOKUP("# Cores",'vHosts (Imported)'!$1:$5000,M1915,FALSE)</f>
        <v>0</v>
      </c>
      <c r="D1915" s="52">
        <f>HLOOKUP("# Memory",'vHosts (Imported)'!$1:$5000,M1915,FALSE)</f>
        <v>0</v>
      </c>
      <c r="M1915" s="45">
        <f t="shared" si="89"/>
        <v>1915</v>
      </c>
      <c r="N1915" s="38">
        <f>HLOOKUP("Host",'vInfo (Imported)'!$1:$5000,M1915,FALSE)</f>
        <v>0</v>
      </c>
      <c r="R1915">
        <f>HLOOKUP("CPUs",'vInfo (Imported)'!$1:$5000,M1915,FALSE)</f>
        <v>0</v>
      </c>
      <c r="S1915">
        <f>HLOOKUP("Memory",'vInfo (Imported)'!$1:$5000,M1915,FALSE)</f>
        <v>0</v>
      </c>
      <c r="T1915">
        <f>HLOOKUP("Provisioned MiB",'vInfo (Imported)'!$1:$5000,M1915,FALSE)</f>
        <v>0</v>
      </c>
      <c r="U1915">
        <f t="shared" si="88"/>
        <v>0</v>
      </c>
      <c r="V1915">
        <f>HLOOKUP("In Use MiB",'vInfo (Imported)'!$1:$5000,M1915,FALSE)</f>
        <v>0</v>
      </c>
    </row>
    <row r="1916" spans="1:22" ht="13" x14ac:dyDescent="0.3">
      <c r="A1916" s="46">
        <f>'vHosts (Imported)'!A1916</f>
        <v>0</v>
      </c>
      <c r="B1916" s="51">
        <f t="shared" si="90"/>
        <v>4968</v>
      </c>
      <c r="C1916" s="49">
        <f>HLOOKUP("# Cores",'vHosts (Imported)'!$1:$5000,M1916,FALSE)</f>
        <v>0</v>
      </c>
      <c r="D1916" s="52">
        <f>HLOOKUP("# Memory",'vHosts (Imported)'!$1:$5000,M1916,FALSE)</f>
        <v>0</v>
      </c>
      <c r="M1916" s="45">
        <f t="shared" si="89"/>
        <v>1916</v>
      </c>
      <c r="N1916" s="38">
        <f>HLOOKUP("Host",'vInfo (Imported)'!$1:$5000,M1916,FALSE)</f>
        <v>0</v>
      </c>
      <c r="R1916">
        <f>HLOOKUP("CPUs",'vInfo (Imported)'!$1:$5000,M1916,FALSE)</f>
        <v>0</v>
      </c>
      <c r="S1916">
        <f>HLOOKUP("Memory",'vInfo (Imported)'!$1:$5000,M1916,FALSE)</f>
        <v>0</v>
      </c>
      <c r="T1916">
        <f>HLOOKUP("Provisioned MiB",'vInfo (Imported)'!$1:$5000,M1916,FALSE)</f>
        <v>0</v>
      </c>
      <c r="U1916">
        <f t="shared" si="88"/>
        <v>0</v>
      </c>
      <c r="V1916">
        <f>HLOOKUP("In Use MiB",'vInfo (Imported)'!$1:$5000,M1916,FALSE)</f>
        <v>0</v>
      </c>
    </row>
    <row r="1917" spans="1:22" ht="13" x14ac:dyDescent="0.3">
      <c r="A1917" s="46">
        <f>'vHosts (Imported)'!A1917</f>
        <v>0</v>
      </c>
      <c r="B1917" s="51">
        <f t="shared" si="90"/>
        <v>4968</v>
      </c>
      <c r="C1917" s="49">
        <f>HLOOKUP("# Cores",'vHosts (Imported)'!$1:$5000,M1917,FALSE)</f>
        <v>0</v>
      </c>
      <c r="D1917" s="52">
        <f>HLOOKUP("# Memory",'vHosts (Imported)'!$1:$5000,M1917,FALSE)</f>
        <v>0</v>
      </c>
      <c r="M1917" s="45">
        <f t="shared" si="89"/>
        <v>1917</v>
      </c>
      <c r="N1917" s="38">
        <f>HLOOKUP("Host",'vInfo (Imported)'!$1:$5000,M1917,FALSE)</f>
        <v>0</v>
      </c>
      <c r="R1917">
        <f>HLOOKUP("CPUs",'vInfo (Imported)'!$1:$5000,M1917,FALSE)</f>
        <v>0</v>
      </c>
      <c r="S1917">
        <f>HLOOKUP("Memory",'vInfo (Imported)'!$1:$5000,M1917,FALSE)</f>
        <v>0</v>
      </c>
      <c r="T1917">
        <f>HLOOKUP("Provisioned MiB",'vInfo (Imported)'!$1:$5000,M1917,FALSE)</f>
        <v>0</v>
      </c>
      <c r="U1917">
        <f t="shared" si="88"/>
        <v>0</v>
      </c>
      <c r="V1917">
        <f>HLOOKUP("In Use MiB",'vInfo (Imported)'!$1:$5000,M1917,FALSE)</f>
        <v>0</v>
      </c>
    </row>
    <row r="1918" spans="1:22" ht="13" x14ac:dyDescent="0.3">
      <c r="A1918" s="46">
        <f>'vHosts (Imported)'!A1918</f>
        <v>0</v>
      </c>
      <c r="B1918" s="51">
        <f t="shared" si="90"/>
        <v>4968</v>
      </c>
      <c r="C1918" s="49">
        <f>HLOOKUP("# Cores",'vHosts (Imported)'!$1:$5000,M1918,FALSE)</f>
        <v>0</v>
      </c>
      <c r="D1918" s="52">
        <f>HLOOKUP("# Memory",'vHosts (Imported)'!$1:$5000,M1918,FALSE)</f>
        <v>0</v>
      </c>
      <c r="M1918" s="45">
        <f t="shared" si="89"/>
        <v>1918</v>
      </c>
      <c r="N1918" s="38">
        <f>HLOOKUP("Host",'vInfo (Imported)'!$1:$5000,M1918,FALSE)</f>
        <v>0</v>
      </c>
      <c r="R1918">
        <f>HLOOKUP("CPUs",'vInfo (Imported)'!$1:$5000,M1918,FALSE)</f>
        <v>0</v>
      </c>
      <c r="S1918">
        <f>HLOOKUP("Memory",'vInfo (Imported)'!$1:$5000,M1918,FALSE)</f>
        <v>0</v>
      </c>
      <c r="T1918">
        <f>HLOOKUP("Provisioned MiB",'vInfo (Imported)'!$1:$5000,M1918,FALSE)</f>
        <v>0</v>
      </c>
      <c r="U1918">
        <f t="shared" si="88"/>
        <v>0</v>
      </c>
      <c r="V1918">
        <f>HLOOKUP("In Use MiB",'vInfo (Imported)'!$1:$5000,M1918,FALSE)</f>
        <v>0</v>
      </c>
    </row>
    <row r="1919" spans="1:22" ht="13" x14ac:dyDescent="0.3">
      <c r="A1919" s="46">
        <f>'vHosts (Imported)'!A1919</f>
        <v>0</v>
      </c>
      <c r="B1919" s="51">
        <f t="shared" si="90"/>
        <v>4968</v>
      </c>
      <c r="C1919" s="49">
        <f>HLOOKUP("# Cores",'vHosts (Imported)'!$1:$5000,M1919,FALSE)</f>
        <v>0</v>
      </c>
      <c r="D1919" s="52">
        <f>HLOOKUP("# Memory",'vHosts (Imported)'!$1:$5000,M1919,FALSE)</f>
        <v>0</v>
      </c>
      <c r="M1919" s="45">
        <f t="shared" si="89"/>
        <v>1919</v>
      </c>
      <c r="N1919" s="38">
        <f>HLOOKUP("Host",'vInfo (Imported)'!$1:$5000,M1919,FALSE)</f>
        <v>0</v>
      </c>
      <c r="R1919">
        <f>HLOOKUP("CPUs",'vInfo (Imported)'!$1:$5000,M1919,FALSE)</f>
        <v>0</v>
      </c>
      <c r="S1919">
        <f>HLOOKUP("Memory",'vInfo (Imported)'!$1:$5000,M1919,FALSE)</f>
        <v>0</v>
      </c>
      <c r="T1919">
        <f>HLOOKUP("Provisioned MiB",'vInfo (Imported)'!$1:$5000,M1919,FALSE)</f>
        <v>0</v>
      </c>
      <c r="U1919">
        <f t="shared" si="88"/>
        <v>0</v>
      </c>
      <c r="V1919">
        <f>HLOOKUP("In Use MiB",'vInfo (Imported)'!$1:$5000,M1919,FALSE)</f>
        <v>0</v>
      </c>
    </row>
    <row r="1920" spans="1:22" ht="13" x14ac:dyDescent="0.3">
      <c r="A1920" s="46">
        <f>'vHosts (Imported)'!A1920</f>
        <v>0</v>
      </c>
      <c r="B1920" s="51">
        <f t="shared" si="90"/>
        <v>4968</v>
      </c>
      <c r="C1920" s="49">
        <f>HLOOKUP("# Cores",'vHosts (Imported)'!$1:$5000,M1920,FALSE)</f>
        <v>0</v>
      </c>
      <c r="D1920" s="52">
        <f>HLOOKUP("# Memory",'vHosts (Imported)'!$1:$5000,M1920,FALSE)</f>
        <v>0</v>
      </c>
      <c r="M1920" s="45">
        <f t="shared" si="89"/>
        <v>1920</v>
      </c>
      <c r="N1920" s="38">
        <f>HLOOKUP("Host",'vInfo (Imported)'!$1:$5000,M1920,FALSE)</f>
        <v>0</v>
      </c>
      <c r="R1920">
        <f>HLOOKUP("CPUs",'vInfo (Imported)'!$1:$5000,M1920,FALSE)</f>
        <v>0</v>
      </c>
      <c r="S1920">
        <f>HLOOKUP("Memory",'vInfo (Imported)'!$1:$5000,M1920,FALSE)</f>
        <v>0</v>
      </c>
      <c r="T1920">
        <f>HLOOKUP("Provisioned MiB",'vInfo (Imported)'!$1:$5000,M1920,FALSE)</f>
        <v>0</v>
      </c>
      <c r="U1920">
        <f t="shared" si="88"/>
        <v>0</v>
      </c>
      <c r="V1920">
        <f>HLOOKUP("In Use MiB",'vInfo (Imported)'!$1:$5000,M1920,FALSE)</f>
        <v>0</v>
      </c>
    </row>
    <row r="1921" spans="1:22" ht="13" x14ac:dyDescent="0.3">
      <c r="A1921" s="46">
        <f>'vHosts (Imported)'!A1921</f>
        <v>0</v>
      </c>
      <c r="B1921" s="51">
        <f t="shared" si="90"/>
        <v>4968</v>
      </c>
      <c r="C1921" s="49">
        <f>HLOOKUP("# Cores",'vHosts (Imported)'!$1:$5000,M1921,FALSE)</f>
        <v>0</v>
      </c>
      <c r="D1921" s="52">
        <f>HLOOKUP("# Memory",'vHosts (Imported)'!$1:$5000,M1921,FALSE)</f>
        <v>0</v>
      </c>
      <c r="M1921" s="45">
        <f t="shared" si="89"/>
        <v>1921</v>
      </c>
      <c r="N1921" s="38">
        <f>HLOOKUP("Host",'vInfo (Imported)'!$1:$5000,M1921,FALSE)</f>
        <v>0</v>
      </c>
      <c r="R1921">
        <f>HLOOKUP("CPUs",'vInfo (Imported)'!$1:$5000,M1921,FALSE)</f>
        <v>0</v>
      </c>
      <c r="S1921">
        <f>HLOOKUP("Memory",'vInfo (Imported)'!$1:$5000,M1921,FALSE)</f>
        <v>0</v>
      </c>
      <c r="T1921">
        <f>HLOOKUP("Provisioned MiB",'vInfo (Imported)'!$1:$5000,M1921,FALSE)</f>
        <v>0</v>
      </c>
      <c r="U1921">
        <f t="shared" si="88"/>
        <v>0</v>
      </c>
      <c r="V1921">
        <f>HLOOKUP("In Use MiB",'vInfo (Imported)'!$1:$5000,M1921,FALSE)</f>
        <v>0</v>
      </c>
    </row>
    <row r="1922" spans="1:22" ht="13" x14ac:dyDescent="0.3">
      <c r="A1922" s="46">
        <f>'vHosts (Imported)'!A1922</f>
        <v>0</v>
      </c>
      <c r="B1922" s="51">
        <f t="shared" si="90"/>
        <v>4968</v>
      </c>
      <c r="C1922" s="49">
        <f>HLOOKUP("# Cores",'vHosts (Imported)'!$1:$5000,M1922,FALSE)</f>
        <v>0</v>
      </c>
      <c r="D1922" s="52">
        <f>HLOOKUP("# Memory",'vHosts (Imported)'!$1:$5000,M1922,FALSE)</f>
        <v>0</v>
      </c>
      <c r="M1922" s="45">
        <f t="shared" si="89"/>
        <v>1922</v>
      </c>
      <c r="N1922" s="38">
        <f>HLOOKUP("Host",'vInfo (Imported)'!$1:$5000,M1922,FALSE)</f>
        <v>0</v>
      </c>
      <c r="R1922">
        <f>HLOOKUP("CPUs",'vInfo (Imported)'!$1:$5000,M1922,FALSE)</f>
        <v>0</v>
      </c>
      <c r="S1922">
        <f>HLOOKUP("Memory",'vInfo (Imported)'!$1:$5000,M1922,FALSE)</f>
        <v>0</v>
      </c>
      <c r="T1922">
        <f>HLOOKUP("Provisioned MiB",'vInfo (Imported)'!$1:$5000,M1922,FALSE)</f>
        <v>0</v>
      </c>
      <c r="U1922">
        <f t="shared" si="88"/>
        <v>0</v>
      </c>
      <c r="V1922">
        <f>HLOOKUP("In Use MiB",'vInfo (Imported)'!$1:$5000,M1922,FALSE)</f>
        <v>0</v>
      </c>
    </row>
    <row r="1923" spans="1:22" ht="13" x14ac:dyDescent="0.3">
      <c r="A1923" s="46">
        <f>'vHosts (Imported)'!A1923</f>
        <v>0</v>
      </c>
      <c r="B1923" s="51">
        <f t="shared" si="90"/>
        <v>4968</v>
      </c>
      <c r="C1923" s="49">
        <f>HLOOKUP("# Cores",'vHosts (Imported)'!$1:$5000,M1923,FALSE)</f>
        <v>0</v>
      </c>
      <c r="D1923" s="52">
        <f>HLOOKUP("# Memory",'vHosts (Imported)'!$1:$5000,M1923,FALSE)</f>
        <v>0</v>
      </c>
      <c r="M1923" s="45">
        <f t="shared" si="89"/>
        <v>1923</v>
      </c>
      <c r="N1923" s="38">
        <f>HLOOKUP("Host",'vInfo (Imported)'!$1:$5000,M1923,FALSE)</f>
        <v>0</v>
      </c>
      <c r="R1923">
        <f>HLOOKUP("CPUs",'vInfo (Imported)'!$1:$5000,M1923,FALSE)</f>
        <v>0</v>
      </c>
      <c r="S1923">
        <f>HLOOKUP("Memory",'vInfo (Imported)'!$1:$5000,M1923,FALSE)</f>
        <v>0</v>
      </c>
      <c r="T1923">
        <f>HLOOKUP("Provisioned MiB",'vInfo (Imported)'!$1:$5000,M1923,FALSE)</f>
        <v>0</v>
      </c>
      <c r="U1923">
        <f t="shared" ref="U1923:U1986" si="91">T1923-V1923</f>
        <v>0</v>
      </c>
      <c r="V1923">
        <f>HLOOKUP("In Use MiB",'vInfo (Imported)'!$1:$5000,M1923,FALSE)</f>
        <v>0</v>
      </c>
    </row>
    <row r="1924" spans="1:22" ht="13" x14ac:dyDescent="0.3">
      <c r="A1924" s="46">
        <f>'vHosts (Imported)'!A1924</f>
        <v>0</v>
      </c>
      <c r="B1924" s="51">
        <f t="shared" si="90"/>
        <v>4968</v>
      </c>
      <c r="C1924" s="49">
        <f>HLOOKUP("# Cores",'vHosts (Imported)'!$1:$5000,M1924,FALSE)</f>
        <v>0</v>
      </c>
      <c r="D1924" s="52">
        <f>HLOOKUP("# Memory",'vHosts (Imported)'!$1:$5000,M1924,FALSE)</f>
        <v>0</v>
      </c>
      <c r="M1924" s="45">
        <f t="shared" ref="M1924:M1987" si="92">M1923+1</f>
        <v>1924</v>
      </c>
      <c r="N1924" s="38">
        <f>HLOOKUP("Host",'vInfo (Imported)'!$1:$5000,M1924,FALSE)</f>
        <v>0</v>
      </c>
      <c r="R1924">
        <f>HLOOKUP("CPUs",'vInfo (Imported)'!$1:$5000,M1924,FALSE)</f>
        <v>0</v>
      </c>
      <c r="S1924">
        <f>HLOOKUP("Memory",'vInfo (Imported)'!$1:$5000,M1924,FALSE)</f>
        <v>0</v>
      </c>
      <c r="T1924">
        <f>HLOOKUP("Provisioned MiB",'vInfo (Imported)'!$1:$5000,M1924,FALSE)</f>
        <v>0</v>
      </c>
      <c r="U1924">
        <f t="shared" si="91"/>
        <v>0</v>
      </c>
      <c r="V1924">
        <f>HLOOKUP("In Use MiB",'vInfo (Imported)'!$1:$5000,M1924,FALSE)</f>
        <v>0</v>
      </c>
    </row>
    <row r="1925" spans="1:22" ht="13" x14ac:dyDescent="0.3">
      <c r="A1925" s="46">
        <f>'vHosts (Imported)'!A1925</f>
        <v>0</v>
      </c>
      <c r="B1925" s="51">
        <f t="shared" si="90"/>
        <v>4968</v>
      </c>
      <c r="C1925" s="49">
        <f>HLOOKUP("# Cores",'vHosts (Imported)'!$1:$5000,M1925,FALSE)</f>
        <v>0</v>
      </c>
      <c r="D1925" s="52">
        <f>HLOOKUP("# Memory",'vHosts (Imported)'!$1:$5000,M1925,FALSE)</f>
        <v>0</v>
      </c>
      <c r="M1925" s="45">
        <f t="shared" si="92"/>
        <v>1925</v>
      </c>
      <c r="N1925" s="38">
        <f>HLOOKUP("Host",'vInfo (Imported)'!$1:$5000,M1925,FALSE)</f>
        <v>0</v>
      </c>
      <c r="R1925">
        <f>HLOOKUP("CPUs",'vInfo (Imported)'!$1:$5000,M1925,FALSE)</f>
        <v>0</v>
      </c>
      <c r="S1925">
        <f>HLOOKUP("Memory",'vInfo (Imported)'!$1:$5000,M1925,FALSE)</f>
        <v>0</v>
      </c>
      <c r="T1925">
        <f>HLOOKUP("Provisioned MiB",'vInfo (Imported)'!$1:$5000,M1925,FALSE)</f>
        <v>0</v>
      </c>
      <c r="U1925">
        <f t="shared" si="91"/>
        <v>0</v>
      </c>
      <c r="V1925">
        <f>HLOOKUP("In Use MiB",'vInfo (Imported)'!$1:$5000,M1925,FALSE)</f>
        <v>0</v>
      </c>
    </row>
    <row r="1926" spans="1:22" ht="13" x14ac:dyDescent="0.3">
      <c r="A1926" s="46">
        <f>'vHosts (Imported)'!A1926</f>
        <v>0</v>
      </c>
      <c r="B1926" s="51">
        <f t="shared" si="90"/>
        <v>4968</v>
      </c>
      <c r="C1926" s="49">
        <f>HLOOKUP("# Cores",'vHosts (Imported)'!$1:$5000,M1926,FALSE)</f>
        <v>0</v>
      </c>
      <c r="D1926" s="52">
        <f>HLOOKUP("# Memory",'vHosts (Imported)'!$1:$5000,M1926,FALSE)</f>
        <v>0</v>
      </c>
      <c r="M1926" s="45">
        <f t="shared" si="92"/>
        <v>1926</v>
      </c>
      <c r="N1926" s="38">
        <f>HLOOKUP("Host",'vInfo (Imported)'!$1:$5000,M1926,FALSE)</f>
        <v>0</v>
      </c>
      <c r="R1926">
        <f>HLOOKUP("CPUs",'vInfo (Imported)'!$1:$5000,M1926,FALSE)</f>
        <v>0</v>
      </c>
      <c r="S1926">
        <f>HLOOKUP("Memory",'vInfo (Imported)'!$1:$5000,M1926,FALSE)</f>
        <v>0</v>
      </c>
      <c r="T1926">
        <f>HLOOKUP("Provisioned MiB",'vInfo (Imported)'!$1:$5000,M1926,FALSE)</f>
        <v>0</v>
      </c>
      <c r="U1926">
        <f t="shared" si="91"/>
        <v>0</v>
      </c>
      <c r="V1926">
        <f>HLOOKUP("In Use MiB",'vInfo (Imported)'!$1:$5000,M1926,FALSE)</f>
        <v>0</v>
      </c>
    </row>
    <row r="1927" spans="1:22" ht="13" x14ac:dyDescent="0.3">
      <c r="A1927" s="46">
        <f>'vHosts (Imported)'!A1927</f>
        <v>0</v>
      </c>
      <c r="B1927" s="51">
        <f t="shared" si="90"/>
        <v>4968</v>
      </c>
      <c r="C1927" s="49">
        <f>HLOOKUP("# Cores",'vHosts (Imported)'!$1:$5000,M1927,FALSE)</f>
        <v>0</v>
      </c>
      <c r="D1927" s="52">
        <f>HLOOKUP("# Memory",'vHosts (Imported)'!$1:$5000,M1927,FALSE)</f>
        <v>0</v>
      </c>
      <c r="M1927" s="45">
        <f t="shared" si="92"/>
        <v>1927</v>
      </c>
      <c r="N1927" s="38">
        <f>HLOOKUP("Host",'vInfo (Imported)'!$1:$5000,M1927,FALSE)</f>
        <v>0</v>
      </c>
      <c r="R1927">
        <f>HLOOKUP("CPUs",'vInfo (Imported)'!$1:$5000,M1927,FALSE)</f>
        <v>0</v>
      </c>
      <c r="S1927">
        <f>HLOOKUP("Memory",'vInfo (Imported)'!$1:$5000,M1927,FALSE)</f>
        <v>0</v>
      </c>
      <c r="T1927">
        <f>HLOOKUP("Provisioned MiB",'vInfo (Imported)'!$1:$5000,M1927,FALSE)</f>
        <v>0</v>
      </c>
      <c r="U1927">
        <f t="shared" si="91"/>
        <v>0</v>
      </c>
      <c r="V1927">
        <f>HLOOKUP("In Use MiB",'vInfo (Imported)'!$1:$5000,M1927,FALSE)</f>
        <v>0</v>
      </c>
    </row>
    <row r="1928" spans="1:22" ht="13" x14ac:dyDescent="0.3">
      <c r="A1928" s="46">
        <f>'vHosts (Imported)'!A1928</f>
        <v>0</v>
      </c>
      <c r="B1928" s="51">
        <f t="shared" si="90"/>
        <v>4968</v>
      </c>
      <c r="C1928" s="49">
        <f>HLOOKUP("# Cores",'vHosts (Imported)'!$1:$5000,M1928,FALSE)</f>
        <v>0</v>
      </c>
      <c r="D1928" s="52">
        <f>HLOOKUP("# Memory",'vHosts (Imported)'!$1:$5000,M1928,FALSE)</f>
        <v>0</v>
      </c>
      <c r="M1928" s="45">
        <f t="shared" si="92"/>
        <v>1928</v>
      </c>
      <c r="N1928" s="38">
        <f>HLOOKUP("Host",'vInfo (Imported)'!$1:$5000,M1928,FALSE)</f>
        <v>0</v>
      </c>
      <c r="R1928">
        <f>HLOOKUP("CPUs",'vInfo (Imported)'!$1:$5000,M1928,FALSE)</f>
        <v>0</v>
      </c>
      <c r="S1928">
        <f>HLOOKUP("Memory",'vInfo (Imported)'!$1:$5000,M1928,FALSE)</f>
        <v>0</v>
      </c>
      <c r="T1928">
        <f>HLOOKUP("Provisioned MiB",'vInfo (Imported)'!$1:$5000,M1928,FALSE)</f>
        <v>0</v>
      </c>
      <c r="U1928">
        <f t="shared" si="91"/>
        <v>0</v>
      </c>
      <c r="V1928">
        <f>HLOOKUP("In Use MiB",'vInfo (Imported)'!$1:$5000,M1928,FALSE)</f>
        <v>0</v>
      </c>
    </row>
    <row r="1929" spans="1:22" ht="13" x14ac:dyDescent="0.3">
      <c r="A1929" s="46">
        <f>'vHosts (Imported)'!A1929</f>
        <v>0</v>
      </c>
      <c r="B1929" s="51">
        <f t="shared" si="90"/>
        <v>4968</v>
      </c>
      <c r="C1929" s="49">
        <f>HLOOKUP("# Cores",'vHosts (Imported)'!$1:$5000,M1929,FALSE)</f>
        <v>0</v>
      </c>
      <c r="D1929" s="52">
        <f>HLOOKUP("# Memory",'vHosts (Imported)'!$1:$5000,M1929,FALSE)</f>
        <v>0</v>
      </c>
      <c r="M1929" s="45">
        <f t="shared" si="92"/>
        <v>1929</v>
      </c>
      <c r="N1929" s="38">
        <f>HLOOKUP("Host",'vInfo (Imported)'!$1:$5000,M1929,FALSE)</f>
        <v>0</v>
      </c>
      <c r="R1929">
        <f>HLOOKUP("CPUs",'vInfo (Imported)'!$1:$5000,M1929,FALSE)</f>
        <v>0</v>
      </c>
      <c r="S1929">
        <f>HLOOKUP("Memory",'vInfo (Imported)'!$1:$5000,M1929,FALSE)</f>
        <v>0</v>
      </c>
      <c r="T1929">
        <f>HLOOKUP("Provisioned MiB",'vInfo (Imported)'!$1:$5000,M1929,FALSE)</f>
        <v>0</v>
      </c>
      <c r="U1929">
        <f t="shared" si="91"/>
        <v>0</v>
      </c>
      <c r="V1929">
        <f>HLOOKUP("In Use MiB",'vInfo (Imported)'!$1:$5000,M1929,FALSE)</f>
        <v>0</v>
      </c>
    </row>
    <row r="1930" spans="1:22" ht="13" x14ac:dyDescent="0.3">
      <c r="A1930" s="46">
        <f>'vHosts (Imported)'!A1930</f>
        <v>0</v>
      </c>
      <c r="B1930" s="51">
        <f t="shared" si="90"/>
        <v>4968</v>
      </c>
      <c r="C1930" s="49">
        <f>HLOOKUP("# Cores",'vHosts (Imported)'!$1:$5000,M1930,FALSE)</f>
        <v>0</v>
      </c>
      <c r="D1930" s="52">
        <f>HLOOKUP("# Memory",'vHosts (Imported)'!$1:$5000,M1930,FALSE)</f>
        <v>0</v>
      </c>
      <c r="M1930" s="45">
        <f t="shared" si="92"/>
        <v>1930</v>
      </c>
      <c r="N1930" s="38">
        <f>HLOOKUP("Host",'vInfo (Imported)'!$1:$5000,M1930,FALSE)</f>
        <v>0</v>
      </c>
      <c r="R1930">
        <f>HLOOKUP("CPUs",'vInfo (Imported)'!$1:$5000,M1930,FALSE)</f>
        <v>0</v>
      </c>
      <c r="S1930">
        <f>HLOOKUP("Memory",'vInfo (Imported)'!$1:$5000,M1930,FALSE)</f>
        <v>0</v>
      </c>
      <c r="T1930">
        <f>HLOOKUP("Provisioned MiB",'vInfo (Imported)'!$1:$5000,M1930,FALSE)</f>
        <v>0</v>
      </c>
      <c r="U1930">
        <f t="shared" si="91"/>
        <v>0</v>
      </c>
      <c r="V1930">
        <f>HLOOKUP("In Use MiB",'vInfo (Imported)'!$1:$5000,M1930,FALSE)</f>
        <v>0</v>
      </c>
    </row>
    <row r="1931" spans="1:22" ht="13" x14ac:dyDescent="0.3">
      <c r="A1931" s="46">
        <f>'vHosts (Imported)'!A1931</f>
        <v>0</v>
      </c>
      <c r="B1931" s="51">
        <f t="shared" si="90"/>
        <v>4968</v>
      </c>
      <c r="C1931" s="49">
        <f>HLOOKUP("# Cores",'vHosts (Imported)'!$1:$5000,M1931,FALSE)</f>
        <v>0</v>
      </c>
      <c r="D1931" s="52">
        <f>HLOOKUP("# Memory",'vHosts (Imported)'!$1:$5000,M1931,FALSE)</f>
        <v>0</v>
      </c>
      <c r="M1931" s="45">
        <f t="shared" si="92"/>
        <v>1931</v>
      </c>
      <c r="N1931" s="38">
        <f>HLOOKUP("Host",'vInfo (Imported)'!$1:$5000,M1931,FALSE)</f>
        <v>0</v>
      </c>
      <c r="R1931">
        <f>HLOOKUP("CPUs",'vInfo (Imported)'!$1:$5000,M1931,FALSE)</f>
        <v>0</v>
      </c>
      <c r="S1931">
        <f>HLOOKUP("Memory",'vInfo (Imported)'!$1:$5000,M1931,FALSE)</f>
        <v>0</v>
      </c>
      <c r="T1931">
        <f>HLOOKUP("Provisioned MiB",'vInfo (Imported)'!$1:$5000,M1931,FALSE)</f>
        <v>0</v>
      </c>
      <c r="U1931">
        <f t="shared" si="91"/>
        <v>0</v>
      </c>
      <c r="V1931">
        <f>HLOOKUP("In Use MiB",'vInfo (Imported)'!$1:$5000,M1931,FALSE)</f>
        <v>0</v>
      </c>
    </row>
    <row r="1932" spans="1:22" ht="13" x14ac:dyDescent="0.3">
      <c r="A1932" s="46">
        <f>'vHosts (Imported)'!A1932</f>
        <v>0</v>
      </c>
      <c r="B1932" s="51">
        <f t="shared" si="90"/>
        <v>4968</v>
      </c>
      <c r="C1932" s="49">
        <f>HLOOKUP("# Cores",'vHosts (Imported)'!$1:$5000,M1932,FALSE)</f>
        <v>0</v>
      </c>
      <c r="D1932" s="52">
        <f>HLOOKUP("# Memory",'vHosts (Imported)'!$1:$5000,M1932,FALSE)</f>
        <v>0</v>
      </c>
      <c r="M1932" s="45">
        <f t="shared" si="92"/>
        <v>1932</v>
      </c>
      <c r="N1932" s="38">
        <f>HLOOKUP("Host",'vInfo (Imported)'!$1:$5000,M1932,FALSE)</f>
        <v>0</v>
      </c>
      <c r="R1932">
        <f>HLOOKUP("CPUs",'vInfo (Imported)'!$1:$5000,M1932,FALSE)</f>
        <v>0</v>
      </c>
      <c r="S1932">
        <f>HLOOKUP("Memory",'vInfo (Imported)'!$1:$5000,M1932,FALSE)</f>
        <v>0</v>
      </c>
      <c r="T1932">
        <f>HLOOKUP("Provisioned MiB",'vInfo (Imported)'!$1:$5000,M1932,FALSE)</f>
        <v>0</v>
      </c>
      <c r="U1932">
        <f t="shared" si="91"/>
        <v>0</v>
      </c>
      <c r="V1932">
        <f>HLOOKUP("In Use MiB",'vInfo (Imported)'!$1:$5000,M1932,FALSE)</f>
        <v>0</v>
      </c>
    </row>
    <row r="1933" spans="1:22" ht="13" x14ac:dyDescent="0.3">
      <c r="A1933" s="46">
        <f>'vHosts (Imported)'!A1933</f>
        <v>0</v>
      </c>
      <c r="B1933" s="51">
        <f t="shared" si="90"/>
        <v>4968</v>
      </c>
      <c r="C1933" s="49">
        <f>HLOOKUP("# Cores",'vHosts (Imported)'!$1:$5000,M1933,FALSE)</f>
        <v>0</v>
      </c>
      <c r="D1933" s="52">
        <f>HLOOKUP("# Memory",'vHosts (Imported)'!$1:$5000,M1933,FALSE)</f>
        <v>0</v>
      </c>
      <c r="M1933" s="45">
        <f t="shared" si="92"/>
        <v>1933</v>
      </c>
      <c r="N1933" s="38">
        <f>HLOOKUP("Host",'vInfo (Imported)'!$1:$5000,M1933,FALSE)</f>
        <v>0</v>
      </c>
      <c r="R1933">
        <f>HLOOKUP("CPUs",'vInfo (Imported)'!$1:$5000,M1933,FALSE)</f>
        <v>0</v>
      </c>
      <c r="S1933">
        <f>HLOOKUP("Memory",'vInfo (Imported)'!$1:$5000,M1933,FALSE)</f>
        <v>0</v>
      </c>
      <c r="T1933">
        <f>HLOOKUP("Provisioned MiB",'vInfo (Imported)'!$1:$5000,M1933,FALSE)</f>
        <v>0</v>
      </c>
      <c r="U1933">
        <f t="shared" si="91"/>
        <v>0</v>
      </c>
      <c r="V1933">
        <f>HLOOKUP("In Use MiB",'vInfo (Imported)'!$1:$5000,M1933,FALSE)</f>
        <v>0</v>
      </c>
    </row>
    <row r="1934" spans="1:22" ht="13" x14ac:dyDescent="0.3">
      <c r="A1934" s="46">
        <f>'vHosts (Imported)'!A1934</f>
        <v>0</v>
      </c>
      <c r="B1934" s="51">
        <f t="shared" si="90"/>
        <v>4968</v>
      </c>
      <c r="C1934" s="49">
        <f>HLOOKUP("# Cores",'vHosts (Imported)'!$1:$5000,M1934,FALSE)</f>
        <v>0</v>
      </c>
      <c r="D1934" s="52">
        <f>HLOOKUP("# Memory",'vHosts (Imported)'!$1:$5000,M1934,FALSE)</f>
        <v>0</v>
      </c>
      <c r="M1934" s="45">
        <f t="shared" si="92"/>
        <v>1934</v>
      </c>
      <c r="N1934" s="38">
        <f>HLOOKUP("Host",'vInfo (Imported)'!$1:$5000,M1934,FALSE)</f>
        <v>0</v>
      </c>
      <c r="R1934">
        <f>HLOOKUP("CPUs",'vInfo (Imported)'!$1:$5000,M1934,FALSE)</f>
        <v>0</v>
      </c>
      <c r="S1934">
        <f>HLOOKUP("Memory",'vInfo (Imported)'!$1:$5000,M1934,FALSE)</f>
        <v>0</v>
      </c>
      <c r="T1934">
        <f>HLOOKUP("Provisioned MiB",'vInfo (Imported)'!$1:$5000,M1934,FALSE)</f>
        <v>0</v>
      </c>
      <c r="U1934">
        <f t="shared" si="91"/>
        <v>0</v>
      </c>
      <c r="V1934">
        <f>HLOOKUP("In Use MiB",'vInfo (Imported)'!$1:$5000,M1934,FALSE)</f>
        <v>0</v>
      </c>
    </row>
    <row r="1935" spans="1:22" ht="13" x14ac:dyDescent="0.3">
      <c r="A1935" s="46">
        <f>'vHosts (Imported)'!A1935</f>
        <v>0</v>
      </c>
      <c r="B1935" s="51">
        <f t="shared" si="90"/>
        <v>4968</v>
      </c>
      <c r="C1935" s="49">
        <f>HLOOKUP("# Cores",'vHosts (Imported)'!$1:$5000,M1935,FALSE)</f>
        <v>0</v>
      </c>
      <c r="D1935" s="52">
        <f>HLOOKUP("# Memory",'vHosts (Imported)'!$1:$5000,M1935,FALSE)</f>
        <v>0</v>
      </c>
      <c r="M1935" s="45">
        <f t="shared" si="92"/>
        <v>1935</v>
      </c>
      <c r="N1935" s="38">
        <f>HLOOKUP("Host",'vInfo (Imported)'!$1:$5000,M1935,FALSE)</f>
        <v>0</v>
      </c>
      <c r="R1935">
        <f>HLOOKUP("CPUs",'vInfo (Imported)'!$1:$5000,M1935,FALSE)</f>
        <v>0</v>
      </c>
      <c r="S1935">
        <f>HLOOKUP("Memory",'vInfo (Imported)'!$1:$5000,M1935,FALSE)</f>
        <v>0</v>
      </c>
      <c r="T1935">
        <f>HLOOKUP("Provisioned MiB",'vInfo (Imported)'!$1:$5000,M1935,FALSE)</f>
        <v>0</v>
      </c>
      <c r="U1935">
        <f t="shared" si="91"/>
        <v>0</v>
      </c>
      <c r="V1935">
        <f>HLOOKUP("In Use MiB",'vInfo (Imported)'!$1:$5000,M1935,FALSE)</f>
        <v>0</v>
      </c>
    </row>
    <row r="1936" spans="1:22" ht="13" x14ac:dyDescent="0.3">
      <c r="A1936" s="46">
        <f>'vHosts (Imported)'!A1936</f>
        <v>0</v>
      </c>
      <c r="B1936" s="51">
        <f t="shared" si="90"/>
        <v>4968</v>
      </c>
      <c r="C1936" s="49">
        <f>HLOOKUP("# Cores",'vHosts (Imported)'!$1:$5000,M1936,FALSE)</f>
        <v>0</v>
      </c>
      <c r="D1936" s="52">
        <f>HLOOKUP("# Memory",'vHosts (Imported)'!$1:$5000,M1936,FALSE)</f>
        <v>0</v>
      </c>
      <c r="M1936" s="45">
        <f t="shared" si="92"/>
        <v>1936</v>
      </c>
      <c r="N1936" s="38">
        <f>HLOOKUP("Host",'vInfo (Imported)'!$1:$5000,M1936,FALSE)</f>
        <v>0</v>
      </c>
      <c r="R1936">
        <f>HLOOKUP("CPUs",'vInfo (Imported)'!$1:$5000,M1936,FALSE)</f>
        <v>0</v>
      </c>
      <c r="S1936">
        <f>HLOOKUP("Memory",'vInfo (Imported)'!$1:$5000,M1936,FALSE)</f>
        <v>0</v>
      </c>
      <c r="T1936">
        <f>HLOOKUP("Provisioned MiB",'vInfo (Imported)'!$1:$5000,M1936,FALSE)</f>
        <v>0</v>
      </c>
      <c r="U1936">
        <f t="shared" si="91"/>
        <v>0</v>
      </c>
      <c r="V1936">
        <f>HLOOKUP("In Use MiB",'vInfo (Imported)'!$1:$5000,M1936,FALSE)</f>
        <v>0</v>
      </c>
    </row>
    <row r="1937" spans="1:22" ht="13" x14ac:dyDescent="0.3">
      <c r="A1937" s="46">
        <f>'vHosts (Imported)'!A1937</f>
        <v>0</v>
      </c>
      <c r="B1937" s="51">
        <f t="shared" si="90"/>
        <v>4968</v>
      </c>
      <c r="C1937" s="49">
        <f>HLOOKUP("# Cores",'vHosts (Imported)'!$1:$5000,M1937,FALSE)</f>
        <v>0</v>
      </c>
      <c r="D1937" s="52">
        <f>HLOOKUP("# Memory",'vHosts (Imported)'!$1:$5000,M1937,FALSE)</f>
        <v>0</v>
      </c>
      <c r="M1937" s="45">
        <f t="shared" si="92"/>
        <v>1937</v>
      </c>
      <c r="N1937" s="38">
        <f>HLOOKUP("Host",'vInfo (Imported)'!$1:$5000,M1937,FALSE)</f>
        <v>0</v>
      </c>
      <c r="R1937">
        <f>HLOOKUP("CPUs",'vInfo (Imported)'!$1:$5000,M1937,FALSE)</f>
        <v>0</v>
      </c>
      <c r="S1937">
        <f>HLOOKUP("Memory",'vInfo (Imported)'!$1:$5000,M1937,FALSE)</f>
        <v>0</v>
      </c>
      <c r="T1937">
        <f>HLOOKUP("Provisioned MiB",'vInfo (Imported)'!$1:$5000,M1937,FALSE)</f>
        <v>0</v>
      </c>
      <c r="U1937">
        <f t="shared" si="91"/>
        <v>0</v>
      </c>
      <c r="V1937">
        <f>HLOOKUP("In Use MiB",'vInfo (Imported)'!$1:$5000,M1937,FALSE)</f>
        <v>0</v>
      </c>
    </row>
    <row r="1938" spans="1:22" ht="13" x14ac:dyDescent="0.3">
      <c r="A1938" s="46">
        <f>'vHosts (Imported)'!A1938</f>
        <v>0</v>
      </c>
      <c r="B1938" s="51">
        <f t="shared" si="90"/>
        <v>4968</v>
      </c>
      <c r="C1938" s="49">
        <f>HLOOKUP("# Cores",'vHosts (Imported)'!$1:$5000,M1938,FALSE)</f>
        <v>0</v>
      </c>
      <c r="D1938" s="52">
        <f>HLOOKUP("# Memory",'vHosts (Imported)'!$1:$5000,M1938,FALSE)</f>
        <v>0</v>
      </c>
      <c r="M1938" s="45">
        <f t="shared" si="92"/>
        <v>1938</v>
      </c>
      <c r="N1938" s="38">
        <f>HLOOKUP("Host",'vInfo (Imported)'!$1:$5000,M1938,FALSE)</f>
        <v>0</v>
      </c>
      <c r="R1938">
        <f>HLOOKUP("CPUs",'vInfo (Imported)'!$1:$5000,M1938,FALSE)</f>
        <v>0</v>
      </c>
      <c r="S1938">
        <f>HLOOKUP("Memory",'vInfo (Imported)'!$1:$5000,M1938,FALSE)</f>
        <v>0</v>
      </c>
      <c r="T1938">
        <f>HLOOKUP("Provisioned MiB",'vInfo (Imported)'!$1:$5000,M1938,FALSE)</f>
        <v>0</v>
      </c>
      <c r="U1938">
        <f t="shared" si="91"/>
        <v>0</v>
      </c>
      <c r="V1938">
        <f>HLOOKUP("In Use MiB",'vInfo (Imported)'!$1:$5000,M1938,FALSE)</f>
        <v>0</v>
      </c>
    </row>
    <row r="1939" spans="1:22" ht="13" x14ac:dyDescent="0.3">
      <c r="A1939" s="46">
        <f>'vHosts (Imported)'!A1939</f>
        <v>0</v>
      </c>
      <c r="B1939" s="51">
        <f t="shared" si="90"/>
        <v>4968</v>
      </c>
      <c r="C1939" s="49">
        <f>HLOOKUP("# Cores",'vHosts (Imported)'!$1:$5000,M1939,FALSE)</f>
        <v>0</v>
      </c>
      <c r="D1939" s="52">
        <f>HLOOKUP("# Memory",'vHosts (Imported)'!$1:$5000,M1939,FALSE)</f>
        <v>0</v>
      </c>
      <c r="M1939" s="45">
        <f t="shared" si="92"/>
        <v>1939</v>
      </c>
      <c r="N1939" s="38">
        <f>HLOOKUP("Host",'vInfo (Imported)'!$1:$5000,M1939,FALSE)</f>
        <v>0</v>
      </c>
      <c r="R1939">
        <f>HLOOKUP("CPUs",'vInfo (Imported)'!$1:$5000,M1939,FALSE)</f>
        <v>0</v>
      </c>
      <c r="S1939">
        <f>HLOOKUP("Memory",'vInfo (Imported)'!$1:$5000,M1939,FALSE)</f>
        <v>0</v>
      </c>
      <c r="T1939">
        <f>HLOOKUP("Provisioned MiB",'vInfo (Imported)'!$1:$5000,M1939,FALSE)</f>
        <v>0</v>
      </c>
      <c r="U1939">
        <f t="shared" si="91"/>
        <v>0</v>
      </c>
      <c r="V1939">
        <f>HLOOKUP("In Use MiB",'vInfo (Imported)'!$1:$5000,M1939,FALSE)</f>
        <v>0</v>
      </c>
    </row>
    <row r="1940" spans="1:22" ht="13" x14ac:dyDescent="0.3">
      <c r="A1940" s="46">
        <f>'vHosts (Imported)'!A1940</f>
        <v>0</v>
      </c>
      <c r="B1940" s="51">
        <f t="shared" si="90"/>
        <v>4968</v>
      </c>
      <c r="C1940" s="49">
        <f>HLOOKUP("# Cores",'vHosts (Imported)'!$1:$5000,M1940,FALSE)</f>
        <v>0</v>
      </c>
      <c r="D1940" s="52">
        <f>HLOOKUP("# Memory",'vHosts (Imported)'!$1:$5000,M1940,FALSE)</f>
        <v>0</v>
      </c>
      <c r="M1940" s="45">
        <f t="shared" si="92"/>
        <v>1940</v>
      </c>
      <c r="N1940" s="38">
        <f>HLOOKUP("Host",'vInfo (Imported)'!$1:$5000,M1940,FALSE)</f>
        <v>0</v>
      </c>
      <c r="R1940">
        <f>HLOOKUP("CPUs",'vInfo (Imported)'!$1:$5000,M1940,FALSE)</f>
        <v>0</v>
      </c>
      <c r="S1940">
        <f>HLOOKUP("Memory",'vInfo (Imported)'!$1:$5000,M1940,FALSE)</f>
        <v>0</v>
      </c>
      <c r="T1940">
        <f>HLOOKUP("Provisioned MiB",'vInfo (Imported)'!$1:$5000,M1940,FALSE)</f>
        <v>0</v>
      </c>
      <c r="U1940">
        <f t="shared" si="91"/>
        <v>0</v>
      </c>
      <c r="V1940">
        <f>HLOOKUP("In Use MiB",'vInfo (Imported)'!$1:$5000,M1940,FALSE)</f>
        <v>0</v>
      </c>
    </row>
    <row r="1941" spans="1:22" ht="13" x14ac:dyDescent="0.3">
      <c r="A1941" s="46">
        <f>'vHosts (Imported)'!A1941</f>
        <v>0</v>
      </c>
      <c r="B1941" s="51">
        <f t="shared" si="90"/>
        <v>4968</v>
      </c>
      <c r="C1941" s="49">
        <f>HLOOKUP("# Cores",'vHosts (Imported)'!$1:$5000,M1941,FALSE)</f>
        <v>0</v>
      </c>
      <c r="D1941" s="52">
        <f>HLOOKUP("# Memory",'vHosts (Imported)'!$1:$5000,M1941,FALSE)</f>
        <v>0</v>
      </c>
      <c r="M1941" s="45">
        <f t="shared" si="92"/>
        <v>1941</v>
      </c>
      <c r="N1941" s="38">
        <f>HLOOKUP("Host",'vInfo (Imported)'!$1:$5000,M1941,FALSE)</f>
        <v>0</v>
      </c>
      <c r="R1941">
        <f>HLOOKUP("CPUs",'vInfo (Imported)'!$1:$5000,M1941,FALSE)</f>
        <v>0</v>
      </c>
      <c r="S1941">
        <f>HLOOKUP("Memory",'vInfo (Imported)'!$1:$5000,M1941,FALSE)</f>
        <v>0</v>
      </c>
      <c r="T1941">
        <f>HLOOKUP("Provisioned MiB",'vInfo (Imported)'!$1:$5000,M1941,FALSE)</f>
        <v>0</v>
      </c>
      <c r="U1941">
        <f t="shared" si="91"/>
        <v>0</v>
      </c>
      <c r="V1941">
        <f>HLOOKUP("In Use MiB",'vInfo (Imported)'!$1:$5000,M1941,FALSE)</f>
        <v>0</v>
      </c>
    </row>
    <row r="1942" spans="1:22" ht="13" x14ac:dyDescent="0.3">
      <c r="A1942" s="46">
        <f>'vHosts (Imported)'!A1942</f>
        <v>0</v>
      </c>
      <c r="B1942" s="51">
        <f t="shared" si="90"/>
        <v>4968</v>
      </c>
      <c r="C1942" s="49">
        <f>HLOOKUP("# Cores",'vHosts (Imported)'!$1:$5000,M1942,FALSE)</f>
        <v>0</v>
      </c>
      <c r="D1942" s="52">
        <f>HLOOKUP("# Memory",'vHosts (Imported)'!$1:$5000,M1942,FALSE)</f>
        <v>0</v>
      </c>
      <c r="M1942" s="45">
        <f t="shared" si="92"/>
        <v>1942</v>
      </c>
      <c r="N1942" s="38">
        <f>HLOOKUP("Host",'vInfo (Imported)'!$1:$5000,M1942,FALSE)</f>
        <v>0</v>
      </c>
      <c r="R1942">
        <f>HLOOKUP("CPUs",'vInfo (Imported)'!$1:$5000,M1942,FALSE)</f>
        <v>0</v>
      </c>
      <c r="S1942">
        <f>HLOOKUP("Memory",'vInfo (Imported)'!$1:$5000,M1942,FALSE)</f>
        <v>0</v>
      </c>
      <c r="T1942">
        <f>HLOOKUP("Provisioned MiB",'vInfo (Imported)'!$1:$5000,M1942,FALSE)</f>
        <v>0</v>
      </c>
      <c r="U1942">
        <f t="shared" si="91"/>
        <v>0</v>
      </c>
      <c r="V1942">
        <f>HLOOKUP("In Use MiB",'vInfo (Imported)'!$1:$5000,M1942,FALSE)</f>
        <v>0</v>
      </c>
    </row>
    <row r="1943" spans="1:22" ht="13" x14ac:dyDescent="0.3">
      <c r="A1943" s="46">
        <f>'vHosts (Imported)'!A1943</f>
        <v>0</v>
      </c>
      <c r="B1943" s="51">
        <f t="shared" si="90"/>
        <v>4968</v>
      </c>
      <c r="C1943" s="49">
        <f>HLOOKUP("# Cores",'vHosts (Imported)'!$1:$5000,M1943,FALSE)</f>
        <v>0</v>
      </c>
      <c r="D1943" s="52">
        <f>HLOOKUP("# Memory",'vHosts (Imported)'!$1:$5000,M1943,FALSE)</f>
        <v>0</v>
      </c>
      <c r="M1943" s="45">
        <f t="shared" si="92"/>
        <v>1943</v>
      </c>
      <c r="N1943" s="38">
        <f>HLOOKUP("Host",'vInfo (Imported)'!$1:$5000,M1943,FALSE)</f>
        <v>0</v>
      </c>
      <c r="R1943">
        <f>HLOOKUP("CPUs",'vInfo (Imported)'!$1:$5000,M1943,FALSE)</f>
        <v>0</v>
      </c>
      <c r="S1943">
        <f>HLOOKUP("Memory",'vInfo (Imported)'!$1:$5000,M1943,FALSE)</f>
        <v>0</v>
      </c>
      <c r="T1943">
        <f>HLOOKUP("Provisioned MiB",'vInfo (Imported)'!$1:$5000,M1943,FALSE)</f>
        <v>0</v>
      </c>
      <c r="U1943">
        <f t="shared" si="91"/>
        <v>0</v>
      </c>
      <c r="V1943">
        <f>HLOOKUP("In Use MiB",'vInfo (Imported)'!$1:$5000,M1943,FALSE)</f>
        <v>0</v>
      </c>
    </row>
    <row r="1944" spans="1:22" ht="13" x14ac:dyDescent="0.3">
      <c r="A1944" s="46">
        <f>'vHosts (Imported)'!A1944</f>
        <v>0</v>
      </c>
      <c r="B1944" s="51">
        <f t="shared" si="90"/>
        <v>4968</v>
      </c>
      <c r="C1944" s="49">
        <f>HLOOKUP("# Cores",'vHosts (Imported)'!$1:$5000,M1944,FALSE)</f>
        <v>0</v>
      </c>
      <c r="D1944" s="52">
        <f>HLOOKUP("# Memory",'vHosts (Imported)'!$1:$5000,M1944,FALSE)</f>
        <v>0</v>
      </c>
      <c r="M1944" s="45">
        <f t="shared" si="92"/>
        <v>1944</v>
      </c>
      <c r="N1944" s="38">
        <f>HLOOKUP("Host",'vInfo (Imported)'!$1:$5000,M1944,FALSE)</f>
        <v>0</v>
      </c>
      <c r="R1944">
        <f>HLOOKUP("CPUs",'vInfo (Imported)'!$1:$5000,M1944,FALSE)</f>
        <v>0</v>
      </c>
      <c r="S1944">
        <f>HLOOKUP("Memory",'vInfo (Imported)'!$1:$5000,M1944,FALSE)</f>
        <v>0</v>
      </c>
      <c r="T1944">
        <f>HLOOKUP("Provisioned MiB",'vInfo (Imported)'!$1:$5000,M1944,FALSE)</f>
        <v>0</v>
      </c>
      <c r="U1944">
        <f t="shared" si="91"/>
        <v>0</v>
      </c>
      <c r="V1944">
        <f>HLOOKUP("In Use MiB",'vInfo (Imported)'!$1:$5000,M1944,FALSE)</f>
        <v>0</v>
      </c>
    </row>
    <row r="1945" spans="1:22" ht="13" x14ac:dyDescent="0.3">
      <c r="A1945" s="46">
        <f>'vHosts (Imported)'!A1945</f>
        <v>0</v>
      </c>
      <c r="B1945" s="51">
        <f t="shared" si="90"/>
        <v>4968</v>
      </c>
      <c r="C1945" s="49">
        <f>HLOOKUP("# Cores",'vHosts (Imported)'!$1:$5000,M1945,FALSE)</f>
        <v>0</v>
      </c>
      <c r="D1945" s="52">
        <f>HLOOKUP("# Memory",'vHosts (Imported)'!$1:$5000,M1945,FALSE)</f>
        <v>0</v>
      </c>
      <c r="M1945" s="45">
        <f t="shared" si="92"/>
        <v>1945</v>
      </c>
      <c r="N1945" s="38">
        <f>HLOOKUP("Host",'vInfo (Imported)'!$1:$5000,M1945,FALSE)</f>
        <v>0</v>
      </c>
      <c r="R1945">
        <f>HLOOKUP("CPUs",'vInfo (Imported)'!$1:$5000,M1945,FALSE)</f>
        <v>0</v>
      </c>
      <c r="S1945">
        <f>HLOOKUP("Memory",'vInfo (Imported)'!$1:$5000,M1945,FALSE)</f>
        <v>0</v>
      </c>
      <c r="T1945">
        <f>HLOOKUP("Provisioned MiB",'vInfo (Imported)'!$1:$5000,M1945,FALSE)</f>
        <v>0</v>
      </c>
      <c r="U1945">
        <f t="shared" si="91"/>
        <v>0</v>
      </c>
      <c r="V1945">
        <f>HLOOKUP("In Use MiB",'vInfo (Imported)'!$1:$5000,M1945,FALSE)</f>
        <v>0</v>
      </c>
    </row>
    <row r="1946" spans="1:22" ht="13" x14ac:dyDescent="0.3">
      <c r="A1946" s="46">
        <f>'vHosts (Imported)'!A1946</f>
        <v>0</v>
      </c>
      <c r="B1946" s="51">
        <f t="shared" si="90"/>
        <v>4968</v>
      </c>
      <c r="C1946" s="49">
        <f>HLOOKUP("# Cores",'vHosts (Imported)'!$1:$5000,M1946,FALSE)</f>
        <v>0</v>
      </c>
      <c r="D1946" s="52">
        <f>HLOOKUP("# Memory",'vHosts (Imported)'!$1:$5000,M1946,FALSE)</f>
        <v>0</v>
      </c>
      <c r="M1946" s="45">
        <f t="shared" si="92"/>
        <v>1946</v>
      </c>
      <c r="N1946" s="38">
        <f>HLOOKUP("Host",'vInfo (Imported)'!$1:$5000,M1946,FALSE)</f>
        <v>0</v>
      </c>
      <c r="R1946">
        <f>HLOOKUP("CPUs",'vInfo (Imported)'!$1:$5000,M1946,FALSE)</f>
        <v>0</v>
      </c>
      <c r="S1946">
        <f>HLOOKUP("Memory",'vInfo (Imported)'!$1:$5000,M1946,FALSE)</f>
        <v>0</v>
      </c>
      <c r="T1946">
        <f>HLOOKUP("Provisioned MiB",'vInfo (Imported)'!$1:$5000,M1946,FALSE)</f>
        <v>0</v>
      </c>
      <c r="U1946">
        <f t="shared" si="91"/>
        <v>0</v>
      </c>
      <c r="V1946">
        <f>HLOOKUP("In Use MiB",'vInfo (Imported)'!$1:$5000,M1946,FALSE)</f>
        <v>0</v>
      </c>
    </row>
    <row r="1947" spans="1:22" ht="13" x14ac:dyDescent="0.3">
      <c r="A1947" s="46">
        <f>'vHosts (Imported)'!A1947</f>
        <v>0</v>
      </c>
      <c r="B1947" s="51">
        <f t="shared" si="90"/>
        <v>4968</v>
      </c>
      <c r="C1947" s="49">
        <f>HLOOKUP("# Cores",'vHosts (Imported)'!$1:$5000,M1947,FALSE)</f>
        <v>0</v>
      </c>
      <c r="D1947" s="52">
        <f>HLOOKUP("# Memory",'vHosts (Imported)'!$1:$5000,M1947,FALSE)</f>
        <v>0</v>
      </c>
      <c r="M1947" s="45">
        <f t="shared" si="92"/>
        <v>1947</v>
      </c>
      <c r="N1947" s="38">
        <f>HLOOKUP("Host",'vInfo (Imported)'!$1:$5000,M1947,FALSE)</f>
        <v>0</v>
      </c>
      <c r="R1947">
        <f>HLOOKUP("CPUs",'vInfo (Imported)'!$1:$5000,M1947,FALSE)</f>
        <v>0</v>
      </c>
      <c r="S1947">
        <f>HLOOKUP("Memory",'vInfo (Imported)'!$1:$5000,M1947,FALSE)</f>
        <v>0</v>
      </c>
      <c r="T1947">
        <f>HLOOKUP("Provisioned MiB",'vInfo (Imported)'!$1:$5000,M1947,FALSE)</f>
        <v>0</v>
      </c>
      <c r="U1947">
        <f t="shared" si="91"/>
        <v>0</v>
      </c>
      <c r="V1947">
        <f>HLOOKUP("In Use MiB",'vInfo (Imported)'!$1:$5000,M1947,FALSE)</f>
        <v>0</v>
      </c>
    </row>
    <row r="1948" spans="1:22" ht="13" x14ac:dyDescent="0.3">
      <c r="A1948" s="46">
        <f>'vHosts (Imported)'!A1948</f>
        <v>0</v>
      </c>
      <c r="B1948" s="51">
        <f t="shared" si="90"/>
        <v>4968</v>
      </c>
      <c r="C1948" s="49">
        <f>HLOOKUP("# Cores",'vHosts (Imported)'!$1:$5000,M1948,FALSE)</f>
        <v>0</v>
      </c>
      <c r="D1948" s="52">
        <f>HLOOKUP("# Memory",'vHosts (Imported)'!$1:$5000,M1948,FALSE)</f>
        <v>0</v>
      </c>
      <c r="M1948" s="45">
        <f t="shared" si="92"/>
        <v>1948</v>
      </c>
      <c r="N1948" s="38">
        <f>HLOOKUP("Host",'vInfo (Imported)'!$1:$5000,M1948,FALSE)</f>
        <v>0</v>
      </c>
      <c r="R1948">
        <f>HLOOKUP("CPUs",'vInfo (Imported)'!$1:$5000,M1948,FALSE)</f>
        <v>0</v>
      </c>
      <c r="S1948">
        <f>HLOOKUP("Memory",'vInfo (Imported)'!$1:$5000,M1948,FALSE)</f>
        <v>0</v>
      </c>
      <c r="T1948">
        <f>HLOOKUP("Provisioned MiB",'vInfo (Imported)'!$1:$5000,M1948,FALSE)</f>
        <v>0</v>
      </c>
      <c r="U1948">
        <f t="shared" si="91"/>
        <v>0</v>
      </c>
      <c r="V1948">
        <f>HLOOKUP("In Use MiB",'vInfo (Imported)'!$1:$5000,M1948,FALSE)</f>
        <v>0</v>
      </c>
    </row>
    <row r="1949" spans="1:22" ht="13" x14ac:dyDescent="0.3">
      <c r="A1949" s="46">
        <f>'vHosts (Imported)'!A1949</f>
        <v>0</v>
      </c>
      <c r="B1949" s="51">
        <f t="shared" si="90"/>
        <v>4968</v>
      </c>
      <c r="C1949" s="49">
        <f>HLOOKUP("# Cores",'vHosts (Imported)'!$1:$5000,M1949,FALSE)</f>
        <v>0</v>
      </c>
      <c r="D1949" s="52">
        <f>HLOOKUP("# Memory",'vHosts (Imported)'!$1:$5000,M1949,FALSE)</f>
        <v>0</v>
      </c>
      <c r="M1949" s="45">
        <f t="shared" si="92"/>
        <v>1949</v>
      </c>
      <c r="N1949" s="38">
        <f>HLOOKUP("Host",'vInfo (Imported)'!$1:$5000,M1949,FALSE)</f>
        <v>0</v>
      </c>
      <c r="R1949">
        <f>HLOOKUP("CPUs",'vInfo (Imported)'!$1:$5000,M1949,FALSE)</f>
        <v>0</v>
      </c>
      <c r="S1949">
        <f>HLOOKUP("Memory",'vInfo (Imported)'!$1:$5000,M1949,FALSE)</f>
        <v>0</v>
      </c>
      <c r="T1949">
        <f>HLOOKUP("Provisioned MiB",'vInfo (Imported)'!$1:$5000,M1949,FALSE)</f>
        <v>0</v>
      </c>
      <c r="U1949">
        <f t="shared" si="91"/>
        <v>0</v>
      </c>
      <c r="V1949">
        <f>HLOOKUP("In Use MiB",'vInfo (Imported)'!$1:$5000,M1949,FALSE)</f>
        <v>0</v>
      </c>
    </row>
    <row r="1950" spans="1:22" ht="13" x14ac:dyDescent="0.3">
      <c r="A1950" s="46">
        <f>'vHosts (Imported)'!A1950</f>
        <v>0</v>
      </c>
      <c r="B1950" s="51">
        <f t="shared" si="90"/>
        <v>4968</v>
      </c>
      <c r="C1950" s="49">
        <f>HLOOKUP("# Cores",'vHosts (Imported)'!$1:$5000,M1950,FALSE)</f>
        <v>0</v>
      </c>
      <c r="D1950" s="52">
        <f>HLOOKUP("# Memory",'vHosts (Imported)'!$1:$5000,M1950,FALSE)</f>
        <v>0</v>
      </c>
      <c r="M1950" s="45">
        <f t="shared" si="92"/>
        <v>1950</v>
      </c>
      <c r="N1950" s="38">
        <f>HLOOKUP("Host",'vInfo (Imported)'!$1:$5000,M1950,FALSE)</f>
        <v>0</v>
      </c>
      <c r="R1950">
        <f>HLOOKUP("CPUs",'vInfo (Imported)'!$1:$5000,M1950,FALSE)</f>
        <v>0</v>
      </c>
      <c r="S1950">
        <f>HLOOKUP("Memory",'vInfo (Imported)'!$1:$5000,M1950,FALSE)</f>
        <v>0</v>
      </c>
      <c r="T1950">
        <f>HLOOKUP("Provisioned MiB",'vInfo (Imported)'!$1:$5000,M1950,FALSE)</f>
        <v>0</v>
      </c>
      <c r="U1950">
        <f t="shared" si="91"/>
        <v>0</v>
      </c>
      <c r="V1950">
        <f>HLOOKUP("In Use MiB",'vInfo (Imported)'!$1:$5000,M1950,FALSE)</f>
        <v>0</v>
      </c>
    </row>
    <row r="1951" spans="1:22" ht="13" x14ac:dyDescent="0.3">
      <c r="A1951" s="46">
        <f>'vHosts (Imported)'!A1951</f>
        <v>0</v>
      </c>
      <c r="B1951" s="51">
        <f t="shared" si="90"/>
        <v>4968</v>
      </c>
      <c r="C1951" s="49">
        <f>HLOOKUP("# Cores",'vHosts (Imported)'!$1:$5000,M1951,FALSE)</f>
        <v>0</v>
      </c>
      <c r="D1951" s="52">
        <f>HLOOKUP("# Memory",'vHosts (Imported)'!$1:$5000,M1951,FALSE)</f>
        <v>0</v>
      </c>
      <c r="M1951" s="45">
        <f t="shared" si="92"/>
        <v>1951</v>
      </c>
      <c r="N1951" s="38">
        <f>HLOOKUP("Host",'vInfo (Imported)'!$1:$5000,M1951,FALSE)</f>
        <v>0</v>
      </c>
      <c r="R1951">
        <f>HLOOKUP("CPUs",'vInfo (Imported)'!$1:$5000,M1951,FALSE)</f>
        <v>0</v>
      </c>
      <c r="S1951">
        <f>HLOOKUP("Memory",'vInfo (Imported)'!$1:$5000,M1951,FALSE)</f>
        <v>0</v>
      </c>
      <c r="T1951">
        <f>HLOOKUP("Provisioned MiB",'vInfo (Imported)'!$1:$5000,M1951,FALSE)</f>
        <v>0</v>
      </c>
      <c r="U1951">
        <f t="shared" si="91"/>
        <v>0</v>
      </c>
      <c r="V1951">
        <f>HLOOKUP("In Use MiB",'vInfo (Imported)'!$1:$5000,M1951,FALSE)</f>
        <v>0</v>
      </c>
    </row>
    <row r="1952" spans="1:22" ht="13" x14ac:dyDescent="0.3">
      <c r="A1952" s="46">
        <f>'vHosts (Imported)'!A1952</f>
        <v>0</v>
      </c>
      <c r="B1952" s="51">
        <f t="shared" si="90"/>
        <v>4968</v>
      </c>
      <c r="C1952" s="49">
        <f>HLOOKUP("# Cores",'vHosts (Imported)'!$1:$5000,M1952,FALSE)</f>
        <v>0</v>
      </c>
      <c r="D1952" s="52">
        <f>HLOOKUP("# Memory",'vHosts (Imported)'!$1:$5000,M1952,FALSE)</f>
        <v>0</v>
      </c>
      <c r="M1952" s="45">
        <f t="shared" si="92"/>
        <v>1952</v>
      </c>
      <c r="N1952" s="38">
        <f>HLOOKUP("Host",'vInfo (Imported)'!$1:$5000,M1952,FALSE)</f>
        <v>0</v>
      </c>
      <c r="R1952">
        <f>HLOOKUP("CPUs",'vInfo (Imported)'!$1:$5000,M1952,FALSE)</f>
        <v>0</v>
      </c>
      <c r="S1952">
        <f>HLOOKUP("Memory",'vInfo (Imported)'!$1:$5000,M1952,FALSE)</f>
        <v>0</v>
      </c>
      <c r="T1952">
        <f>HLOOKUP("Provisioned MiB",'vInfo (Imported)'!$1:$5000,M1952,FALSE)</f>
        <v>0</v>
      </c>
      <c r="U1952">
        <f t="shared" si="91"/>
        <v>0</v>
      </c>
      <c r="V1952">
        <f>HLOOKUP("In Use MiB",'vInfo (Imported)'!$1:$5000,M1952,FALSE)</f>
        <v>0</v>
      </c>
    </row>
    <row r="1953" spans="1:22" ht="13" x14ac:dyDescent="0.3">
      <c r="A1953" s="46">
        <f>'vHosts (Imported)'!A1953</f>
        <v>0</v>
      </c>
      <c r="B1953" s="51">
        <f t="shared" si="90"/>
        <v>4968</v>
      </c>
      <c r="C1953" s="49">
        <f>HLOOKUP("# Cores",'vHosts (Imported)'!$1:$5000,M1953,FALSE)</f>
        <v>0</v>
      </c>
      <c r="D1953" s="52">
        <f>HLOOKUP("# Memory",'vHosts (Imported)'!$1:$5000,M1953,FALSE)</f>
        <v>0</v>
      </c>
      <c r="M1953" s="45">
        <f t="shared" si="92"/>
        <v>1953</v>
      </c>
      <c r="N1953" s="38">
        <f>HLOOKUP("Host",'vInfo (Imported)'!$1:$5000,M1953,FALSE)</f>
        <v>0</v>
      </c>
      <c r="R1953">
        <f>HLOOKUP("CPUs",'vInfo (Imported)'!$1:$5000,M1953,FALSE)</f>
        <v>0</v>
      </c>
      <c r="S1953">
        <f>HLOOKUP("Memory",'vInfo (Imported)'!$1:$5000,M1953,FALSE)</f>
        <v>0</v>
      </c>
      <c r="T1953">
        <f>HLOOKUP("Provisioned MiB",'vInfo (Imported)'!$1:$5000,M1953,FALSE)</f>
        <v>0</v>
      </c>
      <c r="U1953">
        <f t="shared" si="91"/>
        <v>0</v>
      </c>
      <c r="V1953">
        <f>HLOOKUP("In Use MiB",'vInfo (Imported)'!$1:$5000,M1953,FALSE)</f>
        <v>0</v>
      </c>
    </row>
    <row r="1954" spans="1:22" ht="13" x14ac:dyDescent="0.3">
      <c r="A1954" s="46">
        <f>'vHosts (Imported)'!A1954</f>
        <v>0</v>
      </c>
      <c r="B1954" s="51">
        <f t="shared" si="90"/>
        <v>4968</v>
      </c>
      <c r="C1954" s="49">
        <f>HLOOKUP("# Cores",'vHosts (Imported)'!$1:$5000,M1954,FALSE)</f>
        <v>0</v>
      </c>
      <c r="D1954" s="52">
        <f>HLOOKUP("# Memory",'vHosts (Imported)'!$1:$5000,M1954,FALSE)</f>
        <v>0</v>
      </c>
      <c r="M1954" s="45">
        <f t="shared" si="92"/>
        <v>1954</v>
      </c>
      <c r="N1954" s="38">
        <f>HLOOKUP("Host",'vInfo (Imported)'!$1:$5000,M1954,FALSE)</f>
        <v>0</v>
      </c>
      <c r="R1954">
        <f>HLOOKUP("CPUs",'vInfo (Imported)'!$1:$5000,M1954,FALSE)</f>
        <v>0</v>
      </c>
      <c r="S1954">
        <f>HLOOKUP("Memory",'vInfo (Imported)'!$1:$5000,M1954,FALSE)</f>
        <v>0</v>
      </c>
      <c r="T1954">
        <f>HLOOKUP("Provisioned MiB",'vInfo (Imported)'!$1:$5000,M1954,FALSE)</f>
        <v>0</v>
      </c>
      <c r="U1954">
        <f t="shared" si="91"/>
        <v>0</v>
      </c>
      <c r="V1954">
        <f>HLOOKUP("In Use MiB",'vInfo (Imported)'!$1:$5000,M1954,FALSE)</f>
        <v>0</v>
      </c>
    </row>
    <row r="1955" spans="1:22" ht="13" x14ac:dyDescent="0.3">
      <c r="A1955" s="46">
        <f>'vHosts (Imported)'!A1955</f>
        <v>0</v>
      </c>
      <c r="B1955" s="51">
        <f t="shared" si="90"/>
        <v>4968</v>
      </c>
      <c r="C1955" s="49">
        <f>HLOOKUP("# Cores",'vHosts (Imported)'!$1:$5000,M1955,FALSE)</f>
        <v>0</v>
      </c>
      <c r="D1955" s="52">
        <f>HLOOKUP("# Memory",'vHosts (Imported)'!$1:$5000,M1955,FALSE)</f>
        <v>0</v>
      </c>
      <c r="M1955" s="45">
        <f t="shared" si="92"/>
        <v>1955</v>
      </c>
      <c r="N1955" s="38">
        <f>HLOOKUP("Host",'vInfo (Imported)'!$1:$5000,M1955,FALSE)</f>
        <v>0</v>
      </c>
      <c r="R1955">
        <f>HLOOKUP("CPUs",'vInfo (Imported)'!$1:$5000,M1955,FALSE)</f>
        <v>0</v>
      </c>
      <c r="S1955">
        <f>HLOOKUP("Memory",'vInfo (Imported)'!$1:$5000,M1955,FALSE)</f>
        <v>0</v>
      </c>
      <c r="T1955">
        <f>HLOOKUP("Provisioned MiB",'vInfo (Imported)'!$1:$5000,M1955,FALSE)</f>
        <v>0</v>
      </c>
      <c r="U1955">
        <f t="shared" si="91"/>
        <v>0</v>
      </c>
      <c r="V1955">
        <f>HLOOKUP("In Use MiB",'vInfo (Imported)'!$1:$5000,M1955,FALSE)</f>
        <v>0</v>
      </c>
    </row>
    <row r="1956" spans="1:22" ht="13" x14ac:dyDescent="0.3">
      <c r="A1956" s="46">
        <f>'vHosts (Imported)'!A1956</f>
        <v>0</v>
      </c>
      <c r="B1956" s="51">
        <f t="shared" si="90"/>
        <v>4968</v>
      </c>
      <c r="C1956" s="49">
        <f>HLOOKUP("# Cores",'vHosts (Imported)'!$1:$5000,M1956,FALSE)</f>
        <v>0</v>
      </c>
      <c r="D1956" s="52">
        <f>HLOOKUP("# Memory",'vHosts (Imported)'!$1:$5000,M1956,FALSE)</f>
        <v>0</v>
      </c>
      <c r="M1956" s="45">
        <f t="shared" si="92"/>
        <v>1956</v>
      </c>
      <c r="N1956" s="38">
        <f>HLOOKUP("Host",'vInfo (Imported)'!$1:$5000,M1956,FALSE)</f>
        <v>0</v>
      </c>
      <c r="R1956">
        <f>HLOOKUP("CPUs",'vInfo (Imported)'!$1:$5000,M1956,FALSE)</f>
        <v>0</v>
      </c>
      <c r="S1956">
        <f>HLOOKUP("Memory",'vInfo (Imported)'!$1:$5000,M1956,FALSE)</f>
        <v>0</v>
      </c>
      <c r="T1956">
        <f>HLOOKUP("Provisioned MiB",'vInfo (Imported)'!$1:$5000,M1956,FALSE)</f>
        <v>0</v>
      </c>
      <c r="U1956">
        <f t="shared" si="91"/>
        <v>0</v>
      </c>
      <c r="V1956">
        <f>HLOOKUP("In Use MiB",'vInfo (Imported)'!$1:$5000,M1956,FALSE)</f>
        <v>0</v>
      </c>
    </row>
    <row r="1957" spans="1:22" ht="13" x14ac:dyDescent="0.3">
      <c r="A1957" s="46">
        <f>'vHosts (Imported)'!A1957</f>
        <v>0</v>
      </c>
      <c r="B1957" s="51">
        <f t="shared" si="90"/>
        <v>4968</v>
      </c>
      <c r="C1957" s="49">
        <f>HLOOKUP("# Cores",'vHosts (Imported)'!$1:$5000,M1957,FALSE)</f>
        <v>0</v>
      </c>
      <c r="D1957" s="52">
        <f>HLOOKUP("# Memory",'vHosts (Imported)'!$1:$5000,M1957,FALSE)</f>
        <v>0</v>
      </c>
      <c r="M1957" s="45">
        <f t="shared" si="92"/>
        <v>1957</v>
      </c>
      <c r="N1957" s="38">
        <f>HLOOKUP("Host",'vInfo (Imported)'!$1:$5000,M1957,FALSE)</f>
        <v>0</v>
      </c>
      <c r="R1957">
        <f>HLOOKUP("CPUs",'vInfo (Imported)'!$1:$5000,M1957,FALSE)</f>
        <v>0</v>
      </c>
      <c r="S1957">
        <f>HLOOKUP("Memory",'vInfo (Imported)'!$1:$5000,M1957,FALSE)</f>
        <v>0</v>
      </c>
      <c r="T1957">
        <f>HLOOKUP("Provisioned MiB",'vInfo (Imported)'!$1:$5000,M1957,FALSE)</f>
        <v>0</v>
      </c>
      <c r="U1957">
        <f t="shared" si="91"/>
        <v>0</v>
      </c>
      <c r="V1957">
        <f>HLOOKUP("In Use MiB",'vInfo (Imported)'!$1:$5000,M1957,FALSE)</f>
        <v>0</v>
      </c>
    </row>
    <row r="1958" spans="1:22" ht="13" x14ac:dyDescent="0.3">
      <c r="A1958" s="46">
        <f>'vHosts (Imported)'!A1958</f>
        <v>0</v>
      </c>
      <c r="B1958" s="51">
        <f t="shared" si="90"/>
        <v>4968</v>
      </c>
      <c r="C1958" s="49">
        <f>HLOOKUP("# Cores",'vHosts (Imported)'!$1:$5000,M1958,FALSE)</f>
        <v>0</v>
      </c>
      <c r="D1958" s="52">
        <f>HLOOKUP("# Memory",'vHosts (Imported)'!$1:$5000,M1958,FALSE)</f>
        <v>0</v>
      </c>
      <c r="M1958" s="45">
        <f t="shared" si="92"/>
        <v>1958</v>
      </c>
      <c r="N1958" s="38">
        <f>HLOOKUP("Host",'vInfo (Imported)'!$1:$5000,M1958,FALSE)</f>
        <v>0</v>
      </c>
      <c r="R1958">
        <f>HLOOKUP("CPUs",'vInfo (Imported)'!$1:$5000,M1958,FALSE)</f>
        <v>0</v>
      </c>
      <c r="S1958">
        <f>HLOOKUP("Memory",'vInfo (Imported)'!$1:$5000,M1958,FALSE)</f>
        <v>0</v>
      </c>
      <c r="T1958">
        <f>HLOOKUP("Provisioned MiB",'vInfo (Imported)'!$1:$5000,M1958,FALSE)</f>
        <v>0</v>
      </c>
      <c r="U1958">
        <f t="shared" si="91"/>
        <v>0</v>
      </c>
      <c r="V1958">
        <f>HLOOKUP("In Use MiB",'vInfo (Imported)'!$1:$5000,M1958,FALSE)</f>
        <v>0</v>
      </c>
    </row>
    <row r="1959" spans="1:22" ht="13" x14ac:dyDescent="0.3">
      <c r="A1959" s="46">
        <f>'vHosts (Imported)'!A1959</f>
        <v>0</v>
      </c>
      <c r="B1959" s="51">
        <f t="shared" si="90"/>
        <v>4968</v>
      </c>
      <c r="C1959" s="49">
        <f>HLOOKUP("# Cores",'vHosts (Imported)'!$1:$5000,M1959,FALSE)</f>
        <v>0</v>
      </c>
      <c r="D1959" s="52">
        <f>HLOOKUP("# Memory",'vHosts (Imported)'!$1:$5000,M1959,FALSE)</f>
        <v>0</v>
      </c>
      <c r="M1959" s="45">
        <f t="shared" si="92"/>
        <v>1959</v>
      </c>
      <c r="N1959" s="38">
        <f>HLOOKUP("Host",'vInfo (Imported)'!$1:$5000,M1959,FALSE)</f>
        <v>0</v>
      </c>
      <c r="R1959">
        <f>HLOOKUP("CPUs",'vInfo (Imported)'!$1:$5000,M1959,FALSE)</f>
        <v>0</v>
      </c>
      <c r="S1959">
        <f>HLOOKUP("Memory",'vInfo (Imported)'!$1:$5000,M1959,FALSE)</f>
        <v>0</v>
      </c>
      <c r="T1959">
        <f>HLOOKUP("Provisioned MiB",'vInfo (Imported)'!$1:$5000,M1959,FALSE)</f>
        <v>0</v>
      </c>
      <c r="U1959">
        <f t="shared" si="91"/>
        <v>0</v>
      </c>
      <c r="V1959">
        <f>HLOOKUP("In Use MiB",'vInfo (Imported)'!$1:$5000,M1959,FALSE)</f>
        <v>0</v>
      </c>
    </row>
    <row r="1960" spans="1:22" ht="13" x14ac:dyDescent="0.3">
      <c r="A1960" s="46">
        <f>'vHosts (Imported)'!A1960</f>
        <v>0</v>
      </c>
      <c r="B1960" s="51">
        <f t="shared" ref="B1960:B2023" si="93">COUNTIF(N:N,A1960)</f>
        <v>4968</v>
      </c>
      <c r="C1960" s="49">
        <f>HLOOKUP("# Cores",'vHosts (Imported)'!$1:$5000,M1960,FALSE)</f>
        <v>0</v>
      </c>
      <c r="D1960" s="52">
        <f>HLOOKUP("# Memory",'vHosts (Imported)'!$1:$5000,M1960,FALSE)</f>
        <v>0</v>
      </c>
      <c r="M1960" s="45">
        <f t="shared" si="92"/>
        <v>1960</v>
      </c>
      <c r="N1960" s="38">
        <f>HLOOKUP("Host",'vInfo (Imported)'!$1:$5000,M1960,FALSE)</f>
        <v>0</v>
      </c>
      <c r="R1960">
        <f>HLOOKUP("CPUs",'vInfo (Imported)'!$1:$5000,M1960,FALSE)</f>
        <v>0</v>
      </c>
      <c r="S1960">
        <f>HLOOKUP("Memory",'vInfo (Imported)'!$1:$5000,M1960,FALSE)</f>
        <v>0</v>
      </c>
      <c r="T1960">
        <f>HLOOKUP("Provisioned MiB",'vInfo (Imported)'!$1:$5000,M1960,FALSE)</f>
        <v>0</v>
      </c>
      <c r="U1960">
        <f t="shared" si="91"/>
        <v>0</v>
      </c>
      <c r="V1960">
        <f>HLOOKUP("In Use MiB",'vInfo (Imported)'!$1:$5000,M1960,FALSE)</f>
        <v>0</v>
      </c>
    </row>
    <row r="1961" spans="1:22" ht="13" x14ac:dyDescent="0.3">
      <c r="A1961" s="46">
        <f>'vHosts (Imported)'!A1961</f>
        <v>0</v>
      </c>
      <c r="B1961" s="51">
        <f t="shared" si="93"/>
        <v>4968</v>
      </c>
      <c r="C1961" s="49">
        <f>HLOOKUP("# Cores",'vHosts (Imported)'!$1:$5000,M1961,FALSE)</f>
        <v>0</v>
      </c>
      <c r="D1961" s="52">
        <f>HLOOKUP("# Memory",'vHosts (Imported)'!$1:$5000,M1961,FALSE)</f>
        <v>0</v>
      </c>
      <c r="M1961" s="45">
        <f t="shared" si="92"/>
        <v>1961</v>
      </c>
      <c r="N1961" s="38">
        <f>HLOOKUP("Host",'vInfo (Imported)'!$1:$5000,M1961,FALSE)</f>
        <v>0</v>
      </c>
      <c r="R1961">
        <f>HLOOKUP("CPUs",'vInfo (Imported)'!$1:$5000,M1961,FALSE)</f>
        <v>0</v>
      </c>
      <c r="S1961">
        <f>HLOOKUP("Memory",'vInfo (Imported)'!$1:$5000,M1961,FALSE)</f>
        <v>0</v>
      </c>
      <c r="T1961">
        <f>HLOOKUP("Provisioned MiB",'vInfo (Imported)'!$1:$5000,M1961,FALSE)</f>
        <v>0</v>
      </c>
      <c r="U1961">
        <f t="shared" si="91"/>
        <v>0</v>
      </c>
      <c r="V1961">
        <f>HLOOKUP("In Use MiB",'vInfo (Imported)'!$1:$5000,M1961,FALSE)</f>
        <v>0</v>
      </c>
    </row>
    <row r="1962" spans="1:22" ht="13" x14ac:dyDescent="0.3">
      <c r="A1962" s="46">
        <f>'vHosts (Imported)'!A1962</f>
        <v>0</v>
      </c>
      <c r="B1962" s="51">
        <f t="shared" si="93"/>
        <v>4968</v>
      </c>
      <c r="C1962" s="49">
        <f>HLOOKUP("# Cores",'vHosts (Imported)'!$1:$5000,M1962,FALSE)</f>
        <v>0</v>
      </c>
      <c r="D1962" s="52">
        <f>HLOOKUP("# Memory",'vHosts (Imported)'!$1:$5000,M1962,FALSE)</f>
        <v>0</v>
      </c>
      <c r="M1962" s="45">
        <f t="shared" si="92"/>
        <v>1962</v>
      </c>
      <c r="N1962" s="38">
        <f>HLOOKUP("Host",'vInfo (Imported)'!$1:$5000,M1962,FALSE)</f>
        <v>0</v>
      </c>
      <c r="R1962">
        <f>HLOOKUP("CPUs",'vInfo (Imported)'!$1:$5000,M1962,FALSE)</f>
        <v>0</v>
      </c>
      <c r="S1962">
        <f>HLOOKUP("Memory",'vInfo (Imported)'!$1:$5000,M1962,FALSE)</f>
        <v>0</v>
      </c>
      <c r="T1962">
        <f>HLOOKUP("Provisioned MiB",'vInfo (Imported)'!$1:$5000,M1962,FALSE)</f>
        <v>0</v>
      </c>
      <c r="U1962">
        <f t="shared" si="91"/>
        <v>0</v>
      </c>
      <c r="V1962">
        <f>HLOOKUP("In Use MiB",'vInfo (Imported)'!$1:$5000,M1962,FALSE)</f>
        <v>0</v>
      </c>
    </row>
    <row r="1963" spans="1:22" ht="13" x14ac:dyDescent="0.3">
      <c r="A1963" s="46">
        <f>'vHosts (Imported)'!A1963</f>
        <v>0</v>
      </c>
      <c r="B1963" s="51">
        <f t="shared" si="93"/>
        <v>4968</v>
      </c>
      <c r="C1963" s="49">
        <f>HLOOKUP("# Cores",'vHosts (Imported)'!$1:$5000,M1963,FALSE)</f>
        <v>0</v>
      </c>
      <c r="D1963" s="52">
        <f>HLOOKUP("# Memory",'vHosts (Imported)'!$1:$5000,M1963,FALSE)</f>
        <v>0</v>
      </c>
      <c r="M1963" s="45">
        <f t="shared" si="92"/>
        <v>1963</v>
      </c>
      <c r="N1963" s="38">
        <f>HLOOKUP("Host",'vInfo (Imported)'!$1:$5000,M1963,FALSE)</f>
        <v>0</v>
      </c>
      <c r="R1963">
        <f>HLOOKUP("CPUs",'vInfo (Imported)'!$1:$5000,M1963,FALSE)</f>
        <v>0</v>
      </c>
      <c r="S1963">
        <f>HLOOKUP("Memory",'vInfo (Imported)'!$1:$5000,M1963,FALSE)</f>
        <v>0</v>
      </c>
      <c r="T1963">
        <f>HLOOKUP("Provisioned MiB",'vInfo (Imported)'!$1:$5000,M1963,FALSE)</f>
        <v>0</v>
      </c>
      <c r="U1963">
        <f t="shared" si="91"/>
        <v>0</v>
      </c>
      <c r="V1963">
        <f>HLOOKUP("In Use MiB",'vInfo (Imported)'!$1:$5000,M1963,FALSE)</f>
        <v>0</v>
      </c>
    </row>
    <row r="1964" spans="1:22" ht="13" x14ac:dyDescent="0.3">
      <c r="A1964" s="46">
        <f>'vHosts (Imported)'!A1964</f>
        <v>0</v>
      </c>
      <c r="B1964" s="51">
        <f t="shared" si="93"/>
        <v>4968</v>
      </c>
      <c r="C1964" s="49">
        <f>HLOOKUP("# Cores",'vHosts (Imported)'!$1:$5000,M1964,FALSE)</f>
        <v>0</v>
      </c>
      <c r="D1964" s="52">
        <f>HLOOKUP("# Memory",'vHosts (Imported)'!$1:$5000,M1964,FALSE)</f>
        <v>0</v>
      </c>
      <c r="M1964" s="45">
        <f t="shared" si="92"/>
        <v>1964</v>
      </c>
      <c r="N1964" s="38">
        <f>HLOOKUP("Host",'vInfo (Imported)'!$1:$5000,M1964,FALSE)</f>
        <v>0</v>
      </c>
      <c r="R1964">
        <f>HLOOKUP("CPUs",'vInfo (Imported)'!$1:$5000,M1964,FALSE)</f>
        <v>0</v>
      </c>
      <c r="S1964">
        <f>HLOOKUP("Memory",'vInfo (Imported)'!$1:$5000,M1964,FALSE)</f>
        <v>0</v>
      </c>
      <c r="T1964">
        <f>HLOOKUP("Provisioned MiB",'vInfo (Imported)'!$1:$5000,M1964,FALSE)</f>
        <v>0</v>
      </c>
      <c r="U1964">
        <f t="shared" si="91"/>
        <v>0</v>
      </c>
      <c r="V1964">
        <f>HLOOKUP("In Use MiB",'vInfo (Imported)'!$1:$5000,M1964,FALSE)</f>
        <v>0</v>
      </c>
    </row>
    <row r="1965" spans="1:22" ht="13" x14ac:dyDescent="0.3">
      <c r="A1965" s="46">
        <f>'vHosts (Imported)'!A1965</f>
        <v>0</v>
      </c>
      <c r="B1965" s="51">
        <f t="shared" si="93"/>
        <v>4968</v>
      </c>
      <c r="C1965" s="49">
        <f>HLOOKUP("# Cores",'vHosts (Imported)'!$1:$5000,M1965,FALSE)</f>
        <v>0</v>
      </c>
      <c r="D1965" s="52">
        <f>HLOOKUP("# Memory",'vHosts (Imported)'!$1:$5000,M1965,FALSE)</f>
        <v>0</v>
      </c>
      <c r="M1965" s="45">
        <f t="shared" si="92"/>
        <v>1965</v>
      </c>
      <c r="N1965" s="38">
        <f>HLOOKUP("Host",'vInfo (Imported)'!$1:$5000,M1965,FALSE)</f>
        <v>0</v>
      </c>
      <c r="R1965">
        <f>HLOOKUP("CPUs",'vInfo (Imported)'!$1:$5000,M1965,FALSE)</f>
        <v>0</v>
      </c>
      <c r="S1965">
        <f>HLOOKUP("Memory",'vInfo (Imported)'!$1:$5000,M1965,FALSE)</f>
        <v>0</v>
      </c>
      <c r="T1965">
        <f>HLOOKUP("Provisioned MiB",'vInfo (Imported)'!$1:$5000,M1965,FALSE)</f>
        <v>0</v>
      </c>
      <c r="U1965">
        <f t="shared" si="91"/>
        <v>0</v>
      </c>
      <c r="V1965">
        <f>HLOOKUP("In Use MiB",'vInfo (Imported)'!$1:$5000,M1965,FALSE)</f>
        <v>0</v>
      </c>
    </row>
    <row r="1966" spans="1:22" ht="13" x14ac:dyDescent="0.3">
      <c r="A1966" s="46">
        <f>'vHosts (Imported)'!A1966</f>
        <v>0</v>
      </c>
      <c r="B1966" s="51">
        <f t="shared" si="93"/>
        <v>4968</v>
      </c>
      <c r="C1966" s="49">
        <f>HLOOKUP("# Cores",'vHosts (Imported)'!$1:$5000,M1966,FALSE)</f>
        <v>0</v>
      </c>
      <c r="D1966" s="52">
        <f>HLOOKUP("# Memory",'vHosts (Imported)'!$1:$5000,M1966,FALSE)</f>
        <v>0</v>
      </c>
      <c r="M1966" s="45">
        <f t="shared" si="92"/>
        <v>1966</v>
      </c>
      <c r="N1966" s="38">
        <f>HLOOKUP("Host",'vInfo (Imported)'!$1:$5000,M1966,FALSE)</f>
        <v>0</v>
      </c>
      <c r="R1966">
        <f>HLOOKUP("CPUs",'vInfo (Imported)'!$1:$5000,M1966,FALSE)</f>
        <v>0</v>
      </c>
      <c r="S1966">
        <f>HLOOKUP("Memory",'vInfo (Imported)'!$1:$5000,M1966,FALSE)</f>
        <v>0</v>
      </c>
      <c r="T1966">
        <f>HLOOKUP("Provisioned MiB",'vInfo (Imported)'!$1:$5000,M1966,FALSE)</f>
        <v>0</v>
      </c>
      <c r="U1966">
        <f t="shared" si="91"/>
        <v>0</v>
      </c>
      <c r="V1966">
        <f>HLOOKUP("In Use MiB",'vInfo (Imported)'!$1:$5000,M1966,FALSE)</f>
        <v>0</v>
      </c>
    </row>
    <row r="1967" spans="1:22" ht="13" x14ac:dyDescent="0.3">
      <c r="A1967" s="46">
        <f>'vHosts (Imported)'!A1967</f>
        <v>0</v>
      </c>
      <c r="B1967" s="51">
        <f t="shared" si="93"/>
        <v>4968</v>
      </c>
      <c r="C1967" s="49">
        <f>HLOOKUP("# Cores",'vHosts (Imported)'!$1:$5000,M1967,FALSE)</f>
        <v>0</v>
      </c>
      <c r="D1967" s="52">
        <f>HLOOKUP("# Memory",'vHosts (Imported)'!$1:$5000,M1967,FALSE)</f>
        <v>0</v>
      </c>
      <c r="M1967" s="45">
        <f t="shared" si="92"/>
        <v>1967</v>
      </c>
      <c r="N1967" s="38">
        <f>HLOOKUP("Host",'vInfo (Imported)'!$1:$5000,M1967,FALSE)</f>
        <v>0</v>
      </c>
      <c r="R1967">
        <f>HLOOKUP("CPUs",'vInfo (Imported)'!$1:$5000,M1967,FALSE)</f>
        <v>0</v>
      </c>
      <c r="S1967">
        <f>HLOOKUP("Memory",'vInfo (Imported)'!$1:$5000,M1967,FALSE)</f>
        <v>0</v>
      </c>
      <c r="T1967">
        <f>HLOOKUP("Provisioned MiB",'vInfo (Imported)'!$1:$5000,M1967,FALSE)</f>
        <v>0</v>
      </c>
      <c r="U1967">
        <f t="shared" si="91"/>
        <v>0</v>
      </c>
      <c r="V1967">
        <f>HLOOKUP("In Use MiB",'vInfo (Imported)'!$1:$5000,M1967,FALSE)</f>
        <v>0</v>
      </c>
    </row>
    <row r="1968" spans="1:22" ht="13" x14ac:dyDescent="0.3">
      <c r="A1968" s="46">
        <f>'vHosts (Imported)'!A1968</f>
        <v>0</v>
      </c>
      <c r="B1968" s="51">
        <f t="shared" si="93"/>
        <v>4968</v>
      </c>
      <c r="C1968" s="49">
        <f>HLOOKUP("# Cores",'vHosts (Imported)'!$1:$5000,M1968,FALSE)</f>
        <v>0</v>
      </c>
      <c r="D1968" s="52">
        <f>HLOOKUP("# Memory",'vHosts (Imported)'!$1:$5000,M1968,FALSE)</f>
        <v>0</v>
      </c>
      <c r="M1968" s="45">
        <f t="shared" si="92"/>
        <v>1968</v>
      </c>
      <c r="N1968" s="38">
        <f>HLOOKUP("Host",'vInfo (Imported)'!$1:$5000,M1968,FALSE)</f>
        <v>0</v>
      </c>
      <c r="R1968">
        <f>HLOOKUP("CPUs",'vInfo (Imported)'!$1:$5000,M1968,FALSE)</f>
        <v>0</v>
      </c>
      <c r="S1968">
        <f>HLOOKUP("Memory",'vInfo (Imported)'!$1:$5000,M1968,FALSE)</f>
        <v>0</v>
      </c>
      <c r="T1968">
        <f>HLOOKUP("Provisioned MiB",'vInfo (Imported)'!$1:$5000,M1968,FALSE)</f>
        <v>0</v>
      </c>
      <c r="U1968">
        <f t="shared" si="91"/>
        <v>0</v>
      </c>
      <c r="V1968">
        <f>HLOOKUP("In Use MiB",'vInfo (Imported)'!$1:$5000,M1968,FALSE)</f>
        <v>0</v>
      </c>
    </row>
    <row r="1969" spans="1:22" ht="13" x14ac:dyDescent="0.3">
      <c r="A1969" s="46">
        <f>'vHosts (Imported)'!A1969</f>
        <v>0</v>
      </c>
      <c r="B1969" s="51">
        <f t="shared" si="93"/>
        <v>4968</v>
      </c>
      <c r="C1969" s="49">
        <f>HLOOKUP("# Cores",'vHosts (Imported)'!$1:$5000,M1969,FALSE)</f>
        <v>0</v>
      </c>
      <c r="D1969" s="52">
        <f>HLOOKUP("# Memory",'vHosts (Imported)'!$1:$5000,M1969,FALSE)</f>
        <v>0</v>
      </c>
      <c r="M1969" s="45">
        <f t="shared" si="92"/>
        <v>1969</v>
      </c>
      <c r="N1969" s="38">
        <f>HLOOKUP("Host",'vInfo (Imported)'!$1:$5000,M1969,FALSE)</f>
        <v>0</v>
      </c>
      <c r="R1969">
        <f>HLOOKUP("CPUs",'vInfo (Imported)'!$1:$5000,M1969,FALSE)</f>
        <v>0</v>
      </c>
      <c r="S1969">
        <f>HLOOKUP("Memory",'vInfo (Imported)'!$1:$5000,M1969,FALSE)</f>
        <v>0</v>
      </c>
      <c r="T1969">
        <f>HLOOKUP("Provisioned MiB",'vInfo (Imported)'!$1:$5000,M1969,FALSE)</f>
        <v>0</v>
      </c>
      <c r="U1969">
        <f t="shared" si="91"/>
        <v>0</v>
      </c>
      <c r="V1969">
        <f>HLOOKUP("In Use MiB",'vInfo (Imported)'!$1:$5000,M1969,FALSE)</f>
        <v>0</v>
      </c>
    </row>
    <row r="1970" spans="1:22" ht="13" x14ac:dyDescent="0.3">
      <c r="A1970" s="46">
        <f>'vHosts (Imported)'!A1970</f>
        <v>0</v>
      </c>
      <c r="B1970" s="51">
        <f t="shared" si="93"/>
        <v>4968</v>
      </c>
      <c r="C1970" s="49">
        <f>HLOOKUP("# Cores",'vHosts (Imported)'!$1:$5000,M1970,FALSE)</f>
        <v>0</v>
      </c>
      <c r="D1970" s="52">
        <f>HLOOKUP("# Memory",'vHosts (Imported)'!$1:$5000,M1970,FALSE)</f>
        <v>0</v>
      </c>
      <c r="M1970" s="45">
        <f t="shared" si="92"/>
        <v>1970</v>
      </c>
      <c r="N1970" s="38">
        <f>HLOOKUP("Host",'vInfo (Imported)'!$1:$5000,M1970,FALSE)</f>
        <v>0</v>
      </c>
      <c r="R1970">
        <f>HLOOKUP("CPUs",'vInfo (Imported)'!$1:$5000,M1970,FALSE)</f>
        <v>0</v>
      </c>
      <c r="S1970">
        <f>HLOOKUP("Memory",'vInfo (Imported)'!$1:$5000,M1970,FALSE)</f>
        <v>0</v>
      </c>
      <c r="T1970">
        <f>HLOOKUP("Provisioned MiB",'vInfo (Imported)'!$1:$5000,M1970,FALSE)</f>
        <v>0</v>
      </c>
      <c r="U1970">
        <f t="shared" si="91"/>
        <v>0</v>
      </c>
      <c r="V1970">
        <f>HLOOKUP("In Use MiB",'vInfo (Imported)'!$1:$5000,M1970,FALSE)</f>
        <v>0</v>
      </c>
    </row>
    <row r="1971" spans="1:22" ht="13" x14ac:dyDescent="0.3">
      <c r="A1971" s="46">
        <f>'vHosts (Imported)'!A1971</f>
        <v>0</v>
      </c>
      <c r="B1971" s="51">
        <f t="shared" si="93"/>
        <v>4968</v>
      </c>
      <c r="C1971" s="49">
        <f>HLOOKUP("# Cores",'vHosts (Imported)'!$1:$5000,M1971,FALSE)</f>
        <v>0</v>
      </c>
      <c r="D1971" s="52">
        <f>HLOOKUP("# Memory",'vHosts (Imported)'!$1:$5000,M1971,FALSE)</f>
        <v>0</v>
      </c>
      <c r="M1971" s="45">
        <f t="shared" si="92"/>
        <v>1971</v>
      </c>
      <c r="N1971" s="38">
        <f>HLOOKUP("Host",'vInfo (Imported)'!$1:$5000,M1971,FALSE)</f>
        <v>0</v>
      </c>
      <c r="R1971">
        <f>HLOOKUP("CPUs",'vInfo (Imported)'!$1:$5000,M1971,FALSE)</f>
        <v>0</v>
      </c>
      <c r="S1971">
        <f>HLOOKUP("Memory",'vInfo (Imported)'!$1:$5000,M1971,FALSE)</f>
        <v>0</v>
      </c>
      <c r="T1971">
        <f>HLOOKUP("Provisioned MiB",'vInfo (Imported)'!$1:$5000,M1971,FALSE)</f>
        <v>0</v>
      </c>
      <c r="U1971">
        <f t="shared" si="91"/>
        <v>0</v>
      </c>
      <c r="V1971">
        <f>HLOOKUP("In Use MiB",'vInfo (Imported)'!$1:$5000,M1971,FALSE)</f>
        <v>0</v>
      </c>
    </row>
    <row r="1972" spans="1:22" ht="13" x14ac:dyDescent="0.3">
      <c r="A1972" s="46">
        <f>'vHosts (Imported)'!A1972</f>
        <v>0</v>
      </c>
      <c r="B1972" s="51">
        <f t="shared" si="93"/>
        <v>4968</v>
      </c>
      <c r="C1972" s="49">
        <f>HLOOKUP("# Cores",'vHosts (Imported)'!$1:$5000,M1972,FALSE)</f>
        <v>0</v>
      </c>
      <c r="D1972" s="52">
        <f>HLOOKUP("# Memory",'vHosts (Imported)'!$1:$5000,M1972,FALSE)</f>
        <v>0</v>
      </c>
      <c r="M1972" s="45">
        <f t="shared" si="92"/>
        <v>1972</v>
      </c>
      <c r="N1972" s="38">
        <f>HLOOKUP("Host",'vInfo (Imported)'!$1:$5000,M1972,FALSE)</f>
        <v>0</v>
      </c>
      <c r="R1972">
        <f>HLOOKUP("CPUs",'vInfo (Imported)'!$1:$5000,M1972,FALSE)</f>
        <v>0</v>
      </c>
      <c r="S1972">
        <f>HLOOKUP("Memory",'vInfo (Imported)'!$1:$5000,M1972,FALSE)</f>
        <v>0</v>
      </c>
      <c r="T1972">
        <f>HLOOKUP("Provisioned MiB",'vInfo (Imported)'!$1:$5000,M1972,FALSE)</f>
        <v>0</v>
      </c>
      <c r="U1972">
        <f t="shared" si="91"/>
        <v>0</v>
      </c>
      <c r="V1972">
        <f>HLOOKUP("In Use MiB",'vInfo (Imported)'!$1:$5000,M1972,FALSE)</f>
        <v>0</v>
      </c>
    </row>
    <row r="1973" spans="1:22" ht="13" x14ac:dyDescent="0.3">
      <c r="A1973" s="46">
        <f>'vHosts (Imported)'!A1973</f>
        <v>0</v>
      </c>
      <c r="B1973" s="51">
        <f t="shared" si="93"/>
        <v>4968</v>
      </c>
      <c r="C1973" s="49">
        <f>HLOOKUP("# Cores",'vHosts (Imported)'!$1:$5000,M1973,FALSE)</f>
        <v>0</v>
      </c>
      <c r="D1973" s="52">
        <f>HLOOKUP("# Memory",'vHosts (Imported)'!$1:$5000,M1973,FALSE)</f>
        <v>0</v>
      </c>
      <c r="M1973" s="45">
        <f t="shared" si="92"/>
        <v>1973</v>
      </c>
      <c r="N1973" s="38">
        <f>HLOOKUP("Host",'vInfo (Imported)'!$1:$5000,M1973,FALSE)</f>
        <v>0</v>
      </c>
      <c r="R1973">
        <f>HLOOKUP("CPUs",'vInfo (Imported)'!$1:$5000,M1973,FALSE)</f>
        <v>0</v>
      </c>
      <c r="S1973">
        <f>HLOOKUP("Memory",'vInfo (Imported)'!$1:$5000,M1973,FALSE)</f>
        <v>0</v>
      </c>
      <c r="T1973">
        <f>HLOOKUP("Provisioned MiB",'vInfo (Imported)'!$1:$5000,M1973,FALSE)</f>
        <v>0</v>
      </c>
      <c r="U1973">
        <f t="shared" si="91"/>
        <v>0</v>
      </c>
      <c r="V1973">
        <f>HLOOKUP("In Use MiB",'vInfo (Imported)'!$1:$5000,M1973,FALSE)</f>
        <v>0</v>
      </c>
    </row>
    <row r="1974" spans="1:22" ht="13" x14ac:dyDescent="0.3">
      <c r="A1974" s="46">
        <f>'vHosts (Imported)'!A1974</f>
        <v>0</v>
      </c>
      <c r="B1974" s="51">
        <f t="shared" si="93"/>
        <v>4968</v>
      </c>
      <c r="C1974" s="49">
        <f>HLOOKUP("# Cores",'vHosts (Imported)'!$1:$5000,M1974,FALSE)</f>
        <v>0</v>
      </c>
      <c r="D1974" s="52">
        <f>HLOOKUP("# Memory",'vHosts (Imported)'!$1:$5000,M1974,FALSE)</f>
        <v>0</v>
      </c>
      <c r="M1974" s="45">
        <f t="shared" si="92"/>
        <v>1974</v>
      </c>
      <c r="N1974" s="38">
        <f>HLOOKUP("Host",'vInfo (Imported)'!$1:$5000,M1974,FALSE)</f>
        <v>0</v>
      </c>
      <c r="R1974">
        <f>HLOOKUP("CPUs",'vInfo (Imported)'!$1:$5000,M1974,FALSE)</f>
        <v>0</v>
      </c>
      <c r="S1974">
        <f>HLOOKUP("Memory",'vInfo (Imported)'!$1:$5000,M1974,FALSE)</f>
        <v>0</v>
      </c>
      <c r="T1974">
        <f>HLOOKUP("Provisioned MiB",'vInfo (Imported)'!$1:$5000,M1974,FALSE)</f>
        <v>0</v>
      </c>
      <c r="U1974">
        <f t="shared" si="91"/>
        <v>0</v>
      </c>
      <c r="V1974">
        <f>HLOOKUP("In Use MiB",'vInfo (Imported)'!$1:$5000,M1974,FALSE)</f>
        <v>0</v>
      </c>
    </row>
    <row r="1975" spans="1:22" ht="13" x14ac:dyDescent="0.3">
      <c r="A1975" s="46">
        <f>'vHosts (Imported)'!A1975</f>
        <v>0</v>
      </c>
      <c r="B1975" s="51">
        <f t="shared" si="93"/>
        <v>4968</v>
      </c>
      <c r="C1975" s="49">
        <f>HLOOKUP("# Cores",'vHosts (Imported)'!$1:$5000,M1975,FALSE)</f>
        <v>0</v>
      </c>
      <c r="D1975" s="52">
        <f>HLOOKUP("# Memory",'vHosts (Imported)'!$1:$5000,M1975,FALSE)</f>
        <v>0</v>
      </c>
      <c r="M1975" s="45">
        <f t="shared" si="92"/>
        <v>1975</v>
      </c>
      <c r="N1975" s="38">
        <f>HLOOKUP("Host",'vInfo (Imported)'!$1:$5000,M1975,FALSE)</f>
        <v>0</v>
      </c>
      <c r="R1975">
        <f>HLOOKUP("CPUs",'vInfo (Imported)'!$1:$5000,M1975,FALSE)</f>
        <v>0</v>
      </c>
      <c r="S1975">
        <f>HLOOKUP("Memory",'vInfo (Imported)'!$1:$5000,M1975,FALSE)</f>
        <v>0</v>
      </c>
      <c r="T1975">
        <f>HLOOKUP("Provisioned MiB",'vInfo (Imported)'!$1:$5000,M1975,FALSE)</f>
        <v>0</v>
      </c>
      <c r="U1975">
        <f t="shared" si="91"/>
        <v>0</v>
      </c>
      <c r="V1975">
        <f>HLOOKUP("In Use MiB",'vInfo (Imported)'!$1:$5000,M1975,FALSE)</f>
        <v>0</v>
      </c>
    </row>
    <row r="1976" spans="1:22" ht="13" x14ac:dyDescent="0.3">
      <c r="A1976" s="46">
        <f>'vHosts (Imported)'!A1976</f>
        <v>0</v>
      </c>
      <c r="B1976" s="51">
        <f t="shared" si="93"/>
        <v>4968</v>
      </c>
      <c r="C1976" s="49">
        <f>HLOOKUP("# Cores",'vHosts (Imported)'!$1:$5000,M1976,FALSE)</f>
        <v>0</v>
      </c>
      <c r="D1976" s="52">
        <f>HLOOKUP("# Memory",'vHosts (Imported)'!$1:$5000,M1976,FALSE)</f>
        <v>0</v>
      </c>
      <c r="M1976" s="45">
        <f t="shared" si="92"/>
        <v>1976</v>
      </c>
      <c r="N1976" s="38">
        <f>HLOOKUP("Host",'vInfo (Imported)'!$1:$5000,M1976,FALSE)</f>
        <v>0</v>
      </c>
      <c r="R1976">
        <f>HLOOKUP("CPUs",'vInfo (Imported)'!$1:$5000,M1976,FALSE)</f>
        <v>0</v>
      </c>
      <c r="S1976">
        <f>HLOOKUP("Memory",'vInfo (Imported)'!$1:$5000,M1976,FALSE)</f>
        <v>0</v>
      </c>
      <c r="T1976">
        <f>HLOOKUP("Provisioned MiB",'vInfo (Imported)'!$1:$5000,M1976,FALSE)</f>
        <v>0</v>
      </c>
      <c r="U1976">
        <f t="shared" si="91"/>
        <v>0</v>
      </c>
      <c r="V1976">
        <f>HLOOKUP("In Use MiB",'vInfo (Imported)'!$1:$5000,M1976,FALSE)</f>
        <v>0</v>
      </c>
    </row>
    <row r="1977" spans="1:22" ht="13" x14ac:dyDescent="0.3">
      <c r="A1977" s="46">
        <f>'vHosts (Imported)'!A1977</f>
        <v>0</v>
      </c>
      <c r="B1977" s="51">
        <f t="shared" si="93"/>
        <v>4968</v>
      </c>
      <c r="C1977" s="49">
        <f>HLOOKUP("# Cores",'vHosts (Imported)'!$1:$5000,M1977,FALSE)</f>
        <v>0</v>
      </c>
      <c r="D1977" s="52">
        <f>HLOOKUP("# Memory",'vHosts (Imported)'!$1:$5000,M1977,FALSE)</f>
        <v>0</v>
      </c>
      <c r="M1977" s="45">
        <f t="shared" si="92"/>
        <v>1977</v>
      </c>
      <c r="N1977" s="38">
        <f>HLOOKUP("Host",'vInfo (Imported)'!$1:$5000,M1977,FALSE)</f>
        <v>0</v>
      </c>
      <c r="R1977">
        <f>HLOOKUP("CPUs",'vInfo (Imported)'!$1:$5000,M1977,FALSE)</f>
        <v>0</v>
      </c>
      <c r="S1977">
        <f>HLOOKUP("Memory",'vInfo (Imported)'!$1:$5000,M1977,FALSE)</f>
        <v>0</v>
      </c>
      <c r="T1977">
        <f>HLOOKUP("Provisioned MiB",'vInfo (Imported)'!$1:$5000,M1977,FALSE)</f>
        <v>0</v>
      </c>
      <c r="U1977">
        <f t="shared" si="91"/>
        <v>0</v>
      </c>
      <c r="V1977">
        <f>HLOOKUP("In Use MiB",'vInfo (Imported)'!$1:$5000,M1977,FALSE)</f>
        <v>0</v>
      </c>
    </row>
    <row r="1978" spans="1:22" ht="13" x14ac:dyDescent="0.3">
      <c r="A1978" s="46">
        <f>'vHosts (Imported)'!A1978</f>
        <v>0</v>
      </c>
      <c r="B1978" s="51">
        <f t="shared" si="93"/>
        <v>4968</v>
      </c>
      <c r="C1978" s="49">
        <f>HLOOKUP("# Cores",'vHosts (Imported)'!$1:$5000,M1978,FALSE)</f>
        <v>0</v>
      </c>
      <c r="D1978" s="52">
        <f>HLOOKUP("# Memory",'vHosts (Imported)'!$1:$5000,M1978,FALSE)</f>
        <v>0</v>
      </c>
      <c r="M1978" s="45">
        <f t="shared" si="92"/>
        <v>1978</v>
      </c>
      <c r="N1978" s="38">
        <f>HLOOKUP("Host",'vInfo (Imported)'!$1:$5000,M1978,FALSE)</f>
        <v>0</v>
      </c>
      <c r="R1978">
        <f>HLOOKUP("CPUs",'vInfo (Imported)'!$1:$5000,M1978,FALSE)</f>
        <v>0</v>
      </c>
      <c r="S1978">
        <f>HLOOKUP("Memory",'vInfo (Imported)'!$1:$5000,M1978,FALSE)</f>
        <v>0</v>
      </c>
      <c r="T1978">
        <f>HLOOKUP("Provisioned MiB",'vInfo (Imported)'!$1:$5000,M1978,FALSE)</f>
        <v>0</v>
      </c>
      <c r="U1978">
        <f t="shared" si="91"/>
        <v>0</v>
      </c>
      <c r="V1978">
        <f>HLOOKUP("In Use MiB",'vInfo (Imported)'!$1:$5000,M1978,FALSE)</f>
        <v>0</v>
      </c>
    </row>
    <row r="1979" spans="1:22" ht="13" x14ac:dyDescent="0.3">
      <c r="A1979" s="46">
        <f>'vHosts (Imported)'!A1979</f>
        <v>0</v>
      </c>
      <c r="B1979" s="51">
        <f t="shared" si="93"/>
        <v>4968</v>
      </c>
      <c r="C1979" s="49">
        <f>HLOOKUP("# Cores",'vHosts (Imported)'!$1:$5000,M1979,FALSE)</f>
        <v>0</v>
      </c>
      <c r="D1979" s="52">
        <f>HLOOKUP("# Memory",'vHosts (Imported)'!$1:$5000,M1979,FALSE)</f>
        <v>0</v>
      </c>
      <c r="M1979" s="45">
        <f t="shared" si="92"/>
        <v>1979</v>
      </c>
      <c r="N1979" s="38">
        <f>HLOOKUP("Host",'vInfo (Imported)'!$1:$5000,M1979,FALSE)</f>
        <v>0</v>
      </c>
      <c r="R1979">
        <f>HLOOKUP("CPUs",'vInfo (Imported)'!$1:$5000,M1979,FALSE)</f>
        <v>0</v>
      </c>
      <c r="S1979">
        <f>HLOOKUP("Memory",'vInfo (Imported)'!$1:$5000,M1979,FALSE)</f>
        <v>0</v>
      </c>
      <c r="T1979">
        <f>HLOOKUP("Provisioned MiB",'vInfo (Imported)'!$1:$5000,M1979,FALSE)</f>
        <v>0</v>
      </c>
      <c r="U1979">
        <f t="shared" si="91"/>
        <v>0</v>
      </c>
      <c r="V1979">
        <f>HLOOKUP("In Use MiB",'vInfo (Imported)'!$1:$5000,M1979,FALSE)</f>
        <v>0</v>
      </c>
    </row>
    <row r="1980" spans="1:22" ht="13" x14ac:dyDescent="0.3">
      <c r="A1980" s="46">
        <f>'vHosts (Imported)'!A1980</f>
        <v>0</v>
      </c>
      <c r="B1980" s="51">
        <f t="shared" si="93"/>
        <v>4968</v>
      </c>
      <c r="C1980" s="49">
        <f>HLOOKUP("# Cores",'vHosts (Imported)'!$1:$5000,M1980,FALSE)</f>
        <v>0</v>
      </c>
      <c r="D1980" s="52">
        <f>HLOOKUP("# Memory",'vHosts (Imported)'!$1:$5000,M1980,FALSE)</f>
        <v>0</v>
      </c>
      <c r="M1980" s="45">
        <f t="shared" si="92"/>
        <v>1980</v>
      </c>
      <c r="N1980" s="38">
        <f>HLOOKUP("Host",'vInfo (Imported)'!$1:$5000,M1980,FALSE)</f>
        <v>0</v>
      </c>
      <c r="R1980">
        <f>HLOOKUP("CPUs",'vInfo (Imported)'!$1:$5000,M1980,FALSE)</f>
        <v>0</v>
      </c>
      <c r="S1980">
        <f>HLOOKUP("Memory",'vInfo (Imported)'!$1:$5000,M1980,FALSE)</f>
        <v>0</v>
      </c>
      <c r="T1980">
        <f>HLOOKUP("Provisioned MiB",'vInfo (Imported)'!$1:$5000,M1980,FALSE)</f>
        <v>0</v>
      </c>
      <c r="U1980">
        <f t="shared" si="91"/>
        <v>0</v>
      </c>
      <c r="V1980">
        <f>HLOOKUP("In Use MiB",'vInfo (Imported)'!$1:$5000,M1980,FALSE)</f>
        <v>0</v>
      </c>
    </row>
    <row r="1981" spans="1:22" ht="13" x14ac:dyDescent="0.3">
      <c r="A1981" s="46">
        <f>'vHosts (Imported)'!A1981</f>
        <v>0</v>
      </c>
      <c r="B1981" s="51">
        <f t="shared" si="93"/>
        <v>4968</v>
      </c>
      <c r="C1981" s="49">
        <f>HLOOKUP("# Cores",'vHosts (Imported)'!$1:$5000,M1981,FALSE)</f>
        <v>0</v>
      </c>
      <c r="D1981" s="52">
        <f>HLOOKUP("# Memory",'vHosts (Imported)'!$1:$5000,M1981,FALSE)</f>
        <v>0</v>
      </c>
      <c r="M1981" s="45">
        <f t="shared" si="92"/>
        <v>1981</v>
      </c>
      <c r="N1981" s="38">
        <f>HLOOKUP("Host",'vInfo (Imported)'!$1:$5000,M1981,FALSE)</f>
        <v>0</v>
      </c>
      <c r="R1981">
        <f>HLOOKUP("CPUs",'vInfo (Imported)'!$1:$5000,M1981,FALSE)</f>
        <v>0</v>
      </c>
      <c r="S1981">
        <f>HLOOKUP("Memory",'vInfo (Imported)'!$1:$5000,M1981,FALSE)</f>
        <v>0</v>
      </c>
      <c r="T1981">
        <f>HLOOKUP("Provisioned MiB",'vInfo (Imported)'!$1:$5000,M1981,FALSE)</f>
        <v>0</v>
      </c>
      <c r="U1981">
        <f t="shared" si="91"/>
        <v>0</v>
      </c>
      <c r="V1981">
        <f>HLOOKUP("In Use MiB",'vInfo (Imported)'!$1:$5000,M1981,FALSE)</f>
        <v>0</v>
      </c>
    </row>
    <row r="1982" spans="1:22" ht="13" x14ac:dyDescent="0.3">
      <c r="A1982" s="46">
        <f>'vHosts (Imported)'!A1982</f>
        <v>0</v>
      </c>
      <c r="B1982" s="51">
        <f t="shared" si="93"/>
        <v>4968</v>
      </c>
      <c r="C1982" s="49">
        <f>HLOOKUP("# Cores",'vHosts (Imported)'!$1:$5000,M1982,FALSE)</f>
        <v>0</v>
      </c>
      <c r="D1982" s="52">
        <f>HLOOKUP("# Memory",'vHosts (Imported)'!$1:$5000,M1982,FALSE)</f>
        <v>0</v>
      </c>
      <c r="M1982" s="45">
        <f t="shared" si="92"/>
        <v>1982</v>
      </c>
      <c r="N1982" s="38">
        <f>HLOOKUP("Host",'vInfo (Imported)'!$1:$5000,M1982,FALSE)</f>
        <v>0</v>
      </c>
      <c r="R1982">
        <f>HLOOKUP("CPUs",'vInfo (Imported)'!$1:$5000,M1982,FALSE)</f>
        <v>0</v>
      </c>
      <c r="S1982">
        <f>HLOOKUP("Memory",'vInfo (Imported)'!$1:$5000,M1982,FALSE)</f>
        <v>0</v>
      </c>
      <c r="T1982">
        <f>HLOOKUP("Provisioned MiB",'vInfo (Imported)'!$1:$5000,M1982,FALSE)</f>
        <v>0</v>
      </c>
      <c r="U1982">
        <f t="shared" si="91"/>
        <v>0</v>
      </c>
      <c r="V1982">
        <f>HLOOKUP("In Use MiB",'vInfo (Imported)'!$1:$5000,M1982,FALSE)</f>
        <v>0</v>
      </c>
    </row>
    <row r="1983" spans="1:22" ht="13" x14ac:dyDescent="0.3">
      <c r="A1983" s="46">
        <f>'vHosts (Imported)'!A1983</f>
        <v>0</v>
      </c>
      <c r="B1983" s="51">
        <f t="shared" si="93"/>
        <v>4968</v>
      </c>
      <c r="C1983" s="49">
        <f>HLOOKUP("# Cores",'vHosts (Imported)'!$1:$5000,M1983,FALSE)</f>
        <v>0</v>
      </c>
      <c r="D1983" s="52">
        <f>HLOOKUP("# Memory",'vHosts (Imported)'!$1:$5000,M1983,FALSE)</f>
        <v>0</v>
      </c>
      <c r="M1983" s="45">
        <f t="shared" si="92"/>
        <v>1983</v>
      </c>
      <c r="N1983" s="38">
        <f>HLOOKUP("Host",'vInfo (Imported)'!$1:$5000,M1983,FALSE)</f>
        <v>0</v>
      </c>
      <c r="R1983">
        <f>HLOOKUP("CPUs",'vInfo (Imported)'!$1:$5000,M1983,FALSE)</f>
        <v>0</v>
      </c>
      <c r="S1983">
        <f>HLOOKUP("Memory",'vInfo (Imported)'!$1:$5000,M1983,FALSE)</f>
        <v>0</v>
      </c>
      <c r="T1983">
        <f>HLOOKUP("Provisioned MiB",'vInfo (Imported)'!$1:$5000,M1983,FALSE)</f>
        <v>0</v>
      </c>
      <c r="U1983">
        <f t="shared" si="91"/>
        <v>0</v>
      </c>
      <c r="V1983">
        <f>HLOOKUP("In Use MiB",'vInfo (Imported)'!$1:$5000,M1983,FALSE)</f>
        <v>0</v>
      </c>
    </row>
    <row r="1984" spans="1:22" ht="13" x14ac:dyDescent="0.3">
      <c r="A1984" s="46">
        <f>'vHosts (Imported)'!A1984</f>
        <v>0</v>
      </c>
      <c r="B1984" s="51">
        <f t="shared" si="93"/>
        <v>4968</v>
      </c>
      <c r="C1984" s="49">
        <f>HLOOKUP("# Cores",'vHosts (Imported)'!$1:$5000,M1984,FALSE)</f>
        <v>0</v>
      </c>
      <c r="D1984" s="52">
        <f>HLOOKUP("# Memory",'vHosts (Imported)'!$1:$5000,M1984,FALSE)</f>
        <v>0</v>
      </c>
      <c r="M1984" s="45">
        <f t="shared" si="92"/>
        <v>1984</v>
      </c>
      <c r="N1984" s="38">
        <f>HLOOKUP("Host",'vInfo (Imported)'!$1:$5000,M1984,FALSE)</f>
        <v>0</v>
      </c>
      <c r="R1984">
        <f>HLOOKUP("CPUs",'vInfo (Imported)'!$1:$5000,M1984,FALSE)</f>
        <v>0</v>
      </c>
      <c r="S1984">
        <f>HLOOKUP("Memory",'vInfo (Imported)'!$1:$5000,M1984,FALSE)</f>
        <v>0</v>
      </c>
      <c r="T1984">
        <f>HLOOKUP("Provisioned MiB",'vInfo (Imported)'!$1:$5000,M1984,FALSE)</f>
        <v>0</v>
      </c>
      <c r="U1984">
        <f t="shared" si="91"/>
        <v>0</v>
      </c>
      <c r="V1984">
        <f>HLOOKUP("In Use MiB",'vInfo (Imported)'!$1:$5000,M1984,FALSE)</f>
        <v>0</v>
      </c>
    </row>
    <row r="1985" spans="1:22" ht="13" x14ac:dyDescent="0.3">
      <c r="A1985" s="46">
        <f>'vHosts (Imported)'!A1985</f>
        <v>0</v>
      </c>
      <c r="B1985" s="51">
        <f t="shared" si="93"/>
        <v>4968</v>
      </c>
      <c r="C1985" s="49">
        <f>HLOOKUP("# Cores",'vHosts (Imported)'!$1:$5000,M1985,FALSE)</f>
        <v>0</v>
      </c>
      <c r="D1985" s="52">
        <f>HLOOKUP("# Memory",'vHosts (Imported)'!$1:$5000,M1985,FALSE)</f>
        <v>0</v>
      </c>
      <c r="M1985" s="45">
        <f t="shared" si="92"/>
        <v>1985</v>
      </c>
      <c r="N1985" s="38">
        <f>HLOOKUP("Host",'vInfo (Imported)'!$1:$5000,M1985,FALSE)</f>
        <v>0</v>
      </c>
      <c r="R1985">
        <f>HLOOKUP("CPUs",'vInfo (Imported)'!$1:$5000,M1985,FALSE)</f>
        <v>0</v>
      </c>
      <c r="S1985">
        <f>HLOOKUP("Memory",'vInfo (Imported)'!$1:$5000,M1985,FALSE)</f>
        <v>0</v>
      </c>
      <c r="T1985">
        <f>HLOOKUP("Provisioned MiB",'vInfo (Imported)'!$1:$5000,M1985,FALSE)</f>
        <v>0</v>
      </c>
      <c r="U1985">
        <f t="shared" si="91"/>
        <v>0</v>
      </c>
      <c r="V1985">
        <f>HLOOKUP("In Use MiB",'vInfo (Imported)'!$1:$5000,M1985,FALSE)</f>
        <v>0</v>
      </c>
    </row>
    <row r="1986" spans="1:22" ht="13" x14ac:dyDescent="0.3">
      <c r="A1986" s="46">
        <f>'vHosts (Imported)'!A1986</f>
        <v>0</v>
      </c>
      <c r="B1986" s="51">
        <f t="shared" si="93"/>
        <v>4968</v>
      </c>
      <c r="C1986" s="49">
        <f>HLOOKUP("# Cores",'vHosts (Imported)'!$1:$5000,M1986,FALSE)</f>
        <v>0</v>
      </c>
      <c r="D1986" s="52">
        <f>HLOOKUP("# Memory",'vHosts (Imported)'!$1:$5000,M1986,FALSE)</f>
        <v>0</v>
      </c>
      <c r="M1986" s="45">
        <f t="shared" si="92"/>
        <v>1986</v>
      </c>
      <c r="N1986" s="38">
        <f>HLOOKUP("Host",'vInfo (Imported)'!$1:$5000,M1986,FALSE)</f>
        <v>0</v>
      </c>
      <c r="R1986">
        <f>HLOOKUP("CPUs",'vInfo (Imported)'!$1:$5000,M1986,FALSE)</f>
        <v>0</v>
      </c>
      <c r="S1986">
        <f>HLOOKUP("Memory",'vInfo (Imported)'!$1:$5000,M1986,FALSE)</f>
        <v>0</v>
      </c>
      <c r="T1986">
        <f>HLOOKUP("Provisioned MiB",'vInfo (Imported)'!$1:$5000,M1986,FALSE)</f>
        <v>0</v>
      </c>
      <c r="U1986">
        <f t="shared" si="91"/>
        <v>0</v>
      </c>
      <c r="V1986">
        <f>HLOOKUP("In Use MiB",'vInfo (Imported)'!$1:$5000,M1986,FALSE)</f>
        <v>0</v>
      </c>
    </row>
    <row r="1987" spans="1:22" ht="13" x14ac:dyDescent="0.3">
      <c r="A1987" s="46">
        <f>'vHosts (Imported)'!A1987</f>
        <v>0</v>
      </c>
      <c r="B1987" s="51">
        <f t="shared" si="93"/>
        <v>4968</v>
      </c>
      <c r="C1987" s="49">
        <f>HLOOKUP("# Cores",'vHosts (Imported)'!$1:$5000,M1987,FALSE)</f>
        <v>0</v>
      </c>
      <c r="D1987" s="52">
        <f>HLOOKUP("# Memory",'vHosts (Imported)'!$1:$5000,M1987,FALSE)</f>
        <v>0</v>
      </c>
      <c r="M1987" s="45">
        <f t="shared" si="92"/>
        <v>1987</v>
      </c>
      <c r="N1987" s="38">
        <f>HLOOKUP("Host",'vInfo (Imported)'!$1:$5000,M1987,FALSE)</f>
        <v>0</v>
      </c>
      <c r="R1987">
        <f>HLOOKUP("CPUs",'vInfo (Imported)'!$1:$5000,M1987,FALSE)</f>
        <v>0</v>
      </c>
      <c r="S1987">
        <f>HLOOKUP("Memory",'vInfo (Imported)'!$1:$5000,M1987,FALSE)</f>
        <v>0</v>
      </c>
      <c r="T1987">
        <f>HLOOKUP("Provisioned MiB",'vInfo (Imported)'!$1:$5000,M1987,FALSE)</f>
        <v>0</v>
      </c>
      <c r="U1987">
        <f t="shared" ref="U1987:U2050" si="94">T1987-V1987</f>
        <v>0</v>
      </c>
      <c r="V1987">
        <f>HLOOKUP("In Use MiB",'vInfo (Imported)'!$1:$5000,M1987,FALSE)</f>
        <v>0</v>
      </c>
    </row>
    <row r="1988" spans="1:22" ht="13" x14ac:dyDescent="0.3">
      <c r="A1988" s="46">
        <f>'vHosts (Imported)'!A1988</f>
        <v>0</v>
      </c>
      <c r="B1988" s="51">
        <f t="shared" si="93"/>
        <v>4968</v>
      </c>
      <c r="C1988" s="49">
        <f>HLOOKUP("# Cores",'vHosts (Imported)'!$1:$5000,M1988,FALSE)</f>
        <v>0</v>
      </c>
      <c r="D1988" s="52">
        <f>HLOOKUP("# Memory",'vHosts (Imported)'!$1:$5000,M1988,FALSE)</f>
        <v>0</v>
      </c>
      <c r="M1988" s="45">
        <f t="shared" ref="M1988:M2051" si="95">M1987+1</f>
        <v>1988</v>
      </c>
      <c r="N1988" s="38">
        <f>HLOOKUP("Host",'vInfo (Imported)'!$1:$5000,M1988,FALSE)</f>
        <v>0</v>
      </c>
      <c r="R1988">
        <f>HLOOKUP("CPUs",'vInfo (Imported)'!$1:$5000,M1988,FALSE)</f>
        <v>0</v>
      </c>
      <c r="S1988">
        <f>HLOOKUP("Memory",'vInfo (Imported)'!$1:$5000,M1988,FALSE)</f>
        <v>0</v>
      </c>
      <c r="T1988">
        <f>HLOOKUP("Provisioned MiB",'vInfo (Imported)'!$1:$5000,M1988,FALSE)</f>
        <v>0</v>
      </c>
      <c r="U1988">
        <f t="shared" si="94"/>
        <v>0</v>
      </c>
      <c r="V1988">
        <f>HLOOKUP("In Use MiB",'vInfo (Imported)'!$1:$5000,M1988,FALSE)</f>
        <v>0</v>
      </c>
    </row>
    <row r="1989" spans="1:22" ht="13" x14ac:dyDescent="0.3">
      <c r="A1989" s="46">
        <f>'vHosts (Imported)'!A1989</f>
        <v>0</v>
      </c>
      <c r="B1989" s="51">
        <f t="shared" si="93"/>
        <v>4968</v>
      </c>
      <c r="C1989" s="49">
        <f>HLOOKUP("# Cores",'vHosts (Imported)'!$1:$5000,M1989,FALSE)</f>
        <v>0</v>
      </c>
      <c r="D1989" s="52">
        <f>HLOOKUP("# Memory",'vHosts (Imported)'!$1:$5000,M1989,FALSE)</f>
        <v>0</v>
      </c>
      <c r="M1989" s="45">
        <f t="shared" si="95"/>
        <v>1989</v>
      </c>
      <c r="N1989" s="38">
        <f>HLOOKUP("Host",'vInfo (Imported)'!$1:$5000,M1989,FALSE)</f>
        <v>0</v>
      </c>
      <c r="R1989">
        <f>HLOOKUP("CPUs",'vInfo (Imported)'!$1:$5000,M1989,FALSE)</f>
        <v>0</v>
      </c>
      <c r="S1989">
        <f>HLOOKUP("Memory",'vInfo (Imported)'!$1:$5000,M1989,FALSE)</f>
        <v>0</v>
      </c>
      <c r="T1989">
        <f>HLOOKUP("Provisioned MiB",'vInfo (Imported)'!$1:$5000,M1989,FALSE)</f>
        <v>0</v>
      </c>
      <c r="U1989">
        <f t="shared" si="94"/>
        <v>0</v>
      </c>
      <c r="V1989">
        <f>HLOOKUP("In Use MiB",'vInfo (Imported)'!$1:$5000,M1989,FALSE)</f>
        <v>0</v>
      </c>
    </row>
    <row r="1990" spans="1:22" ht="13" x14ac:dyDescent="0.3">
      <c r="A1990" s="46">
        <f>'vHosts (Imported)'!A1990</f>
        <v>0</v>
      </c>
      <c r="B1990" s="51">
        <f t="shared" si="93"/>
        <v>4968</v>
      </c>
      <c r="C1990" s="49">
        <f>HLOOKUP("# Cores",'vHosts (Imported)'!$1:$5000,M1990,FALSE)</f>
        <v>0</v>
      </c>
      <c r="D1990" s="52">
        <f>HLOOKUP("# Memory",'vHosts (Imported)'!$1:$5000,M1990,FALSE)</f>
        <v>0</v>
      </c>
      <c r="M1990" s="45">
        <f t="shared" si="95"/>
        <v>1990</v>
      </c>
      <c r="N1990" s="38">
        <f>HLOOKUP("Host",'vInfo (Imported)'!$1:$5000,M1990,FALSE)</f>
        <v>0</v>
      </c>
      <c r="R1990">
        <f>HLOOKUP("CPUs",'vInfo (Imported)'!$1:$5000,M1990,FALSE)</f>
        <v>0</v>
      </c>
      <c r="S1990">
        <f>HLOOKUP("Memory",'vInfo (Imported)'!$1:$5000,M1990,FALSE)</f>
        <v>0</v>
      </c>
      <c r="T1990">
        <f>HLOOKUP("Provisioned MiB",'vInfo (Imported)'!$1:$5000,M1990,FALSE)</f>
        <v>0</v>
      </c>
      <c r="U1990">
        <f t="shared" si="94"/>
        <v>0</v>
      </c>
      <c r="V1990">
        <f>HLOOKUP("In Use MiB",'vInfo (Imported)'!$1:$5000,M1990,FALSE)</f>
        <v>0</v>
      </c>
    </row>
    <row r="1991" spans="1:22" ht="13" x14ac:dyDescent="0.3">
      <c r="A1991" s="46">
        <f>'vHosts (Imported)'!A1991</f>
        <v>0</v>
      </c>
      <c r="B1991" s="51">
        <f t="shared" si="93"/>
        <v>4968</v>
      </c>
      <c r="C1991" s="49">
        <f>HLOOKUP("# Cores",'vHosts (Imported)'!$1:$5000,M1991,FALSE)</f>
        <v>0</v>
      </c>
      <c r="D1991" s="52">
        <f>HLOOKUP("# Memory",'vHosts (Imported)'!$1:$5000,M1991,FALSE)</f>
        <v>0</v>
      </c>
      <c r="M1991" s="45">
        <f t="shared" si="95"/>
        <v>1991</v>
      </c>
      <c r="N1991" s="38">
        <f>HLOOKUP("Host",'vInfo (Imported)'!$1:$5000,M1991,FALSE)</f>
        <v>0</v>
      </c>
      <c r="R1991">
        <f>HLOOKUP("CPUs",'vInfo (Imported)'!$1:$5000,M1991,FALSE)</f>
        <v>0</v>
      </c>
      <c r="S1991">
        <f>HLOOKUP("Memory",'vInfo (Imported)'!$1:$5000,M1991,FALSE)</f>
        <v>0</v>
      </c>
      <c r="T1991">
        <f>HLOOKUP("Provisioned MiB",'vInfo (Imported)'!$1:$5000,M1991,FALSE)</f>
        <v>0</v>
      </c>
      <c r="U1991">
        <f t="shared" si="94"/>
        <v>0</v>
      </c>
      <c r="V1991">
        <f>HLOOKUP("In Use MiB",'vInfo (Imported)'!$1:$5000,M1991,FALSE)</f>
        <v>0</v>
      </c>
    </row>
    <row r="1992" spans="1:22" ht="13" x14ac:dyDescent="0.3">
      <c r="A1992" s="46">
        <f>'vHosts (Imported)'!A1992</f>
        <v>0</v>
      </c>
      <c r="B1992" s="51">
        <f t="shared" si="93"/>
        <v>4968</v>
      </c>
      <c r="C1992" s="49">
        <f>HLOOKUP("# Cores",'vHosts (Imported)'!$1:$5000,M1992,FALSE)</f>
        <v>0</v>
      </c>
      <c r="D1992" s="52">
        <f>HLOOKUP("# Memory",'vHosts (Imported)'!$1:$5000,M1992,FALSE)</f>
        <v>0</v>
      </c>
      <c r="M1992" s="45">
        <f t="shared" si="95"/>
        <v>1992</v>
      </c>
      <c r="N1992" s="38">
        <f>HLOOKUP("Host",'vInfo (Imported)'!$1:$5000,M1992,FALSE)</f>
        <v>0</v>
      </c>
      <c r="R1992">
        <f>HLOOKUP("CPUs",'vInfo (Imported)'!$1:$5000,M1992,FALSE)</f>
        <v>0</v>
      </c>
      <c r="S1992">
        <f>HLOOKUP("Memory",'vInfo (Imported)'!$1:$5000,M1992,FALSE)</f>
        <v>0</v>
      </c>
      <c r="T1992">
        <f>HLOOKUP("Provisioned MiB",'vInfo (Imported)'!$1:$5000,M1992,FALSE)</f>
        <v>0</v>
      </c>
      <c r="U1992">
        <f t="shared" si="94"/>
        <v>0</v>
      </c>
      <c r="V1992">
        <f>HLOOKUP("In Use MiB",'vInfo (Imported)'!$1:$5000,M1992,FALSE)</f>
        <v>0</v>
      </c>
    </row>
    <row r="1993" spans="1:22" ht="13" x14ac:dyDescent="0.3">
      <c r="A1993" s="46">
        <f>'vHosts (Imported)'!A1993</f>
        <v>0</v>
      </c>
      <c r="B1993" s="51">
        <f t="shared" si="93"/>
        <v>4968</v>
      </c>
      <c r="C1993" s="49">
        <f>HLOOKUP("# Cores",'vHosts (Imported)'!$1:$5000,M1993,FALSE)</f>
        <v>0</v>
      </c>
      <c r="D1993" s="52">
        <f>HLOOKUP("# Memory",'vHosts (Imported)'!$1:$5000,M1993,FALSE)</f>
        <v>0</v>
      </c>
      <c r="M1993" s="45">
        <f t="shared" si="95"/>
        <v>1993</v>
      </c>
      <c r="N1993" s="38">
        <f>HLOOKUP("Host",'vInfo (Imported)'!$1:$5000,M1993,FALSE)</f>
        <v>0</v>
      </c>
      <c r="R1993">
        <f>HLOOKUP("CPUs",'vInfo (Imported)'!$1:$5000,M1993,FALSE)</f>
        <v>0</v>
      </c>
      <c r="S1993">
        <f>HLOOKUP("Memory",'vInfo (Imported)'!$1:$5000,M1993,FALSE)</f>
        <v>0</v>
      </c>
      <c r="T1993">
        <f>HLOOKUP("Provisioned MiB",'vInfo (Imported)'!$1:$5000,M1993,FALSE)</f>
        <v>0</v>
      </c>
      <c r="U1993">
        <f t="shared" si="94"/>
        <v>0</v>
      </c>
      <c r="V1993">
        <f>HLOOKUP("In Use MiB",'vInfo (Imported)'!$1:$5000,M1993,FALSE)</f>
        <v>0</v>
      </c>
    </row>
    <row r="1994" spans="1:22" ht="13" x14ac:dyDescent="0.3">
      <c r="A1994" s="46">
        <f>'vHosts (Imported)'!A1994</f>
        <v>0</v>
      </c>
      <c r="B1994" s="51">
        <f t="shared" si="93"/>
        <v>4968</v>
      </c>
      <c r="C1994" s="49">
        <f>HLOOKUP("# Cores",'vHosts (Imported)'!$1:$5000,M1994,FALSE)</f>
        <v>0</v>
      </c>
      <c r="D1994" s="52">
        <f>HLOOKUP("# Memory",'vHosts (Imported)'!$1:$5000,M1994,FALSE)</f>
        <v>0</v>
      </c>
      <c r="M1994" s="45">
        <f t="shared" si="95"/>
        <v>1994</v>
      </c>
      <c r="N1994" s="38">
        <f>HLOOKUP("Host",'vInfo (Imported)'!$1:$5000,M1994,FALSE)</f>
        <v>0</v>
      </c>
      <c r="R1994">
        <f>HLOOKUP("CPUs",'vInfo (Imported)'!$1:$5000,M1994,FALSE)</f>
        <v>0</v>
      </c>
      <c r="S1994">
        <f>HLOOKUP("Memory",'vInfo (Imported)'!$1:$5000,M1994,FALSE)</f>
        <v>0</v>
      </c>
      <c r="T1994">
        <f>HLOOKUP("Provisioned MiB",'vInfo (Imported)'!$1:$5000,M1994,FALSE)</f>
        <v>0</v>
      </c>
      <c r="U1994">
        <f t="shared" si="94"/>
        <v>0</v>
      </c>
      <c r="V1994">
        <f>HLOOKUP("In Use MiB",'vInfo (Imported)'!$1:$5000,M1994,FALSE)</f>
        <v>0</v>
      </c>
    </row>
    <row r="1995" spans="1:22" ht="13" x14ac:dyDescent="0.3">
      <c r="A1995" s="46">
        <f>'vHosts (Imported)'!A1995</f>
        <v>0</v>
      </c>
      <c r="B1995" s="51">
        <f t="shared" si="93"/>
        <v>4968</v>
      </c>
      <c r="C1995" s="49">
        <f>HLOOKUP("# Cores",'vHosts (Imported)'!$1:$5000,M1995,FALSE)</f>
        <v>0</v>
      </c>
      <c r="D1995" s="52">
        <f>HLOOKUP("# Memory",'vHosts (Imported)'!$1:$5000,M1995,FALSE)</f>
        <v>0</v>
      </c>
      <c r="M1995" s="45">
        <f t="shared" si="95"/>
        <v>1995</v>
      </c>
      <c r="N1995" s="38">
        <f>HLOOKUP("Host",'vInfo (Imported)'!$1:$5000,M1995,FALSE)</f>
        <v>0</v>
      </c>
      <c r="R1995">
        <f>HLOOKUP("CPUs",'vInfo (Imported)'!$1:$5000,M1995,FALSE)</f>
        <v>0</v>
      </c>
      <c r="S1995">
        <f>HLOOKUP("Memory",'vInfo (Imported)'!$1:$5000,M1995,FALSE)</f>
        <v>0</v>
      </c>
      <c r="T1995">
        <f>HLOOKUP("Provisioned MiB",'vInfo (Imported)'!$1:$5000,M1995,FALSE)</f>
        <v>0</v>
      </c>
      <c r="U1995">
        <f t="shared" si="94"/>
        <v>0</v>
      </c>
      <c r="V1995">
        <f>HLOOKUP("In Use MiB",'vInfo (Imported)'!$1:$5000,M1995,FALSE)</f>
        <v>0</v>
      </c>
    </row>
    <row r="1996" spans="1:22" ht="13" x14ac:dyDescent="0.3">
      <c r="A1996" s="46">
        <f>'vHosts (Imported)'!A1996</f>
        <v>0</v>
      </c>
      <c r="B1996" s="51">
        <f t="shared" si="93"/>
        <v>4968</v>
      </c>
      <c r="C1996" s="49">
        <f>HLOOKUP("# Cores",'vHosts (Imported)'!$1:$5000,M1996,FALSE)</f>
        <v>0</v>
      </c>
      <c r="D1996" s="52">
        <f>HLOOKUP("# Memory",'vHosts (Imported)'!$1:$5000,M1996,FALSE)</f>
        <v>0</v>
      </c>
      <c r="M1996" s="45">
        <f t="shared" si="95"/>
        <v>1996</v>
      </c>
      <c r="N1996" s="38">
        <f>HLOOKUP("Host",'vInfo (Imported)'!$1:$5000,M1996,FALSE)</f>
        <v>0</v>
      </c>
      <c r="R1996">
        <f>HLOOKUP("CPUs",'vInfo (Imported)'!$1:$5000,M1996,FALSE)</f>
        <v>0</v>
      </c>
      <c r="S1996">
        <f>HLOOKUP("Memory",'vInfo (Imported)'!$1:$5000,M1996,FALSE)</f>
        <v>0</v>
      </c>
      <c r="T1996">
        <f>HLOOKUP("Provisioned MiB",'vInfo (Imported)'!$1:$5000,M1996,FALSE)</f>
        <v>0</v>
      </c>
      <c r="U1996">
        <f t="shared" si="94"/>
        <v>0</v>
      </c>
      <c r="V1996">
        <f>HLOOKUP("In Use MiB",'vInfo (Imported)'!$1:$5000,M1996,FALSE)</f>
        <v>0</v>
      </c>
    </row>
    <row r="1997" spans="1:22" ht="13" x14ac:dyDescent="0.3">
      <c r="A1997" s="46">
        <f>'vHosts (Imported)'!A1997</f>
        <v>0</v>
      </c>
      <c r="B1997" s="51">
        <f t="shared" si="93"/>
        <v>4968</v>
      </c>
      <c r="C1997" s="49">
        <f>HLOOKUP("# Cores",'vHosts (Imported)'!$1:$5000,M1997,FALSE)</f>
        <v>0</v>
      </c>
      <c r="D1997" s="52">
        <f>HLOOKUP("# Memory",'vHosts (Imported)'!$1:$5000,M1997,FALSE)</f>
        <v>0</v>
      </c>
      <c r="M1997" s="45">
        <f t="shared" si="95"/>
        <v>1997</v>
      </c>
      <c r="N1997" s="38">
        <f>HLOOKUP("Host",'vInfo (Imported)'!$1:$5000,M1997,FALSE)</f>
        <v>0</v>
      </c>
      <c r="R1997">
        <f>HLOOKUP("CPUs",'vInfo (Imported)'!$1:$5000,M1997,FALSE)</f>
        <v>0</v>
      </c>
      <c r="S1997">
        <f>HLOOKUP("Memory",'vInfo (Imported)'!$1:$5000,M1997,FALSE)</f>
        <v>0</v>
      </c>
      <c r="T1997">
        <f>HLOOKUP("Provisioned MiB",'vInfo (Imported)'!$1:$5000,M1997,FALSE)</f>
        <v>0</v>
      </c>
      <c r="U1997">
        <f t="shared" si="94"/>
        <v>0</v>
      </c>
      <c r="V1997">
        <f>HLOOKUP("In Use MiB",'vInfo (Imported)'!$1:$5000,M1997,FALSE)</f>
        <v>0</v>
      </c>
    </row>
    <row r="1998" spans="1:22" ht="13" x14ac:dyDescent="0.3">
      <c r="A1998" s="46">
        <f>'vHosts (Imported)'!A1998</f>
        <v>0</v>
      </c>
      <c r="B1998" s="51">
        <f t="shared" si="93"/>
        <v>4968</v>
      </c>
      <c r="C1998" s="49">
        <f>HLOOKUP("# Cores",'vHosts (Imported)'!$1:$5000,M1998,FALSE)</f>
        <v>0</v>
      </c>
      <c r="D1998" s="52">
        <f>HLOOKUP("# Memory",'vHosts (Imported)'!$1:$5000,M1998,FALSE)</f>
        <v>0</v>
      </c>
      <c r="M1998" s="45">
        <f t="shared" si="95"/>
        <v>1998</v>
      </c>
      <c r="N1998" s="38">
        <f>HLOOKUP("Host",'vInfo (Imported)'!$1:$5000,M1998,FALSE)</f>
        <v>0</v>
      </c>
      <c r="R1998">
        <f>HLOOKUP("CPUs",'vInfo (Imported)'!$1:$5000,M1998,FALSE)</f>
        <v>0</v>
      </c>
      <c r="S1998">
        <f>HLOOKUP("Memory",'vInfo (Imported)'!$1:$5000,M1998,FALSE)</f>
        <v>0</v>
      </c>
      <c r="T1998">
        <f>HLOOKUP("Provisioned MiB",'vInfo (Imported)'!$1:$5000,M1998,FALSE)</f>
        <v>0</v>
      </c>
      <c r="U1998">
        <f t="shared" si="94"/>
        <v>0</v>
      </c>
      <c r="V1998">
        <f>HLOOKUP("In Use MiB",'vInfo (Imported)'!$1:$5000,M1998,FALSE)</f>
        <v>0</v>
      </c>
    </row>
    <row r="1999" spans="1:22" ht="13" x14ac:dyDescent="0.3">
      <c r="A1999" s="46">
        <f>'vHosts (Imported)'!A1999</f>
        <v>0</v>
      </c>
      <c r="B1999" s="51">
        <f t="shared" si="93"/>
        <v>4968</v>
      </c>
      <c r="C1999" s="49">
        <f>HLOOKUP("# Cores",'vHosts (Imported)'!$1:$5000,M1999,FALSE)</f>
        <v>0</v>
      </c>
      <c r="D1999" s="52">
        <f>HLOOKUP("# Memory",'vHosts (Imported)'!$1:$5000,M1999,FALSE)</f>
        <v>0</v>
      </c>
      <c r="M1999" s="45">
        <f t="shared" si="95"/>
        <v>1999</v>
      </c>
      <c r="N1999" s="38">
        <f>HLOOKUP("Host",'vInfo (Imported)'!$1:$5000,M1999,FALSE)</f>
        <v>0</v>
      </c>
      <c r="R1999">
        <f>HLOOKUP("CPUs",'vInfo (Imported)'!$1:$5000,M1999,FALSE)</f>
        <v>0</v>
      </c>
      <c r="S1999">
        <f>HLOOKUP("Memory",'vInfo (Imported)'!$1:$5000,M1999,FALSE)</f>
        <v>0</v>
      </c>
      <c r="T1999">
        <f>HLOOKUP("Provisioned MiB",'vInfo (Imported)'!$1:$5000,M1999,FALSE)</f>
        <v>0</v>
      </c>
      <c r="U1999">
        <f t="shared" si="94"/>
        <v>0</v>
      </c>
      <c r="V1999">
        <f>HLOOKUP("In Use MiB",'vInfo (Imported)'!$1:$5000,M1999,FALSE)</f>
        <v>0</v>
      </c>
    </row>
    <row r="2000" spans="1:22" ht="13" x14ac:dyDescent="0.3">
      <c r="A2000" s="46">
        <f>'vHosts (Imported)'!A2000</f>
        <v>0</v>
      </c>
      <c r="B2000" s="51">
        <f t="shared" si="93"/>
        <v>4968</v>
      </c>
      <c r="C2000" s="49">
        <f>HLOOKUP("# Cores",'vHosts (Imported)'!$1:$5000,M2000,FALSE)</f>
        <v>0</v>
      </c>
      <c r="D2000" s="52">
        <f>HLOOKUP("# Memory",'vHosts (Imported)'!$1:$5000,M2000,FALSE)</f>
        <v>0</v>
      </c>
      <c r="M2000" s="45">
        <f t="shared" si="95"/>
        <v>2000</v>
      </c>
      <c r="N2000" s="38">
        <f>HLOOKUP("Host",'vInfo (Imported)'!$1:$5000,M2000,FALSE)</f>
        <v>0</v>
      </c>
      <c r="R2000">
        <f>HLOOKUP("CPUs",'vInfo (Imported)'!$1:$5000,M2000,FALSE)</f>
        <v>0</v>
      </c>
      <c r="S2000">
        <f>HLOOKUP("Memory",'vInfo (Imported)'!$1:$5000,M2000,FALSE)</f>
        <v>0</v>
      </c>
      <c r="T2000">
        <f>HLOOKUP("Provisioned MiB",'vInfo (Imported)'!$1:$5000,M2000,FALSE)</f>
        <v>0</v>
      </c>
      <c r="U2000">
        <f t="shared" si="94"/>
        <v>0</v>
      </c>
      <c r="V2000">
        <f>HLOOKUP("In Use MiB",'vInfo (Imported)'!$1:$5000,M2000,FALSE)</f>
        <v>0</v>
      </c>
    </row>
    <row r="2001" spans="1:22" ht="13" x14ac:dyDescent="0.3">
      <c r="A2001" s="46">
        <f>'vHosts (Imported)'!A2001</f>
        <v>0</v>
      </c>
      <c r="B2001" s="51">
        <f t="shared" si="93"/>
        <v>4968</v>
      </c>
      <c r="C2001" s="49">
        <f>HLOOKUP("# Cores",'vHosts (Imported)'!$1:$5000,M2001,FALSE)</f>
        <v>0</v>
      </c>
      <c r="D2001" s="52">
        <f>HLOOKUP("# Memory",'vHosts (Imported)'!$1:$5000,M2001,FALSE)</f>
        <v>0</v>
      </c>
      <c r="M2001" s="45">
        <f t="shared" si="95"/>
        <v>2001</v>
      </c>
      <c r="N2001" s="38">
        <f>HLOOKUP("Host",'vInfo (Imported)'!$1:$5000,M2001,FALSE)</f>
        <v>0</v>
      </c>
      <c r="R2001">
        <f>HLOOKUP("CPUs",'vInfo (Imported)'!$1:$5000,M2001,FALSE)</f>
        <v>0</v>
      </c>
      <c r="S2001">
        <f>HLOOKUP("Memory",'vInfo (Imported)'!$1:$5000,M2001,FALSE)</f>
        <v>0</v>
      </c>
      <c r="T2001">
        <f>HLOOKUP("Provisioned MiB",'vInfo (Imported)'!$1:$5000,M2001,FALSE)</f>
        <v>0</v>
      </c>
      <c r="U2001">
        <f t="shared" si="94"/>
        <v>0</v>
      </c>
      <c r="V2001">
        <f>HLOOKUP("In Use MiB",'vInfo (Imported)'!$1:$5000,M2001,FALSE)</f>
        <v>0</v>
      </c>
    </row>
    <row r="2002" spans="1:22" ht="13" x14ac:dyDescent="0.3">
      <c r="A2002" s="46">
        <f>'vHosts (Imported)'!A2002</f>
        <v>0</v>
      </c>
      <c r="B2002" s="51">
        <f t="shared" si="93"/>
        <v>4968</v>
      </c>
      <c r="C2002" s="49">
        <f>HLOOKUP("# Cores",'vHosts (Imported)'!$1:$5000,M2002,FALSE)</f>
        <v>0</v>
      </c>
      <c r="D2002" s="52">
        <f>HLOOKUP("# Memory",'vHosts (Imported)'!$1:$5000,M2002,FALSE)</f>
        <v>0</v>
      </c>
      <c r="M2002" s="45">
        <f t="shared" si="95"/>
        <v>2002</v>
      </c>
      <c r="N2002" s="38">
        <f>HLOOKUP("Host",'vInfo (Imported)'!$1:$5000,M2002,FALSE)</f>
        <v>0</v>
      </c>
      <c r="R2002">
        <f>HLOOKUP("CPUs",'vInfo (Imported)'!$1:$5000,M2002,FALSE)</f>
        <v>0</v>
      </c>
      <c r="S2002">
        <f>HLOOKUP("Memory",'vInfo (Imported)'!$1:$5000,M2002,FALSE)</f>
        <v>0</v>
      </c>
      <c r="T2002">
        <f>HLOOKUP("Provisioned MiB",'vInfo (Imported)'!$1:$5000,M2002,FALSE)</f>
        <v>0</v>
      </c>
      <c r="U2002">
        <f t="shared" si="94"/>
        <v>0</v>
      </c>
      <c r="V2002">
        <f>HLOOKUP("In Use MiB",'vInfo (Imported)'!$1:$5000,M2002,FALSE)</f>
        <v>0</v>
      </c>
    </row>
    <row r="2003" spans="1:22" ht="13" x14ac:dyDescent="0.3">
      <c r="A2003" s="46">
        <f>'vHosts (Imported)'!A2003</f>
        <v>0</v>
      </c>
      <c r="B2003" s="51">
        <f t="shared" si="93"/>
        <v>4968</v>
      </c>
      <c r="C2003" s="49">
        <f>HLOOKUP("# Cores",'vHosts (Imported)'!$1:$5000,M2003,FALSE)</f>
        <v>0</v>
      </c>
      <c r="D2003" s="52">
        <f>HLOOKUP("# Memory",'vHosts (Imported)'!$1:$5000,M2003,FALSE)</f>
        <v>0</v>
      </c>
      <c r="M2003" s="45">
        <f t="shared" si="95"/>
        <v>2003</v>
      </c>
      <c r="N2003" s="38">
        <f>HLOOKUP("Host",'vInfo (Imported)'!$1:$5000,M2003,FALSE)</f>
        <v>0</v>
      </c>
      <c r="R2003">
        <f>HLOOKUP("CPUs",'vInfo (Imported)'!$1:$5000,M2003,FALSE)</f>
        <v>0</v>
      </c>
      <c r="S2003">
        <f>HLOOKUP("Memory",'vInfo (Imported)'!$1:$5000,M2003,FALSE)</f>
        <v>0</v>
      </c>
      <c r="T2003">
        <f>HLOOKUP("Provisioned MiB",'vInfo (Imported)'!$1:$5000,M2003,FALSE)</f>
        <v>0</v>
      </c>
      <c r="U2003">
        <f t="shared" si="94"/>
        <v>0</v>
      </c>
      <c r="V2003">
        <f>HLOOKUP("In Use MiB",'vInfo (Imported)'!$1:$5000,M2003,FALSE)</f>
        <v>0</v>
      </c>
    </row>
    <row r="2004" spans="1:22" ht="13" x14ac:dyDescent="0.3">
      <c r="A2004" s="46">
        <f>'vHosts (Imported)'!A2004</f>
        <v>0</v>
      </c>
      <c r="B2004" s="51">
        <f t="shared" si="93"/>
        <v>4968</v>
      </c>
      <c r="C2004" s="49">
        <f>HLOOKUP("# Cores",'vHosts (Imported)'!$1:$5000,M2004,FALSE)</f>
        <v>0</v>
      </c>
      <c r="D2004" s="52">
        <f>HLOOKUP("# Memory",'vHosts (Imported)'!$1:$5000,M2004,FALSE)</f>
        <v>0</v>
      </c>
      <c r="M2004" s="45">
        <f t="shared" si="95"/>
        <v>2004</v>
      </c>
      <c r="N2004" s="38">
        <f>HLOOKUP("Host",'vInfo (Imported)'!$1:$5000,M2004,FALSE)</f>
        <v>0</v>
      </c>
      <c r="R2004">
        <f>HLOOKUP("CPUs",'vInfo (Imported)'!$1:$5000,M2004,FALSE)</f>
        <v>0</v>
      </c>
      <c r="S2004">
        <f>HLOOKUP("Memory",'vInfo (Imported)'!$1:$5000,M2004,FALSE)</f>
        <v>0</v>
      </c>
      <c r="T2004">
        <f>HLOOKUP("Provisioned MiB",'vInfo (Imported)'!$1:$5000,M2004,FALSE)</f>
        <v>0</v>
      </c>
      <c r="U2004">
        <f t="shared" si="94"/>
        <v>0</v>
      </c>
      <c r="V2004">
        <f>HLOOKUP("In Use MiB",'vInfo (Imported)'!$1:$5000,M2004,FALSE)</f>
        <v>0</v>
      </c>
    </row>
    <row r="2005" spans="1:22" ht="13" x14ac:dyDescent="0.3">
      <c r="A2005" s="46">
        <f>'vHosts (Imported)'!A2005</f>
        <v>0</v>
      </c>
      <c r="B2005" s="51">
        <f t="shared" si="93"/>
        <v>4968</v>
      </c>
      <c r="C2005" s="49">
        <f>HLOOKUP("# Cores",'vHosts (Imported)'!$1:$5000,M2005,FALSE)</f>
        <v>0</v>
      </c>
      <c r="D2005" s="52">
        <f>HLOOKUP("# Memory",'vHosts (Imported)'!$1:$5000,M2005,FALSE)</f>
        <v>0</v>
      </c>
      <c r="M2005" s="45">
        <f t="shared" si="95"/>
        <v>2005</v>
      </c>
      <c r="N2005" s="38">
        <f>HLOOKUP("Host",'vInfo (Imported)'!$1:$5000,M2005,FALSE)</f>
        <v>0</v>
      </c>
      <c r="R2005">
        <f>HLOOKUP("CPUs",'vInfo (Imported)'!$1:$5000,M2005,FALSE)</f>
        <v>0</v>
      </c>
      <c r="S2005">
        <f>HLOOKUP("Memory",'vInfo (Imported)'!$1:$5000,M2005,FALSE)</f>
        <v>0</v>
      </c>
      <c r="T2005">
        <f>HLOOKUP("Provisioned MiB",'vInfo (Imported)'!$1:$5000,M2005,FALSE)</f>
        <v>0</v>
      </c>
      <c r="U2005">
        <f t="shared" si="94"/>
        <v>0</v>
      </c>
      <c r="V2005">
        <f>HLOOKUP("In Use MiB",'vInfo (Imported)'!$1:$5000,M2005,FALSE)</f>
        <v>0</v>
      </c>
    </row>
    <row r="2006" spans="1:22" ht="13" x14ac:dyDescent="0.3">
      <c r="A2006" s="46">
        <f>'vHosts (Imported)'!A2006</f>
        <v>0</v>
      </c>
      <c r="B2006" s="51">
        <f t="shared" si="93"/>
        <v>4968</v>
      </c>
      <c r="C2006" s="49">
        <f>HLOOKUP("# Cores",'vHosts (Imported)'!$1:$5000,M2006,FALSE)</f>
        <v>0</v>
      </c>
      <c r="D2006" s="52">
        <f>HLOOKUP("# Memory",'vHosts (Imported)'!$1:$5000,M2006,FALSE)</f>
        <v>0</v>
      </c>
      <c r="M2006" s="45">
        <f t="shared" si="95"/>
        <v>2006</v>
      </c>
      <c r="N2006" s="38">
        <f>HLOOKUP("Host",'vInfo (Imported)'!$1:$5000,M2006,FALSE)</f>
        <v>0</v>
      </c>
      <c r="R2006">
        <f>HLOOKUP("CPUs",'vInfo (Imported)'!$1:$5000,M2006,FALSE)</f>
        <v>0</v>
      </c>
      <c r="S2006">
        <f>HLOOKUP("Memory",'vInfo (Imported)'!$1:$5000,M2006,FALSE)</f>
        <v>0</v>
      </c>
      <c r="T2006">
        <f>HLOOKUP("Provisioned MiB",'vInfo (Imported)'!$1:$5000,M2006,FALSE)</f>
        <v>0</v>
      </c>
      <c r="U2006">
        <f t="shared" si="94"/>
        <v>0</v>
      </c>
      <c r="V2006">
        <f>HLOOKUP("In Use MiB",'vInfo (Imported)'!$1:$5000,M2006,FALSE)</f>
        <v>0</v>
      </c>
    </row>
    <row r="2007" spans="1:22" ht="13" x14ac:dyDescent="0.3">
      <c r="A2007" s="46">
        <f>'vHosts (Imported)'!A2007</f>
        <v>0</v>
      </c>
      <c r="B2007" s="51">
        <f t="shared" si="93"/>
        <v>4968</v>
      </c>
      <c r="C2007" s="49">
        <f>HLOOKUP("# Cores",'vHosts (Imported)'!$1:$5000,M2007,FALSE)</f>
        <v>0</v>
      </c>
      <c r="D2007" s="52">
        <f>HLOOKUP("# Memory",'vHosts (Imported)'!$1:$5000,M2007,FALSE)</f>
        <v>0</v>
      </c>
      <c r="M2007" s="45">
        <f t="shared" si="95"/>
        <v>2007</v>
      </c>
      <c r="N2007" s="38">
        <f>HLOOKUP("Host",'vInfo (Imported)'!$1:$5000,M2007,FALSE)</f>
        <v>0</v>
      </c>
      <c r="R2007">
        <f>HLOOKUP("CPUs",'vInfo (Imported)'!$1:$5000,M2007,FALSE)</f>
        <v>0</v>
      </c>
      <c r="S2007">
        <f>HLOOKUP("Memory",'vInfo (Imported)'!$1:$5000,M2007,FALSE)</f>
        <v>0</v>
      </c>
      <c r="T2007">
        <f>HLOOKUP("Provisioned MiB",'vInfo (Imported)'!$1:$5000,M2007,FALSE)</f>
        <v>0</v>
      </c>
      <c r="U2007">
        <f t="shared" si="94"/>
        <v>0</v>
      </c>
      <c r="V2007">
        <f>HLOOKUP("In Use MiB",'vInfo (Imported)'!$1:$5000,M2007,FALSE)</f>
        <v>0</v>
      </c>
    </row>
    <row r="2008" spans="1:22" ht="13" x14ac:dyDescent="0.3">
      <c r="A2008" s="46">
        <f>'vHosts (Imported)'!A2008</f>
        <v>0</v>
      </c>
      <c r="B2008" s="51">
        <f t="shared" si="93"/>
        <v>4968</v>
      </c>
      <c r="C2008" s="49">
        <f>HLOOKUP("# Cores",'vHosts (Imported)'!$1:$5000,M2008,FALSE)</f>
        <v>0</v>
      </c>
      <c r="D2008" s="52">
        <f>HLOOKUP("# Memory",'vHosts (Imported)'!$1:$5000,M2008,FALSE)</f>
        <v>0</v>
      </c>
      <c r="M2008" s="45">
        <f t="shared" si="95"/>
        <v>2008</v>
      </c>
      <c r="N2008" s="38">
        <f>HLOOKUP("Host",'vInfo (Imported)'!$1:$5000,M2008,FALSE)</f>
        <v>0</v>
      </c>
      <c r="R2008">
        <f>HLOOKUP("CPUs",'vInfo (Imported)'!$1:$5000,M2008,FALSE)</f>
        <v>0</v>
      </c>
      <c r="S2008">
        <f>HLOOKUP("Memory",'vInfo (Imported)'!$1:$5000,M2008,FALSE)</f>
        <v>0</v>
      </c>
      <c r="T2008">
        <f>HLOOKUP("Provisioned MiB",'vInfo (Imported)'!$1:$5000,M2008,FALSE)</f>
        <v>0</v>
      </c>
      <c r="U2008">
        <f t="shared" si="94"/>
        <v>0</v>
      </c>
      <c r="V2008">
        <f>HLOOKUP("In Use MiB",'vInfo (Imported)'!$1:$5000,M2008,FALSE)</f>
        <v>0</v>
      </c>
    </row>
    <row r="2009" spans="1:22" ht="13" x14ac:dyDescent="0.3">
      <c r="A2009" s="46">
        <f>'vHosts (Imported)'!A2009</f>
        <v>0</v>
      </c>
      <c r="B2009" s="51">
        <f t="shared" si="93"/>
        <v>4968</v>
      </c>
      <c r="C2009" s="49">
        <f>HLOOKUP("# Cores",'vHosts (Imported)'!$1:$5000,M2009,FALSE)</f>
        <v>0</v>
      </c>
      <c r="D2009" s="52">
        <f>HLOOKUP("# Memory",'vHosts (Imported)'!$1:$5000,M2009,FALSE)</f>
        <v>0</v>
      </c>
      <c r="M2009" s="45">
        <f t="shared" si="95"/>
        <v>2009</v>
      </c>
      <c r="N2009" s="38">
        <f>HLOOKUP("Host",'vInfo (Imported)'!$1:$5000,M2009,FALSE)</f>
        <v>0</v>
      </c>
      <c r="R2009">
        <f>HLOOKUP("CPUs",'vInfo (Imported)'!$1:$5000,M2009,FALSE)</f>
        <v>0</v>
      </c>
      <c r="S2009">
        <f>HLOOKUP("Memory",'vInfo (Imported)'!$1:$5000,M2009,FALSE)</f>
        <v>0</v>
      </c>
      <c r="T2009">
        <f>HLOOKUP("Provisioned MiB",'vInfo (Imported)'!$1:$5000,M2009,FALSE)</f>
        <v>0</v>
      </c>
      <c r="U2009">
        <f t="shared" si="94"/>
        <v>0</v>
      </c>
      <c r="V2009">
        <f>HLOOKUP("In Use MiB",'vInfo (Imported)'!$1:$5000,M2009,FALSE)</f>
        <v>0</v>
      </c>
    </row>
    <row r="2010" spans="1:22" ht="13" x14ac:dyDescent="0.3">
      <c r="A2010" s="46">
        <f>'vHosts (Imported)'!A2010</f>
        <v>0</v>
      </c>
      <c r="B2010" s="51">
        <f t="shared" si="93"/>
        <v>4968</v>
      </c>
      <c r="C2010" s="49">
        <f>HLOOKUP("# Cores",'vHosts (Imported)'!$1:$5000,M2010,FALSE)</f>
        <v>0</v>
      </c>
      <c r="D2010" s="52">
        <f>HLOOKUP("# Memory",'vHosts (Imported)'!$1:$5000,M2010,FALSE)</f>
        <v>0</v>
      </c>
      <c r="M2010" s="45">
        <f t="shared" si="95"/>
        <v>2010</v>
      </c>
      <c r="N2010" s="38">
        <f>HLOOKUP("Host",'vInfo (Imported)'!$1:$5000,M2010,FALSE)</f>
        <v>0</v>
      </c>
      <c r="R2010">
        <f>HLOOKUP("CPUs",'vInfo (Imported)'!$1:$5000,M2010,FALSE)</f>
        <v>0</v>
      </c>
      <c r="S2010">
        <f>HLOOKUP("Memory",'vInfo (Imported)'!$1:$5000,M2010,FALSE)</f>
        <v>0</v>
      </c>
      <c r="T2010">
        <f>HLOOKUP("Provisioned MiB",'vInfo (Imported)'!$1:$5000,M2010,FALSE)</f>
        <v>0</v>
      </c>
      <c r="U2010">
        <f t="shared" si="94"/>
        <v>0</v>
      </c>
      <c r="V2010">
        <f>HLOOKUP("In Use MiB",'vInfo (Imported)'!$1:$5000,M2010,FALSE)</f>
        <v>0</v>
      </c>
    </row>
    <row r="2011" spans="1:22" ht="13" x14ac:dyDescent="0.3">
      <c r="A2011" s="46">
        <f>'vHosts (Imported)'!A2011</f>
        <v>0</v>
      </c>
      <c r="B2011" s="51">
        <f t="shared" si="93"/>
        <v>4968</v>
      </c>
      <c r="C2011" s="49">
        <f>HLOOKUP("# Cores",'vHosts (Imported)'!$1:$5000,M2011,FALSE)</f>
        <v>0</v>
      </c>
      <c r="D2011" s="52">
        <f>HLOOKUP("# Memory",'vHosts (Imported)'!$1:$5000,M2011,FALSE)</f>
        <v>0</v>
      </c>
      <c r="M2011" s="45">
        <f t="shared" si="95"/>
        <v>2011</v>
      </c>
      <c r="N2011" s="38">
        <f>HLOOKUP("Host",'vInfo (Imported)'!$1:$5000,M2011,FALSE)</f>
        <v>0</v>
      </c>
      <c r="R2011">
        <f>HLOOKUP("CPUs",'vInfo (Imported)'!$1:$5000,M2011,FALSE)</f>
        <v>0</v>
      </c>
      <c r="S2011">
        <f>HLOOKUP("Memory",'vInfo (Imported)'!$1:$5000,M2011,FALSE)</f>
        <v>0</v>
      </c>
      <c r="T2011">
        <f>HLOOKUP("Provisioned MiB",'vInfo (Imported)'!$1:$5000,M2011,FALSE)</f>
        <v>0</v>
      </c>
      <c r="U2011">
        <f t="shared" si="94"/>
        <v>0</v>
      </c>
      <c r="V2011">
        <f>HLOOKUP("In Use MiB",'vInfo (Imported)'!$1:$5000,M2011,FALSE)</f>
        <v>0</v>
      </c>
    </row>
    <row r="2012" spans="1:22" ht="13" x14ac:dyDescent="0.3">
      <c r="A2012" s="46">
        <f>'vHosts (Imported)'!A2012</f>
        <v>0</v>
      </c>
      <c r="B2012" s="51">
        <f t="shared" si="93"/>
        <v>4968</v>
      </c>
      <c r="C2012" s="49">
        <f>HLOOKUP("# Cores",'vHosts (Imported)'!$1:$5000,M2012,FALSE)</f>
        <v>0</v>
      </c>
      <c r="D2012" s="52">
        <f>HLOOKUP("# Memory",'vHosts (Imported)'!$1:$5000,M2012,FALSE)</f>
        <v>0</v>
      </c>
      <c r="M2012" s="45">
        <f t="shared" si="95"/>
        <v>2012</v>
      </c>
      <c r="N2012" s="38">
        <f>HLOOKUP("Host",'vInfo (Imported)'!$1:$5000,M2012,FALSE)</f>
        <v>0</v>
      </c>
      <c r="R2012">
        <f>HLOOKUP("CPUs",'vInfo (Imported)'!$1:$5000,M2012,FALSE)</f>
        <v>0</v>
      </c>
      <c r="S2012">
        <f>HLOOKUP("Memory",'vInfo (Imported)'!$1:$5000,M2012,FALSE)</f>
        <v>0</v>
      </c>
      <c r="T2012">
        <f>HLOOKUP("Provisioned MiB",'vInfo (Imported)'!$1:$5000,M2012,FALSE)</f>
        <v>0</v>
      </c>
      <c r="U2012">
        <f t="shared" si="94"/>
        <v>0</v>
      </c>
      <c r="V2012">
        <f>HLOOKUP("In Use MiB",'vInfo (Imported)'!$1:$5000,M2012,FALSE)</f>
        <v>0</v>
      </c>
    </row>
    <row r="2013" spans="1:22" ht="13" x14ac:dyDescent="0.3">
      <c r="A2013" s="46">
        <f>'vHosts (Imported)'!A2013</f>
        <v>0</v>
      </c>
      <c r="B2013" s="51">
        <f t="shared" si="93"/>
        <v>4968</v>
      </c>
      <c r="C2013" s="49">
        <f>HLOOKUP("# Cores",'vHosts (Imported)'!$1:$5000,M2013,FALSE)</f>
        <v>0</v>
      </c>
      <c r="D2013" s="52">
        <f>HLOOKUP("# Memory",'vHosts (Imported)'!$1:$5000,M2013,FALSE)</f>
        <v>0</v>
      </c>
      <c r="M2013" s="45">
        <f t="shared" si="95"/>
        <v>2013</v>
      </c>
      <c r="N2013" s="38">
        <f>HLOOKUP("Host",'vInfo (Imported)'!$1:$5000,M2013,FALSE)</f>
        <v>0</v>
      </c>
      <c r="R2013">
        <f>HLOOKUP("CPUs",'vInfo (Imported)'!$1:$5000,M2013,FALSE)</f>
        <v>0</v>
      </c>
      <c r="S2013">
        <f>HLOOKUP("Memory",'vInfo (Imported)'!$1:$5000,M2013,FALSE)</f>
        <v>0</v>
      </c>
      <c r="T2013">
        <f>HLOOKUP("Provisioned MiB",'vInfo (Imported)'!$1:$5000,M2013,FALSE)</f>
        <v>0</v>
      </c>
      <c r="U2013">
        <f t="shared" si="94"/>
        <v>0</v>
      </c>
      <c r="V2013">
        <f>HLOOKUP("In Use MiB",'vInfo (Imported)'!$1:$5000,M2013,FALSE)</f>
        <v>0</v>
      </c>
    </row>
    <row r="2014" spans="1:22" ht="13" x14ac:dyDescent="0.3">
      <c r="A2014" s="46">
        <f>'vHosts (Imported)'!A2014</f>
        <v>0</v>
      </c>
      <c r="B2014" s="51">
        <f t="shared" si="93"/>
        <v>4968</v>
      </c>
      <c r="C2014" s="49">
        <f>HLOOKUP("# Cores",'vHosts (Imported)'!$1:$5000,M2014,FALSE)</f>
        <v>0</v>
      </c>
      <c r="D2014" s="52">
        <f>HLOOKUP("# Memory",'vHosts (Imported)'!$1:$5000,M2014,FALSE)</f>
        <v>0</v>
      </c>
      <c r="M2014" s="45">
        <f t="shared" si="95"/>
        <v>2014</v>
      </c>
      <c r="N2014" s="38">
        <f>HLOOKUP("Host",'vInfo (Imported)'!$1:$5000,M2014,FALSE)</f>
        <v>0</v>
      </c>
      <c r="R2014">
        <f>HLOOKUP("CPUs",'vInfo (Imported)'!$1:$5000,M2014,FALSE)</f>
        <v>0</v>
      </c>
      <c r="S2014">
        <f>HLOOKUP("Memory",'vInfo (Imported)'!$1:$5000,M2014,FALSE)</f>
        <v>0</v>
      </c>
      <c r="T2014">
        <f>HLOOKUP("Provisioned MiB",'vInfo (Imported)'!$1:$5000,M2014,FALSE)</f>
        <v>0</v>
      </c>
      <c r="U2014">
        <f t="shared" si="94"/>
        <v>0</v>
      </c>
      <c r="V2014">
        <f>HLOOKUP("In Use MiB",'vInfo (Imported)'!$1:$5000,M2014,FALSE)</f>
        <v>0</v>
      </c>
    </row>
    <row r="2015" spans="1:22" ht="13" x14ac:dyDescent="0.3">
      <c r="A2015" s="46">
        <f>'vHosts (Imported)'!A2015</f>
        <v>0</v>
      </c>
      <c r="B2015" s="51">
        <f t="shared" si="93"/>
        <v>4968</v>
      </c>
      <c r="C2015" s="49">
        <f>HLOOKUP("# Cores",'vHosts (Imported)'!$1:$5000,M2015,FALSE)</f>
        <v>0</v>
      </c>
      <c r="D2015" s="52">
        <f>HLOOKUP("# Memory",'vHosts (Imported)'!$1:$5000,M2015,FALSE)</f>
        <v>0</v>
      </c>
      <c r="M2015" s="45">
        <f t="shared" si="95"/>
        <v>2015</v>
      </c>
      <c r="N2015" s="38">
        <f>HLOOKUP("Host",'vInfo (Imported)'!$1:$5000,M2015,FALSE)</f>
        <v>0</v>
      </c>
      <c r="R2015">
        <f>HLOOKUP("CPUs",'vInfo (Imported)'!$1:$5000,M2015,FALSE)</f>
        <v>0</v>
      </c>
      <c r="S2015">
        <f>HLOOKUP("Memory",'vInfo (Imported)'!$1:$5000,M2015,FALSE)</f>
        <v>0</v>
      </c>
      <c r="T2015">
        <f>HLOOKUP("Provisioned MiB",'vInfo (Imported)'!$1:$5000,M2015,FALSE)</f>
        <v>0</v>
      </c>
      <c r="U2015">
        <f t="shared" si="94"/>
        <v>0</v>
      </c>
      <c r="V2015">
        <f>HLOOKUP("In Use MiB",'vInfo (Imported)'!$1:$5000,M2015,FALSE)</f>
        <v>0</v>
      </c>
    </row>
    <row r="2016" spans="1:22" ht="13" x14ac:dyDescent="0.3">
      <c r="A2016" s="46">
        <f>'vHosts (Imported)'!A2016</f>
        <v>0</v>
      </c>
      <c r="B2016" s="51">
        <f t="shared" si="93"/>
        <v>4968</v>
      </c>
      <c r="C2016" s="49">
        <f>HLOOKUP("# Cores",'vHosts (Imported)'!$1:$5000,M2016,FALSE)</f>
        <v>0</v>
      </c>
      <c r="D2016" s="52">
        <f>HLOOKUP("# Memory",'vHosts (Imported)'!$1:$5000,M2016,FALSE)</f>
        <v>0</v>
      </c>
      <c r="M2016" s="45">
        <f t="shared" si="95"/>
        <v>2016</v>
      </c>
      <c r="N2016" s="38">
        <f>HLOOKUP("Host",'vInfo (Imported)'!$1:$5000,M2016,FALSE)</f>
        <v>0</v>
      </c>
      <c r="R2016">
        <f>HLOOKUP("CPUs",'vInfo (Imported)'!$1:$5000,M2016,FALSE)</f>
        <v>0</v>
      </c>
      <c r="S2016">
        <f>HLOOKUP("Memory",'vInfo (Imported)'!$1:$5000,M2016,FALSE)</f>
        <v>0</v>
      </c>
      <c r="T2016">
        <f>HLOOKUP("Provisioned MiB",'vInfo (Imported)'!$1:$5000,M2016,FALSE)</f>
        <v>0</v>
      </c>
      <c r="U2016">
        <f t="shared" si="94"/>
        <v>0</v>
      </c>
      <c r="V2016">
        <f>HLOOKUP("In Use MiB",'vInfo (Imported)'!$1:$5000,M2016,FALSE)</f>
        <v>0</v>
      </c>
    </row>
    <row r="2017" spans="1:22" ht="13" x14ac:dyDescent="0.3">
      <c r="A2017" s="46">
        <f>'vHosts (Imported)'!A2017</f>
        <v>0</v>
      </c>
      <c r="B2017" s="51">
        <f t="shared" si="93"/>
        <v>4968</v>
      </c>
      <c r="C2017" s="49">
        <f>HLOOKUP("# Cores",'vHosts (Imported)'!$1:$5000,M2017,FALSE)</f>
        <v>0</v>
      </c>
      <c r="D2017" s="52">
        <f>HLOOKUP("# Memory",'vHosts (Imported)'!$1:$5000,M2017,FALSE)</f>
        <v>0</v>
      </c>
      <c r="M2017" s="45">
        <f t="shared" si="95"/>
        <v>2017</v>
      </c>
      <c r="N2017" s="38">
        <f>HLOOKUP("Host",'vInfo (Imported)'!$1:$5000,M2017,FALSE)</f>
        <v>0</v>
      </c>
      <c r="R2017">
        <f>HLOOKUP("CPUs",'vInfo (Imported)'!$1:$5000,M2017,FALSE)</f>
        <v>0</v>
      </c>
      <c r="S2017">
        <f>HLOOKUP("Memory",'vInfo (Imported)'!$1:$5000,M2017,FALSE)</f>
        <v>0</v>
      </c>
      <c r="T2017">
        <f>HLOOKUP("Provisioned MiB",'vInfo (Imported)'!$1:$5000,M2017,FALSE)</f>
        <v>0</v>
      </c>
      <c r="U2017">
        <f t="shared" si="94"/>
        <v>0</v>
      </c>
      <c r="V2017">
        <f>HLOOKUP("In Use MiB",'vInfo (Imported)'!$1:$5000,M2017,FALSE)</f>
        <v>0</v>
      </c>
    </row>
    <row r="2018" spans="1:22" ht="13" x14ac:dyDescent="0.3">
      <c r="A2018" s="46">
        <f>'vHosts (Imported)'!A2018</f>
        <v>0</v>
      </c>
      <c r="B2018" s="51">
        <f t="shared" si="93"/>
        <v>4968</v>
      </c>
      <c r="C2018" s="49">
        <f>HLOOKUP("# Cores",'vHosts (Imported)'!$1:$5000,M2018,FALSE)</f>
        <v>0</v>
      </c>
      <c r="D2018" s="52">
        <f>HLOOKUP("# Memory",'vHosts (Imported)'!$1:$5000,M2018,FALSE)</f>
        <v>0</v>
      </c>
      <c r="M2018" s="45">
        <f t="shared" si="95"/>
        <v>2018</v>
      </c>
      <c r="N2018" s="38">
        <f>HLOOKUP("Host",'vInfo (Imported)'!$1:$5000,M2018,FALSE)</f>
        <v>0</v>
      </c>
      <c r="R2018">
        <f>HLOOKUP("CPUs",'vInfo (Imported)'!$1:$5000,M2018,FALSE)</f>
        <v>0</v>
      </c>
      <c r="S2018">
        <f>HLOOKUP("Memory",'vInfo (Imported)'!$1:$5000,M2018,FALSE)</f>
        <v>0</v>
      </c>
      <c r="T2018">
        <f>HLOOKUP("Provisioned MiB",'vInfo (Imported)'!$1:$5000,M2018,FALSE)</f>
        <v>0</v>
      </c>
      <c r="U2018">
        <f t="shared" si="94"/>
        <v>0</v>
      </c>
      <c r="V2018">
        <f>HLOOKUP("In Use MiB",'vInfo (Imported)'!$1:$5000,M2018,FALSE)</f>
        <v>0</v>
      </c>
    </row>
    <row r="2019" spans="1:22" ht="13" x14ac:dyDescent="0.3">
      <c r="A2019" s="46">
        <f>'vHosts (Imported)'!A2019</f>
        <v>0</v>
      </c>
      <c r="B2019" s="51">
        <f t="shared" si="93"/>
        <v>4968</v>
      </c>
      <c r="C2019" s="49">
        <f>HLOOKUP("# Cores",'vHosts (Imported)'!$1:$5000,M2019,FALSE)</f>
        <v>0</v>
      </c>
      <c r="D2019" s="52">
        <f>HLOOKUP("# Memory",'vHosts (Imported)'!$1:$5000,M2019,FALSE)</f>
        <v>0</v>
      </c>
      <c r="M2019" s="45">
        <f t="shared" si="95"/>
        <v>2019</v>
      </c>
      <c r="N2019" s="38">
        <f>HLOOKUP("Host",'vInfo (Imported)'!$1:$5000,M2019,FALSE)</f>
        <v>0</v>
      </c>
      <c r="R2019">
        <f>HLOOKUP("CPUs",'vInfo (Imported)'!$1:$5000,M2019,FALSE)</f>
        <v>0</v>
      </c>
      <c r="S2019">
        <f>HLOOKUP("Memory",'vInfo (Imported)'!$1:$5000,M2019,FALSE)</f>
        <v>0</v>
      </c>
      <c r="T2019">
        <f>HLOOKUP("Provisioned MiB",'vInfo (Imported)'!$1:$5000,M2019,FALSE)</f>
        <v>0</v>
      </c>
      <c r="U2019">
        <f t="shared" si="94"/>
        <v>0</v>
      </c>
      <c r="V2019">
        <f>HLOOKUP("In Use MiB",'vInfo (Imported)'!$1:$5000,M2019,FALSE)</f>
        <v>0</v>
      </c>
    </row>
    <row r="2020" spans="1:22" ht="13" x14ac:dyDescent="0.3">
      <c r="A2020" s="46">
        <f>'vHosts (Imported)'!A2020</f>
        <v>0</v>
      </c>
      <c r="B2020" s="51">
        <f t="shared" si="93"/>
        <v>4968</v>
      </c>
      <c r="C2020" s="49">
        <f>HLOOKUP("# Cores",'vHosts (Imported)'!$1:$5000,M2020,FALSE)</f>
        <v>0</v>
      </c>
      <c r="D2020" s="52">
        <f>HLOOKUP("# Memory",'vHosts (Imported)'!$1:$5000,M2020,FALSE)</f>
        <v>0</v>
      </c>
      <c r="M2020" s="45">
        <f t="shared" si="95"/>
        <v>2020</v>
      </c>
      <c r="N2020" s="38">
        <f>HLOOKUP("Host",'vInfo (Imported)'!$1:$5000,M2020,FALSE)</f>
        <v>0</v>
      </c>
      <c r="R2020">
        <f>HLOOKUP("CPUs",'vInfo (Imported)'!$1:$5000,M2020,FALSE)</f>
        <v>0</v>
      </c>
      <c r="S2020">
        <f>HLOOKUP("Memory",'vInfo (Imported)'!$1:$5000,M2020,FALSE)</f>
        <v>0</v>
      </c>
      <c r="T2020">
        <f>HLOOKUP("Provisioned MiB",'vInfo (Imported)'!$1:$5000,M2020,FALSE)</f>
        <v>0</v>
      </c>
      <c r="U2020">
        <f t="shared" si="94"/>
        <v>0</v>
      </c>
      <c r="V2020">
        <f>HLOOKUP("In Use MiB",'vInfo (Imported)'!$1:$5000,M2020,FALSE)</f>
        <v>0</v>
      </c>
    </row>
    <row r="2021" spans="1:22" ht="13" x14ac:dyDescent="0.3">
      <c r="A2021" s="46">
        <f>'vHosts (Imported)'!A2021</f>
        <v>0</v>
      </c>
      <c r="B2021" s="51">
        <f t="shared" si="93"/>
        <v>4968</v>
      </c>
      <c r="C2021" s="49">
        <f>HLOOKUP("# Cores",'vHosts (Imported)'!$1:$5000,M2021,FALSE)</f>
        <v>0</v>
      </c>
      <c r="D2021" s="52">
        <f>HLOOKUP("# Memory",'vHosts (Imported)'!$1:$5000,M2021,FALSE)</f>
        <v>0</v>
      </c>
      <c r="M2021" s="45">
        <f t="shared" si="95"/>
        <v>2021</v>
      </c>
      <c r="N2021" s="38">
        <f>HLOOKUP("Host",'vInfo (Imported)'!$1:$5000,M2021,FALSE)</f>
        <v>0</v>
      </c>
      <c r="R2021">
        <f>HLOOKUP("CPUs",'vInfo (Imported)'!$1:$5000,M2021,FALSE)</f>
        <v>0</v>
      </c>
      <c r="S2021">
        <f>HLOOKUP("Memory",'vInfo (Imported)'!$1:$5000,M2021,FALSE)</f>
        <v>0</v>
      </c>
      <c r="T2021">
        <f>HLOOKUP("Provisioned MiB",'vInfo (Imported)'!$1:$5000,M2021,FALSE)</f>
        <v>0</v>
      </c>
      <c r="U2021">
        <f t="shared" si="94"/>
        <v>0</v>
      </c>
      <c r="V2021">
        <f>HLOOKUP("In Use MiB",'vInfo (Imported)'!$1:$5000,M2021,FALSE)</f>
        <v>0</v>
      </c>
    </row>
    <row r="2022" spans="1:22" ht="13" x14ac:dyDescent="0.3">
      <c r="A2022" s="46">
        <f>'vHosts (Imported)'!A2022</f>
        <v>0</v>
      </c>
      <c r="B2022" s="51">
        <f t="shared" si="93"/>
        <v>4968</v>
      </c>
      <c r="C2022" s="49">
        <f>HLOOKUP("# Cores",'vHosts (Imported)'!$1:$5000,M2022,FALSE)</f>
        <v>0</v>
      </c>
      <c r="D2022" s="52">
        <f>HLOOKUP("# Memory",'vHosts (Imported)'!$1:$5000,M2022,FALSE)</f>
        <v>0</v>
      </c>
      <c r="M2022" s="45">
        <f t="shared" si="95"/>
        <v>2022</v>
      </c>
      <c r="N2022" s="38">
        <f>HLOOKUP("Host",'vInfo (Imported)'!$1:$5000,M2022,FALSE)</f>
        <v>0</v>
      </c>
      <c r="R2022">
        <f>HLOOKUP("CPUs",'vInfo (Imported)'!$1:$5000,M2022,FALSE)</f>
        <v>0</v>
      </c>
      <c r="S2022">
        <f>HLOOKUP("Memory",'vInfo (Imported)'!$1:$5000,M2022,FALSE)</f>
        <v>0</v>
      </c>
      <c r="T2022">
        <f>HLOOKUP("Provisioned MiB",'vInfo (Imported)'!$1:$5000,M2022,FALSE)</f>
        <v>0</v>
      </c>
      <c r="U2022">
        <f t="shared" si="94"/>
        <v>0</v>
      </c>
      <c r="V2022">
        <f>HLOOKUP("In Use MiB",'vInfo (Imported)'!$1:$5000,M2022,FALSE)</f>
        <v>0</v>
      </c>
    </row>
    <row r="2023" spans="1:22" ht="13" x14ac:dyDescent="0.3">
      <c r="A2023" s="46">
        <f>'vHosts (Imported)'!A2023</f>
        <v>0</v>
      </c>
      <c r="B2023" s="51">
        <f t="shared" si="93"/>
        <v>4968</v>
      </c>
      <c r="C2023" s="49">
        <f>HLOOKUP("# Cores",'vHosts (Imported)'!$1:$5000,M2023,FALSE)</f>
        <v>0</v>
      </c>
      <c r="D2023" s="52">
        <f>HLOOKUP("# Memory",'vHosts (Imported)'!$1:$5000,M2023,FALSE)</f>
        <v>0</v>
      </c>
      <c r="M2023" s="45">
        <f t="shared" si="95"/>
        <v>2023</v>
      </c>
      <c r="N2023" s="38">
        <f>HLOOKUP("Host",'vInfo (Imported)'!$1:$5000,M2023,FALSE)</f>
        <v>0</v>
      </c>
      <c r="R2023">
        <f>HLOOKUP("CPUs",'vInfo (Imported)'!$1:$5000,M2023,FALSE)</f>
        <v>0</v>
      </c>
      <c r="S2023">
        <f>HLOOKUP("Memory",'vInfo (Imported)'!$1:$5000,M2023,FALSE)</f>
        <v>0</v>
      </c>
      <c r="T2023">
        <f>HLOOKUP("Provisioned MiB",'vInfo (Imported)'!$1:$5000,M2023,FALSE)</f>
        <v>0</v>
      </c>
      <c r="U2023">
        <f t="shared" si="94"/>
        <v>0</v>
      </c>
      <c r="V2023">
        <f>HLOOKUP("In Use MiB",'vInfo (Imported)'!$1:$5000,M2023,FALSE)</f>
        <v>0</v>
      </c>
    </row>
    <row r="2024" spans="1:22" ht="13" x14ac:dyDescent="0.3">
      <c r="A2024" s="46">
        <f>'vHosts (Imported)'!A2024</f>
        <v>0</v>
      </c>
      <c r="B2024" s="51">
        <f t="shared" ref="B2024:B2087" si="96">COUNTIF(N:N,A2024)</f>
        <v>4968</v>
      </c>
      <c r="C2024" s="49">
        <f>HLOOKUP("# Cores",'vHosts (Imported)'!$1:$5000,M2024,FALSE)</f>
        <v>0</v>
      </c>
      <c r="D2024" s="52">
        <f>HLOOKUP("# Memory",'vHosts (Imported)'!$1:$5000,M2024,FALSE)</f>
        <v>0</v>
      </c>
      <c r="M2024" s="45">
        <f t="shared" si="95"/>
        <v>2024</v>
      </c>
      <c r="N2024" s="38">
        <f>HLOOKUP("Host",'vInfo (Imported)'!$1:$5000,M2024,FALSE)</f>
        <v>0</v>
      </c>
      <c r="R2024">
        <f>HLOOKUP("CPUs",'vInfo (Imported)'!$1:$5000,M2024,FALSE)</f>
        <v>0</v>
      </c>
      <c r="S2024">
        <f>HLOOKUP("Memory",'vInfo (Imported)'!$1:$5000,M2024,FALSE)</f>
        <v>0</v>
      </c>
      <c r="T2024">
        <f>HLOOKUP("Provisioned MiB",'vInfo (Imported)'!$1:$5000,M2024,FALSE)</f>
        <v>0</v>
      </c>
      <c r="U2024">
        <f t="shared" si="94"/>
        <v>0</v>
      </c>
      <c r="V2024">
        <f>HLOOKUP("In Use MiB",'vInfo (Imported)'!$1:$5000,M2024,FALSE)</f>
        <v>0</v>
      </c>
    </row>
    <row r="2025" spans="1:22" ht="13" x14ac:dyDescent="0.3">
      <c r="A2025" s="46">
        <f>'vHosts (Imported)'!A2025</f>
        <v>0</v>
      </c>
      <c r="B2025" s="51">
        <f t="shared" si="96"/>
        <v>4968</v>
      </c>
      <c r="C2025" s="49">
        <f>HLOOKUP("# Cores",'vHosts (Imported)'!$1:$5000,M2025,FALSE)</f>
        <v>0</v>
      </c>
      <c r="D2025" s="52">
        <f>HLOOKUP("# Memory",'vHosts (Imported)'!$1:$5000,M2025,FALSE)</f>
        <v>0</v>
      </c>
      <c r="M2025" s="45">
        <f t="shared" si="95"/>
        <v>2025</v>
      </c>
      <c r="N2025" s="38">
        <f>HLOOKUP("Host",'vInfo (Imported)'!$1:$5000,M2025,FALSE)</f>
        <v>0</v>
      </c>
      <c r="R2025">
        <f>HLOOKUP("CPUs",'vInfo (Imported)'!$1:$5000,M2025,FALSE)</f>
        <v>0</v>
      </c>
      <c r="S2025">
        <f>HLOOKUP("Memory",'vInfo (Imported)'!$1:$5000,M2025,FALSE)</f>
        <v>0</v>
      </c>
      <c r="T2025">
        <f>HLOOKUP("Provisioned MiB",'vInfo (Imported)'!$1:$5000,M2025,FALSE)</f>
        <v>0</v>
      </c>
      <c r="U2025">
        <f t="shared" si="94"/>
        <v>0</v>
      </c>
      <c r="V2025">
        <f>HLOOKUP("In Use MiB",'vInfo (Imported)'!$1:$5000,M2025,FALSE)</f>
        <v>0</v>
      </c>
    </row>
    <row r="2026" spans="1:22" ht="13" x14ac:dyDescent="0.3">
      <c r="A2026" s="46">
        <f>'vHosts (Imported)'!A2026</f>
        <v>0</v>
      </c>
      <c r="B2026" s="51">
        <f t="shared" si="96"/>
        <v>4968</v>
      </c>
      <c r="C2026" s="49">
        <f>HLOOKUP("# Cores",'vHosts (Imported)'!$1:$5000,M2026,FALSE)</f>
        <v>0</v>
      </c>
      <c r="D2026" s="52">
        <f>HLOOKUP("# Memory",'vHosts (Imported)'!$1:$5000,M2026,FALSE)</f>
        <v>0</v>
      </c>
      <c r="M2026" s="45">
        <f t="shared" si="95"/>
        <v>2026</v>
      </c>
      <c r="N2026" s="38">
        <f>HLOOKUP("Host",'vInfo (Imported)'!$1:$5000,M2026,FALSE)</f>
        <v>0</v>
      </c>
      <c r="R2026">
        <f>HLOOKUP("CPUs",'vInfo (Imported)'!$1:$5000,M2026,FALSE)</f>
        <v>0</v>
      </c>
      <c r="S2026">
        <f>HLOOKUP("Memory",'vInfo (Imported)'!$1:$5000,M2026,FALSE)</f>
        <v>0</v>
      </c>
      <c r="T2026">
        <f>HLOOKUP("Provisioned MiB",'vInfo (Imported)'!$1:$5000,M2026,FALSE)</f>
        <v>0</v>
      </c>
      <c r="U2026">
        <f t="shared" si="94"/>
        <v>0</v>
      </c>
      <c r="V2026">
        <f>HLOOKUP("In Use MiB",'vInfo (Imported)'!$1:$5000,M2026,FALSE)</f>
        <v>0</v>
      </c>
    </row>
    <row r="2027" spans="1:22" ht="13" x14ac:dyDescent="0.3">
      <c r="A2027" s="46">
        <f>'vHosts (Imported)'!A2027</f>
        <v>0</v>
      </c>
      <c r="B2027" s="51">
        <f t="shared" si="96"/>
        <v>4968</v>
      </c>
      <c r="C2027" s="49">
        <f>HLOOKUP("# Cores",'vHosts (Imported)'!$1:$5000,M2027,FALSE)</f>
        <v>0</v>
      </c>
      <c r="D2027" s="52">
        <f>HLOOKUP("# Memory",'vHosts (Imported)'!$1:$5000,M2027,FALSE)</f>
        <v>0</v>
      </c>
      <c r="M2027" s="45">
        <f t="shared" si="95"/>
        <v>2027</v>
      </c>
      <c r="N2027" s="38">
        <f>HLOOKUP("Host",'vInfo (Imported)'!$1:$5000,M2027,FALSE)</f>
        <v>0</v>
      </c>
      <c r="R2027">
        <f>HLOOKUP("CPUs",'vInfo (Imported)'!$1:$5000,M2027,FALSE)</f>
        <v>0</v>
      </c>
      <c r="S2027">
        <f>HLOOKUP("Memory",'vInfo (Imported)'!$1:$5000,M2027,FALSE)</f>
        <v>0</v>
      </c>
      <c r="T2027">
        <f>HLOOKUP("Provisioned MiB",'vInfo (Imported)'!$1:$5000,M2027,FALSE)</f>
        <v>0</v>
      </c>
      <c r="U2027">
        <f t="shared" si="94"/>
        <v>0</v>
      </c>
      <c r="V2027">
        <f>HLOOKUP("In Use MiB",'vInfo (Imported)'!$1:$5000,M2027,FALSE)</f>
        <v>0</v>
      </c>
    </row>
    <row r="2028" spans="1:22" ht="13" x14ac:dyDescent="0.3">
      <c r="A2028" s="46">
        <f>'vHosts (Imported)'!A2028</f>
        <v>0</v>
      </c>
      <c r="B2028" s="51">
        <f t="shared" si="96"/>
        <v>4968</v>
      </c>
      <c r="C2028" s="49">
        <f>HLOOKUP("# Cores",'vHosts (Imported)'!$1:$5000,M2028,FALSE)</f>
        <v>0</v>
      </c>
      <c r="D2028" s="52">
        <f>HLOOKUP("# Memory",'vHosts (Imported)'!$1:$5000,M2028,FALSE)</f>
        <v>0</v>
      </c>
      <c r="M2028" s="45">
        <f t="shared" si="95"/>
        <v>2028</v>
      </c>
      <c r="N2028" s="38">
        <f>HLOOKUP("Host",'vInfo (Imported)'!$1:$5000,M2028,FALSE)</f>
        <v>0</v>
      </c>
      <c r="R2028">
        <f>HLOOKUP("CPUs",'vInfo (Imported)'!$1:$5000,M2028,FALSE)</f>
        <v>0</v>
      </c>
      <c r="S2028">
        <f>HLOOKUP("Memory",'vInfo (Imported)'!$1:$5000,M2028,FALSE)</f>
        <v>0</v>
      </c>
      <c r="T2028">
        <f>HLOOKUP("Provisioned MiB",'vInfo (Imported)'!$1:$5000,M2028,FALSE)</f>
        <v>0</v>
      </c>
      <c r="U2028">
        <f t="shared" si="94"/>
        <v>0</v>
      </c>
      <c r="V2028">
        <f>HLOOKUP("In Use MiB",'vInfo (Imported)'!$1:$5000,M2028,FALSE)</f>
        <v>0</v>
      </c>
    </row>
    <row r="2029" spans="1:22" ht="13" x14ac:dyDescent="0.3">
      <c r="A2029" s="46">
        <f>'vHosts (Imported)'!A2029</f>
        <v>0</v>
      </c>
      <c r="B2029" s="51">
        <f t="shared" si="96"/>
        <v>4968</v>
      </c>
      <c r="C2029" s="49">
        <f>HLOOKUP("# Cores",'vHosts (Imported)'!$1:$5000,M2029,FALSE)</f>
        <v>0</v>
      </c>
      <c r="D2029" s="52">
        <f>HLOOKUP("# Memory",'vHosts (Imported)'!$1:$5000,M2029,FALSE)</f>
        <v>0</v>
      </c>
      <c r="M2029" s="45">
        <f t="shared" si="95"/>
        <v>2029</v>
      </c>
      <c r="N2029" s="38">
        <f>HLOOKUP("Host",'vInfo (Imported)'!$1:$5000,M2029,FALSE)</f>
        <v>0</v>
      </c>
      <c r="R2029">
        <f>HLOOKUP("CPUs",'vInfo (Imported)'!$1:$5000,M2029,FALSE)</f>
        <v>0</v>
      </c>
      <c r="S2029">
        <f>HLOOKUP("Memory",'vInfo (Imported)'!$1:$5000,M2029,FALSE)</f>
        <v>0</v>
      </c>
      <c r="T2029">
        <f>HLOOKUP("Provisioned MiB",'vInfo (Imported)'!$1:$5000,M2029,FALSE)</f>
        <v>0</v>
      </c>
      <c r="U2029">
        <f t="shared" si="94"/>
        <v>0</v>
      </c>
      <c r="V2029">
        <f>HLOOKUP("In Use MiB",'vInfo (Imported)'!$1:$5000,M2029,FALSE)</f>
        <v>0</v>
      </c>
    </row>
    <row r="2030" spans="1:22" ht="13" x14ac:dyDescent="0.3">
      <c r="A2030" s="46">
        <f>'vHosts (Imported)'!A2030</f>
        <v>0</v>
      </c>
      <c r="B2030" s="51">
        <f t="shared" si="96"/>
        <v>4968</v>
      </c>
      <c r="C2030" s="49">
        <f>HLOOKUP("# Cores",'vHosts (Imported)'!$1:$5000,M2030,FALSE)</f>
        <v>0</v>
      </c>
      <c r="D2030" s="52">
        <f>HLOOKUP("# Memory",'vHosts (Imported)'!$1:$5000,M2030,FALSE)</f>
        <v>0</v>
      </c>
      <c r="M2030" s="45">
        <f t="shared" si="95"/>
        <v>2030</v>
      </c>
      <c r="N2030" s="38">
        <f>HLOOKUP("Host",'vInfo (Imported)'!$1:$5000,M2030,FALSE)</f>
        <v>0</v>
      </c>
      <c r="R2030">
        <f>HLOOKUP("CPUs",'vInfo (Imported)'!$1:$5000,M2030,FALSE)</f>
        <v>0</v>
      </c>
      <c r="S2030">
        <f>HLOOKUP("Memory",'vInfo (Imported)'!$1:$5000,M2030,FALSE)</f>
        <v>0</v>
      </c>
      <c r="T2030">
        <f>HLOOKUP("Provisioned MiB",'vInfo (Imported)'!$1:$5000,M2030,FALSE)</f>
        <v>0</v>
      </c>
      <c r="U2030">
        <f t="shared" si="94"/>
        <v>0</v>
      </c>
      <c r="V2030">
        <f>HLOOKUP("In Use MiB",'vInfo (Imported)'!$1:$5000,M2030,FALSE)</f>
        <v>0</v>
      </c>
    </row>
    <row r="2031" spans="1:22" ht="13" x14ac:dyDescent="0.3">
      <c r="A2031" s="46">
        <f>'vHosts (Imported)'!A2031</f>
        <v>0</v>
      </c>
      <c r="B2031" s="51">
        <f t="shared" si="96"/>
        <v>4968</v>
      </c>
      <c r="C2031" s="49">
        <f>HLOOKUP("# Cores",'vHosts (Imported)'!$1:$5000,M2031,FALSE)</f>
        <v>0</v>
      </c>
      <c r="D2031" s="52">
        <f>HLOOKUP("# Memory",'vHosts (Imported)'!$1:$5000,M2031,FALSE)</f>
        <v>0</v>
      </c>
      <c r="M2031" s="45">
        <f t="shared" si="95"/>
        <v>2031</v>
      </c>
      <c r="N2031" s="38">
        <f>HLOOKUP("Host",'vInfo (Imported)'!$1:$5000,M2031,FALSE)</f>
        <v>0</v>
      </c>
      <c r="R2031">
        <f>HLOOKUP("CPUs",'vInfo (Imported)'!$1:$5000,M2031,FALSE)</f>
        <v>0</v>
      </c>
      <c r="S2031">
        <f>HLOOKUP("Memory",'vInfo (Imported)'!$1:$5000,M2031,FALSE)</f>
        <v>0</v>
      </c>
      <c r="T2031">
        <f>HLOOKUP("Provisioned MiB",'vInfo (Imported)'!$1:$5000,M2031,FALSE)</f>
        <v>0</v>
      </c>
      <c r="U2031">
        <f t="shared" si="94"/>
        <v>0</v>
      </c>
      <c r="V2031">
        <f>HLOOKUP("In Use MiB",'vInfo (Imported)'!$1:$5000,M2031,FALSE)</f>
        <v>0</v>
      </c>
    </row>
    <row r="2032" spans="1:22" ht="13" x14ac:dyDescent="0.3">
      <c r="A2032" s="46">
        <f>'vHosts (Imported)'!A2032</f>
        <v>0</v>
      </c>
      <c r="B2032" s="51">
        <f t="shared" si="96"/>
        <v>4968</v>
      </c>
      <c r="C2032" s="49">
        <f>HLOOKUP("# Cores",'vHosts (Imported)'!$1:$5000,M2032,FALSE)</f>
        <v>0</v>
      </c>
      <c r="D2032" s="52">
        <f>HLOOKUP("# Memory",'vHosts (Imported)'!$1:$5000,M2032,FALSE)</f>
        <v>0</v>
      </c>
      <c r="M2032" s="45">
        <f t="shared" si="95"/>
        <v>2032</v>
      </c>
      <c r="N2032" s="38">
        <f>HLOOKUP("Host",'vInfo (Imported)'!$1:$5000,M2032,FALSE)</f>
        <v>0</v>
      </c>
      <c r="R2032">
        <f>HLOOKUP("CPUs",'vInfo (Imported)'!$1:$5000,M2032,FALSE)</f>
        <v>0</v>
      </c>
      <c r="S2032">
        <f>HLOOKUP("Memory",'vInfo (Imported)'!$1:$5000,M2032,FALSE)</f>
        <v>0</v>
      </c>
      <c r="T2032">
        <f>HLOOKUP("Provisioned MiB",'vInfo (Imported)'!$1:$5000,M2032,FALSE)</f>
        <v>0</v>
      </c>
      <c r="U2032">
        <f t="shared" si="94"/>
        <v>0</v>
      </c>
      <c r="V2032">
        <f>HLOOKUP("In Use MiB",'vInfo (Imported)'!$1:$5000,M2032,FALSE)</f>
        <v>0</v>
      </c>
    </row>
    <row r="2033" spans="1:22" ht="13" x14ac:dyDescent="0.3">
      <c r="A2033" s="46">
        <f>'vHosts (Imported)'!A2033</f>
        <v>0</v>
      </c>
      <c r="B2033" s="51">
        <f t="shared" si="96"/>
        <v>4968</v>
      </c>
      <c r="C2033" s="49">
        <f>HLOOKUP("# Cores",'vHosts (Imported)'!$1:$5000,M2033,FALSE)</f>
        <v>0</v>
      </c>
      <c r="D2033" s="52">
        <f>HLOOKUP("# Memory",'vHosts (Imported)'!$1:$5000,M2033,FALSE)</f>
        <v>0</v>
      </c>
      <c r="M2033" s="45">
        <f t="shared" si="95"/>
        <v>2033</v>
      </c>
      <c r="N2033" s="38">
        <f>HLOOKUP("Host",'vInfo (Imported)'!$1:$5000,M2033,FALSE)</f>
        <v>0</v>
      </c>
      <c r="R2033">
        <f>HLOOKUP("CPUs",'vInfo (Imported)'!$1:$5000,M2033,FALSE)</f>
        <v>0</v>
      </c>
      <c r="S2033">
        <f>HLOOKUP("Memory",'vInfo (Imported)'!$1:$5000,M2033,FALSE)</f>
        <v>0</v>
      </c>
      <c r="T2033">
        <f>HLOOKUP("Provisioned MiB",'vInfo (Imported)'!$1:$5000,M2033,FALSE)</f>
        <v>0</v>
      </c>
      <c r="U2033">
        <f t="shared" si="94"/>
        <v>0</v>
      </c>
      <c r="V2033">
        <f>HLOOKUP("In Use MiB",'vInfo (Imported)'!$1:$5000,M2033,FALSE)</f>
        <v>0</v>
      </c>
    </row>
    <row r="2034" spans="1:22" ht="13" x14ac:dyDescent="0.3">
      <c r="A2034" s="46">
        <f>'vHosts (Imported)'!A2034</f>
        <v>0</v>
      </c>
      <c r="B2034" s="51">
        <f t="shared" si="96"/>
        <v>4968</v>
      </c>
      <c r="C2034" s="49">
        <f>HLOOKUP("# Cores",'vHosts (Imported)'!$1:$5000,M2034,FALSE)</f>
        <v>0</v>
      </c>
      <c r="D2034" s="52">
        <f>HLOOKUP("# Memory",'vHosts (Imported)'!$1:$5000,M2034,FALSE)</f>
        <v>0</v>
      </c>
      <c r="M2034" s="45">
        <f t="shared" si="95"/>
        <v>2034</v>
      </c>
      <c r="N2034" s="38">
        <f>HLOOKUP("Host",'vInfo (Imported)'!$1:$5000,M2034,FALSE)</f>
        <v>0</v>
      </c>
      <c r="R2034">
        <f>HLOOKUP("CPUs",'vInfo (Imported)'!$1:$5000,M2034,FALSE)</f>
        <v>0</v>
      </c>
      <c r="S2034">
        <f>HLOOKUP("Memory",'vInfo (Imported)'!$1:$5000,M2034,FALSE)</f>
        <v>0</v>
      </c>
      <c r="T2034">
        <f>HLOOKUP("Provisioned MiB",'vInfo (Imported)'!$1:$5000,M2034,FALSE)</f>
        <v>0</v>
      </c>
      <c r="U2034">
        <f t="shared" si="94"/>
        <v>0</v>
      </c>
      <c r="V2034">
        <f>HLOOKUP("In Use MiB",'vInfo (Imported)'!$1:$5000,M2034,FALSE)</f>
        <v>0</v>
      </c>
    </row>
    <row r="2035" spans="1:22" ht="13" x14ac:dyDescent="0.3">
      <c r="A2035" s="46">
        <f>'vHosts (Imported)'!A2035</f>
        <v>0</v>
      </c>
      <c r="B2035" s="51">
        <f t="shared" si="96"/>
        <v>4968</v>
      </c>
      <c r="C2035" s="49">
        <f>HLOOKUP("# Cores",'vHosts (Imported)'!$1:$5000,M2035,FALSE)</f>
        <v>0</v>
      </c>
      <c r="D2035" s="52">
        <f>HLOOKUP("# Memory",'vHosts (Imported)'!$1:$5000,M2035,FALSE)</f>
        <v>0</v>
      </c>
      <c r="M2035" s="45">
        <f t="shared" si="95"/>
        <v>2035</v>
      </c>
      <c r="N2035" s="38">
        <f>HLOOKUP("Host",'vInfo (Imported)'!$1:$5000,M2035,FALSE)</f>
        <v>0</v>
      </c>
      <c r="R2035">
        <f>HLOOKUP("CPUs",'vInfo (Imported)'!$1:$5000,M2035,FALSE)</f>
        <v>0</v>
      </c>
      <c r="S2035">
        <f>HLOOKUP("Memory",'vInfo (Imported)'!$1:$5000,M2035,FALSE)</f>
        <v>0</v>
      </c>
      <c r="T2035">
        <f>HLOOKUP("Provisioned MiB",'vInfo (Imported)'!$1:$5000,M2035,FALSE)</f>
        <v>0</v>
      </c>
      <c r="U2035">
        <f t="shared" si="94"/>
        <v>0</v>
      </c>
      <c r="V2035">
        <f>HLOOKUP("In Use MiB",'vInfo (Imported)'!$1:$5000,M2035,FALSE)</f>
        <v>0</v>
      </c>
    </row>
    <row r="2036" spans="1:22" ht="13" x14ac:dyDescent="0.3">
      <c r="A2036" s="46">
        <f>'vHosts (Imported)'!A2036</f>
        <v>0</v>
      </c>
      <c r="B2036" s="51">
        <f t="shared" si="96"/>
        <v>4968</v>
      </c>
      <c r="C2036" s="49">
        <f>HLOOKUP("# Cores",'vHosts (Imported)'!$1:$5000,M2036,FALSE)</f>
        <v>0</v>
      </c>
      <c r="D2036" s="52">
        <f>HLOOKUP("# Memory",'vHosts (Imported)'!$1:$5000,M2036,FALSE)</f>
        <v>0</v>
      </c>
      <c r="M2036" s="45">
        <f t="shared" si="95"/>
        <v>2036</v>
      </c>
      <c r="N2036" s="38">
        <f>HLOOKUP("Host",'vInfo (Imported)'!$1:$5000,M2036,FALSE)</f>
        <v>0</v>
      </c>
      <c r="R2036">
        <f>HLOOKUP("CPUs",'vInfo (Imported)'!$1:$5000,M2036,FALSE)</f>
        <v>0</v>
      </c>
      <c r="S2036">
        <f>HLOOKUP("Memory",'vInfo (Imported)'!$1:$5000,M2036,FALSE)</f>
        <v>0</v>
      </c>
      <c r="T2036">
        <f>HLOOKUP("Provisioned MiB",'vInfo (Imported)'!$1:$5000,M2036,FALSE)</f>
        <v>0</v>
      </c>
      <c r="U2036">
        <f t="shared" si="94"/>
        <v>0</v>
      </c>
      <c r="V2036">
        <f>HLOOKUP("In Use MiB",'vInfo (Imported)'!$1:$5000,M2036,FALSE)</f>
        <v>0</v>
      </c>
    </row>
    <row r="2037" spans="1:22" ht="13" x14ac:dyDescent="0.3">
      <c r="A2037" s="46">
        <f>'vHosts (Imported)'!A2037</f>
        <v>0</v>
      </c>
      <c r="B2037" s="51">
        <f t="shared" si="96"/>
        <v>4968</v>
      </c>
      <c r="C2037" s="49">
        <f>HLOOKUP("# Cores",'vHosts (Imported)'!$1:$5000,M2037,FALSE)</f>
        <v>0</v>
      </c>
      <c r="D2037" s="52">
        <f>HLOOKUP("# Memory",'vHosts (Imported)'!$1:$5000,M2037,FALSE)</f>
        <v>0</v>
      </c>
      <c r="M2037" s="45">
        <f t="shared" si="95"/>
        <v>2037</v>
      </c>
      <c r="N2037" s="38">
        <f>HLOOKUP("Host",'vInfo (Imported)'!$1:$5000,M2037,FALSE)</f>
        <v>0</v>
      </c>
      <c r="R2037">
        <f>HLOOKUP("CPUs",'vInfo (Imported)'!$1:$5000,M2037,FALSE)</f>
        <v>0</v>
      </c>
      <c r="S2037">
        <f>HLOOKUP("Memory",'vInfo (Imported)'!$1:$5000,M2037,FALSE)</f>
        <v>0</v>
      </c>
      <c r="T2037">
        <f>HLOOKUP("Provisioned MiB",'vInfo (Imported)'!$1:$5000,M2037,FALSE)</f>
        <v>0</v>
      </c>
      <c r="U2037">
        <f t="shared" si="94"/>
        <v>0</v>
      </c>
      <c r="V2037">
        <f>HLOOKUP("In Use MiB",'vInfo (Imported)'!$1:$5000,M2037,FALSE)</f>
        <v>0</v>
      </c>
    </row>
    <row r="2038" spans="1:22" ht="13" x14ac:dyDescent="0.3">
      <c r="A2038" s="46">
        <f>'vHosts (Imported)'!A2038</f>
        <v>0</v>
      </c>
      <c r="B2038" s="51">
        <f t="shared" si="96"/>
        <v>4968</v>
      </c>
      <c r="C2038" s="49">
        <f>HLOOKUP("# Cores",'vHosts (Imported)'!$1:$5000,M2038,FALSE)</f>
        <v>0</v>
      </c>
      <c r="D2038" s="52">
        <f>HLOOKUP("# Memory",'vHosts (Imported)'!$1:$5000,M2038,FALSE)</f>
        <v>0</v>
      </c>
      <c r="M2038" s="45">
        <f t="shared" si="95"/>
        <v>2038</v>
      </c>
      <c r="N2038" s="38">
        <f>HLOOKUP("Host",'vInfo (Imported)'!$1:$5000,M2038,FALSE)</f>
        <v>0</v>
      </c>
      <c r="R2038">
        <f>HLOOKUP("CPUs",'vInfo (Imported)'!$1:$5000,M2038,FALSE)</f>
        <v>0</v>
      </c>
      <c r="S2038">
        <f>HLOOKUP("Memory",'vInfo (Imported)'!$1:$5000,M2038,FALSE)</f>
        <v>0</v>
      </c>
      <c r="T2038">
        <f>HLOOKUP("Provisioned MiB",'vInfo (Imported)'!$1:$5000,M2038,FALSE)</f>
        <v>0</v>
      </c>
      <c r="U2038">
        <f t="shared" si="94"/>
        <v>0</v>
      </c>
      <c r="V2038">
        <f>HLOOKUP("In Use MiB",'vInfo (Imported)'!$1:$5000,M2038,FALSE)</f>
        <v>0</v>
      </c>
    </row>
    <row r="2039" spans="1:22" ht="13" x14ac:dyDescent="0.3">
      <c r="A2039" s="46">
        <f>'vHosts (Imported)'!A2039</f>
        <v>0</v>
      </c>
      <c r="B2039" s="51">
        <f t="shared" si="96"/>
        <v>4968</v>
      </c>
      <c r="C2039" s="49">
        <f>HLOOKUP("# Cores",'vHosts (Imported)'!$1:$5000,M2039,FALSE)</f>
        <v>0</v>
      </c>
      <c r="D2039" s="52">
        <f>HLOOKUP("# Memory",'vHosts (Imported)'!$1:$5000,M2039,FALSE)</f>
        <v>0</v>
      </c>
      <c r="M2039" s="45">
        <f t="shared" si="95"/>
        <v>2039</v>
      </c>
      <c r="N2039" s="38">
        <f>HLOOKUP("Host",'vInfo (Imported)'!$1:$5000,M2039,FALSE)</f>
        <v>0</v>
      </c>
      <c r="R2039">
        <f>HLOOKUP("CPUs",'vInfo (Imported)'!$1:$5000,M2039,FALSE)</f>
        <v>0</v>
      </c>
      <c r="S2039">
        <f>HLOOKUP("Memory",'vInfo (Imported)'!$1:$5000,M2039,FALSE)</f>
        <v>0</v>
      </c>
      <c r="T2039">
        <f>HLOOKUP("Provisioned MiB",'vInfo (Imported)'!$1:$5000,M2039,FALSE)</f>
        <v>0</v>
      </c>
      <c r="U2039">
        <f t="shared" si="94"/>
        <v>0</v>
      </c>
      <c r="V2039">
        <f>HLOOKUP("In Use MiB",'vInfo (Imported)'!$1:$5000,M2039,FALSE)</f>
        <v>0</v>
      </c>
    </row>
    <row r="2040" spans="1:22" ht="13" x14ac:dyDescent="0.3">
      <c r="A2040" s="46">
        <f>'vHosts (Imported)'!A2040</f>
        <v>0</v>
      </c>
      <c r="B2040" s="51">
        <f t="shared" si="96"/>
        <v>4968</v>
      </c>
      <c r="C2040" s="49">
        <f>HLOOKUP("# Cores",'vHosts (Imported)'!$1:$5000,M2040,FALSE)</f>
        <v>0</v>
      </c>
      <c r="D2040" s="52">
        <f>HLOOKUP("# Memory",'vHosts (Imported)'!$1:$5000,M2040,FALSE)</f>
        <v>0</v>
      </c>
      <c r="M2040" s="45">
        <f t="shared" si="95"/>
        <v>2040</v>
      </c>
      <c r="N2040" s="38">
        <f>HLOOKUP("Host",'vInfo (Imported)'!$1:$5000,M2040,FALSE)</f>
        <v>0</v>
      </c>
      <c r="R2040">
        <f>HLOOKUP("CPUs",'vInfo (Imported)'!$1:$5000,M2040,FALSE)</f>
        <v>0</v>
      </c>
      <c r="S2040">
        <f>HLOOKUP("Memory",'vInfo (Imported)'!$1:$5000,M2040,FALSE)</f>
        <v>0</v>
      </c>
      <c r="T2040">
        <f>HLOOKUP("Provisioned MiB",'vInfo (Imported)'!$1:$5000,M2040,FALSE)</f>
        <v>0</v>
      </c>
      <c r="U2040">
        <f t="shared" si="94"/>
        <v>0</v>
      </c>
      <c r="V2040">
        <f>HLOOKUP("In Use MiB",'vInfo (Imported)'!$1:$5000,M2040,FALSE)</f>
        <v>0</v>
      </c>
    </row>
    <row r="2041" spans="1:22" ht="13" x14ac:dyDescent="0.3">
      <c r="A2041" s="46">
        <f>'vHosts (Imported)'!A2041</f>
        <v>0</v>
      </c>
      <c r="B2041" s="51">
        <f t="shared" si="96"/>
        <v>4968</v>
      </c>
      <c r="C2041" s="49">
        <f>HLOOKUP("# Cores",'vHosts (Imported)'!$1:$5000,M2041,FALSE)</f>
        <v>0</v>
      </c>
      <c r="D2041" s="52">
        <f>HLOOKUP("# Memory",'vHosts (Imported)'!$1:$5000,M2041,FALSE)</f>
        <v>0</v>
      </c>
      <c r="M2041" s="45">
        <f t="shared" si="95"/>
        <v>2041</v>
      </c>
      <c r="N2041" s="38">
        <f>HLOOKUP("Host",'vInfo (Imported)'!$1:$5000,M2041,FALSE)</f>
        <v>0</v>
      </c>
      <c r="R2041">
        <f>HLOOKUP("CPUs",'vInfo (Imported)'!$1:$5000,M2041,FALSE)</f>
        <v>0</v>
      </c>
      <c r="S2041">
        <f>HLOOKUP("Memory",'vInfo (Imported)'!$1:$5000,M2041,FALSE)</f>
        <v>0</v>
      </c>
      <c r="T2041">
        <f>HLOOKUP("Provisioned MiB",'vInfo (Imported)'!$1:$5000,M2041,FALSE)</f>
        <v>0</v>
      </c>
      <c r="U2041">
        <f t="shared" si="94"/>
        <v>0</v>
      </c>
      <c r="V2041">
        <f>HLOOKUP("In Use MiB",'vInfo (Imported)'!$1:$5000,M2041,FALSE)</f>
        <v>0</v>
      </c>
    </row>
    <row r="2042" spans="1:22" ht="13" x14ac:dyDescent="0.3">
      <c r="A2042" s="46">
        <f>'vHosts (Imported)'!A2042</f>
        <v>0</v>
      </c>
      <c r="B2042" s="51">
        <f t="shared" si="96"/>
        <v>4968</v>
      </c>
      <c r="C2042" s="49">
        <f>HLOOKUP("# Cores",'vHosts (Imported)'!$1:$5000,M2042,FALSE)</f>
        <v>0</v>
      </c>
      <c r="D2042" s="52">
        <f>HLOOKUP("# Memory",'vHosts (Imported)'!$1:$5000,M2042,FALSE)</f>
        <v>0</v>
      </c>
      <c r="M2042" s="45">
        <f t="shared" si="95"/>
        <v>2042</v>
      </c>
      <c r="N2042" s="38">
        <f>HLOOKUP("Host",'vInfo (Imported)'!$1:$5000,M2042,FALSE)</f>
        <v>0</v>
      </c>
      <c r="R2042">
        <f>HLOOKUP("CPUs",'vInfo (Imported)'!$1:$5000,M2042,FALSE)</f>
        <v>0</v>
      </c>
      <c r="S2042">
        <f>HLOOKUP("Memory",'vInfo (Imported)'!$1:$5000,M2042,FALSE)</f>
        <v>0</v>
      </c>
      <c r="T2042">
        <f>HLOOKUP("Provisioned MiB",'vInfo (Imported)'!$1:$5000,M2042,FALSE)</f>
        <v>0</v>
      </c>
      <c r="U2042">
        <f t="shared" si="94"/>
        <v>0</v>
      </c>
      <c r="V2042">
        <f>HLOOKUP("In Use MiB",'vInfo (Imported)'!$1:$5000,M2042,FALSE)</f>
        <v>0</v>
      </c>
    </row>
    <row r="2043" spans="1:22" ht="13" x14ac:dyDescent="0.3">
      <c r="A2043" s="46">
        <f>'vHosts (Imported)'!A2043</f>
        <v>0</v>
      </c>
      <c r="B2043" s="51">
        <f t="shared" si="96"/>
        <v>4968</v>
      </c>
      <c r="C2043" s="49">
        <f>HLOOKUP("# Cores",'vHosts (Imported)'!$1:$5000,M2043,FALSE)</f>
        <v>0</v>
      </c>
      <c r="D2043" s="52">
        <f>HLOOKUP("# Memory",'vHosts (Imported)'!$1:$5000,M2043,FALSE)</f>
        <v>0</v>
      </c>
      <c r="M2043" s="45">
        <f t="shared" si="95"/>
        <v>2043</v>
      </c>
      <c r="N2043" s="38">
        <f>HLOOKUP("Host",'vInfo (Imported)'!$1:$5000,M2043,FALSE)</f>
        <v>0</v>
      </c>
      <c r="R2043">
        <f>HLOOKUP("CPUs",'vInfo (Imported)'!$1:$5000,M2043,FALSE)</f>
        <v>0</v>
      </c>
      <c r="S2043">
        <f>HLOOKUP("Memory",'vInfo (Imported)'!$1:$5000,M2043,FALSE)</f>
        <v>0</v>
      </c>
      <c r="T2043">
        <f>HLOOKUP("Provisioned MiB",'vInfo (Imported)'!$1:$5000,M2043,FALSE)</f>
        <v>0</v>
      </c>
      <c r="U2043">
        <f t="shared" si="94"/>
        <v>0</v>
      </c>
      <c r="V2043">
        <f>HLOOKUP("In Use MiB",'vInfo (Imported)'!$1:$5000,M2043,FALSE)</f>
        <v>0</v>
      </c>
    </row>
    <row r="2044" spans="1:22" ht="13" x14ac:dyDescent="0.3">
      <c r="A2044" s="46">
        <f>'vHosts (Imported)'!A2044</f>
        <v>0</v>
      </c>
      <c r="B2044" s="51">
        <f t="shared" si="96"/>
        <v>4968</v>
      </c>
      <c r="C2044" s="49">
        <f>HLOOKUP("# Cores",'vHosts (Imported)'!$1:$5000,M2044,FALSE)</f>
        <v>0</v>
      </c>
      <c r="D2044" s="52">
        <f>HLOOKUP("# Memory",'vHosts (Imported)'!$1:$5000,M2044,FALSE)</f>
        <v>0</v>
      </c>
      <c r="M2044" s="45">
        <f t="shared" si="95"/>
        <v>2044</v>
      </c>
      <c r="N2044" s="38">
        <f>HLOOKUP("Host",'vInfo (Imported)'!$1:$5000,M2044,FALSE)</f>
        <v>0</v>
      </c>
      <c r="R2044">
        <f>HLOOKUP("CPUs",'vInfo (Imported)'!$1:$5000,M2044,FALSE)</f>
        <v>0</v>
      </c>
      <c r="S2044">
        <f>HLOOKUP("Memory",'vInfo (Imported)'!$1:$5000,M2044,FALSE)</f>
        <v>0</v>
      </c>
      <c r="T2044">
        <f>HLOOKUP("Provisioned MiB",'vInfo (Imported)'!$1:$5000,M2044,FALSE)</f>
        <v>0</v>
      </c>
      <c r="U2044">
        <f t="shared" si="94"/>
        <v>0</v>
      </c>
      <c r="V2044">
        <f>HLOOKUP("In Use MiB",'vInfo (Imported)'!$1:$5000,M2044,FALSE)</f>
        <v>0</v>
      </c>
    </row>
    <row r="2045" spans="1:22" ht="13" x14ac:dyDescent="0.3">
      <c r="A2045" s="46">
        <f>'vHosts (Imported)'!A2045</f>
        <v>0</v>
      </c>
      <c r="B2045" s="51">
        <f t="shared" si="96"/>
        <v>4968</v>
      </c>
      <c r="C2045" s="49">
        <f>HLOOKUP("# Cores",'vHosts (Imported)'!$1:$5000,M2045,FALSE)</f>
        <v>0</v>
      </c>
      <c r="D2045" s="52">
        <f>HLOOKUP("# Memory",'vHosts (Imported)'!$1:$5000,M2045,FALSE)</f>
        <v>0</v>
      </c>
      <c r="M2045" s="45">
        <f t="shared" si="95"/>
        <v>2045</v>
      </c>
      <c r="N2045" s="38">
        <f>HLOOKUP("Host",'vInfo (Imported)'!$1:$5000,M2045,FALSE)</f>
        <v>0</v>
      </c>
      <c r="R2045">
        <f>HLOOKUP("CPUs",'vInfo (Imported)'!$1:$5000,M2045,FALSE)</f>
        <v>0</v>
      </c>
      <c r="S2045">
        <f>HLOOKUP("Memory",'vInfo (Imported)'!$1:$5000,M2045,FALSE)</f>
        <v>0</v>
      </c>
      <c r="T2045">
        <f>HLOOKUP("Provisioned MiB",'vInfo (Imported)'!$1:$5000,M2045,FALSE)</f>
        <v>0</v>
      </c>
      <c r="U2045">
        <f t="shared" si="94"/>
        <v>0</v>
      </c>
      <c r="V2045">
        <f>HLOOKUP("In Use MiB",'vInfo (Imported)'!$1:$5000,M2045,FALSE)</f>
        <v>0</v>
      </c>
    </row>
    <row r="2046" spans="1:22" ht="13" x14ac:dyDescent="0.3">
      <c r="A2046" s="46">
        <f>'vHosts (Imported)'!A2046</f>
        <v>0</v>
      </c>
      <c r="B2046" s="51">
        <f t="shared" si="96"/>
        <v>4968</v>
      </c>
      <c r="C2046" s="49">
        <f>HLOOKUP("# Cores",'vHosts (Imported)'!$1:$5000,M2046,FALSE)</f>
        <v>0</v>
      </c>
      <c r="D2046" s="52">
        <f>HLOOKUP("# Memory",'vHosts (Imported)'!$1:$5000,M2046,FALSE)</f>
        <v>0</v>
      </c>
      <c r="M2046" s="45">
        <f t="shared" si="95"/>
        <v>2046</v>
      </c>
      <c r="N2046" s="38">
        <f>HLOOKUP("Host",'vInfo (Imported)'!$1:$5000,M2046,FALSE)</f>
        <v>0</v>
      </c>
      <c r="R2046">
        <f>HLOOKUP("CPUs",'vInfo (Imported)'!$1:$5000,M2046,FALSE)</f>
        <v>0</v>
      </c>
      <c r="S2046">
        <f>HLOOKUP("Memory",'vInfo (Imported)'!$1:$5000,M2046,FALSE)</f>
        <v>0</v>
      </c>
      <c r="T2046">
        <f>HLOOKUP("Provisioned MiB",'vInfo (Imported)'!$1:$5000,M2046,FALSE)</f>
        <v>0</v>
      </c>
      <c r="U2046">
        <f t="shared" si="94"/>
        <v>0</v>
      </c>
      <c r="V2046">
        <f>HLOOKUP("In Use MiB",'vInfo (Imported)'!$1:$5000,M2046,FALSE)</f>
        <v>0</v>
      </c>
    </row>
    <row r="2047" spans="1:22" ht="13" x14ac:dyDescent="0.3">
      <c r="A2047" s="46">
        <f>'vHosts (Imported)'!A2047</f>
        <v>0</v>
      </c>
      <c r="B2047" s="51">
        <f t="shared" si="96"/>
        <v>4968</v>
      </c>
      <c r="C2047" s="49">
        <f>HLOOKUP("# Cores",'vHosts (Imported)'!$1:$5000,M2047,FALSE)</f>
        <v>0</v>
      </c>
      <c r="D2047" s="52">
        <f>HLOOKUP("# Memory",'vHosts (Imported)'!$1:$5000,M2047,FALSE)</f>
        <v>0</v>
      </c>
      <c r="M2047" s="45">
        <f t="shared" si="95"/>
        <v>2047</v>
      </c>
      <c r="N2047" s="38">
        <f>HLOOKUP("Host",'vInfo (Imported)'!$1:$5000,M2047,FALSE)</f>
        <v>0</v>
      </c>
      <c r="R2047">
        <f>HLOOKUP("CPUs",'vInfo (Imported)'!$1:$5000,M2047,FALSE)</f>
        <v>0</v>
      </c>
      <c r="S2047">
        <f>HLOOKUP("Memory",'vInfo (Imported)'!$1:$5000,M2047,FALSE)</f>
        <v>0</v>
      </c>
      <c r="T2047">
        <f>HLOOKUP("Provisioned MiB",'vInfo (Imported)'!$1:$5000,M2047,FALSE)</f>
        <v>0</v>
      </c>
      <c r="U2047">
        <f t="shared" si="94"/>
        <v>0</v>
      </c>
      <c r="V2047">
        <f>HLOOKUP("In Use MiB",'vInfo (Imported)'!$1:$5000,M2047,FALSE)</f>
        <v>0</v>
      </c>
    </row>
    <row r="2048" spans="1:22" ht="13" x14ac:dyDescent="0.3">
      <c r="A2048" s="46">
        <f>'vHosts (Imported)'!A2048</f>
        <v>0</v>
      </c>
      <c r="B2048" s="51">
        <f t="shared" si="96"/>
        <v>4968</v>
      </c>
      <c r="C2048" s="49">
        <f>HLOOKUP("# Cores",'vHosts (Imported)'!$1:$5000,M2048,FALSE)</f>
        <v>0</v>
      </c>
      <c r="D2048" s="52">
        <f>HLOOKUP("# Memory",'vHosts (Imported)'!$1:$5000,M2048,FALSE)</f>
        <v>0</v>
      </c>
      <c r="M2048" s="45">
        <f t="shared" si="95"/>
        <v>2048</v>
      </c>
      <c r="N2048" s="38">
        <f>HLOOKUP("Host",'vInfo (Imported)'!$1:$5000,M2048,FALSE)</f>
        <v>0</v>
      </c>
      <c r="R2048">
        <f>HLOOKUP("CPUs",'vInfo (Imported)'!$1:$5000,M2048,FALSE)</f>
        <v>0</v>
      </c>
      <c r="S2048">
        <f>HLOOKUP("Memory",'vInfo (Imported)'!$1:$5000,M2048,FALSE)</f>
        <v>0</v>
      </c>
      <c r="T2048">
        <f>HLOOKUP("Provisioned MiB",'vInfo (Imported)'!$1:$5000,M2048,FALSE)</f>
        <v>0</v>
      </c>
      <c r="U2048">
        <f t="shared" si="94"/>
        <v>0</v>
      </c>
      <c r="V2048">
        <f>HLOOKUP("In Use MiB",'vInfo (Imported)'!$1:$5000,M2048,FALSE)</f>
        <v>0</v>
      </c>
    </row>
    <row r="2049" spans="1:22" ht="13" x14ac:dyDescent="0.3">
      <c r="A2049" s="46">
        <f>'vHosts (Imported)'!A2049</f>
        <v>0</v>
      </c>
      <c r="B2049" s="51">
        <f t="shared" si="96"/>
        <v>4968</v>
      </c>
      <c r="C2049" s="49">
        <f>HLOOKUP("# Cores",'vHosts (Imported)'!$1:$5000,M2049,FALSE)</f>
        <v>0</v>
      </c>
      <c r="D2049" s="52">
        <f>HLOOKUP("# Memory",'vHosts (Imported)'!$1:$5000,M2049,FALSE)</f>
        <v>0</v>
      </c>
      <c r="M2049" s="45">
        <f t="shared" si="95"/>
        <v>2049</v>
      </c>
      <c r="N2049" s="38">
        <f>HLOOKUP("Host",'vInfo (Imported)'!$1:$5000,M2049,FALSE)</f>
        <v>0</v>
      </c>
      <c r="R2049">
        <f>HLOOKUP("CPUs",'vInfo (Imported)'!$1:$5000,M2049,FALSE)</f>
        <v>0</v>
      </c>
      <c r="S2049">
        <f>HLOOKUP("Memory",'vInfo (Imported)'!$1:$5000,M2049,FALSE)</f>
        <v>0</v>
      </c>
      <c r="T2049">
        <f>HLOOKUP("Provisioned MiB",'vInfo (Imported)'!$1:$5000,M2049,FALSE)</f>
        <v>0</v>
      </c>
      <c r="U2049">
        <f t="shared" si="94"/>
        <v>0</v>
      </c>
      <c r="V2049">
        <f>HLOOKUP("In Use MiB",'vInfo (Imported)'!$1:$5000,M2049,FALSE)</f>
        <v>0</v>
      </c>
    </row>
    <row r="2050" spans="1:22" ht="13" x14ac:dyDescent="0.3">
      <c r="A2050" s="46">
        <f>'vHosts (Imported)'!A2050</f>
        <v>0</v>
      </c>
      <c r="B2050" s="51">
        <f t="shared" si="96"/>
        <v>4968</v>
      </c>
      <c r="C2050" s="49">
        <f>HLOOKUP("# Cores",'vHosts (Imported)'!$1:$5000,M2050,FALSE)</f>
        <v>0</v>
      </c>
      <c r="D2050" s="52">
        <f>HLOOKUP("# Memory",'vHosts (Imported)'!$1:$5000,M2050,FALSE)</f>
        <v>0</v>
      </c>
      <c r="M2050" s="45">
        <f t="shared" si="95"/>
        <v>2050</v>
      </c>
      <c r="N2050" s="38">
        <f>HLOOKUP("Host",'vInfo (Imported)'!$1:$5000,M2050,FALSE)</f>
        <v>0</v>
      </c>
      <c r="R2050">
        <f>HLOOKUP("CPUs",'vInfo (Imported)'!$1:$5000,M2050,FALSE)</f>
        <v>0</v>
      </c>
      <c r="S2050">
        <f>HLOOKUP("Memory",'vInfo (Imported)'!$1:$5000,M2050,FALSE)</f>
        <v>0</v>
      </c>
      <c r="T2050">
        <f>HLOOKUP("Provisioned MiB",'vInfo (Imported)'!$1:$5000,M2050,FALSE)</f>
        <v>0</v>
      </c>
      <c r="U2050">
        <f t="shared" si="94"/>
        <v>0</v>
      </c>
      <c r="V2050">
        <f>HLOOKUP("In Use MiB",'vInfo (Imported)'!$1:$5000,M2050,FALSE)</f>
        <v>0</v>
      </c>
    </row>
    <row r="2051" spans="1:22" ht="13" x14ac:dyDescent="0.3">
      <c r="A2051" s="46">
        <f>'vHosts (Imported)'!A2051</f>
        <v>0</v>
      </c>
      <c r="B2051" s="51">
        <f t="shared" si="96"/>
        <v>4968</v>
      </c>
      <c r="C2051" s="49">
        <f>HLOOKUP("# Cores",'vHosts (Imported)'!$1:$5000,M2051,FALSE)</f>
        <v>0</v>
      </c>
      <c r="D2051" s="52">
        <f>HLOOKUP("# Memory",'vHosts (Imported)'!$1:$5000,M2051,FALSE)</f>
        <v>0</v>
      </c>
      <c r="M2051" s="45">
        <f t="shared" si="95"/>
        <v>2051</v>
      </c>
      <c r="N2051" s="38">
        <f>HLOOKUP("Host",'vInfo (Imported)'!$1:$5000,M2051,FALSE)</f>
        <v>0</v>
      </c>
      <c r="R2051">
        <f>HLOOKUP("CPUs",'vInfo (Imported)'!$1:$5000,M2051,FALSE)</f>
        <v>0</v>
      </c>
      <c r="S2051">
        <f>HLOOKUP("Memory",'vInfo (Imported)'!$1:$5000,M2051,FALSE)</f>
        <v>0</v>
      </c>
      <c r="T2051">
        <f>HLOOKUP("Provisioned MiB",'vInfo (Imported)'!$1:$5000,M2051,FALSE)</f>
        <v>0</v>
      </c>
      <c r="U2051">
        <f t="shared" ref="U2051:U2114" si="97">T2051-V2051</f>
        <v>0</v>
      </c>
      <c r="V2051">
        <f>HLOOKUP("In Use MiB",'vInfo (Imported)'!$1:$5000,M2051,FALSE)</f>
        <v>0</v>
      </c>
    </row>
    <row r="2052" spans="1:22" ht="13" x14ac:dyDescent="0.3">
      <c r="A2052" s="46">
        <f>'vHosts (Imported)'!A2052</f>
        <v>0</v>
      </c>
      <c r="B2052" s="51">
        <f t="shared" si="96"/>
        <v>4968</v>
      </c>
      <c r="C2052" s="49">
        <f>HLOOKUP("# Cores",'vHosts (Imported)'!$1:$5000,M2052,FALSE)</f>
        <v>0</v>
      </c>
      <c r="D2052" s="52">
        <f>HLOOKUP("# Memory",'vHosts (Imported)'!$1:$5000,M2052,FALSE)</f>
        <v>0</v>
      </c>
      <c r="M2052" s="45">
        <f t="shared" ref="M2052:M2115" si="98">M2051+1</f>
        <v>2052</v>
      </c>
      <c r="N2052" s="38">
        <f>HLOOKUP("Host",'vInfo (Imported)'!$1:$5000,M2052,FALSE)</f>
        <v>0</v>
      </c>
      <c r="R2052">
        <f>HLOOKUP("CPUs",'vInfo (Imported)'!$1:$5000,M2052,FALSE)</f>
        <v>0</v>
      </c>
      <c r="S2052">
        <f>HLOOKUP("Memory",'vInfo (Imported)'!$1:$5000,M2052,FALSE)</f>
        <v>0</v>
      </c>
      <c r="T2052">
        <f>HLOOKUP("Provisioned MiB",'vInfo (Imported)'!$1:$5000,M2052,FALSE)</f>
        <v>0</v>
      </c>
      <c r="U2052">
        <f t="shared" si="97"/>
        <v>0</v>
      </c>
      <c r="V2052">
        <f>HLOOKUP("In Use MiB",'vInfo (Imported)'!$1:$5000,M2052,FALSE)</f>
        <v>0</v>
      </c>
    </row>
    <row r="2053" spans="1:22" ht="13" x14ac:dyDescent="0.3">
      <c r="A2053" s="46">
        <f>'vHosts (Imported)'!A2053</f>
        <v>0</v>
      </c>
      <c r="B2053" s="51">
        <f t="shared" si="96"/>
        <v>4968</v>
      </c>
      <c r="C2053" s="49">
        <f>HLOOKUP("# Cores",'vHosts (Imported)'!$1:$5000,M2053,FALSE)</f>
        <v>0</v>
      </c>
      <c r="D2053" s="52">
        <f>HLOOKUP("# Memory",'vHosts (Imported)'!$1:$5000,M2053,FALSE)</f>
        <v>0</v>
      </c>
      <c r="M2053" s="45">
        <f t="shared" si="98"/>
        <v>2053</v>
      </c>
      <c r="N2053" s="38">
        <f>HLOOKUP("Host",'vInfo (Imported)'!$1:$5000,M2053,FALSE)</f>
        <v>0</v>
      </c>
      <c r="R2053">
        <f>HLOOKUP("CPUs",'vInfo (Imported)'!$1:$5000,M2053,FALSE)</f>
        <v>0</v>
      </c>
      <c r="S2053">
        <f>HLOOKUP("Memory",'vInfo (Imported)'!$1:$5000,M2053,FALSE)</f>
        <v>0</v>
      </c>
      <c r="T2053">
        <f>HLOOKUP("Provisioned MiB",'vInfo (Imported)'!$1:$5000,M2053,FALSE)</f>
        <v>0</v>
      </c>
      <c r="U2053">
        <f t="shared" si="97"/>
        <v>0</v>
      </c>
      <c r="V2053">
        <f>HLOOKUP("In Use MiB",'vInfo (Imported)'!$1:$5000,M2053,FALSE)</f>
        <v>0</v>
      </c>
    </row>
    <row r="2054" spans="1:22" ht="13" x14ac:dyDescent="0.3">
      <c r="A2054" s="46">
        <f>'vHosts (Imported)'!A2054</f>
        <v>0</v>
      </c>
      <c r="B2054" s="51">
        <f t="shared" si="96"/>
        <v>4968</v>
      </c>
      <c r="C2054" s="49">
        <f>HLOOKUP("# Cores",'vHosts (Imported)'!$1:$5000,M2054,FALSE)</f>
        <v>0</v>
      </c>
      <c r="D2054" s="52">
        <f>HLOOKUP("# Memory",'vHosts (Imported)'!$1:$5000,M2054,FALSE)</f>
        <v>0</v>
      </c>
      <c r="M2054" s="45">
        <f t="shared" si="98"/>
        <v>2054</v>
      </c>
      <c r="N2054" s="38">
        <f>HLOOKUP("Host",'vInfo (Imported)'!$1:$5000,M2054,FALSE)</f>
        <v>0</v>
      </c>
      <c r="R2054">
        <f>HLOOKUP("CPUs",'vInfo (Imported)'!$1:$5000,M2054,FALSE)</f>
        <v>0</v>
      </c>
      <c r="S2054">
        <f>HLOOKUP("Memory",'vInfo (Imported)'!$1:$5000,M2054,FALSE)</f>
        <v>0</v>
      </c>
      <c r="T2054">
        <f>HLOOKUP("Provisioned MiB",'vInfo (Imported)'!$1:$5000,M2054,FALSE)</f>
        <v>0</v>
      </c>
      <c r="U2054">
        <f t="shared" si="97"/>
        <v>0</v>
      </c>
      <c r="V2054">
        <f>HLOOKUP("In Use MiB",'vInfo (Imported)'!$1:$5000,M2054,FALSE)</f>
        <v>0</v>
      </c>
    </row>
    <row r="2055" spans="1:22" ht="13" x14ac:dyDescent="0.3">
      <c r="A2055" s="46">
        <f>'vHosts (Imported)'!A2055</f>
        <v>0</v>
      </c>
      <c r="B2055" s="51">
        <f t="shared" si="96"/>
        <v>4968</v>
      </c>
      <c r="C2055" s="49">
        <f>HLOOKUP("# Cores",'vHosts (Imported)'!$1:$5000,M2055,FALSE)</f>
        <v>0</v>
      </c>
      <c r="D2055" s="52">
        <f>HLOOKUP("# Memory",'vHosts (Imported)'!$1:$5000,M2055,FALSE)</f>
        <v>0</v>
      </c>
      <c r="M2055" s="45">
        <f t="shared" si="98"/>
        <v>2055</v>
      </c>
      <c r="N2055" s="38">
        <f>HLOOKUP("Host",'vInfo (Imported)'!$1:$5000,M2055,FALSE)</f>
        <v>0</v>
      </c>
      <c r="R2055">
        <f>HLOOKUP("CPUs",'vInfo (Imported)'!$1:$5000,M2055,FALSE)</f>
        <v>0</v>
      </c>
      <c r="S2055">
        <f>HLOOKUP("Memory",'vInfo (Imported)'!$1:$5000,M2055,FALSE)</f>
        <v>0</v>
      </c>
      <c r="T2055">
        <f>HLOOKUP("Provisioned MiB",'vInfo (Imported)'!$1:$5000,M2055,FALSE)</f>
        <v>0</v>
      </c>
      <c r="U2055">
        <f t="shared" si="97"/>
        <v>0</v>
      </c>
      <c r="V2055">
        <f>HLOOKUP("In Use MiB",'vInfo (Imported)'!$1:$5000,M2055,FALSE)</f>
        <v>0</v>
      </c>
    </row>
    <row r="2056" spans="1:22" ht="13" x14ac:dyDescent="0.3">
      <c r="A2056" s="46">
        <f>'vHosts (Imported)'!A2056</f>
        <v>0</v>
      </c>
      <c r="B2056" s="51">
        <f t="shared" si="96"/>
        <v>4968</v>
      </c>
      <c r="C2056" s="49">
        <f>HLOOKUP("# Cores",'vHosts (Imported)'!$1:$5000,M2056,FALSE)</f>
        <v>0</v>
      </c>
      <c r="D2056" s="52">
        <f>HLOOKUP("# Memory",'vHosts (Imported)'!$1:$5000,M2056,FALSE)</f>
        <v>0</v>
      </c>
      <c r="M2056" s="45">
        <f t="shared" si="98"/>
        <v>2056</v>
      </c>
      <c r="N2056" s="38">
        <f>HLOOKUP("Host",'vInfo (Imported)'!$1:$5000,M2056,FALSE)</f>
        <v>0</v>
      </c>
      <c r="R2056">
        <f>HLOOKUP("CPUs",'vInfo (Imported)'!$1:$5000,M2056,FALSE)</f>
        <v>0</v>
      </c>
      <c r="S2056">
        <f>HLOOKUP("Memory",'vInfo (Imported)'!$1:$5000,M2056,FALSE)</f>
        <v>0</v>
      </c>
      <c r="T2056">
        <f>HLOOKUP("Provisioned MiB",'vInfo (Imported)'!$1:$5000,M2056,FALSE)</f>
        <v>0</v>
      </c>
      <c r="U2056">
        <f t="shared" si="97"/>
        <v>0</v>
      </c>
      <c r="V2056">
        <f>HLOOKUP("In Use MiB",'vInfo (Imported)'!$1:$5000,M2056,FALSE)</f>
        <v>0</v>
      </c>
    </row>
    <row r="2057" spans="1:22" ht="13" x14ac:dyDescent="0.3">
      <c r="A2057" s="46">
        <f>'vHosts (Imported)'!A2057</f>
        <v>0</v>
      </c>
      <c r="B2057" s="51">
        <f t="shared" si="96"/>
        <v>4968</v>
      </c>
      <c r="C2057" s="49">
        <f>HLOOKUP("# Cores",'vHosts (Imported)'!$1:$5000,M2057,FALSE)</f>
        <v>0</v>
      </c>
      <c r="D2057" s="52">
        <f>HLOOKUP("# Memory",'vHosts (Imported)'!$1:$5000,M2057,FALSE)</f>
        <v>0</v>
      </c>
      <c r="M2057" s="45">
        <f t="shared" si="98"/>
        <v>2057</v>
      </c>
      <c r="N2057" s="38">
        <f>HLOOKUP("Host",'vInfo (Imported)'!$1:$5000,M2057,FALSE)</f>
        <v>0</v>
      </c>
      <c r="R2057">
        <f>HLOOKUP("CPUs",'vInfo (Imported)'!$1:$5000,M2057,FALSE)</f>
        <v>0</v>
      </c>
      <c r="S2057">
        <f>HLOOKUP("Memory",'vInfo (Imported)'!$1:$5000,M2057,FALSE)</f>
        <v>0</v>
      </c>
      <c r="T2057">
        <f>HLOOKUP("Provisioned MiB",'vInfo (Imported)'!$1:$5000,M2057,FALSE)</f>
        <v>0</v>
      </c>
      <c r="U2057">
        <f t="shared" si="97"/>
        <v>0</v>
      </c>
      <c r="V2057">
        <f>HLOOKUP("In Use MiB",'vInfo (Imported)'!$1:$5000,M2057,FALSE)</f>
        <v>0</v>
      </c>
    </row>
    <row r="2058" spans="1:22" ht="13" x14ac:dyDescent="0.3">
      <c r="A2058" s="46">
        <f>'vHosts (Imported)'!A2058</f>
        <v>0</v>
      </c>
      <c r="B2058" s="51">
        <f t="shared" si="96"/>
        <v>4968</v>
      </c>
      <c r="C2058" s="49">
        <f>HLOOKUP("# Cores",'vHosts (Imported)'!$1:$5000,M2058,FALSE)</f>
        <v>0</v>
      </c>
      <c r="D2058" s="52">
        <f>HLOOKUP("# Memory",'vHosts (Imported)'!$1:$5000,M2058,FALSE)</f>
        <v>0</v>
      </c>
      <c r="M2058" s="45">
        <f t="shared" si="98"/>
        <v>2058</v>
      </c>
      <c r="N2058" s="38">
        <f>HLOOKUP("Host",'vInfo (Imported)'!$1:$5000,M2058,FALSE)</f>
        <v>0</v>
      </c>
      <c r="R2058">
        <f>HLOOKUP("CPUs",'vInfo (Imported)'!$1:$5000,M2058,FALSE)</f>
        <v>0</v>
      </c>
      <c r="S2058">
        <f>HLOOKUP("Memory",'vInfo (Imported)'!$1:$5000,M2058,FALSE)</f>
        <v>0</v>
      </c>
      <c r="T2058">
        <f>HLOOKUP("Provisioned MiB",'vInfo (Imported)'!$1:$5000,M2058,FALSE)</f>
        <v>0</v>
      </c>
      <c r="U2058">
        <f t="shared" si="97"/>
        <v>0</v>
      </c>
      <c r="V2058">
        <f>HLOOKUP("In Use MiB",'vInfo (Imported)'!$1:$5000,M2058,FALSE)</f>
        <v>0</v>
      </c>
    </row>
    <row r="2059" spans="1:22" ht="13" x14ac:dyDescent="0.3">
      <c r="A2059" s="46">
        <f>'vHosts (Imported)'!A2059</f>
        <v>0</v>
      </c>
      <c r="B2059" s="51">
        <f t="shared" si="96"/>
        <v>4968</v>
      </c>
      <c r="C2059" s="49">
        <f>HLOOKUP("# Cores",'vHosts (Imported)'!$1:$5000,M2059,FALSE)</f>
        <v>0</v>
      </c>
      <c r="D2059" s="52">
        <f>HLOOKUP("# Memory",'vHosts (Imported)'!$1:$5000,M2059,FALSE)</f>
        <v>0</v>
      </c>
      <c r="M2059" s="45">
        <f t="shared" si="98"/>
        <v>2059</v>
      </c>
      <c r="N2059" s="38">
        <f>HLOOKUP("Host",'vInfo (Imported)'!$1:$5000,M2059,FALSE)</f>
        <v>0</v>
      </c>
      <c r="R2059">
        <f>HLOOKUP("CPUs",'vInfo (Imported)'!$1:$5000,M2059,FALSE)</f>
        <v>0</v>
      </c>
      <c r="S2059">
        <f>HLOOKUP("Memory",'vInfo (Imported)'!$1:$5000,M2059,FALSE)</f>
        <v>0</v>
      </c>
      <c r="T2059">
        <f>HLOOKUP("Provisioned MiB",'vInfo (Imported)'!$1:$5000,M2059,FALSE)</f>
        <v>0</v>
      </c>
      <c r="U2059">
        <f t="shared" si="97"/>
        <v>0</v>
      </c>
      <c r="V2059">
        <f>HLOOKUP("In Use MiB",'vInfo (Imported)'!$1:$5000,M2059,FALSE)</f>
        <v>0</v>
      </c>
    </row>
    <row r="2060" spans="1:22" ht="13" x14ac:dyDescent="0.3">
      <c r="A2060" s="46">
        <f>'vHosts (Imported)'!A2060</f>
        <v>0</v>
      </c>
      <c r="B2060" s="51">
        <f t="shared" si="96"/>
        <v>4968</v>
      </c>
      <c r="C2060" s="49">
        <f>HLOOKUP("# Cores",'vHosts (Imported)'!$1:$5000,M2060,FALSE)</f>
        <v>0</v>
      </c>
      <c r="D2060" s="52">
        <f>HLOOKUP("# Memory",'vHosts (Imported)'!$1:$5000,M2060,FALSE)</f>
        <v>0</v>
      </c>
      <c r="M2060" s="45">
        <f t="shared" si="98"/>
        <v>2060</v>
      </c>
      <c r="N2060" s="38">
        <f>HLOOKUP("Host",'vInfo (Imported)'!$1:$5000,M2060,FALSE)</f>
        <v>0</v>
      </c>
      <c r="R2060">
        <f>HLOOKUP("CPUs",'vInfo (Imported)'!$1:$5000,M2060,FALSE)</f>
        <v>0</v>
      </c>
      <c r="S2060">
        <f>HLOOKUP("Memory",'vInfo (Imported)'!$1:$5000,M2060,FALSE)</f>
        <v>0</v>
      </c>
      <c r="T2060">
        <f>HLOOKUP("Provisioned MiB",'vInfo (Imported)'!$1:$5000,M2060,FALSE)</f>
        <v>0</v>
      </c>
      <c r="U2060">
        <f t="shared" si="97"/>
        <v>0</v>
      </c>
      <c r="V2060">
        <f>HLOOKUP("In Use MiB",'vInfo (Imported)'!$1:$5000,M2060,FALSE)</f>
        <v>0</v>
      </c>
    </row>
    <row r="2061" spans="1:22" ht="13" x14ac:dyDescent="0.3">
      <c r="A2061" s="46">
        <f>'vHosts (Imported)'!A2061</f>
        <v>0</v>
      </c>
      <c r="B2061" s="51">
        <f t="shared" si="96"/>
        <v>4968</v>
      </c>
      <c r="C2061" s="49">
        <f>HLOOKUP("# Cores",'vHosts (Imported)'!$1:$5000,M2061,FALSE)</f>
        <v>0</v>
      </c>
      <c r="D2061" s="52">
        <f>HLOOKUP("# Memory",'vHosts (Imported)'!$1:$5000,M2061,FALSE)</f>
        <v>0</v>
      </c>
      <c r="M2061" s="45">
        <f t="shared" si="98"/>
        <v>2061</v>
      </c>
      <c r="N2061" s="38">
        <f>HLOOKUP("Host",'vInfo (Imported)'!$1:$5000,M2061,FALSE)</f>
        <v>0</v>
      </c>
      <c r="R2061">
        <f>HLOOKUP("CPUs",'vInfo (Imported)'!$1:$5000,M2061,FALSE)</f>
        <v>0</v>
      </c>
      <c r="S2061">
        <f>HLOOKUP("Memory",'vInfo (Imported)'!$1:$5000,M2061,FALSE)</f>
        <v>0</v>
      </c>
      <c r="T2061">
        <f>HLOOKUP("Provisioned MiB",'vInfo (Imported)'!$1:$5000,M2061,FALSE)</f>
        <v>0</v>
      </c>
      <c r="U2061">
        <f t="shared" si="97"/>
        <v>0</v>
      </c>
      <c r="V2061">
        <f>HLOOKUP("In Use MiB",'vInfo (Imported)'!$1:$5000,M2061,FALSE)</f>
        <v>0</v>
      </c>
    </row>
    <row r="2062" spans="1:22" ht="13" x14ac:dyDescent="0.3">
      <c r="A2062" s="46">
        <f>'vHosts (Imported)'!A2062</f>
        <v>0</v>
      </c>
      <c r="B2062" s="51">
        <f t="shared" si="96"/>
        <v>4968</v>
      </c>
      <c r="C2062" s="49">
        <f>HLOOKUP("# Cores",'vHosts (Imported)'!$1:$5000,M2062,FALSE)</f>
        <v>0</v>
      </c>
      <c r="D2062" s="52">
        <f>HLOOKUP("# Memory",'vHosts (Imported)'!$1:$5000,M2062,FALSE)</f>
        <v>0</v>
      </c>
      <c r="M2062" s="45">
        <f t="shared" si="98"/>
        <v>2062</v>
      </c>
      <c r="N2062" s="38">
        <f>HLOOKUP("Host",'vInfo (Imported)'!$1:$5000,M2062,FALSE)</f>
        <v>0</v>
      </c>
      <c r="R2062">
        <f>HLOOKUP("CPUs",'vInfo (Imported)'!$1:$5000,M2062,FALSE)</f>
        <v>0</v>
      </c>
      <c r="S2062">
        <f>HLOOKUP("Memory",'vInfo (Imported)'!$1:$5000,M2062,FALSE)</f>
        <v>0</v>
      </c>
      <c r="T2062">
        <f>HLOOKUP("Provisioned MiB",'vInfo (Imported)'!$1:$5000,M2062,FALSE)</f>
        <v>0</v>
      </c>
      <c r="U2062">
        <f t="shared" si="97"/>
        <v>0</v>
      </c>
      <c r="V2062">
        <f>HLOOKUP("In Use MiB",'vInfo (Imported)'!$1:$5000,M2062,FALSE)</f>
        <v>0</v>
      </c>
    </row>
    <row r="2063" spans="1:22" ht="13" x14ac:dyDescent="0.3">
      <c r="A2063" s="46">
        <f>'vHosts (Imported)'!A2063</f>
        <v>0</v>
      </c>
      <c r="B2063" s="51">
        <f t="shared" si="96"/>
        <v>4968</v>
      </c>
      <c r="C2063" s="49">
        <f>HLOOKUP("# Cores",'vHosts (Imported)'!$1:$5000,M2063,FALSE)</f>
        <v>0</v>
      </c>
      <c r="D2063" s="52">
        <f>HLOOKUP("# Memory",'vHosts (Imported)'!$1:$5000,M2063,FALSE)</f>
        <v>0</v>
      </c>
      <c r="M2063" s="45">
        <f t="shared" si="98"/>
        <v>2063</v>
      </c>
      <c r="N2063" s="38">
        <f>HLOOKUP("Host",'vInfo (Imported)'!$1:$5000,M2063,FALSE)</f>
        <v>0</v>
      </c>
      <c r="R2063">
        <f>HLOOKUP("CPUs",'vInfo (Imported)'!$1:$5000,M2063,FALSE)</f>
        <v>0</v>
      </c>
      <c r="S2063">
        <f>HLOOKUP("Memory",'vInfo (Imported)'!$1:$5000,M2063,FALSE)</f>
        <v>0</v>
      </c>
      <c r="T2063">
        <f>HLOOKUP("Provisioned MiB",'vInfo (Imported)'!$1:$5000,M2063,FALSE)</f>
        <v>0</v>
      </c>
      <c r="U2063">
        <f t="shared" si="97"/>
        <v>0</v>
      </c>
      <c r="V2063">
        <f>HLOOKUP("In Use MiB",'vInfo (Imported)'!$1:$5000,M2063,FALSE)</f>
        <v>0</v>
      </c>
    </row>
    <row r="2064" spans="1:22" ht="13" x14ac:dyDescent="0.3">
      <c r="A2064" s="46">
        <f>'vHosts (Imported)'!A2064</f>
        <v>0</v>
      </c>
      <c r="B2064" s="51">
        <f t="shared" si="96"/>
        <v>4968</v>
      </c>
      <c r="C2064" s="49">
        <f>HLOOKUP("# Cores",'vHosts (Imported)'!$1:$5000,M2064,FALSE)</f>
        <v>0</v>
      </c>
      <c r="D2064" s="52">
        <f>HLOOKUP("# Memory",'vHosts (Imported)'!$1:$5000,M2064,FALSE)</f>
        <v>0</v>
      </c>
      <c r="M2064" s="45">
        <f t="shared" si="98"/>
        <v>2064</v>
      </c>
      <c r="N2064" s="38">
        <f>HLOOKUP("Host",'vInfo (Imported)'!$1:$5000,M2064,FALSE)</f>
        <v>0</v>
      </c>
      <c r="R2064">
        <f>HLOOKUP("CPUs",'vInfo (Imported)'!$1:$5000,M2064,FALSE)</f>
        <v>0</v>
      </c>
      <c r="S2064">
        <f>HLOOKUP("Memory",'vInfo (Imported)'!$1:$5000,M2064,FALSE)</f>
        <v>0</v>
      </c>
      <c r="T2064">
        <f>HLOOKUP("Provisioned MiB",'vInfo (Imported)'!$1:$5000,M2064,FALSE)</f>
        <v>0</v>
      </c>
      <c r="U2064">
        <f t="shared" si="97"/>
        <v>0</v>
      </c>
      <c r="V2064">
        <f>HLOOKUP("In Use MiB",'vInfo (Imported)'!$1:$5000,M2064,FALSE)</f>
        <v>0</v>
      </c>
    </row>
    <row r="2065" spans="1:22" ht="13" x14ac:dyDescent="0.3">
      <c r="A2065" s="46">
        <f>'vHosts (Imported)'!A2065</f>
        <v>0</v>
      </c>
      <c r="B2065" s="51">
        <f t="shared" si="96"/>
        <v>4968</v>
      </c>
      <c r="C2065" s="49">
        <f>HLOOKUP("# Cores",'vHosts (Imported)'!$1:$5000,M2065,FALSE)</f>
        <v>0</v>
      </c>
      <c r="D2065" s="52">
        <f>HLOOKUP("# Memory",'vHosts (Imported)'!$1:$5000,M2065,FALSE)</f>
        <v>0</v>
      </c>
      <c r="M2065" s="45">
        <f t="shared" si="98"/>
        <v>2065</v>
      </c>
      <c r="N2065" s="38">
        <f>HLOOKUP("Host",'vInfo (Imported)'!$1:$5000,M2065,FALSE)</f>
        <v>0</v>
      </c>
      <c r="R2065">
        <f>HLOOKUP("CPUs",'vInfo (Imported)'!$1:$5000,M2065,FALSE)</f>
        <v>0</v>
      </c>
      <c r="S2065">
        <f>HLOOKUP("Memory",'vInfo (Imported)'!$1:$5000,M2065,FALSE)</f>
        <v>0</v>
      </c>
      <c r="T2065">
        <f>HLOOKUP("Provisioned MiB",'vInfo (Imported)'!$1:$5000,M2065,FALSE)</f>
        <v>0</v>
      </c>
      <c r="U2065">
        <f t="shared" si="97"/>
        <v>0</v>
      </c>
      <c r="V2065">
        <f>HLOOKUP("In Use MiB",'vInfo (Imported)'!$1:$5000,M2065,FALSE)</f>
        <v>0</v>
      </c>
    </row>
    <row r="2066" spans="1:22" ht="13" x14ac:dyDescent="0.3">
      <c r="A2066" s="46">
        <f>'vHosts (Imported)'!A2066</f>
        <v>0</v>
      </c>
      <c r="B2066" s="51">
        <f t="shared" si="96"/>
        <v>4968</v>
      </c>
      <c r="C2066" s="49">
        <f>HLOOKUP("# Cores",'vHosts (Imported)'!$1:$5000,M2066,FALSE)</f>
        <v>0</v>
      </c>
      <c r="D2066" s="52">
        <f>HLOOKUP("# Memory",'vHosts (Imported)'!$1:$5000,M2066,FALSE)</f>
        <v>0</v>
      </c>
      <c r="M2066" s="45">
        <f t="shared" si="98"/>
        <v>2066</v>
      </c>
      <c r="N2066" s="38">
        <f>HLOOKUP("Host",'vInfo (Imported)'!$1:$5000,M2066,FALSE)</f>
        <v>0</v>
      </c>
      <c r="R2066">
        <f>HLOOKUP("CPUs",'vInfo (Imported)'!$1:$5000,M2066,FALSE)</f>
        <v>0</v>
      </c>
      <c r="S2066">
        <f>HLOOKUP("Memory",'vInfo (Imported)'!$1:$5000,M2066,FALSE)</f>
        <v>0</v>
      </c>
      <c r="T2066">
        <f>HLOOKUP("Provisioned MiB",'vInfo (Imported)'!$1:$5000,M2066,FALSE)</f>
        <v>0</v>
      </c>
      <c r="U2066">
        <f t="shared" si="97"/>
        <v>0</v>
      </c>
      <c r="V2066">
        <f>HLOOKUP("In Use MiB",'vInfo (Imported)'!$1:$5000,M2066,FALSE)</f>
        <v>0</v>
      </c>
    </row>
    <row r="2067" spans="1:22" ht="13" x14ac:dyDescent="0.3">
      <c r="A2067" s="46">
        <f>'vHosts (Imported)'!A2067</f>
        <v>0</v>
      </c>
      <c r="B2067" s="51">
        <f t="shared" si="96"/>
        <v>4968</v>
      </c>
      <c r="C2067" s="49">
        <f>HLOOKUP("# Cores",'vHosts (Imported)'!$1:$5000,M2067,FALSE)</f>
        <v>0</v>
      </c>
      <c r="D2067" s="52">
        <f>HLOOKUP("# Memory",'vHosts (Imported)'!$1:$5000,M2067,FALSE)</f>
        <v>0</v>
      </c>
      <c r="M2067" s="45">
        <f t="shared" si="98"/>
        <v>2067</v>
      </c>
      <c r="N2067" s="38">
        <f>HLOOKUP("Host",'vInfo (Imported)'!$1:$5000,M2067,FALSE)</f>
        <v>0</v>
      </c>
      <c r="R2067">
        <f>HLOOKUP("CPUs",'vInfo (Imported)'!$1:$5000,M2067,FALSE)</f>
        <v>0</v>
      </c>
      <c r="S2067">
        <f>HLOOKUP("Memory",'vInfo (Imported)'!$1:$5000,M2067,FALSE)</f>
        <v>0</v>
      </c>
      <c r="T2067">
        <f>HLOOKUP("Provisioned MiB",'vInfo (Imported)'!$1:$5000,M2067,FALSE)</f>
        <v>0</v>
      </c>
      <c r="U2067">
        <f t="shared" si="97"/>
        <v>0</v>
      </c>
      <c r="V2067">
        <f>HLOOKUP("In Use MiB",'vInfo (Imported)'!$1:$5000,M2067,FALSE)</f>
        <v>0</v>
      </c>
    </row>
    <row r="2068" spans="1:22" ht="13" x14ac:dyDescent="0.3">
      <c r="A2068" s="46">
        <f>'vHosts (Imported)'!A2068</f>
        <v>0</v>
      </c>
      <c r="B2068" s="51">
        <f t="shared" si="96"/>
        <v>4968</v>
      </c>
      <c r="C2068" s="49">
        <f>HLOOKUP("# Cores",'vHosts (Imported)'!$1:$5000,M2068,FALSE)</f>
        <v>0</v>
      </c>
      <c r="D2068" s="52">
        <f>HLOOKUP("# Memory",'vHosts (Imported)'!$1:$5000,M2068,FALSE)</f>
        <v>0</v>
      </c>
      <c r="M2068" s="45">
        <f t="shared" si="98"/>
        <v>2068</v>
      </c>
      <c r="N2068" s="38">
        <f>HLOOKUP("Host",'vInfo (Imported)'!$1:$5000,M2068,FALSE)</f>
        <v>0</v>
      </c>
      <c r="R2068">
        <f>HLOOKUP("CPUs",'vInfo (Imported)'!$1:$5000,M2068,FALSE)</f>
        <v>0</v>
      </c>
      <c r="S2068">
        <f>HLOOKUP("Memory",'vInfo (Imported)'!$1:$5000,M2068,FALSE)</f>
        <v>0</v>
      </c>
      <c r="T2068">
        <f>HLOOKUP("Provisioned MiB",'vInfo (Imported)'!$1:$5000,M2068,FALSE)</f>
        <v>0</v>
      </c>
      <c r="U2068">
        <f t="shared" si="97"/>
        <v>0</v>
      </c>
      <c r="V2068">
        <f>HLOOKUP("In Use MiB",'vInfo (Imported)'!$1:$5000,M2068,FALSE)</f>
        <v>0</v>
      </c>
    </row>
    <row r="2069" spans="1:22" ht="13" x14ac:dyDescent="0.3">
      <c r="A2069" s="46">
        <f>'vHosts (Imported)'!A2069</f>
        <v>0</v>
      </c>
      <c r="B2069" s="51">
        <f t="shared" si="96"/>
        <v>4968</v>
      </c>
      <c r="C2069" s="49">
        <f>HLOOKUP("# Cores",'vHosts (Imported)'!$1:$5000,M2069,FALSE)</f>
        <v>0</v>
      </c>
      <c r="D2069" s="52">
        <f>HLOOKUP("# Memory",'vHosts (Imported)'!$1:$5000,M2069,FALSE)</f>
        <v>0</v>
      </c>
      <c r="M2069" s="45">
        <f t="shared" si="98"/>
        <v>2069</v>
      </c>
      <c r="N2069" s="38">
        <f>HLOOKUP("Host",'vInfo (Imported)'!$1:$5000,M2069,FALSE)</f>
        <v>0</v>
      </c>
      <c r="R2069">
        <f>HLOOKUP("CPUs",'vInfo (Imported)'!$1:$5000,M2069,FALSE)</f>
        <v>0</v>
      </c>
      <c r="S2069">
        <f>HLOOKUP("Memory",'vInfo (Imported)'!$1:$5000,M2069,FALSE)</f>
        <v>0</v>
      </c>
      <c r="T2069">
        <f>HLOOKUP("Provisioned MiB",'vInfo (Imported)'!$1:$5000,M2069,FALSE)</f>
        <v>0</v>
      </c>
      <c r="U2069">
        <f t="shared" si="97"/>
        <v>0</v>
      </c>
      <c r="V2069">
        <f>HLOOKUP("In Use MiB",'vInfo (Imported)'!$1:$5000,M2069,FALSE)</f>
        <v>0</v>
      </c>
    </row>
    <row r="2070" spans="1:22" ht="13" x14ac:dyDescent="0.3">
      <c r="A2070" s="46">
        <f>'vHosts (Imported)'!A2070</f>
        <v>0</v>
      </c>
      <c r="B2070" s="51">
        <f t="shared" si="96"/>
        <v>4968</v>
      </c>
      <c r="C2070" s="49">
        <f>HLOOKUP("# Cores",'vHosts (Imported)'!$1:$5000,M2070,FALSE)</f>
        <v>0</v>
      </c>
      <c r="D2070" s="52">
        <f>HLOOKUP("# Memory",'vHosts (Imported)'!$1:$5000,M2070,FALSE)</f>
        <v>0</v>
      </c>
      <c r="M2070" s="45">
        <f t="shared" si="98"/>
        <v>2070</v>
      </c>
      <c r="N2070" s="38">
        <f>HLOOKUP("Host",'vInfo (Imported)'!$1:$5000,M2070,FALSE)</f>
        <v>0</v>
      </c>
      <c r="R2070">
        <f>HLOOKUP("CPUs",'vInfo (Imported)'!$1:$5000,M2070,FALSE)</f>
        <v>0</v>
      </c>
      <c r="S2070">
        <f>HLOOKUP("Memory",'vInfo (Imported)'!$1:$5000,M2070,FALSE)</f>
        <v>0</v>
      </c>
      <c r="T2070">
        <f>HLOOKUP("Provisioned MiB",'vInfo (Imported)'!$1:$5000,M2070,FALSE)</f>
        <v>0</v>
      </c>
      <c r="U2070">
        <f t="shared" si="97"/>
        <v>0</v>
      </c>
      <c r="V2070">
        <f>HLOOKUP("In Use MiB",'vInfo (Imported)'!$1:$5000,M2070,FALSE)</f>
        <v>0</v>
      </c>
    </row>
    <row r="2071" spans="1:22" ht="13" x14ac:dyDescent="0.3">
      <c r="A2071" s="46">
        <f>'vHosts (Imported)'!A2071</f>
        <v>0</v>
      </c>
      <c r="B2071" s="51">
        <f t="shared" si="96"/>
        <v>4968</v>
      </c>
      <c r="C2071" s="49">
        <f>HLOOKUP("# Cores",'vHosts (Imported)'!$1:$5000,M2071,FALSE)</f>
        <v>0</v>
      </c>
      <c r="D2071" s="52">
        <f>HLOOKUP("# Memory",'vHosts (Imported)'!$1:$5000,M2071,FALSE)</f>
        <v>0</v>
      </c>
      <c r="M2071" s="45">
        <f t="shared" si="98"/>
        <v>2071</v>
      </c>
      <c r="N2071" s="38">
        <f>HLOOKUP("Host",'vInfo (Imported)'!$1:$5000,M2071,FALSE)</f>
        <v>0</v>
      </c>
      <c r="R2071">
        <f>HLOOKUP("CPUs",'vInfo (Imported)'!$1:$5000,M2071,FALSE)</f>
        <v>0</v>
      </c>
      <c r="S2071">
        <f>HLOOKUP("Memory",'vInfo (Imported)'!$1:$5000,M2071,FALSE)</f>
        <v>0</v>
      </c>
      <c r="T2071">
        <f>HLOOKUP("Provisioned MiB",'vInfo (Imported)'!$1:$5000,M2071,FALSE)</f>
        <v>0</v>
      </c>
      <c r="U2071">
        <f t="shared" si="97"/>
        <v>0</v>
      </c>
      <c r="V2071">
        <f>HLOOKUP("In Use MiB",'vInfo (Imported)'!$1:$5000,M2071,FALSE)</f>
        <v>0</v>
      </c>
    </row>
    <row r="2072" spans="1:22" ht="13" x14ac:dyDescent="0.3">
      <c r="A2072" s="46">
        <f>'vHosts (Imported)'!A2072</f>
        <v>0</v>
      </c>
      <c r="B2072" s="51">
        <f t="shared" si="96"/>
        <v>4968</v>
      </c>
      <c r="C2072" s="49">
        <f>HLOOKUP("# Cores",'vHosts (Imported)'!$1:$5000,M2072,FALSE)</f>
        <v>0</v>
      </c>
      <c r="D2072" s="52">
        <f>HLOOKUP("# Memory",'vHosts (Imported)'!$1:$5000,M2072,FALSE)</f>
        <v>0</v>
      </c>
      <c r="M2072" s="45">
        <f t="shared" si="98"/>
        <v>2072</v>
      </c>
      <c r="N2072" s="38">
        <f>HLOOKUP("Host",'vInfo (Imported)'!$1:$5000,M2072,FALSE)</f>
        <v>0</v>
      </c>
      <c r="R2072">
        <f>HLOOKUP("CPUs",'vInfo (Imported)'!$1:$5000,M2072,FALSE)</f>
        <v>0</v>
      </c>
      <c r="S2072">
        <f>HLOOKUP("Memory",'vInfo (Imported)'!$1:$5000,M2072,FALSE)</f>
        <v>0</v>
      </c>
      <c r="T2072">
        <f>HLOOKUP("Provisioned MiB",'vInfo (Imported)'!$1:$5000,M2072,FALSE)</f>
        <v>0</v>
      </c>
      <c r="U2072">
        <f t="shared" si="97"/>
        <v>0</v>
      </c>
      <c r="V2072">
        <f>HLOOKUP("In Use MiB",'vInfo (Imported)'!$1:$5000,M2072,FALSE)</f>
        <v>0</v>
      </c>
    </row>
    <row r="2073" spans="1:22" ht="13" x14ac:dyDescent="0.3">
      <c r="A2073" s="46">
        <f>'vHosts (Imported)'!A2073</f>
        <v>0</v>
      </c>
      <c r="B2073" s="51">
        <f t="shared" si="96"/>
        <v>4968</v>
      </c>
      <c r="C2073" s="49">
        <f>HLOOKUP("# Cores",'vHosts (Imported)'!$1:$5000,M2073,FALSE)</f>
        <v>0</v>
      </c>
      <c r="D2073" s="52">
        <f>HLOOKUP("# Memory",'vHosts (Imported)'!$1:$5000,M2073,FALSE)</f>
        <v>0</v>
      </c>
      <c r="M2073" s="45">
        <f t="shared" si="98"/>
        <v>2073</v>
      </c>
      <c r="N2073" s="38">
        <f>HLOOKUP("Host",'vInfo (Imported)'!$1:$5000,M2073,FALSE)</f>
        <v>0</v>
      </c>
      <c r="R2073">
        <f>HLOOKUP("CPUs",'vInfo (Imported)'!$1:$5000,M2073,FALSE)</f>
        <v>0</v>
      </c>
      <c r="S2073">
        <f>HLOOKUP("Memory",'vInfo (Imported)'!$1:$5000,M2073,FALSE)</f>
        <v>0</v>
      </c>
      <c r="T2073">
        <f>HLOOKUP("Provisioned MiB",'vInfo (Imported)'!$1:$5000,M2073,FALSE)</f>
        <v>0</v>
      </c>
      <c r="U2073">
        <f t="shared" si="97"/>
        <v>0</v>
      </c>
      <c r="V2073">
        <f>HLOOKUP("In Use MiB",'vInfo (Imported)'!$1:$5000,M2073,FALSE)</f>
        <v>0</v>
      </c>
    </row>
    <row r="2074" spans="1:22" ht="13" x14ac:dyDescent="0.3">
      <c r="A2074" s="46">
        <f>'vHosts (Imported)'!A2074</f>
        <v>0</v>
      </c>
      <c r="B2074" s="51">
        <f t="shared" si="96"/>
        <v>4968</v>
      </c>
      <c r="C2074" s="49">
        <f>HLOOKUP("# Cores",'vHosts (Imported)'!$1:$5000,M2074,FALSE)</f>
        <v>0</v>
      </c>
      <c r="D2074" s="52">
        <f>HLOOKUP("# Memory",'vHosts (Imported)'!$1:$5000,M2074,FALSE)</f>
        <v>0</v>
      </c>
      <c r="M2074" s="45">
        <f t="shared" si="98"/>
        <v>2074</v>
      </c>
      <c r="N2074" s="38">
        <f>HLOOKUP("Host",'vInfo (Imported)'!$1:$5000,M2074,FALSE)</f>
        <v>0</v>
      </c>
      <c r="R2074">
        <f>HLOOKUP("CPUs",'vInfo (Imported)'!$1:$5000,M2074,FALSE)</f>
        <v>0</v>
      </c>
      <c r="S2074">
        <f>HLOOKUP("Memory",'vInfo (Imported)'!$1:$5000,M2074,FALSE)</f>
        <v>0</v>
      </c>
      <c r="T2074">
        <f>HLOOKUP("Provisioned MiB",'vInfo (Imported)'!$1:$5000,M2074,FALSE)</f>
        <v>0</v>
      </c>
      <c r="U2074">
        <f t="shared" si="97"/>
        <v>0</v>
      </c>
      <c r="V2074">
        <f>HLOOKUP("In Use MiB",'vInfo (Imported)'!$1:$5000,M2074,FALSE)</f>
        <v>0</v>
      </c>
    </row>
    <row r="2075" spans="1:22" ht="13" x14ac:dyDescent="0.3">
      <c r="A2075" s="46">
        <f>'vHosts (Imported)'!A2075</f>
        <v>0</v>
      </c>
      <c r="B2075" s="51">
        <f t="shared" si="96"/>
        <v>4968</v>
      </c>
      <c r="C2075" s="49">
        <f>HLOOKUP("# Cores",'vHosts (Imported)'!$1:$5000,M2075,FALSE)</f>
        <v>0</v>
      </c>
      <c r="D2075" s="52">
        <f>HLOOKUP("# Memory",'vHosts (Imported)'!$1:$5000,M2075,FALSE)</f>
        <v>0</v>
      </c>
      <c r="M2075" s="45">
        <f t="shared" si="98"/>
        <v>2075</v>
      </c>
      <c r="N2075" s="38">
        <f>HLOOKUP("Host",'vInfo (Imported)'!$1:$5000,M2075,FALSE)</f>
        <v>0</v>
      </c>
      <c r="R2075">
        <f>HLOOKUP("CPUs",'vInfo (Imported)'!$1:$5000,M2075,FALSE)</f>
        <v>0</v>
      </c>
      <c r="S2075">
        <f>HLOOKUP("Memory",'vInfo (Imported)'!$1:$5000,M2075,FALSE)</f>
        <v>0</v>
      </c>
      <c r="T2075">
        <f>HLOOKUP("Provisioned MiB",'vInfo (Imported)'!$1:$5000,M2075,FALSE)</f>
        <v>0</v>
      </c>
      <c r="U2075">
        <f t="shared" si="97"/>
        <v>0</v>
      </c>
      <c r="V2075">
        <f>HLOOKUP("In Use MiB",'vInfo (Imported)'!$1:$5000,M2075,FALSE)</f>
        <v>0</v>
      </c>
    </row>
    <row r="2076" spans="1:22" ht="13" x14ac:dyDescent="0.3">
      <c r="A2076" s="46">
        <f>'vHosts (Imported)'!A2076</f>
        <v>0</v>
      </c>
      <c r="B2076" s="51">
        <f t="shared" si="96"/>
        <v>4968</v>
      </c>
      <c r="C2076" s="49">
        <f>HLOOKUP("# Cores",'vHosts (Imported)'!$1:$5000,M2076,FALSE)</f>
        <v>0</v>
      </c>
      <c r="D2076" s="52">
        <f>HLOOKUP("# Memory",'vHosts (Imported)'!$1:$5000,M2076,FALSE)</f>
        <v>0</v>
      </c>
      <c r="M2076" s="45">
        <f t="shared" si="98"/>
        <v>2076</v>
      </c>
      <c r="N2076" s="38">
        <f>HLOOKUP("Host",'vInfo (Imported)'!$1:$5000,M2076,FALSE)</f>
        <v>0</v>
      </c>
      <c r="R2076">
        <f>HLOOKUP("CPUs",'vInfo (Imported)'!$1:$5000,M2076,FALSE)</f>
        <v>0</v>
      </c>
      <c r="S2076">
        <f>HLOOKUP("Memory",'vInfo (Imported)'!$1:$5000,M2076,FALSE)</f>
        <v>0</v>
      </c>
      <c r="T2076">
        <f>HLOOKUP("Provisioned MiB",'vInfo (Imported)'!$1:$5000,M2076,FALSE)</f>
        <v>0</v>
      </c>
      <c r="U2076">
        <f t="shared" si="97"/>
        <v>0</v>
      </c>
      <c r="V2076">
        <f>HLOOKUP("In Use MiB",'vInfo (Imported)'!$1:$5000,M2076,FALSE)</f>
        <v>0</v>
      </c>
    </row>
    <row r="2077" spans="1:22" ht="13" x14ac:dyDescent="0.3">
      <c r="A2077" s="46">
        <f>'vHosts (Imported)'!A2077</f>
        <v>0</v>
      </c>
      <c r="B2077" s="51">
        <f t="shared" si="96"/>
        <v>4968</v>
      </c>
      <c r="C2077" s="49">
        <f>HLOOKUP("# Cores",'vHosts (Imported)'!$1:$5000,M2077,FALSE)</f>
        <v>0</v>
      </c>
      <c r="D2077" s="52">
        <f>HLOOKUP("# Memory",'vHosts (Imported)'!$1:$5000,M2077,FALSE)</f>
        <v>0</v>
      </c>
      <c r="M2077" s="45">
        <f t="shared" si="98"/>
        <v>2077</v>
      </c>
      <c r="N2077" s="38">
        <f>HLOOKUP("Host",'vInfo (Imported)'!$1:$5000,M2077,FALSE)</f>
        <v>0</v>
      </c>
      <c r="R2077">
        <f>HLOOKUP("CPUs",'vInfo (Imported)'!$1:$5000,M2077,FALSE)</f>
        <v>0</v>
      </c>
      <c r="S2077">
        <f>HLOOKUP("Memory",'vInfo (Imported)'!$1:$5000,M2077,FALSE)</f>
        <v>0</v>
      </c>
      <c r="T2077">
        <f>HLOOKUP("Provisioned MiB",'vInfo (Imported)'!$1:$5000,M2077,FALSE)</f>
        <v>0</v>
      </c>
      <c r="U2077">
        <f t="shared" si="97"/>
        <v>0</v>
      </c>
      <c r="V2077">
        <f>HLOOKUP("In Use MiB",'vInfo (Imported)'!$1:$5000,M2077,FALSE)</f>
        <v>0</v>
      </c>
    </row>
    <row r="2078" spans="1:22" ht="13" x14ac:dyDescent="0.3">
      <c r="A2078" s="46">
        <f>'vHosts (Imported)'!A2078</f>
        <v>0</v>
      </c>
      <c r="B2078" s="51">
        <f t="shared" si="96"/>
        <v>4968</v>
      </c>
      <c r="C2078" s="49">
        <f>HLOOKUP("# Cores",'vHosts (Imported)'!$1:$5000,M2078,FALSE)</f>
        <v>0</v>
      </c>
      <c r="D2078" s="52">
        <f>HLOOKUP("# Memory",'vHosts (Imported)'!$1:$5000,M2078,FALSE)</f>
        <v>0</v>
      </c>
      <c r="M2078" s="45">
        <f t="shared" si="98"/>
        <v>2078</v>
      </c>
      <c r="N2078" s="38">
        <f>HLOOKUP("Host",'vInfo (Imported)'!$1:$5000,M2078,FALSE)</f>
        <v>0</v>
      </c>
      <c r="R2078">
        <f>HLOOKUP("CPUs",'vInfo (Imported)'!$1:$5000,M2078,FALSE)</f>
        <v>0</v>
      </c>
      <c r="S2078">
        <f>HLOOKUP("Memory",'vInfo (Imported)'!$1:$5000,M2078,FALSE)</f>
        <v>0</v>
      </c>
      <c r="T2078">
        <f>HLOOKUP("Provisioned MiB",'vInfo (Imported)'!$1:$5000,M2078,FALSE)</f>
        <v>0</v>
      </c>
      <c r="U2078">
        <f t="shared" si="97"/>
        <v>0</v>
      </c>
      <c r="V2078">
        <f>HLOOKUP("In Use MiB",'vInfo (Imported)'!$1:$5000,M2078,FALSE)</f>
        <v>0</v>
      </c>
    </row>
    <row r="2079" spans="1:22" ht="13" x14ac:dyDescent="0.3">
      <c r="A2079" s="46">
        <f>'vHosts (Imported)'!A2079</f>
        <v>0</v>
      </c>
      <c r="B2079" s="51">
        <f t="shared" si="96"/>
        <v>4968</v>
      </c>
      <c r="C2079" s="49">
        <f>HLOOKUP("# Cores",'vHosts (Imported)'!$1:$5000,M2079,FALSE)</f>
        <v>0</v>
      </c>
      <c r="D2079" s="52">
        <f>HLOOKUP("# Memory",'vHosts (Imported)'!$1:$5000,M2079,FALSE)</f>
        <v>0</v>
      </c>
      <c r="M2079" s="45">
        <f t="shared" si="98"/>
        <v>2079</v>
      </c>
      <c r="N2079" s="38">
        <f>HLOOKUP("Host",'vInfo (Imported)'!$1:$5000,M2079,FALSE)</f>
        <v>0</v>
      </c>
      <c r="R2079">
        <f>HLOOKUP("CPUs",'vInfo (Imported)'!$1:$5000,M2079,FALSE)</f>
        <v>0</v>
      </c>
      <c r="S2079">
        <f>HLOOKUP("Memory",'vInfo (Imported)'!$1:$5000,M2079,FALSE)</f>
        <v>0</v>
      </c>
      <c r="T2079">
        <f>HLOOKUP("Provisioned MiB",'vInfo (Imported)'!$1:$5000,M2079,FALSE)</f>
        <v>0</v>
      </c>
      <c r="U2079">
        <f t="shared" si="97"/>
        <v>0</v>
      </c>
      <c r="V2079">
        <f>HLOOKUP("In Use MiB",'vInfo (Imported)'!$1:$5000,M2079,FALSE)</f>
        <v>0</v>
      </c>
    </row>
    <row r="2080" spans="1:22" ht="13" x14ac:dyDescent="0.3">
      <c r="A2080" s="46">
        <f>'vHosts (Imported)'!A2080</f>
        <v>0</v>
      </c>
      <c r="B2080" s="51">
        <f t="shared" si="96"/>
        <v>4968</v>
      </c>
      <c r="C2080" s="49">
        <f>HLOOKUP("# Cores",'vHosts (Imported)'!$1:$5000,M2080,FALSE)</f>
        <v>0</v>
      </c>
      <c r="D2080" s="52">
        <f>HLOOKUP("# Memory",'vHosts (Imported)'!$1:$5000,M2080,FALSE)</f>
        <v>0</v>
      </c>
      <c r="M2080" s="45">
        <f t="shared" si="98"/>
        <v>2080</v>
      </c>
      <c r="N2080" s="38">
        <f>HLOOKUP("Host",'vInfo (Imported)'!$1:$5000,M2080,FALSE)</f>
        <v>0</v>
      </c>
      <c r="R2080">
        <f>HLOOKUP("CPUs",'vInfo (Imported)'!$1:$5000,M2080,FALSE)</f>
        <v>0</v>
      </c>
      <c r="S2080">
        <f>HLOOKUP("Memory",'vInfo (Imported)'!$1:$5000,M2080,FALSE)</f>
        <v>0</v>
      </c>
      <c r="T2080">
        <f>HLOOKUP("Provisioned MiB",'vInfo (Imported)'!$1:$5000,M2080,FALSE)</f>
        <v>0</v>
      </c>
      <c r="U2080">
        <f t="shared" si="97"/>
        <v>0</v>
      </c>
      <c r="V2080">
        <f>HLOOKUP("In Use MiB",'vInfo (Imported)'!$1:$5000,M2080,FALSE)</f>
        <v>0</v>
      </c>
    </row>
    <row r="2081" spans="1:22" ht="13" x14ac:dyDescent="0.3">
      <c r="A2081" s="46">
        <f>'vHosts (Imported)'!A2081</f>
        <v>0</v>
      </c>
      <c r="B2081" s="51">
        <f t="shared" si="96"/>
        <v>4968</v>
      </c>
      <c r="C2081" s="49">
        <f>HLOOKUP("# Cores",'vHosts (Imported)'!$1:$5000,M2081,FALSE)</f>
        <v>0</v>
      </c>
      <c r="D2081" s="52">
        <f>HLOOKUP("# Memory",'vHosts (Imported)'!$1:$5000,M2081,FALSE)</f>
        <v>0</v>
      </c>
      <c r="M2081" s="45">
        <f t="shared" si="98"/>
        <v>2081</v>
      </c>
      <c r="N2081" s="38">
        <f>HLOOKUP("Host",'vInfo (Imported)'!$1:$5000,M2081,FALSE)</f>
        <v>0</v>
      </c>
      <c r="R2081">
        <f>HLOOKUP("CPUs",'vInfo (Imported)'!$1:$5000,M2081,FALSE)</f>
        <v>0</v>
      </c>
      <c r="S2081">
        <f>HLOOKUP("Memory",'vInfo (Imported)'!$1:$5000,M2081,FALSE)</f>
        <v>0</v>
      </c>
      <c r="T2081">
        <f>HLOOKUP("Provisioned MiB",'vInfo (Imported)'!$1:$5000,M2081,FALSE)</f>
        <v>0</v>
      </c>
      <c r="U2081">
        <f t="shared" si="97"/>
        <v>0</v>
      </c>
      <c r="V2081">
        <f>HLOOKUP("In Use MiB",'vInfo (Imported)'!$1:$5000,M2081,FALSE)</f>
        <v>0</v>
      </c>
    </row>
    <row r="2082" spans="1:22" ht="13" x14ac:dyDescent="0.3">
      <c r="A2082" s="46">
        <f>'vHosts (Imported)'!A2082</f>
        <v>0</v>
      </c>
      <c r="B2082" s="51">
        <f t="shared" si="96"/>
        <v>4968</v>
      </c>
      <c r="C2082" s="49">
        <f>HLOOKUP("# Cores",'vHosts (Imported)'!$1:$5000,M2082,FALSE)</f>
        <v>0</v>
      </c>
      <c r="D2082" s="52">
        <f>HLOOKUP("# Memory",'vHosts (Imported)'!$1:$5000,M2082,FALSE)</f>
        <v>0</v>
      </c>
      <c r="M2082" s="45">
        <f t="shared" si="98"/>
        <v>2082</v>
      </c>
      <c r="N2082" s="38">
        <f>HLOOKUP("Host",'vInfo (Imported)'!$1:$5000,M2082,FALSE)</f>
        <v>0</v>
      </c>
      <c r="R2082">
        <f>HLOOKUP("CPUs",'vInfo (Imported)'!$1:$5000,M2082,FALSE)</f>
        <v>0</v>
      </c>
      <c r="S2082">
        <f>HLOOKUP("Memory",'vInfo (Imported)'!$1:$5000,M2082,FALSE)</f>
        <v>0</v>
      </c>
      <c r="T2082">
        <f>HLOOKUP("Provisioned MiB",'vInfo (Imported)'!$1:$5000,M2082,FALSE)</f>
        <v>0</v>
      </c>
      <c r="U2082">
        <f t="shared" si="97"/>
        <v>0</v>
      </c>
      <c r="V2082">
        <f>HLOOKUP("In Use MiB",'vInfo (Imported)'!$1:$5000,M2082,FALSE)</f>
        <v>0</v>
      </c>
    </row>
    <row r="2083" spans="1:22" ht="13" x14ac:dyDescent="0.3">
      <c r="A2083" s="46">
        <f>'vHosts (Imported)'!A2083</f>
        <v>0</v>
      </c>
      <c r="B2083" s="51">
        <f t="shared" si="96"/>
        <v>4968</v>
      </c>
      <c r="C2083" s="49">
        <f>HLOOKUP("# Cores",'vHosts (Imported)'!$1:$5000,M2083,FALSE)</f>
        <v>0</v>
      </c>
      <c r="D2083" s="52">
        <f>HLOOKUP("# Memory",'vHosts (Imported)'!$1:$5000,M2083,FALSE)</f>
        <v>0</v>
      </c>
      <c r="M2083" s="45">
        <f t="shared" si="98"/>
        <v>2083</v>
      </c>
      <c r="N2083" s="38">
        <f>HLOOKUP("Host",'vInfo (Imported)'!$1:$5000,M2083,FALSE)</f>
        <v>0</v>
      </c>
      <c r="R2083">
        <f>HLOOKUP("CPUs",'vInfo (Imported)'!$1:$5000,M2083,FALSE)</f>
        <v>0</v>
      </c>
      <c r="S2083">
        <f>HLOOKUP("Memory",'vInfo (Imported)'!$1:$5000,M2083,FALSE)</f>
        <v>0</v>
      </c>
      <c r="T2083">
        <f>HLOOKUP("Provisioned MiB",'vInfo (Imported)'!$1:$5000,M2083,FALSE)</f>
        <v>0</v>
      </c>
      <c r="U2083">
        <f t="shared" si="97"/>
        <v>0</v>
      </c>
      <c r="V2083">
        <f>HLOOKUP("In Use MiB",'vInfo (Imported)'!$1:$5000,M2083,FALSE)</f>
        <v>0</v>
      </c>
    </row>
    <row r="2084" spans="1:22" ht="13" x14ac:dyDescent="0.3">
      <c r="A2084" s="46">
        <f>'vHosts (Imported)'!A2084</f>
        <v>0</v>
      </c>
      <c r="B2084" s="51">
        <f t="shared" si="96"/>
        <v>4968</v>
      </c>
      <c r="C2084" s="49">
        <f>HLOOKUP("# Cores",'vHosts (Imported)'!$1:$5000,M2084,FALSE)</f>
        <v>0</v>
      </c>
      <c r="D2084" s="52">
        <f>HLOOKUP("# Memory",'vHosts (Imported)'!$1:$5000,M2084,FALSE)</f>
        <v>0</v>
      </c>
      <c r="M2084" s="45">
        <f t="shared" si="98"/>
        <v>2084</v>
      </c>
      <c r="N2084" s="38">
        <f>HLOOKUP("Host",'vInfo (Imported)'!$1:$5000,M2084,FALSE)</f>
        <v>0</v>
      </c>
      <c r="R2084">
        <f>HLOOKUP("CPUs",'vInfo (Imported)'!$1:$5000,M2084,FALSE)</f>
        <v>0</v>
      </c>
      <c r="S2084">
        <f>HLOOKUP("Memory",'vInfo (Imported)'!$1:$5000,M2084,FALSE)</f>
        <v>0</v>
      </c>
      <c r="T2084">
        <f>HLOOKUP("Provisioned MiB",'vInfo (Imported)'!$1:$5000,M2084,FALSE)</f>
        <v>0</v>
      </c>
      <c r="U2084">
        <f t="shared" si="97"/>
        <v>0</v>
      </c>
      <c r="V2084">
        <f>HLOOKUP("In Use MiB",'vInfo (Imported)'!$1:$5000,M2084,FALSE)</f>
        <v>0</v>
      </c>
    </row>
    <row r="2085" spans="1:22" ht="13" x14ac:dyDescent="0.3">
      <c r="A2085" s="46">
        <f>'vHosts (Imported)'!A2085</f>
        <v>0</v>
      </c>
      <c r="B2085" s="51">
        <f t="shared" si="96"/>
        <v>4968</v>
      </c>
      <c r="C2085" s="49">
        <f>HLOOKUP("# Cores",'vHosts (Imported)'!$1:$5000,M2085,FALSE)</f>
        <v>0</v>
      </c>
      <c r="D2085" s="52">
        <f>HLOOKUP("# Memory",'vHosts (Imported)'!$1:$5000,M2085,FALSE)</f>
        <v>0</v>
      </c>
      <c r="M2085" s="45">
        <f t="shared" si="98"/>
        <v>2085</v>
      </c>
      <c r="N2085" s="38">
        <f>HLOOKUP("Host",'vInfo (Imported)'!$1:$5000,M2085,FALSE)</f>
        <v>0</v>
      </c>
      <c r="R2085">
        <f>HLOOKUP("CPUs",'vInfo (Imported)'!$1:$5000,M2085,FALSE)</f>
        <v>0</v>
      </c>
      <c r="S2085">
        <f>HLOOKUP("Memory",'vInfo (Imported)'!$1:$5000,M2085,FALSE)</f>
        <v>0</v>
      </c>
      <c r="T2085">
        <f>HLOOKUP("Provisioned MiB",'vInfo (Imported)'!$1:$5000,M2085,FALSE)</f>
        <v>0</v>
      </c>
      <c r="U2085">
        <f t="shared" si="97"/>
        <v>0</v>
      </c>
      <c r="V2085">
        <f>HLOOKUP("In Use MiB",'vInfo (Imported)'!$1:$5000,M2085,FALSE)</f>
        <v>0</v>
      </c>
    </row>
    <row r="2086" spans="1:22" ht="13" x14ac:dyDescent="0.3">
      <c r="A2086" s="46">
        <f>'vHosts (Imported)'!A2086</f>
        <v>0</v>
      </c>
      <c r="B2086" s="51">
        <f t="shared" si="96"/>
        <v>4968</v>
      </c>
      <c r="C2086" s="49">
        <f>HLOOKUP("# Cores",'vHosts (Imported)'!$1:$5000,M2086,FALSE)</f>
        <v>0</v>
      </c>
      <c r="D2086" s="52">
        <f>HLOOKUP("# Memory",'vHosts (Imported)'!$1:$5000,M2086,FALSE)</f>
        <v>0</v>
      </c>
      <c r="M2086" s="45">
        <f t="shared" si="98"/>
        <v>2086</v>
      </c>
      <c r="N2086" s="38">
        <f>HLOOKUP("Host",'vInfo (Imported)'!$1:$5000,M2086,FALSE)</f>
        <v>0</v>
      </c>
      <c r="R2086">
        <f>HLOOKUP("CPUs",'vInfo (Imported)'!$1:$5000,M2086,FALSE)</f>
        <v>0</v>
      </c>
      <c r="S2086">
        <f>HLOOKUP("Memory",'vInfo (Imported)'!$1:$5000,M2086,FALSE)</f>
        <v>0</v>
      </c>
      <c r="T2086">
        <f>HLOOKUP("Provisioned MiB",'vInfo (Imported)'!$1:$5000,M2086,FALSE)</f>
        <v>0</v>
      </c>
      <c r="U2086">
        <f t="shared" si="97"/>
        <v>0</v>
      </c>
      <c r="V2086">
        <f>HLOOKUP("In Use MiB",'vInfo (Imported)'!$1:$5000,M2086,FALSE)</f>
        <v>0</v>
      </c>
    </row>
    <row r="2087" spans="1:22" ht="13" x14ac:dyDescent="0.3">
      <c r="A2087" s="46">
        <f>'vHosts (Imported)'!A2087</f>
        <v>0</v>
      </c>
      <c r="B2087" s="51">
        <f t="shared" si="96"/>
        <v>4968</v>
      </c>
      <c r="C2087" s="49">
        <f>HLOOKUP("# Cores",'vHosts (Imported)'!$1:$5000,M2087,FALSE)</f>
        <v>0</v>
      </c>
      <c r="D2087" s="52">
        <f>HLOOKUP("# Memory",'vHosts (Imported)'!$1:$5000,M2087,FALSE)</f>
        <v>0</v>
      </c>
      <c r="M2087" s="45">
        <f t="shared" si="98"/>
        <v>2087</v>
      </c>
      <c r="N2087" s="38">
        <f>HLOOKUP("Host",'vInfo (Imported)'!$1:$5000,M2087,FALSE)</f>
        <v>0</v>
      </c>
      <c r="R2087">
        <f>HLOOKUP("CPUs",'vInfo (Imported)'!$1:$5000,M2087,FALSE)</f>
        <v>0</v>
      </c>
      <c r="S2087">
        <f>HLOOKUP("Memory",'vInfo (Imported)'!$1:$5000,M2087,FALSE)</f>
        <v>0</v>
      </c>
      <c r="T2087">
        <f>HLOOKUP("Provisioned MiB",'vInfo (Imported)'!$1:$5000,M2087,FALSE)</f>
        <v>0</v>
      </c>
      <c r="U2087">
        <f t="shared" si="97"/>
        <v>0</v>
      </c>
      <c r="V2087">
        <f>HLOOKUP("In Use MiB",'vInfo (Imported)'!$1:$5000,M2087,FALSE)</f>
        <v>0</v>
      </c>
    </row>
    <row r="2088" spans="1:22" ht="13" x14ac:dyDescent="0.3">
      <c r="A2088" s="46">
        <f>'vHosts (Imported)'!A2088</f>
        <v>0</v>
      </c>
      <c r="B2088" s="51">
        <f t="shared" ref="B2088:B2151" si="99">COUNTIF(N:N,A2088)</f>
        <v>4968</v>
      </c>
      <c r="C2088" s="49">
        <f>HLOOKUP("# Cores",'vHosts (Imported)'!$1:$5000,M2088,FALSE)</f>
        <v>0</v>
      </c>
      <c r="D2088" s="52">
        <f>HLOOKUP("# Memory",'vHosts (Imported)'!$1:$5000,M2088,FALSE)</f>
        <v>0</v>
      </c>
      <c r="M2088" s="45">
        <f t="shared" si="98"/>
        <v>2088</v>
      </c>
      <c r="N2088" s="38">
        <f>HLOOKUP("Host",'vInfo (Imported)'!$1:$5000,M2088,FALSE)</f>
        <v>0</v>
      </c>
      <c r="R2088">
        <f>HLOOKUP("CPUs",'vInfo (Imported)'!$1:$5000,M2088,FALSE)</f>
        <v>0</v>
      </c>
      <c r="S2088">
        <f>HLOOKUP("Memory",'vInfo (Imported)'!$1:$5000,M2088,FALSE)</f>
        <v>0</v>
      </c>
      <c r="T2088">
        <f>HLOOKUP("Provisioned MiB",'vInfo (Imported)'!$1:$5000,M2088,FALSE)</f>
        <v>0</v>
      </c>
      <c r="U2088">
        <f t="shared" si="97"/>
        <v>0</v>
      </c>
      <c r="V2088">
        <f>HLOOKUP("In Use MiB",'vInfo (Imported)'!$1:$5000,M2088,FALSE)</f>
        <v>0</v>
      </c>
    </row>
    <row r="2089" spans="1:22" ht="13" x14ac:dyDescent="0.3">
      <c r="A2089" s="46">
        <f>'vHosts (Imported)'!A2089</f>
        <v>0</v>
      </c>
      <c r="B2089" s="51">
        <f t="shared" si="99"/>
        <v>4968</v>
      </c>
      <c r="C2089" s="49">
        <f>HLOOKUP("# Cores",'vHosts (Imported)'!$1:$5000,M2089,FALSE)</f>
        <v>0</v>
      </c>
      <c r="D2089" s="52">
        <f>HLOOKUP("# Memory",'vHosts (Imported)'!$1:$5000,M2089,FALSE)</f>
        <v>0</v>
      </c>
      <c r="M2089" s="45">
        <f t="shared" si="98"/>
        <v>2089</v>
      </c>
      <c r="N2089" s="38">
        <f>HLOOKUP("Host",'vInfo (Imported)'!$1:$5000,M2089,FALSE)</f>
        <v>0</v>
      </c>
      <c r="R2089">
        <f>HLOOKUP("CPUs",'vInfo (Imported)'!$1:$5000,M2089,FALSE)</f>
        <v>0</v>
      </c>
      <c r="S2089">
        <f>HLOOKUP("Memory",'vInfo (Imported)'!$1:$5000,M2089,FALSE)</f>
        <v>0</v>
      </c>
      <c r="T2089">
        <f>HLOOKUP("Provisioned MiB",'vInfo (Imported)'!$1:$5000,M2089,FALSE)</f>
        <v>0</v>
      </c>
      <c r="U2089">
        <f t="shared" si="97"/>
        <v>0</v>
      </c>
      <c r="V2089">
        <f>HLOOKUP("In Use MiB",'vInfo (Imported)'!$1:$5000,M2089,FALSE)</f>
        <v>0</v>
      </c>
    </row>
    <row r="2090" spans="1:22" ht="13" x14ac:dyDescent="0.3">
      <c r="A2090" s="46">
        <f>'vHosts (Imported)'!A2090</f>
        <v>0</v>
      </c>
      <c r="B2090" s="51">
        <f t="shared" si="99"/>
        <v>4968</v>
      </c>
      <c r="C2090" s="49">
        <f>HLOOKUP("# Cores",'vHosts (Imported)'!$1:$5000,M2090,FALSE)</f>
        <v>0</v>
      </c>
      <c r="D2090" s="52">
        <f>HLOOKUP("# Memory",'vHosts (Imported)'!$1:$5000,M2090,FALSE)</f>
        <v>0</v>
      </c>
      <c r="M2090" s="45">
        <f t="shared" si="98"/>
        <v>2090</v>
      </c>
      <c r="N2090" s="38">
        <f>HLOOKUP("Host",'vInfo (Imported)'!$1:$5000,M2090,FALSE)</f>
        <v>0</v>
      </c>
      <c r="R2090">
        <f>HLOOKUP("CPUs",'vInfo (Imported)'!$1:$5000,M2090,FALSE)</f>
        <v>0</v>
      </c>
      <c r="S2090">
        <f>HLOOKUP("Memory",'vInfo (Imported)'!$1:$5000,M2090,FALSE)</f>
        <v>0</v>
      </c>
      <c r="T2090">
        <f>HLOOKUP("Provisioned MiB",'vInfo (Imported)'!$1:$5000,M2090,FALSE)</f>
        <v>0</v>
      </c>
      <c r="U2090">
        <f t="shared" si="97"/>
        <v>0</v>
      </c>
      <c r="V2090">
        <f>HLOOKUP("In Use MiB",'vInfo (Imported)'!$1:$5000,M2090,FALSE)</f>
        <v>0</v>
      </c>
    </row>
    <row r="2091" spans="1:22" ht="13" x14ac:dyDescent="0.3">
      <c r="A2091" s="46">
        <f>'vHosts (Imported)'!A2091</f>
        <v>0</v>
      </c>
      <c r="B2091" s="51">
        <f t="shared" si="99"/>
        <v>4968</v>
      </c>
      <c r="C2091" s="49">
        <f>HLOOKUP("# Cores",'vHosts (Imported)'!$1:$5000,M2091,FALSE)</f>
        <v>0</v>
      </c>
      <c r="D2091" s="52">
        <f>HLOOKUP("# Memory",'vHosts (Imported)'!$1:$5000,M2091,FALSE)</f>
        <v>0</v>
      </c>
      <c r="M2091" s="45">
        <f t="shared" si="98"/>
        <v>2091</v>
      </c>
      <c r="N2091" s="38">
        <f>HLOOKUP("Host",'vInfo (Imported)'!$1:$5000,M2091,FALSE)</f>
        <v>0</v>
      </c>
      <c r="R2091">
        <f>HLOOKUP("CPUs",'vInfo (Imported)'!$1:$5000,M2091,FALSE)</f>
        <v>0</v>
      </c>
      <c r="S2091">
        <f>HLOOKUP("Memory",'vInfo (Imported)'!$1:$5000,M2091,FALSE)</f>
        <v>0</v>
      </c>
      <c r="T2091">
        <f>HLOOKUP("Provisioned MiB",'vInfo (Imported)'!$1:$5000,M2091,FALSE)</f>
        <v>0</v>
      </c>
      <c r="U2091">
        <f t="shared" si="97"/>
        <v>0</v>
      </c>
      <c r="V2091">
        <f>HLOOKUP("In Use MiB",'vInfo (Imported)'!$1:$5000,M2091,FALSE)</f>
        <v>0</v>
      </c>
    </row>
    <row r="2092" spans="1:22" ht="13" x14ac:dyDescent="0.3">
      <c r="A2092" s="46">
        <f>'vHosts (Imported)'!A2092</f>
        <v>0</v>
      </c>
      <c r="B2092" s="51">
        <f t="shared" si="99"/>
        <v>4968</v>
      </c>
      <c r="C2092" s="49">
        <f>HLOOKUP("# Cores",'vHosts (Imported)'!$1:$5000,M2092,FALSE)</f>
        <v>0</v>
      </c>
      <c r="D2092" s="52">
        <f>HLOOKUP("# Memory",'vHosts (Imported)'!$1:$5000,M2092,FALSE)</f>
        <v>0</v>
      </c>
      <c r="M2092" s="45">
        <f t="shared" si="98"/>
        <v>2092</v>
      </c>
      <c r="N2092" s="38">
        <f>HLOOKUP("Host",'vInfo (Imported)'!$1:$5000,M2092,FALSE)</f>
        <v>0</v>
      </c>
      <c r="R2092">
        <f>HLOOKUP("CPUs",'vInfo (Imported)'!$1:$5000,M2092,FALSE)</f>
        <v>0</v>
      </c>
      <c r="S2092">
        <f>HLOOKUP("Memory",'vInfo (Imported)'!$1:$5000,M2092,FALSE)</f>
        <v>0</v>
      </c>
      <c r="T2092">
        <f>HLOOKUP("Provisioned MiB",'vInfo (Imported)'!$1:$5000,M2092,FALSE)</f>
        <v>0</v>
      </c>
      <c r="U2092">
        <f t="shared" si="97"/>
        <v>0</v>
      </c>
      <c r="V2092">
        <f>HLOOKUP("In Use MiB",'vInfo (Imported)'!$1:$5000,M2092,FALSE)</f>
        <v>0</v>
      </c>
    </row>
    <row r="2093" spans="1:22" ht="13" x14ac:dyDescent="0.3">
      <c r="A2093" s="46">
        <f>'vHosts (Imported)'!A2093</f>
        <v>0</v>
      </c>
      <c r="B2093" s="51">
        <f t="shared" si="99"/>
        <v>4968</v>
      </c>
      <c r="C2093" s="49">
        <f>HLOOKUP("# Cores",'vHosts (Imported)'!$1:$5000,M2093,FALSE)</f>
        <v>0</v>
      </c>
      <c r="D2093" s="52">
        <f>HLOOKUP("# Memory",'vHosts (Imported)'!$1:$5000,M2093,FALSE)</f>
        <v>0</v>
      </c>
      <c r="M2093" s="45">
        <f t="shared" si="98"/>
        <v>2093</v>
      </c>
      <c r="N2093" s="38">
        <f>HLOOKUP("Host",'vInfo (Imported)'!$1:$5000,M2093,FALSE)</f>
        <v>0</v>
      </c>
      <c r="R2093">
        <f>HLOOKUP("CPUs",'vInfo (Imported)'!$1:$5000,M2093,FALSE)</f>
        <v>0</v>
      </c>
      <c r="S2093">
        <f>HLOOKUP("Memory",'vInfo (Imported)'!$1:$5000,M2093,FALSE)</f>
        <v>0</v>
      </c>
      <c r="T2093">
        <f>HLOOKUP("Provisioned MiB",'vInfo (Imported)'!$1:$5000,M2093,FALSE)</f>
        <v>0</v>
      </c>
      <c r="U2093">
        <f t="shared" si="97"/>
        <v>0</v>
      </c>
      <c r="V2093">
        <f>HLOOKUP("In Use MiB",'vInfo (Imported)'!$1:$5000,M2093,FALSE)</f>
        <v>0</v>
      </c>
    </row>
    <row r="2094" spans="1:22" ht="13" x14ac:dyDescent="0.3">
      <c r="A2094" s="46">
        <f>'vHosts (Imported)'!A2094</f>
        <v>0</v>
      </c>
      <c r="B2094" s="51">
        <f t="shared" si="99"/>
        <v>4968</v>
      </c>
      <c r="C2094" s="49">
        <f>HLOOKUP("# Cores",'vHosts (Imported)'!$1:$5000,M2094,FALSE)</f>
        <v>0</v>
      </c>
      <c r="D2094" s="52">
        <f>HLOOKUP("# Memory",'vHosts (Imported)'!$1:$5000,M2094,FALSE)</f>
        <v>0</v>
      </c>
      <c r="M2094" s="45">
        <f t="shared" si="98"/>
        <v>2094</v>
      </c>
      <c r="N2094" s="38">
        <f>HLOOKUP("Host",'vInfo (Imported)'!$1:$5000,M2094,FALSE)</f>
        <v>0</v>
      </c>
      <c r="R2094">
        <f>HLOOKUP("CPUs",'vInfo (Imported)'!$1:$5000,M2094,FALSE)</f>
        <v>0</v>
      </c>
      <c r="S2094">
        <f>HLOOKUP("Memory",'vInfo (Imported)'!$1:$5000,M2094,FALSE)</f>
        <v>0</v>
      </c>
      <c r="T2094">
        <f>HLOOKUP("Provisioned MiB",'vInfo (Imported)'!$1:$5000,M2094,FALSE)</f>
        <v>0</v>
      </c>
      <c r="U2094">
        <f t="shared" si="97"/>
        <v>0</v>
      </c>
      <c r="V2094">
        <f>HLOOKUP("In Use MiB",'vInfo (Imported)'!$1:$5000,M2094,FALSE)</f>
        <v>0</v>
      </c>
    </row>
    <row r="2095" spans="1:22" ht="13" x14ac:dyDescent="0.3">
      <c r="A2095" s="46">
        <f>'vHosts (Imported)'!A2095</f>
        <v>0</v>
      </c>
      <c r="B2095" s="51">
        <f t="shared" si="99"/>
        <v>4968</v>
      </c>
      <c r="C2095" s="49">
        <f>HLOOKUP("# Cores",'vHosts (Imported)'!$1:$5000,M2095,FALSE)</f>
        <v>0</v>
      </c>
      <c r="D2095" s="52">
        <f>HLOOKUP("# Memory",'vHosts (Imported)'!$1:$5000,M2095,FALSE)</f>
        <v>0</v>
      </c>
      <c r="M2095" s="45">
        <f t="shared" si="98"/>
        <v>2095</v>
      </c>
      <c r="N2095" s="38">
        <f>HLOOKUP("Host",'vInfo (Imported)'!$1:$5000,M2095,FALSE)</f>
        <v>0</v>
      </c>
      <c r="R2095">
        <f>HLOOKUP("CPUs",'vInfo (Imported)'!$1:$5000,M2095,FALSE)</f>
        <v>0</v>
      </c>
      <c r="S2095">
        <f>HLOOKUP("Memory",'vInfo (Imported)'!$1:$5000,M2095,FALSE)</f>
        <v>0</v>
      </c>
      <c r="T2095">
        <f>HLOOKUP("Provisioned MiB",'vInfo (Imported)'!$1:$5000,M2095,FALSE)</f>
        <v>0</v>
      </c>
      <c r="U2095">
        <f t="shared" si="97"/>
        <v>0</v>
      </c>
      <c r="V2095">
        <f>HLOOKUP("In Use MiB",'vInfo (Imported)'!$1:$5000,M2095,FALSE)</f>
        <v>0</v>
      </c>
    </row>
    <row r="2096" spans="1:22" ht="13" x14ac:dyDescent="0.3">
      <c r="A2096" s="46">
        <f>'vHosts (Imported)'!A2096</f>
        <v>0</v>
      </c>
      <c r="B2096" s="51">
        <f t="shared" si="99"/>
        <v>4968</v>
      </c>
      <c r="C2096" s="49">
        <f>HLOOKUP("# Cores",'vHosts (Imported)'!$1:$5000,M2096,FALSE)</f>
        <v>0</v>
      </c>
      <c r="D2096" s="52">
        <f>HLOOKUP("# Memory",'vHosts (Imported)'!$1:$5000,M2096,FALSE)</f>
        <v>0</v>
      </c>
      <c r="M2096" s="45">
        <f t="shared" si="98"/>
        <v>2096</v>
      </c>
      <c r="N2096" s="38">
        <f>HLOOKUP("Host",'vInfo (Imported)'!$1:$5000,M2096,FALSE)</f>
        <v>0</v>
      </c>
      <c r="R2096">
        <f>HLOOKUP("CPUs",'vInfo (Imported)'!$1:$5000,M2096,FALSE)</f>
        <v>0</v>
      </c>
      <c r="S2096">
        <f>HLOOKUP("Memory",'vInfo (Imported)'!$1:$5000,M2096,FALSE)</f>
        <v>0</v>
      </c>
      <c r="T2096">
        <f>HLOOKUP("Provisioned MiB",'vInfo (Imported)'!$1:$5000,M2096,FALSE)</f>
        <v>0</v>
      </c>
      <c r="U2096">
        <f t="shared" si="97"/>
        <v>0</v>
      </c>
      <c r="V2096">
        <f>HLOOKUP("In Use MiB",'vInfo (Imported)'!$1:$5000,M2096,FALSE)</f>
        <v>0</v>
      </c>
    </row>
    <row r="2097" spans="1:22" ht="13" x14ac:dyDescent="0.3">
      <c r="A2097" s="46">
        <f>'vHosts (Imported)'!A2097</f>
        <v>0</v>
      </c>
      <c r="B2097" s="51">
        <f t="shared" si="99"/>
        <v>4968</v>
      </c>
      <c r="C2097" s="49">
        <f>HLOOKUP("# Cores",'vHosts (Imported)'!$1:$5000,M2097,FALSE)</f>
        <v>0</v>
      </c>
      <c r="D2097" s="52">
        <f>HLOOKUP("# Memory",'vHosts (Imported)'!$1:$5000,M2097,FALSE)</f>
        <v>0</v>
      </c>
      <c r="M2097" s="45">
        <f t="shared" si="98"/>
        <v>2097</v>
      </c>
      <c r="N2097" s="38">
        <f>HLOOKUP("Host",'vInfo (Imported)'!$1:$5000,M2097,FALSE)</f>
        <v>0</v>
      </c>
      <c r="R2097">
        <f>HLOOKUP("CPUs",'vInfo (Imported)'!$1:$5000,M2097,FALSE)</f>
        <v>0</v>
      </c>
      <c r="S2097">
        <f>HLOOKUP("Memory",'vInfo (Imported)'!$1:$5000,M2097,FALSE)</f>
        <v>0</v>
      </c>
      <c r="T2097">
        <f>HLOOKUP("Provisioned MiB",'vInfo (Imported)'!$1:$5000,M2097,FALSE)</f>
        <v>0</v>
      </c>
      <c r="U2097">
        <f t="shared" si="97"/>
        <v>0</v>
      </c>
      <c r="V2097">
        <f>HLOOKUP("In Use MiB",'vInfo (Imported)'!$1:$5000,M2097,FALSE)</f>
        <v>0</v>
      </c>
    </row>
    <row r="2098" spans="1:22" ht="13" x14ac:dyDescent="0.3">
      <c r="A2098" s="46">
        <f>'vHosts (Imported)'!A2098</f>
        <v>0</v>
      </c>
      <c r="B2098" s="51">
        <f t="shared" si="99"/>
        <v>4968</v>
      </c>
      <c r="C2098" s="49">
        <f>HLOOKUP("# Cores",'vHosts (Imported)'!$1:$5000,M2098,FALSE)</f>
        <v>0</v>
      </c>
      <c r="D2098" s="52">
        <f>HLOOKUP("# Memory",'vHosts (Imported)'!$1:$5000,M2098,FALSE)</f>
        <v>0</v>
      </c>
      <c r="M2098" s="45">
        <f t="shared" si="98"/>
        <v>2098</v>
      </c>
      <c r="N2098" s="38">
        <f>HLOOKUP("Host",'vInfo (Imported)'!$1:$5000,M2098,FALSE)</f>
        <v>0</v>
      </c>
      <c r="R2098">
        <f>HLOOKUP("CPUs",'vInfo (Imported)'!$1:$5000,M2098,FALSE)</f>
        <v>0</v>
      </c>
      <c r="S2098">
        <f>HLOOKUP("Memory",'vInfo (Imported)'!$1:$5000,M2098,FALSE)</f>
        <v>0</v>
      </c>
      <c r="T2098">
        <f>HLOOKUP("Provisioned MiB",'vInfo (Imported)'!$1:$5000,M2098,FALSE)</f>
        <v>0</v>
      </c>
      <c r="U2098">
        <f t="shared" si="97"/>
        <v>0</v>
      </c>
      <c r="V2098">
        <f>HLOOKUP("In Use MiB",'vInfo (Imported)'!$1:$5000,M2098,FALSE)</f>
        <v>0</v>
      </c>
    </row>
    <row r="2099" spans="1:22" ht="13" x14ac:dyDescent="0.3">
      <c r="A2099" s="46">
        <f>'vHosts (Imported)'!A2099</f>
        <v>0</v>
      </c>
      <c r="B2099" s="51">
        <f t="shared" si="99"/>
        <v>4968</v>
      </c>
      <c r="C2099" s="49">
        <f>HLOOKUP("# Cores",'vHosts (Imported)'!$1:$5000,M2099,FALSE)</f>
        <v>0</v>
      </c>
      <c r="D2099" s="52">
        <f>HLOOKUP("# Memory",'vHosts (Imported)'!$1:$5000,M2099,FALSE)</f>
        <v>0</v>
      </c>
      <c r="M2099" s="45">
        <f t="shared" si="98"/>
        <v>2099</v>
      </c>
      <c r="N2099" s="38">
        <f>HLOOKUP("Host",'vInfo (Imported)'!$1:$5000,M2099,FALSE)</f>
        <v>0</v>
      </c>
      <c r="R2099">
        <f>HLOOKUP("CPUs",'vInfo (Imported)'!$1:$5000,M2099,FALSE)</f>
        <v>0</v>
      </c>
      <c r="S2099">
        <f>HLOOKUP("Memory",'vInfo (Imported)'!$1:$5000,M2099,FALSE)</f>
        <v>0</v>
      </c>
      <c r="T2099">
        <f>HLOOKUP("Provisioned MiB",'vInfo (Imported)'!$1:$5000,M2099,FALSE)</f>
        <v>0</v>
      </c>
      <c r="U2099">
        <f t="shared" si="97"/>
        <v>0</v>
      </c>
      <c r="V2099">
        <f>HLOOKUP("In Use MiB",'vInfo (Imported)'!$1:$5000,M2099,FALSE)</f>
        <v>0</v>
      </c>
    </row>
    <row r="2100" spans="1:22" ht="13" x14ac:dyDescent="0.3">
      <c r="A2100" s="46">
        <f>'vHosts (Imported)'!A2100</f>
        <v>0</v>
      </c>
      <c r="B2100" s="51">
        <f t="shared" si="99"/>
        <v>4968</v>
      </c>
      <c r="C2100" s="49">
        <f>HLOOKUP("# Cores",'vHosts (Imported)'!$1:$5000,M2100,FALSE)</f>
        <v>0</v>
      </c>
      <c r="D2100" s="52">
        <f>HLOOKUP("# Memory",'vHosts (Imported)'!$1:$5000,M2100,FALSE)</f>
        <v>0</v>
      </c>
      <c r="M2100" s="45">
        <f t="shared" si="98"/>
        <v>2100</v>
      </c>
      <c r="N2100" s="38">
        <f>HLOOKUP("Host",'vInfo (Imported)'!$1:$5000,M2100,FALSE)</f>
        <v>0</v>
      </c>
      <c r="R2100">
        <f>HLOOKUP("CPUs",'vInfo (Imported)'!$1:$5000,M2100,FALSE)</f>
        <v>0</v>
      </c>
      <c r="S2100">
        <f>HLOOKUP("Memory",'vInfo (Imported)'!$1:$5000,M2100,FALSE)</f>
        <v>0</v>
      </c>
      <c r="T2100">
        <f>HLOOKUP("Provisioned MiB",'vInfo (Imported)'!$1:$5000,M2100,FALSE)</f>
        <v>0</v>
      </c>
      <c r="U2100">
        <f t="shared" si="97"/>
        <v>0</v>
      </c>
      <c r="V2100">
        <f>HLOOKUP("In Use MiB",'vInfo (Imported)'!$1:$5000,M2100,FALSE)</f>
        <v>0</v>
      </c>
    </row>
    <row r="2101" spans="1:22" ht="13" x14ac:dyDescent="0.3">
      <c r="A2101" s="46">
        <f>'vHosts (Imported)'!A2101</f>
        <v>0</v>
      </c>
      <c r="B2101" s="51">
        <f t="shared" si="99"/>
        <v>4968</v>
      </c>
      <c r="C2101" s="49">
        <f>HLOOKUP("# Cores",'vHosts (Imported)'!$1:$5000,M2101,FALSE)</f>
        <v>0</v>
      </c>
      <c r="D2101" s="52">
        <f>HLOOKUP("# Memory",'vHosts (Imported)'!$1:$5000,M2101,FALSE)</f>
        <v>0</v>
      </c>
      <c r="M2101" s="45">
        <f t="shared" si="98"/>
        <v>2101</v>
      </c>
      <c r="N2101" s="38">
        <f>HLOOKUP("Host",'vInfo (Imported)'!$1:$5000,M2101,FALSE)</f>
        <v>0</v>
      </c>
      <c r="R2101">
        <f>HLOOKUP("CPUs",'vInfo (Imported)'!$1:$5000,M2101,FALSE)</f>
        <v>0</v>
      </c>
      <c r="S2101">
        <f>HLOOKUP("Memory",'vInfo (Imported)'!$1:$5000,M2101,FALSE)</f>
        <v>0</v>
      </c>
      <c r="T2101">
        <f>HLOOKUP("Provisioned MiB",'vInfo (Imported)'!$1:$5000,M2101,FALSE)</f>
        <v>0</v>
      </c>
      <c r="U2101">
        <f t="shared" si="97"/>
        <v>0</v>
      </c>
      <c r="V2101">
        <f>HLOOKUP("In Use MiB",'vInfo (Imported)'!$1:$5000,M2101,FALSE)</f>
        <v>0</v>
      </c>
    </row>
    <row r="2102" spans="1:22" ht="13" x14ac:dyDescent="0.3">
      <c r="A2102" s="46">
        <f>'vHosts (Imported)'!A2102</f>
        <v>0</v>
      </c>
      <c r="B2102" s="51">
        <f t="shared" si="99"/>
        <v>4968</v>
      </c>
      <c r="C2102" s="49">
        <f>HLOOKUP("# Cores",'vHosts (Imported)'!$1:$5000,M2102,FALSE)</f>
        <v>0</v>
      </c>
      <c r="D2102" s="52">
        <f>HLOOKUP("# Memory",'vHosts (Imported)'!$1:$5000,M2102,FALSE)</f>
        <v>0</v>
      </c>
      <c r="M2102" s="45">
        <f t="shared" si="98"/>
        <v>2102</v>
      </c>
      <c r="N2102" s="38">
        <f>HLOOKUP("Host",'vInfo (Imported)'!$1:$5000,M2102,FALSE)</f>
        <v>0</v>
      </c>
      <c r="R2102">
        <f>HLOOKUP("CPUs",'vInfo (Imported)'!$1:$5000,M2102,FALSE)</f>
        <v>0</v>
      </c>
      <c r="S2102">
        <f>HLOOKUP("Memory",'vInfo (Imported)'!$1:$5000,M2102,FALSE)</f>
        <v>0</v>
      </c>
      <c r="T2102">
        <f>HLOOKUP("Provisioned MiB",'vInfo (Imported)'!$1:$5000,M2102,FALSE)</f>
        <v>0</v>
      </c>
      <c r="U2102">
        <f t="shared" si="97"/>
        <v>0</v>
      </c>
      <c r="V2102">
        <f>HLOOKUP("In Use MiB",'vInfo (Imported)'!$1:$5000,M2102,FALSE)</f>
        <v>0</v>
      </c>
    </row>
    <row r="2103" spans="1:22" ht="13" x14ac:dyDescent="0.3">
      <c r="A2103" s="46">
        <f>'vHosts (Imported)'!A2103</f>
        <v>0</v>
      </c>
      <c r="B2103" s="51">
        <f t="shared" si="99"/>
        <v>4968</v>
      </c>
      <c r="C2103" s="49">
        <f>HLOOKUP("# Cores",'vHosts (Imported)'!$1:$5000,M2103,FALSE)</f>
        <v>0</v>
      </c>
      <c r="D2103" s="52">
        <f>HLOOKUP("# Memory",'vHosts (Imported)'!$1:$5000,M2103,FALSE)</f>
        <v>0</v>
      </c>
      <c r="M2103" s="45">
        <f t="shared" si="98"/>
        <v>2103</v>
      </c>
      <c r="N2103" s="38">
        <f>HLOOKUP("Host",'vInfo (Imported)'!$1:$5000,M2103,FALSE)</f>
        <v>0</v>
      </c>
      <c r="R2103">
        <f>HLOOKUP("CPUs",'vInfo (Imported)'!$1:$5000,M2103,FALSE)</f>
        <v>0</v>
      </c>
      <c r="S2103">
        <f>HLOOKUP("Memory",'vInfo (Imported)'!$1:$5000,M2103,FALSE)</f>
        <v>0</v>
      </c>
      <c r="T2103">
        <f>HLOOKUP("Provisioned MiB",'vInfo (Imported)'!$1:$5000,M2103,FALSE)</f>
        <v>0</v>
      </c>
      <c r="U2103">
        <f t="shared" si="97"/>
        <v>0</v>
      </c>
      <c r="V2103">
        <f>HLOOKUP("In Use MiB",'vInfo (Imported)'!$1:$5000,M2103,FALSE)</f>
        <v>0</v>
      </c>
    </row>
    <row r="2104" spans="1:22" ht="13" x14ac:dyDescent="0.3">
      <c r="A2104" s="46">
        <f>'vHosts (Imported)'!A2104</f>
        <v>0</v>
      </c>
      <c r="B2104" s="51">
        <f t="shared" si="99"/>
        <v>4968</v>
      </c>
      <c r="C2104" s="49">
        <f>HLOOKUP("# Cores",'vHosts (Imported)'!$1:$5000,M2104,FALSE)</f>
        <v>0</v>
      </c>
      <c r="D2104" s="52">
        <f>HLOOKUP("# Memory",'vHosts (Imported)'!$1:$5000,M2104,FALSE)</f>
        <v>0</v>
      </c>
      <c r="M2104" s="45">
        <f t="shared" si="98"/>
        <v>2104</v>
      </c>
      <c r="N2104" s="38">
        <f>HLOOKUP("Host",'vInfo (Imported)'!$1:$5000,M2104,FALSE)</f>
        <v>0</v>
      </c>
      <c r="R2104">
        <f>HLOOKUP("CPUs",'vInfo (Imported)'!$1:$5000,M2104,FALSE)</f>
        <v>0</v>
      </c>
      <c r="S2104">
        <f>HLOOKUP("Memory",'vInfo (Imported)'!$1:$5000,M2104,FALSE)</f>
        <v>0</v>
      </c>
      <c r="T2104">
        <f>HLOOKUP("Provisioned MiB",'vInfo (Imported)'!$1:$5000,M2104,FALSE)</f>
        <v>0</v>
      </c>
      <c r="U2104">
        <f t="shared" si="97"/>
        <v>0</v>
      </c>
      <c r="V2104">
        <f>HLOOKUP("In Use MiB",'vInfo (Imported)'!$1:$5000,M2104,FALSE)</f>
        <v>0</v>
      </c>
    </row>
    <row r="2105" spans="1:22" ht="13" x14ac:dyDescent="0.3">
      <c r="A2105" s="46">
        <f>'vHosts (Imported)'!A2105</f>
        <v>0</v>
      </c>
      <c r="B2105" s="51">
        <f t="shared" si="99"/>
        <v>4968</v>
      </c>
      <c r="C2105" s="49">
        <f>HLOOKUP("# Cores",'vHosts (Imported)'!$1:$5000,M2105,FALSE)</f>
        <v>0</v>
      </c>
      <c r="D2105" s="52">
        <f>HLOOKUP("# Memory",'vHosts (Imported)'!$1:$5000,M2105,FALSE)</f>
        <v>0</v>
      </c>
      <c r="M2105" s="45">
        <f t="shared" si="98"/>
        <v>2105</v>
      </c>
      <c r="N2105" s="38">
        <f>HLOOKUP("Host",'vInfo (Imported)'!$1:$5000,M2105,FALSE)</f>
        <v>0</v>
      </c>
      <c r="R2105">
        <f>HLOOKUP("CPUs",'vInfo (Imported)'!$1:$5000,M2105,FALSE)</f>
        <v>0</v>
      </c>
      <c r="S2105">
        <f>HLOOKUP("Memory",'vInfo (Imported)'!$1:$5000,M2105,FALSE)</f>
        <v>0</v>
      </c>
      <c r="T2105">
        <f>HLOOKUP("Provisioned MiB",'vInfo (Imported)'!$1:$5000,M2105,FALSE)</f>
        <v>0</v>
      </c>
      <c r="U2105">
        <f t="shared" si="97"/>
        <v>0</v>
      </c>
      <c r="V2105">
        <f>HLOOKUP("In Use MiB",'vInfo (Imported)'!$1:$5000,M2105,FALSE)</f>
        <v>0</v>
      </c>
    </row>
    <row r="2106" spans="1:22" ht="13" x14ac:dyDescent="0.3">
      <c r="A2106" s="46">
        <f>'vHosts (Imported)'!A2106</f>
        <v>0</v>
      </c>
      <c r="B2106" s="51">
        <f t="shared" si="99"/>
        <v>4968</v>
      </c>
      <c r="C2106" s="49">
        <f>HLOOKUP("# Cores",'vHosts (Imported)'!$1:$5000,M2106,FALSE)</f>
        <v>0</v>
      </c>
      <c r="D2106" s="52">
        <f>HLOOKUP("# Memory",'vHosts (Imported)'!$1:$5000,M2106,FALSE)</f>
        <v>0</v>
      </c>
      <c r="M2106" s="45">
        <f t="shared" si="98"/>
        <v>2106</v>
      </c>
      <c r="N2106" s="38">
        <f>HLOOKUP("Host",'vInfo (Imported)'!$1:$5000,M2106,FALSE)</f>
        <v>0</v>
      </c>
      <c r="R2106">
        <f>HLOOKUP("CPUs",'vInfo (Imported)'!$1:$5000,M2106,FALSE)</f>
        <v>0</v>
      </c>
      <c r="S2106">
        <f>HLOOKUP("Memory",'vInfo (Imported)'!$1:$5000,M2106,FALSE)</f>
        <v>0</v>
      </c>
      <c r="T2106">
        <f>HLOOKUP("Provisioned MiB",'vInfo (Imported)'!$1:$5000,M2106,FALSE)</f>
        <v>0</v>
      </c>
      <c r="U2106">
        <f t="shared" si="97"/>
        <v>0</v>
      </c>
      <c r="V2106">
        <f>HLOOKUP("In Use MiB",'vInfo (Imported)'!$1:$5000,M2106,FALSE)</f>
        <v>0</v>
      </c>
    </row>
    <row r="2107" spans="1:22" ht="13" x14ac:dyDescent="0.3">
      <c r="A2107" s="46">
        <f>'vHosts (Imported)'!A2107</f>
        <v>0</v>
      </c>
      <c r="B2107" s="51">
        <f t="shared" si="99"/>
        <v>4968</v>
      </c>
      <c r="C2107" s="49">
        <f>HLOOKUP("# Cores",'vHosts (Imported)'!$1:$5000,M2107,FALSE)</f>
        <v>0</v>
      </c>
      <c r="D2107" s="52">
        <f>HLOOKUP("# Memory",'vHosts (Imported)'!$1:$5000,M2107,FALSE)</f>
        <v>0</v>
      </c>
      <c r="M2107" s="45">
        <f t="shared" si="98"/>
        <v>2107</v>
      </c>
      <c r="N2107" s="38">
        <f>HLOOKUP("Host",'vInfo (Imported)'!$1:$5000,M2107,FALSE)</f>
        <v>0</v>
      </c>
      <c r="R2107">
        <f>HLOOKUP("CPUs",'vInfo (Imported)'!$1:$5000,M2107,FALSE)</f>
        <v>0</v>
      </c>
      <c r="S2107">
        <f>HLOOKUP("Memory",'vInfo (Imported)'!$1:$5000,M2107,FALSE)</f>
        <v>0</v>
      </c>
      <c r="T2107">
        <f>HLOOKUP("Provisioned MiB",'vInfo (Imported)'!$1:$5000,M2107,FALSE)</f>
        <v>0</v>
      </c>
      <c r="U2107">
        <f t="shared" si="97"/>
        <v>0</v>
      </c>
      <c r="V2107">
        <f>HLOOKUP("In Use MiB",'vInfo (Imported)'!$1:$5000,M2107,FALSE)</f>
        <v>0</v>
      </c>
    </row>
    <row r="2108" spans="1:22" ht="13" x14ac:dyDescent="0.3">
      <c r="A2108" s="46">
        <f>'vHosts (Imported)'!A2108</f>
        <v>0</v>
      </c>
      <c r="B2108" s="51">
        <f t="shared" si="99"/>
        <v>4968</v>
      </c>
      <c r="C2108" s="49">
        <f>HLOOKUP("# Cores",'vHosts (Imported)'!$1:$5000,M2108,FALSE)</f>
        <v>0</v>
      </c>
      <c r="D2108" s="52">
        <f>HLOOKUP("# Memory",'vHosts (Imported)'!$1:$5000,M2108,FALSE)</f>
        <v>0</v>
      </c>
      <c r="M2108" s="45">
        <f t="shared" si="98"/>
        <v>2108</v>
      </c>
      <c r="N2108" s="38">
        <f>HLOOKUP("Host",'vInfo (Imported)'!$1:$5000,M2108,FALSE)</f>
        <v>0</v>
      </c>
      <c r="R2108">
        <f>HLOOKUP("CPUs",'vInfo (Imported)'!$1:$5000,M2108,FALSE)</f>
        <v>0</v>
      </c>
      <c r="S2108">
        <f>HLOOKUP("Memory",'vInfo (Imported)'!$1:$5000,M2108,FALSE)</f>
        <v>0</v>
      </c>
      <c r="T2108">
        <f>HLOOKUP("Provisioned MiB",'vInfo (Imported)'!$1:$5000,M2108,FALSE)</f>
        <v>0</v>
      </c>
      <c r="U2108">
        <f t="shared" si="97"/>
        <v>0</v>
      </c>
      <c r="V2108">
        <f>HLOOKUP("In Use MiB",'vInfo (Imported)'!$1:$5000,M2108,FALSE)</f>
        <v>0</v>
      </c>
    </row>
    <row r="2109" spans="1:22" ht="13" x14ac:dyDescent="0.3">
      <c r="A2109" s="46">
        <f>'vHosts (Imported)'!A2109</f>
        <v>0</v>
      </c>
      <c r="B2109" s="51">
        <f t="shared" si="99"/>
        <v>4968</v>
      </c>
      <c r="C2109" s="49">
        <f>HLOOKUP("# Cores",'vHosts (Imported)'!$1:$5000,M2109,FALSE)</f>
        <v>0</v>
      </c>
      <c r="D2109" s="52">
        <f>HLOOKUP("# Memory",'vHosts (Imported)'!$1:$5000,M2109,FALSE)</f>
        <v>0</v>
      </c>
      <c r="M2109" s="45">
        <f t="shared" si="98"/>
        <v>2109</v>
      </c>
      <c r="N2109" s="38">
        <f>HLOOKUP("Host",'vInfo (Imported)'!$1:$5000,M2109,FALSE)</f>
        <v>0</v>
      </c>
      <c r="R2109">
        <f>HLOOKUP("CPUs",'vInfo (Imported)'!$1:$5000,M2109,FALSE)</f>
        <v>0</v>
      </c>
      <c r="S2109">
        <f>HLOOKUP("Memory",'vInfo (Imported)'!$1:$5000,M2109,FALSE)</f>
        <v>0</v>
      </c>
      <c r="T2109">
        <f>HLOOKUP("Provisioned MiB",'vInfo (Imported)'!$1:$5000,M2109,FALSE)</f>
        <v>0</v>
      </c>
      <c r="U2109">
        <f t="shared" si="97"/>
        <v>0</v>
      </c>
      <c r="V2109">
        <f>HLOOKUP("In Use MiB",'vInfo (Imported)'!$1:$5000,M2109,FALSE)</f>
        <v>0</v>
      </c>
    </row>
    <row r="2110" spans="1:22" ht="13" x14ac:dyDescent="0.3">
      <c r="A2110" s="46">
        <f>'vHosts (Imported)'!A2110</f>
        <v>0</v>
      </c>
      <c r="B2110" s="51">
        <f t="shared" si="99"/>
        <v>4968</v>
      </c>
      <c r="C2110" s="49">
        <f>HLOOKUP("# Cores",'vHosts (Imported)'!$1:$5000,M2110,FALSE)</f>
        <v>0</v>
      </c>
      <c r="D2110" s="52">
        <f>HLOOKUP("# Memory",'vHosts (Imported)'!$1:$5000,M2110,FALSE)</f>
        <v>0</v>
      </c>
      <c r="M2110" s="45">
        <f t="shared" si="98"/>
        <v>2110</v>
      </c>
      <c r="N2110" s="38">
        <f>HLOOKUP("Host",'vInfo (Imported)'!$1:$5000,M2110,FALSE)</f>
        <v>0</v>
      </c>
      <c r="R2110">
        <f>HLOOKUP("CPUs",'vInfo (Imported)'!$1:$5000,M2110,FALSE)</f>
        <v>0</v>
      </c>
      <c r="S2110">
        <f>HLOOKUP("Memory",'vInfo (Imported)'!$1:$5000,M2110,FALSE)</f>
        <v>0</v>
      </c>
      <c r="T2110">
        <f>HLOOKUP("Provisioned MiB",'vInfo (Imported)'!$1:$5000,M2110,FALSE)</f>
        <v>0</v>
      </c>
      <c r="U2110">
        <f t="shared" si="97"/>
        <v>0</v>
      </c>
      <c r="V2110">
        <f>HLOOKUP("In Use MiB",'vInfo (Imported)'!$1:$5000,M2110,FALSE)</f>
        <v>0</v>
      </c>
    </row>
    <row r="2111" spans="1:22" ht="13" x14ac:dyDescent="0.3">
      <c r="A2111" s="46">
        <f>'vHosts (Imported)'!A2111</f>
        <v>0</v>
      </c>
      <c r="B2111" s="51">
        <f t="shared" si="99"/>
        <v>4968</v>
      </c>
      <c r="C2111" s="49">
        <f>HLOOKUP("# Cores",'vHosts (Imported)'!$1:$5000,M2111,FALSE)</f>
        <v>0</v>
      </c>
      <c r="D2111" s="52">
        <f>HLOOKUP("# Memory",'vHosts (Imported)'!$1:$5000,M2111,FALSE)</f>
        <v>0</v>
      </c>
      <c r="M2111" s="45">
        <f t="shared" si="98"/>
        <v>2111</v>
      </c>
      <c r="N2111" s="38">
        <f>HLOOKUP("Host",'vInfo (Imported)'!$1:$5000,M2111,FALSE)</f>
        <v>0</v>
      </c>
      <c r="R2111">
        <f>HLOOKUP("CPUs",'vInfo (Imported)'!$1:$5000,M2111,FALSE)</f>
        <v>0</v>
      </c>
      <c r="S2111">
        <f>HLOOKUP("Memory",'vInfo (Imported)'!$1:$5000,M2111,FALSE)</f>
        <v>0</v>
      </c>
      <c r="T2111">
        <f>HLOOKUP("Provisioned MiB",'vInfo (Imported)'!$1:$5000,M2111,FALSE)</f>
        <v>0</v>
      </c>
      <c r="U2111">
        <f t="shared" si="97"/>
        <v>0</v>
      </c>
      <c r="V2111">
        <f>HLOOKUP("In Use MiB",'vInfo (Imported)'!$1:$5000,M2111,FALSE)</f>
        <v>0</v>
      </c>
    </row>
    <row r="2112" spans="1:22" ht="13" x14ac:dyDescent="0.3">
      <c r="A2112" s="46">
        <f>'vHosts (Imported)'!A2112</f>
        <v>0</v>
      </c>
      <c r="B2112" s="51">
        <f t="shared" si="99"/>
        <v>4968</v>
      </c>
      <c r="C2112" s="49">
        <f>HLOOKUP("# Cores",'vHosts (Imported)'!$1:$5000,M2112,FALSE)</f>
        <v>0</v>
      </c>
      <c r="D2112" s="52">
        <f>HLOOKUP("# Memory",'vHosts (Imported)'!$1:$5000,M2112,FALSE)</f>
        <v>0</v>
      </c>
      <c r="M2112" s="45">
        <f t="shared" si="98"/>
        <v>2112</v>
      </c>
      <c r="N2112" s="38">
        <f>HLOOKUP("Host",'vInfo (Imported)'!$1:$5000,M2112,FALSE)</f>
        <v>0</v>
      </c>
      <c r="R2112">
        <f>HLOOKUP("CPUs",'vInfo (Imported)'!$1:$5000,M2112,FALSE)</f>
        <v>0</v>
      </c>
      <c r="S2112">
        <f>HLOOKUP("Memory",'vInfo (Imported)'!$1:$5000,M2112,FALSE)</f>
        <v>0</v>
      </c>
      <c r="T2112">
        <f>HLOOKUP("Provisioned MiB",'vInfo (Imported)'!$1:$5000,M2112,FALSE)</f>
        <v>0</v>
      </c>
      <c r="U2112">
        <f t="shared" si="97"/>
        <v>0</v>
      </c>
      <c r="V2112">
        <f>HLOOKUP("In Use MiB",'vInfo (Imported)'!$1:$5000,M2112,FALSE)</f>
        <v>0</v>
      </c>
    </row>
    <row r="2113" spans="1:22" ht="13" x14ac:dyDescent="0.3">
      <c r="A2113" s="46">
        <f>'vHosts (Imported)'!A2113</f>
        <v>0</v>
      </c>
      <c r="B2113" s="51">
        <f t="shared" si="99"/>
        <v>4968</v>
      </c>
      <c r="C2113" s="49">
        <f>HLOOKUP("# Cores",'vHosts (Imported)'!$1:$5000,M2113,FALSE)</f>
        <v>0</v>
      </c>
      <c r="D2113" s="52">
        <f>HLOOKUP("# Memory",'vHosts (Imported)'!$1:$5000,M2113,FALSE)</f>
        <v>0</v>
      </c>
      <c r="M2113" s="45">
        <f t="shared" si="98"/>
        <v>2113</v>
      </c>
      <c r="N2113" s="38">
        <f>HLOOKUP("Host",'vInfo (Imported)'!$1:$5000,M2113,FALSE)</f>
        <v>0</v>
      </c>
      <c r="R2113">
        <f>HLOOKUP("CPUs",'vInfo (Imported)'!$1:$5000,M2113,FALSE)</f>
        <v>0</v>
      </c>
      <c r="S2113">
        <f>HLOOKUP("Memory",'vInfo (Imported)'!$1:$5000,M2113,FALSE)</f>
        <v>0</v>
      </c>
      <c r="T2113">
        <f>HLOOKUP("Provisioned MiB",'vInfo (Imported)'!$1:$5000,M2113,FALSE)</f>
        <v>0</v>
      </c>
      <c r="U2113">
        <f t="shared" si="97"/>
        <v>0</v>
      </c>
      <c r="V2113">
        <f>HLOOKUP("In Use MiB",'vInfo (Imported)'!$1:$5000,M2113,FALSE)</f>
        <v>0</v>
      </c>
    </row>
    <row r="2114" spans="1:22" ht="13" x14ac:dyDescent="0.3">
      <c r="A2114" s="46">
        <f>'vHosts (Imported)'!A2114</f>
        <v>0</v>
      </c>
      <c r="B2114" s="51">
        <f t="shared" si="99"/>
        <v>4968</v>
      </c>
      <c r="C2114" s="49">
        <f>HLOOKUP("# Cores",'vHosts (Imported)'!$1:$5000,M2114,FALSE)</f>
        <v>0</v>
      </c>
      <c r="D2114" s="52">
        <f>HLOOKUP("# Memory",'vHosts (Imported)'!$1:$5000,M2114,FALSE)</f>
        <v>0</v>
      </c>
      <c r="M2114" s="45">
        <f t="shared" si="98"/>
        <v>2114</v>
      </c>
      <c r="N2114" s="38">
        <f>HLOOKUP("Host",'vInfo (Imported)'!$1:$5000,M2114,FALSE)</f>
        <v>0</v>
      </c>
      <c r="R2114">
        <f>HLOOKUP("CPUs",'vInfo (Imported)'!$1:$5000,M2114,FALSE)</f>
        <v>0</v>
      </c>
      <c r="S2114">
        <f>HLOOKUP("Memory",'vInfo (Imported)'!$1:$5000,M2114,FALSE)</f>
        <v>0</v>
      </c>
      <c r="T2114">
        <f>HLOOKUP("Provisioned MiB",'vInfo (Imported)'!$1:$5000,M2114,FALSE)</f>
        <v>0</v>
      </c>
      <c r="U2114">
        <f t="shared" si="97"/>
        <v>0</v>
      </c>
      <c r="V2114">
        <f>HLOOKUP("In Use MiB",'vInfo (Imported)'!$1:$5000,M2114,FALSE)</f>
        <v>0</v>
      </c>
    </row>
    <row r="2115" spans="1:22" ht="13" x14ac:dyDescent="0.3">
      <c r="A2115" s="46">
        <f>'vHosts (Imported)'!A2115</f>
        <v>0</v>
      </c>
      <c r="B2115" s="51">
        <f t="shared" si="99"/>
        <v>4968</v>
      </c>
      <c r="C2115" s="49">
        <f>HLOOKUP("# Cores",'vHosts (Imported)'!$1:$5000,M2115,FALSE)</f>
        <v>0</v>
      </c>
      <c r="D2115" s="52">
        <f>HLOOKUP("# Memory",'vHosts (Imported)'!$1:$5000,M2115,FALSE)</f>
        <v>0</v>
      </c>
      <c r="M2115" s="45">
        <f t="shared" si="98"/>
        <v>2115</v>
      </c>
      <c r="N2115" s="38">
        <f>HLOOKUP("Host",'vInfo (Imported)'!$1:$5000,M2115,FALSE)</f>
        <v>0</v>
      </c>
      <c r="R2115">
        <f>HLOOKUP("CPUs",'vInfo (Imported)'!$1:$5000,M2115,FALSE)</f>
        <v>0</v>
      </c>
      <c r="S2115">
        <f>HLOOKUP("Memory",'vInfo (Imported)'!$1:$5000,M2115,FALSE)</f>
        <v>0</v>
      </c>
      <c r="T2115">
        <f>HLOOKUP("Provisioned MiB",'vInfo (Imported)'!$1:$5000,M2115,FALSE)</f>
        <v>0</v>
      </c>
      <c r="U2115">
        <f t="shared" ref="U2115:U2178" si="100">T2115-V2115</f>
        <v>0</v>
      </c>
      <c r="V2115">
        <f>HLOOKUP("In Use MiB",'vInfo (Imported)'!$1:$5000,M2115,FALSE)</f>
        <v>0</v>
      </c>
    </row>
    <row r="2116" spans="1:22" ht="13" x14ac:dyDescent="0.3">
      <c r="A2116" s="46">
        <f>'vHosts (Imported)'!A2116</f>
        <v>0</v>
      </c>
      <c r="B2116" s="51">
        <f t="shared" si="99"/>
        <v>4968</v>
      </c>
      <c r="C2116" s="49">
        <f>HLOOKUP("# Cores",'vHosts (Imported)'!$1:$5000,M2116,FALSE)</f>
        <v>0</v>
      </c>
      <c r="D2116" s="52">
        <f>HLOOKUP("# Memory",'vHosts (Imported)'!$1:$5000,M2116,FALSE)</f>
        <v>0</v>
      </c>
      <c r="M2116" s="45">
        <f t="shared" ref="M2116:M2179" si="101">M2115+1</f>
        <v>2116</v>
      </c>
      <c r="N2116" s="38">
        <f>HLOOKUP("Host",'vInfo (Imported)'!$1:$5000,M2116,FALSE)</f>
        <v>0</v>
      </c>
      <c r="R2116">
        <f>HLOOKUP("CPUs",'vInfo (Imported)'!$1:$5000,M2116,FALSE)</f>
        <v>0</v>
      </c>
      <c r="S2116">
        <f>HLOOKUP("Memory",'vInfo (Imported)'!$1:$5000,M2116,FALSE)</f>
        <v>0</v>
      </c>
      <c r="T2116">
        <f>HLOOKUP("Provisioned MiB",'vInfo (Imported)'!$1:$5000,M2116,FALSE)</f>
        <v>0</v>
      </c>
      <c r="U2116">
        <f t="shared" si="100"/>
        <v>0</v>
      </c>
      <c r="V2116">
        <f>HLOOKUP("In Use MiB",'vInfo (Imported)'!$1:$5000,M2116,FALSE)</f>
        <v>0</v>
      </c>
    </row>
    <row r="2117" spans="1:22" ht="13" x14ac:dyDescent="0.3">
      <c r="A2117" s="46">
        <f>'vHosts (Imported)'!A2117</f>
        <v>0</v>
      </c>
      <c r="B2117" s="51">
        <f t="shared" si="99"/>
        <v>4968</v>
      </c>
      <c r="C2117" s="49">
        <f>HLOOKUP("# Cores",'vHosts (Imported)'!$1:$5000,M2117,FALSE)</f>
        <v>0</v>
      </c>
      <c r="D2117" s="52">
        <f>HLOOKUP("# Memory",'vHosts (Imported)'!$1:$5000,M2117,FALSE)</f>
        <v>0</v>
      </c>
      <c r="M2117" s="45">
        <f t="shared" si="101"/>
        <v>2117</v>
      </c>
      <c r="N2117" s="38">
        <f>HLOOKUP("Host",'vInfo (Imported)'!$1:$5000,M2117,FALSE)</f>
        <v>0</v>
      </c>
      <c r="R2117">
        <f>HLOOKUP("CPUs",'vInfo (Imported)'!$1:$5000,M2117,FALSE)</f>
        <v>0</v>
      </c>
      <c r="S2117">
        <f>HLOOKUP("Memory",'vInfo (Imported)'!$1:$5000,M2117,FALSE)</f>
        <v>0</v>
      </c>
      <c r="T2117">
        <f>HLOOKUP("Provisioned MiB",'vInfo (Imported)'!$1:$5000,M2117,FALSE)</f>
        <v>0</v>
      </c>
      <c r="U2117">
        <f t="shared" si="100"/>
        <v>0</v>
      </c>
      <c r="V2117">
        <f>HLOOKUP("In Use MiB",'vInfo (Imported)'!$1:$5000,M2117,FALSE)</f>
        <v>0</v>
      </c>
    </row>
    <row r="2118" spans="1:22" ht="13" x14ac:dyDescent="0.3">
      <c r="A2118" s="46">
        <f>'vHosts (Imported)'!A2118</f>
        <v>0</v>
      </c>
      <c r="B2118" s="51">
        <f t="shared" si="99"/>
        <v>4968</v>
      </c>
      <c r="C2118" s="49">
        <f>HLOOKUP("# Cores",'vHosts (Imported)'!$1:$5000,M2118,FALSE)</f>
        <v>0</v>
      </c>
      <c r="D2118" s="52">
        <f>HLOOKUP("# Memory",'vHosts (Imported)'!$1:$5000,M2118,FALSE)</f>
        <v>0</v>
      </c>
      <c r="M2118" s="45">
        <f t="shared" si="101"/>
        <v>2118</v>
      </c>
      <c r="N2118" s="38">
        <f>HLOOKUP("Host",'vInfo (Imported)'!$1:$5000,M2118,FALSE)</f>
        <v>0</v>
      </c>
      <c r="R2118">
        <f>HLOOKUP("CPUs",'vInfo (Imported)'!$1:$5000,M2118,FALSE)</f>
        <v>0</v>
      </c>
      <c r="S2118">
        <f>HLOOKUP("Memory",'vInfo (Imported)'!$1:$5000,M2118,FALSE)</f>
        <v>0</v>
      </c>
      <c r="T2118">
        <f>HLOOKUP("Provisioned MiB",'vInfo (Imported)'!$1:$5000,M2118,FALSE)</f>
        <v>0</v>
      </c>
      <c r="U2118">
        <f t="shared" si="100"/>
        <v>0</v>
      </c>
      <c r="V2118">
        <f>HLOOKUP("In Use MiB",'vInfo (Imported)'!$1:$5000,M2118,FALSE)</f>
        <v>0</v>
      </c>
    </row>
    <row r="2119" spans="1:22" ht="13" x14ac:dyDescent="0.3">
      <c r="A2119" s="46">
        <f>'vHosts (Imported)'!A2119</f>
        <v>0</v>
      </c>
      <c r="B2119" s="51">
        <f t="shared" si="99"/>
        <v>4968</v>
      </c>
      <c r="C2119" s="49">
        <f>HLOOKUP("# Cores",'vHosts (Imported)'!$1:$5000,M2119,FALSE)</f>
        <v>0</v>
      </c>
      <c r="D2119" s="52">
        <f>HLOOKUP("# Memory",'vHosts (Imported)'!$1:$5000,M2119,FALSE)</f>
        <v>0</v>
      </c>
      <c r="M2119" s="45">
        <f t="shared" si="101"/>
        <v>2119</v>
      </c>
      <c r="N2119" s="38">
        <f>HLOOKUP("Host",'vInfo (Imported)'!$1:$5000,M2119,FALSE)</f>
        <v>0</v>
      </c>
      <c r="R2119">
        <f>HLOOKUP("CPUs",'vInfo (Imported)'!$1:$5000,M2119,FALSE)</f>
        <v>0</v>
      </c>
      <c r="S2119">
        <f>HLOOKUP("Memory",'vInfo (Imported)'!$1:$5000,M2119,FALSE)</f>
        <v>0</v>
      </c>
      <c r="T2119">
        <f>HLOOKUP("Provisioned MiB",'vInfo (Imported)'!$1:$5000,M2119,FALSE)</f>
        <v>0</v>
      </c>
      <c r="U2119">
        <f t="shared" si="100"/>
        <v>0</v>
      </c>
      <c r="V2119">
        <f>HLOOKUP("In Use MiB",'vInfo (Imported)'!$1:$5000,M2119,FALSE)</f>
        <v>0</v>
      </c>
    </row>
    <row r="2120" spans="1:22" ht="13" x14ac:dyDescent="0.3">
      <c r="A2120" s="46">
        <f>'vHosts (Imported)'!A2120</f>
        <v>0</v>
      </c>
      <c r="B2120" s="51">
        <f t="shared" si="99"/>
        <v>4968</v>
      </c>
      <c r="C2120" s="49">
        <f>HLOOKUP("# Cores",'vHosts (Imported)'!$1:$5000,M2120,FALSE)</f>
        <v>0</v>
      </c>
      <c r="D2120" s="52">
        <f>HLOOKUP("# Memory",'vHosts (Imported)'!$1:$5000,M2120,FALSE)</f>
        <v>0</v>
      </c>
      <c r="M2120" s="45">
        <f t="shared" si="101"/>
        <v>2120</v>
      </c>
      <c r="N2120" s="38">
        <f>HLOOKUP("Host",'vInfo (Imported)'!$1:$5000,M2120,FALSE)</f>
        <v>0</v>
      </c>
      <c r="R2120">
        <f>HLOOKUP("CPUs",'vInfo (Imported)'!$1:$5000,M2120,FALSE)</f>
        <v>0</v>
      </c>
      <c r="S2120">
        <f>HLOOKUP("Memory",'vInfo (Imported)'!$1:$5000,M2120,FALSE)</f>
        <v>0</v>
      </c>
      <c r="T2120">
        <f>HLOOKUP("Provisioned MiB",'vInfo (Imported)'!$1:$5000,M2120,FALSE)</f>
        <v>0</v>
      </c>
      <c r="U2120">
        <f t="shared" si="100"/>
        <v>0</v>
      </c>
      <c r="V2120">
        <f>HLOOKUP("In Use MiB",'vInfo (Imported)'!$1:$5000,M2120,FALSE)</f>
        <v>0</v>
      </c>
    </row>
    <row r="2121" spans="1:22" ht="13" x14ac:dyDescent="0.3">
      <c r="A2121" s="46">
        <f>'vHosts (Imported)'!A2121</f>
        <v>0</v>
      </c>
      <c r="B2121" s="51">
        <f t="shared" si="99"/>
        <v>4968</v>
      </c>
      <c r="C2121" s="49">
        <f>HLOOKUP("# Cores",'vHosts (Imported)'!$1:$5000,M2121,FALSE)</f>
        <v>0</v>
      </c>
      <c r="D2121" s="52">
        <f>HLOOKUP("# Memory",'vHosts (Imported)'!$1:$5000,M2121,FALSE)</f>
        <v>0</v>
      </c>
      <c r="M2121" s="45">
        <f t="shared" si="101"/>
        <v>2121</v>
      </c>
      <c r="N2121" s="38">
        <f>HLOOKUP("Host",'vInfo (Imported)'!$1:$5000,M2121,FALSE)</f>
        <v>0</v>
      </c>
      <c r="R2121">
        <f>HLOOKUP("CPUs",'vInfo (Imported)'!$1:$5000,M2121,FALSE)</f>
        <v>0</v>
      </c>
      <c r="S2121">
        <f>HLOOKUP("Memory",'vInfo (Imported)'!$1:$5000,M2121,FALSE)</f>
        <v>0</v>
      </c>
      <c r="T2121">
        <f>HLOOKUP("Provisioned MiB",'vInfo (Imported)'!$1:$5000,M2121,FALSE)</f>
        <v>0</v>
      </c>
      <c r="U2121">
        <f t="shared" si="100"/>
        <v>0</v>
      </c>
      <c r="V2121">
        <f>HLOOKUP("In Use MiB",'vInfo (Imported)'!$1:$5000,M2121,FALSE)</f>
        <v>0</v>
      </c>
    </row>
    <row r="2122" spans="1:22" ht="13" x14ac:dyDescent="0.3">
      <c r="A2122" s="46">
        <f>'vHosts (Imported)'!A2122</f>
        <v>0</v>
      </c>
      <c r="B2122" s="51">
        <f t="shared" si="99"/>
        <v>4968</v>
      </c>
      <c r="C2122" s="49">
        <f>HLOOKUP("# Cores",'vHosts (Imported)'!$1:$5000,M2122,FALSE)</f>
        <v>0</v>
      </c>
      <c r="D2122" s="52">
        <f>HLOOKUP("# Memory",'vHosts (Imported)'!$1:$5000,M2122,FALSE)</f>
        <v>0</v>
      </c>
      <c r="M2122" s="45">
        <f t="shared" si="101"/>
        <v>2122</v>
      </c>
      <c r="N2122" s="38">
        <f>HLOOKUP("Host",'vInfo (Imported)'!$1:$5000,M2122,FALSE)</f>
        <v>0</v>
      </c>
      <c r="R2122">
        <f>HLOOKUP("CPUs",'vInfo (Imported)'!$1:$5000,M2122,FALSE)</f>
        <v>0</v>
      </c>
      <c r="S2122">
        <f>HLOOKUP("Memory",'vInfo (Imported)'!$1:$5000,M2122,FALSE)</f>
        <v>0</v>
      </c>
      <c r="T2122">
        <f>HLOOKUP("Provisioned MiB",'vInfo (Imported)'!$1:$5000,M2122,FALSE)</f>
        <v>0</v>
      </c>
      <c r="U2122">
        <f t="shared" si="100"/>
        <v>0</v>
      </c>
      <c r="V2122">
        <f>HLOOKUP("In Use MiB",'vInfo (Imported)'!$1:$5000,M2122,FALSE)</f>
        <v>0</v>
      </c>
    </row>
    <row r="2123" spans="1:22" ht="13" x14ac:dyDescent="0.3">
      <c r="A2123" s="46">
        <f>'vHosts (Imported)'!A2123</f>
        <v>0</v>
      </c>
      <c r="B2123" s="51">
        <f t="shared" si="99"/>
        <v>4968</v>
      </c>
      <c r="C2123" s="49">
        <f>HLOOKUP("# Cores",'vHosts (Imported)'!$1:$5000,M2123,FALSE)</f>
        <v>0</v>
      </c>
      <c r="D2123" s="52">
        <f>HLOOKUP("# Memory",'vHosts (Imported)'!$1:$5000,M2123,FALSE)</f>
        <v>0</v>
      </c>
      <c r="M2123" s="45">
        <f t="shared" si="101"/>
        <v>2123</v>
      </c>
      <c r="N2123" s="38">
        <f>HLOOKUP("Host",'vInfo (Imported)'!$1:$5000,M2123,FALSE)</f>
        <v>0</v>
      </c>
      <c r="R2123">
        <f>HLOOKUP("CPUs",'vInfo (Imported)'!$1:$5000,M2123,FALSE)</f>
        <v>0</v>
      </c>
      <c r="S2123">
        <f>HLOOKUP("Memory",'vInfo (Imported)'!$1:$5000,M2123,FALSE)</f>
        <v>0</v>
      </c>
      <c r="T2123">
        <f>HLOOKUP("Provisioned MiB",'vInfo (Imported)'!$1:$5000,M2123,FALSE)</f>
        <v>0</v>
      </c>
      <c r="U2123">
        <f t="shared" si="100"/>
        <v>0</v>
      </c>
      <c r="V2123">
        <f>HLOOKUP("In Use MiB",'vInfo (Imported)'!$1:$5000,M2123,FALSE)</f>
        <v>0</v>
      </c>
    </row>
    <row r="2124" spans="1:22" ht="13" x14ac:dyDescent="0.3">
      <c r="A2124" s="46">
        <f>'vHosts (Imported)'!A2124</f>
        <v>0</v>
      </c>
      <c r="B2124" s="51">
        <f t="shared" si="99"/>
        <v>4968</v>
      </c>
      <c r="C2124" s="49">
        <f>HLOOKUP("# Cores",'vHosts (Imported)'!$1:$5000,M2124,FALSE)</f>
        <v>0</v>
      </c>
      <c r="D2124" s="52">
        <f>HLOOKUP("# Memory",'vHosts (Imported)'!$1:$5000,M2124,FALSE)</f>
        <v>0</v>
      </c>
      <c r="M2124" s="45">
        <f t="shared" si="101"/>
        <v>2124</v>
      </c>
      <c r="N2124" s="38">
        <f>HLOOKUP("Host",'vInfo (Imported)'!$1:$5000,M2124,FALSE)</f>
        <v>0</v>
      </c>
      <c r="R2124">
        <f>HLOOKUP("CPUs",'vInfo (Imported)'!$1:$5000,M2124,FALSE)</f>
        <v>0</v>
      </c>
      <c r="S2124">
        <f>HLOOKUP("Memory",'vInfo (Imported)'!$1:$5000,M2124,FALSE)</f>
        <v>0</v>
      </c>
      <c r="T2124">
        <f>HLOOKUP("Provisioned MiB",'vInfo (Imported)'!$1:$5000,M2124,FALSE)</f>
        <v>0</v>
      </c>
      <c r="U2124">
        <f t="shared" si="100"/>
        <v>0</v>
      </c>
      <c r="V2124">
        <f>HLOOKUP("In Use MiB",'vInfo (Imported)'!$1:$5000,M2124,FALSE)</f>
        <v>0</v>
      </c>
    </row>
    <row r="2125" spans="1:22" ht="13" x14ac:dyDescent="0.3">
      <c r="A2125" s="46">
        <f>'vHosts (Imported)'!A2125</f>
        <v>0</v>
      </c>
      <c r="B2125" s="51">
        <f t="shared" si="99"/>
        <v>4968</v>
      </c>
      <c r="C2125" s="49">
        <f>HLOOKUP("# Cores",'vHosts (Imported)'!$1:$5000,M2125,FALSE)</f>
        <v>0</v>
      </c>
      <c r="D2125" s="52">
        <f>HLOOKUP("# Memory",'vHosts (Imported)'!$1:$5000,M2125,FALSE)</f>
        <v>0</v>
      </c>
      <c r="M2125" s="45">
        <f t="shared" si="101"/>
        <v>2125</v>
      </c>
      <c r="N2125" s="38">
        <f>HLOOKUP("Host",'vInfo (Imported)'!$1:$5000,M2125,FALSE)</f>
        <v>0</v>
      </c>
      <c r="R2125">
        <f>HLOOKUP("CPUs",'vInfo (Imported)'!$1:$5000,M2125,FALSE)</f>
        <v>0</v>
      </c>
      <c r="S2125">
        <f>HLOOKUP("Memory",'vInfo (Imported)'!$1:$5000,M2125,FALSE)</f>
        <v>0</v>
      </c>
      <c r="T2125">
        <f>HLOOKUP("Provisioned MiB",'vInfo (Imported)'!$1:$5000,M2125,FALSE)</f>
        <v>0</v>
      </c>
      <c r="U2125">
        <f t="shared" si="100"/>
        <v>0</v>
      </c>
      <c r="V2125">
        <f>HLOOKUP("In Use MiB",'vInfo (Imported)'!$1:$5000,M2125,FALSE)</f>
        <v>0</v>
      </c>
    </row>
    <row r="2126" spans="1:22" ht="13" x14ac:dyDescent="0.3">
      <c r="A2126" s="46">
        <f>'vHosts (Imported)'!A2126</f>
        <v>0</v>
      </c>
      <c r="B2126" s="51">
        <f t="shared" si="99"/>
        <v>4968</v>
      </c>
      <c r="C2126" s="49">
        <f>HLOOKUP("# Cores",'vHosts (Imported)'!$1:$5000,M2126,FALSE)</f>
        <v>0</v>
      </c>
      <c r="D2126" s="52">
        <f>HLOOKUP("# Memory",'vHosts (Imported)'!$1:$5000,M2126,FALSE)</f>
        <v>0</v>
      </c>
      <c r="M2126" s="45">
        <f t="shared" si="101"/>
        <v>2126</v>
      </c>
      <c r="N2126" s="38">
        <f>HLOOKUP("Host",'vInfo (Imported)'!$1:$5000,M2126,FALSE)</f>
        <v>0</v>
      </c>
      <c r="R2126">
        <f>HLOOKUP("CPUs",'vInfo (Imported)'!$1:$5000,M2126,FALSE)</f>
        <v>0</v>
      </c>
      <c r="S2126">
        <f>HLOOKUP("Memory",'vInfo (Imported)'!$1:$5000,M2126,FALSE)</f>
        <v>0</v>
      </c>
      <c r="T2126">
        <f>HLOOKUP("Provisioned MiB",'vInfo (Imported)'!$1:$5000,M2126,FALSE)</f>
        <v>0</v>
      </c>
      <c r="U2126">
        <f t="shared" si="100"/>
        <v>0</v>
      </c>
      <c r="V2126">
        <f>HLOOKUP("In Use MiB",'vInfo (Imported)'!$1:$5000,M2126,FALSE)</f>
        <v>0</v>
      </c>
    </row>
    <row r="2127" spans="1:22" ht="13" x14ac:dyDescent="0.3">
      <c r="A2127" s="46">
        <f>'vHosts (Imported)'!A2127</f>
        <v>0</v>
      </c>
      <c r="B2127" s="51">
        <f t="shared" si="99"/>
        <v>4968</v>
      </c>
      <c r="C2127" s="49">
        <f>HLOOKUP("# Cores",'vHosts (Imported)'!$1:$5000,M2127,FALSE)</f>
        <v>0</v>
      </c>
      <c r="D2127" s="52">
        <f>HLOOKUP("# Memory",'vHosts (Imported)'!$1:$5000,M2127,FALSE)</f>
        <v>0</v>
      </c>
      <c r="M2127" s="45">
        <f t="shared" si="101"/>
        <v>2127</v>
      </c>
      <c r="N2127" s="38">
        <f>HLOOKUP("Host",'vInfo (Imported)'!$1:$5000,M2127,FALSE)</f>
        <v>0</v>
      </c>
      <c r="R2127">
        <f>HLOOKUP("CPUs",'vInfo (Imported)'!$1:$5000,M2127,FALSE)</f>
        <v>0</v>
      </c>
      <c r="S2127">
        <f>HLOOKUP("Memory",'vInfo (Imported)'!$1:$5000,M2127,FALSE)</f>
        <v>0</v>
      </c>
      <c r="T2127">
        <f>HLOOKUP("Provisioned MiB",'vInfo (Imported)'!$1:$5000,M2127,FALSE)</f>
        <v>0</v>
      </c>
      <c r="U2127">
        <f t="shared" si="100"/>
        <v>0</v>
      </c>
      <c r="V2127">
        <f>HLOOKUP("In Use MiB",'vInfo (Imported)'!$1:$5000,M2127,FALSE)</f>
        <v>0</v>
      </c>
    </row>
    <row r="2128" spans="1:22" ht="13" x14ac:dyDescent="0.3">
      <c r="A2128" s="46">
        <f>'vHosts (Imported)'!A2128</f>
        <v>0</v>
      </c>
      <c r="B2128" s="51">
        <f t="shared" si="99"/>
        <v>4968</v>
      </c>
      <c r="C2128" s="49">
        <f>HLOOKUP("# Cores",'vHosts (Imported)'!$1:$5000,M2128,FALSE)</f>
        <v>0</v>
      </c>
      <c r="D2128" s="52">
        <f>HLOOKUP("# Memory",'vHosts (Imported)'!$1:$5000,M2128,FALSE)</f>
        <v>0</v>
      </c>
      <c r="M2128" s="45">
        <f t="shared" si="101"/>
        <v>2128</v>
      </c>
      <c r="N2128" s="38">
        <f>HLOOKUP("Host",'vInfo (Imported)'!$1:$5000,M2128,FALSE)</f>
        <v>0</v>
      </c>
      <c r="R2128">
        <f>HLOOKUP("CPUs",'vInfo (Imported)'!$1:$5000,M2128,FALSE)</f>
        <v>0</v>
      </c>
      <c r="S2128">
        <f>HLOOKUP("Memory",'vInfo (Imported)'!$1:$5000,M2128,FALSE)</f>
        <v>0</v>
      </c>
      <c r="T2128">
        <f>HLOOKUP("Provisioned MiB",'vInfo (Imported)'!$1:$5000,M2128,FALSE)</f>
        <v>0</v>
      </c>
      <c r="U2128">
        <f t="shared" si="100"/>
        <v>0</v>
      </c>
      <c r="V2128">
        <f>HLOOKUP("In Use MiB",'vInfo (Imported)'!$1:$5000,M2128,FALSE)</f>
        <v>0</v>
      </c>
    </row>
    <row r="2129" spans="1:22" ht="13" x14ac:dyDescent="0.3">
      <c r="A2129" s="46">
        <f>'vHosts (Imported)'!A2129</f>
        <v>0</v>
      </c>
      <c r="B2129" s="51">
        <f t="shared" si="99"/>
        <v>4968</v>
      </c>
      <c r="C2129" s="49">
        <f>HLOOKUP("# Cores",'vHosts (Imported)'!$1:$5000,M2129,FALSE)</f>
        <v>0</v>
      </c>
      <c r="D2129" s="52">
        <f>HLOOKUP("# Memory",'vHosts (Imported)'!$1:$5000,M2129,FALSE)</f>
        <v>0</v>
      </c>
      <c r="M2129" s="45">
        <f t="shared" si="101"/>
        <v>2129</v>
      </c>
      <c r="N2129" s="38">
        <f>HLOOKUP("Host",'vInfo (Imported)'!$1:$5000,M2129,FALSE)</f>
        <v>0</v>
      </c>
      <c r="R2129">
        <f>HLOOKUP("CPUs",'vInfo (Imported)'!$1:$5000,M2129,FALSE)</f>
        <v>0</v>
      </c>
      <c r="S2129">
        <f>HLOOKUP("Memory",'vInfo (Imported)'!$1:$5000,M2129,FALSE)</f>
        <v>0</v>
      </c>
      <c r="T2129">
        <f>HLOOKUP("Provisioned MiB",'vInfo (Imported)'!$1:$5000,M2129,FALSE)</f>
        <v>0</v>
      </c>
      <c r="U2129">
        <f t="shared" si="100"/>
        <v>0</v>
      </c>
      <c r="V2129">
        <f>HLOOKUP("In Use MiB",'vInfo (Imported)'!$1:$5000,M2129,FALSE)</f>
        <v>0</v>
      </c>
    </row>
    <row r="2130" spans="1:22" ht="13" x14ac:dyDescent="0.3">
      <c r="A2130" s="46">
        <f>'vHosts (Imported)'!A2130</f>
        <v>0</v>
      </c>
      <c r="B2130" s="51">
        <f t="shared" si="99"/>
        <v>4968</v>
      </c>
      <c r="C2130" s="49">
        <f>HLOOKUP("# Cores",'vHosts (Imported)'!$1:$5000,M2130,FALSE)</f>
        <v>0</v>
      </c>
      <c r="D2130" s="52">
        <f>HLOOKUP("# Memory",'vHosts (Imported)'!$1:$5000,M2130,FALSE)</f>
        <v>0</v>
      </c>
      <c r="M2130" s="45">
        <f t="shared" si="101"/>
        <v>2130</v>
      </c>
      <c r="N2130" s="38">
        <f>HLOOKUP("Host",'vInfo (Imported)'!$1:$5000,M2130,FALSE)</f>
        <v>0</v>
      </c>
      <c r="R2130">
        <f>HLOOKUP("CPUs",'vInfo (Imported)'!$1:$5000,M2130,FALSE)</f>
        <v>0</v>
      </c>
      <c r="S2130">
        <f>HLOOKUP("Memory",'vInfo (Imported)'!$1:$5000,M2130,FALSE)</f>
        <v>0</v>
      </c>
      <c r="T2130">
        <f>HLOOKUP("Provisioned MiB",'vInfo (Imported)'!$1:$5000,M2130,FALSE)</f>
        <v>0</v>
      </c>
      <c r="U2130">
        <f t="shared" si="100"/>
        <v>0</v>
      </c>
      <c r="V2130">
        <f>HLOOKUP("In Use MiB",'vInfo (Imported)'!$1:$5000,M2130,FALSE)</f>
        <v>0</v>
      </c>
    </row>
    <row r="2131" spans="1:22" ht="13" x14ac:dyDescent="0.3">
      <c r="A2131" s="46">
        <f>'vHosts (Imported)'!A2131</f>
        <v>0</v>
      </c>
      <c r="B2131" s="51">
        <f t="shared" si="99"/>
        <v>4968</v>
      </c>
      <c r="C2131" s="49">
        <f>HLOOKUP("# Cores",'vHosts (Imported)'!$1:$5000,M2131,FALSE)</f>
        <v>0</v>
      </c>
      <c r="D2131" s="52">
        <f>HLOOKUP("# Memory",'vHosts (Imported)'!$1:$5000,M2131,FALSE)</f>
        <v>0</v>
      </c>
      <c r="M2131" s="45">
        <f t="shared" si="101"/>
        <v>2131</v>
      </c>
      <c r="N2131" s="38">
        <f>HLOOKUP("Host",'vInfo (Imported)'!$1:$5000,M2131,FALSE)</f>
        <v>0</v>
      </c>
      <c r="R2131">
        <f>HLOOKUP("CPUs",'vInfo (Imported)'!$1:$5000,M2131,FALSE)</f>
        <v>0</v>
      </c>
      <c r="S2131">
        <f>HLOOKUP("Memory",'vInfo (Imported)'!$1:$5000,M2131,FALSE)</f>
        <v>0</v>
      </c>
      <c r="T2131">
        <f>HLOOKUP("Provisioned MiB",'vInfo (Imported)'!$1:$5000,M2131,FALSE)</f>
        <v>0</v>
      </c>
      <c r="U2131">
        <f t="shared" si="100"/>
        <v>0</v>
      </c>
      <c r="V2131">
        <f>HLOOKUP("In Use MiB",'vInfo (Imported)'!$1:$5000,M2131,FALSE)</f>
        <v>0</v>
      </c>
    </row>
    <row r="2132" spans="1:22" ht="13" x14ac:dyDescent="0.3">
      <c r="A2132" s="46">
        <f>'vHosts (Imported)'!A2132</f>
        <v>0</v>
      </c>
      <c r="B2132" s="51">
        <f t="shared" si="99"/>
        <v>4968</v>
      </c>
      <c r="C2132" s="49">
        <f>HLOOKUP("# Cores",'vHosts (Imported)'!$1:$5000,M2132,FALSE)</f>
        <v>0</v>
      </c>
      <c r="D2132" s="52">
        <f>HLOOKUP("# Memory",'vHosts (Imported)'!$1:$5000,M2132,FALSE)</f>
        <v>0</v>
      </c>
      <c r="M2132" s="45">
        <f t="shared" si="101"/>
        <v>2132</v>
      </c>
      <c r="N2132" s="38">
        <f>HLOOKUP("Host",'vInfo (Imported)'!$1:$5000,M2132,FALSE)</f>
        <v>0</v>
      </c>
      <c r="R2132">
        <f>HLOOKUP("CPUs",'vInfo (Imported)'!$1:$5000,M2132,FALSE)</f>
        <v>0</v>
      </c>
      <c r="S2132">
        <f>HLOOKUP("Memory",'vInfo (Imported)'!$1:$5000,M2132,FALSE)</f>
        <v>0</v>
      </c>
      <c r="T2132">
        <f>HLOOKUP("Provisioned MiB",'vInfo (Imported)'!$1:$5000,M2132,FALSE)</f>
        <v>0</v>
      </c>
      <c r="U2132">
        <f t="shared" si="100"/>
        <v>0</v>
      </c>
      <c r="V2132">
        <f>HLOOKUP("In Use MiB",'vInfo (Imported)'!$1:$5000,M2132,FALSE)</f>
        <v>0</v>
      </c>
    </row>
    <row r="2133" spans="1:22" ht="13" x14ac:dyDescent="0.3">
      <c r="A2133" s="46">
        <f>'vHosts (Imported)'!A2133</f>
        <v>0</v>
      </c>
      <c r="B2133" s="51">
        <f t="shared" si="99"/>
        <v>4968</v>
      </c>
      <c r="C2133" s="49">
        <f>HLOOKUP("# Cores",'vHosts (Imported)'!$1:$5000,M2133,FALSE)</f>
        <v>0</v>
      </c>
      <c r="D2133" s="52">
        <f>HLOOKUP("# Memory",'vHosts (Imported)'!$1:$5000,M2133,FALSE)</f>
        <v>0</v>
      </c>
      <c r="M2133" s="45">
        <f t="shared" si="101"/>
        <v>2133</v>
      </c>
      <c r="N2133" s="38">
        <f>HLOOKUP("Host",'vInfo (Imported)'!$1:$5000,M2133,FALSE)</f>
        <v>0</v>
      </c>
      <c r="R2133">
        <f>HLOOKUP("CPUs",'vInfo (Imported)'!$1:$5000,M2133,FALSE)</f>
        <v>0</v>
      </c>
      <c r="S2133">
        <f>HLOOKUP("Memory",'vInfo (Imported)'!$1:$5000,M2133,FALSE)</f>
        <v>0</v>
      </c>
      <c r="T2133">
        <f>HLOOKUP("Provisioned MiB",'vInfo (Imported)'!$1:$5000,M2133,FALSE)</f>
        <v>0</v>
      </c>
      <c r="U2133">
        <f t="shared" si="100"/>
        <v>0</v>
      </c>
      <c r="V2133">
        <f>HLOOKUP("In Use MiB",'vInfo (Imported)'!$1:$5000,M2133,FALSE)</f>
        <v>0</v>
      </c>
    </row>
    <row r="2134" spans="1:22" ht="13" x14ac:dyDescent="0.3">
      <c r="A2134" s="46">
        <f>'vHosts (Imported)'!A2134</f>
        <v>0</v>
      </c>
      <c r="B2134" s="51">
        <f t="shared" si="99"/>
        <v>4968</v>
      </c>
      <c r="C2134" s="49">
        <f>HLOOKUP("# Cores",'vHosts (Imported)'!$1:$5000,M2134,FALSE)</f>
        <v>0</v>
      </c>
      <c r="D2134" s="52">
        <f>HLOOKUP("# Memory",'vHosts (Imported)'!$1:$5000,M2134,FALSE)</f>
        <v>0</v>
      </c>
      <c r="M2134" s="45">
        <f t="shared" si="101"/>
        <v>2134</v>
      </c>
      <c r="N2134" s="38">
        <f>HLOOKUP("Host",'vInfo (Imported)'!$1:$5000,M2134,FALSE)</f>
        <v>0</v>
      </c>
      <c r="R2134">
        <f>HLOOKUP("CPUs",'vInfo (Imported)'!$1:$5000,M2134,FALSE)</f>
        <v>0</v>
      </c>
      <c r="S2134">
        <f>HLOOKUP("Memory",'vInfo (Imported)'!$1:$5000,M2134,FALSE)</f>
        <v>0</v>
      </c>
      <c r="T2134">
        <f>HLOOKUP("Provisioned MiB",'vInfo (Imported)'!$1:$5000,M2134,FALSE)</f>
        <v>0</v>
      </c>
      <c r="U2134">
        <f t="shared" si="100"/>
        <v>0</v>
      </c>
      <c r="V2134">
        <f>HLOOKUP("In Use MiB",'vInfo (Imported)'!$1:$5000,M2134,FALSE)</f>
        <v>0</v>
      </c>
    </row>
    <row r="2135" spans="1:22" ht="13" x14ac:dyDescent="0.3">
      <c r="A2135" s="46">
        <f>'vHosts (Imported)'!A2135</f>
        <v>0</v>
      </c>
      <c r="B2135" s="51">
        <f t="shared" si="99"/>
        <v>4968</v>
      </c>
      <c r="C2135" s="49">
        <f>HLOOKUP("# Cores",'vHosts (Imported)'!$1:$5000,M2135,FALSE)</f>
        <v>0</v>
      </c>
      <c r="D2135" s="52">
        <f>HLOOKUP("# Memory",'vHosts (Imported)'!$1:$5000,M2135,FALSE)</f>
        <v>0</v>
      </c>
      <c r="M2135" s="45">
        <f t="shared" si="101"/>
        <v>2135</v>
      </c>
      <c r="N2135" s="38">
        <f>HLOOKUP("Host",'vInfo (Imported)'!$1:$5000,M2135,FALSE)</f>
        <v>0</v>
      </c>
      <c r="R2135">
        <f>HLOOKUP("CPUs",'vInfo (Imported)'!$1:$5000,M2135,FALSE)</f>
        <v>0</v>
      </c>
      <c r="S2135">
        <f>HLOOKUP("Memory",'vInfo (Imported)'!$1:$5000,M2135,FALSE)</f>
        <v>0</v>
      </c>
      <c r="T2135">
        <f>HLOOKUP("Provisioned MiB",'vInfo (Imported)'!$1:$5000,M2135,FALSE)</f>
        <v>0</v>
      </c>
      <c r="U2135">
        <f t="shared" si="100"/>
        <v>0</v>
      </c>
      <c r="V2135">
        <f>HLOOKUP("In Use MiB",'vInfo (Imported)'!$1:$5000,M2135,FALSE)</f>
        <v>0</v>
      </c>
    </row>
    <row r="2136" spans="1:22" ht="13" x14ac:dyDescent="0.3">
      <c r="A2136" s="46">
        <f>'vHosts (Imported)'!A2136</f>
        <v>0</v>
      </c>
      <c r="B2136" s="51">
        <f t="shared" si="99"/>
        <v>4968</v>
      </c>
      <c r="C2136" s="49">
        <f>HLOOKUP("# Cores",'vHosts (Imported)'!$1:$5000,M2136,FALSE)</f>
        <v>0</v>
      </c>
      <c r="D2136" s="52">
        <f>HLOOKUP("# Memory",'vHosts (Imported)'!$1:$5000,M2136,FALSE)</f>
        <v>0</v>
      </c>
      <c r="M2136" s="45">
        <f t="shared" si="101"/>
        <v>2136</v>
      </c>
      <c r="N2136" s="38">
        <f>HLOOKUP("Host",'vInfo (Imported)'!$1:$5000,M2136,FALSE)</f>
        <v>0</v>
      </c>
      <c r="R2136">
        <f>HLOOKUP("CPUs",'vInfo (Imported)'!$1:$5000,M2136,FALSE)</f>
        <v>0</v>
      </c>
      <c r="S2136">
        <f>HLOOKUP("Memory",'vInfo (Imported)'!$1:$5000,M2136,FALSE)</f>
        <v>0</v>
      </c>
      <c r="T2136">
        <f>HLOOKUP("Provisioned MiB",'vInfo (Imported)'!$1:$5000,M2136,FALSE)</f>
        <v>0</v>
      </c>
      <c r="U2136">
        <f t="shared" si="100"/>
        <v>0</v>
      </c>
      <c r="V2136">
        <f>HLOOKUP("In Use MiB",'vInfo (Imported)'!$1:$5000,M2136,FALSE)</f>
        <v>0</v>
      </c>
    </row>
    <row r="2137" spans="1:22" ht="13" x14ac:dyDescent="0.3">
      <c r="A2137" s="46">
        <f>'vHosts (Imported)'!A2137</f>
        <v>0</v>
      </c>
      <c r="B2137" s="51">
        <f t="shared" si="99"/>
        <v>4968</v>
      </c>
      <c r="C2137" s="49">
        <f>HLOOKUP("# Cores",'vHosts (Imported)'!$1:$5000,M2137,FALSE)</f>
        <v>0</v>
      </c>
      <c r="D2137" s="52">
        <f>HLOOKUP("# Memory",'vHosts (Imported)'!$1:$5000,M2137,FALSE)</f>
        <v>0</v>
      </c>
      <c r="M2137" s="45">
        <f t="shared" si="101"/>
        <v>2137</v>
      </c>
      <c r="N2137" s="38">
        <f>HLOOKUP("Host",'vInfo (Imported)'!$1:$5000,M2137,FALSE)</f>
        <v>0</v>
      </c>
      <c r="R2137">
        <f>HLOOKUP("CPUs",'vInfo (Imported)'!$1:$5000,M2137,FALSE)</f>
        <v>0</v>
      </c>
      <c r="S2137">
        <f>HLOOKUP("Memory",'vInfo (Imported)'!$1:$5000,M2137,FALSE)</f>
        <v>0</v>
      </c>
      <c r="T2137">
        <f>HLOOKUP("Provisioned MiB",'vInfo (Imported)'!$1:$5000,M2137,FALSE)</f>
        <v>0</v>
      </c>
      <c r="U2137">
        <f t="shared" si="100"/>
        <v>0</v>
      </c>
      <c r="V2137">
        <f>HLOOKUP("In Use MiB",'vInfo (Imported)'!$1:$5000,M2137,FALSE)</f>
        <v>0</v>
      </c>
    </row>
    <row r="2138" spans="1:22" ht="13" x14ac:dyDescent="0.3">
      <c r="A2138" s="46">
        <f>'vHosts (Imported)'!A2138</f>
        <v>0</v>
      </c>
      <c r="B2138" s="51">
        <f t="shared" si="99"/>
        <v>4968</v>
      </c>
      <c r="C2138" s="49">
        <f>HLOOKUP("# Cores",'vHosts (Imported)'!$1:$5000,M2138,FALSE)</f>
        <v>0</v>
      </c>
      <c r="D2138" s="52">
        <f>HLOOKUP("# Memory",'vHosts (Imported)'!$1:$5000,M2138,FALSE)</f>
        <v>0</v>
      </c>
      <c r="M2138" s="45">
        <f t="shared" si="101"/>
        <v>2138</v>
      </c>
      <c r="N2138" s="38">
        <f>HLOOKUP("Host",'vInfo (Imported)'!$1:$5000,M2138,FALSE)</f>
        <v>0</v>
      </c>
      <c r="R2138">
        <f>HLOOKUP("CPUs",'vInfo (Imported)'!$1:$5000,M2138,FALSE)</f>
        <v>0</v>
      </c>
      <c r="S2138">
        <f>HLOOKUP("Memory",'vInfo (Imported)'!$1:$5000,M2138,FALSE)</f>
        <v>0</v>
      </c>
      <c r="T2138">
        <f>HLOOKUP("Provisioned MiB",'vInfo (Imported)'!$1:$5000,M2138,FALSE)</f>
        <v>0</v>
      </c>
      <c r="U2138">
        <f t="shared" si="100"/>
        <v>0</v>
      </c>
      <c r="V2138">
        <f>HLOOKUP("In Use MiB",'vInfo (Imported)'!$1:$5000,M2138,FALSE)</f>
        <v>0</v>
      </c>
    </row>
    <row r="2139" spans="1:22" ht="13" x14ac:dyDescent="0.3">
      <c r="A2139" s="46">
        <f>'vHosts (Imported)'!A2139</f>
        <v>0</v>
      </c>
      <c r="B2139" s="51">
        <f t="shared" si="99"/>
        <v>4968</v>
      </c>
      <c r="C2139" s="49">
        <f>HLOOKUP("# Cores",'vHosts (Imported)'!$1:$5000,M2139,FALSE)</f>
        <v>0</v>
      </c>
      <c r="D2139" s="52">
        <f>HLOOKUP("# Memory",'vHosts (Imported)'!$1:$5000,M2139,FALSE)</f>
        <v>0</v>
      </c>
      <c r="M2139" s="45">
        <f t="shared" si="101"/>
        <v>2139</v>
      </c>
      <c r="N2139" s="38">
        <f>HLOOKUP("Host",'vInfo (Imported)'!$1:$5000,M2139,FALSE)</f>
        <v>0</v>
      </c>
      <c r="R2139">
        <f>HLOOKUP("CPUs",'vInfo (Imported)'!$1:$5000,M2139,FALSE)</f>
        <v>0</v>
      </c>
      <c r="S2139">
        <f>HLOOKUP("Memory",'vInfo (Imported)'!$1:$5000,M2139,FALSE)</f>
        <v>0</v>
      </c>
      <c r="T2139">
        <f>HLOOKUP("Provisioned MiB",'vInfo (Imported)'!$1:$5000,M2139,FALSE)</f>
        <v>0</v>
      </c>
      <c r="U2139">
        <f t="shared" si="100"/>
        <v>0</v>
      </c>
      <c r="V2139">
        <f>HLOOKUP("In Use MiB",'vInfo (Imported)'!$1:$5000,M2139,FALSE)</f>
        <v>0</v>
      </c>
    </row>
    <row r="2140" spans="1:22" ht="13" x14ac:dyDescent="0.3">
      <c r="A2140" s="46">
        <f>'vHosts (Imported)'!A2140</f>
        <v>0</v>
      </c>
      <c r="B2140" s="51">
        <f t="shared" si="99"/>
        <v>4968</v>
      </c>
      <c r="C2140" s="49">
        <f>HLOOKUP("# Cores",'vHosts (Imported)'!$1:$5000,M2140,FALSE)</f>
        <v>0</v>
      </c>
      <c r="D2140" s="52">
        <f>HLOOKUP("# Memory",'vHosts (Imported)'!$1:$5000,M2140,FALSE)</f>
        <v>0</v>
      </c>
      <c r="M2140" s="45">
        <f t="shared" si="101"/>
        <v>2140</v>
      </c>
      <c r="N2140" s="38">
        <f>HLOOKUP("Host",'vInfo (Imported)'!$1:$5000,M2140,FALSE)</f>
        <v>0</v>
      </c>
      <c r="R2140">
        <f>HLOOKUP("CPUs",'vInfo (Imported)'!$1:$5000,M2140,FALSE)</f>
        <v>0</v>
      </c>
      <c r="S2140">
        <f>HLOOKUP("Memory",'vInfo (Imported)'!$1:$5000,M2140,FALSE)</f>
        <v>0</v>
      </c>
      <c r="T2140">
        <f>HLOOKUP("Provisioned MiB",'vInfo (Imported)'!$1:$5000,M2140,FALSE)</f>
        <v>0</v>
      </c>
      <c r="U2140">
        <f t="shared" si="100"/>
        <v>0</v>
      </c>
      <c r="V2140">
        <f>HLOOKUP("In Use MiB",'vInfo (Imported)'!$1:$5000,M2140,FALSE)</f>
        <v>0</v>
      </c>
    </row>
    <row r="2141" spans="1:22" ht="13" x14ac:dyDescent="0.3">
      <c r="A2141" s="46">
        <f>'vHosts (Imported)'!A2141</f>
        <v>0</v>
      </c>
      <c r="B2141" s="51">
        <f t="shared" si="99"/>
        <v>4968</v>
      </c>
      <c r="C2141" s="49">
        <f>HLOOKUP("# Cores",'vHosts (Imported)'!$1:$5000,M2141,FALSE)</f>
        <v>0</v>
      </c>
      <c r="D2141" s="52">
        <f>HLOOKUP("# Memory",'vHosts (Imported)'!$1:$5000,M2141,FALSE)</f>
        <v>0</v>
      </c>
      <c r="M2141" s="45">
        <f t="shared" si="101"/>
        <v>2141</v>
      </c>
      <c r="N2141" s="38">
        <f>HLOOKUP("Host",'vInfo (Imported)'!$1:$5000,M2141,FALSE)</f>
        <v>0</v>
      </c>
      <c r="R2141">
        <f>HLOOKUP("CPUs",'vInfo (Imported)'!$1:$5000,M2141,FALSE)</f>
        <v>0</v>
      </c>
      <c r="S2141">
        <f>HLOOKUP("Memory",'vInfo (Imported)'!$1:$5000,M2141,FALSE)</f>
        <v>0</v>
      </c>
      <c r="T2141">
        <f>HLOOKUP("Provisioned MiB",'vInfo (Imported)'!$1:$5000,M2141,FALSE)</f>
        <v>0</v>
      </c>
      <c r="U2141">
        <f t="shared" si="100"/>
        <v>0</v>
      </c>
      <c r="V2141">
        <f>HLOOKUP("In Use MiB",'vInfo (Imported)'!$1:$5000,M2141,FALSE)</f>
        <v>0</v>
      </c>
    </row>
    <row r="2142" spans="1:22" ht="13" x14ac:dyDescent="0.3">
      <c r="A2142" s="46">
        <f>'vHosts (Imported)'!A2142</f>
        <v>0</v>
      </c>
      <c r="B2142" s="51">
        <f t="shared" si="99"/>
        <v>4968</v>
      </c>
      <c r="C2142" s="49">
        <f>HLOOKUP("# Cores",'vHosts (Imported)'!$1:$5000,M2142,FALSE)</f>
        <v>0</v>
      </c>
      <c r="D2142" s="52">
        <f>HLOOKUP("# Memory",'vHosts (Imported)'!$1:$5000,M2142,FALSE)</f>
        <v>0</v>
      </c>
      <c r="M2142" s="45">
        <f t="shared" si="101"/>
        <v>2142</v>
      </c>
      <c r="N2142" s="38">
        <f>HLOOKUP("Host",'vInfo (Imported)'!$1:$5000,M2142,FALSE)</f>
        <v>0</v>
      </c>
      <c r="R2142">
        <f>HLOOKUP("CPUs",'vInfo (Imported)'!$1:$5000,M2142,FALSE)</f>
        <v>0</v>
      </c>
      <c r="S2142">
        <f>HLOOKUP("Memory",'vInfo (Imported)'!$1:$5000,M2142,FALSE)</f>
        <v>0</v>
      </c>
      <c r="T2142">
        <f>HLOOKUP("Provisioned MiB",'vInfo (Imported)'!$1:$5000,M2142,FALSE)</f>
        <v>0</v>
      </c>
      <c r="U2142">
        <f t="shared" si="100"/>
        <v>0</v>
      </c>
      <c r="V2142">
        <f>HLOOKUP("In Use MiB",'vInfo (Imported)'!$1:$5000,M2142,FALSE)</f>
        <v>0</v>
      </c>
    </row>
    <row r="2143" spans="1:22" ht="13" x14ac:dyDescent="0.3">
      <c r="A2143" s="46">
        <f>'vHosts (Imported)'!A2143</f>
        <v>0</v>
      </c>
      <c r="B2143" s="51">
        <f t="shared" si="99"/>
        <v>4968</v>
      </c>
      <c r="C2143" s="49">
        <f>HLOOKUP("# Cores",'vHosts (Imported)'!$1:$5000,M2143,FALSE)</f>
        <v>0</v>
      </c>
      <c r="D2143" s="52">
        <f>HLOOKUP("# Memory",'vHosts (Imported)'!$1:$5000,M2143,FALSE)</f>
        <v>0</v>
      </c>
      <c r="M2143" s="45">
        <f t="shared" si="101"/>
        <v>2143</v>
      </c>
      <c r="N2143" s="38">
        <f>HLOOKUP("Host",'vInfo (Imported)'!$1:$5000,M2143,FALSE)</f>
        <v>0</v>
      </c>
      <c r="R2143">
        <f>HLOOKUP("CPUs",'vInfo (Imported)'!$1:$5000,M2143,FALSE)</f>
        <v>0</v>
      </c>
      <c r="S2143">
        <f>HLOOKUP("Memory",'vInfo (Imported)'!$1:$5000,M2143,FALSE)</f>
        <v>0</v>
      </c>
      <c r="T2143">
        <f>HLOOKUP("Provisioned MiB",'vInfo (Imported)'!$1:$5000,M2143,FALSE)</f>
        <v>0</v>
      </c>
      <c r="U2143">
        <f t="shared" si="100"/>
        <v>0</v>
      </c>
      <c r="V2143">
        <f>HLOOKUP("In Use MiB",'vInfo (Imported)'!$1:$5000,M2143,FALSE)</f>
        <v>0</v>
      </c>
    </row>
    <row r="2144" spans="1:22" ht="13" x14ac:dyDescent="0.3">
      <c r="A2144" s="46">
        <f>'vHosts (Imported)'!A2144</f>
        <v>0</v>
      </c>
      <c r="B2144" s="51">
        <f t="shared" si="99"/>
        <v>4968</v>
      </c>
      <c r="C2144" s="49">
        <f>HLOOKUP("# Cores",'vHosts (Imported)'!$1:$5000,M2144,FALSE)</f>
        <v>0</v>
      </c>
      <c r="D2144" s="52">
        <f>HLOOKUP("# Memory",'vHosts (Imported)'!$1:$5000,M2144,FALSE)</f>
        <v>0</v>
      </c>
      <c r="M2144" s="45">
        <f t="shared" si="101"/>
        <v>2144</v>
      </c>
      <c r="N2144" s="38">
        <f>HLOOKUP("Host",'vInfo (Imported)'!$1:$5000,M2144,FALSE)</f>
        <v>0</v>
      </c>
      <c r="R2144">
        <f>HLOOKUP("CPUs",'vInfo (Imported)'!$1:$5000,M2144,FALSE)</f>
        <v>0</v>
      </c>
      <c r="S2144">
        <f>HLOOKUP("Memory",'vInfo (Imported)'!$1:$5000,M2144,FALSE)</f>
        <v>0</v>
      </c>
      <c r="T2144">
        <f>HLOOKUP("Provisioned MiB",'vInfo (Imported)'!$1:$5000,M2144,FALSE)</f>
        <v>0</v>
      </c>
      <c r="U2144">
        <f t="shared" si="100"/>
        <v>0</v>
      </c>
      <c r="V2144">
        <f>HLOOKUP("In Use MiB",'vInfo (Imported)'!$1:$5000,M2144,FALSE)</f>
        <v>0</v>
      </c>
    </row>
    <row r="2145" spans="1:22" ht="13" x14ac:dyDescent="0.3">
      <c r="A2145" s="46">
        <f>'vHosts (Imported)'!A2145</f>
        <v>0</v>
      </c>
      <c r="B2145" s="51">
        <f t="shared" si="99"/>
        <v>4968</v>
      </c>
      <c r="C2145" s="49">
        <f>HLOOKUP("# Cores",'vHosts (Imported)'!$1:$5000,M2145,FALSE)</f>
        <v>0</v>
      </c>
      <c r="D2145" s="52">
        <f>HLOOKUP("# Memory",'vHosts (Imported)'!$1:$5000,M2145,FALSE)</f>
        <v>0</v>
      </c>
      <c r="M2145" s="45">
        <f t="shared" si="101"/>
        <v>2145</v>
      </c>
      <c r="N2145" s="38">
        <f>HLOOKUP("Host",'vInfo (Imported)'!$1:$5000,M2145,FALSE)</f>
        <v>0</v>
      </c>
      <c r="R2145">
        <f>HLOOKUP("CPUs",'vInfo (Imported)'!$1:$5000,M2145,FALSE)</f>
        <v>0</v>
      </c>
      <c r="S2145">
        <f>HLOOKUP("Memory",'vInfo (Imported)'!$1:$5000,M2145,FALSE)</f>
        <v>0</v>
      </c>
      <c r="T2145">
        <f>HLOOKUP("Provisioned MiB",'vInfo (Imported)'!$1:$5000,M2145,FALSE)</f>
        <v>0</v>
      </c>
      <c r="U2145">
        <f t="shared" si="100"/>
        <v>0</v>
      </c>
      <c r="V2145">
        <f>HLOOKUP("In Use MiB",'vInfo (Imported)'!$1:$5000,M2145,FALSE)</f>
        <v>0</v>
      </c>
    </row>
    <row r="2146" spans="1:22" ht="13" x14ac:dyDescent="0.3">
      <c r="A2146" s="46">
        <f>'vHosts (Imported)'!A2146</f>
        <v>0</v>
      </c>
      <c r="B2146" s="51">
        <f t="shared" si="99"/>
        <v>4968</v>
      </c>
      <c r="C2146" s="49">
        <f>HLOOKUP("# Cores",'vHosts (Imported)'!$1:$5000,M2146,FALSE)</f>
        <v>0</v>
      </c>
      <c r="D2146" s="52">
        <f>HLOOKUP("# Memory",'vHosts (Imported)'!$1:$5000,M2146,FALSE)</f>
        <v>0</v>
      </c>
      <c r="M2146" s="45">
        <f t="shared" si="101"/>
        <v>2146</v>
      </c>
      <c r="N2146" s="38">
        <f>HLOOKUP("Host",'vInfo (Imported)'!$1:$5000,M2146,FALSE)</f>
        <v>0</v>
      </c>
      <c r="R2146">
        <f>HLOOKUP("CPUs",'vInfo (Imported)'!$1:$5000,M2146,FALSE)</f>
        <v>0</v>
      </c>
      <c r="S2146">
        <f>HLOOKUP("Memory",'vInfo (Imported)'!$1:$5000,M2146,FALSE)</f>
        <v>0</v>
      </c>
      <c r="T2146">
        <f>HLOOKUP("Provisioned MiB",'vInfo (Imported)'!$1:$5000,M2146,FALSE)</f>
        <v>0</v>
      </c>
      <c r="U2146">
        <f t="shared" si="100"/>
        <v>0</v>
      </c>
      <c r="V2146">
        <f>HLOOKUP("In Use MiB",'vInfo (Imported)'!$1:$5000,M2146,FALSE)</f>
        <v>0</v>
      </c>
    </row>
    <row r="2147" spans="1:22" ht="13" x14ac:dyDescent="0.3">
      <c r="A2147" s="46">
        <f>'vHosts (Imported)'!A2147</f>
        <v>0</v>
      </c>
      <c r="B2147" s="51">
        <f t="shared" si="99"/>
        <v>4968</v>
      </c>
      <c r="C2147" s="49">
        <f>HLOOKUP("# Cores",'vHosts (Imported)'!$1:$5000,M2147,FALSE)</f>
        <v>0</v>
      </c>
      <c r="D2147" s="52">
        <f>HLOOKUP("# Memory",'vHosts (Imported)'!$1:$5000,M2147,FALSE)</f>
        <v>0</v>
      </c>
      <c r="M2147" s="45">
        <f t="shared" si="101"/>
        <v>2147</v>
      </c>
      <c r="N2147" s="38">
        <f>HLOOKUP("Host",'vInfo (Imported)'!$1:$5000,M2147,FALSE)</f>
        <v>0</v>
      </c>
      <c r="R2147">
        <f>HLOOKUP("CPUs",'vInfo (Imported)'!$1:$5000,M2147,FALSE)</f>
        <v>0</v>
      </c>
      <c r="S2147">
        <f>HLOOKUP("Memory",'vInfo (Imported)'!$1:$5000,M2147,FALSE)</f>
        <v>0</v>
      </c>
      <c r="T2147">
        <f>HLOOKUP("Provisioned MiB",'vInfo (Imported)'!$1:$5000,M2147,FALSE)</f>
        <v>0</v>
      </c>
      <c r="U2147">
        <f t="shared" si="100"/>
        <v>0</v>
      </c>
      <c r="V2147">
        <f>HLOOKUP("In Use MiB",'vInfo (Imported)'!$1:$5000,M2147,FALSE)</f>
        <v>0</v>
      </c>
    </row>
    <row r="2148" spans="1:22" ht="13" x14ac:dyDescent="0.3">
      <c r="A2148" s="46">
        <f>'vHosts (Imported)'!A2148</f>
        <v>0</v>
      </c>
      <c r="B2148" s="51">
        <f t="shared" si="99"/>
        <v>4968</v>
      </c>
      <c r="C2148" s="49">
        <f>HLOOKUP("# Cores",'vHosts (Imported)'!$1:$5000,M2148,FALSE)</f>
        <v>0</v>
      </c>
      <c r="D2148" s="52">
        <f>HLOOKUP("# Memory",'vHosts (Imported)'!$1:$5000,M2148,FALSE)</f>
        <v>0</v>
      </c>
      <c r="M2148" s="45">
        <f t="shared" si="101"/>
        <v>2148</v>
      </c>
      <c r="N2148" s="38">
        <f>HLOOKUP("Host",'vInfo (Imported)'!$1:$5000,M2148,FALSE)</f>
        <v>0</v>
      </c>
      <c r="R2148">
        <f>HLOOKUP("CPUs",'vInfo (Imported)'!$1:$5000,M2148,FALSE)</f>
        <v>0</v>
      </c>
      <c r="S2148">
        <f>HLOOKUP("Memory",'vInfo (Imported)'!$1:$5000,M2148,FALSE)</f>
        <v>0</v>
      </c>
      <c r="T2148">
        <f>HLOOKUP("Provisioned MiB",'vInfo (Imported)'!$1:$5000,M2148,FALSE)</f>
        <v>0</v>
      </c>
      <c r="U2148">
        <f t="shared" si="100"/>
        <v>0</v>
      </c>
      <c r="V2148">
        <f>HLOOKUP("In Use MiB",'vInfo (Imported)'!$1:$5000,M2148,FALSE)</f>
        <v>0</v>
      </c>
    </row>
    <row r="2149" spans="1:22" ht="13" x14ac:dyDescent="0.3">
      <c r="A2149" s="46">
        <f>'vHosts (Imported)'!A2149</f>
        <v>0</v>
      </c>
      <c r="B2149" s="51">
        <f t="shared" si="99"/>
        <v>4968</v>
      </c>
      <c r="C2149" s="49">
        <f>HLOOKUP("# Cores",'vHosts (Imported)'!$1:$5000,M2149,FALSE)</f>
        <v>0</v>
      </c>
      <c r="D2149" s="52">
        <f>HLOOKUP("# Memory",'vHosts (Imported)'!$1:$5000,M2149,FALSE)</f>
        <v>0</v>
      </c>
      <c r="M2149" s="45">
        <f t="shared" si="101"/>
        <v>2149</v>
      </c>
      <c r="N2149" s="38">
        <f>HLOOKUP("Host",'vInfo (Imported)'!$1:$5000,M2149,FALSE)</f>
        <v>0</v>
      </c>
      <c r="R2149">
        <f>HLOOKUP("CPUs",'vInfo (Imported)'!$1:$5000,M2149,FALSE)</f>
        <v>0</v>
      </c>
      <c r="S2149">
        <f>HLOOKUP("Memory",'vInfo (Imported)'!$1:$5000,M2149,FALSE)</f>
        <v>0</v>
      </c>
      <c r="T2149">
        <f>HLOOKUP("Provisioned MiB",'vInfo (Imported)'!$1:$5000,M2149,FALSE)</f>
        <v>0</v>
      </c>
      <c r="U2149">
        <f t="shared" si="100"/>
        <v>0</v>
      </c>
      <c r="V2149">
        <f>HLOOKUP("In Use MiB",'vInfo (Imported)'!$1:$5000,M2149,FALSE)</f>
        <v>0</v>
      </c>
    </row>
    <row r="2150" spans="1:22" ht="13" x14ac:dyDescent="0.3">
      <c r="A2150" s="46">
        <f>'vHosts (Imported)'!A2150</f>
        <v>0</v>
      </c>
      <c r="B2150" s="51">
        <f t="shared" si="99"/>
        <v>4968</v>
      </c>
      <c r="C2150" s="49">
        <f>HLOOKUP("# Cores",'vHosts (Imported)'!$1:$5000,M2150,FALSE)</f>
        <v>0</v>
      </c>
      <c r="D2150" s="52">
        <f>HLOOKUP("# Memory",'vHosts (Imported)'!$1:$5000,M2150,FALSE)</f>
        <v>0</v>
      </c>
      <c r="M2150" s="45">
        <f t="shared" si="101"/>
        <v>2150</v>
      </c>
      <c r="N2150" s="38">
        <f>HLOOKUP("Host",'vInfo (Imported)'!$1:$5000,M2150,FALSE)</f>
        <v>0</v>
      </c>
      <c r="R2150">
        <f>HLOOKUP("CPUs",'vInfo (Imported)'!$1:$5000,M2150,FALSE)</f>
        <v>0</v>
      </c>
      <c r="S2150">
        <f>HLOOKUP("Memory",'vInfo (Imported)'!$1:$5000,M2150,FALSE)</f>
        <v>0</v>
      </c>
      <c r="T2150">
        <f>HLOOKUP("Provisioned MiB",'vInfo (Imported)'!$1:$5000,M2150,FALSE)</f>
        <v>0</v>
      </c>
      <c r="U2150">
        <f t="shared" si="100"/>
        <v>0</v>
      </c>
      <c r="V2150">
        <f>HLOOKUP("In Use MiB",'vInfo (Imported)'!$1:$5000,M2150,FALSE)</f>
        <v>0</v>
      </c>
    </row>
    <row r="2151" spans="1:22" ht="13" x14ac:dyDescent="0.3">
      <c r="A2151" s="46">
        <f>'vHosts (Imported)'!A2151</f>
        <v>0</v>
      </c>
      <c r="B2151" s="51">
        <f t="shared" si="99"/>
        <v>4968</v>
      </c>
      <c r="C2151" s="49">
        <f>HLOOKUP("# Cores",'vHosts (Imported)'!$1:$5000,M2151,FALSE)</f>
        <v>0</v>
      </c>
      <c r="D2151" s="52">
        <f>HLOOKUP("# Memory",'vHosts (Imported)'!$1:$5000,M2151,FALSE)</f>
        <v>0</v>
      </c>
      <c r="M2151" s="45">
        <f t="shared" si="101"/>
        <v>2151</v>
      </c>
      <c r="N2151" s="38">
        <f>HLOOKUP("Host",'vInfo (Imported)'!$1:$5000,M2151,FALSE)</f>
        <v>0</v>
      </c>
      <c r="R2151">
        <f>HLOOKUP("CPUs",'vInfo (Imported)'!$1:$5000,M2151,FALSE)</f>
        <v>0</v>
      </c>
      <c r="S2151">
        <f>HLOOKUP("Memory",'vInfo (Imported)'!$1:$5000,M2151,FALSE)</f>
        <v>0</v>
      </c>
      <c r="T2151">
        <f>HLOOKUP("Provisioned MiB",'vInfo (Imported)'!$1:$5000,M2151,FALSE)</f>
        <v>0</v>
      </c>
      <c r="U2151">
        <f t="shared" si="100"/>
        <v>0</v>
      </c>
      <c r="V2151">
        <f>HLOOKUP("In Use MiB",'vInfo (Imported)'!$1:$5000,M2151,FALSE)</f>
        <v>0</v>
      </c>
    </row>
    <row r="2152" spans="1:22" ht="13" x14ac:dyDescent="0.3">
      <c r="A2152" s="46">
        <f>'vHosts (Imported)'!A2152</f>
        <v>0</v>
      </c>
      <c r="B2152" s="51">
        <f t="shared" ref="B2152:B2215" si="102">COUNTIF(N:N,A2152)</f>
        <v>4968</v>
      </c>
      <c r="C2152" s="49">
        <f>HLOOKUP("# Cores",'vHosts (Imported)'!$1:$5000,M2152,FALSE)</f>
        <v>0</v>
      </c>
      <c r="D2152" s="52">
        <f>HLOOKUP("# Memory",'vHosts (Imported)'!$1:$5000,M2152,FALSE)</f>
        <v>0</v>
      </c>
      <c r="M2152" s="45">
        <f t="shared" si="101"/>
        <v>2152</v>
      </c>
      <c r="N2152" s="38">
        <f>HLOOKUP("Host",'vInfo (Imported)'!$1:$5000,M2152,FALSE)</f>
        <v>0</v>
      </c>
      <c r="R2152">
        <f>HLOOKUP("CPUs",'vInfo (Imported)'!$1:$5000,M2152,FALSE)</f>
        <v>0</v>
      </c>
      <c r="S2152">
        <f>HLOOKUP("Memory",'vInfo (Imported)'!$1:$5000,M2152,FALSE)</f>
        <v>0</v>
      </c>
      <c r="T2152">
        <f>HLOOKUP("Provisioned MiB",'vInfo (Imported)'!$1:$5000,M2152,FALSE)</f>
        <v>0</v>
      </c>
      <c r="U2152">
        <f t="shared" si="100"/>
        <v>0</v>
      </c>
      <c r="V2152">
        <f>HLOOKUP("In Use MiB",'vInfo (Imported)'!$1:$5000,M2152,FALSE)</f>
        <v>0</v>
      </c>
    </row>
    <row r="2153" spans="1:22" ht="13" x14ac:dyDescent="0.3">
      <c r="A2153" s="46">
        <f>'vHosts (Imported)'!A2153</f>
        <v>0</v>
      </c>
      <c r="B2153" s="51">
        <f t="shared" si="102"/>
        <v>4968</v>
      </c>
      <c r="C2153" s="49">
        <f>HLOOKUP("# Cores",'vHosts (Imported)'!$1:$5000,M2153,FALSE)</f>
        <v>0</v>
      </c>
      <c r="D2153" s="52">
        <f>HLOOKUP("# Memory",'vHosts (Imported)'!$1:$5000,M2153,FALSE)</f>
        <v>0</v>
      </c>
      <c r="M2153" s="45">
        <f t="shared" si="101"/>
        <v>2153</v>
      </c>
      <c r="N2153" s="38">
        <f>HLOOKUP("Host",'vInfo (Imported)'!$1:$5000,M2153,FALSE)</f>
        <v>0</v>
      </c>
      <c r="R2153">
        <f>HLOOKUP("CPUs",'vInfo (Imported)'!$1:$5000,M2153,FALSE)</f>
        <v>0</v>
      </c>
      <c r="S2153">
        <f>HLOOKUP("Memory",'vInfo (Imported)'!$1:$5000,M2153,FALSE)</f>
        <v>0</v>
      </c>
      <c r="T2153">
        <f>HLOOKUP("Provisioned MiB",'vInfo (Imported)'!$1:$5000,M2153,FALSE)</f>
        <v>0</v>
      </c>
      <c r="U2153">
        <f t="shared" si="100"/>
        <v>0</v>
      </c>
      <c r="V2153">
        <f>HLOOKUP("In Use MiB",'vInfo (Imported)'!$1:$5000,M2153,FALSE)</f>
        <v>0</v>
      </c>
    </row>
    <row r="2154" spans="1:22" ht="13" x14ac:dyDescent="0.3">
      <c r="A2154" s="46">
        <f>'vHosts (Imported)'!A2154</f>
        <v>0</v>
      </c>
      <c r="B2154" s="51">
        <f t="shared" si="102"/>
        <v>4968</v>
      </c>
      <c r="C2154" s="49">
        <f>HLOOKUP("# Cores",'vHosts (Imported)'!$1:$5000,M2154,FALSE)</f>
        <v>0</v>
      </c>
      <c r="D2154" s="52">
        <f>HLOOKUP("# Memory",'vHosts (Imported)'!$1:$5000,M2154,FALSE)</f>
        <v>0</v>
      </c>
      <c r="M2154" s="45">
        <f t="shared" si="101"/>
        <v>2154</v>
      </c>
      <c r="N2154" s="38">
        <f>HLOOKUP("Host",'vInfo (Imported)'!$1:$5000,M2154,FALSE)</f>
        <v>0</v>
      </c>
      <c r="R2154">
        <f>HLOOKUP("CPUs",'vInfo (Imported)'!$1:$5000,M2154,FALSE)</f>
        <v>0</v>
      </c>
      <c r="S2154">
        <f>HLOOKUP("Memory",'vInfo (Imported)'!$1:$5000,M2154,FALSE)</f>
        <v>0</v>
      </c>
      <c r="T2154">
        <f>HLOOKUP("Provisioned MiB",'vInfo (Imported)'!$1:$5000,M2154,FALSE)</f>
        <v>0</v>
      </c>
      <c r="U2154">
        <f t="shared" si="100"/>
        <v>0</v>
      </c>
      <c r="V2154">
        <f>HLOOKUP("In Use MiB",'vInfo (Imported)'!$1:$5000,M2154,FALSE)</f>
        <v>0</v>
      </c>
    </row>
    <row r="2155" spans="1:22" ht="13" x14ac:dyDescent="0.3">
      <c r="A2155" s="46">
        <f>'vHosts (Imported)'!A2155</f>
        <v>0</v>
      </c>
      <c r="B2155" s="51">
        <f t="shared" si="102"/>
        <v>4968</v>
      </c>
      <c r="C2155" s="49">
        <f>HLOOKUP("# Cores",'vHosts (Imported)'!$1:$5000,M2155,FALSE)</f>
        <v>0</v>
      </c>
      <c r="D2155" s="52">
        <f>HLOOKUP("# Memory",'vHosts (Imported)'!$1:$5000,M2155,FALSE)</f>
        <v>0</v>
      </c>
      <c r="M2155" s="45">
        <f t="shared" si="101"/>
        <v>2155</v>
      </c>
      <c r="N2155" s="38">
        <f>HLOOKUP("Host",'vInfo (Imported)'!$1:$5000,M2155,FALSE)</f>
        <v>0</v>
      </c>
      <c r="R2155">
        <f>HLOOKUP("CPUs",'vInfo (Imported)'!$1:$5000,M2155,FALSE)</f>
        <v>0</v>
      </c>
      <c r="S2155">
        <f>HLOOKUP("Memory",'vInfo (Imported)'!$1:$5000,M2155,FALSE)</f>
        <v>0</v>
      </c>
      <c r="T2155">
        <f>HLOOKUP("Provisioned MiB",'vInfo (Imported)'!$1:$5000,M2155,FALSE)</f>
        <v>0</v>
      </c>
      <c r="U2155">
        <f t="shared" si="100"/>
        <v>0</v>
      </c>
      <c r="V2155">
        <f>HLOOKUP("In Use MiB",'vInfo (Imported)'!$1:$5000,M2155,FALSE)</f>
        <v>0</v>
      </c>
    </row>
    <row r="2156" spans="1:22" ht="13" x14ac:dyDescent="0.3">
      <c r="A2156" s="46">
        <f>'vHosts (Imported)'!A2156</f>
        <v>0</v>
      </c>
      <c r="B2156" s="51">
        <f t="shared" si="102"/>
        <v>4968</v>
      </c>
      <c r="C2156" s="49">
        <f>HLOOKUP("# Cores",'vHosts (Imported)'!$1:$5000,M2156,FALSE)</f>
        <v>0</v>
      </c>
      <c r="D2156" s="52">
        <f>HLOOKUP("# Memory",'vHosts (Imported)'!$1:$5000,M2156,FALSE)</f>
        <v>0</v>
      </c>
      <c r="M2156" s="45">
        <f t="shared" si="101"/>
        <v>2156</v>
      </c>
      <c r="N2156" s="38">
        <f>HLOOKUP("Host",'vInfo (Imported)'!$1:$5000,M2156,FALSE)</f>
        <v>0</v>
      </c>
      <c r="R2156">
        <f>HLOOKUP("CPUs",'vInfo (Imported)'!$1:$5000,M2156,FALSE)</f>
        <v>0</v>
      </c>
      <c r="S2156">
        <f>HLOOKUP("Memory",'vInfo (Imported)'!$1:$5000,M2156,FALSE)</f>
        <v>0</v>
      </c>
      <c r="T2156">
        <f>HLOOKUP("Provisioned MiB",'vInfo (Imported)'!$1:$5000,M2156,FALSE)</f>
        <v>0</v>
      </c>
      <c r="U2156">
        <f t="shared" si="100"/>
        <v>0</v>
      </c>
      <c r="V2156">
        <f>HLOOKUP("In Use MiB",'vInfo (Imported)'!$1:$5000,M2156,FALSE)</f>
        <v>0</v>
      </c>
    </row>
    <row r="2157" spans="1:22" ht="13" x14ac:dyDescent="0.3">
      <c r="A2157" s="46">
        <f>'vHosts (Imported)'!A2157</f>
        <v>0</v>
      </c>
      <c r="B2157" s="51">
        <f t="shared" si="102"/>
        <v>4968</v>
      </c>
      <c r="C2157" s="49">
        <f>HLOOKUP("# Cores",'vHosts (Imported)'!$1:$5000,M2157,FALSE)</f>
        <v>0</v>
      </c>
      <c r="D2157" s="52">
        <f>HLOOKUP("# Memory",'vHosts (Imported)'!$1:$5000,M2157,FALSE)</f>
        <v>0</v>
      </c>
      <c r="M2157" s="45">
        <f t="shared" si="101"/>
        <v>2157</v>
      </c>
      <c r="N2157" s="38">
        <f>HLOOKUP("Host",'vInfo (Imported)'!$1:$5000,M2157,FALSE)</f>
        <v>0</v>
      </c>
      <c r="R2157">
        <f>HLOOKUP("CPUs",'vInfo (Imported)'!$1:$5000,M2157,FALSE)</f>
        <v>0</v>
      </c>
      <c r="S2157">
        <f>HLOOKUP("Memory",'vInfo (Imported)'!$1:$5000,M2157,FALSE)</f>
        <v>0</v>
      </c>
      <c r="T2157">
        <f>HLOOKUP("Provisioned MiB",'vInfo (Imported)'!$1:$5000,M2157,FALSE)</f>
        <v>0</v>
      </c>
      <c r="U2157">
        <f t="shared" si="100"/>
        <v>0</v>
      </c>
      <c r="V2157">
        <f>HLOOKUP("In Use MiB",'vInfo (Imported)'!$1:$5000,M2157,FALSE)</f>
        <v>0</v>
      </c>
    </row>
    <row r="2158" spans="1:22" ht="13" x14ac:dyDescent="0.3">
      <c r="A2158" s="46">
        <f>'vHosts (Imported)'!A2158</f>
        <v>0</v>
      </c>
      <c r="B2158" s="51">
        <f t="shared" si="102"/>
        <v>4968</v>
      </c>
      <c r="C2158" s="49">
        <f>HLOOKUP("# Cores",'vHosts (Imported)'!$1:$5000,M2158,FALSE)</f>
        <v>0</v>
      </c>
      <c r="D2158" s="52">
        <f>HLOOKUP("# Memory",'vHosts (Imported)'!$1:$5000,M2158,FALSE)</f>
        <v>0</v>
      </c>
      <c r="M2158" s="45">
        <f t="shared" si="101"/>
        <v>2158</v>
      </c>
      <c r="N2158" s="38">
        <f>HLOOKUP("Host",'vInfo (Imported)'!$1:$5000,M2158,FALSE)</f>
        <v>0</v>
      </c>
      <c r="R2158">
        <f>HLOOKUP("CPUs",'vInfo (Imported)'!$1:$5000,M2158,FALSE)</f>
        <v>0</v>
      </c>
      <c r="S2158">
        <f>HLOOKUP("Memory",'vInfo (Imported)'!$1:$5000,M2158,FALSE)</f>
        <v>0</v>
      </c>
      <c r="T2158">
        <f>HLOOKUP("Provisioned MiB",'vInfo (Imported)'!$1:$5000,M2158,FALSE)</f>
        <v>0</v>
      </c>
      <c r="U2158">
        <f t="shared" si="100"/>
        <v>0</v>
      </c>
      <c r="V2158">
        <f>HLOOKUP("In Use MiB",'vInfo (Imported)'!$1:$5000,M2158,FALSE)</f>
        <v>0</v>
      </c>
    </row>
    <row r="2159" spans="1:22" ht="13" x14ac:dyDescent="0.3">
      <c r="A2159" s="46">
        <f>'vHosts (Imported)'!A2159</f>
        <v>0</v>
      </c>
      <c r="B2159" s="51">
        <f t="shared" si="102"/>
        <v>4968</v>
      </c>
      <c r="C2159" s="49">
        <f>HLOOKUP("# Cores",'vHosts (Imported)'!$1:$5000,M2159,FALSE)</f>
        <v>0</v>
      </c>
      <c r="D2159" s="52">
        <f>HLOOKUP("# Memory",'vHosts (Imported)'!$1:$5000,M2159,FALSE)</f>
        <v>0</v>
      </c>
      <c r="M2159" s="45">
        <f t="shared" si="101"/>
        <v>2159</v>
      </c>
      <c r="N2159" s="38">
        <f>HLOOKUP("Host",'vInfo (Imported)'!$1:$5000,M2159,FALSE)</f>
        <v>0</v>
      </c>
      <c r="R2159">
        <f>HLOOKUP("CPUs",'vInfo (Imported)'!$1:$5000,M2159,FALSE)</f>
        <v>0</v>
      </c>
      <c r="S2159">
        <f>HLOOKUP("Memory",'vInfo (Imported)'!$1:$5000,M2159,FALSE)</f>
        <v>0</v>
      </c>
      <c r="T2159">
        <f>HLOOKUP("Provisioned MiB",'vInfo (Imported)'!$1:$5000,M2159,FALSE)</f>
        <v>0</v>
      </c>
      <c r="U2159">
        <f t="shared" si="100"/>
        <v>0</v>
      </c>
      <c r="V2159">
        <f>HLOOKUP("In Use MiB",'vInfo (Imported)'!$1:$5000,M2159,FALSE)</f>
        <v>0</v>
      </c>
    </row>
    <row r="2160" spans="1:22" ht="13" x14ac:dyDescent="0.3">
      <c r="A2160" s="46">
        <f>'vHosts (Imported)'!A2160</f>
        <v>0</v>
      </c>
      <c r="B2160" s="51">
        <f t="shared" si="102"/>
        <v>4968</v>
      </c>
      <c r="C2160" s="49">
        <f>HLOOKUP("# Cores",'vHosts (Imported)'!$1:$5000,M2160,FALSE)</f>
        <v>0</v>
      </c>
      <c r="D2160" s="52">
        <f>HLOOKUP("# Memory",'vHosts (Imported)'!$1:$5000,M2160,FALSE)</f>
        <v>0</v>
      </c>
      <c r="M2160" s="45">
        <f t="shared" si="101"/>
        <v>2160</v>
      </c>
      <c r="N2160" s="38">
        <f>HLOOKUP("Host",'vInfo (Imported)'!$1:$5000,M2160,FALSE)</f>
        <v>0</v>
      </c>
      <c r="R2160">
        <f>HLOOKUP("CPUs",'vInfo (Imported)'!$1:$5000,M2160,FALSE)</f>
        <v>0</v>
      </c>
      <c r="S2160">
        <f>HLOOKUP("Memory",'vInfo (Imported)'!$1:$5000,M2160,FALSE)</f>
        <v>0</v>
      </c>
      <c r="T2160">
        <f>HLOOKUP("Provisioned MiB",'vInfo (Imported)'!$1:$5000,M2160,FALSE)</f>
        <v>0</v>
      </c>
      <c r="U2160">
        <f t="shared" si="100"/>
        <v>0</v>
      </c>
      <c r="V2160">
        <f>HLOOKUP("In Use MiB",'vInfo (Imported)'!$1:$5000,M2160,FALSE)</f>
        <v>0</v>
      </c>
    </row>
    <row r="2161" spans="1:22" ht="13" x14ac:dyDescent="0.3">
      <c r="A2161" s="46">
        <f>'vHosts (Imported)'!A2161</f>
        <v>0</v>
      </c>
      <c r="B2161" s="51">
        <f t="shared" si="102"/>
        <v>4968</v>
      </c>
      <c r="C2161" s="49">
        <f>HLOOKUP("# Cores",'vHosts (Imported)'!$1:$5000,M2161,FALSE)</f>
        <v>0</v>
      </c>
      <c r="D2161" s="52">
        <f>HLOOKUP("# Memory",'vHosts (Imported)'!$1:$5000,M2161,FALSE)</f>
        <v>0</v>
      </c>
      <c r="M2161" s="45">
        <f t="shared" si="101"/>
        <v>2161</v>
      </c>
      <c r="N2161" s="38">
        <f>HLOOKUP("Host",'vInfo (Imported)'!$1:$5000,M2161,FALSE)</f>
        <v>0</v>
      </c>
      <c r="R2161">
        <f>HLOOKUP("CPUs",'vInfo (Imported)'!$1:$5000,M2161,FALSE)</f>
        <v>0</v>
      </c>
      <c r="S2161">
        <f>HLOOKUP("Memory",'vInfo (Imported)'!$1:$5000,M2161,FALSE)</f>
        <v>0</v>
      </c>
      <c r="T2161">
        <f>HLOOKUP("Provisioned MiB",'vInfo (Imported)'!$1:$5000,M2161,FALSE)</f>
        <v>0</v>
      </c>
      <c r="U2161">
        <f t="shared" si="100"/>
        <v>0</v>
      </c>
      <c r="V2161">
        <f>HLOOKUP("In Use MiB",'vInfo (Imported)'!$1:$5000,M2161,FALSE)</f>
        <v>0</v>
      </c>
    </row>
    <row r="2162" spans="1:22" ht="13" x14ac:dyDescent="0.3">
      <c r="A2162" s="46">
        <f>'vHosts (Imported)'!A2162</f>
        <v>0</v>
      </c>
      <c r="B2162" s="51">
        <f t="shared" si="102"/>
        <v>4968</v>
      </c>
      <c r="C2162" s="49">
        <f>HLOOKUP("# Cores",'vHosts (Imported)'!$1:$5000,M2162,FALSE)</f>
        <v>0</v>
      </c>
      <c r="D2162" s="52">
        <f>HLOOKUP("# Memory",'vHosts (Imported)'!$1:$5000,M2162,FALSE)</f>
        <v>0</v>
      </c>
      <c r="M2162" s="45">
        <f t="shared" si="101"/>
        <v>2162</v>
      </c>
      <c r="N2162" s="38">
        <f>HLOOKUP("Host",'vInfo (Imported)'!$1:$5000,M2162,FALSE)</f>
        <v>0</v>
      </c>
      <c r="R2162">
        <f>HLOOKUP("CPUs",'vInfo (Imported)'!$1:$5000,M2162,FALSE)</f>
        <v>0</v>
      </c>
      <c r="S2162">
        <f>HLOOKUP("Memory",'vInfo (Imported)'!$1:$5000,M2162,FALSE)</f>
        <v>0</v>
      </c>
      <c r="T2162">
        <f>HLOOKUP("Provisioned MiB",'vInfo (Imported)'!$1:$5000,M2162,FALSE)</f>
        <v>0</v>
      </c>
      <c r="U2162">
        <f t="shared" si="100"/>
        <v>0</v>
      </c>
      <c r="V2162">
        <f>HLOOKUP("In Use MiB",'vInfo (Imported)'!$1:$5000,M2162,FALSE)</f>
        <v>0</v>
      </c>
    </row>
    <row r="2163" spans="1:22" ht="13" x14ac:dyDescent="0.3">
      <c r="A2163" s="46">
        <f>'vHosts (Imported)'!A2163</f>
        <v>0</v>
      </c>
      <c r="B2163" s="51">
        <f t="shared" si="102"/>
        <v>4968</v>
      </c>
      <c r="C2163" s="49">
        <f>HLOOKUP("# Cores",'vHosts (Imported)'!$1:$5000,M2163,FALSE)</f>
        <v>0</v>
      </c>
      <c r="D2163" s="52">
        <f>HLOOKUP("# Memory",'vHosts (Imported)'!$1:$5000,M2163,FALSE)</f>
        <v>0</v>
      </c>
      <c r="M2163" s="45">
        <f t="shared" si="101"/>
        <v>2163</v>
      </c>
      <c r="N2163" s="38">
        <f>HLOOKUP("Host",'vInfo (Imported)'!$1:$5000,M2163,FALSE)</f>
        <v>0</v>
      </c>
      <c r="R2163">
        <f>HLOOKUP("CPUs",'vInfo (Imported)'!$1:$5000,M2163,FALSE)</f>
        <v>0</v>
      </c>
      <c r="S2163">
        <f>HLOOKUP("Memory",'vInfo (Imported)'!$1:$5000,M2163,FALSE)</f>
        <v>0</v>
      </c>
      <c r="T2163">
        <f>HLOOKUP("Provisioned MiB",'vInfo (Imported)'!$1:$5000,M2163,FALSE)</f>
        <v>0</v>
      </c>
      <c r="U2163">
        <f t="shared" si="100"/>
        <v>0</v>
      </c>
      <c r="V2163">
        <f>HLOOKUP("In Use MiB",'vInfo (Imported)'!$1:$5000,M2163,FALSE)</f>
        <v>0</v>
      </c>
    </row>
    <row r="2164" spans="1:22" ht="13" x14ac:dyDescent="0.3">
      <c r="A2164" s="46">
        <f>'vHosts (Imported)'!A2164</f>
        <v>0</v>
      </c>
      <c r="B2164" s="51">
        <f t="shared" si="102"/>
        <v>4968</v>
      </c>
      <c r="C2164" s="49">
        <f>HLOOKUP("# Cores",'vHosts (Imported)'!$1:$5000,M2164,FALSE)</f>
        <v>0</v>
      </c>
      <c r="D2164" s="52">
        <f>HLOOKUP("# Memory",'vHosts (Imported)'!$1:$5000,M2164,FALSE)</f>
        <v>0</v>
      </c>
      <c r="M2164" s="45">
        <f t="shared" si="101"/>
        <v>2164</v>
      </c>
      <c r="N2164" s="38">
        <f>HLOOKUP("Host",'vInfo (Imported)'!$1:$5000,M2164,FALSE)</f>
        <v>0</v>
      </c>
      <c r="R2164">
        <f>HLOOKUP("CPUs",'vInfo (Imported)'!$1:$5000,M2164,FALSE)</f>
        <v>0</v>
      </c>
      <c r="S2164">
        <f>HLOOKUP("Memory",'vInfo (Imported)'!$1:$5000,M2164,FALSE)</f>
        <v>0</v>
      </c>
      <c r="T2164">
        <f>HLOOKUP("Provisioned MiB",'vInfo (Imported)'!$1:$5000,M2164,FALSE)</f>
        <v>0</v>
      </c>
      <c r="U2164">
        <f t="shared" si="100"/>
        <v>0</v>
      </c>
      <c r="V2164">
        <f>HLOOKUP("In Use MiB",'vInfo (Imported)'!$1:$5000,M2164,FALSE)</f>
        <v>0</v>
      </c>
    </row>
    <row r="2165" spans="1:22" ht="13" x14ac:dyDescent="0.3">
      <c r="A2165" s="46">
        <f>'vHosts (Imported)'!A2165</f>
        <v>0</v>
      </c>
      <c r="B2165" s="51">
        <f t="shared" si="102"/>
        <v>4968</v>
      </c>
      <c r="C2165" s="49">
        <f>HLOOKUP("# Cores",'vHosts (Imported)'!$1:$5000,M2165,FALSE)</f>
        <v>0</v>
      </c>
      <c r="D2165" s="52">
        <f>HLOOKUP("# Memory",'vHosts (Imported)'!$1:$5000,M2165,FALSE)</f>
        <v>0</v>
      </c>
      <c r="M2165" s="45">
        <f t="shared" si="101"/>
        <v>2165</v>
      </c>
      <c r="N2165" s="38">
        <f>HLOOKUP("Host",'vInfo (Imported)'!$1:$5000,M2165,FALSE)</f>
        <v>0</v>
      </c>
      <c r="R2165">
        <f>HLOOKUP("CPUs",'vInfo (Imported)'!$1:$5000,M2165,FALSE)</f>
        <v>0</v>
      </c>
      <c r="S2165">
        <f>HLOOKUP("Memory",'vInfo (Imported)'!$1:$5000,M2165,FALSE)</f>
        <v>0</v>
      </c>
      <c r="T2165">
        <f>HLOOKUP("Provisioned MiB",'vInfo (Imported)'!$1:$5000,M2165,FALSE)</f>
        <v>0</v>
      </c>
      <c r="U2165">
        <f t="shared" si="100"/>
        <v>0</v>
      </c>
      <c r="V2165">
        <f>HLOOKUP("In Use MiB",'vInfo (Imported)'!$1:$5000,M2165,FALSE)</f>
        <v>0</v>
      </c>
    </row>
    <row r="2166" spans="1:22" ht="13" x14ac:dyDescent="0.3">
      <c r="A2166" s="46">
        <f>'vHosts (Imported)'!A2166</f>
        <v>0</v>
      </c>
      <c r="B2166" s="51">
        <f t="shared" si="102"/>
        <v>4968</v>
      </c>
      <c r="C2166" s="49">
        <f>HLOOKUP("# Cores",'vHosts (Imported)'!$1:$5000,M2166,FALSE)</f>
        <v>0</v>
      </c>
      <c r="D2166" s="52">
        <f>HLOOKUP("# Memory",'vHosts (Imported)'!$1:$5000,M2166,FALSE)</f>
        <v>0</v>
      </c>
      <c r="M2166" s="45">
        <f t="shared" si="101"/>
        <v>2166</v>
      </c>
      <c r="N2166" s="38">
        <f>HLOOKUP("Host",'vInfo (Imported)'!$1:$5000,M2166,FALSE)</f>
        <v>0</v>
      </c>
      <c r="R2166">
        <f>HLOOKUP("CPUs",'vInfo (Imported)'!$1:$5000,M2166,FALSE)</f>
        <v>0</v>
      </c>
      <c r="S2166">
        <f>HLOOKUP("Memory",'vInfo (Imported)'!$1:$5000,M2166,FALSE)</f>
        <v>0</v>
      </c>
      <c r="T2166">
        <f>HLOOKUP("Provisioned MiB",'vInfo (Imported)'!$1:$5000,M2166,FALSE)</f>
        <v>0</v>
      </c>
      <c r="U2166">
        <f t="shared" si="100"/>
        <v>0</v>
      </c>
      <c r="V2166">
        <f>HLOOKUP("In Use MiB",'vInfo (Imported)'!$1:$5000,M2166,FALSE)</f>
        <v>0</v>
      </c>
    </row>
    <row r="2167" spans="1:22" ht="13" x14ac:dyDescent="0.3">
      <c r="A2167" s="46">
        <f>'vHosts (Imported)'!A2167</f>
        <v>0</v>
      </c>
      <c r="B2167" s="51">
        <f t="shared" si="102"/>
        <v>4968</v>
      </c>
      <c r="C2167" s="49">
        <f>HLOOKUP("# Cores",'vHosts (Imported)'!$1:$5000,M2167,FALSE)</f>
        <v>0</v>
      </c>
      <c r="D2167" s="52">
        <f>HLOOKUP("# Memory",'vHosts (Imported)'!$1:$5000,M2167,FALSE)</f>
        <v>0</v>
      </c>
      <c r="M2167" s="45">
        <f t="shared" si="101"/>
        <v>2167</v>
      </c>
      <c r="N2167" s="38">
        <f>HLOOKUP("Host",'vInfo (Imported)'!$1:$5000,M2167,FALSE)</f>
        <v>0</v>
      </c>
      <c r="R2167">
        <f>HLOOKUP("CPUs",'vInfo (Imported)'!$1:$5000,M2167,FALSE)</f>
        <v>0</v>
      </c>
      <c r="S2167">
        <f>HLOOKUP("Memory",'vInfo (Imported)'!$1:$5000,M2167,FALSE)</f>
        <v>0</v>
      </c>
      <c r="T2167">
        <f>HLOOKUP("Provisioned MiB",'vInfo (Imported)'!$1:$5000,M2167,FALSE)</f>
        <v>0</v>
      </c>
      <c r="U2167">
        <f t="shared" si="100"/>
        <v>0</v>
      </c>
      <c r="V2167">
        <f>HLOOKUP("In Use MiB",'vInfo (Imported)'!$1:$5000,M2167,FALSE)</f>
        <v>0</v>
      </c>
    </row>
    <row r="2168" spans="1:22" ht="13" x14ac:dyDescent="0.3">
      <c r="A2168" s="46">
        <f>'vHosts (Imported)'!A2168</f>
        <v>0</v>
      </c>
      <c r="B2168" s="51">
        <f t="shared" si="102"/>
        <v>4968</v>
      </c>
      <c r="C2168" s="49">
        <f>HLOOKUP("# Cores",'vHosts (Imported)'!$1:$5000,M2168,FALSE)</f>
        <v>0</v>
      </c>
      <c r="D2168" s="52">
        <f>HLOOKUP("# Memory",'vHosts (Imported)'!$1:$5000,M2168,FALSE)</f>
        <v>0</v>
      </c>
      <c r="M2168" s="45">
        <f t="shared" si="101"/>
        <v>2168</v>
      </c>
      <c r="N2168" s="38">
        <f>HLOOKUP("Host",'vInfo (Imported)'!$1:$5000,M2168,FALSE)</f>
        <v>0</v>
      </c>
      <c r="R2168">
        <f>HLOOKUP("CPUs",'vInfo (Imported)'!$1:$5000,M2168,FALSE)</f>
        <v>0</v>
      </c>
      <c r="S2168">
        <f>HLOOKUP("Memory",'vInfo (Imported)'!$1:$5000,M2168,FALSE)</f>
        <v>0</v>
      </c>
      <c r="T2168">
        <f>HLOOKUP("Provisioned MiB",'vInfo (Imported)'!$1:$5000,M2168,FALSE)</f>
        <v>0</v>
      </c>
      <c r="U2168">
        <f t="shared" si="100"/>
        <v>0</v>
      </c>
      <c r="V2168">
        <f>HLOOKUP("In Use MiB",'vInfo (Imported)'!$1:$5000,M2168,FALSE)</f>
        <v>0</v>
      </c>
    </row>
    <row r="2169" spans="1:22" ht="13" x14ac:dyDescent="0.3">
      <c r="A2169" s="46">
        <f>'vHosts (Imported)'!A2169</f>
        <v>0</v>
      </c>
      <c r="B2169" s="51">
        <f t="shared" si="102"/>
        <v>4968</v>
      </c>
      <c r="C2169" s="49">
        <f>HLOOKUP("# Cores",'vHosts (Imported)'!$1:$5000,M2169,FALSE)</f>
        <v>0</v>
      </c>
      <c r="D2169" s="52">
        <f>HLOOKUP("# Memory",'vHosts (Imported)'!$1:$5000,M2169,FALSE)</f>
        <v>0</v>
      </c>
      <c r="M2169" s="45">
        <f t="shared" si="101"/>
        <v>2169</v>
      </c>
      <c r="N2169" s="38">
        <f>HLOOKUP("Host",'vInfo (Imported)'!$1:$5000,M2169,FALSE)</f>
        <v>0</v>
      </c>
      <c r="R2169">
        <f>HLOOKUP("CPUs",'vInfo (Imported)'!$1:$5000,M2169,FALSE)</f>
        <v>0</v>
      </c>
      <c r="S2169">
        <f>HLOOKUP("Memory",'vInfo (Imported)'!$1:$5000,M2169,FALSE)</f>
        <v>0</v>
      </c>
      <c r="T2169">
        <f>HLOOKUP("Provisioned MiB",'vInfo (Imported)'!$1:$5000,M2169,FALSE)</f>
        <v>0</v>
      </c>
      <c r="U2169">
        <f t="shared" si="100"/>
        <v>0</v>
      </c>
      <c r="V2169">
        <f>HLOOKUP("In Use MiB",'vInfo (Imported)'!$1:$5000,M2169,FALSE)</f>
        <v>0</v>
      </c>
    </row>
    <row r="2170" spans="1:22" ht="13" x14ac:dyDescent="0.3">
      <c r="A2170" s="46">
        <f>'vHosts (Imported)'!A2170</f>
        <v>0</v>
      </c>
      <c r="B2170" s="51">
        <f t="shared" si="102"/>
        <v>4968</v>
      </c>
      <c r="C2170" s="49">
        <f>HLOOKUP("# Cores",'vHosts (Imported)'!$1:$5000,M2170,FALSE)</f>
        <v>0</v>
      </c>
      <c r="D2170" s="52">
        <f>HLOOKUP("# Memory",'vHosts (Imported)'!$1:$5000,M2170,FALSE)</f>
        <v>0</v>
      </c>
      <c r="M2170" s="45">
        <f t="shared" si="101"/>
        <v>2170</v>
      </c>
      <c r="N2170" s="38">
        <f>HLOOKUP("Host",'vInfo (Imported)'!$1:$5000,M2170,FALSE)</f>
        <v>0</v>
      </c>
      <c r="R2170">
        <f>HLOOKUP("CPUs",'vInfo (Imported)'!$1:$5000,M2170,FALSE)</f>
        <v>0</v>
      </c>
      <c r="S2170">
        <f>HLOOKUP("Memory",'vInfo (Imported)'!$1:$5000,M2170,FALSE)</f>
        <v>0</v>
      </c>
      <c r="T2170">
        <f>HLOOKUP("Provisioned MiB",'vInfo (Imported)'!$1:$5000,M2170,FALSE)</f>
        <v>0</v>
      </c>
      <c r="U2170">
        <f t="shared" si="100"/>
        <v>0</v>
      </c>
      <c r="V2170">
        <f>HLOOKUP("In Use MiB",'vInfo (Imported)'!$1:$5000,M2170,FALSE)</f>
        <v>0</v>
      </c>
    </row>
    <row r="2171" spans="1:22" ht="13" x14ac:dyDescent="0.3">
      <c r="A2171" s="46">
        <f>'vHosts (Imported)'!A2171</f>
        <v>0</v>
      </c>
      <c r="B2171" s="51">
        <f t="shared" si="102"/>
        <v>4968</v>
      </c>
      <c r="C2171" s="49">
        <f>HLOOKUP("# Cores",'vHosts (Imported)'!$1:$5000,M2171,FALSE)</f>
        <v>0</v>
      </c>
      <c r="D2171" s="52">
        <f>HLOOKUP("# Memory",'vHosts (Imported)'!$1:$5000,M2171,FALSE)</f>
        <v>0</v>
      </c>
      <c r="M2171" s="45">
        <f t="shared" si="101"/>
        <v>2171</v>
      </c>
      <c r="N2171" s="38">
        <f>HLOOKUP("Host",'vInfo (Imported)'!$1:$5000,M2171,FALSE)</f>
        <v>0</v>
      </c>
      <c r="R2171">
        <f>HLOOKUP("CPUs",'vInfo (Imported)'!$1:$5000,M2171,FALSE)</f>
        <v>0</v>
      </c>
      <c r="S2171">
        <f>HLOOKUP("Memory",'vInfo (Imported)'!$1:$5000,M2171,FALSE)</f>
        <v>0</v>
      </c>
      <c r="T2171">
        <f>HLOOKUP("Provisioned MiB",'vInfo (Imported)'!$1:$5000,M2171,FALSE)</f>
        <v>0</v>
      </c>
      <c r="U2171">
        <f t="shared" si="100"/>
        <v>0</v>
      </c>
      <c r="V2171">
        <f>HLOOKUP("In Use MiB",'vInfo (Imported)'!$1:$5000,M2171,FALSE)</f>
        <v>0</v>
      </c>
    </row>
    <row r="2172" spans="1:22" ht="13" x14ac:dyDescent="0.3">
      <c r="A2172" s="46">
        <f>'vHosts (Imported)'!A2172</f>
        <v>0</v>
      </c>
      <c r="B2172" s="51">
        <f t="shared" si="102"/>
        <v>4968</v>
      </c>
      <c r="C2172" s="49">
        <f>HLOOKUP("# Cores",'vHosts (Imported)'!$1:$5000,M2172,FALSE)</f>
        <v>0</v>
      </c>
      <c r="D2172" s="52">
        <f>HLOOKUP("# Memory",'vHosts (Imported)'!$1:$5000,M2172,FALSE)</f>
        <v>0</v>
      </c>
      <c r="M2172" s="45">
        <f t="shared" si="101"/>
        <v>2172</v>
      </c>
      <c r="N2172" s="38">
        <f>HLOOKUP("Host",'vInfo (Imported)'!$1:$5000,M2172,FALSE)</f>
        <v>0</v>
      </c>
      <c r="R2172">
        <f>HLOOKUP("CPUs",'vInfo (Imported)'!$1:$5000,M2172,FALSE)</f>
        <v>0</v>
      </c>
      <c r="S2172">
        <f>HLOOKUP("Memory",'vInfo (Imported)'!$1:$5000,M2172,FALSE)</f>
        <v>0</v>
      </c>
      <c r="T2172">
        <f>HLOOKUP("Provisioned MiB",'vInfo (Imported)'!$1:$5000,M2172,FALSE)</f>
        <v>0</v>
      </c>
      <c r="U2172">
        <f t="shared" si="100"/>
        <v>0</v>
      </c>
      <c r="V2172">
        <f>HLOOKUP("In Use MiB",'vInfo (Imported)'!$1:$5000,M2172,FALSE)</f>
        <v>0</v>
      </c>
    </row>
    <row r="2173" spans="1:22" ht="13" x14ac:dyDescent="0.3">
      <c r="A2173" s="46">
        <f>'vHosts (Imported)'!A2173</f>
        <v>0</v>
      </c>
      <c r="B2173" s="51">
        <f t="shared" si="102"/>
        <v>4968</v>
      </c>
      <c r="C2173" s="49">
        <f>HLOOKUP("# Cores",'vHosts (Imported)'!$1:$5000,M2173,FALSE)</f>
        <v>0</v>
      </c>
      <c r="D2173" s="52">
        <f>HLOOKUP("# Memory",'vHosts (Imported)'!$1:$5000,M2173,FALSE)</f>
        <v>0</v>
      </c>
      <c r="M2173" s="45">
        <f t="shared" si="101"/>
        <v>2173</v>
      </c>
      <c r="N2173" s="38">
        <f>HLOOKUP("Host",'vInfo (Imported)'!$1:$5000,M2173,FALSE)</f>
        <v>0</v>
      </c>
      <c r="R2173">
        <f>HLOOKUP("CPUs",'vInfo (Imported)'!$1:$5000,M2173,FALSE)</f>
        <v>0</v>
      </c>
      <c r="S2173">
        <f>HLOOKUP("Memory",'vInfo (Imported)'!$1:$5000,M2173,FALSE)</f>
        <v>0</v>
      </c>
      <c r="T2173">
        <f>HLOOKUP("Provisioned MiB",'vInfo (Imported)'!$1:$5000,M2173,FALSE)</f>
        <v>0</v>
      </c>
      <c r="U2173">
        <f t="shared" si="100"/>
        <v>0</v>
      </c>
      <c r="V2173">
        <f>HLOOKUP("In Use MiB",'vInfo (Imported)'!$1:$5000,M2173,FALSE)</f>
        <v>0</v>
      </c>
    </row>
    <row r="2174" spans="1:22" ht="13" x14ac:dyDescent="0.3">
      <c r="A2174" s="46">
        <f>'vHosts (Imported)'!A2174</f>
        <v>0</v>
      </c>
      <c r="B2174" s="51">
        <f t="shared" si="102"/>
        <v>4968</v>
      </c>
      <c r="C2174" s="49">
        <f>HLOOKUP("# Cores",'vHosts (Imported)'!$1:$5000,M2174,FALSE)</f>
        <v>0</v>
      </c>
      <c r="D2174" s="52">
        <f>HLOOKUP("# Memory",'vHosts (Imported)'!$1:$5000,M2174,FALSE)</f>
        <v>0</v>
      </c>
      <c r="M2174" s="45">
        <f t="shared" si="101"/>
        <v>2174</v>
      </c>
      <c r="N2174" s="38">
        <f>HLOOKUP("Host",'vInfo (Imported)'!$1:$5000,M2174,FALSE)</f>
        <v>0</v>
      </c>
      <c r="R2174">
        <f>HLOOKUP("CPUs",'vInfo (Imported)'!$1:$5000,M2174,FALSE)</f>
        <v>0</v>
      </c>
      <c r="S2174">
        <f>HLOOKUP("Memory",'vInfo (Imported)'!$1:$5000,M2174,FALSE)</f>
        <v>0</v>
      </c>
      <c r="T2174">
        <f>HLOOKUP("Provisioned MiB",'vInfo (Imported)'!$1:$5000,M2174,FALSE)</f>
        <v>0</v>
      </c>
      <c r="U2174">
        <f t="shared" si="100"/>
        <v>0</v>
      </c>
      <c r="V2174">
        <f>HLOOKUP("In Use MiB",'vInfo (Imported)'!$1:$5000,M2174,FALSE)</f>
        <v>0</v>
      </c>
    </row>
    <row r="2175" spans="1:22" ht="13" x14ac:dyDescent="0.3">
      <c r="A2175" s="46">
        <f>'vHosts (Imported)'!A2175</f>
        <v>0</v>
      </c>
      <c r="B2175" s="51">
        <f t="shared" si="102"/>
        <v>4968</v>
      </c>
      <c r="C2175" s="49">
        <f>HLOOKUP("# Cores",'vHosts (Imported)'!$1:$5000,M2175,FALSE)</f>
        <v>0</v>
      </c>
      <c r="D2175" s="52">
        <f>HLOOKUP("# Memory",'vHosts (Imported)'!$1:$5000,M2175,FALSE)</f>
        <v>0</v>
      </c>
      <c r="M2175" s="45">
        <f t="shared" si="101"/>
        <v>2175</v>
      </c>
      <c r="N2175" s="38">
        <f>HLOOKUP("Host",'vInfo (Imported)'!$1:$5000,M2175,FALSE)</f>
        <v>0</v>
      </c>
      <c r="R2175">
        <f>HLOOKUP("CPUs",'vInfo (Imported)'!$1:$5000,M2175,FALSE)</f>
        <v>0</v>
      </c>
      <c r="S2175">
        <f>HLOOKUP("Memory",'vInfo (Imported)'!$1:$5000,M2175,FALSE)</f>
        <v>0</v>
      </c>
      <c r="T2175">
        <f>HLOOKUP("Provisioned MiB",'vInfo (Imported)'!$1:$5000,M2175,FALSE)</f>
        <v>0</v>
      </c>
      <c r="U2175">
        <f t="shared" si="100"/>
        <v>0</v>
      </c>
      <c r="V2175">
        <f>HLOOKUP("In Use MiB",'vInfo (Imported)'!$1:$5000,M2175,FALSE)</f>
        <v>0</v>
      </c>
    </row>
    <row r="2176" spans="1:22" ht="13" x14ac:dyDescent="0.3">
      <c r="A2176" s="46">
        <f>'vHosts (Imported)'!A2176</f>
        <v>0</v>
      </c>
      <c r="B2176" s="51">
        <f t="shared" si="102"/>
        <v>4968</v>
      </c>
      <c r="C2176" s="49">
        <f>HLOOKUP("# Cores",'vHosts (Imported)'!$1:$5000,M2176,FALSE)</f>
        <v>0</v>
      </c>
      <c r="D2176" s="52">
        <f>HLOOKUP("# Memory",'vHosts (Imported)'!$1:$5000,M2176,FALSE)</f>
        <v>0</v>
      </c>
      <c r="M2176" s="45">
        <f t="shared" si="101"/>
        <v>2176</v>
      </c>
      <c r="N2176" s="38">
        <f>HLOOKUP("Host",'vInfo (Imported)'!$1:$5000,M2176,FALSE)</f>
        <v>0</v>
      </c>
      <c r="R2176">
        <f>HLOOKUP("CPUs",'vInfo (Imported)'!$1:$5000,M2176,FALSE)</f>
        <v>0</v>
      </c>
      <c r="S2176">
        <f>HLOOKUP("Memory",'vInfo (Imported)'!$1:$5000,M2176,FALSE)</f>
        <v>0</v>
      </c>
      <c r="T2176">
        <f>HLOOKUP("Provisioned MiB",'vInfo (Imported)'!$1:$5000,M2176,FALSE)</f>
        <v>0</v>
      </c>
      <c r="U2176">
        <f t="shared" si="100"/>
        <v>0</v>
      </c>
      <c r="V2176">
        <f>HLOOKUP("In Use MiB",'vInfo (Imported)'!$1:$5000,M2176,FALSE)</f>
        <v>0</v>
      </c>
    </row>
    <row r="2177" spans="1:22" ht="13" x14ac:dyDescent="0.3">
      <c r="A2177" s="46">
        <f>'vHosts (Imported)'!A2177</f>
        <v>0</v>
      </c>
      <c r="B2177" s="51">
        <f t="shared" si="102"/>
        <v>4968</v>
      </c>
      <c r="C2177" s="49">
        <f>HLOOKUP("# Cores",'vHosts (Imported)'!$1:$5000,M2177,FALSE)</f>
        <v>0</v>
      </c>
      <c r="D2177" s="52">
        <f>HLOOKUP("# Memory",'vHosts (Imported)'!$1:$5000,M2177,FALSE)</f>
        <v>0</v>
      </c>
      <c r="M2177" s="45">
        <f t="shared" si="101"/>
        <v>2177</v>
      </c>
      <c r="N2177" s="38">
        <f>HLOOKUP("Host",'vInfo (Imported)'!$1:$5000,M2177,FALSE)</f>
        <v>0</v>
      </c>
      <c r="R2177">
        <f>HLOOKUP("CPUs",'vInfo (Imported)'!$1:$5000,M2177,FALSE)</f>
        <v>0</v>
      </c>
      <c r="S2177">
        <f>HLOOKUP("Memory",'vInfo (Imported)'!$1:$5000,M2177,FALSE)</f>
        <v>0</v>
      </c>
      <c r="T2177">
        <f>HLOOKUP("Provisioned MiB",'vInfo (Imported)'!$1:$5000,M2177,FALSE)</f>
        <v>0</v>
      </c>
      <c r="U2177">
        <f t="shared" si="100"/>
        <v>0</v>
      </c>
      <c r="V2177">
        <f>HLOOKUP("In Use MiB",'vInfo (Imported)'!$1:$5000,M2177,FALSE)</f>
        <v>0</v>
      </c>
    </row>
    <row r="2178" spans="1:22" ht="13" x14ac:dyDescent="0.3">
      <c r="A2178" s="46">
        <f>'vHosts (Imported)'!A2178</f>
        <v>0</v>
      </c>
      <c r="B2178" s="51">
        <f t="shared" si="102"/>
        <v>4968</v>
      </c>
      <c r="C2178" s="49">
        <f>HLOOKUP("# Cores",'vHosts (Imported)'!$1:$5000,M2178,FALSE)</f>
        <v>0</v>
      </c>
      <c r="D2178" s="52">
        <f>HLOOKUP("# Memory",'vHosts (Imported)'!$1:$5000,M2178,FALSE)</f>
        <v>0</v>
      </c>
      <c r="M2178" s="45">
        <f t="shared" si="101"/>
        <v>2178</v>
      </c>
      <c r="N2178" s="38">
        <f>HLOOKUP("Host",'vInfo (Imported)'!$1:$5000,M2178,FALSE)</f>
        <v>0</v>
      </c>
      <c r="R2178">
        <f>HLOOKUP("CPUs",'vInfo (Imported)'!$1:$5000,M2178,FALSE)</f>
        <v>0</v>
      </c>
      <c r="S2178">
        <f>HLOOKUP("Memory",'vInfo (Imported)'!$1:$5000,M2178,FALSE)</f>
        <v>0</v>
      </c>
      <c r="T2178">
        <f>HLOOKUP("Provisioned MiB",'vInfo (Imported)'!$1:$5000,M2178,FALSE)</f>
        <v>0</v>
      </c>
      <c r="U2178">
        <f t="shared" si="100"/>
        <v>0</v>
      </c>
      <c r="V2178">
        <f>HLOOKUP("In Use MiB",'vInfo (Imported)'!$1:$5000,M2178,FALSE)</f>
        <v>0</v>
      </c>
    </row>
    <row r="2179" spans="1:22" ht="13" x14ac:dyDescent="0.3">
      <c r="A2179" s="46">
        <f>'vHosts (Imported)'!A2179</f>
        <v>0</v>
      </c>
      <c r="B2179" s="51">
        <f t="shared" si="102"/>
        <v>4968</v>
      </c>
      <c r="C2179" s="49">
        <f>HLOOKUP("# Cores",'vHosts (Imported)'!$1:$5000,M2179,FALSE)</f>
        <v>0</v>
      </c>
      <c r="D2179" s="52">
        <f>HLOOKUP("# Memory",'vHosts (Imported)'!$1:$5000,M2179,FALSE)</f>
        <v>0</v>
      </c>
      <c r="M2179" s="45">
        <f t="shared" si="101"/>
        <v>2179</v>
      </c>
      <c r="N2179" s="38">
        <f>HLOOKUP("Host",'vInfo (Imported)'!$1:$5000,M2179,FALSE)</f>
        <v>0</v>
      </c>
      <c r="R2179">
        <f>HLOOKUP("CPUs",'vInfo (Imported)'!$1:$5000,M2179,FALSE)</f>
        <v>0</v>
      </c>
      <c r="S2179">
        <f>HLOOKUP("Memory",'vInfo (Imported)'!$1:$5000,M2179,FALSE)</f>
        <v>0</v>
      </c>
      <c r="T2179">
        <f>HLOOKUP("Provisioned MiB",'vInfo (Imported)'!$1:$5000,M2179,FALSE)</f>
        <v>0</v>
      </c>
      <c r="U2179">
        <f t="shared" ref="U2179:U2242" si="103">T2179-V2179</f>
        <v>0</v>
      </c>
      <c r="V2179">
        <f>HLOOKUP("In Use MiB",'vInfo (Imported)'!$1:$5000,M2179,FALSE)</f>
        <v>0</v>
      </c>
    </row>
    <row r="2180" spans="1:22" ht="13" x14ac:dyDescent="0.3">
      <c r="A2180" s="46">
        <f>'vHosts (Imported)'!A2180</f>
        <v>0</v>
      </c>
      <c r="B2180" s="51">
        <f t="shared" si="102"/>
        <v>4968</v>
      </c>
      <c r="C2180" s="49">
        <f>HLOOKUP("# Cores",'vHosts (Imported)'!$1:$5000,M2180,FALSE)</f>
        <v>0</v>
      </c>
      <c r="D2180" s="52">
        <f>HLOOKUP("# Memory",'vHosts (Imported)'!$1:$5000,M2180,FALSE)</f>
        <v>0</v>
      </c>
      <c r="M2180" s="45">
        <f t="shared" ref="M2180:M2243" si="104">M2179+1</f>
        <v>2180</v>
      </c>
      <c r="N2180" s="38">
        <f>HLOOKUP("Host",'vInfo (Imported)'!$1:$5000,M2180,FALSE)</f>
        <v>0</v>
      </c>
      <c r="R2180">
        <f>HLOOKUP("CPUs",'vInfo (Imported)'!$1:$5000,M2180,FALSE)</f>
        <v>0</v>
      </c>
      <c r="S2180">
        <f>HLOOKUP("Memory",'vInfo (Imported)'!$1:$5000,M2180,FALSE)</f>
        <v>0</v>
      </c>
      <c r="T2180">
        <f>HLOOKUP("Provisioned MiB",'vInfo (Imported)'!$1:$5000,M2180,FALSE)</f>
        <v>0</v>
      </c>
      <c r="U2180">
        <f t="shared" si="103"/>
        <v>0</v>
      </c>
      <c r="V2180">
        <f>HLOOKUP("In Use MiB",'vInfo (Imported)'!$1:$5000,M2180,FALSE)</f>
        <v>0</v>
      </c>
    </row>
    <row r="2181" spans="1:22" ht="13" x14ac:dyDescent="0.3">
      <c r="A2181" s="46">
        <f>'vHosts (Imported)'!A2181</f>
        <v>0</v>
      </c>
      <c r="B2181" s="51">
        <f t="shared" si="102"/>
        <v>4968</v>
      </c>
      <c r="C2181" s="49">
        <f>HLOOKUP("# Cores",'vHosts (Imported)'!$1:$5000,M2181,FALSE)</f>
        <v>0</v>
      </c>
      <c r="D2181" s="52">
        <f>HLOOKUP("# Memory",'vHosts (Imported)'!$1:$5000,M2181,FALSE)</f>
        <v>0</v>
      </c>
      <c r="M2181" s="45">
        <f t="shared" si="104"/>
        <v>2181</v>
      </c>
      <c r="N2181" s="38">
        <f>HLOOKUP("Host",'vInfo (Imported)'!$1:$5000,M2181,FALSE)</f>
        <v>0</v>
      </c>
      <c r="R2181">
        <f>HLOOKUP("CPUs",'vInfo (Imported)'!$1:$5000,M2181,FALSE)</f>
        <v>0</v>
      </c>
      <c r="S2181">
        <f>HLOOKUP("Memory",'vInfo (Imported)'!$1:$5000,M2181,FALSE)</f>
        <v>0</v>
      </c>
      <c r="T2181">
        <f>HLOOKUP("Provisioned MiB",'vInfo (Imported)'!$1:$5000,M2181,FALSE)</f>
        <v>0</v>
      </c>
      <c r="U2181">
        <f t="shared" si="103"/>
        <v>0</v>
      </c>
      <c r="V2181">
        <f>HLOOKUP("In Use MiB",'vInfo (Imported)'!$1:$5000,M2181,FALSE)</f>
        <v>0</v>
      </c>
    </row>
    <row r="2182" spans="1:22" ht="13" x14ac:dyDescent="0.3">
      <c r="A2182" s="46">
        <f>'vHosts (Imported)'!A2182</f>
        <v>0</v>
      </c>
      <c r="B2182" s="51">
        <f t="shared" si="102"/>
        <v>4968</v>
      </c>
      <c r="C2182" s="49">
        <f>HLOOKUP("# Cores",'vHosts (Imported)'!$1:$5000,M2182,FALSE)</f>
        <v>0</v>
      </c>
      <c r="D2182" s="52">
        <f>HLOOKUP("# Memory",'vHosts (Imported)'!$1:$5000,M2182,FALSE)</f>
        <v>0</v>
      </c>
      <c r="M2182" s="45">
        <f t="shared" si="104"/>
        <v>2182</v>
      </c>
      <c r="N2182" s="38">
        <f>HLOOKUP("Host",'vInfo (Imported)'!$1:$5000,M2182,FALSE)</f>
        <v>0</v>
      </c>
      <c r="R2182">
        <f>HLOOKUP("CPUs",'vInfo (Imported)'!$1:$5000,M2182,FALSE)</f>
        <v>0</v>
      </c>
      <c r="S2182">
        <f>HLOOKUP("Memory",'vInfo (Imported)'!$1:$5000,M2182,FALSE)</f>
        <v>0</v>
      </c>
      <c r="T2182">
        <f>HLOOKUP("Provisioned MiB",'vInfo (Imported)'!$1:$5000,M2182,FALSE)</f>
        <v>0</v>
      </c>
      <c r="U2182">
        <f t="shared" si="103"/>
        <v>0</v>
      </c>
      <c r="V2182">
        <f>HLOOKUP("In Use MiB",'vInfo (Imported)'!$1:$5000,M2182,FALSE)</f>
        <v>0</v>
      </c>
    </row>
    <row r="2183" spans="1:22" ht="13" x14ac:dyDescent="0.3">
      <c r="A2183" s="46">
        <f>'vHosts (Imported)'!A2183</f>
        <v>0</v>
      </c>
      <c r="B2183" s="51">
        <f t="shared" si="102"/>
        <v>4968</v>
      </c>
      <c r="C2183" s="49">
        <f>HLOOKUP("# Cores",'vHosts (Imported)'!$1:$5000,M2183,FALSE)</f>
        <v>0</v>
      </c>
      <c r="D2183" s="52">
        <f>HLOOKUP("# Memory",'vHosts (Imported)'!$1:$5000,M2183,FALSE)</f>
        <v>0</v>
      </c>
      <c r="M2183" s="45">
        <f t="shared" si="104"/>
        <v>2183</v>
      </c>
      <c r="N2183" s="38">
        <f>HLOOKUP("Host",'vInfo (Imported)'!$1:$5000,M2183,FALSE)</f>
        <v>0</v>
      </c>
      <c r="R2183">
        <f>HLOOKUP("CPUs",'vInfo (Imported)'!$1:$5000,M2183,FALSE)</f>
        <v>0</v>
      </c>
      <c r="S2183">
        <f>HLOOKUP("Memory",'vInfo (Imported)'!$1:$5000,M2183,FALSE)</f>
        <v>0</v>
      </c>
      <c r="T2183">
        <f>HLOOKUP("Provisioned MiB",'vInfo (Imported)'!$1:$5000,M2183,FALSE)</f>
        <v>0</v>
      </c>
      <c r="U2183">
        <f t="shared" si="103"/>
        <v>0</v>
      </c>
      <c r="V2183">
        <f>HLOOKUP("In Use MiB",'vInfo (Imported)'!$1:$5000,M2183,FALSE)</f>
        <v>0</v>
      </c>
    </row>
    <row r="2184" spans="1:22" ht="13" x14ac:dyDescent="0.3">
      <c r="A2184" s="46">
        <f>'vHosts (Imported)'!A2184</f>
        <v>0</v>
      </c>
      <c r="B2184" s="51">
        <f t="shared" si="102"/>
        <v>4968</v>
      </c>
      <c r="C2184" s="49">
        <f>HLOOKUP("# Cores",'vHosts (Imported)'!$1:$5000,M2184,FALSE)</f>
        <v>0</v>
      </c>
      <c r="D2184" s="52">
        <f>HLOOKUP("# Memory",'vHosts (Imported)'!$1:$5000,M2184,FALSE)</f>
        <v>0</v>
      </c>
      <c r="M2184" s="45">
        <f t="shared" si="104"/>
        <v>2184</v>
      </c>
      <c r="N2184" s="38">
        <f>HLOOKUP("Host",'vInfo (Imported)'!$1:$5000,M2184,FALSE)</f>
        <v>0</v>
      </c>
      <c r="R2184">
        <f>HLOOKUP("CPUs",'vInfo (Imported)'!$1:$5000,M2184,FALSE)</f>
        <v>0</v>
      </c>
      <c r="S2184">
        <f>HLOOKUP("Memory",'vInfo (Imported)'!$1:$5000,M2184,FALSE)</f>
        <v>0</v>
      </c>
      <c r="T2184">
        <f>HLOOKUP("Provisioned MiB",'vInfo (Imported)'!$1:$5000,M2184,FALSE)</f>
        <v>0</v>
      </c>
      <c r="U2184">
        <f t="shared" si="103"/>
        <v>0</v>
      </c>
      <c r="V2184">
        <f>HLOOKUP("In Use MiB",'vInfo (Imported)'!$1:$5000,M2184,FALSE)</f>
        <v>0</v>
      </c>
    </row>
    <row r="2185" spans="1:22" ht="13" x14ac:dyDescent="0.3">
      <c r="A2185" s="46">
        <f>'vHosts (Imported)'!A2185</f>
        <v>0</v>
      </c>
      <c r="B2185" s="51">
        <f t="shared" si="102"/>
        <v>4968</v>
      </c>
      <c r="C2185" s="49">
        <f>HLOOKUP("# Cores",'vHosts (Imported)'!$1:$5000,M2185,FALSE)</f>
        <v>0</v>
      </c>
      <c r="D2185" s="52">
        <f>HLOOKUP("# Memory",'vHosts (Imported)'!$1:$5000,M2185,FALSE)</f>
        <v>0</v>
      </c>
      <c r="M2185" s="45">
        <f t="shared" si="104"/>
        <v>2185</v>
      </c>
      <c r="N2185" s="38">
        <f>HLOOKUP("Host",'vInfo (Imported)'!$1:$5000,M2185,FALSE)</f>
        <v>0</v>
      </c>
      <c r="R2185">
        <f>HLOOKUP("CPUs",'vInfo (Imported)'!$1:$5000,M2185,FALSE)</f>
        <v>0</v>
      </c>
      <c r="S2185">
        <f>HLOOKUP("Memory",'vInfo (Imported)'!$1:$5000,M2185,FALSE)</f>
        <v>0</v>
      </c>
      <c r="T2185">
        <f>HLOOKUP("Provisioned MiB",'vInfo (Imported)'!$1:$5000,M2185,FALSE)</f>
        <v>0</v>
      </c>
      <c r="U2185">
        <f t="shared" si="103"/>
        <v>0</v>
      </c>
      <c r="V2185">
        <f>HLOOKUP("In Use MiB",'vInfo (Imported)'!$1:$5000,M2185,FALSE)</f>
        <v>0</v>
      </c>
    </row>
    <row r="2186" spans="1:22" ht="13" x14ac:dyDescent="0.3">
      <c r="A2186" s="46">
        <f>'vHosts (Imported)'!A2186</f>
        <v>0</v>
      </c>
      <c r="B2186" s="51">
        <f t="shared" si="102"/>
        <v>4968</v>
      </c>
      <c r="C2186" s="49">
        <f>HLOOKUP("# Cores",'vHosts (Imported)'!$1:$5000,M2186,FALSE)</f>
        <v>0</v>
      </c>
      <c r="D2186" s="52">
        <f>HLOOKUP("# Memory",'vHosts (Imported)'!$1:$5000,M2186,FALSE)</f>
        <v>0</v>
      </c>
      <c r="M2186" s="45">
        <f t="shared" si="104"/>
        <v>2186</v>
      </c>
      <c r="N2186" s="38">
        <f>HLOOKUP("Host",'vInfo (Imported)'!$1:$5000,M2186,FALSE)</f>
        <v>0</v>
      </c>
      <c r="R2186">
        <f>HLOOKUP("CPUs",'vInfo (Imported)'!$1:$5000,M2186,FALSE)</f>
        <v>0</v>
      </c>
      <c r="S2186">
        <f>HLOOKUP("Memory",'vInfo (Imported)'!$1:$5000,M2186,FALSE)</f>
        <v>0</v>
      </c>
      <c r="T2186">
        <f>HLOOKUP("Provisioned MiB",'vInfo (Imported)'!$1:$5000,M2186,FALSE)</f>
        <v>0</v>
      </c>
      <c r="U2186">
        <f t="shared" si="103"/>
        <v>0</v>
      </c>
      <c r="V2186">
        <f>HLOOKUP("In Use MiB",'vInfo (Imported)'!$1:$5000,M2186,FALSE)</f>
        <v>0</v>
      </c>
    </row>
    <row r="2187" spans="1:22" ht="13" x14ac:dyDescent="0.3">
      <c r="A2187" s="46">
        <f>'vHosts (Imported)'!A2187</f>
        <v>0</v>
      </c>
      <c r="B2187" s="51">
        <f t="shared" si="102"/>
        <v>4968</v>
      </c>
      <c r="C2187" s="49">
        <f>HLOOKUP("# Cores",'vHosts (Imported)'!$1:$5000,M2187,FALSE)</f>
        <v>0</v>
      </c>
      <c r="D2187" s="52">
        <f>HLOOKUP("# Memory",'vHosts (Imported)'!$1:$5000,M2187,FALSE)</f>
        <v>0</v>
      </c>
      <c r="M2187" s="45">
        <f t="shared" si="104"/>
        <v>2187</v>
      </c>
      <c r="N2187" s="38">
        <f>HLOOKUP("Host",'vInfo (Imported)'!$1:$5000,M2187,FALSE)</f>
        <v>0</v>
      </c>
      <c r="R2187">
        <f>HLOOKUP("CPUs",'vInfo (Imported)'!$1:$5000,M2187,FALSE)</f>
        <v>0</v>
      </c>
      <c r="S2187">
        <f>HLOOKUP("Memory",'vInfo (Imported)'!$1:$5000,M2187,FALSE)</f>
        <v>0</v>
      </c>
      <c r="T2187">
        <f>HLOOKUP("Provisioned MiB",'vInfo (Imported)'!$1:$5000,M2187,FALSE)</f>
        <v>0</v>
      </c>
      <c r="U2187">
        <f t="shared" si="103"/>
        <v>0</v>
      </c>
      <c r="V2187">
        <f>HLOOKUP("In Use MiB",'vInfo (Imported)'!$1:$5000,M2187,FALSE)</f>
        <v>0</v>
      </c>
    </row>
    <row r="2188" spans="1:22" ht="13" x14ac:dyDescent="0.3">
      <c r="A2188" s="46">
        <f>'vHosts (Imported)'!A2188</f>
        <v>0</v>
      </c>
      <c r="B2188" s="51">
        <f t="shared" si="102"/>
        <v>4968</v>
      </c>
      <c r="C2188" s="49">
        <f>HLOOKUP("# Cores",'vHosts (Imported)'!$1:$5000,M2188,FALSE)</f>
        <v>0</v>
      </c>
      <c r="D2188" s="52">
        <f>HLOOKUP("# Memory",'vHosts (Imported)'!$1:$5000,M2188,FALSE)</f>
        <v>0</v>
      </c>
      <c r="M2188" s="45">
        <f t="shared" si="104"/>
        <v>2188</v>
      </c>
      <c r="N2188" s="38">
        <f>HLOOKUP("Host",'vInfo (Imported)'!$1:$5000,M2188,FALSE)</f>
        <v>0</v>
      </c>
      <c r="R2188">
        <f>HLOOKUP("CPUs",'vInfo (Imported)'!$1:$5000,M2188,FALSE)</f>
        <v>0</v>
      </c>
      <c r="S2188">
        <f>HLOOKUP("Memory",'vInfo (Imported)'!$1:$5000,M2188,FALSE)</f>
        <v>0</v>
      </c>
      <c r="T2188">
        <f>HLOOKUP("Provisioned MiB",'vInfo (Imported)'!$1:$5000,M2188,FALSE)</f>
        <v>0</v>
      </c>
      <c r="U2188">
        <f t="shared" si="103"/>
        <v>0</v>
      </c>
      <c r="V2188">
        <f>HLOOKUP("In Use MiB",'vInfo (Imported)'!$1:$5000,M2188,FALSE)</f>
        <v>0</v>
      </c>
    </row>
    <row r="2189" spans="1:22" ht="13" x14ac:dyDescent="0.3">
      <c r="A2189" s="46">
        <f>'vHosts (Imported)'!A2189</f>
        <v>0</v>
      </c>
      <c r="B2189" s="51">
        <f t="shared" si="102"/>
        <v>4968</v>
      </c>
      <c r="C2189" s="49">
        <f>HLOOKUP("# Cores",'vHosts (Imported)'!$1:$5000,M2189,FALSE)</f>
        <v>0</v>
      </c>
      <c r="D2189" s="52">
        <f>HLOOKUP("# Memory",'vHosts (Imported)'!$1:$5000,M2189,FALSE)</f>
        <v>0</v>
      </c>
      <c r="M2189" s="45">
        <f t="shared" si="104"/>
        <v>2189</v>
      </c>
      <c r="N2189" s="38">
        <f>HLOOKUP("Host",'vInfo (Imported)'!$1:$5000,M2189,FALSE)</f>
        <v>0</v>
      </c>
      <c r="R2189">
        <f>HLOOKUP("CPUs",'vInfo (Imported)'!$1:$5000,M2189,FALSE)</f>
        <v>0</v>
      </c>
      <c r="S2189">
        <f>HLOOKUP("Memory",'vInfo (Imported)'!$1:$5000,M2189,FALSE)</f>
        <v>0</v>
      </c>
      <c r="T2189">
        <f>HLOOKUP("Provisioned MiB",'vInfo (Imported)'!$1:$5000,M2189,FALSE)</f>
        <v>0</v>
      </c>
      <c r="U2189">
        <f t="shared" si="103"/>
        <v>0</v>
      </c>
      <c r="V2189">
        <f>HLOOKUP("In Use MiB",'vInfo (Imported)'!$1:$5000,M2189,FALSE)</f>
        <v>0</v>
      </c>
    </row>
    <row r="2190" spans="1:22" ht="13" x14ac:dyDescent="0.3">
      <c r="A2190" s="46">
        <f>'vHosts (Imported)'!A2190</f>
        <v>0</v>
      </c>
      <c r="B2190" s="51">
        <f t="shared" si="102"/>
        <v>4968</v>
      </c>
      <c r="C2190" s="49">
        <f>HLOOKUP("# Cores",'vHosts (Imported)'!$1:$5000,M2190,FALSE)</f>
        <v>0</v>
      </c>
      <c r="D2190" s="52">
        <f>HLOOKUP("# Memory",'vHosts (Imported)'!$1:$5000,M2190,FALSE)</f>
        <v>0</v>
      </c>
      <c r="M2190" s="45">
        <f t="shared" si="104"/>
        <v>2190</v>
      </c>
      <c r="N2190" s="38">
        <f>HLOOKUP("Host",'vInfo (Imported)'!$1:$5000,M2190,FALSE)</f>
        <v>0</v>
      </c>
      <c r="R2190">
        <f>HLOOKUP("CPUs",'vInfo (Imported)'!$1:$5000,M2190,FALSE)</f>
        <v>0</v>
      </c>
      <c r="S2190">
        <f>HLOOKUP("Memory",'vInfo (Imported)'!$1:$5000,M2190,FALSE)</f>
        <v>0</v>
      </c>
      <c r="T2190">
        <f>HLOOKUP("Provisioned MiB",'vInfo (Imported)'!$1:$5000,M2190,FALSE)</f>
        <v>0</v>
      </c>
      <c r="U2190">
        <f t="shared" si="103"/>
        <v>0</v>
      </c>
      <c r="V2190">
        <f>HLOOKUP("In Use MiB",'vInfo (Imported)'!$1:$5000,M2190,FALSE)</f>
        <v>0</v>
      </c>
    </row>
    <row r="2191" spans="1:22" ht="13" x14ac:dyDescent="0.3">
      <c r="A2191" s="46">
        <f>'vHosts (Imported)'!A2191</f>
        <v>0</v>
      </c>
      <c r="B2191" s="51">
        <f t="shared" si="102"/>
        <v>4968</v>
      </c>
      <c r="C2191" s="49">
        <f>HLOOKUP("# Cores",'vHosts (Imported)'!$1:$5000,M2191,FALSE)</f>
        <v>0</v>
      </c>
      <c r="D2191" s="52">
        <f>HLOOKUP("# Memory",'vHosts (Imported)'!$1:$5000,M2191,FALSE)</f>
        <v>0</v>
      </c>
      <c r="M2191" s="45">
        <f t="shared" si="104"/>
        <v>2191</v>
      </c>
      <c r="N2191" s="38">
        <f>HLOOKUP("Host",'vInfo (Imported)'!$1:$5000,M2191,FALSE)</f>
        <v>0</v>
      </c>
      <c r="R2191">
        <f>HLOOKUP("CPUs",'vInfo (Imported)'!$1:$5000,M2191,FALSE)</f>
        <v>0</v>
      </c>
      <c r="S2191">
        <f>HLOOKUP("Memory",'vInfo (Imported)'!$1:$5000,M2191,FALSE)</f>
        <v>0</v>
      </c>
      <c r="T2191">
        <f>HLOOKUP("Provisioned MiB",'vInfo (Imported)'!$1:$5000,M2191,FALSE)</f>
        <v>0</v>
      </c>
      <c r="U2191">
        <f t="shared" si="103"/>
        <v>0</v>
      </c>
      <c r="V2191">
        <f>HLOOKUP("In Use MiB",'vInfo (Imported)'!$1:$5000,M2191,FALSE)</f>
        <v>0</v>
      </c>
    </row>
    <row r="2192" spans="1:22" ht="13" x14ac:dyDescent="0.3">
      <c r="A2192" s="46">
        <f>'vHosts (Imported)'!A2192</f>
        <v>0</v>
      </c>
      <c r="B2192" s="51">
        <f t="shared" si="102"/>
        <v>4968</v>
      </c>
      <c r="C2192" s="49">
        <f>HLOOKUP("# Cores",'vHosts (Imported)'!$1:$5000,M2192,FALSE)</f>
        <v>0</v>
      </c>
      <c r="D2192" s="52">
        <f>HLOOKUP("# Memory",'vHosts (Imported)'!$1:$5000,M2192,FALSE)</f>
        <v>0</v>
      </c>
      <c r="M2192" s="45">
        <f t="shared" si="104"/>
        <v>2192</v>
      </c>
      <c r="N2192" s="38">
        <f>HLOOKUP("Host",'vInfo (Imported)'!$1:$5000,M2192,FALSE)</f>
        <v>0</v>
      </c>
      <c r="R2192">
        <f>HLOOKUP("CPUs",'vInfo (Imported)'!$1:$5000,M2192,FALSE)</f>
        <v>0</v>
      </c>
      <c r="S2192">
        <f>HLOOKUP("Memory",'vInfo (Imported)'!$1:$5000,M2192,FALSE)</f>
        <v>0</v>
      </c>
      <c r="T2192">
        <f>HLOOKUP("Provisioned MiB",'vInfo (Imported)'!$1:$5000,M2192,FALSE)</f>
        <v>0</v>
      </c>
      <c r="U2192">
        <f t="shared" si="103"/>
        <v>0</v>
      </c>
      <c r="V2192">
        <f>HLOOKUP("In Use MiB",'vInfo (Imported)'!$1:$5000,M2192,FALSE)</f>
        <v>0</v>
      </c>
    </row>
    <row r="2193" spans="1:22" ht="13" x14ac:dyDescent="0.3">
      <c r="A2193" s="46">
        <f>'vHosts (Imported)'!A2193</f>
        <v>0</v>
      </c>
      <c r="B2193" s="51">
        <f t="shared" si="102"/>
        <v>4968</v>
      </c>
      <c r="C2193" s="49">
        <f>HLOOKUP("# Cores",'vHosts (Imported)'!$1:$5000,M2193,FALSE)</f>
        <v>0</v>
      </c>
      <c r="D2193" s="52">
        <f>HLOOKUP("# Memory",'vHosts (Imported)'!$1:$5000,M2193,FALSE)</f>
        <v>0</v>
      </c>
      <c r="M2193" s="45">
        <f t="shared" si="104"/>
        <v>2193</v>
      </c>
      <c r="N2193" s="38">
        <f>HLOOKUP("Host",'vInfo (Imported)'!$1:$5000,M2193,FALSE)</f>
        <v>0</v>
      </c>
      <c r="R2193">
        <f>HLOOKUP("CPUs",'vInfo (Imported)'!$1:$5000,M2193,FALSE)</f>
        <v>0</v>
      </c>
      <c r="S2193">
        <f>HLOOKUP("Memory",'vInfo (Imported)'!$1:$5000,M2193,FALSE)</f>
        <v>0</v>
      </c>
      <c r="T2193">
        <f>HLOOKUP("Provisioned MiB",'vInfo (Imported)'!$1:$5000,M2193,FALSE)</f>
        <v>0</v>
      </c>
      <c r="U2193">
        <f t="shared" si="103"/>
        <v>0</v>
      </c>
      <c r="V2193">
        <f>HLOOKUP("In Use MiB",'vInfo (Imported)'!$1:$5000,M2193,FALSE)</f>
        <v>0</v>
      </c>
    </row>
    <row r="2194" spans="1:22" ht="13" x14ac:dyDescent="0.3">
      <c r="A2194" s="46">
        <f>'vHosts (Imported)'!A2194</f>
        <v>0</v>
      </c>
      <c r="B2194" s="51">
        <f t="shared" si="102"/>
        <v>4968</v>
      </c>
      <c r="C2194" s="49">
        <f>HLOOKUP("# Cores",'vHosts (Imported)'!$1:$5000,M2194,FALSE)</f>
        <v>0</v>
      </c>
      <c r="D2194" s="52">
        <f>HLOOKUP("# Memory",'vHosts (Imported)'!$1:$5000,M2194,FALSE)</f>
        <v>0</v>
      </c>
      <c r="M2194" s="45">
        <f t="shared" si="104"/>
        <v>2194</v>
      </c>
      <c r="N2194" s="38">
        <f>HLOOKUP("Host",'vInfo (Imported)'!$1:$5000,M2194,FALSE)</f>
        <v>0</v>
      </c>
      <c r="R2194">
        <f>HLOOKUP("CPUs",'vInfo (Imported)'!$1:$5000,M2194,FALSE)</f>
        <v>0</v>
      </c>
      <c r="S2194">
        <f>HLOOKUP("Memory",'vInfo (Imported)'!$1:$5000,M2194,FALSE)</f>
        <v>0</v>
      </c>
      <c r="T2194">
        <f>HLOOKUP("Provisioned MiB",'vInfo (Imported)'!$1:$5000,M2194,FALSE)</f>
        <v>0</v>
      </c>
      <c r="U2194">
        <f t="shared" si="103"/>
        <v>0</v>
      </c>
      <c r="V2194">
        <f>HLOOKUP("In Use MiB",'vInfo (Imported)'!$1:$5000,M2194,FALSE)</f>
        <v>0</v>
      </c>
    </row>
    <row r="2195" spans="1:22" ht="13" x14ac:dyDescent="0.3">
      <c r="A2195" s="46">
        <f>'vHosts (Imported)'!A2195</f>
        <v>0</v>
      </c>
      <c r="B2195" s="51">
        <f t="shared" si="102"/>
        <v>4968</v>
      </c>
      <c r="C2195" s="49">
        <f>HLOOKUP("# Cores",'vHosts (Imported)'!$1:$5000,M2195,FALSE)</f>
        <v>0</v>
      </c>
      <c r="D2195" s="52">
        <f>HLOOKUP("# Memory",'vHosts (Imported)'!$1:$5000,M2195,FALSE)</f>
        <v>0</v>
      </c>
      <c r="M2195" s="45">
        <f t="shared" si="104"/>
        <v>2195</v>
      </c>
      <c r="N2195" s="38">
        <f>HLOOKUP("Host",'vInfo (Imported)'!$1:$5000,M2195,FALSE)</f>
        <v>0</v>
      </c>
      <c r="R2195">
        <f>HLOOKUP("CPUs",'vInfo (Imported)'!$1:$5000,M2195,FALSE)</f>
        <v>0</v>
      </c>
      <c r="S2195">
        <f>HLOOKUP("Memory",'vInfo (Imported)'!$1:$5000,M2195,FALSE)</f>
        <v>0</v>
      </c>
      <c r="T2195">
        <f>HLOOKUP("Provisioned MiB",'vInfo (Imported)'!$1:$5000,M2195,FALSE)</f>
        <v>0</v>
      </c>
      <c r="U2195">
        <f t="shared" si="103"/>
        <v>0</v>
      </c>
      <c r="V2195">
        <f>HLOOKUP("In Use MiB",'vInfo (Imported)'!$1:$5000,M2195,FALSE)</f>
        <v>0</v>
      </c>
    </row>
    <row r="2196" spans="1:22" ht="13" x14ac:dyDescent="0.3">
      <c r="A2196" s="46">
        <f>'vHosts (Imported)'!A2196</f>
        <v>0</v>
      </c>
      <c r="B2196" s="51">
        <f t="shared" si="102"/>
        <v>4968</v>
      </c>
      <c r="C2196" s="49">
        <f>HLOOKUP("# Cores",'vHosts (Imported)'!$1:$5000,M2196,FALSE)</f>
        <v>0</v>
      </c>
      <c r="D2196" s="52">
        <f>HLOOKUP("# Memory",'vHosts (Imported)'!$1:$5000,M2196,FALSE)</f>
        <v>0</v>
      </c>
      <c r="M2196" s="45">
        <f t="shared" si="104"/>
        <v>2196</v>
      </c>
      <c r="N2196" s="38">
        <f>HLOOKUP("Host",'vInfo (Imported)'!$1:$5000,M2196,FALSE)</f>
        <v>0</v>
      </c>
      <c r="R2196">
        <f>HLOOKUP("CPUs",'vInfo (Imported)'!$1:$5000,M2196,FALSE)</f>
        <v>0</v>
      </c>
      <c r="S2196">
        <f>HLOOKUP("Memory",'vInfo (Imported)'!$1:$5000,M2196,FALSE)</f>
        <v>0</v>
      </c>
      <c r="T2196">
        <f>HLOOKUP("Provisioned MiB",'vInfo (Imported)'!$1:$5000,M2196,FALSE)</f>
        <v>0</v>
      </c>
      <c r="U2196">
        <f t="shared" si="103"/>
        <v>0</v>
      </c>
      <c r="V2196">
        <f>HLOOKUP("In Use MiB",'vInfo (Imported)'!$1:$5000,M2196,FALSE)</f>
        <v>0</v>
      </c>
    </row>
    <row r="2197" spans="1:22" ht="13" x14ac:dyDescent="0.3">
      <c r="A2197" s="46">
        <f>'vHosts (Imported)'!A2197</f>
        <v>0</v>
      </c>
      <c r="B2197" s="51">
        <f t="shared" si="102"/>
        <v>4968</v>
      </c>
      <c r="C2197" s="49">
        <f>HLOOKUP("# Cores",'vHosts (Imported)'!$1:$5000,M2197,FALSE)</f>
        <v>0</v>
      </c>
      <c r="D2197" s="52">
        <f>HLOOKUP("# Memory",'vHosts (Imported)'!$1:$5000,M2197,FALSE)</f>
        <v>0</v>
      </c>
      <c r="M2197" s="45">
        <f t="shared" si="104"/>
        <v>2197</v>
      </c>
      <c r="N2197" s="38">
        <f>HLOOKUP("Host",'vInfo (Imported)'!$1:$5000,M2197,FALSE)</f>
        <v>0</v>
      </c>
      <c r="R2197">
        <f>HLOOKUP("CPUs",'vInfo (Imported)'!$1:$5000,M2197,FALSE)</f>
        <v>0</v>
      </c>
      <c r="S2197">
        <f>HLOOKUP("Memory",'vInfo (Imported)'!$1:$5000,M2197,FALSE)</f>
        <v>0</v>
      </c>
      <c r="T2197">
        <f>HLOOKUP("Provisioned MiB",'vInfo (Imported)'!$1:$5000,M2197,FALSE)</f>
        <v>0</v>
      </c>
      <c r="U2197">
        <f t="shared" si="103"/>
        <v>0</v>
      </c>
      <c r="V2197">
        <f>HLOOKUP("In Use MiB",'vInfo (Imported)'!$1:$5000,M2197,FALSE)</f>
        <v>0</v>
      </c>
    </row>
    <row r="2198" spans="1:22" ht="13" x14ac:dyDescent="0.3">
      <c r="A2198" s="46">
        <f>'vHosts (Imported)'!A2198</f>
        <v>0</v>
      </c>
      <c r="B2198" s="51">
        <f t="shared" si="102"/>
        <v>4968</v>
      </c>
      <c r="C2198" s="49">
        <f>HLOOKUP("# Cores",'vHosts (Imported)'!$1:$5000,M2198,FALSE)</f>
        <v>0</v>
      </c>
      <c r="D2198" s="52">
        <f>HLOOKUP("# Memory",'vHosts (Imported)'!$1:$5000,M2198,FALSE)</f>
        <v>0</v>
      </c>
      <c r="M2198" s="45">
        <f t="shared" si="104"/>
        <v>2198</v>
      </c>
      <c r="N2198" s="38">
        <f>HLOOKUP("Host",'vInfo (Imported)'!$1:$5000,M2198,FALSE)</f>
        <v>0</v>
      </c>
      <c r="R2198">
        <f>HLOOKUP("CPUs",'vInfo (Imported)'!$1:$5000,M2198,FALSE)</f>
        <v>0</v>
      </c>
      <c r="S2198">
        <f>HLOOKUP("Memory",'vInfo (Imported)'!$1:$5000,M2198,FALSE)</f>
        <v>0</v>
      </c>
      <c r="T2198">
        <f>HLOOKUP("Provisioned MiB",'vInfo (Imported)'!$1:$5000,M2198,FALSE)</f>
        <v>0</v>
      </c>
      <c r="U2198">
        <f t="shared" si="103"/>
        <v>0</v>
      </c>
      <c r="V2198">
        <f>HLOOKUP("In Use MiB",'vInfo (Imported)'!$1:$5000,M2198,FALSE)</f>
        <v>0</v>
      </c>
    </row>
    <row r="2199" spans="1:22" ht="13" x14ac:dyDescent="0.3">
      <c r="A2199" s="46">
        <f>'vHosts (Imported)'!A2199</f>
        <v>0</v>
      </c>
      <c r="B2199" s="51">
        <f t="shared" si="102"/>
        <v>4968</v>
      </c>
      <c r="C2199" s="49">
        <f>HLOOKUP("# Cores",'vHosts (Imported)'!$1:$5000,M2199,FALSE)</f>
        <v>0</v>
      </c>
      <c r="D2199" s="52">
        <f>HLOOKUP("# Memory",'vHosts (Imported)'!$1:$5000,M2199,FALSE)</f>
        <v>0</v>
      </c>
      <c r="M2199" s="45">
        <f t="shared" si="104"/>
        <v>2199</v>
      </c>
      <c r="N2199" s="38">
        <f>HLOOKUP("Host",'vInfo (Imported)'!$1:$5000,M2199,FALSE)</f>
        <v>0</v>
      </c>
      <c r="R2199">
        <f>HLOOKUP("CPUs",'vInfo (Imported)'!$1:$5000,M2199,FALSE)</f>
        <v>0</v>
      </c>
      <c r="S2199">
        <f>HLOOKUP("Memory",'vInfo (Imported)'!$1:$5000,M2199,FALSE)</f>
        <v>0</v>
      </c>
      <c r="T2199">
        <f>HLOOKUP("Provisioned MiB",'vInfo (Imported)'!$1:$5000,M2199,FALSE)</f>
        <v>0</v>
      </c>
      <c r="U2199">
        <f t="shared" si="103"/>
        <v>0</v>
      </c>
      <c r="V2199">
        <f>HLOOKUP("In Use MiB",'vInfo (Imported)'!$1:$5000,M2199,FALSE)</f>
        <v>0</v>
      </c>
    </row>
    <row r="2200" spans="1:22" ht="13" x14ac:dyDescent="0.3">
      <c r="A2200" s="46">
        <f>'vHosts (Imported)'!A2200</f>
        <v>0</v>
      </c>
      <c r="B2200" s="51">
        <f t="shared" si="102"/>
        <v>4968</v>
      </c>
      <c r="C2200" s="49">
        <f>HLOOKUP("# Cores",'vHosts (Imported)'!$1:$5000,M2200,FALSE)</f>
        <v>0</v>
      </c>
      <c r="D2200" s="52">
        <f>HLOOKUP("# Memory",'vHosts (Imported)'!$1:$5000,M2200,FALSE)</f>
        <v>0</v>
      </c>
      <c r="M2200" s="45">
        <f t="shared" si="104"/>
        <v>2200</v>
      </c>
      <c r="N2200" s="38">
        <f>HLOOKUP("Host",'vInfo (Imported)'!$1:$5000,M2200,FALSE)</f>
        <v>0</v>
      </c>
      <c r="R2200">
        <f>HLOOKUP("CPUs",'vInfo (Imported)'!$1:$5000,M2200,FALSE)</f>
        <v>0</v>
      </c>
      <c r="S2200">
        <f>HLOOKUP("Memory",'vInfo (Imported)'!$1:$5000,M2200,FALSE)</f>
        <v>0</v>
      </c>
      <c r="T2200">
        <f>HLOOKUP("Provisioned MiB",'vInfo (Imported)'!$1:$5000,M2200,FALSE)</f>
        <v>0</v>
      </c>
      <c r="U2200">
        <f t="shared" si="103"/>
        <v>0</v>
      </c>
      <c r="V2200">
        <f>HLOOKUP("In Use MiB",'vInfo (Imported)'!$1:$5000,M2200,FALSE)</f>
        <v>0</v>
      </c>
    </row>
    <row r="2201" spans="1:22" ht="13" x14ac:dyDescent="0.3">
      <c r="A2201" s="46">
        <f>'vHosts (Imported)'!A2201</f>
        <v>0</v>
      </c>
      <c r="B2201" s="51">
        <f t="shared" si="102"/>
        <v>4968</v>
      </c>
      <c r="C2201" s="49">
        <f>HLOOKUP("# Cores",'vHosts (Imported)'!$1:$5000,M2201,FALSE)</f>
        <v>0</v>
      </c>
      <c r="D2201" s="52">
        <f>HLOOKUP("# Memory",'vHosts (Imported)'!$1:$5000,M2201,FALSE)</f>
        <v>0</v>
      </c>
      <c r="M2201" s="45">
        <f t="shared" si="104"/>
        <v>2201</v>
      </c>
      <c r="N2201" s="38">
        <f>HLOOKUP("Host",'vInfo (Imported)'!$1:$5000,M2201,FALSE)</f>
        <v>0</v>
      </c>
      <c r="R2201">
        <f>HLOOKUP("CPUs",'vInfo (Imported)'!$1:$5000,M2201,FALSE)</f>
        <v>0</v>
      </c>
      <c r="S2201">
        <f>HLOOKUP("Memory",'vInfo (Imported)'!$1:$5000,M2201,FALSE)</f>
        <v>0</v>
      </c>
      <c r="T2201">
        <f>HLOOKUP("Provisioned MiB",'vInfo (Imported)'!$1:$5000,M2201,FALSE)</f>
        <v>0</v>
      </c>
      <c r="U2201">
        <f t="shared" si="103"/>
        <v>0</v>
      </c>
      <c r="V2201">
        <f>HLOOKUP("In Use MiB",'vInfo (Imported)'!$1:$5000,M2201,FALSE)</f>
        <v>0</v>
      </c>
    </row>
    <row r="2202" spans="1:22" ht="13" x14ac:dyDescent="0.3">
      <c r="A2202" s="46">
        <f>'vHosts (Imported)'!A2202</f>
        <v>0</v>
      </c>
      <c r="B2202" s="51">
        <f t="shared" si="102"/>
        <v>4968</v>
      </c>
      <c r="C2202" s="49">
        <f>HLOOKUP("# Cores",'vHosts (Imported)'!$1:$5000,M2202,FALSE)</f>
        <v>0</v>
      </c>
      <c r="D2202" s="52">
        <f>HLOOKUP("# Memory",'vHosts (Imported)'!$1:$5000,M2202,FALSE)</f>
        <v>0</v>
      </c>
      <c r="M2202" s="45">
        <f t="shared" si="104"/>
        <v>2202</v>
      </c>
      <c r="N2202" s="38">
        <f>HLOOKUP("Host",'vInfo (Imported)'!$1:$5000,M2202,FALSE)</f>
        <v>0</v>
      </c>
      <c r="R2202">
        <f>HLOOKUP("CPUs",'vInfo (Imported)'!$1:$5000,M2202,FALSE)</f>
        <v>0</v>
      </c>
      <c r="S2202">
        <f>HLOOKUP("Memory",'vInfo (Imported)'!$1:$5000,M2202,FALSE)</f>
        <v>0</v>
      </c>
      <c r="T2202">
        <f>HLOOKUP("Provisioned MiB",'vInfo (Imported)'!$1:$5000,M2202,FALSE)</f>
        <v>0</v>
      </c>
      <c r="U2202">
        <f t="shared" si="103"/>
        <v>0</v>
      </c>
      <c r="V2202">
        <f>HLOOKUP("In Use MiB",'vInfo (Imported)'!$1:$5000,M2202,FALSE)</f>
        <v>0</v>
      </c>
    </row>
    <row r="2203" spans="1:22" ht="13" x14ac:dyDescent="0.3">
      <c r="A2203" s="46">
        <f>'vHosts (Imported)'!A2203</f>
        <v>0</v>
      </c>
      <c r="B2203" s="51">
        <f t="shared" si="102"/>
        <v>4968</v>
      </c>
      <c r="C2203" s="49">
        <f>HLOOKUP("# Cores",'vHosts (Imported)'!$1:$5000,M2203,FALSE)</f>
        <v>0</v>
      </c>
      <c r="D2203" s="52">
        <f>HLOOKUP("# Memory",'vHosts (Imported)'!$1:$5000,M2203,FALSE)</f>
        <v>0</v>
      </c>
      <c r="M2203" s="45">
        <f t="shared" si="104"/>
        <v>2203</v>
      </c>
      <c r="N2203" s="38">
        <f>HLOOKUP("Host",'vInfo (Imported)'!$1:$5000,M2203,FALSE)</f>
        <v>0</v>
      </c>
      <c r="R2203">
        <f>HLOOKUP("CPUs",'vInfo (Imported)'!$1:$5000,M2203,FALSE)</f>
        <v>0</v>
      </c>
      <c r="S2203">
        <f>HLOOKUP("Memory",'vInfo (Imported)'!$1:$5000,M2203,FALSE)</f>
        <v>0</v>
      </c>
      <c r="T2203">
        <f>HLOOKUP("Provisioned MiB",'vInfo (Imported)'!$1:$5000,M2203,FALSE)</f>
        <v>0</v>
      </c>
      <c r="U2203">
        <f t="shared" si="103"/>
        <v>0</v>
      </c>
      <c r="V2203">
        <f>HLOOKUP("In Use MiB",'vInfo (Imported)'!$1:$5000,M2203,FALSE)</f>
        <v>0</v>
      </c>
    </row>
    <row r="2204" spans="1:22" ht="13" x14ac:dyDescent="0.3">
      <c r="A2204" s="46">
        <f>'vHosts (Imported)'!A2204</f>
        <v>0</v>
      </c>
      <c r="B2204" s="51">
        <f t="shared" si="102"/>
        <v>4968</v>
      </c>
      <c r="C2204" s="49">
        <f>HLOOKUP("# Cores",'vHosts (Imported)'!$1:$5000,M2204,FALSE)</f>
        <v>0</v>
      </c>
      <c r="D2204" s="52">
        <f>HLOOKUP("# Memory",'vHosts (Imported)'!$1:$5000,M2204,FALSE)</f>
        <v>0</v>
      </c>
      <c r="M2204" s="45">
        <f t="shared" si="104"/>
        <v>2204</v>
      </c>
      <c r="N2204" s="38">
        <f>HLOOKUP("Host",'vInfo (Imported)'!$1:$5000,M2204,FALSE)</f>
        <v>0</v>
      </c>
      <c r="R2204">
        <f>HLOOKUP("CPUs",'vInfo (Imported)'!$1:$5000,M2204,FALSE)</f>
        <v>0</v>
      </c>
      <c r="S2204">
        <f>HLOOKUP("Memory",'vInfo (Imported)'!$1:$5000,M2204,FALSE)</f>
        <v>0</v>
      </c>
      <c r="T2204">
        <f>HLOOKUP("Provisioned MiB",'vInfo (Imported)'!$1:$5000,M2204,FALSE)</f>
        <v>0</v>
      </c>
      <c r="U2204">
        <f t="shared" si="103"/>
        <v>0</v>
      </c>
      <c r="V2204">
        <f>HLOOKUP("In Use MiB",'vInfo (Imported)'!$1:$5000,M2204,FALSE)</f>
        <v>0</v>
      </c>
    </row>
    <row r="2205" spans="1:22" ht="13" x14ac:dyDescent="0.3">
      <c r="A2205" s="46">
        <f>'vHosts (Imported)'!A2205</f>
        <v>0</v>
      </c>
      <c r="B2205" s="51">
        <f t="shared" si="102"/>
        <v>4968</v>
      </c>
      <c r="C2205" s="49">
        <f>HLOOKUP("# Cores",'vHosts (Imported)'!$1:$5000,M2205,FALSE)</f>
        <v>0</v>
      </c>
      <c r="D2205" s="52">
        <f>HLOOKUP("# Memory",'vHosts (Imported)'!$1:$5000,M2205,FALSE)</f>
        <v>0</v>
      </c>
      <c r="M2205" s="45">
        <f t="shared" si="104"/>
        <v>2205</v>
      </c>
      <c r="N2205" s="38">
        <f>HLOOKUP("Host",'vInfo (Imported)'!$1:$5000,M2205,FALSE)</f>
        <v>0</v>
      </c>
      <c r="R2205">
        <f>HLOOKUP("CPUs",'vInfo (Imported)'!$1:$5000,M2205,FALSE)</f>
        <v>0</v>
      </c>
      <c r="S2205">
        <f>HLOOKUP("Memory",'vInfo (Imported)'!$1:$5000,M2205,FALSE)</f>
        <v>0</v>
      </c>
      <c r="T2205">
        <f>HLOOKUP("Provisioned MiB",'vInfo (Imported)'!$1:$5000,M2205,FALSE)</f>
        <v>0</v>
      </c>
      <c r="U2205">
        <f t="shared" si="103"/>
        <v>0</v>
      </c>
      <c r="V2205">
        <f>HLOOKUP("In Use MiB",'vInfo (Imported)'!$1:$5000,M2205,FALSE)</f>
        <v>0</v>
      </c>
    </row>
    <row r="2206" spans="1:22" ht="13" x14ac:dyDescent="0.3">
      <c r="A2206" s="46">
        <f>'vHosts (Imported)'!A2206</f>
        <v>0</v>
      </c>
      <c r="B2206" s="51">
        <f t="shared" si="102"/>
        <v>4968</v>
      </c>
      <c r="C2206" s="49">
        <f>HLOOKUP("# Cores",'vHosts (Imported)'!$1:$5000,M2206,FALSE)</f>
        <v>0</v>
      </c>
      <c r="D2206" s="52">
        <f>HLOOKUP("# Memory",'vHosts (Imported)'!$1:$5000,M2206,FALSE)</f>
        <v>0</v>
      </c>
      <c r="M2206" s="45">
        <f t="shared" si="104"/>
        <v>2206</v>
      </c>
      <c r="N2206" s="38">
        <f>HLOOKUP("Host",'vInfo (Imported)'!$1:$5000,M2206,FALSE)</f>
        <v>0</v>
      </c>
      <c r="R2206">
        <f>HLOOKUP("CPUs",'vInfo (Imported)'!$1:$5000,M2206,FALSE)</f>
        <v>0</v>
      </c>
      <c r="S2206">
        <f>HLOOKUP("Memory",'vInfo (Imported)'!$1:$5000,M2206,FALSE)</f>
        <v>0</v>
      </c>
      <c r="T2206">
        <f>HLOOKUP("Provisioned MiB",'vInfo (Imported)'!$1:$5000,M2206,FALSE)</f>
        <v>0</v>
      </c>
      <c r="U2206">
        <f t="shared" si="103"/>
        <v>0</v>
      </c>
      <c r="V2206">
        <f>HLOOKUP("In Use MiB",'vInfo (Imported)'!$1:$5000,M2206,FALSE)</f>
        <v>0</v>
      </c>
    </row>
    <row r="2207" spans="1:22" ht="13" x14ac:dyDescent="0.3">
      <c r="A2207" s="46">
        <f>'vHosts (Imported)'!A2207</f>
        <v>0</v>
      </c>
      <c r="B2207" s="51">
        <f t="shared" si="102"/>
        <v>4968</v>
      </c>
      <c r="C2207" s="49">
        <f>HLOOKUP("# Cores",'vHosts (Imported)'!$1:$5000,M2207,FALSE)</f>
        <v>0</v>
      </c>
      <c r="D2207" s="52">
        <f>HLOOKUP("# Memory",'vHosts (Imported)'!$1:$5000,M2207,FALSE)</f>
        <v>0</v>
      </c>
      <c r="M2207" s="45">
        <f t="shared" si="104"/>
        <v>2207</v>
      </c>
      <c r="N2207" s="38">
        <f>HLOOKUP("Host",'vInfo (Imported)'!$1:$5000,M2207,FALSE)</f>
        <v>0</v>
      </c>
      <c r="R2207">
        <f>HLOOKUP("CPUs",'vInfo (Imported)'!$1:$5000,M2207,FALSE)</f>
        <v>0</v>
      </c>
      <c r="S2207">
        <f>HLOOKUP("Memory",'vInfo (Imported)'!$1:$5000,M2207,FALSE)</f>
        <v>0</v>
      </c>
      <c r="T2207">
        <f>HLOOKUP("Provisioned MiB",'vInfo (Imported)'!$1:$5000,M2207,FALSE)</f>
        <v>0</v>
      </c>
      <c r="U2207">
        <f t="shared" si="103"/>
        <v>0</v>
      </c>
      <c r="V2207">
        <f>HLOOKUP("In Use MiB",'vInfo (Imported)'!$1:$5000,M2207,FALSE)</f>
        <v>0</v>
      </c>
    </row>
    <row r="2208" spans="1:22" ht="13" x14ac:dyDescent="0.3">
      <c r="A2208" s="46">
        <f>'vHosts (Imported)'!A2208</f>
        <v>0</v>
      </c>
      <c r="B2208" s="51">
        <f t="shared" si="102"/>
        <v>4968</v>
      </c>
      <c r="C2208" s="49">
        <f>HLOOKUP("# Cores",'vHosts (Imported)'!$1:$5000,M2208,FALSE)</f>
        <v>0</v>
      </c>
      <c r="D2208" s="52">
        <f>HLOOKUP("# Memory",'vHosts (Imported)'!$1:$5000,M2208,FALSE)</f>
        <v>0</v>
      </c>
      <c r="M2208" s="45">
        <f t="shared" si="104"/>
        <v>2208</v>
      </c>
      <c r="N2208" s="38">
        <f>HLOOKUP("Host",'vInfo (Imported)'!$1:$5000,M2208,FALSE)</f>
        <v>0</v>
      </c>
      <c r="R2208">
        <f>HLOOKUP("CPUs",'vInfo (Imported)'!$1:$5000,M2208,FALSE)</f>
        <v>0</v>
      </c>
      <c r="S2208">
        <f>HLOOKUP("Memory",'vInfo (Imported)'!$1:$5000,M2208,FALSE)</f>
        <v>0</v>
      </c>
      <c r="T2208">
        <f>HLOOKUP("Provisioned MiB",'vInfo (Imported)'!$1:$5000,M2208,FALSE)</f>
        <v>0</v>
      </c>
      <c r="U2208">
        <f t="shared" si="103"/>
        <v>0</v>
      </c>
      <c r="V2208">
        <f>HLOOKUP("In Use MiB",'vInfo (Imported)'!$1:$5000,M2208,FALSE)</f>
        <v>0</v>
      </c>
    </row>
    <row r="2209" spans="1:22" ht="13" x14ac:dyDescent="0.3">
      <c r="A2209" s="46">
        <f>'vHosts (Imported)'!A2209</f>
        <v>0</v>
      </c>
      <c r="B2209" s="51">
        <f t="shared" si="102"/>
        <v>4968</v>
      </c>
      <c r="C2209" s="49">
        <f>HLOOKUP("# Cores",'vHosts (Imported)'!$1:$5000,M2209,FALSE)</f>
        <v>0</v>
      </c>
      <c r="D2209" s="52">
        <f>HLOOKUP("# Memory",'vHosts (Imported)'!$1:$5000,M2209,FALSE)</f>
        <v>0</v>
      </c>
      <c r="M2209" s="45">
        <f t="shared" si="104"/>
        <v>2209</v>
      </c>
      <c r="N2209" s="38">
        <f>HLOOKUP("Host",'vInfo (Imported)'!$1:$5000,M2209,FALSE)</f>
        <v>0</v>
      </c>
      <c r="R2209">
        <f>HLOOKUP("CPUs",'vInfo (Imported)'!$1:$5000,M2209,FALSE)</f>
        <v>0</v>
      </c>
      <c r="S2209">
        <f>HLOOKUP("Memory",'vInfo (Imported)'!$1:$5000,M2209,FALSE)</f>
        <v>0</v>
      </c>
      <c r="T2209">
        <f>HLOOKUP("Provisioned MiB",'vInfo (Imported)'!$1:$5000,M2209,FALSE)</f>
        <v>0</v>
      </c>
      <c r="U2209">
        <f t="shared" si="103"/>
        <v>0</v>
      </c>
      <c r="V2209">
        <f>HLOOKUP("In Use MiB",'vInfo (Imported)'!$1:$5000,M2209,FALSE)</f>
        <v>0</v>
      </c>
    </row>
    <row r="2210" spans="1:22" ht="13" x14ac:dyDescent="0.3">
      <c r="A2210" s="46">
        <f>'vHosts (Imported)'!A2210</f>
        <v>0</v>
      </c>
      <c r="B2210" s="51">
        <f t="shared" si="102"/>
        <v>4968</v>
      </c>
      <c r="C2210" s="49">
        <f>HLOOKUP("# Cores",'vHosts (Imported)'!$1:$5000,M2210,FALSE)</f>
        <v>0</v>
      </c>
      <c r="D2210" s="52">
        <f>HLOOKUP("# Memory",'vHosts (Imported)'!$1:$5000,M2210,FALSE)</f>
        <v>0</v>
      </c>
      <c r="M2210" s="45">
        <f t="shared" si="104"/>
        <v>2210</v>
      </c>
      <c r="N2210" s="38">
        <f>HLOOKUP("Host",'vInfo (Imported)'!$1:$5000,M2210,FALSE)</f>
        <v>0</v>
      </c>
      <c r="R2210">
        <f>HLOOKUP("CPUs",'vInfo (Imported)'!$1:$5000,M2210,FALSE)</f>
        <v>0</v>
      </c>
      <c r="S2210">
        <f>HLOOKUP("Memory",'vInfo (Imported)'!$1:$5000,M2210,FALSE)</f>
        <v>0</v>
      </c>
      <c r="T2210">
        <f>HLOOKUP("Provisioned MiB",'vInfo (Imported)'!$1:$5000,M2210,FALSE)</f>
        <v>0</v>
      </c>
      <c r="U2210">
        <f t="shared" si="103"/>
        <v>0</v>
      </c>
      <c r="V2210">
        <f>HLOOKUP("In Use MiB",'vInfo (Imported)'!$1:$5000,M2210,FALSE)</f>
        <v>0</v>
      </c>
    </row>
    <row r="2211" spans="1:22" ht="13" x14ac:dyDescent="0.3">
      <c r="A2211" s="46">
        <f>'vHosts (Imported)'!A2211</f>
        <v>0</v>
      </c>
      <c r="B2211" s="51">
        <f t="shared" si="102"/>
        <v>4968</v>
      </c>
      <c r="C2211" s="49">
        <f>HLOOKUP("# Cores",'vHosts (Imported)'!$1:$5000,M2211,FALSE)</f>
        <v>0</v>
      </c>
      <c r="D2211" s="52">
        <f>HLOOKUP("# Memory",'vHosts (Imported)'!$1:$5000,M2211,FALSE)</f>
        <v>0</v>
      </c>
      <c r="M2211" s="45">
        <f t="shared" si="104"/>
        <v>2211</v>
      </c>
      <c r="N2211" s="38">
        <f>HLOOKUP("Host",'vInfo (Imported)'!$1:$5000,M2211,FALSE)</f>
        <v>0</v>
      </c>
      <c r="R2211">
        <f>HLOOKUP("CPUs",'vInfo (Imported)'!$1:$5000,M2211,FALSE)</f>
        <v>0</v>
      </c>
      <c r="S2211">
        <f>HLOOKUP("Memory",'vInfo (Imported)'!$1:$5000,M2211,FALSE)</f>
        <v>0</v>
      </c>
      <c r="T2211">
        <f>HLOOKUP("Provisioned MiB",'vInfo (Imported)'!$1:$5000,M2211,FALSE)</f>
        <v>0</v>
      </c>
      <c r="U2211">
        <f t="shared" si="103"/>
        <v>0</v>
      </c>
      <c r="V2211">
        <f>HLOOKUP("In Use MiB",'vInfo (Imported)'!$1:$5000,M2211,FALSE)</f>
        <v>0</v>
      </c>
    </row>
    <row r="2212" spans="1:22" ht="13" x14ac:dyDescent="0.3">
      <c r="A2212" s="46">
        <f>'vHosts (Imported)'!A2212</f>
        <v>0</v>
      </c>
      <c r="B2212" s="51">
        <f t="shared" si="102"/>
        <v>4968</v>
      </c>
      <c r="C2212" s="49">
        <f>HLOOKUP("# Cores",'vHosts (Imported)'!$1:$5000,M2212,FALSE)</f>
        <v>0</v>
      </c>
      <c r="D2212" s="52">
        <f>HLOOKUP("# Memory",'vHosts (Imported)'!$1:$5000,M2212,FALSE)</f>
        <v>0</v>
      </c>
      <c r="M2212" s="45">
        <f t="shared" si="104"/>
        <v>2212</v>
      </c>
      <c r="N2212" s="38">
        <f>HLOOKUP("Host",'vInfo (Imported)'!$1:$5000,M2212,FALSE)</f>
        <v>0</v>
      </c>
      <c r="R2212">
        <f>HLOOKUP("CPUs",'vInfo (Imported)'!$1:$5000,M2212,FALSE)</f>
        <v>0</v>
      </c>
      <c r="S2212">
        <f>HLOOKUP("Memory",'vInfo (Imported)'!$1:$5000,M2212,FALSE)</f>
        <v>0</v>
      </c>
      <c r="T2212">
        <f>HLOOKUP("Provisioned MiB",'vInfo (Imported)'!$1:$5000,M2212,FALSE)</f>
        <v>0</v>
      </c>
      <c r="U2212">
        <f t="shared" si="103"/>
        <v>0</v>
      </c>
      <c r="V2212">
        <f>HLOOKUP("In Use MiB",'vInfo (Imported)'!$1:$5000,M2212,FALSE)</f>
        <v>0</v>
      </c>
    </row>
    <row r="2213" spans="1:22" ht="13" x14ac:dyDescent="0.3">
      <c r="A2213" s="46">
        <f>'vHosts (Imported)'!A2213</f>
        <v>0</v>
      </c>
      <c r="B2213" s="51">
        <f t="shared" si="102"/>
        <v>4968</v>
      </c>
      <c r="C2213" s="49">
        <f>HLOOKUP("# Cores",'vHosts (Imported)'!$1:$5000,M2213,FALSE)</f>
        <v>0</v>
      </c>
      <c r="D2213" s="52">
        <f>HLOOKUP("# Memory",'vHosts (Imported)'!$1:$5000,M2213,FALSE)</f>
        <v>0</v>
      </c>
      <c r="M2213" s="45">
        <f t="shared" si="104"/>
        <v>2213</v>
      </c>
      <c r="N2213" s="38">
        <f>HLOOKUP("Host",'vInfo (Imported)'!$1:$5000,M2213,FALSE)</f>
        <v>0</v>
      </c>
      <c r="R2213">
        <f>HLOOKUP("CPUs",'vInfo (Imported)'!$1:$5000,M2213,FALSE)</f>
        <v>0</v>
      </c>
      <c r="S2213">
        <f>HLOOKUP("Memory",'vInfo (Imported)'!$1:$5000,M2213,FALSE)</f>
        <v>0</v>
      </c>
      <c r="T2213">
        <f>HLOOKUP("Provisioned MiB",'vInfo (Imported)'!$1:$5000,M2213,FALSE)</f>
        <v>0</v>
      </c>
      <c r="U2213">
        <f t="shared" si="103"/>
        <v>0</v>
      </c>
      <c r="V2213">
        <f>HLOOKUP("In Use MiB",'vInfo (Imported)'!$1:$5000,M2213,FALSE)</f>
        <v>0</v>
      </c>
    </row>
    <row r="2214" spans="1:22" ht="13" x14ac:dyDescent="0.3">
      <c r="A2214" s="46">
        <f>'vHosts (Imported)'!A2214</f>
        <v>0</v>
      </c>
      <c r="B2214" s="51">
        <f t="shared" si="102"/>
        <v>4968</v>
      </c>
      <c r="C2214" s="49">
        <f>HLOOKUP("# Cores",'vHosts (Imported)'!$1:$5000,M2214,FALSE)</f>
        <v>0</v>
      </c>
      <c r="D2214" s="52">
        <f>HLOOKUP("# Memory",'vHosts (Imported)'!$1:$5000,M2214,FALSE)</f>
        <v>0</v>
      </c>
      <c r="M2214" s="45">
        <f t="shared" si="104"/>
        <v>2214</v>
      </c>
      <c r="N2214" s="38">
        <f>HLOOKUP("Host",'vInfo (Imported)'!$1:$5000,M2214,FALSE)</f>
        <v>0</v>
      </c>
      <c r="R2214">
        <f>HLOOKUP("CPUs",'vInfo (Imported)'!$1:$5000,M2214,FALSE)</f>
        <v>0</v>
      </c>
      <c r="S2214">
        <f>HLOOKUP("Memory",'vInfo (Imported)'!$1:$5000,M2214,FALSE)</f>
        <v>0</v>
      </c>
      <c r="T2214">
        <f>HLOOKUP("Provisioned MiB",'vInfo (Imported)'!$1:$5000,M2214,FALSE)</f>
        <v>0</v>
      </c>
      <c r="U2214">
        <f t="shared" si="103"/>
        <v>0</v>
      </c>
      <c r="V2214">
        <f>HLOOKUP("In Use MiB",'vInfo (Imported)'!$1:$5000,M2214,FALSE)</f>
        <v>0</v>
      </c>
    </row>
    <row r="2215" spans="1:22" ht="13" x14ac:dyDescent="0.3">
      <c r="A2215" s="46">
        <f>'vHosts (Imported)'!A2215</f>
        <v>0</v>
      </c>
      <c r="B2215" s="51">
        <f t="shared" si="102"/>
        <v>4968</v>
      </c>
      <c r="C2215" s="49">
        <f>HLOOKUP("# Cores",'vHosts (Imported)'!$1:$5000,M2215,FALSE)</f>
        <v>0</v>
      </c>
      <c r="D2215" s="52">
        <f>HLOOKUP("# Memory",'vHosts (Imported)'!$1:$5000,M2215,FALSE)</f>
        <v>0</v>
      </c>
      <c r="M2215" s="45">
        <f t="shared" si="104"/>
        <v>2215</v>
      </c>
      <c r="N2215" s="38">
        <f>HLOOKUP("Host",'vInfo (Imported)'!$1:$5000,M2215,FALSE)</f>
        <v>0</v>
      </c>
      <c r="R2215">
        <f>HLOOKUP("CPUs",'vInfo (Imported)'!$1:$5000,M2215,FALSE)</f>
        <v>0</v>
      </c>
      <c r="S2215">
        <f>HLOOKUP("Memory",'vInfo (Imported)'!$1:$5000,M2215,FALSE)</f>
        <v>0</v>
      </c>
      <c r="T2215">
        <f>HLOOKUP("Provisioned MiB",'vInfo (Imported)'!$1:$5000,M2215,FALSE)</f>
        <v>0</v>
      </c>
      <c r="U2215">
        <f t="shared" si="103"/>
        <v>0</v>
      </c>
      <c r="V2215">
        <f>HLOOKUP("In Use MiB",'vInfo (Imported)'!$1:$5000,M2215,FALSE)</f>
        <v>0</v>
      </c>
    </row>
    <row r="2216" spans="1:22" ht="13" x14ac:dyDescent="0.3">
      <c r="A2216" s="46">
        <f>'vHosts (Imported)'!A2216</f>
        <v>0</v>
      </c>
      <c r="B2216" s="51">
        <f t="shared" ref="B2216:B2279" si="105">COUNTIF(N:N,A2216)</f>
        <v>4968</v>
      </c>
      <c r="C2216" s="49">
        <f>HLOOKUP("# Cores",'vHosts (Imported)'!$1:$5000,M2216,FALSE)</f>
        <v>0</v>
      </c>
      <c r="D2216" s="52">
        <f>HLOOKUP("# Memory",'vHosts (Imported)'!$1:$5000,M2216,FALSE)</f>
        <v>0</v>
      </c>
      <c r="M2216" s="45">
        <f t="shared" si="104"/>
        <v>2216</v>
      </c>
      <c r="N2216" s="38">
        <f>HLOOKUP("Host",'vInfo (Imported)'!$1:$5000,M2216,FALSE)</f>
        <v>0</v>
      </c>
      <c r="R2216">
        <f>HLOOKUP("CPUs",'vInfo (Imported)'!$1:$5000,M2216,FALSE)</f>
        <v>0</v>
      </c>
      <c r="S2216">
        <f>HLOOKUP("Memory",'vInfo (Imported)'!$1:$5000,M2216,FALSE)</f>
        <v>0</v>
      </c>
      <c r="T2216">
        <f>HLOOKUP("Provisioned MiB",'vInfo (Imported)'!$1:$5000,M2216,FALSE)</f>
        <v>0</v>
      </c>
      <c r="U2216">
        <f t="shared" si="103"/>
        <v>0</v>
      </c>
      <c r="V2216">
        <f>HLOOKUP("In Use MiB",'vInfo (Imported)'!$1:$5000,M2216,FALSE)</f>
        <v>0</v>
      </c>
    </row>
    <row r="2217" spans="1:22" ht="13" x14ac:dyDescent="0.3">
      <c r="A2217" s="46">
        <f>'vHosts (Imported)'!A2217</f>
        <v>0</v>
      </c>
      <c r="B2217" s="51">
        <f t="shared" si="105"/>
        <v>4968</v>
      </c>
      <c r="C2217" s="49">
        <f>HLOOKUP("# Cores",'vHosts (Imported)'!$1:$5000,M2217,FALSE)</f>
        <v>0</v>
      </c>
      <c r="D2217" s="52">
        <f>HLOOKUP("# Memory",'vHosts (Imported)'!$1:$5000,M2217,FALSE)</f>
        <v>0</v>
      </c>
      <c r="M2217" s="45">
        <f t="shared" si="104"/>
        <v>2217</v>
      </c>
      <c r="N2217" s="38">
        <f>HLOOKUP("Host",'vInfo (Imported)'!$1:$5000,M2217,FALSE)</f>
        <v>0</v>
      </c>
      <c r="R2217">
        <f>HLOOKUP("CPUs",'vInfo (Imported)'!$1:$5000,M2217,FALSE)</f>
        <v>0</v>
      </c>
      <c r="S2217">
        <f>HLOOKUP("Memory",'vInfo (Imported)'!$1:$5000,M2217,FALSE)</f>
        <v>0</v>
      </c>
      <c r="T2217">
        <f>HLOOKUP("Provisioned MiB",'vInfo (Imported)'!$1:$5000,M2217,FALSE)</f>
        <v>0</v>
      </c>
      <c r="U2217">
        <f t="shared" si="103"/>
        <v>0</v>
      </c>
      <c r="V2217">
        <f>HLOOKUP("In Use MiB",'vInfo (Imported)'!$1:$5000,M2217,FALSE)</f>
        <v>0</v>
      </c>
    </row>
    <row r="2218" spans="1:22" ht="13" x14ac:dyDescent="0.3">
      <c r="A2218" s="46">
        <f>'vHosts (Imported)'!A2218</f>
        <v>0</v>
      </c>
      <c r="B2218" s="51">
        <f t="shared" si="105"/>
        <v>4968</v>
      </c>
      <c r="C2218" s="49">
        <f>HLOOKUP("# Cores",'vHosts (Imported)'!$1:$5000,M2218,FALSE)</f>
        <v>0</v>
      </c>
      <c r="D2218" s="52">
        <f>HLOOKUP("# Memory",'vHosts (Imported)'!$1:$5000,M2218,FALSE)</f>
        <v>0</v>
      </c>
      <c r="M2218" s="45">
        <f t="shared" si="104"/>
        <v>2218</v>
      </c>
      <c r="N2218" s="38">
        <f>HLOOKUP("Host",'vInfo (Imported)'!$1:$5000,M2218,FALSE)</f>
        <v>0</v>
      </c>
      <c r="R2218">
        <f>HLOOKUP("CPUs",'vInfo (Imported)'!$1:$5000,M2218,FALSE)</f>
        <v>0</v>
      </c>
      <c r="S2218">
        <f>HLOOKUP("Memory",'vInfo (Imported)'!$1:$5000,M2218,FALSE)</f>
        <v>0</v>
      </c>
      <c r="T2218">
        <f>HLOOKUP("Provisioned MiB",'vInfo (Imported)'!$1:$5000,M2218,FALSE)</f>
        <v>0</v>
      </c>
      <c r="U2218">
        <f t="shared" si="103"/>
        <v>0</v>
      </c>
      <c r="V2218">
        <f>HLOOKUP("In Use MiB",'vInfo (Imported)'!$1:$5000,M2218,FALSE)</f>
        <v>0</v>
      </c>
    </row>
    <row r="2219" spans="1:22" ht="13" x14ac:dyDescent="0.3">
      <c r="A2219" s="46">
        <f>'vHosts (Imported)'!A2219</f>
        <v>0</v>
      </c>
      <c r="B2219" s="51">
        <f t="shared" si="105"/>
        <v>4968</v>
      </c>
      <c r="C2219" s="49">
        <f>HLOOKUP("# Cores",'vHosts (Imported)'!$1:$5000,M2219,FALSE)</f>
        <v>0</v>
      </c>
      <c r="D2219" s="52">
        <f>HLOOKUP("# Memory",'vHosts (Imported)'!$1:$5000,M2219,FALSE)</f>
        <v>0</v>
      </c>
      <c r="M2219" s="45">
        <f t="shared" si="104"/>
        <v>2219</v>
      </c>
      <c r="N2219" s="38">
        <f>HLOOKUP("Host",'vInfo (Imported)'!$1:$5000,M2219,FALSE)</f>
        <v>0</v>
      </c>
      <c r="R2219">
        <f>HLOOKUP("CPUs",'vInfo (Imported)'!$1:$5000,M2219,FALSE)</f>
        <v>0</v>
      </c>
      <c r="S2219">
        <f>HLOOKUP("Memory",'vInfo (Imported)'!$1:$5000,M2219,FALSE)</f>
        <v>0</v>
      </c>
      <c r="T2219">
        <f>HLOOKUP("Provisioned MiB",'vInfo (Imported)'!$1:$5000,M2219,FALSE)</f>
        <v>0</v>
      </c>
      <c r="U2219">
        <f t="shared" si="103"/>
        <v>0</v>
      </c>
      <c r="V2219">
        <f>HLOOKUP("In Use MiB",'vInfo (Imported)'!$1:$5000,M2219,FALSE)</f>
        <v>0</v>
      </c>
    </row>
    <row r="2220" spans="1:22" ht="13" x14ac:dyDescent="0.3">
      <c r="A2220" s="46">
        <f>'vHosts (Imported)'!A2220</f>
        <v>0</v>
      </c>
      <c r="B2220" s="51">
        <f t="shared" si="105"/>
        <v>4968</v>
      </c>
      <c r="C2220" s="49">
        <f>HLOOKUP("# Cores",'vHosts (Imported)'!$1:$5000,M2220,FALSE)</f>
        <v>0</v>
      </c>
      <c r="D2220" s="52">
        <f>HLOOKUP("# Memory",'vHosts (Imported)'!$1:$5000,M2220,FALSE)</f>
        <v>0</v>
      </c>
      <c r="M2220" s="45">
        <f t="shared" si="104"/>
        <v>2220</v>
      </c>
      <c r="N2220" s="38">
        <f>HLOOKUP("Host",'vInfo (Imported)'!$1:$5000,M2220,FALSE)</f>
        <v>0</v>
      </c>
      <c r="R2220">
        <f>HLOOKUP("CPUs",'vInfo (Imported)'!$1:$5000,M2220,FALSE)</f>
        <v>0</v>
      </c>
      <c r="S2220">
        <f>HLOOKUP("Memory",'vInfo (Imported)'!$1:$5000,M2220,FALSE)</f>
        <v>0</v>
      </c>
      <c r="T2220">
        <f>HLOOKUP("Provisioned MiB",'vInfo (Imported)'!$1:$5000,M2220,FALSE)</f>
        <v>0</v>
      </c>
      <c r="U2220">
        <f t="shared" si="103"/>
        <v>0</v>
      </c>
      <c r="V2220">
        <f>HLOOKUP("In Use MiB",'vInfo (Imported)'!$1:$5000,M2220,FALSE)</f>
        <v>0</v>
      </c>
    </row>
    <row r="2221" spans="1:22" ht="13" x14ac:dyDescent="0.3">
      <c r="A2221" s="46">
        <f>'vHosts (Imported)'!A2221</f>
        <v>0</v>
      </c>
      <c r="B2221" s="51">
        <f t="shared" si="105"/>
        <v>4968</v>
      </c>
      <c r="C2221" s="49">
        <f>HLOOKUP("# Cores",'vHosts (Imported)'!$1:$5000,M2221,FALSE)</f>
        <v>0</v>
      </c>
      <c r="D2221" s="52">
        <f>HLOOKUP("# Memory",'vHosts (Imported)'!$1:$5000,M2221,FALSE)</f>
        <v>0</v>
      </c>
      <c r="M2221" s="45">
        <f t="shared" si="104"/>
        <v>2221</v>
      </c>
      <c r="N2221" s="38">
        <f>HLOOKUP("Host",'vInfo (Imported)'!$1:$5000,M2221,FALSE)</f>
        <v>0</v>
      </c>
      <c r="R2221">
        <f>HLOOKUP("CPUs",'vInfo (Imported)'!$1:$5000,M2221,FALSE)</f>
        <v>0</v>
      </c>
      <c r="S2221">
        <f>HLOOKUP("Memory",'vInfo (Imported)'!$1:$5000,M2221,FALSE)</f>
        <v>0</v>
      </c>
      <c r="T2221">
        <f>HLOOKUP("Provisioned MiB",'vInfo (Imported)'!$1:$5000,M2221,FALSE)</f>
        <v>0</v>
      </c>
      <c r="U2221">
        <f t="shared" si="103"/>
        <v>0</v>
      </c>
      <c r="V2221">
        <f>HLOOKUP("In Use MiB",'vInfo (Imported)'!$1:$5000,M2221,FALSE)</f>
        <v>0</v>
      </c>
    </row>
    <row r="2222" spans="1:22" ht="13" x14ac:dyDescent="0.3">
      <c r="A2222" s="46">
        <f>'vHosts (Imported)'!A2222</f>
        <v>0</v>
      </c>
      <c r="B2222" s="51">
        <f t="shared" si="105"/>
        <v>4968</v>
      </c>
      <c r="C2222" s="49">
        <f>HLOOKUP("# Cores",'vHosts (Imported)'!$1:$5000,M2222,FALSE)</f>
        <v>0</v>
      </c>
      <c r="D2222" s="52">
        <f>HLOOKUP("# Memory",'vHosts (Imported)'!$1:$5000,M2222,FALSE)</f>
        <v>0</v>
      </c>
      <c r="M2222" s="45">
        <f t="shared" si="104"/>
        <v>2222</v>
      </c>
      <c r="N2222" s="38">
        <f>HLOOKUP("Host",'vInfo (Imported)'!$1:$5000,M2222,FALSE)</f>
        <v>0</v>
      </c>
      <c r="R2222">
        <f>HLOOKUP("CPUs",'vInfo (Imported)'!$1:$5000,M2222,FALSE)</f>
        <v>0</v>
      </c>
      <c r="S2222">
        <f>HLOOKUP("Memory",'vInfo (Imported)'!$1:$5000,M2222,FALSE)</f>
        <v>0</v>
      </c>
      <c r="T2222">
        <f>HLOOKUP("Provisioned MiB",'vInfo (Imported)'!$1:$5000,M2222,FALSE)</f>
        <v>0</v>
      </c>
      <c r="U2222">
        <f t="shared" si="103"/>
        <v>0</v>
      </c>
      <c r="V2222">
        <f>HLOOKUP("In Use MiB",'vInfo (Imported)'!$1:$5000,M2222,FALSE)</f>
        <v>0</v>
      </c>
    </row>
    <row r="2223" spans="1:22" ht="13" x14ac:dyDescent="0.3">
      <c r="A2223" s="46">
        <f>'vHosts (Imported)'!A2223</f>
        <v>0</v>
      </c>
      <c r="B2223" s="51">
        <f t="shared" si="105"/>
        <v>4968</v>
      </c>
      <c r="C2223" s="49">
        <f>HLOOKUP("# Cores",'vHosts (Imported)'!$1:$5000,M2223,FALSE)</f>
        <v>0</v>
      </c>
      <c r="D2223" s="52">
        <f>HLOOKUP("# Memory",'vHosts (Imported)'!$1:$5000,M2223,FALSE)</f>
        <v>0</v>
      </c>
      <c r="M2223" s="45">
        <f t="shared" si="104"/>
        <v>2223</v>
      </c>
      <c r="N2223" s="38">
        <f>HLOOKUP("Host",'vInfo (Imported)'!$1:$5000,M2223,FALSE)</f>
        <v>0</v>
      </c>
      <c r="R2223">
        <f>HLOOKUP("CPUs",'vInfo (Imported)'!$1:$5000,M2223,FALSE)</f>
        <v>0</v>
      </c>
      <c r="S2223">
        <f>HLOOKUP("Memory",'vInfo (Imported)'!$1:$5000,M2223,FALSE)</f>
        <v>0</v>
      </c>
      <c r="T2223">
        <f>HLOOKUP("Provisioned MiB",'vInfo (Imported)'!$1:$5000,M2223,FALSE)</f>
        <v>0</v>
      </c>
      <c r="U2223">
        <f t="shared" si="103"/>
        <v>0</v>
      </c>
      <c r="V2223">
        <f>HLOOKUP("In Use MiB",'vInfo (Imported)'!$1:$5000,M2223,FALSE)</f>
        <v>0</v>
      </c>
    </row>
    <row r="2224" spans="1:22" ht="13" x14ac:dyDescent="0.3">
      <c r="A2224" s="46">
        <f>'vHosts (Imported)'!A2224</f>
        <v>0</v>
      </c>
      <c r="B2224" s="51">
        <f t="shared" si="105"/>
        <v>4968</v>
      </c>
      <c r="C2224" s="49">
        <f>HLOOKUP("# Cores",'vHosts (Imported)'!$1:$5000,M2224,FALSE)</f>
        <v>0</v>
      </c>
      <c r="D2224" s="52">
        <f>HLOOKUP("# Memory",'vHosts (Imported)'!$1:$5000,M2224,FALSE)</f>
        <v>0</v>
      </c>
      <c r="M2224" s="45">
        <f t="shared" si="104"/>
        <v>2224</v>
      </c>
      <c r="N2224" s="38">
        <f>HLOOKUP("Host",'vInfo (Imported)'!$1:$5000,M2224,FALSE)</f>
        <v>0</v>
      </c>
      <c r="R2224">
        <f>HLOOKUP("CPUs",'vInfo (Imported)'!$1:$5000,M2224,FALSE)</f>
        <v>0</v>
      </c>
      <c r="S2224">
        <f>HLOOKUP("Memory",'vInfo (Imported)'!$1:$5000,M2224,FALSE)</f>
        <v>0</v>
      </c>
      <c r="T2224">
        <f>HLOOKUP("Provisioned MiB",'vInfo (Imported)'!$1:$5000,M2224,FALSE)</f>
        <v>0</v>
      </c>
      <c r="U2224">
        <f t="shared" si="103"/>
        <v>0</v>
      </c>
      <c r="V2224">
        <f>HLOOKUP("In Use MiB",'vInfo (Imported)'!$1:$5000,M2224,FALSE)</f>
        <v>0</v>
      </c>
    </row>
    <row r="2225" spans="1:22" ht="13" x14ac:dyDescent="0.3">
      <c r="A2225" s="46">
        <f>'vHosts (Imported)'!A2225</f>
        <v>0</v>
      </c>
      <c r="B2225" s="51">
        <f t="shared" si="105"/>
        <v>4968</v>
      </c>
      <c r="C2225" s="49">
        <f>HLOOKUP("# Cores",'vHosts (Imported)'!$1:$5000,M2225,FALSE)</f>
        <v>0</v>
      </c>
      <c r="D2225" s="52">
        <f>HLOOKUP("# Memory",'vHosts (Imported)'!$1:$5000,M2225,FALSE)</f>
        <v>0</v>
      </c>
      <c r="M2225" s="45">
        <f t="shared" si="104"/>
        <v>2225</v>
      </c>
      <c r="N2225" s="38">
        <f>HLOOKUP("Host",'vInfo (Imported)'!$1:$5000,M2225,FALSE)</f>
        <v>0</v>
      </c>
      <c r="R2225">
        <f>HLOOKUP("CPUs",'vInfo (Imported)'!$1:$5000,M2225,FALSE)</f>
        <v>0</v>
      </c>
      <c r="S2225">
        <f>HLOOKUP("Memory",'vInfo (Imported)'!$1:$5000,M2225,FALSE)</f>
        <v>0</v>
      </c>
      <c r="T2225">
        <f>HLOOKUP("Provisioned MiB",'vInfo (Imported)'!$1:$5000,M2225,FALSE)</f>
        <v>0</v>
      </c>
      <c r="U2225">
        <f t="shared" si="103"/>
        <v>0</v>
      </c>
      <c r="V2225">
        <f>HLOOKUP("In Use MiB",'vInfo (Imported)'!$1:$5000,M2225,FALSE)</f>
        <v>0</v>
      </c>
    </row>
    <row r="2226" spans="1:22" ht="13" x14ac:dyDescent="0.3">
      <c r="A2226" s="46">
        <f>'vHosts (Imported)'!A2226</f>
        <v>0</v>
      </c>
      <c r="B2226" s="51">
        <f t="shared" si="105"/>
        <v>4968</v>
      </c>
      <c r="C2226" s="49">
        <f>HLOOKUP("# Cores",'vHosts (Imported)'!$1:$5000,M2226,FALSE)</f>
        <v>0</v>
      </c>
      <c r="D2226" s="52">
        <f>HLOOKUP("# Memory",'vHosts (Imported)'!$1:$5000,M2226,FALSE)</f>
        <v>0</v>
      </c>
      <c r="M2226" s="45">
        <f t="shared" si="104"/>
        <v>2226</v>
      </c>
      <c r="N2226" s="38">
        <f>HLOOKUP("Host",'vInfo (Imported)'!$1:$5000,M2226,FALSE)</f>
        <v>0</v>
      </c>
      <c r="R2226">
        <f>HLOOKUP("CPUs",'vInfo (Imported)'!$1:$5000,M2226,FALSE)</f>
        <v>0</v>
      </c>
      <c r="S2226">
        <f>HLOOKUP("Memory",'vInfo (Imported)'!$1:$5000,M2226,FALSE)</f>
        <v>0</v>
      </c>
      <c r="T2226">
        <f>HLOOKUP("Provisioned MiB",'vInfo (Imported)'!$1:$5000,M2226,FALSE)</f>
        <v>0</v>
      </c>
      <c r="U2226">
        <f t="shared" si="103"/>
        <v>0</v>
      </c>
      <c r="V2226">
        <f>HLOOKUP("In Use MiB",'vInfo (Imported)'!$1:$5000,M2226,FALSE)</f>
        <v>0</v>
      </c>
    </row>
    <row r="2227" spans="1:22" ht="13" x14ac:dyDescent="0.3">
      <c r="A2227" s="46">
        <f>'vHosts (Imported)'!A2227</f>
        <v>0</v>
      </c>
      <c r="B2227" s="51">
        <f t="shared" si="105"/>
        <v>4968</v>
      </c>
      <c r="C2227" s="49">
        <f>HLOOKUP("# Cores",'vHosts (Imported)'!$1:$5000,M2227,FALSE)</f>
        <v>0</v>
      </c>
      <c r="D2227" s="52">
        <f>HLOOKUP("# Memory",'vHosts (Imported)'!$1:$5000,M2227,FALSE)</f>
        <v>0</v>
      </c>
      <c r="M2227" s="45">
        <f t="shared" si="104"/>
        <v>2227</v>
      </c>
      <c r="N2227" s="38">
        <f>HLOOKUP("Host",'vInfo (Imported)'!$1:$5000,M2227,FALSE)</f>
        <v>0</v>
      </c>
      <c r="R2227">
        <f>HLOOKUP("CPUs",'vInfo (Imported)'!$1:$5000,M2227,FALSE)</f>
        <v>0</v>
      </c>
      <c r="S2227">
        <f>HLOOKUP("Memory",'vInfo (Imported)'!$1:$5000,M2227,FALSE)</f>
        <v>0</v>
      </c>
      <c r="T2227">
        <f>HLOOKUP("Provisioned MiB",'vInfo (Imported)'!$1:$5000,M2227,FALSE)</f>
        <v>0</v>
      </c>
      <c r="U2227">
        <f t="shared" si="103"/>
        <v>0</v>
      </c>
      <c r="V2227">
        <f>HLOOKUP("In Use MiB",'vInfo (Imported)'!$1:$5000,M2227,FALSE)</f>
        <v>0</v>
      </c>
    </row>
    <row r="2228" spans="1:22" ht="13" x14ac:dyDescent="0.3">
      <c r="A2228" s="46">
        <f>'vHosts (Imported)'!A2228</f>
        <v>0</v>
      </c>
      <c r="B2228" s="51">
        <f t="shared" si="105"/>
        <v>4968</v>
      </c>
      <c r="C2228" s="49">
        <f>HLOOKUP("# Cores",'vHosts (Imported)'!$1:$5000,M2228,FALSE)</f>
        <v>0</v>
      </c>
      <c r="D2228" s="52">
        <f>HLOOKUP("# Memory",'vHosts (Imported)'!$1:$5000,M2228,FALSE)</f>
        <v>0</v>
      </c>
      <c r="M2228" s="45">
        <f t="shared" si="104"/>
        <v>2228</v>
      </c>
      <c r="N2228" s="38">
        <f>HLOOKUP("Host",'vInfo (Imported)'!$1:$5000,M2228,FALSE)</f>
        <v>0</v>
      </c>
      <c r="R2228">
        <f>HLOOKUP("CPUs",'vInfo (Imported)'!$1:$5000,M2228,FALSE)</f>
        <v>0</v>
      </c>
      <c r="S2228">
        <f>HLOOKUP("Memory",'vInfo (Imported)'!$1:$5000,M2228,FALSE)</f>
        <v>0</v>
      </c>
      <c r="T2228">
        <f>HLOOKUP("Provisioned MiB",'vInfo (Imported)'!$1:$5000,M2228,FALSE)</f>
        <v>0</v>
      </c>
      <c r="U2228">
        <f t="shared" si="103"/>
        <v>0</v>
      </c>
      <c r="V2228">
        <f>HLOOKUP("In Use MiB",'vInfo (Imported)'!$1:$5000,M2228,FALSE)</f>
        <v>0</v>
      </c>
    </row>
    <row r="2229" spans="1:22" ht="13" x14ac:dyDescent="0.3">
      <c r="A2229" s="46">
        <f>'vHosts (Imported)'!A2229</f>
        <v>0</v>
      </c>
      <c r="B2229" s="51">
        <f t="shared" si="105"/>
        <v>4968</v>
      </c>
      <c r="C2229" s="49">
        <f>HLOOKUP("# Cores",'vHosts (Imported)'!$1:$5000,M2229,FALSE)</f>
        <v>0</v>
      </c>
      <c r="D2229" s="52">
        <f>HLOOKUP("# Memory",'vHosts (Imported)'!$1:$5000,M2229,FALSE)</f>
        <v>0</v>
      </c>
      <c r="M2229" s="45">
        <f t="shared" si="104"/>
        <v>2229</v>
      </c>
      <c r="N2229" s="38">
        <f>HLOOKUP("Host",'vInfo (Imported)'!$1:$5000,M2229,FALSE)</f>
        <v>0</v>
      </c>
      <c r="R2229">
        <f>HLOOKUP("CPUs",'vInfo (Imported)'!$1:$5000,M2229,FALSE)</f>
        <v>0</v>
      </c>
      <c r="S2229">
        <f>HLOOKUP("Memory",'vInfo (Imported)'!$1:$5000,M2229,FALSE)</f>
        <v>0</v>
      </c>
      <c r="T2229">
        <f>HLOOKUP("Provisioned MiB",'vInfo (Imported)'!$1:$5000,M2229,FALSE)</f>
        <v>0</v>
      </c>
      <c r="U2229">
        <f t="shared" si="103"/>
        <v>0</v>
      </c>
      <c r="V2229">
        <f>HLOOKUP("In Use MiB",'vInfo (Imported)'!$1:$5000,M2229,FALSE)</f>
        <v>0</v>
      </c>
    </row>
    <row r="2230" spans="1:22" ht="13" x14ac:dyDescent="0.3">
      <c r="A2230" s="46">
        <f>'vHosts (Imported)'!A2230</f>
        <v>0</v>
      </c>
      <c r="B2230" s="51">
        <f t="shared" si="105"/>
        <v>4968</v>
      </c>
      <c r="C2230" s="49">
        <f>HLOOKUP("# Cores",'vHosts (Imported)'!$1:$5000,M2230,FALSE)</f>
        <v>0</v>
      </c>
      <c r="D2230" s="52">
        <f>HLOOKUP("# Memory",'vHosts (Imported)'!$1:$5000,M2230,FALSE)</f>
        <v>0</v>
      </c>
      <c r="M2230" s="45">
        <f t="shared" si="104"/>
        <v>2230</v>
      </c>
      <c r="N2230" s="38">
        <f>HLOOKUP("Host",'vInfo (Imported)'!$1:$5000,M2230,FALSE)</f>
        <v>0</v>
      </c>
      <c r="R2230">
        <f>HLOOKUP("CPUs",'vInfo (Imported)'!$1:$5000,M2230,FALSE)</f>
        <v>0</v>
      </c>
      <c r="S2230">
        <f>HLOOKUP("Memory",'vInfo (Imported)'!$1:$5000,M2230,FALSE)</f>
        <v>0</v>
      </c>
      <c r="T2230">
        <f>HLOOKUP("Provisioned MiB",'vInfo (Imported)'!$1:$5000,M2230,FALSE)</f>
        <v>0</v>
      </c>
      <c r="U2230">
        <f t="shared" si="103"/>
        <v>0</v>
      </c>
      <c r="V2230">
        <f>HLOOKUP("In Use MiB",'vInfo (Imported)'!$1:$5000,M2230,FALSE)</f>
        <v>0</v>
      </c>
    </row>
    <row r="2231" spans="1:22" ht="13" x14ac:dyDescent="0.3">
      <c r="A2231" s="46">
        <f>'vHosts (Imported)'!A2231</f>
        <v>0</v>
      </c>
      <c r="B2231" s="51">
        <f t="shared" si="105"/>
        <v>4968</v>
      </c>
      <c r="C2231" s="49">
        <f>HLOOKUP("# Cores",'vHosts (Imported)'!$1:$5000,M2231,FALSE)</f>
        <v>0</v>
      </c>
      <c r="D2231" s="52">
        <f>HLOOKUP("# Memory",'vHosts (Imported)'!$1:$5000,M2231,FALSE)</f>
        <v>0</v>
      </c>
      <c r="M2231" s="45">
        <f t="shared" si="104"/>
        <v>2231</v>
      </c>
      <c r="N2231" s="38">
        <f>HLOOKUP("Host",'vInfo (Imported)'!$1:$5000,M2231,FALSE)</f>
        <v>0</v>
      </c>
      <c r="R2231">
        <f>HLOOKUP("CPUs",'vInfo (Imported)'!$1:$5000,M2231,FALSE)</f>
        <v>0</v>
      </c>
      <c r="S2231">
        <f>HLOOKUP("Memory",'vInfo (Imported)'!$1:$5000,M2231,FALSE)</f>
        <v>0</v>
      </c>
      <c r="T2231">
        <f>HLOOKUP("Provisioned MiB",'vInfo (Imported)'!$1:$5000,M2231,FALSE)</f>
        <v>0</v>
      </c>
      <c r="U2231">
        <f t="shared" si="103"/>
        <v>0</v>
      </c>
      <c r="V2231">
        <f>HLOOKUP("In Use MiB",'vInfo (Imported)'!$1:$5000,M2231,FALSE)</f>
        <v>0</v>
      </c>
    </row>
    <row r="2232" spans="1:22" ht="13" x14ac:dyDescent="0.3">
      <c r="A2232" s="46">
        <f>'vHosts (Imported)'!A2232</f>
        <v>0</v>
      </c>
      <c r="B2232" s="51">
        <f t="shared" si="105"/>
        <v>4968</v>
      </c>
      <c r="C2232" s="49">
        <f>HLOOKUP("# Cores",'vHosts (Imported)'!$1:$5000,M2232,FALSE)</f>
        <v>0</v>
      </c>
      <c r="D2232" s="52">
        <f>HLOOKUP("# Memory",'vHosts (Imported)'!$1:$5000,M2232,FALSE)</f>
        <v>0</v>
      </c>
      <c r="M2232" s="45">
        <f t="shared" si="104"/>
        <v>2232</v>
      </c>
      <c r="N2232" s="38">
        <f>HLOOKUP("Host",'vInfo (Imported)'!$1:$5000,M2232,FALSE)</f>
        <v>0</v>
      </c>
      <c r="R2232">
        <f>HLOOKUP("CPUs",'vInfo (Imported)'!$1:$5000,M2232,FALSE)</f>
        <v>0</v>
      </c>
      <c r="S2232">
        <f>HLOOKUP("Memory",'vInfo (Imported)'!$1:$5000,M2232,FALSE)</f>
        <v>0</v>
      </c>
      <c r="T2232">
        <f>HLOOKUP("Provisioned MiB",'vInfo (Imported)'!$1:$5000,M2232,FALSE)</f>
        <v>0</v>
      </c>
      <c r="U2232">
        <f t="shared" si="103"/>
        <v>0</v>
      </c>
      <c r="V2232">
        <f>HLOOKUP("In Use MiB",'vInfo (Imported)'!$1:$5000,M2232,FALSE)</f>
        <v>0</v>
      </c>
    </row>
    <row r="2233" spans="1:22" ht="13" x14ac:dyDescent="0.3">
      <c r="A2233" s="46">
        <f>'vHosts (Imported)'!A2233</f>
        <v>0</v>
      </c>
      <c r="B2233" s="51">
        <f t="shared" si="105"/>
        <v>4968</v>
      </c>
      <c r="C2233" s="49">
        <f>HLOOKUP("# Cores",'vHosts (Imported)'!$1:$5000,M2233,FALSE)</f>
        <v>0</v>
      </c>
      <c r="D2233" s="52">
        <f>HLOOKUP("# Memory",'vHosts (Imported)'!$1:$5000,M2233,FALSE)</f>
        <v>0</v>
      </c>
      <c r="M2233" s="45">
        <f t="shared" si="104"/>
        <v>2233</v>
      </c>
      <c r="N2233" s="38">
        <f>HLOOKUP("Host",'vInfo (Imported)'!$1:$5000,M2233,FALSE)</f>
        <v>0</v>
      </c>
      <c r="R2233">
        <f>HLOOKUP("CPUs",'vInfo (Imported)'!$1:$5000,M2233,FALSE)</f>
        <v>0</v>
      </c>
      <c r="S2233">
        <f>HLOOKUP("Memory",'vInfo (Imported)'!$1:$5000,M2233,FALSE)</f>
        <v>0</v>
      </c>
      <c r="T2233">
        <f>HLOOKUP("Provisioned MiB",'vInfo (Imported)'!$1:$5000,M2233,FALSE)</f>
        <v>0</v>
      </c>
      <c r="U2233">
        <f t="shared" si="103"/>
        <v>0</v>
      </c>
      <c r="V2233">
        <f>HLOOKUP("In Use MiB",'vInfo (Imported)'!$1:$5000,M2233,FALSE)</f>
        <v>0</v>
      </c>
    </row>
    <row r="2234" spans="1:22" ht="13" x14ac:dyDescent="0.3">
      <c r="A2234" s="46">
        <f>'vHosts (Imported)'!A2234</f>
        <v>0</v>
      </c>
      <c r="B2234" s="51">
        <f t="shared" si="105"/>
        <v>4968</v>
      </c>
      <c r="C2234" s="49">
        <f>HLOOKUP("# Cores",'vHosts (Imported)'!$1:$5000,M2234,FALSE)</f>
        <v>0</v>
      </c>
      <c r="D2234" s="52">
        <f>HLOOKUP("# Memory",'vHosts (Imported)'!$1:$5000,M2234,FALSE)</f>
        <v>0</v>
      </c>
      <c r="M2234" s="45">
        <f t="shared" si="104"/>
        <v>2234</v>
      </c>
      <c r="N2234" s="38">
        <f>HLOOKUP("Host",'vInfo (Imported)'!$1:$5000,M2234,FALSE)</f>
        <v>0</v>
      </c>
      <c r="R2234">
        <f>HLOOKUP("CPUs",'vInfo (Imported)'!$1:$5000,M2234,FALSE)</f>
        <v>0</v>
      </c>
      <c r="S2234">
        <f>HLOOKUP("Memory",'vInfo (Imported)'!$1:$5000,M2234,FALSE)</f>
        <v>0</v>
      </c>
      <c r="T2234">
        <f>HLOOKUP("Provisioned MiB",'vInfo (Imported)'!$1:$5000,M2234,FALSE)</f>
        <v>0</v>
      </c>
      <c r="U2234">
        <f t="shared" si="103"/>
        <v>0</v>
      </c>
      <c r="V2234">
        <f>HLOOKUP("In Use MiB",'vInfo (Imported)'!$1:$5000,M2234,FALSE)</f>
        <v>0</v>
      </c>
    </row>
    <row r="2235" spans="1:22" ht="13" x14ac:dyDescent="0.3">
      <c r="A2235" s="46">
        <f>'vHosts (Imported)'!A2235</f>
        <v>0</v>
      </c>
      <c r="B2235" s="51">
        <f t="shared" si="105"/>
        <v>4968</v>
      </c>
      <c r="C2235" s="49">
        <f>HLOOKUP("# Cores",'vHosts (Imported)'!$1:$5000,M2235,FALSE)</f>
        <v>0</v>
      </c>
      <c r="D2235" s="52">
        <f>HLOOKUP("# Memory",'vHosts (Imported)'!$1:$5000,M2235,FALSE)</f>
        <v>0</v>
      </c>
      <c r="M2235" s="45">
        <f t="shared" si="104"/>
        <v>2235</v>
      </c>
      <c r="N2235" s="38">
        <f>HLOOKUP("Host",'vInfo (Imported)'!$1:$5000,M2235,FALSE)</f>
        <v>0</v>
      </c>
      <c r="R2235">
        <f>HLOOKUP("CPUs",'vInfo (Imported)'!$1:$5000,M2235,FALSE)</f>
        <v>0</v>
      </c>
      <c r="S2235">
        <f>HLOOKUP("Memory",'vInfo (Imported)'!$1:$5000,M2235,FALSE)</f>
        <v>0</v>
      </c>
      <c r="T2235">
        <f>HLOOKUP("Provisioned MiB",'vInfo (Imported)'!$1:$5000,M2235,FALSE)</f>
        <v>0</v>
      </c>
      <c r="U2235">
        <f t="shared" si="103"/>
        <v>0</v>
      </c>
      <c r="V2235">
        <f>HLOOKUP("In Use MiB",'vInfo (Imported)'!$1:$5000,M2235,FALSE)</f>
        <v>0</v>
      </c>
    </row>
    <row r="2236" spans="1:22" ht="13" x14ac:dyDescent="0.3">
      <c r="A2236" s="46">
        <f>'vHosts (Imported)'!A2236</f>
        <v>0</v>
      </c>
      <c r="B2236" s="51">
        <f t="shared" si="105"/>
        <v>4968</v>
      </c>
      <c r="C2236" s="49">
        <f>HLOOKUP("# Cores",'vHosts (Imported)'!$1:$5000,M2236,FALSE)</f>
        <v>0</v>
      </c>
      <c r="D2236" s="52">
        <f>HLOOKUP("# Memory",'vHosts (Imported)'!$1:$5000,M2236,FALSE)</f>
        <v>0</v>
      </c>
      <c r="M2236" s="45">
        <f t="shared" si="104"/>
        <v>2236</v>
      </c>
      <c r="N2236" s="38">
        <f>HLOOKUP("Host",'vInfo (Imported)'!$1:$5000,M2236,FALSE)</f>
        <v>0</v>
      </c>
      <c r="R2236">
        <f>HLOOKUP("CPUs",'vInfo (Imported)'!$1:$5000,M2236,FALSE)</f>
        <v>0</v>
      </c>
      <c r="S2236">
        <f>HLOOKUP("Memory",'vInfo (Imported)'!$1:$5000,M2236,FALSE)</f>
        <v>0</v>
      </c>
      <c r="T2236">
        <f>HLOOKUP("Provisioned MiB",'vInfo (Imported)'!$1:$5000,M2236,FALSE)</f>
        <v>0</v>
      </c>
      <c r="U2236">
        <f t="shared" si="103"/>
        <v>0</v>
      </c>
      <c r="V2236">
        <f>HLOOKUP("In Use MiB",'vInfo (Imported)'!$1:$5000,M2236,FALSE)</f>
        <v>0</v>
      </c>
    </row>
    <row r="2237" spans="1:22" ht="13" x14ac:dyDescent="0.3">
      <c r="A2237" s="46">
        <f>'vHosts (Imported)'!A2237</f>
        <v>0</v>
      </c>
      <c r="B2237" s="51">
        <f t="shared" si="105"/>
        <v>4968</v>
      </c>
      <c r="C2237" s="49">
        <f>HLOOKUP("# Cores",'vHosts (Imported)'!$1:$5000,M2237,FALSE)</f>
        <v>0</v>
      </c>
      <c r="D2237" s="52">
        <f>HLOOKUP("# Memory",'vHosts (Imported)'!$1:$5000,M2237,FALSE)</f>
        <v>0</v>
      </c>
      <c r="M2237" s="45">
        <f t="shared" si="104"/>
        <v>2237</v>
      </c>
      <c r="N2237" s="38">
        <f>HLOOKUP("Host",'vInfo (Imported)'!$1:$5000,M2237,FALSE)</f>
        <v>0</v>
      </c>
      <c r="R2237">
        <f>HLOOKUP("CPUs",'vInfo (Imported)'!$1:$5000,M2237,FALSE)</f>
        <v>0</v>
      </c>
      <c r="S2237">
        <f>HLOOKUP("Memory",'vInfo (Imported)'!$1:$5000,M2237,FALSE)</f>
        <v>0</v>
      </c>
      <c r="T2237">
        <f>HLOOKUP("Provisioned MiB",'vInfo (Imported)'!$1:$5000,M2237,FALSE)</f>
        <v>0</v>
      </c>
      <c r="U2237">
        <f t="shared" si="103"/>
        <v>0</v>
      </c>
      <c r="V2237">
        <f>HLOOKUP("In Use MiB",'vInfo (Imported)'!$1:$5000,M2237,FALSE)</f>
        <v>0</v>
      </c>
    </row>
    <row r="2238" spans="1:22" ht="13" x14ac:dyDescent="0.3">
      <c r="A2238" s="46">
        <f>'vHosts (Imported)'!A2238</f>
        <v>0</v>
      </c>
      <c r="B2238" s="51">
        <f t="shared" si="105"/>
        <v>4968</v>
      </c>
      <c r="C2238" s="49">
        <f>HLOOKUP("# Cores",'vHosts (Imported)'!$1:$5000,M2238,FALSE)</f>
        <v>0</v>
      </c>
      <c r="D2238" s="52">
        <f>HLOOKUP("# Memory",'vHosts (Imported)'!$1:$5000,M2238,FALSE)</f>
        <v>0</v>
      </c>
      <c r="M2238" s="45">
        <f t="shared" si="104"/>
        <v>2238</v>
      </c>
      <c r="N2238" s="38">
        <f>HLOOKUP("Host",'vInfo (Imported)'!$1:$5000,M2238,FALSE)</f>
        <v>0</v>
      </c>
      <c r="R2238">
        <f>HLOOKUP("CPUs",'vInfo (Imported)'!$1:$5000,M2238,FALSE)</f>
        <v>0</v>
      </c>
      <c r="S2238">
        <f>HLOOKUP("Memory",'vInfo (Imported)'!$1:$5000,M2238,FALSE)</f>
        <v>0</v>
      </c>
      <c r="T2238">
        <f>HLOOKUP("Provisioned MiB",'vInfo (Imported)'!$1:$5000,M2238,FALSE)</f>
        <v>0</v>
      </c>
      <c r="U2238">
        <f t="shared" si="103"/>
        <v>0</v>
      </c>
      <c r="V2238">
        <f>HLOOKUP("In Use MiB",'vInfo (Imported)'!$1:$5000,M2238,FALSE)</f>
        <v>0</v>
      </c>
    </row>
    <row r="2239" spans="1:22" ht="13" x14ac:dyDescent="0.3">
      <c r="A2239" s="46">
        <f>'vHosts (Imported)'!A2239</f>
        <v>0</v>
      </c>
      <c r="B2239" s="51">
        <f t="shared" si="105"/>
        <v>4968</v>
      </c>
      <c r="C2239" s="49">
        <f>HLOOKUP("# Cores",'vHosts (Imported)'!$1:$5000,M2239,FALSE)</f>
        <v>0</v>
      </c>
      <c r="D2239" s="52">
        <f>HLOOKUP("# Memory",'vHosts (Imported)'!$1:$5000,M2239,FALSE)</f>
        <v>0</v>
      </c>
      <c r="M2239" s="45">
        <f t="shared" si="104"/>
        <v>2239</v>
      </c>
      <c r="N2239" s="38">
        <f>HLOOKUP("Host",'vInfo (Imported)'!$1:$5000,M2239,FALSE)</f>
        <v>0</v>
      </c>
      <c r="R2239">
        <f>HLOOKUP("CPUs",'vInfo (Imported)'!$1:$5000,M2239,FALSE)</f>
        <v>0</v>
      </c>
      <c r="S2239">
        <f>HLOOKUP("Memory",'vInfo (Imported)'!$1:$5000,M2239,FALSE)</f>
        <v>0</v>
      </c>
      <c r="T2239">
        <f>HLOOKUP("Provisioned MiB",'vInfo (Imported)'!$1:$5000,M2239,FALSE)</f>
        <v>0</v>
      </c>
      <c r="U2239">
        <f t="shared" si="103"/>
        <v>0</v>
      </c>
      <c r="V2239">
        <f>HLOOKUP("In Use MiB",'vInfo (Imported)'!$1:$5000,M2239,FALSE)</f>
        <v>0</v>
      </c>
    </row>
    <row r="2240" spans="1:22" ht="13" x14ac:dyDescent="0.3">
      <c r="A2240" s="46">
        <f>'vHosts (Imported)'!A2240</f>
        <v>0</v>
      </c>
      <c r="B2240" s="51">
        <f t="shared" si="105"/>
        <v>4968</v>
      </c>
      <c r="C2240" s="49">
        <f>HLOOKUP("# Cores",'vHosts (Imported)'!$1:$5000,M2240,FALSE)</f>
        <v>0</v>
      </c>
      <c r="D2240" s="52">
        <f>HLOOKUP("# Memory",'vHosts (Imported)'!$1:$5000,M2240,FALSE)</f>
        <v>0</v>
      </c>
      <c r="M2240" s="45">
        <f t="shared" si="104"/>
        <v>2240</v>
      </c>
      <c r="N2240" s="38">
        <f>HLOOKUP("Host",'vInfo (Imported)'!$1:$5000,M2240,FALSE)</f>
        <v>0</v>
      </c>
      <c r="R2240">
        <f>HLOOKUP("CPUs",'vInfo (Imported)'!$1:$5000,M2240,FALSE)</f>
        <v>0</v>
      </c>
      <c r="S2240">
        <f>HLOOKUP("Memory",'vInfo (Imported)'!$1:$5000,M2240,FALSE)</f>
        <v>0</v>
      </c>
      <c r="T2240">
        <f>HLOOKUP("Provisioned MiB",'vInfo (Imported)'!$1:$5000,M2240,FALSE)</f>
        <v>0</v>
      </c>
      <c r="U2240">
        <f t="shared" si="103"/>
        <v>0</v>
      </c>
      <c r="V2240">
        <f>HLOOKUP("In Use MiB",'vInfo (Imported)'!$1:$5000,M2240,FALSE)</f>
        <v>0</v>
      </c>
    </row>
    <row r="2241" spans="1:22" ht="13" x14ac:dyDescent="0.3">
      <c r="A2241" s="46">
        <f>'vHosts (Imported)'!A2241</f>
        <v>0</v>
      </c>
      <c r="B2241" s="51">
        <f t="shared" si="105"/>
        <v>4968</v>
      </c>
      <c r="C2241" s="49">
        <f>HLOOKUP("# Cores",'vHosts (Imported)'!$1:$5000,M2241,FALSE)</f>
        <v>0</v>
      </c>
      <c r="D2241" s="52">
        <f>HLOOKUP("# Memory",'vHosts (Imported)'!$1:$5000,M2241,FALSE)</f>
        <v>0</v>
      </c>
      <c r="M2241" s="45">
        <f t="shared" si="104"/>
        <v>2241</v>
      </c>
      <c r="N2241" s="38">
        <f>HLOOKUP("Host",'vInfo (Imported)'!$1:$5000,M2241,FALSE)</f>
        <v>0</v>
      </c>
      <c r="R2241">
        <f>HLOOKUP("CPUs",'vInfo (Imported)'!$1:$5000,M2241,FALSE)</f>
        <v>0</v>
      </c>
      <c r="S2241">
        <f>HLOOKUP("Memory",'vInfo (Imported)'!$1:$5000,M2241,FALSE)</f>
        <v>0</v>
      </c>
      <c r="T2241">
        <f>HLOOKUP("Provisioned MiB",'vInfo (Imported)'!$1:$5000,M2241,FALSE)</f>
        <v>0</v>
      </c>
      <c r="U2241">
        <f t="shared" si="103"/>
        <v>0</v>
      </c>
      <c r="V2241">
        <f>HLOOKUP("In Use MiB",'vInfo (Imported)'!$1:$5000,M2241,FALSE)</f>
        <v>0</v>
      </c>
    </row>
    <row r="2242" spans="1:22" ht="13" x14ac:dyDescent="0.3">
      <c r="A2242" s="46">
        <f>'vHosts (Imported)'!A2242</f>
        <v>0</v>
      </c>
      <c r="B2242" s="51">
        <f t="shared" si="105"/>
        <v>4968</v>
      </c>
      <c r="C2242" s="49">
        <f>HLOOKUP("# Cores",'vHosts (Imported)'!$1:$5000,M2242,FALSE)</f>
        <v>0</v>
      </c>
      <c r="D2242" s="52">
        <f>HLOOKUP("# Memory",'vHosts (Imported)'!$1:$5000,M2242,FALSE)</f>
        <v>0</v>
      </c>
      <c r="M2242" s="45">
        <f t="shared" si="104"/>
        <v>2242</v>
      </c>
      <c r="N2242" s="38">
        <f>HLOOKUP("Host",'vInfo (Imported)'!$1:$5000,M2242,FALSE)</f>
        <v>0</v>
      </c>
      <c r="R2242">
        <f>HLOOKUP("CPUs",'vInfo (Imported)'!$1:$5000,M2242,FALSE)</f>
        <v>0</v>
      </c>
      <c r="S2242">
        <f>HLOOKUP("Memory",'vInfo (Imported)'!$1:$5000,M2242,FALSE)</f>
        <v>0</v>
      </c>
      <c r="T2242">
        <f>HLOOKUP("Provisioned MiB",'vInfo (Imported)'!$1:$5000,M2242,FALSE)</f>
        <v>0</v>
      </c>
      <c r="U2242">
        <f t="shared" si="103"/>
        <v>0</v>
      </c>
      <c r="V2242">
        <f>HLOOKUP("In Use MiB",'vInfo (Imported)'!$1:$5000,M2242,FALSE)</f>
        <v>0</v>
      </c>
    </row>
    <row r="2243" spans="1:22" ht="13" x14ac:dyDescent="0.3">
      <c r="A2243" s="46">
        <f>'vHosts (Imported)'!A2243</f>
        <v>0</v>
      </c>
      <c r="B2243" s="51">
        <f t="shared" si="105"/>
        <v>4968</v>
      </c>
      <c r="C2243" s="49">
        <f>HLOOKUP("# Cores",'vHosts (Imported)'!$1:$5000,M2243,FALSE)</f>
        <v>0</v>
      </c>
      <c r="D2243" s="52">
        <f>HLOOKUP("# Memory",'vHosts (Imported)'!$1:$5000,M2243,FALSE)</f>
        <v>0</v>
      </c>
      <c r="M2243" s="45">
        <f t="shared" si="104"/>
        <v>2243</v>
      </c>
      <c r="N2243" s="38">
        <f>HLOOKUP("Host",'vInfo (Imported)'!$1:$5000,M2243,FALSE)</f>
        <v>0</v>
      </c>
      <c r="R2243">
        <f>HLOOKUP("CPUs",'vInfo (Imported)'!$1:$5000,M2243,FALSE)</f>
        <v>0</v>
      </c>
      <c r="S2243">
        <f>HLOOKUP("Memory",'vInfo (Imported)'!$1:$5000,M2243,FALSE)</f>
        <v>0</v>
      </c>
      <c r="T2243">
        <f>HLOOKUP("Provisioned MiB",'vInfo (Imported)'!$1:$5000,M2243,FALSE)</f>
        <v>0</v>
      </c>
      <c r="U2243">
        <f t="shared" ref="U2243:U2306" si="106">T2243-V2243</f>
        <v>0</v>
      </c>
      <c r="V2243">
        <f>HLOOKUP("In Use MiB",'vInfo (Imported)'!$1:$5000,M2243,FALSE)</f>
        <v>0</v>
      </c>
    </row>
    <row r="2244" spans="1:22" ht="13" x14ac:dyDescent="0.3">
      <c r="A2244" s="46">
        <f>'vHosts (Imported)'!A2244</f>
        <v>0</v>
      </c>
      <c r="B2244" s="51">
        <f t="shared" si="105"/>
        <v>4968</v>
      </c>
      <c r="C2244" s="49">
        <f>HLOOKUP("# Cores",'vHosts (Imported)'!$1:$5000,M2244,FALSE)</f>
        <v>0</v>
      </c>
      <c r="D2244" s="52">
        <f>HLOOKUP("# Memory",'vHosts (Imported)'!$1:$5000,M2244,FALSE)</f>
        <v>0</v>
      </c>
      <c r="M2244" s="45">
        <f t="shared" ref="M2244:M2307" si="107">M2243+1</f>
        <v>2244</v>
      </c>
      <c r="N2244" s="38">
        <f>HLOOKUP("Host",'vInfo (Imported)'!$1:$5000,M2244,FALSE)</f>
        <v>0</v>
      </c>
      <c r="R2244">
        <f>HLOOKUP("CPUs",'vInfo (Imported)'!$1:$5000,M2244,FALSE)</f>
        <v>0</v>
      </c>
      <c r="S2244">
        <f>HLOOKUP("Memory",'vInfo (Imported)'!$1:$5000,M2244,FALSE)</f>
        <v>0</v>
      </c>
      <c r="T2244">
        <f>HLOOKUP("Provisioned MiB",'vInfo (Imported)'!$1:$5000,M2244,FALSE)</f>
        <v>0</v>
      </c>
      <c r="U2244">
        <f t="shared" si="106"/>
        <v>0</v>
      </c>
      <c r="V2244">
        <f>HLOOKUP("In Use MiB",'vInfo (Imported)'!$1:$5000,M2244,FALSE)</f>
        <v>0</v>
      </c>
    </row>
    <row r="2245" spans="1:22" ht="13" x14ac:dyDescent="0.3">
      <c r="A2245" s="46">
        <f>'vHosts (Imported)'!A2245</f>
        <v>0</v>
      </c>
      <c r="B2245" s="51">
        <f t="shared" si="105"/>
        <v>4968</v>
      </c>
      <c r="C2245" s="49">
        <f>HLOOKUP("# Cores",'vHosts (Imported)'!$1:$5000,M2245,FALSE)</f>
        <v>0</v>
      </c>
      <c r="D2245" s="52">
        <f>HLOOKUP("# Memory",'vHosts (Imported)'!$1:$5000,M2245,FALSE)</f>
        <v>0</v>
      </c>
      <c r="M2245" s="45">
        <f t="shared" si="107"/>
        <v>2245</v>
      </c>
      <c r="N2245" s="38">
        <f>HLOOKUP("Host",'vInfo (Imported)'!$1:$5000,M2245,FALSE)</f>
        <v>0</v>
      </c>
      <c r="R2245">
        <f>HLOOKUP("CPUs",'vInfo (Imported)'!$1:$5000,M2245,FALSE)</f>
        <v>0</v>
      </c>
      <c r="S2245">
        <f>HLOOKUP("Memory",'vInfo (Imported)'!$1:$5000,M2245,FALSE)</f>
        <v>0</v>
      </c>
      <c r="T2245">
        <f>HLOOKUP("Provisioned MiB",'vInfo (Imported)'!$1:$5000,M2245,FALSE)</f>
        <v>0</v>
      </c>
      <c r="U2245">
        <f t="shared" si="106"/>
        <v>0</v>
      </c>
      <c r="V2245">
        <f>HLOOKUP("In Use MiB",'vInfo (Imported)'!$1:$5000,M2245,FALSE)</f>
        <v>0</v>
      </c>
    </row>
    <row r="2246" spans="1:22" ht="13" x14ac:dyDescent="0.3">
      <c r="A2246" s="46">
        <f>'vHosts (Imported)'!A2246</f>
        <v>0</v>
      </c>
      <c r="B2246" s="51">
        <f t="shared" si="105"/>
        <v>4968</v>
      </c>
      <c r="C2246" s="49">
        <f>HLOOKUP("# Cores",'vHosts (Imported)'!$1:$5000,M2246,FALSE)</f>
        <v>0</v>
      </c>
      <c r="D2246" s="52">
        <f>HLOOKUP("# Memory",'vHosts (Imported)'!$1:$5000,M2246,FALSE)</f>
        <v>0</v>
      </c>
      <c r="M2246" s="45">
        <f t="shared" si="107"/>
        <v>2246</v>
      </c>
      <c r="N2246" s="38">
        <f>HLOOKUP("Host",'vInfo (Imported)'!$1:$5000,M2246,FALSE)</f>
        <v>0</v>
      </c>
      <c r="R2246">
        <f>HLOOKUP("CPUs",'vInfo (Imported)'!$1:$5000,M2246,FALSE)</f>
        <v>0</v>
      </c>
      <c r="S2246">
        <f>HLOOKUP("Memory",'vInfo (Imported)'!$1:$5000,M2246,FALSE)</f>
        <v>0</v>
      </c>
      <c r="T2246">
        <f>HLOOKUP("Provisioned MiB",'vInfo (Imported)'!$1:$5000,M2246,FALSE)</f>
        <v>0</v>
      </c>
      <c r="U2246">
        <f t="shared" si="106"/>
        <v>0</v>
      </c>
      <c r="V2246">
        <f>HLOOKUP("In Use MiB",'vInfo (Imported)'!$1:$5000,M2246,FALSE)</f>
        <v>0</v>
      </c>
    </row>
    <row r="2247" spans="1:22" ht="13" x14ac:dyDescent="0.3">
      <c r="A2247" s="46">
        <f>'vHosts (Imported)'!A2247</f>
        <v>0</v>
      </c>
      <c r="B2247" s="51">
        <f t="shared" si="105"/>
        <v>4968</v>
      </c>
      <c r="C2247" s="49">
        <f>HLOOKUP("# Cores",'vHosts (Imported)'!$1:$5000,M2247,FALSE)</f>
        <v>0</v>
      </c>
      <c r="D2247" s="52">
        <f>HLOOKUP("# Memory",'vHosts (Imported)'!$1:$5000,M2247,FALSE)</f>
        <v>0</v>
      </c>
      <c r="M2247" s="45">
        <f t="shared" si="107"/>
        <v>2247</v>
      </c>
      <c r="N2247" s="38">
        <f>HLOOKUP("Host",'vInfo (Imported)'!$1:$5000,M2247,FALSE)</f>
        <v>0</v>
      </c>
      <c r="R2247">
        <f>HLOOKUP("CPUs",'vInfo (Imported)'!$1:$5000,M2247,FALSE)</f>
        <v>0</v>
      </c>
      <c r="S2247">
        <f>HLOOKUP("Memory",'vInfo (Imported)'!$1:$5000,M2247,FALSE)</f>
        <v>0</v>
      </c>
      <c r="T2247">
        <f>HLOOKUP("Provisioned MiB",'vInfo (Imported)'!$1:$5000,M2247,FALSE)</f>
        <v>0</v>
      </c>
      <c r="U2247">
        <f t="shared" si="106"/>
        <v>0</v>
      </c>
      <c r="V2247">
        <f>HLOOKUP("In Use MiB",'vInfo (Imported)'!$1:$5000,M2247,FALSE)</f>
        <v>0</v>
      </c>
    </row>
    <row r="2248" spans="1:22" ht="13" x14ac:dyDescent="0.3">
      <c r="A2248" s="46">
        <f>'vHosts (Imported)'!A2248</f>
        <v>0</v>
      </c>
      <c r="B2248" s="51">
        <f t="shared" si="105"/>
        <v>4968</v>
      </c>
      <c r="C2248" s="49">
        <f>HLOOKUP("# Cores",'vHosts (Imported)'!$1:$5000,M2248,FALSE)</f>
        <v>0</v>
      </c>
      <c r="D2248" s="52">
        <f>HLOOKUP("# Memory",'vHosts (Imported)'!$1:$5000,M2248,FALSE)</f>
        <v>0</v>
      </c>
      <c r="M2248" s="45">
        <f t="shared" si="107"/>
        <v>2248</v>
      </c>
      <c r="N2248" s="38">
        <f>HLOOKUP("Host",'vInfo (Imported)'!$1:$5000,M2248,FALSE)</f>
        <v>0</v>
      </c>
      <c r="R2248">
        <f>HLOOKUP("CPUs",'vInfo (Imported)'!$1:$5000,M2248,FALSE)</f>
        <v>0</v>
      </c>
      <c r="S2248">
        <f>HLOOKUP("Memory",'vInfo (Imported)'!$1:$5000,M2248,FALSE)</f>
        <v>0</v>
      </c>
      <c r="T2248">
        <f>HLOOKUP("Provisioned MiB",'vInfo (Imported)'!$1:$5000,M2248,FALSE)</f>
        <v>0</v>
      </c>
      <c r="U2248">
        <f t="shared" si="106"/>
        <v>0</v>
      </c>
      <c r="V2248">
        <f>HLOOKUP("In Use MiB",'vInfo (Imported)'!$1:$5000,M2248,FALSE)</f>
        <v>0</v>
      </c>
    </row>
    <row r="2249" spans="1:22" ht="13" x14ac:dyDescent="0.3">
      <c r="A2249" s="46">
        <f>'vHosts (Imported)'!A2249</f>
        <v>0</v>
      </c>
      <c r="B2249" s="51">
        <f t="shared" si="105"/>
        <v>4968</v>
      </c>
      <c r="C2249" s="49">
        <f>HLOOKUP("# Cores",'vHosts (Imported)'!$1:$5000,M2249,FALSE)</f>
        <v>0</v>
      </c>
      <c r="D2249" s="52">
        <f>HLOOKUP("# Memory",'vHosts (Imported)'!$1:$5000,M2249,FALSE)</f>
        <v>0</v>
      </c>
      <c r="M2249" s="45">
        <f t="shared" si="107"/>
        <v>2249</v>
      </c>
      <c r="N2249" s="38">
        <f>HLOOKUP("Host",'vInfo (Imported)'!$1:$5000,M2249,FALSE)</f>
        <v>0</v>
      </c>
      <c r="R2249">
        <f>HLOOKUP("CPUs",'vInfo (Imported)'!$1:$5000,M2249,FALSE)</f>
        <v>0</v>
      </c>
      <c r="S2249">
        <f>HLOOKUP("Memory",'vInfo (Imported)'!$1:$5000,M2249,FALSE)</f>
        <v>0</v>
      </c>
      <c r="T2249">
        <f>HLOOKUP("Provisioned MiB",'vInfo (Imported)'!$1:$5000,M2249,FALSE)</f>
        <v>0</v>
      </c>
      <c r="U2249">
        <f t="shared" si="106"/>
        <v>0</v>
      </c>
      <c r="V2249">
        <f>HLOOKUP("In Use MiB",'vInfo (Imported)'!$1:$5000,M2249,FALSE)</f>
        <v>0</v>
      </c>
    </row>
    <row r="2250" spans="1:22" ht="13" x14ac:dyDescent="0.3">
      <c r="A2250" s="46">
        <f>'vHosts (Imported)'!A2250</f>
        <v>0</v>
      </c>
      <c r="B2250" s="51">
        <f t="shared" si="105"/>
        <v>4968</v>
      </c>
      <c r="C2250" s="49">
        <f>HLOOKUP("# Cores",'vHosts (Imported)'!$1:$5000,M2250,FALSE)</f>
        <v>0</v>
      </c>
      <c r="D2250" s="52">
        <f>HLOOKUP("# Memory",'vHosts (Imported)'!$1:$5000,M2250,FALSE)</f>
        <v>0</v>
      </c>
      <c r="M2250" s="45">
        <f t="shared" si="107"/>
        <v>2250</v>
      </c>
      <c r="N2250" s="38">
        <f>HLOOKUP("Host",'vInfo (Imported)'!$1:$5000,M2250,FALSE)</f>
        <v>0</v>
      </c>
      <c r="R2250">
        <f>HLOOKUP("CPUs",'vInfo (Imported)'!$1:$5000,M2250,FALSE)</f>
        <v>0</v>
      </c>
      <c r="S2250">
        <f>HLOOKUP("Memory",'vInfo (Imported)'!$1:$5000,M2250,FALSE)</f>
        <v>0</v>
      </c>
      <c r="T2250">
        <f>HLOOKUP("Provisioned MiB",'vInfo (Imported)'!$1:$5000,M2250,FALSE)</f>
        <v>0</v>
      </c>
      <c r="U2250">
        <f t="shared" si="106"/>
        <v>0</v>
      </c>
      <c r="V2250">
        <f>HLOOKUP("In Use MiB",'vInfo (Imported)'!$1:$5000,M2250,FALSE)</f>
        <v>0</v>
      </c>
    </row>
    <row r="2251" spans="1:22" ht="13" x14ac:dyDescent="0.3">
      <c r="A2251" s="46">
        <f>'vHosts (Imported)'!A2251</f>
        <v>0</v>
      </c>
      <c r="B2251" s="51">
        <f t="shared" si="105"/>
        <v>4968</v>
      </c>
      <c r="C2251" s="49">
        <f>HLOOKUP("# Cores",'vHosts (Imported)'!$1:$5000,M2251,FALSE)</f>
        <v>0</v>
      </c>
      <c r="D2251" s="52">
        <f>HLOOKUP("# Memory",'vHosts (Imported)'!$1:$5000,M2251,FALSE)</f>
        <v>0</v>
      </c>
      <c r="M2251" s="45">
        <f t="shared" si="107"/>
        <v>2251</v>
      </c>
      <c r="N2251" s="38">
        <f>HLOOKUP("Host",'vInfo (Imported)'!$1:$5000,M2251,FALSE)</f>
        <v>0</v>
      </c>
      <c r="R2251">
        <f>HLOOKUP("CPUs",'vInfo (Imported)'!$1:$5000,M2251,FALSE)</f>
        <v>0</v>
      </c>
      <c r="S2251">
        <f>HLOOKUP("Memory",'vInfo (Imported)'!$1:$5000,M2251,FALSE)</f>
        <v>0</v>
      </c>
      <c r="T2251">
        <f>HLOOKUP("Provisioned MiB",'vInfo (Imported)'!$1:$5000,M2251,FALSE)</f>
        <v>0</v>
      </c>
      <c r="U2251">
        <f t="shared" si="106"/>
        <v>0</v>
      </c>
      <c r="V2251">
        <f>HLOOKUP("In Use MiB",'vInfo (Imported)'!$1:$5000,M2251,FALSE)</f>
        <v>0</v>
      </c>
    </row>
    <row r="2252" spans="1:22" ht="13" x14ac:dyDescent="0.3">
      <c r="A2252" s="46">
        <f>'vHosts (Imported)'!A2252</f>
        <v>0</v>
      </c>
      <c r="B2252" s="51">
        <f t="shared" si="105"/>
        <v>4968</v>
      </c>
      <c r="C2252" s="49">
        <f>HLOOKUP("# Cores",'vHosts (Imported)'!$1:$5000,M2252,FALSE)</f>
        <v>0</v>
      </c>
      <c r="D2252" s="52">
        <f>HLOOKUP("# Memory",'vHosts (Imported)'!$1:$5000,M2252,FALSE)</f>
        <v>0</v>
      </c>
      <c r="M2252" s="45">
        <f t="shared" si="107"/>
        <v>2252</v>
      </c>
      <c r="N2252" s="38">
        <f>HLOOKUP("Host",'vInfo (Imported)'!$1:$5000,M2252,FALSE)</f>
        <v>0</v>
      </c>
      <c r="R2252">
        <f>HLOOKUP("CPUs",'vInfo (Imported)'!$1:$5000,M2252,FALSE)</f>
        <v>0</v>
      </c>
      <c r="S2252">
        <f>HLOOKUP("Memory",'vInfo (Imported)'!$1:$5000,M2252,FALSE)</f>
        <v>0</v>
      </c>
      <c r="T2252">
        <f>HLOOKUP("Provisioned MiB",'vInfo (Imported)'!$1:$5000,M2252,FALSE)</f>
        <v>0</v>
      </c>
      <c r="U2252">
        <f t="shared" si="106"/>
        <v>0</v>
      </c>
      <c r="V2252">
        <f>HLOOKUP("In Use MiB",'vInfo (Imported)'!$1:$5000,M2252,FALSE)</f>
        <v>0</v>
      </c>
    </row>
    <row r="2253" spans="1:22" ht="13" x14ac:dyDescent="0.3">
      <c r="A2253" s="46">
        <f>'vHosts (Imported)'!A2253</f>
        <v>0</v>
      </c>
      <c r="B2253" s="51">
        <f t="shared" si="105"/>
        <v>4968</v>
      </c>
      <c r="C2253" s="49">
        <f>HLOOKUP("# Cores",'vHosts (Imported)'!$1:$5000,M2253,FALSE)</f>
        <v>0</v>
      </c>
      <c r="D2253" s="52">
        <f>HLOOKUP("# Memory",'vHosts (Imported)'!$1:$5000,M2253,FALSE)</f>
        <v>0</v>
      </c>
      <c r="M2253" s="45">
        <f t="shared" si="107"/>
        <v>2253</v>
      </c>
      <c r="N2253" s="38">
        <f>HLOOKUP("Host",'vInfo (Imported)'!$1:$5000,M2253,FALSE)</f>
        <v>0</v>
      </c>
      <c r="R2253">
        <f>HLOOKUP("CPUs",'vInfo (Imported)'!$1:$5000,M2253,FALSE)</f>
        <v>0</v>
      </c>
      <c r="S2253">
        <f>HLOOKUP("Memory",'vInfo (Imported)'!$1:$5000,M2253,FALSE)</f>
        <v>0</v>
      </c>
      <c r="T2253">
        <f>HLOOKUP("Provisioned MiB",'vInfo (Imported)'!$1:$5000,M2253,FALSE)</f>
        <v>0</v>
      </c>
      <c r="U2253">
        <f t="shared" si="106"/>
        <v>0</v>
      </c>
      <c r="V2253">
        <f>HLOOKUP("In Use MiB",'vInfo (Imported)'!$1:$5000,M2253,FALSE)</f>
        <v>0</v>
      </c>
    </row>
    <row r="2254" spans="1:22" ht="13" x14ac:dyDescent="0.3">
      <c r="A2254" s="46">
        <f>'vHosts (Imported)'!A2254</f>
        <v>0</v>
      </c>
      <c r="B2254" s="51">
        <f t="shared" si="105"/>
        <v>4968</v>
      </c>
      <c r="C2254" s="49">
        <f>HLOOKUP("# Cores",'vHosts (Imported)'!$1:$5000,M2254,FALSE)</f>
        <v>0</v>
      </c>
      <c r="D2254" s="52">
        <f>HLOOKUP("# Memory",'vHosts (Imported)'!$1:$5000,M2254,FALSE)</f>
        <v>0</v>
      </c>
      <c r="M2254" s="45">
        <f t="shared" si="107"/>
        <v>2254</v>
      </c>
      <c r="N2254" s="38">
        <f>HLOOKUP("Host",'vInfo (Imported)'!$1:$5000,M2254,FALSE)</f>
        <v>0</v>
      </c>
      <c r="R2254">
        <f>HLOOKUP("CPUs",'vInfo (Imported)'!$1:$5000,M2254,FALSE)</f>
        <v>0</v>
      </c>
      <c r="S2254">
        <f>HLOOKUP("Memory",'vInfo (Imported)'!$1:$5000,M2254,FALSE)</f>
        <v>0</v>
      </c>
      <c r="T2254">
        <f>HLOOKUP("Provisioned MiB",'vInfo (Imported)'!$1:$5000,M2254,FALSE)</f>
        <v>0</v>
      </c>
      <c r="U2254">
        <f t="shared" si="106"/>
        <v>0</v>
      </c>
      <c r="V2254">
        <f>HLOOKUP("In Use MiB",'vInfo (Imported)'!$1:$5000,M2254,FALSE)</f>
        <v>0</v>
      </c>
    </row>
    <row r="2255" spans="1:22" ht="13" x14ac:dyDescent="0.3">
      <c r="A2255" s="46">
        <f>'vHosts (Imported)'!A2255</f>
        <v>0</v>
      </c>
      <c r="B2255" s="51">
        <f t="shared" si="105"/>
        <v>4968</v>
      </c>
      <c r="C2255" s="49">
        <f>HLOOKUP("# Cores",'vHosts (Imported)'!$1:$5000,M2255,FALSE)</f>
        <v>0</v>
      </c>
      <c r="D2255" s="52">
        <f>HLOOKUP("# Memory",'vHosts (Imported)'!$1:$5000,M2255,FALSE)</f>
        <v>0</v>
      </c>
      <c r="M2255" s="45">
        <f t="shared" si="107"/>
        <v>2255</v>
      </c>
      <c r="N2255" s="38">
        <f>HLOOKUP("Host",'vInfo (Imported)'!$1:$5000,M2255,FALSE)</f>
        <v>0</v>
      </c>
      <c r="R2255">
        <f>HLOOKUP("CPUs",'vInfo (Imported)'!$1:$5000,M2255,FALSE)</f>
        <v>0</v>
      </c>
      <c r="S2255">
        <f>HLOOKUP("Memory",'vInfo (Imported)'!$1:$5000,M2255,FALSE)</f>
        <v>0</v>
      </c>
      <c r="T2255">
        <f>HLOOKUP("Provisioned MiB",'vInfo (Imported)'!$1:$5000,M2255,FALSE)</f>
        <v>0</v>
      </c>
      <c r="U2255">
        <f t="shared" si="106"/>
        <v>0</v>
      </c>
      <c r="V2255">
        <f>HLOOKUP("In Use MiB",'vInfo (Imported)'!$1:$5000,M2255,FALSE)</f>
        <v>0</v>
      </c>
    </row>
    <row r="2256" spans="1:22" ht="13" x14ac:dyDescent="0.3">
      <c r="A2256" s="46">
        <f>'vHosts (Imported)'!A2256</f>
        <v>0</v>
      </c>
      <c r="B2256" s="51">
        <f t="shared" si="105"/>
        <v>4968</v>
      </c>
      <c r="C2256" s="49">
        <f>HLOOKUP("# Cores",'vHosts (Imported)'!$1:$5000,M2256,FALSE)</f>
        <v>0</v>
      </c>
      <c r="D2256" s="52">
        <f>HLOOKUP("# Memory",'vHosts (Imported)'!$1:$5000,M2256,FALSE)</f>
        <v>0</v>
      </c>
      <c r="M2256" s="45">
        <f t="shared" si="107"/>
        <v>2256</v>
      </c>
      <c r="N2256" s="38">
        <f>HLOOKUP("Host",'vInfo (Imported)'!$1:$5000,M2256,FALSE)</f>
        <v>0</v>
      </c>
      <c r="R2256">
        <f>HLOOKUP("CPUs",'vInfo (Imported)'!$1:$5000,M2256,FALSE)</f>
        <v>0</v>
      </c>
      <c r="S2256">
        <f>HLOOKUP("Memory",'vInfo (Imported)'!$1:$5000,M2256,FALSE)</f>
        <v>0</v>
      </c>
      <c r="T2256">
        <f>HLOOKUP("Provisioned MiB",'vInfo (Imported)'!$1:$5000,M2256,FALSE)</f>
        <v>0</v>
      </c>
      <c r="U2256">
        <f t="shared" si="106"/>
        <v>0</v>
      </c>
      <c r="V2256">
        <f>HLOOKUP("In Use MiB",'vInfo (Imported)'!$1:$5000,M2256,FALSE)</f>
        <v>0</v>
      </c>
    </row>
    <row r="2257" spans="1:22" ht="13" x14ac:dyDescent="0.3">
      <c r="A2257" s="46">
        <f>'vHosts (Imported)'!A2257</f>
        <v>0</v>
      </c>
      <c r="B2257" s="51">
        <f t="shared" si="105"/>
        <v>4968</v>
      </c>
      <c r="C2257" s="49">
        <f>HLOOKUP("# Cores",'vHosts (Imported)'!$1:$5000,M2257,FALSE)</f>
        <v>0</v>
      </c>
      <c r="D2257" s="52">
        <f>HLOOKUP("# Memory",'vHosts (Imported)'!$1:$5000,M2257,FALSE)</f>
        <v>0</v>
      </c>
      <c r="M2257" s="45">
        <f t="shared" si="107"/>
        <v>2257</v>
      </c>
      <c r="N2257" s="38">
        <f>HLOOKUP("Host",'vInfo (Imported)'!$1:$5000,M2257,FALSE)</f>
        <v>0</v>
      </c>
      <c r="R2257">
        <f>HLOOKUP("CPUs",'vInfo (Imported)'!$1:$5000,M2257,FALSE)</f>
        <v>0</v>
      </c>
      <c r="S2257">
        <f>HLOOKUP("Memory",'vInfo (Imported)'!$1:$5000,M2257,FALSE)</f>
        <v>0</v>
      </c>
      <c r="T2257">
        <f>HLOOKUP("Provisioned MiB",'vInfo (Imported)'!$1:$5000,M2257,FALSE)</f>
        <v>0</v>
      </c>
      <c r="U2257">
        <f t="shared" si="106"/>
        <v>0</v>
      </c>
      <c r="V2257">
        <f>HLOOKUP("In Use MiB",'vInfo (Imported)'!$1:$5000,M2257,FALSE)</f>
        <v>0</v>
      </c>
    </row>
    <row r="2258" spans="1:22" ht="13" x14ac:dyDescent="0.3">
      <c r="A2258" s="46">
        <f>'vHosts (Imported)'!A2258</f>
        <v>0</v>
      </c>
      <c r="B2258" s="51">
        <f t="shared" si="105"/>
        <v>4968</v>
      </c>
      <c r="C2258" s="49">
        <f>HLOOKUP("# Cores",'vHosts (Imported)'!$1:$5000,M2258,FALSE)</f>
        <v>0</v>
      </c>
      <c r="D2258" s="52">
        <f>HLOOKUP("# Memory",'vHosts (Imported)'!$1:$5000,M2258,FALSE)</f>
        <v>0</v>
      </c>
      <c r="M2258" s="45">
        <f t="shared" si="107"/>
        <v>2258</v>
      </c>
      <c r="N2258" s="38">
        <f>HLOOKUP("Host",'vInfo (Imported)'!$1:$5000,M2258,FALSE)</f>
        <v>0</v>
      </c>
      <c r="R2258">
        <f>HLOOKUP("CPUs",'vInfo (Imported)'!$1:$5000,M2258,FALSE)</f>
        <v>0</v>
      </c>
      <c r="S2258">
        <f>HLOOKUP("Memory",'vInfo (Imported)'!$1:$5000,M2258,FALSE)</f>
        <v>0</v>
      </c>
      <c r="T2258">
        <f>HLOOKUP("Provisioned MiB",'vInfo (Imported)'!$1:$5000,M2258,FALSE)</f>
        <v>0</v>
      </c>
      <c r="U2258">
        <f t="shared" si="106"/>
        <v>0</v>
      </c>
      <c r="V2258">
        <f>HLOOKUP("In Use MiB",'vInfo (Imported)'!$1:$5000,M2258,FALSE)</f>
        <v>0</v>
      </c>
    </row>
    <row r="2259" spans="1:22" ht="13" x14ac:dyDescent="0.3">
      <c r="A2259" s="46">
        <f>'vHosts (Imported)'!A2259</f>
        <v>0</v>
      </c>
      <c r="B2259" s="51">
        <f t="shared" si="105"/>
        <v>4968</v>
      </c>
      <c r="C2259" s="49">
        <f>HLOOKUP("# Cores",'vHosts (Imported)'!$1:$5000,M2259,FALSE)</f>
        <v>0</v>
      </c>
      <c r="D2259" s="52">
        <f>HLOOKUP("# Memory",'vHosts (Imported)'!$1:$5000,M2259,FALSE)</f>
        <v>0</v>
      </c>
      <c r="M2259" s="45">
        <f t="shared" si="107"/>
        <v>2259</v>
      </c>
      <c r="N2259" s="38">
        <f>HLOOKUP("Host",'vInfo (Imported)'!$1:$5000,M2259,FALSE)</f>
        <v>0</v>
      </c>
      <c r="R2259">
        <f>HLOOKUP("CPUs",'vInfo (Imported)'!$1:$5000,M2259,FALSE)</f>
        <v>0</v>
      </c>
      <c r="S2259">
        <f>HLOOKUP("Memory",'vInfo (Imported)'!$1:$5000,M2259,FALSE)</f>
        <v>0</v>
      </c>
      <c r="T2259">
        <f>HLOOKUP("Provisioned MiB",'vInfo (Imported)'!$1:$5000,M2259,FALSE)</f>
        <v>0</v>
      </c>
      <c r="U2259">
        <f t="shared" si="106"/>
        <v>0</v>
      </c>
      <c r="V2259">
        <f>HLOOKUP("In Use MiB",'vInfo (Imported)'!$1:$5000,M2259,FALSE)</f>
        <v>0</v>
      </c>
    </row>
    <row r="2260" spans="1:22" ht="13" x14ac:dyDescent="0.3">
      <c r="A2260" s="46">
        <f>'vHosts (Imported)'!A2260</f>
        <v>0</v>
      </c>
      <c r="B2260" s="51">
        <f t="shared" si="105"/>
        <v>4968</v>
      </c>
      <c r="C2260" s="49">
        <f>HLOOKUP("# Cores",'vHosts (Imported)'!$1:$5000,M2260,FALSE)</f>
        <v>0</v>
      </c>
      <c r="D2260" s="52">
        <f>HLOOKUP("# Memory",'vHosts (Imported)'!$1:$5000,M2260,FALSE)</f>
        <v>0</v>
      </c>
      <c r="M2260" s="45">
        <f t="shared" si="107"/>
        <v>2260</v>
      </c>
      <c r="N2260" s="38">
        <f>HLOOKUP("Host",'vInfo (Imported)'!$1:$5000,M2260,FALSE)</f>
        <v>0</v>
      </c>
      <c r="R2260">
        <f>HLOOKUP("CPUs",'vInfo (Imported)'!$1:$5000,M2260,FALSE)</f>
        <v>0</v>
      </c>
      <c r="S2260">
        <f>HLOOKUP("Memory",'vInfo (Imported)'!$1:$5000,M2260,FALSE)</f>
        <v>0</v>
      </c>
      <c r="T2260">
        <f>HLOOKUP("Provisioned MiB",'vInfo (Imported)'!$1:$5000,M2260,FALSE)</f>
        <v>0</v>
      </c>
      <c r="U2260">
        <f t="shared" si="106"/>
        <v>0</v>
      </c>
      <c r="V2260">
        <f>HLOOKUP("In Use MiB",'vInfo (Imported)'!$1:$5000,M2260,FALSE)</f>
        <v>0</v>
      </c>
    </row>
    <row r="2261" spans="1:22" ht="13" x14ac:dyDescent="0.3">
      <c r="A2261" s="46">
        <f>'vHosts (Imported)'!A2261</f>
        <v>0</v>
      </c>
      <c r="B2261" s="51">
        <f t="shared" si="105"/>
        <v>4968</v>
      </c>
      <c r="C2261" s="49">
        <f>HLOOKUP("# Cores",'vHosts (Imported)'!$1:$5000,M2261,FALSE)</f>
        <v>0</v>
      </c>
      <c r="D2261" s="52">
        <f>HLOOKUP("# Memory",'vHosts (Imported)'!$1:$5000,M2261,FALSE)</f>
        <v>0</v>
      </c>
      <c r="M2261" s="45">
        <f t="shared" si="107"/>
        <v>2261</v>
      </c>
      <c r="N2261" s="38">
        <f>HLOOKUP("Host",'vInfo (Imported)'!$1:$5000,M2261,FALSE)</f>
        <v>0</v>
      </c>
      <c r="R2261">
        <f>HLOOKUP("CPUs",'vInfo (Imported)'!$1:$5000,M2261,FALSE)</f>
        <v>0</v>
      </c>
      <c r="S2261">
        <f>HLOOKUP("Memory",'vInfo (Imported)'!$1:$5000,M2261,FALSE)</f>
        <v>0</v>
      </c>
      <c r="T2261">
        <f>HLOOKUP("Provisioned MiB",'vInfo (Imported)'!$1:$5000,M2261,FALSE)</f>
        <v>0</v>
      </c>
      <c r="U2261">
        <f t="shared" si="106"/>
        <v>0</v>
      </c>
      <c r="V2261">
        <f>HLOOKUP("In Use MiB",'vInfo (Imported)'!$1:$5000,M2261,FALSE)</f>
        <v>0</v>
      </c>
    </row>
    <row r="2262" spans="1:22" ht="13" x14ac:dyDescent="0.3">
      <c r="A2262" s="46">
        <f>'vHosts (Imported)'!A2262</f>
        <v>0</v>
      </c>
      <c r="B2262" s="51">
        <f t="shared" si="105"/>
        <v>4968</v>
      </c>
      <c r="C2262" s="49">
        <f>HLOOKUP("# Cores",'vHosts (Imported)'!$1:$5000,M2262,FALSE)</f>
        <v>0</v>
      </c>
      <c r="D2262" s="52">
        <f>HLOOKUP("# Memory",'vHosts (Imported)'!$1:$5000,M2262,FALSE)</f>
        <v>0</v>
      </c>
      <c r="M2262" s="45">
        <f t="shared" si="107"/>
        <v>2262</v>
      </c>
      <c r="N2262" s="38">
        <f>HLOOKUP("Host",'vInfo (Imported)'!$1:$5000,M2262,FALSE)</f>
        <v>0</v>
      </c>
      <c r="R2262">
        <f>HLOOKUP("CPUs",'vInfo (Imported)'!$1:$5000,M2262,FALSE)</f>
        <v>0</v>
      </c>
      <c r="S2262">
        <f>HLOOKUP("Memory",'vInfo (Imported)'!$1:$5000,M2262,FALSE)</f>
        <v>0</v>
      </c>
      <c r="T2262">
        <f>HLOOKUP("Provisioned MiB",'vInfo (Imported)'!$1:$5000,M2262,FALSE)</f>
        <v>0</v>
      </c>
      <c r="U2262">
        <f t="shared" si="106"/>
        <v>0</v>
      </c>
      <c r="V2262">
        <f>HLOOKUP("In Use MiB",'vInfo (Imported)'!$1:$5000,M2262,FALSE)</f>
        <v>0</v>
      </c>
    </row>
    <row r="2263" spans="1:22" ht="13" x14ac:dyDescent="0.3">
      <c r="A2263" s="46">
        <f>'vHosts (Imported)'!A2263</f>
        <v>0</v>
      </c>
      <c r="B2263" s="51">
        <f t="shared" si="105"/>
        <v>4968</v>
      </c>
      <c r="C2263" s="49">
        <f>HLOOKUP("# Cores",'vHosts (Imported)'!$1:$5000,M2263,FALSE)</f>
        <v>0</v>
      </c>
      <c r="D2263" s="52">
        <f>HLOOKUP("# Memory",'vHosts (Imported)'!$1:$5000,M2263,FALSE)</f>
        <v>0</v>
      </c>
      <c r="M2263" s="45">
        <f t="shared" si="107"/>
        <v>2263</v>
      </c>
      <c r="N2263" s="38">
        <f>HLOOKUP("Host",'vInfo (Imported)'!$1:$5000,M2263,FALSE)</f>
        <v>0</v>
      </c>
      <c r="R2263">
        <f>HLOOKUP("CPUs",'vInfo (Imported)'!$1:$5000,M2263,FALSE)</f>
        <v>0</v>
      </c>
      <c r="S2263">
        <f>HLOOKUP("Memory",'vInfo (Imported)'!$1:$5000,M2263,FALSE)</f>
        <v>0</v>
      </c>
      <c r="T2263">
        <f>HLOOKUP("Provisioned MiB",'vInfo (Imported)'!$1:$5000,M2263,FALSE)</f>
        <v>0</v>
      </c>
      <c r="U2263">
        <f t="shared" si="106"/>
        <v>0</v>
      </c>
      <c r="V2263">
        <f>HLOOKUP("In Use MiB",'vInfo (Imported)'!$1:$5000,M2263,FALSE)</f>
        <v>0</v>
      </c>
    </row>
    <row r="2264" spans="1:22" ht="13" x14ac:dyDescent="0.3">
      <c r="A2264" s="46">
        <f>'vHosts (Imported)'!A2264</f>
        <v>0</v>
      </c>
      <c r="B2264" s="51">
        <f t="shared" si="105"/>
        <v>4968</v>
      </c>
      <c r="C2264" s="49">
        <f>HLOOKUP("# Cores",'vHosts (Imported)'!$1:$5000,M2264,FALSE)</f>
        <v>0</v>
      </c>
      <c r="D2264" s="52">
        <f>HLOOKUP("# Memory",'vHosts (Imported)'!$1:$5000,M2264,FALSE)</f>
        <v>0</v>
      </c>
      <c r="M2264" s="45">
        <f t="shared" si="107"/>
        <v>2264</v>
      </c>
      <c r="N2264" s="38">
        <f>HLOOKUP("Host",'vInfo (Imported)'!$1:$5000,M2264,FALSE)</f>
        <v>0</v>
      </c>
      <c r="R2264">
        <f>HLOOKUP("CPUs",'vInfo (Imported)'!$1:$5000,M2264,FALSE)</f>
        <v>0</v>
      </c>
      <c r="S2264">
        <f>HLOOKUP("Memory",'vInfo (Imported)'!$1:$5000,M2264,FALSE)</f>
        <v>0</v>
      </c>
      <c r="T2264">
        <f>HLOOKUP("Provisioned MiB",'vInfo (Imported)'!$1:$5000,M2264,FALSE)</f>
        <v>0</v>
      </c>
      <c r="U2264">
        <f t="shared" si="106"/>
        <v>0</v>
      </c>
      <c r="V2264">
        <f>HLOOKUP("In Use MiB",'vInfo (Imported)'!$1:$5000,M2264,FALSE)</f>
        <v>0</v>
      </c>
    </row>
    <row r="2265" spans="1:22" ht="13" x14ac:dyDescent="0.3">
      <c r="A2265" s="46">
        <f>'vHosts (Imported)'!A2265</f>
        <v>0</v>
      </c>
      <c r="B2265" s="51">
        <f t="shared" si="105"/>
        <v>4968</v>
      </c>
      <c r="C2265" s="49">
        <f>HLOOKUP("# Cores",'vHosts (Imported)'!$1:$5000,M2265,FALSE)</f>
        <v>0</v>
      </c>
      <c r="D2265" s="52">
        <f>HLOOKUP("# Memory",'vHosts (Imported)'!$1:$5000,M2265,FALSE)</f>
        <v>0</v>
      </c>
      <c r="M2265" s="45">
        <f t="shared" si="107"/>
        <v>2265</v>
      </c>
      <c r="N2265" s="38">
        <f>HLOOKUP("Host",'vInfo (Imported)'!$1:$5000,M2265,FALSE)</f>
        <v>0</v>
      </c>
      <c r="R2265">
        <f>HLOOKUP("CPUs",'vInfo (Imported)'!$1:$5000,M2265,FALSE)</f>
        <v>0</v>
      </c>
      <c r="S2265">
        <f>HLOOKUP("Memory",'vInfo (Imported)'!$1:$5000,M2265,FALSE)</f>
        <v>0</v>
      </c>
      <c r="T2265">
        <f>HLOOKUP("Provisioned MiB",'vInfo (Imported)'!$1:$5000,M2265,FALSE)</f>
        <v>0</v>
      </c>
      <c r="U2265">
        <f t="shared" si="106"/>
        <v>0</v>
      </c>
      <c r="V2265">
        <f>HLOOKUP("In Use MiB",'vInfo (Imported)'!$1:$5000,M2265,FALSE)</f>
        <v>0</v>
      </c>
    </row>
    <row r="2266" spans="1:22" ht="13" x14ac:dyDescent="0.3">
      <c r="A2266" s="46">
        <f>'vHosts (Imported)'!A2266</f>
        <v>0</v>
      </c>
      <c r="B2266" s="51">
        <f t="shared" si="105"/>
        <v>4968</v>
      </c>
      <c r="C2266" s="49">
        <f>HLOOKUP("# Cores",'vHosts (Imported)'!$1:$5000,M2266,FALSE)</f>
        <v>0</v>
      </c>
      <c r="D2266" s="52">
        <f>HLOOKUP("# Memory",'vHosts (Imported)'!$1:$5000,M2266,FALSE)</f>
        <v>0</v>
      </c>
      <c r="M2266" s="45">
        <f t="shared" si="107"/>
        <v>2266</v>
      </c>
      <c r="N2266" s="38">
        <f>HLOOKUP("Host",'vInfo (Imported)'!$1:$5000,M2266,FALSE)</f>
        <v>0</v>
      </c>
      <c r="R2266">
        <f>HLOOKUP("CPUs",'vInfo (Imported)'!$1:$5000,M2266,FALSE)</f>
        <v>0</v>
      </c>
      <c r="S2266">
        <f>HLOOKUP("Memory",'vInfo (Imported)'!$1:$5000,M2266,FALSE)</f>
        <v>0</v>
      </c>
      <c r="T2266">
        <f>HLOOKUP("Provisioned MiB",'vInfo (Imported)'!$1:$5000,M2266,FALSE)</f>
        <v>0</v>
      </c>
      <c r="U2266">
        <f t="shared" si="106"/>
        <v>0</v>
      </c>
      <c r="V2266">
        <f>HLOOKUP("In Use MiB",'vInfo (Imported)'!$1:$5000,M2266,FALSE)</f>
        <v>0</v>
      </c>
    </row>
    <row r="2267" spans="1:22" ht="13" x14ac:dyDescent="0.3">
      <c r="A2267" s="46">
        <f>'vHosts (Imported)'!A2267</f>
        <v>0</v>
      </c>
      <c r="B2267" s="51">
        <f t="shared" si="105"/>
        <v>4968</v>
      </c>
      <c r="C2267" s="49">
        <f>HLOOKUP("# Cores",'vHosts (Imported)'!$1:$5000,M2267,FALSE)</f>
        <v>0</v>
      </c>
      <c r="D2267" s="52">
        <f>HLOOKUP("# Memory",'vHosts (Imported)'!$1:$5000,M2267,FALSE)</f>
        <v>0</v>
      </c>
      <c r="M2267" s="45">
        <f t="shared" si="107"/>
        <v>2267</v>
      </c>
      <c r="N2267" s="38">
        <f>HLOOKUP("Host",'vInfo (Imported)'!$1:$5000,M2267,FALSE)</f>
        <v>0</v>
      </c>
      <c r="R2267">
        <f>HLOOKUP("CPUs",'vInfo (Imported)'!$1:$5000,M2267,FALSE)</f>
        <v>0</v>
      </c>
      <c r="S2267">
        <f>HLOOKUP("Memory",'vInfo (Imported)'!$1:$5000,M2267,FALSE)</f>
        <v>0</v>
      </c>
      <c r="T2267">
        <f>HLOOKUP("Provisioned MiB",'vInfo (Imported)'!$1:$5000,M2267,FALSE)</f>
        <v>0</v>
      </c>
      <c r="U2267">
        <f t="shared" si="106"/>
        <v>0</v>
      </c>
      <c r="V2267">
        <f>HLOOKUP("In Use MiB",'vInfo (Imported)'!$1:$5000,M2267,FALSE)</f>
        <v>0</v>
      </c>
    </row>
    <row r="2268" spans="1:22" ht="13" x14ac:dyDescent="0.3">
      <c r="A2268" s="46">
        <f>'vHosts (Imported)'!A2268</f>
        <v>0</v>
      </c>
      <c r="B2268" s="51">
        <f t="shared" si="105"/>
        <v>4968</v>
      </c>
      <c r="C2268" s="49">
        <f>HLOOKUP("# Cores",'vHosts (Imported)'!$1:$5000,M2268,FALSE)</f>
        <v>0</v>
      </c>
      <c r="D2268" s="52">
        <f>HLOOKUP("# Memory",'vHosts (Imported)'!$1:$5000,M2268,FALSE)</f>
        <v>0</v>
      </c>
      <c r="M2268" s="45">
        <f t="shared" si="107"/>
        <v>2268</v>
      </c>
      <c r="N2268" s="38">
        <f>HLOOKUP("Host",'vInfo (Imported)'!$1:$5000,M2268,FALSE)</f>
        <v>0</v>
      </c>
      <c r="R2268">
        <f>HLOOKUP("CPUs",'vInfo (Imported)'!$1:$5000,M2268,FALSE)</f>
        <v>0</v>
      </c>
      <c r="S2268">
        <f>HLOOKUP("Memory",'vInfo (Imported)'!$1:$5000,M2268,FALSE)</f>
        <v>0</v>
      </c>
      <c r="T2268">
        <f>HLOOKUP("Provisioned MiB",'vInfo (Imported)'!$1:$5000,M2268,FALSE)</f>
        <v>0</v>
      </c>
      <c r="U2268">
        <f t="shared" si="106"/>
        <v>0</v>
      </c>
      <c r="V2268">
        <f>HLOOKUP("In Use MiB",'vInfo (Imported)'!$1:$5000,M2268,FALSE)</f>
        <v>0</v>
      </c>
    </row>
    <row r="2269" spans="1:22" ht="13" x14ac:dyDescent="0.3">
      <c r="A2269" s="46">
        <f>'vHosts (Imported)'!A2269</f>
        <v>0</v>
      </c>
      <c r="B2269" s="51">
        <f t="shared" si="105"/>
        <v>4968</v>
      </c>
      <c r="C2269" s="49">
        <f>HLOOKUP("# Cores",'vHosts (Imported)'!$1:$5000,M2269,FALSE)</f>
        <v>0</v>
      </c>
      <c r="D2269" s="52">
        <f>HLOOKUP("# Memory",'vHosts (Imported)'!$1:$5000,M2269,FALSE)</f>
        <v>0</v>
      </c>
      <c r="M2269" s="45">
        <f t="shared" si="107"/>
        <v>2269</v>
      </c>
      <c r="N2269" s="38">
        <f>HLOOKUP("Host",'vInfo (Imported)'!$1:$5000,M2269,FALSE)</f>
        <v>0</v>
      </c>
      <c r="R2269">
        <f>HLOOKUP("CPUs",'vInfo (Imported)'!$1:$5000,M2269,FALSE)</f>
        <v>0</v>
      </c>
      <c r="S2269">
        <f>HLOOKUP("Memory",'vInfo (Imported)'!$1:$5000,M2269,FALSE)</f>
        <v>0</v>
      </c>
      <c r="T2269">
        <f>HLOOKUP("Provisioned MiB",'vInfo (Imported)'!$1:$5000,M2269,FALSE)</f>
        <v>0</v>
      </c>
      <c r="U2269">
        <f t="shared" si="106"/>
        <v>0</v>
      </c>
      <c r="V2269">
        <f>HLOOKUP("In Use MiB",'vInfo (Imported)'!$1:$5000,M2269,FALSE)</f>
        <v>0</v>
      </c>
    </row>
    <row r="2270" spans="1:22" ht="13" x14ac:dyDescent="0.3">
      <c r="A2270" s="46">
        <f>'vHosts (Imported)'!A2270</f>
        <v>0</v>
      </c>
      <c r="B2270" s="51">
        <f t="shared" si="105"/>
        <v>4968</v>
      </c>
      <c r="C2270" s="49">
        <f>HLOOKUP("# Cores",'vHosts (Imported)'!$1:$5000,M2270,FALSE)</f>
        <v>0</v>
      </c>
      <c r="D2270" s="52">
        <f>HLOOKUP("# Memory",'vHosts (Imported)'!$1:$5000,M2270,FALSE)</f>
        <v>0</v>
      </c>
      <c r="M2270" s="45">
        <f t="shared" si="107"/>
        <v>2270</v>
      </c>
      <c r="N2270" s="38">
        <f>HLOOKUP("Host",'vInfo (Imported)'!$1:$5000,M2270,FALSE)</f>
        <v>0</v>
      </c>
      <c r="R2270">
        <f>HLOOKUP("CPUs",'vInfo (Imported)'!$1:$5000,M2270,FALSE)</f>
        <v>0</v>
      </c>
      <c r="S2270">
        <f>HLOOKUP("Memory",'vInfo (Imported)'!$1:$5000,M2270,FALSE)</f>
        <v>0</v>
      </c>
      <c r="T2270">
        <f>HLOOKUP("Provisioned MiB",'vInfo (Imported)'!$1:$5000,M2270,FALSE)</f>
        <v>0</v>
      </c>
      <c r="U2270">
        <f t="shared" si="106"/>
        <v>0</v>
      </c>
      <c r="V2270">
        <f>HLOOKUP("In Use MiB",'vInfo (Imported)'!$1:$5000,M2270,FALSE)</f>
        <v>0</v>
      </c>
    </row>
    <row r="2271" spans="1:22" ht="13" x14ac:dyDescent="0.3">
      <c r="A2271" s="46">
        <f>'vHosts (Imported)'!A2271</f>
        <v>0</v>
      </c>
      <c r="B2271" s="51">
        <f t="shared" si="105"/>
        <v>4968</v>
      </c>
      <c r="C2271" s="49">
        <f>HLOOKUP("# Cores",'vHosts (Imported)'!$1:$5000,M2271,FALSE)</f>
        <v>0</v>
      </c>
      <c r="D2271" s="52">
        <f>HLOOKUP("# Memory",'vHosts (Imported)'!$1:$5000,M2271,FALSE)</f>
        <v>0</v>
      </c>
      <c r="M2271" s="45">
        <f t="shared" si="107"/>
        <v>2271</v>
      </c>
      <c r="N2271" s="38">
        <f>HLOOKUP("Host",'vInfo (Imported)'!$1:$5000,M2271,FALSE)</f>
        <v>0</v>
      </c>
      <c r="R2271">
        <f>HLOOKUP("CPUs",'vInfo (Imported)'!$1:$5000,M2271,FALSE)</f>
        <v>0</v>
      </c>
      <c r="S2271">
        <f>HLOOKUP("Memory",'vInfo (Imported)'!$1:$5000,M2271,FALSE)</f>
        <v>0</v>
      </c>
      <c r="T2271">
        <f>HLOOKUP("Provisioned MiB",'vInfo (Imported)'!$1:$5000,M2271,FALSE)</f>
        <v>0</v>
      </c>
      <c r="U2271">
        <f t="shared" si="106"/>
        <v>0</v>
      </c>
      <c r="V2271">
        <f>HLOOKUP("In Use MiB",'vInfo (Imported)'!$1:$5000,M2271,FALSE)</f>
        <v>0</v>
      </c>
    </row>
    <row r="2272" spans="1:22" ht="13" x14ac:dyDescent="0.3">
      <c r="A2272" s="46">
        <f>'vHosts (Imported)'!A2272</f>
        <v>0</v>
      </c>
      <c r="B2272" s="51">
        <f t="shared" si="105"/>
        <v>4968</v>
      </c>
      <c r="C2272" s="49">
        <f>HLOOKUP("# Cores",'vHosts (Imported)'!$1:$5000,M2272,FALSE)</f>
        <v>0</v>
      </c>
      <c r="D2272" s="52">
        <f>HLOOKUP("# Memory",'vHosts (Imported)'!$1:$5000,M2272,FALSE)</f>
        <v>0</v>
      </c>
      <c r="M2272" s="45">
        <f t="shared" si="107"/>
        <v>2272</v>
      </c>
      <c r="N2272" s="38">
        <f>HLOOKUP("Host",'vInfo (Imported)'!$1:$5000,M2272,FALSE)</f>
        <v>0</v>
      </c>
      <c r="R2272">
        <f>HLOOKUP("CPUs",'vInfo (Imported)'!$1:$5000,M2272,FALSE)</f>
        <v>0</v>
      </c>
      <c r="S2272">
        <f>HLOOKUP("Memory",'vInfo (Imported)'!$1:$5000,M2272,FALSE)</f>
        <v>0</v>
      </c>
      <c r="T2272">
        <f>HLOOKUP("Provisioned MiB",'vInfo (Imported)'!$1:$5000,M2272,FALSE)</f>
        <v>0</v>
      </c>
      <c r="U2272">
        <f t="shared" si="106"/>
        <v>0</v>
      </c>
      <c r="V2272">
        <f>HLOOKUP("In Use MiB",'vInfo (Imported)'!$1:$5000,M2272,FALSE)</f>
        <v>0</v>
      </c>
    </row>
    <row r="2273" spans="1:22" ht="13" x14ac:dyDescent="0.3">
      <c r="A2273" s="46">
        <f>'vHosts (Imported)'!A2273</f>
        <v>0</v>
      </c>
      <c r="B2273" s="51">
        <f t="shared" si="105"/>
        <v>4968</v>
      </c>
      <c r="C2273" s="49">
        <f>HLOOKUP("# Cores",'vHosts (Imported)'!$1:$5000,M2273,FALSE)</f>
        <v>0</v>
      </c>
      <c r="D2273" s="52">
        <f>HLOOKUP("# Memory",'vHosts (Imported)'!$1:$5000,M2273,FALSE)</f>
        <v>0</v>
      </c>
      <c r="M2273" s="45">
        <f t="shared" si="107"/>
        <v>2273</v>
      </c>
      <c r="N2273" s="38">
        <f>HLOOKUP("Host",'vInfo (Imported)'!$1:$5000,M2273,FALSE)</f>
        <v>0</v>
      </c>
      <c r="R2273">
        <f>HLOOKUP("CPUs",'vInfo (Imported)'!$1:$5000,M2273,FALSE)</f>
        <v>0</v>
      </c>
      <c r="S2273">
        <f>HLOOKUP("Memory",'vInfo (Imported)'!$1:$5000,M2273,FALSE)</f>
        <v>0</v>
      </c>
      <c r="T2273">
        <f>HLOOKUP("Provisioned MiB",'vInfo (Imported)'!$1:$5000,M2273,FALSE)</f>
        <v>0</v>
      </c>
      <c r="U2273">
        <f t="shared" si="106"/>
        <v>0</v>
      </c>
      <c r="V2273">
        <f>HLOOKUP("In Use MiB",'vInfo (Imported)'!$1:$5000,M2273,FALSE)</f>
        <v>0</v>
      </c>
    </row>
    <row r="2274" spans="1:22" ht="13" x14ac:dyDescent="0.3">
      <c r="A2274" s="46">
        <f>'vHosts (Imported)'!A2274</f>
        <v>0</v>
      </c>
      <c r="B2274" s="51">
        <f t="shared" si="105"/>
        <v>4968</v>
      </c>
      <c r="C2274" s="49">
        <f>HLOOKUP("# Cores",'vHosts (Imported)'!$1:$5000,M2274,FALSE)</f>
        <v>0</v>
      </c>
      <c r="D2274" s="52">
        <f>HLOOKUP("# Memory",'vHosts (Imported)'!$1:$5000,M2274,FALSE)</f>
        <v>0</v>
      </c>
      <c r="M2274" s="45">
        <f t="shared" si="107"/>
        <v>2274</v>
      </c>
      <c r="N2274" s="38">
        <f>HLOOKUP("Host",'vInfo (Imported)'!$1:$5000,M2274,FALSE)</f>
        <v>0</v>
      </c>
      <c r="R2274">
        <f>HLOOKUP("CPUs",'vInfo (Imported)'!$1:$5000,M2274,FALSE)</f>
        <v>0</v>
      </c>
      <c r="S2274">
        <f>HLOOKUP("Memory",'vInfo (Imported)'!$1:$5000,M2274,FALSE)</f>
        <v>0</v>
      </c>
      <c r="T2274">
        <f>HLOOKUP("Provisioned MiB",'vInfo (Imported)'!$1:$5000,M2274,FALSE)</f>
        <v>0</v>
      </c>
      <c r="U2274">
        <f t="shared" si="106"/>
        <v>0</v>
      </c>
      <c r="V2274">
        <f>HLOOKUP("In Use MiB",'vInfo (Imported)'!$1:$5000,M2274,FALSE)</f>
        <v>0</v>
      </c>
    </row>
    <row r="2275" spans="1:22" ht="13" x14ac:dyDescent="0.3">
      <c r="A2275" s="46">
        <f>'vHosts (Imported)'!A2275</f>
        <v>0</v>
      </c>
      <c r="B2275" s="51">
        <f t="shared" si="105"/>
        <v>4968</v>
      </c>
      <c r="C2275" s="49">
        <f>HLOOKUP("# Cores",'vHosts (Imported)'!$1:$5000,M2275,FALSE)</f>
        <v>0</v>
      </c>
      <c r="D2275" s="52">
        <f>HLOOKUP("# Memory",'vHosts (Imported)'!$1:$5000,M2275,FALSE)</f>
        <v>0</v>
      </c>
      <c r="M2275" s="45">
        <f t="shared" si="107"/>
        <v>2275</v>
      </c>
      <c r="N2275" s="38">
        <f>HLOOKUP("Host",'vInfo (Imported)'!$1:$5000,M2275,FALSE)</f>
        <v>0</v>
      </c>
      <c r="R2275">
        <f>HLOOKUP("CPUs",'vInfo (Imported)'!$1:$5000,M2275,FALSE)</f>
        <v>0</v>
      </c>
      <c r="S2275">
        <f>HLOOKUP("Memory",'vInfo (Imported)'!$1:$5000,M2275,FALSE)</f>
        <v>0</v>
      </c>
      <c r="T2275">
        <f>HLOOKUP("Provisioned MiB",'vInfo (Imported)'!$1:$5000,M2275,FALSE)</f>
        <v>0</v>
      </c>
      <c r="U2275">
        <f t="shared" si="106"/>
        <v>0</v>
      </c>
      <c r="V2275">
        <f>HLOOKUP("In Use MiB",'vInfo (Imported)'!$1:$5000,M2275,FALSE)</f>
        <v>0</v>
      </c>
    </row>
    <row r="2276" spans="1:22" ht="13" x14ac:dyDescent="0.3">
      <c r="A2276" s="46">
        <f>'vHosts (Imported)'!A2276</f>
        <v>0</v>
      </c>
      <c r="B2276" s="51">
        <f t="shared" si="105"/>
        <v>4968</v>
      </c>
      <c r="C2276" s="49">
        <f>HLOOKUP("# Cores",'vHosts (Imported)'!$1:$5000,M2276,FALSE)</f>
        <v>0</v>
      </c>
      <c r="D2276" s="52">
        <f>HLOOKUP("# Memory",'vHosts (Imported)'!$1:$5000,M2276,FALSE)</f>
        <v>0</v>
      </c>
      <c r="M2276" s="45">
        <f t="shared" si="107"/>
        <v>2276</v>
      </c>
      <c r="N2276" s="38">
        <f>HLOOKUP("Host",'vInfo (Imported)'!$1:$5000,M2276,FALSE)</f>
        <v>0</v>
      </c>
      <c r="R2276">
        <f>HLOOKUP("CPUs",'vInfo (Imported)'!$1:$5000,M2276,FALSE)</f>
        <v>0</v>
      </c>
      <c r="S2276">
        <f>HLOOKUP("Memory",'vInfo (Imported)'!$1:$5000,M2276,FALSE)</f>
        <v>0</v>
      </c>
      <c r="T2276">
        <f>HLOOKUP("Provisioned MiB",'vInfo (Imported)'!$1:$5000,M2276,FALSE)</f>
        <v>0</v>
      </c>
      <c r="U2276">
        <f t="shared" si="106"/>
        <v>0</v>
      </c>
      <c r="V2276">
        <f>HLOOKUP("In Use MiB",'vInfo (Imported)'!$1:$5000,M2276,FALSE)</f>
        <v>0</v>
      </c>
    </row>
    <row r="2277" spans="1:22" ht="13" x14ac:dyDescent="0.3">
      <c r="A2277" s="46">
        <f>'vHosts (Imported)'!A2277</f>
        <v>0</v>
      </c>
      <c r="B2277" s="51">
        <f t="shared" si="105"/>
        <v>4968</v>
      </c>
      <c r="C2277" s="49">
        <f>HLOOKUP("# Cores",'vHosts (Imported)'!$1:$5000,M2277,FALSE)</f>
        <v>0</v>
      </c>
      <c r="D2277" s="52">
        <f>HLOOKUP("# Memory",'vHosts (Imported)'!$1:$5000,M2277,FALSE)</f>
        <v>0</v>
      </c>
      <c r="M2277" s="45">
        <f t="shared" si="107"/>
        <v>2277</v>
      </c>
      <c r="N2277" s="38">
        <f>HLOOKUP("Host",'vInfo (Imported)'!$1:$5000,M2277,FALSE)</f>
        <v>0</v>
      </c>
      <c r="R2277">
        <f>HLOOKUP("CPUs",'vInfo (Imported)'!$1:$5000,M2277,FALSE)</f>
        <v>0</v>
      </c>
      <c r="S2277">
        <f>HLOOKUP("Memory",'vInfo (Imported)'!$1:$5000,M2277,FALSE)</f>
        <v>0</v>
      </c>
      <c r="T2277">
        <f>HLOOKUP("Provisioned MiB",'vInfo (Imported)'!$1:$5000,M2277,FALSE)</f>
        <v>0</v>
      </c>
      <c r="U2277">
        <f t="shared" si="106"/>
        <v>0</v>
      </c>
      <c r="V2277">
        <f>HLOOKUP("In Use MiB",'vInfo (Imported)'!$1:$5000,M2277,FALSE)</f>
        <v>0</v>
      </c>
    </row>
    <row r="2278" spans="1:22" ht="13" x14ac:dyDescent="0.3">
      <c r="A2278" s="46">
        <f>'vHosts (Imported)'!A2278</f>
        <v>0</v>
      </c>
      <c r="B2278" s="51">
        <f t="shared" si="105"/>
        <v>4968</v>
      </c>
      <c r="C2278" s="49">
        <f>HLOOKUP("# Cores",'vHosts (Imported)'!$1:$5000,M2278,FALSE)</f>
        <v>0</v>
      </c>
      <c r="D2278" s="52">
        <f>HLOOKUP("# Memory",'vHosts (Imported)'!$1:$5000,M2278,FALSE)</f>
        <v>0</v>
      </c>
      <c r="M2278" s="45">
        <f t="shared" si="107"/>
        <v>2278</v>
      </c>
      <c r="N2278" s="38">
        <f>HLOOKUP("Host",'vInfo (Imported)'!$1:$5000,M2278,FALSE)</f>
        <v>0</v>
      </c>
      <c r="R2278">
        <f>HLOOKUP("CPUs",'vInfo (Imported)'!$1:$5000,M2278,FALSE)</f>
        <v>0</v>
      </c>
      <c r="S2278">
        <f>HLOOKUP("Memory",'vInfo (Imported)'!$1:$5000,M2278,FALSE)</f>
        <v>0</v>
      </c>
      <c r="T2278">
        <f>HLOOKUP("Provisioned MiB",'vInfo (Imported)'!$1:$5000,M2278,FALSE)</f>
        <v>0</v>
      </c>
      <c r="U2278">
        <f t="shared" si="106"/>
        <v>0</v>
      </c>
      <c r="V2278">
        <f>HLOOKUP("In Use MiB",'vInfo (Imported)'!$1:$5000,M2278,FALSE)</f>
        <v>0</v>
      </c>
    </row>
    <row r="2279" spans="1:22" ht="13" x14ac:dyDescent="0.3">
      <c r="A2279" s="46">
        <f>'vHosts (Imported)'!A2279</f>
        <v>0</v>
      </c>
      <c r="B2279" s="51">
        <f t="shared" si="105"/>
        <v>4968</v>
      </c>
      <c r="C2279" s="49">
        <f>HLOOKUP("# Cores",'vHosts (Imported)'!$1:$5000,M2279,FALSE)</f>
        <v>0</v>
      </c>
      <c r="D2279" s="52">
        <f>HLOOKUP("# Memory",'vHosts (Imported)'!$1:$5000,M2279,FALSE)</f>
        <v>0</v>
      </c>
      <c r="M2279" s="45">
        <f t="shared" si="107"/>
        <v>2279</v>
      </c>
      <c r="N2279" s="38">
        <f>HLOOKUP("Host",'vInfo (Imported)'!$1:$5000,M2279,FALSE)</f>
        <v>0</v>
      </c>
      <c r="R2279">
        <f>HLOOKUP("CPUs",'vInfo (Imported)'!$1:$5000,M2279,FALSE)</f>
        <v>0</v>
      </c>
      <c r="S2279">
        <f>HLOOKUP("Memory",'vInfo (Imported)'!$1:$5000,M2279,FALSE)</f>
        <v>0</v>
      </c>
      <c r="T2279">
        <f>HLOOKUP("Provisioned MiB",'vInfo (Imported)'!$1:$5000,M2279,FALSE)</f>
        <v>0</v>
      </c>
      <c r="U2279">
        <f t="shared" si="106"/>
        <v>0</v>
      </c>
      <c r="V2279">
        <f>HLOOKUP("In Use MiB",'vInfo (Imported)'!$1:$5000,M2279,FALSE)</f>
        <v>0</v>
      </c>
    </row>
    <row r="2280" spans="1:22" ht="13" x14ac:dyDescent="0.3">
      <c r="A2280" s="46">
        <f>'vHosts (Imported)'!A2280</f>
        <v>0</v>
      </c>
      <c r="B2280" s="51">
        <f t="shared" ref="B2280:B2343" si="108">COUNTIF(N:N,A2280)</f>
        <v>4968</v>
      </c>
      <c r="C2280" s="49">
        <f>HLOOKUP("# Cores",'vHosts (Imported)'!$1:$5000,M2280,FALSE)</f>
        <v>0</v>
      </c>
      <c r="D2280" s="52">
        <f>HLOOKUP("# Memory",'vHosts (Imported)'!$1:$5000,M2280,FALSE)</f>
        <v>0</v>
      </c>
      <c r="M2280" s="45">
        <f t="shared" si="107"/>
        <v>2280</v>
      </c>
      <c r="N2280" s="38">
        <f>HLOOKUP("Host",'vInfo (Imported)'!$1:$5000,M2280,FALSE)</f>
        <v>0</v>
      </c>
      <c r="R2280">
        <f>HLOOKUP("CPUs",'vInfo (Imported)'!$1:$5000,M2280,FALSE)</f>
        <v>0</v>
      </c>
      <c r="S2280">
        <f>HLOOKUP("Memory",'vInfo (Imported)'!$1:$5000,M2280,FALSE)</f>
        <v>0</v>
      </c>
      <c r="T2280">
        <f>HLOOKUP("Provisioned MiB",'vInfo (Imported)'!$1:$5000,M2280,FALSE)</f>
        <v>0</v>
      </c>
      <c r="U2280">
        <f t="shared" si="106"/>
        <v>0</v>
      </c>
      <c r="V2280">
        <f>HLOOKUP("In Use MiB",'vInfo (Imported)'!$1:$5000,M2280,FALSE)</f>
        <v>0</v>
      </c>
    </row>
    <row r="2281" spans="1:22" ht="13" x14ac:dyDescent="0.3">
      <c r="A2281" s="46">
        <f>'vHosts (Imported)'!A2281</f>
        <v>0</v>
      </c>
      <c r="B2281" s="51">
        <f t="shared" si="108"/>
        <v>4968</v>
      </c>
      <c r="C2281" s="49">
        <f>HLOOKUP("# Cores",'vHosts (Imported)'!$1:$5000,M2281,FALSE)</f>
        <v>0</v>
      </c>
      <c r="D2281" s="52">
        <f>HLOOKUP("# Memory",'vHosts (Imported)'!$1:$5000,M2281,FALSE)</f>
        <v>0</v>
      </c>
      <c r="M2281" s="45">
        <f t="shared" si="107"/>
        <v>2281</v>
      </c>
      <c r="N2281" s="38">
        <f>HLOOKUP("Host",'vInfo (Imported)'!$1:$5000,M2281,FALSE)</f>
        <v>0</v>
      </c>
      <c r="R2281">
        <f>HLOOKUP("CPUs",'vInfo (Imported)'!$1:$5000,M2281,FALSE)</f>
        <v>0</v>
      </c>
      <c r="S2281">
        <f>HLOOKUP("Memory",'vInfo (Imported)'!$1:$5000,M2281,FALSE)</f>
        <v>0</v>
      </c>
      <c r="T2281">
        <f>HLOOKUP("Provisioned MiB",'vInfo (Imported)'!$1:$5000,M2281,FALSE)</f>
        <v>0</v>
      </c>
      <c r="U2281">
        <f t="shared" si="106"/>
        <v>0</v>
      </c>
      <c r="V2281">
        <f>HLOOKUP("In Use MiB",'vInfo (Imported)'!$1:$5000,M2281,FALSE)</f>
        <v>0</v>
      </c>
    </row>
    <row r="2282" spans="1:22" ht="13" x14ac:dyDescent="0.3">
      <c r="A2282" s="46">
        <f>'vHosts (Imported)'!A2282</f>
        <v>0</v>
      </c>
      <c r="B2282" s="51">
        <f t="shared" si="108"/>
        <v>4968</v>
      </c>
      <c r="C2282" s="49">
        <f>HLOOKUP("# Cores",'vHosts (Imported)'!$1:$5000,M2282,FALSE)</f>
        <v>0</v>
      </c>
      <c r="D2282" s="52">
        <f>HLOOKUP("# Memory",'vHosts (Imported)'!$1:$5000,M2282,FALSE)</f>
        <v>0</v>
      </c>
      <c r="M2282" s="45">
        <f t="shared" si="107"/>
        <v>2282</v>
      </c>
      <c r="N2282" s="38">
        <f>HLOOKUP("Host",'vInfo (Imported)'!$1:$5000,M2282,FALSE)</f>
        <v>0</v>
      </c>
      <c r="R2282">
        <f>HLOOKUP("CPUs",'vInfo (Imported)'!$1:$5000,M2282,FALSE)</f>
        <v>0</v>
      </c>
      <c r="S2282">
        <f>HLOOKUP("Memory",'vInfo (Imported)'!$1:$5000,M2282,FALSE)</f>
        <v>0</v>
      </c>
      <c r="T2282">
        <f>HLOOKUP("Provisioned MiB",'vInfo (Imported)'!$1:$5000,M2282,FALSE)</f>
        <v>0</v>
      </c>
      <c r="U2282">
        <f t="shared" si="106"/>
        <v>0</v>
      </c>
      <c r="V2282">
        <f>HLOOKUP("In Use MiB",'vInfo (Imported)'!$1:$5000,M2282,FALSE)</f>
        <v>0</v>
      </c>
    </row>
    <row r="2283" spans="1:22" ht="13" x14ac:dyDescent="0.3">
      <c r="A2283" s="46">
        <f>'vHosts (Imported)'!A2283</f>
        <v>0</v>
      </c>
      <c r="B2283" s="51">
        <f t="shared" si="108"/>
        <v>4968</v>
      </c>
      <c r="C2283" s="49">
        <f>HLOOKUP("# Cores",'vHosts (Imported)'!$1:$5000,M2283,FALSE)</f>
        <v>0</v>
      </c>
      <c r="D2283" s="52">
        <f>HLOOKUP("# Memory",'vHosts (Imported)'!$1:$5000,M2283,FALSE)</f>
        <v>0</v>
      </c>
      <c r="M2283" s="45">
        <f t="shared" si="107"/>
        <v>2283</v>
      </c>
      <c r="N2283" s="38">
        <f>HLOOKUP("Host",'vInfo (Imported)'!$1:$5000,M2283,FALSE)</f>
        <v>0</v>
      </c>
      <c r="R2283">
        <f>HLOOKUP("CPUs",'vInfo (Imported)'!$1:$5000,M2283,FALSE)</f>
        <v>0</v>
      </c>
      <c r="S2283">
        <f>HLOOKUP("Memory",'vInfo (Imported)'!$1:$5000,M2283,FALSE)</f>
        <v>0</v>
      </c>
      <c r="T2283">
        <f>HLOOKUP("Provisioned MiB",'vInfo (Imported)'!$1:$5000,M2283,FALSE)</f>
        <v>0</v>
      </c>
      <c r="U2283">
        <f t="shared" si="106"/>
        <v>0</v>
      </c>
      <c r="V2283">
        <f>HLOOKUP("In Use MiB",'vInfo (Imported)'!$1:$5000,M2283,FALSE)</f>
        <v>0</v>
      </c>
    </row>
    <row r="2284" spans="1:22" ht="13" x14ac:dyDescent="0.3">
      <c r="A2284" s="46">
        <f>'vHosts (Imported)'!A2284</f>
        <v>0</v>
      </c>
      <c r="B2284" s="51">
        <f t="shared" si="108"/>
        <v>4968</v>
      </c>
      <c r="C2284" s="49">
        <f>HLOOKUP("# Cores",'vHosts (Imported)'!$1:$5000,M2284,FALSE)</f>
        <v>0</v>
      </c>
      <c r="D2284" s="52">
        <f>HLOOKUP("# Memory",'vHosts (Imported)'!$1:$5000,M2284,FALSE)</f>
        <v>0</v>
      </c>
      <c r="M2284" s="45">
        <f t="shared" si="107"/>
        <v>2284</v>
      </c>
      <c r="N2284" s="38">
        <f>HLOOKUP("Host",'vInfo (Imported)'!$1:$5000,M2284,FALSE)</f>
        <v>0</v>
      </c>
      <c r="R2284">
        <f>HLOOKUP("CPUs",'vInfo (Imported)'!$1:$5000,M2284,FALSE)</f>
        <v>0</v>
      </c>
      <c r="S2284">
        <f>HLOOKUP("Memory",'vInfo (Imported)'!$1:$5000,M2284,FALSE)</f>
        <v>0</v>
      </c>
      <c r="T2284">
        <f>HLOOKUP("Provisioned MiB",'vInfo (Imported)'!$1:$5000,M2284,FALSE)</f>
        <v>0</v>
      </c>
      <c r="U2284">
        <f t="shared" si="106"/>
        <v>0</v>
      </c>
      <c r="V2284">
        <f>HLOOKUP("In Use MiB",'vInfo (Imported)'!$1:$5000,M2284,FALSE)</f>
        <v>0</v>
      </c>
    </row>
    <row r="2285" spans="1:22" ht="13" x14ac:dyDescent="0.3">
      <c r="A2285" s="46">
        <f>'vHosts (Imported)'!A2285</f>
        <v>0</v>
      </c>
      <c r="B2285" s="51">
        <f t="shared" si="108"/>
        <v>4968</v>
      </c>
      <c r="C2285" s="49">
        <f>HLOOKUP("# Cores",'vHosts (Imported)'!$1:$5000,M2285,FALSE)</f>
        <v>0</v>
      </c>
      <c r="D2285" s="52">
        <f>HLOOKUP("# Memory",'vHosts (Imported)'!$1:$5000,M2285,FALSE)</f>
        <v>0</v>
      </c>
      <c r="M2285" s="45">
        <f t="shared" si="107"/>
        <v>2285</v>
      </c>
      <c r="N2285" s="38">
        <f>HLOOKUP("Host",'vInfo (Imported)'!$1:$5000,M2285,FALSE)</f>
        <v>0</v>
      </c>
      <c r="R2285">
        <f>HLOOKUP("CPUs",'vInfo (Imported)'!$1:$5000,M2285,FALSE)</f>
        <v>0</v>
      </c>
      <c r="S2285">
        <f>HLOOKUP("Memory",'vInfo (Imported)'!$1:$5000,M2285,FALSE)</f>
        <v>0</v>
      </c>
      <c r="T2285">
        <f>HLOOKUP("Provisioned MiB",'vInfo (Imported)'!$1:$5000,M2285,FALSE)</f>
        <v>0</v>
      </c>
      <c r="U2285">
        <f t="shared" si="106"/>
        <v>0</v>
      </c>
      <c r="V2285">
        <f>HLOOKUP("In Use MiB",'vInfo (Imported)'!$1:$5000,M2285,FALSE)</f>
        <v>0</v>
      </c>
    </row>
    <row r="2286" spans="1:22" ht="13" x14ac:dyDescent="0.3">
      <c r="A2286" s="46">
        <f>'vHosts (Imported)'!A2286</f>
        <v>0</v>
      </c>
      <c r="B2286" s="51">
        <f t="shared" si="108"/>
        <v>4968</v>
      </c>
      <c r="C2286" s="49">
        <f>HLOOKUP("# Cores",'vHosts (Imported)'!$1:$5000,M2286,FALSE)</f>
        <v>0</v>
      </c>
      <c r="D2286" s="52">
        <f>HLOOKUP("# Memory",'vHosts (Imported)'!$1:$5000,M2286,FALSE)</f>
        <v>0</v>
      </c>
      <c r="M2286" s="45">
        <f t="shared" si="107"/>
        <v>2286</v>
      </c>
      <c r="N2286" s="38">
        <f>HLOOKUP("Host",'vInfo (Imported)'!$1:$5000,M2286,FALSE)</f>
        <v>0</v>
      </c>
      <c r="R2286">
        <f>HLOOKUP("CPUs",'vInfo (Imported)'!$1:$5000,M2286,FALSE)</f>
        <v>0</v>
      </c>
      <c r="S2286">
        <f>HLOOKUP("Memory",'vInfo (Imported)'!$1:$5000,M2286,FALSE)</f>
        <v>0</v>
      </c>
      <c r="T2286">
        <f>HLOOKUP("Provisioned MiB",'vInfo (Imported)'!$1:$5000,M2286,FALSE)</f>
        <v>0</v>
      </c>
      <c r="U2286">
        <f t="shared" si="106"/>
        <v>0</v>
      </c>
      <c r="V2286">
        <f>HLOOKUP("In Use MiB",'vInfo (Imported)'!$1:$5000,M2286,FALSE)</f>
        <v>0</v>
      </c>
    </row>
    <row r="2287" spans="1:22" ht="13" x14ac:dyDescent="0.3">
      <c r="A2287" s="46">
        <f>'vHosts (Imported)'!A2287</f>
        <v>0</v>
      </c>
      <c r="B2287" s="51">
        <f t="shared" si="108"/>
        <v>4968</v>
      </c>
      <c r="C2287" s="49">
        <f>HLOOKUP("# Cores",'vHosts (Imported)'!$1:$5000,M2287,FALSE)</f>
        <v>0</v>
      </c>
      <c r="D2287" s="52">
        <f>HLOOKUP("# Memory",'vHosts (Imported)'!$1:$5000,M2287,FALSE)</f>
        <v>0</v>
      </c>
      <c r="M2287" s="45">
        <f t="shared" si="107"/>
        <v>2287</v>
      </c>
      <c r="N2287" s="38">
        <f>HLOOKUP("Host",'vInfo (Imported)'!$1:$5000,M2287,FALSE)</f>
        <v>0</v>
      </c>
      <c r="R2287">
        <f>HLOOKUP("CPUs",'vInfo (Imported)'!$1:$5000,M2287,FALSE)</f>
        <v>0</v>
      </c>
      <c r="S2287">
        <f>HLOOKUP("Memory",'vInfo (Imported)'!$1:$5000,M2287,FALSE)</f>
        <v>0</v>
      </c>
      <c r="T2287">
        <f>HLOOKUP("Provisioned MiB",'vInfo (Imported)'!$1:$5000,M2287,FALSE)</f>
        <v>0</v>
      </c>
      <c r="U2287">
        <f t="shared" si="106"/>
        <v>0</v>
      </c>
      <c r="V2287">
        <f>HLOOKUP("In Use MiB",'vInfo (Imported)'!$1:$5000,M2287,FALSE)</f>
        <v>0</v>
      </c>
    </row>
    <row r="2288" spans="1:22" ht="13" x14ac:dyDescent="0.3">
      <c r="A2288" s="46">
        <f>'vHosts (Imported)'!A2288</f>
        <v>0</v>
      </c>
      <c r="B2288" s="51">
        <f t="shared" si="108"/>
        <v>4968</v>
      </c>
      <c r="C2288" s="49">
        <f>HLOOKUP("# Cores",'vHosts (Imported)'!$1:$5000,M2288,FALSE)</f>
        <v>0</v>
      </c>
      <c r="D2288" s="52">
        <f>HLOOKUP("# Memory",'vHosts (Imported)'!$1:$5000,M2288,FALSE)</f>
        <v>0</v>
      </c>
      <c r="M2288" s="45">
        <f t="shared" si="107"/>
        <v>2288</v>
      </c>
      <c r="N2288" s="38">
        <f>HLOOKUP("Host",'vInfo (Imported)'!$1:$5000,M2288,FALSE)</f>
        <v>0</v>
      </c>
      <c r="R2288">
        <f>HLOOKUP("CPUs",'vInfo (Imported)'!$1:$5000,M2288,FALSE)</f>
        <v>0</v>
      </c>
      <c r="S2288">
        <f>HLOOKUP("Memory",'vInfo (Imported)'!$1:$5000,M2288,FALSE)</f>
        <v>0</v>
      </c>
      <c r="T2288">
        <f>HLOOKUP("Provisioned MiB",'vInfo (Imported)'!$1:$5000,M2288,FALSE)</f>
        <v>0</v>
      </c>
      <c r="U2288">
        <f t="shared" si="106"/>
        <v>0</v>
      </c>
      <c r="V2288">
        <f>HLOOKUP("In Use MiB",'vInfo (Imported)'!$1:$5000,M2288,FALSE)</f>
        <v>0</v>
      </c>
    </row>
    <row r="2289" spans="1:22" ht="13" x14ac:dyDescent="0.3">
      <c r="A2289" s="46">
        <f>'vHosts (Imported)'!A2289</f>
        <v>0</v>
      </c>
      <c r="B2289" s="51">
        <f t="shared" si="108"/>
        <v>4968</v>
      </c>
      <c r="C2289" s="49">
        <f>HLOOKUP("# Cores",'vHosts (Imported)'!$1:$5000,M2289,FALSE)</f>
        <v>0</v>
      </c>
      <c r="D2289" s="52">
        <f>HLOOKUP("# Memory",'vHosts (Imported)'!$1:$5000,M2289,FALSE)</f>
        <v>0</v>
      </c>
      <c r="M2289" s="45">
        <f t="shared" si="107"/>
        <v>2289</v>
      </c>
      <c r="N2289" s="38">
        <f>HLOOKUP("Host",'vInfo (Imported)'!$1:$5000,M2289,FALSE)</f>
        <v>0</v>
      </c>
      <c r="R2289">
        <f>HLOOKUP("CPUs",'vInfo (Imported)'!$1:$5000,M2289,FALSE)</f>
        <v>0</v>
      </c>
      <c r="S2289">
        <f>HLOOKUP("Memory",'vInfo (Imported)'!$1:$5000,M2289,FALSE)</f>
        <v>0</v>
      </c>
      <c r="T2289">
        <f>HLOOKUP("Provisioned MiB",'vInfo (Imported)'!$1:$5000,M2289,FALSE)</f>
        <v>0</v>
      </c>
      <c r="U2289">
        <f t="shared" si="106"/>
        <v>0</v>
      </c>
      <c r="V2289">
        <f>HLOOKUP("In Use MiB",'vInfo (Imported)'!$1:$5000,M2289,FALSE)</f>
        <v>0</v>
      </c>
    </row>
    <row r="2290" spans="1:22" ht="13" x14ac:dyDescent="0.3">
      <c r="A2290" s="46">
        <f>'vHosts (Imported)'!A2290</f>
        <v>0</v>
      </c>
      <c r="B2290" s="51">
        <f t="shared" si="108"/>
        <v>4968</v>
      </c>
      <c r="C2290" s="49">
        <f>HLOOKUP("# Cores",'vHosts (Imported)'!$1:$5000,M2290,FALSE)</f>
        <v>0</v>
      </c>
      <c r="D2290" s="52">
        <f>HLOOKUP("# Memory",'vHosts (Imported)'!$1:$5000,M2290,FALSE)</f>
        <v>0</v>
      </c>
      <c r="M2290" s="45">
        <f t="shared" si="107"/>
        <v>2290</v>
      </c>
      <c r="N2290" s="38">
        <f>HLOOKUP("Host",'vInfo (Imported)'!$1:$5000,M2290,FALSE)</f>
        <v>0</v>
      </c>
      <c r="R2290">
        <f>HLOOKUP("CPUs",'vInfo (Imported)'!$1:$5000,M2290,FALSE)</f>
        <v>0</v>
      </c>
      <c r="S2290">
        <f>HLOOKUP("Memory",'vInfo (Imported)'!$1:$5000,M2290,FALSE)</f>
        <v>0</v>
      </c>
      <c r="T2290">
        <f>HLOOKUP("Provisioned MiB",'vInfo (Imported)'!$1:$5000,M2290,FALSE)</f>
        <v>0</v>
      </c>
      <c r="U2290">
        <f t="shared" si="106"/>
        <v>0</v>
      </c>
      <c r="V2290">
        <f>HLOOKUP("In Use MiB",'vInfo (Imported)'!$1:$5000,M2290,FALSE)</f>
        <v>0</v>
      </c>
    </row>
    <row r="2291" spans="1:22" ht="13" x14ac:dyDescent="0.3">
      <c r="A2291" s="46">
        <f>'vHosts (Imported)'!A2291</f>
        <v>0</v>
      </c>
      <c r="B2291" s="51">
        <f t="shared" si="108"/>
        <v>4968</v>
      </c>
      <c r="C2291" s="49">
        <f>HLOOKUP("# Cores",'vHosts (Imported)'!$1:$5000,M2291,FALSE)</f>
        <v>0</v>
      </c>
      <c r="D2291" s="52">
        <f>HLOOKUP("# Memory",'vHosts (Imported)'!$1:$5000,M2291,FALSE)</f>
        <v>0</v>
      </c>
      <c r="M2291" s="45">
        <f t="shared" si="107"/>
        <v>2291</v>
      </c>
      <c r="N2291" s="38">
        <f>HLOOKUP("Host",'vInfo (Imported)'!$1:$5000,M2291,FALSE)</f>
        <v>0</v>
      </c>
      <c r="R2291">
        <f>HLOOKUP("CPUs",'vInfo (Imported)'!$1:$5000,M2291,FALSE)</f>
        <v>0</v>
      </c>
      <c r="S2291">
        <f>HLOOKUP("Memory",'vInfo (Imported)'!$1:$5000,M2291,FALSE)</f>
        <v>0</v>
      </c>
      <c r="T2291">
        <f>HLOOKUP("Provisioned MiB",'vInfo (Imported)'!$1:$5000,M2291,FALSE)</f>
        <v>0</v>
      </c>
      <c r="U2291">
        <f t="shared" si="106"/>
        <v>0</v>
      </c>
      <c r="V2291">
        <f>HLOOKUP("In Use MiB",'vInfo (Imported)'!$1:$5000,M2291,FALSE)</f>
        <v>0</v>
      </c>
    </row>
    <row r="2292" spans="1:22" ht="13" x14ac:dyDescent="0.3">
      <c r="A2292" s="46">
        <f>'vHosts (Imported)'!A2292</f>
        <v>0</v>
      </c>
      <c r="B2292" s="51">
        <f t="shared" si="108"/>
        <v>4968</v>
      </c>
      <c r="C2292" s="49">
        <f>HLOOKUP("# Cores",'vHosts (Imported)'!$1:$5000,M2292,FALSE)</f>
        <v>0</v>
      </c>
      <c r="D2292" s="52">
        <f>HLOOKUP("# Memory",'vHosts (Imported)'!$1:$5000,M2292,FALSE)</f>
        <v>0</v>
      </c>
      <c r="M2292" s="45">
        <f t="shared" si="107"/>
        <v>2292</v>
      </c>
      <c r="N2292" s="38">
        <f>HLOOKUP("Host",'vInfo (Imported)'!$1:$5000,M2292,FALSE)</f>
        <v>0</v>
      </c>
      <c r="R2292">
        <f>HLOOKUP("CPUs",'vInfo (Imported)'!$1:$5000,M2292,FALSE)</f>
        <v>0</v>
      </c>
      <c r="S2292">
        <f>HLOOKUP("Memory",'vInfo (Imported)'!$1:$5000,M2292,FALSE)</f>
        <v>0</v>
      </c>
      <c r="T2292">
        <f>HLOOKUP("Provisioned MiB",'vInfo (Imported)'!$1:$5000,M2292,FALSE)</f>
        <v>0</v>
      </c>
      <c r="U2292">
        <f t="shared" si="106"/>
        <v>0</v>
      </c>
      <c r="V2292">
        <f>HLOOKUP("In Use MiB",'vInfo (Imported)'!$1:$5000,M2292,FALSE)</f>
        <v>0</v>
      </c>
    </row>
    <row r="2293" spans="1:22" ht="13" x14ac:dyDescent="0.3">
      <c r="A2293" s="46">
        <f>'vHosts (Imported)'!A2293</f>
        <v>0</v>
      </c>
      <c r="B2293" s="51">
        <f t="shared" si="108"/>
        <v>4968</v>
      </c>
      <c r="C2293" s="49">
        <f>HLOOKUP("# Cores",'vHosts (Imported)'!$1:$5000,M2293,FALSE)</f>
        <v>0</v>
      </c>
      <c r="D2293" s="52">
        <f>HLOOKUP("# Memory",'vHosts (Imported)'!$1:$5000,M2293,FALSE)</f>
        <v>0</v>
      </c>
      <c r="M2293" s="45">
        <f t="shared" si="107"/>
        <v>2293</v>
      </c>
      <c r="N2293" s="38">
        <f>HLOOKUP("Host",'vInfo (Imported)'!$1:$5000,M2293,FALSE)</f>
        <v>0</v>
      </c>
      <c r="R2293">
        <f>HLOOKUP("CPUs",'vInfo (Imported)'!$1:$5000,M2293,FALSE)</f>
        <v>0</v>
      </c>
      <c r="S2293">
        <f>HLOOKUP("Memory",'vInfo (Imported)'!$1:$5000,M2293,FALSE)</f>
        <v>0</v>
      </c>
      <c r="T2293">
        <f>HLOOKUP("Provisioned MiB",'vInfo (Imported)'!$1:$5000,M2293,FALSE)</f>
        <v>0</v>
      </c>
      <c r="U2293">
        <f t="shared" si="106"/>
        <v>0</v>
      </c>
      <c r="V2293">
        <f>HLOOKUP("In Use MiB",'vInfo (Imported)'!$1:$5000,M2293,FALSE)</f>
        <v>0</v>
      </c>
    </row>
    <row r="2294" spans="1:22" ht="13" x14ac:dyDescent="0.3">
      <c r="A2294" s="46">
        <f>'vHosts (Imported)'!A2294</f>
        <v>0</v>
      </c>
      <c r="B2294" s="51">
        <f t="shared" si="108"/>
        <v>4968</v>
      </c>
      <c r="C2294" s="49">
        <f>HLOOKUP("# Cores",'vHosts (Imported)'!$1:$5000,M2294,FALSE)</f>
        <v>0</v>
      </c>
      <c r="D2294" s="52">
        <f>HLOOKUP("# Memory",'vHosts (Imported)'!$1:$5000,M2294,FALSE)</f>
        <v>0</v>
      </c>
      <c r="M2294" s="45">
        <f t="shared" si="107"/>
        <v>2294</v>
      </c>
      <c r="N2294" s="38">
        <f>HLOOKUP("Host",'vInfo (Imported)'!$1:$5000,M2294,FALSE)</f>
        <v>0</v>
      </c>
      <c r="R2294">
        <f>HLOOKUP("CPUs",'vInfo (Imported)'!$1:$5000,M2294,FALSE)</f>
        <v>0</v>
      </c>
      <c r="S2294">
        <f>HLOOKUP("Memory",'vInfo (Imported)'!$1:$5000,M2294,FALSE)</f>
        <v>0</v>
      </c>
      <c r="T2294">
        <f>HLOOKUP("Provisioned MiB",'vInfo (Imported)'!$1:$5000,M2294,FALSE)</f>
        <v>0</v>
      </c>
      <c r="U2294">
        <f t="shared" si="106"/>
        <v>0</v>
      </c>
      <c r="V2294">
        <f>HLOOKUP("In Use MiB",'vInfo (Imported)'!$1:$5000,M2294,FALSE)</f>
        <v>0</v>
      </c>
    </row>
    <row r="2295" spans="1:22" ht="13" x14ac:dyDescent="0.3">
      <c r="A2295" s="46">
        <f>'vHosts (Imported)'!A2295</f>
        <v>0</v>
      </c>
      <c r="B2295" s="51">
        <f t="shared" si="108"/>
        <v>4968</v>
      </c>
      <c r="C2295" s="49">
        <f>HLOOKUP("# Cores",'vHosts (Imported)'!$1:$5000,M2295,FALSE)</f>
        <v>0</v>
      </c>
      <c r="D2295" s="52">
        <f>HLOOKUP("# Memory",'vHosts (Imported)'!$1:$5000,M2295,FALSE)</f>
        <v>0</v>
      </c>
      <c r="M2295" s="45">
        <f t="shared" si="107"/>
        <v>2295</v>
      </c>
      <c r="N2295" s="38">
        <f>HLOOKUP("Host",'vInfo (Imported)'!$1:$5000,M2295,FALSE)</f>
        <v>0</v>
      </c>
      <c r="R2295">
        <f>HLOOKUP("CPUs",'vInfo (Imported)'!$1:$5000,M2295,FALSE)</f>
        <v>0</v>
      </c>
      <c r="S2295">
        <f>HLOOKUP("Memory",'vInfo (Imported)'!$1:$5000,M2295,FALSE)</f>
        <v>0</v>
      </c>
      <c r="T2295">
        <f>HLOOKUP("Provisioned MiB",'vInfo (Imported)'!$1:$5000,M2295,FALSE)</f>
        <v>0</v>
      </c>
      <c r="U2295">
        <f t="shared" si="106"/>
        <v>0</v>
      </c>
      <c r="V2295">
        <f>HLOOKUP("In Use MiB",'vInfo (Imported)'!$1:$5000,M2295,FALSE)</f>
        <v>0</v>
      </c>
    </row>
    <row r="2296" spans="1:22" ht="13" x14ac:dyDescent="0.3">
      <c r="A2296" s="46">
        <f>'vHosts (Imported)'!A2296</f>
        <v>0</v>
      </c>
      <c r="B2296" s="51">
        <f t="shared" si="108"/>
        <v>4968</v>
      </c>
      <c r="C2296" s="49">
        <f>HLOOKUP("# Cores",'vHosts (Imported)'!$1:$5000,M2296,FALSE)</f>
        <v>0</v>
      </c>
      <c r="D2296" s="52">
        <f>HLOOKUP("# Memory",'vHosts (Imported)'!$1:$5000,M2296,FALSE)</f>
        <v>0</v>
      </c>
      <c r="M2296" s="45">
        <f t="shared" si="107"/>
        <v>2296</v>
      </c>
      <c r="N2296" s="38">
        <f>HLOOKUP("Host",'vInfo (Imported)'!$1:$5000,M2296,FALSE)</f>
        <v>0</v>
      </c>
      <c r="R2296">
        <f>HLOOKUP("CPUs",'vInfo (Imported)'!$1:$5000,M2296,FALSE)</f>
        <v>0</v>
      </c>
      <c r="S2296">
        <f>HLOOKUP("Memory",'vInfo (Imported)'!$1:$5000,M2296,FALSE)</f>
        <v>0</v>
      </c>
      <c r="T2296">
        <f>HLOOKUP("Provisioned MiB",'vInfo (Imported)'!$1:$5000,M2296,FALSE)</f>
        <v>0</v>
      </c>
      <c r="U2296">
        <f t="shared" si="106"/>
        <v>0</v>
      </c>
      <c r="V2296">
        <f>HLOOKUP("In Use MiB",'vInfo (Imported)'!$1:$5000,M2296,FALSE)</f>
        <v>0</v>
      </c>
    </row>
    <row r="2297" spans="1:22" ht="13" x14ac:dyDescent="0.3">
      <c r="A2297" s="46">
        <f>'vHosts (Imported)'!A2297</f>
        <v>0</v>
      </c>
      <c r="B2297" s="51">
        <f t="shared" si="108"/>
        <v>4968</v>
      </c>
      <c r="C2297" s="49">
        <f>HLOOKUP("# Cores",'vHosts (Imported)'!$1:$5000,M2297,FALSE)</f>
        <v>0</v>
      </c>
      <c r="D2297" s="52">
        <f>HLOOKUP("# Memory",'vHosts (Imported)'!$1:$5000,M2297,FALSE)</f>
        <v>0</v>
      </c>
      <c r="M2297" s="45">
        <f t="shared" si="107"/>
        <v>2297</v>
      </c>
      <c r="N2297" s="38">
        <f>HLOOKUP("Host",'vInfo (Imported)'!$1:$5000,M2297,FALSE)</f>
        <v>0</v>
      </c>
      <c r="R2297">
        <f>HLOOKUP("CPUs",'vInfo (Imported)'!$1:$5000,M2297,FALSE)</f>
        <v>0</v>
      </c>
      <c r="S2297">
        <f>HLOOKUP("Memory",'vInfo (Imported)'!$1:$5000,M2297,FALSE)</f>
        <v>0</v>
      </c>
      <c r="T2297">
        <f>HLOOKUP("Provisioned MiB",'vInfo (Imported)'!$1:$5000,M2297,FALSE)</f>
        <v>0</v>
      </c>
      <c r="U2297">
        <f t="shared" si="106"/>
        <v>0</v>
      </c>
      <c r="V2297">
        <f>HLOOKUP("In Use MiB",'vInfo (Imported)'!$1:$5000,M2297,FALSE)</f>
        <v>0</v>
      </c>
    </row>
    <row r="2298" spans="1:22" ht="13" x14ac:dyDescent="0.3">
      <c r="A2298" s="46">
        <f>'vHosts (Imported)'!A2298</f>
        <v>0</v>
      </c>
      <c r="B2298" s="51">
        <f t="shared" si="108"/>
        <v>4968</v>
      </c>
      <c r="C2298" s="49">
        <f>HLOOKUP("# Cores",'vHosts (Imported)'!$1:$5000,M2298,FALSE)</f>
        <v>0</v>
      </c>
      <c r="D2298" s="52">
        <f>HLOOKUP("# Memory",'vHosts (Imported)'!$1:$5000,M2298,FALSE)</f>
        <v>0</v>
      </c>
      <c r="M2298" s="45">
        <f t="shared" si="107"/>
        <v>2298</v>
      </c>
      <c r="N2298" s="38">
        <f>HLOOKUP("Host",'vInfo (Imported)'!$1:$5000,M2298,FALSE)</f>
        <v>0</v>
      </c>
      <c r="R2298">
        <f>HLOOKUP("CPUs",'vInfo (Imported)'!$1:$5000,M2298,FALSE)</f>
        <v>0</v>
      </c>
      <c r="S2298">
        <f>HLOOKUP("Memory",'vInfo (Imported)'!$1:$5000,M2298,FALSE)</f>
        <v>0</v>
      </c>
      <c r="T2298">
        <f>HLOOKUP("Provisioned MiB",'vInfo (Imported)'!$1:$5000,M2298,FALSE)</f>
        <v>0</v>
      </c>
      <c r="U2298">
        <f t="shared" si="106"/>
        <v>0</v>
      </c>
      <c r="V2298">
        <f>HLOOKUP("In Use MiB",'vInfo (Imported)'!$1:$5000,M2298,FALSE)</f>
        <v>0</v>
      </c>
    </row>
    <row r="2299" spans="1:22" ht="13" x14ac:dyDescent="0.3">
      <c r="A2299" s="46">
        <f>'vHosts (Imported)'!A2299</f>
        <v>0</v>
      </c>
      <c r="B2299" s="51">
        <f t="shared" si="108"/>
        <v>4968</v>
      </c>
      <c r="C2299" s="49">
        <f>HLOOKUP("# Cores",'vHosts (Imported)'!$1:$5000,M2299,FALSE)</f>
        <v>0</v>
      </c>
      <c r="D2299" s="52">
        <f>HLOOKUP("# Memory",'vHosts (Imported)'!$1:$5000,M2299,FALSE)</f>
        <v>0</v>
      </c>
      <c r="M2299" s="45">
        <f t="shared" si="107"/>
        <v>2299</v>
      </c>
      <c r="N2299" s="38">
        <f>HLOOKUP("Host",'vInfo (Imported)'!$1:$5000,M2299,FALSE)</f>
        <v>0</v>
      </c>
      <c r="R2299">
        <f>HLOOKUP("CPUs",'vInfo (Imported)'!$1:$5000,M2299,FALSE)</f>
        <v>0</v>
      </c>
      <c r="S2299">
        <f>HLOOKUP("Memory",'vInfo (Imported)'!$1:$5000,M2299,FALSE)</f>
        <v>0</v>
      </c>
      <c r="T2299">
        <f>HLOOKUP("Provisioned MiB",'vInfo (Imported)'!$1:$5000,M2299,FALSE)</f>
        <v>0</v>
      </c>
      <c r="U2299">
        <f t="shared" si="106"/>
        <v>0</v>
      </c>
      <c r="V2299">
        <f>HLOOKUP("In Use MiB",'vInfo (Imported)'!$1:$5000,M2299,FALSE)</f>
        <v>0</v>
      </c>
    </row>
    <row r="2300" spans="1:22" ht="13" x14ac:dyDescent="0.3">
      <c r="A2300" s="46">
        <f>'vHosts (Imported)'!A2300</f>
        <v>0</v>
      </c>
      <c r="B2300" s="51">
        <f t="shared" si="108"/>
        <v>4968</v>
      </c>
      <c r="C2300" s="49">
        <f>HLOOKUP("# Cores",'vHosts (Imported)'!$1:$5000,M2300,FALSE)</f>
        <v>0</v>
      </c>
      <c r="D2300" s="52">
        <f>HLOOKUP("# Memory",'vHosts (Imported)'!$1:$5000,M2300,FALSE)</f>
        <v>0</v>
      </c>
      <c r="M2300" s="45">
        <f t="shared" si="107"/>
        <v>2300</v>
      </c>
      <c r="N2300" s="38">
        <f>HLOOKUP("Host",'vInfo (Imported)'!$1:$5000,M2300,FALSE)</f>
        <v>0</v>
      </c>
      <c r="R2300">
        <f>HLOOKUP("CPUs",'vInfo (Imported)'!$1:$5000,M2300,FALSE)</f>
        <v>0</v>
      </c>
      <c r="S2300">
        <f>HLOOKUP("Memory",'vInfo (Imported)'!$1:$5000,M2300,FALSE)</f>
        <v>0</v>
      </c>
      <c r="T2300">
        <f>HLOOKUP("Provisioned MiB",'vInfo (Imported)'!$1:$5000,M2300,FALSE)</f>
        <v>0</v>
      </c>
      <c r="U2300">
        <f t="shared" si="106"/>
        <v>0</v>
      </c>
      <c r="V2300">
        <f>HLOOKUP("In Use MiB",'vInfo (Imported)'!$1:$5000,M2300,FALSE)</f>
        <v>0</v>
      </c>
    </row>
    <row r="2301" spans="1:22" ht="13" x14ac:dyDescent="0.3">
      <c r="A2301" s="46">
        <f>'vHosts (Imported)'!A2301</f>
        <v>0</v>
      </c>
      <c r="B2301" s="51">
        <f t="shared" si="108"/>
        <v>4968</v>
      </c>
      <c r="C2301" s="49">
        <f>HLOOKUP("# Cores",'vHosts (Imported)'!$1:$5000,M2301,FALSE)</f>
        <v>0</v>
      </c>
      <c r="D2301" s="52">
        <f>HLOOKUP("# Memory",'vHosts (Imported)'!$1:$5000,M2301,FALSE)</f>
        <v>0</v>
      </c>
      <c r="M2301" s="45">
        <f t="shared" si="107"/>
        <v>2301</v>
      </c>
      <c r="N2301" s="38">
        <f>HLOOKUP("Host",'vInfo (Imported)'!$1:$5000,M2301,FALSE)</f>
        <v>0</v>
      </c>
      <c r="R2301">
        <f>HLOOKUP("CPUs",'vInfo (Imported)'!$1:$5000,M2301,FALSE)</f>
        <v>0</v>
      </c>
      <c r="S2301">
        <f>HLOOKUP("Memory",'vInfo (Imported)'!$1:$5000,M2301,FALSE)</f>
        <v>0</v>
      </c>
      <c r="T2301">
        <f>HLOOKUP("Provisioned MiB",'vInfo (Imported)'!$1:$5000,M2301,FALSE)</f>
        <v>0</v>
      </c>
      <c r="U2301">
        <f t="shared" si="106"/>
        <v>0</v>
      </c>
      <c r="V2301">
        <f>HLOOKUP("In Use MiB",'vInfo (Imported)'!$1:$5000,M2301,FALSE)</f>
        <v>0</v>
      </c>
    </row>
    <row r="2302" spans="1:22" ht="13" x14ac:dyDescent="0.3">
      <c r="A2302" s="46">
        <f>'vHosts (Imported)'!A2302</f>
        <v>0</v>
      </c>
      <c r="B2302" s="51">
        <f t="shared" si="108"/>
        <v>4968</v>
      </c>
      <c r="C2302" s="49">
        <f>HLOOKUP("# Cores",'vHosts (Imported)'!$1:$5000,M2302,FALSE)</f>
        <v>0</v>
      </c>
      <c r="D2302" s="52">
        <f>HLOOKUP("# Memory",'vHosts (Imported)'!$1:$5000,M2302,FALSE)</f>
        <v>0</v>
      </c>
      <c r="M2302" s="45">
        <f t="shared" si="107"/>
        <v>2302</v>
      </c>
      <c r="N2302" s="38">
        <f>HLOOKUP("Host",'vInfo (Imported)'!$1:$5000,M2302,FALSE)</f>
        <v>0</v>
      </c>
      <c r="R2302">
        <f>HLOOKUP("CPUs",'vInfo (Imported)'!$1:$5000,M2302,FALSE)</f>
        <v>0</v>
      </c>
      <c r="S2302">
        <f>HLOOKUP("Memory",'vInfo (Imported)'!$1:$5000,M2302,FALSE)</f>
        <v>0</v>
      </c>
      <c r="T2302">
        <f>HLOOKUP("Provisioned MiB",'vInfo (Imported)'!$1:$5000,M2302,FALSE)</f>
        <v>0</v>
      </c>
      <c r="U2302">
        <f t="shared" si="106"/>
        <v>0</v>
      </c>
      <c r="V2302">
        <f>HLOOKUP("In Use MiB",'vInfo (Imported)'!$1:$5000,M2302,FALSE)</f>
        <v>0</v>
      </c>
    </row>
    <row r="2303" spans="1:22" ht="13" x14ac:dyDescent="0.3">
      <c r="A2303" s="46">
        <f>'vHosts (Imported)'!A2303</f>
        <v>0</v>
      </c>
      <c r="B2303" s="51">
        <f t="shared" si="108"/>
        <v>4968</v>
      </c>
      <c r="C2303" s="49">
        <f>HLOOKUP("# Cores",'vHosts (Imported)'!$1:$5000,M2303,FALSE)</f>
        <v>0</v>
      </c>
      <c r="D2303" s="52">
        <f>HLOOKUP("# Memory",'vHosts (Imported)'!$1:$5000,M2303,FALSE)</f>
        <v>0</v>
      </c>
      <c r="M2303" s="45">
        <f t="shared" si="107"/>
        <v>2303</v>
      </c>
      <c r="N2303" s="38">
        <f>HLOOKUP("Host",'vInfo (Imported)'!$1:$5000,M2303,FALSE)</f>
        <v>0</v>
      </c>
      <c r="R2303">
        <f>HLOOKUP("CPUs",'vInfo (Imported)'!$1:$5000,M2303,FALSE)</f>
        <v>0</v>
      </c>
      <c r="S2303">
        <f>HLOOKUP("Memory",'vInfo (Imported)'!$1:$5000,M2303,FALSE)</f>
        <v>0</v>
      </c>
      <c r="T2303">
        <f>HLOOKUP("Provisioned MiB",'vInfo (Imported)'!$1:$5000,M2303,FALSE)</f>
        <v>0</v>
      </c>
      <c r="U2303">
        <f t="shared" si="106"/>
        <v>0</v>
      </c>
      <c r="V2303">
        <f>HLOOKUP("In Use MiB",'vInfo (Imported)'!$1:$5000,M2303,FALSE)</f>
        <v>0</v>
      </c>
    </row>
    <row r="2304" spans="1:22" ht="13" x14ac:dyDescent="0.3">
      <c r="A2304" s="46">
        <f>'vHosts (Imported)'!A2304</f>
        <v>0</v>
      </c>
      <c r="B2304" s="51">
        <f t="shared" si="108"/>
        <v>4968</v>
      </c>
      <c r="C2304" s="49">
        <f>HLOOKUP("# Cores",'vHosts (Imported)'!$1:$5000,M2304,FALSE)</f>
        <v>0</v>
      </c>
      <c r="D2304" s="52">
        <f>HLOOKUP("# Memory",'vHosts (Imported)'!$1:$5000,M2304,FALSE)</f>
        <v>0</v>
      </c>
      <c r="M2304" s="45">
        <f t="shared" si="107"/>
        <v>2304</v>
      </c>
      <c r="N2304" s="38">
        <f>HLOOKUP("Host",'vInfo (Imported)'!$1:$5000,M2304,FALSE)</f>
        <v>0</v>
      </c>
      <c r="R2304">
        <f>HLOOKUP("CPUs",'vInfo (Imported)'!$1:$5000,M2304,FALSE)</f>
        <v>0</v>
      </c>
      <c r="S2304">
        <f>HLOOKUP("Memory",'vInfo (Imported)'!$1:$5000,M2304,FALSE)</f>
        <v>0</v>
      </c>
      <c r="T2304">
        <f>HLOOKUP("Provisioned MiB",'vInfo (Imported)'!$1:$5000,M2304,FALSE)</f>
        <v>0</v>
      </c>
      <c r="U2304">
        <f t="shared" si="106"/>
        <v>0</v>
      </c>
      <c r="V2304">
        <f>HLOOKUP("In Use MiB",'vInfo (Imported)'!$1:$5000,M2304,FALSE)</f>
        <v>0</v>
      </c>
    </row>
    <row r="2305" spans="1:22" ht="13" x14ac:dyDescent="0.3">
      <c r="A2305" s="46">
        <f>'vHosts (Imported)'!A2305</f>
        <v>0</v>
      </c>
      <c r="B2305" s="51">
        <f t="shared" si="108"/>
        <v>4968</v>
      </c>
      <c r="C2305" s="49">
        <f>HLOOKUP("# Cores",'vHosts (Imported)'!$1:$5000,M2305,FALSE)</f>
        <v>0</v>
      </c>
      <c r="D2305" s="52">
        <f>HLOOKUP("# Memory",'vHosts (Imported)'!$1:$5000,M2305,FALSE)</f>
        <v>0</v>
      </c>
      <c r="M2305" s="45">
        <f t="shared" si="107"/>
        <v>2305</v>
      </c>
      <c r="N2305" s="38">
        <f>HLOOKUP("Host",'vInfo (Imported)'!$1:$5000,M2305,FALSE)</f>
        <v>0</v>
      </c>
      <c r="R2305">
        <f>HLOOKUP("CPUs",'vInfo (Imported)'!$1:$5000,M2305,FALSE)</f>
        <v>0</v>
      </c>
      <c r="S2305">
        <f>HLOOKUP("Memory",'vInfo (Imported)'!$1:$5000,M2305,FALSE)</f>
        <v>0</v>
      </c>
      <c r="T2305">
        <f>HLOOKUP("Provisioned MiB",'vInfo (Imported)'!$1:$5000,M2305,FALSE)</f>
        <v>0</v>
      </c>
      <c r="U2305">
        <f t="shared" si="106"/>
        <v>0</v>
      </c>
      <c r="V2305">
        <f>HLOOKUP("In Use MiB",'vInfo (Imported)'!$1:$5000,M2305,FALSE)</f>
        <v>0</v>
      </c>
    </row>
    <row r="2306" spans="1:22" ht="13" x14ac:dyDescent="0.3">
      <c r="A2306" s="46">
        <f>'vHosts (Imported)'!A2306</f>
        <v>0</v>
      </c>
      <c r="B2306" s="51">
        <f t="shared" si="108"/>
        <v>4968</v>
      </c>
      <c r="C2306" s="49">
        <f>HLOOKUP("# Cores",'vHosts (Imported)'!$1:$5000,M2306,FALSE)</f>
        <v>0</v>
      </c>
      <c r="D2306" s="52">
        <f>HLOOKUP("# Memory",'vHosts (Imported)'!$1:$5000,M2306,FALSE)</f>
        <v>0</v>
      </c>
      <c r="M2306" s="45">
        <f t="shared" si="107"/>
        <v>2306</v>
      </c>
      <c r="N2306" s="38">
        <f>HLOOKUP("Host",'vInfo (Imported)'!$1:$5000,M2306,FALSE)</f>
        <v>0</v>
      </c>
      <c r="R2306">
        <f>HLOOKUP("CPUs",'vInfo (Imported)'!$1:$5000,M2306,FALSE)</f>
        <v>0</v>
      </c>
      <c r="S2306">
        <f>HLOOKUP("Memory",'vInfo (Imported)'!$1:$5000,M2306,FALSE)</f>
        <v>0</v>
      </c>
      <c r="T2306">
        <f>HLOOKUP("Provisioned MiB",'vInfo (Imported)'!$1:$5000,M2306,FALSE)</f>
        <v>0</v>
      </c>
      <c r="U2306">
        <f t="shared" si="106"/>
        <v>0</v>
      </c>
      <c r="V2306">
        <f>HLOOKUP("In Use MiB",'vInfo (Imported)'!$1:$5000,M2306,FALSE)</f>
        <v>0</v>
      </c>
    </row>
    <row r="2307" spans="1:22" ht="13" x14ac:dyDescent="0.3">
      <c r="A2307" s="46">
        <f>'vHosts (Imported)'!A2307</f>
        <v>0</v>
      </c>
      <c r="B2307" s="51">
        <f t="shared" si="108"/>
        <v>4968</v>
      </c>
      <c r="C2307" s="49">
        <f>HLOOKUP("# Cores",'vHosts (Imported)'!$1:$5000,M2307,FALSE)</f>
        <v>0</v>
      </c>
      <c r="D2307" s="52">
        <f>HLOOKUP("# Memory",'vHosts (Imported)'!$1:$5000,M2307,FALSE)</f>
        <v>0</v>
      </c>
      <c r="M2307" s="45">
        <f t="shared" si="107"/>
        <v>2307</v>
      </c>
      <c r="N2307" s="38">
        <f>HLOOKUP("Host",'vInfo (Imported)'!$1:$5000,M2307,FALSE)</f>
        <v>0</v>
      </c>
      <c r="R2307">
        <f>HLOOKUP("CPUs",'vInfo (Imported)'!$1:$5000,M2307,FALSE)</f>
        <v>0</v>
      </c>
      <c r="S2307">
        <f>HLOOKUP("Memory",'vInfo (Imported)'!$1:$5000,M2307,FALSE)</f>
        <v>0</v>
      </c>
      <c r="T2307">
        <f>HLOOKUP("Provisioned MiB",'vInfo (Imported)'!$1:$5000,M2307,FALSE)</f>
        <v>0</v>
      </c>
      <c r="U2307">
        <f t="shared" ref="U2307:U2370" si="109">T2307-V2307</f>
        <v>0</v>
      </c>
      <c r="V2307">
        <f>HLOOKUP("In Use MiB",'vInfo (Imported)'!$1:$5000,M2307,FALSE)</f>
        <v>0</v>
      </c>
    </row>
    <row r="2308" spans="1:22" ht="13" x14ac:dyDescent="0.3">
      <c r="A2308" s="46">
        <f>'vHosts (Imported)'!A2308</f>
        <v>0</v>
      </c>
      <c r="B2308" s="51">
        <f t="shared" si="108"/>
        <v>4968</v>
      </c>
      <c r="C2308" s="49">
        <f>HLOOKUP("# Cores",'vHosts (Imported)'!$1:$5000,M2308,FALSE)</f>
        <v>0</v>
      </c>
      <c r="D2308" s="52">
        <f>HLOOKUP("# Memory",'vHosts (Imported)'!$1:$5000,M2308,FALSE)</f>
        <v>0</v>
      </c>
      <c r="M2308" s="45">
        <f t="shared" ref="M2308:M2371" si="110">M2307+1</f>
        <v>2308</v>
      </c>
      <c r="N2308" s="38">
        <f>HLOOKUP("Host",'vInfo (Imported)'!$1:$5000,M2308,FALSE)</f>
        <v>0</v>
      </c>
      <c r="R2308">
        <f>HLOOKUP("CPUs",'vInfo (Imported)'!$1:$5000,M2308,FALSE)</f>
        <v>0</v>
      </c>
      <c r="S2308">
        <f>HLOOKUP("Memory",'vInfo (Imported)'!$1:$5000,M2308,FALSE)</f>
        <v>0</v>
      </c>
      <c r="T2308">
        <f>HLOOKUP("Provisioned MiB",'vInfo (Imported)'!$1:$5000,M2308,FALSE)</f>
        <v>0</v>
      </c>
      <c r="U2308">
        <f t="shared" si="109"/>
        <v>0</v>
      </c>
      <c r="V2308">
        <f>HLOOKUP("In Use MiB",'vInfo (Imported)'!$1:$5000,M2308,FALSE)</f>
        <v>0</v>
      </c>
    </row>
    <row r="2309" spans="1:22" ht="13" x14ac:dyDescent="0.3">
      <c r="A2309" s="46">
        <f>'vHosts (Imported)'!A2309</f>
        <v>0</v>
      </c>
      <c r="B2309" s="51">
        <f t="shared" si="108"/>
        <v>4968</v>
      </c>
      <c r="C2309" s="49">
        <f>HLOOKUP("# Cores",'vHosts (Imported)'!$1:$5000,M2309,FALSE)</f>
        <v>0</v>
      </c>
      <c r="D2309" s="52">
        <f>HLOOKUP("# Memory",'vHosts (Imported)'!$1:$5000,M2309,FALSE)</f>
        <v>0</v>
      </c>
      <c r="M2309" s="45">
        <f t="shared" si="110"/>
        <v>2309</v>
      </c>
      <c r="N2309" s="38">
        <f>HLOOKUP("Host",'vInfo (Imported)'!$1:$5000,M2309,FALSE)</f>
        <v>0</v>
      </c>
      <c r="R2309">
        <f>HLOOKUP("CPUs",'vInfo (Imported)'!$1:$5000,M2309,FALSE)</f>
        <v>0</v>
      </c>
      <c r="S2309">
        <f>HLOOKUP("Memory",'vInfo (Imported)'!$1:$5000,M2309,FALSE)</f>
        <v>0</v>
      </c>
      <c r="T2309">
        <f>HLOOKUP("Provisioned MiB",'vInfo (Imported)'!$1:$5000,M2309,FALSE)</f>
        <v>0</v>
      </c>
      <c r="U2309">
        <f t="shared" si="109"/>
        <v>0</v>
      </c>
      <c r="V2309">
        <f>HLOOKUP("In Use MiB",'vInfo (Imported)'!$1:$5000,M2309,FALSE)</f>
        <v>0</v>
      </c>
    </row>
    <row r="2310" spans="1:22" ht="13" x14ac:dyDescent="0.3">
      <c r="A2310" s="46">
        <f>'vHosts (Imported)'!A2310</f>
        <v>0</v>
      </c>
      <c r="B2310" s="51">
        <f t="shared" si="108"/>
        <v>4968</v>
      </c>
      <c r="C2310" s="49">
        <f>HLOOKUP("# Cores",'vHosts (Imported)'!$1:$5000,M2310,FALSE)</f>
        <v>0</v>
      </c>
      <c r="D2310" s="52">
        <f>HLOOKUP("# Memory",'vHosts (Imported)'!$1:$5000,M2310,FALSE)</f>
        <v>0</v>
      </c>
      <c r="M2310" s="45">
        <f t="shared" si="110"/>
        <v>2310</v>
      </c>
      <c r="N2310" s="38">
        <f>HLOOKUP("Host",'vInfo (Imported)'!$1:$5000,M2310,FALSE)</f>
        <v>0</v>
      </c>
      <c r="R2310">
        <f>HLOOKUP("CPUs",'vInfo (Imported)'!$1:$5000,M2310,FALSE)</f>
        <v>0</v>
      </c>
      <c r="S2310">
        <f>HLOOKUP("Memory",'vInfo (Imported)'!$1:$5000,M2310,FALSE)</f>
        <v>0</v>
      </c>
      <c r="T2310">
        <f>HLOOKUP("Provisioned MiB",'vInfo (Imported)'!$1:$5000,M2310,FALSE)</f>
        <v>0</v>
      </c>
      <c r="U2310">
        <f t="shared" si="109"/>
        <v>0</v>
      </c>
      <c r="V2310">
        <f>HLOOKUP("In Use MiB",'vInfo (Imported)'!$1:$5000,M2310,FALSE)</f>
        <v>0</v>
      </c>
    </row>
    <row r="2311" spans="1:22" ht="13" x14ac:dyDescent="0.3">
      <c r="A2311" s="46">
        <f>'vHosts (Imported)'!A2311</f>
        <v>0</v>
      </c>
      <c r="B2311" s="51">
        <f t="shared" si="108"/>
        <v>4968</v>
      </c>
      <c r="C2311" s="49">
        <f>HLOOKUP("# Cores",'vHosts (Imported)'!$1:$5000,M2311,FALSE)</f>
        <v>0</v>
      </c>
      <c r="D2311" s="52">
        <f>HLOOKUP("# Memory",'vHosts (Imported)'!$1:$5000,M2311,FALSE)</f>
        <v>0</v>
      </c>
      <c r="M2311" s="45">
        <f t="shared" si="110"/>
        <v>2311</v>
      </c>
      <c r="N2311" s="38">
        <f>HLOOKUP("Host",'vInfo (Imported)'!$1:$5000,M2311,FALSE)</f>
        <v>0</v>
      </c>
      <c r="R2311">
        <f>HLOOKUP("CPUs",'vInfo (Imported)'!$1:$5000,M2311,FALSE)</f>
        <v>0</v>
      </c>
      <c r="S2311">
        <f>HLOOKUP("Memory",'vInfo (Imported)'!$1:$5000,M2311,FALSE)</f>
        <v>0</v>
      </c>
      <c r="T2311">
        <f>HLOOKUP("Provisioned MiB",'vInfo (Imported)'!$1:$5000,M2311,FALSE)</f>
        <v>0</v>
      </c>
      <c r="U2311">
        <f t="shared" si="109"/>
        <v>0</v>
      </c>
      <c r="V2311">
        <f>HLOOKUP("In Use MiB",'vInfo (Imported)'!$1:$5000,M2311,FALSE)</f>
        <v>0</v>
      </c>
    </row>
    <row r="2312" spans="1:22" ht="13" x14ac:dyDescent="0.3">
      <c r="A2312" s="46">
        <f>'vHosts (Imported)'!A2312</f>
        <v>0</v>
      </c>
      <c r="B2312" s="51">
        <f t="shared" si="108"/>
        <v>4968</v>
      </c>
      <c r="C2312" s="49">
        <f>HLOOKUP("# Cores",'vHosts (Imported)'!$1:$5000,M2312,FALSE)</f>
        <v>0</v>
      </c>
      <c r="D2312" s="52">
        <f>HLOOKUP("# Memory",'vHosts (Imported)'!$1:$5000,M2312,FALSE)</f>
        <v>0</v>
      </c>
      <c r="M2312" s="45">
        <f t="shared" si="110"/>
        <v>2312</v>
      </c>
      <c r="N2312" s="38">
        <f>HLOOKUP("Host",'vInfo (Imported)'!$1:$5000,M2312,FALSE)</f>
        <v>0</v>
      </c>
      <c r="R2312">
        <f>HLOOKUP("CPUs",'vInfo (Imported)'!$1:$5000,M2312,FALSE)</f>
        <v>0</v>
      </c>
      <c r="S2312">
        <f>HLOOKUP("Memory",'vInfo (Imported)'!$1:$5000,M2312,FALSE)</f>
        <v>0</v>
      </c>
      <c r="T2312">
        <f>HLOOKUP("Provisioned MiB",'vInfo (Imported)'!$1:$5000,M2312,FALSE)</f>
        <v>0</v>
      </c>
      <c r="U2312">
        <f t="shared" si="109"/>
        <v>0</v>
      </c>
      <c r="V2312">
        <f>HLOOKUP("In Use MiB",'vInfo (Imported)'!$1:$5000,M2312,FALSE)</f>
        <v>0</v>
      </c>
    </row>
    <row r="2313" spans="1:22" ht="13" x14ac:dyDescent="0.3">
      <c r="A2313" s="46">
        <f>'vHosts (Imported)'!A2313</f>
        <v>0</v>
      </c>
      <c r="B2313" s="51">
        <f t="shared" si="108"/>
        <v>4968</v>
      </c>
      <c r="C2313" s="49">
        <f>HLOOKUP("# Cores",'vHosts (Imported)'!$1:$5000,M2313,FALSE)</f>
        <v>0</v>
      </c>
      <c r="D2313" s="52">
        <f>HLOOKUP("# Memory",'vHosts (Imported)'!$1:$5000,M2313,FALSE)</f>
        <v>0</v>
      </c>
      <c r="M2313" s="45">
        <f t="shared" si="110"/>
        <v>2313</v>
      </c>
      <c r="N2313" s="38">
        <f>HLOOKUP("Host",'vInfo (Imported)'!$1:$5000,M2313,FALSE)</f>
        <v>0</v>
      </c>
      <c r="R2313">
        <f>HLOOKUP("CPUs",'vInfo (Imported)'!$1:$5000,M2313,FALSE)</f>
        <v>0</v>
      </c>
      <c r="S2313">
        <f>HLOOKUP("Memory",'vInfo (Imported)'!$1:$5000,M2313,FALSE)</f>
        <v>0</v>
      </c>
      <c r="T2313">
        <f>HLOOKUP("Provisioned MiB",'vInfo (Imported)'!$1:$5000,M2313,FALSE)</f>
        <v>0</v>
      </c>
      <c r="U2313">
        <f t="shared" si="109"/>
        <v>0</v>
      </c>
      <c r="V2313">
        <f>HLOOKUP("In Use MiB",'vInfo (Imported)'!$1:$5000,M2313,FALSE)</f>
        <v>0</v>
      </c>
    </row>
    <row r="2314" spans="1:22" ht="13" x14ac:dyDescent="0.3">
      <c r="A2314" s="46">
        <f>'vHosts (Imported)'!A2314</f>
        <v>0</v>
      </c>
      <c r="B2314" s="51">
        <f t="shared" si="108"/>
        <v>4968</v>
      </c>
      <c r="C2314" s="49">
        <f>HLOOKUP("# Cores",'vHosts (Imported)'!$1:$5000,M2314,FALSE)</f>
        <v>0</v>
      </c>
      <c r="D2314" s="52">
        <f>HLOOKUP("# Memory",'vHosts (Imported)'!$1:$5000,M2314,FALSE)</f>
        <v>0</v>
      </c>
      <c r="M2314" s="45">
        <f t="shared" si="110"/>
        <v>2314</v>
      </c>
      <c r="N2314" s="38">
        <f>HLOOKUP("Host",'vInfo (Imported)'!$1:$5000,M2314,FALSE)</f>
        <v>0</v>
      </c>
      <c r="R2314">
        <f>HLOOKUP("CPUs",'vInfo (Imported)'!$1:$5000,M2314,FALSE)</f>
        <v>0</v>
      </c>
      <c r="S2314">
        <f>HLOOKUP("Memory",'vInfo (Imported)'!$1:$5000,M2314,FALSE)</f>
        <v>0</v>
      </c>
      <c r="T2314">
        <f>HLOOKUP("Provisioned MiB",'vInfo (Imported)'!$1:$5000,M2314,FALSE)</f>
        <v>0</v>
      </c>
      <c r="U2314">
        <f t="shared" si="109"/>
        <v>0</v>
      </c>
      <c r="V2314">
        <f>HLOOKUP("In Use MiB",'vInfo (Imported)'!$1:$5000,M2314,FALSE)</f>
        <v>0</v>
      </c>
    </row>
    <row r="2315" spans="1:22" ht="13" x14ac:dyDescent="0.3">
      <c r="A2315" s="46">
        <f>'vHosts (Imported)'!A2315</f>
        <v>0</v>
      </c>
      <c r="B2315" s="51">
        <f t="shared" si="108"/>
        <v>4968</v>
      </c>
      <c r="C2315" s="49">
        <f>HLOOKUP("# Cores",'vHosts (Imported)'!$1:$5000,M2315,FALSE)</f>
        <v>0</v>
      </c>
      <c r="D2315" s="52">
        <f>HLOOKUP("# Memory",'vHosts (Imported)'!$1:$5000,M2315,FALSE)</f>
        <v>0</v>
      </c>
      <c r="M2315" s="45">
        <f t="shared" si="110"/>
        <v>2315</v>
      </c>
      <c r="N2315" s="38">
        <f>HLOOKUP("Host",'vInfo (Imported)'!$1:$5000,M2315,FALSE)</f>
        <v>0</v>
      </c>
      <c r="R2315">
        <f>HLOOKUP("CPUs",'vInfo (Imported)'!$1:$5000,M2315,FALSE)</f>
        <v>0</v>
      </c>
      <c r="S2315">
        <f>HLOOKUP("Memory",'vInfo (Imported)'!$1:$5000,M2315,FALSE)</f>
        <v>0</v>
      </c>
      <c r="T2315">
        <f>HLOOKUP("Provisioned MiB",'vInfo (Imported)'!$1:$5000,M2315,FALSE)</f>
        <v>0</v>
      </c>
      <c r="U2315">
        <f t="shared" si="109"/>
        <v>0</v>
      </c>
      <c r="V2315">
        <f>HLOOKUP("In Use MiB",'vInfo (Imported)'!$1:$5000,M2315,FALSE)</f>
        <v>0</v>
      </c>
    </row>
    <row r="2316" spans="1:22" ht="13" x14ac:dyDescent="0.3">
      <c r="A2316" s="46">
        <f>'vHosts (Imported)'!A2316</f>
        <v>0</v>
      </c>
      <c r="B2316" s="51">
        <f t="shared" si="108"/>
        <v>4968</v>
      </c>
      <c r="C2316" s="49">
        <f>HLOOKUP("# Cores",'vHosts (Imported)'!$1:$5000,M2316,FALSE)</f>
        <v>0</v>
      </c>
      <c r="D2316" s="52">
        <f>HLOOKUP("# Memory",'vHosts (Imported)'!$1:$5000,M2316,FALSE)</f>
        <v>0</v>
      </c>
      <c r="M2316" s="45">
        <f t="shared" si="110"/>
        <v>2316</v>
      </c>
      <c r="N2316" s="38">
        <f>HLOOKUP("Host",'vInfo (Imported)'!$1:$5000,M2316,FALSE)</f>
        <v>0</v>
      </c>
      <c r="R2316">
        <f>HLOOKUP("CPUs",'vInfo (Imported)'!$1:$5000,M2316,FALSE)</f>
        <v>0</v>
      </c>
      <c r="S2316">
        <f>HLOOKUP("Memory",'vInfo (Imported)'!$1:$5000,M2316,FALSE)</f>
        <v>0</v>
      </c>
      <c r="T2316">
        <f>HLOOKUP("Provisioned MiB",'vInfo (Imported)'!$1:$5000,M2316,FALSE)</f>
        <v>0</v>
      </c>
      <c r="U2316">
        <f t="shared" si="109"/>
        <v>0</v>
      </c>
      <c r="V2316">
        <f>HLOOKUP("In Use MiB",'vInfo (Imported)'!$1:$5000,M2316,FALSE)</f>
        <v>0</v>
      </c>
    </row>
    <row r="2317" spans="1:22" ht="13" x14ac:dyDescent="0.3">
      <c r="A2317" s="46">
        <f>'vHosts (Imported)'!A2317</f>
        <v>0</v>
      </c>
      <c r="B2317" s="51">
        <f t="shared" si="108"/>
        <v>4968</v>
      </c>
      <c r="C2317" s="49">
        <f>HLOOKUP("# Cores",'vHosts (Imported)'!$1:$5000,M2317,FALSE)</f>
        <v>0</v>
      </c>
      <c r="D2317" s="52">
        <f>HLOOKUP("# Memory",'vHosts (Imported)'!$1:$5000,M2317,FALSE)</f>
        <v>0</v>
      </c>
      <c r="M2317" s="45">
        <f t="shared" si="110"/>
        <v>2317</v>
      </c>
      <c r="N2317" s="38">
        <f>HLOOKUP("Host",'vInfo (Imported)'!$1:$5000,M2317,FALSE)</f>
        <v>0</v>
      </c>
      <c r="R2317">
        <f>HLOOKUP("CPUs",'vInfo (Imported)'!$1:$5000,M2317,FALSE)</f>
        <v>0</v>
      </c>
      <c r="S2317">
        <f>HLOOKUP("Memory",'vInfo (Imported)'!$1:$5000,M2317,FALSE)</f>
        <v>0</v>
      </c>
      <c r="T2317">
        <f>HLOOKUP("Provisioned MiB",'vInfo (Imported)'!$1:$5000,M2317,FALSE)</f>
        <v>0</v>
      </c>
      <c r="U2317">
        <f t="shared" si="109"/>
        <v>0</v>
      </c>
      <c r="V2317">
        <f>HLOOKUP("In Use MiB",'vInfo (Imported)'!$1:$5000,M2317,FALSE)</f>
        <v>0</v>
      </c>
    </row>
    <row r="2318" spans="1:22" ht="13" x14ac:dyDescent="0.3">
      <c r="A2318" s="46">
        <f>'vHosts (Imported)'!A2318</f>
        <v>0</v>
      </c>
      <c r="B2318" s="51">
        <f t="shared" si="108"/>
        <v>4968</v>
      </c>
      <c r="C2318" s="49">
        <f>HLOOKUP("# Cores",'vHosts (Imported)'!$1:$5000,M2318,FALSE)</f>
        <v>0</v>
      </c>
      <c r="D2318" s="52">
        <f>HLOOKUP("# Memory",'vHosts (Imported)'!$1:$5000,M2318,FALSE)</f>
        <v>0</v>
      </c>
      <c r="M2318" s="45">
        <f t="shared" si="110"/>
        <v>2318</v>
      </c>
      <c r="N2318" s="38">
        <f>HLOOKUP("Host",'vInfo (Imported)'!$1:$5000,M2318,FALSE)</f>
        <v>0</v>
      </c>
      <c r="R2318">
        <f>HLOOKUP("CPUs",'vInfo (Imported)'!$1:$5000,M2318,FALSE)</f>
        <v>0</v>
      </c>
      <c r="S2318">
        <f>HLOOKUP("Memory",'vInfo (Imported)'!$1:$5000,M2318,FALSE)</f>
        <v>0</v>
      </c>
      <c r="T2318">
        <f>HLOOKUP("Provisioned MiB",'vInfo (Imported)'!$1:$5000,M2318,FALSE)</f>
        <v>0</v>
      </c>
      <c r="U2318">
        <f t="shared" si="109"/>
        <v>0</v>
      </c>
      <c r="V2318">
        <f>HLOOKUP("In Use MiB",'vInfo (Imported)'!$1:$5000,M2318,FALSE)</f>
        <v>0</v>
      </c>
    </row>
    <row r="2319" spans="1:22" ht="13" x14ac:dyDescent="0.3">
      <c r="A2319" s="46">
        <f>'vHosts (Imported)'!A2319</f>
        <v>0</v>
      </c>
      <c r="B2319" s="51">
        <f t="shared" si="108"/>
        <v>4968</v>
      </c>
      <c r="C2319" s="49">
        <f>HLOOKUP("# Cores",'vHosts (Imported)'!$1:$5000,M2319,FALSE)</f>
        <v>0</v>
      </c>
      <c r="D2319" s="52">
        <f>HLOOKUP("# Memory",'vHosts (Imported)'!$1:$5000,M2319,FALSE)</f>
        <v>0</v>
      </c>
      <c r="M2319" s="45">
        <f t="shared" si="110"/>
        <v>2319</v>
      </c>
      <c r="N2319" s="38">
        <f>HLOOKUP("Host",'vInfo (Imported)'!$1:$5000,M2319,FALSE)</f>
        <v>0</v>
      </c>
      <c r="R2319">
        <f>HLOOKUP("CPUs",'vInfo (Imported)'!$1:$5000,M2319,FALSE)</f>
        <v>0</v>
      </c>
      <c r="S2319">
        <f>HLOOKUP("Memory",'vInfo (Imported)'!$1:$5000,M2319,FALSE)</f>
        <v>0</v>
      </c>
      <c r="T2319">
        <f>HLOOKUP("Provisioned MiB",'vInfo (Imported)'!$1:$5000,M2319,FALSE)</f>
        <v>0</v>
      </c>
      <c r="U2319">
        <f t="shared" si="109"/>
        <v>0</v>
      </c>
      <c r="V2319">
        <f>HLOOKUP("In Use MiB",'vInfo (Imported)'!$1:$5000,M2319,FALSE)</f>
        <v>0</v>
      </c>
    </row>
    <row r="2320" spans="1:22" ht="13" x14ac:dyDescent="0.3">
      <c r="A2320" s="46">
        <f>'vHosts (Imported)'!A2320</f>
        <v>0</v>
      </c>
      <c r="B2320" s="51">
        <f t="shared" si="108"/>
        <v>4968</v>
      </c>
      <c r="C2320" s="49">
        <f>HLOOKUP("# Cores",'vHosts (Imported)'!$1:$5000,M2320,FALSE)</f>
        <v>0</v>
      </c>
      <c r="D2320" s="52">
        <f>HLOOKUP("# Memory",'vHosts (Imported)'!$1:$5000,M2320,FALSE)</f>
        <v>0</v>
      </c>
      <c r="M2320" s="45">
        <f t="shared" si="110"/>
        <v>2320</v>
      </c>
      <c r="N2320" s="38">
        <f>HLOOKUP("Host",'vInfo (Imported)'!$1:$5000,M2320,FALSE)</f>
        <v>0</v>
      </c>
      <c r="R2320">
        <f>HLOOKUP("CPUs",'vInfo (Imported)'!$1:$5000,M2320,FALSE)</f>
        <v>0</v>
      </c>
      <c r="S2320">
        <f>HLOOKUP("Memory",'vInfo (Imported)'!$1:$5000,M2320,FALSE)</f>
        <v>0</v>
      </c>
      <c r="T2320">
        <f>HLOOKUP("Provisioned MiB",'vInfo (Imported)'!$1:$5000,M2320,FALSE)</f>
        <v>0</v>
      </c>
      <c r="U2320">
        <f t="shared" si="109"/>
        <v>0</v>
      </c>
      <c r="V2320">
        <f>HLOOKUP("In Use MiB",'vInfo (Imported)'!$1:$5000,M2320,FALSE)</f>
        <v>0</v>
      </c>
    </row>
    <row r="2321" spans="1:22" ht="13" x14ac:dyDescent="0.3">
      <c r="A2321" s="46">
        <f>'vHosts (Imported)'!A2321</f>
        <v>0</v>
      </c>
      <c r="B2321" s="51">
        <f t="shared" si="108"/>
        <v>4968</v>
      </c>
      <c r="C2321" s="49">
        <f>HLOOKUP("# Cores",'vHosts (Imported)'!$1:$5000,M2321,FALSE)</f>
        <v>0</v>
      </c>
      <c r="D2321" s="52">
        <f>HLOOKUP("# Memory",'vHosts (Imported)'!$1:$5000,M2321,FALSE)</f>
        <v>0</v>
      </c>
      <c r="M2321" s="45">
        <f t="shared" si="110"/>
        <v>2321</v>
      </c>
      <c r="N2321" s="38">
        <f>HLOOKUP("Host",'vInfo (Imported)'!$1:$5000,M2321,FALSE)</f>
        <v>0</v>
      </c>
      <c r="R2321">
        <f>HLOOKUP("CPUs",'vInfo (Imported)'!$1:$5000,M2321,FALSE)</f>
        <v>0</v>
      </c>
      <c r="S2321">
        <f>HLOOKUP("Memory",'vInfo (Imported)'!$1:$5000,M2321,FALSE)</f>
        <v>0</v>
      </c>
      <c r="T2321">
        <f>HLOOKUP("Provisioned MiB",'vInfo (Imported)'!$1:$5000,M2321,FALSE)</f>
        <v>0</v>
      </c>
      <c r="U2321">
        <f t="shared" si="109"/>
        <v>0</v>
      </c>
      <c r="V2321">
        <f>HLOOKUP("In Use MiB",'vInfo (Imported)'!$1:$5000,M2321,FALSE)</f>
        <v>0</v>
      </c>
    </row>
    <row r="2322" spans="1:22" ht="13" x14ac:dyDescent="0.3">
      <c r="A2322" s="46">
        <f>'vHosts (Imported)'!A2322</f>
        <v>0</v>
      </c>
      <c r="B2322" s="51">
        <f t="shared" si="108"/>
        <v>4968</v>
      </c>
      <c r="C2322" s="49">
        <f>HLOOKUP("# Cores",'vHosts (Imported)'!$1:$5000,M2322,FALSE)</f>
        <v>0</v>
      </c>
      <c r="D2322" s="52">
        <f>HLOOKUP("# Memory",'vHosts (Imported)'!$1:$5000,M2322,FALSE)</f>
        <v>0</v>
      </c>
      <c r="M2322" s="45">
        <f t="shared" si="110"/>
        <v>2322</v>
      </c>
      <c r="N2322" s="38">
        <f>HLOOKUP("Host",'vInfo (Imported)'!$1:$5000,M2322,FALSE)</f>
        <v>0</v>
      </c>
      <c r="R2322">
        <f>HLOOKUP("CPUs",'vInfo (Imported)'!$1:$5000,M2322,FALSE)</f>
        <v>0</v>
      </c>
      <c r="S2322">
        <f>HLOOKUP("Memory",'vInfo (Imported)'!$1:$5000,M2322,FALSE)</f>
        <v>0</v>
      </c>
      <c r="T2322">
        <f>HLOOKUP("Provisioned MiB",'vInfo (Imported)'!$1:$5000,M2322,FALSE)</f>
        <v>0</v>
      </c>
      <c r="U2322">
        <f t="shared" si="109"/>
        <v>0</v>
      </c>
      <c r="V2322">
        <f>HLOOKUP("In Use MiB",'vInfo (Imported)'!$1:$5000,M2322,FALSE)</f>
        <v>0</v>
      </c>
    </row>
    <row r="2323" spans="1:22" ht="13" x14ac:dyDescent="0.3">
      <c r="A2323" s="46">
        <f>'vHosts (Imported)'!A2323</f>
        <v>0</v>
      </c>
      <c r="B2323" s="51">
        <f t="shared" si="108"/>
        <v>4968</v>
      </c>
      <c r="C2323" s="49">
        <f>HLOOKUP("# Cores",'vHosts (Imported)'!$1:$5000,M2323,FALSE)</f>
        <v>0</v>
      </c>
      <c r="D2323" s="52">
        <f>HLOOKUP("# Memory",'vHosts (Imported)'!$1:$5000,M2323,FALSE)</f>
        <v>0</v>
      </c>
      <c r="M2323" s="45">
        <f t="shared" si="110"/>
        <v>2323</v>
      </c>
      <c r="N2323" s="38">
        <f>HLOOKUP("Host",'vInfo (Imported)'!$1:$5000,M2323,FALSE)</f>
        <v>0</v>
      </c>
      <c r="R2323">
        <f>HLOOKUP("CPUs",'vInfo (Imported)'!$1:$5000,M2323,FALSE)</f>
        <v>0</v>
      </c>
      <c r="S2323">
        <f>HLOOKUP("Memory",'vInfo (Imported)'!$1:$5000,M2323,FALSE)</f>
        <v>0</v>
      </c>
      <c r="T2323">
        <f>HLOOKUP("Provisioned MiB",'vInfo (Imported)'!$1:$5000,M2323,FALSE)</f>
        <v>0</v>
      </c>
      <c r="U2323">
        <f t="shared" si="109"/>
        <v>0</v>
      </c>
      <c r="V2323">
        <f>HLOOKUP("In Use MiB",'vInfo (Imported)'!$1:$5000,M2323,FALSE)</f>
        <v>0</v>
      </c>
    </row>
    <row r="2324" spans="1:22" ht="13" x14ac:dyDescent="0.3">
      <c r="A2324" s="46">
        <f>'vHosts (Imported)'!A2324</f>
        <v>0</v>
      </c>
      <c r="B2324" s="51">
        <f t="shared" si="108"/>
        <v>4968</v>
      </c>
      <c r="C2324" s="49">
        <f>HLOOKUP("# Cores",'vHosts (Imported)'!$1:$5000,M2324,FALSE)</f>
        <v>0</v>
      </c>
      <c r="D2324" s="52">
        <f>HLOOKUP("# Memory",'vHosts (Imported)'!$1:$5000,M2324,FALSE)</f>
        <v>0</v>
      </c>
      <c r="M2324" s="45">
        <f t="shared" si="110"/>
        <v>2324</v>
      </c>
      <c r="N2324" s="38">
        <f>HLOOKUP("Host",'vInfo (Imported)'!$1:$5000,M2324,FALSE)</f>
        <v>0</v>
      </c>
      <c r="R2324">
        <f>HLOOKUP("CPUs",'vInfo (Imported)'!$1:$5000,M2324,FALSE)</f>
        <v>0</v>
      </c>
      <c r="S2324">
        <f>HLOOKUP("Memory",'vInfo (Imported)'!$1:$5000,M2324,FALSE)</f>
        <v>0</v>
      </c>
      <c r="T2324">
        <f>HLOOKUP("Provisioned MiB",'vInfo (Imported)'!$1:$5000,M2324,FALSE)</f>
        <v>0</v>
      </c>
      <c r="U2324">
        <f t="shared" si="109"/>
        <v>0</v>
      </c>
      <c r="V2324">
        <f>HLOOKUP("In Use MiB",'vInfo (Imported)'!$1:$5000,M2324,FALSE)</f>
        <v>0</v>
      </c>
    </row>
    <row r="2325" spans="1:22" ht="13" x14ac:dyDescent="0.3">
      <c r="A2325" s="46">
        <f>'vHosts (Imported)'!A2325</f>
        <v>0</v>
      </c>
      <c r="B2325" s="51">
        <f t="shared" si="108"/>
        <v>4968</v>
      </c>
      <c r="C2325" s="49">
        <f>HLOOKUP("# Cores",'vHosts (Imported)'!$1:$5000,M2325,FALSE)</f>
        <v>0</v>
      </c>
      <c r="D2325" s="52">
        <f>HLOOKUP("# Memory",'vHosts (Imported)'!$1:$5000,M2325,FALSE)</f>
        <v>0</v>
      </c>
      <c r="M2325" s="45">
        <f t="shared" si="110"/>
        <v>2325</v>
      </c>
      <c r="N2325" s="38">
        <f>HLOOKUP("Host",'vInfo (Imported)'!$1:$5000,M2325,FALSE)</f>
        <v>0</v>
      </c>
      <c r="R2325">
        <f>HLOOKUP("CPUs",'vInfo (Imported)'!$1:$5000,M2325,FALSE)</f>
        <v>0</v>
      </c>
      <c r="S2325">
        <f>HLOOKUP("Memory",'vInfo (Imported)'!$1:$5000,M2325,FALSE)</f>
        <v>0</v>
      </c>
      <c r="T2325">
        <f>HLOOKUP("Provisioned MiB",'vInfo (Imported)'!$1:$5000,M2325,FALSE)</f>
        <v>0</v>
      </c>
      <c r="U2325">
        <f t="shared" si="109"/>
        <v>0</v>
      </c>
      <c r="V2325">
        <f>HLOOKUP("In Use MiB",'vInfo (Imported)'!$1:$5000,M2325,FALSE)</f>
        <v>0</v>
      </c>
    </row>
    <row r="2326" spans="1:22" ht="13" x14ac:dyDescent="0.3">
      <c r="A2326" s="46">
        <f>'vHosts (Imported)'!A2326</f>
        <v>0</v>
      </c>
      <c r="B2326" s="51">
        <f t="shared" si="108"/>
        <v>4968</v>
      </c>
      <c r="C2326" s="49">
        <f>HLOOKUP("# Cores",'vHosts (Imported)'!$1:$5000,M2326,FALSE)</f>
        <v>0</v>
      </c>
      <c r="D2326" s="52">
        <f>HLOOKUP("# Memory",'vHosts (Imported)'!$1:$5000,M2326,FALSE)</f>
        <v>0</v>
      </c>
      <c r="M2326" s="45">
        <f t="shared" si="110"/>
        <v>2326</v>
      </c>
      <c r="N2326" s="38">
        <f>HLOOKUP("Host",'vInfo (Imported)'!$1:$5000,M2326,FALSE)</f>
        <v>0</v>
      </c>
      <c r="R2326">
        <f>HLOOKUP("CPUs",'vInfo (Imported)'!$1:$5000,M2326,FALSE)</f>
        <v>0</v>
      </c>
      <c r="S2326">
        <f>HLOOKUP("Memory",'vInfo (Imported)'!$1:$5000,M2326,FALSE)</f>
        <v>0</v>
      </c>
      <c r="T2326">
        <f>HLOOKUP("Provisioned MiB",'vInfo (Imported)'!$1:$5000,M2326,FALSE)</f>
        <v>0</v>
      </c>
      <c r="U2326">
        <f t="shared" si="109"/>
        <v>0</v>
      </c>
      <c r="V2326">
        <f>HLOOKUP("In Use MiB",'vInfo (Imported)'!$1:$5000,M2326,FALSE)</f>
        <v>0</v>
      </c>
    </row>
    <row r="2327" spans="1:22" ht="13" x14ac:dyDescent="0.3">
      <c r="A2327" s="46">
        <f>'vHosts (Imported)'!A2327</f>
        <v>0</v>
      </c>
      <c r="B2327" s="51">
        <f t="shared" si="108"/>
        <v>4968</v>
      </c>
      <c r="C2327" s="49">
        <f>HLOOKUP("# Cores",'vHosts (Imported)'!$1:$5000,M2327,FALSE)</f>
        <v>0</v>
      </c>
      <c r="D2327" s="52">
        <f>HLOOKUP("# Memory",'vHosts (Imported)'!$1:$5000,M2327,FALSE)</f>
        <v>0</v>
      </c>
      <c r="M2327" s="45">
        <f t="shared" si="110"/>
        <v>2327</v>
      </c>
      <c r="N2327" s="38">
        <f>HLOOKUP("Host",'vInfo (Imported)'!$1:$5000,M2327,FALSE)</f>
        <v>0</v>
      </c>
      <c r="R2327">
        <f>HLOOKUP("CPUs",'vInfo (Imported)'!$1:$5000,M2327,FALSE)</f>
        <v>0</v>
      </c>
      <c r="S2327">
        <f>HLOOKUP("Memory",'vInfo (Imported)'!$1:$5000,M2327,FALSE)</f>
        <v>0</v>
      </c>
      <c r="T2327">
        <f>HLOOKUP("Provisioned MiB",'vInfo (Imported)'!$1:$5000,M2327,FALSE)</f>
        <v>0</v>
      </c>
      <c r="U2327">
        <f t="shared" si="109"/>
        <v>0</v>
      </c>
      <c r="V2327">
        <f>HLOOKUP("In Use MiB",'vInfo (Imported)'!$1:$5000,M2327,FALSE)</f>
        <v>0</v>
      </c>
    </row>
    <row r="2328" spans="1:22" ht="13" x14ac:dyDescent="0.3">
      <c r="A2328" s="46">
        <f>'vHosts (Imported)'!A2328</f>
        <v>0</v>
      </c>
      <c r="B2328" s="51">
        <f t="shared" si="108"/>
        <v>4968</v>
      </c>
      <c r="C2328" s="49">
        <f>HLOOKUP("# Cores",'vHosts (Imported)'!$1:$5000,M2328,FALSE)</f>
        <v>0</v>
      </c>
      <c r="D2328" s="52">
        <f>HLOOKUP("# Memory",'vHosts (Imported)'!$1:$5000,M2328,FALSE)</f>
        <v>0</v>
      </c>
      <c r="M2328" s="45">
        <f t="shared" si="110"/>
        <v>2328</v>
      </c>
      <c r="N2328" s="38">
        <f>HLOOKUP("Host",'vInfo (Imported)'!$1:$5000,M2328,FALSE)</f>
        <v>0</v>
      </c>
      <c r="R2328">
        <f>HLOOKUP("CPUs",'vInfo (Imported)'!$1:$5000,M2328,FALSE)</f>
        <v>0</v>
      </c>
      <c r="S2328">
        <f>HLOOKUP("Memory",'vInfo (Imported)'!$1:$5000,M2328,FALSE)</f>
        <v>0</v>
      </c>
      <c r="T2328">
        <f>HLOOKUP("Provisioned MiB",'vInfo (Imported)'!$1:$5000,M2328,FALSE)</f>
        <v>0</v>
      </c>
      <c r="U2328">
        <f t="shared" si="109"/>
        <v>0</v>
      </c>
      <c r="V2328">
        <f>HLOOKUP("In Use MiB",'vInfo (Imported)'!$1:$5000,M2328,FALSE)</f>
        <v>0</v>
      </c>
    </row>
    <row r="2329" spans="1:22" ht="13" x14ac:dyDescent="0.3">
      <c r="A2329" s="46">
        <f>'vHosts (Imported)'!A2329</f>
        <v>0</v>
      </c>
      <c r="B2329" s="51">
        <f t="shared" si="108"/>
        <v>4968</v>
      </c>
      <c r="C2329" s="49">
        <f>HLOOKUP("# Cores",'vHosts (Imported)'!$1:$5000,M2329,FALSE)</f>
        <v>0</v>
      </c>
      <c r="D2329" s="52">
        <f>HLOOKUP("# Memory",'vHosts (Imported)'!$1:$5000,M2329,FALSE)</f>
        <v>0</v>
      </c>
      <c r="M2329" s="45">
        <f t="shared" si="110"/>
        <v>2329</v>
      </c>
      <c r="N2329" s="38">
        <f>HLOOKUP("Host",'vInfo (Imported)'!$1:$5000,M2329,FALSE)</f>
        <v>0</v>
      </c>
      <c r="R2329">
        <f>HLOOKUP("CPUs",'vInfo (Imported)'!$1:$5000,M2329,FALSE)</f>
        <v>0</v>
      </c>
      <c r="S2329">
        <f>HLOOKUP("Memory",'vInfo (Imported)'!$1:$5000,M2329,FALSE)</f>
        <v>0</v>
      </c>
      <c r="T2329">
        <f>HLOOKUP("Provisioned MiB",'vInfo (Imported)'!$1:$5000,M2329,FALSE)</f>
        <v>0</v>
      </c>
      <c r="U2329">
        <f t="shared" si="109"/>
        <v>0</v>
      </c>
      <c r="V2329">
        <f>HLOOKUP("In Use MiB",'vInfo (Imported)'!$1:$5000,M2329,FALSE)</f>
        <v>0</v>
      </c>
    </row>
    <row r="2330" spans="1:22" ht="13" x14ac:dyDescent="0.3">
      <c r="A2330" s="46">
        <f>'vHosts (Imported)'!A2330</f>
        <v>0</v>
      </c>
      <c r="B2330" s="51">
        <f t="shared" si="108"/>
        <v>4968</v>
      </c>
      <c r="C2330" s="49">
        <f>HLOOKUP("# Cores",'vHosts (Imported)'!$1:$5000,M2330,FALSE)</f>
        <v>0</v>
      </c>
      <c r="D2330" s="52">
        <f>HLOOKUP("# Memory",'vHosts (Imported)'!$1:$5000,M2330,FALSE)</f>
        <v>0</v>
      </c>
      <c r="M2330" s="45">
        <f t="shared" si="110"/>
        <v>2330</v>
      </c>
      <c r="N2330" s="38">
        <f>HLOOKUP("Host",'vInfo (Imported)'!$1:$5000,M2330,FALSE)</f>
        <v>0</v>
      </c>
      <c r="R2330">
        <f>HLOOKUP("CPUs",'vInfo (Imported)'!$1:$5000,M2330,FALSE)</f>
        <v>0</v>
      </c>
      <c r="S2330">
        <f>HLOOKUP("Memory",'vInfo (Imported)'!$1:$5000,M2330,FALSE)</f>
        <v>0</v>
      </c>
      <c r="T2330">
        <f>HLOOKUP("Provisioned MiB",'vInfo (Imported)'!$1:$5000,M2330,FALSE)</f>
        <v>0</v>
      </c>
      <c r="U2330">
        <f t="shared" si="109"/>
        <v>0</v>
      </c>
      <c r="V2330">
        <f>HLOOKUP("In Use MiB",'vInfo (Imported)'!$1:$5000,M2330,FALSE)</f>
        <v>0</v>
      </c>
    </row>
    <row r="2331" spans="1:22" ht="13" x14ac:dyDescent="0.3">
      <c r="A2331" s="46">
        <f>'vHosts (Imported)'!A2331</f>
        <v>0</v>
      </c>
      <c r="B2331" s="51">
        <f t="shared" si="108"/>
        <v>4968</v>
      </c>
      <c r="C2331" s="49">
        <f>HLOOKUP("# Cores",'vHosts (Imported)'!$1:$5000,M2331,FALSE)</f>
        <v>0</v>
      </c>
      <c r="D2331" s="52">
        <f>HLOOKUP("# Memory",'vHosts (Imported)'!$1:$5000,M2331,FALSE)</f>
        <v>0</v>
      </c>
      <c r="M2331" s="45">
        <f t="shared" si="110"/>
        <v>2331</v>
      </c>
      <c r="N2331" s="38">
        <f>HLOOKUP("Host",'vInfo (Imported)'!$1:$5000,M2331,FALSE)</f>
        <v>0</v>
      </c>
      <c r="R2331">
        <f>HLOOKUP("CPUs",'vInfo (Imported)'!$1:$5000,M2331,FALSE)</f>
        <v>0</v>
      </c>
      <c r="S2331">
        <f>HLOOKUP("Memory",'vInfo (Imported)'!$1:$5000,M2331,FALSE)</f>
        <v>0</v>
      </c>
      <c r="T2331">
        <f>HLOOKUP("Provisioned MiB",'vInfo (Imported)'!$1:$5000,M2331,FALSE)</f>
        <v>0</v>
      </c>
      <c r="U2331">
        <f t="shared" si="109"/>
        <v>0</v>
      </c>
      <c r="V2331">
        <f>HLOOKUP("In Use MiB",'vInfo (Imported)'!$1:$5000,M2331,FALSE)</f>
        <v>0</v>
      </c>
    </row>
    <row r="2332" spans="1:22" ht="13" x14ac:dyDescent="0.3">
      <c r="A2332" s="46">
        <f>'vHosts (Imported)'!A2332</f>
        <v>0</v>
      </c>
      <c r="B2332" s="51">
        <f t="shared" si="108"/>
        <v>4968</v>
      </c>
      <c r="C2332" s="49">
        <f>HLOOKUP("# Cores",'vHosts (Imported)'!$1:$5000,M2332,FALSE)</f>
        <v>0</v>
      </c>
      <c r="D2332" s="52">
        <f>HLOOKUP("# Memory",'vHosts (Imported)'!$1:$5000,M2332,FALSE)</f>
        <v>0</v>
      </c>
      <c r="M2332" s="45">
        <f t="shared" si="110"/>
        <v>2332</v>
      </c>
      <c r="N2332" s="38">
        <f>HLOOKUP("Host",'vInfo (Imported)'!$1:$5000,M2332,FALSE)</f>
        <v>0</v>
      </c>
      <c r="R2332">
        <f>HLOOKUP("CPUs",'vInfo (Imported)'!$1:$5000,M2332,FALSE)</f>
        <v>0</v>
      </c>
      <c r="S2332">
        <f>HLOOKUP("Memory",'vInfo (Imported)'!$1:$5000,M2332,FALSE)</f>
        <v>0</v>
      </c>
      <c r="T2332">
        <f>HLOOKUP("Provisioned MiB",'vInfo (Imported)'!$1:$5000,M2332,FALSE)</f>
        <v>0</v>
      </c>
      <c r="U2332">
        <f t="shared" si="109"/>
        <v>0</v>
      </c>
      <c r="V2332">
        <f>HLOOKUP("In Use MiB",'vInfo (Imported)'!$1:$5000,M2332,FALSE)</f>
        <v>0</v>
      </c>
    </row>
    <row r="2333" spans="1:22" ht="13" x14ac:dyDescent="0.3">
      <c r="A2333" s="46">
        <f>'vHosts (Imported)'!A2333</f>
        <v>0</v>
      </c>
      <c r="B2333" s="51">
        <f t="shared" si="108"/>
        <v>4968</v>
      </c>
      <c r="C2333" s="49">
        <f>HLOOKUP("# Cores",'vHosts (Imported)'!$1:$5000,M2333,FALSE)</f>
        <v>0</v>
      </c>
      <c r="D2333" s="52">
        <f>HLOOKUP("# Memory",'vHosts (Imported)'!$1:$5000,M2333,FALSE)</f>
        <v>0</v>
      </c>
      <c r="M2333" s="45">
        <f t="shared" si="110"/>
        <v>2333</v>
      </c>
      <c r="N2333" s="38">
        <f>HLOOKUP("Host",'vInfo (Imported)'!$1:$5000,M2333,FALSE)</f>
        <v>0</v>
      </c>
      <c r="R2333">
        <f>HLOOKUP("CPUs",'vInfo (Imported)'!$1:$5000,M2333,FALSE)</f>
        <v>0</v>
      </c>
      <c r="S2333">
        <f>HLOOKUP("Memory",'vInfo (Imported)'!$1:$5000,M2333,FALSE)</f>
        <v>0</v>
      </c>
      <c r="T2333">
        <f>HLOOKUP("Provisioned MiB",'vInfo (Imported)'!$1:$5000,M2333,FALSE)</f>
        <v>0</v>
      </c>
      <c r="U2333">
        <f t="shared" si="109"/>
        <v>0</v>
      </c>
      <c r="V2333">
        <f>HLOOKUP("In Use MiB",'vInfo (Imported)'!$1:$5000,M2333,FALSE)</f>
        <v>0</v>
      </c>
    </row>
    <row r="2334" spans="1:22" ht="13" x14ac:dyDescent="0.3">
      <c r="A2334" s="46">
        <f>'vHosts (Imported)'!A2334</f>
        <v>0</v>
      </c>
      <c r="B2334" s="51">
        <f t="shared" si="108"/>
        <v>4968</v>
      </c>
      <c r="C2334" s="49">
        <f>HLOOKUP("# Cores",'vHosts (Imported)'!$1:$5000,M2334,FALSE)</f>
        <v>0</v>
      </c>
      <c r="D2334" s="52">
        <f>HLOOKUP("# Memory",'vHosts (Imported)'!$1:$5000,M2334,FALSE)</f>
        <v>0</v>
      </c>
      <c r="M2334" s="45">
        <f t="shared" si="110"/>
        <v>2334</v>
      </c>
      <c r="N2334" s="38">
        <f>HLOOKUP("Host",'vInfo (Imported)'!$1:$5000,M2334,FALSE)</f>
        <v>0</v>
      </c>
      <c r="R2334">
        <f>HLOOKUP("CPUs",'vInfo (Imported)'!$1:$5000,M2334,FALSE)</f>
        <v>0</v>
      </c>
      <c r="S2334">
        <f>HLOOKUP("Memory",'vInfo (Imported)'!$1:$5000,M2334,FALSE)</f>
        <v>0</v>
      </c>
      <c r="T2334">
        <f>HLOOKUP("Provisioned MiB",'vInfo (Imported)'!$1:$5000,M2334,FALSE)</f>
        <v>0</v>
      </c>
      <c r="U2334">
        <f t="shared" si="109"/>
        <v>0</v>
      </c>
      <c r="V2334">
        <f>HLOOKUP("In Use MiB",'vInfo (Imported)'!$1:$5000,M2334,FALSE)</f>
        <v>0</v>
      </c>
    </row>
    <row r="2335" spans="1:22" ht="13" x14ac:dyDescent="0.3">
      <c r="A2335" s="46">
        <f>'vHosts (Imported)'!A2335</f>
        <v>0</v>
      </c>
      <c r="B2335" s="51">
        <f t="shared" si="108"/>
        <v>4968</v>
      </c>
      <c r="C2335" s="49">
        <f>HLOOKUP("# Cores",'vHosts (Imported)'!$1:$5000,M2335,FALSE)</f>
        <v>0</v>
      </c>
      <c r="D2335" s="52">
        <f>HLOOKUP("# Memory",'vHosts (Imported)'!$1:$5000,M2335,FALSE)</f>
        <v>0</v>
      </c>
      <c r="M2335" s="45">
        <f t="shared" si="110"/>
        <v>2335</v>
      </c>
      <c r="N2335" s="38">
        <f>HLOOKUP("Host",'vInfo (Imported)'!$1:$5000,M2335,FALSE)</f>
        <v>0</v>
      </c>
      <c r="R2335">
        <f>HLOOKUP("CPUs",'vInfo (Imported)'!$1:$5000,M2335,FALSE)</f>
        <v>0</v>
      </c>
      <c r="S2335">
        <f>HLOOKUP("Memory",'vInfo (Imported)'!$1:$5000,M2335,FALSE)</f>
        <v>0</v>
      </c>
      <c r="T2335">
        <f>HLOOKUP("Provisioned MiB",'vInfo (Imported)'!$1:$5000,M2335,FALSE)</f>
        <v>0</v>
      </c>
      <c r="U2335">
        <f t="shared" si="109"/>
        <v>0</v>
      </c>
      <c r="V2335">
        <f>HLOOKUP("In Use MiB",'vInfo (Imported)'!$1:$5000,M2335,FALSE)</f>
        <v>0</v>
      </c>
    </row>
    <row r="2336" spans="1:22" ht="13" x14ac:dyDescent="0.3">
      <c r="A2336" s="46">
        <f>'vHosts (Imported)'!A2336</f>
        <v>0</v>
      </c>
      <c r="B2336" s="51">
        <f t="shared" si="108"/>
        <v>4968</v>
      </c>
      <c r="C2336" s="49">
        <f>HLOOKUP("# Cores",'vHosts (Imported)'!$1:$5000,M2336,FALSE)</f>
        <v>0</v>
      </c>
      <c r="D2336" s="52">
        <f>HLOOKUP("# Memory",'vHosts (Imported)'!$1:$5000,M2336,FALSE)</f>
        <v>0</v>
      </c>
      <c r="M2336" s="45">
        <f t="shared" si="110"/>
        <v>2336</v>
      </c>
      <c r="N2336" s="38">
        <f>HLOOKUP("Host",'vInfo (Imported)'!$1:$5000,M2336,FALSE)</f>
        <v>0</v>
      </c>
      <c r="R2336">
        <f>HLOOKUP("CPUs",'vInfo (Imported)'!$1:$5000,M2336,FALSE)</f>
        <v>0</v>
      </c>
      <c r="S2336">
        <f>HLOOKUP("Memory",'vInfo (Imported)'!$1:$5000,M2336,FALSE)</f>
        <v>0</v>
      </c>
      <c r="T2336">
        <f>HLOOKUP("Provisioned MiB",'vInfo (Imported)'!$1:$5000,M2336,FALSE)</f>
        <v>0</v>
      </c>
      <c r="U2336">
        <f t="shared" si="109"/>
        <v>0</v>
      </c>
      <c r="V2336">
        <f>HLOOKUP("In Use MiB",'vInfo (Imported)'!$1:$5000,M2336,FALSE)</f>
        <v>0</v>
      </c>
    </row>
    <row r="2337" spans="1:22" ht="13" x14ac:dyDescent="0.3">
      <c r="A2337" s="46">
        <f>'vHosts (Imported)'!A2337</f>
        <v>0</v>
      </c>
      <c r="B2337" s="51">
        <f t="shared" si="108"/>
        <v>4968</v>
      </c>
      <c r="C2337" s="49">
        <f>HLOOKUP("# Cores",'vHosts (Imported)'!$1:$5000,M2337,FALSE)</f>
        <v>0</v>
      </c>
      <c r="D2337" s="52">
        <f>HLOOKUP("# Memory",'vHosts (Imported)'!$1:$5000,M2337,FALSE)</f>
        <v>0</v>
      </c>
      <c r="M2337" s="45">
        <f t="shared" si="110"/>
        <v>2337</v>
      </c>
      <c r="N2337" s="38">
        <f>HLOOKUP("Host",'vInfo (Imported)'!$1:$5000,M2337,FALSE)</f>
        <v>0</v>
      </c>
      <c r="R2337">
        <f>HLOOKUP("CPUs",'vInfo (Imported)'!$1:$5000,M2337,FALSE)</f>
        <v>0</v>
      </c>
      <c r="S2337">
        <f>HLOOKUP("Memory",'vInfo (Imported)'!$1:$5000,M2337,FALSE)</f>
        <v>0</v>
      </c>
      <c r="T2337">
        <f>HLOOKUP("Provisioned MiB",'vInfo (Imported)'!$1:$5000,M2337,FALSE)</f>
        <v>0</v>
      </c>
      <c r="U2337">
        <f t="shared" si="109"/>
        <v>0</v>
      </c>
      <c r="V2337">
        <f>HLOOKUP("In Use MiB",'vInfo (Imported)'!$1:$5000,M2337,FALSE)</f>
        <v>0</v>
      </c>
    </row>
    <row r="2338" spans="1:22" ht="13" x14ac:dyDescent="0.3">
      <c r="A2338" s="46">
        <f>'vHosts (Imported)'!A2338</f>
        <v>0</v>
      </c>
      <c r="B2338" s="51">
        <f t="shared" si="108"/>
        <v>4968</v>
      </c>
      <c r="C2338" s="49">
        <f>HLOOKUP("# Cores",'vHosts (Imported)'!$1:$5000,M2338,FALSE)</f>
        <v>0</v>
      </c>
      <c r="D2338" s="52">
        <f>HLOOKUP("# Memory",'vHosts (Imported)'!$1:$5000,M2338,FALSE)</f>
        <v>0</v>
      </c>
      <c r="M2338" s="45">
        <f t="shared" si="110"/>
        <v>2338</v>
      </c>
      <c r="N2338" s="38">
        <f>HLOOKUP("Host",'vInfo (Imported)'!$1:$5000,M2338,FALSE)</f>
        <v>0</v>
      </c>
      <c r="R2338">
        <f>HLOOKUP("CPUs",'vInfo (Imported)'!$1:$5000,M2338,FALSE)</f>
        <v>0</v>
      </c>
      <c r="S2338">
        <f>HLOOKUP("Memory",'vInfo (Imported)'!$1:$5000,M2338,FALSE)</f>
        <v>0</v>
      </c>
      <c r="T2338">
        <f>HLOOKUP("Provisioned MiB",'vInfo (Imported)'!$1:$5000,M2338,FALSE)</f>
        <v>0</v>
      </c>
      <c r="U2338">
        <f t="shared" si="109"/>
        <v>0</v>
      </c>
      <c r="V2338">
        <f>HLOOKUP("In Use MiB",'vInfo (Imported)'!$1:$5000,M2338,FALSE)</f>
        <v>0</v>
      </c>
    </row>
    <row r="2339" spans="1:22" ht="13" x14ac:dyDescent="0.3">
      <c r="A2339" s="46">
        <f>'vHosts (Imported)'!A2339</f>
        <v>0</v>
      </c>
      <c r="B2339" s="51">
        <f t="shared" si="108"/>
        <v>4968</v>
      </c>
      <c r="C2339" s="49">
        <f>HLOOKUP("# Cores",'vHosts (Imported)'!$1:$5000,M2339,FALSE)</f>
        <v>0</v>
      </c>
      <c r="D2339" s="52">
        <f>HLOOKUP("# Memory",'vHosts (Imported)'!$1:$5000,M2339,FALSE)</f>
        <v>0</v>
      </c>
      <c r="M2339" s="45">
        <f t="shared" si="110"/>
        <v>2339</v>
      </c>
      <c r="N2339" s="38">
        <f>HLOOKUP("Host",'vInfo (Imported)'!$1:$5000,M2339,FALSE)</f>
        <v>0</v>
      </c>
      <c r="R2339">
        <f>HLOOKUP("CPUs",'vInfo (Imported)'!$1:$5000,M2339,FALSE)</f>
        <v>0</v>
      </c>
      <c r="S2339">
        <f>HLOOKUP("Memory",'vInfo (Imported)'!$1:$5000,M2339,FALSE)</f>
        <v>0</v>
      </c>
      <c r="T2339">
        <f>HLOOKUP("Provisioned MiB",'vInfo (Imported)'!$1:$5000,M2339,FALSE)</f>
        <v>0</v>
      </c>
      <c r="U2339">
        <f t="shared" si="109"/>
        <v>0</v>
      </c>
      <c r="V2339">
        <f>HLOOKUP("In Use MiB",'vInfo (Imported)'!$1:$5000,M2339,FALSE)</f>
        <v>0</v>
      </c>
    </row>
    <row r="2340" spans="1:22" ht="13" x14ac:dyDescent="0.3">
      <c r="A2340" s="46">
        <f>'vHosts (Imported)'!A2340</f>
        <v>0</v>
      </c>
      <c r="B2340" s="51">
        <f t="shared" si="108"/>
        <v>4968</v>
      </c>
      <c r="C2340" s="49">
        <f>HLOOKUP("# Cores",'vHosts (Imported)'!$1:$5000,M2340,FALSE)</f>
        <v>0</v>
      </c>
      <c r="D2340" s="52">
        <f>HLOOKUP("# Memory",'vHosts (Imported)'!$1:$5000,M2340,FALSE)</f>
        <v>0</v>
      </c>
      <c r="M2340" s="45">
        <f t="shared" si="110"/>
        <v>2340</v>
      </c>
      <c r="N2340" s="38">
        <f>HLOOKUP("Host",'vInfo (Imported)'!$1:$5000,M2340,FALSE)</f>
        <v>0</v>
      </c>
      <c r="R2340">
        <f>HLOOKUP("CPUs",'vInfo (Imported)'!$1:$5000,M2340,FALSE)</f>
        <v>0</v>
      </c>
      <c r="S2340">
        <f>HLOOKUP("Memory",'vInfo (Imported)'!$1:$5000,M2340,FALSE)</f>
        <v>0</v>
      </c>
      <c r="T2340">
        <f>HLOOKUP("Provisioned MiB",'vInfo (Imported)'!$1:$5000,M2340,FALSE)</f>
        <v>0</v>
      </c>
      <c r="U2340">
        <f t="shared" si="109"/>
        <v>0</v>
      </c>
      <c r="V2340">
        <f>HLOOKUP("In Use MiB",'vInfo (Imported)'!$1:$5000,M2340,FALSE)</f>
        <v>0</v>
      </c>
    </row>
    <row r="2341" spans="1:22" ht="13" x14ac:dyDescent="0.3">
      <c r="A2341" s="46">
        <f>'vHosts (Imported)'!A2341</f>
        <v>0</v>
      </c>
      <c r="B2341" s="51">
        <f t="shared" si="108"/>
        <v>4968</v>
      </c>
      <c r="C2341" s="49">
        <f>HLOOKUP("# Cores",'vHosts (Imported)'!$1:$5000,M2341,FALSE)</f>
        <v>0</v>
      </c>
      <c r="D2341" s="52">
        <f>HLOOKUP("# Memory",'vHosts (Imported)'!$1:$5000,M2341,FALSE)</f>
        <v>0</v>
      </c>
      <c r="M2341" s="45">
        <f t="shared" si="110"/>
        <v>2341</v>
      </c>
      <c r="N2341" s="38">
        <f>HLOOKUP("Host",'vInfo (Imported)'!$1:$5000,M2341,FALSE)</f>
        <v>0</v>
      </c>
      <c r="R2341">
        <f>HLOOKUP("CPUs",'vInfo (Imported)'!$1:$5000,M2341,FALSE)</f>
        <v>0</v>
      </c>
      <c r="S2341">
        <f>HLOOKUP("Memory",'vInfo (Imported)'!$1:$5000,M2341,FALSE)</f>
        <v>0</v>
      </c>
      <c r="T2341">
        <f>HLOOKUP("Provisioned MiB",'vInfo (Imported)'!$1:$5000,M2341,FALSE)</f>
        <v>0</v>
      </c>
      <c r="U2341">
        <f t="shared" si="109"/>
        <v>0</v>
      </c>
      <c r="V2341">
        <f>HLOOKUP("In Use MiB",'vInfo (Imported)'!$1:$5000,M2341,FALSE)</f>
        <v>0</v>
      </c>
    </row>
    <row r="2342" spans="1:22" ht="13" x14ac:dyDescent="0.3">
      <c r="A2342" s="46">
        <f>'vHosts (Imported)'!A2342</f>
        <v>0</v>
      </c>
      <c r="B2342" s="51">
        <f t="shared" si="108"/>
        <v>4968</v>
      </c>
      <c r="C2342" s="49">
        <f>HLOOKUP("# Cores",'vHosts (Imported)'!$1:$5000,M2342,FALSE)</f>
        <v>0</v>
      </c>
      <c r="D2342" s="52">
        <f>HLOOKUP("# Memory",'vHosts (Imported)'!$1:$5000,M2342,FALSE)</f>
        <v>0</v>
      </c>
      <c r="M2342" s="45">
        <f t="shared" si="110"/>
        <v>2342</v>
      </c>
      <c r="N2342" s="38">
        <f>HLOOKUP("Host",'vInfo (Imported)'!$1:$5000,M2342,FALSE)</f>
        <v>0</v>
      </c>
      <c r="R2342">
        <f>HLOOKUP("CPUs",'vInfo (Imported)'!$1:$5000,M2342,FALSE)</f>
        <v>0</v>
      </c>
      <c r="S2342">
        <f>HLOOKUP("Memory",'vInfo (Imported)'!$1:$5000,M2342,FALSE)</f>
        <v>0</v>
      </c>
      <c r="T2342">
        <f>HLOOKUP("Provisioned MiB",'vInfo (Imported)'!$1:$5000,M2342,FALSE)</f>
        <v>0</v>
      </c>
      <c r="U2342">
        <f t="shared" si="109"/>
        <v>0</v>
      </c>
      <c r="V2342">
        <f>HLOOKUP("In Use MiB",'vInfo (Imported)'!$1:$5000,M2342,FALSE)</f>
        <v>0</v>
      </c>
    </row>
    <row r="2343" spans="1:22" ht="13" x14ac:dyDescent="0.3">
      <c r="A2343" s="46">
        <f>'vHosts (Imported)'!A2343</f>
        <v>0</v>
      </c>
      <c r="B2343" s="51">
        <f t="shared" si="108"/>
        <v>4968</v>
      </c>
      <c r="C2343" s="49">
        <f>HLOOKUP("# Cores",'vHosts (Imported)'!$1:$5000,M2343,FALSE)</f>
        <v>0</v>
      </c>
      <c r="D2343" s="52">
        <f>HLOOKUP("# Memory",'vHosts (Imported)'!$1:$5000,M2343,FALSE)</f>
        <v>0</v>
      </c>
      <c r="M2343" s="45">
        <f t="shared" si="110"/>
        <v>2343</v>
      </c>
      <c r="N2343" s="38">
        <f>HLOOKUP("Host",'vInfo (Imported)'!$1:$5000,M2343,FALSE)</f>
        <v>0</v>
      </c>
      <c r="R2343">
        <f>HLOOKUP("CPUs",'vInfo (Imported)'!$1:$5000,M2343,FALSE)</f>
        <v>0</v>
      </c>
      <c r="S2343">
        <f>HLOOKUP("Memory",'vInfo (Imported)'!$1:$5000,M2343,FALSE)</f>
        <v>0</v>
      </c>
      <c r="T2343">
        <f>HLOOKUP("Provisioned MiB",'vInfo (Imported)'!$1:$5000,M2343,FALSE)</f>
        <v>0</v>
      </c>
      <c r="U2343">
        <f t="shared" si="109"/>
        <v>0</v>
      </c>
      <c r="V2343">
        <f>HLOOKUP("In Use MiB",'vInfo (Imported)'!$1:$5000,M2343,FALSE)</f>
        <v>0</v>
      </c>
    </row>
    <row r="2344" spans="1:22" ht="13" x14ac:dyDescent="0.3">
      <c r="A2344" s="46">
        <f>'vHosts (Imported)'!A2344</f>
        <v>0</v>
      </c>
      <c r="B2344" s="51">
        <f t="shared" ref="B2344:B2407" si="111">COUNTIF(N:N,A2344)</f>
        <v>4968</v>
      </c>
      <c r="C2344" s="49">
        <f>HLOOKUP("# Cores",'vHosts (Imported)'!$1:$5000,M2344,FALSE)</f>
        <v>0</v>
      </c>
      <c r="D2344" s="52">
        <f>HLOOKUP("# Memory",'vHosts (Imported)'!$1:$5000,M2344,FALSE)</f>
        <v>0</v>
      </c>
      <c r="M2344" s="45">
        <f t="shared" si="110"/>
        <v>2344</v>
      </c>
      <c r="N2344" s="38">
        <f>HLOOKUP("Host",'vInfo (Imported)'!$1:$5000,M2344,FALSE)</f>
        <v>0</v>
      </c>
      <c r="R2344">
        <f>HLOOKUP("CPUs",'vInfo (Imported)'!$1:$5000,M2344,FALSE)</f>
        <v>0</v>
      </c>
      <c r="S2344">
        <f>HLOOKUP("Memory",'vInfo (Imported)'!$1:$5000,M2344,FALSE)</f>
        <v>0</v>
      </c>
      <c r="T2344">
        <f>HLOOKUP("Provisioned MiB",'vInfo (Imported)'!$1:$5000,M2344,FALSE)</f>
        <v>0</v>
      </c>
      <c r="U2344">
        <f t="shared" si="109"/>
        <v>0</v>
      </c>
      <c r="V2344">
        <f>HLOOKUP("In Use MiB",'vInfo (Imported)'!$1:$5000,M2344,FALSE)</f>
        <v>0</v>
      </c>
    </row>
    <row r="2345" spans="1:22" ht="13" x14ac:dyDescent="0.3">
      <c r="A2345" s="46">
        <f>'vHosts (Imported)'!A2345</f>
        <v>0</v>
      </c>
      <c r="B2345" s="51">
        <f t="shared" si="111"/>
        <v>4968</v>
      </c>
      <c r="C2345" s="49">
        <f>HLOOKUP("# Cores",'vHosts (Imported)'!$1:$5000,M2345,FALSE)</f>
        <v>0</v>
      </c>
      <c r="D2345" s="52">
        <f>HLOOKUP("# Memory",'vHosts (Imported)'!$1:$5000,M2345,FALSE)</f>
        <v>0</v>
      </c>
      <c r="M2345" s="45">
        <f t="shared" si="110"/>
        <v>2345</v>
      </c>
      <c r="N2345" s="38">
        <f>HLOOKUP("Host",'vInfo (Imported)'!$1:$5000,M2345,FALSE)</f>
        <v>0</v>
      </c>
      <c r="R2345">
        <f>HLOOKUP("CPUs",'vInfo (Imported)'!$1:$5000,M2345,FALSE)</f>
        <v>0</v>
      </c>
      <c r="S2345">
        <f>HLOOKUP("Memory",'vInfo (Imported)'!$1:$5000,M2345,FALSE)</f>
        <v>0</v>
      </c>
      <c r="T2345">
        <f>HLOOKUP("Provisioned MiB",'vInfo (Imported)'!$1:$5000,M2345,FALSE)</f>
        <v>0</v>
      </c>
      <c r="U2345">
        <f t="shared" si="109"/>
        <v>0</v>
      </c>
      <c r="V2345">
        <f>HLOOKUP("In Use MiB",'vInfo (Imported)'!$1:$5000,M2345,FALSE)</f>
        <v>0</v>
      </c>
    </row>
    <row r="2346" spans="1:22" ht="13" x14ac:dyDescent="0.3">
      <c r="A2346" s="46">
        <f>'vHosts (Imported)'!A2346</f>
        <v>0</v>
      </c>
      <c r="B2346" s="51">
        <f t="shared" si="111"/>
        <v>4968</v>
      </c>
      <c r="C2346" s="49">
        <f>HLOOKUP("# Cores",'vHosts (Imported)'!$1:$5000,M2346,FALSE)</f>
        <v>0</v>
      </c>
      <c r="D2346" s="52">
        <f>HLOOKUP("# Memory",'vHosts (Imported)'!$1:$5000,M2346,FALSE)</f>
        <v>0</v>
      </c>
      <c r="M2346" s="45">
        <f t="shared" si="110"/>
        <v>2346</v>
      </c>
      <c r="N2346" s="38">
        <f>HLOOKUP("Host",'vInfo (Imported)'!$1:$5000,M2346,FALSE)</f>
        <v>0</v>
      </c>
      <c r="R2346">
        <f>HLOOKUP("CPUs",'vInfo (Imported)'!$1:$5000,M2346,FALSE)</f>
        <v>0</v>
      </c>
      <c r="S2346">
        <f>HLOOKUP("Memory",'vInfo (Imported)'!$1:$5000,M2346,FALSE)</f>
        <v>0</v>
      </c>
      <c r="T2346">
        <f>HLOOKUP("Provisioned MiB",'vInfo (Imported)'!$1:$5000,M2346,FALSE)</f>
        <v>0</v>
      </c>
      <c r="U2346">
        <f t="shared" si="109"/>
        <v>0</v>
      </c>
      <c r="V2346">
        <f>HLOOKUP("In Use MiB",'vInfo (Imported)'!$1:$5000,M2346,FALSE)</f>
        <v>0</v>
      </c>
    </row>
    <row r="2347" spans="1:22" ht="13" x14ac:dyDescent="0.3">
      <c r="A2347" s="46">
        <f>'vHosts (Imported)'!A2347</f>
        <v>0</v>
      </c>
      <c r="B2347" s="51">
        <f t="shared" si="111"/>
        <v>4968</v>
      </c>
      <c r="C2347" s="49">
        <f>HLOOKUP("# Cores",'vHosts (Imported)'!$1:$5000,M2347,FALSE)</f>
        <v>0</v>
      </c>
      <c r="D2347" s="52">
        <f>HLOOKUP("# Memory",'vHosts (Imported)'!$1:$5000,M2347,FALSE)</f>
        <v>0</v>
      </c>
      <c r="M2347" s="45">
        <f t="shared" si="110"/>
        <v>2347</v>
      </c>
      <c r="N2347" s="38">
        <f>HLOOKUP("Host",'vInfo (Imported)'!$1:$5000,M2347,FALSE)</f>
        <v>0</v>
      </c>
      <c r="R2347">
        <f>HLOOKUP("CPUs",'vInfo (Imported)'!$1:$5000,M2347,FALSE)</f>
        <v>0</v>
      </c>
      <c r="S2347">
        <f>HLOOKUP("Memory",'vInfo (Imported)'!$1:$5000,M2347,FALSE)</f>
        <v>0</v>
      </c>
      <c r="T2347">
        <f>HLOOKUP("Provisioned MiB",'vInfo (Imported)'!$1:$5000,M2347,FALSE)</f>
        <v>0</v>
      </c>
      <c r="U2347">
        <f t="shared" si="109"/>
        <v>0</v>
      </c>
      <c r="V2347">
        <f>HLOOKUP("In Use MiB",'vInfo (Imported)'!$1:$5000,M2347,FALSE)</f>
        <v>0</v>
      </c>
    </row>
    <row r="2348" spans="1:22" ht="13" x14ac:dyDescent="0.3">
      <c r="A2348" s="46">
        <f>'vHosts (Imported)'!A2348</f>
        <v>0</v>
      </c>
      <c r="B2348" s="51">
        <f t="shared" si="111"/>
        <v>4968</v>
      </c>
      <c r="C2348" s="49">
        <f>HLOOKUP("# Cores",'vHosts (Imported)'!$1:$5000,M2348,FALSE)</f>
        <v>0</v>
      </c>
      <c r="D2348" s="52">
        <f>HLOOKUP("# Memory",'vHosts (Imported)'!$1:$5000,M2348,FALSE)</f>
        <v>0</v>
      </c>
      <c r="M2348" s="45">
        <f t="shared" si="110"/>
        <v>2348</v>
      </c>
      <c r="N2348" s="38">
        <f>HLOOKUP("Host",'vInfo (Imported)'!$1:$5000,M2348,FALSE)</f>
        <v>0</v>
      </c>
      <c r="R2348">
        <f>HLOOKUP("CPUs",'vInfo (Imported)'!$1:$5000,M2348,FALSE)</f>
        <v>0</v>
      </c>
      <c r="S2348">
        <f>HLOOKUP("Memory",'vInfo (Imported)'!$1:$5000,M2348,FALSE)</f>
        <v>0</v>
      </c>
      <c r="T2348">
        <f>HLOOKUP("Provisioned MiB",'vInfo (Imported)'!$1:$5000,M2348,FALSE)</f>
        <v>0</v>
      </c>
      <c r="U2348">
        <f t="shared" si="109"/>
        <v>0</v>
      </c>
      <c r="V2348">
        <f>HLOOKUP("In Use MiB",'vInfo (Imported)'!$1:$5000,M2348,FALSE)</f>
        <v>0</v>
      </c>
    </row>
    <row r="2349" spans="1:22" ht="13" x14ac:dyDescent="0.3">
      <c r="A2349" s="46">
        <f>'vHosts (Imported)'!A2349</f>
        <v>0</v>
      </c>
      <c r="B2349" s="51">
        <f t="shared" si="111"/>
        <v>4968</v>
      </c>
      <c r="C2349" s="49">
        <f>HLOOKUP("# Cores",'vHosts (Imported)'!$1:$5000,M2349,FALSE)</f>
        <v>0</v>
      </c>
      <c r="D2349" s="52">
        <f>HLOOKUP("# Memory",'vHosts (Imported)'!$1:$5000,M2349,FALSE)</f>
        <v>0</v>
      </c>
      <c r="M2349" s="45">
        <f t="shared" si="110"/>
        <v>2349</v>
      </c>
      <c r="N2349" s="38">
        <f>HLOOKUP("Host",'vInfo (Imported)'!$1:$5000,M2349,FALSE)</f>
        <v>0</v>
      </c>
      <c r="R2349">
        <f>HLOOKUP("CPUs",'vInfo (Imported)'!$1:$5000,M2349,FALSE)</f>
        <v>0</v>
      </c>
      <c r="S2349">
        <f>HLOOKUP("Memory",'vInfo (Imported)'!$1:$5000,M2349,FALSE)</f>
        <v>0</v>
      </c>
      <c r="T2349">
        <f>HLOOKUP("Provisioned MiB",'vInfo (Imported)'!$1:$5000,M2349,FALSE)</f>
        <v>0</v>
      </c>
      <c r="U2349">
        <f t="shared" si="109"/>
        <v>0</v>
      </c>
      <c r="V2349">
        <f>HLOOKUP("In Use MiB",'vInfo (Imported)'!$1:$5000,M2349,FALSE)</f>
        <v>0</v>
      </c>
    </row>
    <row r="2350" spans="1:22" ht="13" x14ac:dyDescent="0.3">
      <c r="A2350" s="46">
        <f>'vHosts (Imported)'!A2350</f>
        <v>0</v>
      </c>
      <c r="B2350" s="51">
        <f t="shared" si="111"/>
        <v>4968</v>
      </c>
      <c r="C2350" s="49">
        <f>HLOOKUP("# Cores",'vHosts (Imported)'!$1:$5000,M2350,FALSE)</f>
        <v>0</v>
      </c>
      <c r="D2350" s="52">
        <f>HLOOKUP("# Memory",'vHosts (Imported)'!$1:$5000,M2350,FALSE)</f>
        <v>0</v>
      </c>
      <c r="M2350" s="45">
        <f t="shared" si="110"/>
        <v>2350</v>
      </c>
      <c r="N2350" s="38">
        <f>HLOOKUP("Host",'vInfo (Imported)'!$1:$5000,M2350,FALSE)</f>
        <v>0</v>
      </c>
      <c r="R2350">
        <f>HLOOKUP("CPUs",'vInfo (Imported)'!$1:$5000,M2350,FALSE)</f>
        <v>0</v>
      </c>
      <c r="S2350">
        <f>HLOOKUP("Memory",'vInfo (Imported)'!$1:$5000,M2350,FALSE)</f>
        <v>0</v>
      </c>
      <c r="T2350">
        <f>HLOOKUP("Provisioned MiB",'vInfo (Imported)'!$1:$5000,M2350,FALSE)</f>
        <v>0</v>
      </c>
      <c r="U2350">
        <f t="shared" si="109"/>
        <v>0</v>
      </c>
      <c r="V2350">
        <f>HLOOKUP("In Use MiB",'vInfo (Imported)'!$1:$5000,M2350,FALSE)</f>
        <v>0</v>
      </c>
    </row>
    <row r="2351" spans="1:22" ht="13" x14ac:dyDescent="0.3">
      <c r="A2351" s="46">
        <f>'vHosts (Imported)'!A2351</f>
        <v>0</v>
      </c>
      <c r="B2351" s="51">
        <f t="shared" si="111"/>
        <v>4968</v>
      </c>
      <c r="C2351" s="49">
        <f>HLOOKUP("# Cores",'vHosts (Imported)'!$1:$5000,M2351,FALSE)</f>
        <v>0</v>
      </c>
      <c r="D2351" s="52">
        <f>HLOOKUP("# Memory",'vHosts (Imported)'!$1:$5000,M2351,FALSE)</f>
        <v>0</v>
      </c>
      <c r="M2351" s="45">
        <f t="shared" si="110"/>
        <v>2351</v>
      </c>
      <c r="N2351" s="38">
        <f>HLOOKUP("Host",'vInfo (Imported)'!$1:$5000,M2351,FALSE)</f>
        <v>0</v>
      </c>
      <c r="R2351">
        <f>HLOOKUP("CPUs",'vInfo (Imported)'!$1:$5000,M2351,FALSE)</f>
        <v>0</v>
      </c>
      <c r="S2351">
        <f>HLOOKUP("Memory",'vInfo (Imported)'!$1:$5000,M2351,FALSE)</f>
        <v>0</v>
      </c>
      <c r="T2351">
        <f>HLOOKUP("Provisioned MiB",'vInfo (Imported)'!$1:$5000,M2351,FALSE)</f>
        <v>0</v>
      </c>
      <c r="U2351">
        <f t="shared" si="109"/>
        <v>0</v>
      </c>
      <c r="V2351">
        <f>HLOOKUP("In Use MiB",'vInfo (Imported)'!$1:$5000,M2351,FALSE)</f>
        <v>0</v>
      </c>
    </row>
    <row r="2352" spans="1:22" ht="13" x14ac:dyDescent="0.3">
      <c r="A2352" s="46">
        <f>'vHosts (Imported)'!A2352</f>
        <v>0</v>
      </c>
      <c r="B2352" s="51">
        <f t="shared" si="111"/>
        <v>4968</v>
      </c>
      <c r="C2352" s="49">
        <f>HLOOKUP("# Cores",'vHosts (Imported)'!$1:$5000,M2352,FALSE)</f>
        <v>0</v>
      </c>
      <c r="D2352" s="52">
        <f>HLOOKUP("# Memory",'vHosts (Imported)'!$1:$5000,M2352,FALSE)</f>
        <v>0</v>
      </c>
      <c r="M2352" s="45">
        <f t="shared" si="110"/>
        <v>2352</v>
      </c>
      <c r="N2352" s="38">
        <f>HLOOKUP("Host",'vInfo (Imported)'!$1:$5000,M2352,FALSE)</f>
        <v>0</v>
      </c>
      <c r="R2352">
        <f>HLOOKUP("CPUs",'vInfo (Imported)'!$1:$5000,M2352,FALSE)</f>
        <v>0</v>
      </c>
      <c r="S2352">
        <f>HLOOKUP("Memory",'vInfo (Imported)'!$1:$5000,M2352,FALSE)</f>
        <v>0</v>
      </c>
      <c r="T2352">
        <f>HLOOKUP("Provisioned MiB",'vInfo (Imported)'!$1:$5000,M2352,FALSE)</f>
        <v>0</v>
      </c>
      <c r="U2352">
        <f t="shared" si="109"/>
        <v>0</v>
      </c>
      <c r="V2352">
        <f>HLOOKUP("In Use MiB",'vInfo (Imported)'!$1:$5000,M2352,FALSE)</f>
        <v>0</v>
      </c>
    </row>
    <row r="2353" spans="1:22" ht="13" x14ac:dyDescent="0.3">
      <c r="A2353" s="46">
        <f>'vHosts (Imported)'!A2353</f>
        <v>0</v>
      </c>
      <c r="B2353" s="51">
        <f t="shared" si="111"/>
        <v>4968</v>
      </c>
      <c r="C2353" s="49">
        <f>HLOOKUP("# Cores",'vHosts (Imported)'!$1:$5000,M2353,FALSE)</f>
        <v>0</v>
      </c>
      <c r="D2353" s="52">
        <f>HLOOKUP("# Memory",'vHosts (Imported)'!$1:$5000,M2353,FALSE)</f>
        <v>0</v>
      </c>
      <c r="M2353" s="45">
        <f t="shared" si="110"/>
        <v>2353</v>
      </c>
      <c r="N2353" s="38">
        <f>HLOOKUP("Host",'vInfo (Imported)'!$1:$5000,M2353,FALSE)</f>
        <v>0</v>
      </c>
      <c r="R2353">
        <f>HLOOKUP("CPUs",'vInfo (Imported)'!$1:$5000,M2353,FALSE)</f>
        <v>0</v>
      </c>
      <c r="S2353">
        <f>HLOOKUP("Memory",'vInfo (Imported)'!$1:$5000,M2353,FALSE)</f>
        <v>0</v>
      </c>
      <c r="T2353">
        <f>HLOOKUP("Provisioned MiB",'vInfo (Imported)'!$1:$5000,M2353,FALSE)</f>
        <v>0</v>
      </c>
      <c r="U2353">
        <f t="shared" si="109"/>
        <v>0</v>
      </c>
      <c r="V2353">
        <f>HLOOKUP("In Use MiB",'vInfo (Imported)'!$1:$5000,M2353,FALSE)</f>
        <v>0</v>
      </c>
    </row>
    <row r="2354" spans="1:22" ht="13" x14ac:dyDescent="0.3">
      <c r="A2354" s="46">
        <f>'vHosts (Imported)'!A2354</f>
        <v>0</v>
      </c>
      <c r="B2354" s="51">
        <f t="shared" si="111"/>
        <v>4968</v>
      </c>
      <c r="C2354" s="49">
        <f>HLOOKUP("# Cores",'vHosts (Imported)'!$1:$5000,M2354,FALSE)</f>
        <v>0</v>
      </c>
      <c r="D2354" s="52">
        <f>HLOOKUP("# Memory",'vHosts (Imported)'!$1:$5000,M2354,FALSE)</f>
        <v>0</v>
      </c>
      <c r="M2354" s="45">
        <f t="shared" si="110"/>
        <v>2354</v>
      </c>
      <c r="N2354" s="38">
        <f>HLOOKUP("Host",'vInfo (Imported)'!$1:$5000,M2354,FALSE)</f>
        <v>0</v>
      </c>
      <c r="R2354">
        <f>HLOOKUP("CPUs",'vInfo (Imported)'!$1:$5000,M2354,FALSE)</f>
        <v>0</v>
      </c>
      <c r="S2354">
        <f>HLOOKUP("Memory",'vInfo (Imported)'!$1:$5000,M2354,FALSE)</f>
        <v>0</v>
      </c>
      <c r="T2354">
        <f>HLOOKUP("Provisioned MiB",'vInfo (Imported)'!$1:$5000,M2354,FALSE)</f>
        <v>0</v>
      </c>
      <c r="U2354">
        <f t="shared" si="109"/>
        <v>0</v>
      </c>
      <c r="V2354">
        <f>HLOOKUP("In Use MiB",'vInfo (Imported)'!$1:$5000,M2354,FALSE)</f>
        <v>0</v>
      </c>
    </row>
    <row r="2355" spans="1:22" ht="13" x14ac:dyDescent="0.3">
      <c r="A2355" s="46">
        <f>'vHosts (Imported)'!A2355</f>
        <v>0</v>
      </c>
      <c r="B2355" s="51">
        <f t="shared" si="111"/>
        <v>4968</v>
      </c>
      <c r="C2355" s="49">
        <f>HLOOKUP("# Cores",'vHosts (Imported)'!$1:$5000,M2355,FALSE)</f>
        <v>0</v>
      </c>
      <c r="D2355" s="52">
        <f>HLOOKUP("# Memory",'vHosts (Imported)'!$1:$5000,M2355,FALSE)</f>
        <v>0</v>
      </c>
      <c r="M2355" s="45">
        <f t="shared" si="110"/>
        <v>2355</v>
      </c>
      <c r="N2355" s="38">
        <f>HLOOKUP("Host",'vInfo (Imported)'!$1:$5000,M2355,FALSE)</f>
        <v>0</v>
      </c>
      <c r="R2355">
        <f>HLOOKUP("CPUs",'vInfo (Imported)'!$1:$5000,M2355,FALSE)</f>
        <v>0</v>
      </c>
      <c r="S2355">
        <f>HLOOKUP("Memory",'vInfo (Imported)'!$1:$5000,M2355,FALSE)</f>
        <v>0</v>
      </c>
      <c r="T2355">
        <f>HLOOKUP("Provisioned MiB",'vInfo (Imported)'!$1:$5000,M2355,FALSE)</f>
        <v>0</v>
      </c>
      <c r="U2355">
        <f t="shared" si="109"/>
        <v>0</v>
      </c>
      <c r="V2355">
        <f>HLOOKUP("In Use MiB",'vInfo (Imported)'!$1:$5000,M2355,FALSE)</f>
        <v>0</v>
      </c>
    </row>
    <row r="2356" spans="1:22" ht="13" x14ac:dyDescent="0.3">
      <c r="A2356" s="46">
        <f>'vHosts (Imported)'!A2356</f>
        <v>0</v>
      </c>
      <c r="B2356" s="51">
        <f t="shared" si="111"/>
        <v>4968</v>
      </c>
      <c r="C2356" s="49">
        <f>HLOOKUP("# Cores",'vHosts (Imported)'!$1:$5000,M2356,FALSE)</f>
        <v>0</v>
      </c>
      <c r="D2356" s="52">
        <f>HLOOKUP("# Memory",'vHosts (Imported)'!$1:$5000,M2356,FALSE)</f>
        <v>0</v>
      </c>
      <c r="M2356" s="45">
        <f t="shared" si="110"/>
        <v>2356</v>
      </c>
      <c r="N2356" s="38">
        <f>HLOOKUP("Host",'vInfo (Imported)'!$1:$5000,M2356,FALSE)</f>
        <v>0</v>
      </c>
      <c r="R2356">
        <f>HLOOKUP("CPUs",'vInfo (Imported)'!$1:$5000,M2356,FALSE)</f>
        <v>0</v>
      </c>
      <c r="S2356">
        <f>HLOOKUP("Memory",'vInfo (Imported)'!$1:$5000,M2356,FALSE)</f>
        <v>0</v>
      </c>
      <c r="T2356">
        <f>HLOOKUP("Provisioned MiB",'vInfo (Imported)'!$1:$5000,M2356,FALSE)</f>
        <v>0</v>
      </c>
      <c r="U2356">
        <f t="shared" si="109"/>
        <v>0</v>
      </c>
      <c r="V2356">
        <f>HLOOKUP("In Use MiB",'vInfo (Imported)'!$1:$5000,M2356,FALSE)</f>
        <v>0</v>
      </c>
    </row>
    <row r="2357" spans="1:22" ht="13" x14ac:dyDescent="0.3">
      <c r="A2357" s="46">
        <f>'vHosts (Imported)'!A2357</f>
        <v>0</v>
      </c>
      <c r="B2357" s="51">
        <f t="shared" si="111"/>
        <v>4968</v>
      </c>
      <c r="C2357" s="49">
        <f>HLOOKUP("# Cores",'vHosts (Imported)'!$1:$5000,M2357,FALSE)</f>
        <v>0</v>
      </c>
      <c r="D2357" s="52">
        <f>HLOOKUP("# Memory",'vHosts (Imported)'!$1:$5000,M2357,FALSE)</f>
        <v>0</v>
      </c>
      <c r="M2357" s="45">
        <f t="shared" si="110"/>
        <v>2357</v>
      </c>
      <c r="N2357" s="38">
        <f>HLOOKUP("Host",'vInfo (Imported)'!$1:$5000,M2357,FALSE)</f>
        <v>0</v>
      </c>
      <c r="R2357">
        <f>HLOOKUP("CPUs",'vInfo (Imported)'!$1:$5000,M2357,FALSE)</f>
        <v>0</v>
      </c>
      <c r="S2357">
        <f>HLOOKUP("Memory",'vInfo (Imported)'!$1:$5000,M2357,FALSE)</f>
        <v>0</v>
      </c>
      <c r="T2357">
        <f>HLOOKUP("Provisioned MiB",'vInfo (Imported)'!$1:$5000,M2357,FALSE)</f>
        <v>0</v>
      </c>
      <c r="U2357">
        <f t="shared" si="109"/>
        <v>0</v>
      </c>
      <c r="V2357">
        <f>HLOOKUP("In Use MiB",'vInfo (Imported)'!$1:$5000,M2357,FALSE)</f>
        <v>0</v>
      </c>
    </row>
    <row r="2358" spans="1:22" ht="13" x14ac:dyDescent="0.3">
      <c r="A2358" s="46">
        <f>'vHosts (Imported)'!A2358</f>
        <v>0</v>
      </c>
      <c r="B2358" s="51">
        <f t="shared" si="111"/>
        <v>4968</v>
      </c>
      <c r="C2358" s="49">
        <f>HLOOKUP("# Cores",'vHosts (Imported)'!$1:$5000,M2358,FALSE)</f>
        <v>0</v>
      </c>
      <c r="D2358" s="52">
        <f>HLOOKUP("# Memory",'vHosts (Imported)'!$1:$5000,M2358,FALSE)</f>
        <v>0</v>
      </c>
      <c r="M2358" s="45">
        <f t="shared" si="110"/>
        <v>2358</v>
      </c>
      <c r="N2358" s="38">
        <f>HLOOKUP("Host",'vInfo (Imported)'!$1:$5000,M2358,FALSE)</f>
        <v>0</v>
      </c>
      <c r="R2358">
        <f>HLOOKUP("CPUs",'vInfo (Imported)'!$1:$5000,M2358,FALSE)</f>
        <v>0</v>
      </c>
      <c r="S2358">
        <f>HLOOKUP("Memory",'vInfo (Imported)'!$1:$5000,M2358,FALSE)</f>
        <v>0</v>
      </c>
      <c r="T2358">
        <f>HLOOKUP("Provisioned MiB",'vInfo (Imported)'!$1:$5000,M2358,FALSE)</f>
        <v>0</v>
      </c>
      <c r="U2358">
        <f t="shared" si="109"/>
        <v>0</v>
      </c>
      <c r="V2358">
        <f>HLOOKUP("In Use MiB",'vInfo (Imported)'!$1:$5000,M2358,FALSE)</f>
        <v>0</v>
      </c>
    </row>
    <row r="2359" spans="1:22" ht="13" x14ac:dyDescent="0.3">
      <c r="A2359" s="46">
        <f>'vHosts (Imported)'!A2359</f>
        <v>0</v>
      </c>
      <c r="B2359" s="51">
        <f t="shared" si="111"/>
        <v>4968</v>
      </c>
      <c r="C2359" s="49">
        <f>HLOOKUP("# Cores",'vHosts (Imported)'!$1:$5000,M2359,FALSE)</f>
        <v>0</v>
      </c>
      <c r="D2359" s="52">
        <f>HLOOKUP("# Memory",'vHosts (Imported)'!$1:$5000,M2359,FALSE)</f>
        <v>0</v>
      </c>
      <c r="M2359" s="45">
        <f t="shared" si="110"/>
        <v>2359</v>
      </c>
      <c r="N2359" s="38">
        <f>HLOOKUP("Host",'vInfo (Imported)'!$1:$5000,M2359,FALSE)</f>
        <v>0</v>
      </c>
      <c r="R2359">
        <f>HLOOKUP("CPUs",'vInfo (Imported)'!$1:$5000,M2359,FALSE)</f>
        <v>0</v>
      </c>
      <c r="S2359">
        <f>HLOOKUP("Memory",'vInfo (Imported)'!$1:$5000,M2359,FALSE)</f>
        <v>0</v>
      </c>
      <c r="T2359">
        <f>HLOOKUP("Provisioned MiB",'vInfo (Imported)'!$1:$5000,M2359,FALSE)</f>
        <v>0</v>
      </c>
      <c r="U2359">
        <f t="shared" si="109"/>
        <v>0</v>
      </c>
      <c r="V2359">
        <f>HLOOKUP("In Use MiB",'vInfo (Imported)'!$1:$5000,M2359,FALSE)</f>
        <v>0</v>
      </c>
    </row>
    <row r="2360" spans="1:22" ht="13" x14ac:dyDescent="0.3">
      <c r="A2360" s="46">
        <f>'vHosts (Imported)'!A2360</f>
        <v>0</v>
      </c>
      <c r="B2360" s="51">
        <f t="shared" si="111"/>
        <v>4968</v>
      </c>
      <c r="C2360" s="49">
        <f>HLOOKUP("# Cores",'vHosts (Imported)'!$1:$5000,M2360,FALSE)</f>
        <v>0</v>
      </c>
      <c r="D2360" s="52">
        <f>HLOOKUP("# Memory",'vHosts (Imported)'!$1:$5000,M2360,FALSE)</f>
        <v>0</v>
      </c>
      <c r="M2360" s="45">
        <f t="shared" si="110"/>
        <v>2360</v>
      </c>
      <c r="N2360" s="38">
        <f>HLOOKUP("Host",'vInfo (Imported)'!$1:$5000,M2360,FALSE)</f>
        <v>0</v>
      </c>
      <c r="R2360">
        <f>HLOOKUP("CPUs",'vInfo (Imported)'!$1:$5000,M2360,FALSE)</f>
        <v>0</v>
      </c>
      <c r="S2360">
        <f>HLOOKUP("Memory",'vInfo (Imported)'!$1:$5000,M2360,FALSE)</f>
        <v>0</v>
      </c>
      <c r="T2360">
        <f>HLOOKUP("Provisioned MiB",'vInfo (Imported)'!$1:$5000,M2360,FALSE)</f>
        <v>0</v>
      </c>
      <c r="U2360">
        <f t="shared" si="109"/>
        <v>0</v>
      </c>
      <c r="V2360">
        <f>HLOOKUP("In Use MiB",'vInfo (Imported)'!$1:$5000,M2360,FALSE)</f>
        <v>0</v>
      </c>
    </row>
    <row r="2361" spans="1:22" ht="13" x14ac:dyDescent="0.3">
      <c r="A2361" s="46">
        <f>'vHosts (Imported)'!A2361</f>
        <v>0</v>
      </c>
      <c r="B2361" s="51">
        <f t="shared" si="111"/>
        <v>4968</v>
      </c>
      <c r="C2361" s="49">
        <f>HLOOKUP("# Cores",'vHosts (Imported)'!$1:$5000,M2361,FALSE)</f>
        <v>0</v>
      </c>
      <c r="D2361" s="52">
        <f>HLOOKUP("# Memory",'vHosts (Imported)'!$1:$5000,M2361,FALSE)</f>
        <v>0</v>
      </c>
      <c r="M2361" s="45">
        <f t="shared" si="110"/>
        <v>2361</v>
      </c>
      <c r="N2361" s="38">
        <f>HLOOKUP("Host",'vInfo (Imported)'!$1:$5000,M2361,FALSE)</f>
        <v>0</v>
      </c>
      <c r="R2361">
        <f>HLOOKUP("CPUs",'vInfo (Imported)'!$1:$5000,M2361,FALSE)</f>
        <v>0</v>
      </c>
      <c r="S2361">
        <f>HLOOKUP("Memory",'vInfo (Imported)'!$1:$5000,M2361,FALSE)</f>
        <v>0</v>
      </c>
      <c r="T2361">
        <f>HLOOKUP("Provisioned MiB",'vInfo (Imported)'!$1:$5000,M2361,FALSE)</f>
        <v>0</v>
      </c>
      <c r="U2361">
        <f t="shared" si="109"/>
        <v>0</v>
      </c>
      <c r="V2361">
        <f>HLOOKUP("In Use MiB",'vInfo (Imported)'!$1:$5000,M2361,FALSE)</f>
        <v>0</v>
      </c>
    </row>
    <row r="2362" spans="1:22" ht="13" x14ac:dyDescent="0.3">
      <c r="A2362" s="46">
        <f>'vHosts (Imported)'!A2362</f>
        <v>0</v>
      </c>
      <c r="B2362" s="51">
        <f t="shared" si="111"/>
        <v>4968</v>
      </c>
      <c r="C2362" s="49">
        <f>HLOOKUP("# Cores",'vHosts (Imported)'!$1:$5000,M2362,FALSE)</f>
        <v>0</v>
      </c>
      <c r="D2362" s="52">
        <f>HLOOKUP("# Memory",'vHosts (Imported)'!$1:$5000,M2362,FALSE)</f>
        <v>0</v>
      </c>
      <c r="M2362" s="45">
        <f t="shared" si="110"/>
        <v>2362</v>
      </c>
      <c r="N2362" s="38">
        <f>HLOOKUP("Host",'vInfo (Imported)'!$1:$5000,M2362,FALSE)</f>
        <v>0</v>
      </c>
      <c r="R2362">
        <f>HLOOKUP("CPUs",'vInfo (Imported)'!$1:$5000,M2362,FALSE)</f>
        <v>0</v>
      </c>
      <c r="S2362">
        <f>HLOOKUP("Memory",'vInfo (Imported)'!$1:$5000,M2362,FALSE)</f>
        <v>0</v>
      </c>
      <c r="T2362">
        <f>HLOOKUP("Provisioned MiB",'vInfo (Imported)'!$1:$5000,M2362,FALSE)</f>
        <v>0</v>
      </c>
      <c r="U2362">
        <f t="shared" si="109"/>
        <v>0</v>
      </c>
      <c r="V2362">
        <f>HLOOKUP("In Use MiB",'vInfo (Imported)'!$1:$5000,M2362,FALSE)</f>
        <v>0</v>
      </c>
    </row>
    <row r="2363" spans="1:22" ht="13" x14ac:dyDescent="0.3">
      <c r="A2363" s="46">
        <f>'vHosts (Imported)'!A2363</f>
        <v>0</v>
      </c>
      <c r="B2363" s="51">
        <f t="shared" si="111"/>
        <v>4968</v>
      </c>
      <c r="C2363" s="49">
        <f>HLOOKUP("# Cores",'vHosts (Imported)'!$1:$5000,M2363,FALSE)</f>
        <v>0</v>
      </c>
      <c r="D2363" s="52">
        <f>HLOOKUP("# Memory",'vHosts (Imported)'!$1:$5000,M2363,FALSE)</f>
        <v>0</v>
      </c>
      <c r="M2363" s="45">
        <f t="shared" si="110"/>
        <v>2363</v>
      </c>
      <c r="N2363" s="38">
        <f>HLOOKUP("Host",'vInfo (Imported)'!$1:$5000,M2363,FALSE)</f>
        <v>0</v>
      </c>
      <c r="R2363">
        <f>HLOOKUP("CPUs",'vInfo (Imported)'!$1:$5000,M2363,FALSE)</f>
        <v>0</v>
      </c>
      <c r="S2363">
        <f>HLOOKUP("Memory",'vInfo (Imported)'!$1:$5000,M2363,FALSE)</f>
        <v>0</v>
      </c>
      <c r="T2363">
        <f>HLOOKUP("Provisioned MiB",'vInfo (Imported)'!$1:$5000,M2363,FALSE)</f>
        <v>0</v>
      </c>
      <c r="U2363">
        <f t="shared" si="109"/>
        <v>0</v>
      </c>
      <c r="V2363">
        <f>HLOOKUP("In Use MiB",'vInfo (Imported)'!$1:$5000,M2363,FALSE)</f>
        <v>0</v>
      </c>
    </row>
    <row r="2364" spans="1:22" ht="13" x14ac:dyDescent="0.3">
      <c r="A2364" s="46">
        <f>'vHosts (Imported)'!A2364</f>
        <v>0</v>
      </c>
      <c r="B2364" s="51">
        <f t="shared" si="111"/>
        <v>4968</v>
      </c>
      <c r="C2364" s="49">
        <f>HLOOKUP("# Cores",'vHosts (Imported)'!$1:$5000,M2364,FALSE)</f>
        <v>0</v>
      </c>
      <c r="D2364" s="52">
        <f>HLOOKUP("# Memory",'vHosts (Imported)'!$1:$5000,M2364,FALSE)</f>
        <v>0</v>
      </c>
      <c r="M2364" s="45">
        <f t="shared" si="110"/>
        <v>2364</v>
      </c>
      <c r="N2364" s="38">
        <f>HLOOKUP("Host",'vInfo (Imported)'!$1:$5000,M2364,FALSE)</f>
        <v>0</v>
      </c>
      <c r="R2364">
        <f>HLOOKUP("CPUs",'vInfo (Imported)'!$1:$5000,M2364,FALSE)</f>
        <v>0</v>
      </c>
      <c r="S2364">
        <f>HLOOKUP("Memory",'vInfo (Imported)'!$1:$5000,M2364,FALSE)</f>
        <v>0</v>
      </c>
      <c r="T2364">
        <f>HLOOKUP("Provisioned MiB",'vInfo (Imported)'!$1:$5000,M2364,FALSE)</f>
        <v>0</v>
      </c>
      <c r="U2364">
        <f t="shared" si="109"/>
        <v>0</v>
      </c>
      <c r="V2364">
        <f>HLOOKUP("In Use MiB",'vInfo (Imported)'!$1:$5000,M2364,FALSE)</f>
        <v>0</v>
      </c>
    </row>
    <row r="2365" spans="1:22" ht="13" x14ac:dyDescent="0.3">
      <c r="A2365" s="46">
        <f>'vHosts (Imported)'!A2365</f>
        <v>0</v>
      </c>
      <c r="B2365" s="51">
        <f t="shared" si="111"/>
        <v>4968</v>
      </c>
      <c r="C2365" s="49">
        <f>HLOOKUP("# Cores",'vHosts (Imported)'!$1:$5000,M2365,FALSE)</f>
        <v>0</v>
      </c>
      <c r="D2365" s="52">
        <f>HLOOKUP("# Memory",'vHosts (Imported)'!$1:$5000,M2365,FALSE)</f>
        <v>0</v>
      </c>
      <c r="M2365" s="45">
        <f t="shared" si="110"/>
        <v>2365</v>
      </c>
      <c r="N2365" s="38">
        <f>HLOOKUP("Host",'vInfo (Imported)'!$1:$5000,M2365,FALSE)</f>
        <v>0</v>
      </c>
      <c r="R2365">
        <f>HLOOKUP("CPUs",'vInfo (Imported)'!$1:$5000,M2365,FALSE)</f>
        <v>0</v>
      </c>
      <c r="S2365">
        <f>HLOOKUP("Memory",'vInfo (Imported)'!$1:$5000,M2365,FALSE)</f>
        <v>0</v>
      </c>
      <c r="T2365">
        <f>HLOOKUP("Provisioned MiB",'vInfo (Imported)'!$1:$5000,M2365,FALSE)</f>
        <v>0</v>
      </c>
      <c r="U2365">
        <f t="shared" si="109"/>
        <v>0</v>
      </c>
      <c r="V2365">
        <f>HLOOKUP("In Use MiB",'vInfo (Imported)'!$1:$5000,M2365,FALSE)</f>
        <v>0</v>
      </c>
    </row>
    <row r="2366" spans="1:22" ht="13" x14ac:dyDescent="0.3">
      <c r="A2366" s="46">
        <f>'vHosts (Imported)'!A2366</f>
        <v>0</v>
      </c>
      <c r="B2366" s="51">
        <f t="shared" si="111"/>
        <v>4968</v>
      </c>
      <c r="C2366" s="49">
        <f>HLOOKUP("# Cores",'vHosts (Imported)'!$1:$5000,M2366,FALSE)</f>
        <v>0</v>
      </c>
      <c r="D2366" s="52">
        <f>HLOOKUP("# Memory",'vHosts (Imported)'!$1:$5000,M2366,FALSE)</f>
        <v>0</v>
      </c>
      <c r="M2366" s="45">
        <f t="shared" si="110"/>
        <v>2366</v>
      </c>
      <c r="N2366" s="38">
        <f>HLOOKUP("Host",'vInfo (Imported)'!$1:$5000,M2366,FALSE)</f>
        <v>0</v>
      </c>
      <c r="R2366">
        <f>HLOOKUP("CPUs",'vInfo (Imported)'!$1:$5000,M2366,FALSE)</f>
        <v>0</v>
      </c>
      <c r="S2366">
        <f>HLOOKUP("Memory",'vInfo (Imported)'!$1:$5000,M2366,FALSE)</f>
        <v>0</v>
      </c>
      <c r="T2366">
        <f>HLOOKUP("Provisioned MiB",'vInfo (Imported)'!$1:$5000,M2366,FALSE)</f>
        <v>0</v>
      </c>
      <c r="U2366">
        <f t="shared" si="109"/>
        <v>0</v>
      </c>
      <c r="V2366">
        <f>HLOOKUP("In Use MiB",'vInfo (Imported)'!$1:$5000,M2366,FALSE)</f>
        <v>0</v>
      </c>
    </row>
    <row r="2367" spans="1:22" ht="13" x14ac:dyDescent="0.3">
      <c r="A2367" s="46">
        <f>'vHosts (Imported)'!A2367</f>
        <v>0</v>
      </c>
      <c r="B2367" s="51">
        <f t="shared" si="111"/>
        <v>4968</v>
      </c>
      <c r="C2367" s="49">
        <f>HLOOKUP("# Cores",'vHosts (Imported)'!$1:$5000,M2367,FALSE)</f>
        <v>0</v>
      </c>
      <c r="D2367" s="52">
        <f>HLOOKUP("# Memory",'vHosts (Imported)'!$1:$5000,M2367,FALSE)</f>
        <v>0</v>
      </c>
      <c r="M2367" s="45">
        <f t="shared" si="110"/>
        <v>2367</v>
      </c>
      <c r="N2367" s="38">
        <f>HLOOKUP("Host",'vInfo (Imported)'!$1:$5000,M2367,FALSE)</f>
        <v>0</v>
      </c>
      <c r="R2367">
        <f>HLOOKUP("CPUs",'vInfo (Imported)'!$1:$5000,M2367,FALSE)</f>
        <v>0</v>
      </c>
      <c r="S2367">
        <f>HLOOKUP("Memory",'vInfo (Imported)'!$1:$5000,M2367,FALSE)</f>
        <v>0</v>
      </c>
      <c r="T2367">
        <f>HLOOKUP("Provisioned MiB",'vInfo (Imported)'!$1:$5000,M2367,FALSE)</f>
        <v>0</v>
      </c>
      <c r="U2367">
        <f t="shared" si="109"/>
        <v>0</v>
      </c>
      <c r="V2367">
        <f>HLOOKUP("In Use MiB",'vInfo (Imported)'!$1:$5000,M2367,FALSE)</f>
        <v>0</v>
      </c>
    </row>
    <row r="2368" spans="1:22" ht="13" x14ac:dyDescent="0.3">
      <c r="A2368" s="46">
        <f>'vHosts (Imported)'!A2368</f>
        <v>0</v>
      </c>
      <c r="B2368" s="51">
        <f t="shared" si="111"/>
        <v>4968</v>
      </c>
      <c r="C2368" s="49">
        <f>HLOOKUP("# Cores",'vHosts (Imported)'!$1:$5000,M2368,FALSE)</f>
        <v>0</v>
      </c>
      <c r="D2368" s="52">
        <f>HLOOKUP("# Memory",'vHosts (Imported)'!$1:$5000,M2368,FALSE)</f>
        <v>0</v>
      </c>
      <c r="M2368" s="45">
        <f t="shared" si="110"/>
        <v>2368</v>
      </c>
      <c r="N2368" s="38">
        <f>HLOOKUP("Host",'vInfo (Imported)'!$1:$5000,M2368,FALSE)</f>
        <v>0</v>
      </c>
      <c r="R2368">
        <f>HLOOKUP("CPUs",'vInfo (Imported)'!$1:$5000,M2368,FALSE)</f>
        <v>0</v>
      </c>
      <c r="S2368">
        <f>HLOOKUP("Memory",'vInfo (Imported)'!$1:$5000,M2368,FALSE)</f>
        <v>0</v>
      </c>
      <c r="T2368">
        <f>HLOOKUP("Provisioned MiB",'vInfo (Imported)'!$1:$5000,M2368,FALSE)</f>
        <v>0</v>
      </c>
      <c r="U2368">
        <f t="shared" si="109"/>
        <v>0</v>
      </c>
      <c r="V2368">
        <f>HLOOKUP("In Use MiB",'vInfo (Imported)'!$1:$5000,M2368,FALSE)</f>
        <v>0</v>
      </c>
    </row>
    <row r="2369" spans="1:22" ht="13" x14ac:dyDescent="0.3">
      <c r="A2369" s="46">
        <f>'vHosts (Imported)'!A2369</f>
        <v>0</v>
      </c>
      <c r="B2369" s="51">
        <f t="shared" si="111"/>
        <v>4968</v>
      </c>
      <c r="C2369" s="49">
        <f>HLOOKUP("# Cores",'vHosts (Imported)'!$1:$5000,M2369,FALSE)</f>
        <v>0</v>
      </c>
      <c r="D2369" s="52">
        <f>HLOOKUP("# Memory",'vHosts (Imported)'!$1:$5000,M2369,FALSE)</f>
        <v>0</v>
      </c>
      <c r="M2369" s="45">
        <f t="shared" si="110"/>
        <v>2369</v>
      </c>
      <c r="N2369" s="38">
        <f>HLOOKUP("Host",'vInfo (Imported)'!$1:$5000,M2369,FALSE)</f>
        <v>0</v>
      </c>
      <c r="R2369">
        <f>HLOOKUP("CPUs",'vInfo (Imported)'!$1:$5000,M2369,FALSE)</f>
        <v>0</v>
      </c>
      <c r="S2369">
        <f>HLOOKUP("Memory",'vInfo (Imported)'!$1:$5000,M2369,FALSE)</f>
        <v>0</v>
      </c>
      <c r="T2369">
        <f>HLOOKUP("Provisioned MiB",'vInfo (Imported)'!$1:$5000,M2369,FALSE)</f>
        <v>0</v>
      </c>
      <c r="U2369">
        <f t="shared" si="109"/>
        <v>0</v>
      </c>
      <c r="V2369">
        <f>HLOOKUP("In Use MiB",'vInfo (Imported)'!$1:$5000,M2369,FALSE)</f>
        <v>0</v>
      </c>
    </row>
    <row r="2370" spans="1:22" ht="13" x14ac:dyDescent="0.3">
      <c r="A2370" s="46">
        <f>'vHosts (Imported)'!A2370</f>
        <v>0</v>
      </c>
      <c r="B2370" s="51">
        <f t="shared" si="111"/>
        <v>4968</v>
      </c>
      <c r="C2370" s="49">
        <f>HLOOKUP("# Cores",'vHosts (Imported)'!$1:$5000,M2370,FALSE)</f>
        <v>0</v>
      </c>
      <c r="D2370" s="52">
        <f>HLOOKUP("# Memory",'vHosts (Imported)'!$1:$5000,M2370,FALSE)</f>
        <v>0</v>
      </c>
      <c r="M2370" s="45">
        <f t="shared" si="110"/>
        <v>2370</v>
      </c>
      <c r="N2370" s="38">
        <f>HLOOKUP("Host",'vInfo (Imported)'!$1:$5000,M2370,FALSE)</f>
        <v>0</v>
      </c>
      <c r="R2370">
        <f>HLOOKUP("CPUs",'vInfo (Imported)'!$1:$5000,M2370,FALSE)</f>
        <v>0</v>
      </c>
      <c r="S2370">
        <f>HLOOKUP("Memory",'vInfo (Imported)'!$1:$5000,M2370,FALSE)</f>
        <v>0</v>
      </c>
      <c r="T2370">
        <f>HLOOKUP("Provisioned MiB",'vInfo (Imported)'!$1:$5000,M2370,FALSE)</f>
        <v>0</v>
      </c>
      <c r="U2370">
        <f t="shared" si="109"/>
        <v>0</v>
      </c>
      <c r="V2370">
        <f>HLOOKUP("In Use MiB",'vInfo (Imported)'!$1:$5000,M2370,FALSE)</f>
        <v>0</v>
      </c>
    </row>
    <row r="2371" spans="1:22" ht="13" x14ac:dyDescent="0.3">
      <c r="A2371" s="46">
        <f>'vHosts (Imported)'!A2371</f>
        <v>0</v>
      </c>
      <c r="B2371" s="51">
        <f t="shared" si="111"/>
        <v>4968</v>
      </c>
      <c r="C2371" s="49">
        <f>HLOOKUP("# Cores",'vHosts (Imported)'!$1:$5000,M2371,FALSE)</f>
        <v>0</v>
      </c>
      <c r="D2371" s="52">
        <f>HLOOKUP("# Memory",'vHosts (Imported)'!$1:$5000,M2371,FALSE)</f>
        <v>0</v>
      </c>
      <c r="M2371" s="45">
        <f t="shared" si="110"/>
        <v>2371</v>
      </c>
      <c r="N2371" s="38">
        <f>HLOOKUP("Host",'vInfo (Imported)'!$1:$5000,M2371,FALSE)</f>
        <v>0</v>
      </c>
      <c r="R2371">
        <f>HLOOKUP("CPUs",'vInfo (Imported)'!$1:$5000,M2371,FALSE)</f>
        <v>0</v>
      </c>
      <c r="S2371">
        <f>HLOOKUP("Memory",'vInfo (Imported)'!$1:$5000,M2371,FALSE)</f>
        <v>0</v>
      </c>
      <c r="T2371">
        <f>HLOOKUP("Provisioned MiB",'vInfo (Imported)'!$1:$5000,M2371,FALSE)</f>
        <v>0</v>
      </c>
      <c r="U2371">
        <f t="shared" ref="U2371:U2434" si="112">T2371-V2371</f>
        <v>0</v>
      </c>
      <c r="V2371">
        <f>HLOOKUP("In Use MiB",'vInfo (Imported)'!$1:$5000,M2371,FALSE)</f>
        <v>0</v>
      </c>
    </row>
    <row r="2372" spans="1:22" ht="13" x14ac:dyDescent="0.3">
      <c r="A2372" s="46">
        <f>'vHosts (Imported)'!A2372</f>
        <v>0</v>
      </c>
      <c r="B2372" s="51">
        <f t="shared" si="111"/>
        <v>4968</v>
      </c>
      <c r="C2372" s="49">
        <f>HLOOKUP("# Cores",'vHosts (Imported)'!$1:$5000,M2372,FALSE)</f>
        <v>0</v>
      </c>
      <c r="D2372" s="52">
        <f>HLOOKUP("# Memory",'vHosts (Imported)'!$1:$5000,M2372,FALSE)</f>
        <v>0</v>
      </c>
      <c r="M2372" s="45">
        <f t="shared" ref="M2372:M2435" si="113">M2371+1</f>
        <v>2372</v>
      </c>
      <c r="N2372" s="38">
        <f>HLOOKUP("Host",'vInfo (Imported)'!$1:$5000,M2372,FALSE)</f>
        <v>0</v>
      </c>
      <c r="R2372">
        <f>HLOOKUP("CPUs",'vInfo (Imported)'!$1:$5000,M2372,FALSE)</f>
        <v>0</v>
      </c>
      <c r="S2372">
        <f>HLOOKUP("Memory",'vInfo (Imported)'!$1:$5000,M2372,FALSE)</f>
        <v>0</v>
      </c>
      <c r="T2372">
        <f>HLOOKUP("Provisioned MiB",'vInfo (Imported)'!$1:$5000,M2372,FALSE)</f>
        <v>0</v>
      </c>
      <c r="U2372">
        <f t="shared" si="112"/>
        <v>0</v>
      </c>
      <c r="V2372">
        <f>HLOOKUP("In Use MiB",'vInfo (Imported)'!$1:$5000,M2372,FALSE)</f>
        <v>0</v>
      </c>
    </row>
    <row r="2373" spans="1:22" ht="13" x14ac:dyDescent="0.3">
      <c r="A2373" s="46">
        <f>'vHosts (Imported)'!A2373</f>
        <v>0</v>
      </c>
      <c r="B2373" s="51">
        <f t="shared" si="111"/>
        <v>4968</v>
      </c>
      <c r="C2373" s="49">
        <f>HLOOKUP("# Cores",'vHosts (Imported)'!$1:$5000,M2373,FALSE)</f>
        <v>0</v>
      </c>
      <c r="D2373" s="52">
        <f>HLOOKUP("# Memory",'vHosts (Imported)'!$1:$5000,M2373,FALSE)</f>
        <v>0</v>
      </c>
      <c r="M2373" s="45">
        <f t="shared" si="113"/>
        <v>2373</v>
      </c>
      <c r="N2373" s="38">
        <f>HLOOKUP("Host",'vInfo (Imported)'!$1:$5000,M2373,FALSE)</f>
        <v>0</v>
      </c>
      <c r="R2373">
        <f>HLOOKUP("CPUs",'vInfo (Imported)'!$1:$5000,M2373,FALSE)</f>
        <v>0</v>
      </c>
      <c r="S2373">
        <f>HLOOKUP("Memory",'vInfo (Imported)'!$1:$5000,M2373,FALSE)</f>
        <v>0</v>
      </c>
      <c r="T2373">
        <f>HLOOKUP("Provisioned MiB",'vInfo (Imported)'!$1:$5000,M2373,FALSE)</f>
        <v>0</v>
      </c>
      <c r="U2373">
        <f t="shared" si="112"/>
        <v>0</v>
      </c>
      <c r="V2373">
        <f>HLOOKUP("In Use MiB",'vInfo (Imported)'!$1:$5000,M2373,FALSE)</f>
        <v>0</v>
      </c>
    </row>
    <row r="2374" spans="1:22" ht="13" x14ac:dyDescent="0.3">
      <c r="A2374" s="46">
        <f>'vHosts (Imported)'!A2374</f>
        <v>0</v>
      </c>
      <c r="B2374" s="51">
        <f t="shared" si="111"/>
        <v>4968</v>
      </c>
      <c r="C2374" s="49">
        <f>HLOOKUP("# Cores",'vHosts (Imported)'!$1:$5000,M2374,FALSE)</f>
        <v>0</v>
      </c>
      <c r="D2374" s="52">
        <f>HLOOKUP("# Memory",'vHosts (Imported)'!$1:$5000,M2374,FALSE)</f>
        <v>0</v>
      </c>
      <c r="M2374" s="45">
        <f t="shared" si="113"/>
        <v>2374</v>
      </c>
      <c r="N2374" s="38">
        <f>HLOOKUP("Host",'vInfo (Imported)'!$1:$5000,M2374,FALSE)</f>
        <v>0</v>
      </c>
      <c r="R2374">
        <f>HLOOKUP("CPUs",'vInfo (Imported)'!$1:$5000,M2374,FALSE)</f>
        <v>0</v>
      </c>
      <c r="S2374">
        <f>HLOOKUP("Memory",'vInfo (Imported)'!$1:$5000,M2374,FALSE)</f>
        <v>0</v>
      </c>
      <c r="T2374">
        <f>HLOOKUP("Provisioned MiB",'vInfo (Imported)'!$1:$5000,M2374,FALSE)</f>
        <v>0</v>
      </c>
      <c r="U2374">
        <f t="shared" si="112"/>
        <v>0</v>
      </c>
      <c r="V2374">
        <f>HLOOKUP("In Use MiB",'vInfo (Imported)'!$1:$5000,M2374,FALSE)</f>
        <v>0</v>
      </c>
    </row>
    <row r="2375" spans="1:22" ht="13" x14ac:dyDescent="0.3">
      <c r="A2375" s="46">
        <f>'vHosts (Imported)'!A2375</f>
        <v>0</v>
      </c>
      <c r="B2375" s="51">
        <f t="shared" si="111"/>
        <v>4968</v>
      </c>
      <c r="C2375" s="49">
        <f>HLOOKUP("# Cores",'vHosts (Imported)'!$1:$5000,M2375,FALSE)</f>
        <v>0</v>
      </c>
      <c r="D2375" s="52">
        <f>HLOOKUP("# Memory",'vHosts (Imported)'!$1:$5000,M2375,FALSE)</f>
        <v>0</v>
      </c>
      <c r="M2375" s="45">
        <f t="shared" si="113"/>
        <v>2375</v>
      </c>
      <c r="N2375" s="38">
        <f>HLOOKUP("Host",'vInfo (Imported)'!$1:$5000,M2375,FALSE)</f>
        <v>0</v>
      </c>
      <c r="R2375">
        <f>HLOOKUP("CPUs",'vInfo (Imported)'!$1:$5000,M2375,FALSE)</f>
        <v>0</v>
      </c>
      <c r="S2375">
        <f>HLOOKUP("Memory",'vInfo (Imported)'!$1:$5000,M2375,FALSE)</f>
        <v>0</v>
      </c>
      <c r="T2375">
        <f>HLOOKUP("Provisioned MiB",'vInfo (Imported)'!$1:$5000,M2375,FALSE)</f>
        <v>0</v>
      </c>
      <c r="U2375">
        <f t="shared" si="112"/>
        <v>0</v>
      </c>
      <c r="V2375">
        <f>HLOOKUP("In Use MiB",'vInfo (Imported)'!$1:$5000,M2375,FALSE)</f>
        <v>0</v>
      </c>
    </row>
    <row r="2376" spans="1:22" ht="13" x14ac:dyDescent="0.3">
      <c r="A2376" s="46">
        <f>'vHosts (Imported)'!A2376</f>
        <v>0</v>
      </c>
      <c r="B2376" s="51">
        <f t="shared" si="111"/>
        <v>4968</v>
      </c>
      <c r="C2376" s="49">
        <f>HLOOKUP("# Cores",'vHosts (Imported)'!$1:$5000,M2376,FALSE)</f>
        <v>0</v>
      </c>
      <c r="D2376" s="52">
        <f>HLOOKUP("# Memory",'vHosts (Imported)'!$1:$5000,M2376,FALSE)</f>
        <v>0</v>
      </c>
      <c r="M2376" s="45">
        <f t="shared" si="113"/>
        <v>2376</v>
      </c>
      <c r="N2376" s="38">
        <f>HLOOKUP("Host",'vInfo (Imported)'!$1:$5000,M2376,FALSE)</f>
        <v>0</v>
      </c>
      <c r="R2376">
        <f>HLOOKUP("CPUs",'vInfo (Imported)'!$1:$5000,M2376,FALSE)</f>
        <v>0</v>
      </c>
      <c r="S2376">
        <f>HLOOKUP("Memory",'vInfo (Imported)'!$1:$5000,M2376,FALSE)</f>
        <v>0</v>
      </c>
      <c r="T2376">
        <f>HLOOKUP("Provisioned MiB",'vInfo (Imported)'!$1:$5000,M2376,FALSE)</f>
        <v>0</v>
      </c>
      <c r="U2376">
        <f t="shared" si="112"/>
        <v>0</v>
      </c>
      <c r="V2376">
        <f>HLOOKUP("In Use MiB",'vInfo (Imported)'!$1:$5000,M2376,FALSE)</f>
        <v>0</v>
      </c>
    </row>
    <row r="2377" spans="1:22" ht="13" x14ac:dyDescent="0.3">
      <c r="A2377" s="46">
        <f>'vHosts (Imported)'!A2377</f>
        <v>0</v>
      </c>
      <c r="B2377" s="51">
        <f t="shared" si="111"/>
        <v>4968</v>
      </c>
      <c r="C2377" s="49">
        <f>HLOOKUP("# Cores",'vHosts (Imported)'!$1:$5000,M2377,FALSE)</f>
        <v>0</v>
      </c>
      <c r="D2377" s="52">
        <f>HLOOKUP("# Memory",'vHosts (Imported)'!$1:$5000,M2377,FALSE)</f>
        <v>0</v>
      </c>
      <c r="M2377" s="45">
        <f t="shared" si="113"/>
        <v>2377</v>
      </c>
      <c r="N2377" s="38">
        <f>HLOOKUP("Host",'vInfo (Imported)'!$1:$5000,M2377,FALSE)</f>
        <v>0</v>
      </c>
      <c r="R2377">
        <f>HLOOKUP("CPUs",'vInfo (Imported)'!$1:$5000,M2377,FALSE)</f>
        <v>0</v>
      </c>
      <c r="S2377">
        <f>HLOOKUP("Memory",'vInfo (Imported)'!$1:$5000,M2377,FALSE)</f>
        <v>0</v>
      </c>
      <c r="T2377">
        <f>HLOOKUP("Provisioned MiB",'vInfo (Imported)'!$1:$5000,M2377,FALSE)</f>
        <v>0</v>
      </c>
      <c r="U2377">
        <f t="shared" si="112"/>
        <v>0</v>
      </c>
      <c r="V2377">
        <f>HLOOKUP("In Use MiB",'vInfo (Imported)'!$1:$5000,M2377,FALSE)</f>
        <v>0</v>
      </c>
    </row>
    <row r="2378" spans="1:22" ht="13" x14ac:dyDescent="0.3">
      <c r="A2378" s="46">
        <f>'vHosts (Imported)'!A2378</f>
        <v>0</v>
      </c>
      <c r="B2378" s="51">
        <f t="shared" si="111"/>
        <v>4968</v>
      </c>
      <c r="C2378" s="49">
        <f>HLOOKUP("# Cores",'vHosts (Imported)'!$1:$5000,M2378,FALSE)</f>
        <v>0</v>
      </c>
      <c r="D2378" s="52">
        <f>HLOOKUP("# Memory",'vHosts (Imported)'!$1:$5000,M2378,FALSE)</f>
        <v>0</v>
      </c>
      <c r="M2378" s="45">
        <f t="shared" si="113"/>
        <v>2378</v>
      </c>
      <c r="N2378" s="38">
        <f>HLOOKUP("Host",'vInfo (Imported)'!$1:$5000,M2378,FALSE)</f>
        <v>0</v>
      </c>
      <c r="R2378">
        <f>HLOOKUP("CPUs",'vInfo (Imported)'!$1:$5000,M2378,FALSE)</f>
        <v>0</v>
      </c>
      <c r="S2378">
        <f>HLOOKUP("Memory",'vInfo (Imported)'!$1:$5000,M2378,FALSE)</f>
        <v>0</v>
      </c>
      <c r="T2378">
        <f>HLOOKUP("Provisioned MiB",'vInfo (Imported)'!$1:$5000,M2378,FALSE)</f>
        <v>0</v>
      </c>
      <c r="U2378">
        <f t="shared" si="112"/>
        <v>0</v>
      </c>
      <c r="V2378">
        <f>HLOOKUP("In Use MiB",'vInfo (Imported)'!$1:$5000,M2378,FALSE)</f>
        <v>0</v>
      </c>
    </row>
    <row r="2379" spans="1:22" ht="13" x14ac:dyDescent="0.3">
      <c r="A2379" s="46">
        <f>'vHosts (Imported)'!A2379</f>
        <v>0</v>
      </c>
      <c r="B2379" s="51">
        <f t="shared" si="111"/>
        <v>4968</v>
      </c>
      <c r="C2379" s="49">
        <f>HLOOKUP("# Cores",'vHosts (Imported)'!$1:$5000,M2379,FALSE)</f>
        <v>0</v>
      </c>
      <c r="D2379" s="52">
        <f>HLOOKUP("# Memory",'vHosts (Imported)'!$1:$5000,M2379,FALSE)</f>
        <v>0</v>
      </c>
      <c r="M2379" s="45">
        <f t="shared" si="113"/>
        <v>2379</v>
      </c>
      <c r="N2379" s="38">
        <f>HLOOKUP("Host",'vInfo (Imported)'!$1:$5000,M2379,FALSE)</f>
        <v>0</v>
      </c>
      <c r="R2379">
        <f>HLOOKUP("CPUs",'vInfo (Imported)'!$1:$5000,M2379,FALSE)</f>
        <v>0</v>
      </c>
      <c r="S2379">
        <f>HLOOKUP("Memory",'vInfo (Imported)'!$1:$5000,M2379,FALSE)</f>
        <v>0</v>
      </c>
      <c r="T2379">
        <f>HLOOKUP("Provisioned MiB",'vInfo (Imported)'!$1:$5000,M2379,FALSE)</f>
        <v>0</v>
      </c>
      <c r="U2379">
        <f t="shared" si="112"/>
        <v>0</v>
      </c>
      <c r="V2379">
        <f>HLOOKUP("In Use MiB",'vInfo (Imported)'!$1:$5000,M2379,FALSE)</f>
        <v>0</v>
      </c>
    </row>
    <row r="2380" spans="1:22" ht="13" x14ac:dyDescent="0.3">
      <c r="A2380" s="46">
        <f>'vHosts (Imported)'!A2380</f>
        <v>0</v>
      </c>
      <c r="B2380" s="51">
        <f t="shared" si="111"/>
        <v>4968</v>
      </c>
      <c r="C2380" s="49">
        <f>HLOOKUP("# Cores",'vHosts (Imported)'!$1:$5000,M2380,FALSE)</f>
        <v>0</v>
      </c>
      <c r="D2380" s="52">
        <f>HLOOKUP("# Memory",'vHosts (Imported)'!$1:$5000,M2380,FALSE)</f>
        <v>0</v>
      </c>
      <c r="M2380" s="45">
        <f t="shared" si="113"/>
        <v>2380</v>
      </c>
      <c r="N2380" s="38">
        <f>HLOOKUP("Host",'vInfo (Imported)'!$1:$5000,M2380,FALSE)</f>
        <v>0</v>
      </c>
      <c r="R2380">
        <f>HLOOKUP("CPUs",'vInfo (Imported)'!$1:$5000,M2380,FALSE)</f>
        <v>0</v>
      </c>
      <c r="S2380">
        <f>HLOOKUP("Memory",'vInfo (Imported)'!$1:$5000,M2380,FALSE)</f>
        <v>0</v>
      </c>
      <c r="T2380">
        <f>HLOOKUP("Provisioned MiB",'vInfo (Imported)'!$1:$5000,M2380,FALSE)</f>
        <v>0</v>
      </c>
      <c r="U2380">
        <f t="shared" si="112"/>
        <v>0</v>
      </c>
      <c r="V2380">
        <f>HLOOKUP("In Use MiB",'vInfo (Imported)'!$1:$5000,M2380,FALSE)</f>
        <v>0</v>
      </c>
    </row>
    <row r="2381" spans="1:22" ht="13" x14ac:dyDescent="0.3">
      <c r="A2381" s="46">
        <f>'vHosts (Imported)'!A2381</f>
        <v>0</v>
      </c>
      <c r="B2381" s="51">
        <f t="shared" si="111"/>
        <v>4968</v>
      </c>
      <c r="C2381" s="49">
        <f>HLOOKUP("# Cores",'vHosts (Imported)'!$1:$5000,M2381,FALSE)</f>
        <v>0</v>
      </c>
      <c r="D2381" s="52">
        <f>HLOOKUP("# Memory",'vHosts (Imported)'!$1:$5000,M2381,FALSE)</f>
        <v>0</v>
      </c>
      <c r="M2381" s="45">
        <f t="shared" si="113"/>
        <v>2381</v>
      </c>
      <c r="N2381" s="38">
        <f>HLOOKUP("Host",'vInfo (Imported)'!$1:$5000,M2381,FALSE)</f>
        <v>0</v>
      </c>
      <c r="R2381">
        <f>HLOOKUP("CPUs",'vInfo (Imported)'!$1:$5000,M2381,FALSE)</f>
        <v>0</v>
      </c>
      <c r="S2381">
        <f>HLOOKUP("Memory",'vInfo (Imported)'!$1:$5000,M2381,FALSE)</f>
        <v>0</v>
      </c>
      <c r="T2381">
        <f>HLOOKUP("Provisioned MiB",'vInfo (Imported)'!$1:$5000,M2381,FALSE)</f>
        <v>0</v>
      </c>
      <c r="U2381">
        <f t="shared" si="112"/>
        <v>0</v>
      </c>
      <c r="V2381">
        <f>HLOOKUP("In Use MiB",'vInfo (Imported)'!$1:$5000,M2381,FALSE)</f>
        <v>0</v>
      </c>
    </row>
    <row r="2382" spans="1:22" ht="13" x14ac:dyDescent="0.3">
      <c r="A2382" s="46">
        <f>'vHosts (Imported)'!A2382</f>
        <v>0</v>
      </c>
      <c r="B2382" s="51">
        <f t="shared" si="111"/>
        <v>4968</v>
      </c>
      <c r="C2382" s="49">
        <f>HLOOKUP("# Cores",'vHosts (Imported)'!$1:$5000,M2382,FALSE)</f>
        <v>0</v>
      </c>
      <c r="D2382" s="52">
        <f>HLOOKUP("# Memory",'vHosts (Imported)'!$1:$5000,M2382,FALSE)</f>
        <v>0</v>
      </c>
      <c r="M2382" s="45">
        <f t="shared" si="113"/>
        <v>2382</v>
      </c>
      <c r="N2382" s="38">
        <f>HLOOKUP("Host",'vInfo (Imported)'!$1:$5000,M2382,FALSE)</f>
        <v>0</v>
      </c>
      <c r="R2382">
        <f>HLOOKUP("CPUs",'vInfo (Imported)'!$1:$5000,M2382,FALSE)</f>
        <v>0</v>
      </c>
      <c r="S2382">
        <f>HLOOKUP("Memory",'vInfo (Imported)'!$1:$5000,M2382,FALSE)</f>
        <v>0</v>
      </c>
      <c r="T2382">
        <f>HLOOKUP("Provisioned MiB",'vInfo (Imported)'!$1:$5000,M2382,FALSE)</f>
        <v>0</v>
      </c>
      <c r="U2382">
        <f t="shared" si="112"/>
        <v>0</v>
      </c>
      <c r="V2382">
        <f>HLOOKUP("In Use MiB",'vInfo (Imported)'!$1:$5000,M2382,FALSE)</f>
        <v>0</v>
      </c>
    </row>
    <row r="2383" spans="1:22" ht="13" x14ac:dyDescent="0.3">
      <c r="A2383" s="46">
        <f>'vHosts (Imported)'!A2383</f>
        <v>0</v>
      </c>
      <c r="B2383" s="51">
        <f t="shared" si="111"/>
        <v>4968</v>
      </c>
      <c r="C2383" s="49">
        <f>HLOOKUP("# Cores",'vHosts (Imported)'!$1:$5000,M2383,FALSE)</f>
        <v>0</v>
      </c>
      <c r="D2383" s="52">
        <f>HLOOKUP("# Memory",'vHosts (Imported)'!$1:$5000,M2383,FALSE)</f>
        <v>0</v>
      </c>
      <c r="M2383" s="45">
        <f t="shared" si="113"/>
        <v>2383</v>
      </c>
      <c r="N2383" s="38">
        <f>HLOOKUP("Host",'vInfo (Imported)'!$1:$5000,M2383,FALSE)</f>
        <v>0</v>
      </c>
      <c r="R2383">
        <f>HLOOKUP("CPUs",'vInfo (Imported)'!$1:$5000,M2383,FALSE)</f>
        <v>0</v>
      </c>
      <c r="S2383">
        <f>HLOOKUP("Memory",'vInfo (Imported)'!$1:$5000,M2383,FALSE)</f>
        <v>0</v>
      </c>
      <c r="T2383">
        <f>HLOOKUP("Provisioned MiB",'vInfo (Imported)'!$1:$5000,M2383,FALSE)</f>
        <v>0</v>
      </c>
      <c r="U2383">
        <f t="shared" si="112"/>
        <v>0</v>
      </c>
      <c r="V2383">
        <f>HLOOKUP("In Use MiB",'vInfo (Imported)'!$1:$5000,M2383,FALSE)</f>
        <v>0</v>
      </c>
    </row>
    <row r="2384" spans="1:22" ht="13" x14ac:dyDescent="0.3">
      <c r="A2384" s="46">
        <f>'vHosts (Imported)'!A2384</f>
        <v>0</v>
      </c>
      <c r="B2384" s="51">
        <f t="shared" si="111"/>
        <v>4968</v>
      </c>
      <c r="C2384" s="49">
        <f>HLOOKUP("# Cores",'vHosts (Imported)'!$1:$5000,M2384,FALSE)</f>
        <v>0</v>
      </c>
      <c r="D2384" s="52">
        <f>HLOOKUP("# Memory",'vHosts (Imported)'!$1:$5000,M2384,FALSE)</f>
        <v>0</v>
      </c>
      <c r="M2384" s="45">
        <f t="shared" si="113"/>
        <v>2384</v>
      </c>
      <c r="N2384" s="38">
        <f>HLOOKUP("Host",'vInfo (Imported)'!$1:$5000,M2384,FALSE)</f>
        <v>0</v>
      </c>
      <c r="R2384">
        <f>HLOOKUP("CPUs",'vInfo (Imported)'!$1:$5000,M2384,FALSE)</f>
        <v>0</v>
      </c>
      <c r="S2384">
        <f>HLOOKUP("Memory",'vInfo (Imported)'!$1:$5000,M2384,FALSE)</f>
        <v>0</v>
      </c>
      <c r="T2384">
        <f>HLOOKUP("Provisioned MiB",'vInfo (Imported)'!$1:$5000,M2384,FALSE)</f>
        <v>0</v>
      </c>
      <c r="U2384">
        <f t="shared" si="112"/>
        <v>0</v>
      </c>
      <c r="V2384">
        <f>HLOOKUP("In Use MiB",'vInfo (Imported)'!$1:$5000,M2384,FALSE)</f>
        <v>0</v>
      </c>
    </row>
    <row r="2385" spans="1:22" ht="13" x14ac:dyDescent="0.3">
      <c r="A2385" s="46">
        <f>'vHosts (Imported)'!A2385</f>
        <v>0</v>
      </c>
      <c r="B2385" s="51">
        <f t="shared" si="111"/>
        <v>4968</v>
      </c>
      <c r="C2385" s="49">
        <f>HLOOKUP("# Cores",'vHosts (Imported)'!$1:$5000,M2385,FALSE)</f>
        <v>0</v>
      </c>
      <c r="D2385" s="52">
        <f>HLOOKUP("# Memory",'vHosts (Imported)'!$1:$5000,M2385,FALSE)</f>
        <v>0</v>
      </c>
      <c r="M2385" s="45">
        <f t="shared" si="113"/>
        <v>2385</v>
      </c>
      <c r="N2385" s="38">
        <f>HLOOKUP("Host",'vInfo (Imported)'!$1:$5000,M2385,FALSE)</f>
        <v>0</v>
      </c>
      <c r="R2385">
        <f>HLOOKUP("CPUs",'vInfo (Imported)'!$1:$5000,M2385,FALSE)</f>
        <v>0</v>
      </c>
      <c r="S2385">
        <f>HLOOKUP("Memory",'vInfo (Imported)'!$1:$5000,M2385,FALSE)</f>
        <v>0</v>
      </c>
      <c r="T2385">
        <f>HLOOKUP("Provisioned MiB",'vInfo (Imported)'!$1:$5000,M2385,FALSE)</f>
        <v>0</v>
      </c>
      <c r="U2385">
        <f t="shared" si="112"/>
        <v>0</v>
      </c>
      <c r="V2385">
        <f>HLOOKUP("In Use MiB",'vInfo (Imported)'!$1:$5000,M2385,FALSE)</f>
        <v>0</v>
      </c>
    </row>
    <row r="2386" spans="1:22" ht="13" x14ac:dyDescent="0.3">
      <c r="A2386" s="46">
        <f>'vHosts (Imported)'!A2386</f>
        <v>0</v>
      </c>
      <c r="B2386" s="51">
        <f t="shared" si="111"/>
        <v>4968</v>
      </c>
      <c r="C2386" s="49">
        <f>HLOOKUP("# Cores",'vHosts (Imported)'!$1:$5000,M2386,FALSE)</f>
        <v>0</v>
      </c>
      <c r="D2386" s="52">
        <f>HLOOKUP("# Memory",'vHosts (Imported)'!$1:$5000,M2386,FALSE)</f>
        <v>0</v>
      </c>
      <c r="M2386" s="45">
        <f t="shared" si="113"/>
        <v>2386</v>
      </c>
      <c r="N2386" s="38">
        <f>HLOOKUP("Host",'vInfo (Imported)'!$1:$5000,M2386,FALSE)</f>
        <v>0</v>
      </c>
      <c r="R2386">
        <f>HLOOKUP("CPUs",'vInfo (Imported)'!$1:$5000,M2386,FALSE)</f>
        <v>0</v>
      </c>
      <c r="S2386">
        <f>HLOOKUP("Memory",'vInfo (Imported)'!$1:$5000,M2386,FALSE)</f>
        <v>0</v>
      </c>
      <c r="T2386">
        <f>HLOOKUP("Provisioned MiB",'vInfo (Imported)'!$1:$5000,M2386,FALSE)</f>
        <v>0</v>
      </c>
      <c r="U2386">
        <f t="shared" si="112"/>
        <v>0</v>
      </c>
      <c r="V2386">
        <f>HLOOKUP("In Use MiB",'vInfo (Imported)'!$1:$5000,M2386,FALSE)</f>
        <v>0</v>
      </c>
    </row>
    <row r="2387" spans="1:22" ht="13" x14ac:dyDescent="0.3">
      <c r="A2387" s="46">
        <f>'vHosts (Imported)'!A2387</f>
        <v>0</v>
      </c>
      <c r="B2387" s="51">
        <f t="shared" si="111"/>
        <v>4968</v>
      </c>
      <c r="C2387" s="49">
        <f>HLOOKUP("# Cores",'vHosts (Imported)'!$1:$5000,M2387,FALSE)</f>
        <v>0</v>
      </c>
      <c r="D2387" s="52">
        <f>HLOOKUP("# Memory",'vHosts (Imported)'!$1:$5000,M2387,FALSE)</f>
        <v>0</v>
      </c>
      <c r="M2387" s="45">
        <f t="shared" si="113"/>
        <v>2387</v>
      </c>
      <c r="N2387" s="38">
        <f>HLOOKUP("Host",'vInfo (Imported)'!$1:$5000,M2387,FALSE)</f>
        <v>0</v>
      </c>
      <c r="R2387">
        <f>HLOOKUP("CPUs",'vInfo (Imported)'!$1:$5000,M2387,FALSE)</f>
        <v>0</v>
      </c>
      <c r="S2387">
        <f>HLOOKUP("Memory",'vInfo (Imported)'!$1:$5000,M2387,FALSE)</f>
        <v>0</v>
      </c>
      <c r="T2387">
        <f>HLOOKUP("Provisioned MiB",'vInfo (Imported)'!$1:$5000,M2387,FALSE)</f>
        <v>0</v>
      </c>
      <c r="U2387">
        <f t="shared" si="112"/>
        <v>0</v>
      </c>
      <c r="V2387">
        <f>HLOOKUP("In Use MiB",'vInfo (Imported)'!$1:$5000,M2387,FALSE)</f>
        <v>0</v>
      </c>
    </row>
    <row r="2388" spans="1:22" ht="13" x14ac:dyDescent="0.3">
      <c r="A2388" s="46">
        <f>'vHosts (Imported)'!A2388</f>
        <v>0</v>
      </c>
      <c r="B2388" s="51">
        <f t="shared" si="111"/>
        <v>4968</v>
      </c>
      <c r="C2388" s="49">
        <f>HLOOKUP("# Cores",'vHosts (Imported)'!$1:$5000,M2388,FALSE)</f>
        <v>0</v>
      </c>
      <c r="D2388" s="52">
        <f>HLOOKUP("# Memory",'vHosts (Imported)'!$1:$5000,M2388,FALSE)</f>
        <v>0</v>
      </c>
      <c r="M2388" s="45">
        <f t="shared" si="113"/>
        <v>2388</v>
      </c>
      <c r="N2388" s="38">
        <f>HLOOKUP("Host",'vInfo (Imported)'!$1:$5000,M2388,FALSE)</f>
        <v>0</v>
      </c>
      <c r="R2388">
        <f>HLOOKUP("CPUs",'vInfo (Imported)'!$1:$5000,M2388,FALSE)</f>
        <v>0</v>
      </c>
      <c r="S2388">
        <f>HLOOKUP("Memory",'vInfo (Imported)'!$1:$5000,M2388,FALSE)</f>
        <v>0</v>
      </c>
      <c r="T2388">
        <f>HLOOKUP("Provisioned MiB",'vInfo (Imported)'!$1:$5000,M2388,FALSE)</f>
        <v>0</v>
      </c>
      <c r="U2388">
        <f t="shared" si="112"/>
        <v>0</v>
      </c>
      <c r="V2388">
        <f>HLOOKUP("In Use MiB",'vInfo (Imported)'!$1:$5000,M2388,FALSE)</f>
        <v>0</v>
      </c>
    </row>
    <row r="2389" spans="1:22" ht="13" x14ac:dyDescent="0.3">
      <c r="A2389" s="46">
        <f>'vHosts (Imported)'!A2389</f>
        <v>0</v>
      </c>
      <c r="B2389" s="51">
        <f t="shared" si="111"/>
        <v>4968</v>
      </c>
      <c r="C2389" s="49">
        <f>HLOOKUP("# Cores",'vHosts (Imported)'!$1:$5000,M2389,FALSE)</f>
        <v>0</v>
      </c>
      <c r="D2389" s="52">
        <f>HLOOKUP("# Memory",'vHosts (Imported)'!$1:$5000,M2389,FALSE)</f>
        <v>0</v>
      </c>
      <c r="M2389" s="45">
        <f t="shared" si="113"/>
        <v>2389</v>
      </c>
      <c r="N2389" s="38">
        <f>HLOOKUP("Host",'vInfo (Imported)'!$1:$5000,M2389,FALSE)</f>
        <v>0</v>
      </c>
      <c r="R2389">
        <f>HLOOKUP("CPUs",'vInfo (Imported)'!$1:$5000,M2389,FALSE)</f>
        <v>0</v>
      </c>
      <c r="S2389">
        <f>HLOOKUP("Memory",'vInfo (Imported)'!$1:$5000,M2389,FALSE)</f>
        <v>0</v>
      </c>
      <c r="T2389">
        <f>HLOOKUP("Provisioned MiB",'vInfo (Imported)'!$1:$5000,M2389,FALSE)</f>
        <v>0</v>
      </c>
      <c r="U2389">
        <f t="shared" si="112"/>
        <v>0</v>
      </c>
      <c r="V2389">
        <f>HLOOKUP("In Use MiB",'vInfo (Imported)'!$1:$5000,M2389,FALSE)</f>
        <v>0</v>
      </c>
    </row>
    <row r="2390" spans="1:22" ht="13" x14ac:dyDescent="0.3">
      <c r="A2390" s="46">
        <f>'vHosts (Imported)'!A2390</f>
        <v>0</v>
      </c>
      <c r="B2390" s="51">
        <f t="shared" si="111"/>
        <v>4968</v>
      </c>
      <c r="C2390" s="49">
        <f>HLOOKUP("# Cores",'vHosts (Imported)'!$1:$5000,M2390,FALSE)</f>
        <v>0</v>
      </c>
      <c r="D2390" s="52">
        <f>HLOOKUP("# Memory",'vHosts (Imported)'!$1:$5000,M2390,FALSE)</f>
        <v>0</v>
      </c>
      <c r="M2390" s="45">
        <f t="shared" si="113"/>
        <v>2390</v>
      </c>
      <c r="N2390" s="38">
        <f>HLOOKUP("Host",'vInfo (Imported)'!$1:$5000,M2390,FALSE)</f>
        <v>0</v>
      </c>
      <c r="R2390">
        <f>HLOOKUP("CPUs",'vInfo (Imported)'!$1:$5000,M2390,FALSE)</f>
        <v>0</v>
      </c>
      <c r="S2390">
        <f>HLOOKUP("Memory",'vInfo (Imported)'!$1:$5000,M2390,FALSE)</f>
        <v>0</v>
      </c>
      <c r="T2390">
        <f>HLOOKUP("Provisioned MiB",'vInfo (Imported)'!$1:$5000,M2390,FALSE)</f>
        <v>0</v>
      </c>
      <c r="U2390">
        <f t="shared" si="112"/>
        <v>0</v>
      </c>
      <c r="V2390">
        <f>HLOOKUP("In Use MiB",'vInfo (Imported)'!$1:$5000,M2390,FALSE)</f>
        <v>0</v>
      </c>
    </row>
    <row r="2391" spans="1:22" ht="13" x14ac:dyDescent="0.3">
      <c r="A2391" s="46">
        <f>'vHosts (Imported)'!A2391</f>
        <v>0</v>
      </c>
      <c r="B2391" s="51">
        <f t="shared" si="111"/>
        <v>4968</v>
      </c>
      <c r="C2391" s="49">
        <f>HLOOKUP("# Cores",'vHosts (Imported)'!$1:$5000,M2391,FALSE)</f>
        <v>0</v>
      </c>
      <c r="D2391" s="52">
        <f>HLOOKUP("# Memory",'vHosts (Imported)'!$1:$5000,M2391,FALSE)</f>
        <v>0</v>
      </c>
      <c r="M2391" s="45">
        <f t="shared" si="113"/>
        <v>2391</v>
      </c>
      <c r="N2391" s="38">
        <f>HLOOKUP("Host",'vInfo (Imported)'!$1:$5000,M2391,FALSE)</f>
        <v>0</v>
      </c>
      <c r="R2391">
        <f>HLOOKUP("CPUs",'vInfo (Imported)'!$1:$5000,M2391,FALSE)</f>
        <v>0</v>
      </c>
      <c r="S2391">
        <f>HLOOKUP("Memory",'vInfo (Imported)'!$1:$5000,M2391,FALSE)</f>
        <v>0</v>
      </c>
      <c r="T2391">
        <f>HLOOKUP("Provisioned MiB",'vInfo (Imported)'!$1:$5000,M2391,FALSE)</f>
        <v>0</v>
      </c>
      <c r="U2391">
        <f t="shared" si="112"/>
        <v>0</v>
      </c>
      <c r="V2391">
        <f>HLOOKUP("In Use MiB",'vInfo (Imported)'!$1:$5000,M2391,FALSE)</f>
        <v>0</v>
      </c>
    </row>
    <row r="2392" spans="1:22" ht="13" x14ac:dyDescent="0.3">
      <c r="A2392" s="46">
        <f>'vHosts (Imported)'!A2392</f>
        <v>0</v>
      </c>
      <c r="B2392" s="51">
        <f t="shared" si="111"/>
        <v>4968</v>
      </c>
      <c r="C2392" s="49">
        <f>HLOOKUP("# Cores",'vHosts (Imported)'!$1:$5000,M2392,FALSE)</f>
        <v>0</v>
      </c>
      <c r="D2392" s="52">
        <f>HLOOKUP("# Memory",'vHosts (Imported)'!$1:$5000,M2392,FALSE)</f>
        <v>0</v>
      </c>
      <c r="M2392" s="45">
        <f t="shared" si="113"/>
        <v>2392</v>
      </c>
      <c r="N2392" s="38">
        <f>HLOOKUP("Host",'vInfo (Imported)'!$1:$5000,M2392,FALSE)</f>
        <v>0</v>
      </c>
      <c r="R2392">
        <f>HLOOKUP("CPUs",'vInfo (Imported)'!$1:$5000,M2392,FALSE)</f>
        <v>0</v>
      </c>
      <c r="S2392">
        <f>HLOOKUP("Memory",'vInfo (Imported)'!$1:$5000,M2392,FALSE)</f>
        <v>0</v>
      </c>
      <c r="T2392">
        <f>HLOOKUP("Provisioned MiB",'vInfo (Imported)'!$1:$5000,M2392,FALSE)</f>
        <v>0</v>
      </c>
      <c r="U2392">
        <f t="shared" si="112"/>
        <v>0</v>
      </c>
      <c r="V2392">
        <f>HLOOKUP("In Use MiB",'vInfo (Imported)'!$1:$5000,M2392,FALSE)</f>
        <v>0</v>
      </c>
    </row>
    <row r="2393" spans="1:22" ht="13" x14ac:dyDescent="0.3">
      <c r="A2393" s="46">
        <f>'vHosts (Imported)'!A2393</f>
        <v>0</v>
      </c>
      <c r="B2393" s="51">
        <f t="shared" si="111"/>
        <v>4968</v>
      </c>
      <c r="C2393" s="49">
        <f>HLOOKUP("# Cores",'vHosts (Imported)'!$1:$5000,M2393,FALSE)</f>
        <v>0</v>
      </c>
      <c r="D2393" s="52">
        <f>HLOOKUP("# Memory",'vHosts (Imported)'!$1:$5000,M2393,FALSE)</f>
        <v>0</v>
      </c>
      <c r="M2393" s="45">
        <f t="shared" si="113"/>
        <v>2393</v>
      </c>
      <c r="N2393" s="38">
        <f>HLOOKUP("Host",'vInfo (Imported)'!$1:$5000,M2393,FALSE)</f>
        <v>0</v>
      </c>
      <c r="R2393">
        <f>HLOOKUP("CPUs",'vInfo (Imported)'!$1:$5000,M2393,FALSE)</f>
        <v>0</v>
      </c>
      <c r="S2393">
        <f>HLOOKUP("Memory",'vInfo (Imported)'!$1:$5000,M2393,FALSE)</f>
        <v>0</v>
      </c>
      <c r="T2393">
        <f>HLOOKUP("Provisioned MiB",'vInfo (Imported)'!$1:$5000,M2393,FALSE)</f>
        <v>0</v>
      </c>
      <c r="U2393">
        <f t="shared" si="112"/>
        <v>0</v>
      </c>
      <c r="V2393">
        <f>HLOOKUP("In Use MiB",'vInfo (Imported)'!$1:$5000,M2393,FALSE)</f>
        <v>0</v>
      </c>
    </row>
    <row r="2394" spans="1:22" ht="13" x14ac:dyDescent="0.3">
      <c r="A2394" s="46">
        <f>'vHosts (Imported)'!A2394</f>
        <v>0</v>
      </c>
      <c r="B2394" s="51">
        <f t="shared" si="111"/>
        <v>4968</v>
      </c>
      <c r="C2394" s="49">
        <f>HLOOKUP("# Cores",'vHosts (Imported)'!$1:$5000,M2394,FALSE)</f>
        <v>0</v>
      </c>
      <c r="D2394" s="52">
        <f>HLOOKUP("# Memory",'vHosts (Imported)'!$1:$5000,M2394,FALSE)</f>
        <v>0</v>
      </c>
      <c r="M2394" s="45">
        <f t="shared" si="113"/>
        <v>2394</v>
      </c>
      <c r="N2394" s="38">
        <f>HLOOKUP("Host",'vInfo (Imported)'!$1:$5000,M2394,FALSE)</f>
        <v>0</v>
      </c>
      <c r="R2394">
        <f>HLOOKUP("CPUs",'vInfo (Imported)'!$1:$5000,M2394,FALSE)</f>
        <v>0</v>
      </c>
      <c r="S2394">
        <f>HLOOKUP("Memory",'vInfo (Imported)'!$1:$5000,M2394,FALSE)</f>
        <v>0</v>
      </c>
      <c r="T2394">
        <f>HLOOKUP("Provisioned MiB",'vInfo (Imported)'!$1:$5000,M2394,FALSE)</f>
        <v>0</v>
      </c>
      <c r="U2394">
        <f t="shared" si="112"/>
        <v>0</v>
      </c>
      <c r="V2394">
        <f>HLOOKUP("In Use MiB",'vInfo (Imported)'!$1:$5000,M2394,FALSE)</f>
        <v>0</v>
      </c>
    </row>
    <row r="2395" spans="1:22" ht="13" x14ac:dyDescent="0.3">
      <c r="A2395" s="46">
        <f>'vHosts (Imported)'!A2395</f>
        <v>0</v>
      </c>
      <c r="B2395" s="51">
        <f t="shared" si="111"/>
        <v>4968</v>
      </c>
      <c r="C2395" s="49">
        <f>HLOOKUP("# Cores",'vHosts (Imported)'!$1:$5000,M2395,FALSE)</f>
        <v>0</v>
      </c>
      <c r="D2395" s="52">
        <f>HLOOKUP("# Memory",'vHosts (Imported)'!$1:$5000,M2395,FALSE)</f>
        <v>0</v>
      </c>
      <c r="M2395" s="45">
        <f t="shared" si="113"/>
        <v>2395</v>
      </c>
      <c r="N2395" s="38">
        <f>HLOOKUP("Host",'vInfo (Imported)'!$1:$5000,M2395,FALSE)</f>
        <v>0</v>
      </c>
      <c r="R2395">
        <f>HLOOKUP("CPUs",'vInfo (Imported)'!$1:$5000,M2395,FALSE)</f>
        <v>0</v>
      </c>
      <c r="S2395">
        <f>HLOOKUP("Memory",'vInfo (Imported)'!$1:$5000,M2395,FALSE)</f>
        <v>0</v>
      </c>
      <c r="T2395">
        <f>HLOOKUP("Provisioned MiB",'vInfo (Imported)'!$1:$5000,M2395,FALSE)</f>
        <v>0</v>
      </c>
      <c r="U2395">
        <f t="shared" si="112"/>
        <v>0</v>
      </c>
      <c r="V2395">
        <f>HLOOKUP("In Use MiB",'vInfo (Imported)'!$1:$5000,M2395,FALSE)</f>
        <v>0</v>
      </c>
    </row>
    <row r="2396" spans="1:22" ht="13" x14ac:dyDescent="0.3">
      <c r="A2396" s="46">
        <f>'vHosts (Imported)'!A2396</f>
        <v>0</v>
      </c>
      <c r="B2396" s="51">
        <f t="shared" si="111"/>
        <v>4968</v>
      </c>
      <c r="C2396" s="49">
        <f>HLOOKUP("# Cores",'vHosts (Imported)'!$1:$5000,M2396,FALSE)</f>
        <v>0</v>
      </c>
      <c r="D2396" s="52">
        <f>HLOOKUP("# Memory",'vHosts (Imported)'!$1:$5000,M2396,FALSE)</f>
        <v>0</v>
      </c>
      <c r="M2396" s="45">
        <f t="shared" si="113"/>
        <v>2396</v>
      </c>
      <c r="N2396" s="38">
        <f>HLOOKUP("Host",'vInfo (Imported)'!$1:$5000,M2396,FALSE)</f>
        <v>0</v>
      </c>
      <c r="R2396">
        <f>HLOOKUP("CPUs",'vInfo (Imported)'!$1:$5000,M2396,FALSE)</f>
        <v>0</v>
      </c>
      <c r="S2396">
        <f>HLOOKUP("Memory",'vInfo (Imported)'!$1:$5000,M2396,FALSE)</f>
        <v>0</v>
      </c>
      <c r="T2396">
        <f>HLOOKUP("Provisioned MiB",'vInfo (Imported)'!$1:$5000,M2396,FALSE)</f>
        <v>0</v>
      </c>
      <c r="U2396">
        <f t="shared" si="112"/>
        <v>0</v>
      </c>
      <c r="V2396">
        <f>HLOOKUP("In Use MiB",'vInfo (Imported)'!$1:$5000,M2396,FALSE)</f>
        <v>0</v>
      </c>
    </row>
    <row r="2397" spans="1:22" ht="13" x14ac:dyDescent="0.3">
      <c r="A2397" s="46">
        <f>'vHosts (Imported)'!A2397</f>
        <v>0</v>
      </c>
      <c r="B2397" s="51">
        <f t="shared" si="111"/>
        <v>4968</v>
      </c>
      <c r="C2397" s="49">
        <f>HLOOKUP("# Cores",'vHosts (Imported)'!$1:$5000,M2397,FALSE)</f>
        <v>0</v>
      </c>
      <c r="D2397" s="52">
        <f>HLOOKUP("# Memory",'vHosts (Imported)'!$1:$5000,M2397,FALSE)</f>
        <v>0</v>
      </c>
      <c r="M2397" s="45">
        <f t="shared" si="113"/>
        <v>2397</v>
      </c>
      <c r="N2397" s="38">
        <f>HLOOKUP("Host",'vInfo (Imported)'!$1:$5000,M2397,FALSE)</f>
        <v>0</v>
      </c>
      <c r="R2397">
        <f>HLOOKUP("CPUs",'vInfo (Imported)'!$1:$5000,M2397,FALSE)</f>
        <v>0</v>
      </c>
      <c r="S2397">
        <f>HLOOKUP("Memory",'vInfo (Imported)'!$1:$5000,M2397,FALSE)</f>
        <v>0</v>
      </c>
      <c r="T2397">
        <f>HLOOKUP("Provisioned MiB",'vInfo (Imported)'!$1:$5000,M2397,FALSE)</f>
        <v>0</v>
      </c>
      <c r="U2397">
        <f t="shared" si="112"/>
        <v>0</v>
      </c>
      <c r="V2397">
        <f>HLOOKUP("In Use MiB",'vInfo (Imported)'!$1:$5000,M2397,FALSE)</f>
        <v>0</v>
      </c>
    </row>
    <row r="2398" spans="1:22" ht="13" x14ac:dyDescent="0.3">
      <c r="A2398" s="46">
        <f>'vHosts (Imported)'!A2398</f>
        <v>0</v>
      </c>
      <c r="B2398" s="51">
        <f t="shared" si="111"/>
        <v>4968</v>
      </c>
      <c r="C2398" s="49">
        <f>HLOOKUP("# Cores",'vHosts (Imported)'!$1:$5000,M2398,FALSE)</f>
        <v>0</v>
      </c>
      <c r="D2398" s="52">
        <f>HLOOKUP("# Memory",'vHosts (Imported)'!$1:$5000,M2398,FALSE)</f>
        <v>0</v>
      </c>
      <c r="M2398" s="45">
        <f t="shared" si="113"/>
        <v>2398</v>
      </c>
      <c r="N2398" s="38">
        <f>HLOOKUP("Host",'vInfo (Imported)'!$1:$5000,M2398,FALSE)</f>
        <v>0</v>
      </c>
      <c r="R2398">
        <f>HLOOKUP("CPUs",'vInfo (Imported)'!$1:$5000,M2398,FALSE)</f>
        <v>0</v>
      </c>
      <c r="S2398">
        <f>HLOOKUP("Memory",'vInfo (Imported)'!$1:$5000,M2398,FALSE)</f>
        <v>0</v>
      </c>
      <c r="T2398">
        <f>HLOOKUP("Provisioned MiB",'vInfo (Imported)'!$1:$5000,M2398,FALSE)</f>
        <v>0</v>
      </c>
      <c r="U2398">
        <f t="shared" si="112"/>
        <v>0</v>
      </c>
      <c r="V2398">
        <f>HLOOKUP("In Use MiB",'vInfo (Imported)'!$1:$5000,M2398,FALSE)</f>
        <v>0</v>
      </c>
    </row>
    <row r="2399" spans="1:22" ht="13" x14ac:dyDescent="0.3">
      <c r="A2399" s="46">
        <f>'vHosts (Imported)'!A2399</f>
        <v>0</v>
      </c>
      <c r="B2399" s="51">
        <f t="shared" si="111"/>
        <v>4968</v>
      </c>
      <c r="C2399" s="49">
        <f>HLOOKUP("# Cores",'vHosts (Imported)'!$1:$5000,M2399,FALSE)</f>
        <v>0</v>
      </c>
      <c r="D2399" s="52">
        <f>HLOOKUP("# Memory",'vHosts (Imported)'!$1:$5000,M2399,FALSE)</f>
        <v>0</v>
      </c>
      <c r="M2399" s="45">
        <f t="shared" si="113"/>
        <v>2399</v>
      </c>
      <c r="N2399" s="38">
        <f>HLOOKUP("Host",'vInfo (Imported)'!$1:$5000,M2399,FALSE)</f>
        <v>0</v>
      </c>
      <c r="R2399">
        <f>HLOOKUP("CPUs",'vInfo (Imported)'!$1:$5000,M2399,FALSE)</f>
        <v>0</v>
      </c>
      <c r="S2399">
        <f>HLOOKUP("Memory",'vInfo (Imported)'!$1:$5000,M2399,FALSE)</f>
        <v>0</v>
      </c>
      <c r="T2399">
        <f>HLOOKUP("Provisioned MiB",'vInfo (Imported)'!$1:$5000,M2399,FALSE)</f>
        <v>0</v>
      </c>
      <c r="U2399">
        <f t="shared" si="112"/>
        <v>0</v>
      </c>
      <c r="V2399">
        <f>HLOOKUP("In Use MiB",'vInfo (Imported)'!$1:$5000,M2399,FALSE)</f>
        <v>0</v>
      </c>
    </row>
    <row r="2400" spans="1:22" ht="13" x14ac:dyDescent="0.3">
      <c r="A2400" s="46">
        <f>'vHosts (Imported)'!A2400</f>
        <v>0</v>
      </c>
      <c r="B2400" s="51">
        <f t="shared" si="111"/>
        <v>4968</v>
      </c>
      <c r="C2400" s="49">
        <f>HLOOKUP("# Cores",'vHosts (Imported)'!$1:$5000,M2400,FALSE)</f>
        <v>0</v>
      </c>
      <c r="D2400" s="52">
        <f>HLOOKUP("# Memory",'vHosts (Imported)'!$1:$5000,M2400,FALSE)</f>
        <v>0</v>
      </c>
      <c r="M2400" s="45">
        <f t="shared" si="113"/>
        <v>2400</v>
      </c>
      <c r="N2400" s="38">
        <f>HLOOKUP("Host",'vInfo (Imported)'!$1:$5000,M2400,FALSE)</f>
        <v>0</v>
      </c>
      <c r="R2400">
        <f>HLOOKUP("CPUs",'vInfo (Imported)'!$1:$5000,M2400,FALSE)</f>
        <v>0</v>
      </c>
      <c r="S2400">
        <f>HLOOKUP("Memory",'vInfo (Imported)'!$1:$5000,M2400,FALSE)</f>
        <v>0</v>
      </c>
      <c r="T2400">
        <f>HLOOKUP("Provisioned MiB",'vInfo (Imported)'!$1:$5000,M2400,FALSE)</f>
        <v>0</v>
      </c>
      <c r="U2400">
        <f t="shared" si="112"/>
        <v>0</v>
      </c>
      <c r="V2400">
        <f>HLOOKUP("In Use MiB",'vInfo (Imported)'!$1:$5000,M2400,FALSE)</f>
        <v>0</v>
      </c>
    </row>
    <row r="2401" spans="1:22" ht="13" x14ac:dyDescent="0.3">
      <c r="A2401" s="46">
        <f>'vHosts (Imported)'!A2401</f>
        <v>0</v>
      </c>
      <c r="B2401" s="51">
        <f t="shared" si="111"/>
        <v>4968</v>
      </c>
      <c r="C2401" s="49">
        <f>HLOOKUP("# Cores",'vHosts (Imported)'!$1:$5000,M2401,FALSE)</f>
        <v>0</v>
      </c>
      <c r="D2401" s="52">
        <f>HLOOKUP("# Memory",'vHosts (Imported)'!$1:$5000,M2401,FALSE)</f>
        <v>0</v>
      </c>
      <c r="M2401" s="45">
        <f t="shared" si="113"/>
        <v>2401</v>
      </c>
      <c r="N2401" s="38">
        <f>HLOOKUP("Host",'vInfo (Imported)'!$1:$5000,M2401,FALSE)</f>
        <v>0</v>
      </c>
      <c r="R2401">
        <f>HLOOKUP("CPUs",'vInfo (Imported)'!$1:$5000,M2401,FALSE)</f>
        <v>0</v>
      </c>
      <c r="S2401">
        <f>HLOOKUP("Memory",'vInfo (Imported)'!$1:$5000,M2401,FALSE)</f>
        <v>0</v>
      </c>
      <c r="T2401">
        <f>HLOOKUP("Provisioned MiB",'vInfo (Imported)'!$1:$5000,M2401,FALSE)</f>
        <v>0</v>
      </c>
      <c r="U2401">
        <f t="shared" si="112"/>
        <v>0</v>
      </c>
      <c r="V2401">
        <f>HLOOKUP("In Use MiB",'vInfo (Imported)'!$1:$5000,M2401,FALSE)</f>
        <v>0</v>
      </c>
    </row>
    <row r="2402" spans="1:22" ht="13" x14ac:dyDescent="0.3">
      <c r="A2402" s="46">
        <f>'vHosts (Imported)'!A2402</f>
        <v>0</v>
      </c>
      <c r="B2402" s="51">
        <f t="shared" si="111"/>
        <v>4968</v>
      </c>
      <c r="C2402" s="49">
        <f>HLOOKUP("# Cores",'vHosts (Imported)'!$1:$5000,M2402,FALSE)</f>
        <v>0</v>
      </c>
      <c r="D2402" s="52">
        <f>HLOOKUP("# Memory",'vHosts (Imported)'!$1:$5000,M2402,FALSE)</f>
        <v>0</v>
      </c>
      <c r="M2402" s="45">
        <f t="shared" si="113"/>
        <v>2402</v>
      </c>
      <c r="N2402" s="38">
        <f>HLOOKUP("Host",'vInfo (Imported)'!$1:$5000,M2402,FALSE)</f>
        <v>0</v>
      </c>
      <c r="R2402">
        <f>HLOOKUP("CPUs",'vInfo (Imported)'!$1:$5000,M2402,FALSE)</f>
        <v>0</v>
      </c>
      <c r="S2402">
        <f>HLOOKUP("Memory",'vInfo (Imported)'!$1:$5000,M2402,FALSE)</f>
        <v>0</v>
      </c>
      <c r="T2402">
        <f>HLOOKUP("Provisioned MiB",'vInfo (Imported)'!$1:$5000,M2402,FALSE)</f>
        <v>0</v>
      </c>
      <c r="U2402">
        <f t="shared" si="112"/>
        <v>0</v>
      </c>
      <c r="V2402">
        <f>HLOOKUP("In Use MiB",'vInfo (Imported)'!$1:$5000,M2402,FALSE)</f>
        <v>0</v>
      </c>
    </row>
    <row r="2403" spans="1:22" ht="13" x14ac:dyDescent="0.3">
      <c r="A2403" s="46">
        <f>'vHosts (Imported)'!A2403</f>
        <v>0</v>
      </c>
      <c r="B2403" s="51">
        <f t="shared" si="111"/>
        <v>4968</v>
      </c>
      <c r="C2403" s="49">
        <f>HLOOKUP("# Cores",'vHosts (Imported)'!$1:$5000,M2403,FALSE)</f>
        <v>0</v>
      </c>
      <c r="D2403" s="52">
        <f>HLOOKUP("# Memory",'vHosts (Imported)'!$1:$5000,M2403,FALSE)</f>
        <v>0</v>
      </c>
      <c r="M2403" s="45">
        <f t="shared" si="113"/>
        <v>2403</v>
      </c>
      <c r="N2403" s="38">
        <f>HLOOKUP("Host",'vInfo (Imported)'!$1:$5000,M2403,FALSE)</f>
        <v>0</v>
      </c>
      <c r="R2403">
        <f>HLOOKUP("CPUs",'vInfo (Imported)'!$1:$5000,M2403,FALSE)</f>
        <v>0</v>
      </c>
      <c r="S2403">
        <f>HLOOKUP("Memory",'vInfo (Imported)'!$1:$5000,M2403,FALSE)</f>
        <v>0</v>
      </c>
      <c r="T2403">
        <f>HLOOKUP("Provisioned MiB",'vInfo (Imported)'!$1:$5000,M2403,FALSE)</f>
        <v>0</v>
      </c>
      <c r="U2403">
        <f t="shared" si="112"/>
        <v>0</v>
      </c>
      <c r="V2403">
        <f>HLOOKUP("In Use MiB",'vInfo (Imported)'!$1:$5000,M2403,FALSE)</f>
        <v>0</v>
      </c>
    </row>
    <row r="2404" spans="1:22" ht="13" x14ac:dyDescent="0.3">
      <c r="A2404" s="46">
        <f>'vHosts (Imported)'!A2404</f>
        <v>0</v>
      </c>
      <c r="B2404" s="51">
        <f t="shared" si="111"/>
        <v>4968</v>
      </c>
      <c r="C2404" s="49">
        <f>HLOOKUP("# Cores",'vHosts (Imported)'!$1:$5000,M2404,FALSE)</f>
        <v>0</v>
      </c>
      <c r="D2404" s="52">
        <f>HLOOKUP("# Memory",'vHosts (Imported)'!$1:$5000,M2404,FALSE)</f>
        <v>0</v>
      </c>
      <c r="M2404" s="45">
        <f t="shared" si="113"/>
        <v>2404</v>
      </c>
      <c r="N2404" s="38">
        <f>HLOOKUP("Host",'vInfo (Imported)'!$1:$5000,M2404,FALSE)</f>
        <v>0</v>
      </c>
      <c r="R2404">
        <f>HLOOKUP("CPUs",'vInfo (Imported)'!$1:$5000,M2404,FALSE)</f>
        <v>0</v>
      </c>
      <c r="S2404">
        <f>HLOOKUP("Memory",'vInfo (Imported)'!$1:$5000,M2404,FALSE)</f>
        <v>0</v>
      </c>
      <c r="T2404">
        <f>HLOOKUP("Provisioned MiB",'vInfo (Imported)'!$1:$5000,M2404,FALSE)</f>
        <v>0</v>
      </c>
      <c r="U2404">
        <f t="shared" si="112"/>
        <v>0</v>
      </c>
      <c r="V2404">
        <f>HLOOKUP("In Use MiB",'vInfo (Imported)'!$1:$5000,M2404,FALSE)</f>
        <v>0</v>
      </c>
    </row>
    <row r="2405" spans="1:22" ht="13" x14ac:dyDescent="0.3">
      <c r="A2405" s="46">
        <f>'vHosts (Imported)'!A2405</f>
        <v>0</v>
      </c>
      <c r="B2405" s="51">
        <f t="shared" si="111"/>
        <v>4968</v>
      </c>
      <c r="C2405" s="49">
        <f>HLOOKUP("# Cores",'vHosts (Imported)'!$1:$5000,M2405,FALSE)</f>
        <v>0</v>
      </c>
      <c r="D2405" s="52">
        <f>HLOOKUP("# Memory",'vHosts (Imported)'!$1:$5000,M2405,FALSE)</f>
        <v>0</v>
      </c>
      <c r="M2405" s="45">
        <f t="shared" si="113"/>
        <v>2405</v>
      </c>
      <c r="N2405" s="38">
        <f>HLOOKUP("Host",'vInfo (Imported)'!$1:$5000,M2405,FALSE)</f>
        <v>0</v>
      </c>
      <c r="R2405">
        <f>HLOOKUP("CPUs",'vInfo (Imported)'!$1:$5000,M2405,FALSE)</f>
        <v>0</v>
      </c>
      <c r="S2405">
        <f>HLOOKUP("Memory",'vInfo (Imported)'!$1:$5000,M2405,FALSE)</f>
        <v>0</v>
      </c>
      <c r="T2405">
        <f>HLOOKUP("Provisioned MiB",'vInfo (Imported)'!$1:$5000,M2405,FALSE)</f>
        <v>0</v>
      </c>
      <c r="U2405">
        <f t="shared" si="112"/>
        <v>0</v>
      </c>
      <c r="V2405">
        <f>HLOOKUP("In Use MiB",'vInfo (Imported)'!$1:$5000,M2405,FALSE)</f>
        <v>0</v>
      </c>
    </row>
    <row r="2406" spans="1:22" ht="13" x14ac:dyDescent="0.3">
      <c r="A2406" s="46">
        <f>'vHosts (Imported)'!A2406</f>
        <v>0</v>
      </c>
      <c r="B2406" s="51">
        <f t="shared" si="111"/>
        <v>4968</v>
      </c>
      <c r="C2406" s="49">
        <f>HLOOKUP("# Cores",'vHosts (Imported)'!$1:$5000,M2406,FALSE)</f>
        <v>0</v>
      </c>
      <c r="D2406" s="52">
        <f>HLOOKUP("# Memory",'vHosts (Imported)'!$1:$5000,M2406,FALSE)</f>
        <v>0</v>
      </c>
      <c r="M2406" s="45">
        <f t="shared" si="113"/>
        <v>2406</v>
      </c>
      <c r="N2406" s="38">
        <f>HLOOKUP("Host",'vInfo (Imported)'!$1:$5000,M2406,FALSE)</f>
        <v>0</v>
      </c>
      <c r="R2406">
        <f>HLOOKUP("CPUs",'vInfo (Imported)'!$1:$5000,M2406,FALSE)</f>
        <v>0</v>
      </c>
      <c r="S2406">
        <f>HLOOKUP("Memory",'vInfo (Imported)'!$1:$5000,M2406,FALSE)</f>
        <v>0</v>
      </c>
      <c r="T2406">
        <f>HLOOKUP("Provisioned MiB",'vInfo (Imported)'!$1:$5000,M2406,FALSE)</f>
        <v>0</v>
      </c>
      <c r="U2406">
        <f t="shared" si="112"/>
        <v>0</v>
      </c>
      <c r="V2406">
        <f>HLOOKUP("In Use MiB",'vInfo (Imported)'!$1:$5000,M2406,FALSE)</f>
        <v>0</v>
      </c>
    </row>
    <row r="2407" spans="1:22" ht="13" x14ac:dyDescent="0.3">
      <c r="A2407" s="46">
        <f>'vHosts (Imported)'!A2407</f>
        <v>0</v>
      </c>
      <c r="B2407" s="51">
        <f t="shared" si="111"/>
        <v>4968</v>
      </c>
      <c r="C2407" s="49">
        <f>HLOOKUP("# Cores",'vHosts (Imported)'!$1:$5000,M2407,FALSE)</f>
        <v>0</v>
      </c>
      <c r="D2407" s="52">
        <f>HLOOKUP("# Memory",'vHosts (Imported)'!$1:$5000,M2407,FALSE)</f>
        <v>0</v>
      </c>
      <c r="M2407" s="45">
        <f t="shared" si="113"/>
        <v>2407</v>
      </c>
      <c r="N2407" s="38">
        <f>HLOOKUP("Host",'vInfo (Imported)'!$1:$5000,M2407,FALSE)</f>
        <v>0</v>
      </c>
      <c r="R2407">
        <f>HLOOKUP("CPUs",'vInfo (Imported)'!$1:$5000,M2407,FALSE)</f>
        <v>0</v>
      </c>
      <c r="S2407">
        <f>HLOOKUP("Memory",'vInfo (Imported)'!$1:$5000,M2407,FALSE)</f>
        <v>0</v>
      </c>
      <c r="T2407">
        <f>HLOOKUP("Provisioned MiB",'vInfo (Imported)'!$1:$5000,M2407,FALSE)</f>
        <v>0</v>
      </c>
      <c r="U2407">
        <f t="shared" si="112"/>
        <v>0</v>
      </c>
      <c r="V2407">
        <f>HLOOKUP("In Use MiB",'vInfo (Imported)'!$1:$5000,M2407,FALSE)</f>
        <v>0</v>
      </c>
    </row>
    <row r="2408" spans="1:22" ht="13" x14ac:dyDescent="0.3">
      <c r="A2408" s="46">
        <f>'vHosts (Imported)'!A2408</f>
        <v>0</v>
      </c>
      <c r="B2408" s="51">
        <f t="shared" ref="B2408:B2471" si="114">COUNTIF(N:N,A2408)</f>
        <v>4968</v>
      </c>
      <c r="C2408" s="49">
        <f>HLOOKUP("# Cores",'vHosts (Imported)'!$1:$5000,M2408,FALSE)</f>
        <v>0</v>
      </c>
      <c r="D2408" s="52">
        <f>HLOOKUP("# Memory",'vHosts (Imported)'!$1:$5000,M2408,FALSE)</f>
        <v>0</v>
      </c>
      <c r="M2408" s="45">
        <f t="shared" si="113"/>
        <v>2408</v>
      </c>
      <c r="N2408" s="38">
        <f>HLOOKUP("Host",'vInfo (Imported)'!$1:$5000,M2408,FALSE)</f>
        <v>0</v>
      </c>
      <c r="R2408">
        <f>HLOOKUP("CPUs",'vInfo (Imported)'!$1:$5000,M2408,FALSE)</f>
        <v>0</v>
      </c>
      <c r="S2408">
        <f>HLOOKUP("Memory",'vInfo (Imported)'!$1:$5000,M2408,FALSE)</f>
        <v>0</v>
      </c>
      <c r="T2408">
        <f>HLOOKUP("Provisioned MiB",'vInfo (Imported)'!$1:$5000,M2408,FALSE)</f>
        <v>0</v>
      </c>
      <c r="U2408">
        <f t="shared" si="112"/>
        <v>0</v>
      </c>
      <c r="V2408">
        <f>HLOOKUP("In Use MiB",'vInfo (Imported)'!$1:$5000,M2408,FALSE)</f>
        <v>0</v>
      </c>
    </row>
    <row r="2409" spans="1:22" ht="13" x14ac:dyDescent="0.3">
      <c r="A2409" s="46">
        <f>'vHosts (Imported)'!A2409</f>
        <v>0</v>
      </c>
      <c r="B2409" s="51">
        <f t="shared" si="114"/>
        <v>4968</v>
      </c>
      <c r="C2409" s="49">
        <f>HLOOKUP("# Cores",'vHosts (Imported)'!$1:$5000,M2409,FALSE)</f>
        <v>0</v>
      </c>
      <c r="D2409" s="52">
        <f>HLOOKUP("# Memory",'vHosts (Imported)'!$1:$5000,M2409,FALSE)</f>
        <v>0</v>
      </c>
      <c r="M2409" s="45">
        <f t="shared" si="113"/>
        <v>2409</v>
      </c>
      <c r="N2409" s="38">
        <f>HLOOKUP("Host",'vInfo (Imported)'!$1:$5000,M2409,FALSE)</f>
        <v>0</v>
      </c>
      <c r="R2409">
        <f>HLOOKUP("CPUs",'vInfo (Imported)'!$1:$5000,M2409,FALSE)</f>
        <v>0</v>
      </c>
      <c r="S2409">
        <f>HLOOKUP("Memory",'vInfo (Imported)'!$1:$5000,M2409,FALSE)</f>
        <v>0</v>
      </c>
      <c r="T2409">
        <f>HLOOKUP("Provisioned MiB",'vInfo (Imported)'!$1:$5000,M2409,FALSE)</f>
        <v>0</v>
      </c>
      <c r="U2409">
        <f t="shared" si="112"/>
        <v>0</v>
      </c>
      <c r="V2409">
        <f>HLOOKUP("In Use MiB",'vInfo (Imported)'!$1:$5000,M2409,FALSE)</f>
        <v>0</v>
      </c>
    </row>
    <row r="2410" spans="1:22" ht="13" x14ac:dyDescent="0.3">
      <c r="A2410" s="46">
        <f>'vHosts (Imported)'!A2410</f>
        <v>0</v>
      </c>
      <c r="B2410" s="51">
        <f t="shared" si="114"/>
        <v>4968</v>
      </c>
      <c r="C2410" s="49">
        <f>HLOOKUP("# Cores",'vHosts (Imported)'!$1:$5000,M2410,FALSE)</f>
        <v>0</v>
      </c>
      <c r="D2410" s="52">
        <f>HLOOKUP("# Memory",'vHosts (Imported)'!$1:$5000,M2410,FALSE)</f>
        <v>0</v>
      </c>
      <c r="M2410" s="45">
        <f t="shared" si="113"/>
        <v>2410</v>
      </c>
      <c r="N2410" s="38">
        <f>HLOOKUP("Host",'vInfo (Imported)'!$1:$5000,M2410,FALSE)</f>
        <v>0</v>
      </c>
      <c r="R2410">
        <f>HLOOKUP("CPUs",'vInfo (Imported)'!$1:$5000,M2410,FALSE)</f>
        <v>0</v>
      </c>
      <c r="S2410">
        <f>HLOOKUP("Memory",'vInfo (Imported)'!$1:$5000,M2410,FALSE)</f>
        <v>0</v>
      </c>
      <c r="T2410">
        <f>HLOOKUP("Provisioned MiB",'vInfo (Imported)'!$1:$5000,M2410,FALSE)</f>
        <v>0</v>
      </c>
      <c r="U2410">
        <f t="shared" si="112"/>
        <v>0</v>
      </c>
      <c r="V2410">
        <f>HLOOKUP("In Use MiB",'vInfo (Imported)'!$1:$5000,M2410,FALSE)</f>
        <v>0</v>
      </c>
    </row>
    <row r="2411" spans="1:22" ht="13" x14ac:dyDescent="0.3">
      <c r="A2411" s="46">
        <f>'vHosts (Imported)'!A2411</f>
        <v>0</v>
      </c>
      <c r="B2411" s="51">
        <f t="shared" si="114"/>
        <v>4968</v>
      </c>
      <c r="C2411" s="49">
        <f>HLOOKUP("# Cores",'vHosts (Imported)'!$1:$5000,M2411,FALSE)</f>
        <v>0</v>
      </c>
      <c r="D2411" s="52">
        <f>HLOOKUP("# Memory",'vHosts (Imported)'!$1:$5000,M2411,FALSE)</f>
        <v>0</v>
      </c>
      <c r="M2411" s="45">
        <f t="shared" si="113"/>
        <v>2411</v>
      </c>
      <c r="N2411" s="38">
        <f>HLOOKUP("Host",'vInfo (Imported)'!$1:$5000,M2411,FALSE)</f>
        <v>0</v>
      </c>
      <c r="R2411">
        <f>HLOOKUP("CPUs",'vInfo (Imported)'!$1:$5000,M2411,FALSE)</f>
        <v>0</v>
      </c>
      <c r="S2411">
        <f>HLOOKUP("Memory",'vInfo (Imported)'!$1:$5000,M2411,FALSE)</f>
        <v>0</v>
      </c>
      <c r="T2411">
        <f>HLOOKUP("Provisioned MiB",'vInfo (Imported)'!$1:$5000,M2411,FALSE)</f>
        <v>0</v>
      </c>
      <c r="U2411">
        <f t="shared" si="112"/>
        <v>0</v>
      </c>
      <c r="V2411">
        <f>HLOOKUP("In Use MiB",'vInfo (Imported)'!$1:$5000,M2411,FALSE)</f>
        <v>0</v>
      </c>
    </row>
    <row r="2412" spans="1:22" ht="13" x14ac:dyDescent="0.3">
      <c r="A2412" s="46">
        <f>'vHosts (Imported)'!A2412</f>
        <v>0</v>
      </c>
      <c r="B2412" s="51">
        <f t="shared" si="114"/>
        <v>4968</v>
      </c>
      <c r="C2412" s="49">
        <f>HLOOKUP("# Cores",'vHosts (Imported)'!$1:$5000,M2412,FALSE)</f>
        <v>0</v>
      </c>
      <c r="D2412" s="52">
        <f>HLOOKUP("# Memory",'vHosts (Imported)'!$1:$5000,M2412,FALSE)</f>
        <v>0</v>
      </c>
      <c r="M2412" s="45">
        <f t="shared" si="113"/>
        <v>2412</v>
      </c>
      <c r="N2412" s="38">
        <f>HLOOKUP("Host",'vInfo (Imported)'!$1:$5000,M2412,FALSE)</f>
        <v>0</v>
      </c>
      <c r="R2412">
        <f>HLOOKUP("CPUs",'vInfo (Imported)'!$1:$5000,M2412,FALSE)</f>
        <v>0</v>
      </c>
      <c r="S2412">
        <f>HLOOKUP("Memory",'vInfo (Imported)'!$1:$5000,M2412,FALSE)</f>
        <v>0</v>
      </c>
      <c r="T2412">
        <f>HLOOKUP("Provisioned MiB",'vInfo (Imported)'!$1:$5000,M2412,FALSE)</f>
        <v>0</v>
      </c>
      <c r="U2412">
        <f t="shared" si="112"/>
        <v>0</v>
      </c>
      <c r="V2412">
        <f>HLOOKUP("In Use MiB",'vInfo (Imported)'!$1:$5000,M2412,FALSE)</f>
        <v>0</v>
      </c>
    </row>
    <row r="2413" spans="1:22" ht="13" x14ac:dyDescent="0.3">
      <c r="A2413" s="46">
        <f>'vHosts (Imported)'!A2413</f>
        <v>0</v>
      </c>
      <c r="B2413" s="51">
        <f t="shared" si="114"/>
        <v>4968</v>
      </c>
      <c r="C2413" s="49">
        <f>HLOOKUP("# Cores",'vHosts (Imported)'!$1:$5000,M2413,FALSE)</f>
        <v>0</v>
      </c>
      <c r="D2413" s="52">
        <f>HLOOKUP("# Memory",'vHosts (Imported)'!$1:$5000,M2413,FALSE)</f>
        <v>0</v>
      </c>
      <c r="M2413" s="45">
        <f t="shared" si="113"/>
        <v>2413</v>
      </c>
      <c r="N2413" s="38">
        <f>HLOOKUP("Host",'vInfo (Imported)'!$1:$5000,M2413,FALSE)</f>
        <v>0</v>
      </c>
      <c r="R2413">
        <f>HLOOKUP("CPUs",'vInfo (Imported)'!$1:$5000,M2413,FALSE)</f>
        <v>0</v>
      </c>
      <c r="S2413">
        <f>HLOOKUP("Memory",'vInfo (Imported)'!$1:$5000,M2413,FALSE)</f>
        <v>0</v>
      </c>
      <c r="T2413">
        <f>HLOOKUP("Provisioned MiB",'vInfo (Imported)'!$1:$5000,M2413,FALSE)</f>
        <v>0</v>
      </c>
      <c r="U2413">
        <f t="shared" si="112"/>
        <v>0</v>
      </c>
      <c r="V2413">
        <f>HLOOKUP("In Use MiB",'vInfo (Imported)'!$1:$5000,M2413,FALSE)</f>
        <v>0</v>
      </c>
    </row>
    <row r="2414" spans="1:22" ht="13" x14ac:dyDescent="0.3">
      <c r="A2414" s="46">
        <f>'vHosts (Imported)'!A2414</f>
        <v>0</v>
      </c>
      <c r="B2414" s="51">
        <f t="shared" si="114"/>
        <v>4968</v>
      </c>
      <c r="C2414" s="49">
        <f>HLOOKUP("# Cores",'vHosts (Imported)'!$1:$5000,M2414,FALSE)</f>
        <v>0</v>
      </c>
      <c r="D2414" s="52">
        <f>HLOOKUP("# Memory",'vHosts (Imported)'!$1:$5000,M2414,FALSE)</f>
        <v>0</v>
      </c>
      <c r="M2414" s="45">
        <f t="shared" si="113"/>
        <v>2414</v>
      </c>
      <c r="N2414" s="38">
        <f>HLOOKUP("Host",'vInfo (Imported)'!$1:$5000,M2414,FALSE)</f>
        <v>0</v>
      </c>
      <c r="R2414">
        <f>HLOOKUP("CPUs",'vInfo (Imported)'!$1:$5000,M2414,FALSE)</f>
        <v>0</v>
      </c>
      <c r="S2414">
        <f>HLOOKUP("Memory",'vInfo (Imported)'!$1:$5000,M2414,FALSE)</f>
        <v>0</v>
      </c>
      <c r="T2414">
        <f>HLOOKUP("Provisioned MiB",'vInfo (Imported)'!$1:$5000,M2414,FALSE)</f>
        <v>0</v>
      </c>
      <c r="U2414">
        <f t="shared" si="112"/>
        <v>0</v>
      </c>
      <c r="V2414">
        <f>HLOOKUP("In Use MiB",'vInfo (Imported)'!$1:$5000,M2414,FALSE)</f>
        <v>0</v>
      </c>
    </row>
    <row r="2415" spans="1:22" ht="13" x14ac:dyDescent="0.3">
      <c r="A2415" s="46">
        <f>'vHosts (Imported)'!A2415</f>
        <v>0</v>
      </c>
      <c r="B2415" s="51">
        <f t="shared" si="114"/>
        <v>4968</v>
      </c>
      <c r="C2415" s="49">
        <f>HLOOKUP("# Cores",'vHosts (Imported)'!$1:$5000,M2415,FALSE)</f>
        <v>0</v>
      </c>
      <c r="D2415" s="52">
        <f>HLOOKUP("# Memory",'vHosts (Imported)'!$1:$5000,M2415,FALSE)</f>
        <v>0</v>
      </c>
      <c r="M2415" s="45">
        <f t="shared" si="113"/>
        <v>2415</v>
      </c>
      <c r="N2415" s="38">
        <f>HLOOKUP("Host",'vInfo (Imported)'!$1:$5000,M2415,FALSE)</f>
        <v>0</v>
      </c>
      <c r="R2415">
        <f>HLOOKUP("CPUs",'vInfo (Imported)'!$1:$5000,M2415,FALSE)</f>
        <v>0</v>
      </c>
      <c r="S2415">
        <f>HLOOKUP("Memory",'vInfo (Imported)'!$1:$5000,M2415,FALSE)</f>
        <v>0</v>
      </c>
      <c r="T2415">
        <f>HLOOKUP("Provisioned MiB",'vInfo (Imported)'!$1:$5000,M2415,FALSE)</f>
        <v>0</v>
      </c>
      <c r="U2415">
        <f t="shared" si="112"/>
        <v>0</v>
      </c>
      <c r="V2415">
        <f>HLOOKUP("In Use MiB",'vInfo (Imported)'!$1:$5000,M2415,FALSE)</f>
        <v>0</v>
      </c>
    </row>
    <row r="2416" spans="1:22" ht="13" x14ac:dyDescent="0.3">
      <c r="A2416" s="46">
        <f>'vHosts (Imported)'!A2416</f>
        <v>0</v>
      </c>
      <c r="B2416" s="51">
        <f t="shared" si="114"/>
        <v>4968</v>
      </c>
      <c r="C2416" s="49">
        <f>HLOOKUP("# Cores",'vHosts (Imported)'!$1:$5000,M2416,FALSE)</f>
        <v>0</v>
      </c>
      <c r="D2416" s="52">
        <f>HLOOKUP("# Memory",'vHosts (Imported)'!$1:$5000,M2416,FALSE)</f>
        <v>0</v>
      </c>
      <c r="M2416" s="45">
        <f t="shared" si="113"/>
        <v>2416</v>
      </c>
      <c r="N2416" s="38">
        <f>HLOOKUP("Host",'vInfo (Imported)'!$1:$5000,M2416,FALSE)</f>
        <v>0</v>
      </c>
      <c r="R2416">
        <f>HLOOKUP("CPUs",'vInfo (Imported)'!$1:$5000,M2416,FALSE)</f>
        <v>0</v>
      </c>
      <c r="S2416">
        <f>HLOOKUP("Memory",'vInfo (Imported)'!$1:$5000,M2416,FALSE)</f>
        <v>0</v>
      </c>
      <c r="T2416">
        <f>HLOOKUP("Provisioned MiB",'vInfo (Imported)'!$1:$5000,M2416,FALSE)</f>
        <v>0</v>
      </c>
      <c r="U2416">
        <f t="shared" si="112"/>
        <v>0</v>
      </c>
      <c r="V2416">
        <f>HLOOKUP("In Use MiB",'vInfo (Imported)'!$1:$5000,M2416,FALSE)</f>
        <v>0</v>
      </c>
    </row>
    <row r="2417" spans="1:22" ht="13" x14ac:dyDescent="0.3">
      <c r="A2417" s="46">
        <f>'vHosts (Imported)'!A2417</f>
        <v>0</v>
      </c>
      <c r="B2417" s="51">
        <f t="shared" si="114"/>
        <v>4968</v>
      </c>
      <c r="C2417" s="49">
        <f>HLOOKUP("# Cores",'vHosts (Imported)'!$1:$5000,M2417,FALSE)</f>
        <v>0</v>
      </c>
      <c r="D2417" s="52">
        <f>HLOOKUP("# Memory",'vHosts (Imported)'!$1:$5000,M2417,FALSE)</f>
        <v>0</v>
      </c>
      <c r="M2417" s="45">
        <f t="shared" si="113"/>
        <v>2417</v>
      </c>
      <c r="N2417" s="38">
        <f>HLOOKUP("Host",'vInfo (Imported)'!$1:$5000,M2417,FALSE)</f>
        <v>0</v>
      </c>
      <c r="R2417">
        <f>HLOOKUP("CPUs",'vInfo (Imported)'!$1:$5000,M2417,FALSE)</f>
        <v>0</v>
      </c>
      <c r="S2417">
        <f>HLOOKUP("Memory",'vInfo (Imported)'!$1:$5000,M2417,FALSE)</f>
        <v>0</v>
      </c>
      <c r="T2417">
        <f>HLOOKUP("Provisioned MiB",'vInfo (Imported)'!$1:$5000,M2417,FALSE)</f>
        <v>0</v>
      </c>
      <c r="U2417">
        <f t="shared" si="112"/>
        <v>0</v>
      </c>
      <c r="V2417">
        <f>HLOOKUP("In Use MiB",'vInfo (Imported)'!$1:$5000,M2417,FALSE)</f>
        <v>0</v>
      </c>
    </row>
    <row r="2418" spans="1:22" ht="13" x14ac:dyDescent="0.3">
      <c r="A2418" s="46">
        <f>'vHosts (Imported)'!A2418</f>
        <v>0</v>
      </c>
      <c r="B2418" s="51">
        <f t="shared" si="114"/>
        <v>4968</v>
      </c>
      <c r="C2418" s="49">
        <f>HLOOKUP("# Cores",'vHosts (Imported)'!$1:$5000,M2418,FALSE)</f>
        <v>0</v>
      </c>
      <c r="D2418" s="52">
        <f>HLOOKUP("# Memory",'vHosts (Imported)'!$1:$5000,M2418,FALSE)</f>
        <v>0</v>
      </c>
      <c r="M2418" s="45">
        <f t="shared" si="113"/>
        <v>2418</v>
      </c>
      <c r="N2418" s="38">
        <f>HLOOKUP("Host",'vInfo (Imported)'!$1:$5000,M2418,FALSE)</f>
        <v>0</v>
      </c>
      <c r="R2418">
        <f>HLOOKUP("CPUs",'vInfo (Imported)'!$1:$5000,M2418,FALSE)</f>
        <v>0</v>
      </c>
      <c r="S2418">
        <f>HLOOKUP("Memory",'vInfo (Imported)'!$1:$5000,M2418,FALSE)</f>
        <v>0</v>
      </c>
      <c r="T2418">
        <f>HLOOKUP("Provisioned MiB",'vInfo (Imported)'!$1:$5000,M2418,FALSE)</f>
        <v>0</v>
      </c>
      <c r="U2418">
        <f t="shared" si="112"/>
        <v>0</v>
      </c>
      <c r="V2418">
        <f>HLOOKUP("In Use MiB",'vInfo (Imported)'!$1:$5000,M2418,FALSE)</f>
        <v>0</v>
      </c>
    </row>
    <row r="2419" spans="1:22" ht="13" x14ac:dyDescent="0.3">
      <c r="A2419" s="46">
        <f>'vHosts (Imported)'!A2419</f>
        <v>0</v>
      </c>
      <c r="B2419" s="51">
        <f t="shared" si="114"/>
        <v>4968</v>
      </c>
      <c r="C2419" s="49">
        <f>HLOOKUP("# Cores",'vHosts (Imported)'!$1:$5000,M2419,FALSE)</f>
        <v>0</v>
      </c>
      <c r="D2419" s="52">
        <f>HLOOKUP("# Memory",'vHosts (Imported)'!$1:$5000,M2419,FALSE)</f>
        <v>0</v>
      </c>
      <c r="M2419" s="45">
        <f t="shared" si="113"/>
        <v>2419</v>
      </c>
      <c r="N2419" s="38">
        <f>HLOOKUP("Host",'vInfo (Imported)'!$1:$5000,M2419,FALSE)</f>
        <v>0</v>
      </c>
      <c r="R2419">
        <f>HLOOKUP("CPUs",'vInfo (Imported)'!$1:$5000,M2419,FALSE)</f>
        <v>0</v>
      </c>
      <c r="S2419">
        <f>HLOOKUP("Memory",'vInfo (Imported)'!$1:$5000,M2419,FALSE)</f>
        <v>0</v>
      </c>
      <c r="T2419">
        <f>HLOOKUP("Provisioned MiB",'vInfo (Imported)'!$1:$5000,M2419,FALSE)</f>
        <v>0</v>
      </c>
      <c r="U2419">
        <f t="shared" si="112"/>
        <v>0</v>
      </c>
      <c r="V2419">
        <f>HLOOKUP("In Use MiB",'vInfo (Imported)'!$1:$5000,M2419,FALSE)</f>
        <v>0</v>
      </c>
    </row>
    <row r="2420" spans="1:22" ht="13" x14ac:dyDescent="0.3">
      <c r="A2420" s="46">
        <f>'vHosts (Imported)'!A2420</f>
        <v>0</v>
      </c>
      <c r="B2420" s="51">
        <f t="shared" si="114"/>
        <v>4968</v>
      </c>
      <c r="C2420" s="49">
        <f>HLOOKUP("# Cores",'vHosts (Imported)'!$1:$5000,M2420,FALSE)</f>
        <v>0</v>
      </c>
      <c r="D2420" s="52">
        <f>HLOOKUP("# Memory",'vHosts (Imported)'!$1:$5000,M2420,FALSE)</f>
        <v>0</v>
      </c>
      <c r="M2420" s="45">
        <f t="shared" si="113"/>
        <v>2420</v>
      </c>
      <c r="N2420" s="38">
        <f>HLOOKUP("Host",'vInfo (Imported)'!$1:$5000,M2420,FALSE)</f>
        <v>0</v>
      </c>
      <c r="R2420">
        <f>HLOOKUP("CPUs",'vInfo (Imported)'!$1:$5000,M2420,FALSE)</f>
        <v>0</v>
      </c>
      <c r="S2420">
        <f>HLOOKUP("Memory",'vInfo (Imported)'!$1:$5000,M2420,FALSE)</f>
        <v>0</v>
      </c>
      <c r="T2420">
        <f>HLOOKUP("Provisioned MiB",'vInfo (Imported)'!$1:$5000,M2420,FALSE)</f>
        <v>0</v>
      </c>
      <c r="U2420">
        <f t="shared" si="112"/>
        <v>0</v>
      </c>
      <c r="V2420">
        <f>HLOOKUP("In Use MiB",'vInfo (Imported)'!$1:$5000,M2420,FALSE)</f>
        <v>0</v>
      </c>
    </row>
    <row r="2421" spans="1:22" ht="13" x14ac:dyDescent="0.3">
      <c r="A2421" s="46">
        <f>'vHosts (Imported)'!A2421</f>
        <v>0</v>
      </c>
      <c r="B2421" s="51">
        <f t="shared" si="114"/>
        <v>4968</v>
      </c>
      <c r="C2421" s="49">
        <f>HLOOKUP("# Cores",'vHosts (Imported)'!$1:$5000,M2421,FALSE)</f>
        <v>0</v>
      </c>
      <c r="D2421" s="52">
        <f>HLOOKUP("# Memory",'vHosts (Imported)'!$1:$5000,M2421,FALSE)</f>
        <v>0</v>
      </c>
      <c r="M2421" s="45">
        <f t="shared" si="113"/>
        <v>2421</v>
      </c>
      <c r="N2421" s="38">
        <f>HLOOKUP("Host",'vInfo (Imported)'!$1:$5000,M2421,FALSE)</f>
        <v>0</v>
      </c>
      <c r="R2421">
        <f>HLOOKUP("CPUs",'vInfo (Imported)'!$1:$5000,M2421,FALSE)</f>
        <v>0</v>
      </c>
      <c r="S2421">
        <f>HLOOKUP("Memory",'vInfo (Imported)'!$1:$5000,M2421,FALSE)</f>
        <v>0</v>
      </c>
      <c r="T2421">
        <f>HLOOKUP("Provisioned MiB",'vInfo (Imported)'!$1:$5000,M2421,FALSE)</f>
        <v>0</v>
      </c>
      <c r="U2421">
        <f t="shared" si="112"/>
        <v>0</v>
      </c>
      <c r="V2421">
        <f>HLOOKUP("In Use MiB",'vInfo (Imported)'!$1:$5000,M2421,FALSE)</f>
        <v>0</v>
      </c>
    </row>
    <row r="2422" spans="1:22" ht="13" x14ac:dyDescent="0.3">
      <c r="A2422" s="46">
        <f>'vHosts (Imported)'!A2422</f>
        <v>0</v>
      </c>
      <c r="B2422" s="51">
        <f t="shared" si="114"/>
        <v>4968</v>
      </c>
      <c r="C2422" s="49">
        <f>HLOOKUP("# Cores",'vHosts (Imported)'!$1:$5000,M2422,FALSE)</f>
        <v>0</v>
      </c>
      <c r="D2422" s="52">
        <f>HLOOKUP("# Memory",'vHosts (Imported)'!$1:$5000,M2422,FALSE)</f>
        <v>0</v>
      </c>
      <c r="M2422" s="45">
        <f t="shared" si="113"/>
        <v>2422</v>
      </c>
      <c r="N2422" s="38">
        <f>HLOOKUP("Host",'vInfo (Imported)'!$1:$5000,M2422,FALSE)</f>
        <v>0</v>
      </c>
      <c r="R2422">
        <f>HLOOKUP("CPUs",'vInfo (Imported)'!$1:$5000,M2422,FALSE)</f>
        <v>0</v>
      </c>
      <c r="S2422">
        <f>HLOOKUP("Memory",'vInfo (Imported)'!$1:$5000,M2422,FALSE)</f>
        <v>0</v>
      </c>
      <c r="T2422">
        <f>HLOOKUP("Provisioned MiB",'vInfo (Imported)'!$1:$5000,M2422,FALSE)</f>
        <v>0</v>
      </c>
      <c r="U2422">
        <f t="shared" si="112"/>
        <v>0</v>
      </c>
      <c r="V2422">
        <f>HLOOKUP("In Use MiB",'vInfo (Imported)'!$1:$5000,M2422,FALSE)</f>
        <v>0</v>
      </c>
    </row>
    <row r="2423" spans="1:22" ht="13" x14ac:dyDescent="0.3">
      <c r="A2423" s="46">
        <f>'vHosts (Imported)'!A2423</f>
        <v>0</v>
      </c>
      <c r="B2423" s="51">
        <f t="shared" si="114"/>
        <v>4968</v>
      </c>
      <c r="C2423" s="49">
        <f>HLOOKUP("# Cores",'vHosts (Imported)'!$1:$5000,M2423,FALSE)</f>
        <v>0</v>
      </c>
      <c r="D2423" s="52">
        <f>HLOOKUP("# Memory",'vHosts (Imported)'!$1:$5000,M2423,FALSE)</f>
        <v>0</v>
      </c>
      <c r="M2423" s="45">
        <f t="shared" si="113"/>
        <v>2423</v>
      </c>
      <c r="N2423" s="38">
        <f>HLOOKUP("Host",'vInfo (Imported)'!$1:$5000,M2423,FALSE)</f>
        <v>0</v>
      </c>
      <c r="R2423">
        <f>HLOOKUP("CPUs",'vInfo (Imported)'!$1:$5000,M2423,FALSE)</f>
        <v>0</v>
      </c>
      <c r="S2423">
        <f>HLOOKUP("Memory",'vInfo (Imported)'!$1:$5000,M2423,FALSE)</f>
        <v>0</v>
      </c>
      <c r="T2423">
        <f>HLOOKUP("Provisioned MiB",'vInfo (Imported)'!$1:$5000,M2423,FALSE)</f>
        <v>0</v>
      </c>
      <c r="U2423">
        <f t="shared" si="112"/>
        <v>0</v>
      </c>
      <c r="V2423">
        <f>HLOOKUP("In Use MiB",'vInfo (Imported)'!$1:$5000,M2423,FALSE)</f>
        <v>0</v>
      </c>
    </row>
    <row r="2424" spans="1:22" ht="13" x14ac:dyDescent="0.3">
      <c r="A2424" s="46">
        <f>'vHosts (Imported)'!A2424</f>
        <v>0</v>
      </c>
      <c r="B2424" s="51">
        <f t="shared" si="114"/>
        <v>4968</v>
      </c>
      <c r="C2424" s="49">
        <f>HLOOKUP("# Cores",'vHosts (Imported)'!$1:$5000,M2424,FALSE)</f>
        <v>0</v>
      </c>
      <c r="D2424" s="52">
        <f>HLOOKUP("# Memory",'vHosts (Imported)'!$1:$5000,M2424,FALSE)</f>
        <v>0</v>
      </c>
      <c r="M2424" s="45">
        <f t="shared" si="113"/>
        <v>2424</v>
      </c>
      <c r="N2424" s="38">
        <f>HLOOKUP("Host",'vInfo (Imported)'!$1:$5000,M2424,FALSE)</f>
        <v>0</v>
      </c>
      <c r="R2424">
        <f>HLOOKUP("CPUs",'vInfo (Imported)'!$1:$5000,M2424,FALSE)</f>
        <v>0</v>
      </c>
      <c r="S2424">
        <f>HLOOKUP("Memory",'vInfo (Imported)'!$1:$5000,M2424,FALSE)</f>
        <v>0</v>
      </c>
      <c r="T2424">
        <f>HLOOKUP("Provisioned MiB",'vInfo (Imported)'!$1:$5000,M2424,FALSE)</f>
        <v>0</v>
      </c>
      <c r="U2424">
        <f t="shared" si="112"/>
        <v>0</v>
      </c>
      <c r="V2424">
        <f>HLOOKUP("In Use MiB",'vInfo (Imported)'!$1:$5000,M2424,FALSE)</f>
        <v>0</v>
      </c>
    </row>
    <row r="2425" spans="1:22" ht="13" x14ac:dyDescent="0.3">
      <c r="A2425" s="46">
        <f>'vHosts (Imported)'!A2425</f>
        <v>0</v>
      </c>
      <c r="B2425" s="51">
        <f t="shared" si="114"/>
        <v>4968</v>
      </c>
      <c r="C2425" s="49">
        <f>HLOOKUP("# Cores",'vHosts (Imported)'!$1:$5000,M2425,FALSE)</f>
        <v>0</v>
      </c>
      <c r="D2425" s="52">
        <f>HLOOKUP("# Memory",'vHosts (Imported)'!$1:$5000,M2425,FALSE)</f>
        <v>0</v>
      </c>
      <c r="M2425" s="45">
        <f t="shared" si="113"/>
        <v>2425</v>
      </c>
      <c r="N2425" s="38">
        <f>HLOOKUP("Host",'vInfo (Imported)'!$1:$5000,M2425,FALSE)</f>
        <v>0</v>
      </c>
      <c r="R2425">
        <f>HLOOKUP("CPUs",'vInfo (Imported)'!$1:$5000,M2425,FALSE)</f>
        <v>0</v>
      </c>
      <c r="S2425">
        <f>HLOOKUP("Memory",'vInfo (Imported)'!$1:$5000,M2425,FALSE)</f>
        <v>0</v>
      </c>
      <c r="T2425">
        <f>HLOOKUP("Provisioned MiB",'vInfo (Imported)'!$1:$5000,M2425,FALSE)</f>
        <v>0</v>
      </c>
      <c r="U2425">
        <f t="shared" si="112"/>
        <v>0</v>
      </c>
      <c r="V2425">
        <f>HLOOKUP("In Use MiB",'vInfo (Imported)'!$1:$5000,M2425,FALSE)</f>
        <v>0</v>
      </c>
    </row>
    <row r="2426" spans="1:22" ht="13" x14ac:dyDescent="0.3">
      <c r="A2426" s="46">
        <f>'vHosts (Imported)'!A2426</f>
        <v>0</v>
      </c>
      <c r="B2426" s="51">
        <f t="shared" si="114"/>
        <v>4968</v>
      </c>
      <c r="C2426" s="49">
        <f>HLOOKUP("# Cores",'vHosts (Imported)'!$1:$5000,M2426,FALSE)</f>
        <v>0</v>
      </c>
      <c r="D2426" s="52">
        <f>HLOOKUP("# Memory",'vHosts (Imported)'!$1:$5000,M2426,FALSE)</f>
        <v>0</v>
      </c>
      <c r="M2426" s="45">
        <f t="shared" si="113"/>
        <v>2426</v>
      </c>
      <c r="N2426" s="38">
        <f>HLOOKUP("Host",'vInfo (Imported)'!$1:$5000,M2426,FALSE)</f>
        <v>0</v>
      </c>
      <c r="R2426">
        <f>HLOOKUP("CPUs",'vInfo (Imported)'!$1:$5000,M2426,FALSE)</f>
        <v>0</v>
      </c>
      <c r="S2426">
        <f>HLOOKUP("Memory",'vInfo (Imported)'!$1:$5000,M2426,FALSE)</f>
        <v>0</v>
      </c>
      <c r="T2426">
        <f>HLOOKUP("Provisioned MiB",'vInfo (Imported)'!$1:$5000,M2426,FALSE)</f>
        <v>0</v>
      </c>
      <c r="U2426">
        <f t="shared" si="112"/>
        <v>0</v>
      </c>
      <c r="V2426">
        <f>HLOOKUP("In Use MiB",'vInfo (Imported)'!$1:$5000,M2426,FALSE)</f>
        <v>0</v>
      </c>
    </row>
    <row r="2427" spans="1:22" ht="13" x14ac:dyDescent="0.3">
      <c r="A2427" s="46">
        <f>'vHosts (Imported)'!A2427</f>
        <v>0</v>
      </c>
      <c r="B2427" s="51">
        <f t="shared" si="114"/>
        <v>4968</v>
      </c>
      <c r="C2427" s="49">
        <f>HLOOKUP("# Cores",'vHosts (Imported)'!$1:$5000,M2427,FALSE)</f>
        <v>0</v>
      </c>
      <c r="D2427" s="52">
        <f>HLOOKUP("# Memory",'vHosts (Imported)'!$1:$5000,M2427,FALSE)</f>
        <v>0</v>
      </c>
      <c r="M2427" s="45">
        <f t="shared" si="113"/>
        <v>2427</v>
      </c>
      <c r="N2427" s="38">
        <f>HLOOKUP("Host",'vInfo (Imported)'!$1:$5000,M2427,FALSE)</f>
        <v>0</v>
      </c>
      <c r="R2427">
        <f>HLOOKUP("CPUs",'vInfo (Imported)'!$1:$5000,M2427,FALSE)</f>
        <v>0</v>
      </c>
      <c r="S2427">
        <f>HLOOKUP("Memory",'vInfo (Imported)'!$1:$5000,M2427,FALSE)</f>
        <v>0</v>
      </c>
      <c r="T2427">
        <f>HLOOKUP("Provisioned MiB",'vInfo (Imported)'!$1:$5000,M2427,FALSE)</f>
        <v>0</v>
      </c>
      <c r="U2427">
        <f t="shared" si="112"/>
        <v>0</v>
      </c>
      <c r="V2427">
        <f>HLOOKUP("In Use MiB",'vInfo (Imported)'!$1:$5000,M2427,FALSE)</f>
        <v>0</v>
      </c>
    </row>
    <row r="2428" spans="1:22" ht="13" x14ac:dyDescent="0.3">
      <c r="A2428" s="46">
        <f>'vHosts (Imported)'!A2428</f>
        <v>0</v>
      </c>
      <c r="B2428" s="51">
        <f t="shared" si="114"/>
        <v>4968</v>
      </c>
      <c r="C2428" s="49">
        <f>HLOOKUP("# Cores",'vHosts (Imported)'!$1:$5000,M2428,FALSE)</f>
        <v>0</v>
      </c>
      <c r="D2428" s="52">
        <f>HLOOKUP("# Memory",'vHosts (Imported)'!$1:$5000,M2428,FALSE)</f>
        <v>0</v>
      </c>
      <c r="M2428" s="45">
        <f t="shared" si="113"/>
        <v>2428</v>
      </c>
      <c r="N2428" s="38">
        <f>HLOOKUP("Host",'vInfo (Imported)'!$1:$5000,M2428,FALSE)</f>
        <v>0</v>
      </c>
      <c r="R2428">
        <f>HLOOKUP("CPUs",'vInfo (Imported)'!$1:$5000,M2428,FALSE)</f>
        <v>0</v>
      </c>
      <c r="S2428">
        <f>HLOOKUP("Memory",'vInfo (Imported)'!$1:$5000,M2428,FALSE)</f>
        <v>0</v>
      </c>
      <c r="T2428">
        <f>HLOOKUP("Provisioned MiB",'vInfo (Imported)'!$1:$5000,M2428,FALSE)</f>
        <v>0</v>
      </c>
      <c r="U2428">
        <f t="shared" si="112"/>
        <v>0</v>
      </c>
      <c r="V2428">
        <f>HLOOKUP("In Use MiB",'vInfo (Imported)'!$1:$5000,M2428,FALSE)</f>
        <v>0</v>
      </c>
    </row>
    <row r="2429" spans="1:22" ht="13" x14ac:dyDescent="0.3">
      <c r="A2429" s="46">
        <f>'vHosts (Imported)'!A2429</f>
        <v>0</v>
      </c>
      <c r="B2429" s="51">
        <f t="shared" si="114"/>
        <v>4968</v>
      </c>
      <c r="C2429" s="49">
        <f>HLOOKUP("# Cores",'vHosts (Imported)'!$1:$5000,M2429,FALSE)</f>
        <v>0</v>
      </c>
      <c r="D2429" s="52">
        <f>HLOOKUP("# Memory",'vHosts (Imported)'!$1:$5000,M2429,FALSE)</f>
        <v>0</v>
      </c>
      <c r="M2429" s="45">
        <f t="shared" si="113"/>
        <v>2429</v>
      </c>
      <c r="N2429" s="38">
        <f>HLOOKUP("Host",'vInfo (Imported)'!$1:$5000,M2429,FALSE)</f>
        <v>0</v>
      </c>
      <c r="R2429">
        <f>HLOOKUP("CPUs",'vInfo (Imported)'!$1:$5000,M2429,FALSE)</f>
        <v>0</v>
      </c>
      <c r="S2429">
        <f>HLOOKUP("Memory",'vInfo (Imported)'!$1:$5000,M2429,FALSE)</f>
        <v>0</v>
      </c>
      <c r="T2429">
        <f>HLOOKUP("Provisioned MiB",'vInfo (Imported)'!$1:$5000,M2429,FALSE)</f>
        <v>0</v>
      </c>
      <c r="U2429">
        <f t="shared" si="112"/>
        <v>0</v>
      </c>
      <c r="V2429">
        <f>HLOOKUP("In Use MiB",'vInfo (Imported)'!$1:$5000,M2429,FALSE)</f>
        <v>0</v>
      </c>
    </row>
    <row r="2430" spans="1:22" ht="13" x14ac:dyDescent="0.3">
      <c r="A2430" s="46">
        <f>'vHosts (Imported)'!A2430</f>
        <v>0</v>
      </c>
      <c r="B2430" s="51">
        <f t="shared" si="114"/>
        <v>4968</v>
      </c>
      <c r="C2430" s="49">
        <f>HLOOKUP("# Cores",'vHosts (Imported)'!$1:$5000,M2430,FALSE)</f>
        <v>0</v>
      </c>
      <c r="D2430" s="52">
        <f>HLOOKUP("# Memory",'vHosts (Imported)'!$1:$5000,M2430,FALSE)</f>
        <v>0</v>
      </c>
      <c r="M2430" s="45">
        <f t="shared" si="113"/>
        <v>2430</v>
      </c>
      <c r="N2430" s="38">
        <f>HLOOKUP("Host",'vInfo (Imported)'!$1:$5000,M2430,FALSE)</f>
        <v>0</v>
      </c>
      <c r="R2430">
        <f>HLOOKUP("CPUs",'vInfo (Imported)'!$1:$5000,M2430,FALSE)</f>
        <v>0</v>
      </c>
      <c r="S2430">
        <f>HLOOKUP("Memory",'vInfo (Imported)'!$1:$5000,M2430,FALSE)</f>
        <v>0</v>
      </c>
      <c r="T2430">
        <f>HLOOKUP("Provisioned MiB",'vInfo (Imported)'!$1:$5000,M2430,FALSE)</f>
        <v>0</v>
      </c>
      <c r="U2430">
        <f t="shared" si="112"/>
        <v>0</v>
      </c>
      <c r="V2430">
        <f>HLOOKUP("In Use MiB",'vInfo (Imported)'!$1:$5000,M2430,FALSE)</f>
        <v>0</v>
      </c>
    </row>
    <row r="2431" spans="1:22" ht="13" x14ac:dyDescent="0.3">
      <c r="A2431" s="46">
        <f>'vHosts (Imported)'!A2431</f>
        <v>0</v>
      </c>
      <c r="B2431" s="51">
        <f t="shared" si="114"/>
        <v>4968</v>
      </c>
      <c r="C2431" s="49">
        <f>HLOOKUP("# Cores",'vHosts (Imported)'!$1:$5000,M2431,FALSE)</f>
        <v>0</v>
      </c>
      <c r="D2431" s="52">
        <f>HLOOKUP("# Memory",'vHosts (Imported)'!$1:$5000,M2431,FALSE)</f>
        <v>0</v>
      </c>
      <c r="M2431" s="45">
        <f t="shared" si="113"/>
        <v>2431</v>
      </c>
      <c r="N2431" s="38">
        <f>HLOOKUP("Host",'vInfo (Imported)'!$1:$5000,M2431,FALSE)</f>
        <v>0</v>
      </c>
      <c r="R2431">
        <f>HLOOKUP("CPUs",'vInfo (Imported)'!$1:$5000,M2431,FALSE)</f>
        <v>0</v>
      </c>
      <c r="S2431">
        <f>HLOOKUP("Memory",'vInfo (Imported)'!$1:$5000,M2431,FALSE)</f>
        <v>0</v>
      </c>
      <c r="T2431">
        <f>HLOOKUP("Provisioned MiB",'vInfo (Imported)'!$1:$5000,M2431,FALSE)</f>
        <v>0</v>
      </c>
      <c r="U2431">
        <f t="shared" si="112"/>
        <v>0</v>
      </c>
      <c r="V2431">
        <f>HLOOKUP("In Use MiB",'vInfo (Imported)'!$1:$5000,M2431,FALSE)</f>
        <v>0</v>
      </c>
    </row>
    <row r="2432" spans="1:22" ht="13" x14ac:dyDescent="0.3">
      <c r="A2432" s="46">
        <f>'vHosts (Imported)'!A2432</f>
        <v>0</v>
      </c>
      <c r="B2432" s="51">
        <f t="shared" si="114"/>
        <v>4968</v>
      </c>
      <c r="C2432" s="49">
        <f>HLOOKUP("# Cores",'vHosts (Imported)'!$1:$5000,M2432,FALSE)</f>
        <v>0</v>
      </c>
      <c r="D2432" s="52">
        <f>HLOOKUP("# Memory",'vHosts (Imported)'!$1:$5000,M2432,FALSE)</f>
        <v>0</v>
      </c>
      <c r="M2432" s="45">
        <f t="shared" si="113"/>
        <v>2432</v>
      </c>
      <c r="N2432" s="38">
        <f>HLOOKUP("Host",'vInfo (Imported)'!$1:$5000,M2432,FALSE)</f>
        <v>0</v>
      </c>
      <c r="R2432">
        <f>HLOOKUP("CPUs",'vInfo (Imported)'!$1:$5000,M2432,FALSE)</f>
        <v>0</v>
      </c>
      <c r="S2432">
        <f>HLOOKUP("Memory",'vInfo (Imported)'!$1:$5000,M2432,FALSE)</f>
        <v>0</v>
      </c>
      <c r="T2432">
        <f>HLOOKUP("Provisioned MiB",'vInfo (Imported)'!$1:$5000,M2432,FALSE)</f>
        <v>0</v>
      </c>
      <c r="U2432">
        <f t="shared" si="112"/>
        <v>0</v>
      </c>
      <c r="V2432">
        <f>HLOOKUP("In Use MiB",'vInfo (Imported)'!$1:$5000,M2432,FALSE)</f>
        <v>0</v>
      </c>
    </row>
    <row r="2433" spans="1:22" ht="13" x14ac:dyDescent="0.3">
      <c r="A2433" s="46">
        <f>'vHosts (Imported)'!A2433</f>
        <v>0</v>
      </c>
      <c r="B2433" s="51">
        <f t="shared" si="114"/>
        <v>4968</v>
      </c>
      <c r="C2433" s="49">
        <f>HLOOKUP("# Cores",'vHosts (Imported)'!$1:$5000,M2433,FALSE)</f>
        <v>0</v>
      </c>
      <c r="D2433" s="52">
        <f>HLOOKUP("# Memory",'vHosts (Imported)'!$1:$5000,M2433,FALSE)</f>
        <v>0</v>
      </c>
      <c r="M2433" s="45">
        <f t="shared" si="113"/>
        <v>2433</v>
      </c>
      <c r="N2433" s="38">
        <f>HLOOKUP("Host",'vInfo (Imported)'!$1:$5000,M2433,FALSE)</f>
        <v>0</v>
      </c>
      <c r="R2433">
        <f>HLOOKUP("CPUs",'vInfo (Imported)'!$1:$5000,M2433,FALSE)</f>
        <v>0</v>
      </c>
      <c r="S2433">
        <f>HLOOKUP("Memory",'vInfo (Imported)'!$1:$5000,M2433,FALSE)</f>
        <v>0</v>
      </c>
      <c r="T2433">
        <f>HLOOKUP("Provisioned MiB",'vInfo (Imported)'!$1:$5000,M2433,FALSE)</f>
        <v>0</v>
      </c>
      <c r="U2433">
        <f t="shared" si="112"/>
        <v>0</v>
      </c>
      <c r="V2433">
        <f>HLOOKUP("In Use MiB",'vInfo (Imported)'!$1:$5000,M2433,FALSE)</f>
        <v>0</v>
      </c>
    </row>
    <row r="2434" spans="1:22" ht="13" x14ac:dyDescent="0.3">
      <c r="A2434" s="46">
        <f>'vHosts (Imported)'!A2434</f>
        <v>0</v>
      </c>
      <c r="B2434" s="51">
        <f t="shared" si="114"/>
        <v>4968</v>
      </c>
      <c r="C2434" s="49">
        <f>HLOOKUP("# Cores",'vHosts (Imported)'!$1:$5000,M2434,FALSE)</f>
        <v>0</v>
      </c>
      <c r="D2434" s="52">
        <f>HLOOKUP("# Memory",'vHosts (Imported)'!$1:$5000,M2434,FALSE)</f>
        <v>0</v>
      </c>
      <c r="M2434" s="45">
        <f t="shared" si="113"/>
        <v>2434</v>
      </c>
      <c r="N2434" s="38">
        <f>HLOOKUP("Host",'vInfo (Imported)'!$1:$5000,M2434,FALSE)</f>
        <v>0</v>
      </c>
      <c r="R2434">
        <f>HLOOKUP("CPUs",'vInfo (Imported)'!$1:$5000,M2434,FALSE)</f>
        <v>0</v>
      </c>
      <c r="S2434">
        <f>HLOOKUP("Memory",'vInfo (Imported)'!$1:$5000,M2434,FALSE)</f>
        <v>0</v>
      </c>
      <c r="T2434">
        <f>HLOOKUP("Provisioned MiB",'vInfo (Imported)'!$1:$5000,M2434,FALSE)</f>
        <v>0</v>
      </c>
      <c r="U2434">
        <f t="shared" si="112"/>
        <v>0</v>
      </c>
      <c r="V2434">
        <f>HLOOKUP("In Use MiB",'vInfo (Imported)'!$1:$5000,M2434,FALSE)</f>
        <v>0</v>
      </c>
    </row>
    <row r="2435" spans="1:22" ht="13" x14ac:dyDescent="0.3">
      <c r="A2435" s="46">
        <f>'vHosts (Imported)'!A2435</f>
        <v>0</v>
      </c>
      <c r="B2435" s="51">
        <f t="shared" si="114"/>
        <v>4968</v>
      </c>
      <c r="C2435" s="49">
        <f>HLOOKUP("# Cores",'vHosts (Imported)'!$1:$5000,M2435,FALSE)</f>
        <v>0</v>
      </c>
      <c r="D2435" s="52">
        <f>HLOOKUP("# Memory",'vHosts (Imported)'!$1:$5000,M2435,FALSE)</f>
        <v>0</v>
      </c>
      <c r="M2435" s="45">
        <f t="shared" si="113"/>
        <v>2435</v>
      </c>
      <c r="N2435" s="38">
        <f>HLOOKUP("Host",'vInfo (Imported)'!$1:$5000,M2435,FALSE)</f>
        <v>0</v>
      </c>
      <c r="R2435">
        <f>HLOOKUP("CPUs",'vInfo (Imported)'!$1:$5000,M2435,FALSE)</f>
        <v>0</v>
      </c>
      <c r="S2435">
        <f>HLOOKUP("Memory",'vInfo (Imported)'!$1:$5000,M2435,FALSE)</f>
        <v>0</v>
      </c>
      <c r="T2435">
        <f>HLOOKUP("Provisioned MiB",'vInfo (Imported)'!$1:$5000,M2435,FALSE)</f>
        <v>0</v>
      </c>
      <c r="U2435">
        <f t="shared" ref="U2435:U2498" si="115">T2435-V2435</f>
        <v>0</v>
      </c>
      <c r="V2435">
        <f>HLOOKUP("In Use MiB",'vInfo (Imported)'!$1:$5000,M2435,FALSE)</f>
        <v>0</v>
      </c>
    </row>
    <row r="2436" spans="1:22" ht="13" x14ac:dyDescent="0.3">
      <c r="A2436" s="46">
        <f>'vHosts (Imported)'!A2436</f>
        <v>0</v>
      </c>
      <c r="B2436" s="51">
        <f t="shared" si="114"/>
        <v>4968</v>
      </c>
      <c r="C2436" s="49">
        <f>HLOOKUP("# Cores",'vHosts (Imported)'!$1:$5000,M2436,FALSE)</f>
        <v>0</v>
      </c>
      <c r="D2436" s="52">
        <f>HLOOKUP("# Memory",'vHosts (Imported)'!$1:$5000,M2436,FALSE)</f>
        <v>0</v>
      </c>
      <c r="M2436" s="45">
        <f t="shared" ref="M2436:M2499" si="116">M2435+1</f>
        <v>2436</v>
      </c>
      <c r="N2436" s="38">
        <f>HLOOKUP("Host",'vInfo (Imported)'!$1:$5000,M2436,FALSE)</f>
        <v>0</v>
      </c>
      <c r="R2436">
        <f>HLOOKUP("CPUs",'vInfo (Imported)'!$1:$5000,M2436,FALSE)</f>
        <v>0</v>
      </c>
      <c r="S2436">
        <f>HLOOKUP("Memory",'vInfo (Imported)'!$1:$5000,M2436,FALSE)</f>
        <v>0</v>
      </c>
      <c r="T2436">
        <f>HLOOKUP("Provisioned MiB",'vInfo (Imported)'!$1:$5000,M2436,FALSE)</f>
        <v>0</v>
      </c>
      <c r="U2436">
        <f t="shared" si="115"/>
        <v>0</v>
      </c>
      <c r="V2436">
        <f>HLOOKUP("In Use MiB",'vInfo (Imported)'!$1:$5000,M2436,FALSE)</f>
        <v>0</v>
      </c>
    </row>
    <row r="2437" spans="1:22" ht="13" x14ac:dyDescent="0.3">
      <c r="A2437" s="46">
        <f>'vHosts (Imported)'!A2437</f>
        <v>0</v>
      </c>
      <c r="B2437" s="51">
        <f t="shared" si="114"/>
        <v>4968</v>
      </c>
      <c r="C2437" s="49">
        <f>HLOOKUP("# Cores",'vHosts (Imported)'!$1:$5000,M2437,FALSE)</f>
        <v>0</v>
      </c>
      <c r="D2437" s="52">
        <f>HLOOKUP("# Memory",'vHosts (Imported)'!$1:$5000,M2437,FALSE)</f>
        <v>0</v>
      </c>
      <c r="M2437" s="45">
        <f t="shared" si="116"/>
        <v>2437</v>
      </c>
      <c r="N2437" s="38">
        <f>HLOOKUP("Host",'vInfo (Imported)'!$1:$5000,M2437,FALSE)</f>
        <v>0</v>
      </c>
      <c r="R2437">
        <f>HLOOKUP("CPUs",'vInfo (Imported)'!$1:$5000,M2437,FALSE)</f>
        <v>0</v>
      </c>
      <c r="S2437">
        <f>HLOOKUP("Memory",'vInfo (Imported)'!$1:$5000,M2437,FALSE)</f>
        <v>0</v>
      </c>
      <c r="T2437">
        <f>HLOOKUP("Provisioned MiB",'vInfo (Imported)'!$1:$5000,M2437,FALSE)</f>
        <v>0</v>
      </c>
      <c r="U2437">
        <f t="shared" si="115"/>
        <v>0</v>
      </c>
      <c r="V2437">
        <f>HLOOKUP("In Use MiB",'vInfo (Imported)'!$1:$5000,M2437,FALSE)</f>
        <v>0</v>
      </c>
    </row>
    <row r="2438" spans="1:22" ht="13" x14ac:dyDescent="0.3">
      <c r="A2438" s="46">
        <f>'vHosts (Imported)'!A2438</f>
        <v>0</v>
      </c>
      <c r="B2438" s="51">
        <f t="shared" si="114"/>
        <v>4968</v>
      </c>
      <c r="C2438" s="49">
        <f>HLOOKUP("# Cores",'vHosts (Imported)'!$1:$5000,M2438,FALSE)</f>
        <v>0</v>
      </c>
      <c r="D2438" s="52">
        <f>HLOOKUP("# Memory",'vHosts (Imported)'!$1:$5000,M2438,FALSE)</f>
        <v>0</v>
      </c>
      <c r="M2438" s="45">
        <f t="shared" si="116"/>
        <v>2438</v>
      </c>
      <c r="N2438" s="38">
        <f>HLOOKUP("Host",'vInfo (Imported)'!$1:$5000,M2438,FALSE)</f>
        <v>0</v>
      </c>
      <c r="R2438">
        <f>HLOOKUP("CPUs",'vInfo (Imported)'!$1:$5000,M2438,FALSE)</f>
        <v>0</v>
      </c>
      <c r="S2438">
        <f>HLOOKUP("Memory",'vInfo (Imported)'!$1:$5000,M2438,FALSE)</f>
        <v>0</v>
      </c>
      <c r="T2438">
        <f>HLOOKUP("Provisioned MiB",'vInfo (Imported)'!$1:$5000,M2438,FALSE)</f>
        <v>0</v>
      </c>
      <c r="U2438">
        <f t="shared" si="115"/>
        <v>0</v>
      </c>
      <c r="V2438">
        <f>HLOOKUP("In Use MiB",'vInfo (Imported)'!$1:$5000,M2438,FALSE)</f>
        <v>0</v>
      </c>
    </row>
    <row r="2439" spans="1:22" ht="13" x14ac:dyDescent="0.3">
      <c r="A2439" s="46">
        <f>'vHosts (Imported)'!A2439</f>
        <v>0</v>
      </c>
      <c r="B2439" s="51">
        <f t="shared" si="114"/>
        <v>4968</v>
      </c>
      <c r="C2439" s="49">
        <f>HLOOKUP("# Cores",'vHosts (Imported)'!$1:$5000,M2439,FALSE)</f>
        <v>0</v>
      </c>
      <c r="D2439" s="52">
        <f>HLOOKUP("# Memory",'vHosts (Imported)'!$1:$5000,M2439,FALSE)</f>
        <v>0</v>
      </c>
      <c r="M2439" s="45">
        <f t="shared" si="116"/>
        <v>2439</v>
      </c>
      <c r="N2439" s="38">
        <f>HLOOKUP("Host",'vInfo (Imported)'!$1:$5000,M2439,FALSE)</f>
        <v>0</v>
      </c>
      <c r="R2439">
        <f>HLOOKUP("CPUs",'vInfo (Imported)'!$1:$5000,M2439,FALSE)</f>
        <v>0</v>
      </c>
      <c r="S2439">
        <f>HLOOKUP("Memory",'vInfo (Imported)'!$1:$5000,M2439,FALSE)</f>
        <v>0</v>
      </c>
      <c r="T2439">
        <f>HLOOKUP("Provisioned MiB",'vInfo (Imported)'!$1:$5000,M2439,FALSE)</f>
        <v>0</v>
      </c>
      <c r="U2439">
        <f t="shared" si="115"/>
        <v>0</v>
      </c>
      <c r="V2439">
        <f>HLOOKUP("In Use MiB",'vInfo (Imported)'!$1:$5000,M2439,FALSE)</f>
        <v>0</v>
      </c>
    </row>
    <row r="2440" spans="1:22" ht="13" x14ac:dyDescent="0.3">
      <c r="A2440" s="46">
        <f>'vHosts (Imported)'!A2440</f>
        <v>0</v>
      </c>
      <c r="B2440" s="51">
        <f t="shared" si="114"/>
        <v>4968</v>
      </c>
      <c r="C2440" s="49">
        <f>HLOOKUP("# Cores",'vHosts (Imported)'!$1:$5000,M2440,FALSE)</f>
        <v>0</v>
      </c>
      <c r="D2440" s="52">
        <f>HLOOKUP("# Memory",'vHosts (Imported)'!$1:$5000,M2440,FALSE)</f>
        <v>0</v>
      </c>
      <c r="M2440" s="45">
        <f t="shared" si="116"/>
        <v>2440</v>
      </c>
      <c r="N2440" s="38">
        <f>HLOOKUP("Host",'vInfo (Imported)'!$1:$5000,M2440,FALSE)</f>
        <v>0</v>
      </c>
      <c r="R2440">
        <f>HLOOKUP("CPUs",'vInfo (Imported)'!$1:$5000,M2440,FALSE)</f>
        <v>0</v>
      </c>
      <c r="S2440">
        <f>HLOOKUP("Memory",'vInfo (Imported)'!$1:$5000,M2440,FALSE)</f>
        <v>0</v>
      </c>
      <c r="T2440">
        <f>HLOOKUP("Provisioned MiB",'vInfo (Imported)'!$1:$5000,M2440,FALSE)</f>
        <v>0</v>
      </c>
      <c r="U2440">
        <f t="shared" si="115"/>
        <v>0</v>
      </c>
      <c r="V2440">
        <f>HLOOKUP("In Use MiB",'vInfo (Imported)'!$1:$5000,M2440,FALSE)</f>
        <v>0</v>
      </c>
    </row>
    <row r="2441" spans="1:22" ht="13" x14ac:dyDescent="0.3">
      <c r="A2441" s="46">
        <f>'vHosts (Imported)'!A2441</f>
        <v>0</v>
      </c>
      <c r="B2441" s="51">
        <f t="shared" si="114"/>
        <v>4968</v>
      </c>
      <c r="C2441" s="49">
        <f>HLOOKUP("# Cores",'vHosts (Imported)'!$1:$5000,M2441,FALSE)</f>
        <v>0</v>
      </c>
      <c r="D2441" s="52">
        <f>HLOOKUP("# Memory",'vHosts (Imported)'!$1:$5000,M2441,FALSE)</f>
        <v>0</v>
      </c>
      <c r="M2441" s="45">
        <f t="shared" si="116"/>
        <v>2441</v>
      </c>
      <c r="N2441" s="38">
        <f>HLOOKUP("Host",'vInfo (Imported)'!$1:$5000,M2441,FALSE)</f>
        <v>0</v>
      </c>
      <c r="R2441">
        <f>HLOOKUP("CPUs",'vInfo (Imported)'!$1:$5000,M2441,FALSE)</f>
        <v>0</v>
      </c>
      <c r="S2441">
        <f>HLOOKUP("Memory",'vInfo (Imported)'!$1:$5000,M2441,FALSE)</f>
        <v>0</v>
      </c>
      <c r="T2441">
        <f>HLOOKUP("Provisioned MiB",'vInfo (Imported)'!$1:$5000,M2441,FALSE)</f>
        <v>0</v>
      </c>
      <c r="U2441">
        <f t="shared" si="115"/>
        <v>0</v>
      </c>
      <c r="V2441">
        <f>HLOOKUP("In Use MiB",'vInfo (Imported)'!$1:$5000,M2441,FALSE)</f>
        <v>0</v>
      </c>
    </row>
    <row r="2442" spans="1:22" ht="13" x14ac:dyDescent="0.3">
      <c r="A2442" s="46">
        <f>'vHosts (Imported)'!A2442</f>
        <v>0</v>
      </c>
      <c r="B2442" s="51">
        <f t="shared" si="114"/>
        <v>4968</v>
      </c>
      <c r="C2442" s="49">
        <f>HLOOKUP("# Cores",'vHosts (Imported)'!$1:$5000,M2442,FALSE)</f>
        <v>0</v>
      </c>
      <c r="D2442" s="52">
        <f>HLOOKUP("# Memory",'vHosts (Imported)'!$1:$5000,M2442,FALSE)</f>
        <v>0</v>
      </c>
      <c r="M2442" s="45">
        <f t="shared" si="116"/>
        <v>2442</v>
      </c>
      <c r="N2442" s="38">
        <f>HLOOKUP("Host",'vInfo (Imported)'!$1:$5000,M2442,FALSE)</f>
        <v>0</v>
      </c>
      <c r="R2442">
        <f>HLOOKUP("CPUs",'vInfo (Imported)'!$1:$5000,M2442,FALSE)</f>
        <v>0</v>
      </c>
      <c r="S2442">
        <f>HLOOKUP("Memory",'vInfo (Imported)'!$1:$5000,M2442,FALSE)</f>
        <v>0</v>
      </c>
      <c r="T2442">
        <f>HLOOKUP("Provisioned MiB",'vInfo (Imported)'!$1:$5000,M2442,FALSE)</f>
        <v>0</v>
      </c>
      <c r="U2442">
        <f t="shared" si="115"/>
        <v>0</v>
      </c>
      <c r="V2442">
        <f>HLOOKUP("In Use MiB",'vInfo (Imported)'!$1:$5000,M2442,FALSE)</f>
        <v>0</v>
      </c>
    </row>
    <row r="2443" spans="1:22" ht="13" x14ac:dyDescent="0.3">
      <c r="A2443" s="46">
        <f>'vHosts (Imported)'!A2443</f>
        <v>0</v>
      </c>
      <c r="B2443" s="51">
        <f t="shared" si="114"/>
        <v>4968</v>
      </c>
      <c r="C2443" s="49">
        <f>HLOOKUP("# Cores",'vHosts (Imported)'!$1:$5000,M2443,FALSE)</f>
        <v>0</v>
      </c>
      <c r="D2443" s="52">
        <f>HLOOKUP("# Memory",'vHosts (Imported)'!$1:$5000,M2443,FALSE)</f>
        <v>0</v>
      </c>
      <c r="M2443" s="45">
        <f t="shared" si="116"/>
        <v>2443</v>
      </c>
      <c r="N2443" s="38">
        <f>HLOOKUP("Host",'vInfo (Imported)'!$1:$5000,M2443,FALSE)</f>
        <v>0</v>
      </c>
      <c r="R2443">
        <f>HLOOKUP("CPUs",'vInfo (Imported)'!$1:$5000,M2443,FALSE)</f>
        <v>0</v>
      </c>
      <c r="S2443">
        <f>HLOOKUP("Memory",'vInfo (Imported)'!$1:$5000,M2443,FALSE)</f>
        <v>0</v>
      </c>
      <c r="T2443">
        <f>HLOOKUP("Provisioned MiB",'vInfo (Imported)'!$1:$5000,M2443,FALSE)</f>
        <v>0</v>
      </c>
      <c r="U2443">
        <f t="shared" si="115"/>
        <v>0</v>
      </c>
      <c r="V2443">
        <f>HLOOKUP("In Use MiB",'vInfo (Imported)'!$1:$5000,M2443,FALSE)</f>
        <v>0</v>
      </c>
    </row>
    <row r="2444" spans="1:22" ht="13" x14ac:dyDescent="0.3">
      <c r="A2444" s="46">
        <f>'vHosts (Imported)'!A2444</f>
        <v>0</v>
      </c>
      <c r="B2444" s="51">
        <f t="shared" si="114"/>
        <v>4968</v>
      </c>
      <c r="C2444" s="49">
        <f>HLOOKUP("# Cores",'vHosts (Imported)'!$1:$5000,M2444,FALSE)</f>
        <v>0</v>
      </c>
      <c r="D2444" s="52">
        <f>HLOOKUP("# Memory",'vHosts (Imported)'!$1:$5000,M2444,FALSE)</f>
        <v>0</v>
      </c>
      <c r="M2444" s="45">
        <f t="shared" si="116"/>
        <v>2444</v>
      </c>
      <c r="N2444" s="38">
        <f>HLOOKUP("Host",'vInfo (Imported)'!$1:$5000,M2444,FALSE)</f>
        <v>0</v>
      </c>
      <c r="R2444">
        <f>HLOOKUP("CPUs",'vInfo (Imported)'!$1:$5000,M2444,FALSE)</f>
        <v>0</v>
      </c>
      <c r="S2444">
        <f>HLOOKUP("Memory",'vInfo (Imported)'!$1:$5000,M2444,FALSE)</f>
        <v>0</v>
      </c>
      <c r="T2444">
        <f>HLOOKUP("Provisioned MiB",'vInfo (Imported)'!$1:$5000,M2444,FALSE)</f>
        <v>0</v>
      </c>
      <c r="U2444">
        <f t="shared" si="115"/>
        <v>0</v>
      </c>
      <c r="V2444">
        <f>HLOOKUP("In Use MiB",'vInfo (Imported)'!$1:$5000,M2444,FALSE)</f>
        <v>0</v>
      </c>
    </row>
    <row r="2445" spans="1:22" ht="13" x14ac:dyDescent="0.3">
      <c r="A2445" s="46">
        <f>'vHosts (Imported)'!A2445</f>
        <v>0</v>
      </c>
      <c r="B2445" s="51">
        <f t="shared" si="114"/>
        <v>4968</v>
      </c>
      <c r="C2445" s="49">
        <f>HLOOKUP("# Cores",'vHosts (Imported)'!$1:$5000,M2445,FALSE)</f>
        <v>0</v>
      </c>
      <c r="D2445" s="52">
        <f>HLOOKUP("# Memory",'vHosts (Imported)'!$1:$5000,M2445,FALSE)</f>
        <v>0</v>
      </c>
      <c r="M2445" s="45">
        <f t="shared" si="116"/>
        <v>2445</v>
      </c>
      <c r="N2445" s="38">
        <f>HLOOKUP("Host",'vInfo (Imported)'!$1:$5000,M2445,FALSE)</f>
        <v>0</v>
      </c>
      <c r="R2445">
        <f>HLOOKUP("CPUs",'vInfo (Imported)'!$1:$5000,M2445,FALSE)</f>
        <v>0</v>
      </c>
      <c r="S2445">
        <f>HLOOKUP("Memory",'vInfo (Imported)'!$1:$5000,M2445,FALSE)</f>
        <v>0</v>
      </c>
      <c r="T2445">
        <f>HLOOKUP("Provisioned MiB",'vInfo (Imported)'!$1:$5000,M2445,FALSE)</f>
        <v>0</v>
      </c>
      <c r="U2445">
        <f t="shared" si="115"/>
        <v>0</v>
      </c>
      <c r="V2445">
        <f>HLOOKUP("In Use MiB",'vInfo (Imported)'!$1:$5000,M2445,FALSE)</f>
        <v>0</v>
      </c>
    </row>
    <row r="2446" spans="1:22" ht="13" x14ac:dyDescent="0.3">
      <c r="A2446" s="46">
        <f>'vHosts (Imported)'!A2446</f>
        <v>0</v>
      </c>
      <c r="B2446" s="51">
        <f t="shared" si="114"/>
        <v>4968</v>
      </c>
      <c r="C2446" s="49">
        <f>HLOOKUP("# Cores",'vHosts (Imported)'!$1:$5000,M2446,FALSE)</f>
        <v>0</v>
      </c>
      <c r="D2446" s="52">
        <f>HLOOKUP("# Memory",'vHosts (Imported)'!$1:$5000,M2446,FALSE)</f>
        <v>0</v>
      </c>
      <c r="M2446" s="45">
        <f t="shared" si="116"/>
        <v>2446</v>
      </c>
      <c r="N2446" s="38">
        <f>HLOOKUP("Host",'vInfo (Imported)'!$1:$5000,M2446,FALSE)</f>
        <v>0</v>
      </c>
      <c r="R2446">
        <f>HLOOKUP("CPUs",'vInfo (Imported)'!$1:$5000,M2446,FALSE)</f>
        <v>0</v>
      </c>
      <c r="S2446">
        <f>HLOOKUP("Memory",'vInfo (Imported)'!$1:$5000,M2446,FALSE)</f>
        <v>0</v>
      </c>
      <c r="T2446">
        <f>HLOOKUP("Provisioned MiB",'vInfo (Imported)'!$1:$5000,M2446,FALSE)</f>
        <v>0</v>
      </c>
      <c r="U2446">
        <f t="shared" si="115"/>
        <v>0</v>
      </c>
      <c r="V2446">
        <f>HLOOKUP("In Use MiB",'vInfo (Imported)'!$1:$5000,M2446,FALSE)</f>
        <v>0</v>
      </c>
    </row>
    <row r="2447" spans="1:22" ht="13" x14ac:dyDescent="0.3">
      <c r="A2447" s="46">
        <f>'vHosts (Imported)'!A2447</f>
        <v>0</v>
      </c>
      <c r="B2447" s="51">
        <f t="shared" si="114"/>
        <v>4968</v>
      </c>
      <c r="C2447" s="49">
        <f>HLOOKUP("# Cores",'vHosts (Imported)'!$1:$5000,M2447,FALSE)</f>
        <v>0</v>
      </c>
      <c r="D2447" s="52">
        <f>HLOOKUP("# Memory",'vHosts (Imported)'!$1:$5000,M2447,FALSE)</f>
        <v>0</v>
      </c>
      <c r="M2447" s="45">
        <f t="shared" si="116"/>
        <v>2447</v>
      </c>
      <c r="N2447" s="38">
        <f>HLOOKUP("Host",'vInfo (Imported)'!$1:$5000,M2447,FALSE)</f>
        <v>0</v>
      </c>
      <c r="R2447">
        <f>HLOOKUP("CPUs",'vInfo (Imported)'!$1:$5000,M2447,FALSE)</f>
        <v>0</v>
      </c>
      <c r="S2447">
        <f>HLOOKUP("Memory",'vInfo (Imported)'!$1:$5000,M2447,FALSE)</f>
        <v>0</v>
      </c>
      <c r="T2447">
        <f>HLOOKUP("Provisioned MiB",'vInfo (Imported)'!$1:$5000,M2447,FALSE)</f>
        <v>0</v>
      </c>
      <c r="U2447">
        <f t="shared" si="115"/>
        <v>0</v>
      </c>
      <c r="V2447">
        <f>HLOOKUP("In Use MiB",'vInfo (Imported)'!$1:$5000,M2447,FALSE)</f>
        <v>0</v>
      </c>
    </row>
    <row r="2448" spans="1:22" ht="13" x14ac:dyDescent="0.3">
      <c r="A2448" s="46">
        <f>'vHosts (Imported)'!A2448</f>
        <v>0</v>
      </c>
      <c r="B2448" s="51">
        <f t="shared" si="114"/>
        <v>4968</v>
      </c>
      <c r="C2448" s="49">
        <f>HLOOKUP("# Cores",'vHosts (Imported)'!$1:$5000,M2448,FALSE)</f>
        <v>0</v>
      </c>
      <c r="D2448" s="52">
        <f>HLOOKUP("# Memory",'vHosts (Imported)'!$1:$5000,M2448,FALSE)</f>
        <v>0</v>
      </c>
      <c r="M2448" s="45">
        <f t="shared" si="116"/>
        <v>2448</v>
      </c>
      <c r="N2448" s="38">
        <f>HLOOKUP("Host",'vInfo (Imported)'!$1:$5000,M2448,FALSE)</f>
        <v>0</v>
      </c>
      <c r="R2448">
        <f>HLOOKUP("CPUs",'vInfo (Imported)'!$1:$5000,M2448,FALSE)</f>
        <v>0</v>
      </c>
      <c r="S2448">
        <f>HLOOKUP("Memory",'vInfo (Imported)'!$1:$5000,M2448,FALSE)</f>
        <v>0</v>
      </c>
      <c r="T2448">
        <f>HLOOKUP("Provisioned MiB",'vInfo (Imported)'!$1:$5000,M2448,FALSE)</f>
        <v>0</v>
      </c>
      <c r="U2448">
        <f t="shared" si="115"/>
        <v>0</v>
      </c>
      <c r="V2448">
        <f>HLOOKUP("In Use MiB",'vInfo (Imported)'!$1:$5000,M2448,FALSE)</f>
        <v>0</v>
      </c>
    </row>
    <row r="2449" spans="1:22" ht="13" x14ac:dyDescent="0.3">
      <c r="A2449" s="46">
        <f>'vHosts (Imported)'!A2449</f>
        <v>0</v>
      </c>
      <c r="B2449" s="51">
        <f t="shared" si="114"/>
        <v>4968</v>
      </c>
      <c r="C2449" s="49">
        <f>HLOOKUP("# Cores",'vHosts (Imported)'!$1:$5000,M2449,FALSE)</f>
        <v>0</v>
      </c>
      <c r="D2449" s="52">
        <f>HLOOKUP("# Memory",'vHosts (Imported)'!$1:$5000,M2449,FALSE)</f>
        <v>0</v>
      </c>
      <c r="M2449" s="45">
        <f t="shared" si="116"/>
        <v>2449</v>
      </c>
      <c r="N2449" s="38">
        <f>HLOOKUP("Host",'vInfo (Imported)'!$1:$5000,M2449,FALSE)</f>
        <v>0</v>
      </c>
      <c r="R2449">
        <f>HLOOKUP("CPUs",'vInfo (Imported)'!$1:$5000,M2449,FALSE)</f>
        <v>0</v>
      </c>
      <c r="S2449">
        <f>HLOOKUP("Memory",'vInfo (Imported)'!$1:$5000,M2449,FALSE)</f>
        <v>0</v>
      </c>
      <c r="T2449">
        <f>HLOOKUP("Provisioned MiB",'vInfo (Imported)'!$1:$5000,M2449,FALSE)</f>
        <v>0</v>
      </c>
      <c r="U2449">
        <f t="shared" si="115"/>
        <v>0</v>
      </c>
      <c r="V2449">
        <f>HLOOKUP("In Use MiB",'vInfo (Imported)'!$1:$5000,M2449,FALSE)</f>
        <v>0</v>
      </c>
    </row>
    <row r="2450" spans="1:22" ht="13" x14ac:dyDescent="0.3">
      <c r="A2450" s="46">
        <f>'vHosts (Imported)'!A2450</f>
        <v>0</v>
      </c>
      <c r="B2450" s="51">
        <f t="shared" si="114"/>
        <v>4968</v>
      </c>
      <c r="C2450" s="49">
        <f>HLOOKUP("# Cores",'vHosts (Imported)'!$1:$5000,M2450,FALSE)</f>
        <v>0</v>
      </c>
      <c r="D2450" s="52">
        <f>HLOOKUP("# Memory",'vHosts (Imported)'!$1:$5000,M2450,FALSE)</f>
        <v>0</v>
      </c>
      <c r="M2450" s="45">
        <f t="shared" si="116"/>
        <v>2450</v>
      </c>
      <c r="N2450" s="38">
        <f>HLOOKUP("Host",'vInfo (Imported)'!$1:$5000,M2450,FALSE)</f>
        <v>0</v>
      </c>
      <c r="R2450">
        <f>HLOOKUP("CPUs",'vInfo (Imported)'!$1:$5000,M2450,FALSE)</f>
        <v>0</v>
      </c>
      <c r="S2450">
        <f>HLOOKUP("Memory",'vInfo (Imported)'!$1:$5000,M2450,FALSE)</f>
        <v>0</v>
      </c>
      <c r="T2450">
        <f>HLOOKUP("Provisioned MiB",'vInfo (Imported)'!$1:$5000,M2450,FALSE)</f>
        <v>0</v>
      </c>
      <c r="U2450">
        <f t="shared" si="115"/>
        <v>0</v>
      </c>
      <c r="V2450">
        <f>HLOOKUP("In Use MiB",'vInfo (Imported)'!$1:$5000,M2450,FALSE)</f>
        <v>0</v>
      </c>
    </row>
    <row r="2451" spans="1:22" ht="13" x14ac:dyDescent="0.3">
      <c r="A2451" s="46">
        <f>'vHosts (Imported)'!A2451</f>
        <v>0</v>
      </c>
      <c r="B2451" s="51">
        <f t="shared" si="114"/>
        <v>4968</v>
      </c>
      <c r="C2451" s="49">
        <f>HLOOKUP("# Cores",'vHosts (Imported)'!$1:$5000,M2451,FALSE)</f>
        <v>0</v>
      </c>
      <c r="D2451" s="52">
        <f>HLOOKUP("# Memory",'vHosts (Imported)'!$1:$5000,M2451,FALSE)</f>
        <v>0</v>
      </c>
      <c r="M2451" s="45">
        <f t="shared" si="116"/>
        <v>2451</v>
      </c>
      <c r="N2451" s="38">
        <f>HLOOKUP("Host",'vInfo (Imported)'!$1:$5000,M2451,FALSE)</f>
        <v>0</v>
      </c>
      <c r="R2451">
        <f>HLOOKUP("CPUs",'vInfo (Imported)'!$1:$5000,M2451,FALSE)</f>
        <v>0</v>
      </c>
      <c r="S2451">
        <f>HLOOKUP("Memory",'vInfo (Imported)'!$1:$5000,M2451,FALSE)</f>
        <v>0</v>
      </c>
      <c r="T2451">
        <f>HLOOKUP("Provisioned MiB",'vInfo (Imported)'!$1:$5000,M2451,FALSE)</f>
        <v>0</v>
      </c>
      <c r="U2451">
        <f t="shared" si="115"/>
        <v>0</v>
      </c>
      <c r="V2451">
        <f>HLOOKUP("In Use MiB",'vInfo (Imported)'!$1:$5000,M2451,FALSE)</f>
        <v>0</v>
      </c>
    </row>
    <row r="2452" spans="1:22" ht="13" x14ac:dyDescent="0.3">
      <c r="A2452" s="46">
        <f>'vHosts (Imported)'!A2452</f>
        <v>0</v>
      </c>
      <c r="B2452" s="51">
        <f t="shared" si="114"/>
        <v>4968</v>
      </c>
      <c r="C2452" s="49">
        <f>HLOOKUP("# Cores",'vHosts (Imported)'!$1:$5000,M2452,FALSE)</f>
        <v>0</v>
      </c>
      <c r="D2452" s="52">
        <f>HLOOKUP("# Memory",'vHosts (Imported)'!$1:$5000,M2452,FALSE)</f>
        <v>0</v>
      </c>
      <c r="M2452" s="45">
        <f t="shared" si="116"/>
        <v>2452</v>
      </c>
      <c r="N2452" s="38">
        <f>HLOOKUP("Host",'vInfo (Imported)'!$1:$5000,M2452,FALSE)</f>
        <v>0</v>
      </c>
      <c r="R2452">
        <f>HLOOKUP("CPUs",'vInfo (Imported)'!$1:$5000,M2452,FALSE)</f>
        <v>0</v>
      </c>
      <c r="S2452">
        <f>HLOOKUP("Memory",'vInfo (Imported)'!$1:$5000,M2452,FALSE)</f>
        <v>0</v>
      </c>
      <c r="T2452">
        <f>HLOOKUP("Provisioned MiB",'vInfo (Imported)'!$1:$5000,M2452,FALSE)</f>
        <v>0</v>
      </c>
      <c r="U2452">
        <f t="shared" si="115"/>
        <v>0</v>
      </c>
      <c r="V2452">
        <f>HLOOKUP("In Use MiB",'vInfo (Imported)'!$1:$5000,M2452,FALSE)</f>
        <v>0</v>
      </c>
    </row>
    <row r="2453" spans="1:22" ht="13" x14ac:dyDescent="0.3">
      <c r="A2453" s="46">
        <f>'vHosts (Imported)'!A2453</f>
        <v>0</v>
      </c>
      <c r="B2453" s="51">
        <f t="shared" si="114"/>
        <v>4968</v>
      </c>
      <c r="C2453" s="49">
        <f>HLOOKUP("# Cores",'vHosts (Imported)'!$1:$5000,M2453,FALSE)</f>
        <v>0</v>
      </c>
      <c r="D2453" s="52">
        <f>HLOOKUP("# Memory",'vHosts (Imported)'!$1:$5000,M2453,FALSE)</f>
        <v>0</v>
      </c>
      <c r="M2453" s="45">
        <f t="shared" si="116"/>
        <v>2453</v>
      </c>
      <c r="N2453" s="38">
        <f>HLOOKUP("Host",'vInfo (Imported)'!$1:$5000,M2453,FALSE)</f>
        <v>0</v>
      </c>
      <c r="R2453">
        <f>HLOOKUP("CPUs",'vInfo (Imported)'!$1:$5000,M2453,FALSE)</f>
        <v>0</v>
      </c>
      <c r="S2453">
        <f>HLOOKUP("Memory",'vInfo (Imported)'!$1:$5000,M2453,FALSE)</f>
        <v>0</v>
      </c>
      <c r="T2453">
        <f>HLOOKUP("Provisioned MiB",'vInfo (Imported)'!$1:$5000,M2453,FALSE)</f>
        <v>0</v>
      </c>
      <c r="U2453">
        <f t="shared" si="115"/>
        <v>0</v>
      </c>
      <c r="V2453">
        <f>HLOOKUP("In Use MiB",'vInfo (Imported)'!$1:$5000,M2453,FALSE)</f>
        <v>0</v>
      </c>
    </row>
    <row r="2454" spans="1:22" ht="13" x14ac:dyDescent="0.3">
      <c r="A2454" s="46">
        <f>'vHosts (Imported)'!A2454</f>
        <v>0</v>
      </c>
      <c r="B2454" s="51">
        <f t="shared" si="114"/>
        <v>4968</v>
      </c>
      <c r="C2454" s="49">
        <f>HLOOKUP("# Cores",'vHosts (Imported)'!$1:$5000,M2454,FALSE)</f>
        <v>0</v>
      </c>
      <c r="D2454" s="52">
        <f>HLOOKUP("# Memory",'vHosts (Imported)'!$1:$5000,M2454,FALSE)</f>
        <v>0</v>
      </c>
      <c r="M2454" s="45">
        <f t="shared" si="116"/>
        <v>2454</v>
      </c>
      <c r="N2454" s="38">
        <f>HLOOKUP("Host",'vInfo (Imported)'!$1:$5000,M2454,FALSE)</f>
        <v>0</v>
      </c>
      <c r="R2454">
        <f>HLOOKUP("CPUs",'vInfo (Imported)'!$1:$5000,M2454,FALSE)</f>
        <v>0</v>
      </c>
      <c r="S2454">
        <f>HLOOKUP("Memory",'vInfo (Imported)'!$1:$5000,M2454,FALSE)</f>
        <v>0</v>
      </c>
      <c r="T2454">
        <f>HLOOKUP("Provisioned MiB",'vInfo (Imported)'!$1:$5000,M2454,FALSE)</f>
        <v>0</v>
      </c>
      <c r="U2454">
        <f t="shared" si="115"/>
        <v>0</v>
      </c>
      <c r="V2454">
        <f>HLOOKUP("In Use MiB",'vInfo (Imported)'!$1:$5000,M2454,FALSE)</f>
        <v>0</v>
      </c>
    </row>
    <row r="2455" spans="1:22" ht="13" x14ac:dyDescent="0.3">
      <c r="A2455" s="46">
        <f>'vHosts (Imported)'!A2455</f>
        <v>0</v>
      </c>
      <c r="B2455" s="51">
        <f t="shared" si="114"/>
        <v>4968</v>
      </c>
      <c r="C2455" s="49">
        <f>HLOOKUP("# Cores",'vHosts (Imported)'!$1:$5000,M2455,FALSE)</f>
        <v>0</v>
      </c>
      <c r="D2455" s="52">
        <f>HLOOKUP("# Memory",'vHosts (Imported)'!$1:$5000,M2455,FALSE)</f>
        <v>0</v>
      </c>
      <c r="M2455" s="45">
        <f t="shared" si="116"/>
        <v>2455</v>
      </c>
      <c r="N2455" s="38">
        <f>HLOOKUP("Host",'vInfo (Imported)'!$1:$5000,M2455,FALSE)</f>
        <v>0</v>
      </c>
      <c r="R2455">
        <f>HLOOKUP("CPUs",'vInfo (Imported)'!$1:$5000,M2455,FALSE)</f>
        <v>0</v>
      </c>
      <c r="S2455">
        <f>HLOOKUP("Memory",'vInfo (Imported)'!$1:$5000,M2455,FALSE)</f>
        <v>0</v>
      </c>
      <c r="T2455">
        <f>HLOOKUP("Provisioned MiB",'vInfo (Imported)'!$1:$5000,M2455,FALSE)</f>
        <v>0</v>
      </c>
      <c r="U2455">
        <f t="shared" si="115"/>
        <v>0</v>
      </c>
      <c r="V2455">
        <f>HLOOKUP("In Use MiB",'vInfo (Imported)'!$1:$5000,M2455,FALSE)</f>
        <v>0</v>
      </c>
    </row>
    <row r="2456" spans="1:22" ht="13" x14ac:dyDescent="0.3">
      <c r="A2456" s="46">
        <f>'vHosts (Imported)'!A2456</f>
        <v>0</v>
      </c>
      <c r="B2456" s="51">
        <f t="shared" si="114"/>
        <v>4968</v>
      </c>
      <c r="C2456" s="49">
        <f>HLOOKUP("# Cores",'vHosts (Imported)'!$1:$5000,M2456,FALSE)</f>
        <v>0</v>
      </c>
      <c r="D2456" s="52">
        <f>HLOOKUP("# Memory",'vHosts (Imported)'!$1:$5000,M2456,FALSE)</f>
        <v>0</v>
      </c>
      <c r="M2456" s="45">
        <f t="shared" si="116"/>
        <v>2456</v>
      </c>
      <c r="N2456" s="38">
        <f>HLOOKUP("Host",'vInfo (Imported)'!$1:$5000,M2456,FALSE)</f>
        <v>0</v>
      </c>
      <c r="R2456">
        <f>HLOOKUP("CPUs",'vInfo (Imported)'!$1:$5000,M2456,FALSE)</f>
        <v>0</v>
      </c>
      <c r="S2456">
        <f>HLOOKUP("Memory",'vInfo (Imported)'!$1:$5000,M2456,FALSE)</f>
        <v>0</v>
      </c>
      <c r="T2456">
        <f>HLOOKUP("Provisioned MiB",'vInfo (Imported)'!$1:$5000,M2456,FALSE)</f>
        <v>0</v>
      </c>
      <c r="U2456">
        <f t="shared" si="115"/>
        <v>0</v>
      </c>
      <c r="V2456">
        <f>HLOOKUP("In Use MiB",'vInfo (Imported)'!$1:$5000,M2456,FALSE)</f>
        <v>0</v>
      </c>
    </row>
    <row r="2457" spans="1:22" ht="13" x14ac:dyDescent="0.3">
      <c r="A2457" s="46">
        <f>'vHosts (Imported)'!A2457</f>
        <v>0</v>
      </c>
      <c r="B2457" s="51">
        <f t="shared" si="114"/>
        <v>4968</v>
      </c>
      <c r="C2457" s="49">
        <f>HLOOKUP("# Cores",'vHosts (Imported)'!$1:$5000,M2457,FALSE)</f>
        <v>0</v>
      </c>
      <c r="D2457" s="52">
        <f>HLOOKUP("# Memory",'vHosts (Imported)'!$1:$5000,M2457,FALSE)</f>
        <v>0</v>
      </c>
      <c r="M2457" s="45">
        <f t="shared" si="116"/>
        <v>2457</v>
      </c>
      <c r="N2457" s="38">
        <f>HLOOKUP("Host",'vInfo (Imported)'!$1:$5000,M2457,FALSE)</f>
        <v>0</v>
      </c>
      <c r="R2457">
        <f>HLOOKUP("CPUs",'vInfo (Imported)'!$1:$5000,M2457,FALSE)</f>
        <v>0</v>
      </c>
      <c r="S2457">
        <f>HLOOKUP("Memory",'vInfo (Imported)'!$1:$5000,M2457,FALSE)</f>
        <v>0</v>
      </c>
      <c r="T2457">
        <f>HLOOKUP("Provisioned MiB",'vInfo (Imported)'!$1:$5000,M2457,FALSE)</f>
        <v>0</v>
      </c>
      <c r="U2457">
        <f t="shared" si="115"/>
        <v>0</v>
      </c>
      <c r="V2457">
        <f>HLOOKUP("In Use MiB",'vInfo (Imported)'!$1:$5000,M2457,FALSE)</f>
        <v>0</v>
      </c>
    </row>
    <row r="2458" spans="1:22" ht="13" x14ac:dyDescent="0.3">
      <c r="A2458" s="46">
        <f>'vHosts (Imported)'!A2458</f>
        <v>0</v>
      </c>
      <c r="B2458" s="51">
        <f t="shared" si="114"/>
        <v>4968</v>
      </c>
      <c r="C2458" s="49">
        <f>HLOOKUP("# Cores",'vHosts (Imported)'!$1:$5000,M2458,FALSE)</f>
        <v>0</v>
      </c>
      <c r="D2458" s="52">
        <f>HLOOKUP("# Memory",'vHosts (Imported)'!$1:$5000,M2458,FALSE)</f>
        <v>0</v>
      </c>
      <c r="M2458" s="45">
        <f t="shared" si="116"/>
        <v>2458</v>
      </c>
      <c r="N2458" s="38">
        <f>HLOOKUP("Host",'vInfo (Imported)'!$1:$5000,M2458,FALSE)</f>
        <v>0</v>
      </c>
      <c r="R2458">
        <f>HLOOKUP("CPUs",'vInfo (Imported)'!$1:$5000,M2458,FALSE)</f>
        <v>0</v>
      </c>
      <c r="S2458">
        <f>HLOOKUP("Memory",'vInfo (Imported)'!$1:$5000,M2458,FALSE)</f>
        <v>0</v>
      </c>
      <c r="T2458">
        <f>HLOOKUP("Provisioned MiB",'vInfo (Imported)'!$1:$5000,M2458,FALSE)</f>
        <v>0</v>
      </c>
      <c r="U2458">
        <f t="shared" si="115"/>
        <v>0</v>
      </c>
      <c r="V2458">
        <f>HLOOKUP("In Use MiB",'vInfo (Imported)'!$1:$5000,M2458,FALSE)</f>
        <v>0</v>
      </c>
    </row>
    <row r="2459" spans="1:22" ht="13" x14ac:dyDescent="0.3">
      <c r="A2459" s="46">
        <f>'vHosts (Imported)'!A2459</f>
        <v>0</v>
      </c>
      <c r="B2459" s="51">
        <f t="shared" si="114"/>
        <v>4968</v>
      </c>
      <c r="C2459" s="49">
        <f>HLOOKUP("# Cores",'vHosts (Imported)'!$1:$5000,M2459,FALSE)</f>
        <v>0</v>
      </c>
      <c r="D2459" s="52">
        <f>HLOOKUP("# Memory",'vHosts (Imported)'!$1:$5000,M2459,FALSE)</f>
        <v>0</v>
      </c>
      <c r="M2459" s="45">
        <f t="shared" si="116"/>
        <v>2459</v>
      </c>
      <c r="N2459" s="38">
        <f>HLOOKUP("Host",'vInfo (Imported)'!$1:$5000,M2459,FALSE)</f>
        <v>0</v>
      </c>
      <c r="R2459">
        <f>HLOOKUP("CPUs",'vInfo (Imported)'!$1:$5000,M2459,FALSE)</f>
        <v>0</v>
      </c>
      <c r="S2459">
        <f>HLOOKUP("Memory",'vInfo (Imported)'!$1:$5000,M2459,FALSE)</f>
        <v>0</v>
      </c>
      <c r="T2459">
        <f>HLOOKUP("Provisioned MiB",'vInfo (Imported)'!$1:$5000,M2459,FALSE)</f>
        <v>0</v>
      </c>
      <c r="U2459">
        <f t="shared" si="115"/>
        <v>0</v>
      </c>
      <c r="V2459">
        <f>HLOOKUP("In Use MiB",'vInfo (Imported)'!$1:$5000,M2459,FALSE)</f>
        <v>0</v>
      </c>
    </row>
    <row r="2460" spans="1:22" ht="13" x14ac:dyDescent="0.3">
      <c r="A2460" s="46">
        <f>'vHosts (Imported)'!A2460</f>
        <v>0</v>
      </c>
      <c r="B2460" s="51">
        <f t="shared" si="114"/>
        <v>4968</v>
      </c>
      <c r="C2460" s="49">
        <f>HLOOKUP("# Cores",'vHosts (Imported)'!$1:$5000,M2460,FALSE)</f>
        <v>0</v>
      </c>
      <c r="D2460" s="52">
        <f>HLOOKUP("# Memory",'vHosts (Imported)'!$1:$5000,M2460,FALSE)</f>
        <v>0</v>
      </c>
      <c r="M2460" s="45">
        <f t="shared" si="116"/>
        <v>2460</v>
      </c>
      <c r="N2460" s="38">
        <f>HLOOKUP("Host",'vInfo (Imported)'!$1:$5000,M2460,FALSE)</f>
        <v>0</v>
      </c>
      <c r="R2460">
        <f>HLOOKUP("CPUs",'vInfo (Imported)'!$1:$5000,M2460,FALSE)</f>
        <v>0</v>
      </c>
      <c r="S2460">
        <f>HLOOKUP("Memory",'vInfo (Imported)'!$1:$5000,M2460,FALSE)</f>
        <v>0</v>
      </c>
      <c r="T2460">
        <f>HLOOKUP("Provisioned MiB",'vInfo (Imported)'!$1:$5000,M2460,FALSE)</f>
        <v>0</v>
      </c>
      <c r="U2460">
        <f t="shared" si="115"/>
        <v>0</v>
      </c>
      <c r="V2460">
        <f>HLOOKUP("In Use MiB",'vInfo (Imported)'!$1:$5000,M2460,FALSE)</f>
        <v>0</v>
      </c>
    </row>
    <row r="2461" spans="1:22" ht="13" x14ac:dyDescent="0.3">
      <c r="A2461" s="46">
        <f>'vHosts (Imported)'!A2461</f>
        <v>0</v>
      </c>
      <c r="B2461" s="51">
        <f t="shared" si="114"/>
        <v>4968</v>
      </c>
      <c r="C2461" s="49">
        <f>HLOOKUP("# Cores",'vHosts (Imported)'!$1:$5000,M2461,FALSE)</f>
        <v>0</v>
      </c>
      <c r="D2461" s="52">
        <f>HLOOKUP("# Memory",'vHosts (Imported)'!$1:$5000,M2461,FALSE)</f>
        <v>0</v>
      </c>
      <c r="M2461" s="45">
        <f t="shared" si="116"/>
        <v>2461</v>
      </c>
      <c r="N2461" s="38">
        <f>HLOOKUP("Host",'vInfo (Imported)'!$1:$5000,M2461,FALSE)</f>
        <v>0</v>
      </c>
      <c r="R2461">
        <f>HLOOKUP("CPUs",'vInfo (Imported)'!$1:$5000,M2461,FALSE)</f>
        <v>0</v>
      </c>
      <c r="S2461">
        <f>HLOOKUP("Memory",'vInfo (Imported)'!$1:$5000,M2461,FALSE)</f>
        <v>0</v>
      </c>
      <c r="T2461">
        <f>HLOOKUP("Provisioned MiB",'vInfo (Imported)'!$1:$5000,M2461,FALSE)</f>
        <v>0</v>
      </c>
      <c r="U2461">
        <f t="shared" si="115"/>
        <v>0</v>
      </c>
      <c r="V2461">
        <f>HLOOKUP("In Use MiB",'vInfo (Imported)'!$1:$5000,M2461,FALSE)</f>
        <v>0</v>
      </c>
    </row>
    <row r="2462" spans="1:22" ht="13" x14ac:dyDescent="0.3">
      <c r="A2462" s="46">
        <f>'vHosts (Imported)'!A2462</f>
        <v>0</v>
      </c>
      <c r="B2462" s="51">
        <f t="shared" si="114"/>
        <v>4968</v>
      </c>
      <c r="C2462" s="49">
        <f>HLOOKUP("# Cores",'vHosts (Imported)'!$1:$5000,M2462,FALSE)</f>
        <v>0</v>
      </c>
      <c r="D2462" s="52">
        <f>HLOOKUP("# Memory",'vHosts (Imported)'!$1:$5000,M2462,FALSE)</f>
        <v>0</v>
      </c>
      <c r="M2462" s="45">
        <f t="shared" si="116"/>
        <v>2462</v>
      </c>
      <c r="N2462" s="38">
        <f>HLOOKUP("Host",'vInfo (Imported)'!$1:$5000,M2462,FALSE)</f>
        <v>0</v>
      </c>
      <c r="R2462">
        <f>HLOOKUP("CPUs",'vInfo (Imported)'!$1:$5000,M2462,FALSE)</f>
        <v>0</v>
      </c>
      <c r="S2462">
        <f>HLOOKUP("Memory",'vInfo (Imported)'!$1:$5000,M2462,FALSE)</f>
        <v>0</v>
      </c>
      <c r="T2462">
        <f>HLOOKUP("Provisioned MiB",'vInfo (Imported)'!$1:$5000,M2462,FALSE)</f>
        <v>0</v>
      </c>
      <c r="U2462">
        <f t="shared" si="115"/>
        <v>0</v>
      </c>
      <c r="V2462">
        <f>HLOOKUP("In Use MiB",'vInfo (Imported)'!$1:$5000,M2462,FALSE)</f>
        <v>0</v>
      </c>
    </row>
    <row r="2463" spans="1:22" ht="13" x14ac:dyDescent="0.3">
      <c r="A2463" s="46">
        <f>'vHosts (Imported)'!A2463</f>
        <v>0</v>
      </c>
      <c r="B2463" s="51">
        <f t="shared" si="114"/>
        <v>4968</v>
      </c>
      <c r="C2463" s="49">
        <f>HLOOKUP("# Cores",'vHosts (Imported)'!$1:$5000,M2463,FALSE)</f>
        <v>0</v>
      </c>
      <c r="D2463" s="52">
        <f>HLOOKUP("# Memory",'vHosts (Imported)'!$1:$5000,M2463,FALSE)</f>
        <v>0</v>
      </c>
      <c r="M2463" s="45">
        <f t="shared" si="116"/>
        <v>2463</v>
      </c>
      <c r="N2463" s="38">
        <f>HLOOKUP("Host",'vInfo (Imported)'!$1:$5000,M2463,FALSE)</f>
        <v>0</v>
      </c>
      <c r="R2463">
        <f>HLOOKUP("CPUs",'vInfo (Imported)'!$1:$5000,M2463,FALSE)</f>
        <v>0</v>
      </c>
      <c r="S2463">
        <f>HLOOKUP("Memory",'vInfo (Imported)'!$1:$5000,M2463,FALSE)</f>
        <v>0</v>
      </c>
      <c r="T2463">
        <f>HLOOKUP("Provisioned MiB",'vInfo (Imported)'!$1:$5000,M2463,FALSE)</f>
        <v>0</v>
      </c>
      <c r="U2463">
        <f t="shared" si="115"/>
        <v>0</v>
      </c>
      <c r="V2463">
        <f>HLOOKUP("In Use MiB",'vInfo (Imported)'!$1:$5000,M2463,FALSE)</f>
        <v>0</v>
      </c>
    </row>
    <row r="2464" spans="1:22" ht="13" x14ac:dyDescent="0.3">
      <c r="A2464" s="46">
        <f>'vHosts (Imported)'!A2464</f>
        <v>0</v>
      </c>
      <c r="B2464" s="51">
        <f t="shared" si="114"/>
        <v>4968</v>
      </c>
      <c r="C2464" s="49">
        <f>HLOOKUP("# Cores",'vHosts (Imported)'!$1:$5000,M2464,FALSE)</f>
        <v>0</v>
      </c>
      <c r="D2464" s="52">
        <f>HLOOKUP("# Memory",'vHosts (Imported)'!$1:$5000,M2464,FALSE)</f>
        <v>0</v>
      </c>
      <c r="M2464" s="45">
        <f t="shared" si="116"/>
        <v>2464</v>
      </c>
      <c r="N2464" s="38">
        <f>HLOOKUP("Host",'vInfo (Imported)'!$1:$5000,M2464,FALSE)</f>
        <v>0</v>
      </c>
      <c r="R2464">
        <f>HLOOKUP("CPUs",'vInfo (Imported)'!$1:$5000,M2464,FALSE)</f>
        <v>0</v>
      </c>
      <c r="S2464">
        <f>HLOOKUP("Memory",'vInfo (Imported)'!$1:$5000,M2464,FALSE)</f>
        <v>0</v>
      </c>
      <c r="T2464">
        <f>HLOOKUP("Provisioned MiB",'vInfo (Imported)'!$1:$5000,M2464,FALSE)</f>
        <v>0</v>
      </c>
      <c r="U2464">
        <f t="shared" si="115"/>
        <v>0</v>
      </c>
      <c r="V2464">
        <f>HLOOKUP("In Use MiB",'vInfo (Imported)'!$1:$5000,M2464,FALSE)</f>
        <v>0</v>
      </c>
    </row>
    <row r="2465" spans="1:22" ht="13" x14ac:dyDescent="0.3">
      <c r="A2465" s="46">
        <f>'vHosts (Imported)'!A2465</f>
        <v>0</v>
      </c>
      <c r="B2465" s="51">
        <f t="shared" si="114"/>
        <v>4968</v>
      </c>
      <c r="C2465" s="49">
        <f>HLOOKUP("# Cores",'vHosts (Imported)'!$1:$5000,M2465,FALSE)</f>
        <v>0</v>
      </c>
      <c r="D2465" s="52">
        <f>HLOOKUP("# Memory",'vHosts (Imported)'!$1:$5000,M2465,FALSE)</f>
        <v>0</v>
      </c>
      <c r="M2465" s="45">
        <f t="shared" si="116"/>
        <v>2465</v>
      </c>
      <c r="N2465" s="38">
        <f>HLOOKUP("Host",'vInfo (Imported)'!$1:$5000,M2465,FALSE)</f>
        <v>0</v>
      </c>
      <c r="R2465">
        <f>HLOOKUP("CPUs",'vInfo (Imported)'!$1:$5000,M2465,FALSE)</f>
        <v>0</v>
      </c>
      <c r="S2465">
        <f>HLOOKUP("Memory",'vInfo (Imported)'!$1:$5000,M2465,FALSE)</f>
        <v>0</v>
      </c>
      <c r="T2465">
        <f>HLOOKUP("Provisioned MiB",'vInfo (Imported)'!$1:$5000,M2465,FALSE)</f>
        <v>0</v>
      </c>
      <c r="U2465">
        <f t="shared" si="115"/>
        <v>0</v>
      </c>
      <c r="V2465">
        <f>HLOOKUP("In Use MiB",'vInfo (Imported)'!$1:$5000,M2465,FALSE)</f>
        <v>0</v>
      </c>
    </row>
    <row r="2466" spans="1:22" ht="13" x14ac:dyDescent="0.3">
      <c r="A2466" s="46">
        <f>'vHosts (Imported)'!A2466</f>
        <v>0</v>
      </c>
      <c r="B2466" s="51">
        <f t="shared" si="114"/>
        <v>4968</v>
      </c>
      <c r="C2466" s="49">
        <f>HLOOKUP("# Cores",'vHosts (Imported)'!$1:$5000,M2466,FALSE)</f>
        <v>0</v>
      </c>
      <c r="D2466" s="52">
        <f>HLOOKUP("# Memory",'vHosts (Imported)'!$1:$5000,M2466,FALSE)</f>
        <v>0</v>
      </c>
      <c r="M2466" s="45">
        <f t="shared" si="116"/>
        <v>2466</v>
      </c>
      <c r="N2466" s="38">
        <f>HLOOKUP("Host",'vInfo (Imported)'!$1:$5000,M2466,FALSE)</f>
        <v>0</v>
      </c>
      <c r="R2466">
        <f>HLOOKUP("CPUs",'vInfo (Imported)'!$1:$5000,M2466,FALSE)</f>
        <v>0</v>
      </c>
      <c r="S2466">
        <f>HLOOKUP("Memory",'vInfo (Imported)'!$1:$5000,M2466,FALSE)</f>
        <v>0</v>
      </c>
      <c r="T2466">
        <f>HLOOKUP("Provisioned MiB",'vInfo (Imported)'!$1:$5000,M2466,FALSE)</f>
        <v>0</v>
      </c>
      <c r="U2466">
        <f t="shared" si="115"/>
        <v>0</v>
      </c>
      <c r="V2466">
        <f>HLOOKUP("In Use MiB",'vInfo (Imported)'!$1:$5000,M2466,FALSE)</f>
        <v>0</v>
      </c>
    </row>
    <row r="2467" spans="1:22" ht="13" x14ac:dyDescent="0.3">
      <c r="A2467" s="46">
        <f>'vHosts (Imported)'!A2467</f>
        <v>0</v>
      </c>
      <c r="B2467" s="51">
        <f t="shared" si="114"/>
        <v>4968</v>
      </c>
      <c r="C2467" s="49">
        <f>HLOOKUP("# Cores",'vHosts (Imported)'!$1:$5000,M2467,FALSE)</f>
        <v>0</v>
      </c>
      <c r="D2467" s="52">
        <f>HLOOKUP("# Memory",'vHosts (Imported)'!$1:$5000,M2467,FALSE)</f>
        <v>0</v>
      </c>
      <c r="M2467" s="45">
        <f t="shared" si="116"/>
        <v>2467</v>
      </c>
      <c r="N2467" s="38">
        <f>HLOOKUP("Host",'vInfo (Imported)'!$1:$5000,M2467,FALSE)</f>
        <v>0</v>
      </c>
      <c r="R2467">
        <f>HLOOKUP("CPUs",'vInfo (Imported)'!$1:$5000,M2467,FALSE)</f>
        <v>0</v>
      </c>
      <c r="S2467">
        <f>HLOOKUP("Memory",'vInfo (Imported)'!$1:$5000,M2467,FALSE)</f>
        <v>0</v>
      </c>
      <c r="T2467">
        <f>HLOOKUP("Provisioned MiB",'vInfo (Imported)'!$1:$5000,M2467,FALSE)</f>
        <v>0</v>
      </c>
      <c r="U2467">
        <f t="shared" si="115"/>
        <v>0</v>
      </c>
      <c r="V2467">
        <f>HLOOKUP("In Use MiB",'vInfo (Imported)'!$1:$5000,M2467,FALSE)</f>
        <v>0</v>
      </c>
    </row>
    <row r="2468" spans="1:22" ht="13" x14ac:dyDescent="0.3">
      <c r="A2468" s="46">
        <f>'vHosts (Imported)'!A2468</f>
        <v>0</v>
      </c>
      <c r="B2468" s="51">
        <f t="shared" si="114"/>
        <v>4968</v>
      </c>
      <c r="C2468" s="49">
        <f>HLOOKUP("# Cores",'vHosts (Imported)'!$1:$5000,M2468,FALSE)</f>
        <v>0</v>
      </c>
      <c r="D2468" s="52">
        <f>HLOOKUP("# Memory",'vHosts (Imported)'!$1:$5000,M2468,FALSE)</f>
        <v>0</v>
      </c>
      <c r="M2468" s="45">
        <f t="shared" si="116"/>
        <v>2468</v>
      </c>
      <c r="N2468" s="38">
        <f>HLOOKUP("Host",'vInfo (Imported)'!$1:$5000,M2468,FALSE)</f>
        <v>0</v>
      </c>
      <c r="R2468">
        <f>HLOOKUP("CPUs",'vInfo (Imported)'!$1:$5000,M2468,FALSE)</f>
        <v>0</v>
      </c>
      <c r="S2468">
        <f>HLOOKUP("Memory",'vInfo (Imported)'!$1:$5000,M2468,FALSE)</f>
        <v>0</v>
      </c>
      <c r="T2468">
        <f>HLOOKUP("Provisioned MiB",'vInfo (Imported)'!$1:$5000,M2468,FALSE)</f>
        <v>0</v>
      </c>
      <c r="U2468">
        <f t="shared" si="115"/>
        <v>0</v>
      </c>
      <c r="V2468">
        <f>HLOOKUP("In Use MiB",'vInfo (Imported)'!$1:$5000,M2468,FALSE)</f>
        <v>0</v>
      </c>
    </row>
    <row r="2469" spans="1:22" ht="13" x14ac:dyDescent="0.3">
      <c r="A2469" s="46">
        <f>'vHosts (Imported)'!A2469</f>
        <v>0</v>
      </c>
      <c r="B2469" s="51">
        <f t="shared" si="114"/>
        <v>4968</v>
      </c>
      <c r="C2469" s="49">
        <f>HLOOKUP("# Cores",'vHosts (Imported)'!$1:$5000,M2469,FALSE)</f>
        <v>0</v>
      </c>
      <c r="D2469" s="52">
        <f>HLOOKUP("# Memory",'vHosts (Imported)'!$1:$5000,M2469,FALSE)</f>
        <v>0</v>
      </c>
      <c r="M2469" s="45">
        <f t="shared" si="116"/>
        <v>2469</v>
      </c>
      <c r="N2469" s="38">
        <f>HLOOKUP("Host",'vInfo (Imported)'!$1:$5000,M2469,FALSE)</f>
        <v>0</v>
      </c>
      <c r="R2469">
        <f>HLOOKUP("CPUs",'vInfo (Imported)'!$1:$5000,M2469,FALSE)</f>
        <v>0</v>
      </c>
      <c r="S2469">
        <f>HLOOKUP("Memory",'vInfo (Imported)'!$1:$5000,M2469,FALSE)</f>
        <v>0</v>
      </c>
      <c r="T2469">
        <f>HLOOKUP("Provisioned MiB",'vInfo (Imported)'!$1:$5000,M2469,FALSE)</f>
        <v>0</v>
      </c>
      <c r="U2469">
        <f t="shared" si="115"/>
        <v>0</v>
      </c>
      <c r="V2469">
        <f>HLOOKUP("In Use MiB",'vInfo (Imported)'!$1:$5000,M2469,FALSE)</f>
        <v>0</v>
      </c>
    </row>
    <row r="2470" spans="1:22" ht="13" x14ac:dyDescent="0.3">
      <c r="A2470" s="46">
        <f>'vHosts (Imported)'!A2470</f>
        <v>0</v>
      </c>
      <c r="B2470" s="51">
        <f t="shared" si="114"/>
        <v>4968</v>
      </c>
      <c r="C2470" s="49">
        <f>HLOOKUP("# Cores",'vHosts (Imported)'!$1:$5000,M2470,FALSE)</f>
        <v>0</v>
      </c>
      <c r="D2470" s="52">
        <f>HLOOKUP("# Memory",'vHosts (Imported)'!$1:$5000,M2470,FALSE)</f>
        <v>0</v>
      </c>
      <c r="M2470" s="45">
        <f t="shared" si="116"/>
        <v>2470</v>
      </c>
      <c r="N2470" s="38">
        <f>HLOOKUP("Host",'vInfo (Imported)'!$1:$5000,M2470,FALSE)</f>
        <v>0</v>
      </c>
      <c r="R2470">
        <f>HLOOKUP("CPUs",'vInfo (Imported)'!$1:$5000,M2470,FALSE)</f>
        <v>0</v>
      </c>
      <c r="S2470">
        <f>HLOOKUP("Memory",'vInfo (Imported)'!$1:$5000,M2470,FALSE)</f>
        <v>0</v>
      </c>
      <c r="T2470">
        <f>HLOOKUP("Provisioned MiB",'vInfo (Imported)'!$1:$5000,M2470,FALSE)</f>
        <v>0</v>
      </c>
      <c r="U2470">
        <f t="shared" si="115"/>
        <v>0</v>
      </c>
      <c r="V2470">
        <f>HLOOKUP("In Use MiB",'vInfo (Imported)'!$1:$5000,M2470,FALSE)</f>
        <v>0</v>
      </c>
    </row>
    <row r="2471" spans="1:22" ht="13" x14ac:dyDescent="0.3">
      <c r="A2471" s="46">
        <f>'vHosts (Imported)'!A2471</f>
        <v>0</v>
      </c>
      <c r="B2471" s="51">
        <f t="shared" si="114"/>
        <v>4968</v>
      </c>
      <c r="C2471" s="49">
        <f>HLOOKUP("# Cores",'vHosts (Imported)'!$1:$5000,M2471,FALSE)</f>
        <v>0</v>
      </c>
      <c r="D2471" s="52">
        <f>HLOOKUP("# Memory",'vHosts (Imported)'!$1:$5000,M2471,FALSE)</f>
        <v>0</v>
      </c>
      <c r="M2471" s="45">
        <f t="shared" si="116"/>
        <v>2471</v>
      </c>
      <c r="N2471" s="38">
        <f>HLOOKUP("Host",'vInfo (Imported)'!$1:$5000,M2471,FALSE)</f>
        <v>0</v>
      </c>
      <c r="R2471">
        <f>HLOOKUP("CPUs",'vInfo (Imported)'!$1:$5000,M2471,FALSE)</f>
        <v>0</v>
      </c>
      <c r="S2471">
        <f>HLOOKUP("Memory",'vInfo (Imported)'!$1:$5000,M2471,FALSE)</f>
        <v>0</v>
      </c>
      <c r="T2471">
        <f>HLOOKUP("Provisioned MiB",'vInfo (Imported)'!$1:$5000,M2471,FALSE)</f>
        <v>0</v>
      </c>
      <c r="U2471">
        <f t="shared" si="115"/>
        <v>0</v>
      </c>
      <c r="V2471">
        <f>HLOOKUP("In Use MiB",'vInfo (Imported)'!$1:$5000,M2471,FALSE)</f>
        <v>0</v>
      </c>
    </row>
    <row r="2472" spans="1:22" ht="13" x14ac:dyDescent="0.3">
      <c r="A2472" s="46">
        <f>'vHosts (Imported)'!A2472</f>
        <v>0</v>
      </c>
      <c r="B2472" s="51">
        <f t="shared" ref="B2472:B2535" si="117">COUNTIF(N:N,A2472)</f>
        <v>4968</v>
      </c>
      <c r="C2472" s="49">
        <f>HLOOKUP("# Cores",'vHosts (Imported)'!$1:$5000,M2472,FALSE)</f>
        <v>0</v>
      </c>
      <c r="D2472" s="52">
        <f>HLOOKUP("# Memory",'vHosts (Imported)'!$1:$5000,M2472,FALSE)</f>
        <v>0</v>
      </c>
      <c r="M2472" s="45">
        <f t="shared" si="116"/>
        <v>2472</v>
      </c>
      <c r="N2472" s="38">
        <f>HLOOKUP("Host",'vInfo (Imported)'!$1:$5000,M2472,FALSE)</f>
        <v>0</v>
      </c>
      <c r="R2472">
        <f>HLOOKUP("CPUs",'vInfo (Imported)'!$1:$5000,M2472,FALSE)</f>
        <v>0</v>
      </c>
      <c r="S2472">
        <f>HLOOKUP("Memory",'vInfo (Imported)'!$1:$5000,M2472,FALSE)</f>
        <v>0</v>
      </c>
      <c r="T2472">
        <f>HLOOKUP("Provisioned MiB",'vInfo (Imported)'!$1:$5000,M2472,FALSE)</f>
        <v>0</v>
      </c>
      <c r="U2472">
        <f t="shared" si="115"/>
        <v>0</v>
      </c>
      <c r="V2472">
        <f>HLOOKUP("In Use MiB",'vInfo (Imported)'!$1:$5000,M2472,FALSE)</f>
        <v>0</v>
      </c>
    </row>
    <row r="2473" spans="1:22" ht="13" x14ac:dyDescent="0.3">
      <c r="A2473" s="46">
        <f>'vHosts (Imported)'!A2473</f>
        <v>0</v>
      </c>
      <c r="B2473" s="51">
        <f t="shared" si="117"/>
        <v>4968</v>
      </c>
      <c r="C2473" s="49">
        <f>HLOOKUP("# Cores",'vHosts (Imported)'!$1:$5000,M2473,FALSE)</f>
        <v>0</v>
      </c>
      <c r="D2473" s="52">
        <f>HLOOKUP("# Memory",'vHosts (Imported)'!$1:$5000,M2473,FALSE)</f>
        <v>0</v>
      </c>
      <c r="M2473" s="45">
        <f t="shared" si="116"/>
        <v>2473</v>
      </c>
      <c r="N2473" s="38">
        <f>HLOOKUP("Host",'vInfo (Imported)'!$1:$5000,M2473,FALSE)</f>
        <v>0</v>
      </c>
      <c r="R2473">
        <f>HLOOKUP("CPUs",'vInfo (Imported)'!$1:$5000,M2473,FALSE)</f>
        <v>0</v>
      </c>
      <c r="S2473">
        <f>HLOOKUP("Memory",'vInfo (Imported)'!$1:$5000,M2473,FALSE)</f>
        <v>0</v>
      </c>
      <c r="T2473">
        <f>HLOOKUP("Provisioned MiB",'vInfo (Imported)'!$1:$5000,M2473,FALSE)</f>
        <v>0</v>
      </c>
      <c r="U2473">
        <f t="shared" si="115"/>
        <v>0</v>
      </c>
      <c r="V2473">
        <f>HLOOKUP("In Use MiB",'vInfo (Imported)'!$1:$5000,M2473,FALSE)</f>
        <v>0</v>
      </c>
    </row>
    <row r="2474" spans="1:22" ht="13" x14ac:dyDescent="0.3">
      <c r="A2474" s="46">
        <f>'vHosts (Imported)'!A2474</f>
        <v>0</v>
      </c>
      <c r="B2474" s="51">
        <f t="shared" si="117"/>
        <v>4968</v>
      </c>
      <c r="C2474" s="49">
        <f>HLOOKUP("# Cores",'vHosts (Imported)'!$1:$5000,M2474,FALSE)</f>
        <v>0</v>
      </c>
      <c r="D2474" s="52">
        <f>HLOOKUP("# Memory",'vHosts (Imported)'!$1:$5000,M2474,FALSE)</f>
        <v>0</v>
      </c>
      <c r="M2474" s="45">
        <f t="shared" si="116"/>
        <v>2474</v>
      </c>
      <c r="N2474" s="38">
        <f>HLOOKUP("Host",'vInfo (Imported)'!$1:$5000,M2474,FALSE)</f>
        <v>0</v>
      </c>
      <c r="R2474">
        <f>HLOOKUP("CPUs",'vInfo (Imported)'!$1:$5000,M2474,FALSE)</f>
        <v>0</v>
      </c>
      <c r="S2474">
        <f>HLOOKUP("Memory",'vInfo (Imported)'!$1:$5000,M2474,FALSE)</f>
        <v>0</v>
      </c>
      <c r="T2474">
        <f>HLOOKUP("Provisioned MiB",'vInfo (Imported)'!$1:$5000,M2474,FALSE)</f>
        <v>0</v>
      </c>
      <c r="U2474">
        <f t="shared" si="115"/>
        <v>0</v>
      </c>
      <c r="V2474">
        <f>HLOOKUP("In Use MiB",'vInfo (Imported)'!$1:$5000,M2474,FALSE)</f>
        <v>0</v>
      </c>
    </row>
    <row r="2475" spans="1:22" ht="13" x14ac:dyDescent="0.3">
      <c r="A2475" s="46">
        <f>'vHosts (Imported)'!A2475</f>
        <v>0</v>
      </c>
      <c r="B2475" s="51">
        <f t="shared" si="117"/>
        <v>4968</v>
      </c>
      <c r="C2475" s="49">
        <f>HLOOKUP("# Cores",'vHosts (Imported)'!$1:$5000,M2475,FALSE)</f>
        <v>0</v>
      </c>
      <c r="D2475" s="52">
        <f>HLOOKUP("# Memory",'vHosts (Imported)'!$1:$5000,M2475,FALSE)</f>
        <v>0</v>
      </c>
      <c r="M2475" s="45">
        <f t="shared" si="116"/>
        <v>2475</v>
      </c>
      <c r="N2475" s="38">
        <f>HLOOKUP("Host",'vInfo (Imported)'!$1:$5000,M2475,FALSE)</f>
        <v>0</v>
      </c>
      <c r="R2475">
        <f>HLOOKUP("CPUs",'vInfo (Imported)'!$1:$5000,M2475,FALSE)</f>
        <v>0</v>
      </c>
      <c r="S2475">
        <f>HLOOKUP("Memory",'vInfo (Imported)'!$1:$5000,M2475,FALSE)</f>
        <v>0</v>
      </c>
      <c r="T2475">
        <f>HLOOKUP("Provisioned MiB",'vInfo (Imported)'!$1:$5000,M2475,FALSE)</f>
        <v>0</v>
      </c>
      <c r="U2475">
        <f t="shared" si="115"/>
        <v>0</v>
      </c>
      <c r="V2475">
        <f>HLOOKUP("In Use MiB",'vInfo (Imported)'!$1:$5000,M2475,FALSE)</f>
        <v>0</v>
      </c>
    </row>
    <row r="2476" spans="1:22" ht="13" x14ac:dyDescent="0.3">
      <c r="A2476" s="46">
        <f>'vHosts (Imported)'!A2476</f>
        <v>0</v>
      </c>
      <c r="B2476" s="51">
        <f t="shared" si="117"/>
        <v>4968</v>
      </c>
      <c r="C2476" s="49">
        <f>HLOOKUP("# Cores",'vHosts (Imported)'!$1:$5000,M2476,FALSE)</f>
        <v>0</v>
      </c>
      <c r="D2476" s="52">
        <f>HLOOKUP("# Memory",'vHosts (Imported)'!$1:$5000,M2476,FALSE)</f>
        <v>0</v>
      </c>
      <c r="M2476" s="45">
        <f t="shared" si="116"/>
        <v>2476</v>
      </c>
      <c r="N2476" s="38">
        <f>HLOOKUP("Host",'vInfo (Imported)'!$1:$5000,M2476,FALSE)</f>
        <v>0</v>
      </c>
      <c r="R2476">
        <f>HLOOKUP("CPUs",'vInfo (Imported)'!$1:$5000,M2476,FALSE)</f>
        <v>0</v>
      </c>
      <c r="S2476">
        <f>HLOOKUP("Memory",'vInfo (Imported)'!$1:$5000,M2476,FALSE)</f>
        <v>0</v>
      </c>
      <c r="T2476">
        <f>HLOOKUP("Provisioned MiB",'vInfo (Imported)'!$1:$5000,M2476,FALSE)</f>
        <v>0</v>
      </c>
      <c r="U2476">
        <f t="shared" si="115"/>
        <v>0</v>
      </c>
      <c r="V2476">
        <f>HLOOKUP("In Use MiB",'vInfo (Imported)'!$1:$5000,M2476,FALSE)</f>
        <v>0</v>
      </c>
    </row>
    <row r="2477" spans="1:22" ht="13" x14ac:dyDescent="0.3">
      <c r="A2477" s="46">
        <f>'vHosts (Imported)'!A2477</f>
        <v>0</v>
      </c>
      <c r="B2477" s="51">
        <f t="shared" si="117"/>
        <v>4968</v>
      </c>
      <c r="C2477" s="49">
        <f>HLOOKUP("# Cores",'vHosts (Imported)'!$1:$5000,M2477,FALSE)</f>
        <v>0</v>
      </c>
      <c r="D2477" s="52">
        <f>HLOOKUP("# Memory",'vHosts (Imported)'!$1:$5000,M2477,FALSE)</f>
        <v>0</v>
      </c>
      <c r="M2477" s="45">
        <f t="shared" si="116"/>
        <v>2477</v>
      </c>
      <c r="N2477" s="38">
        <f>HLOOKUP("Host",'vInfo (Imported)'!$1:$5000,M2477,FALSE)</f>
        <v>0</v>
      </c>
      <c r="R2477">
        <f>HLOOKUP("CPUs",'vInfo (Imported)'!$1:$5000,M2477,FALSE)</f>
        <v>0</v>
      </c>
      <c r="S2477">
        <f>HLOOKUP("Memory",'vInfo (Imported)'!$1:$5000,M2477,FALSE)</f>
        <v>0</v>
      </c>
      <c r="T2477">
        <f>HLOOKUP("Provisioned MiB",'vInfo (Imported)'!$1:$5000,M2477,FALSE)</f>
        <v>0</v>
      </c>
      <c r="U2477">
        <f t="shared" si="115"/>
        <v>0</v>
      </c>
      <c r="V2477">
        <f>HLOOKUP("In Use MiB",'vInfo (Imported)'!$1:$5000,M2477,FALSE)</f>
        <v>0</v>
      </c>
    </row>
    <row r="2478" spans="1:22" ht="13" x14ac:dyDescent="0.3">
      <c r="A2478" s="46">
        <f>'vHosts (Imported)'!A2478</f>
        <v>0</v>
      </c>
      <c r="B2478" s="51">
        <f t="shared" si="117"/>
        <v>4968</v>
      </c>
      <c r="C2478" s="49">
        <f>HLOOKUP("# Cores",'vHosts (Imported)'!$1:$5000,M2478,FALSE)</f>
        <v>0</v>
      </c>
      <c r="D2478" s="52">
        <f>HLOOKUP("# Memory",'vHosts (Imported)'!$1:$5000,M2478,FALSE)</f>
        <v>0</v>
      </c>
      <c r="M2478" s="45">
        <f t="shared" si="116"/>
        <v>2478</v>
      </c>
      <c r="N2478" s="38">
        <f>HLOOKUP("Host",'vInfo (Imported)'!$1:$5000,M2478,FALSE)</f>
        <v>0</v>
      </c>
      <c r="R2478">
        <f>HLOOKUP("CPUs",'vInfo (Imported)'!$1:$5000,M2478,FALSE)</f>
        <v>0</v>
      </c>
      <c r="S2478">
        <f>HLOOKUP("Memory",'vInfo (Imported)'!$1:$5000,M2478,FALSE)</f>
        <v>0</v>
      </c>
      <c r="T2478">
        <f>HLOOKUP("Provisioned MiB",'vInfo (Imported)'!$1:$5000,M2478,FALSE)</f>
        <v>0</v>
      </c>
      <c r="U2478">
        <f t="shared" si="115"/>
        <v>0</v>
      </c>
      <c r="V2478">
        <f>HLOOKUP("In Use MiB",'vInfo (Imported)'!$1:$5000,M2478,FALSE)</f>
        <v>0</v>
      </c>
    </row>
    <row r="2479" spans="1:22" ht="13" x14ac:dyDescent="0.3">
      <c r="A2479" s="46">
        <f>'vHosts (Imported)'!A2479</f>
        <v>0</v>
      </c>
      <c r="B2479" s="51">
        <f t="shared" si="117"/>
        <v>4968</v>
      </c>
      <c r="C2479" s="49">
        <f>HLOOKUP("# Cores",'vHosts (Imported)'!$1:$5000,M2479,FALSE)</f>
        <v>0</v>
      </c>
      <c r="D2479" s="52">
        <f>HLOOKUP("# Memory",'vHosts (Imported)'!$1:$5000,M2479,FALSE)</f>
        <v>0</v>
      </c>
      <c r="M2479" s="45">
        <f t="shared" si="116"/>
        <v>2479</v>
      </c>
      <c r="N2479" s="38">
        <f>HLOOKUP("Host",'vInfo (Imported)'!$1:$5000,M2479,FALSE)</f>
        <v>0</v>
      </c>
      <c r="R2479">
        <f>HLOOKUP("CPUs",'vInfo (Imported)'!$1:$5000,M2479,FALSE)</f>
        <v>0</v>
      </c>
      <c r="S2479">
        <f>HLOOKUP("Memory",'vInfo (Imported)'!$1:$5000,M2479,FALSE)</f>
        <v>0</v>
      </c>
      <c r="T2479">
        <f>HLOOKUP("Provisioned MiB",'vInfo (Imported)'!$1:$5000,M2479,FALSE)</f>
        <v>0</v>
      </c>
      <c r="U2479">
        <f t="shared" si="115"/>
        <v>0</v>
      </c>
      <c r="V2479">
        <f>HLOOKUP("In Use MiB",'vInfo (Imported)'!$1:$5000,M2479,FALSE)</f>
        <v>0</v>
      </c>
    </row>
    <row r="2480" spans="1:22" ht="13" x14ac:dyDescent="0.3">
      <c r="A2480" s="46">
        <f>'vHosts (Imported)'!A2480</f>
        <v>0</v>
      </c>
      <c r="B2480" s="51">
        <f t="shared" si="117"/>
        <v>4968</v>
      </c>
      <c r="C2480" s="49">
        <f>HLOOKUP("# Cores",'vHosts (Imported)'!$1:$5000,M2480,FALSE)</f>
        <v>0</v>
      </c>
      <c r="D2480" s="52">
        <f>HLOOKUP("# Memory",'vHosts (Imported)'!$1:$5000,M2480,FALSE)</f>
        <v>0</v>
      </c>
      <c r="M2480" s="45">
        <f t="shared" si="116"/>
        <v>2480</v>
      </c>
      <c r="N2480" s="38">
        <f>HLOOKUP("Host",'vInfo (Imported)'!$1:$5000,M2480,FALSE)</f>
        <v>0</v>
      </c>
      <c r="R2480">
        <f>HLOOKUP("CPUs",'vInfo (Imported)'!$1:$5000,M2480,FALSE)</f>
        <v>0</v>
      </c>
      <c r="S2480">
        <f>HLOOKUP("Memory",'vInfo (Imported)'!$1:$5000,M2480,FALSE)</f>
        <v>0</v>
      </c>
      <c r="T2480">
        <f>HLOOKUP("Provisioned MiB",'vInfo (Imported)'!$1:$5000,M2480,FALSE)</f>
        <v>0</v>
      </c>
      <c r="U2480">
        <f t="shared" si="115"/>
        <v>0</v>
      </c>
      <c r="V2480">
        <f>HLOOKUP("In Use MiB",'vInfo (Imported)'!$1:$5000,M2480,FALSE)</f>
        <v>0</v>
      </c>
    </row>
    <row r="2481" spans="1:22" ht="13" x14ac:dyDescent="0.3">
      <c r="A2481" s="46">
        <f>'vHosts (Imported)'!A2481</f>
        <v>0</v>
      </c>
      <c r="B2481" s="51">
        <f t="shared" si="117"/>
        <v>4968</v>
      </c>
      <c r="C2481" s="49">
        <f>HLOOKUP("# Cores",'vHosts (Imported)'!$1:$5000,M2481,FALSE)</f>
        <v>0</v>
      </c>
      <c r="D2481" s="52">
        <f>HLOOKUP("# Memory",'vHosts (Imported)'!$1:$5000,M2481,FALSE)</f>
        <v>0</v>
      </c>
      <c r="M2481" s="45">
        <f t="shared" si="116"/>
        <v>2481</v>
      </c>
      <c r="N2481" s="38">
        <f>HLOOKUP("Host",'vInfo (Imported)'!$1:$5000,M2481,FALSE)</f>
        <v>0</v>
      </c>
      <c r="R2481">
        <f>HLOOKUP("CPUs",'vInfo (Imported)'!$1:$5000,M2481,FALSE)</f>
        <v>0</v>
      </c>
      <c r="S2481">
        <f>HLOOKUP("Memory",'vInfo (Imported)'!$1:$5000,M2481,FALSE)</f>
        <v>0</v>
      </c>
      <c r="T2481">
        <f>HLOOKUP("Provisioned MiB",'vInfo (Imported)'!$1:$5000,M2481,FALSE)</f>
        <v>0</v>
      </c>
      <c r="U2481">
        <f t="shared" si="115"/>
        <v>0</v>
      </c>
      <c r="V2481">
        <f>HLOOKUP("In Use MiB",'vInfo (Imported)'!$1:$5000,M2481,FALSE)</f>
        <v>0</v>
      </c>
    </row>
    <row r="2482" spans="1:22" ht="13" x14ac:dyDescent="0.3">
      <c r="A2482" s="46">
        <f>'vHosts (Imported)'!A2482</f>
        <v>0</v>
      </c>
      <c r="B2482" s="51">
        <f t="shared" si="117"/>
        <v>4968</v>
      </c>
      <c r="C2482" s="49">
        <f>HLOOKUP("# Cores",'vHosts (Imported)'!$1:$5000,M2482,FALSE)</f>
        <v>0</v>
      </c>
      <c r="D2482" s="52">
        <f>HLOOKUP("# Memory",'vHosts (Imported)'!$1:$5000,M2482,FALSE)</f>
        <v>0</v>
      </c>
      <c r="M2482" s="45">
        <f t="shared" si="116"/>
        <v>2482</v>
      </c>
      <c r="N2482" s="38">
        <f>HLOOKUP("Host",'vInfo (Imported)'!$1:$5000,M2482,FALSE)</f>
        <v>0</v>
      </c>
      <c r="R2482">
        <f>HLOOKUP("CPUs",'vInfo (Imported)'!$1:$5000,M2482,FALSE)</f>
        <v>0</v>
      </c>
      <c r="S2482">
        <f>HLOOKUP("Memory",'vInfo (Imported)'!$1:$5000,M2482,FALSE)</f>
        <v>0</v>
      </c>
      <c r="T2482">
        <f>HLOOKUP("Provisioned MiB",'vInfo (Imported)'!$1:$5000,M2482,FALSE)</f>
        <v>0</v>
      </c>
      <c r="U2482">
        <f t="shared" si="115"/>
        <v>0</v>
      </c>
      <c r="V2482">
        <f>HLOOKUP("In Use MiB",'vInfo (Imported)'!$1:$5000,M2482,FALSE)</f>
        <v>0</v>
      </c>
    </row>
    <row r="2483" spans="1:22" ht="13" x14ac:dyDescent="0.3">
      <c r="A2483" s="46">
        <f>'vHosts (Imported)'!A2483</f>
        <v>0</v>
      </c>
      <c r="B2483" s="51">
        <f t="shared" si="117"/>
        <v>4968</v>
      </c>
      <c r="C2483" s="49">
        <f>HLOOKUP("# Cores",'vHosts (Imported)'!$1:$5000,M2483,FALSE)</f>
        <v>0</v>
      </c>
      <c r="D2483" s="52">
        <f>HLOOKUP("# Memory",'vHosts (Imported)'!$1:$5000,M2483,FALSE)</f>
        <v>0</v>
      </c>
      <c r="M2483" s="45">
        <f t="shared" si="116"/>
        <v>2483</v>
      </c>
      <c r="N2483" s="38">
        <f>HLOOKUP("Host",'vInfo (Imported)'!$1:$5000,M2483,FALSE)</f>
        <v>0</v>
      </c>
      <c r="R2483">
        <f>HLOOKUP("CPUs",'vInfo (Imported)'!$1:$5000,M2483,FALSE)</f>
        <v>0</v>
      </c>
      <c r="S2483">
        <f>HLOOKUP("Memory",'vInfo (Imported)'!$1:$5000,M2483,FALSE)</f>
        <v>0</v>
      </c>
      <c r="T2483">
        <f>HLOOKUP("Provisioned MiB",'vInfo (Imported)'!$1:$5000,M2483,FALSE)</f>
        <v>0</v>
      </c>
      <c r="U2483">
        <f t="shared" si="115"/>
        <v>0</v>
      </c>
      <c r="V2483">
        <f>HLOOKUP("In Use MiB",'vInfo (Imported)'!$1:$5000,M2483,FALSE)</f>
        <v>0</v>
      </c>
    </row>
    <row r="2484" spans="1:22" ht="13" x14ac:dyDescent="0.3">
      <c r="A2484" s="46">
        <f>'vHosts (Imported)'!A2484</f>
        <v>0</v>
      </c>
      <c r="B2484" s="51">
        <f t="shared" si="117"/>
        <v>4968</v>
      </c>
      <c r="C2484" s="49">
        <f>HLOOKUP("# Cores",'vHosts (Imported)'!$1:$5000,M2484,FALSE)</f>
        <v>0</v>
      </c>
      <c r="D2484" s="52">
        <f>HLOOKUP("# Memory",'vHosts (Imported)'!$1:$5000,M2484,FALSE)</f>
        <v>0</v>
      </c>
      <c r="M2484" s="45">
        <f t="shared" si="116"/>
        <v>2484</v>
      </c>
      <c r="N2484" s="38">
        <f>HLOOKUP("Host",'vInfo (Imported)'!$1:$5000,M2484,FALSE)</f>
        <v>0</v>
      </c>
      <c r="R2484">
        <f>HLOOKUP("CPUs",'vInfo (Imported)'!$1:$5000,M2484,FALSE)</f>
        <v>0</v>
      </c>
      <c r="S2484">
        <f>HLOOKUP("Memory",'vInfo (Imported)'!$1:$5000,M2484,FALSE)</f>
        <v>0</v>
      </c>
      <c r="T2484">
        <f>HLOOKUP("Provisioned MiB",'vInfo (Imported)'!$1:$5000,M2484,FALSE)</f>
        <v>0</v>
      </c>
      <c r="U2484">
        <f t="shared" si="115"/>
        <v>0</v>
      </c>
      <c r="V2484">
        <f>HLOOKUP("In Use MiB",'vInfo (Imported)'!$1:$5000,M2484,FALSE)</f>
        <v>0</v>
      </c>
    </row>
    <row r="2485" spans="1:22" ht="13" x14ac:dyDescent="0.3">
      <c r="A2485" s="46">
        <f>'vHosts (Imported)'!A2485</f>
        <v>0</v>
      </c>
      <c r="B2485" s="51">
        <f t="shared" si="117"/>
        <v>4968</v>
      </c>
      <c r="C2485" s="49">
        <f>HLOOKUP("# Cores",'vHosts (Imported)'!$1:$5000,M2485,FALSE)</f>
        <v>0</v>
      </c>
      <c r="D2485" s="52">
        <f>HLOOKUP("# Memory",'vHosts (Imported)'!$1:$5000,M2485,FALSE)</f>
        <v>0</v>
      </c>
      <c r="M2485" s="45">
        <f t="shared" si="116"/>
        <v>2485</v>
      </c>
      <c r="N2485" s="38">
        <f>HLOOKUP("Host",'vInfo (Imported)'!$1:$5000,M2485,FALSE)</f>
        <v>0</v>
      </c>
      <c r="R2485">
        <f>HLOOKUP("CPUs",'vInfo (Imported)'!$1:$5000,M2485,FALSE)</f>
        <v>0</v>
      </c>
      <c r="S2485">
        <f>HLOOKUP("Memory",'vInfo (Imported)'!$1:$5000,M2485,FALSE)</f>
        <v>0</v>
      </c>
      <c r="T2485">
        <f>HLOOKUP("Provisioned MiB",'vInfo (Imported)'!$1:$5000,M2485,FALSE)</f>
        <v>0</v>
      </c>
      <c r="U2485">
        <f t="shared" si="115"/>
        <v>0</v>
      </c>
      <c r="V2485">
        <f>HLOOKUP("In Use MiB",'vInfo (Imported)'!$1:$5000,M2485,FALSE)</f>
        <v>0</v>
      </c>
    </row>
    <row r="2486" spans="1:22" ht="13" x14ac:dyDescent="0.3">
      <c r="A2486" s="46">
        <f>'vHosts (Imported)'!A2486</f>
        <v>0</v>
      </c>
      <c r="B2486" s="51">
        <f t="shared" si="117"/>
        <v>4968</v>
      </c>
      <c r="C2486" s="49">
        <f>HLOOKUP("# Cores",'vHosts (Imported)'!$1:$5000,M2486,FALSE)</f>
        <v>0</v>
      </c>
      <c r="D2486" s="52">
        <f>HLOOKUP("# Memory",'vHosts (Imported)'!$1:$5000,M2486,FALSE)</f>
        <v>0</v>
      </c>
      <c r="M2486" s="45">
        <f t="shared" si="116"/>
        <v>2486</v>
      </c>
      <c r="N2486" s="38">
        <f>HLOOKUP("Host",'vInfo (Imported)'!$1:$5000,M2486,FALSE)</f>
        <v>0</v>
      </c>
      <c r="R2486">
        <f>HLOOKUP("CPUs",'vInfo (Imported)'!$1:$5000,M2486,FALSE)</f>
        <v>0</v>
      </c>
      <c r="S2486">
        <f>HLOOKUP("Memory",'vInfo (Imported)'!$1:$5000,M2486,FALSE)</f>
        <v>0</v>
      </c>
      <c r="T2486">
        <f>HLOOKUP("Provisioned MiB",'vInfo (Imported)'!$1:$5000,M2486,FALSE)</f>
        <v>0</v>
      </c>
      <c r="U2486">
        <f t="shared" si="115"/>
        <v>0</v>
      </c>
      <c r="V2486">
        <f>HLOOKUP("In Use MiB",'vInfo (Imported)'!$1:$5000,M2486,FALSE)</f>
        <v>0</v>
      </c>
    </row>
    <row r="2487" spans="1:22" ht="13" x14ac:dyDescent="0.3">
      <c r="A2487" s="46">
        <f>'vHosts (Imported)'!A2487</f>
        <v>0</v>
      </c>
      <c r="B2487" s="51">
        <f t="shared" si="117"/>
        <v>4968</v>
      </c>
      <c r="C2487" s="49">
        <f>HLOOKUP("# Cores",'vHosts (Imported)'!$1:$5000,M2487,FALSE)</f>
        <v>0</v>
      </c>
      <c r="D2487" s="52">
        <f>HLOOKUP("# Memory",'vHosts (Imported)'!$1:$5000,M2487,FALSE)</f>
        <v>0</v>
      </c>
      <c r="M2487" s="45">
        <f t="shared" si="116"/>
        <v>2487</v>
      </c>
      <c r="N2487" s="38">
        <f>HLOOKUP("Host",'vInfo (Imported)'!$1:$5000,M2487,FALSE)</f>
        <v>0</v>
      </c>
      <c r="R2487">
        <f>HLOOKUP("CPUs",'vInfo (Imported)'!$1:$5000,M2487,FALSE)</f>
        <v>0</v>
      </c>
      <c r="S2487">
        <f>HLOOKUP("Memory",'vInfo (Imported)'!$1:$5000,M2487,FALSE)</f>
        <v>0</v>
      </c>
      <c r="T2487">
        <f>HLOOKUP("Provisioned MiB",'vInfo (Imported)'!$1:$5000,M2487,FALSE)</f>
        <v>0</v>
      </c>
      <c r="U2487">
        <f t="shared" si="115"/>
        <v>0</v>
      </c>
      <c r="V2487">
        <f>HLOOKUP("In Use MiB",'vInfo (Imported)'!$1:$5000,M2487,FALSE)</f>
        <v>0</v>
      </c>
    </row>
    <row r="2488" spans="1:22" ht="13" x14ac:dyDescent="0.3">
      <c r="A2488" s="46">
        <f>'vHosts (Imported)'!A2488</f>
        <v>0</v>
      </c>
      <c r="B2488" s="51">
        <f t="shared" si="117"/>
        <v>4968</v>
      </c>
      <c r="C2488" s="49">
        <f>HLOOKUP("# Cores",'vHosts (Imported)'!$1:$5000,M2488,FALSE)</f>
        <v>0</v>
      </c>
      <c r="D2488" s="52">
        <f>HLOOKUP("# Memory",'vHosts (Imported)'!$1:$5000,M2488,FALSE)</f>
        <v>0</v>
      </c>
      <c r="M2488" s="45">
        <f t="shared" si="116"/>
        <v>2488</v>
      </c>
      <c r="N2488" s="38">
        <f>HLOOKUP("Host",'vInfo (Imported)'!$1:$5000,M2488,FALSE)</f>
        <v>0</v>
      </c>
      <c r="R2488">
        <f>HLOOKUP("CPUs",'vInfo (Imported)'!$1:$5000,M2488,FALSE)</f>
        <v>0</v>
      </c>
      <c r="S2488">
        <f>HLOOKUP("Memory",'vInfo (Imported)'!$1:$5000,M2488,FALSE)</f>
        <v>0</v>
      </c>
      <c r="T2488">
        <f>HLOOKUP("Provisioned MiB",'vInfo (Imported)'!$1:$5000,M2488,FALSE)</f>
        <v>0</v>
      </c>
      <c r="U2488">
        <f t="shared" si="115"/>
        <v>0</v>
      </c>
      <c r="V2488">
        <f>HLOOKUP("In Use MiB",'vInfo (Imported)'!$1:$5000,M2488,FALSE)</f>
        <v>0</v>
      </c>
    </row>
    <row r="2489" spans="1:22" ht="13" x14ac:dyDescent="0.3">
      <c r="A2489" s="46">
        <f>'vHosts (Imported)'!A2489</f>
        <v>0</v>
      </c>
      <c r="B2489" s="51">
        <f t="shared" si="117"/>
        <v>4968</v>
      </c>
      <c r="C2489" s="49">
        <f>HLOOKUP("# Cores",'vHosts (Imported)'!$1:$5000,M2489,FALSE)</f>
        <v>0</v>
      </c>
      <c r="D2489" s="52">
        <f>HLOOKUP("# Memory",'vHosts (Imported)'!$1:$5000,M2489,FALSE)</f>
        <v>0</v>
      </c>
      <c r="M2489" s="45">
        <f t="shared" si="116"/>
        <v>2489</v>
      </c>
      <c r="N2489" s="38">
        <f>HLOOKUP("Host",'vInfo (Imported)'!$1:$5000,M2489,FALSE)</f>
        <v>0</v>
      </c>
      <c r="R2489">
        <f>HLOOKUP("CPUs",'vInfo (Imported)'!$1:$5000,M2489,FALSE)</f>
        <v>0</v>
      </c>
      <c r="S2489">
        <f>HLOOKUP("Memory",'vInfo (Imported)'!$1:$5000,M2489,FALSE)</f>
        <v>0</v>
      </c>
      <c r="T2489">
        <f>HLOOKUP("Provisioned MiB",'vInfo (Imported)'!$1:$5000,M2489,FALSE)</f>
        <v>0</v>
      </c>
      <c r="U2489">
        <f t="shared" si="115"/>
        <v>0</v>
      </c>
      <c r="V2489">
        <f>HLOOKUP("In Use MiB",'vInfo (Imported)'!$1:$5000,M2489,FALSE)</f>
        <v>0</v>
      </c>
    </row>
    <row r="2490" spans="1:22" ht="13" x14ac:dyDescent="0.3">
      <c r="A2490" s="46">
        <f>'vHosts (Imported)'!A2490</f>
        <v>0</v>
      </c>
      <c r="B2490" s="51">
        <f t="shared" si="117"/>
        <v>4968</v>
      </c>
      <c r="C2490" s="49">
        <f>HLOOKUP("# Cores",'vHosts (Imported)'!$1:$5000,M2490,FALSE)</f>
        <v>0</v>
      </c>
      <c r="D2490" s="52">
        <f>HLOOKUP("# Memory",'vHosts (Imported)'!$1:$5000,M2490,FALSE)</f>
        <v>0</v>
      </c>
      <c r="M2490" s="45">
        <f t="shared" si="116"/>
        <v>2490</v>
      </c>
      <c r="N2490" s="38">
        <f>HLOOKUP("Host",'vInfo (Imported)'!$1:$5000,M2490,FALSE)</f>
        <v>0</v>
      </c>
      <c r="R2490">
        <f>HLOOKUP("CPUs",'vInfo (Imported)'!$1:$5000,M2490,FALSE)</f>
        <v>0</v>
      </c>
      <c r="S2490">
        <f>HLOOKUP("Memory",'vInfo (Imported)'!$1:$5000,M2490,FALSE)</f>
        <v>0</v>
      </c>
      <c r="T2490">
        <f>HLOOKUP("Provisioned MiB",'vInfo (Imported)'!$1:$5000,M2490,FALSE)</f>
        <v>0</v>
      </c>
      <c r="U2490">
        <f t="shared" si="115"/>
        <v>0</v>
      </c>
      <c r="V2490">
        <f>HLOOKUP("In Use MiB",'vInfo (Imported)'!$1:$5000,M2490,FALSE)</f>
        <v>0</v>
      </c>
    </row>
    <row r="2491" spans="1:22" ht="13" x14ac:dyDescent="0.3">
      <c r="A2491" s="46">
        <f>'vHosts (Imported)'!A2491</f>
        <v>0</v>
      </c>
      <c r="B2491" s="51">
        <f t="shared" si="117"/>
        <v>4968</v>
      </c>
      <c r="C2491" s="49">
        <f>HLOOKUP("# Cores",'vHosts (Imported)'!$1:$5000,M2491,FALSE)</f>
        <v>0</v>
      </c>
      <c r="D2491" s="52">
        <f>HLOOKUP("# Memory",'vHosts (Imported)'!$1:$5000,M2491,FALSE)</f>
        <v>0</v>
      </c>
      <c r="M2491" s="45">
        <f t="shared" si="116"/>
        <v>2491</v>
      </c>
      <c r="N2491" s="38">
        <f>HLOOKUP("Host",'vInfo (Imported)'!$1:$5000,M2491,FALSE)</f>
        <v>0</v>
      </c>
      <c r="R2491">
        <f>HLOOKUP("CPUs",'vInfo (Imported)'!$1:$5000,M2491,FALSE)</f>
        <v>0</v>
      </c>
      <c r="S2491">
        <f>HLOOKUP("Memory",'vInfo (Imported)'!$1:$5000,M2491,FALSE)</f>
        <v>0</v>
      </c>
      <c r="T2491">
        <f>HLOOKUP("Provisioned MiB",'vInfo (Imported)'!$1:$5000,M2491,FALSE)</f>
        <v>0</v>
      </c>
      <c r="U2491">
        <f t="shared" si="115"/>
        <v>0</v>
      </c>
      <c r="V2491">
        <f>HLOOKUP("In Use MiB",'vInfo (Imported)'!$1:$5000,M2491,FALSE)</f>
        <v>0</v>
      </c>
    </row>
    <row r="2492" spans="1:22" ht="13" x14ac:dyDescent="0.3">
      <c r="A2492" s="46">
        <f>'vHosts (Imported)'!A2492</f>
        <v>0</v>
      </c>
      <c r="B2492" s="51">
        <f t="shared" si="117"/>
        <v>4968</v>
      </c>
      <c r="C2492" s="49">
        <f>HLOOKUP("# Cores",'vHosts (Imported)'!$1:$5000,M2492,FALSE)</f>
        <v>0</v>
      </c>
      <c r="D2492" s="52">
        <f>HLOOKUP("# Memory",'vHosts (Imported)'!$1:$5000,M2492,FALSE)</f>
        <v>0</v>
      </c>
      <c r="M2492" s="45">
        <f t="shared" si="116"/>
        <v>2492</v>
      </c>
      <c r="N2492" s="38">
        <f>HLOOKUP("Host",'vInfo (Imported)'!$1:$5000,M2492,FALSE)</f>
        <v>0</v>
      </c>
      <c r="R2492">
        <f>HLOOKUP("CPUs",'vInfo (Imported)'!$1:$5000,M2492,FALSE)</f>
        <v>0</v>
      </c>
      <c r="S2492">
        <f>HLOOKUP("Memory",'vInfo (Imported)'!$1:$5000,M2492,FALSE)</f>
        <v>0</v>
      </c>
      <c r="T2492">
        <f>HLOOKUP("Provisioned MiB",'vInfo (Imported)'!$1:$5000,M2492,FALSE)</f>
        <v>0</v>
      </c>
      <c r="U2492">
        <f t="shared" si="115"/>
        <v>0</v>
      </c>
      <c r="V2492">
        <f>HLOOKUP("In Use MiB",'vInfo (Imported)'!$1:$5000,M2492,FALSE)</f>
        <v>0</v>
      </c>
    </row>
    <row r="2493" spans="1:22" ht="13" x14ac:dyDescent="0.3">
      <c r="A2493" s="46">
        <f>'vHosts (Imported)'!A2493</f>
        <v>0</v>
      </c>
      <c r="B2493" s="51">
        <f t="shared" si="117"/>
        <v>4968</v>
      </c>
      <c r="C2493" s="49">
        <f>HLOOKUP("# Cores",'vHosts (Imported)'!$1:$5000,M2493,FALSE)</f>
        <v>0</v>
      </c>
      <c r="D2493" s="52">
        <f>HLOOKUP("# Memory",'vHosts (Imported)'!$1:$5000,M2493,FALSE)</f>
        <v>0</v>
      </c>
      <c r="M2493" s="45">
        <f t="shared" si="116"/>
        <v>2493</v>
      </c>
      <c r="N2493" s="38">
        <f>HLOOKUP("Host",'vInfo (Imported)'!$1:$5000,M2493,FALSE)</f>
        <v>0</v>
      </c>
      <c r="R2493">
        <f>HLOOKUP("CPUs",'vInfo (Imported)'!$1:$5000,M2493,FALSE)</f>
        <v>0</v>
      </c>
      <c r="S2493">
        <f>HLOOKUP("Memory",'vInfo (Imported)'!$1:$5000,M2493,FALSE)</f>
        <v>0</v>
      </c>
      <c r="T2493">
        <f>HLOOKUP("Provisioned MiB",'vInfo (Imported)'!$1:$5000,M2493,FALSE)</f>
        <v>0</v>
      </c>
      <c r="U2493">
        <f t="shared" si="115"/>
        <v>0</v>
      </c>
      <c r="V2493">
        <f>HLOOKUP("In Use MiB",'vInfo (Imported)'!$1:$5000,M2493,FALSE)</f>
        <v>0</v>
      </c>
    </row>
    <row r="2494" spans="1:22" ht="13" x14ac:dyDescent="0.3">
      <c r="A2494" s="46">
        <f>'vHosts (Imported)'!A2494</f>
        <v>0</v>
      </c>
      <c r="B2494" s="51">
        <f t="shared" si="117"/>
        <v>4968</v>
      </c>
      <c r="C2494" s="49">
        <f>HLOOKUP("# Cores",'vHosts (Imported)'!$1:$5000,M2494,FALSE)</f>
        <v>0</v>
      </c>
      <c r="D2494" s="52">
        <f>HLOOKUP("# Memory",'vHosts (Imported)'!$1:$5000,M2494,FALSE)</f>
        <v>0</v>
      </c>
      <c r="M2494" s="45">
        <f t="shared" si="116"/>
        <v>2494</v>
      </c>
      <c r="N2494" s="38">
        <f>HLOOKUP("Host",'vInfo (Imported)'!$1:$5000,M2494,FALSE)</f>
        <v>0</v>
      </c>
      <c r="R2494">
        <f>HLOOKUP("CPUs",'vInfo (Imported)'!$1:$5000,M2494,FALSE)</f>
        <v>0</v>
      </c>
      <c r="S2494">
        <f>HLOOKUP("Memory",'vInfo (Imported)'!$1:$5000,M2494,FALSE)</f>
        <v>0</v>
      </c>
      <c r="T2494">
        <f>HLOOKUP("Provisioned MiB",'vInfo (Imported)'!$1:$5000,M2494,FALSE)</f>
        <v>0</v>
      </c>
      <c r="U2494">
        <f t="shared" si="115"/>
        <v>0</v>
      </c>
      <c r="V2494">
        <f>HLOOKUP("In Use MiB",'vInfo (Imported)'!$1:$5000,M2494,FALSE)</f>
        <v>0</v>
      </c>
    </row>
    <row r="2495" spans="1:22" ht="13" x14ac:dyDescent="0.3">
      <c r="A2495" s="46">
        <f>'vHosts (Imported)'!A2495</f>
        <v>0</v>
      </c>
      <c r="B2495" s="51">
        <f t="shared" si="117"/>
        <v>4968</v>
      </c>
      <c r="C2495" s="49">
        <f>HLOOKUP("# Cores",'vHosts (Imported)'!$1:$5000,M2495,FALSE)</f>
        <v>0</v>
      </c>
      <c r="D2495" s="52">
        <f>HLOOKUP("# Memory",'vHosts (Imported)'!$1:$5000,M2495,FALSE)</f>
        <v>0</v>
      </c>
      <c r="M2495" s="45">
        <f t="shared" si="116"/>
        <v>2495</v>
      </c>
      <c r="N2495" s="38">
        <f>HLOOKUP("Host",'vInfo (Imported)'!$1:$5000,M2495,FALSE)</f>
        <v>0</v>
      </c>
      <c r="R2495">
        <f>HLOOKUP("CPUs",'vInfo (Imported)'!$1:$5000,M2495,FALSE)</f>
        <v>0</v>
      </c>
      <c r="S2495">
        <f>HLOOKUP("Memory",'vInfo (Imported)'!$1:$5000,M2495,FALSE)</f>
        <v>0</v>
      </c>
      <c r="T2495">
        <f>HLOOKUP("Provisioned MiB",'vInfo (Imported)'!$1:$5000,M2495,FALSE)</f>
        <v>0</v>
      </c>
      <c r="U2495">
        <f t="shared" si="115"/>
        <v>0</v>
      </c>
      <c r="V2495">
        <f>HLOOKUP("In Use MiB",'vInfo (Imported)'!$1:$5000,M2495,FALSE)</f>
        <v>0</v>
      </c>
    </row>
    <row r="2496" spans="1:22" ht="13" x14ac:dyDescent="0.3">
      <c r="A2496" s="46">
        <f>'vHosts (Imported)'!A2496</f>
        <v>0</v>
      </c>
      <c r="B2496" s="51">
        <f t="shared" si="117"/>
        <v>4968</v>
      </c>
      <c r="C2496" s="49">
        <f>HLOOKUP("# Cores",'vHosts (Imported)'!$1:$5000,M2496,FALSE)</f>
        <v>0</v>
      </c>
      <c r="D2496" s="52">
        <f>HLOOKUP("# Memory",'vHosts (Imported)'!$1:$5000,M2496,FALSE)</f>
        <v>0</v>
      </c>
      <c r="M2496" s="45">
        <f t="shared" si="116"/>
        <v>2496</v>
      </c>
      <c r="N2496" s="38">
        <f>HLOOKUP("Host",'vInfo (Imported)'!$1:$5000,M2496,FALSE)</f>
        <v>0</v>
      </c>
      <c r="R2496">
        <f>HLOOKUP("CPUs",'vInfo (Imported)'!$1:$5000,M2496,FALSE)</f>
        <v>0</v>
      </c>
      <c r="S2496">
        <f>HLOOKUP("Memory",'vInfo (Imported)'!$1:$5000,M2496,FALSE)</f>
        <v>0</v>
      </c>
      <c r="T2496">
        <f>HLOOKUP("Provisioned MiB",'vInfo (Imported)'!$1:$5000,M2496,FALSE)</f>
        <v>0</v>
      </c>
      <c r="U2496">
        <f t="shared" si="115"/>
        <v>0</v>
      </c>
      <c r="V2496">
        <f>HLOOKUP("In Use MiB",'vInfo (Imported)'!$1:$5000,M2496,FALSE)</f>
        <v>0</v>
      </c>
    </row>
    <row r="2497" spans="1:22" ht="13" x14ac:dyDescent="0.3">
      <c r="A2497" s="46">
        <f>'vHosts (Imported)'!A2497</f>
        <v>0</v>
      </c>
      <c r="B2497" s="51">
        <f t="shared" si="117"/>
        <v>4968</v>
      </c>
      <c r="C2497" s="49">
        <f>HLOOKUP("# Cores",'vHosts (Imported)'!$1:$5000,M2497,FALSE)</f>
        <v>0</v>
      </c>
      <c r="D2497" s="52">
        <f>HLOOKUP("# Memory",'vHosts (Imported)'!$1:$5000,M2497,FALSE)</f>
        <v>0</v>
      </c>
      <c r="M2497" s="45">
        <f t="shared" si="116"/>
        <v>2497</v>
      </c>
      <c r="N2497" s="38">
        <f>HLOOKUP("Host",'vInfo (Imported)'!$1:$5000,M2497,FALSE)</f>
        <v>0</v>
      </c>
      <c r="R2497">
        <f>HLOOKUP("CPUs",'vInfo (Imported)'!$1:$5000,M2497,FALSE)</f>
        <v>0</v>
      </c>
      <c r="S2497">
        <f>HLOOKUP("Memory",'vInfo (Imported)'!$1:$5000,M2497,FALSE)</f>
        <v>0</v>
      </c>
      <c r="T2497">
        <f>HLOOKUP("Provisioned MiB",'vInfo (Imported)'!$1:$5000,M2497,FALSE)</f>
        <v>0</v>
      </c>
      <c r="U2497">
        <f t="shared" si="115"/>
        <v>0</v>
      </c>
      <c r="V2497">
        <f>HLOOKUP("In Use MiB",'vInfo (Imported)'!$1:$5000,M2497,FALSE)</f>
        <v>0</v>
      </c>
    </row>
    <row r="2498" spans="1:22" ht="13" x14ac:dyDescent="0.3">
      <c r="A2498" s="46">
        <f>'vHosts (Imported)'!A2498</f>
        <v>0</v>
      </c>
      <c r="B2498" s="51">
        <f t="shared" si="117"/>
        <v>4968</v>
      </c>
      <c r="C2498" s="49">
        <f>HLOOKUP("# Cores",'vHosts (Imported)'!$1:$5000,M2498,FALSE)</f>
        <v>0</v>
      </c>
      <c r="D2498" s="52">
        <f>HLOOKUP("# Memory",'vHosts (Imported)'!$1:$5000,M2498,FALSE)</f>
        <v>0</v>
      </c>
      <c r="M2498" s="45">
        <f t="shared" si="116"/>
        <v>2498</v>
      </c>
      <c r="N2498" s="38">
        <f>HLOOKUP("Host",'vInfo (Imported)'!$1:$5000,M2498,FALSE)</f>
        <v>0</v>
      </c>
      <c r="R2498">
        <f>HLOOKUP("CPUs",'vInfo (Imported)'!$1:$5000,M2498,FALSE)</f>
        <v>0</v>
      </c>
      <c r="S2498">
        <f>HLOOKUP("Memory",'vInfo (Imported)'!$1:$5000,M2498,FALSE)</f>
        <v>0</v>
      </c>
      <c r="T2498">
        <f>HLOOKUP("Provisioned MiB",'vInfo (Imported)'!$1:$5000,M2498,FALSE)</f>
        <v>0</v>
      </c>
      <c r="U2498">
        <f t="shared" si="115"/>
        <v>0</v>
      </c>
      <c r="V2498">
        <f>HLOOKUP("In Use MiB",'vInfo (Imported)'!$1:$5000,M2498,FALSE)</f>
        <v>0</v>
      </c>
    </row>
    <row r="2499" spans="1:22" ht="13" x14ac:dyDescent="0.3">
      <c r="A2499" s="46">
        <f>'vHosts (Imported)'!A2499</f>
        <v>0</v>
      </c>
      <c r="B2499" s="51">
        <f t="shared" si="117"/>
        <v>4968</v>
      </c>
      <c r="C2499" s="49">
        <f>HLOOKUP("# Cores",'vHosts (Imported)'!$1:$5000,M2499,FALSE)</f>
        <v>0</v>
      </c>
      <c r="D2499" s="52">
        <f>HLOOKUP("# Memory",'vHosts (Imported)'!$1:$5000,M2499,FALSE)</f>
        <v>0</v>
      </c>
      <c r="M2499" s="45">
        <f t="shared" si="116"/>
        <v>2499</v>
      </c>
      <c r="N2499" s="38">
        <f>HLOOKUP("Host",'vInfo (Imported)'!$1:$5000,M2499,FALSE)</f>
        <v>0</v>
      </c>
      <c r="R2499">
        <f>HLOOKUP("CPUs",'vInfo (Imported)'!$1:$5000,M2499,FALSE)</f>
        <v>0</v>
      </c>
      <c r="S2499">
        <f>HLOOKUP("Memory",'vInfo (Imported)'!$1:$5000,M2499,FALSE)</f>
        <v>0</v>
      </c>
      <c r="T2499">
        <f>HLOOKUP("Provisioned MiB",'vInfo (Imported)'!$1:$5000,M2499,FALSE)</f>
        <v>0</v>
      </c>
      <c r="U2499">
        <f t="shared" ref="U2499:U2562" si="118">T2499-V2499</f>
        <v>0</v>
      </c>
      <c r="V2499">
        <f>HLOOKUP("In Use MiB",'vInfo (Imported)'!$1:$5000,M2499,FALSE)</f>
        <v>0</v>
      </c>
    </row>
    <row r="2500" spans="1:22" ht="13" x14ac:dyDescent="0.3">
      <c r="A2500" s="46">
        <f>'vHosts (Imported)'!A2500</f>
        <v>0</v>
      </c>
      <c r="B2500" s="51">
        <f t="shared" si="117"/>
        <v>4968</v>
      </c>
      <c r="C2500" s="49">
        <f>HLOOKUP("# Cores",'vHosts (Imported)'!$1:$5000,M2500,FALSE)</f>
        <v>0</v>
      </c>
      <c r="D2500" s="52">
        <f>HLOOKUP("# Memory",'vHosts (Imported)'!$1:$5000,M2500,FALSE)</f>
        <v>0</v>
      </c>
      <c r="M2500" s="45">
        <f t="shared" ref="M2500:M2563" si="119">M2499+1</f>
        <v>2500</v>
      </c>
      <c r="N2500" s="38">
        <f>HLOOKUP("Host",'vInfo (Imported)'!$1:$5000,M2500,FALSE)</f>
        <v>0</v>
      </c>
      <c r="R2500">
        <f>HLOOKUP("CPUs",'vInfo (Imported)'!$1:$5000,M2500,FALSE)</f>
        <v>0</v>
      </c>
      <c r="S2500">
        <f>HLOOKUP("Memory",'vInfo (Imported)'!$1:$5000,M2500,FALSE)</f>
        <v>0</v>
      </c>
      <c r="T2500">
        <f>HLOOKUP("Provisioned MiB",'vInfo (Imported)'!$1:$5000,M2500,FALSE)</f>
        <v>0</v>
      </c>
      <c r="U2500">
        <f t="shared" si="118"/>
        <v>0</v>
      </c>
      <c r="V2500">
        <f>HLOOKUP("In Use MiB",'vInfo (Imported)'!$1:$5000,M2500,FALSE)</f>
        <v>0</v>
      </c>
    </row>
    <row r="2501" spans="1:22" ht="13" x14ac:dyDescent="0.3">
      <c r="A2501" s="46">
        <f>'vHosts (Imported)'!A2501</f>
        <v>0</v>
      </c>
      <c r="B2501" s="51">
        <f t="shared" si="117"/>
        <v>4968</v>
      </c>
      <c r="C2501" s="49">
        <f>HLOOKUP("# Cores",'vHosts (Imported)'!$1:$5000,M2501,FALSE)</f>
        <v>0</v>
      </c>
      <c r="D2501" s="52">
        <f>HLOOKUP("# Memory",'vHosts (Imported)'!$1:$5000,M2501,FALSE)</f>
        <v>0</v>
      </c>
      <c r="M2501" s="45">
        <f t="shared" si="119"/>
        <v>2501</v>
      </c>
      <c r="N2501" s="38">
        <f>HLOOKUP("Host",'vInfo (Imported)'!$1:$5000,M2501,FALSE)</f>
        <v>0</v>
      </c>
      <c r="R2501">
        <f>HLOOKUP("CPUs",'vInfo (Imported)'!$1:$5000,M2501,FALSE)</f>
        <v>0</v>
      </c>
      <c r="S2501">
        <f>HLOOKUP("Memory",'vInfo (Imported)'!$1:$5000,M2501,FALSE)</f>
        <v>0</v>
      </c>
      <c r="T2501">
        <f>HLOOKUP("Provisioned MiB",'vInfo (Imported)'!$1:$5000,M2501,FALSE)</f>
        <v>0</v>
      </c>
      <c r="U2501">
        <f t="shared" si="118"/>
        <v>0</v>
      </c>
      <c r="V2501">
        <f>HLOOKUP("In Use MiB",'vInfo (Imported)'!$1:$5000,M2501,FALSE)</f>
        <v>0</v>
      </c>
    </row>
    <row r="2502" spans="1:22" ht="13" x14ac:dyDescent="0.3">
      <c r="A2502" s="46">
        <f>'vHosts (Imported)'!A2502</f>
        <v>0</v>
      </c>
      <c r="B2502" s="51">
        <f t="shared" si="117"/>
        <v>4968</v>
      </c>
      <c r="C2502" s="49">
        <f>HLOOKUP("# Cores",'vHosts (Imported)'!$1:$5000,M2502,FALSE)</f>
        <v>0</v>
      </c>
      <c r="D2502" s="52">
        <f>HLOOKUP("# Memory",'vHosts (Imported)'!$1:$5000,M2502,FALSE)</f>
        <v>0</v>
      </c>
      <c r="M2502" s="45">
        <f t="shared" si="119"/>
        <v>2502</v>
      </c>
      <c r="N2502" s="38">
        <f>HLOOKUP("Host",'vInfo (Imported)'!$1:$5000,M2502,FALSE)</f>
        <v>0</v>
      </c>
      <c r="R2502">
        <f>HLOOKUP("CPUs",'vInfo (Imported)'!$1:$5000,M2502,FALSE)</f>
        <v>0</v>
      </c>
      <c r="S2502">
        <f>HLOOKUP("Memory",'vInfo (Imported)'!$1:$5000,M2502,FALSE)</f>
        <v>0</v>
      </c>
      <c r="T2502">
        <f>HLOOKUP("Provisioned MiB",'vInfo (Imported)'!$1:$5000,M2502,FALSE)</f>
        <v>0</v>
      </c>
      <c r="U2502">
        <f t="shared" si="118"/>
        <v>0</v>
      </c>
      <c r="V2502">
        <f>HLOOKUP("In Use MiB",'vInfo (Imported)'!$1:$5000,M2502,FALSE)</f>
        <v>0</v>
      </c>
    </row>
    <row r="2503" spans="1:22" ht="13" x14ac:dyDescent="0.3">
      <c r="A2503" s="46">
        <f>'vHosts (Imported)'!A2503</f>
        <v>0</v>
      </c>
      <c r="B2503" s="51">
        <f t="shared" si="117"/>
        <v>4968</v>
      </c>
      <c r="C2503" s="49">
        <f>HLOOKUP("# Cores",'vHosts (Imported)'!$1:$5000,M2503,FALSE)</f>
        <v>0</v>
      </c>
      <c r="D2503" s="52">
        <f>HLOOKUP("# Memory",'vHosts (Imported)'!$1:$5000,M2503,FALSE)</f>
        <v>0</v>
      </c>
      <c r="M2503" s="45">
        <f t="shared" si="119"/>
        <v>2503</v>
      </c>
      <c r="N2503" s="38">
        <f>HLOOKUP("Host",'vInfo (Imported)'!$1:$5000,M2503,FALSE)</f>
        <v>0</v>
      </c>
      <c r="R2503">
        <f>HLOOKUP("CPUs",'vInfo (Imported)'!$1:$5000,M2503,FALSE)</f>
        <v>0</v>
      </c>
      <c r="S2503">
        <f>HLOOKUP("Memory",'vInfo (Imported)'!$1:$5000,M2503,FALSE)</f>
        <v>0</v>
      </c>
      <c r="T2503">
        <f>HLOOKUP("Provisioned MiB",'vInfo (Imported)'!$1:$5000,M2503,FALSE)</f>
        <v>0</v>
      </c>
      <c r="U2503">
        <f t="shared" si="118"/>
        <v>0</v>
      </c>
      <c r="V2503">
        <f>HLOOKUP("In Use MiB",'vInfo (Imported)'!$1:$5000,M2503,FALSE)</f>
        <v>0</v>
      </c>
    </row>
    <row r="2504" spans="1:22" ht="13" x14ac:dyDescent="0.3">
      <c r="A2504" s="46">
        <f>'vHosts (Imported)'!A2504</f>
        <v>0</v>
      </c>
      <c r="B2504" s="51">
        <f t="shared" si="117"/>
        <v>4968</v>
      </c>
      <c r="C2504" s="49">
        <f>HLOOKUP("# Cores",'vHosts (Imported)'!$1:$5000,M2504,FALSE)</f>
        <v>0</v>
      </c>
      <c r="D2504" s="52">
        <f>HLOOKUP("# Memory",'vHosts (Imported)'!$1:$5000,M2504,FALSE)</f>
        <v>0</v>
      </c>
      <c r="M2504" s="45">
        <f t="shared" si="119"/>
        <v>2504</v>
      </c>
      <c r="N2504" s="38">
        <f>HLOOKUP("Host",'vInfo (Imported)'!$1:$5000,M2504,FALSE)</f>
        <v>0</v>
      </c>
      <c r="R2504">
        <f>HLOOKUP("CPUs",'vInfo (Imported)'!$1:$5000,M2504,FALSE)</f>
        <v>0</v>
      </c>
      <c r="S2504">
        <f>HLOOKUP("Memory",'vInfo (Imported)'!$1:$5000,M2504,FALSE)</f>
        <v>0</v>
      </c>
      <c r="T2504">
        <f>HLOOKUP("Provisioned MiB",'vInfo (Imported)'!$1:$5000,M2504,FALSE)</f>
        <v>0</v>
      </c>
      <c r="U2504">
        <f t="shared" si="118"/>
        <v>0</v>
      </c>
      <c r="V2504">
        <f>HLOOKUP("In Use MiB",'vInfo (Imported)'!$1:$5000,M2504,FALSE)</f>
        <v>0</v>
      </c>
    </row>
    <row r="2505" spans="1:22" ht="13" x14ac:dyDescent="0.3">
      <c r="A2505" s="46">
        <f>'vHosts (Imported)'!A2505</f>
        <v>0</v>
      </c>
      <c r="B2505" s="51">
        <f t="shared" si="117"/>
        <v>4968</v>
      </c>
      <c r="C2505" s="49">
        <f>HLOOKUP("# Cores",'vHosts (Imported)'!$1:$5000,M2505,FALSE)</f>
        <v>0</v>
      </c>
      <c r="D2505" s="52">
        <f>HLOOKUP("# Memory",'vHosts (Imported)'!$1:$5000,M2505,FALSE)</f>
        <v>0</v>
      </c>
      <c r="M2505" s="45">
        <f t="shared" si="119"/>
        <v>2505</v>
      </c>
      <c r="N2505" s="38">
        <f>HLOOKUP("Host",'vInfo (Imported)'!$1:$5000,M2505,FALSE)</f>
        <v>0</v>
      </c>
      <c r="R2505">
        <f>HLOOKUP("CPUs",'vInfo (Imported)'!$1:$5000,M2505,FALSE)</f>
        <v>0</v>
      </c>
      <c r="S2505">
        <f>HLOOKUP("Memory",'vInfo (Imported)'!$1:$5000,M2505,FALSE)</f>
        <v>0</v>
      </c>
      <c r="T2505">
        <f>HLOOKUP("Provisioned MiB",'vInfo (Imported)'!$1:$5000,M2505,FALSE)</f>
        <v>0</v>
      </c>
      <c r="U2505">
        <f t="shared" si="118"/>
        <v>0</v>
      </c>
      <c r="V2505">
        <f>HLOOKUP("In Use MiB",'vInfo (Imported)'!$1:$5000,M2505,FALSE)</f>
        <v>0</v>
      </c>
    </row>
    <row r="2506" spans="1:22" ht="13" x14ac:dyDescent="0.3">
      <c r="A2506" s="46">
        <f>'vHosts (Imported)'!A2506</f>
        <v>0</v>
      </c>
      <c r="B2506" s="51">
        <f t="shared" si="117"/>
        <v>4968</v>
      </c>
      <c r="C2506" s="49">
        <f>HLOOKUP("# Cores",'vHosts (Imported)'!$1:$5000,M2506,FALSE)</f>
        <v>0</v>
      </c>
      <c r="D2506" s="52">
        <f>HLOOKUP("# Memory",'vHosts (Imported)'!$1:$5000,M2506,FALSE)</f>
        <v>0</v>
      </c>
      <c r="M2506" s="45">
        <f t="shared" si="119"/>
        <v>2506</v>
      </c>
      <c r="N2506" s="38">
        <f>HLOOKUP("Host",'vInfo (Imported)'!$1:$5000,M2506,FALSE)</f>
        <v>0</v>
      </c>
      <c r="R2506">
        <f>HLOOKUP("CPUs",'vInfo (Imported)'!$1:$5000,M2506,FALSE)</f>
        <v>0</v>
      </c>
      <c r="S2506">
        <f>HLOOKUP("Memory",'vInfo (Imported)'!$1:$5000,M2506,FALSE)</f>
        <v>0</v>
      </c>
      <c r="T2506">
        <f>HLOOKUP("Provisioned MiB",'vInfo (Imported)'!$1:$5000,M2506,FALSE)</f>
        <v>0</v>
      </c>
      <c r="U2506">
        <f t="shared" si="118"/>
        <v>0</v>
      </c>
      <c r="V2506">
        <f>HLOOKUP("In Use MiB",'vInfo (Imported)'!$1:$5000,M2506,FALSE)</f>
        <v>0</v>
      </c>
    </row>
    <row r="2507" spans="1:22" ht="13" x14ac:dyDescent="0.3">
      <c r="A2507" s="46">
        <f>'vHosts (Imported)'!A2507</f>
        <v>0</v>
      </c>
      <c r="B2507" s="51">
        <f t="shared" si="117"/>
        <v>4968</v>
      </c>
      <c r="C2507" s="49">
        <f>HLOOKUP("# Cores",'vHosts (Imported)'!$1:$5000,M2507,FALSE)</f>
        <v>0</v>
      </c>
      <c r="D2507" s="52">
        <f>HLOOKUP("# Memory",'vHosts (Imported)'!$1:$5000,M2507,FALSE)</f>
        <v>0</v>
      </c>
      <c r="M2507" s="45">
        <f t="shared" si="119"/>
        <v>2507</v>
      </c>
      <c r="N2507" s="38">
        <f>HLOOKUP("Host",'vInfo (Imported)'!$1:$5000,M2507,FALSE)</f>
        <v>0</v>
      </c>
      <c r="R2507">
        <f>HLOOKUP("CPUs",'vInfo (Imported)'!$1:$5000,M2507,FALSE)</f>
        <v>0</v>
      </c>
      <c r="S2507">
        <f>HLOOKUP("Memory",'vInfo (Imported)'!$1:$5000,M2507,FALSE)</f>
        <v>0</v>
      </c>
      <c r="T2507">
        <f>HLOOKUP("Provisioned MiB",'vInfo (Imported)'!$1:$5000,M2507,FALSE)</f>
        <v>0</v>
      </c>
      <c r="U2507">
        <f t="shared" si="118"/>
        <v>0</v>
      </c>
      <c r="V2507">
        <f>HLOOKUP("In Use MiB",'vInfo (Imported)'!$1:$5000,M2507,FALSE)</f>
        <v>0</v>
      </c>
    </row>
    <row r="2508" spans="1:22" ht="13" x14ac:dyDescent="0.3">
      <c r="A2508" s="46">
        <f>'vHosts (Imported)'!A2508</f>
        <v>0</v>
      </c>
      <c r="B2508" s="51">
        <f t="shared" si="117"/>
        <v>4968</v>
      </c>
      <c r="C2508" s="49">
        <f>HLOOKUP("# Cores",'vHosts (Imported)'!$1:$5000,M2508,FALSE)</f>
        <v>0</v>
      </c>
      <c r="D2508" s="52">
        <f>HLOOKUP("# Memory",'vHosts (Imported)'!$1:$5000,M2508,FALSE)</f>
        <v>0</v>
      </c>
      <c r="M2508" s="45">
        <f t="shared" si="119"/>
        <v>2508</v>
      </c>
      <c r="N2508" s="38">
        <f>HLOOKUP("Host",'vInfo (Imported)'!$1:$5000,M2508,FALSE)</f>
        <v>0</v>
      </c>
      <c r="R2508">
        <f>HLOOKUP("CPUs",'vInfo (Imported)'!$1:$5000,M2508,FALSE)</f>
        <v>0</v>
      </c>
      <c r="S2508">
        <f>HLOOKUP("Memory",'vInfo (Imported)'!$1:$5000,M2508,FALSE)</f>
        <v>0</v>
      </c>
      <c r="T2508">
        <f>HLOOKUP("Provisioned MiB",'vInfo (Imported)'!$1:$5000,M2508,FALSE)</f>
        <v>0</v>
      </c>
      <c r="U2508">
        <f t="shared" si="118"/>
        <v>0</v>
      </c>
      <c r="V2508">
        <f>HLOOKUP("In Use MiB",'vInfo (Imported)'!$1:$5000,M2508,FALSE)</f>
        <v>0</v>
      </c>
    </row>
    <row r="2509" spans="1:22" ht="13" x14ac:dyDescent="0.3">
      <c r="A2509" s="46">
        <f>'vHosts (Imported)'!A2509</f>
        <v>0</v>
      </c>
      <c r="B2509" s="51">
        <f t="shared" si="117"/>
        <v>4968</v>
      </c>
      <c r="C2509" s="49">
        <f>HLOOKUP("# Cores",'vHosts (Imported)'!$1:$5000,M2509,FALSE)</f>
        <v>0</v>
      </c>
      <c r="D2509" s="52">
        <f>HLOOKUP("# Memory",'vHosts (Imported)'!$1:$5000,M2509,FALSE)</f>
        <v>0</v>
      </c>
      <c r="M2509" s="45">
        <f t="shared" si="119"/>
        <v>2509</v>
      </c>
      <c r="N2509" s="38">
        <f>HLOOKUP("Host",'vInfo (Imported)'!$1:$5000,M2509,FALSE)</f>
        <v>0</v>
      </c>
      <c r="R2509">
        <f>HLOOKUP("CPUs",'vInfo (Imported)'!$1:$5000,M2509,FALSE)</f>
        <v>0</v>
      </c>
      <c r="S2509">
        <f>HLOOKUP("Memory",'vInfo (Imported)'!$1:$5000,M2509,FALSE)</f>
        <v>0</v>
      </c>
      <c r="T2509">
        <f>HLOOKUP("Provisioned MiB",'vInfo (Imported)'!$1:$5000,M2509,FALSE)</f>
        <v>0</v>
      </c>
      <c r="U2509">
        <f t="shared" si="118"/>
        <v>0</v>
      </c>
      <c r="V2509">
        <f>HLOOKUP("In Use MiB",'vInfo (Imported)'!$1:$5000,M2509,FALSE)</f>
        <v>0</v>
      </c>
    </row>
    <row r="2510" spans="1:22" ht="13" x14ac:dyDescent="0.3">
      <c r="A2510" s="46">
        <f>'vHosts (Imported)'!A2510</f>
        <v>0</v>
      </c>
      <c r="B2510" s="51">
        <f t="shared" si="117"/>
        <v>4968</v>
      </c>
      <c r="C2510" s="49">
        <f>HLOOKUP("# Cores",'vHosts (Imported)'!$1:$5000,M2510,FALSE)</f>
        <v>0</v>
      </c>
      <c r="D2510" s="52">
        <f>HLOOKUP("# Memory",'vHosts (Imported)'!$1:$5000,M2510,FALSE)</f>
        <v>0</v>
      </c>
      <c r="M2510" s="45">
        <f t="shared" si="119"/>
        <v>2510</v>
      </c>
      <c r="N2510" s="38">
        <f>HLOOKUP("Host",'vInfo (Imported)'!$1:$5000,M2510,FALSE)</f>
        <v>0</v>
      </c>
      <c r="R2510">
        <f>HLOOKUP("CPUs",'vInfo (Imported)'!$1:$5000,M2510,FALSE)</f>
        <v>0</v>
      </c>
      <c r="S2510">
        <f>HLOOKUP("Memory",'vInfo (Imported)'!$1:$5000,M2510,FALSE)</f>
        <v>0</v>
      </c>
      <c r="T2510">
        <f>HLOOKUP("Provisioned MiB",'vInfo (Imported)'!$1:$5000,M2510,FALSE)</f>
        <v>0</v>
      </c>
      <c r="U2510">
        <f t="shared" si="118"/>
        <v>0</v>
      </c>
      <c r="V2510">
        <f>HLOOKUP("In Use MiB",'vInfo (Imported)'!$1:$5000,M2510,FALSE)</f>
        <v>0</v>
      </c>
    </row>
    <row r="2511" spans="1:22" ht="13" x14ac:dyDescent="0.3">
      <c r="A2511" s="46">
        <f>'vHosts (Imported)'!A2511</f>
        <v>0</v>
      </c>
      <c r="B2511" s="51">
        <f t="shared" si="117"/>
        <v>4968</v>
      </c>
      <c r="C2511" s="49">
        <f>HLOOKUP("# Cores",'vHosts (Imported)'!$1:$5000,M2511,FALSE)</f>
        <v>0</v>
      </c>
      <c r="D2511" s="52">
        <f>HLOOKUP("# Memory",'vHosts (Imported)'!$1:$5000,M2511,FALSE)</f>
        <v>0</v>
      </c>
      <c r="M2511" s="45">
        <f t="shared" si="119"/>
        <v>2511</v>
      </c>
      <c r="N2511" s="38">
        <f>HLOOKUP("Host",'vInfo (Imported)'!$1:$5000,M2511,FALSE)</f>
        <v>0</v>
      </c>
      <c r="R2511">
        <f>HLOOKUP("CPUs",'vInfo (Imported)'!$1:$5000,M2511,FALSE)</f>
        <v>0</v>
      </c>
      <c r="S2511">
        <f>HLOOKUP("Memory",'vInfo (Imported)'!$1:$5000,M2511,FALSE)</f>
        <v>0</v>
      </c>
      <c r="T2511">
        <f>HLOOKUP("Provisioned MiB",'vInfo (Imported)'!$1:$5000,M2511,FALSE)</f>
        <v>0</v>
      </c>
      <c r="U2511">
        <f t="shared" si="118"/>
        <v>0</v>
      </c>
      <c r="V2511">
        <f>HLOOKUP("In Use MiB",'vInfo (Imported)'!$1:$5000,M2511,FALSE)</f>
        <v>0</v>
      </c>
    </row>
    <row r="2512" spans="1:22" ht="13" x14ac:dyDescent="0.3">
      <c r="A2512" s="46">
        <f>'vHosts (Imported)'!A2512</f>
        <v>0</v>
      </c>
      <c r="B2512" s="51">
        <f t="shared" si="117"/>
        <v>4968</v>
      </c>
      <c r="C2512" s="49">
        <f>HLOOKUP("# Cores",'vHosts (Imported)'!$1:$5000,M2512,FALSE)</f>
        <v>0</v>
      </c>
      <c r="D2512" s="52">
        <f>HLOOKUP("# Memory",'vHosts (Imported)'!$1:$5000,M2512,FALSE)</f>
        <v>0</v>
      </c>
      <c r="M2512" s="45">
        <f t="shared" si="119"/>
        <v>2512</v>
      </c>
      <c r="N2512" s="38">
        <f>HLOOKUP("Host",'vInfo (Imported)'!$1:$5000,M2512,FALSE)</f>
        <v>0</v>
      </c>
      <c r="R2512">
        <f>HLOOKUP("CPUs",'vInfo (Imported)'!$1:$5000,M2512,FALSE)</f>
        <v>0</v>
      </c>
      <c r="S2512">
        <f>HLOOKUP("Memory",'vInfo (Imported)'!$1:$5000,M2512,FALSE)</f>
        <v>0</v>
      </c>
      <c r="T2512">
        <f>HLOOKUP("Provisioned MiB",'vInfo (Imported)'!$1:$5000,M2512,FALSE)</f>
        <v>0</v>
      </c>
      <c r="U2512">
        <f t="shared" si="118"/>
        <v>0</v>
      </c>
      <c r="V2512">
        <f>HLOOKUP("In Use MiB",'vInfo (Imported)'!$1:$5000,M2512,FALSE)</f>
        <v>0</v>
      </c>
    </row>
    <row r="2513" spans="1:22" ht="13" x14ac:dyDescent="0.3">
      <c r="A2513" s="46">
        <f>'vHosts (Imported)'!A2513</f>
        <v>0</v>
      </c>
      <c r="B2513" s="51">
        <f t="shared" si="117"/>
        <v>4968</v>
      </c>
      <c r="C2513" s="49">
        <f>HLOOKUP("# Cores",'vHosts (Imported)'!$1:$5000,M2513,FALSE)</f>
        <v>0</v>
      </c>
      <c r="D2513" s="52">
        <f>HLOOKUP("# Memory",'vHosts (Imported)'!$1:$5000,M2513,FALSE)</f>
        <v>0</v>
      </c>
      <c r="M2513" s="45">
        <f t="shared" si="119"/>
        <v>2513</v>
      </c>
      <c r="N2513" s="38">
        <f>HLOOKUP("Host",'vInfo (Imported)'!$1:$5000,M2513,FALSE)</f>
        <v>0</v>
      </c>
      <c r="R2513">
        <f>HLOOKUP("CPUs",'vInfo (Imported)'!$1:$5000,M2513,FALSE)</f>
        <v>0</v>
      </c>
      <c r="S2513">
        <f>HLOOKUP("Memory",'vInfo (Imported)'!$1:$5000,M2513,FALSE)</f>
        <v>0</v>
      </c>
      <c r="T2513">
        <f>HLOOKUP("Provisioned MiB",'vInfo (Imported)'!$1:$5000,M2513,FALSE)</f>
        <v>0</v>
      </c>
      <c r="U2513">
        <f t="shared" si="118"/>
        <v>0</v>
      </c>
      <c r="V2513">
        <f>HLOOKUP("In Use MiB",'vInfo (Imported)'!$1:$5000,M2513,FALSE)</f>
        <v>0</v>
      </c>
    </row>
    <row r="2514" spans="1:22" ht="13" x14ac:dyDescent="0.3">
      <c r="A2514" s="46">
        <f>'vHosts (Imported)'!A2514</f>
        <v>0</v>
      </c>
      <c r="B2514" s="51">
        <f t="shared" si="117"/>
        <v>4968</v>
      </c>
      <c r="C2514" s="49">
        <f>HLOOKUP("# Cores",'vHosts (Imported)'!$1:$5000,M2514,FALSE)</f>
        <v>0</v>
      </c>
      <c r="D2514" s="52">
        <f>HLOOKUP("# Memory",'vHosts (Imported)'!$1:$5000,M2514,FALSE)</f>
        <v>0</v>
      </c>
      <c r="M2514" s="45">
        <f t="shared" si="119"/>
        <v>2514</v>
      </c>
      <c r="N2514" s="38">
        <f>HLOOKUP("Host",'vInfo (Imported)'!$1:$5000,M2514,FALSE)</f>
        <v>0</v>
      </c>
      <c r="R2514">
        <f>HLOOKUP("CPUs",'vInfo (Imported)'!$1:$5000,M2514,FALSE)</f>
        <v>0</v>
      </c>
      <c r="S2514">
        <f>HLOOKUP("Memory",'vInfo (Imported)'!$1:$5000,M2514,FALSE)</f>
        <v>0</v>
      </c>
      <c r="T2514">
        <f>HLOOKUP("Provisioned MiB",'vInfo (Imported)'!$1:$5000,M2514,FALSE)</f>
        <v>0</v>
      </c>
      <c r="U2514">
        <f t="shared" si="118"/>
        <v>0</v>
      </c>
      <c r="V2514">
        <f>HLOOKUP("In Use MiB",'vInfo (Imported)'!$1:$5000,M2514,FALSE)</f>
        <v>0</v>
      </c>
    </row>
    <row r="2515" spans="1:22" ht="13" x14ac:dyDescent="0.3">
      <c r="A2515" s="46">
        <f>'vHosts (Imported)'!A2515</f>
        <v>0</v>
      </c>
      <c r="B2515" s="51">
        <f t="shared" si="117"/>
        <v>4968</v>
      </c>
      <c r="C2515" s="49">
        <f>HLOOKUP("# Cores",'vHosts (Imported)'!$1:$5000,M2515,FALSE)</f>
        <v>0</v>
      </c>
      <c r="D2515" s="52">
        <f>HLOOKUP("# Memory",'vHosts (Imported)'!$1:$5000,M2515,FALSE)</f>
        <v>0</v>
      </c>
      <c r="M2515" s="45">
        <f t="shared" si="119"/>
        <v>2515</v>
      </c>
      <c r="N2515" s="38">
        <f>HLOOKUP("Host",'vInfo (Imported)'!$1:$5000,M2515,FALSE)</f>
        <v>0</v>
      </c>
      <c r="R2515">
        <f>HLOOKUP("CPUs",'vInfo (Imported)'!$1:$5000,M2515,FALSE)</f>
        <v>0</v>
      </c>
      <c r="S2515">
        <f>HLOOKUP("Memory",'vInfo (Imported)'!$1:$5000,M2515,FALSE)</f>
        <v>0</v>
      </c>
      <c r="T2515">
        <f>HLOOKUP("Provisioned MiB",'vInfo (Imported)'!$1:$5000,M2515,FALSE)</f>
        <v>0</v>
      </c>
      <c r="U2515">
        <f t="shared" si="118"/>
        <v>0</v>
      </c>
      <c r="V2515">
        <f>HLOOKUP("In Use MiB",'vInfo (Imported)'!$1:$5000,M2515,FALSE)</f>
        <v>0</v>
      </c>
    </row>
    <row r="2516" spans="1:22" ht="13" x14ac:dyDescent="0.3">
      <c r="A2516" s="46">
        <f>'vHosts (Imported)'!A2516</f>
        <v>0</v>
      </c>
      <c r="B2516" s="51">
        <f t="shared" si="117"/>
        <v>4968</v>
      </c>
      <c r="C2516" s="49">
        <f>HLOOKUP("# Cores",'vHosts (Imported)'!$1:$5000,M2516,FALSE)</f>
        <v>0</v>
      </c>
      <c r="D2516" s="52">
        <f>HLOOKUP("# Memory",'vHosts (Imported)'!$1:$5000,M2516,FALSE)</f>
        <v>0</v>
      </c>
      <c r="M2516" s="45">
        <f t="shared" si="119"/>
        <v>2516</v>
      </c>
      <c r="N2516" s="38">
        <f>HLOOKUP("Host",'vInfo (Imported)'!$1:$5000,M2516,FALSE)</f>
        <v>0</v>
      </c>
      <c r="R2516">
        <f>HLOOKUP("CPUs",'vInfo (Imported)'!$1:$5000,M2516,FALSE)</f>
        <v>0</v>
      </c>
      <c r="S2516">
        <f>HLOOKUP("Memory",'vInfo (Imported)'!$1:$5000,M2516,FALSE)</f>
        <v>0</v>
      </c>
      <c r="T2516">
        <f>HLOOKUP("Provisioned MiB",'vInfo (Imported)'!$1:$5000,M2516,FALSE)</f>
        <v>0</v>
      </c>
      <c r="U2516">
        <f t="shared" si="118"/>
        <v>0</v>
      </c>
      <c r="V2516">
        <f>HLOOKUP("In Use MiB",'vInfo (Imported)'!$1:$5000,M2516,FALSE)</f>
        <v>0</v>
      </c>
    </row>
    <row r="2517" spans="1:22" ht="13" x14ac:dyDescent="0.3">
      <c r="A2517" s="46">
        <f>'vHosts (Imported)'!A2517</f>
        <v>0</v>
      </c>
      <c r="B2517" s="51">
        <f t="shared" si="117"/>
        <v>4968</v>
      </c>
      <c r="C2517" s="49">
        <f>HLOOKUP("# Cores",'vHosts (Imported)'!$1:$5000,M2517,FALSE)</f>
        <v>0</v>
      </c>
      <c r="D2517" s="52">
        <f>HLOOKUP("# Memory",'vHosts (Imported)'!$1:$5000,M2517,FALSE)</f>
        <v>0</v>
      </c>
      <c r="M2517" s="45">
        <f t="shared" si="119"/>
        <v>2517</v>
      </c>
      <c r="N2517" s="38">
        <f>HLOOKUP("Host",'vInfo (Imported)'!$1:$5000,M2517,FALSE)</f>
        <v>0</v>
      </c>
      <c r="R2517">
        <f>HLOOKUP("CPUs",'vInfo (Imported)'!$1:$5000,M2517,FALSE)</f>
        <v>0</v>
      </c>
      <c r="S2517">
        <f>HLOOKUP("Memory",'vInfo (Imported)'!$1:$5000,M2517,FALSE)</f>
        <v>0</v>
      </c>
      <c r="T2517">
        <f>HLOOKUP("Provisioned MiB",'vInfo (Imported)'!$1:$5000,M2517,FALSE)</f>
        <v>0</v>
      </c>
      <c r="U2517">
        <f t="shared" si="118"/>
        <v>0</v>
      </c>
      <c r="V2517">
        <f>HLOOKUP("In Use MiB",'vInfo (Imported)'!$1:$5000,M2517,FALSE)</f>
        <v>0</v>
      </c>
    </row>
    <row r="2518" spans="1:22" ht="13" x14ac:dyDescent="0.3">
      <c r="A2518" s="46">
        <f>'vHosts (Imported)'!A2518</f>
        <v>0</v>
      </c>
      <c r="B2518" s="51">
        <f t="shared" si="117"/>
        <v>4968</v>
      </c>
      <c r="C2518" s="49">
        <f>HLOOKUP("# Cores",'vHosts (Imported)'!$1:$5000,M2518,FALSE)</f>
        <v>0</v>
      </c>
      <c r="D2518" s="52">
        <f>HLOOKUP("# Memory",'vHosts (Imported)'!$1:$5000,M2518,FALSE)</f>
        <v>0</v>
      </c>
      <c r="M2518" s="45">
        <f t="shared" si="119"/>
        <v>2518</v>
      </c>
      <c r="N2518" s="38">
        <f>HLOOKUP("Host",'vInfo (Imported)'!$1:$5000,M2518,FALSE)</f>
        <v>0</v>
      </c>
      <c r="R2518">
        <f>HLOOKUP("CPUs",'vInfo (Imported)'!$1:$5000,M2518,FALSE)</f>
        <v>0</v>
      </c>
      <c r="S2518">
        <f>HLOOKUP("Memory",'vInfo (Imported)'!$1:$5000,M2518,FALSE)</f>
        <v>0</v>
      </c>
      <c r="T2518">
        <f>HLOOKUP("Provisioned MiB",'vInfo (Imported)'!$1:$5000,M2518,FALSE)</f>
        <v>0</v>
      </c>
      <c r="U2518">
        <f t="shared" si="118"/>
        <v>0</v>
      </c>
      <c r="V2518">
        <f>HLOOKUP("In Use MiB",'vInfo (Imported)'!$1:$5000,M2518,FALSE)</f>
        <v>0</v>
      </c>
    </row>
    <row r="2519" spans="1:22" ht="13" x14ac:dyDescent="0.3">
      <c r="A2519" s="46">
        <f>'vHosts (Imported)'!A2519</f>
        <v>0</v>
      </c>
      <c r="B2519" s="51">
        <f t="shared" si="117"/>
        <v>4968</v>
      </c>
      <c r="C2519" s="49">
        <f>HLOOKUP("# Cores",'vHosts (Imported)'!$1:$5000,M2519,FALSE)</f>
        <v>0</v>
      </c>
      <c r="D2519" s="52">
        <f>HLOOKUP("# Memory",'vHosts (Imported)'!$1:$5000,M2519,FALSE)</f>
        <v>0</v>
      </c>
      <c r="M2519" s="45">
        <f t="shared" si="119"/>
        <v>2519</v>
      </c>
      <c r="N2519" s="38">
        <f>HLOOKUP("Host",'vInfo (Imported)'!$1:$5000,M2519,FALSE)</f>
        <v>0</v>
      </c>
      <c r="R2519">
        <f>HLOOKUP("CPUs",'vInfo (Imported)'!$1:$5000,M2519,FALSE)</f>
        <v>0</v>
      </c>
      <c r="S2519">
        <f>HLOOKUP("Memory",'vInfo (Imported)'!$1:$5000,M2519,FALSE)</f>
        <v>0</v>
      </c>
      <c r="T2519">
        <f>HLOOKUP("Provisioned MiB",'vInfo (Imported)'!$1:$5000,M2519,FALSE)</f>
        <v>0</v>
      </c>
      <c r="U2519">
        <f t="shared" si="118"/>
        <v>0</v>
      </c>
      <c r="V2519">
        <f>HLOOKUP("In Use MiB",'vInfo (Imported)'!$1:$5000,M2519,FALSE)</f>
        <v>0</v>
      </c>
    </row>
    <row r="2520" spans="1:22" ht="13" x14ac:dyDescent="0.3">
      <c r="A2520" s="46">
        <f>'vHosts (Imported)'!A2520</f>
        <v>0</v>
      </c>
      <c r="B2520" s="51">
        <f t="shared" si="117"/>
        <v>4968</v>
      </c>
      <c r="C2520" s="49">
        <f>HLOOKUP("# Cores",'vHosts (Imported)'!$1:$5000,M2520,FALSE)</f>
        <v>0</v>
      </c>
      <c r="D2520" s="52">
        <f>HLOOKUP("# Memory",'vHosts (Imported)'!$1:$5000,M2520,FALSE)</f>
        <v>0</v>
      </c>
      <c r="M2520" s="45">
        <f t="shared" si="119"/>
        <v>2520</v>
      </c>
      <c r="N2520" s="38">
        <f>HLOOKUP("Host",'vInfo (Imported)'!$1:$5000,M2520,FALSE)</f>
        <v>0</v>
      </c>
      <c r="R2520">
        <f>HLOOKUP("CPUs",'vInfo (Imported)'!$1:$5000,M2520,FALSE)</f>
        <v>0</v>
      </c>
      <c r="S2520">
        <f>HLOOKUP("Memory",'vInfo (Imported)'!$1:$5000,M2520,FALSE)</f>
        <v>0</v>
      </c>
      <c r="T2520">
        <f>HLOOKUP("Provisioned MiB",'vInfo (Imported)'!$1:$5000,M2520,FALSE)</f>
        <v>0</v>
      </c>
      <c r="U2520">
        <f t="shared" si="118"/>
        <v>0</v>
      </c>
      <c r="V2520">
        <f>HLOOKUP("In Use MiB",'vInfo (Imported)'!$1:$5000,M2520,FALSE)</f>
        <v>0</v>
      </c>
    </row>
    <row r="2521" spans="1:22" ht="13" x14ac:dyDescent="0.3">
      <c r="A2521" s="46">
        <f>'vHosts (Imported)'!A2521</f>
        <v>0</v>
      </c>
      <c r="B2521" s="51">
        <f t="shared" si="117"/>
        <v>4968</v>
      </c>
      <c r="C2521" s="49">
        <f>HLOOKUP("# Cores",'vHosts (Imported)'!$1:$5000,M2521,FALSE)</f>
        <v>0</v>
      </c>
      <c r="D2521" s="52">
        <f>HLOOKUP("# Memory",'vHosts (Imported)'!$1:$5000,M2521,FALSE)</f>
        <v>0</v>
      </c>
      <c r="M2521" s="45">
        <f t="shared" si="119"/>
        <v>2521</v>
      </c>
      <c r="N2521" s="38">
        <f>HLOOKUP("Host",'vInfo (Imported)'!$1:$5000,M2521,FALSE)</f>
        <v>0</v>
      </c>
      <c r="R2521">
        <f>HLOOKUP("CPUs",'vInfo (Imported)'!$1:$5000,M2521,FALSE)</f>
        <v>0</v>
      </c>
      <c r="S2521">
        <f>HLOOKUP("Memory",'vInfo (Imported)'!$1:$5000,M2521,FALSE)</f>
        <v>0</v>
      </c>
      <c r="T2521">
        <f>HLOOKUP("Provisioned MiB",'vInfo (Imported)'!$1:$5000,M2521,FALSE)</f>
        <v>0</v>
      </c>
      <c r="U2521">
        <f t="shared" si="118"/>
        <v>0</v>
      </c>
      <c r="V2521">
        <f>HLOOKUP("In Use MiB",'vInfo (Imported)'!$1:$5000,M2521,FALSE)</f>
        <v>0</v>
      </c>
    </row>
    <row r="2522" spans="1:22" ht="13" x14ac:dyDescent="0.3">
      <c r="A2522" s="46">
        <f>'vHosts (Imported)'!A2522</f>
        <v>0</v>
      </c>
      <c r="B2522" s="51">
        <f t="shared" si="117"/>
        <v>4968</v>
      </c>
      <c r="C2522" s="49">
        <f>HLOOKUP("# Cores",'vHosts (Imported)'!$1:$5000,M2522,FALSE)</f>
        <v>0</v>
      </c>
      <c r="D2522" s="52">
        <f>HLOOKUP("# Memory",'vHosts (Imported)'!$1:$5000,M2522,FALSE)</f>
        <v>0</v>
      </c>
      <c r="M2522" s="45">
        <f t="shared" si="119"/>
        <v>2522</v>
      </c>
      <c r="N2522" s="38">
        <f>HLOOKUP("Host",'vInfo (Imported)'!$1:$5000,M2522,FALSE)</f>
        <v>0</v>
      </c>
      <c r="R2522">
        <f>HLOOKUP("CPUs",'vInfo (Imported)'!$1:$5000,M2522,FALSE)</f>
        <v>0</v>
      </c>
      <c r="S2522">
        <f>HLOOKUP("Memory",'vInfo (Imported)'!$1:$5000,M2522,FALSE)</f>
        <v>0</v>
      </c>
      <c r="T2522">
        <f>HLOOKUP("Provisioned MiB",'vInfo (Imported)'!$1:$5000,M2522,FALSE)</f>
        <v>0</v>
      </c>
      <c r="U2522">
        <f t="shared" si="118"/>
        <v>0</v>
      </c>
      <c r="V2522">
        <f>HLOOKUP("In Use MiB",'vInfo (Imported)'!$1:$5000,M2522,FALSE)</f>
        <v>0</v>
      </c>
    </row>
    <row r="2523" spans="1:22" ht="13" x14ac:dyDescent="0.3">
      <c r="A2523" s="46">
        <f>'vHosts (Imported)'!A2523</f>
        <v>0</v>
      </c>
      <c r="B2523" s="51">
        <f t="shared" si="117"/>
        <v>4968</v>
      </c>
      <c r="C2523" s="49">
        <f>HLOOKUP("# Cores",'vHosts (Imported)'!$1:$5000,M2523,FALSE)</f>
        <v>0</v>
      </c>
      <c r="D2523" s="52">
        <f>HLOOKUP("# Memory",'vHosts (Imported)'!$1:$5000,M2523,FALSE)</f>
        <v>0</v>
      </c>
      <c r="M2523" s="45">
        <f t="shared" si="119"/>
        <v>2523</v>
      </c>
      <c r="N2523" s="38">
        <f>HLOOKUP("Host",'vInfo (Imported)'!$1:$5000,M2523,FALSE)</f>
        <v>0</v>
      </c>
      <c r="R2523">
        <f>HLOOKUP("CPUs",'vInfo (Imported)'!$1:$5000,M2523,FALSE)</f>
        <v>0</v>
      </c>
      <c r="S2523">
        <f>HLOOKUP("Memory",'vInfo (Imported)'!$1:$5000,M2523,FALSE)</f>
        <v>0</v>
      </c>
      <c r="T2523">
        <f>HLOOKUP("Provisioned MiB",'vInfo (Imported)'!$1:$5000,M2523,FALSE)</f>
        <v>0</v>
      </c>
      <c r="U2523">
        <f t="shared" si="118"/>
        <v>0</v>
      </c>
      <c r="V2523">
        <f>HLOOKUP("In Use MiB",'vInfo (Imported)'!$1:$5000,M2523,FALSE)</f>
        <v>0</v>
      </c>
    </row>
    <row r="2524" spans="1:22" ht="13" x14ac:dyDescent="0.3">
      <c r="A2524" s="46">
        <f>'vHosts (Imported)'!A2524</f>
        <v>0</v>
      </c>
      <c r="B2524" s="51">
        <f t="shared" si="117"/>
        <v>4968</v>
      </c>
      <c r="C2524" s="49">
        <f>HLOOKUP("# Cores",'vHosts (Imported)'!$1:$5000,M2524,FALSE)</f>
        <v>0</v>
      </c>
      <c r="D2524" s="52">
        <f>HLOOKUP("# Memory",'vHosts (Imported)'!$1:$5000,M2524,FALSE)</f>
        <v>0</v>
      </c>
      <c r="M2524" s="45">
        <f t="shared" si="119"/>
        <v>2524</v>
      </c>
      <c r="N2524" s="38">
        <f>HLOOKUP("Host",'vInfo (Imported)'!$1:$5000,M2524,FALSE)</f>
        <v>0</v>
      </c>
      <c r="R2524">
        <f>HLOOKUP("CPUs",'vInfo (Imported)'!$1:$5000,M2524,FALSE)</f>
        <v>0</v>
      </c>
      <c r="S2524">
        <f>HLOOKUP("Memory",'vInfo (Imported)'!$1:$5000,M2524,FALSE)</f>
        <v>0</v>
      </c>
      <c r="T2524">
        <f>HLOOKUP("Provisioned MiB",'vInfo (Imported)'!$1:$5000,M2524,FALSE)</f>
        <v>0</v>
      </c>
      <c r="U2524">
        <f t="shared" si="118"/>
        <v>0</v>
      </c>
      <c r="V2524">
        <f>HLOOKUP("In Use MiB",'vInfo (Imported)'!$1:$5000,M2524,FALSE)</f>
        <v>0</v>
      </c>
    </row>
    <row r="2525" spans="1:22" ht="13" x14ac:dyDescent="0.3">
      <c r="A2525" s="46">
        <f>'vHosts (Imported)'!A2525</f>
        <v>0</v>
      </c>
      <c r="B2525" s="51">
        <f t="shared" si="117"/>
        <v>4968</v>
      </c>
      <c r="C2525" s="49">
        <f>HLOOKUP("# Cores",'vHosts (Imported)'!$1:$5000,M2525,FALSE)</f>
        <v>0</v>
      </c>
      <c r="D2525" s="52">
        <f>HLOOKUP("# Memory",'vHosts (Imported)'!$1:$5000,M2525,FALSE)</f>
        <v>0</v>
      </c>
      <c r="M2525" s="45">
        <f t="shared" si="119"/>
        <v>2525</v>
      </c>
      <c r="N2525" s="38">
        <f>HLOOKUP("Host",'vInfo (Imported)'!$1:$5000,M2525,FALSE)</f>
        <v>0</v>
      </c>
      <c r="R2525">
        <f>HLOOKUP("CPUs",'vInfo (Imported)'!$1:$5000,M2525,FALSE)</f>
        <v>0</v>
      </c>
      <c r="S2525">
        <f>HLOOKUP("Memory",'vInfo (Imported)'!$1:$5000,M2525,FALSE)</f>
        <v>0</v>
      </c>
      <c r="T2525">
        <f>HLOOKUP("Provisioned MiB",'vInfo (Imported)'!$1:$5000,M2525,FALSE)</f>
        <v>0</v>
      </c>
      <c r="U2525">
        <f t="shared" si="118"/>
        <v>0</v>
      </c>
      <c r="V2525">
        <f>HLOOKUP("In Use MiB",'vInfo (Imported)'!$1:$5000,M2525,FALSE)</f>
        <v>0</v>
      </c>
    </row>
    <row r="2526" spans="1:22" ht="13" x14ac:dyDescent="0.3">
      <c r="A2526" s="46">
        <f>'vHosts (Imported)'!A2526</f>
        <v>0</v>
      </c>
      <c r="B2526" s="51">
        <f t="shared" si="117"/>
        <v>4968</v>
      </c>
      <c r="C2526" s="49">
        <f>HLOOKUP("# Cores",'vHosts (Imported)'!$1:$5000,M2526,FALSE)</f>
        <v>0</v>
      </c>
      <c r="D2526" s="52">
        <f>HLOOKUP("# Memory",'vHosts (Imported)'!$1:$5000,M2526,FALSE)</f>
        <v>0</v>
      </c>
      <c r="M2526" s="45">
        <f t="shared" si="119"/>
        <v>2526</v>
      </c>
      <c r="N2526" s="38">
        <f>HLOOKUP("Host",'vInfo (Imported)'!$1:$5000,M2526,FALSE)</f>
        <v>0</v>
      </c>
      <c r="R2526">
        <f>HLOOKUP("CPUs",'vInfo (Imported)'!$1:$5000,M2526,FALSE)</f>
        <v>0</v>
      </c>
      <c r="S2526">
        <f>HLOOKUP("Memory",'vInfo (Imported)'!$1:$5000,M2526,FALSE)</f>
        <v>0</v>
      </c>
      <c r="T2526">
        <f>HLOOKUP("Provisioned MiB",'vInfo (Imported)'!$1:$5000,M2526,FALSE)</f>
        <v>0</v>
      </c>
      <c r="U2526">
        <f t="shared" si="118"/>
        <v>0</v>
      </c>
      <c r="V2526">
        <f>HLOOKUP("In Use MiB",'vInfo (Imported)'!$1:$5000,M2526,FALSE)</f>
        <v>0</v>
      </c>
    </row>
    <row r="2527" spans="1:22" ht="13" x14ac:dyDescent="0.3">
      <c r="A2527" s="46">
        <f>'vHosts (Imported)'!A2527</f>
        <v>0</v>
      </c>
      <c r="B2527" s="51">
        <f t="shared" si="117"/>
        <v>4968</v>
      </c>
      <c r="C2527" s="49">
        <f>HLOOKUP("# Cores",'vHosts (Imported)'!$1:$5000,M2527,FALSE)</f>
        <v>0</v>
      </c>
      <c r="D2527" s="52">
        <f>HLOOKUP("# Memory",'vHosts (Imported)'!$1:$5000,M2527,FALSE)</f>
        <v>0</v>
      </c>
      <c r="M2527" s="45">
        <f t="shared" si="119"/>
        <v>2527</v>
      </c>
      <c r="N2527" s="38">
        <f>HLOOKUP("Host",'vInfo (Imported)'!$1:$5000,M2527,FALSE)</f>
        <v>0</v>
      </c>
      <c r="R2527">
        <f>HLOOKUP("CPUs",'vInfo (Imported)'!$1:$5000,M2527,FALSE)</f>
        <v>0</v>
      </c>
      <c r="S2527">
        <f>HLOOKUP("Memory",'vInfo (Imported)'!$1:$5000,M2527,FALSE)</f>
        <v>0</v>
      </c>
      <c r="T2527">
        <f>HLOOKUP("Provisioned MiB",'vInfo (Imported)'!$1:$5000,M2527,FALSE)</f>
        <v>0</v>
      </c>
      <c r="U2527">
        <f t="shared" si="118"/>
        <v>0</v>
      </c>
      <c r="V2527">
        <f>HLOOKUP("In Use MiB",'vInfo (Imported)'!$1:$5000,M2527,FALSE)</f>
        <v>0</v>
      </c>
    </row>
    <row r="2528" spans="1:22" ht="13" x14ac:dyDescent="0.3">
      <c r="A2528" s="46">
        <f>'vHosts (Imported)'!A2528</f>
        <v>0</v>
      </c>
      <c r="B2528" s="51">
        <f t="shared" si="117"/>
        <v>4968</v>
      </c>
      <c r="C2528" s="49">
        <f>HLOOKUP("# Cores",'vHosts (Imported)'!$1:$5000,M2528,FALSE)</f>
        <v>0</v>
      </c>
      <c r="D2528" s="52">
        <f>HLOOKUP("# Memory",'vHosts (Imported)'!$1:$5000,M2528,FALSE)</f>
        <v>0</v>
      </c>
      <c r="M2528" s="45">
        <f t="shared" si="119"/>
        <v>2528</v>
      </c>
      <c r="N2528" s="38">
        <f>HLOOKUP("Host",'vInfo (Imported)'!$1:$5000,M2528,FALSE)</f>
        <v>0</v>
      </c>
      <c r="R2528">
        <f>HLOOKUP("CPUs",'vInfo (Imported)'!$1:$5000,M2528,FALSE)</f>
        <v>0</v>
      </c>
      <c r="S2528">
        <f>HLOOKUP("Memory",'vInfo (Imported)'!$1:$5000,M2528,FALSE)</f>
        <v>0</v>
      </c>
      <c r="T2528">
        <f>HLOOKUP("Provisioned MiB",'vInfo (Imported)'!$1:$5000,M2528,FALSE)</f>
        <v>0</v>
      </c>
      <c r="U2528">
        <f t="shared" si="118"/>
        <v>0</v>
      </c>
      <c r="V2528">
        <f>HLOOKUP("In Use MiB",'vInfo (Imported)'!$1:$5000,M2528,FALSE)</f>
        <v>0</v>
      </c>
    </row>
    <row r="2529" spans="1:22" ht="13" x14ac:dyDescent="0.3">
      <c r="A2529" s="46">
        <f>'vHosts (Imported)'!A2529</f>
        <v>0</v>
      </c>
      <c r="B2529" s="51">
        <f t="shared" si="117"/>
        <v>4968</v>
      </c>
      <c r="C2529" s="49">
        <f>HLOOKUP("# Cores",'vHosts (Imported)'!$1:$5000,M2529,FALSE)</f>
        <v>0</v>
      </c>
      <c r="D2529" s="52">
        <f>HLOOKUP("# Memory",'vHosts (Imported)'!$1:$5000,M2529,FALSE)</f>
        <v>0</v>
      </c>
      <c r="M2529" s="45">
        <f t="shared" si="119"/>
        <v>2529</v>
      </c>
      <c r="N2529" s="38">
        <f>HLOOKUP("Host",'vInfo (Imported)'!$1:$5000,M2529,FALSE)</f>
        <v>0</v>
      </c>
      <c r="R2529">
        <f>HLOOKUP("CPUs",'vInfo (Imported)'!$1:$5000,M2529,FALSE)</f>
        <v>0</v>
      </c>
      <c r="S2529">
        <f>HLOOKUP("Memory",'vInfo (Imported)'!$1:$5000,M2529,FALSE)</f>
        <v>0</v>
      </c>
      <c r="T2529">
        <f>HLOOKUP("Provisioned MiB",'vInfo (Imported)'!$1:$5000,M2529,FALSE)</f>
        <v>0</v>
      </c>
      <c r="U2529">
        <f t="shared" si="118"/>
        <v>0</v>
      </c>
      <c r="V2529">
        <f>HLOOKUP("In Use MiB",'vInfo (Imported)'!$1:$5000,M2529,FALSE)</f>
        <v>0</v>
      </c>
    </row>
    <row r="2530" spans="1:22" ht="13" x14ac:dyDescent="0.3">
      <c r="A2530" s="46">
        <f>'vHosts (Imported)'!A2530</f>
        <v>0</v>
      </c>
      <c r="B2530" s="51">
        <f t="shared" si="117"/>
        <v>4968</v>
      </c>
      <c r="C2530" s="49">
        <f>HLOOKUP("# Cores",'vHosts (Imported)'!$1:$5000,M2530,FALSE)</f>
        <v>0</v>
      </c>
      <c r="D2530" s="52">
        <f>HLOOKUP("# Memory",'vHosts (Imported)'!$1:$5000,M2530,FALSE)</f>
        <v>0</v>
      </c>
      <c r="M2530" s="45">
        <f t="shared" si="119"/>
        <v>2530</v>
      </c>
      <c r="N2530" s="38">
        <f>HLOOKUP("Host",'vInfo (Imported)'!$1:$5000,M2530,FALSE)</f>
        <v>0</v>
      </c>
      <c r="R2530">
        <f>HLOOKUP("CPUs",'vInfo (Imported)'!$1:$5000,M2530,FALSE)</f>
        <v>0</v>
      </c>
      <c r="S2530">
        <f>HLOOKUP("Memory",'vInfo (Imported)'!$1:$5000,M2530,FALSE)</f>
        <v>0</v>
      </c>
      <c r="T2530">
        <f>HLOOKUP("Provisioned MiB",'vInfo (Imported)'!$1:$5000,M2530,FALSE)</f>
        <v>0</v>
      </c>
      <c r="U2530">
        <f t="shared" si="118"/>
        <v>0</v>
      </c>
      <c r="V2530">
        <f>HLOOKUP("In Use MiB",'vInfo (Imported)'!$1:$5000,M2530,FALSE)</f>
        <v>0</v>
      </c>
    </row>
    <row r="2531" spans="1:22" ht="13" x14ac:dyDescent="0.3">
      <c r="A2531" s="46">
        <f>'vHosts (Imported)'!A2531</f>
        <v>0</v>
      </c>
      <c r="B2531" s="51">
        <f t="shared" si="117"/>
        <v>4968</v>
      </c>
      <c r="C2531" s="49">
        <f>HLOOKUP("# Cores",'vHosts (Imported)'!$1:$5000,M2531,FALSE)</f>
        <v>0</v>
      </c>
      <c r="D2531" s="52">
        <f>HLOOKUP("# Memory",'vHosts (Imported)'!$1:$5000,M2531,FALSE)</f>
        <v>0</v>
      </c>
      <c r="M2531" s="45">
        <f t="shared" si="119"/>
        <v>2531</v>
      </c>
      <c r="N2531" s="38">
        <f>HLOOKUP("Host",'vInfo (Imported)'!$1:$5000,M2531,FALSE)</f>
        <v>0</v>
      </c>
      <c r="R2531">
        <f>HLOOKUP("CPUs",'vInfo (Imported)'!$1:$5000,M2531,FALSE)</f>
        <v>0</v>
      </c>
      <c r="S2531">
        <f>HLOOKUP("Memory",'vInfo (Imported)'!$1:$5000,M2531,FALSE)</f>
        <v>0</v>
      </c>
      <c r="T2531">
        <f>HLOOKUP("Provisioned MiB",'vInfo (Imported)'!$1:$5000,M2531,FALSE)</f>
        <v>0</v>
      </c>
      <c r="U2531">
        <f t="shared" si="118"/>
        <v>0</v>
      </c>
      <c r="V2531">
        <f>HLOOKUP("In Use MiB",'vInfo (Imported)'!$1:$5000,M2531,FALSE)</f>
        <v>0</v>
      </c>
    </row>
    <row r="2532" spans="1:22" ht="13" x14ac:dyDescent="0.3">
      <c r="A2532" s="46">
        <f>'vHosts (Imported)'!A2532</f>
        <v>0</v>
      </c>
      <c r="B2532" s="51">
        <f t="shared" si="117"/>
        <v>4968</v>
      </c>
      <c r="C2532" s="49">
        <f>HLOOKUP("# Cores",'vHosts (Imported)'!$1:$5000,M2532,FALSE)</f>
        <v>0</v>
      </c>
      <c r="D2532" s="52">
        <f>HLOOKUP("# Memory",'vHosts (Imported)'!$1:$5000,M2532,FALSE)</f>
        <v>0</v>
      </c>
      <c r="M2532" s="45">
        <f t="shared" si="119"/>
        <v>2532</v>
      </c>
      <c r="N2532" s="38">
        <f>HLOOKUP("Host",'vInfo (Imported)'!$1:$5000,M2532,FALSE)</f>
        <v>0</v>
      </c>
      <c r="R2532">
        <f>HLOOKUP("CPUs",'vInfo (Imported)'!$1:$5000,M2532,FALSE)</f>
        <v>0</v>
      </c>
      <c r="S2532">
        <f>HLOOKUP("Memory",'vInfo (Imported)'!$1:$5000,M2532,FALSE)</f>
        <v>0</v>
      </c>
      <c r="T2532">
        <f>HLOOKUP("Provisioned MiB",'vInfo (Imported)'!$1:$5000,M2532,FALSE)</f>
        <v>0</v>
      </c>
      <c r="U2532">
        <f t="shared" si="118"/>
        <v>0</v>
      </c>
      <c r="V2532">
        <f>HLOOKUP("In Use MiB",'vInfo (Imported)'!$1:$5000,M2532,FALSE)</f>
        <v>0</v>
      </c>
    </row>
    <row r="2533" spans="1:22" ht="13" x14ac:dyDescent="0.3">
      <c r="A2533" s="46">
        <f>'vHosts (Imported)'!A2533</f>
        <v>0</v>
      </c>
      <c r="B2533" s="51">
        <f t="shared" si="117"/>
        <v>4968</v>
      </c>
      <c r="C2533" s="49">
        <f>HLOOKUP("# Cores",'vHosts (Imported)'!$1:$5000,M2533,FALSE)</f>
        <v>0</v>
      </c>
      <c r="D2533" s="52">
        <f>HLOOKUP("# Memory",'vHosts (Imported)'!$1:$5000,M2533,FALSE)</f>
        <v>0</v>
      </c>
      <c r="M2533" s="45">
        <f t="shared" si="119"/>
        <v>2533</v>
      </c>
      <c r="N2533" s="38">
        <f>HLOOKUP("Host",'vInfo (Imported)'!$1:$5000,M2533,FALSE)</f>
        <v>0</v>
      </c>
      <c r="R2533">
        <f>HLOOKUP("CPUs",'vInfo (Imported)'!$1:$5000,M2533,FALSE)</f>
        <v>0</v>
      </c>
      <c r="S2533">
        <f>HLOOKUP("Memory",'vInfo (Imported)'!$1:$5000,M2533,FALSE)</f>
        <v>0</v>
      </c>
      <c r="T2533">
        <f>HLOOKUP("Provisioned MiB",'vInfo (Imported)'!$1:$5000,M2533,FALSE)</f>
        <v>0</v>
      </c>
      <c r="U2533">
        <f t="shared" si="118"/>
        <v>0</v>
      </c>
      <c r="V2533">
        <f>HLOOKUP("In Use MiB",'vInfo (Imported)'!$1:$5000,M2533,FALSE)</f>
        <v>0</v>
      </c>
    </row>
    <row r="2534" spans="1:22" ht="13" x14ac:dyDescent="0.3">
      <c r="A2534" s="46">
        <f>'vHosts (Imported)'!A2534</f>
        <v>0</v>
      </c>
      <c r="B2534" s="51">
        <f t="shared" si="117"/>
        <v>4968</v>
      </c>
      <c r="C2534" s="49">
        <f>HLOOKUP("# Cores",'vHosts (Imported)'!$1:$5000,M2534,FALSE)</f>
        <v>0</v>
      </c>
      <c r="D2534" s="52">
        <f>HLOOKUP("# Memory",'vHosts (Imported)'!$1:$5000,M2534,FALSE)</f>
        <v>0</v>
      </c>
      <c r="M2534" s="45">
        <f t="shared" si="119"/>
        <v>2534</v>
      </c>
      <c r="N2534" s="38">
        <f>HLOOKUP("Host",'vInfo (Imported)'!$1:$5000,M2534,FALSE)</f>
        <v>0</v>
      </c>
      <c r="R2534">
        <f>HLOOKUP("CPUs",'vInfo (Imported)'!$1:$5000,M2534,FALSE)</f>
        <v>0</v>
      </c>
      <c r="S2534">
        <f>HLOOKUP("Memory",'vInfo (Imported)'!$1:$5000,M2534,FALSE)</f>
        <v>0</v>
      </c>
      <c r="T2534">
        <f>HLOOKUP("Provisioned MiB",'vInfo (Imported)'!$1:$5000,M2534,FALSE)</f>
        <v>0</v>
      </c>
      <c r="U2534">
        <f t="shared" si="118"/>
        <v>0</v>
      </c>
      <c r="V2534">
        <f>HLOOKUP("In Use MiB",'vInfo (Imported)'!$1:$5000,M2534,FALSE)</f>
        <v>0</v>
      </c>
    </row>
    <row r="2535" spans="1:22" ht="13" x14ac:dyDescent="0.3">
      <c r="A2535" s="46">
        <f>'vHosts (Imported)'!A2535</f>
        <v>0</v>
      </c>
      <c r="B2535" s="51">
        <f t="shared" si="117"/>
        <v>4968</v>
      </c>
      <c r="C2535" s="49">
        <f>HLOOKUP("# Cores",'vHosts (Imported)'!$1:$5000,M2535,FALSE)</f>
        <v>0</v>
      </c>
      <c r="D2535" s="52">
        <f>HLOOKUP("# Memory",'vHosts (Imported)'!$1:$5000,M2535,FALSE)</f>
        <v>0</v>
      </c>
      <c r="M2535" s="45">
        <f t="shared" si="119"/>
        <v>2535</v>
      </c>
      <c r="N2535" s="38">
        <f>HLOOKUP("Host",'vInfo (Imported)'!$1:$5000,M2535,FALSE)</f>
        <v>0</v>
      </c>
      <c r="R2535">
        <f>HLOOKUP("CPUs",'vInfo (Imported)'!$1:$5000,M2535,FALSE)</f>
        <v>0</v>
      </c>
      <c r="S2535">
        <f>HLOOKUP("Memory",'vInfo (Imported)'!$1:$5000,M2535,FALSE)</f>
        <v>0</v>
      </c>
      <c r="T2535">
        <f>HLOOKUP("Provisioned MiB",'vInfo (Imported)'!$1:$5000,M2535,FALSE)</f>
        <v>0</v>
      </c>
      <c r="U2535">
        <f t="shared" si="118"/>
        <v>0</v>
      </c>
      <c r="V2535">
        <f>HLOOKUP("In Use MiB",'vInfo (Imported)'!$1:$5000,M2535,FALSE)</f>
        <v>0</v>
      </c>
    </row>
    <row r="2536" spans="1:22" ht="13" x14ac:dyDescent="0.3">
      <c r="A2536" s="46">
        <f>'vHosts (Imported)'!A2536</f>
        <v>0</v>
      </c>
      <c r="B2536" s="51">
        <f t="shared" ref="B2536:B2599" si="120">COUNTIF(N:N,A2536)</f>
        <v>4968</v>
      </c>
      <c r="C2536" s="49">
        <f>HLOOKUP("# Cores",'vHosts (Imported)'!$1:$5000,M2536,FALSE)</f>
        <v>0</v>
      </c>
      <c r="D2536" s="52">
        <f>HLOOKUP("# Memory",'vHosts (Imported)'!$1:$5000,M2536,FALSE)</f>
        <v>0</v>
      </c>
      <c r="M2536" s="45">
        <f t="shared" si="119"/>
        <v>2536</v>
      </c>
      <c r="N2536" s="38">
        <f>HLOOKUP("Host",'vInfo (Imported)'!$1:$5000,M2536,FALSE)</f>
        <v>0</v>
      </c>
      <c r="R2536">
        <f>HLOOKUP("CPUs",'vInfo (Imported)'!$1:$5000,M2536,FALSE)</f>
        <v>0</v>
      </c>
      <c r="S2536">
        <f>HLOOKUP("Memory",'vInfo (Imported)'!$1:$5000,M2536,FALSE)</f>
        <v>0</v>
      </c>
      <c r="T2536">
        <f>HLOOKUP("Provisioned MiB",'vInfo (Imported)'!$1:$5000,M2536,FALSE)</f>
        <v>0</v>
      </c>
      <c r="U2536">
        <f t="shared" si="118"/>
        <v>0</v>
      </c>
      <c r="V2536">
        <f>HLOOKUP("In Use MiB",'vInfo (Imported)'!$1:$5000,M2536,FALSE)</f>
        <v>0</v>
      </c>
    </row>
    <row r="2537" spans="1:22" ht="13" x14ac:dyDescent="0.3">
      <c r="A2537" s="46">
        <f>'vHosts (Imported)'!A2537</f>
        <v>0</v>
      </c>
      <c r="B2537" s="51">
        <f t="shared" si="120"/>
        <v>4968</v>
      </c>
      <c r="C2537" s="49">
        <f>HLOOKUP("# Cores",'vHosts (Imported)'!$1:$5000,M2537,FALSE)</f>
        <v>0</v>
      </c>
      <c r="D2537" s="52">
        <f>HLOOKUP("# Memory",'vHosts (Imported)'!$1:$5000,M2537,FALSE)</f>
        <v>0</v>
      </c>
      <c r="M2537" s="45">
        <f t="shared" si="119"/>
        <v>2537</v>
      </c>
      <c r="N2537" s="38">
        <f>HLOOKUP("Host",'vInfo (Imported)'!$1:$5000,M2537,FALSE)</f>
        <v>0</v>
      </c>
      <c r="R2537">
        <f>HLOOKUP("CPUs",'vInfo (Imported)'!$1:$5000,M2537,FALSE)</f>
        <v>0</v>
      </c>
      <c r="S2537">
        <f>HLOOKUP("Memory",'vInfo (Imported)'!$1:$5000,M2537,FALSE)</f>
        <v>0</v>
      </c>
      <c r="T2537">
        <f>HLOOKUP("Provisioned MiB",'vInfo (Imported)'!$1:$5000,M2537,FALSE)</f>
        <v>0</v>
      </c>
      <c r="U2537">
        <f t="shared" si="118"/>
        <v>0</v>
      </c>
      <c r="V2537">
        <f>HLOOKUP("In Use MiB",'vInfo (Imported)'!$1:$5000,M2537,FALSE)</f>
        <v>0</v>
      </c>
    </row>
    <row r="2538" spans="1:22" ht="13" x14ac:dyDescent="0.3">
      <c r="A2538" s="46">
        <f>'vHosts (Imported)'!A2538</f>
        <v>0</v>
      </c>
      <c r="B2538" s="51">
        <f t="shared" si="120"/>
        <v>4968</v>
      </c>
      <c r="C2538" s="49">
        <f>HLOOKUP("# Cores",'vHosts (Imported)'!$1:$5000,M2538,FALSE)</f>
        <v>0</v>
      </c>
      <c r="D2538" s="52">
        <f>HLOOKUP("# Memory",'vHosts (Imported)'!$1:$5000,M2538,FALSE)</f>
        <v>0</v>
      </c>
      <c r="M2538" s="45">
        <f t="shared" si="119"/>
        <v>2538</v>
      </c>
      <c r="N2538" s="38">
        <f>HLOOKUP("Host",'vInfo (Imported)'!$1:$5000,M2538,FALSE)</f>
        <v>0</v>
      </c>
      <c r="R2538">
        <f>HLOOKUP("CPUs",'vInfo (Imported)'!$1:$5000,M2538,FALSE)</f>
        <v>0</v>
      </c>
      <c r="S2538">
        <f>HLOOKUP("Memory",'vInfo (Imported)'!$1:$5000,M2538,FALSE)</f>
        <v>0</v>
      </c>
      <c r="T2538">
        <f>HLOOKUP("Provisioned MiB",'vInfo (Imported)'!$1:$5000,M2538,FALSE)</f>
        <v>0</v>
      </c>
      <c r="U2538">
        <f t="shared" si="118"/>
        <v>0</v>
      </c>
      <c r="V2538">
        <f>HLOOKUP("In Use MiB",'vInfo (Imported)'!$1:$5000,M2538,FALSE)</f>
        <v>0</v>
      </c>
    </row>
    <row r="2539" spans="1:22" ht="13" x14ac:dyDescent="0.3">
      <c r="A2539" s="46">
        <f>'vHosts (Imported)'!A2539</f>
        <v>0</v>
      </c>
      <c r="B2539" s="51">
        <f t="shared" si="120"/>
        <v>4968</v>
      </c>
      <c r="C2539" s="49">
        <f>HLOOKUP("# Cores",'vHosts (Imported)'!$1:$5000,M2539,FALSE)</f>
        <v>0</v>
      </c>
      <c r="D2539" s="52">
        <f>HLOOKUP("# Memory",'vHosts (Imported)'!$1:$5000,M2539,FALSE)</f>
        <v>0</v>
      </c>
      <c r="M2539" s="45">
        <f t="shared" si="119"/>
        <v>2539</v>
      </c>
      <c r="N2539" s="38">
        <f>HLOOKUP("Host",'vInfo (Imported)'!$1:$5000,M2539,FALSE)</f>
        <v>0</v>
      </c>
      <c r="R2539">
        <f>HLOOKUP("CPUs",'vInfo (Imported)'!$1:$5000,M2539,FALSE)</f>
        <v>0</v>
      </c>
      <c r="S2539">
        <f>HLOOKUP("Memory",'vInfo (Imported)'!$1:$5000,M2539,FALSE)</f>
        <v>0</v>
      </c>
      <c r="T2539">
        <f>HLOOKUP("Provisioned MiB",'vInfo (Imported)'!$1:$5000,M2539,FALSE)</f>
        <v>0</v>
      </c>
      <c r="U2539">
        <f t="shared" si="118"/>
        <v>0</v>
      </c>
      <c r="V2539">
        <f>HLOOKUP("In Use MiB",'vInfo (Imported)'!$1:$5000,M2539,FALSE)</f>
        <v>0</v>
      </c>
    </row>
    <row r="2540" spans="1:22" ht="13" x14ac:dyDescent="0.3">
      <c r="A2540" s="46">
        <f>'vHosts (Imported)'!A2540</f>
        <v>0</v>
      </c>
      <c r="B2540" s="51">
        <f t="shared" si="120"/>
        <v>4968</v>
      </c>
      <c r="C2540" s="49">
        <f>HLOOKUP("# Cores",'vHosts (Imported)'!$1:$5000,M2540,FALSE)</f>
        <v>0</v>
      </c>
      <c r="D2540" s="52">
        <f>HLOOKUP("# Memory",'vHosts (Imported)'!$1:$5000,M2540,FALSE)</f>
        <v>0</v>
      </c>
      <c r="M2540" s="45">
        <f t="shared" si="119"/>
        <v>2540</v>
      </c>
      <c r="N2540" s="38">
        <f>HLOOKUP("Host",'vInfo (Imported)'!$1:$5000,M2540,FALSE)</f>
        <v>0</v>
      </c>
      <c r="R2540">
        <f>HLOOKUP("CPUs",'vInfo (Imported)'!$1:$5000,M2540,FALSE)</f>
        <v>0</v>
      </c>
      <c r="S2540">
        <f>HLOOKUP("Memory",'vInfo (Imported)'!$1:$5000,M2540,FALSE)</f>
        <v>0</v>
      </c>
      <c r="T2540">
        <f>HLOOKUP("Provisioned MiB",'vInfo (Imported)'!$1:$5000,M2540,FALSE)</f>
        <v>0</v>
      </c>
      <c r="U2540">
        <f t="shared" si="118"/>
        <v>0</v>
      </c>
      <c r="V2540">
        <f>HLOOKUP("In Use MiB",'vInfo (Imported)'!$1:$5000,M2540,FALSE)</f>
        <v>0</v>
      </c>
    </row>
    <row r="2541" spans="1:22" ht="13" x14ac:dyDescent="0.3">
      <c r="A2541" s="46">
        <f>'vHosts (Imported)'!A2541</f>
        <v>0</v>
      </c>
      <c r="B2541" s="51">
        <f t="shared" si="120"/>
        <v>4968</v>
      </c>
      <c r="C2541" s="49">
        <f>HLOOKUP("# Cores",'vHosts (Imported)'!$1:$5000,M2541,FALSE)</f>
        <v>0</v>
      </c>
      <c r="D2541" s="52">
        <f>HLOOKUP("# Memory",'vHosts (Imported)'!$1:$5000,M2541,FALSE)</f>
        <v>0</v>
      </c>
      <c r="M2541" s="45">
        <f t="shared" si="119"/>
        <v>2541</v>
      </c>
      <c r="N2541" s="38">
        <f>HLOOKUP("Host",'vInfo (Imported)'!$1:$5000,M2541,FALSE)</f>
        <v>0</v>
      </c>
      <c r="R2541">
        <f>HLOOKUP("CPUs",'vInfo (Imported)'!$1:$5000,M2541,FALSE)</f>
        <v>0</v>
      </c>
      <c r="S2541">
        <f>HLOOKUP("Memory",'vInfo (Imported)'!$1:$5000,M2541,FALSE)</f>
        <v>0</v>
      </c>
      <c r="T2541">
        <f>HLOOKUP("Provisioned MiB",'vInfo (Imported)'!$1:$5000,M2541,FALSE)</f>
        <v>0</v>
      </c>
      <c r="U2541">
        <f t="shared" si="118"/>
        <v>0</v>
      </c>
      <c r="V2541">
        <f>HLOOKUP("In Use MiB",'vInfo (Imported)'!$1:$5000,M2541,FALSE)</f>
        <v>0</v>
      </c>
    </row>
    <row r="2542" spans="1:22" ht="13" x14ac:dyDescent="0.3">
      <c r="A2542" s="46">
        <f>'vHosts (Imported)'!A2542</f>
        <v>0</v>
      </c>
      <c r="B2542" s="51">
        <f t="shared" si="120"/>
        <v>4968</v>
      </c>
      <c r="C2542" s="49">
        <f>HLOOKUP("# Cores",'vHosts (Imported)'!$1:$5000,M2542,FALSE)</f>
        <v>0</v>
      </c>
      <c r="D2542" s="52">
        <f>HLOOKUP("# Memory",'vHosts (Imported)'!$1:$5000,M2542,FALSE)</f>
        <v>0</v>
      </c>
      <c r="M2542" s="45">
        <f t="shared" si="119"/>
        <v>2542</v>
      </c>
      <c r="N2542" s="38">
        <f>HLOOKUP("Host",'vInfo (Imported)'!$1:$5000,M2542,FALSE)</f>
        <v>0</v>
      </c>
      <c r="R2542">
        <f>HLOOKUP("CPUs",'vInfo (Imported)'!$1:$5000,M2542,FALSE)</f>
        <v>0</v>
      </c>
      <c r="S2542">
        <f>HLOOKUP("Memory",'vInfo (Imported)'!$1:$5000,M2542,FALSE)</f>
        <v>0</v>
      </c>
      <c r="T2542">
        <f>HLOOKUP("Provisioned MiB",'vInfo (Imported)'!$1:$5000,M2542,FALSE)</f>
        <v>0</v>
      </c>
      <c r="U2542">
        <f t="shared" si="118"/>
        <v>0</v>
      </c>
      <c r="V2542">
        <f>HLOOKUP("In Use MiB",'vInfo (Imported)'!$1:$5000,M2542,FALSE)</f>
        <v>0</v>
      </c>
    </row>
    <row r="2543" spans="1:22" ht="13" x14ac:dyDescent="0.3">
      <c r="A2543" s="46">
        <f>'vHosts (Imported)'!A2543</f>
        <v>0</v>
      </c>
      <c r="B2543" s="51">
        <f t="shared" si="120"/>
        <v>4968</v>
      </c>
      <c r="C2543" s="49">
        <f>HLOOKUP("# Cores",'vHosts (Imported)'!$1:$5000,M2543,FALSE)</f>
        <v>0</v>
      </c>
      <c r="D2543" s="52">
        <f>HLOOKUP("# Memory",'vHosts (Imported)'!$1:$5000,M2543,FALSE)</f>
        <v>0</v>
      </c>
      <c r="M2543" s="45">
        <f t="shared" si="119"/>
        <v>2543</v>
      </c>
      <c r="N2543" s="38">
        <f>HLOOKUP("Host",'vInfo (Imported)'!$1:$5000,M2543,FALSE)</f>
        <v>0</v>
      </c>
      <c r="R2543">
        <f>HLOOKUP("CPUs",'vInfo (Imported)'!$1:$5000,M2543,FALSE)</f>
        <v>0</v>
      </c>
      <c r="S2543">
        <f>HLOOKUP("Memory",'vInfo (Imported)'!$1:$5000,M2543,FALSE)</f>
        <v>0</v>
      </c>
      <c r="T2543">
        <f>HLOOKUP("Provisioned MiB",'vInfo (Imported)'!$1:$5000,M2543,FALSE)</f>
        <v>0</v>
      </c>
      <c r="U2543">
        <f t="shared" si="118"/>
        <v>0</v>
      </c>
      <c r="V2543">
        <f>HLOOKUP("In Use MiB",'vInfo (Imported)'!$1:$5000,M2543,FALSE)</f>
        <v>0</v>
      </c>
    </row>
    <row r="2544" spans="1:22" ht="13" x14ac:dyDescent="0.3">
      <c r="A2544" s="46">
        <f>'vHosts (Imported)'!A2544</f>
        <v>0</v>
      </c>
      <c r="B2544" s="51">
        <f t="shared" si="120"/>
        <v>4968</v>
      </c>
      <c r="C2544" s="49">
        <f>HLOOKUP("# Cores",'vHosts (Imported)'!$1:$5000,M2544,FALSE)</f>
        <v>0</v>
      </c>
      <c r="D2544" s="52">
        <f>HLOOKUP("# Memory",'vHosts (Imported)'!$1:$5000,M2544,FALSE)</f>
        <v>0</v>
      </c>
      <c r="M2544" s="45">
        <f t="shared" si="119"/>
        <v>2544</v>
      </c>
      <c r="N2544" s="38">
        <f>HLOOKUP("Host",'vInfo (Imported)'!$1:$5000,M2544,FALSE)</f>
        <v>0</v>
      </c>
      <c r="R2544">
        <f>HLOOKUP("CPUs",'vInfo (Imported)'!$1:$5000,M2544,FALSE)</f>
        <v>0</v>
      </c>
      <c r="S2544">
        <f>HLOOKUP("Memory",'vInfo (Imported)'!$1:$5000,M2544,FALSE)</f>
        <v>0</v>
      </c>
      <c r="T2544">
        <f>HLOOKUP("Provisioned MiB",'vInfo (Imported)'!$1:$5000,M2544,FALSE)</f>
        <v>0</v>
      </c>
      <c r="U2544">
        <f t="shared" si="118"/>
        <v>0</v>
      </c>
      <c r="V2544">
        <f>HLOOKUP("In Use MiB",'vInfo (Imported)'!$1:$5000,M2544,FALSE)</f>
        <v>0</v>
      </c>
    </row>
    <row r="2545" spans="1:22" ht="13" x14ac:dyDescent="0.3">
      <c r="A2545" s="46">
        <f>'vHosts (Imported)'!A2545</f>
        <v>0</v>
      </c>
      <c r="B2545" s="51">
        <f t="shared" si="120"/>
        <v>4968</v>
      </c>
      <c r="C2545" s="49">
        <f>HLOOKUP("# Cores",'vHosts (Imported)'!$1:$5000,M2545,FALSE)</f>
        <v>0</v>
      </c>
      <c r="D2545" s="52">
        <f>HLOOKUP("# Memory",'vHosts (Imported)'!$1:$5000,M2545,FALSE)</f>
        <v>0</v>
      </c>
      <c r="M2545" s="45">
        <f t="shared" si="119"/>
        <v>2545</v>
      </c>
      <c r="N2545" s="38">
        <f>HLOOKUP("Host",'vInfo (Imported)'!$1:$5000,M2545,FALSE)</f>
        <v>0</v>
      </c>
      <c r="R2545">
        <f>HLOOKUP("CPUs",'vInfo (Imported)'!$1:$5000,M2545,FALSE)</f>
        <v>0</v>
      </c>
      <c r="S2545">
        <f>HLOOKUP("Memory",'vInfo (Imported)'!$1:$5000,M2545,FALSE)</f>
        <v>0</v>
      </c>
      <c r="T2545">
        <f>HLOOKUP("Provisioned MiB",'vInfo (Imported)'!$1:$5000,M2545,FALSE)</f>
        <v>0</v>
      </c>
      <c r="U2545">
        <f t="shared" si="118"/>
        <v>0</v>
      </c>
      <c r="V2545">
        <f>HLOOKUP("In Use MiB",'vInfo (Imported)'!$1:$5000,M2545,FALSE)</f>
        <v>0</v>
      </c>
    </row>
    <row r="2546" spans="1:22" ht="13" x14ac:dyDescent="0.3">
      <c r="A2546" s="46">
        <f>'vHosts (Imported)'!A2546</f>
        <v>0</v>
      </c>
      <c r="B2546" s="51">
        <f t="shared" si="120"/>
        <v>4968</v>
      </c>
      <c r="C2546" s="49">
        <f>HLOOKUP("# Cores",'vHosts (Imported)'!$1:$5000,M2546,FALSE)</f>
        <v>0</v>
      </c>
      <c r="D2546" s="52">
        <f>HLOOKUP("# Memory",'vHosts (Imported)'!$1:$5000,M2546,FALSE)</f>
        <v>0</v>
      </c>
      <c r="M2546" s="45">
        <f t="shared" si="119"/>
        <v>2546</v>
      </c>
      <c r="N2546" s="38">
        <f>HLOOKUP("Host",'vInfo (Imported)'!$1:$5000,M2546,FALSE)</f>
        <v>0</v>
      </c>
      <c r="R2546">
        <f>HLOOKUP("CPUs",'vInfo (Imported)'!$1:$5000,M2546,FALSE)</f>
        <v>0</v>
      </c>
      <c r="S2546">
        <f>HLOOKUP("Memory",'vInfo (Imported)'!$1:$5000,M2546,FALSE)</f>
        <v>0</v>
      </c>
      <c r="T2546">
        <f>HLOOKUP("Provisioned MiB",'vInfo (Imported)'!$1:$5000,M2546,FALSE)</f>
        <v>0</v>
      </c>
      <c r="U2546">
        <f t="shared" si="118"/>
        <v>0</v>
      </c>
      <c r="V2546">
        <f>HLOOKUP("In Use MiB",'vInfo (Imported)'!$1:$5000,M2546,FALSE)</f>
        <v>0</v>
      </c>
    </row>
    <row r="2547" spans="1:22" ht="13" x14ac:dyDescent="0.3">
      <c r="A2547" s="46">
        <f>'vHosts (Imported)'!A2547</f>
        <v>0</v>
      </c>
      <c r="B2547" s="51">
        <f t="shared" si="120"/>
        <v>4968</v>
      </c>
      <c r="C2547" s="49">
        <f>HLOOKUP("# Cores",'vHosts (Imported)'!$1:$5000,M2547,FALSE)</f>
        <v>0</v>
      </c>
      <c r="D2547" s="52">
        <f>HLOOKUP("# Memory",'vHosts (Imported)'!$1:$5000,M2547,FALSE)</f>
        <v>0</v>
      </c>
      <c r="M2547" s="45">
        <f t="shared" si="119"/>
        <v>2547</v>
      </c>
      <c r="N2547" s="38">
        <f>HLOOKUP("Host",'vInfo (Imported)'!$1:$5000,M2547,FALSE)</f>
        <v>0</v>
      </c>
      <c r="R2547">
        <f>HLOOKUP("CPUs",'vInfo (Imported)'!$1:$5000,M2547,FALSE)</f>
        <v>0</v>
      </c>
      <c r="S2547">
        <f>HLOOKUP("Memory",'vInfo (Imported)'!$1:$5000,M2547,FALSE)</f>
        <v>0</v>
      </c>
      <c r="T2547">
        <f>HLOOKUP("Provisioned MiB",'vInfo (Imported)'!$1:$5000,M2547,FALSE)</f>
        <v>0</v>
      </c>
      <c r="U2547">
        <f t="shared" si="118"/>
        <v>0</v>
      </c>
      <c r="V2547">
        <f>HLOOKUP("In Use MiB",'vInfo (Imported)'!$1:$5000,M2547,FALSE)</f>
        <v>0</v>
      </c>
    </row>
    <row r="2548" spans="1:22" ht="13" x14ac:dyDescent="0.3">
      <c r="A2548" s="46">
        <f>'vHosts (Imported)'!A2548</f>
        <v>0</v>
      </c>
      <c r="B2548" s="51">
        <f t="shared" si="120"/>
        <v>4968</v>
      </c>
      <c r="C2548" s="49">
        <f>HLOOKUP("# Cores",'vHosts (Imported)'!$1:$5000,M2548,FALSE)</f>
        <v>0</v>
      </c>
      <c r="D2548" s="52">
        <f>HLOOKUP("# Memory",'vHosts (Imported)'!$1:$5000,M2548,FALSE)</f>
        <v>0</v>
      </c>
      <c r="M2548" s="45">
        <f t="shared" si="119"/>
        <v>2548</v>
      </c>
      <c r="N2548" s="38">
        <f>HLOOKUP("Host",'vInfo (Imported)'!$1:$5000,M2548,FALSE)</f>
        <v>0</v>
      </c>
      <c r="R2548">
        <f>HLOOKUP("CPUs",'vInfo (Imported)'!$1:$5000,M2548,FALSE)</f>
        <v>0</v>
      </c>
      <c r="S2548">
        <f>HLOOKUP("Memory",'vInfo (Imported)'!$1:$5000,M2548,FALSE)</f>
        <v>0</v>
      </c>
      <c r="T2548">
        <f>HLOOKUP("Provisioned MiB",'vInfo (Imported)'!$1:$5000,M2548,FALSE)</f>
        <v>0</v>
      </c>
      <c r="U2548">
        <f t="shared" si="118"/>
        <v>0</v>
      </c>
      <c r="V2548">
        <f>HLOOKUP("In Use MiB",'vInfo (Imported)'!$1:$5000,M2548,FALSE)</f>
        <v>0</v>
      </c>
    </row>
    <row r="2549" spans="1:22" ht="13" x14ac:dyDescent="0.3">
      <c r="A2549" s="46">
        <f>'vHosts (Imported)'!A2549</f>
        <v>0</v>
      </c>
      <c r="B2549" s="51">
        <f t="shared" si="120"/>
        <v>4968</v>
      </c>
      <c r="C2549" s="49">
        <f>HLOOKUP("# Cores",'vHosts (Imported)'!$1:$5000,M2549,FALSE)</f>
        <v>0</v>
      </c>
      <c r="D2549" s="52">
        <f>HLOOKUP("# Memory",'vHosts (Imported)'!$1:$5000,M2549,FALSE)</f>
        <v>0</v>
      </c>
      <c r="M2549" s="45">
        <f t="shared" si="119"/>
        <v>2549</v>
      </c>
      <c r="N2549" s="38">
        <f>HLOOKUP("Host",'vInfo (Imported)'!$1:$5000,M2549,FALSE)</f>
        <v>0</v>
      </c>
      <c r="R2549">
        <f>HLOOKUP("CPUs",'vInfo (Imported)'!$1:$5000,M2549,FALSE)</f>
        <v>0</v>
      </c>
      <c r="S2549">
        <f>HLOOKUP("Memory",'vInfo (Imported)'!$1:$5000,M2549,FALSE)</f>
        <v>0</v>
      </c>
      <c r="T2549">
        <f>HLOOKUP("Provisioned MiB",'vInfo (Imported)'!$1:$5000,M2549,FALSE)</f>
        <v>0</v>
      </c>
      <c r="U2549">
        <f t="shared" si="118"/>
        <v>0</v>
      </c>
      <c r="V2549">
        <f>HLOOKUP("In Use MiB",'vInfo (Imported)'!$1:$5000,M2549,FALSE)</f>
        <v>0</v>
      </c>
    </row>
    <row r="2550" spans="1:22" ht="13" x14ac:dyDescent="0.3">
      <c r="A2550" s="46">
        <f>'vHosts (Imported)'!A2550</f>
        <v>0</v>
      </c>
      <c r="B2550" s="51">
        <f t="shared" si="120"/>
        <v>4968</v>
      </c>
      <c r="C2550" s="49">
        <f>HLOOKUP("# Cores",'vHosts (Imported)'!$1:$5000,M2550,FALSE)</f>
        <v>0</v>
      </c>
      <c r="D2550" s="52">
        <f>HLOOKUP("# Memory",'vHosts (Imported)'!$1:$5000,M2550,FALSE)</f>
        <v>0</v>
      </c>
      <c r="M2550" s="45">
        <f t="shared" si="119"/>
        <v>2550</v>
      </c>
      <c r="N2550" s="38">
        <f>HLOOKUP("Host",'vInfo (Imported)'!$1:$5000,M2550,FALSE)</f>
        <v>0</v>
      </c>
      <c r="R2550">
        <f>HLOOKUP("CPUs",'vInfo (Imported)'!$1:$5000,M2550,FALSE)</f>
        <v>0</v>
      </c>
      <c r="S2550">
        <f>HLOOKUP("Memory",'vInfo (Imported)'!$1:$5000,M2550,FALSE)</f>
        <v>0</v>
      </c>
      <c r="T2550">
        <f>HLOOKUP("Provisioned MiB",'vInfo (Imported)'!$1:$5000,M2550,FALSE)</f>
        <v>0</v>
      </c>
      <c r="U2550">
        <f t="shared" si="118"/>
        <v>0</v>
      </c>
      <c r="V2550">
        <f>HLOOKUP("In Use MiB",'vInfo (Imported)'!$1:$5000,M2550,FALSE)</f>
        <v>0</v>
      </c>
    </row>
    <row r="2551" spans="1:22" ht="13" x14ac:dyDescent="0.3">
      <c r="A2551" s="46">
        <f>'vHosts (Imported)'!A2551</f>
        <v>0</v>
      </c>
      <c r="B2551" s="51">
        <f t="shared" si="120"/>
        <v>4968</v>
      </c>
      <c r="C2551" s="49">
        <f>HLOOKUP("# Cores",'vHosts (Imported)'!$1:$5000,M2551,FALSE)</f>
        <v>0</v>
      </c>
      <c r="D2551" s="52">
        <f>HLOOKUP("# Memory",'vHosts (Imported)'!$1:$5000,M2551,FALSE)</f>
        <v>0</v>
      </c>
      <c r="M2551" s="45">
        <f t="shared" si="119"/>
        <v>2551</v>
      </c>
      <c r="N2551" s="38">
        <f>HLOOKUP("Host",'vInfo (Imported)'!$1:$5000,M2551,FALSE)</f>
        <v>0</v>
      </c>
      <c r="R2551">
        <f>HLOOKUP("CPUs",'vInfo (Imported)'!$1:$5000,M2551,FALSE)</f>
        <v>0</v>
      </c>
      <c r="S2551">
        <f>HLOOKUP("Memory",'vInfo (Imported)'!$1:$5000,M2551,FALSE)</f>
        <v>0</v>
      </c>
      <c r="T2551">
        <f>HLOOKUP("Provisioned MiB",'vInfo (Imported)'!$1:$5000,M2551,FALSE)</f>
        <v>0</v>
      </c>
      <c r="U2551">
        <f t="shared" si="118"/>
        <v>0</v>
      </c>
      <c r="V2551">
        <f>HLOOKUP("In Use MiB",'vInfo (Imported)'!$1:$5000,M2551,FALSE)</f>
        <v>0</v>
      </c>
    </row>
    <row r="2552" spans="1:22" ht="13" x14ac:dyDescent="0.3">
      <c r="A2552" s="46">
        <f>'vHosts (Imported)'!A2552</f>
        <v>0</v>
      </c>
      <c r="B2552" s="51">
        <f t="shared" si="120"/>
        <v>4968</v>
      </c>
      <c r="C2552" s="49">
        <f>HLOOKUP("# Cores",'vHosts (Imported)'!$1:$5000,M2552,FALSE)</f>
        <v>0</v>
      </c>
      <c r="D2552" s="52">
        <f>HLOOKUP("# Memory",'vHosts (Imported)'!$1:$5000,M2552,FALSE)</f>
        <v>0</v>
      </c>
      <c r="M2552" s="45">
        <f t="shared" si="119"/>
        <v>2552</v>
      </c>
      <c r="N2552" s="38">
        <f>HLOOKUP("Host",'vInfo (Imported)'!$1:$5000,M2552,FALSE)</f>
        <v>0</v>
      </c>
      <c r="R2552">
        <f>HLOOKUP("CPUs",'vInfo (Imported)'!$1:$5000,M2552,FALSE)</f>
        <v>0</v>
      </c>
      <c r="S2552">
        <f>HLOOKUP("Memory",'vInfo (Imported)'!$1:$5000,M2552,FALSE)</f>
        <v>0</v>
      </c>
      <c r="T2552">
        <f>HLOOKUP("Provisioned MiB",'vInfo (Imported)'!$1:$5000,M2552,FALSE)</f>
        <v>0</v>
      </c>
      <c r="U2552">
        <f t="shared" si="118"/>
        <v>0</v>
      </c>
      <c r="V2552">
        <f>HLOOKUP("In Use MiB",'vInfo (Imported)'!$1:$5000,M2552,FALSE)</f>
        <v>0</v>
      </c>
    </row>
    <row r="2553" spans="1:22" ht="13" x14ac:dyDescent="0.3">
      <c r="A2553" s="46">
        <f>'vHosts (Imported)'!A2553</f>
        <v>0</v>
      </c>
      <c r="B2553" s="51">
        <f t="shared" si="120"/>
        <v>4968</v>
      </c>
      <c r="C2553" s="49">
        <f>HLOOKUP("# Cores",'vHosts (Imported)'!$1:$5000,M2553,FALSE)</f>
        <v>0</v>
      </c>
      <c r="D2553" s="52">
        <f>HLOOKUP("# Memory",'vHosts (Imported)'!$1:$5000,M2553,FALSE)</f>
        <v>0</v>
      </c>
      <c r="M2553" s="45">
        <f t="shared" si="119"/>
        <v>2553</v>
      </c>
      <c r="N2553" s="38">
        <f>HLOOKUP("Host",'vInfo (Imported)'!$1:$5000,M2553,FALSE)</f>
        <v>0</v>
      </c>
      <c r="R2553">
        <f>HLOOKUP("CPUs",'vInfo (Imported)'!$1:$5000,M2553,FALSE)</f>
        <v>0</v>
      </c>
      <c r="S2553">
        <f>HLOOKUP("Memory",'vInfo (Imported)'!$1:$5000,M2553,FALSE)</f>
        <v>0</v>
      </c>
      <c r="T2553">
        <f>HLOOKUP("Provisioned MiB",'vInfo (Imported)'!$1:$5000,M2553,FALSE)</f>
        <v>0</v>
      </c>
      <c r="U2553">
        <f t="shared" si="118"/>
        <v>0</v>
      </c>
      <c r="V2553">
        <f>HLOOKUP("In Use MiB",'vInfo (Imported)'!$1:$5000,M2553,FALSE)</f>
        <v>0</v>
      </c>
    </row>
    <row r="2554" spans="1:22" ht="13" x14ac:dyDescent="0.3">
      <c r="A2554" s="46">
        <f>'vHosts (Imported)'!A2554</f>
        <v>0</v>
      </c>
      <c r="B2554" s="51">
        <f t="shared" si="120"/>
        <v>4968</v>
      </c>
      <c r="C2554" s="49">
        <f>HLOOKUP("# Cores",'vHosts (Imported)'!$1:$5000,M2554,FALSE)</f>
        <v>0</v>
      </c>
      <c r="D2554" s="52">
        <f>HLOOKUP("# Memory",'vHosts (Imported)'!$1:$5000,M2554,FALSE)</f>
        <v>0</v>
      </c>
      <c r="M2554" s="45">
        <f t="shared" si="119"/>
        <v>2554</v>
      </c>
      <c r="N2554" s="38">
        <f>HLOOKUP("Host",'vInfo (Imported)'!$1:$5000,M2554,FALSE)</f>
        <v>0</v>
      </c>
      <c r="R2554">
        <f>HLOOKUP("CPUs",'vInfo (Imported)'!$1:$5000,M2554,FALSE)</f>
        <v>0</v>
      </c>
      <c r="S2554">
        <f>HLOOKUP("Memory",'vInfo (Imported)'!$1:$5000,M2554,FALSE)</f>
        <v>0</v>
      </c>
      <c r="T2554">
        <f>HLOOKUP("Provisioned MiB",'vInfo (Imported)'!$1:$5000,M2554,FALSE)</f>
        <v>0</v>
      </c>
      <c r="U2554">
        <f t="shared" si="118"/>
        <v>0</v>
      </c>
      <c r="V2554">
        <f>HLOOKUP("In Use MiB",'vInfo (Imported)'!$1:$5000,M2554,FALSE)</f>
        <v>0</v>
      </c>
    </row>
    <row r="2555" spans="1:22" ht="13" x14ac:dyDescent="0.3">
      <c r="A2555" s="46">
        <f>'vHosts (Imported)'!A2555</f>
        <v>0</v>
      </c>
      <c r="B2555" s="51">
        <f t="shared" si="120"/>
        <v>4968</v>
      </c>
      <c r="C2555" s="49">
        <f>HLOOKUP("# Cores",'vHosts (Imported)'!$1:$5000,M2555,FALSE)</f>
        <v>0</v>
      </c>
      <c r="D2555" s="52">
        <f>HLOOKUP("# Memory",'vHosts (Imported)'!$1:$5000,M2555,FALSE)</f>
        <v>0</v>
      </c>
      <c r="M2555" s="45">
        <f t="shared" si="119"/>
        <v>2555</v>
      </c>
      <c r="N2555" s="38">
        <f>HLOOKUP("Host",'vInfo (Imported)'!$1:$5000,M2555,FALSE)</f>
        <v>0</v>
      </c>
      <c r="R2555">
        <f>HLOOKUP("CPUs",'vInfo (Imported)'!$1:$5000,M2555,FALSE)</f>
        <v>0</v>
      </c>
      <c r="S2555">
        <f>HLOOKUP("Memory",'vInfo (Imported)'!$1:$5000,M2555,FALSE)</f>
        <v>0</v>
      </c>
      <c r="T2555">
        <f>HLOOKUP("Provisioned MiB",'vInfo (Imported)'!$1:$5000,M2555,FALSE)</f>
        <v>0</v>
      </c>
      <c r="U2555">
        <f t="shared" si="118"/>
        <v>0</v>
      </c>
      <c r="V2555">
        <f>HLOOKUP("In Use MiB",'vInfo (Imported)'!$1:$5000,M2555,FALSE)</f>
        <v>0</v>
      </c>
    </row>
    <row r="2556" spans="1:22" ht="13" x14ac:dyDescent="0.3">
      <c r="A2556" s="46">
        <f>'vHosts (Imported)'!A2556</f>
        <v>0</v>
      </c>
      <c r="B2556" s="51">
        <f t="shared" si="120"/>
        <v>4968</v>
      </c>
      <c r="C2556" s="49">
        <f>HLOOKUP("# Cores",'vHosts (Imported)'!$1:$5000,M2556,FALSE)</f>
        <v>0</v>
      </c>
      <c r="D2556" s="52">
        <f>HLOOKUP("# Memory",'vHosts (Imported)'!$1:$5000,M2556,FALSE)</f>
        <v>0</v>
      </c>
      <c r="M2556" s="45">
        <f t="shared" si="119"/>
        <v>2556</v>
      </c>
      <c r="N2556" s="38">
        <f>HLOOKUP("Host",'vInfo (Imported)'!$1:$5000,M2556,FALSE)</f>
        <v>0</v>
      </c>
      <c r="R2556">
        <f>HLOOKUP("CPUs",'vInfo (Imported)'!$1:$5000,M2556,FALSE)</f>
        <v>0</v>
      </c>
      <c r="S2556">
        <f>HLOOKUP("Memory",'vInfo (Imported)'!$1:$5000,M2556,FALSE)</f>
        <v>0</v>
      </c>
      <c r="T2556">
        <f>HLOOKUP("Provisioned MiB",'vInfo (Imported)'!$1:$5000,M2556,FALSE)</f>
        <v>0</v>
      </c>
      <c r="U2556">
        <f t="shared" si="118"/>
        <v>0</v>
      </c>
      <c r="V2556">
        <f>HLOOKUP("In Use MiB",'vInfo (Imported)'!$1:$5000,M2556,FALSE)</f>
        <v>0</v>
      </c>
    </row>
    <row r="2557" spans="1:22" ht="13" x14ac:dyDescent="0.3">
      <c r="A2557" s="46">
        <f>'vHosts (Imported)'!A2557</f>
        <v>0</v>
      </c>
      <c r="B2557" s="51">
        <f t="shared" si="120"/>
        <v>4968</v>
      </c>
      <c r="C2557" s="49">
        <f>HLOOKUP("# Cores",'vHosts (Imported)'!$1:$5000,M2557,FALSE)</f>
        <v>0</v>
      </c>
      <c r="D2557" s="52">
        <f>HLOOKUP("# Memory",'vHosts (Imported)'!$1:$5000,M2557,FALSE)</f>
        <v>0</v>
      </c>
      <c r="M2557" s="45">
        <f t="shared" si="119"/>
        <v>2557</v>
      </c>
      <c r="N2557" s="38">
        <f>HLOOKUP("Host",'vInfo (Imported)'!$1:$5000,M2557,FALSE)</f>
        <v>0</v>
      </c>
      <c r="R2557">
        <f>HLOOKUP("CPUs",'vInfo (Imported)'!$1:$5000,M2557,FALSE)</f>
        <v>0</v>
      </c>
      <c r="S2557">
        <f>HLOOKUP("Memory",'vInfo (Imported)'!$1:$5000,M2557,FALSE)</f>
        <v>0</v>
      </c>
      <c r="T2557">
        <f>HLOOKUP("Provisioned MiB",'vInfo (Imported)'!$1:$5000,M2557,FALSE)</f>
        <v>0</v>
      </c>
      <c r="U2557">
        <f t="shared" si="118"/>
        <v>0</v>
      </c>
      <c r="V2557">
        <f>HLOOKUP("In Use MiB",'vInfo (Imported)'!$1:$5000,M2557,FALSE)</f>
        <v>0</v>
      </c>
    </row>
    <row r="2558" spans="1:22" ht="13" x14ac:dyDescent="0.3">
      <c r="A2558" s="46">
        <f>'vHosts (Imported)'!A2558</f>
        <v>0</v>
      </c>
      <c r="B2558" s="51">
        <f t="shared" si="120"/>
        <v>4968</v>
      </c>
      <c r="C2558" s="49">
        <f>HLOOKUP("# Cores",'vHosts (Imported)'!$1:$5000,M2558,FALSE)</f>
        <v>0</v>
      </c>
      <c r="D2558" s="52">
        <f>HLOOKUP("# Memory",'vHosts (Imported)'!$1:$5000,M2558,FALSE)</f>
        <v>0</v>
      </c>
      <c r="M2558" s="45">
        <f t="shared" si="119"/>
        <v>2558</v>
      </c>
      <c r="N2558" s="38">
        <f>HLOOKUP("Host",'vInfo (Imported)'!$1:$5000,M2558,FALSE)</f>
        <v>0</v>
      </c>
      <c r="R2558">
        <f>HLOOKUP("CPUs",'vInfo (Imported)'!$1:$5000,M2558,FALSE)</f>
        <v>0</v>
      </c>
      <c r="S2558">
        <f>HLOOKUP("Memory",'vInfo (Imported)'!$1:$5000,M2558,FALSE)</f>
        <v>0</v>
      </c>
      <c r="T2558">
        <f>HLOOKUP("Provisioned MiB",'vInfo (Imported)'!$1:$5000,M2558,FALSE)</f>
        <v>0</v>
      </c>
      <c r="U2558">
        <f t="shared" si="118"/>
        <v>0</v>
      </c>
      <c r="V2558">
        <f>HLOOKUP("In Use MiB",'vInfo (Imported)'!$1:$5000,M2558,FALSE)</f>
        <v>0</v>
      </c>
    </row>
    <row r="2559" spans="1:22" ht="13" x14ac:dyDescent="0.3">
      <c r="A2559" s="46">
        <f>'vHosts (Imported)'!A2559</f>
        <v>0</v>
      </c>
      <c r="B2559" s="51">
        <f t="shared" si="120"/>
        <v>4968</v>
      </c>
      <c r="C2559" s="49">
        <f>HLOOKUP("# Cores",'vHosts (Imported)'!$1:$5000,M2559,FALSE)</f>
        <v>0</v>
      </c>
      <c r="D2559" s="52">
        <f>HLOOKUP("# Memory",'vHosts (Imported)'!$1:$5000,M2559,FALSE)</f>
        <v>0</v>
      </c>
      <c r="M2559" s="45">
        <f t="shared" si="119"/>
        <v>2559</v>
      </c>
      <c r="N2559" s="38">
        <f>HLOOKUP("Host",'vInfo (Imported)'!$1:$5000,M2559,FALSE)</f>
        <v>0</v>
      </c>
      <c r="R2559">
        <f>HLOOKUP("CPUs",'vInfo (Imported)'!$1:$5000,M2559,FALSE)</f>
        <v>0</v>
      </c>
      <c r="S2559">
        <f>HLOOKUP("Memory",'vInfo (Imported)'!$1:$5000,M2559,FALSE)</f>
        <v>0</v>
      </c>
      <c r="T2559">
        <f>HLOOKUP("Provisioned MiB",'vInfo (Imported)'!$1:$5000,M2559,FALSE)</f>
        <v>0</v>
      </c>
      <c r="U2559">
        <f t="shared" si="118"/>
        <v>0</v>
      </c>
      <c r="V2559">
        <f>HLOOKUP("In Use MiB",'vInfo (Imported)'!$1:$5000,M2559,FALSE)</f>
        <v>0</v>
      </c>
    </row>
    <row r="2560" spans="1:22" ht="13" x14ac:dyDescent="0.3">
      <c r="A2560" s="46">
        <f>'vHosts (Imported)'!A2560</f>
        <v>0</v>
      </c>
      <c r="B2560" s="51">
        <f t="shared" si="120"/>
        <v>4968</v>
      </c>
      <c r="C2560" s="49">
        <f>HLOOKUP("# Cores",'vHosts (Imported)'!$1:$5000,M2560,FALSE)</f>
        <v>0</v>
      </c>
      <c r="D2560" s="52">
        <f>HLOOKUP("# Memory",'vHosts (Imported)'!$1:$5000,M2560,FALSE)</f>
        <v>0</v>
      </c>
      <c r="M2560" s="45">
        <f t="shared" si="119"/>
        <v>2560</v>
      </c>
      <c r="N2560" s="38">
        <f>HLOOKUP("Host",'vInfo (Imported)'!$1:$5000,M2560,FALSE)</f>
        <v>0</v>
      </c>
      <c r="R2560">
        <f>HLOOKUP("CPUs",'vInfo (Imported)'!$1:$5000,M2560,FALSE)</f>
        <v>0</v>
      </c>
      <c r="S2560">
        <f>HLOOKUP("Memory",'vInfo (Imported)'!$1:$5000,M2560,FALSE)</f>
        <v>0</v>
      </c>
      <c r="T2560">
        <f>HLOOKUP("Provisioned MiB",'vInfo (Imported)'!$1:$5000,M2560,FALSE)</f>
        <v>0</v>
      </c>
      <c r="U2560">
        <f t="shared" si="118"/>
        <v>0</v>
      </c>
      <c r="V2560">
        <f>HLOOKUP("In Use MiB",'vInfo (Imported)'!$1:$5000,M2560,FALSE)</f>
        <v>0</v>
      </c>
    </row>
    <row r="2561" spans="1:22" ht="13" x14ac:dyDescent="0.3">
      <c r="A2561" s="46">
        <f>'vHosts (Imported)'!A2561</f>
        <v>0</v>
      </c>
      <c r="B2561" s="51">
        <f t="shared" si="120"/>
        <v>4968</v>
      </c>
      <c r="C2561" s="49">
        <f>HLOOKUP("# Cores",'vHosts (Imported)'!$1:$5000,M2561,FALSE)</f>
        <v>0</v>
      </c>
      <c r="D2561" s="52">
        <f>HLOOKUP("# Memory",'vHosts (Imported)'!$1:$5000,M2561,FALSE)</f>
        <v>0</v>
      </c>
      <c r="M2561" s="45">
        <f t="shared" si="119"/>
        <v>2561</v>
      </c>
      <c r="N2561" s="38">
        <f>HLOOKUP("Host",'vInfo (Imported)'!$1:$5000,M2561,FALSE)</f>
        <v>0</v>
      </c>
      <c r="R2561">
        <f>HLOOKUP("CPUs",'vInfo (Imported)'!$1:$5000,M2561,FALSE)</f>
        <v>0</v>
      </c>
      <c r="S2561">
        <f>HLOOKUP("Memory",'vInfo (Imported)'!$1:$5000,M2561,FALSE)</f>
        <v>0</v>
      </c>
      <c r="T2561">
        <f>HLOOKUP("Provisioned MiB",'vInfo (Imported)'!$1:$5000,M2561,FALSE)</f>
        <v>0</v>
      </c>
      <c r="U2561">
        <f t="shared" si="118"/>
        <v>0</v>
      </c>
      <c r="V2561">
        <f>HLOOKUP("In Use MiB",'vInfo (Imported)'!$1:$5000,M2561,FALSE)</f>
        <v>0</v>
      </c>
    </row>
    <row r="2562" spans="1:22" ht="13" x14ac:dyDescent="0.3">
      <c r="A2562" s="46">
        <f>'vHosts (Imported)'!A2562</f>
        <v>0</v>
      </c>
      <c r="B2562" s="51">
        <f t="shared" si="120"/>
        <v>4968</v>
      </c>
      <c r="C2562" s="49">
        <f>HLOOKUP("# Cores",'vHosts (Imported)'!$1:$5000,M2562,FALSE)</f>
        <v>0</v>
      </c>
      <c r="D2562" s="52">
        <f>HLOOKUP("# Memory",'vHosts (Imported)'!$1:$5000,M2562,FALSE)</f>
        <v>0</v>
      </c>
      <c r="M2562" s="45">
        <f t="shared" si="119"/>
        <v>2562</v>
      </c>
      <c r="N2562" s="38">
        <f>HLOOKUP("Host",'vInfo (Imported)'!$1:$5000,M2562,FALSE)</f>
        <v>0</v>
      </c>
      <c r="R2562">
        <f>HLOOKUP("CPUs",'vInfo (Imported)'!$1:$5000,M2562,FALSE)</f>
        <v>0</v>
      </c>
      <c r="S2562">
        <f>HLOOKUP("Memory",'vInfo (Imported)'!$1:$5000,M2562,FALSE)</f>
        <v>0</v>
      </c>
      <c r="T2562">
        <f>HLOOKUP("Provisioned MiB",'vInfo (Imported)'!$1:$5000,M2562,FALSE)</f>
        <v>0</v>
      </c>
      <c r="U2562">
        <f t="shared" si="118"/>
        <v>0</v>
      </c>
      <c r="V2562">
        <f>HLOOKUP("In Use MiB",'vInfo (Imported)'!$1:$5000,M2562,FALSE)</f>
        <v>0</v>
      </c>
    </row>
    <row r="2563" spans="1:22" ht="13" x14ac:dyDescent="0.3">
      <c r="A2563" s="46">
        <f>'vHosts (Imported)'!A2563</f>
        <v>0</v>
      </c>
      <c r="B2563" s="51">
        <f t="shared" si="120"/>
        <v>4968</v>
      </c>
      <c r="C2563" s="49">
        <f>HLOOKUP("# Cores",'vHosts (Imported)'!$1:$5000,M2563,FALSE)</f>
        <v>0</v>
      </c>
      <c r="D2563" s="52">
        <f>HLOOKUP("# Memory",'vHosts (Imported)'!$1:$5000,M2563,FALSE)</f>
        <v>0</v>
      </c>
      <c r="M2563" s="45">
        <f t="shared" si="119"/>
        <v>2563</v>
      </c>
      <c r="N2563" s="38">
        <f>HLOOKUP("Host",'vInfo (Imported)'!$1:$5000,M2563,FALSE)</f>
        <v>0</v>
      </c>
      <c r="R2563">
        <f>HLOOKUP("CPUs",'vInfo (Imported)'!$1:$5000,M2563,FALSE)</f>
        <v>0</v>
      </c>
      <c r="S2563">
        <f>HLOOKUP("Memory",'vInfo (Imported)'!$1:$5000,M2563,FALSE)</f>
        <v>0</v>
      </c>
      <c r="T2563">
        <f>HLOOKUP("Provisioned MiB",'vInfo (Imported)'!$1:$5000,M2563,FALSE)</f>
        <v>0</v>
      </c>
      <c r="U2563">
        <f t="shared" ref="U2563:U2626" si="121">T2563-V2563</f>
        <v>0</v>
      </c>
      <c r="V2563">
        <f>HLOOKUP("In Use MiB",'vInfo (Imported)'!$1:$5000,M2563,FALSE)</f>
        <v>0</v>
      </c>
    </row>
    <row r="2564" spans="1:22" ht="13" x14ac:dyDescent="0.3">
      <c r="A2564" s="46">
        <f>'vHosts (Imported)'!A2564</f>
        <v>0</v>
      </c>
      <c r="B2564" s="51">
        <f t="shared" si="120"/>
        <v>4968</v>
      </c>
      <c r="C2564" s="49">
        <f>HLOOKUP("# Cores",'vHosts (Imported)'!$1:$5000,M2564,FALSE)</f>
        <v>0</v>
      </c>
      <c r="D2564" s="52">
        <f>HLOOKUP("# Memory",'vHosts (Imported)'!$1:$5000,M2564,FALSE)</f>
        <v>0</v>
      </c>
      <c r="M2564" s="45">
        <f t="shared" ref="M2564:M2627" si="122">M2563+1</f>
        <v>2564</v>
      </c>
      <c r="N2564" s="38">
        <f>HLOOKUP("Host",'vInfo (Imported)'!$1:$5000,M2564,FALSE)</f>
        <v>0</v>
      </c>
      <c r="R2564">
        <f>HLOOKUP("CPUs",'vInfo (Imported)'!$1:$5000,M2564,FALSE)</f>
        <v>0</v>
      </c>
      <c r="S2564">
        <f>HLOOKUP("Memory",'vInfo (Imported)'!$1:$5000,M2564,FALSE)</f>
        <v>0</v>
      </c>
      <c r="T2564">
        <f>HLOOKUP("Provisioned MiB",'vInfo (Imported)'!$1:$5000,M2564,FALSE)</f>
        <v>0</v>
      </c>
      <c r="U2564">
        <f t="shared" si="121"/>
        <v>0</v>
      </c>
      <c r="V2564">
        <f>HLOOKUP("In Use MiB",'vInfo (Imported)'!$1:$5000,M2564,FALSE)</f>
        <v>0</v>
      </c>
    </row>
    <row r="2565" spans="1:22" ht="13" x14ac:dyDescent="0.3">
      <c r="A2565" s="46">
        <f>'vHosts (Imported)'!A2565</f>
        <v>0</v>
      </c>
      <c r="B2565" s="51">
        <f t="shared" si="120"/>
        <v>4968</v>
      </c>
      <c r="C2565" s="49">
        <f>HLOOKUP("# Cores",'vHosts (Imported)'!$1:$5000,M2565,FALSE)</f>
        <v>0</v>
      </c>
      <c r="D2565" s="52">
        <f>HLOOKUP("# Memory",'vHosts (Imported)'!$1:$5000,M2565,FALSE)</f>
        <v>0</v>
      </c>
      <c r="M2565" s="45">
        <f t="shared" si="122"/>
        <v>2565</v>
      </c>
      <c r="N2565" s="38">
        <f>HLOOKUP("Host",'vInfo (Imported)'!$1:$5000,M2565,FALSE)</f>
        <v>0</v>
      </c>
      <c r="R2565">
        <f>HLOOKUP("CPUs",'vInfo (Imported)'!$1:$5000,M2565,FALSE)</f>
        <v>0</v>
      </c>
      <c r="S2565">
        <f>HLOOKUP("Memory",'vInfo (Imported)'!$1:$5000,M2565,FALSE)</f>
        <v>0</v>
      </c>
      <c r="T2565">
        <f>HLOOKUP("Provisioned MiB",'vInfo (Imported)'!$1:$5000,M2565,FALSE)</f>
        <v>0</v>
      </c>
      <c r="U2565">
        <f t="shared" si="121"/>
        <v>0</v>
      </c>
      <c r="V2565">
        <f>HLOOKUP("In Use MiB",'vInfo (Imported)'!$1:$5000,M2565,FALSE)</f>
        <v>0</v>
      </c>
    </row>
    <row r="2566" spans="1:22" ht="13" x14ac:dyDescent="0.3">
      <c r="A2566" s="46">
        <f>'vHosts (Imported)'!A2566</f>
        <v>0</v>
      </c>
      <c r="B2566" s="51">
        <f t="shared" si="120"/>
        <v>4968</v>
      </c>
      <c r="C2566" s="49">
        <f>HLOOKUP("# Cores",'vHosts (Imported)'!$1:$5000,M2566,FALSE)</f>
        <v>0</v>
      </c>
      <c r="D2566" s="52">
        <f>HLOOKUP("# Memory",'vHosts (Imported)'!$1:$5000,M2566,FALSE)</f>
        <v>0</v>
      </c>
      <c r="M2566" s="45">
        <f t="shared" si="122"/>
        <v>2566</v>
      </c>
      <c r="N2566" s="38">
        <f>HLOOKUP("Host",'vInfo (Imported)'!$1:$5000,M2566,FALSE)</f>
        <v>0</v>
      </c>
      <c r="R2566">
        <f>HLOOKUP("CPUs",'vInfo (Imported)'!$1:$5000,M2566,FALSE)</f>
        <v>0</v>
      </c>
      <c r="S2566">
        <f>HLOOKUP("Memory",'vInfo (Imported)'!$1:$5000,M2566,FALSE)</f>
        <v>0</v>
      </c>
      <c r="T2566">
        <f>HLOOKUP("Provisioned MiB",'vInfo (Imported)'!$1:$5000,M2566,FALSE)</f>
        <v>0</v>
      </c>
      <c r="U2566">
        <f t="shared" si="121"/>
        <v>0</v>
      </c>
      <c r="V2566">
        <f>HLOOKUP("In Use MiB",'vInfo (Imported)'!$1:$5000,M2566,FALSE)</f>
        <v>0</v>
      </c>
    </row>
    <row r="2567" spans="1:22" ht="13" x14ac:dyDescent="0.3">
      <c r="A2567" s="46">
        <f>'vHosts (Imported)'!A2567</f>
        <v>0</v>
      </c>
      <c r="B2567" s="51">
        <f t="shared" si="120"/>
        <v>4968</v>
      </c>
      <c r="C2567" s="49">
        <f>HLOOKUP("# Cores",'vHosts (Imported)'!$1:$5000,M2567,FALSE)</f>
        <v>0</v>
      </c>
      <c r="D2567" s="52">
        <f>HLOOKUP("# Memory",'vHosts (Imported)'!$1:$5000,M2567,FALSE)</f>
        <v>0</v>
      </c>
      <c r="M2567" s="45">
        <f t="shared" si="122"/>
        <v>2567</v>
      </c>
      <c r="N2567" s="38">
        <f>HLOOKUP("Host",'vInfo (Imported)'!$1:$5000,M2567,FALSE)</f>
        <v>0</v>
      </c>
      <c r="R2567">
        <f>HLOOKUP("CPUs",'vInfo (Imported)'!$1:$5000,M2567,FALSE)</f>
        <v>0</v>
      </c>
      <c r="S2567">
        <f>HLOOKUP("Memory",'vInfo (Imported)'!$1:$5000,M2567,FALSE)</f>
        <v>0</v>
      </c>
      <c r="T2567">
        <f>HLOOKUP("Provisioned MiB",'vInfo (Imported)'!$1:$5000,M2567,FALSE)</f>
        <v>0</v>
      </c>
      <c r="U2567">
        <f t="shared" si="121"/>
        <v>0</v>
      </c>
      <c r="V2567">
        <f>HLOOKUP("In Use MiB",'vInfo (Imported)'!$1:$5000,M2567,FALSE)</f>
        <v>0</v>
      </c>
    </row>
    <row r="2568" spans="1:22" ht="13" x14ac:dyDescent="0.3">
      <c r="A2568" s="46">
        <f>'vHosts (Imported)'!A2568</f>
        <v>0</v>
      </c>
      <c r="B2568" s="51">
        <f t="shared" si="120"/>
        <v>4968</v>
      </c>
      <c r="C2568" s="49">
        <f>HLOOKUP("# Cores",'vHosts (Imported)'!$1:$5000,M2568,FALSE)</f>
        <v>0</v>
      </c>
      <c r="D2568" s="52">
        <f>HLOOKUP("# Memory",'vHosts (Imported)'!$1:$5000,M2568,FALSE)</f>
        <v>0</v>
      </c>
      <c r="M2568" s="45">
        <f t="shared" si="122"/>
        <v>2568</v>
      </c>
      <c r="N2568" s="38">
        <f>HLOOKUP("Host",'vInfo (Imported)'!$1:$5000,M2568,FALSE)</f>
        <v>0</v>
      </c>
      <c r="R2568">
        <f>HLOOKUP("CPUs",'vInfo (Imported)'!$1:$5000,M2568,FALSE)</f>
        <v>0</v>
      </c>
      <c r="S2568">
        <f>HLOOKUP("Memory",'vInfo (Imported)'!$1:$5000,M2568,FALSE)</f>
        <v>0</v>
      </c>
      <c r="T2568">
        <f>HLOOKUP("Provisioned MiB",'vInfo (Imported)'!$1:$5000,M2568,FALSE)</f>
        <v>0</v>
      </c>
      <c r="U2568">
        <f t="shared" si="121"/>
        <v>0</v>
      </c>
      <c r="V2568">
        <f>HLOOKUP("In Use MiB",'vInfo (Imported)'!$1:$5000,M2568,FALSE)</f>
        <v>0</v>
      </c>
    </row>
    <row r="2569" spans="1:22" ht="13" x14ac:dyDescent="0.3">
      <c r="A2569" s="46">
        <f>'vHosts (Imported)'!A2569</f>
        <v>0</v>
      </c>
      <c r="B2569" s="51">
        <f t="shared" si="120"/>
        <v>4968</v>
      </c>
      <c r="C2569" s="49">
        <f>HLOOKUP("# Cores",'vHosts (Imported)'!$1:$5000,M2569,FALSE)</f>
        <v>0</v>
      </c>
      <c r="D2569" s="52">
        <f>HLOOKUP("# Memory",'vHosts (Imported)'!$1:$5000,M2569,FALSE)</f>
        <v>0</v>
      </c>
      <c r="M2569" s="45">
        <f t="shared" si="122"/>
        <v>2569</v>
      </c>
      <c r="N2569" s="38">
        <f>HLOOKUP("Host",'vInfo (Imported)'!$1:$5000,M2569,FALSE)</f>
        <v>0</v>
      </c>
      <c r="R2569">
        <f>HLOOKUP("CPUs",'vInfo (Imported)'!$1:$5000,M2569,FALSE)</f>
        <v>0</v>
      </c>
      <c r="S2569">
        <f>HLOOKUP("Memory",'vInfo (Imported)'!$1:$5000,M2569,FALSE)</f>
        <v>0</v>
      </c>
      <c r="T2569">
        <f>HLOOKUP("Provisioned MiB",'vInfo (Imported)'!$1:$5000,M2569,FALSE)</f>
        <v>0</v>
      </c>
      <c r="U2569">
        <f t="shared" si="121"/>
        <v>0</v>
      </c>
      <c r="V2569">
        <f>HLOOKUP("In Use MiB",'vInfo (Imported)'!$1:$5000,M2569,FALSE)</f>
        <v>0</v>
      </c>
    </row>
    <row r="2570" spans="1:22" ht="13" x14ac:dyDescent="0.3">
      <c r="A2570" s="46">
        <f>'vHosts (Imported)'!A2570</f>
        <v>0</v>
      </c>
      <c r="B2570" s="51">
        <f t="shared" si="120"/>
        <v>4968</v>
      </c>
      <c r="C2570" s="49">
        <f>HLOOKUP("# Cores",'vHosts (Imported)'!$1:$5000,M2570,FALSE)</f>
        <v>0</v>
      </c>
      <c r="D2570" s="52">
        <f>HLOOKUP("# Memory",'vHosts (Imported)'!$1:$5000,M2570,FALSE)</f>
        <v>0</v>
      </c>
      <c r="M2570" s="45">
        <f t="shared" si="122"/>
        <v>2570</v>
      </c>
      <c r="N2570" s="38">
        <f>HLOOKUP("Host",'vInfo (Imported)'!$1:$5000,M2570,FALSE)</f>
        <v>0</v>
      </c>
      <c r="R2570">
        <f>HLOOKUP("CPUs",'vInfo (Imported)'!$1:$5000,M2570,FALSE)</f>
        <v>0</v>
      </c>
      <c r="S2570">
        <f>HLOOKUP("Memory",'vInfo (Imported)'!$1:$5000,M2570,FALSE)</f>
        <v>0</v>
      </c>
      <c r="T2570">
        <f>HLOOKUP("Provisioned MiB",'vInfo (Imported)'!$1:$5000,M2570,FALSE)</f>
        <v>0</v>
      </c>
      <c r="U2570">
        <f t="shared" si="121"/>
        <v>0</v>
      </c>
      <c r="V2570">
        <f>HLOOKUP("In Use MiB",'vInfo (Imported)'!$1:$5000,M2570,FALSE)</f>
        <v>0</v>
      </c>
    </row>
    <row r="2571" spans="1:22" ht="13" x14ac:dyDescent="0.3">
      <c r="A2571" s="46">
        <f>'vHosts (Imported)'!A2571</f>
        <v>0</v>
      </c>
      <c r="B2571" s="51">
        <f t="shared" si="120"/>
        <v>4968</v>
      </c>
      <c r="C2571" s="49">
        <f>HLOOKUP("# Cores",'vHosts (Imported)'!$1:$5000,M2571,FALSE)</f>
        <v>0</v>
      </c>
      <c r="D2571" s="52">
        <f>HLOOKUP("# Memory",'vHosts (Imported)'!$1:$5000,M2571,FALSE)</f>
        <v>0</v>
      </c>
      <c r="M2571" s="45">
        <f t="shared" si="122"/>
        <v>2571</v>
      </c>
      <c r="N2571" s="38">
        <f>HLOOKUP("Host",'vInfo (Imported)'!$1:$5000,M2571,FALSE)</f>
        <v>0</v>
      </c>
      <c r="R2571">
        <f>HLOOKUP("CPUs",'vInfo (Imported)'!$1:$5000,M2571,FALSE)</f>
        <v>0</v>
      </c>
      <c r="S2571">
        <f>HLOOKUP("Memory",'vInfo (Imported)'!$1:$5000,M2571,FALSE)</f>
        <v>0</v>
      </c>
      <c r="T2571">
        <f>HLOOKUP("Provisioned MiB",'vInfo (Imported)'!$1:$5000,M2571,FALSE)</f>
        <v>0</v>
      </c>
      <c r="U2571">
        <f t="shared" si="121"/>
        <v>0</v>
      </c>
      <c r="V2571">
        <f>HLOOKUP("In Use MiB",'vInfo (Imported)'!$1:$5000,M2571,FALSE)</f>
        <v>0</v>
      </c>
    </row>
    <row r="2572" spans="1:22" ht="13" x14ac:dyDescent="0.3">
      <c r="A2572" s="46">
        <f>'vHosts (Imported)'!A2572</f>
        <v>0</v>
      </c>
      <c r="B2572" s="51">
        <f t="shared" si="120"/>
        <v>4968</v>
      </c>
      <c r="C2572" s="49">
        <f>HLOOKUP("# Cores",'vHosts (Imported)'!$1:$5000,M2572,FALSE)</f>
        <v>0</v>
      </c>
      <c r="D2572" s="52">
        <f>HLOOKUP("# Memory",'vHosts (Imported)'!$1:$5000,M2572,FALSE)</f>
        <v>0</v>
      </c>
      <c r="M2572" s="45">
        <f t="shared" si="122"/>
        <v>2572</v>
      </c>
      <c r="N2572" s="38">
        <f>HLOOKUP("Host",'vInfo (Imported)'!$1:$5000,M2572,FALSE)</f>
        <v>0</v>
      </c>
      <c r="R2572">
        <f>HLOOKUP("CPUs",'vInfo (Imported)'!$1:$5000,M2572,FALSE)</f>
        <v>0</v>
      </c>
      <c r="S2572">
        <f>HLOOKUP("Memory",'vInfo (Imported)'!$1:$5000,M2572,FALSE)</f>
        <v>0</v>
      </c>
      <c r="T2572">
        <f>HLOOKUP("Provisioned MiB",'vInfo (Imported)'!$1:$5000,M2572,FALSE)</f>
        <v>0</v>
      </c>
      <c r="U2572">
        <f t="shared" si="121"/>
        <v>0</v>
      </c>
      <c r="V2572">
        <f>HLOOKUP("In Use MiB",'vInfo (Imported)'!$1:$5000,M2572,FALSE)</f>
        <v>0</v>
      </c>
    </row>
    <row r="2573" spans="1:22" ht="13" x14ac:dyDescent="0.3">
      <c r="A2573" s="46">
        <f>'vHosts (Imported)'!A2573</f>
        <v>0</v>
      </c>
      <c r="B2573" s="51">
        <f t="shared" si="120"/>
        <v>4968</v>
      </c>
      <c r="C2573" s="49">
        <f>HLOOKUP("# Cores",'vHosts (Imported)'!$1:$5000,M2573,FALSE)</f>
        <v>0</v>
      </c>
      <c r="D2573" s="52">
        <f>HLOOKUP("# Memory",'vHosts (Imported)'!$1:$5000,M2573,FALSE)</f>
        <v>0</v>
      </c>
      <c r="M2573" s="45">
        <f t="shared" si="122"/>
        <v>2573</v>
      </c>
      <c r="N2573" s="38">
        <f>HLOOKUP("Host",'vInfo (Imported)'!$1:$5000,M2573,FALSE)</f>
        <v>0</v>
      </c>
      <c r="R2573">
        <f>HLOOKUP("CPUs",'vInfo (Imported)'!$1:$5000,M2573,FALSE)</f>
        <v>0</v>
      </c>
      <c r="S2573">
        <f>HLOOKUP("Memory",'vInfo (Imported)'!$1:$5000,M2573,FALSE)</f>
        <v>0</v>
      </c>
      <c r="T2573">
        <f>HLOOKUP("Provisioned MiB",'vInfo (Imported)'!$1:$5000,M2573,FALSE)</f>
        <v>0</v>
      </c>
      <c r="U2573">
        <f t="shared" si="121"/>
        <v>0</v>
      </c>
      <c r="V2573">
        <f>HLOOKUP("In Use MiB",'vInfo (Imported)'!$1:$5000,M2573,FALSE)</f>
        <v>0</v>
      </c>
    </row>
    <row r="2574" spans="1:22" ht="13" x14ac:dyDescent="0.3">
      <c r="A2574" s="46">
        <f>'vHosts (Imported)'!A2574</f>
        <v>0</v>
      </c>
      <c r="B2574" s="51">
        <f t="shared" si="120"/>
        <v>4968</v>
      </c>
      <c r="C2574" s="49">
        <f>HLOOKUP("# Cores",'vHosts (Imported)'!$1:$5000,M2574,FALSE)</f>
        <v>0</v>
      </c>
      <c r="D2574" s="52">
        <f>HLOOKUP("# Memory",'vHosts (Imported)'!$1:$5000,M2574,FALSE)</f>
        <v>0</v>
      </c>
      <c r="M2574" s="45">
        <f t="shared" si="122"/>
        <v>2574</v>
      </c>
      <c r="N2574" s="38">
        <f>HLOOKUP("Host",'vInfo (Imported)'!$1:$5000,M2574,FALSE)</f>
        <v>0</v>
      </c>
      <c r="R2574">
        <f>HLOOKUP("CPUs",'vInfo (Imported)'!$1:$5000,M2574,FALSE)</f>
        <v>0</v>
      </c>
      <c r="S2574">
        <f>HLOOKUP("Memory",'vInfo (Imported)'!$1:$5000,M2574,FALSE)</f>
        <v>0</v>
      </c>
      <c r="T2574">
        <f>HLOOKUP("Provisioned MiB",'vInfo (Imported)'!$1:$5000,M2574,FALSE)</f>
        <v>0</v>
      </c>
      <c r="U2574">
        <f t="shared" si="121"/>
        <v>0</v>
      </c>
      <c r="V2574">
        <f>HLOOKUP("In Use MiB",'vInfo (Imported)'!$1:$5000,M2574,FALSE)</f>
        <v>0</v>
      </c>
    </row>
    <row r="2575" spans="1:22" ht="13" x14ac:dyDescent="0.3">
      <c r="A2575" s="46">
        <f>'vHosts (Imported)'!A2575</f>
        <v>0</v>
      </c>
      <c r="B2575" s="51">
        <f t="shared" si="120"/>
        <v>4968</v>
      </c>
      <c r="C2575" s="49">
        <f>HLOOKUP("# Cores",'vHosts (Imported)'!$1:$5000,M2575,FALSE)</f>
        <v>0</v>
      </c>
      <c r="D2575" s="52">
        <f>HLOOKUP("# Memory",'vHosts (Imported)'!$1:$5000,M2575,FALSE)</f>
        <v>0</v>
      </c>
      <c r="M2575" s="45">
        <f t="shared" si="122"/>
        <v>2575</v>
      </c>
      <c r="N2575" s="38">
        <f>HLOOKUP("Host",'vInfo (Imported)'!$1:$5000,M2575,FALSE)</f>
        <v>0</v>
      </c>
      <c r="R2575">
        <f>HLOOKUP("CPUs",'vInfo (Imported)'!$1:$5000,M2575,FALSE)</f>
        <v>0</v>
      </c>
      <c r="S2575">
        <f>HLOOKUP("Memory",'vInfo (Imported)'!$1:$5000,M2575,FALSE)</f>
        <v>0</v>
      </c>
      <c r="T2575">
        <f>HLOOKUP("Provisioned MiB",'vInfo (Imported)'!$1:$5000,M2575,FALSE)</f>
        <v>0</v>
      </c>
      <c r="U2575">
        <f t="shared" si="121"/>
        <v>0</v>
      </c>
      <c r="V2575">
        <f>HLOOKUP("In Use MiB",'vInfo (Imported)'!$1:$5000,M2575,FALSE)</f>
        <v>0</v>
      </c>
    </row>
    <row r="2576" spans="1:22" ht="13" x14ac:dyDescent="0.3">
      <c r="A2576" s="46">
        <f>'vHosts (Imported)'!A2576</f>
        <v>0</v>
      </c>
      <c r="B2576" s="51">
        <f t="shared" si="120"/>
        <v>4968</v>
      </c>
      <c r="C2576" s="49">
        <f>HLOOKUP("# Cores",'vHosts (Imported)'!$1:$5000,M2576,FALSE)</f>
        <v>0</v>
      </c>
      <c r="D2576" s="52">
        <f>HLOOKUP("# Memory",'vHosts (Imported)'!$1:$5000,M2576,FALSE)</f>
        <v>0</v>
      </c>
      <c r="M2576" s="45">
        <f t="shared" si="122"/>
        <v>2576</v>
      </c>
      <c r="N2576" s="38">
        <f>HLOOKUP("Host",'vInfo (Imported)'!$1:$5000,M2576,FALSE)</f>
        <v>0</v>
      </c>
      <c r="R2576">
        <f>HLOOKUP("CPUs",'vInfo (Imported)'!$1:$5000,M2576,FALSE)</f>
        <v>0</v>
      </c>
      <c r="S2576">
        <f>HLOOKUP("Memory",'vInfo (Imported)'!$1:$5000,M2576,FALSE)</f>
        <v>0</v>
      </c>
      <c r="T2576">
        <f>HLOOKUP("Provisioned MiB",'vInfo (Imported)'!$1:$5000,M2576,FALSE)</f>
        <v>0</v>
      </c>
      <c r="U2576">
        <f t="shared" si="121"/>
        <v>0</v>
      </c>
      <c r="V2576">
        <f>HLOOKUP("In Use MiB",'vInfo (Imported)'!$1:$5000,M2576,FALSE)</f>
        <v>0</v>
      </c>
    </row>
    <row r="2577" spans="1:22" ht="13" x14ac:dyDescent="0.3">
      <c r="A2577" s="46">
        <f>'vHosts (Imported)'!A2577</f>
        <v>0</v>
      </c>
      <c r="B2577" s="51">
        <f t="shared" si="120"/>
        <v>4968</v>
      </c>
      <c r="C2577" s="49">
        <f>HLOOKUP("# Cores",'vHosts (Imported)'!$1:$5000,M2577,FALSE)</f>
        <v>0</v>
      </c>
      <c r="D2577" s="52">
        <f>HLOOKUP("# Memory",'vHosts (Imported)'!$1:$5000,M2577,FALSE)</f>
        <v>0</v>
      </c>
      <c r="M2577" s="45">
        <f t="shared" si="122"/>
        <v>2577</v>
      </c>
      <c r="N2577" s="38">
        <f>HLOOKUP("Host",'vInfo (Imported)'!$1:$5000,M2577,FALSE)</f>
        <v>0</v>
      </c>
      <c r="R2577">
        <f>HLOOKUP("CPUs",'vInfo (Imported)'!$1:$5000,M2577,FALSE)</f>
        <v>0</v>
      </c>
      <c r="S2577">
        <f>HLOOKUP("Memory",'vInfo (Imported)'!$1:$5000,M2577,FALSE)</f>
        <v>0</v>
      </c>
      <c r="T2577">
        <f>HLOOKUP("Provisioned MiB",'vInfo (Imported)'!$1:$5000,M2577,FALSE)</f>
        <v>0</v>
      </c>
      <c r="U2577">
        <f t="shared" si="121"/>
        <v>0</v>
      </c>
      <c r="V2577">
        <f>HLOOKUP("In Use MiB",'vInfo (Imported)'!$1:$5000,M2577,FALSE)</f>
        <v>0</v>
      </c>
    </row>
    <row r="2578" spans="1:22" ht="13" x14ac:dyDescent="0.3">
      <c r="A2578" s="46">
        <f>'vHosts (Imported)'!A2578</f>
        <v>0</v>
      </c>
      <c r="B2578" s="51">
        <f t="shared" si="120"/>
        <v>4968</v>
      </c>
      <c r="C2578" s="49">
        <f>HLOOKUP("# Cores",'vHosts (Imported)'!$1:$5000,M2578,FALSE)</f>
        <v>0</v>
      </c>
      <c r="D2578" s="52">
        <f>HLOOKUP("# Memory",'vHosts (Imported)'!$1:$5000,M2578,FALSE)</f>
        <v>0</v>
      </c>
      <c r="M2578" s="45">
        <f t="shared" si="122"/>
        <v>2578</v>
      </c>
      <c r="N2578" s="38">
        <f>HLOOKUP("Host",'vInfo (Imported)'!$1:$5000,M2578,FALSE)</f>
        <v>0</v>
      </c>
      <c r="R2578">
        <f>HLOOKUP("CPUs",'vInfo (Imported)'!$1:$5000,M2578,FALSE)</f>
        <v>0</v>
      </c>
      <c r="S2578">
        <f>HLOOKUP("Memory",'vInfo (Imported)'!$1:$5000,M2578,FALSE)</f>
        <v>0</v>
      </c>
      <c r="T2578">
        <f>HLOOKUP("Provisioned MiB",'vInfo (Imported)'!$1:$5000,M2578,FALSE)</f>
        <v>0</v>
      </c>
      <c r="U2578">
        <f t="shared" si="121"/>
        <v>0</v>
      </c>
      <c r="V2578">
        <f>HLOOKUP("In Use MiB",'vInfo (Imported)'!$1:$5000,M2578,FALSE)</f>
        <v>0</v>
      </c>
    </row>
    <row r="2579" spans="1:22" ht="13" x14ac:dyDescent="0.3">
      <c r="A2579" s="46">
        <f>'vHosts (Imported)'!A2579</f>
        <v>0</v>
      </c>
      <c r="B2579" s="51">
        <f t="shared" si="120"/>
        <v>4968</v>
      </c>
      <c r="C2579" s="49">
        <f>HLOOKUP("# Cores",'vHosts (Imported)'!$1:$5000,M2579,FALSE)</f>
        <v>0</v>
      </c>
      <c r="D2579" s="52">
        <f>HLOOKUP("# Memory",'vHosts (Imported)'!$1:$5000,M2579,FALSE)</f>
        <v>0</v>
      </c>
      <c r="M2579" s="45">
        <f t="shared" si="122"/>
        <v>2579</v>
      </c>
      <c r="N2579" s="38">
        <f>HLOOKUP("Host",'vInfo (Imported)'!$1:$5000,M2579,FALSE)</f>
        <v>0</v>
      </c>
      <c r="R2579">
        <f>HLOOKUP("CPUs",'vInfo (Imported)'!$1:$5000,M2579,FALSE)</f>
        <v>0</v>
      </c>
      <c r="S2579">
        <f>HLOOKUP("Memory",'vInfo (Imported)'!$1:$5000,M2579,FALSE)</f>
        <v>0</v>
      </c>
      <c r="T2579">
        <f>HLOOKUP("Provisioned MiB",'vInfo (Imported)'!$1:$5000,M2579,FALSE)</f>
        <v>0</v>
      </c>
      <c r="U2579">
        <f t="shared" si="121"/>
        <v>0</v>
      </c>
      <c r="V2579">
        <f>HLOOKUP("In Use MiB",'vInfo (Imported)'!$1:$5000,M2579,FALSE)</f>
        <v>0</v>
      </c>
    </row>
    <row r="2580" spans="1:22" ht="13" x14ac:dyDescent="0.3">
      <c r="A2580" s="46">
        <f>'vHosts (Imported)'!A2580</f>
        <v>0</v>
      </c>
      <c r="B2580" s="51">
        <f t="shared" si="120"/>
        <v>4968</v>
      </c>
      <c r="C2580" s="49">
        <f>HLOOKUP("# Cores",'vHosts (Imported)'!$1:$5000,M2580,FALSE)</f>
        <v>0</v>
      </c>
      <c r="D2580" s="52">
        <f>HLOOKUP("# Memory",'vHosts (Imported)'!$1:$5000,M2580,FALSE)</f>
        <v>0</v>
      </c>
      <c r="M2580" s="45">
        <f t="shared" si="122"/>
        <v>2580</v>
      </c>
      <c r="N2580" s="38">
        <f>HLOOKUP("Host",'vInfo (Imported)'!$1:$5000,M2580,FALSE)</f>
        <v>0</v>
      </c>
      <c r="R2580">
        <f>HLOOKUP("CPUs",'vInfo (Imported)'!$1:$5000,M2580,FALSE)</f>
        <v>0</v>
      </c>
      <c r="S2580">
        <f>HLOOKUP("Memory",'vInfo (Imported)'!$1:$5000,M2580,FALSE)</f>
        <v>0</v>
      </c>
      <c r="T2580">
        <f>HLOOKUP("Provisioned MiB",'vInfo (Imported)'!$1:$5000,M2580,FALSE)</f>
        <v>0</v>
      </c>
      <c r="U2580">
        <f t="shared" si="121"/>
        <v>0</v>
      </c>
      <c r="V2580">
        <f>HLOOKUP("In Use MiB",'vInfo (Imported)'!$1:$5000,M2580,FALSE)</f>
        <v>0</v>
      </c>
    </row>
    <row r="2581" spans="1:22" ht="13" x14ac:dyDescent="0.3">
      <c r="A2581" s="46">
        <f>'vHosts (Imported)'!A2581</f>
        <v>0</v>
      </c>
      <c r="B2581" s="51">
        <f t="shared" si="120"/>
        <v>4968</v>
      </c>
      <c r="C2581" s="49">
        <f>HLOOKUP("# Cores",'vHosts (Imported)'!$1:$5000,M2581,FALSE)</f>
        <v>0</v>
      </c>
      <c r="D2581" s="52">
        <f>HLOOKUP("# Memory",'vHosts (Imported)'!$1:$5000,M2581,FALSE)</f>
        <v>0</v>
      </c>
      <c r="M2581" s="45">
        <f t="shared" si="122"/>
        <v>2581</v>
      </c>
      <c r="N2581" s="38">
        <f>HLOOKUP("Host",'vInfo (Imported)'!$1:$5000,M2581,FALSE)</f>
        <v>0</v>
      </c>
      <c r="R2581">
        <f>HLOOKUP("CPUs",'vInfo (Imported)'!$1:$5000,M2581,FALSE)</f>
        <v>0</v>
      </c>
      <c r="S2581">
        <f>HLOOKUP("Memory",'vInfo (Imported)'!$1:$5000,M2581,FALSE)</f>
        <v>0</v>
      </c>
      <c r="T2581">
        <f>HLOOKUP("Provisioned MiB",'vInfo (Imported)'!$1:$5000,M2581,FALSE)</f>
        <v>0</v>
      </c>
      <c r="U2581">
        <f t="shared" si="121"/>
        <v>0</v>
      </c>
      <c r="V2581">
        <f>HLOOKUP("In Use MiB",'vInfo (Imported)'!$1:$5000,M2581,FALSE)</f>
        <v>0</v>
      </c>
    </row>
    <row r="2582" spans="1:22" ht="13" x14ac:dyDescent="0.3">
      <c r="A2582" s="46">
        <f>'vHosts (Imported)'!A2582</f>
        <v>0</v>
      </c>
      <c r="B2582" s="51">
        <f t="shared" si="120"/>
        <v>4968</v>
      </c>
      <c r="C2582" s="49">
        <f>HLOOKUP("# Cores",'vHosts (Imported)'!$1:$5000,M2582,FALSE)</f>
        <v>0</v>
      </c>
      <c r="D2582" s="52">
        <f>HLOOKUP("# Memory",'vHosts (Imported)'!$1:$5000,M2582,FALSE)</f>
        <v>0</v>
      </c>
      <c r="M2582" s="45">
        <f t="shared" si="122"/>
        <v>2582</v>
      </c>
      <c r="N2582" s="38">
        <f>HLOOKUP("Host",'vInfo (Imported)'!$1:$5000,M2582,FALSE)</f>
        <v>0</v>
      </c>
      <c r="R2582">
        <f>HLOOKUP("CPUs",'vInfo (Imported)'!$1:$5000,M2582,FALSE)</f>
        <v>0</v>
      </c>
      <c r="S2582">
        <f>HLOOKUP("Memory",'vInfo (Imported)'!$1:$5000,M2582,FALSE)</f>
        <v>0</v>
      </c>
      <c r="T2582">
        <f>HLOOKUP("Provisioned MiB",'vInfo (Imported)'!$1:$5000,M2582,FALSE)</f>
        <v>0</v>
      </c>
      <c r="U2582">
        <f t="shared" si="121"/>
        <v>0</v>
      </c>
      <c r="V2582">
        <f>HLOOKUP("In Use MiB",'vInfo (Imported)'!$1:$5000,M2582,FALSE)</f>
        <v>0</v>
      </c>
    </row>
    <row r="2583" spans="1:22" ht="13" x14ac:dyDescent="0.3">
      <c r="A2583" s="46">
        <f>'vHosts (Imported)'!A2583</f>
        <v>0</v>
      </c>
      <c r="B2583" s="51">
        <f t="shared" si="120"/>
        <v>4968</v>
      </c>
      <c r="C2583" s="49">
        <f>HLOOKUP("# Cores",'vHosts (Imported)'!$1:$5000,M2583,FALSE)</f>
        <v>0</v>
      </c>
      <c r="D2583" s="52">
        <f>HLOOKUP("# Memory",'vHosts (Imported)'!$1:$5000,M2583,FALSE)</f>
        <v>0</v>
      </c>
      <c r="M2583" s="45">
        <f t="shared" si="122"/>
        <v>2583</v>
      </c>
      <c r="N2583" s="38">
        <f>HLOOKUP("Host",'vInfo (Imported)'!$1:$5000,M2583,FALSE)</f>
        <v>0</v>
      </c>
      <c r="R2583">
        <f>HLOOKUP("CPUs",'vInfo (Imported)'!$1:$5000,M2583,FALSE)</f>
        <v>0</v>
      </c>
      <c r="S2583">
        <f>HLOOKUP("Memory",'vInfo (Imported)'!$1:$5000,M2583,FALSE)</f>
        <v>0</v>
      </c>
      <c r="T2583">
        <f>HLOOKUP("Provisioned MiB",'vInfo (Imported)'!$1:$5000,M2583,FALSE)</f>
        <v>0</v>
      </c>
      <c r="U2583">
        <f t="shared" si="121"/>
        <v>0</v>
      </c>
      <c r="V2583">
        <f>HLOOKUP("In Use MiB",'vInfo (Imported)'!$1:$5000,M2583,FALSE)</f>
        <v>0</v>
      </c>
    </row>
    <row r="2584" spans="1:22" ht="13" x14ac:dyDescent="0.3">
      <c r="A2584" s="46">
        <f>'vHosts (Imported)'!A2584</f>
        <v>0</v>
      </c>
      <c r="B2584" s="51">
        <f t="shared" si="120"/>
        <v>4968</v>
      </c>
      <c r="C2584" s="49">
        <f>HLOOKUP("# Cores",'vHosts (Imported)'!$1:$5000,M2584,FALSE)</f>
        <v>0</v>
      </c>
      <c r="D2584" s="52">
        <f>HLOOKUP("# Memory",'vHosts (Imported)'!$1:$5000,M2584,FALSE)</f>
        <v>0</v>
      </c>
      <c r="M2584" s="45">
        <f t="shared" si="122"/>
        <v>2584</v>
      </c>
      <c r="N2584" s="38">
        <f>HLOOKUP("Host",'vInfo (Imported)'!$1:$5000,M2584,FALSE)</f>
        <v>0</v>
      </c>
      <c r="R2584">
        <f>HLOOKUP("CPUs",'vInfo (Imported)'!$1:$5000,M2584,FALSE)</f>
        <v>0</v>
      </c>
      <c r="S2584">
        <f>HLOOKUP("Memory",'vInfo (Imported)'!$1:$5000,M2584,FALSE)</f>
        <v>0</v>
      </c>
      <c r="T2584">
        <f>HLOOKUP("Provisioned MiB",'vInfo (Imported)'!$1:$5000,M2584,FALSE)</f>
        <v>0</v>
      </c>
      <c r="U2584">
        <f t="shared" si="121"/>
        <v>0</v>
      </c>
      <c r="V2584">
        <f>HLOOKUP("In Use MiB",'vInfo (Imported)'!$1:$5000,M2584,FALSE)</f>
        <v>0</v>
      </c>
    </row>
    <row r="2585" spans="1:22" ht="13" x14ac:dyDescent="0.3">
      <c r="A2585" s="46">
        <f>'vHosts (Imported)'!A2585</f>
        <v>0</v>
      </c>
      <c r="B2585" s="51">
        <f t="shared" si="120"/>
        <v>4968</v>
      </c>
      <c r="C2585" s="49">
        <f>HLOOKUP("# Cores",'vHosts (Imported)'!$1:$5000,M2585,FALSE)</f>
        <v>0</v>
      </c>
      <c r="D2585" s="52">
        <f>HLOOKUP("# Memory",'vHosts (Imported)'!$1:$5000,M2585,FALSE)</f>
        <v>0</v>
      </c>
      <c r="M2585" s="45">
        <f t="shared" si="122"/>
        <v>2585</v>
      </c>
      <c r="N2585" s="38">
        <f>HLOOKUP("Host",'vInfo (Imported)'!$1:$5000,M2585,FALSE)</f>
        <v>0</v>
      </c>
      <c r="R2585">
        <f>HLOOKUP("CPUs",'vInfo (Imported)'!$1:$5000,M2585,FALSE)</f>
        <v>0</v>
      </c>
      <c r="S2585">
        <f>HLOOKUP("Memory",'vInfo (Imported)'!$1:$5000,M2585,FALSE)</f>
        <v>0</v>
      </c>
      <c r="T2585">
        <f>HLOOKUP("Provisioned MiB",'vInfo (Imported)'!$1:$5000,M2585,FALSE)</f>
        <v>0</v>
      </c>
      <c r="U2585">
        <f t="shared" si="121"/>
        <v>0</v>
      </c>
      <c r="V2585">
        <f>HLOOKUP("In Use MiB",'vInfo (Imported)'!$1:$5000,M2585,FALSE)</f>
        <v>0</v>
      </c>
    </row>
    <row r="2586" spans="1:22" ht="13" x14ac:dyDescent="0.3">
      <c r="A2586" s="46">
        <f>'vHosts (Imported)'!A2586</f>
        <v>0</v>
      </c>
      <c r="B2586" s="51">
        <f t="shared" si="120"/>
        <v>4968</v>
      </c>
      <c r="C2586" s="49">
        <f>HLOOKUP("# Cores",'vHosts (Imported)'!$1:$5000,M2586,FALSE)</f>
        <v>0</v>
      </c>
      <c r="D2586" s="52">
        <f>HLOOKUP("# Memory",'vHosts (Imported)'!$1:$5000,M2586,FALSE)</f>
        <v>0</v>
      </c>
      <c r="M2586" s="45">
        <f t="shared" si="122"/>
        <v>2586</v>
      </c>
      <c r="N2586" s="38">
        <f>HLOOKUP("Host",'vInfo (Imported)'!$1:$5000,M2586,FALSE)</f>
        <v>0</v>
      </c>
      <c r="R2586">
        <f>HLOOKUP("CPUs",'vInfo (Imported)'!$1:$5000,M2586,FALSE)</f>
        <v>0</v>
      </c>
      <c r="S2586">
        <f>HLOOKUP("Memory",'vInfo (Imported)'!$1:$5000,M2586,FALSE)</f>
        <v>0</v>
      </c>
      <c r="T2586">
        <f>HLOOKUP("Provisioned MiB",'vInfo (Imported)'!$1:$5000,M2586,FALSE)</f>
        <v>0</v>
      </c>
      <c r="U2586">
        <f t="shared" si="121"/>
        <v>0</v>
      </c>
      <c r="V2586">
        <f>HLOOKUP("In Use MiB",'vInfo (Imported)'!$1:$5000,M2586,FALSE)</f>
        <v>0</v>
      </c>
    </row>
    <row r="2587" spans="1:22" ht="13" x14ac:dyDescent="0.3">
      <c r="A2587" s="46">
        <f>'vHosts (Imported)'!A2587</f>
        <v>0</v>
      </c>
      <c r="B2587" s="51">
        <f t="shared" si="120"/>
        <v>4968</v>
      </c>
      <c r="C2587" s="49">
        <f>HLOOKUP("# Cores",'vHosts (Imported)'!$1:$5000,M2587,FALSE)</f>
        <v>0</v>
      </c>
      <c r="D2587" s="52">
        <f>HLOOKUP("# Memory",'vHosts (Imported)'!$1:$5000,M2587,FALSE)</f>
        <v>0</v>
      </c>
      <c r="M2587" s="45">
        <f t="shared" si="122"/>
        <v>2587</v>
      </c>
      <c r="N2587" s="38">
        <f>HLOOKUP("Host",'vInfo (Imported)'!$1:$5000,M2587,FALSE)</f>
        <v>0</v>
      </c>
      <c r="R2587">
        <f>HLOOKUP("CPUs",'vInfo (Imported)'!$1:$5000,M2587,FALSE)</f>
        <v>0</v>
      </c>
      <c r="S2587">
        <f>HLOOKUP("Memory",'vInfo (Imported)'!$1:$5000,M2587,FALSE)</f>
        <v>0</v>
      </c>
      <c r="T2587">
        <f>HLOOKUP("Provisioned MiB",'vInfo (Imported)'!$1:$5000,M2587,FALSE)</f>
        <v>0</v>
      </c>
      <c r="U2587">
        <f t="shared" si="121"/>
        <v>0</v>
      </c>
      <c r="V2587">
        <f>HLOOKUP("In Use MiB",'vInfo (Imported)'!$1:$5000,M2587,FALSE)</f>
        <v>0</v>
      </c>
    </row>
    <row r="2588" spans="1:22" ht="13" x14ac:dyDescent="0.3">
      <c r="A2588" s="46">
        <f>'vHosts (Imported)'!A2588</f>
        <v>0</v>
      </c>
      <c r="B2588" s="51">
        <f t="shared" si="120"/>
        <v>4968</v>
      </c>
      <c r="C2588" s="49">
        <f>HLOOKUP("# Cores",'vHosts (Imported)'!$1:$5000,M2588,FALSE)</f>
        <v>0</v>
      </c>
      <c r="D2588" s="52">
        <f>HLOOKUP("# Memory",'vHosts (Imported)'!$1:$5000,M2588,FALSE)</f>
        <v>0</v>
      </c>
      <c r="M2588" s="45">
        <f t="shared" si="122"/>
        <v>2588</v>
      </c>
      <c r="N2588" s="38">
        <f>HLOOKUP("Host",'vInfo (Imported)'!$1:$5000,M2588,FALSE)</f>
        <v>0</v>
      </c>
      <c r="R2588">
        <f>HLOOKUP("CPUs",'vInfo (Imported)'!$1:$5000,M2588,FALSE)</f>
        <v>0</v>
      </c>
      <c r="S2588">
        <f>HLOOKUP("Memory",'vInfo (Imported)'!$1:$5000,M2588,FALSE)</f>
        <v>0</v>
      </c>
      <c r="T2588">
        <f>HLOOKUP("Provisioned MiB",'vInfo (Imported)'!$1:$5000,M2588,FALSE)</f>
        <v>0</v>
      </c>
      <c r="U2588">
        <f t="shared" si="121"/>
        <v>0</v>
      </c>
      <c r="V2588">
        <f>HLOOKUP("In Use MiB",'vInfo (Imported)'!$1:$5000,M2588,FALSE)</f>
        <v>0</v>
      </c>
    </row>
    <row r="2589" spans="1:22" ht="13" x14ac:dyDescent="0.3">
      <c r="A2589" s="46">
        <f>'vHosts (Imported)'!A2589</f>
        <v>0</v>
      </c>
      <c r="B2589" s="51">
        <f t="shared" si="120"/>
        <v>4968</v>
      </c>
      <c r="C2589" s="49">
        <f>HLOOKUP("# Cores",'vHosts (Imported)'!$1:$5000,M2589,FALSE)</f>
        <v>0</v>
      </c>
      <c r="D2589" s="52">
        <f>HLOOKUP("# Memory",'vHosts (Imported)'!$1:$5000,M2589,FALSE)</f>
        <v>0</v>
      </c>
      <c r="M2589" s="45">
        <f t="shared" si="122"/>
        <v>2589</v>
      </c>
      <c r="N2589" s="38">
        <f>HLOOKUP("Host",'vInfo (Imported)'!$1:$5000,M2589,FALSE)</f>
        <v>0</v>
      </c>
      <c r="R2589">
        <f>HLOOKUP("CPUs",'vInfo (Imported)'!$1:$5000,M2589,FALSE)</f>
        <v>0</v>
      </c>
      <c r="S2589">
        <f>HLOOKUP("Memory",'vInfo (Imported)'!$1:$5000,M2589,FALSE)</f>
        <v>0</v>
      </c>
      <c r="T2589">
        <f>HLOOKUP("Provisioned MiB",'vInfo (Imported)'!$1:$5000,M2589,FALSE)</f>
        <v>0</v>
      </c>
      <c r="U2589">
        <f t="shared" si="121"/>
        <v>0</v>
      </c>
      <c r="V2589">
        <f>HLOOKUP("In Use MiB",'vInfo (Imported)'!$1:$5000,M2589,FALSE)</f>
        <v>0</v>
      </c>
    </row>
    <row r="2590" spans="1:22" ht="13" x14ac:dyDescent="0.3">
      <c r="A2590" s="46">
        <f>'vHosts (Imported)'!A2590</f>
        <v>0</v>
      </c>
      <c r="B2590" s="51">
        <f t="shared" si="120"/>
        <v>4968</v>
      </c>
      <c r="C2590" s="49">
        <f>HLOOKUP("# Cores",'vHosts (Imported)'!$1:$5000,M2590,FALSE)</f>
        <v>0</v>
      </c>
      <c r="D2590" s="52">
        <f>HLOOKUP("# Memory",'vHosts (Imported)'!$1:$5000,M2590,FALSE)</f>
        <v>0</v>
      </c>
      <c r="M2590" s="45">
        <f t="shared" si="122"/>
        <v>2590</v>
      </c>
      <c r="N2590" s="38">
        <f>HLOOKUP("Host",'vInfo (Imported)'!$1:$5000,M2590,FALSE)</f>
        <v>0</v>
      </c>
      <c r="R2590">
        <f>HLOOKUP("CPUs",'vInfo (Imported)'!$1:$5000,M2590,FALSE)</f>
        <v>0</v>
      </c>
      <c r="S2590">
        <f>HLOOKUP("Memory",'vInfo (Imported)'!$1:$5000,M2590,FALSE)</f>
        <v>0</v>
      </c>
      <c r="T2590">
        <f>HLOOKUP("Provisioned MiB",'vInfo (Imported)'!$1:$5000,M2590,FALSE)</f>
        <v>0</v>
      </c>
      <c r="U2590">
        <f t="shared" si="121"/>
        <v>0</v>
      </c>
      <c r="V2590">
        <f>HLOOKUP("In Use MiB",'vInfo (Imported)'!$1:$5000,M2590,FALSE)</f>
        <v>0</v>
      </c>
    </row>
    <row r="2591" spans="1:22" ht="13" x14ac:dyDescent="0.3">
      <c r="A2591" s="46">
        <f>'vHosts (Imported)'!A2591</f>
        <v>0</v>
      </c>
      <c r="B2591" s="51">
        <f t="shared" si="120"/>
        <v>4968</v>
      </c>
      <c r="C2591" s="49">
        <f>HLOOKUP("# Cores",'vHosts (Imported)'!$1:$5000,M2591,FALSE)</f>
        <v>0</v>
      </c>
      <c r="D2591" s="52">
        <f>HLOOKUP("# Memory",'vHosts (Imported)'!$1:$5000,M2591,FALSE)</f>
        <v>0</v>
      </c>
      <c r="M2591" s="45">
        <f t="shared" si="122"/>
        <v>2591</v>
      </c>
      <c r="N2591" s="38">
        <f>HLOOKUP("Host",'vInfo (Imported)'!$1:$5000,M2591,FALSE)</f>
        <v>0</v>
      </c>
      <c r="R2591">
        <f>HLOOKUP("CPUs",'vInfo (Imported)'!$1:$5000,M2591,FALSE)</f>
        <v>0</v>
      </c>
      <c r="S2591">
        <f>HLOOKUP("Memory",'vInfo (Imported)'!$1:$5000,M2591,FALSE)</f>
        <v>0</v>
      </c>
      <c r="T2591">
        <f>HLOOKUP("Provisioned MiB",'vInfo (Imported)'!$1:$5000,M2591,FALSE)</f>
        <v>0</v>
      </c>
      <c r="U2591">
        <f t="shared" si="121"/>
        <v>0</v>
      </c>
      <c r="V2591">
        <f>HLOOKUP("In Use MiB",'vInfo (Imported)'!$1:$5000,M2591,FALSE)</f>
        <v>0</v>
      </c>
    </row>
    <row r="2592" spans="1:22" ht="13" x14ac:dyDescent="0.3">
      <c r="A2592" s="46">
        <f>'vHosts (Imported)'!A2592</f>
        <v>0</v>
      </c>
      <c r="B2592" s="51">
        <f t="shared" si="120"/>
        <v>4968</v>
      </c>
      <c r="C2592" s="49">
        <f>HLOOKUP("# Cores",'vHosts (Imported)'!$1:$5000,M2592,FALSE)</f>
        <v>0</v>
      </c>
      <c r="D2592" s="52">
        <f>HLOOKUP("# Memory",'vHosts (Imported)'!$1:$5000,M2592,FALSE)</f>
        <v>0</v>
      </c>
      <c r="M2592" s="45">
        <f t="shared" si="122"/>
        <v>2592</v>
      </c>
      <c r="N2592" s="38">
        <f>HLOOKUP("Host",'vInfo (Imported)'!$1:$5000,M2592,FALSE)</f>
        <v>0</v>
      </c>
      <c r="R2592">
        <f>HLOOKUP("CPUs",'vInfo (Imported)'!$1:$5000,M2592,FALSE)</f>
        <v>0</v>
      </c>
      <c r="S2592">
        <f>HLOOKUP("Memory",'vInfo (Imported)'!$1:$5000,M2592,FALSE)</f>
        <v>0</v>
      </c>
      <c r="T2592">
        <f>HLOOKUP("Provisioned MiB",'vInfo (Imported)'!$1:$5000,M2592,FALSE)</f>
        <v>0</v>
      </c>
      <c r="U2592">
        <f t="shared" si="121"/>
        <v>0</v>
      </c>
      <c r="V2592">
        <f>HLOOKUP("In Use MiB",'vInfo (Imported)'!$1:$5000,M2592,FALSE)</f>
        <v>0</v>
      </c>
    </row>
    <row r="2593" spans="1:22" ht="13" x14ac:dyDescent="0.3">
      <c r="A2593" s="46">
        <f>'vHosts (Imported)'!A2593</f>
        <v>0</v>
      </c>
      <c r="B2593" s="51">
        <f t="shared" si="120"/>
        <v>4968</v>
      </c>
      <c r="C2593" s="49">
        <f>HLOOKUP("# Cores",'vHosts (Imported)'!$1:$5000,M2593,FALSE)</f>
        <v>0</v>
      </c>
      <c r="D2593" s="52">
        <f>HLOOKUP("# Memory",'vHosts (Imported)'!$1:$5000,M2593,FALSE)</f>
        <v>0</v>
      </c>
      <c r="M2593" s="45">
        <f t="shared" si="122"/>
        <v>2593</v>
      </c>
      <c r="N2593" s="38">
        <f>HLOOKUP("Host",'vInfo (Imported)'!$1:$5000,M2593,FALSE)</f>
        <v>0</v>
      </c>
      <c r="R2593">
        <f>HLOOKUP("CPUs",'vInfo (Imported)'!$1:$5000,M2593,FALSE)</f>
        <v>0</v>
      </c>
      <c r="S2593">
        <f>HLOOKUP("Memory",'vInfo (Imported)'!$1:$5000,M2593,FALSE)</f>
        <v>0</v>
      </c>
      <c r="T2593">
        <f>HLOOKUP("Provisioned MiB",'vInfo (Imported)'!$1:$5000,M2593,FALSE)</f>
        <v>0</v>
      </c>
      <c r="U2593">
        <f t="shared" si="121"/>
        <v>0</v>
      </c>
      <c r="V2593">
        <f>HLOOKUP("In Use MiB",'vInfo (Imported)'!$1:$5000,M2593,FALSE)</f>
        <v>0</v>
      </c>
    </row>
    <row r="2594" spans="1:22" ht="13" x14ac:dyDescent="0.3">
      <c r="A2594" s="46">
        <f>'vHosts (Imported)'!A2594</f>
        <v>0</v>
      </c>
      <c r="B2594" s="51">
        <f t="shared" si="120"/>
        <v>4968</v>
      </c>
      <c r="C2594" s="49">
        <f>HLOOKUP("# Cores",'vHosts (Imported)'!$1:$5000,M2594,FALSE)</f>
        <v>0</v>
      </c>
      <c r="D2594" s="52">
        <f>HLOOKUP("# Memory",'vHosts (Imported)'!$1:$5000,M2594,FALSE)</f>
        <v>0</v>
      </c>
      <c r="M2594" s="45">
        <f t="shared" si="122"/>
        <v>2594</v>
      </c>
      <c r="N2594" s="38">
        <f>HLOOKUP("Host",'vInfo (Imported)'!$1:$5000,M2594,FALSE)</f>
        <v>0</v>
      </c>
      <c r="R2594">
        <f>HLOOKUP("CPUs",'vInfo (Imported)'!$1:$5000,M2594,FALSE)</f>
        <v>0</v>
      </c>
      <c r="S2594">
        <f>HLOOKUP("Memory",'vInfo (Imported)'!$1:$5000,M2594,FALSE)</f>
        <v>0</v>
      </c>
      <c r="T2594">
        <f>HLOOKUP("Provisioned MiB",'vInfo (Imported)'!$1:$5000,M2594,FALSE)</f>
        <v>0</v>
      </c>
      <c r="U2594">
        <f t="shared" si="121"/>
        <v>0</v>
      </c>
      <c r="V2594">
        <f>HLOOKUP("In Use MiB",'vInfo (Imported)'!$1:$5000,M2594,FALSE)</f>
        <v>0</v>
      </c>
    </row>
    <row r="2595" spans="1:22" ht="13" x14ac:dyDescent="0.3">
      <c r="A2595" s="46">
        <f>'vHosts (Imported)'!A2595</f>
        <v>0</v>
      </c>
      <c r="B2595" s="51">
        <f t="shared" si="120"/>
        <v>4968</v>
      </c>
      <c r="C2595" s="49">
        <f>HLOOKUP("# Cores",'vHosts (Imported)'!$1:$5000,M2595,FALSE)</f>
        <v>0</v>
      </c>
      <c r="D2595" s="52">
        <f>HLOOKUP("# Memory",'vHosts (Imported)'!$1:$5000,M2595,FALSE)</f>
        <v>0</v>
      </c>
      <c r="M2595" s="45">
        <f t="shared" si="122"/>
        <v>2595</v>
      </c>
      <c r="N2595" s="38">
        <f>HLOOKUP("Host",'vInfo (Imported)'!$1:$5000,M2595,FALSE)</f>
        <v>0</v>
      </c>
      <c r="R2595">
        <f>HLOOKUP("CPUs",'vInfo (Imported)'!$1:$5000,M2595,FALSE)</f>
        <v>0</v>
      </c>
      <c r="S2595">
        <f>HLOOKUP("Memory",'vInfo (Imported)'!$1:$5000,M2595,FALSE)</f>
        <v>0</v>
      </c>
      <c r="T2595">
        <f>HLOOKUP("Provisioned MiB",'vInfo (Imported)'!$1:$5000,M2595,FALSE)</f>
        <v>0</v>
      </c>
      <c r="U2595">
        <f t="shared" si="121"/>
        <v>0</v>
      </c>
      <c r="V2595">
        <f>HLOOKUP("In Use MiB",'vInfo (Imported)'!$1:$5000,M2595,FALSE)</f>
        <v>0</v>
      </c>
    </row>
    <row r="2596" spans="1:22" ht="13" x14ac:dyDescent="0.3">
      <c r="A2596" s="46">
        <f>'vHosts (Imported)'!A2596</f>
        <v>0</v>
      </c>
      <c r="B2596" s="51">
        <f t="shared" si="120"/>
        <v>4968</v>
      </c>
      <c r="C2596" s="49">
        <f>HLOOKUP("# Cores",'vHosts (Imported)'!$1:$5000,M2596,FALSE)</f>
        <v>0</v>
      </c>
      <c r="D2596" s="52">
        <f>HLOOKUP("# Memory",'vHosts (Imported)'!$1:$5000,M2596,FALSE)</f>
        <v>0</v>
      </c>
      <c r="M2596" s="45">
        <f t="shared" si="122"/>
        <v>2596</v>
      </c>
      <c r="N2596" s="38">
        <f>HLOOKUP("Host",'vInfo (Imported)'!$1:$5000,M2596,FALSE)</f>
        <v>0</v>
      </c>
      <c r="R2596">
        <f>HLOOKUP("CPUs",'vInfo (Imported)'!$1:$5000,M2596,FALSE)</f>
        <v>0</v>
      </c>
      <c r="S2596">
        <f>HLOOKUP("Memory",'vInfo (Imported)'!$1:$5000,M2596,FALSE)</f>
        <v>0</v>
      </c>
      <c r="T2596">
        <f>HLOOKUP("Provisioned MiB",'vInfo (Imported)'!$1:$5000,M2596,FALSE)</f>
        <v>0</v>
      </c>
      <c r="U2596">
        <f t="shared" si="121"/>
        <v>0</v>
      </c>
      <c r="V2596">
        <f>HLOOKUP("In Use MiB",'vInfo (Imported)'!$1:$5000,M2596,FALSE)</f>
        <v>0</v>
      </c>
    </row>
    <row r="2597" spans="1:22" ht="13" x14ac:dyDescent="0.3">
      <c r="A2597" s="46">
        <f>'vHosts (Imported)'!A2597</f>
        <v>0</v>
      </c>
      <c r="B2597" s="51">
        <f t="shared" si="120"/>
        <v>4968</v>
      </c>
      <c r="C2597" s="49">
        <f>HLOOKUP("# Cores",'vHosts (Imported)'!$1:$5000,M2597,FALSE)</f>
        <v>0</v>
      </c>
      <c r="D2597" s="52">
        <f>HLOOKUP("# Memory",'vHosts (Imported)'!$1:$5000,M2597,FALSE)</f>
        <v>0</v>
      </c>
      <c r="M2597" s="45">
        <f t="shared" si="122"/>
        <v>2597</v>
      </c>
      <c r="N2597" s="38">
        <f>HLOOKUP("Host",'vInfo (Imported)'!$1:$5000,M2597,FALSE)</f>
        <v>0</v>
      </c>
      <c r="R2597">
        <f>HLOOKUP("CPUs",'vInfo (Imported)'!$1:$5000,M2597,FALSE)</f>
        <v>0</v>
      </c>
      <c r="S2597">
        <f>HLOOKUP("Memory",'vInfo (Imported)'!$1:$5000,M2597,FALSE)</f>
        <v>0</v>
      </c>
      <c r="T2597">
        <f>HLOOKUP("Provisioned MiB",'vInfo (Imported)'!$1:$5000,M2597,FALSE)</f>
        <v>0</v>
      </c>
      <c r="U2597">
        <f t="shared" si="121"/>
        <v>0</v>
      </c>
      <c r="V2597">
        <f>HLOOKUP("In Use MiB",'vInfo (Imported)'!$1:$5000,M2597,FALSE)</f>
        <v>0</v>
      </c>
    </row>
    <row r="2598" spans="1:22" ht="13" x14ac:dyDescent="0.3">
      <c r="A2598" s="46">
        <f>'vHosts (Imported)'!A2598</f>
        <v>0</v>
      </c>
      <c r="B2598" s="51">
        <f t="shared" si="120"/>
        <v>4968</v>
      </c>
      <c r="C2598" s="49">
        <f>HLOOKUP("# Cores",'vHosts (Imported)'!$1:$5000,M2598,FALSE)</f>
        <v>0</v>
      </c>
      <c r="D2598" s="52">
        <f>HLOOKUP("# Memory",'vHosts (Imported)'!$1:$5000,M2598,FALSE)</f>
        <v>0</v>
      </c>
      <c r="M2598" s="45">
        <f t="shared" si="122"/>
        <v>2598</v>
      </c>
      <c r="N2598" s="38">
        <f>HLOOKUP("Host",'vInfo (Imported)'!$1:$5000,M2598,FALSE)</f>
        <v>0</v>
      </c>
      <c r="R2598">
        <f>HLOOKUP("CPUs",'vInfo (Imported)'!$1:$5000,M2598,FALSE)</f>
        <v>0</v>
      </c>
      <c r="S2598">
        <f>HLOOKUP("Memory",'vInfo (Imported)'!$1:$5000,M2598,FALSE)</f>
        <v>0</v>
      </c>
      <c r="T2598">
        <f>HLOOKUP("Provisioned MiB",'vInfo (Imported)'!$1:$5000,M2598,FALSE)</f>
        <v>0</v>
      </c>
      <c r="U2598">
        <f t="shared" si="121"/>
        <v>0</v>
      </c>
      <c r="V2598">
        <f>HLOOKUP("In Use MiB",'vInfo (Imported)'!$1:$5000,M2598,FALSE)</f>
        <v>0</v>
      </c>
    </row>
    <row r="2599" spans="1:22" ht="13" x14ac:dyDescent="0.3">
      <c r="A2599" s="46">
        <f>'vHosts (Imported)'!A2599</f>
        <v>0</v>
      </c>
      <c r="B2599" s="51">
        <f t="shared" si="120"/>
        <v>4968</v>
      </c>
      <c r="C2599" s="49">
        <f>HLOOKUP("# Cores",'vHosts (Imported)'!$1:$5000,M2599,FALSE)</f>
        <v>0</v>
      </c>
      <c r="D2599" s="52">
        <f>HLOOKUP("# Memory",'vHosts (Imported)'!$1:$5000,M2599,FALSE)</f>
        <v>0</v>
      </c>
      <c r="M2599" s="45">
        <f t="shared" si="122"/>
        <v>2599</v>
      </c>
      <c r="N2599" s="38">
        <f>HLOOKUP("Host",'vInfo (Imported)'!$1:$5000,M2599,FALSE)</f>
        <v>0</v>
      </c>
      <c r="R2599">
        <f>HLOOKUP("CPUs",'vInfo (Imported)'!$1:$5000,M2599,FALSE)</f>
        <v>0</v>
      </c>
      <c r="S2599">
        <f>HLOOKUP("Memory",'vInfo (Imported)'!$1:$5000,M2599,FALSE)</f>
        <v>0</v>
      </c>
      <c r="T2599">
        <f>HLOOKUP("Provisioned MiB",'vInfo (Imported)'!$1:$5000,M2599,FALSE)</f>
        <v>0</v>
      </c>
      <c r="U2599">
        <f t="shared" si="121"/>
        <v>0</v>
      </c>
      <c r="V2599">
        <f>HLOOKUP("In Use MiB",'vInfo (Imported)'!$1:$5000,M2599,FALSE)</f>
        <v>0</v>
      </c>
    </row>
    <row r="2600" spans="1:22" ht="13" x14ac:dyDescent="0.3">
      <c r="A2600" s="46">
        <f>'vHosts (Imported)'!A2600</f>
        <v>0</v>
      </c>
      <c r="B2600" s="51">
        <f t="shared" ref="B2600:B2663" si="123">COUNTIF(N:N,A2600)</f>
        <v>4968</v>
      </c>
      <c r="C2600" s="49">
        <f>HLOOKUP("# Cores",'vHosts (Imported)'!$1:$5000,M2600,FALSE)</f>
        <v>0</v>
      </c>
      <c r="D2600" s="52">
        <f>HLOOKUP("# Memory",'vHosts (Imported)'!$1:$5000,M2600,FALSE)</f>
        <v>0</v>
      </c>
      <c r="M2600" s="45">
        <f t="shared" si="122"/>
        <v>2600</v>
      </c>
      <c r="N2600" s="38">
        <f>HLOOKUP("Host",'vInfo (Imported)'!$1:$5000,M2600,FALSE)</f>
        <v>0</v>
      </c>
      <c r="R2600">
        <f>HLOOKUP("CPUs",'vInfo (Imported)'!$1:$5000,M2600,FALSE)</f>
        <v>0</v>
      </c>
      <c r="S2600">
        <f>HLOOKUP("Memory",'vInfo (Imported)'!$1:$5000,M2600,FALSE)</f>
        <v>0</v>
      </c>
      <c r="T2600">
        <f>HLOOKUP("Provisioned MiB",'vInfo (Imported)'!$1:$5000,M2600,FALSE)</f>
        <v>0</v>
      </c>
      <c r="U2600">
        <f t="shared" si="121"/>
        <v>0</v>
      </c>
      <c r="V2600">
        <f>HLOOKUP("In Use MiB",'vInfo (Imported)'!$1:$5000,M2600,FALSE)</f>
        <v>0</v>
      </c>
    </row>
    <row r="2601" spans="1:22" ht="13" x14ac:dyDescent="0.3">
      <c r="A2601" s="46">
        <f>'vHosts (Imported)'!A2601</f>
        <v>0</v>
      </c>
      <c r="B2601" s="51">
        <f t="shared" si="123"/>
        <v>4968</v>
      </c>
      <c r="C2601" s="49">
        <f>HLOOKUP("# Cores",'vHosts (Imported)'!$1:$5000,M2601,FALSE)</f>
        <v>0</v>
      </c>
      <c r="D2601" s="52">
        <f>HLOOKUP("# Memory",'vHosts (Imported)'!$1:$5000,M2601,FALSE)</f>
        <v>0</v>
      </c>
      <c r="M2601" s="45">
        <f t="shared" si="122"/>
        <v>2601</v>
      </c>
      <c r="N2601" s="38">
        <f>HLOOKUP("Host",'vInfo (Imported)'!$1:$5000,M2601,FALSE)</f>
        <v>0</v>
      </c>
      <c r="R2601">
        <f>HLOOKUP("CPUs",'vInfo (Imported)'!$1:$5000,M2601,FALSE)</f>
        <v>0</v>
      </c>
      <c r="S2601">
        <f>HLOOKUP("Memory",'vInfo (Imported)'!$1:$5000,M2601,FALSE)</f>
        <v>0</v>
      </c>
      <c r="T2601">
        <f>HLOOKUP("Provisioned MiB",'vInfo (Imported)'!$1:$5000,M2601,FALSE)</f>
        <v>0</v>
      </c>
      <c r="U2601">
        <f t="shared" si="121"/>
        <v>0</v>
      </c>
      <c r="V2601">
        <f>HLOOKUP("In Use MiB",'vInfo (Imported)'!$1:$5000,M2601,FALSE)</f>
        <v>0</v>
      </c>
    </row>
    <row r="2602" spans="1:22" ht="13" x14ac:dyDescent="0.3">
      <c r="A2602" s="46">
        <f>'vHosts (Imported)'!A2602</f>
        <v>0</v>
      </c>
      <c r="B2602" s="51">
        <f t="shared" si="123"/>
        <v>4968</v>
      </c>
      <c r="C2602" s="49">
        <f>HLOOKUP("# Cores",'vHosts (Imported)'!$1:$5000,M2602,FALSE)</f>
        <v>0</v>
      </c>
      <c r="D2602" s="52">
        <f>HLOOKUP("# Memory",'vHosts (Imported)'!$1:$5000,M2602,FALSE)</f>
        <v>0</v>
      </c>
      <c r="M2602" s="45">
        <f t="shared" si="122"/>
        <v>2602</v>
      </c>
      <c r="N2602" s="38">
        <f>HLOOKUP("Host",'vInfo (Imported)'!$1:$5000,M2602,FALSE)</f>
        <v>0</v>
      </c>
      <c r="R2602">
        <f>HLOOKUP("CPUs",'vInfo (Imported)'!$1:$5000,M2602,FALSE)</f>
        <v>0</v>
      </c>
      <c r="S2602">
        <f>HLOOKUP("Memory",'vInfo (Imported)'!$1:$5000,M2602,FALSE)</f>
        <v>0</v>
      </c>
      <c r="T2602">
        <f>HLOOKUP("Provisioned MiB",'vInfo (Imported)'!$1:$5000,M2602,FALSE)</f>
        <v>0</v>
      </c>
      <c r="U2602">
        <f t="shared" si="121"/>
        <v>0</v>
      </c>
      <c r="V2602">
        <f>HLOOKUP("In Use MiB",'vInfo (Imported)'!$1:$5000,M2602,FALSE)</f>
        <v>0</v>
      </c>
    </row>
    <row r="2603" spans="1:22" ht="13" x14ac:dyDescent="0.3">
      <c r="A2603" s="46">
        <f>'vHosts (Imported)'!A2603</f>
        <v>0</v>
      </c>
      <c r="B2603" s="51">
        <f t="shared" si="123"/>
        <v>4968</v>
      </c>
      <c r="C2603" s="49">
        <f>HLOOKUP("# Cores",'vHosts (Imported)'!$1:$5000,M2603,FALSE)</f>
        <v>0</v>
      </c>
      <c r="D2603" s="52">
        <f>HLOOKUP("# Memory",'vHosts (Imported)'!$1:$5000,M2603,FALSE)</f>
        <v>0</v>
      </c>
      <c r="M2603" s="45">
        <f t="shared" si="122"/>
        <v>2603</v>
      </c>
      <c r="N2603" s="38">
        <f>HLOOKUP("Host",'vInfo (Imported)'!$1:$5000,M2603,FALSE)</f>
        <v>0</v>
      </c>
      <c r="R2603">
        <f>HLOOKUP("CPUs",'vInfo (Imported)'!$1:$5000,M2603,FALSE)</f>
        <v>0</v>
      </c>
      <c r="S2603">
        <f>HLOOKUP("Memory",'vInfo (Imported)'!$1:$5000,M2603,FALSE)</f>
        <v>0</v>
      </c>
      <c r="T2603">
        <f>HLOOKUP("Provisioned MiB",'vInfo (Imported)'!$1:$5000,M2603,FALSE)</f>
        <v>0</v>
      </c>
      <c r="U2603">
        <f t="shared" si="121"/>
        <v>0</v>
      </c>
      <c r="V2603">
        <f>HLOOKUP("In Use MiB",'vInfo (Imported)'!$1:$5000,M2603,FALSE)</f>
        <v>0</v>
      </c>
    </row>
    <row r="2604" spans="1:22" ht="13" x14ac:dyDescent="0.3">
      <c r="A2604" s="46">
        <f>'vHosts (Imported)'!A2604</f>
        <v>0</v>
      </c>
      <c r="B2604" s="51">
        <f t="shared" si="123"/>
        <v>4968</v>
      </c>
      <c r="C2604" s="49">
        <f>HLOOKUP("# Cores",'vHosts (Imported)'!$1:$5000,M2604,FALSE)</f>
        <v>0</v>
      </c>
      <c r="D2604" s="52">
        <f>HLOOKUP("# Memory",'vHosts (Imported)'!$1:$5000,M2604,FALSE)</f>
        <v>0</v>
      </c>
      <c r="M2604" s="45">
        <f t="shared" si="122"/>
        <v>2604</v>
      </c>
      <c r="N2604" s="38">
        <f>HLOOKUP("Host",'vInfo (Imported)'!$1:$5000,M2604,FALSE)</f>
        <v>0</v>
      </c>
      <c r="R2604">
        <f>HLOOKUP("CPUs",'vInfo (Imported)'!$1:$5000,M2604,FALSE)</f>
        <v>0</v>
      </c>
      <c r="S2604">
        <f>HLOOKUP("Memory",'vInfo (Imported)'!$1:$5000,M2604,FALSE)</f>
        <v>0</v>
      </c>
      <c r="T2604">
        <f>HLOOKUP("Provisioned MiB",'vInfo (Imported)'!$1:$5000,M2604,FALSE)</f>
        <v>0</v>
      </c>
      <c r="U2604">
        <f t="shared" si="121"/>
        <v>0</v>
      </c>
      <c r="V2604">
        <f>HLOOKUP("In Use MiB",'vInfo (Imported)'!$1:$5000,M2604,FALSE)</f>
        <v>0</v>
      </c>
    </row>
    <row r="2605" spans="1:22" ht="13" x14ac:dyDescent="0.3">
      <c r="A2605" s="46">
        <f>'vHosts (Imported)'!A2605</f>
        <v>0</v>
      </c>
      <c r="B2605" s="51">
        <f t="shared" si="123"/>
        <v>4968</v>
      </c>
      <c r="C2605" s="49">
        <f>HLOOKUP("# Cores",'vHosts (Imported)'!$1:$5000,M2605,FALSE)</f>
        <v>0</v>
      </c>
      <c r="D2605" s="52">
        <f>HLOOKUP("# Memory",'vHosts (Imported)'!$1:$5000,M2605,FALSE)</f>
        <v>0</v>
      </c>
      <c r="M2605" s="45">
        <f t="shared" si="122"/>
        <v>2605</v>
      </c>
      <c r="N2605" s="38">
        <f>HLOOKUP("Host",'vInfo (Imported)'!$1:$5000,M2605,FALSE)</f>
        <v>0</v>
      </c>
      <c r="R2605">
        <f>HLOOKUP("CPUs",'vInfo (Imported)'!$1:$5000,M2605,FALSE)</f>
        <v>0</v>
      </c>
      <c r="S2605">
        <f>HLOOKUP("Memory",'vInfo (Imported)'!$1:$5000,M2605,FALSE)</f>
        <v>0</v>
      </c>
      <c r="T2605">
        <f>HLOOKUP("Provisioned MiB",'vInfo (Imported)'!$1:$5000,M2605,FALSE)</f>
        <v>0</v>
      </c>
      <c r="U2605">
        <f t="shared" si="121"/>
        <v>0</v>
      </c>
      <c r="V2605">
        <f>HLOOKUP("In Use MiB",'vInfo (Imported)'!$1:$5000,M2605,FALSE)</f>
        <v>0</v>
      </c>
    </row>
    <row r="2606" spans="1:22" ht="13" x14ac:dyDescent="0.3">
      <c r="A2606" s="46">
        <f>'vHosts (Imported)'!A2606</f>
        <v>0</v>
      </c>
      <c r="B2606" s="51">
        <f t="shared" si="123"/>
        <v>4968</v>
      </c>
      <c r="C2606" s="49">
        <f>HLOOKUP("# Cores",'vHosts (Imported)'!$1:$5000,M2606,FALSE)</f>
        <v>0</v>
      </c>
      <c r="D2606" s="52">
        <f>HLOOKUP("# Memory",'vHosts (Imported)'!$1:$5000,M2606,FALSE)</f>
        <v>0</v>
      </c>
      <c r="M2606" s="45">
        <f t="shared" si="122"/>
        <v>2606</v>
      </c>
      <c r="N2606" s="38">
        <f>HLOOKUP("Host",'vInfo (Imported)'!$1:$5000,M2606,FALSE)</f>
        <v>0</v>
      </c>
      <c r="R2606">
        <f>HLOOKUP("CPUs",'vInfo (Imported)'!$1:$5000,M2606,FALSE)</f>
        <v>0</v>
      </c>
      <c r="S2606">
        <f>HLOOKUP("Memory",'vInfo (Imported)'!$1:$5000,M2606,FALSE)</f>
        <v>0</v>
      </c>
      <c r="T2606">
        <f>HLOOKUP("Provisioned MiB",'vInfo (Imported)'!$1:$5000,M2606,FALSE)</f>
        <v>0</v>
      </c>
      <c r="U2606">
        <f t="shared" si="121"/>
        <v>0</v>
      </c>
      <c r="V2606">
        <f>HLOOKUP("In Use MiB",'vInfo (Imported)'!$1:$5000,M2606,FALSE)</f>
        <v>0</v>
      </c>
    </row>
    <row r="2607" spans="1:22" ht="13" x14ac:dyDescent="0.3">
      <c r="A2607" s="46">
        <f>'vHosts (Imported)'!A2607</f>
        <v>0</v>
      </c>
      <c r="B2607" s="51">
        <f t="shared" si="123"/>
        <v>4968</v>
      </c>
      <c r="C2607" s="49">
        <f>HLOOKUP("# Cores",'vHosts (Imported)'!$1:$5000,M2607,FALSE)</f>
        <v>0</v>
      </c>
      <c r="D2607" s="52">
        <f>HLOOKUP("# Memory",'vHosts (Imported)'!$1:$5000,M2607,FALSE)</f>
        <v>0</v>
      </c>
      <c r="M2607" s="45">
        <f t="shared" si="122"/>
        <v>2607</v>
      </c>
      <c r="N2607" s="38">
        <f>HLOOKUP("Host",'vInfo (Imported)'!$1:$5000,M2607,FALSE)</f>
        <v>0</v>
      </c>
      <c r="R2607">
        <f>HLOOKUP("CPUs",'vInfo (Imported)'!$1:$5000,M2607,FALSE)</f>
        <v>0</v>
      </c>
      <c r="S2607">
        <f>HLOOKUP("Memory",'vInfo (Imported)'!$1:$5000,M2607,FALSE)</f>
        <v>0</v>
      </c>
      <c r="T2607">
        <f>HLOOKUP("Provisioned MiB",'vInfo (Imported)'!$1:$5000,M2607,FALSE)</f>
        <v>0</v>
      </c>
      <c r="U2607">
        <f t="shared" si="121"/>
        <v>0</v>
      </c>
      <c r="V2607">
        <f>HLOOKUP("In Use MiB",'vInfo (Imported)'!$1:$5000,M2607,FALSE)</f>
        <v>0</v>
      </c>
    </row>
    <row r="2608" spans="1:22" ht="13" x14ac:dyDescent="0.3">
      <c r="A2608" s="46">
        <f>'vHosts (Imported)'!A2608</f>
        <v>0</v>
      </c>
      <c r="B2608" s="51">
        <f t="shared" si="123"/>
        <v>4968</v>
      </c>
      <c r="C2608" s="49">
        <f>HLOOKUP("# Cores",'vHosts (Imported)'!$1:$5000,M2608,FALSE)</f>
        <v>0</v>
      </c>
      <c r="D2608" s="52">
        <f>HLOOKUP("# Memory",'vHosts (Imported)'!$1:$5000,M2608,FALSE)</f>
        <v>0</v>
      </c>
      <c r="M2608" s="45">
        <f t="shared" si="122"/>
        <v>2608</v>
      </c>
      <c r="N2608" s="38">
        <f>HLOOKUP("Host",'vInfo (Imported)'!$1:$5000,M2608,FALSE)</f>
        <v>0</v>
      </c>
      <c r="R2608">
        <f>HLOOKUP("CPUs",'vInfo (Imported)'!$1:$5000,M2608,FALSE)</f>
        <v>0</v>
      </c>
      <c r="S2608">
        <f>HLOOKUP("Memory",'vInfo (Imported)'!$1:$5000,M2608,FALSE)</f>
        <v>0</v>
      </c>
      <c r="T2608">
        <f>HLOOKUP("Provisioned MiB",'vInfo (Imported)'!$1:$5000,M2608,FALSE)</f>
        <v>0</v>
      </c>
      <c r="U2608">
        <f t="shared" si="121"/>
        <v>0</v>
      </c>
      <c r="V2608">
        <f>HLOOKUP("In Use MiB",'vInfo (Imported)'!$1:$5000,M2608,FALSE)</f>
        <v>0</v>
      </c>
    </row>
    <row r="2609" spans="1:22" ht="13" x14ac:dyDescent="0.3">
      <c r="A2609" s="46">
        <f>'vHosts (Imported)'!A2609</f>
        <v>0</v>
      </c>
      <c r="B2609" s="51">
        <f t="shared" si="123"/>
        <v>4968</v>
      </c>
      <c r="C2609" s="49">
        <f>HLOOKUP("# Cores",'vHosts (Imported)'!$1:$5000,M2609,FALSE)</f>
        <v>0</v>
      </c>
      <c r="D2609" s="52">
        <f>HLOOKUP("# Memory",'vHosts (Imported)'!$1:$5000,M2609,FALSE)</f>
        <v>0</v>
      </c>
      <c r="M2609" s="45">
        <f t="shared" si="122"/>
        <v>2609</v>
      </c>
      <c r="N2609" s="38">
        <f>HLOOKUP("Host",'vInfo (Imported)'!$1:$5000,M2609,FALSE)</f>
        <v>0</v>
      </c>
      <c r="R2609">
        <f>HLOOKUP("CPUs",'vInfo (Imported)'!$1:$5000,M2609,FALSE)</f>
        <v>0</v>
      </c>
      <c r="S2609">
        <f>HLOOKUP("Memory",'vInfo (Imported)'!$1:$5000,M2609,FALSE)</f>
        <v>0</v>
      </c>
      <c r="T2609">
        <f>HLOOKUP("Provisioned MiB",'vInfo (Imported)'!$1:$5000,M2609,FALSE)</f>
        <v>0</v>
      </c>
      <c r="U2609">
        <f t="shared" si="121"/>
        <v>0</v>
      </c>
      <c r="V2609">
        <f>HLOOKUP("In Use MiB",'vInfo (Imported)'!$1:$5000,M2609,FALSE)</f>
        <v>0</v>
      </c>
    </row>
    <row r="2610" spans="1:22" ht="13" x14ac:dyDescent="0.3">
      <c r="A2610" s="46">
        <f>'vHosts (Imported)'!A2610</f>
        <v>0</v>
      </c>
      <c r="B2610" s="51">
        <f t="shared" si="123"/>
        <v>4968</v>
      </c>
      <c r="C2610" s="49">
        <f>HLOOKUP("# Cores",'vHosts (Imported)'!$1:$5000,M2610,FALSE)</f>
        <v>0</v>
      </c>
      <c r="D2610" s="52">
        <f>HLOOKUP("# Memory",'vHosts (Imported)'!$1:$5000,M2610,FALSE)</f>
        <v>0</v>
      </c>
      <c r="M2610" s="45">
        <f t="shared" si="122"/>
        <v>2610</v>
      </c>
      <c r="N2610" s="38">
        <f>HLOOKUP("Host",'vInfo (Imported)'!$1:$5000,M2610,FALSE)</f>
        <v>0</v>
      </c>
      <c r="R2610">
        <f>HLOOKUP("CPUs",'vInfo (Imported)'!$1:$5000,M2610,FALSE)</f>
        <v>0</v>
      </c>
      <c r="S2610">
        <f>HLOOKUP("Memory",'vInfo (Imported)'!$1:$5000,M2610,FALSE)</f>
        <v>0</v>
      </c>
      <c r="T2610">
        <f>HLOOKUP("Provisioned MiB",'vInfo (Imported)'!$1:$5000,M2610,FALSE)</f>
        <v>0</v>
      </c>
      <c r="U2610">
        <f t="shared" si="121"/>
        <v>0</v>
      </c>
      <c r="V2610">
        <f>HLOOKUP("In Use MiB",'vInfo (Imported)'!$1:$5000,M2610,FALSE)</f>
        <v>0</v>
      </c>
    </row>
    <row r="2611" spans="1:22" ht="13" x14ac:dyDescent="0.3">
      <c r="A2611" s="46">
        <f>'vHosts (Imported)'!A2611</f>
        <v>0</v>
      </c>
      <c r="B2611" s="51">
        <f t="shared" si="123"/>
        <v>4968</v>
      </c>
      <c r="C2611" s="49">
        <f>HLOOKUP("# Cores",'vHosts (Imported)'!$1:$5000,M2611,FALSE)</f>
        <v>0</v>
      </c>
      <c r="D2611" s="52">
        <f>HLOOKUP("# Memory",'vHosts (Imported)'!$1:$5000,M2611,FALSE)</f>
        <v>0</v>
      </c>
      <c r="M2611" s="45">
        <f t="shared" si="122"/>
        <v>2611</v>
      </c>
      <c r="N2611" s="38">
        <f>HLOOKUP("Host",'vInfo (Imported)'!$1:$5000,M2611,FALSE)</f>
        <v>0</v>
      </c>
      <c r="R2611">
        <f>HLOOKUP("CPUs",'vInfo (Imported)'!$1:$5000,M2611,FALSE)</f>
        <v>0</v>
      </c>
      <c r="S2611">
        <f>HLOOKUP("Memory",'vInfo (Imported)'!$1:$5000,M2611,FALSE)</f>
        <v>0</v>
      </c>
      <c r="T2611">
        <f>HLOOKUP("Provisioned MiB",'vInfo (Imported)'!$1:$5000,M2611,FALSE)</f>
        <v>0</v>
      </c>
      <c r="U2611">
        <f t="shared" si="121"/>
        <v>0</v>
      </c>
      <c r="V2611">
        <f>HLOOKUP("In Use MiB",'vInfo (Imported)'!$1:$5000,M2611,FALSE)</f>
        <v>0</v>
      </c>
    </row>
    <row r="2612" spans="1:22" ht="13" x14ac:dyDescent="0.3">
      <c r="A2612" s="46">
        <f>'vHosts (Imported)'!A2612</f>
        <v>0</v>
      </c>
      <c r="B2612" s="51">
        <f t="shared" si="123"/>
        <v>4968</v>
      </c>
      <c r="C2612" s="49">
        <f>HLOOKUP("# Cores",'vHosts (Imported)'!$1:$5000,M2612,FALSE)</f>
        <v>0</v>
      </c>
      <c r="D2612" s="52">
        <f>HLOOKUP("# Memory",'vHosts (Imported)'!$1:$5000,M2612,FALSE)</f>
        <v>0</v>
      </c>
      <c r="M2612" s="45">
        <f t="shared" si="122"/>
        <v>2612</v>
      </c>
      <c r="N2612" s="38">
        <f>HLOOKUP("Host",'vInfo (Imported)'!$1:$5000,M2612,FALSE)</f>
        <v>0</v>
      </c>
      <c r="R2612">
        <f>HLOOKUP("CPUs",'vInfo (Imported)'!$1:$5000,M2612,FALSE)</f>
        <v>0</v>
      </c>
      <c r="S2612">
        <f>HLOOKUP("Memory",'vInfo (Imported)'!$1:$5000,M2612,FALSE)</f>
        <v>0</v>
      </c>
      <c r="T2612">
        <f>HLOOKUP("Provisioned MiB",'vInfo (Imported)'!$1:$5000,M2612,FALSE)</f>
        <v>0</v>
      </c>
      <c r="U2612">
        <f t="shared" si="121"/>
        <v>0</v>
      </c>
      <c r="V2612">
        <f>HLOOKUP("In Use MiB",'vInfo (Imported)'!$1:$5000,M2612,FALSE)</f>
        <v>0</v>
      </c>
    </row>
    <row r="2613" spans="1:22" ht="13" x14ac:dyDescent="0.3">
      <c r="A2613" s="46">
        <f>'vHosts (Imported)'!A2613</f>
        <v>0</v>
      </c>
      <c r="B2613" s="51">
        <f t="shared" si="123"/>
        <v>4968</v>
      </c>
      <c r="C2613" s="49">
        <f>HLOOKUP("# Cores",'vHosts (Imported)'!$1:$5000,M2613,FALSE)</f>
        <v>0</v>
      </c>
      <c r="D2613" s="52">
        <f>HLOOKUP("# Memory",'vHosts (Imported)'!$1:$5000,M2613,FALSE)</f>
        <v>0</v>
      </c>
      <c r="M2613" s="45">
        <f t="shared" si="122"/>
        <v>2613</v>
      </c>
      <c r="N2613" s="38">
        <f>HLOOKUP("Host",'vInfo (Imported)'!$1:$5000,M2613,FALSE)</f>
        <v>0</v>
      </c>
      <c r="R2613">
        <f>HLOOKUP("CPUs",'vInfo (Imported)'!$1:$5000,M2613,FALSE)</f>
        <v>0</v>
      </c>
      <c r="S2613">
        <f>HLOOKUP("Memory",'vInfo (Imported)'!$1:$5000,M2613,FALSE)</f>
        <v>0</v>
      </c>
      <c r="T2613">
        <f>HLOOKUP("Provisioned MiB",'vInfo (Imported)'!$1:$5000,M2613,FALSE)</f>
        <v>0</v>
      </c>
      <c r="U2613">
        <f t="shared" si="121"/>
        <v>0</v>
      </c>
      <c r="V2613">
        <f>HLOOKUP("In Use MiB",'vInfo (Imported)'!$1:$5000,M2613,FALSE)</f>
        <v>0</v>
      </c>
    </row>
    <row r="2614" spans="1:22" ht="13" x14ac:dyDescent="0.3">
      <c r="A2614" s="46">
        <f>'vHosts (Imported)'!A2614</f>
        <v>0</v>
      </c>
      <c r="B2614" s="51">
        <f t="shared" si="123"/>
        <v>4968</v>
      </c>
      <c r="C2614" s="49">
        <f>HLOOKUP("# Cores",'vHosts (Imported)'!$1:$5000,M2614,FALSE)</f>
        <v>0</v>
      </c>
      <c r="D2614" s="52">
        <f>HLOOKUP("# Memory",'vHosts (Imported)'!$1:$5000,M2614,FALSE)</f>
        <v>0</v>
      </c>
      <c r="M2614" s="45">
        <f t="shared" si="122"/>
        <v>2614</v>
      </c>
      <c r="N2614" s="38">
        <f>HLOOKUP("Host",'vInfo (Imported)'!$1:$5000,M2614,FALSE)</f>
        <v>0</v>
      </c>
      <c r="R2614">
        <f>HLOOKUP("CPUs",'vInfo (Imported)'!$1:$5000,M2614,FALSE)</f>
        <v>0</v>
      </c>
      <c r="S2614">
        <f>HLOOKUP("Memory",'vInfo (Imported)'!$1:$5000,M2614,FALSE)</f>
        <v>0</v>
      </c>
      <c r="T2614">
        <f>HLOOKUP("Provisioned MiB",'vInfo (Imported)'!$1:$5000,M2614,FALSE)</f>
        <v>0</v>
      </c>
      <c r="U2614">
        <f t="shared" si="121"/>
        <v>0</v>
      </c>
      <c r="V2614">
        <f>HLOOKUP("In Use MiB",'vInfo (Imported)'!$1:$5000,M2614,FALSE)</f>
        <v>0</v>
      </c>
    </row>
    <row r="2615" spans="1:22" ht="13" x14ac:dyDescent="0.3">
      <c r="A2615" s="46">
        <f>'vHosts (Imported)'!A2615</f>
        <v>0</v>
      </c>
      <c r="B2615" s="51">
        <f t="shared" si="123"/>
        <v>4968</v>
      </c>
      <c r="C2615" s="49">
        <f>HLOOKUP("# Cores",'vHosts (Imported)'!$1:$5000,M2615,FALSE)</f>
        <v>0</v>
      </c>
      <c r="D2615" s="52">
        <f>HLOOKUP("# Memory",'vHosts (Imported)'!$1:$5000,M2615,FALSE)</f>
        <v>0</v>
      </c>
      <c r="M2615" s="45">
        <f t="shared" si="122"/>
        <v>2615</v>
      </c>
      <c r="N2615" s="38">
        <f>HLOOKUP("Host",'vInfo (Imported)'!$1:$5000,M2615,FALSE)</f>
        <v>0</v>
      </c>
      <c r="R2615">
        <f>HLOOKUP("CPUs",'vInfo (Imported)'!$1:$5000,M2615,FALSE)</f>
        <v>0</v>
      </c>
      <c r="S2615">
        <f>HLOOKUP("Memory",'vInfo (Imported)'!$1:$5000,M2615,FALSE)</f>
        <v>0</v>
      </c>
      <c r="T2615">
        <f>HLOOKUP("Provisioned MiB",'vInfo (Imported)'!$1:$5000,M2615,FALSE)</f>
        <v>0</v>
      </c>
      <c r="U2615">
        <f t="shared" si="121"/>
        <v>0</v>
      </c>
      <c r="V2615">
        <f>HLOOKUP("In Use MiB",'vInfo (Imported)'!$1:$5000,M2615,FALSE)</f>
        <v>0</v>
      </c>
    </row>
    <row r="2616" spans="1:22" ht="13" x14ac:dyDescent="0.3">
      <c r="A2616" s="46">
        <f>'vHosts (Imported)'!A2616</f>
        <v>0</v>
      </c>
      <c r="B2616" s="51">
        <f t="shared" si="123"/>
        <v>4968</v>
      </c>
      <c r="C2616" s="49">
        <f>HLOOKUP("# Cores",'vHosts (Imported)'!$1:$5000,M2616,FALSE)</f>
        <v>0</v>
      </c>
      <c r="D2616" s="52">
        <f>HLOOKUP("# Memory",'vHosts (Imported)'!$1:$5000,M2616,FALSE)</f>
        <v>0</v>
      </c>
      <c r="M2616" s="45">
        <f t="shared" si="122"/>
        <v>2616</v>
      </c>
      <c r="N2616" s="38">
        <f>HLOOKUP("Host",'vInfo (Imported)'!$1:$5000,M2616,FALSE)</f>
        <v>0</v>
      </c>
      <c r="R2616">
        <f>HLOOKUP("CPUs",'vInfo (Imported)'!$1:$5000,M2616,FALSE)</f>
        <v>0</v>
      </c>
      <c r="S2616">
        <f>HLOOKUP("Memory",'vInfo (Imported)'!$1:$5000,M2616,FALSE)</f>
        <v>0</v>
      </c>
      <c r="T2616">
        <f>HLOOKUP("Provisioned MiB",'vInfo (Imported)'!$1:$5000,M2616,FALSE)</f>
        <v>0</v>
      </c>
      <c r="U2616">
        <f t="shared" si="121"/>
        <v>0</v>
      </c>
      <c r="V2616">
        <f>HLOOKUP("In Use MiB",'vInfo (Imported)'!$1:$5000,M2616,FALSE)</f>
        <v>0</v>
      </c>
    </row>
    <row r="2617" spans="1:22" ht="13" x14ac:dyDescent="0.3">
      <c r="A2617" s="46">
        <f>'vHosts (Imported)'!A2617</f>
        <v>0</v>
      </c>
      <c r="B2617" s="51">
        <f t="shared" si="123"/>
        <v>4968</v>
      </c>
      <c r="C2617" s="49">
        <f>HLOOKUP("# Cores",'vHosts (Imported)'!$1:$5000,M2617,FALSE)</f>
        <v>0</v>
      </c>
      <c r="D2617" s="52">
        <f>HLOOKUP("# Memory",'vHosts (Imported)'!$1:$5000,M2617,FALSE)</f>
        <v>0</v>
      </c>
      <c r="M2617" s="45">
        <f t="shared" si="122"/>
        <v>2617</v>
      </c>
      <c r="N2617" s="38">
        <f>HLOOKUP("Host",'vInfo (Imported)'!$1:$5000,M2617,FALSE)</f>
        <v>0</v>
      </c>
      <c r="R2617">
        <f>HLOOKUP("CPUs",'vInfo (Imported)'!$1:$5000,M2617,FALSE)</f>
        <v>0</v>
      </c>
      <c r="S2617">
        <f>HLOOKUP("Memory",'vInfo (Imported)'!$1:$5000,M2617,FALSE)</f>
        <v>0</v>
      </c>
      <c r="T2617">
        <f>HLOOKUP("Provisioned MiB",'vInfo (Imported)'!$1:$5000,M2617,FALSE)</f>
        <v>0</v>
      </c>
      <c r="U2617">
        <f t="shared" si="121"/>
        <v>0</v>
      </c>
      <c r="V2617">
        <f>HLOOKUP("In Use MiB",'vInfo (Imported)'!$1:$5000,M2617,FALSE)</f>
        <v>0</v>
      </c>
    </row>
    <row r="2618" spans="1:22" ht="13" x14ac:dyDescent="0.3">
      <c r="A2618" s="46">
        <f>'vHosts (Imported)'!A2618</f>
        <v>0</v>
      </c>
      <c r="B2618" s="51">
        <f t="shared" si="123"/>
        <v>4968</v>
      </c>
      <c r="C2618" s="49">
        <f>HLOOKUP("# Cores",'vHosts (Imported)'!$1:$5000,M2618,FALSE)</f>
        <v>0</v>
      </c>
      <c r="D2618" s="52">
        <f>HLOOKUP("# Memory",'vHosts (Imported)'!$1:$5000,M2618,FALSE)</f>
        <v>0</v>
      </c>
      <c r="M2618" s="45">
        <f t="shared" si="122"/>
        <v>2618</v>
      </c>
      <c r="N2618" s="38">
        <f>HLOOKUP("Host",'vInfo (Imported)'!$1:$5000,M2618,FALSE)</f>
        <v>0</v>
      </c>
      <c r="R2618">
        <f>HLOOKUP("CPUs",'vInfo (Imported)'!$1:$5000,M2618,FALSE)</f>
        <v>0</v>
      </c>
      <c r="S2618">
        <f>HLOOKUP("Memory",'vInfo (Imported)'!$1:$5000,M2618,FALSE)</f>
        <v>0</v>
      </c>
      <c r="T2618">
        <f>HLOOKUP("Provisioned MiB",'vInfo (Imported)'!$1:$5000,M2618,FALSE)</f>
        <v>0</v>
      </c>
      <c r="U2618">
        <f t="shared" si="121"/>
        <v>0</v>
      </c>
      <c r="V2618">
        <f>HLOOKUP("In Use MiB",'vInfo (Imported)'!$1:$5000,M2618,FALSE)</f>
        <v>0</v>
      </c>
    </row>
    <row r="2619" spans="1:22" ht="13" x14ac:dyDescent="0.3">
      <c r="A2619" s="46">
        <f>'vHosts (Imported)'!A2619</f>
        <v>0</v>
      </c>
      <c r="B2619" s="51">
        <f t="shared" si="123"/>
        <v>4968</v>
      </c>
      <c r="C2619" s="49">
        <f>HLOOKUP("# Cores",'vHosts (Imported)'!$1:$5000,M2619,FALSE)</f>
        <v>0</v>
      </c>
      <c r="D2619" s="52">
        <f>HLOOKUP("# Memory",'vHosts (Imported)'!$1:$5000,M2619,FALSE)</f>
        <v>0</v>
      </c>
      <c r="M2619" s="45">
        <f t="shared" si="122"/>
        <v>2619</v>
      </c>
      <c r="N2619" s="38">
        <f>HLOOKUP("Host",'vInfo (Imported)'!$1:$5000,M2619,FALSE)</f>
        <v>0</v>
      </c>
      <c r="R2619">
        <f>HLOOKUP("CPUs",'vInfo (Imported)'!$1:$5000,M2619,FALSE)</f>
        <v>0</v>
      </c>
      <c r="S2619">
        <f>HLOOKUP("Memory",'vInfo (Imported)'!$1:$5000,M2619,FALSE)</f>
        <v>0</v>
      </c>
      <c r="T2619">
        <f>HLOOKUP("Provisioned MiB",'vInfo (Imported)'!$1:$5000,M2619,FALSE)</f>
        <v>0</v>
      </c>
      <c r="U2619">
        <f t="shared" si="121"/>
        <v>0</v>
      </c>
      <c r="V2619">
        <f>HLOOKUP("In Use MiB",'vInfo (Imported)'!$1:$5000,M2619,FALSE)</f>
        <v>0</v>
      </c>
    </row>
    <row r="2620" spans="1:22" ht="13" x14ac:dyDescent="0.3">
      <c r="A2620" s="46">
        <f>'vHosts (Imported)'!A2620</f>
        <v>0</v>
      </c>
      <c r="B2620" s="51">
        <f t="shared" si="123"/>
        <v>4968</v>
      </c>
      <c r="C2620" s="49">
        <f>HLOOKUP("# Cores",'vHosts (Imported)'!$1:$5000,M2620,FALSE)</f>
        <v>0</v>
      </c>
      <c r="D2620" s="52">
        <f>HLOOKUP("# Memory",'vHosts (Imported)'!$1:$5000,M2620,FALSE)</f>
        <v>0</v>
      </c>
      <c r="M2620" s="45">
        <f t="shared" si="122"/>
        <v>2620</v>
      </c>
      <c r="N2620" s="38">
        <f>HLOOKUP("Host",'vInfo (Imported)'!$1:$5000,M2620,FALSE)</f>
        <v>0</v>
      </c>
      <c r="R2620">
        <f>HLOOKUP("CPUs",'vInfo (Imported)'!$1:$5000,M2620,FALSE)</f>
        <v>0</v>
      </c>
      <c r="S2620">
        <f>HLOOKUP("Memory",'vInfo (Imported)'!$1:$5000,M2620,FALSE)</f>
        <v>0</v>
      </c>
      <c r="T2620">
        <f>HLOOKUP("Provisioned MiB",'vInfo (Imported)'!$1:$5000,M2620,FALSE)</f>
        <v>0</v>
      </c>
      <c r="U2620">
        <f t="shared" si="121"/>
        <v>0</v>
      </c>
      <c r="V2620">
        <f>HLOOKUP("In Use MiB",'vInfo (Imported)'!$1:$5000,M2620,FALSE)</f>
        <v>0</v>
      </c>
    </row>
    <row r="2621" spans="1:22" ht="13" x14ac:dyDescent="0.3">
      <c r="A2621" s="46">
        <f>'vHosts (Imported)'!A2621</f>
        <v>0</v>
      </c>
      <c r="B2621" s="51">
        <f t="shared" si="123"/>
        <v>4968</v>
      </c>
      <c r="C2621" s="49">
        <f>HLOOKUP("# Cores",'vHosts (Imported)'!$1:$5000,M2621,FALSE)</f>
        <v>0</v>
      </c>
      <c r="D2621" s="52">
        <f>HLOOKUP("# Memory",'vHosts (Imported)'!$1:$5000,M2621,FALSE)</f>
        <v>0</v>
      </c>
      <c r="M2621" s="45">
        <f t="shared" si="122"/>
        <v>2621</v>
      </c>
      <c r="N2621" s="38">
        <f>HLOOKUP("Host",'vInfo (Imported)'!$1:$5000,M2621,FALSE)</f>
        <v>0</v>
      </c>
      <c r="R2621">
        <f>HLOOKUP("CPUs",'vInfo (Imported)'!$1:$5000,M2621,FALSE)</f>
        <v>0</v>
      </c>
      <c r="S2621">
        <f>HLOOKUP("Memory",'vInfo (Imported)'!$1:$5000,M2621,FALSE)</f>
        <v>0</v>
      </c>
      <c r="T2621">
        <f>HLOOKUP("Provisioned MiB",'vInfo (Imported)'!$1:$5000,M2621,FALSE)</f>
        <v>0</v>
      </c>
      <c r="U2621">
        <f t="shared" si="121"/>
        <v>0</v>
      </c>
      <c r="V2621">
        <f>HLOOKUP("In Use MiB",'vInfo (Imported)'!$1:$5000,M2621,FALSE)</f>
        <v>0</v>
      </c>
    </row>
    <row r="2622" spans="1:22" ht="13" x14ac:dyDescent="0.3">
      <c r="A2622" s="46">
        <f>'vHosts (Imported)'!A2622</f>
        <v>0</v>
      </c>
      <c r="B2622" s="51">
        <f t="shared" si="123"/>
        <v>4968</v>
      </c>
      <c r="C2622" s="49">
        <f>HLOOKUP("# Cores",'vHosts (Imported)'!$1:$5000,M2622,FALSE)</f>
        <v>0</v>
      </c>
      <c r="D2622" s="52">
        <f>HLOOKUP("# Memory",'vHosts (Imported)'!$1:$5000,M2622,FALSE)</f>
        <v>0</v>
      </c>
      <c r="M2622" s="45">
        <f t="shared" si="122"/>
        <v>2622</v>
      </c>
      <c r="N2622" s="38">
        <f>HLOOKUP("Host",'vInfo (Imported)'!$1:$5000,M2622,FALSE)</f>
        <v>0</v>
      </c>
      <c r="R2622">
        <f>HLOOKUP("CPUs",'vInfo (Imported)'!$1:$5000,M2622,FALSE)</f>
        <v>0</v>
      </c>
      <c r="S2622">
        <f>HLOOKUP("Memory",'vInfo (Imported)'!$1:$5000,M2622,FALSE)</f>
        <v>0</v>
      </c>
      <c r="T2622">
        <f>HLOOKUP("Provisioned MiB",'vInfo (Imported)'!$1:$5000,M2622,FALSE)</f>
        <v>0</v>
      </c>
      <c r="U2622">
        <f t="shared" si="121"/>
        <v>0</v>
      </c>
      <c r="V2622">
        <f>HLOOKUP("In Use MiB",'vInfo (Imported)'!$1:$5000,M2622,FALSE)</f>
        <v>0</v>
      </c>
    </row>
    <row r="2623" spans="1:22" ht="13" x14ac:dyDescent="0.3">
      <c r="A2623" s="46">
        <f>'vHosts (Imported)'!A2623</f>
        <v>0</v>
      </c>
      <c r="B2623" s="51">
        <f t="shared" si="123"/>
        <v>4968</v>
      </c>
      <c r="C2623" s="49">
        <f>HLOOKUP("# Cores",'vHosts (Imported)'!$1:$5000,M2623,FALSE)</f>
        <v>0</v>
      </c>
      <c r="D2623" s="52">
        <f>HLOOKUP("# Memory",'vHosts (Imported)'!$1:$5000,M2623,FALSE)</f>
        <v>0</v>
      </c>
      <c r="M2623" s="45">
        <f t="shared" si="122"/>
        <v>2623</v>
      </c>
      <c r="N2623" s="38">
        <f>HLOOKUP("Host",'vInfo (Imported)'!$1:$5000,M2623,FALSE)</f>
        <v>0</v>
      </c>
      <c r="R2623">
        <f>HLOOKUP("CPUs",'vInfo (Imported)'!$1:$5000,M2623,FALSE)</f>
        <v>0</v>
      </c>
      <c r="S2623">
        <f>HLOOKUP("Memory",'vInfo (Imported)'!$1:$5000,M2623,FALSE)</f>
        <v>0</v>
      </c>
      <c r="T2623">
        <f>HLOOKUP("Provisioned MiB",'vInfo (Imported)'!$1:$5000,M2623,FALSE)</f>
        <v>0</v>
      </c>
      <c r="U2623">
        <f t="shared" si="121"/>
        <v>0</v>
      </c>
      <c r="V2623">
        <f>HLOOKUP("In Use MiB",'vInfo (Imported)'!$1:$5000,M2623,FALSE)</f>
        <v>0</v>
      </c>
    </row>
    <row r="2624" spans="1:22" ht="13" x14ac:dyDescent="0.3">
      <c r="A2624" s="46">
        <f>'vHosts (Imported)'!A2624</f>
        <v>0</v>
      </c>
      <c r="B2624" s="51">
        <f t="shared" si="123"/>
        <v>4968</v>
      </c>
      <c r="C2624" s="49">
        <f>HLOOKUP("# Cores",'vHosts (Imported)'!$1:$5000,M2624,FALSE)</f>
        <v>0</v>
      </c>
      <c r="D2624" s="52">
        <f>HLOOKUP("# Memory",'vHosts (Imported)'!$1:$5000,M2624,FALSE)</f>
        <v>0</v>
      </c>
      <c r="M2624" s="45">
        <f t="shared" si="122"/>
        <v>2624</v>
      </c>
      <c r="N2624" s="38">
        <f>HLOOKUP("Host",'vInfo (Imported)'!$1:$5000,M2624,FALSE)</f>
        <v>0</v>
      </c>
      <c r="R2624">
        <f>HLOOKUP("CPUs",'vInfo (Imported)'!$1:$5000,M2624,FALSE)</f>
        <v>0</v>
      </c>
      <c r="S2624">
        <f>HLOOKUP("Memory",'vInfo (Imported)'!$1:$5000,M2624,FALSE)</f>
        <v>0</v>
      </c>
      <c r="T2624">
        <f>HLOOKUP("Provisioned MiB",'vInfo (Imported)'!$1:$5000,M2624,FALSE)</f>
        <v>0</v>
      </c>
      <c r="U2624">
        <f t="shared" si="121"/>
        <v>0</v>
      </c>
      <c r="V2624">
        <f>HLOOKUP("In Use MiB",'vInfo (Imported)'!$1:$5000,M2624,FALSE)</f>
        <v>0</v>
      </c>
    </row>
    <row r="2625" spans="1:22" ht="13" x14ac:dyDescent="0.3">
      <c r="A2625" s="46">
        <f>'vHosts (Imported)'!A2625</f>
        <v>0</v>
      </c>
      <c r="B2625" s="51">
        <f t="shared" si="123"/>
        <v>4968</v>
      </c>
      <c r="C2625" s="49">
        <f>HLOOKUP("# Cores",'vHosts (Imported)'!$1:$5000,M2625,FALSE)</f>
        <v>0</v>
      </c>
      <c r="D2625" s="52">
        <f>HLOOKUP("# Memory",'vHosts (Imported)'!$1:$5000,M2625,FALSE)</f>
        <v>0</v>
      </c>
      <c r="M2625" s="45">
        <f t="shared" si="122"/>
        <v>2625</v>
      </c>
      <c r="N2625" s="38">
        <f>HLOOKUP("Host",'vInfo (Imported)'!$1:$5000,M2625,FALSE)</f>
        <v>0</v>
      </c>
      <c r="R2625">
        <f>HLOOKUP("CPUs",'vInfo (Imported)'!$1:$5000,M2625,FALSE)</f>
        <v>0</v>
      </c>
      <c r="S2625">
        <f>HLOOKUP("Memory",'vInfo (Imported)'!$1:$5000,M2625,FALSE)</f>
        <v>0</v>
      </c>
      <c r="T2625">
        <f>HLOOKUP("Provisioned MiB",'vInfo (Imported)'!$1:$5000,M2625,FALSE)</f>
        <v>0</v>
      </c>
      <c r="U2625">
        <f t="shared" si="121"/>
        <v>0</v>
      </c>
      <c r="V2625">
        <f>HLOOKUP("In Use MiB",'vInfo (Imported)'!$1:$5000,M2625,FALSE)</f>
        <v>0</v>
      </c>
    </row>
    <row r="2626" spans="1:22" ht="13" x14ac:dyDescent="0.3">
      <c r="A2626" s="46">
        <f>'vHosts (Imported)'!A2626</f>
        <v>0</v>
      </c>
      <c r="B2626" s="51">
        <f t="shared" si="123"/>
        <v>4968</v>
      </c>
      <c r="C2626" s="49">
        <f>HLOOKUP("# Cores",'vHosts (Imported)'!$1:$5000,M2626,FALSE)</f>
        <v>0</v>
      </c>
      <c r="D2626" s="52">
        <f>HLOOKUP("# Memory",'vHosts (Imported)'!$1:$5000,M2626,FALSE)</f>
        <v>0</v>
      </c>
      <c r="M2626" s="45">
        <f t="shared" si="122"/>
        <v>2626</v>
      </c>
      <c r="N2626" s="38">
        <f>HLOOKUP("Host",'vInfo (Imported)'!$1:$5000,M2626,FALSE)</f>
        <v>0</v>
      </c>
      <c r="R2626">
        <f>HLOOKUP("CPUs",'vInfo (Imported)'!$1:$5000,M2626,FALSE)</f>
        <v>0</v>
      </c>
      <c r="S2626">
        <f>HLOOKUP("Memory",'vInfo (Imported)'!$1:$5000,M2626,FALSE)</f>
        <v>0</v>
      </c>
      <c r="T2626">
        <f>HLOOKUP("Provisioned MiB",'vInfo (Imported)'!$1:$5000,M2626,FALSE)</f>
        <v>0</v>
      </c>
      <c r="U2626">
        <f t="shared" si="121"/>
        <v>0</v>
      </c>
      <c r="V2626">
        <f>HLOOKUP("In Use MiB",'vInfo (Imported)'!$1:$5000,M2626,FALSE)</f>
        <v>0</v>
      </c>
    </row>
    <row r="2627" spans="1:22" ht="13" x14ac:dyDescent="0.3">
      <c r="A2627" s="46">
        <f>'vHosts (Imported)'!A2627</f>
        <v>0</v>
      </c>
      <c r="B2627" s="51">
        <f t="shared" si="123"/>
        <v>4968</v>
      </c>
      <c r="C2627" s="49">
        <f>HLOOKUP("# Cores",'vHosts (Imported)'!$1:$5000,M2627,FALSE)</f>
        <v>0</v>
      </c>
      <c r="D2627" s="52">
        <f>HLOOKUP("# Memory",'vHosts (Imported)'!$1:$5000,M2627,FALSE)</f>
        <v>0</v>
      </c>
      <c r="M2627" s="45">
        <f t="shared" si="122"/>
        <v>2627</v>
      </c>
      <c r="N2627" s="38">
        <f>HLOOKUP("Host",'vInfo (Imported)'!$1:$5000,M2627,FALSE)</f>
        <v>0</v>
      </c>
      <c r="R2627">
        <f>HLOOKUP("CPUs",'vInfo (Imported)'!$1:$5000,M2627,FALSE)</f>
        <v>0</v>
      </c>
      <c r="S2627">
        <f>HLOOKUP("Memory",'vInfo (Imported)'!$1:$5000,M2627,FALSE)</f>
        <v>0</v>
      </c>
      <c r="T2627">
        <f>HLOOKUP("Provisioned MiB",'vInfo (Imported)'!$1:$5000,M2627,FALSE)</f>
        <v>0</v>
      </c>
      <c r="U2627">
        <f t="shared" ref="U2627:U2690" si="124">T2627-V2627</f>
        <v>0</v>
      </c>
      <c r="V2627">
        <f>HLOOKUP("In Use MiB",'vInfo (Imported)'!$1:$5000,M2627,FALSE)</f>
        <v>0</v>
      </c>
    </row>
    <row r="2628" spans="1:22" ht="13" x14ac:dyDescent="0.3">
      <c r="A2628" s="46">
        <f>'vHosts (Imported)'!A2628</f>
        <v>0</v>
      </c>
      <c r="B2628" s="51">
        <f t="shared" si="123"/>
        <v>4968</v>
      </c>
      <c r="C2628" s="49">
        <f>HLOOKUP("# Cores",'vHosts (Imported)'!$1:$5000,M2628,FALSE)</f>
        <v>0</v>
      </c>
      <c r="D2628" s="52">
        <f>HLOOKUP("# Memory",'vHosts (Imported)'!$1:$5000,M2628,FALSE)</f>
        <v>0</v>
      </c>
      <c r="M2628" s="45">
        <f t="shared" ref="M2628:M2691" si="125">M2627+1</f>
        <v>2628</v>
      </c>
      <c r="N2628" s="38">
        <f>HLOOKUP("Host",'vInfo (Imported)'!$1:$5000,M2628,FALSE)</f>
        <v>0</v>
      </c>
      <c r="R2628">
        <f>HLOOKUP("CPUs",'vInfo (Imported)'!$1:$5000,M2628,FALSE)</f>
        <v>0</v>
      </c>
      <c r="S2628">
        <f>HLOOKUP("Memory",'vInfo (Imported)'!$1:$5000,M2628,FALSE)</f>
        <v>0</v>
      </c>
      <c r="T2628">
        <f>HLOOKUP("Provisioned MiB",'vInfo (Imported)'!$1:$5000,M2628,FALSE)</f>
        <v>0</v>
      </c>
      <c r="U2628">
        <f t="shared" si="124"/>
        <v>0</v>
      </c>
      <c r="V2628">
        <f>HLOOKUP("In Use MiB",'vInfo (Imported)'!$1:$5000,M2628,FALSE)</f>
        <v>0</v>
      </c>
    </row>
    <row r="2629" spans="1:22" ht="13" x14ac:dyDescent="0.3">
      <c r="A2629" s="46">
        <f>'vHosts (Imported)'!A2629</f>
        <v>0</v>
      </c>
      <c r="B2629" s="51">
        <f t="shared" si="123"/>
        <v>4968</v>
      </c>
      <c r="C2629" s="49">
        <f>HLOOKUP("# Cores",'vHosts (Imported)'!$1:$5000,M2629,FALSE)</f>
        <v>0</v>
      </c>
      <c r="D2629" s="52">
        <f>HLOOKUP("# Memory",'vHosts (Imported)'!$1:$5000,M2629,FALSE)</f>
        <v>0</v>
      </c>
      <c r="M2629" s="45">
        <f t="shared" si="125"/>
        <v>2629</v>
      </c>
      <c r="N2629" s="38">
        <f>HLOOKUP("Host",'vInfo (Imported)'!$1:$5000,M2629,FALSE)</f>
        <v>0</v>
      </c>
      <c r="R2629">
        <f>HLOOKUP("CPUs",'vInfo (Imported)'!$1:$5000,M2629,FALSE)</f>
        <v>0</v>
      </c>
      <c r="S2629">
        <f>HLOOKUP("Memory",'vInfo (Imported)'!$1:$5000,M2629,FALSE)</f>
        <v>0</v>
      </c>
      <c r="T2629">
        <f>HLOOKUP("Provisioned MiB",'vInfo (Imported)'!$1:$5000,M2629,FALSE)</f>
        <v>0</v>
      </c>
      <c r="U2629">
        <f t="shared" si="124"/>
        <v>0</v>
      </c>
      <c r="V2629">
        <f>HLOOKUP("In Use MiB",'vInfo (Imported)'!$1:$5000,M2629,FALSE)</f>
        <v>0</v>
      </c>
    </row>
    <row r="2630" spans="1:22" ht="13" x14ac:dyDescent="0.3">
      <c r="A2630" s="46">
        <f>'vHosts (Imported)'!A2630</f>
        <v>0</v>
      </c>
      <c r="B2630" s="51">
        <f t="shared" si="123"/>
        <v>4968</v>
      </c>
      <c r="C2630" s="49">
        <f>HLOOKUP("# Cores",'vHosts (Imported)'!$1:$5000,M2630,FALSE)</f>
        <v>0</v>
      </c>
      <c r="D2630" s="52">
        <f>HLOOKUP("# Memory",'vHosts (Imported)'!$1:$5000,M2630,FALSE)</f>
        <v>0</v>
      </c>
      <c r="M2630" s="45">
        <f t="shared" si="125"/>
        <v>2630</v>
      </c>
      <c r="N2630" s="38">
        <f>HLOOKUP("Host",'vInfo (Imported)'!$1:$5000,M2630,FALSE)</f>
        <v>0</v>
      </c>
      <c r="R2630">
        <f>HLOOKUP("CPUs",'vInfo (Imported)'!$1:$5000,M2630,FALSE)</f>
        <v>0</v>
      </c>
      <c r="S2630">
        <f>HLOOKUP("Memory",'vInfo (Imported)'!$1:$5000,M2630,FALSE)</f>
        <v>0</v>
      </c>
      <c r="T2630">
        <f>HLOOKUP("Provisioned MiB",'vInfo (Imported)'!$1:$5000,M2630,FALSE)</f>
        <v>0</v>
      </c>
      <c r="U2630">
        <f t="shared" si="124"/>
        <v>0</v>
      </c>
      <c r="V2630">
        <f>HLOOKUP("In Use MiB",'vInfo (Imported)'!$1:$5000,M2630,FALSE)</f>
        <v>0</v>
      </c>
    </row>
    <row r="2631" spans="1:22" ht="13" x14ac:dyDescent="0.3">
      <c r="A2631" s="46">
        <f>'vHosts (Imported)'!A2631</f>
        <v>0</v>
      </c>
      <c r="B2631" s="51">
        <f t="shared" si="123"/>
        <v>4968</v>
      </c>
      <c r="C2631" s="49">
        <f>HLOOKUP("# Cores",'vHosts (Imported)'!$1:$5000,M2631,FALSE)</f>
        <v>0</v>
      </c>
      <c r="D2631" s="52">
        <f>HLOOKUP("# Memory",'vHosts (Imported)'!$1:$5000,M2631,FALSE)</f>
        <v>0</v>
      </c>
      <c r="M2631" s="45">
        <f t="shared" si="125"/>
        <v>2631</v>
      </c>
      <c r="N2631" s="38">
        <f>HLOOKUP("Host",'vInfo (Imported)'!$1:$5000,M2631,FALSE)</f>
        <v>0</v>
      </c>
      <c r="R2631">
        <f>HLOOKUP("CPUs",'vInfo (Imported)'!$1:$5000,M2631,FALSE)</f>
        <v>0</v>
      </c>
      <c r="S2631">
        <f>HLOOKUP("Memory",'vInfo (Imported)'!$1:$5000,M2631,FALSE)</f>
        <v>0</v>
      </c>
      <c r="T2631">
        <f>HLOOKUP("Provisioned MiB",'vInfo (Imported)'!$1:$5000,M2631,FALSE)</f>
        <v>0</v>
      </c>
      <c r="U2631">
        <f t="shared" si="124"/>
        <v>0</v>
      </c>
      <c r="V2631">
        <f>HLOOKUP("In Use MiB",'vInfo (Imported)'!$1:$5000,M2631,FALSE)</f>
        <v>0</v>
      </c>
    </row>
    <row r="2632" spans="1:22" ht="13" x14ac:dyDescent="0.3">
      <c r="A2632" s="46">
        <f>'vHosts (Imported)'!A2632</f>
        <v>0</v>
      </c>
      <c r="B2632" s="51">
        <f t="shared" si="123"/>
        <v>4968</v>
      </c>
      <c r="C2632" s="49">
        <f>HLOOKUP("# Cores",'vHosts (Imported)'!$1:$5000,M2632,FALSE)</f>
        <v>0</v>
      </c>
      <c r="D2632" s="52">
        <f>HLOOKUP("# Memory",'vHosts (Imported)'!$1:$5000,M2632,FALSE)</f>
        <v>0</v>
      </c>
      <c r="M2632" s="45">
        <f t="shared" si="125"/>
        <v>2632</v>
      </c>
      <c r="N2632" s="38">
        <f>HLOOKUP("Host",'vInfo (Imported)'!$1:$5000,M2632,FALSE)</f>
        <v>0</v>
      </c>
      <c r="R2632">
        <f>HLOOKUP("CPUs",'vInfo (Imported)'!$1:$5000,M2632,FALSE)</f>
        <v>0</v>
      </c>
      <c r="S2632">
        <f>HLOOKUP("Memory",'vInfo (Imported)'!$1:$5000,M2632,FALSE)</f>
        <v>0</v>
      </c>
      <c r="T2632">
        <f>HLOOKUP("Provisioned MiB",'vInfo (Imported)'!$1:$5000,M2632,FALSE)</f>
        <v>0</v>
      </c>
      <c r="U2632">
        <f t="shared" si="124"/>
        <v>0</v>
      </c>
      <c r="V2632">
        <f>HLOOKUP("In Use MiB",'vInfo (Imported)'!$1:$5000,M2632,FALSE)</f>
        <v>0</v>
      </c>
    </row>
    <row r="2633" spans="1:22" ht="13" x14ac:dyDescent="0.3">
      <c r="A2633" s="46">
        <f>'vHosts (Imported)'!A2633</f>
        <v>0</v>
      </c>
      <c r="B2633" s="51">
        <f t="shared" si="123"/>
        <v>4968</v>
      </c>
      <c r="C2633" s="49">
        <f>HLOOKUP("# Cores",'vHosts (Imported)'!$1:$5000,M2633,FALSE)</f>
        <v>0</v>
      </c>
      <c r="D2633" s="52">
        <f>HLOOKUP("# Memory",'vHosts (Imported)'!$1:$5000,M2633,FALSE)</f>
        <v>0</v>
      </c>
      <c r="M2633" s="45">
        <f t="shared" si="125"/>
        <v>2633</v>
      </c>
      <c r="N2633" s="38">
        <f>HLOOKUP("Host",'vInfo (Imported)'!$1:$5000,M2633,FALSE)</f>
        <v>0</v>
      </c>
      <c r="R2633">
        <f>HLOOKUP("CPUs",'vInfo (Imported)'!$1:$5000,M2633,FALSE)</f>
        <v>0</v>
      </c>
      <c r="S2633">
        <f>HLOOKUP("Memory",'vInfo (Imported)'!$1:$5000,M2633,FALSE)</f>
        <v>0</v>
      </c>
      <c r="T2633">
        <f>HLOOKUP("Provisioned MiB",'vInfo (Imported)'!$1:$5000,M2633,FALSE)</f>
        <v>0</v>
      </c>
      <c r="U2633">
        <f t="shared" si="124"/>
        <v>0</v>
      </c>
      <c r="V2633">
        <f>HLOOKUP("In Use MiB",'vInfo (Imported)'!$1:$5000,M2633,FALSE)</f>
        <v>0</v>
      </c>
    </row>
    <row r="2634" spans="1:22" ht="13" x14ac:dyDescent="0.3">
      <c r="A2634" s="46">
        <f>'vHosts (Imported)'!A2634</f>
        <v>0</v>
      </c>
      <c r="B2634" s="51">
        <f t="shared" si="123"/>
        <v>4968</v>
      </c>
      <c r="C2634" s="49">
        <f>HLOOKUP("# Cores",'vHosts (Imported)'!$1:$5000,M2634,FALSE)</f>
        <v>0</v>
      </c>
      <c r="D2634" s="52">
        <f>HLOOKUP("# Memory",'vHosts (Imported)'!$1:$5000,M2634,FALSE)</f>
        <v>0</v>
      </c>
      <c r="M2634" s="45">
        <f t="shared" si="125"/>
        <v>2634</v>
      </c>
      <c r="N2634" s="38">
        <f>HLOOKUP("Host",'vInfo (Imported)'!$1:$5000,M2634,FALSE)</f>
        <v>0</v>
      </c>
      <c r="R2634">
        <f>HLOOKUP("CPUs",'vInfo (Imported)'!$1:$5000,M2634,FALSE)</f>
        <v>0</v>
      </c>
      <c r="S2634">
        <f>HLOOKUP("Memory",'vInfo (Imported)'!$1:$5000,M2634,FALSE)</f>
        <v>0</v>
      </c>
      <c r="T2634">
        <f>HLOOKUP("Provisioned MiB",'vInfo (Imported)'!$1:$5000,M2634,FALSE)</f>
        <v>0</v>
      </c>
      <c r="U2634">
        <f t="shared" si="124"/>
        <v>0</v>
      </c>
      <c r="V2634">
        <f>HLOOKUP("In Use MiB",'vInfo (Imported)'!$1:$5000,M2634,FALSE)</f>
        <v>0</v>
      </c>
    </row>
    <row r="2635" spans="1:22" ht="13" x14ac:dyDescent="0.3">
      <c r="A2635" s="46">
        <f>'vHosts (Imported)'!A2635</f>
        <v>0</v>
      </c>
      <c r="B2635" s="51">
        <f t="shared" si="123"/>
        <v>4968</v>
      </c>
      <c r="C2635" s="49">
        <f>HLOOKUP("# Cores",'vHosts (Imported)'!$1:$5000,M2635,FALSE)</f>
        <v>0</v>
      </c>
      <c r="D2635" s="52">
        <f>HLOOKUP("# Memory",'vHosts (Imported)'!$1:$5000,M2635,FALSE)</f>
        <v>0</v>
      </c>
      <c r="M2635" s="45">
        <f t="shared" si="125"/>
        <v>2635</v>
      </c>
      <c r="N2635" s="38">
        <f>HLOOKUP("Host",'vInfo (Imported)'!$1:$5000,M2635,FALSE)</f>
        <v>0</v>
      </c>
      <c r="R2635">
        <f>HLOOKUP("CPUs",'vInfo (Imported)'!$1:$5000,M2635,FALSE)</f>
        <v>0</v>
      </c>
      <c r="S2635">
        <f>HLOOKUP("Memory",'vInfo (Imported)'!$1:$5000,M2635,FALSE)</f>
        <v>0</v>
      </c>
      <c r="T2635">
        <f>HLOOKUP("Provisioned MiB",'vInfo (Imported)'!$1:$5000,M2635,FALSE)</f>
        <v>0</v>
      </c>
      <c r="U2635">
        <f t="shared" si="124"/>
        <v>0</v>
      </c>
      <c r="V2635">
        <f>HLOOKUP("In Use MiB",'vInfo (Imported)'!$1:$5000,M2635,FALSE)</f>
        <v>0</v>
      </c>
    </row>
    <row r="2636" spans="1:22" ht="13" x14ac:dyDescent="0.3">
      <c r="A2636" s="46">
        <f>'vHosts (Imported)'!A2636</f>
        <v>0</v>
      </c>
      <c r="B2636" s="51">
        <f t="shared" si="123"/>
        <v>4968</v>
      </c>
      <c r="C2636" s="49">
        <f>HLOOKUP("# Cores",'vHosts (Imported)'!$1:$5000,M2636,FALSE)</f>
        <v>0</v>
      </c>
      <c r="D2636" s="52">
        <f>HLOOKUP("# Memory",'vHosts (Imported)'!$1:$5000,M2636,FALSE)</f>
        <v>0</v>
      </c>
      <c r="M2636" s="45">
        <f t="shared" si="125"/>
        <v>2636</v>
      </c>
      <c r="N2636" s="38">
        <f>HLOOKUP("Host",'vInfo (Imported)'!$1:$5000,M2636,FALSE)</f>
        <v>0</v>
      </c>
      <c r="R2636">
        <f>HLOOKUP("CPUs",'vInfo (Imported)'!$1:$5000,M2636,FALSE)</f>
        <v>0</v>
      </c>
      <c r="S2636">
        <f>HLOOKUP("Memory",'vInfo (Imported)'!$1:$5000,M2636,FALSE)</f>
        <v>0</v>
      </c>
      <c r="T2636">
        <f>HLOOKUP("Provisioned MiB",'vInfo (Imported)'!$1:$5000,M2636,FALSE)</f>
        <v>0</v>
      </c>
      <c r="U2636">
        <f t="shared" si="124"/>
        <v>0</v>
      </c>
      <c r="V2636">
        <f>HLOOKUP("In Use MiB",'vInfo (Imported)'!$1:$5000,M2636,FALSE)</f>
        <v>0</v>
      </c>
    </row>
    <row r="2637" spans="1:22" ht="13" x14ac:dyDescent="0.3">
      <c r="A2637" s="46">
        <f>'vHosts (Imported)'!A2637</f>
        <v>0</v>
      </c>
      <c r="B2637" s="51">
        <f t="shared" si="123"/>
        <v>4968</v>
      </c>
      <c r="C2637" s="49">
        <f>HLOOKUP("# Cores",'vHosts (Imported)'!$1:$5000,M2637,FALSE)</f>
        <v>0</v>
      </c>
      <c r="D2637" s="52">
        <f>HLOOKUP("# Memory",'vHosts (Imported)'!$1:$5000,M2637,FALSE)</f>
        <v>0</v>
      </c>
      <c r="M2637" s="45">
        <f t="shared" si="125"/>
        <v>2637</v>
      </c>
      <c r="N2637" s="38">
        <f>HLOOKUP("Host",'vInfo (Imported)'!$1:$5000,M2637,FALSE)</f>
        <v>0</v>
      </c>
      <c r="R2637">
        <f>HLOOKUP("CPUs",'vInfo (Imported)'!$1:$5000,M2637,FALSE)</f>
        <v>0</v>
      </c>
      <c r="S2637">
        <f>HLOOKUP("Memory",'vInfo (Imported)'!$1:$5000,M2637,FALSE)</f>
        <v>0</v>
      </c>
      <c r="T2637">
        <f>HLOOKUP("Provisioned MiB",'vInfo (Imported)'!$1:$5000,M2637,FALSE)</f>
        <v>0</v>
      </c>
      <c r="U2637">
        <f t="shared" si="124"/>
        <v>0</v>
      </c>
      <c r="V2637">
        <f>HLOOKUP("In Use MiB",'vInfo (Imported)'!$1:$5000,M2637,FALSE)</f>
        <v>0</v>
      </c>
    </row>
    <row r="2638" spans="1:22" ht="13" x14ac:dyDescent="0.3">
      <c r="A2638" s="46">
        <f>'vHosts (Imported)'!A2638</f>
        <v>0</v>
      </c>
      <c r="B2638" s="51">
        <f t="shared" si="123"/>
        <v>4968</v>
      </c>
      <c r="C2638" s="49">
        <f>HLOOKUP("# Cores",'vHosts (Imported)'!$1:$5000,M2638,FALSE)</f>
        <v>0</v>
      </c>
      <c r="D2638" s="52">
        <f>HLOOKUP("# Memory",'vHosts (Imported)'!$1:$5000,M2638,FALSE)</f>
        <v>0</v>
      </c>
      <c r="M2638" s="45">
        <f t="shared" si="125"/>
        <v>2638</v>
      </c>
      <c r="N2638" s="38">
        <f>HLOOKUP("Host",'vInfo (Imported)'!$1:$5000,M2638,FALSE)</f>
        <v>0</v>
      </c>
      <c r="R2638">
        <f>HLOOKUP("CPUs",'vInfo (Imported)'!$1:$5000,M2638,FALSE)</f>
        <v>0</v>
      </c>
      <c r="S2638">
        <f>HLOOKUP("Memory",'vInfo (Imported)'!$1:$5000,M2638,FALSE)</f>
        <v>0</v>
      </c>
      <c r="T2638">
        <f>HLOOKUP("Provisioned MiB",'vInfo (Imported)'!$1:$5000,M2638,FALSE)</f>
        <v>0</v>
      </c>
      <c r="U2638">
        <f t="shared" si="124"/>
        <v>0</v>
      </c>
      <c r="V2638">
        <f>HLOOKUP("In Use MiB",'vInfo (Imported)'!$1:$5000,M2638,FALSE)</f>
        <v>0</v>
      </c>
    </row>
    <row r="2639" spans="1:22" ht="13" x14ac:dyDescent="0.3">
      <c r="A2639" s="46">
        <f>'vHosts (Imported)'!A2639</f>
        <v>0</v>
      </c>
      <c r="B2639" s="51">
        <f t="shared" si="123"/>
        <v>4968</v>
      </c>
      <c r="C2639" s="49">
        <f>HLOOKUP("# Cores",'vHosts (Imported)'!$1:$5000,M2639,FALSE)</f>
        <v>0</v>
      </c>
      <c r="D2639" s="52">
        <f>HLOOKUP("# Memory",'vHosts (Imported)'!$1:$5000,M2639,FALSE)</f>
        <v>0</v>
      </c>
      <c r="M2639" s="45">
        <f t="shared" si="125"/>
        <v>2639</v>
      </c>
      <c r="N2639" s="38">
        <f>HLOOKUP("Host",'vInfo (Imported)'!$1:$5000,M2639,FALSE)</f>
        <v>0</v>
      </c>
      <c r="R2639">
        <f>HLOOKUP("CPUs",'vInfo (Imported)'!$1:$5000,M2639,FALSE)</f>
        <v>0</v>
      </c>
      <c r="S2639">
        <f>HLOOKUP("Memory",'vInfo (Imported)'!$1:$5000,M2639,FALSE)</f>
        <v>0</v>
      </c>
      <c r="T2639">
        <f>HLOOKUP("Provisioned MiB",'vInfo (Imported)'!$1:$5000,M2639,FALSE)</f>
        <v>0</v>
      </c>
      <c r="U2639">
        <f t="shared" si="124"/>
        <v>0</v>
      </c>
      <c r="V2639">
        <f>HLOOKUP("In Use MiB",'vInfo (Imported)'!$1:$5000,M2639,FALSE)</f>
        <v>0</v>
      </c>
    </row>
    <row r="2640" spans="1:22" ht="13" x14ac:dyDescent="0.3">
      <c r="A2640" s="46">
        <f>'vHosts (Imported)'!A2640</f>
        <v>0</v>
      </c>
      <c r="B2640" s="51">
        <f t="shared" si="123"/>
        <v>4968</v>
      </c>
      <c r="C2640" s="49">
        <f>HLOOKUP("# Cores",'vHosts (Imported)'!$1:$5000,M2640,FALSE)</f>
        <v>0</v>
      </c>
      <c r="D2640" s="52">
        <f>HLOOKUP("# Memory",'vHosts (Imported)'!$1:$5000,M2640,FALSE)</f>
        <v>0</v>
      </c>
      <c r="M2640" s="45">
        <f t="shared" si="125"/>
        <v>2640</v>
      </c>
      <c r="N2640" s="38">
        <f>HLOOKUP("Host",'vInfo (Imported)'!$1:$5000,M2640,FALSE)</f>
        <v>0</v>
      </c>
      <c r="R2640">
        <f>HLOOKUP("CPUs",'vInfo (Imported)'!$1:$5000,M2640,FALSE)</f>
        <v>0</v>
      </c>
      <c r="S2640">
        <f>HLOOKUP("Memory",'vInfo (Imported)'!$1:$5000,M2640,FALSE)</f>
        <v>0</v>
      </c>
      <c r="T2640">
        <f>HLOOKUP("Provisioned MiB",'vInfo (Imported)'!$1:$5000,M2640,FALSE)</f>
        <v>0</v>
      </c>
      <c r="U2640">
        <f t="shared" si="124"/>
        <v>0</v>
      </c>
      <c r="V2640">
        <f>HLOOKUP("In Use MiB",'vInfo (Imported)'!$1:$5000,M2640,FALSE)</f>
        <v>0</v>
      </c>
    </row>
    <row r="2641" spans="1:22" ht="13" x14ac:dyDescent="0.3">
      <c r="A2641" s="46">
        <f>'vHosts (Imported)'!A2641</f>
        <v>0</v>
      </c>
      <c r="B2641" s="51">
        <f t="shared" si="123"/>
        <v>4968</v>
      </c>
      <c r="C2641" s="49">
        <f>HLOOKUP("# Cores",'vHosts (Imported)'!$1:$5000,M2641,FALSE)</f>
        <v>0</v>
      </c>
      <c r="D2641" s="52">
        <f>HLOOKUP("# Memory",'vHosts (Imported)'!$1:$5000,M2641,FALSE)</f>
        <v>0</v>
      </c>
      <c r="M2641" s="45">
        <f t="shared" si="125"/>
        <v>2641</v>
      </c>
      <c r="N2641" s="38">
        <f>HLOOKUP("Host",'vInfo (Imported)'!$1:$5000,M2641,FALSE)</f>
        <v>0</v>
      </c>
      <c r="R2641">
        <f>HLOOKUP("CPUs",'vInfo (Imported)'!$1:$5000,M2641,FALSE)</f>
        <v>0</v>
      </c>
      <c r="S2641">
        <f>HLOOKUP("Memory",'vInfo (Imported)'!$1:$5000,M2641,FALSE)</f>
        <v>0</v>
      </c>
      <c r="T2641">
        <f>HLOOKUP("Provisioned MiB",'vInfo (Imported)'!$1:$5000,M2641,FALSE)</f>
        <v>0</v>
      </c>
      <c r="U2641">
        <f t="shared" si="124"/>
        <v>0</v>
      </c>
      <c r="V2641">
        <f>HLOOKUP("In Use MiB",'vInfo (Imported)'!$1:$5000,M2641,FALSE)</f>
        <v>0</v>
      </c>
    </row>
    <row r="2642" spans="1:22" ht="13" x14ac:dyDescent="0.3">
      <c r="A2642" s="46">
        <f>'vHosts (Imported)'!A2642</f>
        <v>0</v>
      </c>
      <c r="B2642" s="51">
        <f t="shared" si="123"/>
        <v>4968</v>
      </c>
      <c r="C2642" s="49">
        <f>HLOOKUP("# Cores",'vHosts (Imported)'!$1:$5000,M2642,FALSE)</f>
        <v>0</v>
      </c>
      <c r="D2642" s="52">
        <f>HLOOKUP("# Memory",'vHosts (Imported)'!$1:$5000,M2642,FALSE)</f>
        <v>0</v>
      </c>
      <c r="M2642" s="45">
        <f t="shared" si="125"/>
        <v>2642</v>
      </c>
      <c r="N2642" s="38">
        <f>HLOOKUP("Host",'vInfo (Imported)'!$1:$5000,M2642,FALSE)</f>
        <v>0</v>
      </c>
      <c r="R2642">
        <f>HLOOKUP("CPUs",'vInfo (Imported)'!$1:$5000,M2642,FALSE)</f>
        <v>0</v>
      </c>
      <c r="S2642">
        <f>HLOOKUP("Memory",'vInfo (Imported)'!$1:$5000,M2642,FALSE)</f>
        <v>0</v>
      </c>
      <c r="T2642">
        <f>HLOOKUP("Provisioned MiB",'vInfo (Imported)'!$1:$5000,M2642,FALSE)</f>
        <v>0</v>
      </c>
      <c r="U2642">
        <f t="shared" si="124"/>
        <v>0</v>
      </c>
      <c r="V2642">
        <f>HLOOKUP("In Use MiB",'vInfo (Imported)'!$1:$5000,M2642,FALSE)</f>
        <v>0</v>
      </c>
    </row>
    <row r="2643" spans="1:22" ht="13" x14ac:dyDescent="0.3">
      <c r="A2643" s="46">
        <f>'vHosts (Imported)'!A2643</f>
        <v>0</v>
      </c>
      <c r="B2643" s="51">
        <f t="shared" si="123"/>
        <v>4968</v>
      </c>
      <c r="C2643" s="49">
        <f>HLOOKUP("# Cores",'vHosts (Imported)'!$1:$5000,M2643,FALSE)</f>
        <v>0</v>
      </c>
      <c r="D2643" s="52">
        <f>HLOOKUP("# Memory",'vHosts (Imported)'!$1:$5000,M2643,FALSE)</f>
        <v>0</v>
      </c>
      <c r="M2643" s="45">
        <f t="shared" si="125"/>
        <v>2643</v>
      </c>
      <c r="N2643" s="38">
        <f>HLOOKUP("Host",'vInfo (Imported)'!$1:$5000,M2643,FALSE)</f>
        <v>0</v>
      </c>
      <c r="R2643">
        <f>HLOOKUP("CPUs",'vInfo (Imported)'!$1:$5000,M2643,FALSE)</f>
        <v>0</v>
      </c>
      <c r="S2643">
        <f>HLOOKUP("Memory",'vInfo (Imported)'!$1:$5000,M2643,FALSE)</f>
        <v>0</v>
      </c>
      <c r="T2643">
        <f>HLOOKUP("Provisioned MiB",'vInfo (Imported)'!$1:$5000,M2643,FALSE)</f>
        <v>0</v>
      </c>
      <c r="U2643">
        <f t="shared" si="124"/>
        <v>0</v>
      </c>
      <c r="V2643">
        <f>HLOOKUP("In Use MiB",'vInfo (Imported)'!$1:$5000,M2643,FALSE)</f>
        <v>0</v>
      </c>
    </row>
    <row r="2644" spans="1:22" ht="13" x14ac:dyDescent="0.3">
      <c r="A2644" s="46">
        <f>'vHosts (Imported)'!A2644</f>
        <v>0</v>
      </c>
      <c r="B2644" s="51">
        <f t="shared" si="123"/>
        <v>4968</v>
      </c>
      <c r="C2644" s="49">
        <f>HLOOKUP("# Cores",'vHosts (Imported)'!$1:$5000,M2644,FALSE)</f>
        <v>0</v>
      </c>
      <c r="D2644" s="52">
        <f>HLOOKUP("# Memory",'vHosts (Imported)'!$1:$5000,M2644,FALSE)</f>
        <v>0</v>
      </c>
      <c r="M2644" s="45">
        <f t="shared" si="125"/>
        <v>2644</v>
      </c>
      <c r="N2644" s="38">
        <f>HLOOKUP("Host",'vInfo (Imported)'!$1:$5000,M2644,FALSE)</f>
        <v>0</v>
      </c>
      <c r="R2644">
        <f>HLOOKUP("CPUs",'vInfo (Imported)'!$1:$5000,M2644,FALSE)</f>
        <v>0</v>
      </c>
      <c r="S2644">
        <f>HLOOKUP("Memory",'vInfo (Imported)'!$1:$5000,M2644,FALSE)</f>
        <v>0</v>
      </c>
      <c r="T2644">
        <f>HLOOKUP("Provisioned MiB",'vInfo (Imported)'!$1:$5000,M2644,FALSE)</f>
        <v>0</v>
      </c>
      <c r="U2644">
        <f t="shared" si="124"/>
        <v>0</v>
      </c>
      <c r="V2644">
        <f>HLOOKUP("In Use MiB",'vInfo (Imported)'!$1:$5000,M2644,FALSE)</f>
        <v>0</v>
      </c>
    </row>
    <row r="2645" spans="1:22" ht="13" x14ac:dyDescent="0.3">
      <c r="A2645" s="46">
        <f>'vHosts (Imported)'!A2645</f>
        <v>0</v>
      </c>
      <c r="B2645" s="51">
        <f t="shared" si="123"/>
        <v>4968</v>
      </c>
      <c r="C2645" s="49">
        <f>HLOOKUP("# Cores",'vHosts (Imported)'!$1:$5000,M2645,FALSE)</f>
        <v>0</v>
      </c>
      <c r="D2645" s="52">
        <f>HLOOKUP("# Memory",'vHosts (Imported)'!$1:$5000,M2645,FALSE)</f>
        <v>0</v>
      </c>
      <c r="M2645" s="45">
        <f t="shared" si="125"/>
        <v>2645</v>
      </c>
      <c r="N2645" s="38">
        <f>HLOOKUP("Host",'vInfo (Imported)'!$1:$5000,M2645,FALSE)</f>
        <v>0</v>
      </c>
      <c r="R2645">
        <f>HLOOKUP("CPUs",'vInfo (Imported)'!$1:$5000,M2645,FALSE)</f>
        <v>0</v>
      </c>
      <c r="S2645">
        <f>HLOOKUP("Memory",'vInfo (Imported)'!$1:$5000,M2645,FALSE)</f>
        <v>0</v>
      </c>
      <c r="T2645">
        <f>HLOOKUP("Provisioned MiB",'vInfo (Imported)'!$1:$5000,M2645,FALSE)</f>
        <v>0</v>
      </c>
      <c r="U2645">
        <f t="shared" si="124"/>
        <v>0</v>
      </c>
      <c r="V2645">
        <f>HLOOKUP("In Use MiB",'vInfo (Imported)'!$1:$5000,M2645,FALSE)</f>
        <v>0</v>
      </c>
    </row>
    <row r="2646" spans="1:22" ht="13" x14ac:dyDescent="0.3">
      <c r="A2646" s="46">
        <f>'vHosts (Imported)'!A2646</f>
        <v>0</v>
      </c>
      <c r="B2646" s="51">
        <f t="shared" si="123"/>
        <v>4968</v>
      </c>
      <c r="C2646" s="49">
        <f>HLOOKUP("# Cores",'vHosts (Imported)'!$1:$5000,M2646,FALSE)</f>
        <v>0</v>
      </c>
      <c r="D2646" s="52">
        <f>HLOOKUP("# Memory",'vHosts (Imported)'!$1:$5000,M2646,FALSE)</f>
        <v>0</v>
      </c>
      <c r="M2646" s="45">
        <f t="shared" si="125"/>
        <v>2646</v>
      </c>
      <c r="N2646" s="38">
        <f>HLOOKUP("Host",'vInfo (Imported)'!$1:$5000,M2646,FALSE)</f>
        <v>0</v>
      </c>
      <c r="R2646">
        <f>HLOOKUP("CPUs",'vInfo (Imported)'!$1:$5000,M2646,FALSE)</f>
        <v>0</v>
      </c>
      <c r="S2646">
        <f>HLOOKUP("Memory",'vInfo (Imported)'!$1:$5000,M2646,FALSE)</f>
        <v>0</v>
      </c>
      <c r="T2646">
        <f>HLOOKUP("Provisioned MiB",'vInfo (Imported)'!$1:$5000,M2646,FALSE)</f>
        <v>0</v>
      </c>
      <c r="U2646">
        <f t="shared" si="124"/>
        <v>0</v>
      </c>
      <c r="V2646">
        <f>HLOOKUP("In Use MiB",'vInfo (Imported)'!$1:$5000,M2646,FALSE)</f>
        <v>0</v>
      </c>
    </row>
    <row r="2647" spans="1:22" ht="13" x14ac:dyDescent="0.3">
      <c r="A2647" s="46">
        <f>'vHosts (Imported)'!A2647</f>
        <v>0</v>
      </c>
      <c r="B2647" s="51">
        <f t="shared" si="123"/>
        <v>4968</v>
      </c>
      <c r="C2647" s="49">
        <f>HLOOKUP("# Cores",'vHosts (Imported)'!$1:$5000,M2647,FALSE)</f>
        <v>0</v>
      </c>
      <c r="D2647" s="52">
        <f>HLOOKUP("# Memory",'vHosts (Imported)'!$1:$5000,M2647,FALSE)</f>
        <v>0</v>
      </c>
      <c r="M2647" s="45">
        <f t="shared" si="125"/>
        <v>2647</v>
      </c>
      <c r="N2647" s="38">
        <f>HLOOKUP("Host",'vInfo (Imported)'!$1:$5000,M2647,FALSE)</f>
        <v>0</v>
      </c>
      <c r="R2647">
        <f>HLOOKUP("CPUs",'vInfo (Imported)'!$1:$5000,M2647,FALSE)</f>
        <v>0</v>
      </c>
      <c r="S2647">
        <f>HLOOKUP("Memory",'vInfo (Imported)'!$1:$5000,M2647,FALSE)</f>
        <v>0</v>
      </c>
      <c r="T2647">
        <f>HLOOKUP("Provisioned MiB",'vInfo (Imported)'!$1:$5000,M2647,FALSE)</f>
        <v>0</v>
      </c>
      <c r="U2647">
        <f t="shared" si="124"/>
        <v>0</v>
      </c>
      <c r="V2647">
        <f>HLOOKUP("In Use MiB",'vInfo (Imported)'!$1:$5000,M2647,FALSE)</f>
        <v>0</v>
      </c>
    </row>
    <row r="2648" spans="1:22" ht="13" x14ac:dyDescent="0.3">
      <c r="A2648" s="46">
        <f>'vHosts (Imported)'!A2648</f>
        <v>0</v>
      </c>
      <c r="B2648" s="51">
        <f t="shared" si="123"/>
        <v>4968</v>
      </c>
      <c r="C2648" s="49">
        <f>HLOOKUP("# Cores",'vHosts (Imported)'!$1:$5000,M2648,FALSE)</f>
        <v>0</v>
      </c>
      <c r="D2648" s="52">
        <f>HLOOKUP("# Memory",'vHosts (Imported)'!$1:$5000,M2648,FALSE)</f>
        <v>0</v>
      </c>
      <c r="M2648" s="45">
        <f t="shared" si="125"/>
        <v>2648</v>
      </c>
      <c r="N2648" s="38">
        <f>HLOOKUP("Host",'vInfo (Imported)'!$1:$5000,M2648,FALSE)</f>
        <v>0</v>
      </c>
      <c r="R2648">
        <f>HLOOKUP("CPUs",'vInfo (Imported)'!$1:$5000,M2648,FALSE)</f>
        <v>0</v>
      </c>
      <c r="S2648">
        <f>HLOOKUP("Memory",'vInfo (Imported)'!$1:$5000,M2648,FALSE)</f>
        <v>0</v>
      </c>
      <c r="T2648">
        <f>HLOOKUP("Provisioned MiB",'vInfo (Imported)'!$1:$5000,M2648,FALSE)</f>
        <v>0</v>
      </c>
      <c r="U2648">
        <f t="shared" si="124"/>
        <v>0</v>
      </c>
      <c r="V2648">
        <f>HLOOKUP("In Use MiB",'vInfo (Imported)'!$1:$5000,M2648,FALSE)</f>
        <v>0</v>
      </c>
    </row>
    <row r="2649" spans="1:22" ht="13" x14ac:dyDescent="0.3">
      <c r="A2649" s="46">
        <f>'vHosts (Imported)'!A2649</f>
        <v>0</v>
      </c>
      <c r="B2649" s="51">
        <f t="shared" si="123"/>
        <v>4968</v>
      </c>
      <c r="C2649" s="49">
        <f>HLOOKUP("# Cores",'vHosts (Imported)'!$1:$5000,M2649,FALSE)</f>
        <v>0</v>
      </c>
      <c r="D2649" s="52">
        <f>HLOOKUP("# Memory",'vHosts (Imported)'!$1:$5000,M2649,FALSE)</f>
        <v>0</v>
      </c>
      <c r="M2649" s="45">
        <f t="shared" si="125"/>
        <v>2649</v>
      </c>
      <c r="N2649" s="38">
        <f>HLOOKUP("Host",'vInfo (Imported)'!$1:$5000,M2649,FALSE)</f>
        <v>0</v>
      </c>
      <c r="R2649">
        <f>HLOOKUP("CPUs",'vInfo (Imported)'!$1:$5000,M2649,FALSE)</f>
        <v>0</v>
      </c>
      <c r="S2649">
        <f>HLOOKUP("Memory",'vInfo (Imported)'!$1:$5000,M2649,FALSE)</f>
        <v>0</v>
      </c>
      <c r="T2649">
        <f>HLOOKUP("Provisioned MiB",'vInfo (Imported)'!$1:$5000,M2649,FALSE)</f>
        <v>0</v>
      </c>
      <c r="U2649">
        <f t="shared" si="124"/>
        <v>0</v>
      </c>
      <c r="V2649">
        <f>HLOOKUP("In Use MiB",'vInfo (Imported)'!$1:$5000,M2649,FALSE)</f>
        <v>0</v>
      </c>
    </row>
    <row r="2650" spans="1:22" ht="13" x14ac:dyDescent="0.3">
      <c r="A2650" s="46">
        <f>'vHosts (Imported)'!A2650</f>
        <v>0</v>
      </c>
      <c r="B2650" s="51">
        <f t="shared" si="123"/>
        <v>4968</v>
      </c>
      <c r="C2650" s="49">
        <f>HLOOKUP("# Cores",'vHosts (Imported)'!$1:$5000,M2650,FALSE)</f>
        <v>0</v>
      </c>
      <c r="D2650" s="52">
        <f>HLOOKUP("# Memory",'vHosts (Imported)'!$1:$5000,M2650,FALSE)</f>
        <v>0</v>
      </c>
      <c r="M2650" s="45">
        <f t="shared" si="125"/>
        <v>2650</v>
      </c>
      <c r="N2650" s="38">
        <f>HLOOKUP("Host",'vInfo (Imported)'!$1:$5000,M2650,FALSE)</f>
        <v>0</v>
      </c>
      <c r="R2650">
        <f>HLOOKUP("CPUs",'vInfo (Imported)'!$1:$5000,M2650,FALSE)</f>
        <v>0</v>
      </c>
      <c r="S2650">
        <f>HLOOKUP("Memory",'vInfo (Imported)'!$1:$5000,M2650,FALSE)</f>
        <v>0</v>
      </c>
      <c r="T2650">
        <f>HLOOKUP("Provisioned MiB",'vInfo (Imported)'!$1:$5000,M2650,FALSE)</f>
        <v>0</v>
      </c>
      <c r="U2650">
        <f t="shared" si="124"/>
        <v>0</v>
      </c>
      <c r="V2650">
        <f>HLOOKUP("In Use MiB",'vInfo (Imported)'!$1:$5000,M2650,FALSE)</f>
        <v>0</v>
      </c>
    </row>
    <row r="2651" spans="1:22" ht="13" x14ac:dyDescent="0.3">
      <c r="A2651" s="46">
        <f>'vHosts (Imported)'!A2651</f>
        <v>0</v>
      </c>
      <c r="B2651" s="51">
        <f t="shared" si="123"/>
        <v>4968</v>
      </c>
      <c r="C2651" s="49">
        <f>HLOOKUP("# Cores",'vHosts (Imported)'!$1:$5000,M2651,FALSE)</f>
        <v>0</v>
      </c>
      <c r="D2651" s="52">
        <f>HLOOKUP("# Memory",'vHosts (Imported)'!$1:$5000,M2651,FALSE)</f>
        <v>0</v>
      </c>
      <c r="M2651" s="45">
        <f t="shared" si="125"/>
        <v>2651</v>
      </c>
      <c r="N2651" s="38">
        <f>HLOOKUP("Host",'vInfo (Imported)'!$1:$5000,M2651,FALSE)</f>
        <v>0</v>
      </c>
      <c r="R2651">
        <f>HLOOKUP("CPUs",'vInfo (Imported)'!$1:$5000,M2651,FALSE)</f>
        <v>0</v>
      </c>
      <c r="S2651">
        <f>HLOOKUP("Memory",'vInfo (Imported)'!$1:$5000,M2651,FALSE)</f>
        <v>0</v>
      </c>
      <c r="T2651">
        <f>HLOOKUP("Provisioned MiB",'vInfo (Imported)'!$1:$5000,M2651,FALSE)</f>
        <v>0</v>
      </c>
      <c r="U2651">
        <f t="shared" si="124"/>
        <v>0</v>
      </c>
      <c r="V2651">
        <f>HLOOKUP("In Use MiB",'vInfo (Imported)'!$1:$5000,M2651,FALSE)</f>
        <v>0</v>
      </c>
    </row>
    <row r="2652" spans="1:22" ht="13" x14ac:dyDescent="0.3">
      <c r="A2652" s="46">
        <f>'vHosts (Imported)'!A2652</f>
        <v>0</v>
      </c>
      <c r="B2652" s="51">
        <f t="shared" si="123"/>
        <v>4968</v>
      </c>
      <c r="C2652" s="49">
        <f>HLOOKUP("# Cores",'vHosts (Imported)'!$1:$5000,M2652,FALSE)</f>
        <v>0</v>
      </c>
      <c r="D2652" s="52">
        <f>HLOOKUP("# Memory",'vHosts (Imported)'!$1:$5000,M2652,FALSE)</f>
        <v>0</v>
      </c>
      <c r="M2652" s="45">
        <f t="shared" si="125"/>
        <v>2652</v>
      </c>
      <c r="N2652" s="38">
        <f>HLOOKUP("Host",'vInfo (Imported)'!$1:$5000,M2652,FALSE)</f>
        <v>0</v>
      </c>
      <c r="R2652">
        <f>HLOOKUP("CPUs",'vInfo (Imported)'!$1:$5000,M2652,FALSE)</f>
        <v>0</v>
      </c>
      <c r="S2652">
        <f>HLOOKUP("Memory",'vInfo (Imported)'!$1:$5000,M2652,FALSE)</f>
        <v>0</v>
      </c>
      <c r="T2652">
        <f>HLOOKUP("Provisioned MiB",'vInfo (Imported)'!$1:$5000,M2652,FALSE)</f>
        <v>0</v>
      </c>
      <c r="U2652">
        <f t="shared" si="124"/>
        <v>0</v>
      </c>
      <c r="V2652">
        <f>HLOOKUP("In Use MiB",'vInfo (Imported)'!$1:$5000,M2652,FALSE)</f>
        <v>0</v>
      </c>
    </row>
    <row r="2653" spans="1:22" ht="13" x14ac:dyDescent="0.3">
      <c r="A2653" s="46">
        <f>'vHosts (Imported)'!A2653</f>
        <v>0</v>
      </c>
      <c r="B2653" s="51">
        <f t="shared" si="123"/>
        <v>4968</v>
      </c>
      <c r="C2653" s="49">
        <f>HLOOKUP("# Cores",'vHosts (Imported)'!$1:$5000,M2653,FALSE)</f>
        <v>0</v>
      </c>
      <c r="D2653" s="52">
        <f>HLOOKUP("# Memory",'vHosts (Imported)'!$1:$5000,M2653,FALSE)</f>
        <v>0</v>
      </c>
      <c r="M2653" s="45">
        <f t="shared" si="125"/>
        <v>2653</v>
      </c>
      <c r="N2653" s="38">
        <f>HLOOKUP("Host",'vInfo (Imported)'!$1:$5000,M2653,FALSE)</f>
        <v>0</v>
      </c>
      <c r="R2653">
        <f>HLOOKUP("CPUs",'vInfo (Imported)'!$1:$5000,M2653,FALSE)</f>
        <v>0</v>
      </c>
      <c r="S2653">
        <f>HLOOKUP("Memory",'vInfo (Imported)'!$1:$5000,M2653,FALSE)</f>
        <v>0</v>
      </c>
      <c r="T2653">
        <f>HLOOKUP("Provisioned MiB",'vInfo (Imported)'!$1:$5000,M2653,FALSE)</f>
        <v>0</v>
      </c>
      <c r="U2653">
        <f t="shared" si="124"/>
        <v>0</v>
      </c>
      <c r="V2653">
        <f>HLOOKUP("In Use MiB",'vInfo (Imported)'!$1:$5000,M2653,FALSE)</f>
        <v>0</v>
      </c>
    </row>
    <row r="2654" spans="1:22" ht="13" x14ac:dyDescent="0.3">
      <c r="A2654" s="46">
        <f>'vHosts (Imported)'!A2654</f>
        <v>0</v>
      </c>
      <c r="B2654" s="51">
        <f t="shared" si="123"/>
        <v>4968</v>
      </c>
      <c r="C2654" s="49">
        <f>HLOOKUP("# Cores",'vHosts (Imported)'!$1:$5000,M2654,FALSE)</f>
        <v>0</v>
      </c>
      <c r="D2654" s="52">
        <f>HLOOKUP("# Memory",'vHosts (Imported)'!$1:$5000,M2654,FALSE)</f>
        <v>0</v>
      </c>
      <c r="M2654" s="45">
        <f t="shared" si="125"/>
        <v>2654</v>
      </c>
      <c r="N2654" s="38">
        <f>HLOOKUP("Host",'vInfo (Imported)'!$1:$5000,M2654,FALSE)</f>
        <v>0</v>
      </c>
      <c r="R2654">
        <f>HLOOKUP("CPUs",'vInfo (Imported)'!$1:$5000,M2654,FALSE)</f>
        <v>0</v>
      </c>
      <c r="S2654">
        <f>HLOOKUP("Memory",'vInfo (Imported)'!$1:$5000,M2654,FALSE)</f>
        <v>0</v>
      </c>
      <c r="T2654">
        <f>HLOOKUP("Provisioned MiB",'vInfo (Imported)'!$1:$5000,M2654,FALSE)</f>
        <v>0</v>
      </c>
      <c r="U2654">
        <f t="shared" si="124"/>
        <v>0</v>
      </c>
      <c r="V2654">
        <f>HLOOKUP("In Use MiB",'vInfo (Imported)'!$1:$5000,M2654,FALSE)</f>
        <v>0</v>
      </c>
    </row>
    <row r="2655" spans="1:22" ht="13" x14ac:dyDescent="0.3">
      <c r="A2655" s="46">
        <f>'vHosts (Imported)'!A2655</f>
        <v>0</v>
      </c>
      <c r="B2655" s="51">
        <f t="shared" si="123"/>
        <v>4968</v>
      </c>
      <c r="C2655" s="49">
        <f>HLOOKUP("# Cores",'vHosts (Imported)'!$1:$5000,M2655,FALSE)</f>
        <v>0</v>
      </c>
      <c r="D2655" s="52">
        <f>HLOOKUP("# Memory",'vHosts (Imported)'!$1:$5000,M2655,FALSE)</f>
        <v>0</v>
      </c>
      <c r="M2655" s="45">
        <f t="shared" si="125"/>
        <v>2655</v>
      </c>
      <c r="N2655" s="38">
        <f>HLOOKUP("Host",'vInfo (Imported)'!$1:$5000,M2655,FALSE)</f>
        <v>0</v>
      </c>
      <c r="R2655">
        <f>HLOOKUP("CPUs",'vInfo (Imported)'!$1:$5000,M2655,FALSE)</f>
        <v>0</v>
      </c>
      <c r="S2655">
        <f>HLOOKUP("Memory",'vInfo (Imported)'!$1:$5000,M2655,FALSE)</f>
        <v>0</v>
      </c>
      <c r="T2655">
        <f>HLOOKUP("Provisioned MiB",'vInfo (Imported)'!$1:$5000,M2655,FALSE)</f>
        <v>0</v>
      </c>
      <c r="U2655">
        <f t="shared" si="124"/>
        <v>0</v>
      </c>
      <c r="V2655">
        <f>HLOOKUP("In Use MiB",'vInfo (Imported)'!$1:$5000,M2655,FALSE)</f>
        <v>0</v>
      </c>
    </row>
    <row r="2656" spans="1:22" ht="13" x14ac:dyDescent="0.3">
      <c r="A2656" s="46">
        <f>'vHosts (Imported)'!A2656</f>
        <v>0</v>
      </c>
      <c r="B2656" s="51">
        <f t="shared" si="123"/>
        <v>4968</v>
      </c>
      <c r="C2656" s="49">
        <f>HLOOKUP("# Cores",'vHosts (Imported)'!$1:$5000,M2656,FALSE)</f>
        <v>0</v>
      </c>
      <c r="D2656" s="52">
        <f>HLOOKUP("# Memory",'vHosts (Imported)'!$1:$5000,M2656,FALSE)</f>
        <v>0</v>
      </c>
      <c r="M2656" s="45">
        <f t="shared" si="125"/>
        <v>2656</v>
      </c>
      <c r="N2656" s="38">
        <f>HLOOKUP("Host",'vInfo (Imported)'!$1:$5000,M2656,FALSE)</f>
        <v>0</v>
      </c>
      <c r="R2656">
        <f>HLOOKUP("CPUs",'vInfo (Imported)'!$1:$5000,M2656,FALSE)</f>
        <v>0</v>
      </c>
      <c r="S2656">
        <f>HLOOKUP("Memory",'vInfo (Imported)'!$1:$5000,M2656,FALSE)</f>
        <v>0</v>
      </c>
      <c r="T2656">
        <f>HLOOKUP("Provisioned MiB",'vInfo (Imported)'!$1:$5000,M2656,FALSE)</f>
        <v>0</v>
      </c>
      <c r="U2656">
        <f t="shared" si="124"/>
        <v>0</v>
      </c>
      <c r="V2656">
        <f>HLOOKUP("In Use MiB",'vInfo (Imported)'!$1:$5000,M2656,FALSE)</f>
        <v>0</v>
      </c>
    </row>
    <row r="2657" spans="1:22" ht="13" x14ac:dyDescent="0.3">
      <c r="A2657" s="46">
        <f>'vHosts (Imported)'!A2657</f>
        <v>0</v>
      </c>
      <c r="B2657" s="51">
        <f t="shared" si="123"/>
        <v>4968</v>
      </c>
      <c r="C2657" s="49">
        <f>HLOOKUP("# Cores",'vHosts (Imported)'!$1:$5000,M2657,FALSE)</f>
        <v>0</v>
      </c>
      <c r="D2657" s="52">
        <f>HLOOKUP("# Memory",'vHosts (Imported)'!$1:$5000,M2657,FALSE)</f>
        <v>0</v>
      </c>
      <c r="M2657" s="45">
        <f t="shared" si="125"/>
        <v>2657</v>
      </c>
      <c r="N2657" s="38">
        <f>HLOOKUP("Host",'vInfo (Imported)'!$1:$5000,M2657,FALSE)</f>
        <v>0</v>
      </c>
      <c r="R2657">
        <f>HLOOKUP("CPUs",'vInfo (Imported)'!$1:$5000,M2657,FALSE)</f>
        <v>0</v>
      </c>
      <c r="S2657">
        <f>HLOOKUP("Memory",'vInfo (Imported)'!$1:$5000,M2657,FALSE)</f>
        <v>0</v>
      </c>
      <c r="T2657">
        <f>HLOOKUP("Provisioned MiB",'vInfo (Imported)'!$1:$5000,M2657,FALSE)</f>
        <v>0</v>
      </c>
      <c r="U2657">
        <f t="shared" si="124"/>
        <v>0</v>
      </c>
      <c r="V2657">
        <f>HLOOKUP("In Use MiB",'vInfo (Imported)'!$1:$5000,M2657,FALSE)</f>
        <v>0</v>
      </c>
    </row>
    <row r="2658" spans="1:22" ht="13" x14ac:dyDescent="0.3">
      <c r="A2658" s="46">
        <f>'vHosts (Imported)'!A2658</f>
        <v>0</v>
      </c>
      <c r="B2658" s="51">
        <f t="shared" si="123"/>
        <v>4968</v>
      </c>
      <c r="C2658" s="49">
        <f>HLOOKUP("# Cores",'vHosts (Imported)'!$1:$5000,M2658,FALSE)</f>
        <v>0</v>
      </c>
      <c r="D2658" s="52">
        <f>HLOOKUP("# Memory",'vHosts (Imported)'!$1:$5000,M2658,FALSE)</f>
        <v>0</v>
      </c>
      <c r="M2658" s="45">
        <f t="shared" si="125"/>
        <v>2658</v>
      </c>
      <c r="N2658" s="38">
        <f>HLOOKUP("Host",'vInfo (Imported)'!$1:$5000,M2658,FALSE)</f>
        <v>0</v>
      </c>
      <c r="R2658">
        <f>HLOOKUP("CPUs",'vInfo (Imported)'!$1:$5000,M2658,FALSE)</f>
        <v>0</v>
      </c>
      <c r="S2658">
        <f>HLOOKUP("Memory",'vInfo (Imported)'!$1:$5000,M2658,FALSE)</f>
        <v>0</v>
      </c>
      <c r="T2658">
        <f>HLOOKUP("Provisioned MiB",'vInfo (Imported)'!$1:$5000,M2658,FALSE)</f>
        <v>0</v>
      </c>
      <c r="U2658">
        <f t="shared" si="124"/>
        <v>0</v>
      </c>
      <c r="V2658">
        <f>HLOOKUP("In Use MiB",'vInfo (Imported)'!$1:$5000,M2658,FALSE)</f>
        <v>0</v>
      </c>
    </row>
    <row r="2659" spans="1:22" ht="13" x14ac:dyDescent="0.3">
      <c r="A2659" s="46">
        <f>'vHosts (Imported)'!A2659</f>
        <v>0</v>
      </c>
      <c r="B2659" s="51">
        <f t="shared" si="123"/>
        <v>4968</v>
      </c>
      <c r="C2659" s="49">
        <f>HLOOKUP("# Cores",'vHosts (Imported)'!$1:$5000,M2659,FALSE)</f>
        <v>0</v>
      </c>
      <c r="D2659" s="52">
        <f>HLOOKUP("# Memory",'vHosts (Imported)'!$1:$5000,M2659,FALSE)</f>
        <v>0</v>
      </c>
      <c r="M2659" s="45">
        <f t="shared" si="125"/>
        <v>2659</v>
      </c>
      <c r="N2659" s="38">
        <f>HLOOKUP("Host",'vInfo (Imported)'!$1:$5000,M2659,FALSE)</f>
        <v>0</v>
      </c>
      <c r="R2659">
        <f>HLOOKUP("CPUs",'vInfo (Imported)'!$1:$5000,M2659,FALSE)</f>
        <v>0</v>
      </c>
      <c r="S2659">
        <f>HLOOKUP("Memory",'vInfo (Imported)'!$1:$5000,M2659,FALSE)</f>
        <v>0</v>
      </c>
      <c r="T2659">
        <f>HLOOKUP("Provisioned MiB",'vInfo (Imported)'!$1:$5000,M2659,FALSE)</f>
        <v>0</v>
      </c>
      <c r="U2659">
        <f t="shared" si="124"/>
        <v>0</v>
      </c>
      <c r="V2659">
        <f>HLOOKUP("In Use MiB",'vInfo (Imported)'!$1:$5000,M2659,FALSE)</f>
        <v>0</v>
      </c>
    </row>
    <row r="2660" spans="1:22" ht="13" x14ac:dyDescent="0.3">
      <c r="A2660" s="46">
        <f>'vHosts (Imported)'!A2660</f>
        <v>0</v>
      </c>
      <c r="B2660" s="51">
        <f t="shared" si="123"/>
        <v>4968</v>
      </c>
      <c r="C2660" s="49">
        <f>HLOOKUP("# Cores",'vHosts (Imported)'!$1:$5000,M2660,FALSE)</f>
        <v>0</v>
      </c>
      <c r="D2660" s="52">
        <f>HLOOKUP("# Memory",'vHosts (Imported)'!$1:$5000,M2660,FALSE)</f>
        <v>0</v>
      </c>
      <c r="M2660" s="45">
        <f t="shared" si="125"/>
        <v>2660</v>
      </c>
      <c r="N2660" s="38">
        <f>HLOOKUP("Host",'vInfo (Imported)'!$1:$5000,M2660,FALSE)</f>
        <v>0</v>
      </c>
      <c r="R2660">
        <f>HLOOKUP("CPUs",'vInfo (Imported)'!$1:$5000,M2660,FALSE)</f>
        <v>0</v>
      </c>
      <c r="S2660">
        <f>HLOOKUP("Memory",'vInfo (Imported)'!$1:$5000,M2660,FALSE)</f>
        <v>0</v>
      </c>
      <c r="T2660">
        <f>HLOOKUP("Provisioned MiB",'vInfo (Imported)'!$1:$5000,M2660,FALSE)</f>
        <v>0</v>
      </c>
      <c r="U2660">
        <f t="shared" si="124"/>
        <v>0</v>
      </c>
      <c r="V2660">
        <f>HLOOKUP("In Use MiB",'vInfo (Imported)'!$1:$5000,M2660,FALSE)</f>
        <v>0</v>
      </c>
    </row>
    <row r="2661" spans="1:22" ht="13" x14ac:dyDescent="0.3">
      <c r="A2661" s="46">
        <f>'vHosts (Imported)'!A2661</f>
        <v>0</v>
      </c>
      <c r="B2661" s="51">
        <f t="shared" si="123"/>
        <v>4968</v>
      </c>
      <c r="C2661" s="49">
        <f>HLOOKUP("# Cores",'vHosts (Imported)'!$1:$5000,M2661,FALSE)</f>
        <v>0</v>
      </c>
      <c r="D2661" s="52">
        <f>HLOOKUP("# Memory",'vHosts (Imported)'!$1:$5000,M2661,FALSE)</f>
        <v>0</v>
      </c>
      <c r="M2661" s="45">
        <f t="shared" si="125"/>
        <v>2661</v>
      </c>
      <c r="N2661" s="38">
        <f>HLOOKUP("Host",'vInfo (Imported)'!$1:$5000,M2661,FALSE)</f>
        <v>0</v>
      </c>
      <c r="R2661">
        <f>HLOOKUP("CPUs",'vInfo (Imported)'!$1:$5000,M2661,FALSE)</f>
        <v>0</v>
      </c>
      <c r="S2661">
        <f>HLOOKUP("Memory",'vInfo (Imported)'!$1:$5000,M2661,FALSE)</f>
        <v>0</v>
      </c>
      <c r="T2661">
        <f>HLOOKUP("Provisioned MiB",'vInfo (Imported)'!$1:$5000,M2661,FALSE)</f>
        <v>0</v>
      </c>
      <c r="U2661">
        <f t="shared" si="124"/>
        <v>0</v>
      </c>
      <c r="V2661">
        <f>HLOOKUP("In Use MiB",'vInfo (Imported)'!$1:$5000,M2661,FALSE)</f>
        <v>0</v>
      </c>
    </row>
    <row r="2662" spans="1:22" ht="13" x14ac:dyDescent="0.3">
      <c r="A2662" s="46">
        <f>'vHosts (Imported)'!A2662</f>
        <v>0</v>
      </c>
      <c r="B2662" s="51">
        <f t="shared" si="123"/>
        <v>4968</v>
      </c>
      <c r="C2662" s="49">
        <f>HLOOKUP("# Cores",'vHosts (Imported)'!$1:$5000,M2662,FALSE)</f>
        <v>0</v>
      </c>
      <c r="D2662" s="52">
        <f>HLOOKUP("# Memory",'vHosts (Imported)'!$1:$5000,M2662,FALSE)</f>
        <v>0</v>
      </c>
      <c r="M2662" s="45">
        <f t="shared" si="125"/>
        <v>2662</v>
      </c>
      <c r="N2662" s="38">
        <f>HLOOKUP("Host",'vInfo (Imported)'!$1:$5000,M2662,FALSE)</f>
        <v>0</v>
      </c>
      <c r="R2662">
        <f>HLOOKUP("CPUs",'vInfo (Imported)'!$1:$5000,M2662,FALSE)</f>
        <v>0</v>
      </c>
      <c r="S2662">
        <f>HLOOKUP("Memory",'vInfo (Imported)'!$1:$5000,M2662,FALSE)</f>
        <v>0</v>
      </c>
      <c r="T2662">
        <f>HLOOKUP("Provisioned MiB",'vInfo (Imported)'!$1:$5000,M2662,FALSE)</f>
        <v>0</v>
      </c>
      <c r="U2662">
        <f t="shared" si="124"/>
        <v>0</v>
      </c>
      <c r="V2662">
        <f>HLOOKUP("In Use MiB",'vInfo (Imported)'!$1:$5000,M2662,FALSE)</f>
        <v>0</v>
      </c>
    </row>
    <row r="2663" spans="1:22" ht="13" x14ac:dyDescent="0.3">
      <c r="A2663" s="46">
        <f>'vHosts (Imported)'!A2663</f>
        <v>0</v>
      </c>
      <c r="B2663" s="51">
        <f t="shared" si="123"/>
        <v>4968</v>
      </c>
      <c r="C2663" s="49">
        <f>HLOOKUP("# Cores",'vHosts (Imported)'!$1:$5000,M2663,FALSE)</f>
        <v>0</v>
      </c>
      <c r="D2663" s="52">
        <f>HLOOKUP("# Memory",'vHosts (Imported)'!$1:$5000,M2663,FALSE)</f>
        <v>0</v>
      </c>
      <c r="M2663" s="45">
        <f t="shared" si="125"/>
        <v>2663</v>
      </c>
      <c r="N2663" s="38">
        <f>HLOOKUP("Host",'vInfo (Imported)'!$1:$5000,M2663,FALSE)</f>
        <v>0</v>
      </c>
      <c r="R2663">
        <f>HLOOKUP("CPUs",'vInfo (Imported)'!$1:$5000,M2663,FALSE)</f>
        <v>0</v>
      </c>
      <c r="S2663">
        <f>HLOOKUP("Memory",'vInfo (Imported)'!$1:$5000,M2663,FALSE)</f>
        <v>0</v>
      </c>
      <c r="T2663">
        <f>HLOOKUP("Provisioned MiB",'vInfo (Imported)'!$1:$5000,M2663,FALSE)</f>
        <v>0</v>
      </c>
      <c r="U2663">
        <f t="shared" si="124"/>
        <v>0</v>
      </c>
      <c r="V2663">
        <f>HLOOKUP("In Use MiB",'vInfo (Imported)'!$1:$5000,M2663,FALSE)</f>
        <v>0</v>
      </c>
    </row>
    <row r="2664" spans="1:22" ht="13" x14ac:dyDescent="0.3">
      <c r="A2664" s="46">
        <f>'vHosts (Imported)'!A2664</f>
        <v>0</v>
      </c>
      <c r="B2664" s="51">
        <f t="shared" ref="B2664:B2727" si="126">COUNTIF(N:N,A2664)</f>
        <v>4968</v>
      </c>
      <c r="C2664" s="49">
        <f>HLOOKUP("# Cores",'vHosts (Imported)'!$1:$5000,M2664,FALSE)</f>
        <v>0</v>
      </c>
      <c r="D2664" s="52">
        <f>HLOOKUP("# Memory",'vHosts (Imported)'!$1:$5000,M2664,FALSE)</f>
        <v>0</v>
      </c>
      <c r="M2664" s="45">
        <f t="shared" si="125"/>
        <v>2664</v>
      </c>
      <c r="N2664" s="38">
        <f>HLOOKUP("Host",'vInfo (Imported)'!$1:$5000,M2664,FALSE)</f>
        <v>0</v>
      </c>
      <c r="R2664">
        <f>HLOOKUP("CPUs",'vInfo (Imported)'!$1:$5000,M2664,FALSE)</f>
        <v>0</v>
      </c>
      <c r="S2664">
        <f>HLOOKUP("Memory",'vInfo (Imported)'!$1:$5000,M2664,FALSE)</f>
        <v>0</v>
      </c>
      <c r="T2664">
        <f>HLOOKUP("Provisioned MiB",'vInfo (Imported)'!$1:$5000,M2664,FALSE)</f>
        <v>0</v>
      </c>
      <c r="U2664">
        <f t="shared" si="124"/>
        <v>0</v>
      </c>
      <c r="V2664">
        <f>HLOOKUP("In Use MiB",'vInfo (Imported)'!$1:$5000,M2664,FALSE)</f>
        <v>0</v>
      </c>
    </row>
    <row r="2665" spans="1:22" ht="13" x14ac:dyDescent="0.3">
      <c r="A2665" s="46">
        <f>'vHosts (Imported)'!A2665</f>
        <v>0</v>
      </c>
      <c r="B2665" s="51">
        <f t="shared" si="126"/>
        <v>4968</v>
      </c>
      <c r="C2665" s="49">
        <f>HLOOKUP("# Cores",'vHosts (Imported)'!$1:$5000,M2665,FALSE)</f>
        <v>0</v>
      </c>
      <c r="D2665" s="52">
        <f>HLOOKUP("# Memory",'vHosts (Imported)'!$1:$5000,M2665,FALSE)</f>
        <v>0</v>
      </c>
      <c r="M2665" s="45">
        <f t="shared" si="125"/>
        <v>2665</v>
      </c>
      <c r="N2665" s="38">
        <f>HLOOKUP("Host",'vInfo (Imported)'!$1:$5000,M2665,FALSE)</f>
        <v>0</v>
      </c>
      <c r="R2665">
        <f>HLOOKUP("CPUs",'vInfo (Imported)'!$1:$5000,M2665,FALSE)</f>
        <v>0</v>
      </c>
      <c r="S2665">
        <f>HLOOKUP("Memory",'vInfo (Imported)'!$1:$5000,M2665,FALSE)</f>
        <v>0</v>
      </c>
      <c r="T2665">
        <f>HLOOKUP("Provisioned MiB",'vInfo (Imported)'!$1:$5000,M2665,FALSE)</f>
        <v>0</v>
      </c>
      <c r="U2665">
        <f t="shared" si="124"/>
        <v>0</v>
      </c>
      <c r="V2665">
        <f>HLOOKUP("In Use MiB",'vInfo (Imported)'!$1:$5000,M2665,FALSE)</f>
        <v>0</v>
      </c>
    </row>
    <row r="2666" spans="1:22" ht="13" x14ac:dyDescent="0.3">
      <c r="A2666" s="46">
        <f>'vHosts (Imported)'!A2666</f>
        <v>0</v>
      </c>
      <c r="B2666" s="51">
        <f t="shared" si="126"/>
        <v>4968</v>
      </c>
      <c r="C2666" s="49">
        <f>HLOOKUP("# Cores",'vHosts (Imported)'!$1:$5000,M2666,FALSE)</f>
        <v>0</v>
      </c>
      <c r="D2666" s="52">
        <f>HLOOKUP("# Memory",'vHosts (Imported)'!$1:$5000,M2666,FALSE)</f>
        <v>0</v>
      </c>
      <c r="M2666" s="45">
        <f t="shared" si="125"/>
        <v>2666</v>
      </c>
      <c r="N2666" s="38">
        <f>HLOOKUP("Host",'vInfo (Imported)'!$1:$5000,M2666,FALSE)</f>
        <v>0</v>
      </c>
      <c r="R2666">
        <f>HLOOKUP("CPUs",'vInfo (Imported)'!$1:$5000,M2666,FALSE)</f>
        <v>0</v>
      </c>
      <c r="S2666">
        <f>HLOOKUP("Memory",'vInfo (Imported)'!$1:$5000,M2666,FALSE)</f>
        <v>0</v>
      </c>
      <c r="T2666">
        <f>HLOOKUP("Provisioned MiB",'vInfo (Imported)'!$1:$5000,M2666,FALSE)</f>
        <v>0</v>
      </c>
      <c r="U2666">
        <f t="shared" si="124"/>
        <v>0</v>
      </c>
      <c r="V2666">
        <f>HLOOKUP("In Use MiB",'vInfo (Imported)'!$1:$5000,M2666,FALSE)</f>
        <v>0</v>
      </c>
    </row>
    <row r="2667" spans="1:22" ht="13" x14ac:dyDescent="0.3">
      <c r="A2667" s="46">
        <f>'vHosts (Imported)'!A2667</f>
        <v>0</v>
      </c>
      <c r="B2667" s="51">
        <f t="shared" si="126"/>
        <v>4968</v>
      </c>
      <c r="C2667" s="49">
        <f>HLOOKUP("# Cores",'vHosts (Imported)'!$1:$5000,M2667,FALSE)</f>
        <v>0</v>
      </c>
      <c r="D2667" s="52">
        <f>HLOOKUP("# Memory",'vHosts (Imported)'!$1:$5000,M2667,FALSE)</f>
        <v>0</v>
      </c>
      <c r="M2667" s="45">
        <f t="shared" si="125"/>
        <v>2667</v>
      </c>
      <c r="N2667" s="38">
        <f>HLOOKUP("Host",'vInfo (Imported)'!$1:$5000,M2667,FALSE)</f>
        <v>0</v>
      </c>
      <c r="R2667">
        <f>HLOOKUP("CPUs",'vInfo (Imported)'!$1:$5000,M2667,FALSE)</f>
        <v>0</v>
      </c>
      <c r="S2667">
        <f>HLOOKUP("Memory",'vInfo (Imported)'!$1:$5000,M2667,FALSE)</f>
        <v>0</v>
      </c>
      <c r="T2667">
        <f>HLOOKUP("Provisioned MiB",'vInfo (Imported)'!$1:$5000,M2667,FALSE)</f>
        <v>0</v>
      </c>
      <c r="U2667">
        <f t="shared" si="124"/>
        <v>0</v>
      </c>
      <c r="V2667">
        <f>HLOOKUP("In Use MiB",'vInfo (Imported)'!$1:$5000,M2667,FALSE)</f>
        <v>0</v>
      </c>
    </row>
    <row r="2668" spans="1:22" ht="13" x14ac:dyDescent="0.3">
      <c r="A2668" s="46">
        <f>'vHosts (Imported)'!A2668</f>
        <v>0</v>
      </c>
      <c r="B2668" s="51">
        <f t="shared" si="126"/>
        <v>4968</v>
      </c>
      <c r="C2668" s="49">
        <f>HLOOKUP("# Cores",'vHosts (Imported)'!$1:$5000,M2668,FALSE)</f>
        <v>0</v>
      </c>
      <c r="D2668" s="52">
        <f>HLOOKUP("# Memory",'vHosts (Imported)'!$1:$5000,M2668,FALSE)</f>
        <v>0</v>
      </c>
      <c r="M2668" s="45">
        <f t="shared" si="125"/>
        <v>2668</v>
      </c>
      <c r="N2668" s="38">
        <f>HLOOKUP("Host",'vInfo (Imported)'!$1:$5000,M2668,FALSE)</f>
        <v>0</v>
      </c>
      <c r="R2668">
        <f>HLOOKUP("CPUs",'vInfo (Imported)'!$1:$5000,M2668,FALSE)</f>
        <v>0</v>
      </c>
      <c r="S2668">
        <f>HLOOKUP("Memory",'vInfo (Imported)'!$1:$5000,M2668,FALSE)</f>
        <v>0</v>
      </c>
      <c r="T2668">
        <f>HLOOKUP("Provisioned MiB",'vInfo (Imported)'!$1:$5000,M2668,FALSE)</f>
        <v>0</v>
      </c>
      <c r="U2668">
        <f t="shared" si="124"/>
        <v>0</v>
      </c>
      <c r="V2668">
        <f>HLOOKUP("In Use MiB",'vInfo (Imported)'!$1:$5000,M2668,FALSE)</f>
        <v>0</v>
      </c>
    </row>
    <row r="2669" spans="1:22" ht="13" x14ac:dyDescent="0.3">
      <c r="A2669" s="46">
        <f>'vHosts (Imported)'!A2669</f>
        <v>0</v>
      </c>
      <c r="B2669" s="51">
        <f t="shared" si="126"/>
        <v>4968</v>
      </c>
      <c r="C2669" s="49">
        <f>HLOOKUP("# Cores",'vHosts (Imported)'!$1:$5000,M2669,FALSE)</f>
        <v>0</v>
      </c>
      <c r="D2669" s="52">
        <f>HLOOKUP("# Memory",'vHosts (Imported)'!$1:$5000,M2669,FALSE)</f>
        <v>0</v>
      </c>
      <c r="M2669" s="45">
        <f t="shared" si="125"/>
        <v>2669</v>
      </c>
      <c r="N2669" s="38">
        <f>HLOOKUP("Host",'vInfo (Imported)'!$1:$5000,M2669,FALSE)</f>
        <v>0</v>
      </c>
      <c r="R2669">
        <f>HLOOKUP("CPUs",'vInfo (Imported)'!$1:$5000,M2669,FALSE)</f>
        <v>0</v>
      </c>
      <c r="S2669">
        <f>HLOOKUP("Memory",'vInfo (Imported)'!$1:$5000,M2669,FALSE)</f>
        <v>0</v>
      </c>
      <c r="T2669">
        <f>HLOOKUP("Provisioned MiB",'vInfo (Imported)'!$1:$5000,M2669,FALSE)</f>
        <v>0</v>
      </c>
      <c r="U2669">
        <f t="shared" si="124"/>
        <v>0</v>
      </c>
      <c r="V2669">
        <f>HLOOKUP("In Use MiB",'vInfo (Imported)'!$1:$5000,M2669,FALSE)</f>
        <v>0</v>
      </c>
    </row>
    <row r="2670" spans="1:22" ht="13" x14ac:dyDescent="0.3">
      <c r="A2670" s="46">
        <f>'vHosts (Imported)'!A2670</f>
        <v>0</v>
      </c>
      <c r="B2670" s="51">
        <f t="shared" si="126"/>
        <v>4968</v>
      </c>
      <c r="C2670" s="49">
        <f>HLOOKUP("# Cores",'vHosts (Imported)'!$1:$5000,M2670,FALSE)</f>
        <v>0</v>
      </c>
      <c r="D2670" s="52">
        <f>HLOOKUP("# Memory",'vHosts (Imported)'!$1:$5000,M2670,FALSE)</f>
        <v>0</v>
      </c>
      <c r="M2670" s="45">
        <f t="shared" si="125"/>
        <v>2670</v>
      </c>
      <c r="N2670" s="38">
        <f>HLOOKUP("Host",'vInfo (Imported)'!$1:$5000,M2670,FALSE)</f>
        <v>0</v>
      </c>
      <c r="R2670">
        <f>HLOOKUP("CPUs",'vInfo (Imported)'!$1:$5000,M2670,FALSE)</f>
        <v>0</v>
      </c>
      <c r="S2670">
        <f>HLOOKUP("Memory",'vInfo (Imported)'!$1:$5000,M2670,FALSE)</f>
        <v>0</v>
      </c>
      <c r="T2670">
        <f>HLOOKUP("Provisioned MiB",'vInfo (Imported)'!$1:$5000,M2670,FALSE)</f>
        <v>0</v>
      </c>
      <c r="U2670">
        <f t="shared" si="124"/>
        <v>0</v>
      </c>
      <c r="V2670">
        <f>HLOOKUP("In Use MiB",'vInfo (Imported)'!$1:$5000,M2670,FALSE)</f>
        <v>0</v>
      </c>
    </row>
    <row r="2671" spans="1:22" ht="13" x14ac:dyDescent="0.3">
      <c r="A2671" s="46">
        <f>'vHosts (Imported)'!A2671</f>
        <v>0</v>
      </c>
      <c r="B2671" s="51">
        <f t="shared" si="126"/>
        <v>4968</v>
      </c>
      <c r="C2671" s="49">
        <f>HLOOKUP("# Cores",'vHosts (Imported)'!$1:$5000,M2671,FALSE)</f>
        <v>0</v>
      </c>
      <c r="D2671" s="52">
        <f>HLOOKUP("# Memory",'vHosts (Imported)'!$1:$5000,M2671,FALSE)</f>
        <v>0</v>
      </c>
      <c r="M2671" s="45">
        <f t="shared" si="125"/>
        <v>2671</v>
      </c>
      <c r="N2671" s="38">
        <f>HLOOKUP("Host",'vInfo (Imported)'!$1:$5000,M2671,FALSE)</f>
        <v>0</v>
      </c>
      <c r="R2671">
        <f>HLOOKUP("CPUs",'vInfo (Imported)'!$1:$5000,M2671,FALSE)</f>
        <v>0</v>
      </c>
      <c r="S2671">
        <f>HLOOKUP("Memory",'vInfo (Imported)'!$1:$5000,M2671,FALSE)</f>
        <v>0</v>
      </c>
      <c r="T2671">
        <f>HLOOKUP("Provisioned MiB",'vInfo (Imported)'!$1:$5000,M2671,FALSE)</f>
        <v>0</v>
      </c>
      <c r="U2671">
        <f t="shared" si="124"/>
        <v>0</v>
      </c>
      <c r="V2671">
        <f>HLOOKUP("In Use MiB",'vInfo (Imported)'!$1:$5000,M2671,FALSE)</f>
        <v>0</v>
      </c>
    </row>
    <row r="2672" spans="1:22" ht="13" x14ac:dyDescent="0.3">
      <c r="A2672" s="46">
        <f>'vHosts (Imported)'!A2672</f>
        <v>0</v>
      </c>
      <c r="B2672" s="51">
        <f t="shared" si="126"/>
        <v>4968</v>
      </c>
      <c r="C2672" s="49">
        <f>HLOOKUP("# Cores",'vHosts (Imported)'!$1:$5000,M2672,FALSE)</f>
        <v>0</v>
      </c>
      <c r="D2672" s="52">
        <f>HLOOKUP("# Memory",'vHosts (Imported)'!$1:$5000,M2672,FALSE)</f>
        <v>0</v>
      </c>
      <c r="M2672" s="45">
        <f t="shared" si="125"/>
        <v>2672</v>
      </c>
      <c r="N2672" s="38">
        <f>HLOOKUP("Host",'vInfo (Imported)'!$1:$5000,M2672,FALSE)</f>
        <v>0</v>
      </c>
      <c r="R2672">
        <f>HLOOKUP("CPUs",'vInfo (Imported)'!$1:$5000,M2672,FALSE)</f>
        <v>0</v>
      </c>
      <c r="S2672">
        <f>HLOOKUP("Memory",'vInfo (Imported)'!$1:$5000,M2672,FALSE)</f>
        <v>0</v>
      </c>
      <c r="T2672">
        <f>HLOOKUP("Provisioned MiB",'vInfo (Imported)'!$1:$5000,M2672,FALSE)</f>
        <v>0</v>
      </c>
      <c r="U2672">
        <f t="shared" si="124"/>
        <v>0</v>
      </c>
      <c r="V2672">
        <f>HLOOKUP("In Use MiB",'vInfo (Imported)'!$1:$5000,M2672,FALSE)</f>
        <v>0</v>
      </c>
    </row>
    <row r="2673" spans="1:22" ht="13" x14ac:dyDescent="0.3">
      <c r="A2673" s="46">
        <f>'vHosts (Imported)'!A2673</f>
        <v>0</v>
      </c>
      <c r="B2673" s="51">
        <f t="shared" si="126"/>
        <v>4968</v>
      </c>
      <c r="C2673" s="49">
        <f>HLOOKUP("# Cores",'vHosts (Imported)'!$1:$5000,M2673,FALSE)</f>
        <v>0</v>
      </c>
      <c r="D2673" s="52">
        <f>HLOOKUP("# Memory",'vHosts (Imported)'!$1:$5000,M2673,FALSE)</f>
        <v>0</v>
      </c>
      <c r="M2673" s="45">
        <f t="shared" si="125"/>
        <v>2673</v>
      </c>
      <c r="N2673" s="38">
        <f>HLOOKUP("Host",'vInfo (Imported)'!$1:$5000,M2673,FALSE)</f>
        <v>0</v>
      </c>
      <c r="R2673">
        <f>HLOOKUP("CPUs",'vInfo (Imported)'!$1:$5000,M2673,FALSE)</f>
        <v>0</v>
      </c>
      <c r="S2673">
        <f>HLOOKUP("Memory",'vInfo (Imported)'!$1:$5000,M2673,FALSE)</f>
        <v>0</v>
      </c>
      <c r="T2673">
        <f>HLOOKUP("Provisioned MiB",'vInfo (Imported)'!$1:$5000,M2673,FALSE)</f>
        <v>0</v>
      </c>
      <c r="U2673">
        <f t="shared" si="124"/>
        <v>0</v>
      </c>
      <c r="V2673">
        <f>HLOOKUP("In Use MiB",'vInfo (Imported)'!$1:$5000,M2673,FALSE)</f>
        <v>0</v>
      </c>
    </row>
    <row r="2674" spans="1:22" ht="13" x14ac:dyDescent="0.3">
      <c r="A2674" s="46">
        <f>'vHosts (Imported)'!A2674</f>
        <v>0</v>
      </c>
      <c r="B2674" s="51">
        <f t="shared" si="126"/>
        <v>4968</v>
      </c>
      <c r="C2674" s="49">
        <f>HLOOKUP("# Cores",'vHosts (Imported)'!$1:$5000,M2674,FALSE)</f>
        <v>0</v>
      </c>
      <c r="D2674" s="52">
        <f>HLOOKUP("# Memory",'vHosts (Imported)'!$1:$5000,M2674,FALSE)</f>
        <v>0</v>
      </c>
      <c r="M2674" s="45">
        <f t="shared" si="125"/>
        <v>2674</v>
      </c>
      <c r="N2674" s="38">
        <f>HLOOKUP("Host",'vInfo (Imported)'!$1:$5000,M2674,FALSE)</f>
        <v>0</v>
      </c>
      <c r="R2674">
        <f>HLOOKUP("CPUs",'vInfo (Imported)'!$1:$5000,M2674,FALSE)</f>
        <v>0</v>
      </c>
      <c r="S2674">
        <f>HLOOKUP("Memory",'vInfo (Imported)'!$1:$5000,M2674,FALSE)</f>
        <v>0</v>
      </c>
      <c r="T2674">
        <f>HLOOKUP("Provisioned MiB",'vInfo (Imported)'!$1:$5000,M2674,FALSE)</f>
        <v>0</v>
      </c>
      <c r="U2674">
        <f t="shared" si="124"/>
        <v>0</v>
      </c>
      <c r="V2674">
        <f>HLOOKUP("In Use MiB",'vInfo (Imported)'!$1:$5000,M2674,FALSE)</f>
        <v>0</v>
      </c>
    </row>
    <row r="2675" spans="1:22" ht="13" x14ac:dyDescent="0.3">
      <c r="A2675" s="46">
        <f>'vHosts (Imported)'!A2675</f>
        <v>0</v>
      </c>
      <c r="B2675" s="51">
        <f t="shared" si="126"/>
        <v>4968</v>
      </c>
      <c r="C2675" s="49">
        <f>HLOOKUP("# Cores",'vHosts (Imported)'!$1:$5000,M2675,FALSE)</f>
        <v>0</v>
      </c>
      <c r="D2675" s="52">
        <f>HLOOKUP("# Memory",'vHosts (Imported)'!$1:$5000,M2675,FALSE)</f>
        <v>0</v>
      </c>
      <c r="M2675" s="45">
        <f t="shared" si="125"/>
        <v>2675</v>
      </c>
      <c r="N2675" s="38">
        <f>HLOOKUP("Host",'vInfo (Imported)'!$1:$5000,M2675,FALSE)</f>
        <v>0</v>
      </c>
      <c r="R2675">
        <f>HLOOKUP("CPUs",'vInfo (Imported)'!$1:$5000,M2675,FALSE)</f>
        <v>0</v>
      </c>
      <c r="S2675">
        <f>HLOOKUP("Memory",'vInfo (Imported)'!$1:$5000,M2675,FALSE)</f>
        <v>0</v>
      </c>
      <c r="T2675">
        <f>HLOOKUP("Provisioned MiB",'vInfo (Imported)'!$1:$5000,M2675,FALSE)</f>
        <v>0</v>
      </c>
      <c r="U2675">
        <f t="shared" si="124"/>
        <v>0</v>
      </c>
      <c r="V2675">
        <f>HLOOKUP("In Use MiB",'vInfo (Imported)'!$1:$5000,M2675,FALSE)</f>
        <v>0</v>
      </c>
    </row>
    <row r="2676" spans="1:22" ht="13" x14ac:dyDescent="0.3">
      <c r="A2676" s="46">
        <f>'vHosts (Imported)'!A2676</f>
        <v>0</v>
      </c>
      <c r="B2676" s="51">
        <f t="shared" si="126"/>
        <v>4968</v>
      </c>
      <c r="C2676" s="49">
        <f>HLOOKUP("# Cores",'vHosts (Imported)'!$1:$5000,M2676,FALSE)</f>
        <v>0</v>
      </c>
      <c r="D2676" s="52">
        <f>HLOOKUP("# Memory",'vHosts (Imported)'!$1:$5000,M2676,FALSE)</f>
        <v>0</v>
      </c>
      <c r="M2676" s="45">
        <f t="shared" si="125"/>
        <v>2676</v>
      </c>
      <c r="N2676" s="38">
        <f>HLOOKUP("Host",'vInfo (Imported)'!$1:$5000,M2676,FALSE)</f>
        <v>0</v>
      </c>
      <c r="R2676">
        <f>HLOOKUP("CPUs",'vInfo (Imported)'!$1:$5000,M2676,FALSE)</f>
        <v>0</v>
      </c>
      <c r="S2676">
        <f>HLOOKUP("Memory",'vInfo (Imported)'!$1:$5000,M2676,FALSE)</f>
        <v>0</v>
      </c>
      <c r="T2676">
        <f>HLOOKUP("Provisioned MiB",'vInfo (Imported)'!$1:$5000,M2676,FALSE)</f>
        <v>0</v>
      </c>
      <c r="U2676">
        <f t="shared" si="124"/>
        <v>0</v>
      </c>
      <c r="V2676">
        <f>HLOOKUP("In Use MiB",'vInfo (Imported)'!$1:$5000,M2676,FALSE)</f>
        <v>0</v>
      </c>
    </row>
    <row r="2677" spans="1:22" ht="13" x14ac:dyDescent="0.3">
      <c r="A2677" s="46">
        <f>'vHosts (Imported)'!A2677</f>
        <v>0</v>
      </c>
      <c r="B2677" s="51">
        <f t="shared" si="126"/>
        <v>4968</v>
      </c>
      <c r="C2677" s="49">
        <f>HLOOKUP("# Cores",'vHosts (Imported)'!$1:$5000,M2677,FALSE)</f>
        <v>0</v>
      </c>
      <c r="D2677" s="52">
        <f>HLOOKUP("# Memory",'vHosts (Imported)'!$1:$5000,M2677,FALSE)</f>
        <v>0</v>
      </c>
      <c r="M2677" s="45">
        <f t="shared" si="125"/>
        <v>2677</v>
      </c>
      <c r="N2677" s="38">
        <f>HLOOKUP("Host",'vInfo (Imported)'!$1:$5000,M2677,FALSE)</f>
        <v>0</v>
      </c>
      <c r="R2677">
        <f>HLOOKUP("CPUs",'vInfo (Imported)'!$1:$5000,M2677,FALSE)</f>
        <v>0</v>
      </c>
      <c r="S2677">
        <f>HLOOKUP("Memory",'vInfo (Imported)'!$1:$5000,M2677,FALSE)</f>
        <v>0</v>
      </c>
      <c r="T2677">
        <f>HLOOKUP("Provisioned MiB",'vInfo (Imported)'!$1:$5000,M2677,FALSE)</f>
        <v>0</v>
      </c>
      <c r="U2677">
        <f t="shared" si="124"/>
        <v>0</v>
      </c>
      <c r="V2677">
        <f>HLOOKUP("In Use MiB",'vInfo (Imported)'!$1:$5000,M2677,FALSE)</f>
        <v>0</v>
      </c>
    </row>
    <row r="2678" spans="1:22" ht="13" x14ac:dyDescent="0.3">
      <c r="A2678" s="46">
        <f>'vHosts (Imported)'!A2678</f>
        <v>0</v>
      </c>
      <c r="B2678" s="51">
        <f t="shared" si="126"/>
        <v>4968</v>
      </c>
      <c r="C2678" s="49">
        <f>HLOOKUP("# Cores",'vHosts (Imported)'!$1:$5000,M2678,FALSE)</f>
        <v>0</v>
      </c>
      <c r="D2678" s="52">
        <f>HLOOKUP("# Memory",'vHosts (Imported)'!$1:$5000,M2678,FALSE)</f>
        <v>0</v>
      </c>
      <c r="M2678" s="45">
        <f t="shared" si="125"/>
        <v>2678</v>
      </c>
      <c r="N2678" s="38">
        <f>HLOOKUP("Host",'vInfo (Imported)'!$1:$5000,M2678,FALSE)</f>
        <v>0</v>
      </c>
      <c r="R2678">
        <f>HLOOKUP("CPUs",'vInfo (Imported)'!$1:$5000,M2678,FALSE)</f>
        <v>0</v>
      </c>
      <c r="S2678">
        <f>HLOOKUP("Memory",'vInfo (Imported)'!$1:$5000,M2678,FALSE)</f>
        <v>0</v>
      </c>
      <c r="T2678">
        <f>HLOOKUP("Provisioned MiB",'vInfo (Imported)'!$1:$5000,M2678,FALSE)</f>
        <v>0</v>
      </c>
      <c r="U2678">
        <f t="shared" si="124"/>
        <v>0</v>
      </c>
      <c r="V2678">
        <f>HLOOKUP("In Use MiB",'vInfo (Imported)'!$1:$5000,M2678,FALSE)</f>
        <v>0</v>
      </c>
    </row>
    <row r="2679" spans="1:22" ht="13" x14ac:dyDescent="0.3">
      <c r="A2679" s="46">
        <f>'vHosts (Imported)'!A2679</f>
        <v>0</v>
      </c>
      <c r="B2679" s="51">
        <f t="shared" si="126"/>
        <v>4968</v>
      </c>
      <c r="C2679" s="49">
        <f>HLOOKUP("# Cores",'vHosts (Imported)'!$1:$5000,M2679,FALSE)</f>
        <v>0</v>
      </c>
      <c r="D2679" s="52">
        <f>HLOOKUP("# Memory",'vHosts (Imported)'!$1:$5000,M2679,FALSE)</f>
        <v>0</v>
      </c>
      <c r="M2679" s="45">
        <f t="shared" si="125"/>
        <v>2679</v>
      </c>
      <c r="N2679" s="38">
        <f>HLOOKUP("Host",'vInfo (Imported)'!$1:$5000,M2679,FALSE)</f>
        <v>0</v>
      </c>
      <c r="R2679">
        <f>HLOOKUP("CPUs",'vInfo (Imported)'!$1:$5000,M2679,FALSE)</f>
        <v>0</v>
      </c>
      <c r="S2679">
        <f>HLOOKUP("Memory",'vInfo (Imported)'!$1:$5000,M2679,FALSE)</f>
        <v>0</v>
      </c>
      <c r="T2679">
        <f>HLOOKUP("Provisioned MiB",'vInfo (Imported)'!$1:$5000,M2679,FALSE)</f>
        <v>0</v>
      </c>
      <c r="U2679">
        <f t="shared" si="124"/>
        <v>0</v>
      </c>
      <c r="V2679">
        <f>HLOOKUP("In Use MiB",'vInfo (Imported)'!$1:$5000,M2679,FALSE)</f>
        <v>0</v>
      </c>
    </row>
    <row r="2680" spans="1:22" ht="13" x14ac:dyDescent="0.3">
      <c r="A2680" s="46">
        <f>'vHosts (Imported)'!A2680</f>
        <v>0</v>
      </c>
      <c r="B2680" s="51">
        <f t="shared" si="126"/>
        <v>4968</v>
      </c>
      <c r="C2680" s="49">
        <f>HLOOKUP("# Cores",'vHosts (Imported)'!$1:$5000,M2680,FALSE)</f>
        <v>0</v>
      </c>
      <c r="D2680" s="52">
        <f>HLOOKUP("# Memory",'vHosts (Imported)'!$1:$5000,M2680,FALSE)</f>
        <v>0</v>
      </c>
      <c r="M2680" s="45">
        <f t="shared" si="125"/>
        <v>2680</v>
      </c>
      <c r="N2680" s="38">
        <f>HLOOKUP("Host",'vInfo (Imported)'!$1:$5000,M2680,FALSE)</f>
        <v>0</v>
      </c>
      <c r="R2680">
        <f>HLOOKUP("CPUs",'vInfo (Imported)'!$1:$5000,M2680,FALSE)</f>
        <v>0</v>
      </c>
      <c r="S2680">
        <f>HLOOKUP("Memory",'vInfo (Imported)'!$1:$5000,M2680,FALSE)</f>
        <v>0</v>
      </c>
      <c r="T2680">
        <f>HLOOKUP("Provisioned MiB",'vInfo (Imported)'!$1:$5000,M2680,FALSE)</f>
        <v>0</v>
      </c>
      <c r="U2680">
        <f t="shared" si="124"/>
        <v>0</v>
      </c>
      <c r="V2680">
        <f>HLOOKUP("In Use MiB",'vInfo (Imported)'!$1:$5000,M2680,FALSE)</f>
        <v>0</v>
      </c>
    </row>
    <row r="2681" spans="1:22" ht="13" x14ac:dyDescent="0.3">
      <c r="A2681" s="46">
        <f>'vHosts (Imported)'!A2681</f>
        <v>0</v>
      </c>
      <c r="B2681" s="51">
        <f t="shared" si="126"/>
        <v>4968</v>
      </c>
      <c r="C2681" s="49">
        <f>HLOOKUP("# Cores",'vHosts (Imported)'!$1:$5000,M2681,FALSE)</f>
        <v>0</v>
      </c>
      <c r="D2681" s="52">
        <f>HLOOKUP("# Memory",'vHosts (Imported)'!$1:$5000,M2681,FALSE)</f>
        <v>0</v>
      </c>
      <c r="M2681" s="45">
        <f t="shared" si="125"/>
        <v>2681</v>
      </c>
      <c r="N2681" s="38">
        <f>HLOOKUP("Host",'vInfo (Imported)'!$1:$5000,M2681,FALSE)</f>
        <v>0</v>
      </c>
      <c r="R2681">
        <f>HLOOKUP("CPUs",'vInfo (Imported)'!$1:$5000,M2681,FALSE)</f>
        <v>0</v>
      </c>
      <c r="S2681">
        <f>HLOOKUP("Memory",'vInfo (Imported)'!$1:$5000,M2681,FALSE)</f>
        <v>0</v>
      </c>
      <c r="T2681">
        <f>HLOOKUP("Provisioned MiB",'vInfo (Imported)'!$1:$5000,M2681,FALSE)</f>
        <v>0</v>
      </c>
      <c r="U2681">
        <f t="shared" si="124"/>
        <v>0</v>
      </c>
      <c r="V2681">
        <f>HLOOKUP("In Use MiB",'vInfo (Imported)'!$1:$5000,M2681,FALSE)</f>
        <v>0</v>
      </c>
    </row>
    <row r="2682" spans="1:22" ht="13" x14ac:dyDescent="0.3">
      <c r="A2682" s="46">
        <f>'vHosts (Imported)'!A2682</f>
        <v>0</v>
      </c>
      <c r="B2682" s="51">
        <f t="shared" si="126"/>
        <v>4968</v>
      </c>
      <c r="C2682" s="49">
        <f>HLOOKUP("# Cores",'vHosts (Imported)'!$1:$5000,M2682,FALSE)</f>
        <v>0</v>
      </c>
      <c r="D2682" s="52">
        <f>HLOOKUP("# Memory",'vHosts (Imported)'!$1:$5000,M2682,FALSE)</f>
        <v>0</v>
      </c>
      <c r="M2682" s="45">
        <f t="shared" si="125"/>
        <v>2682</v>
      </c>
      <c r="N2682" s="38">
        <f>HLOOKUP("Host",'vInfo (Imported)'!$1:$5000,M2682,FALSE)</f>
        <v>0</v>
      </c>
      <c r="R2682">
        <f>HLOOKUP("CPUs",'vInfo (Imported)'!$1:$5000,M2682,FALSE)</f>
        <v>0</v>
      </c>
      <c r="S2682">
        <f>HLOOKUP("Memory",'vInfo (Imported)'!$1:$5000,M2682,FALSE)</f>
        <v>0</v>
      </c>
      <c r="T2682">
        <f>HLOOKUP("Provisioned MiB",'vInfo (Imported)'!$1:$5000,M2682,FALSE)</f>
        <v>0</v>
      </c>
      <c r="U2682">
        <f t="shared" si="124"/>
        <v>0</v>
      </c>
      <c r="V2682">
        <f>HLOOKUP("In Use MiB",'vInfo (Imported)'!$1:$5000,M2682,FALSE)</f>
        <v>0</v>
      </c>
    </row>
    <row r="2683" spans="1:22" ht="13" x14ac:dyDescent="0.3">
      <c r="A2683" s="46">
        <f>'vHosts (Imported)'!A2683</f>
        <v>0</v>
      </c>
      <c r="B2683" s="51">
        <f t="shared" si="126"/>
        <v>4968</v>
      </c>
      <c r="C2683" s="49">
        <f>HLOOKUP("# Cores",'vHosts (Imported)'!$1:$5000,M2683,FALSE)</f>
        <v>0</v>
      </c>
      <c r="D2683" s="52">
        <f>HLOOKUP("# Memory",'vHosts (Imported)'!$1:$5000,M2683,FALSE)</f>
        <v>0</v>
      </c>
      <c r="M2683" s="45">
        <f t="shared" si="125"/>
        <v>2683</v>
      </c>
      <c r="N2683" s="38">
        <f>HLOOKUP("Host",'vInfo (Imported)'!$1:$5000,M2683,FALSE)</f>
        <v>0</v>
      </c>
      <c r="R2683">
        <f>HLOOKUP("CPUs",'vInfo (Imported)'!$1:$5000,M2683,FALSE)</f>
        <v>0</v>
      </c>
      <c r="S2683">
        <f>HLOOKUP("Memory",'vInfo (Imported)'!$1:$5000,M2683,FALSE)</f>
        <v>0</v>
      </c>
      <c r="T2683">
        <f>HLOOKUP("Provisioned MiB",'vInfo (Imported)'!$1:$5000,M2683,FALSE)</f>
        <v>0</v>
      </c>
      <c r="U2683">
        <f t="shared" si="124"/>
        <v>0</v>
      </c>
      <c r="V2683">
        <f>HLOOKUP("In Use MiB",'vInfo (Imported)'!$1:$5000,M2683,FALSE)</f>
        <v>0</v>
      </c>
    </row>
    <row r="2684" spans="1:22" ht="13" x14ac:dyDescent="0.3">
      <c r="A2684" s="46">
        <f>'vHosts (Imported)'!A2684</f>
        <v>0</v>
      </c>
      <c r="B2684" s="51">
        <f t="shared" si="126"/>
        <v>4968</v>
      </c>
      <c r="C2684" s="49">
        <f>HLOOKUP("# Cores",'vHosts (Imported)'!$1:$5000,M2684,FALSE)</f>
        <v>0</v>
      </c>
      <c r="D2684" s="52">
        <f>HLOOKUP("# Memory",'vHosts (Imported)'!$1:$5000,M2684,FALSE)</f>
        <v>0</v>
      </c>
      <c r="M2684" s="45">
        <f t="shared" si="125"/>
        <v>2684</v>
      </c>
      <c r="N2684" s="38">
        <f>HLOOKUP("Host",'vInfo (Imported)'!$1:$5000,M2684,FALSE)</f>
        <v>0</v>
      </c>
      <c r="R2684">
        <f>HLOOKUP("CPUs",'vInfo (Imported)'!$1:$5000,M2684,FALSE)</f>
        <v>0</v>
      </c>
      <c r="S2684">
        <f>HLOOKUP("Memory",'vInfo (Imported)'!$1:$5000,M2684,FALSE)</f>
        <v>0</v>
      </c>
      <c r="T2684">
        <f>HLOOKUP("Provisioned MiB",'vInfo (Imported)'!$1:$5000,M2684,FALSE)</f>
        <v>0</v>
      </c>
      <c r="U2684">
        <f t="shared" si="124"/>
        <v>0</v>
      </c>
      <c r="V2684">
        <f>HLOOKUP("In Use MiB",'vInfo (Imported)'!$1:$5000,M2684,FALSE)</f>
        <v>0</v>
      </c>
    </row>
    <row r="2685" spans="1:22" ht="13" x14ac:dyDescent="0.3">
      <c r="A2685" s="46">
        <f>'vHosts (Imported)'!A2685</f>
        <v>0</v>
      </c>
      <c r="B2685" s="51">
        <f t="shared" si="126"/>
        <v>4968</v>
      </c>
      <c r="C2685" s="49">
        <f>HLOOKUP("# Cores",'vHosts (Imported)'!$1:$5000,M2685,FALSE)</f>
        <v>0</v>
      </c>
      <c r="D2685" s="52">
        <f>HLOOKUP("# Memory",'vHosts (Imported)'!$1:$5000,M2685,FALSE)</f>
        <v>0</v>
      </c>
      <c r="M2685" s="45">
        <f t="shared" si="125"/>
        <v>2685</v>
      </c>
      <c r="N2685" s="38">
        <f>HLOOKUP("Host",'vInfo (Imported)'!$1:$5000,M2685,FALSE)</f>
        <v>0</v>
      </c>
      <c r="R2685">
        <f>HLOOKUP("CPUs",'vInfo (Imported)'!$1:$5000,M2685,FALSE)</f>
        <v>0</v>
      </c>
      <c r="S2685">
        <f>HLOOKUP("Memory",'vInfo (Imported)'!$1:$5000,M2685,FALSE)</f>
        <v>0</v>
      </c>
      <c r="T2685">
        <f>HLOOKUP("Provisioned MiB",'vInfo (Imported)'!$1:$5000,M2685,FALSE)</f>
        <v>0</v>
      </c>
      <c r="U2685">
        <f t="shared" si="124"/>
        <v>0</v>
      </c>
      <c r="V2685">
        <f>HLOOKUP("In Use MiB",'vInfo (Imported)'!$1:$5000,M2685,FALSE)</f>
        <v>0</v>
      </c>
    </row>
    <row r="2686" spans="1:22" ht="13" x14ac:dyDescent="0.3">
      <c r="A2686" s="46">
        <f>'vHosts (Imported)'!A2686</f>
        <v>0</v>
      </c>
      <c r="B2686" s="51">
        <f t="shared" si="126"/>
        <v>4968</v>
      </c>
      <c r="C2686" s="49">
        <f>HLOOKUP("# Cores",'vHosts (Imported)'!$1:$5000,M2686,FALSE)</f>
        <v>0</v>
      </c>
      <c r="D2686" s="52">
        <f>HLOOKUP("# Memory",'vHosts (Imported)'!$1:$5000,M2686,FALSE)</f>
        <v>0</v>
      </c>
      <c r="M2686" s="45">
        <f t="shared" si="125"/>
        <v>2686</v>
      </c>
      <c r="N2686" s="38">
        <f>HLOOKUP("Host",'vInfo (Imported)'!$1:$5000,M2686,FALSE)</f>
        <v>0</v>
      </c>
      <c r="R2686">
        <f>HLOOKUP("CPUs",'vInfo (Imported)'!$1:$5000,M2686,FALSE)</f>
        <v>0</v>
      </c>
      <c r="S2686">
        <f>HLOOKUP("Memory",'vInfo (Imported)'!$1:$5000,M2686,FALSE)</f>
        <v>0</v>
      </c>
      <c r="T2686">
        <f>HLOOKUP("Provisioned MiB",'vInfo (Imported)'!$1:$5000,M2686,FALSE)</f>
        <v>0</v>
      </c>
      <c r="U2686">
        <f t="shared" si="124"/>
        <v>0</v>
      </c>
      <c r="V2686">
        <f>HLOOKUP("In Use MiB",'vInfo (Imported)'!$1:$5000,M2686,FALSE)</f>
        <v>0</v>
      </c>
    </row>
    <row r="2687" spans="1:22" ht="13" x14ac:dyDescent="0.3">
      <c r="A2687" s="46">
        <f>'vHosts (Imported)'!A2687</f>
        <v>0</v>
      </c>
      <c r="B2687" s="51">
        <f t="shared" si="126"/>
        <v>4968</v>
      </c>
      <c r="C2687" s="49">
        <f>HLOOKUP("# Cores",'vHosts (Imported)'!$1:$5000,M2687,FALSE)</f>
        <v>0</v>
      </c>
      <c r="D2687" s="52">
        <f>HLOOKUP("# Memory",'vHosts (Imported)'!$1:$5000,M2687,FALSE)</f>
        <v>0</v>
      </c>
      <c r="M2687" s="45">
        <f t="shared" si="125"/>
        <v>2687</v>
      </c>
      <c r="N2687" s="38">
        <f>HLOOKUP("Host",'vInfo (Imported)'!$1:$5000,M2687,FALSE)</f>
        <v>0</v>
      </c>
      <c r="R2687">
        <f>HLOOKUP("CPUs",'vInfo (Imported)'!$1:$5000,M2687,FALSE)</f>
        <v>0</v>
      </c>
      <c r="S2687">
        <f>HLOOKUP("Memory",'vInfo (Imported)'!$1:$5000,M2687,FALSE)</f>
        <v>0</v>
      </c>
      <c r="T2687">
        <f>HLOOKUP("Provisioned MiB",'vInfo (Imported)'!$1:$5000,M2687,FALSE)</f>
        <v>0</v>
      </c>
      <c r="U2687">
        <f t="shared" si="124"/>
        <v>0</v>
      </c>
      <c r="V2687">
        <f>HLOOKUP("In Use MiB",'vInfo (Imported)'!$1:$5000,M2687,FALSE)</f>
        <v>0</v>
      </c>
    </row>
    <row r="2688" spans="1:22" ht="13" x14ac:dyDescent="0.3">
      <c r="A2688" s="46">
        <f>'vHosts (Imported)'!A2688</f>
        <v>0</v>
      </c>
      <c r="B2688" s="51">
        <f t="shared" si="126"/>
        <v>4968</v>
      </c>
      <c r="C2688" s="49">
        <f>HLOOKUP("# Cores",'vHosts (Imported)'!$1:$5000,M2688,FALSE)</f>
        <v>0</v>
      </c>
      <c r="D2688" s="52">
        <f>HLOOKUP("# Memory",'vHosts (Imported)'!$1:$5000,M2688,FALSE)</f>
        <v>0</v>
      </c>
      <c r="M2688" s="45">
        <f t="shared" si="125"/>
        <v>2688</v>
      </c>
      <c r="N2688" s="38">
        <f>HLOOKUP("Host",'vInfo (Imported)'!$1:$5000,M2688,FALSE)</f>
        <v>0</v>
      </c>
      <c r="R2688">
        <f>HLOOKUP("CPUs",'vInfo (Imported)'!$1:$5000,M2688,FALSE)</f>
        <v>0</v>
      </c>
      <c r="S2688">
        <f>HLOOKUP("Memory",'vInfo (Imported)'!$1:$5000,M2688,FALSE)</f>
        <v>0</v>
      </c>
      <c r="T2688">
        <f>HLOOKUP("Provisioned MiB",'vInfo (Imported)'!$1:$5000,M2688,FALSE)</f>
        <v>0</v>
      </c>
      <c r="U2688">
        <f t="shared" si="124"/>
        <v>0</v>
      </c>
      <c r="V2688">
        <f>HLOOKUP("In Use MiB",'vInfo (Imported)'!$1:$5000,M2688,FALSE)</f>
        <v>0</v>
      </c>
    </row>
    <row r="2689" spans="1:22" ht="13" x14ac:dyDescent="0.3">
      <c r="A2689" s="46">
        <f>'vHosts (Imported)'!A2689</f>
        <v>0</v>
      </c>
      <c r="B2689" s="51">
        <f t="shared" si="126"/>
        <v>4968</v>
      </c>
      <c r="C2689" s="49">
        <f>HLOOKUP("# Cores",'vHosts (Imported)'!$1:$5000,M2689,FALSE)</f>
        <v>0</v>
      </c>
      <c r="D2689" s="52">
        <f>HLOOKUP("# Memory",'vHosts (Imported)'!$1:$5000,M2689,FALSE)</f>
        <v>0</v>
      </c>
      <c r="M2689" s="45">
        <f t="shared" si="125"/>
        <v>2689</v>
      </c>
      <c r="N2689" s="38">
        <f>HLOOKUP("Host",'vInfo (Imported)'!$1:$5000,M2689,FALSE)</f>
        <v>0</v>
      </c>
      <c r="R2689">
        <f>HLOOKUP("CPUs",'vInfo (Imported)'!$1:$5000,M2689,FALSE)</f>
        <v>0</v>
      </c>
      <c r="S2689">
        <f>HLOOKUP("Memory",'vInfo (Imported)'!$1:$5000,M2689,FALSE)</f>
        <v>0</v>
      </c>
      <c r="T2689">
        <f>HLOOKUP("Provisioned MiB",'vInfo (Imported)'!$1:$5000,M2689,FALSE)</f>
        <v>0</v>
      </c>
      <c r="U2689">
        <f t="shared" si="124"/>
        <v>0</v>
      </c>
      <c r="V2689">
        <f>HLOOKUP("In Use MiB",'vInfo (Imported)'!$1:$5000,M2689,FALSE)</f>
        <v>0</v>
      </c>
    </row>
    <row r="2690" spans="1:22" ht="13" x14ac:dyDescent="0.3">
      <c r="A2690" s="46">
        <f>'vHosts (Imported)'!A2690</f>
        <v>0</v>
      </c>
      <c r="B2690" s="51">
        <f t="shared" si="126"/>
        <v>4968</v>
      </c>
      <c r="C2690" s="49">
        <f>HLOOKUP("# Cores",'vHosts (Imported)'!$1:$5000,M2690,FALSE)</f>
        <v>0</v>
      </c>
      <c r="D2690" s="52">
        <f>HLOOKUP("# Memory",'vHosts (Imported)'!$1:$5000,M2690,FALSE)</f>
        <v>0</v>
      </c>
      <c r="M2690" s="45">
        <f t="shared" si="125"/>
        <v>2690</v>
      </c>
      <c r="N2690" s="38">
        <f>HLOOKUP("Host",'vInfo (Imported)'!$1:$5000,M2690,FALSE)</f>
        <v>0</v>
      </c>
      <c r="R2690">
        <f>HLOOKUP("CPUs",'vInfo (Imported)'!$1:$5000,M2690,FALSE)</f>
        <v>0</v>
      </c>
      <c r="S2690">
        <f>HLOOKUP("Memory",'vInfo (Imported)'!$1:$5000,M2690,FALSE)</f>
        <v>0</v>
      </c>
      <c r="T2690">
        <f>HLOOKUP("Provisioned MiB",'vInfo (Imported)'!$1:$5000,M2690,FALSE)</f>
        <v>0</v>
      </c>
      <c r="U2690">
        <f t="shared" si="124"/>
        <v>0</v>
      </c>
      <c r="V2690">
        <f>HLOOKUP("In Use MiB",'vInfo (Imported)'!$1:$5000,M2690,FALSE)</f>
        <v>0</v>
      </c>
    </row>
    <row r="2691" spans="1:22" ht="13" x14ac:dyDescent="0.3">
      <c r="A2691" s="46">
        <f>'vHosts (Imported)'!A2691</f>
        <v>0</v>
      </c>
      <c r="B2691" s="51">
        <f t="shared" si="126"/>
        <v>4968</v>
      </c>
      <c r="C2691" s="49">
        <f>HLOOKUP("# Cores",'vHosts (Imported)'!$1:$5000,M2691,FALSE)</f>
        <v>0</v>
      </c>
      <c r="D2691" s="52">
        <f>HLOOKUP("# Memory",'vHosts (Imported)'!$1:$5000,M2691,FALSE)</f>
        <v>0</v>
      </c>
      <c r="M2691" s="45">
        <f t="shared" si="125"/>
        <v>2691</v>
      </c>
      <c r="N2691" s="38">
        <f>HLOOKUP("Host",'vInfo (Imported)'!$1:$5000,M2691,FALSE)</f>
        <v>0</v>
      </c>
      <c r="R2691">
        <f>HLOOKUP("CPUs",'vInfo (Imported)'!$1:$5000,M2691,FALSE)</f>
        <v>0</v>
      </c>
      <c r="S2691">
        <f>HLOOKUP("Memory",'vInfo (Imported)'!$1:$5000,M2691,FALSE)</f>
        <v>0</v>
      </c>
      <c r="T2691">
        <f>HLOOKUP("Provisioned MiB",'vInfo (Imported)'!$1:$5000,M2691,FALSE)</f>
        <v>0</v>
      </c>
      <c r="U2691">
        <f t="shared" ref="U2691:U2754" si="127">T2691-V2691</f>
        <v>0</v>
      </c>
      <c r="V2691">
        <f>HLOOKUP("In Use MiB",'vInfo (Imported)'!$1:$5000,M2691,FALSE)</f>
        <v>0</v>
      </c>
    </row>
    <row r="2692" spans="1:22" ht="13" x14ac:dyDescent="0.3">
      <c r="A2692" s="46">
        <f>'vHosts (Imported)'!A2692</f>
        <v>0</v>
      </c>
      <c r="B2692" s="51">
        <f t="shared" si="126"/>
        <v>4968</v>
      </c>
      <c r="C2692" s="49">
        <f>HLOOKUP("# Cores",'vHosts (Imported)'!$1:$5000,M2692,FALSE)</f>
        <v>0</v>
      </c>
      <c r="D2692" s="52">
        <f>HLOOKUP("# Memory",'vHosts (Imported)'!$1:$5000,M2692,FALSE)</f>
        <v>0</v>
      </c>
      <c r="M2692" s="45">
        <f t="shared" ref="M2692:M2755" si="128">M2691+1</f>
        <v>2692</v>
      </c>
      <c r="N2692" s="38">
        <f>HLOOKUP("Host",'vInfo (Imported)'!$1:$5000,M2692,FALSE)</f>
        <v>0</v>
      </c>
      <c r="R2692">
        <f>HLOOKUP("CPUs",'vInfo (Imported)'!$1:$5000,M2692,FALSE)</f>
        <v>0</v>
      </c>
      <c r="S2692">
        <f>HLOOKUP("Memory",'vInfo (Imported)'!$1:$5000,M2692,FALSE)</f>
        <v>0</v>
      </c>
      <c r="T2692">
        <f>HLOOKUP("Provisioned MiB",'vInfo (Imported)'!$1:$5000,M2692,FALSE)</f>
        <v>0</v>
      </c>
      <c r="U2692">
        <f t="shared" si="127"/>
        <v>0</v>
      </c>
      <c r="V2692">
        <f>HLOOKUP("In Use MiB",'vInfo (Imported)'!$1:$5000,M2692,FALSE)</f>
        <v>0</v>
      </c>
    </row>
    <row r="2693" spans="1:22" ht="13" x14ac:dyDescent="0.3">
      <c r="A2693" s="46">
        <f>'vHosts (Imported)'!A2693</f>
        <v>0</v>
      </c>
      <c r="B2693" s="51">
        <f t="shared" si="126"/>
        <v>4968</v>
      </c>
      <c r="C2693" s="49">
        <f>HLOOKUP("# Cores",'vHosts (Imported)'!$1:$5000,M2693,FALSE)</f>
        <v>0</v>
      </c>
      <c r="D2693" s="52">
        <f>HLOOKUP("# Memory",'vHosts (Imported)'!$1:$5000,M2693,FALSE)</f>
        <v>0</v>
      </c>
      <c r="M2693" s="45">
        <f t="shared" si="128"/>
        <v>2693</v>
      </c>
      <c r="N2693" s="38">
        <f>HLOOKUP("Host",'vInfo (Imported)'!$1:$5000,M2693,FALSE)</f>
        <v>0</v>
      </c>
      <c r="R2693">
        <f>HLOOKUP("CPUs",'vInfo (Imported)'!$1:$5000,M2693,FALSE)</f>
        <v>0</v>
      </c>
      <c r="S2693">
        <f>HLOOKUP("Memory",'vInfo (Imported)'!$1:$5000,M2693,FALSE)</f>
        <v>0</v>
      </c>
      <c r="T2693">
        <f>HLOOKUP("Provisioned MiB",'vInfo (Imported)'!$1:$5000,M2693,FALSE)</f>
        <v>0</v>
      </c>
      <c r="U2693">
        <f t="shared" si="127"/>
        <v>0</v>
      </c>
      <c r="V2693">
        <f>HLOOKUP("In Use MiB",'vInfo (Imported)'!$1:$5000,M2693,FALSE)</f>
        <v>0</v>
      </c>
    </row>
    <row r="2694" spans="1:22" ht="13" x14ac:dyDescent="0.3">
      <c r="A2694" s="46">
        <f>'vHosts (Imported)'!A2694</f>
        <v>0</v>
      </c>
      <c r="B2694" s="51">
        <f t="shared" si="126"/>
        <v>4968</v>
      </c>
      <c r="C2694" s="49">
        <f>HLOOKUP("# Cores",'vHosts (Imported)'!$1:$5000,M2694,FALSE)</f>
        <v>0</v>
      </c>
      <c r="D2694" s="52">
        <f>HLOOKUP("# Memory",'vHosts (Imported)'!$1:$5000,M2694,FALSE)</f>
        <v>0</v>
      </c>
      <c r="M2694" s="45">
        <f t="shared" si="128"/>
        <v>2694</v>
      </c>
      <c r="N2694" s="38">
        <f>HLOOKUP("Host",'vInfo (Imported)'!$1:$5000,M2694,FALSE)</f>
        <v>0</v>
      </c>
      <c r="R2694">
        <f>HLOOKUP("CPUs",'vInfo (Imported)'!$1:$5000,M2694,FALSE)</f>
        <v>0</v>
      </c>
      <c r="S2694">
        <f>HLOOKUP("Memory",'vInfo (Imported)'!$1:$5000,M2694,FALSE)</f>
        <v>0</v>
      </c>
      <c r="T2694">
        <f>HLOOKUP("Provisioned MiB",'vInfo (Imported)'!$1:$5000,M2694,FALSE)</f>
        <v>0</v>
      </c>
      <c r="U2694">
        <f t="shared" si="127"/>
        <v>0</v>
      </c>
      <c r="V2694">
        <f>HLOOKUP("In Use MiB",'vInfo (Imported)'!$1:$5000,M2694,FALSE)</f>
        <v>0</v>
      </c>
    </row>
    <row r="2695" spans="1:22" ht="13" x14ac:dyDescent="0.3">
      <c r="A2695" s="46">
        <f>'vHosts (Imported)'!A2695</f>
        <v>0</v>
      </c>
      <c r="B2695" s="51">
        <f t="shared" si="126"/>
        <v>4968</v>
      </c>
      <c r="C2695" s="49">
        <f>HLOOKUP("# Cores",'vHosts (Imported)'!$1:$5000,M2695,FALSE)</f>
        <v>0</v>
      </c>
      <c r="D2695" s="52">
        <f>HLOOKUP("# Memory",'vHosts (Imported)'!$1:$5000,M2695,FALSE)</f>
        <v>0</v>
      </c>
      <c r="M2695" s="45">
        <f t="shared" si="128"/>
        <v>2695</v>
      </c>
      <c r="N2695" s="38">
        <f>HLOOKUP("Host",'vInfo (Imported)'!$1:$5000,M2695,FALSE)</f>
        <v>0</v>
      </c>
      <c r="R2695">
        <f>HLOOKUP("CPUs",'vInfo (Imported)'!$1:$5000,M2695,FALSE)</f>
        <v>0</v>
      </c>
      <c r="S2695">
        <f>HLOOKUP("Memory",'vInfo (Imported)'!$1:$5000,M2695,FALSE)</f>
        <v>0</v>
      </c>
      <c r="T2695">
        <f>HLOOKUP("Provisioned MiB",'vInfo (Imported)'!$1:$5000,M2695,FALSE)</f>
        <v>0</v>
      </c>
      <c r="U2695">
        <f t="shared" si="127"/>
        <v>0</v>
      </c>
      <c r="V2695">
        <f>HLOOKUP("In Use MiB",'vInfo (Imported)'!$1:$5000,M2695,FALSE)</f>
        <v>0</v>
      </c>
    </row>
    <row r="2696" spans="1:22" ht="13" x14ac:dyDescent="0.3">
      <c r="A2696" s="46">
        <f>'vHosts (Imported)'!A2696</f>
        <v>0</v>
      </c>
      <c r="B2696" s="51">
        <f t="shared" si="126"/>
        <v>4968</v>
      </c>
      <c r="C2696" s="49">
        <f>HLOOKUP("# Cores",'vHosts (Imported)'!$1:$5000,M2696,FALSE)</f>
        <v>0</v>
      </c>
      <c r="D2696" s="52">
        <f>HLOOKUP("# Memory",'vHosts (Imported)'!$1:$5000,M2696,FALSE)</f>
        <v>0</v>
      </c>
      <c r="M2696" s="45">
        <f t="shared" si="128"/>
        <v>2696</v>
      </c>
      <c r="N2696" s="38">
        <f>HLOOKUP("Host",'vInfo (Imported)'!$1:$5000,M2696,FALSE)</f>
        <v>0</v>
      </c>
      <c r="R2696">
        <f>HLOOKUP("CPUs",'vInfo (Imported)'!$1:$5000,M2696,FALSE)</f>
        <v>0</v>
      </c>
      <c r="S2696">
        <f>HLOOKUP("Memory",'vInfo (Imported)'!$1:$5000,M2696,FALSE)</f>
        <v>0</v>
      </c>
      <c r="T2696">
        <f>HLOOKUP("Provisioned MiB",'vInfo (Imported)'!$1:$5000,M2696,FALSE)</f>
        <v>0</v>
      </c>
      <c r="U2696">
        <f t="shared" si="127"/>
        <v>0</v>
      </c>
      <c r="V2696">
        <f>HLOOKUP("In Use MiB",'vInfo (Imported)'!$1:$5000,M2696,FALSE)</f>
        <v>0</v>
      </c>
    </row>
    <row r="2697" spans="1:22" ht="13" x14ac:dyDescent="0.3">
      <c r="A2697" s="46">
        <f>'vHosts (Imported)'!A2697</f>
        <v>0</v>
      </c>
      <c r="B2697" s="51">
        <f t="shared" si="126"/>
        <v>4968</v>
      </c>
      <c r="C2697" s="49">
        <f>HLOOKUP("# Cores",'vHosts (Imported)'!$1:$5000,M2697,FALSE)</f>
        <v>0</v>
      </c>
      <c r="D2697" s="52">
        <f>HLOOKUP("# Memory",'vHosts (Imported)'!$1:$5000,M2697,FALSE)</f>
        <v>0</v>
      </c>
      <c r="M2697" s="45">
        <f t="shared" si="128"/>
        <v>2697</v>
      </c>
      <c r="N2697" s="38">
        <f>HLOOKUP("Host",'vInfo (Imported)'!$1:$5000,M2697,FALSE)</f>
        <v>0</v>
      </c>
      <c r="R2697">
        <f>HLOOKUP("CPUs",'vInfo (Imported)'!$1:$5000,M2697,FALSE)</f>
        <v>0</v>
      </c>
      <c r="S2697">
        <f>HLOOKUP("Memory",'vInfo (Imported)'!$1:$5000,M2697,FALSE)</f>
        <v>0</v>
      </c>
      <c r="T2697">
        <f>HLOOKUP("Provisioned MiB",'vInfo (Imported)'!$1:$5000,M2697,FALSE)</f>
        <v>0</v>
      </c>
      <c r="U2697">
        <f t="shared" si="127"/>
        <v>0</v>
      </c>
      <c r="V2697">
        <f>HLOOKUP("In Use MiB",'vInfo (Imported)'!$1:$5000,M2697,FALSE)</f>
        <v>0</v>
      </c>
    </row>
    <row r="2698" spans="1:22" ht="13" x14ac:dyDescent="0.3">
      <c r="A2698" s="46">
        <f>'vHosts (Imported)'!A2698</f>
        <v>0</v>
      </c>
      <c r="B2698" s="51">
        <f t="shared" si="126"/>
        <v>4968</v>
      </c>
      <c r="C2698" s="49">
        <f>HLOOKUP("# Cores",'vHosts (Imported)'!$1:$5000,M2698,FALSE)</f>
        <v>0</v>
      </c>
      <c r="D2698" s="52">
        <f>HLOOKUP("# Memory",'vHosts (Imported)'!$1:$5000,M2698,FALSE)</f>
        <v>0</v>
      </c>
      <c r="M2698" s="45">
        <f t="shared" si="128"/>
        <v>2698</v>
      </c>
      <c r="N2698" s="38">
        <f>HLOOKUP("Host",'vInfo (Imported)'!$1:$5000,M2698,FALSE)</f>
        <v>0</v>
      </c>
      <c r="R2698">
        <f>HLOOKUP("CPUs",'vInfo (Imported)'!$1:$5000,M2698,FALSE)</f>
        <v>0</v>
      </c>
      <c r="S2698">
        <f>HLOOKUP("Memory",'vInfo (Imported)'!$1:$5000,M2698,FALSE)</f>
        <v>0</v>
      </c>
      <c r="T2698">
        <f>HLOOKUP("Provisioned MiB",'vInfo (Imported)'!$1:$5000,M2698,FALSE)</f>
        <v>0</v>
      </c>
      <c r="U2698">
        <f t="shared" si="127"/>
        <v>0</v>
      </c>
      <c r="V2698">
        <f>HLOOKUP("In Use MiB",'vInfo (Imported)'!$1:$5000,M2698,FALSE)</f>
        <v>0</v>
      </c>
    </row>
    <row r="2699" spans="1:22" ht="13" x14ac:dyDescent="0.3">
      <c r="A2699" s="46">
        <f>'vHosts (Imported)'!A2699</f>
        <v>0</v>
      </c>
      <c r="B2699" s="51">
        <f t="shared" si="126"/>
        <v>4968</v>
      </c>
      <c r="C2699" s="49">
        <f>HLOOKUP("# Cores",'vHosts (Imported)'!$1:$5000,M2699,FALSE)</f>
        <v>0</v>
      </c>
      <c r="D2699" s="52">
        <f>HLOOKUP("# Memory",'vHosts (Imported)'!$1:$5000,M2699,FALSE)</f>
        <v>0</v>
      </c>
      <c r="M2699" s="45">
        <f t="shared" si="128"/>
        <v>2699</v>
      </c>
      <c r="N2699" s="38">
        <f>HLOOKUP("Host",'vInfo (Imported)'!$1:$5000,M2699,FALSE)</f>
        <v>0</v>
      </c>
      <c r="R2699">
        <f>HLOOKUP("CPUs",'vInfo (Imported)'!$1:$5000,M2699,FALSE)</f>
        <v>0</v>
      </c>
      <c r="S2699">
        <f>HLOOKUP("Memory",'vInfo (Imported)'!$1:$5000,M2699,FALSE)</f>
        <v>0</v>
      </c>
      <c r="T2699">
        <f>HLOOKUP("Provisioned MiB",'vInfo (Imported)'!$1:$5000,M2699,FALSE)</f>
        <v>0</v>
      </c>
      <c r="U2699">
        <f t="shared" si="127"/>
        <v>0</v>
      </c>
      <c r="V2699">
        <f>HLOOKUP("In Use MiB",'vInfo (Imported)'!$1:$5000,M2699,FALSE)</f>
        <v>0</v>
      </c>
    </row>
    <row r="2700" spans="1:22" ht="13" x14ac:dyDescent="0.3">
      <c r="A2700" s="46">
        <f>'vHosts (Imported)'!A2700</f>
        <v>0</v>
      </c>
      <c r="B2700" s="51">
        <f t="shared" si="126"/>
        <v>4968</v>
      </c>
      <c r="C2700" s="49">
        <f>HLOOKUP("# Cores",'vHosts (Imported)'!$1:$5000,M2700,FALSE)</f>
        <v>0</v>
      </c>
      <c r="D2700" s="52">
        <f>HLOOKUP("# Memory",'vHosts (Imported)'!$1:$5000,M2700,FALSE)</f>
        <v>0</v>
      </c>
      <c r="M2700" s="45">
        <f t="shared" si="128"/>
        <v>2700</v>
      </c>
      <c r="N2700" s="38">
        <f>HLOOKUP("Host",'vInfo (Imported)'!$1:$5000,M2700,FALSE)</f>
        <v>0</v>
      </c>
      <c r="R2700">
        <f>HLOOKUP("CPUs",'vInfo (Imported)'!$1:$5000,M2700,FALSE)</f>
        <v>0</v>
      </c>
      <c r="S2700">
        <f>HLOOKUP("Memory",'vInfo (Imported)'!$1:$5000,M2700,FALSE)</f>
        <v>0</v>
      </c>
      <c r="T2700">
        <f>HLOOKUP("Provisioned MiB",'vInfo (Imported)'!$1:$5000,M2700,FALSE)</f>
        <v>0</v>
      </c>
      <c r="U2700">
        <f t="shared" si="127"/>
        <v>0</v>
      </c>
      <c r="V2700">
        <f>HLOOKUP("In Use MiB",'vInfo (Imported)'!$1:$5000,M2700,FALSE)</f>
        <v>0</v>
      </c>
    </row>
    <row r="2701" spans="1:22" ht="13" x14ac:dyDescent="0.3">
      <c r="A2701" s="46">
        <f>'vHosts (Imported)'!A2701</f>
        <v>0</v>
      </c>
      <c r="B2701" s="51">
        <f t="shared" si="126"/>
        <v>4968</v>
      </c>
      <c r="C2701" s="49">
        <f>HLOOKUP("# Cores",'vHosts (Imported)'!$1:$5000,M2701,FALSE)</f>
        <v>0</v>
      </c>
      <c r="D2701" s="52">
        <f>HLOOKUP("# Memory",'vHosts (Imported)'!$1:$5000,M2701,FALSE)</f>
        <v>0</v>
      </c>
      <c r="M2701" s="45">
        <f t="shared" si="128"/>
        <v>2701</v>
      </c>
      <c r="N2701" s="38">
        <f>HLOOKUP("Host",'vInfo (Imported)'!$1:$5000,M2701,FALSE)</f>
        <v>0</v>
      </c>
      <c r="R2701">
        <f>HLOOKUP("CPUs",'vInfo (Imported)'!$1:$5000,M2701,FALSE)</f>
        <v>0</v>
      </c>
      <c r="S2701">
        <f>HLOOKUP("Memory",'vInfo (Imported)'!$1:$5000,M2701,FALSE)</f>
        <v>0</v>
      </c>
      <c r="T2701">
        <f>HLOOKUP("Provisioned MiB",'vInfo (Imported)'!$1:$5000,M2701,FALSE)</f>
        <v>0</v>
      </c>
      <c r="U2701">
        <f t="shared" si="127"/>
        <v>0</v>
      </c>
      <c r="V2701">
        <f>HLOOKUP("In Use MiB",'vInfo (Imported)'!$1:$5000,M2701,FALSE)</f>
        <v>0</v>
      </c>
    </row>
    <row r="2702" spans="1:22" ht="13" x14ac:dyDescent="0.3">
      <c r="A2702" s="46">
        <f>'vHosts (Imported)'!A2702</f>
        <v>0</v>
      </c>
      <c r="B2702" s="51">
        <f t="shared" si="126"/>
        <v>4968</v>
      </c>
      <c r="C2702" s="49">
        <f>HLOOKUP("# Cores",'vHosts (Imported)'!$1:$5000,M2702,FALSE)</f>
        <v>0</v>
      </c>
      <c r="D2702" s="52">
        <f>HLOOKUP("# Memory",'vHosts (Imported)'!$1:$5000,M2702,FALSE)</f>
        <v>0</v>
      </c>
      <c r="M2702" s="45">
        <f t="shared" si="128"/>
        <v>2702</v>
      </c>
      <c r="N2702" s="38">
        <f>HLOOKUP("Host",'vInfo (Imported)'!$1:$5000,M2702,FALSE)</f>
        <v>0</v>
      </c>
      <c r="R2702">
        <f>HLOOKUP("CPUs",'vInfo (Imported)'!$1:$5000,M2702,FALSE)</f>
        <v>0</v>
      </c>
      <c r="S2702">
        <f>HLOOKUP("Memory",'vInfo (Imported)'!$1:$5000,M2702,FALSE)</f>
        <v>0</v>
      </c>
      <c r="T2702">
        <f>HLOOKUP("Provisioned MiB",'vInfo (Imported)'!$1:$5000,M2702,FALSE)</f>
        <v>0</v>
      </c>
      <c r="U2702">
        <f t="shared" si="127"/>
        <v>0</v>
      </c>
      <c r="V2702">
        <f>HLOOKUP("In Use MiB",'vInfo (Imported)'!$1:$5000,M2702,FALSE)</f>
        <v>0</v>
      </c>
    </row>
    <row r="2703" spans="1:22" ht="13" x14ac:dyDescent="0.3">
      <c r="A2703" s="46">
        <f>'vHosts (Imported)'!A2703</f>
        <v>0</v>
      </c>
      <c r="B2703" s="51">
        <f t="shared" si="126"/>
        <v>4968</v>
      </c>
      <c r="C2703" s="49">
        <f>HLOOKUP("# Cores",'vHosts (Imported)'!$1:$5000,M2703,FALSE)</f>
        <v>0</v>
      </c>
      <c r="D2703" s="52">
        <f>HLOOKUP("# Memory",'vHosts (Imported)'!$1:$5000,M2703,FALSE)</f>
        <v>0</v>
      </c>
      <c r="M2703" s="45">
        <f t="shared" si="128"/>
        <v>2703</v>
      </c>
      <c r="N2703" s="38">
        <f>HLOOKUP("Host",'vInfo (Imported)'!$1:$5000,M2703,FALSE)</f>
        <v>0</v>
      </c>
      <c r="R2703">
        <f>HLOOKUP("CPUs",'vInfo (Imported)'!$1:$5000,M2703,FALSE)</f>
        <v>0</v>
      </c>
      <c r="S2703">
        <f>HLOOKUP("Memory",'vInfo (Imported)'!$1:$5000,M2703,FALSE)</f>
        <v>0</v>
      </c>
      <c r="T2703">
        <f>HLOOKUP("Provisioned MiB",'vInfo (Imported)'!$1:$5000,M2703,FALSE)</f>
        <v>0</v>
      </c>
      <c r="U2703">
        <f t="shared" si="127"/>
        <v>0</v>
      </c>
      <c r="V2703">
        <f>HLOOKUP("In Use MiB",'vInfo (Imported)'!$1:$5000,M2703,FALSE)</f>
        <v>0</v>
      </c>
    </row>
    <row r="2704" spans="1:22" ht="13" x14ac:dyDescent="0.3">
      <c r="A2704" s="46">
        <f>'vHosts (Imported)'!A2704</f>
        <v>0</v>
      </c>
      <c r="B2704" s="51">
        <f t="shared" si="126"/>
        <v>4968</v>
      </c>
      <c r="C2704" s="49">
        <f>HLOOKUP("# Cores",'vHosts (Imported)'!$1:$5000,M2704,FALSE)</f>
        <v>0</v>
      </c>
      <c r="D2704" s="52">
        <f>HLOOKUP("# Memory",'vHosts (Imported)'!$1:$5000,M2704,FALSE)</f>
        <v>0</v>
      </c>
      <c r="M2704" s="45">
        <f t="shared" si="128"/>
        <v>2704</v>
      </c>
      <c r="N2704" s="38">
        <f>HLOOKUP("Host",'vInfo (Imported)'!$1:$5000,M2704,FALSE)</f>
        <v>0</v>
      </c>
      <c r="R2704">
        <f>HLOOKUP("CPUs",'vInfo (Imported)'!$1:$5000,M2704,FALSE)</f>
        <v>0</v>
      </c>
      <c r="S2704">
        <f>HLOOKUP("Memory",'vInfo (Imported)'!$1:$5000,M2704,FALSE)</f>
        <v>0</v>
      </c>
      <c r="T2704">
        <f>HLOOKUP("Provisioned MiB",'vInfo (Imported)'!$1:$5000,M2704,FALSE)</f>
        <v>0</v>
      </c>
      <c r="U2704">
        <f t="shared" si="127"/>
        <v>0</v>
      </c>
      <c r="V2704">
        <f>HLOOKUP("In Use MiB",'vInfo (Imported)'!$1:$5000,M2704,FALSE)</f>
        <v>0</v>
      </c>
    </row>
    <row r="2705" spans="1:22" ht="13" x14ac:dyDescent="0.3">
      <c r="A2705" s="46">
        <f>'vHosts (Imported)'!A2705</f>
        <v>0</v>
      </c>
      <c r="B2705" s="51">
        <f t="shared" si="126"/>
        <v>4968</v>
      </c>
      <c r="C2705" s="49">
        <f>HLOOKUP("# Cores",'vHosts (Imported)'!$1:$5000,M2705,FALSE)</f>
        <v>0</v>
      </c>
      <c r="D2705" s="52">
        <f>HLOOKUP("# Memory",'vHosts (Imported)'!$1:$5000,M2705,FALSE)</f>
        <v>0</v>
      </c>
      <c r="M2705" s="45">
        <f t="shared" si="128"/>
        <v>2705</v>
      </c>
      <c r="N2705" s="38">
        <f>HLOOKUP("Host",'vInfo (Imported)'!$1:$5000,M2705,FALSE)</f>
        <v>0</v>
      </c>
      <c r="R2705">
        <f>HLOOKUP("CPUs",'vInfo (Imported)'!$1:$5000,M2705,FALSE)</f>
        <v>0</v>
      </c>
      <c r="S2705">
        <f>HLOOKUP("Memory",'vInfo (Imported)'!$1:$5000,M2705,FALSE)</f>
        <v>0</v>
      </c>
      <c r="T2705">
        <f>HLOOKUP("Provisioned MiB",'vInfo (Imported)'!$1:$5000,M2705,FALSE)</f>
        <v>0</v>
      </c>
      <c r="U2705">
        <f t="shared" si="127"/>
        <v>0</v>
      </c>
      <c r="V2705">
        <f>HLOOKUP("In Use MiB",'vInfo (Imported)'!$1:$5000,M2705,FALSE)</f>
        <v>0</v>
      </c>
    </row>
    <row r="2706" spans="1:22" ht="13" x14ac:dyDescent="0.3">
      <c r="A2706" s="46">
        <f>'vHosts (Imported)'!A2706</f>
        <v>0</v>
      </c>
      <c r="B2706" s="51">
        <f t="shared" si="126"/>
        <v>4968</v>
      </c>
      <c r="C2706" s="49">
        <f>HLOOKUP("# Cores",'vHosts (Imported)'!$1:$5000,M2706,FALSE)</f>
        <v>0</v>
      </c>
      <c r="D2706" s="52">
        <f>HLOOKUP("# Memory",'vHosts (Imported)'!$1:$5000,M2706,FALSE)</f>
        <v>0</v>
      </c>
      <c r="M2706" s="45">
        <f t="shared" si="128"/>
        <v>2706</v>
      </c>
      <c r="N2706" s="38">
        <f>HLOOKUP("Host",'vInfo (Imported)'!$1:$5000,M2706,FALSE)</f>
        <v>0</v>
      </c>
      <c r="R2706">
        <f>HLOOKUP("CPUs",'vInfo (Imported)'!$1:$5000,M2706,FALSE)</f>
        <v>0</v>
      </c>
      <c r="S2706">
        <f>HLOOKUP("Memory",'vInfo (Imported)'!$1:$5000,M2706,FALSE)</f>
        <v>0</v>
      </c>
      <c r="T2706">
        <f>HLOOKUP("Provisioned MiB",'vInfo (Imported)'!$1:$5000,M2706,FALSE)</f>
        <v>0</v>
      </c>
      <c r="U2706">
        <f t="shared" si="127"/>
        <v>0</v>
      </c>
      <c r="V2706">
        <f>HLOOKUP("In Use MiB",'vInfo (Imported)'!$1:$5000,M2706,FALSE)</f>
        <v>0</v>
      </c>
    </row>
    <row r="2707" spans="1:22" ht="13" x14ac:dyDescent="0.3">
      <c r="A2707" s="46">
        <f>'vHosts (Imported)'!A2707</f>
        <v>0</v>
      </c>
      <c r="B2707" s="51">
        <f t="shared" si="126"/>
        <v>4968</v>
      </c>
      <c r="C2707" s="49">
        <f>HLOOKUP("# Cores",'vHosts (Imported)'!$1:$5000,M2707,FALSE)</f>
        <v>0</v>
      </c>
      <c r="D2707" s="52">
        <f>HLOOKUP("# Memory",'vHosts (Imported)'!$1:$5000,M2707,FALSE)</f>
        <v>0</v>
      </c>
      <c r="M2707" s="45">
        <f t="shared" si="128"/>
        <v>2707</v>
      </c>
      <c r="N2707" s="38">
        <f>HLOOKUP("Host",'vInfo (Imported)'!$1:$5000,M2707,FALSE)</f>
        <v>0</v>
      </c>
      <c r="R2707">
        <f>HLOOKUP("CPUs",'vInfo (Imported)'!$1:$5000,M2707,FALSE)</f>
        <v>0</v>
      </c>
      <c r="S2707">
        <f>HLOOKUP("Memory",'vInfo (Imported)'!$1:$5000,M2707,FALSE)</f>
        <v>0</v>
      </c>
      <c r="T2707">
        <f>HLOOKUP("Provisioned MiB",'vInfo (Imported)'!$1:$5000,M2707,FALSE)</f>
        <v>0</v>
      </c>
      <c r="U2707">
        <f t="shared" si="127"/>
        <v>0</v>
      </c>
      <c r="V2707">
        <f>HLOOKUP("In Use MiB",'vInfo (Imported)'!$1:$5000,M2707,FALSE)</f>
        <v>0</v>
      </c>
    </row>
    <row r="2708" spans="1:22" ht="13" x14ac:dyDescent="0.3">
      <c r="A2708" s="46">
        <f>'vHosts (Imported)'!A2708</f>
        <v>0</v>
      </c>
      <c r="B2708" s="51">
        <f t="shared" si="126"/>
        <v>4968</v>
      </c>
      <c r="C2708" s="49">
        <f>HLOOKUP("# Cores",'vHosts (Imported)'!$1:$5000,M2708,FALSE)</f>
        <v>0</v>
      </c>
      <c r="D2708" s="52">
        <f>HLOOKUP("# Memory",'vHosts (Imported)'!$1:$5000,M2708,FALSE)</f>
        <v>0</v>
      </c>
      <c r="M2708" s="45">
        <f t="shared" si="128"/>
        <v>2708</v>
      </c>
      <c r="N2708" s="38">
        <f>HLOOKUP("Host",'vInfo (Imported)'!$1:$5000,M2708,FALSE)</f>
        <v>0</v>
      </c>
      <c r="R2708">
        <f>HLOOKUP("CPUs",'vInfo (Imported)'!$1:$5000,M2708,FALSE)</f>
        <v>0</v>
      </c>
      <c r="S2708">
        <f>HLOOKUP("Memory",'vInfo (Imported)'!$1:$5000,M2708,FALSE)</f>
        <v>0</v>
      </c>
      <c r="T2708">
        <f>HLOOKUP("Provisioned MiB",'vInfo (Imported)'!$1:$5000,M2708,FALSE)</f>
        <v>0</v>
      </c>
      <c r="U2708">
        <f t="shared" si="127"/>
        <v>0</v>
      </c>
      <c r="V2708">
        <f>HLOOKUP("In Use MiB",'vInfo (Imported)'!$1:$5000,M2708,FALSE)</f>
        <v>0</v>
      </c>
    </row>
    <row r="2709" spans="1:22" ht="13" x14ac:dyDescent="0.3">
      <c r="A2709" s="46">
        <f>'vHosts (Imported)'!A2709</f>
        <v>0</v>
      </c>
      <c r="B2709" s="51">
        <f t="shared" si="126"/>
        <v>4968</v>
      </c>
      <c r="C2709" s="49">
        <f>HLOOKUP("# Cores",'vHosts (Imported)'!$1:$5000,M2709,FALSE)</f>
        <v>0</v>
      </c>
      <c r="D2709" s="52">
        <f>HLOOKUP("# Memory",'vHosts (Imported)'!$1:$5000,M2709,FALSE)</f>
        <v>0</v>
      </c>
      <c r="M2709" s="45">
        <f t="shared" si="128"/>
        <v>2709</v>
      </c>
      <c r="N2709" s="38">
        <f>HLOOKUP("Host",'vInfo (Imported)'!$1:$5000,M2709,FALSE)</f>
        <v>0</v>
      </c>
      <c r="R2709">
        <f>HLOOKUP("CPUs",'vInfo (Imported)'!$1:$5000,M2709,FALSE)</f>
        <v>0</v>
      </c>
      <c r="S2709">
        <f>HLOOKUP("Memory",'vInfo (Imported)'!$1:$5000,M2709,FALSE)</f>
        <v>0</v>
      </c>
      <c r="T2709">
        <f>HLOOKUP("Provisioned MiB",'vInfo (Imported)'!$1:$5000,M2709,FALSE)</f>
        <v>0</v>
      </c>
      <c r="U2709">
        <f t="shared" si="127"/>
        <v>0</v>
      </c>
      <c r="V2709">
        <f>HLOOKUP("In Use MiB",'vInfo (Imported)'!$1:$5000,M2709,FALSE)</f>
        <v>0</v>
      </c>
    </row>
    <row r="2710" spans="1:22" ht="13" x14ac:dyDescent="0.3">
      <c r="A2710" s="46">
        <f>'vHosts (Imported)'!A2710</f>
        <v>0</v>
      </c>
      <c r="B2710" s="51">
        <f t="shared" si="126"/>
        <v>4968</v>
      </c>
      <c r="C2710" s="49">
        <f>HLOOKUP("# Cores",'vHosts (Imported)'!$1:$5000,M2710,FALSE)</f>
        <v>0</v>
      </c>
      <c r="D2710" s="52">
        <f>HLOOKUP("# Memory",'vHosts (Imported)'!$1:$5000,M2710,FALSE)</f>
        <v>0</v>
      </c>
      <c r="M2710" s="45">
        <f t="shared" si="128"/>
        <v>2710</v>
      </c>
      <c r="N2710" s="38">
        <f>HLOOKUP("Host",'vInfo (Imported)'!$1:$5000,M2710,FALSE)</f>
        <v>0</v>
      </c>
      <c r="R2710">
        <f>HLOOKUP("CPUs",'vInfo (Imported)'!$1:$5000,M2710,FALSE)</f>
        <v>0</v>
      </c>
      <c r="S2710">
        <f>HLOOKUP("Memory",'vInfo (Imported)'!$1:$5000,M2710,FALSE)</f>
        <v>0</v>
      </c>
      <c r="T2710">
        <f>HLOOKUP("Provisioned MiB",'vInfo (Imported)'!$1:$5000,M2710,FALSE)</f>
        <v>0</v>
      </c>
      <c r="U2710">
        <f t="shared" si="127"/>
        <v>0</v>
      </c>
      <c r="V2710">
        <f>HLOOKUP("In Use MiB",'vInfo (Imported)'!$1:$5000,M2710,FALSE)</f>
        <v>0</v>
      </c>
    </row>
    <row r="2711" spans="1:22" ht="13" x14ac:dyDescent="0.3">
      <c r="A2711" s="46">
        <f>'vHosts (Imported)'!A2711</f>
        <v>0</v>
      </c>
      <c r="B2711" s="51">
        <f t="shared" si="126"/>
        <v>4968</v>
      </c>
      <c r="C2711" s="49">
        <f>HLOOKUP("# Cores",'vHosts (Imported)'!$1:$5000,M2711,FALSE)</f>
        <v>0</v>
      </c>
      <c r="D2711" s="52">
        <f>HLOOKUP("# Memory",'vHosts (Imported)'!$1:$5000,M2711,FALSE)</f>
        <v>0</v>
      </c>
      <c r="M2711" s="45">
        <f t="shared" si="128"/>
        <v>2711</v>
      </c>
      <c r="N2711" s="38">
        <f>HLOOKUP("Host",'vInfo (Imported)'!$1:$5000,M2711,FALSE)</f>
        <v>0</v>
      </c>
      <c r="R2711">
        <f>HLOOKUP("CPUs",'vInfo (Imported)'!$1:$5000,M2711,FALSE)</f>
        <v>0</v>
      </c>
      <c r="S2711">
        <f>HLOOKUP("Memory",'vInfo (Imported)'!$1:$5000,M2711,FALSE)</f>
        <v>0</v>
      </c>
      <c r="T2711">
        <f>HLOOKUP("Provisioned MiB",'vInfo (Imported)'!$1:$5000,M2711,FALSE)</f>
        <v>0</v>
      </c>
      <c r="U2711">
        <f t="shared" si="127"/>
        <v>0</v>
      </c>
      <c r="V2711">
        <f>HLOOKUP("In Use MiB",'vInfo (Imported)'!$1:$5000,M2711,FALSE)</f>
        <v>0</v>
      </c>
    </row>
    <row r="2712" spans="1:22" ht="13" x14ac:dyDescent="0.3">
      <c r="A2712" s="46">
        <f>'vHosts (Imported)'!A2712</f>
        <v>0</v>
      </c>
      <c r="B2712" s="51">
        <f t="shared" si="126"/>
        <v>4968</v>
      </c>
      <c r="C2712" s="49">
        <f>HLOOKUP("# Cores",'vHosts (Imported)'!$1:$5000,M2712,FALSE)</f>
        <v>0</v>
      </c>
      <c r="D2712" s="52">
        <f>HLOOKUP("# Memory",'vHosts (Imported)'!$1:$5000,M2712,FALSE)</f>
        <v>0</v>
      </c>
      <c r="M2712" s="45">
        <f t="shared" si="128"/>
        <v>2712</v>
      </c>
      <c r="N2712" s="38">
        <f>HLOOKUP("Host",'vInfo (Imported)'!$1:$5000,M2712,FALSE)</f>
        <v>0</v>
      </c>
      <c r="R2712">
        <f>HLOOKUP("CPUs",'vInfo (Imported)'!$1:$5000,M2712,FALSE)</f>
        <v>0</v>
      </c>
      <c r="S2712">
        <f>HLOOKUP("Memory",'vInfo (Imported)'!$1:$5000,M2712,FALSE)</f>
        <v>0</v>
      </c>
      <c r="T2712">
        <f>HLOOKUP("Provisioned MiB",'vInfo (Imported)'!$1:$5000,M2712,FALSE)</f>
        <v>0</v>
      </c>
      <c r="U2712">
        <f t="shared" si="127"/>
        <v>0</v>
      </c>
      <c r="V2712">
        <f>HLOOKUP("In Use MiB",'vInfo (Imported)'!$1:$5000,M2712,FALSE)</f>
        <v>0</v>
      </c>
    </row>
    <row r="2713" spans="1:22" ht="13" x14ac:dyDescent="0.3">
      <c r="A2713" s="46">
        <f>'vHosts (Imported)'!A2713</f>
        <v>0</v>
      </c>
      <c r="B2713" s="51">
        <f t="shared" si="126"/>
        <v>4968</v>
      </c>
      <c r="C2713" s="49">
        <f>HLOOKUP("# Cores",'vHosts (Imported)'!$1:$5000,M2713,FALSE)</f>
        <v>0</v>
      </c>
      <c r="D2713" s="52">
        <f>HLOOKUP("# Memory",'vHosts (Imported)'!$1:$5000,M2713,FALSE)</f>
        <v>0</v>
      </c>
      <c r="M2713" s="45">
        <f t="shared" si="128"/>
        <v>2713</v>
      </c>
      <c r="N2713" s="38">
        <f>HLOOKUP("Host",'vInfo (Imported)'!$1:$5000,M2713,FALSE)</f>
        <v>0</v>
      </c>
      <c r="R2713">
        <f>HLOOKUP("CPUs",'vInfo (Imported)'!$1:$5000,M2713,FALSE)</f>
        <v>0</v>
      </c>
      <c r="S2713">
        <f>HLOOKUP("Memory",'vInfo (Imported)'!$1:$5000,M2713,FALSE)</f>
        <v>0</v>
      </c>
      <c r="T2713">
        <f>HLOOKUP("Provisioned MiB",'vInfo (Imported)'!$1:$5000,M2713,FALSE)</f>
        <v>0</v>
      </c>
      <c r="U2713">
        <f t="shared" si="127"/>
        <v>0</v>
      </c>
      <c r="V2713">
        <f>HLOOKUP("In Use MiB",'vInfo (Imported)'!$1:$5000,M2713,FALSE)</f>
        <v>0</v>
      </c>
    </row>
    <row r="2714" spans="1:22" ht="13" x14ac:dyDescent="0.3">
      <c r="A2714" s="46">
        <f>'vHosts (Imported)'!A2714</f>
        <v>0</v>
      </c>
      <c r="B2714" s="51">
        <f t="shared" si="126"/>
        <v>4968</v>
      </c>
      <c r="C2714" s="49">
        <f>HLOOKUP("# Cores",'vHosts (Imported)'!$1:$5000,M2714,FALSE)</f>
        <v>0</v>
      </c>
      <c r="D2714" s="52">
        <f>HLOOKUP("# Memory",'vHosts (Imported)'!$1:$5000,M2714,FALSE)</f>
        <v>0</v>
      </c>
      <c r="M2714" s="45">
        <f t="shared" si="128"/>
        <v>2714</v>
      </c>
      <c r="N2714" s="38">
        <f>HLOOKUP("Host",'vInfo (Imported)'!$1:$5000,M2714,FALSE)</f>
        <v>0</v>
      </c>
      <c r="R2714">
        <f>HLOOKUP("CPUs",'vInfo (Imported)'!$1:$5000,M2714,FALSE)</f>
        <v>0</v>
      </c>
      <c r="S2714">
        <f>HLOOKUP("Memory",'vInfo (Imported)'!$1:$5000,M2714,FALSE)</f>
        <v>0</v>
      </c>
      <c r="T2714">
        <f>HLOOKUP("Provisioned MiB",'vInfo (Imported)'!$1:$5000,M2714,FALSE)</f>
        <v>0</v>
      </c>
      <c r="U2714">
        <f t="shared" si="127"/>
        <v>0</v>
      </c>
      <c r="V2714">
        <f>HLOOKUP("In Use MiB",'vInfo (Imported)'!$1:$5000,M2714,FALSE)</f>
        <v>0</v>
      </c>
    </row>
    <row r="2715" spans="1:22" ht="13" x14ac:dyDescent="0.3">
      <c r="A2715" s="46">
        <f>'vHosts (Imported)'!A2715</f>
        <v>0</v>
      </c>
      <c r="B2715" s="51">
        <f t="shared" si="126"/>
        <v>4968</v>
      </c>
      <c r="C2715" s="49">
        <f>HLOOKUP("# Cores",'vHosts (Imported)'!$1:$5000,M2715,FALSE)</f>
        <v>0</v>
      </c>
      <c r="D2715" s="52">
        <f>HLOOKUP("# Memory",'vHosts (Imported)'!$1:$5000,M2715,FALSE)</f>
        <v>0</v>
      </c>
      <c r="M2715" s="45">
        <f t="shared" si="128"/>
        <v>2715</v>
      </c>
      <c r="N2715" s="38">
        <f>HLOOKUP("Host",'vInfo (Imported)'!$1:$5000,M2715,FALSE)</f>
        <v>0</v>
      </c>
      <c r="R2715">
        <f>HLOOKUP("CPUs",'vInfo (Imported)'!$1:$5000,M2715,FALSE)</f>
        <v>0</v>
      </c>
      <c r="S2715">
        <f>HLOOKUP("Memory",'vInfo (Imported)'!$1:$5000,M2715,FALSE)</f>
        <v>0</v>
      </c>
      <c r="T2715">
        <f>HLOOKUP("Provisioned MiB",'vInfo (Imported)'!$1:$5000,M2715,FALSE)</f>
        <v>0</v>
      </c>
      <c r="U2715">
        <f t="shared" si="127"/>
        <v>0</v>
      </c>
      <c r="V2715">
        <f>HLOOKUP("In Use MiB",'vInfo (Imported)'!$1:$5000,M2715,FALSE)</f>
        <v>0</v>
      </c>
    </row>
    <row r="2716" spans="1:22" ht="13" x14ac:dyDescent="0.3">
      <c r="A2716" s="46">
        <f>'vHosts (Imported)'!A2716</f>
        <v>0</v>
      </c>
      <c r="B2716" s="51">
        <f t="shared" si="126"/>
        <v>4968</v>
      </c>
      <c r="C2716" s="49">
        <f>HLOOKUP("# Cores",'vHosts (Imported)'!$1:$5000,M2716,FALSE)</f>
        <v>0</v>
      </c>
      <c r="D2716" s="52">
        <f>HLOOKUP("# Memory",'vHosts (Imported)'!$1:$5000,M2716,FALSE)</f>
        <v>0</v>
      </c>
      <c r="M2716" s="45">
        <f t="shared" si="128"/>
        <v>2716</v>
      </c>
      <c r="N2716" s="38">
        <f>HLOOKUP("Host",'vInfo (Imported)'!$1:$5000,M2716,FALSE)</f>
        <v>0</v>
      </c>
      <c r="R2716">
        <f>HLOOKUP("CPUs",'vInfo (Imported)'!$1:$5000,M2716,FALSE)</f>
        <v>0</v>
      </c>
      <c r="S2716">
        <f>HLOOKUP("Memory",'vInfo (Imported)'!$1:$5000,M2716,FALSE)</f>
        <v>0</v>
      </c>
      <c r="T2716">
        <f>HLOOKUP("Provisioned MiB",'vInfo (Imported)'!$1:$5000,M2716,FALSE)</f>
        <v>0</v>
      </c>
      <c r="U2716">
        <f t="shared" si="127"/>
        <v>0</v>
      </c>
      <c r="V2716">
        <f>HLOOKUP("In Use MiB",'vInfo (Imported)'!$1:$5000,M2716,FALSE)</f>
        <v>0</v>
      </c>
    </row>
    <row r="2717" spans="1:22" ht="13" x14ac:dyDescent="0.3">
      <c r="A2717" s="46">
        <f>'vHosts (Imported)'!A2717</f>
        <v>0</v>
      </c>
      <c r="B2717" s="51">
        <f t="shared" si="126"/>
        <v>4968</v>
      </c>
      <c r="C2717" s="49">
        <f>HLOOKUP("# Cores",'vHosts (Imported)'!$1:$5000,M2717,FALSE)</f>
        <v>0</v>
      </c>
      <c r="D2717" s="52">
        <f>HLOOKUP("# Memory",'vHosts (Imported)'!$1:$5000,M2717,FALSE)</f>
        <v>0</v>
      </c>
      <c r="M2717" s="45">
        <f t="shared" si="128"/>
        <v>2717</v>
      </c>
      <c r="N2717" s="38">
        <f>HLOOKUP("Host",'vInfo (Imported)'!$1:$5000,M2717,FALSE)</f>
        <v>0</v>
      </c>
      <c r="R2717">
        <f>HLOOKUP("CPUs",'vInfo (Imported)'!$1:$5000,M2717,FALSE)</f>
        <v>0</v>
      </c>
      <c r="S2717">
        <f>HLOOKUP("Memory",'vInfo (Imported)'!$1:$5000,M2717,FALSE)</f>
        <v>0</v>
      </c>
      <c r="T2717">
        <f>HLOOKUP("Provisioned MiB",'vInfo (Imported)'!$1:$5000,M2717,FALSE)</f>
        <v>0</v>
      </c>
      <c r="U2717">
        <f t="shared" si="127"/>
        <v>0</v>
      </c>
      <c r="V2717">
        <f>HLOOKUP("In Use MiB",'vInfo (Imported)'!$1:$5000,M2717,FALSE)</f>
        <v>0</v>
      </c>
    </row>
    <row r="2718" spans="1:22" ht="13" x14ac:dyDescent="0.3">
      <c r="A2718" s="46">
        <f>'vHosts (Imported)'!A2718</f>
        <v>0</v>
      </c>
      <c r="B2718" s="51">
        <f t="shared" si="126"/>
        <v>4968</v>
      </c>
      <c r="C2718" s="49">
        <f>HLOOKUP("# Cores",'vHosts (Imported)'!$1:$5000,M2718,FALSE)</f>
        <v>0</v>
      </c>
      <c r="D2718" s="52">
        <f>HLOOKUP("# Memory",'vHosts (Imported)'!$1:$5000,M2718,FALSE)</f>
        <v>0</v>
      </c>
      <c r="M2718" s="45">
        <f t="shared" si="128"/>
        <v>2718</v>
      </c>
      <c r="N2718" s="38">
        <f>HLOOKUP("Host",'vInfo (Imported)'!$1:$5000,M2718,FALSE)</f>
        <v>0</v>
      </c>
      <c r="R2718">
        <f>HLOOKUP("CPUs",'vInfo (Imported)'!$1:$5000,M2718,FALSE)</f>
        <v>0</v>
      </c>
      <c r="S2718">
        <f>HLOOKUP("Memory",'vInfo (Imported)'!$1:$5000,M2718,FALSE)</f>
        <v>0</v>
      </c>
      <c r="T2718">
        <f>HLOOKUP("Provisioned MiB",'vInfo (Imported)'!$1:$5000,M2718,FALSE)</f>
        <v>0</v>
      </c>
      <c r="U2718">
        <f t="shared" si="127"/>
        <v>0</v>
      </c>
      <c r="V2718">
        <f>HLOOKUP("In Use MiB",'vInfo (Imported)'!$1:$5000,M2718,FALSE)</f>
        <v>0</v>
      </c>
    </row>
    <row r="2719" spans="1:22" ht="13" x14ac:dyDescent="0.3">
      <c r="A2719" s="46">
        <f>'vHosts (Imported)'!A2719</f>
        <v>0</v>
      </c>
      <c r="B2719" s="51">
        <f t="shared" si="126"/>
        <v>4968</v>
      </c>
      <c r="C2719" s="49">
        <f>HLOOKUP("# Cores",'vHosts (Imported)'!$1:$5000,M2719,FALSE)</f>
        <v>0</v>
      </c>
      <c r="D2719" s="52">
        <f>HLOOKUP("# Memory",'vHosts (Imported)'!$1:$5000,M2719,FALSE)</f>
        <v>0</v>
      </c>
      <c r="M2719" s="45">
        <f t="shared" si="128"/>
        <v>2719</v>
      </c>
      <c r="N2719" s="38">
        <f>HLOOKUP("Host",'vInfo (Imported)'!$1:$5000,M2719,FALSE)</f>
        <v>0</v>
      </c>
      <c r="R2719">
        <f>HLOOKUP("CPUs",'vInfo (Imported)'!$1:$5000,M2719,FALSE)</f>
        <v>0</v>
      </c>
      <c r="S2719">
        <f>HLOOKUP("Memory",'vInfo (Imported)'!$1:$5000,M2719,FALSE)</f>
        <v>0</v>
      </c>
      <c r="T2719">
        <f>HLOOKUP("Provisioned MiB",'vInfo (Imported)'!$1:$5000,M2719,FALSE)</f>
        <v>0</v>
      </c>
      <c r="U2719">
        <f t="shared" si="127"/>
        <v>0</v>
      </c>
      <c r="V2719">
        <f>HLOOKUP("In Use MiB",'vInfo (Imported)'!$1:$5000,M2719,FALSE)</f>
        <v>0</v>
      </c>
    </row>
    <row r="2720" spans="1:22" ht="13" x14ac:dyDescent="0.3">
      <c r="A2720" s="46">
        <f>'vHosts (Imported)'!A2720</f>
        <v>0</v>
      </c>
      <c r="B2720" s="51">
        <f t="shared" si="126"/>
        <v>4968</v>
      </c>
      <c r="C2720" s="49">
        <f>HLOOKUP("# Cores",'vHosts (Imported)'!$1:$5000,M2720,FALSE)</f>
        <v>0</v>
      </c>
      <c r="D2720" s="52">
        <f>HLOOKUP("# Memory",'vHosts (Imported)'!$1:$5000,M2720,FALSE)</f>
        <v>0</v>
      </c>
      <c r="M2720" s="45">
        <f t="shared" si="128"/>
        <v>2720</v>
      </c>
      <c r="N2720" s="38">
        <f>HLOOKUP("Host",'vInfo (Imported)'!$1:$5000,M2720,FALSE)</f>
        <v>0</v>
      </c>
      <c r="R2720">
        <f>HLOOKUP("CPUs",'vInfo (Imported)'!$1:$5000,M2720,FALSE)</f>
        <v>0</v>
      </c>
      <c r="S2720">
        <f>HLOOKUP("Memory",'vInfo (Imported)'!$1:$5000,M2720,FALSE)</f>
        <v>0</v>
      </c>
      <c r="T2720">
        <f>HLOOKUP("Provisioned MiB",'vInfo (Imported)'!$1:$5000,M2720,FALSE)</f>
        <v>0</v>
      </c>
      <c r="U2720">
        <f t="shared" si="127"/>
        <v>0</v>
      </c>
      <c r="V2720">
        <f>HLOOKUP("In Use MiB",'vInfo (Imported)'!$1:$5000,M2720,FALSE)</f>
        <v>0</v>
      </c>
    </row>
    <row r="2721" spans="1:22" ht="13" x14ac:dyDescent="0.3">
      <c r="A2721" s="46">
        <f>'vHosts (Imported)'!A2721</f>
        <v>0</v>
      </c>
      <c r="B2721" s="51">
        <f t="shared" si="126"/>
        <v>4968</v>
      </c>
      <c r="C2721" s="49">
        <f>HLOOKUP("# Cores",'vHosts (Imported)'!$1:$5000,M2721,FALSE)</f>
        <v>0</v>
      </c>
      <c r="D2721" s="52">
        <f>HLOOKUP("# Memory",'vHosts (Imported)'!$1:$5000,M2721,FALSE)</f>
        <v>0</v>
      </c>
      <c r="M2721" s="45">
        <f t="shared" si="128"/>
        <v>2721</v>
      </c>
      <c r="N2721" s="38">
        <f>HLOOKUP("Host",'vInfo (Imported)'!$1:$5000,M2721,FALSE)</f>
        <v>0</v>
      </c>
      <c r="R2721">
        <f>HLOOKUP("CPUs",'vInfo (Imported)'!$1:$5000,M2721,FALSE)</f>
        <v>0</v>
      </c>
      <c r="S2721">
        <f>HLOOKUP("Memory",'vInfo (Imported)'!$1:$5000,M2721,FALSE)</f>
        <v>0</v>
      </c>
      <c r="T2721">
        <f>HLOOKUP("Provisioned MiB",'vInfo (Imported)'!$1:$5000,M2721,FALSE)</f>
        <v>0</v>
      </c>
      <c r="U2721">
        <f t="shared" si="127"/>
        <v>0</v>
      </c>
      <c r="V2721">
        <f>HLOOKUP("In Use MiB",'vInfo (Imported)'!$1:$5000,M2721,FALSE)</f>
        <v>0</v>
      </c>
    </row>
    <row r="2722" spans="1:22" ht="13" x14ac:dyDescent="0.3">
      <c r="A2722" s="46">
        <f>'vHosts (Imported)'!A2722</f>
        <v>0</v>
      </c>
      <c r="B2722" s="51">
        <f t="shared" si="126"/>
        <v>4968</v>
      </c>
      <c r="C2722" s="49">
        <f>HLOOKUP("# Cores",'vHosts (Imported)'!$1:$5000,M2722,FALSE)</f>
        <v>0</v>
      </c>
      <c r="D2722" s="52">
        <f>HLOOKUP("# Memory",'vHosts (Imported)'!$1:$5000,M2722,FALSE)</f>
        <v>0</v>
      </c>
      <c r="M2722" s="45">
        <f t="shared" si="128"/>
        <v>2722</v>
      </c>
      <c r="N2722" s="38">
        <f>HLOOKUP("Host",'vInfo (Imported)'!$1:$5000,M2722,FALSE)</f>
        <v>0</v>
      </c>
      <c r="R2722">
        <f>HLOOKUP("CPUs",'vInfo (Imported)'!$1:$5000,M2722,FALSE)</f>
        <v>0</v>
      </c>
      <c r="S2722">
        <f>HLOOKUP("Memory",'vInfo (Imported)'!$1:$5000,M2722,FALSE)</f>
        <v>0</v>
      </c>
      <c r="T2722">
        <f>HLOOKUP("Provisioned MiB",'vInfo (Imported)'!$1:$5000,M2722,FALSE)</f>
        <v>0</v>
      </c>
      <c r="U2722">
        <f t="shared" si="127"/>
        <v>0</v>
      </c>
      <c r="V2722">
        <f>HLOOKUP("In Use MiB",'vInfo (Imported)'!$1:$5000,M2722,FALSE)</f>
        <v>0</v>
      </c>
    </row>
    <row r="2723" spans="1:22" ht="13" x14ac:dyDescent="0.3">
      <c r="A2723" s="46">
        <f>'vHosts (Imported)'!A2723</f>
        <v>0</v>
      </c>
      <c r="B2723" s="51">
        <f t="shared" si="126"/>
        <v>4968</v>
      </c>
      <c r="C2723" s="49">
        <f>HLOOKUP("# Cores",'vHosts (Imported)'!$1:$5000,M2723,FALSE)</f>
        <v>0</v>
      </c>
      <c r="D2723" s="52">
        <f>HLOOKUP("# Memory",'vHosts (Imported)'!$1:$5000,M2723,FALSE)</f>
        <v>0</v>
      </c>
      <c r="M2723" s="45">
        <f t="shared" si="128"/>
        <v>2723</v>
      </c>
      <c r="N2723" s="38">
        <f>HLOOKUP("Host",'vInfo (Imported)'!$1:$5000,M2723,FALSE)</f>
        <v>0</v>
      </c>
      <c r="R2723">
        <f>HLOOKUP("CPUs",'vInfo (Imported)'!$1:$5000,M2723,FALSE)</f>
        <v>0</v>
      </c>
      <c r="S2723">
        <f>HLOOKUP("Memory",'vInfo (Imported)'!$1:$5000,M2723,FALSE)</f>
        <v>0</v>
      </c>
      <c r="T2723">
        <f>HLOOKUP("Provisioned MiB",'vInfo (Imported)'!$1:$5000,M2723,FALSE)</f>
        <v>0</v>
      </c>
      <c r="U2723">
        <f t="shared" si="127"/>
        <v>0</v>
      </c>
      <c r="V2723">
        <f>HLOOKUP("In Use MiB",'vInfo (Imported)'!$1:$5000,M2723,FALSE)</f>
        <v>0</v>
      </c>
    </row>
    <row r="2724" spans="1:22" ht="13" x14ac:dyDescent="0.3">
      <c r="A2724" s="46">
        <f>'vHosts (Imported)'!A2724</f>
        <v>0</v>
      </c>
      <c r="B2724" s="51">
        <f t="shared" si="126"/>
        <v>4968</v>
      </c>
      <c r="C2724" s="49">
        <f>HLOOKUP("# Cores",'vHosts (Imported)'!$1:$5000,M2724,FALSE)</f>
        <v>0</v>
      </c>
      <c r="D2724" s="52">
        <f>HLOOKUP("# Memory",'vHosts (Imported)'!$1:$5000,M2724,FALSE)</f>
        <v>0</v>
      </c>
      <c r="M2724" s="45">
        <f t="shared" si="128"/>
        <v>2724</v>
      </c>
      <c r="N2724" s="38">
        <f>HLOOKUP("Host",'vInfo (Imported)'!$1:$5000,M2724,FALSE)</f>
        <v>0</v>
      </c>
      <c r="R2724">
        <f>HLOOKUP("CPUs",'vInfo (Imported)'!$1:$5000,M2724,FALSE)</f>
        <v>0</v>
      </c>
      <c r="S2724">
        <f>HLOOKUP("Memory",'vInfo (Imported)'!$1:$5000,M2724,FALSE)</f>
        <v>0</v>
      </c>
      <c r="T2724">
        <f>HLOOKUP("Provisioned MiB",'vInfo (Imported)'!$1:$5000,M2724,FALSE)</f>
        <v>0</v>
      </c>
      <c r="U2724">
        <f t="shared" si="127"/>
        <v>0</v>
      </c>
      <c r="V2724">
        <f>HLOOKUP("In Use MiB",'vInfo (Imported)'!$1:$5000,M2724,FALSE)</f>
        <v>0</v>
      </c>
    </row>
    <row r="2725" spans="1:22" ht="13" x14ac:dyDescent="0.3">
      <c r="A2725" s="46">
        <f>'vHosts (Imported)'!A2725</f>
        <v>0</v>
      </c>
      <c r="B2725" s="51">
        <f t="shared" si="126"/>
        <v>4968</v>
      </c>
      <c r="C2725" s="49">
        <f>HLOOKUP("# Cores",'vHosts (Imported)'!$1:$5000,M2725,FALSE)</f>
        <v>0</v>
      </c>
      <c r="D2725" s="52">
        <f>HLOOKUP("# Memory",'vHosts (Imported)'!$1:$5000,M2725,FALSE)</f>
        <v>0</v>
      </c>
      <c r="M2725" s="45">
        <f t="shared" si="128"/>
        <v>2725</v>
      </c>
      <c r="N2725" s="38">
        <f>HLOOKUP("Host",'vInfo (Imported)'!$1:$5000,M2725,FALSE)</f>
        <v>0</v>
      </c>
      <c r="R2725">
        <f>HLOOKUP("CPUs",'vInfo (Imported)'!$1:$5000,M2725,FALSE)</f>
        <v>0</v>
      </c>
      <c r="S2725">
        <f>HLOOKUP("Memory",'vInfo (Imported)'!$1:$5000,M2725,FALSE)</f>
        <v>0</v>
      </c>
      <c r="T2725">
        <f>HLOOKUP("Provisioned MiB",'vInfo (Imported)'!$1:$5000,M2725,FALSE)</f>
        <v>0</v>
      </c>
      <c r="U2725">
        <f t="shared" si="127"/>
        <v>0</v>
      </c>
      <c r="V2725">
        <f>HLOOKUP("In Use MiB",'vInfo (Imported)'!$1:$5000,M2725,FALSE)</f>
        <v>0</v>
      </c>
    </row>
    <row r="2726" spans="1:22" ht="13" x14ac:dyDescent="0.3">
      <c r="A2726" s="46">
        <f>'vHosts (Imported)'!A2726</f>
        <v>0</v>
      </c>
      <c r="B2726" s="51">
        <f t="shared" si="126"/>
        <v>4968</v>
      </c>
      <c r="C2726" s="49">
        <f>HLOOKUP("# Cores",'vHosts (Imported)'!$1:$5000,M2726,FALSE)</f>
        <v>0</v>
      </c>
      <c r="D2726" s="52">
        <f>HLOOKUP("# Memory",'vHosts (Imported)'!$1:$5000,M2726,FALSE)</f>
        <v>0</v>
      </c>
      <c r="M2726" s="45">
        <f t="shared" si="128"/>
        <v>2726</v>
      </c>
      <c r="N2726" s="38">
        <f>HLOOKUP("Host",'vInfo (Imported)'!$1:$5000,M2726,FALSE)</f>
        <v>0</v>
      </c>
      <c r="R2726">
        <f>HLOOKUP("CPUs",'vInfo (Imported)'!$1:$5000,M2726,FALSE)</f>
        <v>0</v>
      </c>
      <c r="S2726">
        <f>HLOOKUP("Memory",'vInfo (Imported)'!$1:$5000,M2726,FALSE)</f>
        <v>0</v>
      </c>
      <c r="T2726">
        <f>HLOOKUP("Provisioned MiB",'vInfo (Imported)'!$1:$5000,M2726,FALSE)</f>
        <v>0</v>
      </c>
      <c r="U2726">
        <f t="shared" si="127"/>
        <v>0</v>
      </c>
      <c r="V2726">
        <f>HLOOKUP("In Use MiB",'vInfo (Imported)'!$1:$5000,M2726,FALSE)</f>
        <v>0</v>
      </c>
    </row>
    <row r="2727" spans="1:22" ht="13" x14ac:dyDescent="0.3">
      <c r="A2727" s="46">
        <f>'vHosts (Imported)'!A2727</f>
        <v>0</v>
      </c>
      <c r="B2727" s="51">
        <f t="shared" si="126"/>
        <v>4968</v>
      </c>
      <c r="C2727" s="49">
        <f>HLOOKUP("# Cores",'vHosts (Imported)'!$1:$5000,M2727,FALSE)</f>
        <v>0</v>
      </c>
      <c r="D2727" s="52">
        <f>HLOOKUP("# Memory",'vHosts (Imported)'!$1:$5000,M2727,FALSE)</f>
        <v>0</v>
      </c>
      <c r="M2727" s="45">
        <f t="shared" si="128"/>
        <v>2727</v>
      </c>
      <c r="N2727" s="38">
        <f>HLOOKUP("Host",'vInfo (Imported)'!$1:$5000,M2727,FALSE)</f>
        <v>0</v>
      </c>
      <c r="R2727">
        <f>HLOOKUP("CPUs",'vInfo (Imported)'!$1:$5000,M2727,FALSE)</f>
        <v>0</v>
      </c>
      <c r="S2727">
        <f>HLOOKUP("Memory",'vInfo (Imported)'!$1:$5000,M2727,FALSE)</f>
        <v>0</v>
      </c>
      <c r="T2727">
        <f>HLOOKUP("Provisioned MiB",'vInfo (Imported)'!$1:$5000,M2727,FALSE)</f>
        <v>0</v>
      </c>
      <c r="U2727">
        <f t="shared" si="127"/>
        <v>0</v>
      </c>
      <c r="V2727">
        <f>HLOOKUP("In Use MiB",'vInfo (Imported)'!$1:$5000,M2727,FALSE)</f>
        <v>0</v>
      </c>
    </row>
    <row r="2728" spans="1:22" ht="13" x14ac:dyDescent="0.3">
      <c r="A2728" s="46">
        <f>'vHosts (Imported)'!A2728</f>
        <v>0</v>
      </c>
      <c r="B2728" s="51">
        <f t="shared" ref="B2728:B2791" si="129">COUNTIF(N:N,A2728)</f>
        <v>4968</v>
      </c>
      <c r="C2728" s="49">
        <f>HLOOKUP("# Cores",'vHosts (Imported)'!$1:$5000,M2728,FALSE)</f>
        <v>0</v>
      </c>
      <c r="D2728" s="52">
        <f>HLOOKUP("# Memory",'vHosts (Imported)'!$1:$5000,M2728,FALSE)</f>
        <v>0</v>
      </c>
      <c r="M2728" s="45">
        <f t="shared" si="128"/>
        <v>2728</v>
      </c>
      <c r="N2728" s="38">
        <f>HLOOKUP("Host",'vInfo (Imported)'!$1:$5000,M2728,FALSE)</f>
        <v>0</v>
      </c>
      <c r="R2728">
        <f>HLOOKUP("CPUs",'vInfo (Imported)'!$1:$5000,M2728,FALSE)</f>
        <v>0</v>
      </c>
      <c r="S2728">
        <f>HLOOKUP("Memory",'vInfo (Imported)'!$1:$5000,M2728,FALSE)</f>
        <v>0</v>
      </c>
      <c r="T2728">
        <f>HLOOKUP("Provisioned MiB",'vInfo (Imported)'!$1:$5000,M2728,FALSE)</f>
        <v>0</v>
      </c>
      <c r="U2728">
        <f t="shared" si="127"/>
        <v>0</v>
      </c>
      <c r="V2728">
        <f>HLOOKUP("In Use MiB",'vInfo (Imported)'!$1:$5000,M2728,FALSE)</f>
        <v>0</v>
      </c>
    </row>
    <row r="2729" spans="1:22" ht="13" x14ac:dyDescent="0.3">
      <c r="A2729" s="46">
        <f>'vHosts (Imported)'!A2729</f>
        <v>0</v>
      </c>
      <c r="B2729" s="51">
        <f t="shared" si="129"/>
        <v>4968</v>
      </c>
      <c r="C2729" s="49">
        <f>HLOOKUP("# Cores",'vHosts (Imported)'!$1:$5000,M2729,FALSE)</f>
        <v>0</v>
      </c>
      <c r="D2729" s="52">
        <f>HLOOKUP("# Memory",'vHosts (Imported)'!$1:$5000,M2729,FALSE)</f>
        <v>0</v>
      </c>
      <c r="M2729" s="45">
        <f t="shared" si="128"/>
        <v>2729</v>
      </c>
      <c r="N2729" s="38">
        <f>HLOOKUP("Host",'vInfo (Imported)'!$1:$5000,M2729,FALSE)</f>
        <v>0</v>
      </c>
      <c r="R2729">
        <f>HLOOKUP("CPUs",'vInfo (Imported)'!$1:$5000,M2729,FALSE)</f>
        <v>0</v>
      </c>
      <c r="S2729">
        <f>HLOOKUP("Memory",'vInfo (Imported)'!$1:$5000,M2729,FALSE)</f>
        <v>0</v>
      </c>
      <c r="T2729">
        <f>HLOOKUP("Provisioned MiB",'vInfo (Imported)'!$1:$5000,M2729,FALSE)</f>
        <v>0</v>
      </c>
      <c r="U2729">
        <f t="shared" si="127"/>
        <v>0</v>
      </c>
      <c r="V2729">
        <f>HLOOKUP("In Use MiB",'vInfo (Imported)'!$1:$5000,M2729,FALSE)</f>
        <v>0</v>
      </c>
    </row>
    <row r="2730" spans="1:22" ht="13" x14ac:dyDescent="0.3">
      <c r="A2730" s="46">
        <f>'vHosts (Imported)'!A2730</f>
        <v>0</v>
      </c>
      <c r="B2730" s="51">
        <f t="shared" si="129"/>
        <v>4968</v>
      </c>
      <c r="C2730" s="49">
        <f>HLOOKUP("# Cores",'vHosts (Imported)'!$1:$5000,M2730,FALSE)</f>
        <v>0</v>
      </c>
      <c r="D2730" s="52">
        <f>HLOOKUP("# Memory",'vHosts (Imported)'!$1:$5000,M2730,FALSE)</f>
        <v>0</v>
      </c>
      <c r="M2730" s="45">
        <f t="shared" si="128"/>
        <v>2730</v>
      </c>
      <c r="N2730" s="38">
        <f>HLOOKUP("Host",'vInfo (Imported)'!$1:$5000,M2730,FALSE)</f>
        <v>0</v>
      </c>
      <c r="R2730">
        <f>HLOOKUP("CPUs",'vInfo (Imported)'!$1:$5000,M2730,FALSE)</f>
        <v>0</v>
      </c>
      <c r="S2730">
        <f>HLOOKUP("Memory",'vInfo (Imported)'!$1:$5000,M2730,FALSE)</f>
        <v>0</v>
      </c>
      <c r="T2730">
        <f>HLOOKUP("Provisioned MiB",'vInfo (Imported)'!$1:$5000,M2730,FALSE)</f>
        <v>0</v>
      </c>
      <c r="U2730">
        <f t="shared" si="127"/>
        <v>0</v>
      </c>
      <c r="V2730">
        <f>HLOOKUP("In Use MiB",'vInfo (Imported)'!$1:$5000,M2730,FALSE)</f>
        <v>0</v>
      </c>
    </row>
    <row r="2731" spans="1:22" ht="13" x14ac:dyDescent="0.3">
      <c r="A2731" s="46">
        <f>'vHosts (Imported)'!A2731</f>
        <v>0</v>
      </c>
      <c r="B2731" s="51">
        <f t="shared" si="129"/>
        <v>4968</v>
      </c>
      <c r="C2731" s="49">
        <f>HLOOKUP("# Cores",'vHosts (Imported)'!$1:$5000,M2731,FALSE)</f>
        <v>0</v>
      </c>
      <c r="D2731" s="52">
        <f>HLOOKUP("# Memory",'vHosts (Imported)'!$1:$5000,M2731,FALSE)</f>
        <v>0</v>
      </c>
      <c r="M2731" s="45">
        <f t="shared" si="128"/>
        <v>2731</v>
      </c>
      <c r="N2731" s="38">
        <f>HLOOKUP("Host",'vInfo (Imported)'!$1:$5000,M2731,FALSE)</f>
        <v>0</v>
      </c>
      <c r="R2731">
        <f>HLOOKUP("CPUs",'vInfo (Imported)'!$1:$5000,M2731,FALSE)</f>
        <v>0</v>
      </c>
      <c r="S2731">
        <f>HLOOKUP("Memory",'vInfo (Imported)'!$1:$5000,M2731,FALSE)</f>
        <v>0</v>
      </c>
      <c r="T2731">
        <f>HLOOKUP("Provisioned MiB",'vInfo (Imported)'!$1:$5000,M2731,FALSE)</f>
        <v>0</v>
      </c>
      <c r="U2731">
        <f t="shared" si="127"/>
        <v>0</v>
      </c>
      <c r="V2731">
        <f>HLOOKUP("In Use MiB",'vInfo (Imported)'!$1:$5000,M2731,FALSE)</f>
        <v>0</v>
      </c>
    </row>
    <row r="2732" spans="1:22" ht="13" x14ac:dyDescent="0.3">
      <c r="A2732" s="46">
        <f>'vHosts (Imported)'!A2732</f>
        <v>0</v>
      </c>
      <c r="B2732" s="51">
        <f t="shared" si="129"/>
        <v>4968</v>
      </c>
      <c r="C2732" s="49">
        <f>HLOOKUP("# Cores",'vHosts (Imported)'!$1:$5000,M2732,FALSE)</f>
        <v>0</v>
      </c>
      <c r="D2732" s="52">
        <f>HLOOKUP("# Memory",'vHosts (Imported)'!$1:$5000,M2732,FALSE)</f>
        <v>0</v>
      </c>
      <c r="M2732" s="45">
        <f t="shared" si="128"/>
        <v>2732</v>
      </c>
      <c r="N2732" s="38">
        <f>HLOOKUP("Host",'vInfo (Imported)'!$1:$5000,M2732,FALSE)</f>
        <v>0</v>
      </c>
      <c r="R2732">
        <f>HLOOKUP("CPUs",'vInfo (Imported)'!$1:$5000,M2732,FALSE)</f>
        <v>0</v>
      </c>
      <c r="S2732">
        <f>HLOOKUP("Memory",'vInfo (Imported)'!$1:$5000,M2732,FALSE)</f>
        <v>0</v>
      </c>
      <c r="T2732">
        <f>HLOOKUP("Provisioned MiB",'vInfo (Imported)'!$1:$5000,M2732,FALSE)</f>
        <v>0</v>
      </c>
      <c r="U2732">
        <f t="shared" si="127"/>
        <v>0</v>
      </c>
      <c r="V2732">
        <f>HLOOKUP("In Use MiB",'vInfo (Imported)'!$1:$5000,M2732,FALSE)</f>
        <v>0</v>
      </c>
    </row>
    <row r="2733" spans="1:22" ht="13" x14ac:dyDescent="0.3">
      <c r="A2733" s="46">
        <f>'vHosts (Imported)'!A2733</f>
        <v>0</v>
      </c>
      <c r="B2733" s="51">
        <f t="shared" si="129"/>
        <v>4968</v>
      </c>
      <c r="C2733" s="49">
        <f>HLOOKUP("# Cores",'vHosts (Imported)'!$1:$5000,M2733,FALSE)</f>
        <v>0</v>
      </c>
      <c r="D2733" s="52">
        <f>HLOOKUP("# Memory",'vHosts (Imported)'!$1:$5000,M2733,FALSE)</f>
        <v>0</v>
      </c>
      <c r="M2733" s="45">
        <f t="shared" si="128"/>
        <v>2733</v>
      </c>
      <c r="N2733" s="38">
        <f>HLOOKUP("Host",'vInfo (Imported)'!$1:$5000,M2733,FALSE)</f>
        <v>0</v>
      </c>
      <c r="R2733">
        <f>HLOOKUP("CPUs",'vInfo (Imported)'!$1:$5000,M2733,FALSE)</f>
        <v>0</v>
      </c>
      <c r="S2733">
        <f>HLOOKUP("Memory",'vInfo (Imported)'!$1:$5000,M2733,FALSE)</f>
        <v>0</v>
      </c>
      <c r="T2733">
        <f>HLOOKUP("Provisioned MiB",'vInfo (Imported)'!$1:$5000,M2733,FALSE)</f>
        <v>0</v>
      </c>
      <c r="U2733">
        <f t="shared" si="127"/>
        <v>0</v>
      </c>
      <c r="V2733">
        <f>HLOOKUP("In Use MiB",'vInfo (Imported)'!$1:$5000,M2733,FALSE)</f>
        <v>0</v>
      </c>
    </row>
    <row r="2734" spans="1:22" ht="13" x14ac:dyDescent="0.3">
      <c r="A2734" s="46">
        <f>'vHosts (Imported)'!A2734</f>
        <v>0</v>
      </c>
      <c r="B2734" s="51">
        <f t="shared" si="129"/>
        <v>4968</v>
      </c>
      <c r="C2734" s="49">
        <f>HLOOKUP("# Cores",'vHosts (Imported)'!$1:$5000,M2734,FALSE)</f>
        <v>0</v>
      </c>
      <c r="D2734" s="52">
        <f>HLOOKUP("# Memory",'vHosts (Imported)'!$1:$5000,M2734,FALSE)</f>
        <v>0</v>
      </c>
      <c r="M2734" s="45">
        <f t="shared" si="128"/>
        <v>2734</v>
      </c>
      <c r="N2734" s="38">
        <f>HLOOKUP("Host",'vInfo (Imported)'!$1:$5000,M2734,FALSE)</f>
        <v>0</v>
      </c>
      <c r="R2734">
        <f>HLOOKUP("CPUs",'vInfo (Imported)'!$1:$5000,M2734,FALSE)</f>
        <v>0</v>
      </c>
      <c r="S2734">
        <f>HLOOKUP("Memory",'vInfo (Imported)'!$1:$5000,M2734,FALSE)</f>
        <v>0</v>
      </c>
      <c r="T2734">
        <f>HLOOKUP("Provisioned MiB",'vInfo (Imported)'!$1:$5000,M2734,FALSE)</f>
        <v>0</v>
      </c>
      <c r="U2734">
        <f t="shared" si="127"/>
        <v>0</v>
      </c>
      <c r="V2734">
        <f>HLOOKUP("In Use MiB",'vInfo (Imported)'!$1:$5000,M2734,FALSE)</f>
        <v>0</v>
      </c>
    </row>
    <row r="2735" spans="1:22" ht="13" x14ac:dyDescent="0.3">
      <c r="A2735" s="46">
        <f>'vHosts (Imported)'!A2735</f>
        <v>0</v>
      </c>
      <c r="B2735" s="51">
        <f t="shared" si="129"/>
        <v>4968</v>
      </c>
      <c r="C2735" s="49">
        <f>HLOOKUP("# Cores",'vHosts (Imported)'!$1:$5000,M2735,FALSE)</f>
        <v>0</v>
      </c>
      <c r="D2735" s="52">
        <f>HLOOKUP("# Memory",'vHosts (Imported)'!$1:$5000,M2735,FALSE)</f>
        <v>0</v>
      </c>
      <c r="M2735" s="45">
        <f t="shared" si="128"/>
        <v>2735</v>
      </c>
      <c r="N2735" s="38">
        <f>HLOOKUP("Host",'vInfo (Imported)'!$1:$5000,M2735,FALSE)</f>
        <v>0</v>
      </c>
      <c r="R2735">
        <f>HLOOKUP("CPUs",'vInfo (Imported)'!$1:$5000,M2735,FALSE)</f>
        <v>0</v>
      </c>
      <c r="S2735">
        <f>HLOOKUP("Memory",'vInfo (Imported)'!$1:$5000,M2735,FALSE)</f>
        <v>0</v>
      </c>
      <c r="T2735">
        <f>HLOOKUP("Provisioned MiB",'vInfo (Imported)'!$1:$5000,M2735,FALSE)</f>
        <v>0</v>
      </c>
      <c r="U2735">
        <f t="shared" si="127"/>
        <v>0</v>
      </c>
      <c r="V2735">
        <f>HLOOKUP("In Use MiB",'vInfo (Imported)'!$1:$5000,M2735,FALSE)</f>
        <v>0</v>
      </c>
    </row>
    <row r="2736" spans="1:22" ht="13" x14ac:dyDescent="0.3">
      <c r="A2736" s="46">
        <f>'vHosts (Imported)'!A2736</f>
        <v>0</v>
      </c>
      <c r="B2736" s="51">
        <f t="shared" si="129"/>
        <v>4968</v>
      </c>
      <c r="C2736" s="49">
        <f>HLOOKUP("# Cores",'vHosts (Imported)'!$1:$5000,M2736,FALSE)</f>
        <v>0</v>
      </c>
      <c r="D2736" s="52">
        <f>HLOOKUP("# Memory",'vHosts (Imported)'!$1:$5000,M2736,FALSE)</f>
        <v>0</v>
      </c>
      <c r="M2736" s="45">
        <f t="shared" si="128"/>
        <v>2736</v>
      </c>
      <c r="N2736" s="38">
        <f>HLOOKUP("Host",'vInfo (Imported)'!$1:$5000,M2736,FALSE)</f>
        <v>0</v>
      </c>
      <c r="R2736">
        <f>HLOOKUP("CPUs",'vInfo (Imported)'!$1:$5000,M2736,FALSE)</f>
        <v>0</v>
      </c>
      <c r="S2736">
        <f>HLOOKUP("Memory",'vInfo (Imported)'!$1:$5000,M2736,FALSE)</f>
        <v>0</v>
      </c>
      <c r="T2736">
        <f>HLOOKUP("Provisioned MiB",'vInfo (Imported)'!$1:$5000,M2736,FALSE)</f>
        <v>0</v>
      </c>
      <c r="U2736">
        <f t="shared" si="127"/>
        <v>0</v>
      </c>
      <c r="V2736">
        <f>HLOOKUP("In Use MiB",'vInfo (Imported)'!$1:$5000,M2736,FALSE)</f>
        <v>0</v>
      </c>
    </row>
    <row r="2737" spans="1:22" ht="13" x14ac:dyDescent="0.3">
      <c r="A2737" s="46">
        <f>'vHosts (Imported)'!A2737</f>
        <v>0</v>
      </c>
      <c r="B2737" s="51">
        <f t="shared" si="129"/>
        <v>4968</v>
      </c>
      <c r="C2737" s="49">
        <f>HLOOKUP("# Cores",'vHosts (Imported)'!$1:$5000,M2737,FALSE)</f>
        <v>0</v>
      </c>
      <c r="D2737" s="52">
        <f>HLOOKUP("# Memory",'vHosts (Imported)'!$1:$5000,M2737,FALSE)</f>
        <v>0</v>
      </c>
      <c r="M2737" s="45">
        <f t="shared" si="128"/>
        <v>2737</v>
      </c>
      <c r="N2737" s="38">
        <f>HLOOKUP("Host",'vInfo (Imported)'!$1:$5000,M2737,FALSE)</f>
        <v>0</v>
      </c>
      <c r="R2737">
        <f>HLOOKUP("CPUs",'vInfo (Imported)'!$1:$5000,M2737,FALSE)</f>
        <v>0</v>
      </c>
      <c r="S2737">
        <f>HLOOKUP("Memory",'vInfo (Imported)'!$1:$5000,M2737,FALSE)</f>
        <v>0</v>
      </c>
      <c r="T2737">
        <f>HLOOKUP("Provisioned MiB",'vInfo (Imported)'!$1:$5000,M2737,FALSE)</f>
        <v>0</v>
      </c>
      <c r="U2737">
        <f t="shared" si="127"/>
        <v>0</v>
      </c>
      <c r="V2737">
        <f>HLOOKUP("In Use MiB",'vInfo (Imported)'!$1:$5000,M2737,FALSE)</f>
        <v>0</v>
      </c>
    </row>
    <row r="2738" spans="1:22" ht="13" x14ac:dyDescent="0.3">
      <c r="A2738" s="46">
        <f>'vHosts (Imported)'!A2738</f>
        <v>0</v>
      </c>
      <c r="B2738" s="51">
        <f t="shared" si="129"/>
        <v>4968</v>
      </c>
      <c r="C2738" s="49">
        <f>HLOOKUP("# Cores",'vHosts (Imported)'!$1:$5000,M2738,FALSE)</f>
        <v>0</v>
      </c>
      <c r="D2738" s="52">
        <f>HLOOKUP("# Memory",'vHosts (Imported)'!$1:$5000,M2738,FALSE)</f>
        <v>0</v>
      </c>
      <c r="M2738" s="45">
        <f t="shared" si="128"/>
        <v>2738</v>
      </c>
      <c r="N2738" s="38">
        <f>HLOOKUP("Host",'vInfo (Imported)'!$1:$5000,M2738,FALSE)</f>
        <v>0</v>
      </c>
      <c r="R2738">
        <f>HLOOKUP("CPUs",'vInfo (Imported)'!$1:$5000,M2738,FALSE)</f>
        <v>0</v>
      </c>
      <c r="S2738">
        <f>HLOOKUP("Memory",'vInfo (Imported)'!$1:$5000,M2738,FALSE)</f>
        <v>0</v>
      </c>
      <c r="T2738">
        <f>HLOOKUP("Provisioned MiB",'vInfo (Imported)'!$1:$5000,M2738,FALSE)</f>
        <v>0</v>
      </c>
      <c r="U2738">
        <f t="shared" si="127"/>
        <v>0</v>
      </c>
      <c r="V2738">
        <f>HLOOKUP("In Use MiB",'vInfo (Imported)'!$1:$5000,M2738,FALSE)</f>
        <v>0</v>
      </c>
    </row>
    <row r="2739" spans="1:22" ht="13" x14ac:dyDescent="0.3">
      <c r="A2739" s="46">
        <f>'vHosts (Imported)'!A2739</f>
        <v>0</v>
      </c>
      <c r="B2739" s="51">
        <f t="shared" si="129"/>
        <v>4968</v>
      </c>
      <c r="C2739" s="49">
        <f>HLOOKUP("# Cores",'vHosts (Imported)'!$1:$5000,M2739,FALSE)</f>
        <v>0</v>
      </c>
      <c r="D2739" s="52">
        <f>HLOOKUP("# Memory",'vHosts (Imported)'!$1:$5000,M2739,FALSE)</f>
        <v>0</v>
      </c>
      <c r="M2739" s="45">
        <f t="shared" si="128"/>
        <v>2739</v>
      </c>
      <c r="N2739" s="38">
        <f>HLOOKUP("Host",'vInfo (Imported)'!$1:$5000,M2739,FALSE)</f>
        <v>0</v>
      </c>
      <c r="R2739">
        <f>HLOOKUP("CPUs",'vInfo (Imported)'!$1:$5000,M2739,FALSE)</f>
        <v>0</v>
      </c>
      <c r="S2739">
        <f>HLOOKUP("Memory",'vInfo (Imported)'!$1:$5000,M2739,FALSE)</f>
        <v>0</v>
      </c>
      <c r="T2739">
        <f>HLOOKUP("Provisioned MiB",'vInfo (Imported)'!$1:$5000,M2739,FALSE)</f>
        <v>0</v>
      </c>
      <c r="U2739">
        <f t="shared" si="127"/>
        <v>0</v>
      </c>
      <c r="V2739">
        <f>HLOOKUP("In Use MiB",'vInfo (Imported)'!$1:$5000,M2739,FALSE)</f>
        <v>0</v>
      </c>
    </row>
    <row r="2740" spans="1:22" ht="13" x14ac:dyDescent="0.3">
      <c r="A2740" s="46">
        <f>'vHosts (Imported)'!A2740</f>
        <v>0</v>
      </c>
      <c r="B2740" s="51">
        <f t="shared" si="129"/>
        <v>4968</v>
      </c>
      <c r="C2740" s="49">
        <f>HLOOKUP("# Cores",'vHosts (Imported)'!$1:$5000,M2740,FALSE)</f>
        <v>0</v>
      </c>
      <c r="D2740" s="52">
        <f>HLOOKUP("# Memory",'vHosts (Imported)'!$1:$5000,M2740,FALSE)</f>
        <v>0</v>
      </c>
      <c r="M2740" s="45">
        <f t="shared" si="128"/>
        <v>2740</v>
      </c>
      <c r="N2740" s="38">
        <f>HLOOKUP("Host",'vInfo (Imported)'!$1:$5000,M2740,FALSE)</f>
        <v>0</v>
      </c>
      <c r="R2740">
        <f>HLOOKUP("CPUs",'vInfo (Imported)'!$1:$5000,M2740,FALSE)</f>
        <v>0</v>
      </c>
      <c r="S2740">
        <f>HLOOKUP("Memory",'vInfo (Imported)'!$1:$5000,M2740,FALSE)</f>
        <v>0</v>
      </c>
      <c r="T2740">
        <f>HLOOKUP("Provisioned MiB",'vInfo (Imported)'!$1:$5000,M2740,FALSE)</f>
        <v>0</v>
      </c>
      <c r="U2740">
        <f t="shared" si="127"/>
        <v>0</v>
      </c>
      <c r="V2740">
        <f>HLOOKUP("In Use MiB",'vInfo (Imported)'!$1:$5000,M2740,FALSE)</f>
        <v>0</v>
      </c>
    </row>
    <row r="2741" spans="1:22" ht="13" x14ac:dyDescent="0.3">
      <c r="A2741" s="46">
        <f>'vHosts (Imported)'!A2741</f>
        <v>0</v>
      </c>
      <c r="B2741" s="51">
        <f t="shared" si="129"/>
        <v>4968</v>
      </c>
      <c r="C2741" s="49">
        <f>HLOOKUP("# Cores",'vHosts (Imported)'!$1:$5000,M2741,FALSE)</f>
        <v>0</v>
      </c>
      <c r="D2741" s="52">
        <f>HLOOKUP("# Memory",'vHosts (Imported)'!$1:$5000,M2741,FALSE)</f>
        <v>0</v>
      </c>
      <c r="M2741" s="45">
        <f t="shared" si="128"/>
        <v>2741</v>
      </c>
      <c r="N2741" s="38">
        <f>HLOOKUP("Host",'vInfo (Imported)'!$1:$5000,M2741,FALSE)</f>
        <v>0</v>
      </c>
      <c r="R2741">
        <f>HLOOKUP("CPUs",'vInfo (Imported)'!$1:$5000,M2741,FALSE)</f>
        <v>0</v>
      </c>
      <c r="S2741">
        <f>HLOOKUP("Memory",'vInfo (Imported)'!$1:$5000,M2741,FALSE)</f>
        <v>0</v>
      </c>
      <c r="T2741">
        <f>HLOOKUP("Provisioned MiB",'vInfo (Imported)'!$1:$5000,M2741,FALSE)</f>
        <v>0</v>
      </c>
      <c r="U2741">
        <f t="shared" si="127"/>
        <v>0</v>
      </c>
      <c r="V2741">
        <f>HLOOKUP("In Use MiB",'vInfo (Imported)'!$1:$5000,M2741,FALSE)</f>
        <v>0</v>
      </c>
    </row>
    <row r="2742" spans="1:22" ht="13" x14ac:dyDescent="0.3">
      <c r="A2742" s="46">
        <f>'vHosts (Imported)'!A2742</f>
        <v>0</v>
      </c>
      <c r="B2742" s="51">
        <f t="shared" si="129"/>
        <v>4968</v>
      </c>
      <c r="C2742" s="49">
        <f>HLOOKUP("# Cores",'vHosts (Imported)'!$1:$5000,M2742,FALSE)</f>
        <v>0</v>
      </c>
      <c r="D2742" s="52">
        <f>HLOOKUP("# Memory",'vHosts (Imported)'!$1:$5000,M2742,FALSE)</f>
        <v>0</v>
      </c>
      <c r="M2742" s="45">
        <f t="shared" si="128"/>
        <v>2742</v>
      </c>
      <c r="N2742" s="38">
        <f>HLOOKUP("Host",'vInfo (Imported)'!$1:$5000,M2742,FALSE)</f>
        <v>0</v>
      </c>
      <c r="R2742">
        <f>HLOOKUP("CPUs",'vInfo (Imported)'!$1:$5000,M2742,FALSE)</f>
        <v>0</v>
      </c>
      <c r="S2742">
        <f>HLOOKUP("Memory",'vInfo (Imported)'!$1:$5000,M2742,FALSE)</f>
        <v>0</v>
      </c>
      <c r="T2742">
        <f>HLOOKUP("Provisioned MiB",'vInfo (Imported)'!$1:$5000,M2742,FALSE)</f>
        <v>0</v>
      </c>
      <c r="U2742">
        <f t="shared" si="127"/>
        <v>0</v>
      </c>
      <c r="V2742">
        <f>HLOOKUP("In Use MiB",'vInfo (Imported)'!$1:$5000,M2742,FALSE)</f>
        <v>0</v>
      </c>
    </row>
    <row r="2743" spans="1:22" ht="13" x14ac:dyDescent="0.3">
      <c r="A2743" s="46">
        <f>'vHosts (Imported)'!A2743</f>
        <v>0</v>
      </c>
      <c r="B2743" s="51">
        <f t="shared" si="129"/>
        <v>4968</v>
      </c>
      <c r="C2743" s="49">
        <f>HLOOKUP("# Cores",'vHosts (Imported)'!$1:$5000,M2743,FALSE)</f>
        <v>0</v>
      </c>
      <c r="D2743" s="52">
        <f>HLOOKUP("# Memory",'vHosts (Imported)'!$1:$5000,M2743,FALSE)</f>
        <v>0</v>
      </c>
      <c r="M2743" s="45">
        <f t="shared" si="128"/>
        <v>2743</v>
      </c>
      <c r="N2743" s="38">
        <f>HLOOKUP("Host",'vInfo (Imported)'!$1:$5000,M2743,FALSE)</f>
        <v>0</v>
      </c>
      <c r="R2743">
        <f>HLOOKUP("CPUs",'vInfo (Imported)'!$1:$5000,M2743,FALSE)</f>
        <v>0</v>
      </c>
      <c r="S2743">
        <f>HLOOKUP("Memory",'vInfo (Imported)'!$1:$5000,M2743,FALSE)</f>
        <v>0</v>
      </c>
      <c r="T2743">
        <f>HLOOKUP("Provisioned MiB",'vInfo (Imported)'!$1:$5000,M2743,FALSE)</f>
        <v>0</v>
      </c>
      <c r="U2743">
        <f t="shared" si="127"/>
        <v>0</v>
      </c>
      <c r="V2743">
        <f>HLOOKUP("In Use MiB",'vInfo (Imported)'!$1:$5000,M2743,FALSE)</f>
        <v>0</v>
      </c>
    </row>
    <row r="2744" spans="1:22" ht="13" x14ac:dyDescent="0.3">
      <c r="A2744" s="46">
        <f>'vHosts (Imported)'!A2744</f>
        <v>0</v>
      </c>
      <c r="B2744" s="51">
        <f t="shared" si="129"/>
        <v>4968</v>
      </c>
      <c r="C2744" s="49">
        <f>HLOOKUP("# Cores",'vHosts (Imported)'!$1:$5000,M2744,FALSE)</f>
        <v>0</v>
      </c>
      <c r="D2744" s="52">
        <f>HLOOKUP("# Memory",'vHosts (Imported)'!$1:$5000,M2744,FALSE)</f>
        <v>0</v>
      </c>
      <c r="M2744" s="45">
        <f t="shared" si="128"/>
        <v>2744</v>
      </c>
      <c r="N2744" s="38">
        <f>HLOOKUP("Host",'vInfo (Imported)'!$1:$5000,M2744,FALSE)</f>
        <v>0</v>
      </c>
      <c r="R2744">
        <f>HLOOKUP("CPUs",'vInfo (Imported)'!$1:$5000,M2744,FALSE)</f>
        <v>0</v>
      </c>
      <c r="S2744">
        <f>HLOOKUP("Memory",'vInfo (Imported)'!$1:$5000,M2744,FALSE)</f>
        <v>0</v>
      </c>
      <c r="T2744">
        <f>HLOOKUP("Provisioned MiB",'vInfo (Imported)'!$1:$5000,M2744,FALSE)</f>
        <v>0</v>
      </c>
      <c r="U2744">
        <f t="shared" si="127"/>
        <v>0</v>
      </c>
      <c r="V2744">
        <f>HLOOKUP("In Use MiB",'vInfo (Imported)'!$1:$5000,M2744,FALSE)</f>
        <v>0</v>
      </c>
    </row>
    <row r="2745" spans="1:22" ht="13" x14ac:dyDescent="0.3">
      <c r="A2745" s="46">
        <f>'vHosts (Imported)'!A2745</f>
        <v>0</v>
      </c>
      <c r="B2745" s="51">
        <f t="shared" si="129"/>
        <v>4968</v>
      </c>
      <c r="C2745" s="49">
        <f>HLOOKUP("# Cores",'vHosts (Imported)'!$1:$5000,M2745,FALSE)</f>
        <v>0</v>
      </c>
      <c r="D2745" s="52">
        <f>HLOOKUP("# Memory",'vHosts (Imported)'!$1:$5000,M2745,FALSE)</f>
        <v>0</v>
      </c>
      <c r="M2745" s="45">
        <f t="shared" si="128"/>
        <v>2745</v>
      </c>
      <c r="N2745" s="38">
        <f>HLOOKUP("Host",'vInfo (Imported)'!$1:$5000,M2745,FALSE)</f>
        <v>0</v>
      </c>
      <c r="R2745">
        <f>HLOOKUP("CPUs",'vInfo (Imported)'!$1:$5000,M2745,FALSE)</f>
        <v>0</v>
      </c>
      <c r="S2745">
        <f>HLOOKUP("Memory",'vInfo (Imported)'!$1:$5000,M2745,FALSE)</f>
        <v>0</v>
      </c>
      <c r="T2745">
        <f>HLOOKUP("Provisioned MiB",'vInfo (Imported)'!$1:$5000,M2745,FALSE)</f>
        <v>0</v>
      </c>
      <c r="U2745">
        <f t="shared" si="127"/>
        <v>0</v>
      </c>
      <c r="V2745">
        <f>HLOOKUP("In Use MiB",'vInfo (Imported)'!$1:$5000,M2745,FALSE)</f>
        <v>0</v>
      </c>
    </row>
    <row r="2746" spans="1:22" ht="13" x14ac:dyDescent="0.3">
      <c r="A2746" s="46">
        <f>'vHosts (Imported)'!A2746</f>
        <v>0</v>
      </c>
      <c r="B2746" s="51">
        <f t="shared" si="129"/>
        <v>4968</v>
      </c>
      <c r="C2746" s="49">
        <f>HLOOKUP("# Cores",'vHosts (Imported)'!$1:$5000,M2746,FALSE)</f>
        <v>0</v>
      </c>
      <c r="D2746" s="52">
        <f>HLOOKUP("# Memory",'vHosts (Imported)'!$1:$5000,M2746,FALSE)</f>
        <v>0</v>
      </c>
      <c r="M2746" s="45">
        <f t="shared" si="128"/>
        <v>2746</v>
      </c>
      <c r="N2746" s="38">
        <f>HLOOKUP("Host",'vInfo (Imported)'!$1:$5000,M2746,FALSE)</f>
        <v>0</v>
      </c>
      <c r="R2746">
        <f>HLOOKUP("CPUs",'vInfo (Imported)'!$1:$5000,M2746,FALSE)</f>
        <v>0</v>
      </c>
      <c r="S2746">
        <f>HLOOKUP("Memory",'vInfo (Imported)'!$1:$5000,M2746,FALSE)</f>
        <v>0</v>
      </c>
      <c r="T2746">
        <f>HLOOKUP("Provisioned MiB",'vInfo (Imported)'!$1:$5000,M2746,FALSE)</f>
        <v>0</v>
      </c>
      <c r="U2746">
        <f t="shared" si="127"/>
        <v>0</v>
      </c>
      <c r="V2746">
        <f>HLOOKUP("In Use MiB",'vInfo (Imported)'!$1:$5000,M2746,FALSE)</f>
        <v>0</v>
      </c>
    </row>
    <row r="2747" spans="1:22" ht="13" x14ac:dyDescent="0.3">
      <c r="A2747" s="46">
        <f>'vHosts (Imported)'!A2747</f>
        <v>0</v>
      </c>
      <c r="B2747" s="51">
        <f t="shared" si="129"/>
        <v>4968</v>
      </c>
      <c r="C2747" s="49">
        <f>HLOOKUP("# Cores",'vHosts (Imported)'!$1:$5000,M2747,FALSE)</f>
        <v>0</v>
      </c>
      <c r="D2747" s="52">
        <f>HLOOKUP("# Memory",'vHosts (Imported)'!$1:$5000,M2747,FALSE)</f>
        <v>0</v>
      </c>
      <c r="M2747" s="45">
        <f t="shared" si="128"/>
        <v>2747</v>
      </c>
      <c r="N2747" s="38">
        <f>HLOOKUP("Host",'vInfo (Imported)'!$1:$5000,M2747,FALSE)</f>
        <v>0</v>
      </c>
      <c r="R2747">
        <f>HLOOKUP("CPUs",'vInfo (Imported)'!$1:$5000,M2747,FALSE)</f>
        <v>0</v>
      </c>
      <c r="S2747">
        <f>HLOOKUP("Memory",'vInfo (Imported)'!$1:$5000,M2747,FALSE)</f>
        <v>0</v>
      </c>
      <c r="T2747">
        <f>HLOOKUP("Provisioned MiB",'vInfo (Imported)'!$1:$5000,M2747,FALSE)</f>
        <v>0</v>
      </c>
      <c r="U2747">
        <f t="shared" si="127"/>
        <v>0</v>
      </c>
      <c r="V2747">
        <f>HLOOKUP("In Use MiB",'vInfo (Imported)'!$1:$5000,M2747,FALSE)</f>
        <v>0</v>
      </c>
    </row>
    <row r="2748" spans="1:22" ht="13" x14ac:dyDescent="0.3">
      <c r="A2748" s="46">
        <f>'vHosts (Imported)'!A2748</f>
        <v>0</v>
      </c>
      <c r="B2748" s="51">
        <f t="shared" si="129"/>
        <v>4968</v>
      </c>
      <c r="C2748" s="49">
        <f>HLOOKUP("# Cores",'vHosts (Imported)'!$1:$5000,M2748,FALSE)</f>
        <v>0</v>
      </c>
      <c r="D2748" s="52">
        <f>HLOOKUP("# Memory",'vHosts (Imported)'!$1:$5000,M2748,FALSE)</f>
        <v>0</v>
      </c>
      <c r="M2748" s="45">
        <f t="shared" si="128"/>
        <v>2748</v>
      </c>
      <c r="N2748" s="38">
        <f>HLOOKUP("Host",'vInfo (Imported)'!$1:$5000,M2748,FALSE)</f>
        <v>0</v>
      </c>
      <c r="R2748">
        <f>HLOOKUP("CPUs",'vInfo (Imported)'!$1:$5000,M2748,FALSE)</f>
        <v>0</v>
      </c>
      <c r="S2748">
        <f>HLOOKUP("Memory",'vInfo (Imported)'!$1:$5000,M2748,FALSE)</f>
        <v>0</v>
      </c>
      <c r="T2748">
        <f>HLOOKUP("Provisioned MiB",'vInfo (Imported)'!$1:$5000,M2748,FALSE)</f>
        <v>0</v>
      </c>
      <c r="U2748">
        <f t="shared" si="127"/>
        <v>0</v>
      </c>
      <c r="V2748">
        <f>HLOOKUP("In Use MiB",'vInfo (Imported)'!$1:$5000,M2748,FALSE)</f>
        <v>0</v>
      </c>
    </row>
    <row r="2749" spans="1:22" ht="13" x14ac:dyDescent="0.3">
      <c r="A2749" s="46">
        <f>'vHosts (Imported)'!A2749</f>
        <v>0</v>
      </c>
      <c r="B2749" s="51">
        <f t="shared" si="129"/>
        <v>4968</v>
      </c>
      <c r="C2749" s="49">
        <f>HLOOKUP("# Cores",'vHosts (Imported)'!$1:$5000,M2749,FALSE)</f>
        <v>0</v>
      </c>
      <c r="D2749" s="52">
        <f>HLOOKUP("# Memory",'vHosts (Imported)'!$1:$5000,M2749,FALSE)</f>
        <v>0</v>
      </c>
      <c r="M2749" s="45">
        <f t="shared" si="128"/>
        <v>2749</v>
      </c>
      <c r="N2749" s="38">
        <f>HLOOKUP("Host",'vInfo (Imported)'!$1:$5000,M2749,FALSE)</f>
        <v>0</v>
      </c>
      <c r="R2749">
        <f>HLOOKUP("CPUs",'vInfo (Imported)'!$1:$5000,M2749,FALSE)</f>
        <v>0</v>
      </c>
      <c r="S2749">
        <f>HLOOKUP("Memory",'vInfo (Imported)'!$1:$5000,M2749,FALSE)</f>
        <v>0</v>
      </c>
      <c r="T2749">
        <f>HLOOKUP("Provisioned MiB",'vInfo (Imported)'!$1:$5000,M2749,FALSE)</f>
        <v>0</v>
      </c>
      <c r="U2749">
        <f t="shared" si="127"/>
        <v>0</v>
      </c>
      <c r="V2749">
        <f>HLOOKUP("In Use MiB",'vInfo (Imported)'!$1:$5000,M2749,FALSE)</f>
        <v>0</v>
      </c>
    </row>
    <row r="2750" spans="1:22" ht="13" x14ac:dyDescent="0.3">
      <c r="A2750" s="46">
        <f>'vHosts (Imported)'!A2750</f>
        <v>0</v>
      </c>
      <c r="B2750" s="51">
        <f t="shared" si="129"/>
        <v>4968</v>
      </c>
      <c r="C2750" s="49">
        <f>HLOOKUP("# Cores",'vHosts (Imported)'!$1:$5000,M2750,FALSE)</f>
        <v>0</v>
      </c>
      <c r="D2750" s="52">
        <f>HLOOKUP("# Memory",'vHosts (Imported)'!$1:$5000,M2750,FALSE)</f>
        <v>0</v>
      </c>
      <c r="M2750" s="45">
        <f t="shared" si="128"/>
        <v>2750</v>
      </c>
      <c r="N2750" s="38">
        <f>HLOOKUP("Host",'vInfo (Imported)'!$1:$5000,M2750,FALSE)</f>
        <v>0</v>
      </c>
      <c r="R2750">
        <f>HLOOKUP("CPUs",'vInfo (Imported)'!$1:$5000,M2750,FALSE)</f>
        <v>0</v>
      </c>
      <c r="S2750">
        <f>HLOOKUP("Memory",'vInfo (Imported)'!$1:$5000,M2750,FALSE)</f>
        <v>0</v>
      </c>
      <c r="T2750">
        <f>HLOOKUP("Provisioned MiB",'vInfo (Imported)'!$1:$5000,M2750,FALSE)</f>
        <v>0</v>
      </c>
      <c r="U2750">
        <f t="shared" si="127"/>
        <v>0</v>
      </c>
      <c r="V2750">
        <f>HLOOKUP("In Use MiB",'vInfo (Imported)'!$1:$5000,M2750,FALSE)</f>
        <v>0</v>
      </c>
    </row>
    <row r="2751" spans="1:22" ht="13" x14ac:dyDescent="0.3">
      <c r="A2751" s="46">
        <f>'vHosts (Imported)'!A2751</f>
        <v>0</v>
      </c>
      <c r="B2751" s="51">
        <f t="shared" si="129"/>
        <v>4968</v>
      </c>
      <c r="C2751" s="49">
        <f>HLOOKUP("# Cores",'vHosts (Imported)'!$1:$5000,M2751,FALSE)</f>
        <v>0</v>
      </c>
      <c r="D2751" s="52">
        <f>HLOOKUP("# Memory",'vHosts (Imported)'!$1:$5000,M2751,FALSE)</f>
        <v>0</v>
      </c>
      <c r="M2751" s="45">
        <f t="shared" si="128"/>
        <v>2751</v>
      </c>
      <c r="N2751" s="38">
        <f>HLOOKUP("Host",'vInfo (Imported)'!$1:$5000,M2751,FALSE)</f>
        <v>0</v>
      </c>
      <c r="R2751">
        <f>HLOOKUP("CPUs",'vInfo (Imported)'!$1:$5000,M2751,FALSE)</f>
        <v>0</v>
      </c>
      <c r="S2751">
        <f>HLOOKUP("Memory",'vInfo (Imported)'!$1:$5000,M2751,FALSE)</f>
        <v>0</v>
      </c>
      <c r="T2751">
        <f>HLOOKUP("Provisioned MiB",'vInfo (Imported)'!$1:$5000,M2751,FALSE)</f>
        <v>0</v>
      </c>
      <c r="U2751">
        <f t="shared" si="127"/>
        <v>0</v>
      </c>
      <c r="V2751">
        <f>HLOOKUP("In Use MiB",'vInfo (Imported)'!$1:$5000,M2751,FALSE)</f>
        <v>0</v>
      </c>
    </row>
    <row r="2752" spans="1:22" ht="13" x14ac:dyDescent="0.3">
      <c r="A2752" s="46">
        <f>'vHosts (Imported)'!A2752</f>
        <v>0</v>
      </c>
      <c r="B2752" s="51">
        <f t="shared" si="129"/>
        <v>4968</v>
      </c>
      <c r="C2752" s="49">
        <f>HLOOKUP("# Cores",'vHosts (Imported)'!$1:$5000,M2752,FALSE)</f>
        <v>0</v>
      </c>
      <c r="D2752" s="52">
        <f>HLOOKUP("# Memory",'vHosts (Imported)'!$1:$5000,M2752,FALSE)</f>
        <v>0</v>
      </c>
      <c r="M2752" s="45">
        <f t="shared" si="128"/>
        <v>2752</v>
      </c>
      <c r="N2752" s="38">
        <f>HLOOKUP("Host",'vInfo (Imported)'!$1:$5000,M2752,FALSE)</f>
        <v>0</v>
      </c>
      <c r="R2752">
        <f>HLOOKUP("CPUs",'vInfo (Imported)'!$1:$5000,M2752,FALSE)</f>
        <v>0</v>
      </c>
      <c r="S2752">
        <f>HLOOKUP("Memory",'vInfo (Imported)'!$1:$5000,M2752,FALSE)</f>
        <v>0</v>
      </c>
      <c r="T2752">
        <f>HLOOKUP("Provisioned MiB",'vInfo (Imported)'!$1:$5000,M2752,FALSE)</f>
        <v>0</v>
      </c>
      <c r="U2752">
        <f t="shared" si="127"/>
        <v>0</v>
      </c>
      <c r="V2752">
        <f>HLOOKUP("In Use MiB",'vInfo (Imported)'!$1:$5000,M2752,FALSE)</f>
        <v>0</v>
      </c>
    </row>
    <row r="2753" spans="1:22" ht="13" x14ac:dyDescent="0.3">
      <c r="A2753" s="46">
        <f>'vHosts (Imported)'!A2753</f>
        <v>0</v>
      </c>
      <c r="B2753" s="51">
        <f t="shared" si="129"/>
        <v>4968</v>
      </c>
      <c r="C2753" s="49">
        <f>HLOOKUP("# Cores",'vHosts (Imported)'!$1:$5000,M2753,FALSE)</f>
        <v>0</v>
      </c>
      <c r="D2753" s="52">
        <f>HLOOKUP("# Memory",'vHosts (Imported)'!$1:$5000,M2753,FALSE)</f>
        <v>0</v>
      </c>
      <c r="M2753" s="45">
        <f t="shared" si="128"/>
        <v>2753</v>
      </c>
      <c r="N2753" s="38">
        <f>HLOOKUP("Host",'vInfo (Imported)'!$1:$5000,M2753,FALSE)</f>
        <v>0</v>
      </c>
      <c r="R2753">
        <f>HLOOKUP("CPUs",'vInfo (Imported)'!$1:$5000,M2753,FALSE)</f>
        <v>0</v>
      </c>
      <c r="S2753">
        <f>HLOOKUP("Memory",'vInfo (Imported)'!$1:$5000,M2753,FALSE)</f>
        <v>0</v>
      </c>
      <c r="T2753">
        <f>HLOOKUP("Provisioned MiB",'vInfo (Imported)'!$1:$5000,M2753,FALSE)</f>
        <v>0</v>
      </c>
      <c r="U2753">
        <f t="shared" si="127"/>
        <v>0</v>
      </c>
      <c r="V2753">
        <f>HLOOKUP("In Use MiB",'vInfo (Imported)'!$1:$5000,M2753,FALSE)</f>
        <v>0</v>
      </c>
    </row>
    <row r="2754" spans="1:22" ht="13" x14ac:dyDescent="0.3">
      <c r="A2754" s="46">
        <f>'vHosts (Imported)'!A2754</f>
        <v>0</v>
      </c>
      <c r="B2754" s="51">
        <f t="shared" si="129"/>
        <v>4968</v>
      </c>
      <c r="C2754" s="49">
        <f>HLOOKUP("# Cores",'vHosts (Imported)'!$1:$5000,M2754,FALSE)</f>
        <v>0</v>
      </c>
      <c r="D2754" s="52">
        <f>HLOOKUP("# Memory",'vHosts (Imported)'!$1:$5000,M2754,FALSE)</f>
        <v>0</v>
      </c>
      <c r="M2754" s="45">
        <f t="shared" si="128"/>
        <v>2754</v>
      </c>
      <c r="N2754" s="38">
        <f>HLOOKUP("Host",'vInfo (Imported)'!$1:$5000,M2754,FALSE)</f>
        <v>0</v>
      </c>
      <c r="R2754">
        <f>HLOOKUP("CPUs",'vInfo (Imported)'!$1:$5000,M2754,FALSE)</f>
        <v>0</v>
      </c>
      <c r="S2754">
        <f>HLOOKUP("Memory",'vInfo (Imported)'!$1:$5000,M2754,FALSE)</f>
        <v>0</v>
      </c>
      <c r="T2754">
        <f>HLOOKUP("Provisioned MiB",'vInfo (Imported)'!$1:$5000,M2754,FALSE)</f>
        <v>0</v>
      </c>
      <c r="U2754">
        <f t="shared" si="127"/>
        <v>0</v>
      </c>
      <c r="V2754">
        <f>HLOOKUP("In Use MiB",'vInfo (Imported)'!$1:$5000,M2754,FALSE)</f>
        <v>0</v>
      </c>
    </row>
    <row r="2755" spans="1:22" ht="13" x14ac:dyDescent="0.3">
      <c r="A2755" s="46">
        <f>'vHosts (Imported)'!A2755</f>
        <v>0</v>
      </c>
      <c r="B2755" s="51">
        <f t="shared" si="129"/>
        <v>4968</v>
      </c>
      <c r="C2755" s="49">
        <f>HLOOKUP("# Cores",'vHosts (Imported)'!$1:$5000,M2755,FALSE)</f>
        <v>0</v>
      </c>
      <c r="D2755" s="52">
        <f>HLOOKUP("# Memory",'vHosts (Imported)'!$1:$5000,M2755,FALSE)</f>
        <v>0</v>
      </c>
      <c r="M2755" s="45">
        <f t="shared" si="128"/>
        <v>2755</v>
      </c>
      <c r="N2755" s="38">
        <f>HLOOKUP("Host",'vInfo (Imported)'!$1:$5000,M2755,FALSE)</f>
        <v>0</v>
      </c>
      <c r="R2755">
        <f>HLOOKUP("CPUs",'vInfo (Imported)'!$1:$5000,M2755,FALSE)</f>
        <v>0</v>
      </c>
      <c r="S2755">
        <f>HLOOKUP("Memory",'vInfo (Imported)'!$1:$5000,M2755,FALSE)</f>
        <v>0</v>
      </c>
      <c r="T2755">
        <f>HLOOKUP("Provisioned MiB",'vInfo (Imported)'!$1:$5000,M2755,FALSE)</f>
        <v>0</v>
      </c>
      <c r="U2755">
        <f t="shared" ref="U2755:U2818" si="130">T2755-V2755</f>
        <v>0</v>
      </c>
      <c r="V2755">
        <f>HLOOKUP("In Use MiB",'vInfo (Imported)'!$1:$5000,M2755,FALSE)</f>
        <v>0</v>
      </c>
    </row>
    <row r="2756" spans="1:22" ht="13" x14ac:dyDescent="0.3">
      <c r="A2756" s="46">
        <f>'vHosts (Imported)'!A2756</f>
        <v>0</v>
      </c>
      <c r="B2756" s="51">
        <f t="shared" si="129"/>
        <v>4968</v>
      </c>
      <c r="C2756" s="49">
        <f>HLOOKUP("# Cores",'vHosts (Imported)'!$1:$5000,M2756,FALSE)</f>
        <v>0</v>
      </c>
      <c r="D2756" s="52">
        <f>HLOOKUP("# Memory",'vHosts (Imported)'!$1:$5000,M2756,FALSE)</f>
        <v>0</v>
      </c>
      <c r="M2756" s="45">
        <f t="shared" ref="M2756:M2819" si="131">M2755+1</f>
        <v>2756</v>
      </c>
      <c r="N2756" s="38">
        <f>HLOOKUP("Host",'vInfo (Imported)'!$1:$5000,M2756,FALSE)</f>
        <v>0</v>
      </c>
      <c r="R2756">
        <f>HLOOKUP("CPUs",'vInfo (Imported)'!$1:$5000,M2756,FALSE)</f>
        <v>0</v>
      </c>
      <c r="S2756">
        <f>HLOOKUP("Memory",'vInfo (Imported)'!$1:$5000,M2756,FALSE)</f>
        <v>0</v>
      </c>
      <c r="T2756">
        <f>HLOOKUP("Provisioned MiB",'vInfo (Imported)'!$1:$5000,M2756,FALSE)</f>
        <v>0</v>
      </c>
      <c r="U2756">
        <f t="shared" si="130"/>
        <v>0</v>
      </c>
      <c r="V2756">
        <f>HLOOKUP("In Use MiB",'vInfo (Imported)'!$1:$5000,M2756,FALSE)</f>
        <v>0</v>
      </c>
    </row>
    <row r="2757" spans="1:22" ht="13" x14ac:dyDescent="0.3">
      <c r="A2757" s="46">
        <f>'vHosts (Imported)'!A2757</f>
        <v>0</v>
      </c>
      <c r="B2757" s="51">
        <f t="shared" si="129"/>
        <v>4968</v>
      </c>
      <c r="C2757" s="49">
        <f>HLOOKUP("# Cores",'vHosts (Imported)'!$1:$5000,M2757,FALSE)</f>
        <v>0</v>
      </c>
      <c r="D2757" s="52">
        <f>HLOOKUP("# Memory",'vHosts (Imported)'!$1:$5000,M2757,FALSE)</f>
        <v>0</v>
      </c>
      <c r="M2757" s="45">
        <f t="shared" si="131"/>
        <v>2757</v>
      </c>
      <c r="N2757" s="38">
        <f>HLOOKUP("Host",'vInfo (Imported)'!$1:$5000,M2757,FALSE)</f>
        <v>0</v>
      </c>
      <c r="R2757">
        <f>HLOOKUP("CPUs",'vInfo (Imported)'!$1:$5000,M2757,FALSE)</f>
        <v>0</v>
      </c>
      <c r="S2757">
        <f>HLOOKUP("Memory",'vInfo (Imported)'!$1:$5000,M2757,FALSE)</f>
        <v>0</v>
      </c>
      <c r="T2757">
        <f>HLOOKUP("Provisioned MiB",'vInfo (Imported)'!$1:$5000,M2757,FALSE)</f>
        <v>0</v>
      </c>
      <c r="U2757">
        <f t="shared" si="130"/>
        <v>0</v>
      </c>
      <c r="V2757">
        <f>HLOOKUP("In Use MiB",'vInfo (Imported)'!$1:$5000,M2757,FALSE)</f>
        <v>0</v>
      </c>
    </row>
    <row r="2758" spans="1:22" ht="13" x14ac:dyDescent="0.3">
      <c r="A2758" s="46">
        <f>'vHosts (Imported)'!A2758</f>
        <v>0</v>
      </c>
      <c r="B2758" s="51">
        <f t="shared" si="129"/>
        <v>4968</v>
      </c>
      <c r="C2758" s="49">
        <f>HLOOKUP("# Cores",'vHosts (Imported)'!$1:$5000,M2758,FALSE)</f>
        <v>0</v>
      </c>
      <c r="D2758" s="52">
        <f>HLOOKUP("# Memory",'vHosts (Imported)'!$1:$5000,M2758,FALSE)</f>
        <v>0</v>
      </c>
      <c r="M2758" s="45">
        <f t="shared" si="131"/>
        <v>2758</v>
      </c>
      <c r="N2758" s="38">
        <f>HLOOKUP("Host",'vInfo (Imported)'!$1:$5000,M2758,FALSE)</f>
        <v>0</v>
      </c>
      <c r="R2758">
        <f>HLOOKUP("CPUs",'vInfo (Imported)'!$1:$5000,M2758,FALSE)</f>
        <v>0</v>
      </c>
      <c r="S2758">
        <f>HLOOKUP("Memory",'vInfo (Imported)'!$1:$5000,M2758,FALSE)</f>
        <v>0</v>
      </c>
      <c r="T2758">
        <f>HLOOKUP("Provisioned MiB",'vInfo (Imported)'!$1:$5000,M2758,FALSE)</f>
        <v>0</v>
      </c>
      <c r="U2758">
        <f t="shared" si="130"/>
        <v>0</v>
      </c>
      <c r="V2758">
        <f>HLOOKUP("In Use MiB",'vInfo (Imported)'!$1:$5000,M2758,FALSE)</f>
        <v>0</v>
      </c>
    </row>
    <row r="2759" spans="1:22" ht="13" x14ac:dyDescent="0.3">
      <c r="A2759" s="46">
        <f>'vHosts (Imported)'!A2759</f>
        <v>0</v>
      </c>
      <c r="B2759" s="51">
        <f t="shared" si="129"/>
        <v>4968</v>
      </c>
      <c r="C2759" s="49">
        <f>HLOOKUP("# Cores",'vHosts (Imported)'!$1:$5000,M2759,FALSE)</f>
        <v>0</v>
      </c>
      <c r="D2759" s="52">
        <f>HLOOKUP("# Memory",'vHosts (Imported)'!$1:$5000,M2759,FALSE)</f>
        <v>0</v>
      </c>
      <c r="M2759" s="45">
        <f t="shared" si="131"/>
        <v>2759</v>
      </c>
      <c r="N2759" s="38">
        <f>HLOOKUP("Host",'vInfo (Imported)'!$1:$5000,M2759,FALSE)</f>
        <v>0</v>
      </c>
      <c r="R2759">
        <f>HLOOKUP("CPUs",'vInfo (Imported)'!$1:$5000,M2759,FALSE)</f>
        <v>0</v>
      </c>
      <c r="S2759">
        <f>HLOOKUP("Memory",'vInfo (Imported)'!$1:$5000,M2759,FALSE)</f>
        <v>0</v>
      </c>
      <c r="T2759">
        <f>HLOOKUP("Provisioned MiB",'vInfo (Imported)'!$1:$5000,M2759,FALSE)</f>
        <v>0</v>
      </c>
      <c r="U2759">
        <f t="shared" si="130"/>
        <v>0</v>
      </c>
      <c r="V2759">
        <f>HLOOKUP("In Use MiB",'vInfo (Imported)'!$1:$5000,M2759,FALSE)</f>
        <v>0</v>
      </c>
    </row>
    <row r="2760" spans="1:22" ht="13" x14ac:dyDescent="0.3">
      <c r="A2760" s="46">
        <f>'vHosts (Imported)'!A2760</f>
        <v>0</v>
      </c>
      <c r="B2760" s="51">
        <f t="shared" si="129"/>
        <v>4968</v>
      </c>
      <c r="C2760" s="49">
        <f>HLOOKUP("# Cores",'vHosts (Imported)'!$1:$5000,M2760,FALSE)</f>
        <v>0</v>
      </c>
      <c r="D2760" s="52">
        <f>HLOOKUP("# Memory",'vHosts (Imported)'!$1:$5000,M2760,FALSE)</f>
        <v>0</v>
      </c>
      <c r="M2760" s="45">
        <f t="shared" si="131"/>
        <v>2760</v>
      </c>
      <c r="N2760" s="38">
        <f>HLOOKUP("Host",'vInfo (Imported)'!$1:$5000,M2760,FALSE)</f>
        <v>0</v>
      </c>
      <c r="R2760">
        <f>HLOOKUP("CPUs",'vInfo (Imported)'!$1:$5000,M2760,FALSE)</f>
        <v>0</v>
      </c>
      <c r="S2760">
        <f>HLOOKUP("Memory",'vInfo (Imported)'!$1:$5000,M2760,FALSE)</f>
        <v>0</v>
      </c>
      <c r="T2760">
        <f>HLOOKUP("Provisioned MiB",'vInfo (Imported)'!$1:$5000,M2760,FALSE)</f>
        <v>0</v>
      </c>
      <c r="U2760">
        <f t="shared" si="130"/>
        <v>0</v>
      </c>
      <c r="V2760">
        <f>HLOOKUP("In Use MiB",'vInfo (Imported)'!$1:$5000,M2760,FALSE)</f>
        <v>0</v>
      </c>
    </row>
    <row r="2761" spans="1:22" ht="13" x14ac:dyDescent="0.3">
      <c r="A2761" s="46">
        <f>'vHosts (Imported)'!A2761</f>
        <v>0</v>
      </c>
      <c r="B2761" s="51">
        <f t="shared" si="129"/>
        <v>4968</v>
      </c>
      <c r="C2761" s="49">
        <f>HLOOKUP("# Cores",'vHosts (Imported)'!$1:$5000,M2761,FALSE)</f>
        <v>0</v>
      </c>
      <c r="D2761" s="52">
        <f>HLOOKUP("# Memory",'vHosts (Imported)'!$1:$5000,M2761,FALSE)</f>
        <v>0</v>
      </c>
      <c r="M2761" s="45">
        <f t="shared" si="131"/>
        <v>2761</v>
      </c>
      <c r="N2761" s="38">
        <f>HLOOKUP("Host",'vInfo (Imported)'!$1:$5000,M2761,FALSE)</f>
        <v>0</v>
      </c>
      <c r="R2761">
        <f>HLOOKUP("CPUs",'vInfo (Imported)'!$1:$5000,M2761,FALSE)</f>
        <v>0</v>
      </c>
      <c r="S2761">
        <f>HLOOKUP("Memory",'vInfo (Imported)'!$1:$5000,M2761,FALSE)</f>
        <v>0</v>
      </c>
      <c r="T2761">
        <f>HLOOKUP("Provisioned MiB",'vInfo (Imported)'!$1:$5000,M2761,FALSE)</f>
        <v>0</v>
      </c>
      <c r="U2761">
        <f t="shared" si="130"/>
        <v>0</v>
      </c>
      <c r="V2761">
        <f>HLOOKUP("In Use MiB",'vInfo (Imported)'!$1:$5000,M2761,FALSE)</f>
        <v>0</v>
      </c>
    </row>
    <row r="2762" spans="1:22" ht="13" x14ac:dyDescent="0.3">
      <c r="A2762" s="46">
        <f>'vHosts (Imported)'!A2762</f>
        <v>0</v>
      </c>
      <c r="B2762" s="51">
        <f t="shared" si="129"/>
        <v>4968</v>
      </c>
      <c r="C2762" s="49">
        <f>HLOOKUP("# Cores",'vHosts (Imported)'!$1:$5000,M2762,FALSE)</f>
        <v>0</v>
      </c>
      <c r="D2762" s="52">
        <f>HLOOKUP("# Memory",'vHosts (Imported)'!$1:$5000,M2762,FALSE)</f>
        <v>0</v>
      </c>
      <c r="M2762" s="45">
        <f t="shared" si="131"/>
        <v>2762</v>
      </c>
      <c r="N2762" s="38">
        <f>HLOOKUP("Host",'vInfo (Imported)'!$1:$5000,M2762,FALSE)</f>
        <v>0</v>
      </c>
      <c r="R2762">
        <f>HLOOKUP("CPUs",'vInfo (Imported)'!$1:$5000,M2762,FALSE)</f>
        <v>0</v>
      </c>
      <c r="S2762">
        <f>HLOOKUP("Memory",'vInfo (Imported)'!$1:$5000,M2762,FALSE)</f>
        <v>0</v>
      </c>
      <c r="T2762">
        <f>HLOOKUP("Provisioned MiB",'vInfo (Imported)'!$1:$5000,M2762,FALSE)</f>
        <v>0</v>
      </c>
      <c r="U2762">
        <f t="shared" si="130"/>
        <v>0</v>
      </c>
      <c r="V2762">
        <f>HLOOKUP("In Use MiB",'vInfo (Imported)'!$1:$5000,M2762,FALSE)</f>
        <v>0</v>
      </c>
    </row>
    <row r="2763" spans="1:22" ht="13" x14ac:dyDescent="0.3">
      <c r="A2763" s="46">
        <f>'vHosts (Imported)'!A2763</f>
        <v>0</v>
      </c>
      <c r="B2763" s="51">
        <f t="shared" si="129"/>
        <v>4968</v>
      </c>
      <c r="C2763" s="49">
        <f>HLOOKUP("# Cores",'vHosts (Imported)'!$1:$5000,M2763,FALSE)</f>
        <v>0</v>
      </c>
      <c r="D2763" s="52">
        <f>HLOOKUP("# Memory",'vHosts (Imported)'!$1:$5000,M2763,FALSE)</f>
        <v>0</v>
      </c>
      <c r="M2763" s="45">
        <f t="shared" si="131"/>
        <v>2763</v>
      </c>
      <c r="N2763" s="38">
        <f>HLOOKUP("Host",'vInfo (Imported)'!$1:$5000,M2763,FALSE)</f>
        <v>0</v>
      </c>
      <c r="R2763">
        <f>HLOOKUP("CPUs",'vInfo (Imported)'!$1:$5000,M2763,FALSE)</f>
        <v>0</v>
      </c>
      <c r="S2763">
        <f>HLOOKUP("Memory",'vInfo (Imported)'!$1:$5000,M2763,FALSE)</f>
        <v>0</v>
      </c>
      <c r="T2763">
        <f>HLOOKUP("Provisioned MiB",'vInfo (Imported)'!$1:$5000,M2763,FALSE)</f>
        <v>0</v>
      </c>
      <c r="U2763">
        <f t="shared" si="130"/>
        <v>0</v>
      </c>
      <c r="V2763">
        <f>HLOOKUP("In Use MiB",'vInfo (Imported)'!$1:$5000,M2763,FALSE)</f>
        <v>0</v>
      </c>
    </row>
    <row r="2764" spans="1:22" ht="13" x14ac:dyDescent="0.3">
      <c r="A2764" s="46">
        <f>'vHosts (Imported)'!A2764</f>
        <v>0</v>
      </c>
      <c r="B2764" s="51">
        <f t="shared" si="129"/>
        <v>4968</v>
      </c>
      <c r="C2764" s="49">
        <f>HLOOKUP("# Cores",'vHosts (Imported)'!$1:$5000,M2764,FALSE)</f>
        <v>0</v>
      </c>
      <c r="D2764" s="52">
        <f>HLOOKUP("# Memory",'vHosts (Imported)'!$1:$5000,M2764,FALSE)</f>
        <v>0</v>
      </c>
      <c r="M2764" s="45">
        <f t="shared" si="131"/>
        <v>2764</v>
      </c>
      <c r="N2764" s="38">
        <f>HLOOKUP("Host",'vInfo (Imported)'!$1:$5000,M2764,FALSE)</f>
        <v>0</v>
      </c>
      <c r="R2764">
        <f>HLOOKUP("CPUs",'vInfo (Imported)'!$1:$5000,M2764,FALSE)</f>
        <v>0</v>
      </c>
      <c r="S2764">
        <f>HLOOKUP("Memory",'vInfo (Imported)'!$1:$5000,M2764,FALSE)</f>
        <v>0</v>
      </c>
      <c r="T2764">
        <f>HLOOKUP("Provisioned MiB",'vInfo (Imported)'!$1:$5000,M2764,FALSE)</f>
        <v>0</v>
      </c>
      <c r="U2764">
        <f t="shared" si="130"/>
        <v>0</v>
      </c>
      <c r="V2764">
        <f>HLOOKUP("In Use MiB",'vInfo (Imported)'!$1:$5000,M2764,FALSE)</f>
        <v>0</v>
      </c>
    </row>
    <row r="2765" spans="1:22" ht="13" x14ac:dyDescent="0.3">
      <c r="A2765" s="46">
        <f>'vHosts (Imported)'!A2765</f>
        <v>0</v>
      </c>
      <c r="B2765" s="51">
        <f t="shared" si="129"/>
        <v>4968</v>
      </c>
      <c r="C2765" s="49">
        <f>HLOOKUP("# Cores",'vHosts (Imported)'!$1:$5000,M2765,FALSE)</f>
        <v>0</v>
      </c>
      <c r="D2765" s="52">
        <f>HLOOKUP("# Memory",'vHosts (Imported)'!$1:$5000,M2765,FALSE)</f>
        <v>0</v>
      </c>
      <c r="M2765" s="45">
        <f t="shared" si="131"/>
        <v>2765</v>
      </c>
      <c r="N2765" s="38">
        <f>HLOOKUP("Host",'vInfo (Imported)'!$1:$5000,M2765,FALSE)</f>
        <v>0</v>
      </c>
      <c r="R2765">
        <f>HLOOKUP("CPUs",'vInfo (Imported)'!$1:$5000,M2765,FALSE)</f>
        <v>0</v>
      </c>
      <c r="S2765">
        <f>HLOOKUP("Memory",'vInfo (Imported)'!$1:$5000,M2765,FALSE)</f>
        <v>0</v>
      </c>
      <c r="T2765">
        <f>HLOOKUP("Provisioned MiB",'vInfo (Imported)'!$1:$5000,M2765,FALSE)</f>
        <v>0</v>
      </c>
      <c r="U2765">
        <f t="shared" si="130"/>
        <v>0</v>
      </c>
      <c r="V2765">
        <f>HLOOKUP("In Use MiB",'vInfo (Imported)'!$1:$5000,M2765,FALSE)</f>
        <v>0</v>
      </c>
    </row>
    <row r="2766" spans="1:22" ht="13" x14ac:dyDescent="0.3">
      <c r="A2766" s="46">
        <f>'vHosts (Imported)'!A2766</f>
        <v>0</v>
      </c>
      <c r="B2766" s="51">
        <f t="shared" si="129"/>
        <v>4968</v>
      </c>
      <c r="C2766" s="49">
        <f>HLOOKUP("# Cores",'vHosts (Imported)'!$1:$5000,M2766,FALSE)</f>
        <v>0</v>
      </c>
      <c r="D2766" s="52">
        <f>HLOOKUP("# Memory",'vHosts (Imported)'!$1:$5000,M2766,FALSE)</f>
        <v>0</v>
      </c>
      <c r="M2766" s="45">
        <f t="shared" si="131"/>
        <v>2766</v>
      </c>
      <c r="N2766" s="38">
        <f>HLOOKUP("Host",'vInfo (Imported)'!$1:$5000,M2766,FALSE)</f>
        <v>0</v>
      </c>
      <c r="R2766">
        <f>HLOOKUP("CPUs",'vInfo (Imported)'!$1:$5000,M2766,FALSE)</f>
        <v>0</v>
      </c>
      <c r="S2766">
        <f>HLOOKUP("Memory",'vInfo (Imported)'!$1:$5000,M2766,FALSE)</f>
        <v>0</v>
      </c>
      <c r="T2766">
        <f>HLOOKUP("Provisioned MiB",'vInfo (Imported)'!$1:$5000,M2766,FALSE)</f>
        <v>0</v>
      </c>
      <c r="U2766">
        <f t="shared" si="130"/>
        <v>0</v>
      </c>
      <c r="V2766">
        <f>HLOOKUP("In Use MiB",'vInfo (Imported)'!$1:$5000,M2766,FALSE)</f>
        <v>0</v>
      </c>
    </row>
    <row r="2767" spans="1:22" ht="13" x14ac:dyDescent="0.3">
      <c r="A2767" s="46">
        <f>'vHosts (Imported)'!A2767</f>
        <v>0</v>
      </c>
      <c r="B2767" s="51">
        <f t="shared" si="129"/>
        <v>4968</v>
      </c>
      <c r="C2767" s="49">
        <f>HLOOKUP("# Cores",'vHosts (Imported)'!$1:$5000,M2767,FALSE)</f>
        <v>0</v>
      </c>
      <c r="D2767" s="52">
        <f>HLOOKUP("# Memory",'vHosts (Imported)'!$1:$5000,M2767,FALSE)</f>
        <v>0</v>
      </c>
      <c r="M2767" s="45">
        <f t="shared" si="131"/>
        <v>2767</v>
      </c>
      <c r="N2767" s="38">
        <f>HLOOKUP("Host",'vInfo (Imported)'!$1:$5000,M2767,FALSE)</f>
        <v>0</v>
      </c>
      <c r="R2767">
        <f>HLOOKUP("CPUs",'vInfo (Imported)'!$1:$5000,M2767,FALSE)</f>
        <v>0</v>
      </c>
      <c r="S2767">
        <f>HLOOKUP("Memory",'vInfo (Imported)'!$1:$5000,M2767,FALSE)</f>
        <v>0</v>
      </c>
      <c r="T2767">
        <f>HLOOKUP("Provisioned MiB",'vInfo (Imported)'!$1:$5000,M2767,FALSE)</f>
        <v>0</v>
      </c>
      <c r="U2767">
        <f t="shared" si="130"/>
        <v>0</v>
      </c>
      <c r="V2767">
        <f>HLOOKUP("In Use MiB",'vInfo (Imported)'!$1:$5000,M2767,FALSE)</f>
        <v>0</v>
      </c>
    </row>
    <row r="2768" spans="1:22" ht="13" x14ac:dyDescent="0.3">
      <c r="A2768" s="46">
        <f>'vHosts (Imported)'!A2768</f>
        <v>0</v>
      </c>
      <c r="B2768" s="51">
        <f t="shared" si="129"/>
        <v>4968</v>
      </c>
      <c r="C2768" s="49">
        <f>HLOOKUP("# Cores",'vHosts (Imported)'!$1:$5000,M2768,FALSE)</f>
        <v>0</v>
      </c>
      <c r="D2768" s="52">
        <f>HLOOKUP("# Memory",'vHosts (Imported)'!$1:$5000,M2768,FALSE)</f>
        <v>0</v>
      </c>
      <c r="M2768" s="45">
        <f t="shared" si="131"/>
        <v>2768</v>
      </c>
      <c r="N2768" s="38">
        <f>HLOOKUP("Host",'vInfo (Imported)'!$1:$5000,M2768,FALSE)</f>
        <v>0</v>
      </c>
      <c r="R2768">
        <f>HLOOKUP("CPUs",'vInfo (Imported)'!$1:$5000,M2768,FALSE)</f>
        <v>0</v>
      </c>
      <c r="S2768">
        <f>HLOOKUP("Memory",'vInfo (Imported)'!$1:$5000,M2768,FALSE)</f>
        <v>0</v>
      </c>
      <c r="T2768">
        <f>HLOOKUP("Provisioned MiB",'vInfo (Imported)'!$1:$5000,M2768,FALSE)</f>
        <v>0</v>
      </c>
      <c r="U2768">
        <f t="shared" si="130"/>
        <v>0</v>
      </c>
      <c r="V2768">
        <f>HLOOKUP("In Use MiB",'vInfo (Imported)'!$1:$5000,M2768,FALSE)</f>
        <v>0</v>
      </c>
    </row>
    <row r="2769" spans="1:22" ht="13" x14ac:dyDescent="0.3">
      <c r="A2769" s="46">
        <f>'vHosts (Imported)'!A2769</f>
        <v>0</v>
      </c>
      <c r="B2769" s="51">
        <f t="shared" si="129"/>
        <v>4968</v>
      </c>
      <c r="C2769" s="49">
        <f>HLOOKUP("# Cores",'vHosts (Imported)'!$1:$5000,M2769,FALSE)</f>
        <v>0</v>
      </c>
      <c r="D2769" s="52">
        <f>HLOOKUP("# Memory",'vHosts (Imported)'!$1:$5000,M2769,FALSE)</f>
        <v>0</v>
      </c>
      <c r="M2769" s="45">
        <f t="shared" si="131"/>
        <v>2769</v>
      </c>
      <c r="N2769" s="38">
        <f>HLOOKUP("Host",'vInfo (Imported)'!$1:$5000,M2769,FALSE)</f>
        <v>0</v>
      </c>
      <c r="R2769">
        <f>HLOOKUP("CPUs",'vInfo (Imported)'!$1:$5000,M2769,FALSE)</f>
        <v>0</v>
      </c>
      <c r="S2769">
        <f>HLOOKUP("Memory",'vInfo (Imported)'!$1:$5000,M2769,FALSE)</f>
        <v>0</v>
      </c>
      <c r="T2769">
        <f>HLOOKUP("Provisioned MiB",'vInfo (Imported)'!$1:$5000,M2769,FALSE)</f>
        <v>0</v>
      </c>
      <c r="U2769">
        <f t="shared" si="130"/>
        <v>0</v>
      </c>
      <c r="V2769">
        <f>HLOOKUP("In Use MiB",'vInfo (Imported)'!$1:$5000,M2769,FALSE)</f>
        <v>0</v>
      </c>
    </row>
    <row r="2770" spans="1:22" ht="13" x14ac:dyDescent="0.3">
      <c r="A2770" s="46">
        <f>'vHosts (Imported)'!A2770</f>
        <v>0</v>
      </c>
      <c r="B2770" s="51">
        <f t="shared" si="129"/>
        <v>4968</v>
      </c>
      <c r="C2770" s="49">
        <f>HLOOKUP("# Cores",'vHosts (Imported)'!$1:$5000,M2770,FALSE)</f>
        <v>0</v>
      </c>
      <c r="D2770" s="52">
        <f>HLOOKUP("# Memory",'vHosts (Imported)'!$1:$5000,M2770,FALSE)</f>
        <v>0</v>
      </c>
      <c r="M2770" s="45">
        <f t="shared" si="131"/>
        <v>2770</v>
      </c>
      <c r="N2770" s="38">
        <f>HLOOKUP("Host",'vInfo (Imported)'!$1:$5000,M2770,FALSE)</f>
        <v>0</v>
      </c>
      <c r="R2770">
        <f>HLOOKUP("CPUs",'vInfo (Imported)'!$1:$5000,M2770,FALSE)</f>
        <v>0</v>
      </c>
      <c r="S2770">
        <f>HLOOKUP("Memory",'vInfo (Imported)'!$1:$5000,M2770,FALSE)</f>
        <v>0</v>
      </c>
      <c r="T2770">
        <f>HLOOKUP("Provisioned MiB",'vInfo (Imported)'!$1:$5000,M2770,FALSE)</f>
        <v>0</v>
      </c>
      <c r="U2770">
        <f t="shared" si="130"/>
        <v>0</v>
      </c>
      <c r="V2770">
        <f>HLOOKUP("In Use MiB",'vInfo (Imported)'!$1:$5000,M2770,FALSE)</f>
        <v>0</v>
      </c>
    </row>
    <row r="2771" spans="1:22" ht="13" x14ac:dyDescent="0.3">
      <c r="A2771" s="46">
        <f>'vHosts (Imported)'!A2771</f>
        <v>0</v>
      </c>
      <c r="B2771" s="51">
        <f t="shared" si="129"/>
        <v>4968</v>
      </c>
      <c r="C2771" s="49">
        <f>HLOOKUP("# Cores",'vHosts (Imported)'!$1:$5000,M2771,FALSE)</f>
        <v>0</v>
      </c>
      <c r="D2771" s="52">
        <f>HLOOKUP("# Memory",'vHosts (Imported)'!$1:$5000,M2771,FALSE)</f>
        <v>0</v>
      </c>
      <c r="M2771" s="45">
        <f t="shared" si="131"/>
        <v>2771</v>
      </c>
      <c r="N2771" s="38">
        <f>HLOOKUP("Host",'vInfo (Imported)'!$1:$5000,M2771,FALSE)</f>
        <v>0</v>
      </c>
      <c r="R2771">
        <f>HLOOKUP("CPUs",'vInfo (Imported)'!$1:$5000,M2771,FALSE)</f>
        <v>0</v>
      </c>
      <c r="S2771">
        <f>HLOOKUP("Memory",'vInfo (Imported)'!$1:$5000,M2771,FALSE)</f>
        <v>0</v>
      </c>
      <c r="T2771">
        <f>HLOOKUP("Provisioned MiB",'vInfo (Imported)'!$1:$5000,M2771,FALSE)</f>
        <v>0</v>
      </c>
      <c r="U2771">
        <f t="shared" si="130"/>
        <v>0</v>
      </c>
      <c r="V2771">
        <f>HLOOKUP("In Use MiB",'vInfo (Imported)'!$1:$5000,M2771,FALSE)</f>
        <v>0</v>
      </c>
    </row>
    <row r="2772" spans="1:22" ht="13" x14ac:dyDescent="0.3">
      <c r="A2772" s="46">
        <f>'vHosts (Imported)'!A2772</f>
        <v>0</v>
      </c>
      <c r="B2772" s="51">
        <f t="shared" si="129"/>
        <v>4968</v>
      </c>
      <c r="C2772" s="49">
        <f>HLOOKUP("# Cores",'vHosts (Imported)'!$1:$5000,M2772,FALSE)</f>
        <v>0</v>
      </c>
      <c r="D2772" s="52">
        <f>HLOOKUP("# Memory",'vHosts (Imported)'!$1:$5000,M2772,FALSE)</f>
        <v>0</v>
      </c>
      <c r="M2772" s="45">
        <f t="shared" si="131"/>
        <v>2772</v>
      </c>
      <c r="N2772" s="38">
        <f>HLOOKUP("Host",'vInfo (Imported)'!$1:$5000,M2772,FALSE)</f>
        <v>0</v>
      </c>
      <c r="R2772">
        <f>HLOOKUP("CPUs",'vInfo (Imported)'!$1:$5000,M2772,FALSE)</f>
        <v>0</v>
      </c>
      <c r="S2772">
        <f>HLOOKUP("Memory",'vInfo (Imported)'!$1:$5000,M2772,FALSE)</f>
        <v>0</v>
      </c>
      <c r="T2772">
        <f>HLOOKUP("Provisioned MiB",'vInfo (Imported)'!$1:$5000,M2772,FALSE)</f>
        <v>0</v>
      </c>
      <c r="U2772">
        <f t="shared" si="130"/>
        <v>0</v>
      </c>
      <c r="V2772">
        <f>HLOOKUP("In Use MiB",'vInfo (Imported)'!$1:$5000,M2772,FALSE)</f>
        <v>0</v>
      </c>
    </row>
    <row r="2773" spans="1:22" ht="13" x14ac:dyDescent="0.3">
      <c r="A2773" s="46">
        <f>'vHosts (Imported)'!A2773</f>
        <v>0</v>
      </c>
      <c r="B2773" s="51">
        <f t="shared" si="129"/>
        <v>4968</v>
      </c>
      <c r="C2773" s="49">
        <f>HLOOKUP("# Cores",'vHosts (Imported)'!$1:$5000,M2773,FALSE)</f>
        <v>0</v>
      </c>
      <c r="D2773" s="52">
        <f>HLOOKUP("# Memory",'vHosts (Imported)'!$1:$5000,M2773,FALSE)</f>
        <v>0</v>
      </c>
      <c r="M2773" s="45">
        <f t="shared" si="131"/>
        <v>2773</v>
      </c>
      <c r="N2773" s="38">
        <f>HLOOKUP("Host",'vInfo (Imported)'!$1:$5000,M2773,FALSE)</f>
        <v>0</v>
      </c>
      <c r="R2773">
        <f>HLOOKUP("CPUs",'vInfo (Imported)'!$1:$5000,M2773,FALSE)</f>
        <v>0</v>
      </c>
      <c r="S2773">
        <f>HLOOKUP("Memory",'vInfo (Imported)'!$1:$5000,M2773,FALSE)</f>
        <v>0</v>
      </c>
      <c r="T2773">
        <f>HLOOKUP("Provisioned MiB",'vInfo (Imported)'!$1:$5000,M2773,FALSE)</f>
        <v>0</v>
      </c>
      <c r="U2773">
        <f t="shared" si="130"/>
        <v>0</v>
      </c>
      <c r="V2773">
        <f>HLOOKUP("In Use MiB",'vInfo (Imported)'!$1:$5000,M2773,FALSE)</f>
        <v>0</v>
      </c>
    </row>
    <row r="2774" spans="1:22" ht="13" x14ac:dyDescent="0.3">
      <c r="A2774" s="46">
        <f>'vHosts (Imported)'!A2774</f>
        <v>0</v>
      </c>
      <c r="B2774" s="51">
        <f t="shared" si="129"/>
        <v>4968</v>
      </c>
      <c r="C2774" s="49">
        <f>HLOOKUP("# Cores",'vHosts (Imported)'!$1:$5000,M2774,FALSE)</f>
        <v>0</v>
      </c>
      <c r="D2774" s="52">
        <f>HLOOKUP("# Memory",'vHosts (Imported)'!$1:$5000,M2774,FALSE)</f>
        <v>0</v>
      </c>
      <c r="M2774" s="45">
        <f t="shared" si="131"/>
        <v>2774</v>
      </c>
      <c r="N2774" s="38">
        <f>HLOOKUP("Host",'vInfo (Imported)'!$1:$5000,M2774,FALSE)</f>
        <v>0</v>
      </c>
      <c r="R2774">
        <f>HLOOKUP("CPUs",'vInfo (Imported)'!$1:$5000,M2774,FALSE)</f>
        <v>0</v>
      </c>
      <c r="S2774">
        <f>HLOOKUP("Memory",'vInfo (Imported)'!$1:$5000,M2774,FALSE)</f>
        <v>0</v>
      </c>
      <c r="T2774">
        <f>HLOOKUP("Provisioned MiB",'vInfo (Imported)'!$1:$5000,M2774,FALSE)</f>
        <v>0</v>
      </c>
      <c r="U2774">
        <f t="shared" si="130"/>
        <v>0</v>
      </c>
      <c r="V2774">
        <f>HLOOKUP("In Use MiB",'vInfo (Imported)'!$1:$5000,M2774,FALSE)</f>
        <v>0</v>
      </c>
    </row>
    <row r="2775" spans="1:22" ht="13" x14ac:dyDescent="0.3">
      <c r="A2775" s="46">
        <f>'vHosts (Imported)'!A2775</f>
        <v>0</v>
      </c>
      <c r="B2775" s="51">
        <f t="shared" si="129"/>
        <v>4968</v>
      </c>
      <c r="C2775" s="49">
        <f>HLOOKUP("# Cores",'vHosts (Imported)'!$1:$5000,M2775,FALSE)</f>
        <v>0</v>
      </c>
      <c r="D2775" s="52">
        <f>HLOOKUP("# Memory",'vHosts (Imported)'!$1:$5000,M2775,FALSE)</f>
        <v>0</v>
      </c>
      <c r="M2775" s="45">
        <f t="shared" si="131"/>
        <v>2775</v>
      </c>
      <c r="N2775" s="38">
        <f>HLOOKUP("Host",'vInfo (Imported)'!$1:$5000,M2775,FALSE)</f>
        <v>0</v>
      </c>
      <c r="R2775">
        <f>HLOOKUP("CPUs",'vInfo (Imported)'!$1:$5000,M2775,FALSE)</f>
        <v>0</v>
      </c>
      <c r="S2775">
        <f>HLOOKUP("Memory",'vInfo (Imported)'!$1:$5000,M2775,FALSE)</f>
        <v>0</v>
      </c>
      <c r="T2775">
        <f>HLOOKUP("Provisioned MiB",'vInfo (Imported)'!$1:$5000,M2775,FALSE)</f>
        <v>0</v>
      </c>
      <c r="U2775">
        <f t="shared" si="130"/>
        <v>0</v>
      </c>
      <c r="V2775">
        <f>HLOOKUP("In Use MiB",'vInfo (Imported)'!$1:$5000,M2775,FALSE)</f>
        <v>0</v>
      </c>
    </row>
    <row r="2776" spans="1:22" ht="13" x14ac:dyDescent="0.3">
      <c r="A2776" s="46">
        <f>'vHosts (Imported)'!A2776</f>
        <v>0</v>
      </c>
      <c r="B2776" s="51">
        <f t="shared" si="129"/>
        <v>4968</v>
      </c>
      <c r="C2776" s="49">
        <f>HLOOKUP("# Cores",'vHosts (Imported)'!$1:$5000,M2776,FALSE)</f>
        <v>0</v>
      </c>
      <c r="D2776" s="52">
        <f>HLOOKUP("# Memory",'vHosts (Imported)'!$1:$5000,M2776,FALSE)</f>
        <v>0</v>
      </c>
      <c r="M2776" s="45">
        <f t="shared" si="131"/>
        <v>2776</v>
      </c>
      <c r="N2776" s="38">
        <f>HLOOKUP("Host",'vInfo (Imported)'!$1:$5000,M2776,FALSE)</f>
        <v>0</v>
      </c>
      <c r="R2776">
        <f>HLOOKUP("CPUs",'vInfo (Imported)'!$1:$5000,M2776,FALSE)</f>
        <v>0</v>
      </c>
      <c r="S2776">
        <f>HLOOKUP("Memory",'vInfo (Imported)'!$1:$5000,M2776,FALSE)</f>
        <v>0</v>
      </c>
      <c r="T2776">
        <f>HLOOKUP("Provisioned MiB",'vInfo (Imported)'!$1:$5000,M2776,FALSE)</f>
        <v>0</v>
      </c>
      <c r="U2776">
        <f t="shared" si="130"/>
        <v>0</v>
      </c>
      <c r="V2776">
        <f>HLOOKUP("In Use MiB",'vInfo (Imported)'!$1:$5000,M2776,FALSE)</f>
        <v>0</v>
      </c>
    </row>
    <row r="2777" spans="1:22" ht="13" x14ac:dyDescent="0.3">
      <c r="A2777" s="46">
        <f>'vHosts (Imported)'!A2777</f>
        <v>0</v>
      </c>
      <c r="B2777" s="51">
        <f t="shared" si="129"/>
        <v>4968</v>
      </c>
      <c r="C2777" s="49">
        <f>HLOOKUP("# Cores",'vHosts (Imported)'!$1:$5000,M2777,FALSE)</f>
        <v>0</v>
      </c>
      <c r="D2777" s="52">
        <f>HLOOKUP("# Memory",'vHosts (Imported)'!$1:$5000,M2777,FALSE)</f>
        <v>0</v>
      </c>
      <c r="M2777" s="45">
        <f t="shared" si="131"/>
        <v>2777</v>
      </c>
      <c r="N2777" s="38">
        <f>HLOOKUP("Host",'vInfo (Imported)'!$1:$5000,M2777,FALSE)</f>
        <v>0</v>
      </c>
      <c r="R2777">
        <f>HLOOKUP("CPUs",'vInfo (Imported)'!$1:$5000,M2777,FALSE)</f>
        <v>0</v>
      </c>
      <c r="S2777">
        <f>HLOOKUP("Memory",'vInfo (Imported)'!$1:$5000,M2777,FALSE)</f>
        <v>0</v>
      </c>
      <c r="T2777">
        <f>HLOOKUP("Provisioned MiB",'vInfo (Imported)'!$1:$5000,M2777,FALSE)</f>
        <v>0</v>
      </c>
      <c r="U2777">
        <f t="shared" si="130"/>
        <v>0</v>
      </c>
      <c r="V2777">
        <f>HLOOKUP("In Use MiB",'vInfo (Imported)'!$1:$5000,M2777,FALSE)</f>
        <v>0</v>
      </c>
    </row>
    <row r="2778" spans="1:22" ht="13" x14ac:dyDescent="0.3">
      <c r="A2778" s="46">
        <f>'vHosts (Imported)'!A2778</f>
        <v>0</v>
      </c>
      <c r="B2778" s="51">
        <f t="shared" si="129"/>
        <v>4968</v>
      </c>
      <c r="C2778" s="49">
        <f>HLOOKUP("# Cores",'vHosts (Imported)'!$1:$5000,M2778,FALSE)</f>
        <v>0</v>
      </c>
      <c r="D2778" s="52">
        <f>HLOOKUP("# Memory",'vHosts (Imported)'!$1:$5000,M2778,FALSE)</f>
        <v>0</v>
      </c>
      <c r="M2778" s="45">
        <f t="shared" si="131"/>
        <v>2778</v>
      </c>
      <c r="N2778" s="38">
        <f>HLOOKUP("Host",'vInfo (Imported)'!$1:$5000,M2778,FALSE)</f>
        <v>0</v>
      </c>
      <c r="R2778">
        <f>HLOOKUP("CPUs",'vInfo (Imported)'!$1:$5000,M2778,FALSE)</f>
        <v>0</v>
      </c>
      <c r="S2778">
        <f>HLOOKUP("Memory",'vInfo (Imported)'!$1:$5000,M2778,FALSE)</f>
        <v>0</v>
      </c>
      <c r="T2778">
        <f>HLOOKUP("Provisioned MiB",'vInfo (Imported)'!$1:$5000,M2778,FALSE)</f>
        <v>0</v>
      </c>
      <c r="U2778">
        <f t="shared" si="130"/>
        <v>0</v>
      </c>
      <c r="V2778">
        <f>HLOOKUP("In Use MiB",'vInfo (Imported)'!$1:$5000,M2778,FALSE)</f>
        <v>0</v>
      </c>
    </row>
    <row r="2779" spans="1:22" ht="13" x14ac:dyDescent="0.3">
      <c r="A2779" s="46">
        <f>'vHosts (Imported)'!A2779</f>
        <v>0</v>
      </c>
      <c r="B2779" s="51">
        <f t="shared" si="129"/>
        <v>4968</v>
      </c>
      <c r="C2779" s="49">
        <f>HLOOKUP("# Cores",'vHosts (Imported)'!$1:$5000,M2779,FALSE)</f>
        <v>0</v>
      </c>
      <c r="D2779" s="52">
        <f>HLOOKUP("# Memory",'vHosts (Imported)'!$1:$5000,M2779,FALSE)</f>
        <v>0</v>
      </c>
      <c r="M2779" s="45">
        <f t="shared" si="131"/>
        <v>2779</v>
      </c>
      <c r="N2779" s="38">
        <f>HLOOKUP("Host",'vInfo (Imported)'!$1:$5000,M2779,FALSE)</f>
        <v>0</v>
      </c>
      <c r="R2779">
        <f>HLOOKUP("CPUs",'vInfo (Imported)'!$1:$5000,M2779,FALSE)</f>
        <v>0</v>
      </c>
      <c r="S2779">
        <f>HLOOKUP("Memory",'vInfo (Imported)'!$1:$5000,M2779,FALSE)</f>
        <v>0</v>
      </c>
      <c r="T2779">
        <f>HLOOKUP("Provisioned MiB",'vInfo (Imported)'!$1:$5000,M2779,FALSE)</f>
        <v>0</v>
      </c>
      <c r="U2779">
        <f t="shared" si="130"/>
        <v>0</v>
      </c>
      <c r="V2779">
        <f>HLOOKUP("In Use MiB",'vInfo (Imported)'!$1:$5000,M2779,FALSE)</f>
        <v>0</v>
      </c>
    </row>
    <row r="2780" spans="1:22" ht="13" x14ac:dyDescent="0.3">
      <c r="A2780" s="46">
        <f>'vHosts (Imported)'!A2780</f>
        <v>0</v>
      </c>
      <c r="B2780" s="51">
        <f t="shared" si="129"/>
        <v>4968</v>
      </c>
      <c r="C2780" s="49">
        <f>HLOOKUP("# Cores",'vHosts (Imported)'!$1:$5000,M2780,FALSE)</f>
        <v>0</v>
      </c>
      <c r="D2780" s="52">
        <f>HLOOKUP("# Memory",'vHosts (Imported)'!$1:$5000,M2780,FALSE)</f>
        <v>0</v>
      </c>
      <c r="M2780" s="45">
        <f t="shared" si="131"/>
        <v>2780</v>
      </c>
      <c r="N2780" s="38">
        <f>HLOOKUP("Host",'vInfo (Imported)'!$1:$5000,M2780,FALSE)</f>
        <v>0</v>
      </c>
      <c r="R2780">
        <f>HLOOKUP("CPUs",'vInfo (Imported)'!$1:$5000,M2780,FALSE)</f>
        <v>0</v>
      </c>
      <c r="S2780">
        <f>HLOOKUP("Memory",'vInfo (Imported)'!$1:$5000,M2780,FALSE)</f>
        <v>0</v>
      </c>
      <c r="T2780">
        <f>HLOOKUP("Provisioned MiB",'vInfo (Imported)'!$1:$5000,M2780,FALSE)</f>
        <v>0</v>
      </c>
      <c r="U2780">
        <f t="shared" si="130"/>
        <v>0</v>
      </c>
      <c r="V2780">
        <f>HLOOKUP("In Use MiB",'vInfo (Imported)'!$1:$5000,M2780,FALSE)</f>
        <v>0</v>
      </c>
    </row>
    <row r="2781" spans="1:22" ht="13" x14ac:dyDescent="0.3">
      <c r="A2781" s="46">
        <f>'vHosts (Imported)'!A2781</f>
        <v>0</v>
      </c>
      <c r="B2781" s="51">
        <f t="shared" si="129"/>
        <v>4968</v>
      </c>
      <c r="C2781" s="49">
        <f>HLOOKUP("# Cores",'vHosts (Imported)'!$1:$5000,M2781,FALSE)</f>
        <v>0</v>
      </c>
      <c r="D2781" s="52">
        <f>HLOOKUP("# Memory",'vHosts (Imported)'!$1:$5000,M2781,FALSE)</f>
        <v>0</v>
      </c>
      <c r="M2781" s="45">
        <f t="shared" si="131"/>
        <v>2781</v>
      </c>
      <c r="N2781" s="38">
        <f>HLOOKUP("Host",'vInfo (Imported)'!$1:$5000,M2781,FALSE)</f>
        <v>0</v>
      </c>
      <c r="R2781">
        <f>HLOOKUP("CPUs",'vInfo (Imported)'!$1:$5000,M2781,FALSE)</f>
        <v>0</v>
      </c>
      <c r="S2781">
        <f>HLOOKUP("Memory",'vInfo (Imported)'!$1:$5000,M2781,FALSE)</f>
        <v>0</v>
      </c>
      <c r="T2781">
        <f>HLOOKUP("Provisioned MiB",'vInfo (Imported)'!$1:$5000,M2781,FALSE)</f>
        <v>0</v>
      </c>
      <c r="U2781">
        <f t="shared" si="130"/>
        <v>0</v>
      </c>
      <c r="V2781">
        <f>HLOOKUP("In Use MiB",'vInfo (Imported)'!$1:$5000,M2781,FALSE)</f>
        <v>0</v>
      </c>
    </row>
    <row r="2782" spans="1:22" ht="13" x14ac:dyDescent="0.3">
      <c r="A2782" s="46">
        <f>'vHosts (Imported)'!A2782</f>
        <v>0</v>
      </c>
      <c r="B2782" s="51">
        <f t="shared" si="129"/>
        <v>4968</v>
      </c>
      <c r="C2782" s="49">
        <f>HLOOKUP("# Cores",'vHosts (Imported)'!$1:$5000,M2782,FALSE)</f>
        <v>0</v>
      </c>
      <c r="D2782" s="52">
        <f>HLOOKUP("# Memory",'vHosts (Imported)'!$1:$5000,M2782,FALSE)</f>
        <v>0</v>
      </c>
      <c r="M2782" s="45">
        <f t="shared" si="131"/>
        <v>2782</v>
      </c>
      <c r="N2782" s="38">
        <f>HLOOKUP("Host",'vInfo (Imported)'!$1:$5000,M2782,FALSE)</f>
        <v>0</v>
      </c>
      <c r="R2782">
        <f>HLOOKUP("CPUs",'vInfo (Imported)'!$1:$5000,M2782,FALSE)</f>
        <v>0</v>
      </c>
      <c r="S2782">
        <f>HLOOKUP("Memory",'vInfo (Imported)'!$1:$5000,M2782,FALSE)</f>
        <v>0</v>
      </c>
      <c r="T2782">
        <f>HLOOKUP("Provisioned MiB",'vInfo (Imported)'!$1:$5000,M2782,FALSE)</f>
        <v>0</v>
      </c>
      <c r="U2782">
        <f t="shared" si="130"/>
        <v>0</v>
      </c>
      <c r="V2782">
        <f>HLOOKUP("In Use MiB",'vInfo (Imported)'!$1:$5000,M2782,FALSE)</f>
        <v>0</v>
      </c>
    </row>
    <row r="2783" spans="1:22" ht="13" x14ac:dyDescent="0.3">
      <c r="A2783" s="46">
        <f>'vHosts (Imported)'!A2783</f>
        <v>0</v>
      </c>
      <c r="B2783" s="51">
        <f t="shared" si="129"/>
        <v>4968</v>
      </c>
      <c r="C2783" s="49">
        <f>HLOOKUP("# Cores",'vHosts (Imported)'!$1:$5000,M2783,FALSE)</f>
        <v>0</v>
      </c>
      <c r="D2783" s="52">
        <f>HLOOKUP("# Memory",'vHosts (Imported)'!$1:$5000,M2783,FALSE)</f>
        <v>0</v>
      </c>
      <c r="M2783" s="45">
        <f t="shared" si="131"/>
        <v>2783</v>
      </c>
      <c r="N2783" s="38">
        <f>HLOOKUP("Host",'vInfo (Imported)'!$1:$5000,M2783,FALSE)</f>
        <v>0</v>
      </c>
      <c r="R2783">
        <f>HLOOKUP("CPUs",'vInfo (Imported)'!$1:$5000,M2783,FALSE)</f>
        <v>0</v>
      </c>
      <c r="S2783">
        <f>HLOOKUP("Memory",'vInfo (Imported)'!$1:$5000,M2783,FALSE)</f>
        <v>0</v>
      </c>
      <c r="T2783">
        <f>HLOOKUP("Provisioned MiB",'vInfo (Imported)'!$1:$5000,M2783,FALSE)</f>
        <v>0</v>
      </c>
      <c r="U2783">
        <f t="shared" si="130"/>
        <v>0</v>
      </c>
      <c r="V2783">
        <f>HLOOKUP("In Use MiB",'vInfo (Imported)'!$1:$5000,M2783,FALSE)</f>
        <v>0</v>
      </c>
    </row>
    <row r="2784" spans="1:22" ht="13" x14ac:dyDescent="0.3">
      <c r="A2784" s="46">
        <f>'vHosts (Imported)'!A2784</f>
        <v>0</v>
      </c>
      <c r="B2784" s="51">
        <f t="shared" si="129"/>
        <v>4968</v>
      </c>
      <c r="C2784" s="49">
        <f>HLOOKUP("# Cores",'vHosts (Imported)'!$1:$5000,M2784,FALSE)</f>
        <v>0</v>
      </c>
      <c r="D2784" s="52">
        <f>HLOOKUP("# Memory",'vHosts (Imported)'!$1:$5000,M2784,FALSE)</f>
        <v>0</v>
      </c>
      <c r="M2784" s="45">
        <f t="shared" si="131"/>
        <v>2784</v>
      </c>
      <c r="N2784" s="38">
        <f>HLOOKUP("Host",'vInfo (Imported)'!$1:$5000,M2784,FALSE)</f>
        <v>0</v>
      </c>
      <c r="R2784">
        <f>HLOOKUP("CPUs",'vInfo (Imported)'!$1:$5000,M2784,FALSE)</f>
        <v>0</v>
      </c>
      <c r="S2784">
        <f>HLOOKUP("Memory",'vInfo (Imported)'!$1:$5000,M2784,FALSE)</f>
        <v>0</v>
      </c>
      <c r="T2784">
        <f>HLOOKUP("Provisioned MiB",'vInfo (Imported)'!$1:$5000,M2784,FALSE)</f>
        <v>0</v>
      </c>
      <c r="U2784">
        <f t="shared" si="130"/>
        <v>0</v>
      </c>
      <c r="V2784">
        <f>HLOOKUP("In Use MiB",'vInfo (Imported)'!$1:$5000,M2784,FALSE)</f>
        <v>0</v>
      </c>
    </row>
    <row r="2785" spans="1:22" ht="13" x14ac:dyDescent="0.3">
      <c r="A2785" s="46">
        <f>'vHosts (Imported)'!A2785</f>
        <v>0</v>
      </c>
      <c r="B2785" s="51">
        <f t="shared" si="129"/>
        <v>4968</v>
      </c>
      <c r="C2785" s="49">
        <f>HLOOKUP("# Cores",'vHosts (Imported)'!$1:$5000,M2785,FALSE)</f>
        <v>0</v>
      </c>
      <c r="D2785" s="52">
        <f>HLOOKUP("# Memory",'vHosts (Imported)'!$1:$5000,M2785,FALSE)</f>
        <v>0</v>
      </c>
      <c r="M2785" s="45">
        <f t="shared" si="131"/>
        <v>2785</v>
      </c>
      <c r="N2785" s="38">
        <f>HLOOKUP("Host",'vInfo (Imported)'!$1:$5000,M2785,FALSE)</f>
        <v>0</v>
      </c>
      <c r="R2785">
        <f>HLOOKUP("CPUs",'vInfo (Imported)'!$1:$5000,M2785,FALSE)</f>
        <v>0</v>
      </c>
      <c r="S2785">
        <f>HLOOKUP("Memory",'vInfo (Imported)'!$1:$5000,M2785,FALSE)</f>
        <v>0</v>
      </c>
      <c r="T2785">
        <f>HLOOKUP("Provisioned MiB",'vInfo (Imported)'!$1:$5000,M2785,FALSE)</f>
        <v>0</v>
      </c>
      <c r="U2785">
        <f t="shared" si="130"/>
        <v>0</v>
      </c>
      <c r="V2785">
        <f>HLOOKUP("In Use MiB",'vInfo (Imported)'!$1:$5000,M2785,FALSE)</f>
        <v>0</v>
      </c>
    </row>
    <row r="2786" spans="1:22" ht="13" x14ac:dyDescent="0.3">
      <c r="A2786" s="46">
        <f>'vHosts (Imported)'!A2786</f>
        <v>0</v>
      </c>
      <c r="B2786" s="51">
        <f t="shared" si="129"/>
        <v>4968</v>
      </c>
      <c r="C2786" s="49">
        <f>HLOOKUP("# Cores",'vHosts (Imported)'!$1:$5000,M2786,FALSE)</f>
        <v>0</v>
      </c>
      <c r="D2786" s="52">
        <f>HLOOKUP("# Memory",'vHosts (Imported)'!$1:$5000,M2786,FALSE)</f>
        <v>0</v>
      </c>
      <c r="M2786" s="45">
        <f t="shared" si="131"/>
        <v>2786</v>
      </c>
      <c r="N2786" s="38">
        <f>HLOOKUP("Host",'vInfo (Imported)'!$1:$5000,M2786,FALSE)</f>
        <v>0</v>
      </c>
      <c r="R2786">
        <f>HLOOKUP("CPUs",'vInfo (Imported)'!$1:$5000,M2786,FALSE)</f>
        <v>0</v>
      </c>
      <c r="S2786">
        <f>HLOOKUP("Memory",'vInfo (Imported)'!$1:$5000,M2786,FALSE)</f>
        <v>0</v>
      </c>
      <c r="T2786">
        <f>HLOOKUP("Provisioned MiB",'vInfo (Imported)'!$1:$5000,M2786,FALSE)</f>
        <v>0</v>
      </c>
      <c r="U2786">
        <f t="shared" si="130"/>
        <v>0</v>
      </c>
      <c r="V2786">
        <f>HLOOKUP("In Use MiB",'vInfo (Imported)'!$1:$5000,M2786,FALSE)</f>
        <v>0</v>
      </c>
    </row>
    <row r="2787" spans="1:22" ht="13" x14ac:dyDescent="0.3">
      <c r="A2787" s="46">
        <f>'vHosts (Imported)'!A2787</f>
        <v>0</v>
      </c>
      <c r="B2787" s="51">
        <f t="shared" si="129"/>
        <v>4968</v>
      </c>
      <c r="C2787" s="49">
        <f>HLOOKUP("# Cores",'vHosts (Imported)'!$1:$5000,M2787,FALSE)</f>
        <v>0</v>
      </c>
      <c r="D2787" s="52">
        <f>HLOOKUP("# Memory",'vHosts (Imported)'!$1:$5000,M2787,FALSE)</f>
        <v>0</v>
      </c>
      <c r="M2787" s="45">
        <f t="shared" si="131"/>
        <v>2787</v>
      </c>
      <c r="N2787" s="38">
        <f>HLOOKUP("Host",'vInfo (Imported)'!$1:$5000,M2787,FALSE)</f>
        <v>0</v>
      </c>
      <c r="R2787">
        <f>HLOOKUP("CPUs",'vInfo (Imported)'!$1:$5000,M2787,FALSE)</f>
        <v>0</v>
      </c>
      <c r="S2787">
        <f>HLOOKUP("Memory",'vInfo (Imported)'!$1:$5000,M2787,FALSE)</f>
        <v>0</v>
      </c>
      <c r="T2787">
        <f>HLOOKUP("Provisioned MiB",'vInfo (Imported)'!$1:$5000,M2787,FALSE)</f>
        <v>0</v>
      </c>
      <c r="U2787">
        <f t="shared" si="130"/>
        <v>0</v>
      </c>
      <c r="V2787">
        <f>HLOOKUP("In Use MiB",'vInfo (Imported)'!$1:$5000,M2787,FALSE)</f>
        <v>0</v>
      </c>
    </row>
    <row r="2788" spans="1:22" ht="13" x14ac:dyDescent="0.3">
      <c r="A2788" s="46">
        <f>'vHosts (Imported)'!A2788</f>
        <v>0</v>
      </c>
      <c r="B2788" s="51">
        <f t="shared" si="129"/>
        <v>4968</v>
      </c>
      <c r="C2788" s="49">
        <f>HLOOKUP("# Cores",'vHosts (Imported)'!$1:$5000,M2788,FALSE)</f>
        <v>0</v>
      </c>
      <c r="D2788" s="52">
        <f>HLOOKUP("# Memory",'vHosts (Imported)'!$1:$5000,M2788,FALSE)</f>
        <v>0</v>
      </c>
      <c r="M2788" s="45">
        <f t="shared" si="131"/>
        <v>2788</v>
      </c>
      <c r="N2788" s="38">
        <f>HLOOKUP("Host",'vInfo (Imported)'!$1:$5000,M2788,FALSE)</f>
        <v>0</v>
      </c>
      <c r="R2788">
        <f>HLOOKUP("CPUs",'vInfo (Imported)'!$1:$5000,M2788,FALSE)</f>
        <v>0</v>
      </c>
      <c r="S2788">
        <f>HLOOKUP("Memory",'vInfo (Imported)'!$1:$5000,M2788,FALSE)</f>
        <v>0</v>
      </c>
      <c r="T2788">
        <f>HLOOKUP("Provisioned MiB",'vInfo (Imported)'!$1:$5000,M2788,FALSE)</f>
        <v>0</v>
      </c>
      <c r="U2788">
        <f t="shared" si="130"/>
        <v>0</v>
      </c>
      <c r="V2788">
        <f>HLOOKUP("In Use MiB",'vInfo (Imported)'!$1:$5000,M2788,FALSE)</f>
        <v>0</v>
      </c>
    </row>
    <row r="2789" spans="1:22" ht="13" x14ac:dyDescent="0.3">
      <c r="A2789" s="46">
        <f>'vHosts (Imported)'!A2789</f>
        <v>0</v>
      </c>
      <c r="B2789" s="51">
        <f t="shared" si="129"/>
        <v>4968</v>
      </c>
      <c r="C2789" s="49">
        <f>HLOOKUP("# Cores",'vHosts (Imported)'!$1:$5000,M2789,FALSE)</f>
        <v>0</v>
      </c>
      <c r="D2789" s="52">
        <f>HLOOKUP("# Memory",'vHosts (Imported)'!$1:$5000,M2789,FALSE)</f>
        <v>0</v>
      </c>
      <c r="M2789" s="45">
        <f t="shared" si="131"/>
        <v>2789</v>
      </c>
      <c r="N2789" s="38">
        <f>HLOOKUP("Host",'vInfo (Imported)'!$1:$5000,M2789,FALSE)</f>
        <v>0</v>
      </c>
      <c r="R2789">
        <f>HLOOKUP("CPUs",'vInfo (Imported)'!$1:$5000,M2789,FALSE)</f>
        <v>0</v>
      </c>
      <c r="S2789">
        <f>HLOOKUP("Memory",'vInfo (Imported)'!$1:$5000,M2789,FALSE)</f>
        <v>0</v>
      </c>
      <c r="T2789">
        <f>HLOOKUP("Provisioned MiB",'vInfo (Imported)'!$1:$5000,M2789,FALSE)</f>
        <v>0</v>
      </c>
      <c r="U2789">
        <f t="shared" si="130"/>
        <v>0</v>
      </c>
      <c r="V2789">
        <f>HLOOKUP("In Use MiB",'vInfo (Imported)'!$1:$5000,M2789,FALSE)</f>
        <v>0</v>
      </c>
    </row>
    <row r="2790" spans="1:22" ht="13" x14ac:dyDescent="0.3">
      <c r="A2790" s="46">
        <f>'vHosts (Imported)'!A2790</f>
        <v>0</v>
      </c>
      <c r="B2790" s="51">
        <f t="shared" si="129"/>
        <v>4968</v>
      </c>
      <c r="C2790" s="49">
        <f>HLOOKUP("# Cores",'vHosts (Imported)'!$1:$5000,M2790,FALSE)</f>
        <v>0</v>
      </c>
      <c r="D2790" s="52">
        <f>HLOOKUP("# Memory",'vHosts (Imported)'!$1:$5000,M2790,FALSE)</f>
        <v>0</v>
      </c>
      <c r="M2790" s="45">
        <f t="shared" si="131"/>
        <v>2790</v>
      </c>
      <c r="N2790" s="38">
        <f>HLOOKUP("Host",'vInfo (Imported)'!$1:$5000,M2790,FALSE)</f>
        <v>0</v>
      </c>
      <c r="R2790">
        <f>HLOOKUP("CPUs",'vInfo (Imported)'!$1:$5000,M2790,FALSE)</f>
        <v>0</v>
      </c>
      <c r="S2790">
        <f>HLOOKUP("Memory",'vInfo (Imported)'!$1:$5000,M2790,FALSE)</f>
        <v>0</v>
      </c>
      <c r="T2790">
        <f>HLOOKUP("Provisioned MiB",'vInfo (Imported)'!$1:$5000,M2790,FALSE)</f>
        <v>0</v>
      </c>
      <c r="U2790">
        <f t="shared" si="130"/>
        <v>0</v>
      </c>
      <c r="V2790">
        <f>HLOOKUP("In Use MiB",'vInfo (Imported)'!$1:$5000,M2790,FALSE)</f>
        <v>0</v>
      </c>
    </row>
    <row r="2791" spans="1:22" ht="13" x14ac:dyDescent="0.3">
      <c r="A2791" s="46">
        <f>'vHosts (Imported)'!A2791</f>
        <v>0</v>
      </c>
      <c r="B2791" s="51">
        <f t="shared" si="129"/>
        <v>4968</v>
      </c>
      <c r="C2791" s="49">
        <f>HLOOKUP("# Cores",'vHosts (Imported)'!$1:$5000,M2791,FALSE)</f>
        <v>0</v>
      </c>
      <c r="D2791" s="52">
        <f>HLOOKUP("# Memory",'vHosts (Imported)'!$1:$5000,M2791,FALSE)</f>
        <v>0</v>
      </c>
      <c r="M2791" s="45">
        <f t="shared" si="131"/>
        <v>2791</v>
      </c>
      <c r="N2791" s="38">
        <f>HLOOKUP("Host",'vInfo (Imported)'!$1:$5000,M2791,FALSE)</f>
        <v>0</v>
      </c>
      <c r="R2791">
        <f>HLOOKUP("CPUs",'vInfo (Imported)'!$1:$5000,M2791,FALSE)</f>
        <v>0</v>
      </c>
      <c r="S2791">
        <f>HLOOKUP("Memory",'vInfo (Imported)'!$1:$5000,M2791,FALSE)</f>
        <v>0</v>
      </c>
      <c r="T2791">
        <f>HLOOKUP("Provisioned MiB",'vInfo (Imported)'!$1:$5000,M2791,FALSE)</f>
        <v>0</v>
      </c>
      <c r="U2791">
        <f t="shared" si="130"/>
        <v>0</v>
      </c>
      <c r="V2791">
        <f>HLOOKUP("In Use MiB",'vInfo (Imported)'!$1:$5000,M2791,FALSE)</f>
        <v>0</v>
      </c>
    </row>
    <row r="2792" spans="1:22" ht="13" x14ac:dyDescent="0.3">
      <c r="A2792" s="46">
        <f>'vHosts (Imported)'!A2792</f>
        <v>0</v>
      </c>
      <c r="B2792" s="51">
        <f t="shared" ref="B2792:B2855" si="132">COUNTIF(N:N,A2792)</f>
        <v>4968</v>
      </c>
      <c r="C2792" s="49">
        <f>HLOOKUP("# Cores",'vHosts (Imported)'!$1:$5000,M2792,FALSE)</f>
        <v>0</v>
      </c>
      <c r="D2792" s="52">
        <f>HLOOKUP("# Memory",'vHosts (Imported)'!$1:$5000,M2792,FALSE)</f>
        <v>0</v>
      </c>
      <c r="M2792" s="45">
        <f t="shared" si="131"/>
        <v>2792</v>
      </c>
      <c r="N2792" s="38">
        <f>HLOOKUP("Host",'vInfo (Imported)'!$1:$5000,M2792,FALSE)</f>
        <v>0</v>
      </c>
      <c r="R2792">
        <f>HLOOKUP("CPUs",'vInfo (Imported)'!$1:$5000,M2792,FALSE)</f>
        <v>0</v>
      </c>
      <c r="S2792">
        <f>HLOOKUP("Memory",'vInfo (Imported)'!$1:$5000,M2792,FALSE)</f>
        <v>0</v>
      </c>
      <c r="T2792">
        <f>HLOOKUP("Provisioned MiB",'vInfo (Imported)'!$1:$5000,M2792,FALSE)</f>
        <v>0</v>
      </c>
      <c r="U2792">
        <f t="shared" si="130"/>
        <v>0</v>
      </c>
      <c r="V2792">
        <f>HLOOKUP("In Use MiB",'vInfo (Imported)'!$1:$5000,M2792,FALSE)</f>
        <v>0</v>
      </c>
    </row>
    <row r="2793" spans="1:22" ht="13" x14ac:dyDescent="0.3">
      <c r="A2793" s="46">
        <f>'vHosts (Imported)'!A2793</f>
        <v>0</v>
      </c>
      <c r="B2793" s="51">
        <f t="shared" si="132"/>
        <v>4968</v>
      </c>
      <c r="C2793" s="49">
        <f>HLOOKUP("# Cores",'vHosts (Imported)'!$1:$5000,M2793,FALSE)</f>
        <v>0</v>
      </c>
      <c r="D2793" s="52">
        <f>HLOOKUP("# Memory",'vHosts (Imported)'!$1:$5000,M2793,FALSE)</f>
        <v>0</v>
      </c>
      <c r="M2793" s="45">
        <f t="shared" si="131"/>
        <v>2793</v>
      </c>
      <c r="N2793" s="38">
        <f>HLOOKUP("Host",'vInfo (Imported)'!$1:$5000,M2793,FALSE)</f>
        <v>0</v>
      </c>
      <c r="R2793">
        <f>HLOOKUP("CPUs",'vInfo (Imported)'!$1:$5000,M2793,FALSE)</f>
        <v>0</v>
      </c>
      <c r="S2793">
        <f>HLOOKUP("Memory",'vInfo (Imported)'!$1:$5000,M2793,FALSE)</f>
        <v>0</v>
      </c>
      <c r="T2793">
        <f>HLOOKUP("Provisioned MiB",'vInfo (Imported)'!$1:$5000,M2793,FALSE)</f>
        <v>0</v>
      </c>
      <c r="U2793">
        <f t="shared" si="130"/>
        <v>0</v>
      </c>
      <c r="V2793">
        <f>HLOOKUP("In Use MiB",'vInfo (Imported)'!$1:$5000,M2793,FALSE)</f>
        <v>0</v>
      </c>
    </row>
    <row r="2794" spans="1:22" ht="13" x14ac:dyDescent="0.3">
      <c r="A2794" s="46">
        <f>'vHosts (Imported)'!A2794</f>
        <v>0</v>
      </c>
      <c r="B2794" s="51">
        <f t="shared" si="132"/>
        <v>4968</v>
      </c>
      <c r="C2794" s="49">
        <f>HLOOKUP("# Cores",'vHosts (Imported)'!$1:$5000,M2794,FALSE)</f>
        <v>0</v>
      </c>
      <c r="D2794" s="52">
        <f>HLOOKUP("# Memory",'vHosts (Imported)'!$1:$5000,M2794,FALSE)</f>
        <v>0</v>
      </c>
      <c r="M2794" s="45">
        <f t="shared" si="131"/>
        <v>2794</v>
      </c>
      <c r="N2794" s="38">
        <f>HLOOKUP("Host",'vInfo (Imported)'!$1:$5000,M2794,FALSE)</f>
        <v>0</v>
      </c>
      <c r="R2794">
        <f>HLOOKUP("CPUs",'vInfo (Imported)'!$1:$5000,M2794,FALSE)</f>
        <v>0</v>
      </c>
      <c r="S2794">
        <f>HLOOKUP("Memory",'vInfo (Imported)'!$1:$5000,M2794,FALSE)</f>
        <v>0</v>
      </c>
      <c r="T2794">
        <f>HLOOKUP("Provisioned MiB",'vInfo (Imported)'!$1:$5000,M2794,FALSE)</f>
        <v>0</v>
      </c>
      <c r="U2794">
        <f t="shared" si="130"/>
        <v>0</v>
      </c>
      <c r="V2794">
        <f>HLOOKUP("In Use MiB",'vInfo (Imported)'!$1:$5000,M2794,FALSE)</f>
        <v>0</v>
      </c>
    </row>
    <row r="2795" spans="1:22" ht="13" x14ac:dyDescent="0.3">
      <c r="A2795" s="46">
        <f>'vHosts (Imported)'!A2795</f>
        <v>0</v>
      </c>
      <c r="B2795" s="51">
        <f t="shared" si="132"/>
        <v>4968</v>
      </c>
      <c r="C2795" s="49">
        <f>HLOOKUP("# Cores",'vHosts (Imported)'!$1:$5000,M2795,FALSE)</f>
        <v>0</v>
      </c>
      <c r="D2795" s="52">
        <f>HLOOKUP("# Memory",'vHosts (Imported)'!$1:$5000,M2795,FALSE)</f>
        <v>0</v>
      </c>
      <c r="M2795" s="45">
        <f t="shared" si="131"/>
        <v>2795</v>
      </c>
      <c r="N2795" s="38">
        <f>HLOOKUP("Host",'vInfo (Imported)'!$1:$5000,M2795,FALSE)</f>
        <v>0</v>
      </c>
      <c r="R2795">
        <f>HLOOKUP("CPUs",'vInfo (Imported)'!$1:$5000,M2795,FALSE)</f>
        <v>0</v>
      </c>
      <c r="S2795">
        <f>HLOOKUP("Memory",'vInfo (Imported)'!$1:$5000,M2795,FALSE)</f>
        <v>0</v>
      </c>
      <c r="T2795">
        <f>HLOOKUP("Provisioned MiB",'vInfo (Imported)'!$1:$5000,M2795,FALSE)</f>
        <v>0</v>
      </c>
      <c r="U2795">
        <f t="shared" si="130"/>
        <v>0</v>
      </c>
      <c r="V2795">
        <f>HLOOKUP("In Use MiB",'vInfo (Imported)'!$1:$5000,M2795,FALSE)</f>
        <v>0</v>
      </c>
    </row>
    <row r="2796" spans="1:22" ht="13" x14ac:dyDescent="0.3">
      <c r="A2796" s="46">
        <f>'vHosts (Imported)'!A2796</f>
        <v>0</v>
      </c>
      <c r="B2796" s="51">
        <f t="shared" si="132"/>
        <v>4968</v>
      </c>
      <c r="C2796" s="49">
        <f>HLOOKUP("# Cores",'vHosts (Imported)'!$1:$5000,M2796,FALSE)</f>
        <v>0</v>
      </c>
      <c r="D2796" s="52">
        <f>HLOOKUP("# Memory",'vHosts (Imported)'!$1:$5000,M2796,FALSE)</f>
        <v>0</v>
      </c>
      <c r="M2796" s="45">
        <f t="shared" si="131"/>
        <v>2796</v>
      </c>
      <c r="N2796" s="38">
        <f>HLOOKUP("Host",'vInfo (Imported)'!$1:$5000,M2796,FALSE)</f>
        <v>0</v>
      </c>
      <c r="R2796">
        <f>HLOOKUP("CPUs",'vInfo (Imported)'!$1:$5000,M2796,FALSE)</f>
        <v>0</v>
      </c>
      <c r="S2796">
        <f>HLOOKUP("Memory",'vInfo (Imported)'!$1:$5000,M2796,FALSE)</f>
        <v>0</v>
      </c>
      <c r="T2796">
        <f>HLOOKUP("Provisioned MiB",'vInfo (Imported)'!$1:$5000,M2796,FALSE)</f>
        <v>0</v>
      </c>
      <c r="U2796">
        <f t="shared" si="130"/>
        <v>0</v>
      </c>
      <c r="V2796">
        <f>HLOOKUP("In Use MiB",'vInfo (Imported)'!$1:$5000,M2796,FALSE)</f>
        <v>0</v>
      </c>
    </row>
    <row r="2797" spans="1:22" ht="13" x14ac:dyDescent="0.3">
      <c r="A2797" s="46">
        <f>'vHosts (Imported)'!A2797</f>
        <v>0</v>
      </c>
      <c r="B2797" s="51">
        <f t="shared" si="132"/>
        <v>4968</v>
      </c>
      <c r="C2797" s="49">
        <f>HLOOKUP("# Cores",'vHosts (Imported)'!$1:$5000,M2797,FALSE)</f>
        <v>0</v>
      </c>
      <c r="D2797" s="52">
        <f>HLOOKUP("# Memory",'vHosts (Imported)'!$1:$5000,M2797,FALSE)</f>
        <v>0</v>
      </c>
      <c r="M2797" s="45">
        <f t="shared" si="131"/>
        <v>2797</v>
      </c>
      <c r="N2797" s="38">
        <f>HLOOKUP("Host",'vInfo (Imported)'!$1:$5000,M2797,FALSE)</f>
        <v>0</v>
      </c>
      <c r="R2797">
        <f>HLOOKUP("CPUs",'vInfo (Imported)'!$1:$5000,M2797,FALSE)</f>
        <v>0</v>
      </c>
      <c r="S2797">
        <f>HLOOKUP("Memory",'vInfo (Imported)'!$1:$5000,M2797,FALSE)</f>
        <v>0</v>
      </c>
      <c r="T2797">
        <f>HLOOKUP("Provisioned MiB",'vInfo (Imported)'!$1:$5000,M2797,FALSE)</f>
        <v>0</v>
      </c>
      <c r="U2797">
        <f t="shared" si="130"/>
        <v>0</v>
      </c>
      <c r="V2797">
        <f>HLOOKUP("In Use MiB",'vInfo (Imported)'!$1:$5000,M2797,FALSE)</f>
        <v>0</v>
      </c>
    </row>
    <row r="2798" spans="1:22" ht="13" x14ac:dyDescent="0.3">
      <c r="A2798" s="46">
        <f>'vHosts (Imported)'!A2798</f>
        <v>0</v>
      </c>
      <c r="B2798" s="51">
        <f t="shared" si="132"/>
        <v>4968</v>
      </c>
      <c r="C2798" s="49">
        <f>HLOOKUP("# Cores",'vHosts (Imported)'!$1:$5000,M2798,FALSE)</f>
        <v>0</v>
      </c>
      <c r="D2798" s="52">
        <f>HLOOKUP("# Memory",'vHosts (Imported)'!$1:$5000,M2798,FALSE)</f>
        <v>0</v>
      </c>
      <c r="M2798" s="45">
        <f t="shared" si="131"/>
        <v>2798</v>
      </c>
      <c r="N2798" s="38">
        <f>HLOOKUP("Host",'vInfo (Imported)'!$1:$5000,M2798,FALSE)</f>
        <v>0</v>
      </c>
      <c r="R2798">
        <f>HLOOKUP("CPUs",'vInfo (Imported)'!$1:$5000,M2798,FALSE)</f>
        <v>0</v>
      </c>
      <c r="S2798">
        <f>HLOOKUP("Memory",'vInfo (Imported)'!$1:$5000,M2798,FALSE)</f>
        <v>0</v>
      </c>
      <c r="T2798">
        <f>HLOOKUP("Provisioned MiB",'vInfo (Imported)'!$1:$5000,M2798,FALSE)</f>
        <v>0</v>
      </c>
      <c r="U2798">
        <f t="shared" si="130"/>
        <v>0</v>
      </c>
      <c r="V2798">
        <f>HLOOKUP("In Use MiB",'vInfo (Imported)'!$1:$5000,M2798,FALSE)</f>
        <v>0</v>
      </c>
    </row>
    <row r="2799" spans="1:22" ht="13" x14ac:dyDescent="0.3">
      <c r="A2799" s="46">
        <f>'vHosts (Imported)'!A2799</f>
        <v>0</v>
      </c>
      <c r="B2799" s="51">
        <f t="shared" si="132"/>
        <v>4968</v>
      </c>
      <c r="C2799" s="49">
        <f>HLOOKUP("# Cores",'vHosts (Imported)'!$1:$5000,M2799,FALSE)</f>
        <v>0</v>
      </c>
      <c r="D2799" s="52">
        <f>HLOOKUP("# Memory",'vHosts (Imported)'!$1:$5000,M2799,FALSE)</f>
        <v>0</v>
      </c>
      <c r="M2799" s="45">
        <f t="shared" si="131"/>
        <v>2799</v>
      </c>
      <c r="N2799" s="38">
        <f>HLOOKUP("Host",'vInfo (Imported)'!$1:$5000,M2799,FALSE)</f>
        <v>0</v>
      </c>
      <c r="R2799">
        <f>HLOOKUP("CPUs",'vInfo (Imported)'!$1:$5000,M2799,FALSE)</f>
        <v>0</v>
      </c>
      <c r="S2799">
        <f>HLOOKUP("Memory",'vInfo (Imported)'!$1:$5000,M2799,FALSE)</f>
        <v>0</v>
      </c>
      <c r="T2799">
        <f>HLOOKUP("Provisioned MiB",'vInfo (Imported)'!$1:$5000,M2799,FALSE)</f>
        <v>0</v>
      </c>
      <c r="U2799">
        <f t="shared" si="130"/>
        <v>0</v>
      </c>
      <c r="V2799">
        <f>HLOOKUP("In Use MiB",'vInfo (Imported)'!$1:$5000,M2799,FALSE)</f>
        <v>0</v>
      </c>
    </row>
    <row r="2800" spans="1:22" ht="13" x14ac:dyDescent="0.3">
      <c r="A2800" s="46">
        <f>'vHosts (Imported)'!A2800</f>
        <v>0</v>
      </c>
      <c r="B2800" s="51">
        <f t="shared" si="132"/>
        <v>4968</v>
      </c>
      <c r="C2800" s="49">
        <f>HLOOKUP("# Cores",'vHosts (Imported)'!$1:$5000,M2800,FALSE)</f>
        <v>0</v>
      </c>
      <c r="D2800" s="52">
        <f>HLOOKUP("# Memory",'vHosts (Imported)'!$1:$5000,M2800,FALSE)</f>
        <v>0</v>
      </c>
      <c r="M2800" s="45">
        <f t="shared" si="131"/>
        <v>2800</v>
      </c>
      <c r="N2800" s="38">
        <f>HLOOKUP("Host",'vInfo (Imported)'!$1:$5000,M2800,FALSE)</f>
        <v>0</v>
      </c>
      <c r="R2800">
        <f>HLOOKUP("CPUs",'vInfo (Imported)'!$1:$5000,M2800,FALSE)</f>
        <v>0</v>
      </c>
      <c r="S2800">
        <f>HLOOKUP("Memory",'vInfo (Imported)'!$1:$5000,M2800,FALSE)</f>
        <v>0</v>
      </c>
      <c r="T2800">
        <f>HLOOKUP("Provisioned MiB",'vInfo (Imported)'!$1:$5000,M2800,FALSE)</f>
        <v>0</v>
      </c>
      <c r="U2800">
        <f t="shared" si="130"/>
        <v>0</v>
      </c>
      <c r="V2800">
        <f>HLOOKUP("In Use MiB",'vInfo (Imported)'!$1:$5000,M2800,FALSE)</f>
        <v>0</v>
      </c>
    </row>
    <row r="2801" spans="1:22" ht="13" x14ac:dyDescent="0.3">
      <c r="A2801" s="46">
        <f>'vHosts (Imported)'!A2801</f>
        <v>0</v>
      </c>
      <c r="B2801" s="51">
        <f t="shared" si="132"/>
        <v>4968</v>
      </c>
      <c r="C2801" s="49">
        <f>HLOOKUP("# Cores",'vHosts (Imported)'!$1:$5000,M2801,FALSE)</f>
        <v>0</v>
      </c>
      <c r="D2801" s="52">
        <f>HLOOKUP("# Memory",'vHosts (Imported)'!$1:$5000,M2801,FALSE)</f>
        <v>0</v>
      </c>
      <c r="M2801" s="45">
        <f t="shared" si="131"/>
        <v>2801</v>
      </c>
      <c r="N2801" s="38">
        <f>HLOOKUP("Host",'vInfo (Imported)'!$1:$5000,M2801,FALSE)</f>
        <v>0</v>
      </c>
      <c r="R2801">
        <f>HLOOKUP("CPUs",'vInfo (Imported)'!$1:$5000,M2801,FALSE)</f>
        <v>0</v>
      </c>
      <c r="S2801">
        <f>HLOOKUP("Memory",'vInfo (Imported)'!$1:$5000,M2801,FALSE)</f>
        <v>0</v>
      </c>
      <c r="T2801">
        <f>HLOOKUP("Provisioned MiB",'vInfo (Imported)'!$1:$5000,M2801,FALSE)</f>
        <v>0</v>
      </c>
      <c r="U2801">
        <f t="shared" si="130"/>
        <v>0</v>
      </c>
      <c r="V2801">
        <f>HLOOKUP("In Use MiB",'vInfo (Imported)'!$1:$5000,M2801,FALSE)</f>
        <v>0</v>
      </c>
    </row>
    <row r="2802" spans="1:22" ht="13" x14ac:dyDescent="0.3">
      <c r="A2802" s="46">
        <f>'vHosts (Imported)'!A2802</f>
        <v>0</v>
      </c>
      <c r="B2802" s="51">
        <f t="shared" si="132"/>
        <v>4968</v>
      </c>
      <c r="C2802" s="49">
        <f>HLOOKUP("# Cores",'vHosts (Imported)'!$1:$5000,M2802,FALSE)</f>
        <v>0</v>
      </c>
      <c r="D2802" s="52">
        <f>HLOOKUP("# Memory",'vHosts (Imported)'!$1:$5000,M2802,FALSE)</f>
        <v>0</v>
      </c>
      <c r="M2802" s="45">
        <f t="shared" si="131"/>
        <v>2802</v>
      </c>
      <c r="N2802" s="38">
        <f>HLOOKUP("Host",'vInfo (Imported)'!$1:$5000,M2802,FALSE)</f>
        <v>0</v>
      </c>
      <c r="R2802">
        <f>HLOOKUP("CPUs",'vInfo (Imported)'!$1:$5000,M2802,FALSE)</f>
        <v>0</v>
      </c>
      <c r="S2802">
        <f>HLOOKUP("Memory",'vInfo (Imported)'!$1:$5000,M2802,FALSE)</f>
        <v>0</v>
      </c>
      <c r="T2802">
        <f>HLOOKUP("Provisioned MiB",'vInfo (Imported)'!$1:$5000,M2802,FALSE)</f>
        <v>0</v>
      </c>
      <c r="U2802">
        <f t="shared" si="130"/>
        <v>0</v>
      </c>
      <c r="V2802">
        <f>HLOOKUP("In Use MiB",'vInfo (Imported)'!$1:$5000,M2802,FALSE)</f>
        <v>0</v>
      </c>
    </row>
    <row r="2803" spans="1:22" ht="13" x14ac:dyDescent="0.3">
      <c r="A2803" s="46">
        <f>'vHosts (Imported)'!A2803</f>
        <v>0</v>
      </c>
      <c r="B2803" s="51">
        <f t="shared" si="132"/>
        <v>4968</v>
      </c>
      <c r="C2803" s="49">
        <f>HLOOKUP("# Cores",'vHosts (Imported)'!$1:$5000,M2803,FALSE)</f>
        <v>0</v>
      </c>
      <c r="D2803" s="52">
        <f>HLOOKUP("# Memory",'vHosts (Imported)'!$1:$5000,M2803,FALSE)</f>
        <v>0</v>
      </c>
      <c r="M2803" s="45">
        <f t="shared" si="131"/>
        <v>2803</v>
      </c>
      <c r="N2803" s="38">
        <f>HLOOKUP("Host",'vInfo (Imported)'!$1:$5000,M2803,FALSE)</f>
        <v>0</v>
      </c>
      <c r="R2803">
        <f>HLOOKUP("CPUs",'vInfo (Imported)'!$1:$5000,M2803,FALSE)</f>
        <v>0</v>
      </c>
      <c r="S2803">
        <f>HLOOKUP("Memory",'vInfo (Imported)'!$1:$5000,M2803,FALSE)</f>
        <v>0</v>
      </c>
      <c r="T2803">
        <f>HLOOKUP("Provisioned MiB",'vInfo (Imported)'!$1:$5000,M2803,FALSE)</f>
        <v>0</v>
      </c>
      <c r="U2803">
        <f t="shared" si="130"/>
        <v>0</v>
      </c>
      <c r="V2803">
        <f>HLOOKUP("In Use MiB",'vInfo (Imported)'!$1:$5000,M2803,FALSE)</f>
        <v>0</v>
      </c>
    </row>
    <row r="2804" spans="1:22" ht="13" x14ac:dyDescent="0.3">
      <c r="A2804" s="46">
        <f>'vHosts (Imported)'!A2804</f>
        <v>0</v>
      </c>
      <c r="B2804" s="51">
        <f t="shared" si="132"/>
        <v>4968</v>
      </c>
      <c r="C2804" s="49">
        <f>HLOOKUP("# Cores",'vHosts (Imported)'!$1:$5000,M2804,FALSE)</f>
        <v>0</v>
      </c>
      <c r="D2804" s="52">
        <f>HLOOKUP("# Memory",'vHosts (Imported)'!$1:$5000,M2804,FALSE)</f>
        <v>0</v>
      </c>
      <c r="M2804" s="45">
        <f t="shared" si="131"/>
        <v>2804</v>
      </c>
      <c r="N2804" s="38">
        <f>HLOOKUP("Host",'vInfo (Imported)'!$1:$5000,M2804,FALSE)</f>
        <v>0</v>
      </c>
      <c r="R2804">
        <f>HLOOKUP("CPUs",'vInfo (Imported)'!$1:$5000,M2804,FALSE)</f>
        <v>0</v>
      </c>
      <c r="S2804">
        <f>HLOOKUP("Memory",'vInfo (Imported)'!$1:$5000,M2804,FALSE)</f>
        <v>0</v>
      </c>
      <c r="T2804">
        <f>HLOOKUP("Provisioned MiB",'vInfo (Imported)'!$1:$5000,M2804,FALSE)</f>
        <v>0</v>
      </c>
      <c r="U2804">
        <f t="shared" si="130"/>
        <v>0</v>
      </c>
      <c r="V2804">
        <f>HLOOKUP("In Use MiB",'vInfo (Imported)'!$1:$5000,M2804,FALSE)</f>
        <v>0</v>
      </c>
    </row>
    <row r="2805" spans="1:22" ht="13" x14ac:dyDescent="0.3">
      <c r="A2805" s="46">
        <f>'vHosts (Imported)'!A2805</f>
        <v>0</v>
      </c>
      <c r="B2805" s="51">
        <f t="shared" si="132"/>
        <v>4968</v>
      </c>
      <c r="C2805" s="49">
        <f>HLOOKUP("# Cores",'vHosts (Imported)'!$1:$5000,M2805,FALSE)</f>
        <v>0</v>
      </c>
      <c r="D2805" s="52">
        <f>HLOOKUP("# Memory",'vHosts (Imported)'!$1:$5000,M2805,FALSE)</f>
        <v>0</v>
      </c>
      <c r="M2805" s="45">
        <f t="shared" si="131"/>
        <v>2805</v>
      </c>
      <c r="N2805" s="38">
        <f>HLOOKUP("Host",'vInfo (Imported)'!$1:$5000,M2805,FALSE)</f>
        <v>0</v>
      </c>
      <c r="R2805">
        <f>HLOOKUP("CPUs",'vInfo (Imported)'!$1:$5000,M2805,FALSE)</f>
        <v>0</v>
      </c>
      <c r="S2805">
        <f>HLOOKUP("Memory",'vInfo (Imported)'!$1:$5000,M2805,FALSE)</f>
        <v>0</v>
      </c>
      <c r="T2805">
        <f>HLOOKUP("Provisioned MiB",'vInfo (Imported)'!$1:$5000,M2805,FALSE)</f>
        <v>0</v>
      </c>
      <c r="U2805">
        <f t="shared" si="130"/>
        <v>0</v>
      </c>
      <c r="V2805">
        <f>HLOOKUP("In Use MiB",'vInfo (Imported)'!$1:$5000,M2805,FALSE)</f>
        <v>0</v>
      </c>
    </row>
    <row r="2806" spans="1:22" ht="13" x14ac:dyDescent="0.3">
      <c r="A2806" s="46">
        <f>'vHosts (Imported)'!A2806</f>
        <v>0</v>
      </c>
      <c r="B2806" s="51">
        <f t="shared" si="132"/>
        <v>4968</v>
      </c>
      <c r="C2806" s="49">
        <f>HLOOKUP("# Cores",'vHosts (Imported)'!$1:$5000,M2806,FALSE)</f>
        <v>0</v>
      </c>
      <c r="D2806" s="52">
        <f>HLOOKUP("# Memory",'vHosts (Imported)'!$1:$5000,M2806,FALSE)</f>
        <v>0</v>
      </c>
      <c r="M2806" s="45">
        <f t="shared" si="131"/>
        <v>2806</v>
      </c>
      <c r="N2806" s="38">
        <f>HLOOKUP("Host",'vInfo (Imported)'!$1:$5000,M2806,FALSE)</f>
        <v>0</v>
      </c>
      <c r="R2806">
        <f>HLOOKUP("CPUs",'vInfo (Imported)'!$1:$5000,M2806,FALSE)</f>
        <v>0</v>
      </c>
      <c r="S2806">
        <f>HLOOKUP("Memory",'vInfo (Imported)'!$1:$5000,M2806,FALSE)</f>
        <v>0</v>
      </c>
      <c r="T2806">
        <f>HLOOKUP("Provisioned MiB",'vInfo (Imported)'!$1:$5000,M2806,FALSE)</f>
        <v>0</v>
      </c>
      <c r="U2806">
        <f t="shared" si="130"/>
        <v>0</v>
      </c>
      <c r="V2806">
        <f>HLOOKUP("In Use MiB",'vInfo (Imported)'!$1:$5000,M2806,FALSE)</f>
        <v>0</v>
      </c>
    </row>
    <row r="2807" spans="1:22" ht="13" x14ac:dyDescent="0.3">
      <c r="A2807" s="46">
        <f>'vHosts (Imported)'!A2807</f>
        <v>0</v>
      </c>
      <c r="B2807" s="51">
        <f t="shared" si="132"/>
        <v>4968</v>
      </c>
      <c r="C2807" s="49">
        <f>HLOOKUP("# Cores",'vHosts (Imported)'!$1:$5000,M2807,FALSE)</f>
        <v>0</v>
      </c>
      <c r="D2807" s="52">
        <f>HLOOKUP("# Memory",'vHosts (Imported)'!$1:$5000,M2807,FALSE)</f>
        <v>0</v>
      </c>
      <c r="M2807" s="45">
        <f t="shared" si="131"/>
        <v>2807</v>
      </c>
      <c r="N2807" s="38">
        <f>HLOOKUP("Host",'vInfo (Imported)'!$1:$5000,M2807,FALSE)</f>
        <v>0</v>
      </c>
      <c r="R2807">
        <f>HLOOKUP("CPUs",'vInfo (Imported)'!$1:$5000,M2807,FALSE)</f>
        <v>0</v>
      </c>
      <c r="S2807">
        <f>HLOOKUP("Memory",'vInfo (Imported)'!$1:$5000,M2807,FALSE)</f>
        <v>0</v>
      </c>
      <c r="T2807">
        <f>HLOOKUP("Provisioned MiB",'vInfo (Imported)'!$1:$5000,M2807,FALSE)</f>
        <v>0</v>
      </c>
      <c r="U2807">
        <f t="shared" si="130"/>
        <v>0</v>
      </c>
      <c r="V2807">
        <f>HLOOKUP("In Use MiB",'vInfo (Imported)'!$1:$5000,M2807,FALSE)</f>
        <v>0</v>
      </c>
    </row>
    <row r="2808" spans="1:22" ht="13" x14ac:dyDescent="0.3">
      <c r="A2808" s="46">
        <f>'vHosts (Imported)'!A2808</f>
        <v>0</v>
      </c>
      <c r="B2808" s="51">
        <f t="shared" si="132"/>
        <v>4968</v>
      </c>
      <c r="C2808" s="49">
        <f>HLOOKUP("# Cores",'vHosts (Imported)'!$1:$5000,M2808,FALSE)</f>
        <v>0</v>
      </c>
      <c r="D2808" s="52">
        <f>HLOOKUP("# Memory",'vHosts (Imported)'!$1:$5000,M2808,FALSE)</f>
        <v>0</v>
      </c>
      <c r="M2808" s="45">
        <f t="shared" si="131"/>
        <v>2808</v>
      </c>
      <c r="N2808" s="38">
        <f>HLOOKUP("Host",'vInfo (Imported)'!$1:$5000,M2808,FALSE)</f>
        <v>0</v>
      </c>
      <c r="R2808">
        <f>HLOOKUP("CPUs",'vInfo (Imported)'!$1:$5000,M2808,FALSE)</f>
        <v>0</v>
      </c>
      <c r="S2808">
        <f>HLOOKUP("Memory",'vInfo (Imported)'!$1:$5000,M2808,FALSE)</f>
        <v>0</v>
      </c>
      <c r="T2808">
        <f>HLOOKUP("Provisioned MiB",'vInfo (Imported)'!$1:$5000,M2808,FALSE)</f>
        <v>0</v>
      </c>
      <c r="U2808">
        <f t="shared" si="130"/>
        <v>0</v>
      </c>
      <c r="V2808">
        <f>HLOOKUP("In Use MiB",'vInfo (Imported)'!$1:$5000,M2808,FALSE)</f>
        <v>0</v>
      </c>
    </row>
    <row r="2809" spans="1:22" ht="13" x14ac:dyDescent="0.3">
      <c r="A2809" s="46">
        <f>'vHosts (Imported)'!A2809</f>
        <v>0</v>
      </c>
      <c r="B2809" s="51">
        <f t="shared" si="132"/>
        <v>4968</v>
      </c>
      <c r="C2809" s="49">
        <f>HLOOKUP("# Cores",'vHosts (Imported)'!$1:$5000,M2809,FALSE)</f>
        <v>0</v>
      </c>
      <c r="D2809" s="52">
        <f>HLOOKUP("# Memory",'vHosts (Imported)'!$1:$5000,M2809,FALSE)</f>
        <v>0</v>
      </c>
      <c r="M2809" s="45">
        <f t="shared" si="131"/>
        <v>2809</v>
      </c>
      <c r="N2809" s="38">
        <f>HLOOKUP("Host",'vInfo (Imported)'!$1:$5000,M2809,FALSE)</f>
        <v>0</v>
      </c>
      <c r="R2809">
        <f>HLOOKUP("CPUs",'vInfo (Imported)'!$1:$5000,M2809,FALSE)</f>
        <v>0</v>
      </c>
      <c r="S2809">
        <f>HLOOKUP("Memory",'vInfo (Imported)'!$1:$5000,M2809,FALSE)</f>
        <v>0</v>
      </c>
      <c r="T2809">
        <f>HLOOKUP("Provisioned MiB",'vInfo (Imported)'!$1:$5000,M2809,FALSE)</f>
        <v>0</v>
      </c>
      <c r="U2809">
        <f t="shared" si="130"/>
        <v>0</v>
      </c>
      <c r="V2809">
        <f>HLOOKUP("In Use MiB",'vInfo (Imported)'!$1:$5000,M2809,FALSE)</f>
        <v>0</v>
      </c>
    </row>
    <row r="2810" spans="1:22" ht="13" x14ac:dyDescent="0.3">
      <c r="A2810" s="46">
        <f>'vHosts (Imported)'!A2810</f>
        <v>0</v>
      </c>
      <c r="B2810" s="51">
        <f t="shared" si="132"/>
        <v>4968</v>
      </c>
      <c r="C2810" s="49">
        <f>HLOOKUP("# Cores",'vHosts (Imported)'!$1:$5000,M2810,FALSE)</f>
        <v>0</v>
      </c>
      <c r="D2810" s="52">
        <f>HLOOKUP("# Memory",'vHosts (Imported)'!$1:$5000,M2810,FALSE)</f>
        <v>0</v>
      </c>
      <c r="M2810" s="45">
        <f t="shared" si="131"/>
        <v>2810</v>
      </c>
      <c r="N2810" s="38">
        <f>HLOOKUP("Host",'vInfo (Imported)'!$1:$5000,M2810,FALSE)</f>
        <v>0</v>
      </c>
      <c r="R2810">
        <f>HLOOKUP("CPUs",'vInfo (Imported)'!$1:$5000,M2810,FALSE)</f>
        <v>0</v>
      </c>
      <c r="S2810">
        <f>HLOOKUP("Memory",'vInfo (Imported)'!$1:$5000,M2810,FALSE)</f>
        <v>0</v>
      </c>
      <c r="T2810">
        <f>HLOOKUP("Provisioned MiB",'vInfo (Imported)'!$1:$5000,M2810,FALSE)</f>
        <v>0</v>
      </c>
      <c r="U2810">
        <f t="shared" si="130"/>
        <v>0</v>
      </c>
      <c r="V2810">
        <f>HLOOKUP("In Use MiB",'vInfo (Imported)'!$1:$5000,M2810,FALSE)</f>
        <v>0</v>
      </c>
    </row>
    <row r="2811" spans="1:22" ht="13" x14ac:dyDescent="0.3">
      <c r="A2811" s="46">
        <f>'vHosts (Imported)'!A2811</f>
        <v>0</v>
      </c>
      <c r="B2811" s="51">
        <f t="shared" si="132"/>
        <v>4968</v>
      </c>
      <c r="C2811" s="49">
        <f>HLOOKUP("# Cores",'vHosts (Imported)'!$1:$5000,M2811,FALSE)</f>
        <v>0</v>
      </c>
      <c r="D2811" s="52">
        <f>HLOOKUP("# Memory",'vHosts (Imported)'!$1:$5000,M2811,FALSE)</f>
        <v>0</v>
      </c>
      <c r="M2811" s="45">
        <f t="shared" si="131"/>
        <v>2811</v>
      </c>
      <c r="N2811" s="38">
        <f>HLOOKUP("Host",'vInfo (Imported)'!$1:$5000,M2811,FALSE)</f>
        <v>0</v>
      </c>
      <c r="R2811">
        <f>HLOOKUP("CPUs",'vInfo (Imported)'!$1:$5000,M2811,FALSE)</f>
        <v>0</v>
      </c>
      <c r="S2811">
        <f>HLOOKUP("Memory",'vInfo (Imported)'!$1:$5000,M2811,FALSE)</f>
        <v>0</v>
      </c>
      <c r="T2811">
        <f>HLOOKUP("Provisioned MiB",'vInfo (Imported)'!$1:$5000,M2811,FALSE)</f>
        <v>0</v>
      </c>
      <c r="U2811">
        <f t="shared" si="130"/>
        <v>0</v>
      </c>
      <c r="V2811">
        <f>HLOOKUP("In Use MiB",'vInfo (Imported)'!$1:$5000,M2811,FALSE)</f>
        <v>0</v>
      </c>
    </row>
    <row r="2812" spans="1:22" ht="13" x14ac:dyDescent="0.3">
      <c r="A2812" s="46">
        <f>'vHosts (Imported)'!A2812</f>
        <v>0</v>
      </c>
      <c r="B2812" s="51">
        <f t="shared" si="132"/>
        <v>4968</v>
      </c>
      <c r="C2812" s="49">
        <f>HLOOKUP("# Cores",'vHosts (Imported)'!$1:$5000,M2812,FALSE)</f>
        <v>0</v>
      </c>
      <c r="D2812" s="52">
        <f>HLOOKUP("# Memory",'vHosts (Imported)'!$1:$5000,M2812,FALSE)</f>
        <v>0</v>
      </c>
      <c r="M2812" s="45">
        <f t="shared" si="131"/>
        <v>2812</v>
      </c>
      <c r="N2812" s="38">
        <f>HLOOKUP("Host",'vInfo (Imported)'!$1:$5000,M2812,FALSE)</f>
        <v>0</v>
      </c>
      <c r="R2812">
        <f>HLOOKUP("CPUs",'vInfo (Imported)'!$1:$5000,M2812,FALSE)</f>
        <v>0</v>
      </c>
      <c r="S2812">
        <f>HLOOKUP("Memory",'vInfo (Imported)'!$1:$5000,M2812,FALSE)</f>
        <v>0</v>
      </c>
      <c r="T2812">
        <f>HLOOKUP("Provisioned MiB",'vInfo (Imported)'!$1:$5000,M2812,FALSE)</f>
        <v>0</v>
      </c>
      <c r="U2812">
        <f t="shared" si="130"/>
        <v>0</v>
      </c>
      <c r="V2812">
        <f>HLOOKUP("In Use MiB",'vInfo (Imported)'!$1:$5000,M2812,FALSE)</f>
        <v>0</v>
      </c>
    </row>
    <row r="2813" spans="1:22" ht="13" x14ac:dyDescent="0.3">
      <c r="A2813" s="46">
        <f>'vHosts (Imported)'!A2813</f>
        <v>0</v>
      </c>
      <c r="B2813" s="51">
        <f t="shared" si="132"/>
        <v>4968</v>
      </c>
      <c r="C2813" s="49">
        <f>HLOOKUP("# Cores",'vHosts (Imported)'!$1:$5000,M2813,FALSE)</f>
        <v>0</v>
      </c>
      <c r="D2813" s="52">
        <f>HLOOKUP("# Memory",'vHosts (Imported)'!$1:$5000,M2813,FALSE)</f>
        <v>0</v>
      </c>
      <c r="M2813" s="45">
        <f t="shared" si="131"/>
        <v>2813</v>
      </c>
      <c r="N2813" s="38">
        <f>HLOOKUP("Host",'vInfo (Imported)'!$1:$5000,M2813,FALSE)</f>
        <v>0</v>
      </c>
      <c r="R2813">
        <f>HLOOKUP("CPUs",'vInfo (Imported)'!$1:$5000,M2813,FALSE)</f>
        <v>0</v>
      </c>
      <c r="S2813">
        <f>HLOOKUP("Memory",'vInfo (Imported)'!$1:$5000,M2813,FALSE)</f>
        <v>0</v>
      </c>
      <c r="T2813">
        <f>HLOOKUP("Provisioned MiB",'vInfo (Imported)'!$1:$5000,M2813,FALSE)</f>
        <v>0</v>
      </c>
      <c r="U2813">
        <f t="shared" si="130"/>
        <v>0</v>
      </c>
      <c r="V2813">
        <f>HLOOKUP("In Use MiB",'vInfo (Imported)'!$1:$5000,M2813,FALSE)</f>
        <v>0</v>
      </c>
    </row>
    <row r="2814" spans="1:22" ht="13" x14ac:dyDescent="0.3">
      <c r="A2814" s="46">
        <f>'vHosts (Imported)'!A2814</f>
        <v>0</v>
      </c>
      <c r="B2814" s="51">
        <f t="shared" si="132"/>
        <v>4968</v>
      </c>
      <c r="C2814" s="49">
        <f>HLOOKUP("# Cores",'vHosts (Imported)'!$1:$5000,M2814,FALSE)</f>
        <v>0</v>
      </c>
      <c r="D2814" s="52">
        <f>HLOOKUP("# Memory",'vHosts (Imported)'!$1:$5000,M2814,FALSE)</f>
        <v>0</v>
      </c>
      <c r="M2814" s="45">
        <f t="shared" si="131"/>
        <v>2814</v>
      </c>
      <c r="N2814" s="38">
        <f>HLOOKUP("Host",'vInfo (Imported)'!$1:$5000,M2814,FALSE)</f>
        <v>0</v>
      </c>
      <c r="R2814">
        <f>HLOOKUP("CPUs",'vInfo (Imported)'!$1:$5000,M2814,FALSE)</f>
        <v>0</v>
      </c>
      <c r="S2814">
        <f>HLOOKUP("Memory",'vInfo (Imported)'!$1:$5000,M2814,FALSE)</f>
        <v>0</v>
      </c>
      <c r="T2814">
        <f>HLOOKUP("Provisioned MiB",'vInfo (Imported)'!$1:$5000,M2814,FALSE)</f>
        <v>0</v>
      </c>
      <c r="U2814">
        <f t="shared" si="130"/>
        <v>0</v>
      </c>
      <c r="V2814">
        <f>HLOOKUP("In Use MiB",'vInfo (Imported)'!$1:$5000,M2814,FALSE)</f>
        <v>0</v>
      </c>
    </row>
    <row r="2815" spans="1:22" ht="13" x14ac:dyDescent="0.3">
      <c r="A2815" s="46">
        <f>'vHosts (Imported)'!A2815</f>
        <v>0</v>
      </c>
      <c r="B2815" s="51">
        <f t="shared" si="132"/>
        <v>4968</v>
      </c>
      <c r="C2815" s="49">
        <f>HLOOKUP("# Cores",'vHosts (Imported)'!$1:$5000,M2815,FALSE)</f>
        <v>0</v>
      </c>
      <c r="D2815" s="52">
        <f>HLOOKUP("# Memory",'vHosts (Imported)'!$1:$5000,M2815,FALSE)</f>
        <v>0</v>
      </c>
      <c r="M2815" s="45">
        <f t="shared" si="131"/>
        <v>2815</v>
      </c>
      <c r="N2815" s="38">
        <f>HLOOKUP("Host",'vInfo (Imported)'!$1:$5000,M2815,FALSE)</f>
        <v>0</v>
      </c>
      <c r="R2815">
        <f>HLOOKUP("CPUs",'vInfo (Imported)'!$1:$5000,M2815,FALSE)</f>
        <v>0</v>
      </c>
      <c r="S2815">
        <f>HLOOKUP("Memory",'vInfo (Imported)'!$1:$5000,M2815,FALSE)</f>
        <v>0</v>
      </c>
      <c r="T2815">
        <f>HLOOKUP("Provisioned MiB",'vInfo (Imported)'!$1:$5000,M2815,FALSE)</f>
        <v>0</v>
      </c>
      <c r="U2815">
        <f t="shared" si="130"/>
        <v>0</v>
      </c>
      <c r="V2815">
        <f>HLOOKUP("In Use MiB",'vInfo (Imported)'!$1:$5000,M2815,FALSE)</f>
        <v>0</v>
      </c>
    </row>
    <row r="2816" spans="1:22" ht="13" x14ac:dyDescent="0.3">
      <c r="A2816" s="46">
        <f>'vHosts (Imported)'!A2816</f>
        <v>0</v>
      </c>
      <c r="B2816" s="51">
        <f t="shared" si="132"/>
        <v>4968</v>
      </c>
      <c r="C2816" s="49">
        <f>HLOOKUP("# Cores",'vHosts (Imported)'!$1:$5000,M2816,FALSE)</f>
        <v>0</v>
      </c>
      <c r="D2816" s="52">
        <f>HLOOKUP("# Memory",'vHosts (Imported)'!$1:$5000,M2816,FALSE)</f>
        <v>0</v>
      </c>
      <c r="M2816" s="45">
        <f t="shared" si="131"/>
        <v>2816</v>
      </c>
      <c r="N2816" s="38">
        <f>HLOOKUP("Host",'vInfo (Imported)'!$1:$5000,M2816,FALSE)</f>
        <v>0</v>
      </c>
      <c r="R2816">
        <f>HLOOKUP("CPUs",'vInfo (Imported)'!$1:$5000,M2816,FALSE)</f>
        <v>0</v>
      </c>
      <c r="S2816">
        <f>HLOOKUP("Memory",'vInfo (Imported)'!$1:$5000,M2816,FALSE)</f>
        <v>0</v>
      </c>
      <c r="T2816">
        <f>HLOOKUP("Provisioned MiB",'vInfo (Imported)'!$1:$5000,M2816,FALSE)</f>
        <v>0</v>
      </c>
      <c r="U2816">
        <f t="shared" si="130"/>
        <v>0</v>
      </c>
      <c r="V2816">
        <f>HLOOKUP("In Use MiB",'vInfo (Imported)'!$1:$5000,M2816,FALSE)</f>
        <v>0</v>
      </c>
    </row>
    <row r="2817" spans="1:22" ht="13" x14ac:dyDescent="0.3">
      <c r="A2817" s="46">
        <f>'vHosts (Imported)'!A2817</f>
        <v>0</v>
      </c>
      <c r="B2817" s="51">
        <f t="shared" si="132"/>
        <v>4968</v>
      </c>
      <c r="C2817" s="49">
        <f>HLOOKUP("# Cores",'vHosts (Imported)'!$1:$5000,M2817,FALSE)</f>
        <v>0</v>
      </c>
      <c r="D2817" s="52">
        <f>HLOOKUP("# Memory",'vHosts (Imported)'!$1:$5000,M2817,FALSE)</f>
        <v>0</v>
      </c>
      <c r="M2817" s="45">
        <f t="shared" si="131"/>
        <v>2817</v>
      </c>
      <c r="N2817" s="38">
        <f>HLOOKUP("Host",'vInfo (Imported)'!$1:$5000,M2817,FALSE)</f>
        <v>0</v>
      </c>
      <c r="R2817">
        <f>HLOOKUP("CPUs",'vInfo (Imported)'!$1:$5000,M2817,FALSE)</f>
        <v>0</v>
      </c>
      <c r="S2817">
        <f>HLOOKUP("Memory",'vInfo (Imported)'!$1:$5000,M2817,FALSE)</f>
        <v>0</v>
      </c>
      <c r="T2817">
        <f>HLOOKUP("Provisioned MiB",'vInfo (Imported)'!$1:$5000,M2817,FALSE)</f>
        <v>0</v>
      </c>
      <c r="U2817">
        <f t="shared" si="130"/>
        <v>0</v>
      </c>
      <c r="V2817">
        <f>HLOOKUP("In Use MiB",'vInfo (Imported)'!$1:$5000,M2817,FALSE)</f>
        <v>0</v>
      </c>
    </row>
    <row r="2818" spans="1:22" ht="13" x14ac:dyDescent="0.3">
      <c r="A2818" s="46">
        <f>'vHosts (Imported)'!A2818</f>
        <v>0</v>
      </c>
      <c r="B2818" s="51">
        <f t="shared" si="132"/>
        <v>4968</v>
      </c>
      <c r="C2818" s="49">
        <f>HLOOKUP("# Cores",'vHosts (Imported)'!$1:$5000,M2818,FALSE)</f>
        <v>0</v>
      </c>
      <c r="D2818" s="52">
        <f>HLOOKUP("# Memory",'vHosts (Imported)'!$1:$5000,M2818,FALSE)</f>
        <v>0</v>
      </c>
      <c r="M2818" s="45">
        <f t="shared" si="131"/>
        <v>2818</v>
      </c>
      <c r="N2818" s="38">
        <f>HLOOKUP("Host",'vInfo (Imported)'!$1:$5000,M2818,FALSE)</f>
        <v>0</v>
      </c>
      <c r="R2818">
        <f>HLOOKUP("CPUs",'vInfo (Imported)'!$1:$5000,M2818,FALSE)</f>
        <v>0</v>
      </c>
      <c r="S2818">
        <f>HLOOKUP("Memory",'vInfo (Imported)'!$1:$5000,M2818,FALSE)</f>
        <v>0</v>
      </c>
      <c r="T2818">
        <f>HLOOKUP("Provisioned MiB",'vInfo (Imported)'!$1:$5000,M2818,FALSE)</f>
        <v>0</v>
      </c>
      <c r="U2818">
        <f t="shared" si="130"/>
        <v>0</v>
      </c>
      <c r="V2818">
        <f>HLOOKUP("In Use MiB",'vInfo (Imported)'!$1:$5000,M2818,FALSE)</f>
        <v>0</v>
      </c>
    </row>
    <row r="2819" spans="1:22" ht="13" x14ac:dyDescent="0.3">
      <c r="A2819" s="46">
        <f>'vHosts (Imported)'!A2819</f>
        <v>0</v>
      </c>
      <c r="B2819" s="51">
        <f t="shared" si="132"/>
        <v>4968</v>
      </c>
      <c r="C2819" s="49">
        <f>HLOOKUP("# Cores",'vHosts (Imported)'!$1:$5000,M2819,FALSE)</f>
        <v>0</v>
      </c>
      <c r="D2819" s="52">
        <f>HLOOKUP("# Memory",'vHosts (Imported)'!$1:$5000,M2819,FALSE)</f>
        <v>0</v>
      </c>
      <c r="M2819" s="45">
        <f t="shared" si="131"/>
        <v>2819</v>
      </c>
      <c r="N2819" s="38">
        <f>HLOOKUP("Host",'vInfo (Imported)'!$1:$5000,M2819,FALSE)</f>
        <v>0</v>
      </c>
      <c r="R2819">
        <f>HLOOKUP("CPUs",'vInfo (Imported)'!$1:$5000,M2819,FALSE)</f>
        <v>0</v>
      </c>
      <c r="S2819">
        <f>HLOOKUP("Memory",'vInfo (Imported)'!$1:$5000,M2819,FALSE)</f>
        <v>0</v>
      </c>
      <c r="T2819">
        <f>HLOOKUP("Provisioned MiB",'vInfo (Imported)'!$1:$5000,M2819,FALSE)</f>
        <v>0</v>
      </c>
      <c r="U2819">
        <f t="shared" ref="U2819:U2882" si="133">T2819-V2819</f>
        <v>0</v>
      </c>
      <c r="V2819">
        <f>HLOOKUP("In Use MiB",'vInfo (Imported)'!$1:$5000,M2819,FALSE)</f>
        <v>0</v>
      </c>
    </row>
    <row r="2820" spans="1:22" ht="13" x14ac:dyDescent="0.3">
      <c r="A2820" s="46">
        <f>'vHosts (Imported)'!A2820</f>
        <v>0</v>
      </c>
      <c r="B2820" s="51">
        <f t="shared" si="132"/>
        <v>4968</v>
      </c>
      <c r="C2820" s="49">
        <f>HLOOKUP("# Cores",'vHosts (Imported)'!$1:$5000,M2820,FALSE)</f>
        <v>0</v>
      </c>
      <c r="D2820" s="52">
        <f>HLOOKUP("# Memory",'vHosts (Imported)'!$1:$5000,M2820,FALSE)</f>
        <v>0</v>
      </c>
      <c r="M2820" s="45">
        <f t="shared" ref="M2820:M2883" si="134">M2819+1</f>
        <v>2820</v>
      </c>
      <c r="N2820" s="38">
        <f>HLOOKUP("Host",'vInfo (Imported)'!$1:$5000,M2820,FALSE)</f>
        <v>0</v>
      </c>
      <c r="R2820">
        <f>HLOOKUP("CPUs",'vInfo (Imported)'!$1:$5000,M2820,FALSE)</f>
        <v>0</v>
      </c>
      <c r="S2820">
        <f>HLOOKUP("Memory",'vInfo (Imported)'!$1:$5000,M2820,FALSE)</f>
        <v>0</v>
      </c>
      <c r="T2820">
        <f>HLOOKUP("Provisioned MiB",'vInfo (Imported)'!$1:$5000,M2820,FALSE)</f>
        <v>0</v>
      </c>
      <c r="U2820">
        <f t="shared" si="133"/>
        <v>0</v>
      </c>
      <c r="V2820">
        <f>HLOOKUP("In Use MiB",'vInfo (Imported)'!$1:$5000,M2820,FALSE)</f>
        <v>0</v>
      </c>
    </row>
    <row r="2821" spans="1:22" ht="13" x14ac:dyDescent="0.3">
      <c r="A2821" s="46">
        <f>'vHosts (Imported)'!A2821</f>
        <v>0</v>
      </c>
      <c r="B2821" s="51">
        <f t="shared" si="132"/>
        <v>4968</v>
      </c>
      <c r="C2821" s="49">
        <f>HLOOKUP("# Cores",'vHosts (Imported)'!$1:$5000,M2821,FALSE)</f>
        <v>0</v>
      </c>
      <c r="D2821" s="52">
        <f>HLOOKUP("# Memory",'vHosts (Imported)'!$1:$5000,M2821,FALSE)</f>
        <v>0</v>
      </c>
      <c r="M2821" s="45">
        <f t="shared" si="134"/>
        <v>2821</v>
      </c>
      <c r="N2821" s="38">
        <f>HLOOKUP("Host",'vInfo (Imported)'!$1:$5000,M2821,FALSE)</f>
        <v>0</v>
      </c>
      <c r="R2821">
        <f>HLOOKUP("CPUs",'vInfo (Imported)'!$1:$5000,M2821,FALSE)</f>
        <v>0</v>
      </c>
      <c r="S2821">
        <f>HLOOKUP("Memory",'vInfo (Imported)'!$1:$5000,M2821,FALSE)</f>
        <v>0</v>
      </c>
      <c r="T2821">
        <f>HLOOKUP("Provisioned MiB",'vInfo (Imported)'!$1:$5000,M2821,FALSE)</f>
        <v>0</v>
      </c>
      <c r="U2821">
        <f t="shared" si="133"/>
        <v>0</v>
      </c>
      <c r="V2821">
        <f>HLOOKUP("In Use MiB",'vInfo (Imported)'!$1:$5000,M2821,FALSE)</f>
        <v>0</v>
      </c>
    </row>
    <row r="2822" spans="1:22" ht="13" x14ac:dyDescent="0.3">
      <c r="A2822" s="46">
        <f>'vHosts (Imported)'!A2822</f>
        <v>0</v>
      </c>
      <c r="B2822" s="51">
        <f t="shared" si="132"/>
        <v>4968</v>
      </c>
      <c r="C2822" s="49">
        <f>HLOOKUP("# Cores",'vHosts (Imported)'!$1:$5000,M2822,FALSE)</f>
        <v>0</v>
      </c>
      <c r="D2822" s="52">
        <f>HLOOKUP("# Memory",'vHosts (Imported)'!$1:$5000,M2822,FALSE)</f>
        <v>0</v>
      </c>
      <c r="M2822" s="45">
        <f t="shared" si="134"/>
        <v>2822</v>
      </c>
      <c r="N2822" s="38">
        <f>HLOOKUP("Host",'vInfo (Imported)'!$1:$5000,M2822,FALSE)</f>
        <v>0</v>
      </c>
      <c r="R2822">
        <f>HLOOKUP("CPUs",'vInfo (Imported)'!$1:$5000,M2822,FALSE)</f>
        <v>0</v>
      </c>
      <c r="S2822">
        <f>HLOOKUP("Memory",'vInfo (Imported)'!$1:$5000,M2822,FALSE)</f>
        <v>0</v>
      </c>
      <c r="T2822">
        <f>HLOOKUP("Provisioned MiB",'vInfo (Imported)'!$1:$5000,M2822,FALSE)</f>
        <v>0</v>
      </c>
      <c r="U2822">
        <f t="shared" si="133"/>
        <v>0</v>
      </c>
      <c r="V2822">
        <f>HLOOKUP("In Use MiB",'vInfo (Imported)'!$1:$5000,M2822,FALSE)</f>
        <v>0</v>
      </c>
    </row>
    <row r="2823" spans="1:22" ht="13" x14ac:dyDescent="0.3">
      <c r="A2823" s="46">
        <f>'vHosts (Imported)'!A2823</f>
        <v>0</v>
      </c>
      <c r="B2823" s="51">
        <f t="shared" si="132"/>
        <v>4968</v>
      </c>
      <c r="C2823" s="49">
        <f>HLOOKUP("# Cores",'vHosts (Imported)'!$1:$5000,M2823,FALSE)</f>
        <v>0</v>
      </c>
      <c r="D2823" s="52">
        <f>HLOOKUP("# Memory",'vHosts (Imported)'!$1:$5000,M2823,FALSE)</f>
        <v>0</v>
      </c>
      <c r="M2823" s="45">
        <f t="shared" si="134"/>
        <v>2823</v>
      </c>
      <c r="N2823" s="38">
        <f>HLOOKUP("Host",'vInfo (Imported)'!$1:$5000,M2823,FALSE)</f>
        <v>0</v>
      </c>
      <c r="R2823">
        <f>HLOOKUP("CPUs",'vInfo (Imported)'!$1:$5000,M2823,FALSE)</f>
        <v>0</v>
      </c>
      <c r="S2823">
        <f>HLOOKUP("Memory",'vInfo (Imported)'!$1:$5000,M2823,FALSE)</f>
        <v>0</v>
      </c>
      <c r="T2823">
        <f>HLOOKUP("Provisioned MiB",'vInfo (Imported)'!$1:$5000,M2823,FALSE)</f>
        <v>0</v>
      </c>
      <c r="U2823">
        <f t="shared" si="133"/>
        <v>0</v>
      </c>
      <c r="V2823">
        <f>HLOOKUP("In Use MiB",'vInfo (Imported)'!$1:$5000,M2823,FALSE)</f>
        <v>0</v>
      </c>
    </row>
    <row r="2824" spans="1:22" ht="13" x14ac:dyDescent="0.3">
      <c r="A2824" s="46">
        <f>'vHosts (Imported)'!A2824</f>
        <v>0</v>
      </c>
      <c r="B2824" s="51">
        <f t="shared" si="132"/>
        <v>4968</v>
      </c>
      <c r="C2824" s="49">
        <f>HLOOKUP("# Cores",'vHosts (Imported)'!$1:$5000,M2824,FALSE)</f>
        <v>0</v>
      </c>
      <c r="D2824" s="52">
        <f>HLOOKUP("# Memory",'vHosts (Imported)'!$1:$5000,M2824,FALSE)</f>
        <v>0</v>
      </c>
      <c r="M2824" s="45">
        <f t="shared" si="134"/>
        <v>2824</v>
      </c>
      <c r="N2824" s="38">
        <f>HLOOKUP("Host",'vInfo (Imported)'!$1:$5000,M2824,FALSE)</f>
        <v>0</v>
      </c>
      <c r="R2824">
        <f>HLOOKUP("CPUs",'vInfo (Imported)'!$1:$5000,M2824,FALSE)</f>
        <v>0</v>
      </c>
      <c r="S2824">
        <f>HLOOKUP("Memory",'vInfo (Imported)'!$1:$5000,M2824,FALSE)</f>
        <v>0</v>
      </c>
      <c r="T2824">
        <f>HLOOKUP("Provisioned MiB",'vInfo (Imported)'!$1:$5000,M2824,FALSE)</f>
        <v>0</v>
      </c>
      <c r="U2824">
        <f t="shared" si="133"/>
        <v>0</v>
      </c>
      <c r="V2824">
        <f>HLOOKUP("In Use MiB",'vInfo (Imported)'!$1:$5000,M2824,FALSE)</f>
        <v>0</v>
      </c>
    </row>
    <row r="2825" spans="1:22" ht="13" x14ac:dyDescent="0.3">
      <c r="A2825" s="46">
        <f>'vHosts (Imported)'!A2825</f>
        <v>0</v>
      </c>
      <c r="B2825" s="51">
        <f t="shared" si="132"/>
        <v>4968</v>
      </c>
      <c r="C2825" s="49">
        <f>HLOOKUP("# Cores",'vHosts (Imported)'!$1:$5000,M2825,FALSE)</f>
        <v>0</v>
      </c>
      <c r="D2825" s="52">
        <f>HLOOKUP("# Memory",'vHosts (Imported)'!$1:$5000,M2825,FALSE)</f>
        <v>0</v>
      </c>
      <c r="M2825" s="45">
        <f t="shared" si="134"/>
        <v>2825</v>
      </c>
      <c r="N2825" s="38">
        <f>HLOOKUP("Host",'vInfo (Imported)'!$1:$5000,M2825,FALSE)</f>
        <v>0</v>
      </c>
      <c r="R2825">
        <f>HLOOKUP("CPUs",'vInfo (Imported)'!$1:$5000,M2825,FALSE)</f>
        <v>0</v>
      </c>
      <c r="S2825">
        <f>HLOOKUP("Memory",'vInfo (Imported)'!$1:$5000,M2825,FALSE)</f>
        <v>0</v>
      </c>
      <c r="T2825">
        <f>HLOOKUP("Provisioned MiB",'vInfo (Imported)'!$1:$5000,M2825,FALSE)</f>
        <v>0</v>
      </c>
      <c r="U2825">
        <f t="shared" si="133"/>
        <v>0</v>
      </c>
      <c r="V2825">
        <f>HLOOKUP("In Use MiB",'vInfo (Imported)'!$1:$5000,M2825,FALSE)</f>
        <v>0</v>
      </c>
    </row>
    <row r="2826" spans="1:22" ht="13" x14ac:dyDescent="0.3">
      <c r="A2826" s="46">
        <f>'vHosts (Imported)'!A2826</f>
        <v>0</v>
      </c>
      <c r="B2826" s="51">
        <f t="shared" si="132"/>
        <v>4968</v>
      </c>
      <c r="C2826" s="49">
        <f>HLOOKUP("# Cores",'vHosts (Imported)'!$1:$5000,M2826,FALSE)</f>
        <v>0</v>
      </c>
      <c r="D2826" s="52">
        <f>HLOOKUP("# Memory",'vHosts (Imported)'!$1:$5000,M2826,FALSE)</f>
        <v>0</v>
      </c>
      <c r="M2826" s="45">
        <f t="shared" si="134"/>
        <v>2826</v>
      </c>
      <c r="N2826" s="38">
        <f>HLOOKUP("Host",'vInfo (Imported)'!$1:$5000,M2826,FALSE)</f>
        <v>0</v>
      </c>
      <c r="R2826">
        <f>HLOOKUP("CPUs",'vInfo (Imported)'!$1:$5000,M2826,FALSE)</f>
        <v>0</v>
      </c>
      <c r="S2826">
        <f>HLOOKUP("Memory",'vInfo (Imported)'!$1:$5000,M2826,FALSE)</f>
        <v>0</v>
      </c>
      <c r="T2826">
        <f>HLOOKUP("Provisioned MiB",'vInfo (Imported)'!$1:$5000,M2826,FALSE)</f>
        <v>0</v>
      </c>
      <c r="U2826">
        <f t="shared" si="133"/>
        <v>0</v>
      </c>
      <c r="V2826">
        <f>HLOOKUP("In Use MiB",'vInfo (Imported)'!$1:$5000,M2826,FALSE)</f>
        <v>0</v>
      </c>
    </row>
    <row r="2827" spans="1:22" ht="13" x14ac:dyDescent="0.3">
      <c r="A2827" s="46">
        <f>'vHosts (Imported)'!A2827</f>
        <v>0</v>
      </c>
      <c r="B2827" s="51">
        <f t="shared" si="132"/>
        <v>4968</v>
      </c>
      <c r="C2827" s="49">
        <f>HLOOKUP("# Cores",'vHosts (Imported)'!$1:$5000,M2827,FALSE)</f>
        <v>0</v>
      </c>
      <c r="D2827" s="52">
        <f>HLOOKUP("# Memory",'vHosts (Imported)'!$1:$5000,M2827,FALSE)</f>
        <v>0</v>
      </c>
      <c r="M2827" s="45">
        <f t="shared" si="134"/>
        <v>2827</v>
      </c>
      <c r="N2827" s="38">
        <f>HLOOKUP("Host",'vInfo (Imported)'!$1:$5000,M2827,FALSE)</f>
        <v>0</v>
      </c>
      <c r="R2827">
        <f>HLOOKUP("CPUs",'vInfo (Imported)'!$1:$5000,M2827,FALSE)</f>
        <v>0</v>
      </c>
      <c r="S2827">
        <f>HLOOKUP("Memory",'vInfo (Imported)'!$1:$5000,M2827,FALSE)</f>
        <v>0</v>
      </c>
      <c r="T2827">
        <f>HLOOKUP("Provisioned MiB",'vInfo (Imported)'!$1:$5000,M2827,FALSE)</f>
        <v>0</v>
      </c>
      <c r="U2827">
        <f t="shared" si="133"/>
        <v>0</v>
      </c>
      <c r="V2827">
        <f>HLOOKUP("In Use MiB",'vInfo (Imported)'!$1:$5000,M2827,FALSE)</f>
        <v>0</v>
      </c>
    </row>
    <row r="2828" spans="1:22" ht="13" x14ac:dyDescent="0.3">
      <c r="A2828" s="46">
        <f>'vHosts (Imported)'!A2828</f>
        <v>0</v>
      </c>
      <c r="B2828" s="51">
        <f t="shared" si="132"/>
        <v>4968</v>
      </c>
      <c r="C2828" s="49">
        <f>HLOOKUP("# Cores",'vHosts (Imported)'!$1:$5000,M2828,FALSE)</f>
        <v>0</v>
      </c>
      <c r="D2828" s="52">
        <f>HLOOKUP("# Memory",'vHosts (Imported)'!$1:$5000,M2828,FALSE)</f>
        <v>0</v>
      </c>
      <c r="M2828" s="45">
        <f t="shared" si="134"/>
        <v>2828</v>
      </c>
      <c r="N2828" s="38">
        <f>HLOOKUP("Host",'vInfo (Imported)'!$1:$5000,M2828,FALSE)</f>
        <v>0</v>
      </c>
      <c r="R2828">
        <f>HLOOKUP("CPUs",'vInfo (Imported)'!$1:$5000,M2828,FALSE)</f>
        <v>0</v>
      </c>
      <c r="S2828">
        <f>HLOOKUP("Memory",'vInfo (Imported)'!$1:$5000,M2828,FALSE)</f>
        <v>0</v>
      </c>
      <c r="T2828">
        <f>HLOOKUP("Provisioned MiB",'vInfo (Imported)'!$1:$5000,M2828,FALSE)</f>
        <v>0</v>
      </c>
      <c r="U2828">
        <f t="shared" si="133"/>
        <v>0</v>
      </c>
      <c r="V2828">
        <f>HLOOKUP("In Use MiB",'vInfo (Imported)'!$1:$5000,M2828,FALSE)</f>
        <v>0</v>
      </c>
    </row>
    <row r="2829" spans="1:22" ht="13" x14ac:dyDescent="0.3">
      <c r="A2829" s="46">
        <f>'vHosts (Imported)'!A2829</f>
        <v>0</v>
      </c>
      <c r="B2829" s="51">
        <f t="shared" si="132"/>
        <v>4968</v>
      </c>
      <c r="C2829" s="49">
        <f>HLOOKUP("# Cores",'vHosts (Imported)'!$1:$5000,M2829,FALSE)</f>
        <v>0</v>
      </c>
      <c r="D2829" s="52">
        <f>HLOOKUP("# Memory",'vHosts (Imported)'!$1:$5000,M2829,FALSE)</f>
        <v>0</v>
      </c>
      <c r="M2829" s="45">
        <f t="shared" si="134"/>
        <v>2829</v>
      </c>
      <c r="N2829" s="38">
        <f>HLOOKUP("Host",'vInfo (Imported)'!$1:$5000,M2829,FALSE)</f>
        <v>0</v>
      </c>
      <c r="R2829">
        <f>HLOOKUP("CPUs",'vInfo (Imported)'!$1:$5000,M2829,FALSE)</f>
        <v>0</v>
      </c>
      <c r="S2829">
        <f>HLOOKUP("Memory",'vInfo (Imported)'!$1:$5000,M2829,FALSE)</f>
        <v>0</v>
      </c>
      <c r="T2829">
        <f>HLOOKUP("Provisioned MiB",'vInfo (Imported)'!$1:$5000,M2829,FALSE)</f>
        <v>0</v>
      </c>
      <c r="U2829">
        <f t="shared" si="133"/>
        <v>0</v>
      </c>
      <c r="V2829">
        <f>HLOOKUP("In Use MiB",'vInfo (Imported)'!$1:$5000,M2829,FALSE)</f>
        <v>0</v>
      </c>
    </row>
    <row r="2830" spans="1:22" ht="13" x14ac:dyDescent="0.3">
      <c r="A2830" s="46">
        <f>'vHosts (Imported)'!A2830</f>
        <v>0</v>
      </c>
      <c r="B2830" s="51">
        <f t="shared" si="132"/>
        <v>4968</v>
      </c>
      <c r="C2830" s="49">
        <f>HLOOKUP("# Cores",'vHosts (Imported)'!$1:$5000,M2830,FALSE)</f>
        <v>0</v>
      </c>
      <c r="D2830" s="52">
        <f>HLOOKUP("# Memory",'vHosts (Imported)'!$1:$5000,M2830,FALSE)</f>
        <v>0</v>
      </c>
      <c r="M2830" s="45">
        <f t="shared" si="134"/>
        <v>2830</v>
      </c>
      <c r="N2830" s="38">
        <f>HLOOKUP("Host",'vInfo (Imported)'!$1:$5000,M2830,FALSE)</f>
        <v>0</v>
      </c>
      <c r="R2830">
        <f>HLOOKUP("CPUs",'vInfo (Imported)'!$1:$5000,M2830,FALSE)</f>
        <v>0</v>
      </c>
      <c r="S2830">
        <f>HLOOKUP("Memory",'vInfo (Imported)'!$1:$5000,M2830,FALSE)</f>
        <v>0</v>
      </c>
      <c r="T2830">
        <f>HLOOKUP("Provisioned MiB",'vInfo (Imported)'!$1:$5000,M2830,FALSE)</f>
        <v>0</v>
      </c>
      <c r="U2830">
        <f t="shared" si="133"/>
        <v>0</v>
      </c>
      <c r="V2830">
        <f>HLOOKUP("In Use MiB",'vInfo (Imported)'!$1:$5000,M2830,FALSE)</f>
        <v>0</v>
      </c>
    </row>
    <row r="2831" spans="1:22" ht="13" x14ac:dyDescent="0.3">
      <c r="A2831" s="46">
        <f>'vHosts (Imported)'!A2831</f>
        <v>0</v>
      </c>
      <c r="B2831" s="51">
        <f t="shared" si="132"/>
        <v>4968</v>
      </c>
      <c r="C2831" s="49">
        <f>HLOOKUP("# Cores",'vHosts (Imported)'!$1:$5000,M2831,FALSE)</f>
        <v>0</v>
      </c>
      <c r="D2831" s="52">
        <f>HLOOKUP("# Memory",'vHosts (Imported)'!$1:$5000,M2831,FALSE)</f>
        <v>0</v>
      </c>
      <c r="M2831" s="45">
        <f t="shared" si="134"/>
        <v>2831</v>
      </c>
      <c r="N2831" s="38">
        <f>HLOOKUP("Host",'vInfo (Imported)'!$1:$5000,M2831,FALSE)</f>
        <v>0</v>
      </c>
      <c r="R2831">
        <f>HLOOKUP("CPUs",'vInfo (Imported)'!$1:$5000,M2831,FALSE)</f>
        <v>0</v>
      </c>
      <c r="S2831">
        <f>HLOOKUP("Memory",'vInfo (Imported)'!$1:$5000,M2831,FALSE)</f>
        <v>0</v>
      </c>
      <c r="T2831">
        <f>HLOOKUP("Provisioned MiB",'vInfo (Imported)'!$1:$5000,M2831,FALSE)</f>
        <v>0</v>
      </c>
      <c r="U2831">
        <f t="shared" si="133"/>
        <v>0</v>
      </c>
      <c r="V2831">
        <f>HLOOKUP("In Use MiB",'vInfo (Imported)'!$1:$5000,M2831,FALSE)</f>
        <v>0</v>
      </c>
    </row>
    <row r="2832" spans="1:22" ht="13" x14ac:dyDescent="0.3">
      <c r="A2832" s="46">
        <f>'vHosts (Imported)'!A2832</f>
        <v>0</v>
      </c>
      <c r="B2832" s="51">
        <f t="shared" si="132"/>
        <v>4968</v>
      </c>
      <c r="C2832" s="49">
        <f>HLOOKUP("# Cores",'vHosts (Imported)'!$1:$5000,M2832,FALSE)</f>
        <v>0</v>
      </c>
      <c r="D2832" s="52">
        <f>HLOOKUP("# Memory",'vHosts (Imported)'!$1:$5000,M2832,FALSE)</f>
        <v>0</v>
      </c>
      <c r="M2832" s="45">
        <f t="shared" si="134"/>
        <v>2832</v>
      </c>
      <c r="N2832" s="38">
        <f>HLOOKUP("Host",'vInfo (Imported)'!$1:$5000,M2832,FALSE)</f>
        <v>0</v>
      </c>
      <c r="R2832">
        <f>HLOOKUP("CPUs",'vInfo (Imported)'!$1:$5000,M2832,FALSE)</f>
        <v>0</v>
      </c>
      <c r="S2832">
        <f>HLOOKUP("Memory",'vInfo (Imported)'!$1:$5000,M2832,FALSE)</f>
        <v>0</v>
      </c>
      <c r="T2832">
        <f>HLOOKUP("Provisioned MiB",'vInfo (Imported)'!$1:$5000,M2832,FALSE)</f>
        <v>0</v>
      </c>
      <c r="U2832">
        <f t="shared" si="133"/>
        <v>0</v>
      </c>
      <c r="V2832">
        <f>HLOOKUP("In Use MiB",'vInfo (Imported)'!$1:$5000,M2832,FALSE)</f>
        <v>0</v>
      </c>
    </row>
    <row r="2833" spans="1:22" ht="13" x14ac:dyDescent="0.3">
      <c r="A2833" s="46">
        <f>'vHosts (Imported)'!A2833</f>
        <v>0</v>
      </c>
      <c r="B2833" s="51">
        <f t="shared" si="132"/>
        <v>4968</v>
      </c>
      <c r="C2833" s="49">
        <f>HLOOKUP("# Cores",'vHosts (Imported)'!$1:$5000,M2833,FALSE)</f>
        <v>0</v>
      </c>
      <c r="D2833" s="52">
        <f>HLOOKUP("# Memory",'vHosts (Imported)'!$1:$5000,M2833,FALSE)</f>
        <v>0</v>
      </c>
      <c r="M2833" s="45">
        <f t="shared" si="134"/>
        <v>2833</v>
      </c>
      <c r="N2833" s="38">
        <f>HLOOKUP("Host",'vInfo (Imported)'!$1:$5000,M2833,FALSE)</f>
        <v>0</v>
      </c>
      <c r="R2833">
        <f>HLOOKUP("CPUs",'vInfo (Imported)'!$1:$5000,M2833,FALSE)</f>
        <v>0</v>
      </c>
      <c r="S2833">
        <f>HLOOKUP("Memory",'vInfo (Imported)'!$1:$5000,M2833,FALSE)</f>
        <v>0</v>
      </c>
      <c r="T2833">
        <f>HLOOKUP("Provisioned MiB",'vInfo (Imported)'!$1:$5000,M2833,FALSE)</f>
        <v>0</v>
      </c>
      <c r="U2833">
        <f t="shared" si="133"/>
        <v>0</v>
      </c>
      <c r="V2833">
        <f>HLOOKUP("In Use MiB",'vInfo (Imported)'!$1:$5000,M2833,FALSE)</f>
        <v>0</v>
      </c>
    </row>
    <row r="2834" spans="1:22" ht="13" x14ac:dyDescent="0.3">
      <c r="A2834" s="46">
        <f>'vHosts (Imported)'!A2834</f>
        <v>0</v>
      </c>
      <c r="B2834" s="51">
        <f t="shared" si="132"/>
        <v>4968</v>
      </c>
      <c r="C2834" s="49">
        <f>HLOOKUP("# Cores",'vHosts (Imported)'!$1:$5000,M2834,FALSE)</f>
        <v>0</v>
      </c>
      <c r="D2834" s="52">
        <f>HLOOKUP("# Memory",'vHosts (Imported)'!$1:$5000,M2834,FALSE)</f>
        <v>0</v>
      </c>
      <c r="M2834" s="45">
        <f t="shared" si="134"/>
        <v>2834</v>
      </c>
      <c r="N2834" s="38">
        <f>HLOOKUP("Host",'vInfo (Imported)'!$1:$5000,M2834,FALSE)</f>
        <v>0</v>
      </c>
      <c r="R2834">
        <f>HLOOKUP("CPUs",'vInfo (Imported)'!$1:$5000,M2834,FALSE)</f>
        <v>0</v>
      </c>
      <c r="S2834">
        <f>HLOOKUP("Memory",'vInfo (Imported)'!$1:$5000,M2834,FALSE)</f>
        <v>0</v>
      </c>
      <c r="T2834">
        <f>HLOOKUP("Provisioned MiB",'vInfo (Imported)'!$1:$5000,M2834,FALSE)</f>
        <v>0</v>
      </c>
      <c r="U2834">
        <f t="shared" si="133"/>
        <v>0</v>
      </c>
      <c r="V2834">
        <f>HLOOKUP("In Use MiB",'vInfo (Imported)'!$1:$5000,M2834,FALSE)</f>
        <v>0</v>
      </c>
    </row>
    <row r="2835" spans="1:22" ht="13" x14ac:dyDescent="0.3">
      <c r="A2835" s="46">
        <f>'vHosts (Imported)'!A2835</f>
        <v>0</v>
      </c>
      <c r="B2835" s="51">
        <f t="shared" si="132"/>
        <v>4968</v>
      </c>
      <c r="C2835" s="49">
        <f>HLOOKUP("# Cores",'vHosts (Imported)'!$1:$5000,M2835,FALSE)</f>
        <v>0</v>
      </c>
      <c r="D2835" s="52">
        <f>HLOOKUP("# Memory",'vHosts (Imported)'!$1:$5000,M2835,FALSE)</f>
        <v>0</v>
      </c>
      <c r="M2835" s="45">
        <f t="shared" si="134"/>
        <v>2835</v>
      </c>
      <c r="N2835" s="38">
        <f>HLOOKUP("Host",'vInfo (Imported)'!$1:$5000,M2835,FALSE)</f>
        <v>0</v>
      </c>
      <c r="R2835">
        <f>HLOOKUP("CPUs",'vInfo (Imported)'!$1:$5000,M2835,FALSE)</f>
        <v>0</v>
      </c>
      <c r="S2835">
        <f>HLOOKUP("Memory",'vInfo (Imported)'!$1:$5000,M2835,FALSE)</f>
        <v>0</v>
      </c>
      <c r="T2835">
        <f>HLOOKUP("Provisioned MiB",'vInfo (Imported)'!$1:$5000,M2835,FALSE)</f>
        <v>0</v>
      </c>
      <c r="U2835">
        <f t="shared" si="133"/>
        <v>0</v>
      </c>
      <c r="V2835">
        <f>HLOOKUP("In Use MiB",'vInfo (Imported)'!$1:$5000,M2835,FALSE)</f>
        <v>0</v>
      </c>
    </row>
    <row r="2836" spans="1:22" ht="13" x14ac:dyDescent="0.3">
      <c r="A2836" s="46">
        <f>'vHosts (Imported)'!A2836</f>
        <v>0</v>
      </c>
      <c r="B2836" s="51">
        <f t="shared" si="132"/>
        <v>4968</v>
      </c>
      <c r="C2836" s="49">
        <f>HLOOKUP("# Cores",'vHosts (Imported)'!$1:$5000,M2836,FALSE)</f>
        <v>0</v>
      </c>
      <c r="D2836" s="52">
        <f>HLOOKUP("# Memory",'vHosts (Imported)'!$1:$5000,M2836,FALSE)</f>
        <v>0</v>
      </c>
      <c r="M2836" s="45">
        <f t="shared" si="134"/>
        <v>2836</v>
      </c>
      <c r="N2836" s="38">
        <f>HLOOKUP("Host",'vInfo (Imported)'!$1:$5000,M2836,FALSE)</f>
        <v>0</v>
      </c>
      <c r="R2836">
        <f>HLOOKUP("CPUs",'vInfo (Imported)'!$1:$5000,M2836,FALSE)</f>
        <v>0</v>
      </c>
      <c r="S2836">
        <f>HLOOKUP("Memory",'vInfo (Imported)'!$1:$5000,M2836,FALSE)</f>
        <v>0</v>
      </c>
      <c r="T2836">
        <f>HLOOKUP("Provisioned MiB",'vInfo (Imported)'!$1:$5000,M2836,FALSE)</f>
        <v>0</v>
      </c>
      <c r="U2836">
        <f t="shared" si="133"/>
        <v>0</v>
      </c>
      <c r="V2836">
        <f>HLOOKUP("In Use MiB",'vInfo (Imported)'!$1:$5000,M2836,FALSE)</f>
        <v>0</v>
      </c>
    </row>
    <row r="2837" spans="1:22" ht="13" x14ac:dyDescent="0.3">
      <c r="A2837" s="46">
        <f>'vHosts (Imported)'!A2837</f>
        <v>0</v>
      </c>
      <c r="B2837" s="51">
        <f t="shared" si="132"/>
        <v>4968</v>
      </c>
      <c r="C2837" s="49">
        <f>HLOOKUP("# Cores",'vHosts (Imported)'!$1:$5000,M2837,FALSE)</f>
        <v>0</v>
      </c>
      <c r="D2837" s="52">
        <f>HLOOKUP("# Memory",'vHosts (Imported)'!$1:$5000,M2837,FALSE)</f>
        <v>0</v>
      </c>
      <c r="M2837" s="45">
        <f t="shared" si="134"/>
        <v>2837</v>
      </c>
      <c r="N2837" s="38">
        <f>HLOOKUP("Host",'vInfo (Imported)'!$1:$5000,M2837,FALSE)</f>
        <v>0</v>
      </c>
      <c r="R2837">
        <f>HLOOKUP("CPUs",'vInfo (Imported)'!$1:$5000,M2837,FALSE)</f>
        <v>0</v>
      </c>
      <c r="S2837">
        <f>HLOOKUP("Memory",'vInfo (Imported)'!$1:$5000,M2837,FALSE)</f>
        <v>0</v>
      </c>
      <c r="T2837">
        <f>HLOOKUP("Provisioned MiB",'vInfo (Imported)'!$1:$5000,M2837,FALSE)</f>
        <v>0</v>
      </c>
      <c r="U2837">
        <f t="shared" si="133"/>
        <v>0</v>
      </c>
      <c r="V2837">
        <f>HLOOKUP("In Use MiB",'vInfo (Imported)'!$1:$5000,M2837,FALSE)</f>
        <v>0</v>
      </c>
    </row>
    <row r="2838" spans="1:22" ht="13" x14ac:dyDescent="0.3">
      <c r="A2838" s="46">
        <f>'vHosts (Imported)'!A2838</f>
        <v>0</v>
      </c>
      <c r="B2838" s="51">
        <f t="shared" si="132"/>
        <v>4968</v>
      </c>
      <c r="C2838" s="49">
        <f>HLOOKUP("# Cores",'vHosts (Imported)'!$1:$5000,M2838,FALSE)</f>
        <v>0</v>
      </c>
      <c r="D2838" s="52">
        <f>HLOOKUP("# Memory",'vHosts (Imported)'!$1:$5000,M2838,FALSE)</f>
        <v>0</v>
      </c>
      <c r="M2838" s="45">
        <f t="shared" si="134"/>
        <v>2838</v>
      </c>
      <c r="N2838" s="38">
        <f>HLOOKUP("Host",'vInfo (Imported)'!$1:$5000,M2838,FALSE)</f>
        <v>0</v>
      </c>
      <c r="R2838">
        <f>HLOOKUP("CPUs",'vInfo (Imported)'!$1:$5000,M2838,FALSE)</f>
        <v>0</v>
      </c>
      <c r="S2838">
        <f>HLOOKUP("Memory",'vInfo (Imported)'!$1:$5000,M2838,FALSE)</f>
        <v>0</v>
      </c>
      <c r="T2838">
        <f>HLOOKUP("Provisioned MiB",'vInfo (Imported)'!$1:$5000,M2838,FALSE)</f>
        <v>0</v>
      </c>
      <c r="U2838">
        <f t="shared" si="133"/>
        <v>0</v>
      </c>
      <c r="V2838">
        <f>HLOOKUP("In Use MiB",'vInfo (Imported)'!$1:$5000,M2838,FALSE)</f>
        <v>0</v>
      </c>
    </row>
    <row r="2839" spans="1:22" ht="13" x14ac:dyDescent="0.3">
      <c r="A2839" s="46">
        <f>'vHosts (Imported)'!A2839</f>
        <v>0</v>
      </c>
      <c r="B2839" s="51">
        <f t="shared" si="132"/>
        <v>4968</v>
      </c>
      <c r="C2839" s="49">
        <f>HLOOKUP("# Cores",'vHosts (Imported)'!$1:$5000,M2839,FALSE)</f>
        <v>0</v>
      </c>
      <c r="D2839" s="52">
        <f>HLOOKUP("# Memory",'vHosts (Imported)'!$1:$5000,M2839,FALSE)</f>
        <v>0</v>
      </c>
      <c r="M2839" s="45">
        <f t="shared" si="134"/>
        <v>2839</v>
      </c>
      <c r="N2839" s="38">
        <f>HLOOKUP("Host",'vInfo (Imported)'!$1:$5000,M2839,FALSE)</f>
        <v>0</v>
      </c>
      <c r="R2839">
        <f>HLOOKUP("CPUs",'vInfo (Imported)'!$1:$5000,M2839,FALSE)</f>
        <v>0</v>
      </c>
      <c r="S2839">
        <f>HLOOKUP("Memory",'vInfo (Imported)'!$1:$5000,M2839,FALSE)</f>
        <v>0</v>
      </c>
      <c r="T2839">
        <f>HLOOKUP("Provisioned MiB",'vInfo (Imported)'!$1:$5000,M2839,FALSE)</f>
        <v>0</v>
      </c>
      <c r="U2839">
        <f t="shared" si="133"/>
        <v>0</v>
      </c>
      <c r="V2839">
        <f>HLOOKUP("In Use MiB",'vInfo (Imported)'!$1:$5000,M2839,FALSE)</f>
        <v>0</v>
      </c>
    </row>
    <row r="2840" spans="1:22" ht="13" x14ac:dyDescent="0.3">
      <c r="A2840" s="46">
        <f>'vHosts (Imported)'!A2840</f>
        <v>0</v>
      </c>
      <c r="B2840" s="51">
        <f t="shared" si="132"/>
        <v>4968</v>
      </c>
      <c r="C2840" s="49">
        <f>HLOOKUP("# Cores",'vHosts (Imported)'!$1:$5000,M2840,FALSE)</f>
        <v>0</v>
      </c>
      <c r="D2840" s="52">
        <f>HLOOKUP("# Memory",'vHosts (Imported)'!$1:$5000,M2840,FALSE)</f>
        <v>0</v>
      </c>
      <c r="M2840" s="45">
        <f t="shared" si="134"/>
        <v>2840</v>
      </c>
      <c r="N2840" s="38">
        <f>HLOOKUP("Host",'vInfo (Imported)'!$1:$5000,M2840,FALSE)</f>
        <v>0</v>
      </c>
      <c r="R2840">
        <f>HLOOKUP("CPUs",'vInfo (Imported)'!$1:$5000,M2840,FALSE)</f>
        <v>0</v>
      </c>
      <c r="S2840">
        <f>HLOOKUP("Memory",'vInfo (Imported)'!$1:$5000,M2840,FALSE)</f>
        <v>0</v>
      </c>
      <c r="T2840">
        <f>HLOOKUP("Provisioned MiB",'vInfo (Imported)'!$1:$5000,M2840,FALSE)</f>
        <v>0</v>
      </c>
      <c r="U2840">
        <f t="shared" si="133"/>
        <v>0</v>
      </c>
      <c r="V2840">
        <f>HLOOKUP("In Use MiB",'vInfo (Imported)'!$1:$5000,M2840,FALSE)</f>
        <v>0</v>
      </c>
    </row>
    <row r="2841" spans="1:22" ht="13" x14ac:dyDescent="0.3">
      <c r="A2841" s="46">
        <f>'vHosts (Imported)'!A2841</f>
        <v>0</v>
      </c>
      <c r="B2841" s="51">
        <f t="shared" si="132"/>
        <v>4968</v>
      </c>
      <c r="C2841" s="49">
        <f>HLOOKUP("# Cores",'vHosts (Imported)'!$1:$5000,M2841,FALSE)</f>
        <v>0</v>
      </c>
      <c r="D2841" s="52">
        <f>HLOOKUP("# Memory",'vHosts (Imported)'!$1:$5000,M2841,FALSE)</f>
        <v>0</v>
      </c>
      <c r="M2841" s="45">
        <f t="shared" si="134"/>
        <v>2841</v>
      </c>
      <c r="N2841" s="38">
        <f>HLOOKUP("Host",'vInfo (Imported)'!$1:$5000,M2841,FALSE)</f>
        <v>0</v>
      </c>
      <c r="R2841">
        <f>HLOOKUP("CPUs",'vInfo (Imported)'!$1:$5000,M2841,FALSE)</f>
        <v>0</v>
      </c>
      <c r="S2841">
        <f>HLOOKUP("Memory",'vInfo (Imported)'!$1:$5000,M2841,FALSE)</f>
        <v>0</v>
      </c>
      <c r="T2841">
        <f>HLOOKUP("Provisioned MiB",'vInfo (Imported)'!$1:$5000,M2841,FALSE)</f>
        <v>0</v>
      </c>
      <c r="U2841">
        <f t="shared" si="133"/>
        <v>0</v>
      </c>
      <c r="V2841">
        <f>HLOOKUP("In Use MiB",'vInfo (Imported)'!$1:$5000,M2841,FALSE)</f>
        <v>0</v>
      </c>
    </row>
    <row r="2842" spans="1:22" ht="13" x14ac:dyDescent="0.3">
      <c r="A2842" s="46">
        <f>'vHosts (Imported)'!A2842</f>
        <v>0</v>
      </c>
      <c r="B2842" s="51">
        <f t="shared" si="132"/>
        <v>4968</v>
      </c>
      <c r="C2842" s="49">
        <f>HLOOKUP("# Cores",'vHosts (Imported)'!$1:$5000,M2842,FALSE)</f>
        <v>0</v>
      </c>
      <c r="D2842" s="52">
        <f>HLOOKUP("# Memory",'vHosts (Imported)'!$1:$5000,M2842,FALSE)</f>
        <v>0</v>
      </c>
      <c r="M2842" s="45">
        <f t="shared" si="134"/>
        <v>2842</v>
      </c>
      <c r="N2842" s="38">
        <f>HLOOKUP("Host",'vInfo (Imported)'!$1:$5000,M2842,FALSE)</f>
        <v>0</v>
      </c>
      <c r="R2842">
        <f>HLOOKUP("CPUs",'vInfo (Imported)'!$1:$5000,M2842,FALSE)</f>
        <v>0</v>
      </c>
      <c r="S2842">
        <f>HLOOKUP("Memory",'vInfo (Imported)'!$1:$5000,M2842,FALSE)</f>
        <v>0</v>
      </c>
      <c r="T2842">
        <f>HLOOKUP("Provisioned MiB",'vInfo (Imported)'!$1:$5000,M2842,FALSE)</f>
        <v>0</v>
      </c>
      <c r="U2842">
        <f t="shared" si="133"/>
        <v>0</v>
      </c>
      <c r="V2842">
        <f>HLOOKUP("In Use MiB",'vInfo (Imported)'!$1:$5000,M2842,FALSE)</f>
        <v>0</v>
      </c>
    </row>
    <row r="2843" spans="1:22" ht="13" x14ac:dyDescent="0.3">
      <c r="A2843" s="46">
        <f>'vHosts (Imported)'!A2843</f>
        <v>0</v>
      </c>
      <c r="B2843" s="51">
        <f t="shared" si="132"/>
        <v>4968</v>
      </c>
      <c r="C2843" s="49">
        <f>HLOOKUP("# Cores",'vHosts (Imported)'!$1:$5000,M2843,FALSE)</f>
        <v>0</v>
      </c>
      <c r="D2843" s="52">
        <f>HLOOKUP("# Memory",'vHosts (Imported)'!$1:$5000,M2843,FALSE)</f>
        <v>0</v>
      </c>
      <c r="M2843" s="45">
        <f t="shared" si="134"/>
        <v>2843</v>
      </c>
      <c r="N2843" s="38">
        <f>HLOOKUP("Host",'vInfo (Imported)'!$1:$5000,M2843,FALSE)</f>
        <v>0</v>
      </c>
      <c r="R2843">
        <f>HLOOKUP("CPUs",'vInfo (Imported)'!$1:$5000,M2843,FALSE)</f>
        <v>0</v>
      </c>
      <c r="S2843">
        <f>HLOOKUP("Memory",'vInfo (Imported)'!$1:$5000,M2843,FALSE)</f>
        <v>0</v>
      </c>
      <c r="T2843">
        <f>HLOOKUP("Provisioned MiB",'vInfo (Imported)'!$1:$5000,M2843,FALSE)</f>
        <v>0</v>
      </c>
      <c r="U2843">
        <f t="shared" si="133"/>
        <v>0</v>
      </c>
      <c r="V2843">
        <f>HLOOKUP("In Use MiB",'vInfo (Imported)'!$1:$5000,M2843,FALSE)</f>
        <v>0</v>
      </c>
    </row>
    <row r="2844" spans="1:22" ht="13" x14ac:dyDescent="0.3">
      <c r="A2844" s="46">
        <f>'vHosts (Imported)'!A2844</f>
        <v>0</v>
      </c>
      <c r="B2844" s="51">
        <f t="shared" si="132"/>
        <v>4968</v>
      </c>
      <c r="C2844" s="49">
        <f>HLOOKUP("# Cores",'vHosts (Imported)'!$1:$5000,M2844,FALSE)</f>
        <v>0</v>
      </c>
      <c r="D2844" s="52">
        <f>HLOOKUP("# Memory",'vHosts (Imported)'!$1:$5000,M2844,FALSE)</f>
        <v>0</v>
      </c>
      <c r="M2844" s="45">
        <f t="shared" si="134"/>
        <v>2844</v>
      </c>
      <c r="N2844" s="38">
        <f>HLOOKUP("Host",'vInfo (Imported)'!$1:$5000,M2844,FALSE)</f>
        <v>0</v>
      </c>
      <c r="R2844">
        <f>HLOOKUP("CPUs",'vInfo (Imported)'!$1:$5000,M2844,FALSE)</f>
        <v>0</v>
      </c>
      <c r="S2844">
        <f>HLOOKUP("Memory",'vInfo (Imported)'!$1:$5000,M2844,FALSE)</f>
        <v>0</v>
      </c>
      <c r="T2844">
        <f>HLOOKUP("Provisioned MiB",'vInfo (Imported)'!$1:$5000,M2844,FALSE)</f>
        <v>0</v>
      </c>
      <c r="U2844">
        <f t="shared" si="133"/>
        <v>0</v>
      </c>
      <c r="V2844">
        <f>HLOOKUP("In Use MiB",'vInfo (Imported)'!$1:$5000,M2844,FALSE)</f>
        <v>0</v>
      </c>
    </row>
    <row r="2845" spans="1:22" ht="13" x14ac:dyDescent="0.3">
      <c r="A2845" s="46">
        <f>'vHosts (Imported)'!A2845</f>
        <v>0</v>
      </c>
      <c r="B2845" s="51">
        <f t="shared" si="132"/>
        <v>4968</v>
      </c>
      <c r="C2845" s="49">
        <f>HLOOKUP("# Cores",'vHosts (Imported)'!$1:$5000,M2845,FALSE)</f>
        <v>0</v>
      </c>
      <c r="D2845" s="52">
        <f>HLOOKUP("# Memory",'vHosts (Imported)'!$1:$5000,M2845,FALSE)</f>
        <v>0</v>
      </c>
      <c r="M2845" s="45">
        <f t="shared" si="134"/>
        <v>2845</v>
      </c>
      <c r="N2845" s="38">
        <f>HLOOKUP("Host",'vInfo (Imported)'!$1:$5000,M2845,FALSE)</f>
        <v>0</v>
      </c>
      <c r="R2845">
        <f>HLOOKUP("CPUs",'vInfo (Imported)'!$1:$5000,M2845,FALSE)</f>
        <v>0</v>
      </c>
      <c r="S2845">
        <f>HLOOKUP("Memory",'vInfo (Imported)'!$1:$5000,M2845,FALSE)</f>
        <v>0</v>
      </c>
      <c r="T2845">
        <f>HLOOKUP("Provisioned MiB",'vInfo (Imported)'!$1:$5000,M2845,FALSE)</f>
        <v>0</v>
      </c>
      <c r="U2845">
        <f t="shared" si="133"/>
        <v>0</v>
      </c>
      <c r="V2845">
        <f>HLOOKUP("In Use MiB",'vInfo (Imported)'!$1:$5000,M2845,FALSE)</f>
        <v>0</v>
      </c>
    </row>
    <row r="2846" spans="1:22" ht="13" x14ac:dyDescent="0.3">
      <c r="A2846" s="46">
        <f>'vHosts (Imported)'!A2846</f>
        <v>0</v>
      </c>
      <c r="B2846" s="51">
        <f t="shared" si="132"/>
        <v>4968</v>
      </c>
      <c r="C2846" s="49">
        <f>HLOOKUP("# Cores",'vHosts (Imported)'!$1:$5000,M2846,FALSE)</f>
        <v>0</v>
      </c>
      <c r="D2846" s="52">
        <f>HLOOKUP("# Memory",'vHosts (Imported)'!$1:$5000,M2846,FALSE)</f>
        <v>0</v>
      </c>
      <c r="M2846" s="45">
        <f t="shared" si="134"/>
        <v>2846</v>
      </c>
      <c r="N2846" s="38">
        <f>HLOOKUP("Host",'vInfo (Imported)'!$1:$5000,M2846,FALSE)</f>
        <v>0</v>
      </c>
      <c r="R2846">
        <f>HLOOKUP("CPUs",'vInfo (Imported)'!$1:$5000,M2846,FALSE)</f>
        <v>0</v>
      </c>
      <c r="S2846">
        <f>HLOOKUP("Memory",'vInfo (Imported)'!$1:$5000,M2846,FALSE)</f>
        <v>0</v>
      </c>
      <c r="T2846">
        <f>HLOOKUP("Provisioned MiB",'vInfo (Imported)'!$1:$5000,M2846,FALSE)</f>
        <v>0</v>
      </c>
      <c r="U2846">
        <f t="shared" si="133"/>
        <v>0</v>
      </c>
      <c r="V2846">
        <f>HLOOKUP("In Use MiB",'vInfo (Imported)'!$1:$5000,M2846,FALSE)</f>
        <v>0</v>
      </c>
    </row>
    <row r="2847" spans="1:22" ht="13" x14ac:dyDescent="0.3">
      <c r="A2847" s="46">
        <f>'vHosts (Imported)'!A2847</f>
        <v>0</v>
      </c>
      <c r="B2847" s="51">
        <f t="shared" si="132"/>
        <v>4968</v>
      </c>
      <c r="C2847" s="49">
        <f>HLOOKUP("# Cores",'vHosts (Imported)'!$1:$5000,M2847,FALSE)</f>
        <v>0</v>
      </c>
      <c r="D2847" s="52">
        <f>HLOOKUP("# Memory",'vHosts (Imported)'!$1:$5000,M2847,FALSE)</f>
        <v>0</v>
      </c>
      <c r="M2847" s="45">
        <f t="shared" si="134"/>
        <v>2847</v>
      </c>
      <c r="N2847" s="38">
        <f>HLOOKUP("Host",'vInfo (Imported)'!$1:$5000,M2847,FALSE)</f>
        <v>0</v>
      </c>
      <c r="R2847">
        <f>HLOOKUP("CPUs",'vInfo (Imported)'!$1:$5000,M2847,FALSE)</f>
        <v>0</v>
      </c>
      <c r="S2847">
        <f>HLOOKUP("Memory",'vInfo (Imported)'!$1:$5000,M2847,FALSE)</f>
        <v>0</v>
      </c>
      <c r="T2847">
        <f>HLOOKUP("Provisioned MiB",'vInfo (Imported)'!$1:$5000,M2847,FALSE)</f>
        <v>0</v>
      </c>
      <c r="U2847">
        <f t="shared" si="133"/>
        <v>0</v>
      </c>
      <c r="V2847">
        <f>HLOOKUP("In Use MiB",'vInfo (Imported)'!$1:$5000,M2847,FALSE)</f>
        <v>0</v>
      </c>
    </row>
    <row r="2848" spans="1:22" ht="13" x14ac:dyDescent="0.3">
      <c r="A2848" s="46">
        <f>'vHosts (Imported)'!A2848</f>
        <v>0</v>
      </c>
      <c r="B2848" s="51">
        <f t="shared" si="132"/>
        <v>4968</v>
      </c>
      <c r="C2848" s="49">
        <f>HLOOKUP("# Cores",'vHosts (Imported)'!$1:$5000,M2848,FALSE)</f>
        <v>0</v>
      </c>
      <c r="D2848" s="52">
        <f>HLOOKUP("# Memory",'vHosts (Imported)'!$1:$5000,M2848,FALSE)</f>
        <v>0</v>
      </c>
      <c r="M2848" s="45">
        <f t="shared" si="134"/>
        <v>2848</v>
      </c>
      <c r="N2848" s="38">
        <f>HLOOKUP("Host",'vInfo (Imported)'!$1:$5000,M2848,FALSE)</f>
        <v>0</v>
      </c>
      <c r="R2848">
        <f>HLOOKUP("CPUs",'vInfo (Imported)'!$1:$5000,M2848,FALSE)</f>
        <v>0</v>
      </c>
      <c r="S2848">
        <f>HLOOKUP("Memory",'vInfo (Imported)'!$1:$5000,M2848,FALSE)</f>
        <v>0</v>
      </c>
      <c r="T2848">
        <f>HLOOKUP("Provisioned MiB",'vInfo (Imported)'!$1:$5000,M2848,FALSE)</f>
        <v>0</v>
      </c>
      <c r="U2848">
        <f t="shared" si="133"/>
        <v>0</v>
      </c>
      <c r="V2848">
        <f>HLOOKUP("In Use MiB",'vInfo (Imported)'!$1:$5000,M2848,FALSE)</f>
        <v>0</v>
      </c>
    </row>
    <row r="2849" spans="1:22" ht="13" x14ac:dyDescent="0.3">
      <c r="A2849" s="46">
        <f>'vHosts (Imported)'!A2849</f>
        <v>0</v>
      </c>
      <c r="B2849" s="51">
        <f t="shared" si="132"/>
        <v>4968</v>
      </c>
      <c r="C2849" s="49">
        <f>HLOOKUP("# Cores",'vHosts (Imported)'!$1:$5000,M2849,FALSE)</f>
        <v>0</v>
      </c>
      <c r="D2849" s="52">
        <f>HLOOKUP("# Memory",'vHosts (Imported)'!$1:$5000,M2849,FALSE)</f>
        <v>0</v>
      </c>
      <c r="M2849" s="45">
        <f t="shared" si="134"/>
        <v>2849</v>
      </c>
      <c r="N2849" s="38">
        <f>HLOOKUP("Host",'vInfo (Imported)'!$1:$5000,M2849,FALSE)</f>
        <v>0</v>
      </c>
      <c r="R2849">
        <f>HLOOKUP("CPUs",'vInfo (Imported)'!$1:$5000,M2849,FALSE)</f>
        <v>0</v>
      </c>
      <c r="S2849">
        <f>HLOOKUP("Memory",'vInfo (Imported)'!$1:$5000,M2849,FALSE)</f>
        <v>0</v>
      </c>
      <c r="T2849">
        <f>HLOOKUP("Provisioned MiB",'vInfo (Imported)'!$1:$5000,M2849,FALSE)</f>
        <v>0</v>
      </c>
      <c r="U2849">
        <f t="shared" si="133"/>
        <v>0</v>
      </c>
      <c r="V2849">
        <f>HLOOKUP("In Use MiB",'vInfo (Imported)'!$1:$5000,M2849,FALSE)</f>
        <v>0</v>
      </c>
    </row>
    <row r="2850" spans="1:22" ht="13" x14ac:dyDescent="0.3">
      <c r="A2850" s="46">
        <f>'vHosts (Imported)'!A2850</f>
        <v>0</v>
      </c>
      <c r="B2850" s="51">
        <f t="shared" si="132"/>
        <v>4968</v>
      </c>
      <c r="C2850" s="49">
        <f>HLOOKUP("# Cores",'vHosts (Imported)'!$1:$5000,M2850,FALSE)</f>
        <v>0</v>
      </c>
      <c r="D2850" s="52">
        <f>HLOOKUP("# Memory",'vHosts (Imported)'!$1:$5000,M2850,FALSE)</f>
        <v>0</v>
      </c>
      <c r="M2850" s="45">
        <f t="shared" si="134"/>
        <v>2850</v>
      </c>
      <c r="N2850" s="38">
        <f>HLOOKUP("Host",'vInfo (Imported)'!$1:$5000,M2850,FALSE)</f>
        <v>0</v>
      </c>
      <c r="R2850">
        <f>HLOOKUP("CPUs",'vInfo (Imported)'!$1:$5000,M2850,FALSE)</f>
        <v>0</v>
      </c>
      <c r="S2850">
        <f>HLOOKUP("Memory",'vInfo (Imported)'!$1:$5000,M2850,FALSE)</f>
        <v>0</v>
      </c>
      <c r="T2850">
        <f>HLOOKUP("Provisioned MiB",'vInfo (Imported)'!$1:$5000,M2850,FALSE)</f>
        <v>0</v>
      </c>
      <c r="U2850">
        <f t="shared" si="133"/>
        <v>0</v>
      </c>
      <c r="V2850">
        <f>HLOOKUP("In Use MiB",'vInfo (Imported)'!$1:$5000,M2850,FALSE)</f>
        <v>0</v>
      </c>
    </row>
    <row r="2851" spans="1:22" ht="13" x14ac:dyDescent="0.3">
      <c r="A2851" s="46">
        <f>'vHosts (Imported)'!A2851</f>
        <v>0</v>
      </c>
      <c r="B2851" s="51">
        <f t="shared" si="132"/>
        <v>4968</v>
      </c>
      <c r="C2851" s="49">
        <f>HLOOKUP("# Cores",'vHosts (Imported)'!$1:$5000,M2851,FALSE)</f>
        <v>0</v>
      </c>
      <c r="D2851" s="52">
        <f>HLOOKUP("# Memory",'vHosts (Imported)'!$1:$5000,M2851,FALSE)</f>
        <v>0</v>
      </c>
      <c r="M2851" s="45">
        <f t="shared" si="134"/>
        <v>2851</v>
      </c>
      <c r="N2851" s="38">
        <f>HLOOKUP("Host",'vInfo (Imported)'!$1:$5000,M2851,FALSE)</f>
        <v>0</v>
      </c>
      <c r="R2851">
        <f>HLOOKUP("CPUs",'vInfo (Imported)'!$1:$5000,M2851,FALSE)</f>
        <v>0</v>
      </c>
      <c r="S2851">
        <f>HLOOKUP("Memory",'vInfo (Imported)'!$1:$5000,M2851,FALSE)</f>
        <v>0</v>
      </c>
      <c r="T2851">
        <f>HLOOKUP("Provisioned MiB",'vInfo (Imported)'!$1:$5000,M2851,FALSE)</f>
        <v>0</v>
      </c>
      <c r="U2851">
        <f t="shared" si="133"/>
        <v>0</v>
      </c>
      <c r="V2851">
        <f>HLOOKUP("In Use MiB",'vInfo (Imported)'!$1:$5000,M2851,FALSE)</f>
        <v>0</v>
      </c>
    </row>
    <row r="2852" spans="1:22" ht="13" x14ac:dyDescent="0.3">
      <c r="A2852" s="46">
        <f>'vHosts (Imported)'!A2852</f>
        <v>0</v>
      </c>
      <c r="B2852" s="51">
        <f t="shared" si="132"/>
        <v>4968</v>
      </c>
      <c r="C2852" s="49">
        <f>HLOOKUP("# Cores",'vHosts (Imported)'!$1:$5000,M2852,FALSE)</f>
        <v>0</v>
      </c>
      <c r="D2852" s="52">
        <f>HLOOKUP("# Memory",'vHosts (Imported)'!$1:$5000,M2852,FALSE)</f>
        <v>0</v>
      </c>
      <c r="M2852" s="45">
        <f t="shared" si="134"/>
        <v>2852</v>
      </c>
      <c r="N2852" s="38">
        <f>HLOOKUP("Host",'vInfo (Imported)'!$1:$5000,M2852,FALSE)</f>
        <v>0</v>
      </c>
      <c r="R2852">
        <f>HLOOKUP("CPUs",'vInfo (Imported)'!$1:$5000,M2852,FALSE)</f>
        <v>0</v>
      </c>
      <c r="S2852">
        <f>HLOOKUP("Memory",'vInfo (Imported)'!$1:$5000,M2852,FALSE)</f>
        <v>0</v>
      </c>
      <c r="T2852">
        <f>HLOOKUP("Provisioned MiB",'vInfo (Imported)'!$1:$5000,M2852,FALSE)</f>
        <v>0</v>
      </c>
      <c r="U2852">
        <f t="shared" si="133"/>
        <v>0</v>
      </c>
      <c r="V2852">
        <f>HLOOKUP("In Use MiB",'vInfo (Imported)'!$1:$5000,M2852,FALSE)</f>
        <v>0</v>
      </c>
    </row>
    <row r="2853" spans="1:22" ht="13" x14ac:dyDescent="0.3">
      <c r="A2853" s="46">
        <f>'vHosts (Imported)'!A2853</f>
        <v>0</v>
      </c>
      <c r="B2853" s="51">
        <f t="shared" si="132"/>
        <v>4968</v>
      </c>
      <c r="C2853" s="49">
        <f>HLOOKUP("# Cores",'vHosts (Imported)'!$1:$5000,M2853,FALSE)</f>
        <v>0</v>
      </c>
      <c r="D2853" s="52">
        <f>HLOOKUP("# Memory",'vHosts (Imported)'!$1:$5000,M2853,FALSE)</f>
        <v>0</v>
      </c>
      <c r="M2853" s="45">
        <f t="shared" si="134"/>
        <v>2853</v>
      </c>
      <c r="N2853" s="38">
        <f>HLOOKUP("Host",'vInfo (Imported)'!$1:$5000,M2853,FALSE)</f>
        <v>0</v>
      </c>
      <c r="R2853">
        <f>HLOOKUP("CPUs",'vInfo (Imported)'!$1:$5000,M2853,FALSE)</f>
        <v>0</v>
      </c>
      <c r="S2853">
        <f>HLOOKUP("Memory",'vInfo (Imported)'!$1:$5000,M2853,FALSE)</f>
        <v>0</v>
      </c>
      <c r="T2853">
        <f>HLOOKUP("Provisioned MiB",'vInfo (Imported)'!$1:$5000,M2853,FALSE)</f>
        <v>0</v>
      </c>
      <c r="U2853">
        <f t="shared" si="133"/>
        <v>0</v>
      </c>
      <c r="V2853">
        <f>HLOOKUP("In Use MiB",'vInfo (Imported)'!$1:$5000,M2853,FALSE)</f>
        <v>0</v>
      </c>
    </row>
    <row r="2854" spans="1:22" ht="13" x14ac:dyDescent="0.3">
      <c r="A2854" s="46">
        <f>'vHosts (Imported)'!A2854</f>
        <v>0</v>
      </c>
      <c r="B2854" s="51">
        <f t="shared" si="132"/>
        <v>4968</v>
      </c>
      <c r="C2854" s="49">
        <f>HLOOKUP("# Cores",'vHosts (Imported)'!$1:$5000,M2854,FALSE)</f>
        <v>0</v>
      </c>
      <c r="D2854" s="52">
        <f>HLOOKUP("# Memory",'vHosts (Imported)'!$1:$5000,M2854,FALSE)</f>
        <v>0</v>
      </c>
      <c r="M2854" s="45">
        <f t="shared" si="134"/>
        <v>2854</v>
      </c>
      <c r="N2854" s="38">
        <f>HLOOKUP("Host",'vInfo (Imported)'!$1:$5000,M2854,FALSE)</f>
        <v>0</v>
      </c>
      <c r="R2854">
        <f>HLOOKUP("CPUs",'vInfo (Imported)'!$1:$5000,M2854,FALSE)</f>
        <v>0</v>
      </c>
      <c r="S2854">
        <f>HLOOKUP("Memory",'vInfo (Imported)'!$1:$5000,M2854,FALSE)</f>
        <v>0</v>
      </c>
      <c r="T2854">
        <f>HLOOKUP("Provisioned MiB",'vInfo (Imported)'!$1:$5000,M2854,FALSE)</f>
        <v>0</v>
      </c>
      <c r="U2854">
        <f t="shared" si="133"/>
        <v>0</v>
      </c>
      <c r="V2854">
        <f>HLOOKUP("In Use MiB",'vInfo (Imported)'!$1:$5000,M2854,FALSE)</f>
        <v>0</v>
      </c>
    </row>
    <row r="2855" spans="1:22" ht="13" x14ac:dyDescent="0.3">
      <c r="A2855" s="46">
        <f>'vHosts (Imported)'!A2855</f>
        <v>0</v>
      </c>
      <c r="B2855" s="51">
        <f t="shared" si="132"/>
        <v>4968</v>
      </c>
      <c r="C2855" s="49">
        <f>HLOOKUP("# Cores",'vHosts (Imported)'!$1:$5000,M2855,FALSE)</f>
        <v>0</v>
      </c>
      <c r="D2855" s="52">
        <f>HLOOKUP("# Memory",'vHosts (Imported)'!$1:$5000,M2855,FALSE)</f>
        <v>0</v>
      </c>
      <c r="M2855" s="45">
        <f t="shared" si="134"/>
        <v>2855</v>
      </c>
      <c r="N2855" s="38">
        <f>HLOOKUP("Host",'vInfo (Imported)'!$1:$5000,M2855,FALSE)</f>
        <v>0</v>
      </c>
      <c r="R2855">
        <f>HLOOKUP("CPUs",'vInfo (Imported)'!$1:$5000,M2855,FALSE)</f>
        <v>0</v>
      </c>
      <c r="S2855">
        <f>HLOOKUP("Memory",'vInfo (Imported)'!$1:$5000,M2855,FALSE)</f>
        <v>0</v>
      </c>
      <c r="T2855">
        <f>HLOOKUP("Provisioned MiB",'vInfo (Imported)'!$1:$5000,M2855,FALSE)</f>
        <v>0</v>
      </c>
      <c r="U2855">
        <f t="shared" si="133"/>
        <v>0</v>
      </c>
      <c r="V2855">
        <f>HLOOKUP("In Use MiB",'vInfo (Imported)'!$1:$5000,M2855,FALSE)</f>
        <v>0</v>
      </c>
    </row>
    <row r="2856" spans="1:22" ht="13" x14ac:dyDescent="0.3">
      <c r="A2856" s="46">
        <f>'vHosts (Imported)'!A2856</f>
        <v>0</v>
      </c>
      <c r="B2856" s="51">
        <f t="shared" ref="B2856:B2919" si="135">COUNTIF(N:N,A2856)</f>
        <v>4968</v>
      </c>
      <c r="C2856" s="49">
        <f>HLOOKUP("# Cores",'vHosts (Imported)'!$1:$5000,M2856,FALSE)</f>
        <v>0</v>
      </c>
      <c r="D2856" s="52">
        <f>HLOOKUP("# Memory",'vHosts (Imported)'!$1:$5000,M2856,FALSE)</f>
        <v>0</v>
      </c>
      <c r="M2856" s="45">
        <f t="shared" si="134"/>
        <v>2856</v>
      </c>
      <c r="N2856" s="38">
        <f>HLOOKUP("Host",'vInfo (Imported)'!$1:$5000,M2856,FALSE)</f>
        <v>0</v>
      </c>
      <c r="R2856">
        <f>HLOOKUP("CPUs",'vInfo (Imported)'!$1:$5000,M2856,FALSE)</f>
        <v>0</v>
      </c>
      <c r="S2856">
        <f>HLOOKUP("Memory",'vInfo (Imported)'!$1:$5000,M2856,FALSE)</f>
        <v>0</v>
      </c>
      <c r="T2856">
        <f>HLOOKUP("Provisioned MiB",'vInfo (Imported)'!$1:$5000,M2856,FALSE)</f>
        <v>0</v>
      </c>
      <c r="U2856">
        <f t="shared" si="133"/>
        <v>0</v>
      </c>
      <c r="V2856">
        <f>HLOOKUP("In Use MiB",'vInfo (Imported)'!$1:$5000,M2856,FALSE)</f>
        <v>0</v>
      </c>
    </row>
    <row r="2857" spans="1:22" ht="13" x14ac:dyDescent="0.3">
      <c r="A2857" s="46">
        <f>'vHosts (Imported)'!A2857</f>
        <v>0</v>
      </c>
      <c r="B2857" s="51">
        <f t="shared" si="135"/>
        <v>4968</v>
      </c>
      <c r="C2857" s="49">
        <f>HLOOKUP("# Cores",'vHosts (Imported)'!$1:$5000,M2857,FALSE)</f>
        <v>0</v>
      </c>
      <c r="D2857" s="52">
        <f>HLOOKUP("# Memory",'vHosts (Imported)'!$1:$5000,M2857,FALSE)</f>
        <v>0</v>
      </c>
      <c r="M2857" s="45">
        <f t="shared" si="134"/>
        <v>2857</v>
      </c>
      <c r="N2857" s="38">
        <f>HLOOKUP("Host",'vInfo (Imported)'!$1:$5000,M2857,FALSE)</f>
        <v>0</v>
      </c>
      <c r="R2857">
        <f>HLOOKUP("CPUs",'vInfo (Imported)'!$1:$5000,M2857,FALSE)</f>
        <v>0</v>
      </c>
      <c r="S2857">
        <f>HLOOKUP("Memory",'vInfo (Imported)'!$1:$5000,M2857,FALSE)</f>
        <v>0</v>
      </c>
      <c r="T2857">
        <f>HLOOKUP("Provisioned MiB",'vInfo (Imported)'!$1:$5000,M2857,FALSE)</f>
        <v>0</v>
      </c>
      <c r="U2857">
        <f t="shared" si="133"/>
        <v>0</v>
      </c>
      <c r="V2857">
        <f>HLOOKUP("In Use MiB",'vInfo (Imported)'!$1:$5000,M2857,FALSE)</f>
        <v>0</v>
      </c>
    </row>
    <row r="2858" spans="1:22" ht="13" x14ac:dyDescent="0.3">
      <c r="A2858" s="46">
        <f>'vHosts (Imported)'!A2858</f>
        <v>0</v>
      </c>
      <c r="B2858" s="51">
        <f t="shared" si="135"/>
        <v>4968</v>
      </c>
      <c r="C2858" s="49">
        <f>HLOOKUP("# Cores",'vHosts (Imported)'!$1:$5000,M2858,FALSE)</f>
        <v>0</v>
      </c>
      <c r="D2858" s="52">
        <f>HLOOKUP("# Memory",'vHosts (Imported)'!$1:$5000,M2858,FALSE)</f>
        <v>0</v>
      </c>
      <c r="M2858" s="45">
        <f t="shared" si="134"/>
        <v>2858</v>
      </c>
      <c r="N2858" s="38">
        <f>HLOOKUP("Host",'vInfo (Imported)'!$1:$5000,M2858,FALSE)</f>
        <v>0</v>
      </c>
      <c r="R2858">
        <f>HLOOKUP("CPUs",'vInfo (Imported)'!$1:$5000,M2858,FALSE)</f>
        <v>0</v>
      </c>
      <c r="S2858">
        <f>HLOOKUP("Memory",'vInfo (Imported)'!$1:$5000,M2858,FALSE)</f>
        <v>0</v>
      </c>
      <c r="T2858">
        <f>HLOOKUP("Provisioned MiB",'vInfo (Imported)'!$1:$5000,M2858,FALSE)</f>
        <v>0</v>
      </c>
      <c r="U2858">
        <f t="shared" si="133"/>
        <v>0</v>
      </c>
      <c r="V2858">
        <f>HLOOKUP("In Use MiB",'vInfo (Imported)'!$1:$5000,M2858,FALSE)</f>
        <v>0</v>
      </c>
    </row>
    <row r="2859" spans="1:22" ht="13" x14ac:dyDescent="0.3">
      <c r="A2859" s="46">
        <f>'vHosts (Imported)'!A2859</f>
        <v>0</v>
      </c>
      <c r="B2859" s="51">
        <f t="shared" si="135"/>
        <v>4968</v>
      </c>
      <c r="C2859" s="49">
        <f>HLOOKUP("# Cores",'vHosts (Imported)'!$1:$5000,M2859,FALSE)</f>
        <v>0</v>
      </c>
      <c r="D2859" s="52">
        <f>HLOOKUP("# Memory",'vHosts (Imported)'!$1:$5000,M2859,FALSE)</f>
        <v>0</v>
      </c>
      <c r="M2859" s="45">
        <f t="shared" si="134"/>
        <v>2859</v>
      </c>
      <c r="N2859" s="38">
        <f>HLOOKUP("Host",'vInfo (Imported)'!$1:$5000,M2859,FALSE)</f>
        <v>0</v>
      </c>
      <c r="R2859">
        <f>HLOOKUP("CPUs",'vInfo (Imported)'!$1:$5000,M2859,FALSE)</f>
        <v>0</v>
      </c>
      <c r="S2859">
        <f>HLOOKUP("Memory",'vInfo (Imported)'!$1:$5000,M2859,FALSE)</f>
        <v>0</v>
      </c>
      <c r="T2859">
        <f>HLOOKUP("Provisioned MiB",'vInfo (Imported)'!$1:$5000,M2859,FALSE)</f>
        <v>0</v>
      </c>
      <c r="U2859">
        <f t="shared" si="133"/>
        <v>0</v>
      </c>
      <c r="V2859">
        <f>HLOOKUP("In Use MiB",'vInfo (Imported)'!$1:$5000,M2859,FALSE)</f>
        <v>0</v>
      </c>
    </row>
    <row r="2860" spans="1:22" ht="13" x14ac:dyDescent="0.3">
      <c r="A2860" s="46">
        <f>'vHosts (Imported)'!A2860</f>
        <v>0</v>
      </c>
      <c r="B2860" s="51">
        <f t="shared" si="135"/>
        <v>4968</v>
      </c>
      <c r="C2860" s="49">
        <f>HLOOKUP("# Cores",'vHosts (Imported)'!$1:$5000,M2860,FALSE)</f>
        <v>0</v>
      </c>
      <c r="D2860" s="52">
        <f>HLOOKUP("# Memory",'vHosts (Imported)'!$1:$5000,M2860,FALSE)</f>
        <v>0</v>
      </c>
      <c r="M2860" s="45">
        <f t="shared" si="134"/>
        <v>2860</v>
      </c>
      <c r="N2860" s="38">
        <f>HLOOKUP("Host",'vInfo (Imported)'!$1:$5000,M2860,FALSE)</f>
        <v>0</v>
      </c>
      <c r="R2860">
        <f>HLOOKUP("CPUs",'vInfo (Imported)'!$1:$5000,M2860,FALSE)</f>
        <v>0</v>
      </c>
      <c r="S2860">
        <f>HLOOKUP("Memory",'vInfo (Imported)'!$1:$5000,M2860,FALSE)</f>
        <v>0</v>
      </c>
      <c r="T2860">
        <f>HLOOKUP("Provisioned MiB",'vInfo (Imported)'!$1:$5000,M2860,FALSE)</f>
        <v>0</v>
      </c>
      <c r="U2860">
        <f t="shared" si="133"/>
        <v>0</v>
      </c>
      <c r="V2860">
        <f>HLOOKUP("In Use MiB",'vInfo (Imported)'!$1:$5000,M2860,FALSE)</f>
        <v>0</v>
      </c>
    </row>
    <row r="2861" spans="1:22" ht="13" x14ac:dyDescent="0.3">
      <c r="A2861" s="46">
        <f>'vHosts (Imported)'!A2861</f>
        <v>0</v>
      </c>
      <c r="B2861" s="51">
        <f t="shared" si="135"/>
        <v>4968</v>
      </c>
      <c r="C2861" s="49">
        <f>HLOOKUP("# Cores",'vHosts (Imported)'!$1:$5000,M2861,FALSE)</f>
        <v>0</v>
      </c>
      <c r="D2861" s="52">
        <f>HLOOKUP("# Memory",'vHosts (Imported)'!$1:$5000,M2861,FALSE)</f>
        <v>0</v>
      </c>
      <c r="M2861" s="45">
        <f t="shared" si="134"/>
        <v>2861</v>
      </c>
      <c r="N2861" s="38">
        <f>HLOOKUP("Host",'vInfo (Imported)'!$1:$5000,M2861,FALSE)</f>
        <v>0</v>
      </c>
      <c r="R2861">
        <f>HLOOKUP("CPUs",'vInfo (Imported)'!$1:$5000,M2861,FALSE)</f>
        <v>0</v>
      </c>
      <c r="S2861">
        <f>HLOOKUP("Memory",'vInfo (Imported)'!$1:$5000,M2861,FALSE)</f>
        <v>0</v>
      </c>
      <c r="T2861">
        <f>HLOOKUP("Provisioned MiB",'vInfo (Imported)'!$1:$5000,M2861,FALSE)</f>
        <v>0</v>
      </c>
      <c r="U2861">
        <f t="shared" si="133"/>
        <v>0</v>
      </c>
      <c r="V2861">
        <f>HLOOKUP("In Use MiB",'vInfo (Imported)'!$1:$5000,M2861,FALSE)</f>
        <v>0</v>
      </c>
    </row>
    <row r="2862" spans="1:22" ht="13" x14ac:dyDescent="0.3">
      <c r="A2862" s="46">
        <f>'vHosts (Imported)'!A2862</f>
        <v>0</v>
      </c>
      <c r="B2862" s="51">
        <f t="shared" si="135"/>
        <v>4968</v>
      </c>
      <c r="C2862" s="49">
        <f>HLOOKUP("# Cores",'vHosts (Imported)'!$1:$5000,M2862,FALSE)</f>
        <v>0</v>
      </c>
      <c r="D2862" s="52">
        <f>HLOOKUP("# Memory",'vHosts (Imported)'!$1:$5000,M2862,FALSE)</f>
        <v>0</v>
      </c>
      <c r="M2862" s="45">
        <f t="shared" si="134"/>
        <v>2862</v>
      </c>
      <c r="N2862" s="38">
        <f>HLOOKUP("Host",'vInfo (Imported)'!$1:$5000,M2862,FALSE)</f>
        <v>0</v>
      </c>
      <c r="R2862">
        <f>HLOOKUP("CPUs",'vInfo (Imported)'!$1:$5000,M2862,FALSE)</f>
        <v>0</v>
      </c>
      <c r="S2862">
        <f>HLOOKUP("Memory",'vInfo (Imported)'!$1:$5000,M2862,FALSE)</f>
        <v>0</v>
      </c>
      <c r="T2862">
        <f>HLOOKUP("Provisioned MiB",'vInfo (Imported)'!$1:$5000,M2862,FALSE)</f>
        <v>0</v>
      </c>
      <c r="U2862">
        <f t="shared" si="133"/>
        <v>0</v>
      </c>
      <c r="V2862">
        <f>HLOOKUP("In Use MiB",'vInfo (Imported)'!$1:$5000,M2862,FALSE)</f>
        <v>0</v>
      </c>
    </row>
    <row r="2863" spans="1:22" ht="13" x14ac:dyDescent="0.3">
      <c r="A2863" s="46">
        <f>'vHosts (Imported)'!A2863</f>
        <v>0</v>
      </c>
      <c r="B2863" s="51">
        <f t="shared" si="135"/>
        <v>4968</v>
      </c>
      <c r="C2863" s="49">
        <f>HLOOKUP("# Cores",'vHosts (Imported)'!$1:$5000,M2863,FALSE)</f>
        <v>0</v>
      </c>
      <c r="D2863" s="52">
        <f>HLOOKUP("# Memory",'vHosts (Imported)'!$1:$5000,M2863,FALSE)</f>
        <v>0</v>
      </c>
      <c r="M2863" s="45">
        <f t="shared" si="134"/>
        <v>2863</v>
      </c>
      <c r="N2863" s="38">
        <f>HLOOKUP("Host",'vInfo (Imported)'!$1:$5000,M2863,FALSE)</f>
        <v>0</v>
      </c>
      <c r="R2863">
        <f>HLOOKUP("CPUs",'vInfo (Imported)'!$1:$5000,M2863,FALSE)</f>
        <v>0</v>
      </c>
      <c r="S2863">
        <f>HLOOKUP("Memory",'vInfo (Imported)'!$1:$5000,M2863,FALSE)</f>
        <v>0</v>
      </c>
      <c r="T2863">
        <f>HLOOKUP("Provisioned MiB",'vInfo (Imported)'!$1:$5000,M2863,FALSE)</f>
        <v>0</v>
      </c>
      <c r="U2863">
        <f t="shared" si="133"/>
        <v>0</v>
      </c>
      <c r="V2863">
        <f>HLOOKUP("In Use MiB",'vInfo (Imported)'!$1:$5000,M2863,FALSE)</f>
        <v>0</v>
      </c>
    </row>
    <row r="2864" spans="1:22" ht="13" x14ac:dyDescent="0.3">
      <c r="A2864" s="46">
        <f>'vHosts (Imported)'!A2864</f>
        <v>0</v>
      </c>
      <c r="B2864" s="51">
        <f t="shared" si="135"/>
        <v>4968</v>
      </c>
      <c r="C2864" s="49">
        <f>HLOOKUP("# Cores",'vHosts (Imported)'!$1:$5000,M2864,FALSE)</f>
        <v>0</v>
      </c>
      <c r="D2864" s="52">
        <f>HLOOKUP("# Memory",'vHosts (Imported)'!$1:$5000,M2864,FALSE)</f>
        <v>0</v>
      </c>
      <c r="M2864" s="45">
        <f t="shared" si="134"/>
        <v>2864</v>
      </c>
      <c r="N2864" s="38">
        <f>HLOOKUP("Host",'vInfo (Imported)'!$1:$5000,M2864,FALSE)</f>
        <v>0</v>
      </c>
      <c r="R2864">
        <f>HLOOKUP("CPUs",'vInfo (Imported)'!$1:$5000,M2864,FALSE)</f>
        <v>0</v>
      </c>
      <c r="S2864">
        <f>HLOOKUP("Memory",'vInfo (Imported)'!$1:$5000,M2864,FALSE)</f>
        <v>0</v>
      </c>
      <c r="T2864">
        <f>HLOOKUP("Provisioned MiB",'vInfo (Imported)'!$1:$5000,M2864,FALSE)</f>
        <v>0</v>
      </c>
      <c r="U2864">
        <f t="shared" si="133"/>
        <v>0</v>
      </c>
      <c r="V2864">
        <f>HLOOKUP("In Use MiB",'vInfo (Imported)'!$1:$5000,M2864,FALSE)</f>
        <v>0</v>
      </c>
    </row>
    <row r="2865" spans="1:22" ht="13" x14ac:dyDescent="0.3">
      <c r="A2865" s="46">
        <f>'vHosts (Imported)'!A2865</f>
        <v>0</v>
      </c>
      <c r="B2865" s="51">
        <f t="shared" si="135"/>
        <v>4968</v>
      </c>
      <c r="C2865" s="49">
        <f>HLOOKUP("# Cores",'vHosts (Imported)'!$1:$5000,M2865,FALSE)</f>
        <v>0</v>
      </c>
      <c r="D2865" s="52">
        <f>HLOOKUP("# Memory",'vHosts (Imported)'!$1:$5000,M2865,FALSE)</f>
        <v>0</v>
      </c>
      <c r="M2865" s="45">
        <f t="shared" si="134"/>
        <v>2865</v>
      </c>
      <c r="N2865" s="38">
        <f>HLOOKUP("Host",'vInfo (Imported)'!$1:$5000,M2865,FALSE)</f>
        <v>0</v>
      </c>
      <c r="R2865">
        <f>HLOOKUP("CPUs",'vInfo (Imported)'!$1:$5000,M2865,FALSE)</f>
        <v>0</v>
      </c>
      <c r="S2865">
        <f>HLOOKUP("Memory",'vInfo (Imported)'!$1:$5000,M2865,FALSE)</f>
        <v>0</v>
      </c>
      <c r="T2865">
        <f>HLOOKUP("Provisioned MiB",'vInfo (Imported)'!$1:$5000,M2865,FALSE)</f>
        <v>0</v>
      </c>
      <c r="U2865">
        <f t="shared" si="133"/>
        <v>0</v>
      </c>
      <c r="V2865">
        <f>HLOOKUP("In Use MiB",'vInfo (Imported)'!$1:$5000,M2865,FALSE)</f>
        <v>0</v>
      </c>
    </row>
    <row r="2866" spans="1:22" ht="13" x14ac:dyDescent="0.3">
      <c r="A2866" s="46">
        <f>'vHosts (Imported)'!A2866</f>
        <v>0</v>
      </c>
      <c r="B2866" s="51">
        <f t="shared" si="135"/>
        <v>4968</v>
      </c>
      <c r="C2866" s="49">
        <f>HLOOKUP("# Cores",'vHosts (Imported)'!$1:$5000,M2866,FALSE)</f>
        <v>0</v>
      </c>
      <c r="D2866" s="52">
        <f>HLOOKUP("# Memory",'vHosts (Imported)'!$1:$5000,M2866,FALSE)</f>
        <v>0</v>
      </c>
      <c r="M2866" s="45">
        <f t="shared" si="134"/>
        <v>2866</v>
      </c>
      <c r="N2866" s="38">
        <f>HLOOKUP("Host",'vInfo (Imported)'!$1:$5000,M2866,FALSE)</f>
        <v>0</v>
      </c>
      <c r="R2866">
        <f>HLOOKUP("CPUs",'vInfo (Imported)'!$1:$5000,M2866,FALSE)</f>
        <v>0</v>
      </c>
      <c r="S2866">
        <f>HLOOKUP("Memory",'vInfo (Imported)'!$1:$5000,M2866,FALSE)</f>
        <v>0</v>
      </c>
      <c r="T2866">
        <f>HLOOKUP("Provisioned MiB",'vInfo (Imported)'!$1:$5000,M2866,FALSE)</f>
        <v>0</v>
      </c>
      <c r="U2866">
        <f t="shared" si="133"/>
        <v>0</v>
      </c>
      <c r="V2866">
        <f>HLOOKUP("In Use MiB",'vInfo (Imported)'!$1:$5000,M2866,FALSE)</f>
        <v>0</v>
      </c>
    </row>
    <row r="2867" spans="1:22" ht="13" x14ac:dyDescent="0.3">
      <c r="A2867" s="46">
        <f>'vHosts (Imported)'!A2867</f>
        <v>0</v>
      </c>
      <c r="B2867" s="51">
        <f t="shared" si="135"/>
        <v>4968</v>
      </c>
      <c r="C2867" s="49">
        <f>HLOOKUP("# Cores",'vHosts (Imported)'!$1:$5000,M2867,FALSE)</f>
        <v>0</v>
      </c>
      <c r="D2867" s="52">
        <f>HLOOKUP("# Memory",'vHosts (Imported)'!$1:$5000,M2867,FALSE)</f>
        <v>0</v>
      </c>
      <c r="M2867" s="45">
        <f t="shared" si="134"/>
        <v>2867</v>
      </c>
      <c r="N2867" s="38">
        <f>HLOOKUP("Host",'vInfo (Imported)'!$1:$5000,M2867,FALSE)</f>
        <v>0</v>
      </c>
      <c r="R2867">
        <f>HLOOKUP("CPUs",'vInfo (Imported)'!$1:$5000,M2867,FALSE)</f>
        <v>0</v>
      </c>
      <c r="S2867">
        <f>HLOOKUP("Memory",'vInfo (Imported)'!$1:$5000,M2867,FALSE)</f>
        <v>0</v>
      </c>
      <c r="T2867">
        <f>HLOOKUP("Provisioned MiB",'vInfo (Imported)'!$1:$5000,M2867,FALSE)</f>
        <v>0</v>
      </c>
      <c r="U2867">
        <f t="shared" si="133"/>
        <v>0</v>
      </c>
      <c r="V2867">
        <f>HLOOKUP("In Use MiB",'vInfo (Imported)'!$1:$5000,M2867,FALSE)</f>
        <v>0</v>
      </c>
    </row>
    <row r="2868" spans="1:22" ht="13" x14ac:dyDescent="0.3">
      <c r="A2868" s="46">
        <f>'vHosts (Imported)'!A2868</f>
        <v>0</v>
      </c>
      <c r="B2868" s="51">
        <f t="shared" si="135"/>
        <v>4968</v>
      </c>
      <c r="C2868" s="49">
        <f>HLOOKUP("# Cores",'vHosts (Imported)'!$1:$5000,M2868,FALSE)</f>
        <v>0</v>
      </c>
      <c r="D2868" s="52">
        <f>HLOOKUP("# Memory",'vHosts (Imported)'!$1:$5000,M2868,FALSE)</f>
        <v>0</v>
      </c>
      <c r="M2868" s="45">
        <f t="shared" si="134"/>
        <v>2868</v>
      </c>
      <c r="N2868" s="38">
        <f>HLOOKUP("Host",'vInfo (Imported)'!$1:$5000,M2868,FALSE)</f>
        <v>0</v>
      </c>
      <c r="R2868">
        <f>HLOOKUP("CPUs",'vInfo (Imported)'!$1:$5000,M2868,FALSE)</f>
        <v>0</v>
      </c>
      <c r="S2868">
        <f>HLOOKUP("Memory",'vInfo (Imported)'!$1:$5000,M2868,FALSE)</f>
        <v>0</v>
      </c>
      <c r="T2868">
        <f>HLOOKUP("Provisioned MiB",'vInfo (Imported)'!$1:$5000,M2868,FALSE)</f>
        <v>0</v>
      </c>
      <c r="U2868">
        <f t="shared" si="133"/>
        <v>0</v>
      </c>
      <c r="V2868">
        <f>HLOOKUP("In Use MiB",'vInfo (Imported)'!$1:$5000,M2868,FALSE)</f>
        <v>0</v>
      </c>
    </row>
    <row r="2869" spans="1:22" ht="13" x14ac:dyDescent="0.3">
      <c r="A2869" s="46">
        <f>'vHosts (Imported)'!A2869</f>
        <v>0</v>
      </c>
      <c r="B2869" s="51">
        <f t="shared" si="135"/>
        <v>4968</v>
      </c>
      <c r="C2869" s="49">
        <f>HLOOKUP("# Cores",'vHosts (Imported)'!$1:$5000,M2869,FALSE)</f>
        <v>0</v>
      </c>
      <c r="D2869" s="52">
        <f>HLOOKUP("# Memory",'vHosts (Imported)'!$1:$5000,M2869,FALSE)</f>
        <v>0</v>
      </c>
      <c r="M2869" s="45">
        <f t="shared" si="134"/>
        <v>2869</v>
      </c>
      <c r="N2869" s="38">
        <f>HLOOKUP("Host",'vInfo (Imported)'!$1:$5000,M2869,FALSE)</f>
        <v>0</v>
      </c>
      <c r="R2869">
        <f>HLOOKUP("CPUs",'vInfo (Imported)'!$1:$5000,M2869,FALSE)</f>
        <v>0</v>
      </c>
      <c r="S2869">
        <f>HLOOKUP("Memory",'vInfo (Imported)'!$1:$5000,M2869,FALSE)</f>
        <v>0</v>
      </c>
      <c r="T2869">
        <f>HLOOKUP("Provisioned MiB",'vInfo (Imported)'!$1:$5000,M2869,FALSE)</f>
        <v>0</v>
      </c>
      <c r="U2869">
        <f t="shared" si="133"/>
        <v>0</v>
      </c>
      <c r="V2869">
        <f>HLOOKUP("In Use MiB",'vInfo (Imported)'!$1:$5000,M2869,FALSE)</f>
        <v>0</v>
      </c>
    </row>
    <row r="2870" spans="1:22" ht="13" x14ac:dyDescent="0.3">
      <c r="A2870" s="46">
        <f>'vHosts (Imported)'!A2870</f>
        <v>0</v>
      </c>
      <c r="B2870" s="51">
        <f t="shared" si="135"/>
        <v>4968</v>
      </c>
      <c r="C2870" s="49">
        <f>HLOOKUP("# Cores",'vHosts (Imported)'!$1:$5000,M2870,FALSE)</f>
        <v>0</v>
      </c>
      <c r="D2870" s="52">
        <f>HLOOKUP("# Memory",'vHosts (Imported)'!$1:$5000,M2870,FALSE)</f>
        <v>0</v>
      </c>
      <c r="M2870" s="45">
        <f t="shared" si="134"/>
        <v>2870</v>
      </c>
      <c r="N2870" s="38">
        <f>HLOOKUP("Host",'vInfo (Imported)'!$1:$5000,M2870,FALSE)</f>
        <v>0</v>
      </c>
      <c r="R2870">
        <f>HLOOKUP("CPUs",'vInfo (Imported)'!$1:$5000,M2870,FALSE)</f>
        <v>0</v>
      </c>
      <c r="S2870">
        <f>HLOOKUP("Memory",'vInfo (Imported)'!$1:$5000,M2870,FALSE)</f>
        <v>0</v>
      </c>
      <c r="T2870">
        <f>HLOOKUP("Provisioned MiB",'vInfo (Imported)'!$1:$5000,M2870,FALSE)</f>
        <v>0</v>
      </c>
      <c r="U2870">
        <f t="shared" si="133"/>
        <v>0</v>
      </c>
      <c r="V2870">
        <f>HLOOKUP("In Use MiB",'vInfo (Imported)'!$1:$5000,M2870,FALSE)</f>
        <v>0</v>
      </c>
    </row>
    <row r="2871" spans="1:22" ht="13" x14ac:dyDescent="0.3">
      <c r="A2871" s="46">
        <f>'vHosts (Imported)'!A2871</f>
        <v>0</v>
      </c>
      <c r="B2871" s="51">
        <f t="shared" si="135"/>
        <v>4968</v>
      </c>
      <c r="C2871" s="49">
        <f>HLOOKUP("# Cores",'vHosts (Imported)'!$1:$5000,M2871,FALSE)</f>
        <v>0</v>
      </c>
      <c r="D2871" s="52">
        <f>HLOOKUP("# Memory",'vHosts (Imported)'!$1:$5000,M2871,FALSE)</f>
        <v>0</v>
      </c>
      <c r="M2871" s="45">
        <f t="shared" si="134"/>
        <v>2871</v>
      </c>
      <c r="N2871" s="38">
        <f>HLOOKUP("Host",'vInfo (Imported)'!$1:$5000,M2871,FALSE)</f>
        <v>0</v>
      </c>
      <c r="R2871">
        <f>HLOOKUP("CPUs",'vInfo (Imported)'!$1:$5000,M2871,FALSE)</f>
        <v>0</v>
      </c>
      <c r="S2871">
        <f>HLOOKUP("Memory",'vInfo (Imported)'!$1:$5000,M2871,FALSE)</f>
        <v>0</v>
      </c>
      <c r="T2871">
        <f>HLOOKUP("Provisioned MiB",'vInfo (Imported)'!$1:$5000,M2871,FALSE)</f>
        <v>0</v>
      </c>
      <c r="U2871">
        <f t="shared" si="133"/>
        <v>0</v>
      </c>
      <c r="V2871">
        <f>HLOOKUP("In Use MiB",'vInfo (Imported)'!$1:$5000,M2871,FALSE)</f>
        <v>0</v>
      </c>
    </row>
    <row r="2872" spans="1:22" ht="13" x14ac:dyDescent="0.3">
      <c r="A2872" s="46">
        <f>'vHosts (Imported)'!A2872</f>
        <v>0</v>
      </c>
      <c r="B2872" s="51">
        <f t="shared" si="135"/>
        <v>4968</v>
      </c>
      <c r="C2872" s="49">
        <f>HLOOKUP("# Cores",'vHosts (Imported)'!$1:$5000,M2872,FALSE)</f>
        <v>0</v>
      </c>
      <c r="D2872" s="52">
        <f>HLOOKUP("# Memory",'vHosts (Imported)'!$1:$5000,M2872,FALSE)</f>
        <v>0</v>
      </c>
      <c r="M2872" s="45">
        <f t="shared" si="134"/>
        <v>2872</v>
      </c>
      <c r="N2872" s="38">
        <f>HLOOKUP("Host",'vInfo (Imported)'!$1:$5000,M2872,FALSE)</f>
        <v>0</v>
      </c>
      <c r="R2872">
        <f>HLOOKUP("CPUs",'vInfo (Imported)'!$1:$5000,M2872,FALSE)</f>
        <v>0</v>
      </c>
      <c r="S2872">
        <f>HLOOKUP("Memory",'vInfo (Imported)'!$1:$5000,M2872,FALSE)</f>
        <v>0</v>
      </c>
      <c r="T2872">
        <f>HLOOKUP("Provisioned MiB",'vInfo (Imported)'!$1:$5000,M2872,FALSE)</f>
        <v>0</v>
      </c>
      <c r="U2872">
        <f t="shared" si="133"/>
        <v>0</v>
      </c>
      <c r="V2872">
        <f>HLOOKUP("In Use MiB",'vInfo (Imported)'!$1:$5000,M2872,FALSE)</f>
        <v>0</v>
      </c>
    </row>
    <row r="2873" spans="1:22" ht="13" x14ac:dyDescent="0.3">
      <c r="A2873" s="46">
        <f>'vHosts (Imported)'!A2873</f>
        <v>0</v>
      </c>
      <c r="B2873" s="51">
        <f t="shared" si="135"/>
        <v>4968</v>
      </c>
      <c r="C2873" s="49">
        <f>HLOOKUP("# Cores",'vHosts (Imported)'!$1:$5000,M2873,FALSE)</f>
        <v>0</v>
      </c>
      <c r="D2873" s="52">
        <f>HLOOKUP("# Memory",'vHosts (Imported)'!$1:$5000,M2873,FALSE)</f>
        <v>0</v>
      </c>
      <c r="M2873" s="45">
        <f t="shared" si="134"/>
        <v>2873</v>
      </c>
      <c r="N2873" s="38">
        <f>HLOOKUP("Host",'vInfo (Imported)'!$1:$5000,M2873,FALSE)</f>
        <v>0</v>
      </c>
      <c r="R2873">
        <f>HLOOKUP("CPUs",'vInfo (Imported)'!$1:$5000,M2873,FALSE)</f>
        <v>0</v>
      </c>
      <c r="S2873">
        <f>HLOOKUP("Memory",'vInfo (Imported)'!$1:$5000,M2873,FALSE)</f>
        <v>0</v>
      </c>
      <c r="T2873">
        <f>HLOOKUP("Provisioned MiB",'vInfo (Imported)'!$1:$5000,M2873,FALSE)</f>
        <v>0</v>
      </c>
      <c r="U2873">
        <f t="shared" si="133"/>
        <v>0</v>
      </c>
      <c r="V2873">
        <f>HLOOKUP("In Use MiB",'vInfo (Imported)'!$1:$5000,M2873,FALSE)</f>
        <v>0</v>
      </c>
    </row>
    <row r="2874" spans="1:22" ht="13" x14ac:dyDescent="0.3">
      <c r="A2874" s="46">
        <f>'vHosts (Imported)'!A2874</f>
        <v>0</v>
      </c>
      <c r="B2874" s="51">
        <f t="shared" si="135"/>
        <v>4968</v>
      </c>
      <c r="C2874" s="49">
        <f>HLOOKUP("# Cores",'vHosts (Imported)'!$1:$5000,M2874,FALSE)</f>
        <v>0</v>
      </c>
      <c r="D2874" s="52">
        <f>HLOOKUP("# Memory",'vHosts (Imported)'!$1:$5000,M2874,FALSE)</f>
        <v>0</v>
      </c>
      <c r="M2874" s="45">
        <f t="shared" si="134"/>
        <v>2874</v>
      </c>
      <c r="N2874" s="38">
        <f>HLOOKUP("Host",'vInfo (Imported)'!$1:$5000,M2874,FALSE)</f>
        <v>0</v>
      </c>
      <c r="R2874">
        <f>HLOOKUP("CPUs",'vInfo (Imported)'!$1:$5000,M2874,FALSE)</f>
        <v>0</v>
      </c>
      <c r="S2874">
        <f>HLOOKUP("Memory",'vInfo (Imported)'!$1:$5000,M2874,FALSE)</f>
        <v>0</v>
      </c>
      <c r="T2874">
        <f>HLOOKUP("Provisioned MiB",'vInfo (Imported)'!$1:$5000,M2874,FALSE)</f>
        <v>0</v>
      </c>
      <c r="U2874">
        <f t="shared" si="133"/>
        <v>0</v>
      </c>
      <c r="V2874">
        <f>HLOOKUP("In Use MiB",'vInfo (Imported)'!$1:$5000,M2874,FALSE)</f>
        <v>0</v>
      </c>
    </row>
    <row r="2875" spans="1:22" ht="13" x14ac:dyDescent="0.3">
      <c r="A2875" s="46">
        <f>'vHosts (Imported)'!A2875</f>
        <v>0</v>
      </c>
      <c r="B2875" s="51">
        <f t="shared" si="135"/>
        <v>4968</v>
      </c>
      <c r="C2875" s="49">
        <f>HLOOKUP("# Cores",'vHosts (Imported)'!$1:$5000,M2875,FALSE)</f>
        <v>0</v>
      </c>
      <c r="D2875" s="52">
        <f>HLOOKUP("# Memory",'vHosts (Imported)'!$1:$5000,M2875,FALSE)</f>
        <v>0</v>
      </c>
      <c r="M2875" s="45">
        <f t="shared" si="134"/>
        <v>2875</v>
      </c>
      <c r="N2875" s="38">
        <f>HLOOKUP("Host",'vInfo (Imported)'!$1:$5000,M2875,FALSE)</f>
        <v>0</v>
      </c>
      <c r="R2875">
        <f>HLOOKUP("CPUs",'vInfo (Imported)'!$1:$5000,M2875,FALSE)</f>
        <v>0</v>
      </c>
      <c r="S2875">
        <f>HLOOKUP("Memory",'vInfo (Imported)'!$1:$5000,M2875,FALSE)</f>
        <v>0</v>
      </c>
      <c r="T2875">
        <f>HLOOKUP("Provisioned MiB",'vInfo (Imported)'!$1:$5000,M2875,FALSE)</f>
        <v>0</v>
      </c>
      <c r="U2875">
        <f t="shared" si="133"/>
        <v>0</v>
      </c>
      <c r="V2875">
        <f>HLOOKUP("In Use MiB",'vInfo (Imported)'!$1:$5000,M2875,FALSE)</f>
        <v>0</v>
      </c>
    </row>
    <row r="2876" spans="1:22" ht="13" x14ac:dyDescent="0.3">
      <c r="A2876" s="46">
        <f>'vHosts (Imported)'!A2876</f>
        <v>0</v>
      </c>
      <c r="B2876" s="51">
        <f t="shared" si="135"/>
        <v>4968</v>
      </c>
      <c r="C2876" s="49">
        <f>HLOOKUP("# Cores",'vHosts (Imported)'!$1:$5000,M2876,FALSE)</f>
        <v>0</v>
      </c>
      <c r="D2876" s="52">
        <f>HLOOKUP("# Memory",'vHosts (Imported)'!$1:$5000,M2876,FALSE)</f>
        <v>0</v>
      </c>
      <c r="M2876" s="45">
        <f t="shared" si="134"/>
        <v>2876</v>
      </c>
      <c r="N2876" s="38">
        <f>HLOOKUP("Host",'vInfo (Imported)'!$1:$5000,M2876,FALSE)</f>
        <v>0</v>
      </c>
      <c r="R2876">
        <f>HLOOKUP("CPUs",'vInfo (Imported)'!$1:$5000,M2876,FALSE)</f>
        <v>0</v>
      </c>
      <c r="S2876">
        <f>HLOOKUP("Memory",'vInfo (Imported)'!$1:$5000,M2876,FALSE)</f>
        <v>0</v>
      </c>
      <c r="T2876">
        <f>HLOOKUP("Provisioned MiB",'vInfo (Imported)'!$1:$5000,M2876,FALSE)</f>
        <v>0</v>
      </c>
      <c r="U2876">
        <f t="shared" si="133"/>
        <v>0</v>
      </c>
      <c r="V2876">
        <f>HLOOKUP("In Use MiB",'vInfo (Imported)'!$1:$5000,M2876,FALSE)</f>
        <v>0</v>
      </c>
    </row>
    <row r="2877" spans="1:22" ht="13" x14ac:dyDescent="0.3">
      <c r="A2877" s="46">
        <f>'vHosts (Imported)'!A2877</f>
        <v>0</v>
      </c>
      <c r="B2877" s="51">
        <f t="shared" si="135"/>
        <v>4968</v>
      </c>
      <c r="C2877" s="49">
        <f>HLOOKUP("# Cores",'vHosts (Imported)'!$1:$5000,M2877,FALSE)</f>
        <v>0</v>
      </c>
      <c r="D2877" s="52">
        <f>HLOOKUP("# Memory",'vHosts (Imported)'!$1:$5000,M2877,FALSE)</f>
        <v>0</v>
      </c>
      <c r="M2877" s="45">
        <f t="shared" si="134"/>
        <v>2877</v>
      </c>
      <c r="N2877" s="38">
        <f>HLOOKUP("Host",'vInfo (Imported)'!$1:$5000,M2877,FALSE)</f>
        <v>0</v>
      </c>
      <c r="R2877">
        <f>HLOOKUP("CPUs",'vInfo (Imported)'!$1:$5000,M2877,FALSE)</f>
        <v>0</v>
      </c>
      <c r="S2877">
        <f>HLOOKUP("Memory",'vInfo (Imported)'!$1:$5000,M2877,FALSE)</f>
        <v>0</v>
      </c>
      <c r="T2877">
        <f>HLOOKUP("Provisioned MiB",'vInfo (Imported)'!$1:$5000,M2877,FALSE)</f>
        <v>0</v>
      </c>
      <c r="U2877">
        <f t="shared" si="133"/>
        <v>0</v>
      </c>
      <c r="V2877">
        <f>HLOOKUP("In Use MiB",'vInfo (Imported)'!$1:$5000,M2877,FALSE)</f>
        <v>0</v>
      </c>
    </row>
    <row r="2878" spans="1:22" ht="13" x14ac:dyDescent="0.3">
      <c r="A2878" s="46">
        <f>'vHosts (Imported)'!A2878</f>
        <v>0</v>
      </c>
      <c r="B2878" s="51">
        <f t="shared" si="135"/>
        <v>4968</v>
      </c>
      <c r="C2878" s="49">
        <f>HLOOKUP("# Cores",'vHosts (Imported)'!$1:$5000,M2878,FALSE)</f>
        <v>0</v>
      </c>
      <c r="D2878" s="52">
        <f>HLOOKUP("# Memory",'vHosts (Imported)'!$1:$5000,M2878,FALSE)</f>
        <v>0</v>
      </c>
      <c r="M2878" s="45">
        <f t="shared" si="134"/>
        <v>2878</v>
      </c>
      <c r="N2878" s="38">
        <f>HLOOKUP("Host",'vInfo (Imported)'!$1:$5000,M2878,FALSE)</f>
        <v>0</v>
      </c>
      <c r="R2878">
        <f>HLOOKUP("CPUs",'vInfo (Imported)'!$1:$5000,M2878,FALSE)</f>
        <v>0</v>
      </c>
      <c r="S2878">
        <f>HLOOKUP("Memory",'vInfo (Imported)'!$1:$5000,M2878,FALSE)</f>
        <v>0</v>
      </c>
      <c r="T2878">
        <f>HLOOKUP("Provisioned MiB",'vInfo (Imported)'!$1:$5000,M2878,FALSE)</f>
        <v>0</v>
      </c>
      <c r="U2878">
        <f t="shared" si="133"/>
        <v>0</v>
      </c>
      <c r="V2878">
        <f>HLOOKUP("In Use MiB",'vInfo (Imported)'!$1:$5000,M2878,FALSE)</f>
        <v>0</v>
      </c>
    </row>
    <row r="2879" spans="1:22" ht="13" x14ac:dyDescent="0.3">
      <c r="A2879" s="46">
        <f>'vHosts (Imported)'!A2879</f>
        <v>0</v>
      </c>
      <c r="B2879" s="51">
        <f t="shared" si="135"/>
        <v>4968</v>
      </c>
      <c r="C2879" s="49">
        <f>HLOOKUP("# Cores",'vHosts (Imported)'!$1:$5000,M2879,FALSE)</f>
        <v>0</v>
      </c>
      <c r="D2879" s="52">
        <f>HLOOKUP("# Memory",'vHosts (Imported)'!$1:$5000,M2879,FALSE)</f>
        <v>0</v>
      </c>
      <c r="M2879" s="45">
        <f t="shared" si="134"/>
        <v>2879</v>
      </c>
      <c r="N2879" s="38">
        <f>HLOOKUP("Host",'vInfo (Imported)'!$1:$5000,M2879,FALSE)</f>
        <v>0</v>
      </c>
      <c r="R2879">
        <f>HLOOKUP("CPUs",'vInfo (Imported)'!$1:$5000,M2879,FALSE)</f>
        <v>0</v>
      </c>
      <c r="S2879">
        <f>HLOOKUP("Memory",'vInfo (Imported)'!$1:$5000,M2879,FALSE)</f>
        <v>0</v>
      </c>
      <c r="T2879">
        <f>HLOOKUP("Provisioned MiB",'vInfo (Imported)'!$1:$5000,M2879,FALSE)</f>
        <v>0</v>
      </c>
      <c r="U2879">
        <f t="shared" si="133"/>
        <v>0</v>
      </c>
      <c r="V2879">
        <f>HLOOKUP("In Use MiB",'vInfo (Imported)'!$1:$5000,M2879,FALSE)</f>
        <v>0</v>
      </c>
    </row>
    <row r="2880" spans="1:22" ht="13" x14ac:dyDescent="0.3">
      <c r="A2880" s="46">
        <f>'vHosts (Imported)'!A2880</f>
        <v>0</v>
      </c>
      <c r="B2880" s="51">
        <f t="shared" si="135"/>
        <v>4968</v>
      </c>
      <c r="C2880" s="49">
        <f>HLOOKUP("# Cores",'vHosts (Imported)'!$1:$5000,M2880,FALSE)</f>
        <v>0</v>
      </c>
      <c r="D2880" s="52">
        <f>HLOOKUP("# Memory",'vHosts (Imported)'!$1:$5000,M2880,FALSE)</f>
        <v>0</v>
      </c>
      <c r="M2880" s="45">
        <f t="shared" si="134"/>
        <v>2880</v>
      </c>
      <c r="N2880" s="38">
        <f>HLOOKUP("Host",'vInfo (Imported)'!$1:$5000,M2880,FALSE)</f>
        <v>0</v>
      </c>
      <c r="R2880">
        <f>HLOOKUP("CPUs",'vInfo (Imported)'!$1:$5000,M2880,FALSE)</f>
        <v>0</v>
      </c>
      <c r="S2880">
        <f>HLOOKUP("Memory",'vInfo (Imported)'!$1:$5000,M2880,FALSE)</f>
        <v>0</v>
      </c>
      <c r="T2880">
        <f>HLOOKUP("Provisioned MiB",'vInfo (Imported)'!$1:$5000,M2880,FALSE)</f>
        <v>0</v>
      </c>
      <c r="U2880">
        <f t="shared" si="133"/>
        <v>0</v>
      </c>
      <c r="V2880">
        <f>HLOOKUP("In Use MiB",'vInfo (Imported)'!$1:$5000,M2880,FALSE)</f>
        <v>0</v>
      </c>
    </row>
    <row r="2881" spans="1:22" ht="13" x14ac:dyDescent="0.3">
      <c r="A2881" s="46">
        <f>'vHosts (Imported)'!A2881</f>
        <v>0</v>
      </c>
      <c r="B2881" s="51">
        <f t="shared" si="135"/>
        <v>4968</v>
      </c>
      <c r="C2881" s="49">
        <f>HLOOKUP("# Cores",'vHosts (Imported)'!$1:$5000,M2881,FALSE)</f>
        <v>0</v>
      </c>
      <c r="D2881" s="52">
        <f>HLOOKUP("# Memory",'vHosts (Imported)'!$1:$5000,M2881,FALSE)</f>
        <v>0</v>
      </c>
      <c r="M2881" s="45">
        <f t="shared" si="134"/>
        <v>2881</v>
      </c>
      <c r="N2881" s="38">
        <f>HLOOKUP("Host",'vInfo (Imported)'!$1:$5000,M2881,FALSE)</f>
        <v>0</v>
      </c>
      <c r="R2881">
        <f>HLOOKUP("CPUs",'vInfo (Imported)'!$1:$5000,M2881,FALSE)</f>
        <v>0</v>
      </c>
      <c r="S2881">
        <f>HLOOKUP("Memory",'vInfo (Imported)'!$1:$5000,M2881,FALSE)</f>
        <v>0</v>
      </c>
      <c r="T2881">
        <f>HLOOKUP("Provisioned MiB",'vInfo (Imported)'!$1:$5000,M2881,FALSE)</f>
        <v>0</v>
      </c>
      <c r="U2881">
        <f t="shared" si="133"/>
        <v>0</v>
      </c>
      <c r="V2881">
        <f>HLOOKUP("In Use MiB",'vInfo (Imported)'!$1:$5000,M2881,FALSE)</f>
        <v>0</v>
      </c>
    </row>
    <row r="2882" spans="1:22" ht="13" x14ac:dyDescent="0.3">
      <c r="A2882" s="46">
        <f>'vHosts (Imported)'!A2882</f>
        <v>0</v>
      </c>
      <c r="B2882" s="51">
        <f t="shared" si="135"/>
        <v>4968</v>
      </c>
      <c r="C2882" s="49">
        <f>HLOOKUP("# Cores",'vHosts (Imported)'!$1:$5000,M2882,FALSE)</f>
        <v>0</v>
      </c>
      <c r="D2882" s="52">
        <f>HLOOKUP("# Memory",'vHosts (Imported)'!$1:$5000,M2882,FALSE)</f>
        <v>0</v>
      </c>
      <c r="M2882" s="45">
        <f t="shared" si="134"/>
        <v>2882</v>
      </c>
      <c r="N2882" s="38">
        <f>HLOOKUP("Host",'vInfo (Imported)'!$1:$5000,M2882,FALSE)</f>
        <v>0</v>
      </c>
      <c r="R2882">
        <f>HLOOKUP("CPUs",'vInfo (Imported)'!$1:$5000,M2882,FALSE)</f>
        <v>0</v>
      </c>
      <c r="S2882">
        <f>HLOOKUP("Memory",'vInfo (Imported)'!$1:$5000,M2882,FALSE)</f>
        <v>0</v>
      </c>
      <c r="T2882">
        <f>HLOOKUP("Provisioned MiB",'vInfo (Imported)'!$1:$5000,M2882,FALSE)</f>
        <v>0</v>
      </c>
      <c r="U2882">
        <f t="shared" si="133"/>
        <v>0</v>
      </c>
      <c r="V2882">
        <f>HLOOKUP("In Use MiB",'vInfo (Imported)'!$1:$5000,M2882,FALSE)</f>
        <v>0</v>
      </c>
    </row>
    <row r="2883" spans="1:22" ht="13" x14ac:dyDescent="0.3">
      <c r="A2883" s="46">
        <f>'vHosts (Imported)'!A2883</f>
        <v>0</v>
      </c>
      <c r="B2883" s="51">
        <f t="shared" si="135"/>
        <v>4968</v>
      </c>
      <c r="C2883" s="49">
        <f>HLOOKUP("# Cores",'vHosts (Imported)'!$1:$5000,M2883,FALSE)</f>
        <v>0</v>
      </c>
      <c r="D2883" s="52">
        <f>HLOOKUP("# Memory",'vHosts (Imported)'!$1:$5000,M2883,FALSE)</f>
        <v>0</v>
      </c>
      <c r="M2883" s="45">
        <f t="shared" si="134"/>
        <v>2883</v>
      </c>
      <c r="N2883" s="38">
        <f>HLOOKUP("Host",'vInfo (Imported)'!$1:$5000,M2883,FALSE)</f>
        <v>0</v>
      </c>
      <c r="R2883">
        <f>HLOOKUP("CPUs",'vInfo (Imported)'!$1:$5000,M2883,FALSE)</f>
        <v>0</v>
      </c>
      <c r="S2883">
        <f>HLOOKUP("Memory",'vInfo (Imported)'!$1:$5000,M2883,FALSE)</f>
        <v>0</v>
      </c>
      <c r="T2883">
        <f>HLOOKUP("Provisioned MiB",'vInfo (Imported)'!$1:$5000,M2883,FALSE)</f>
        <v>0</v>
      </c>
      <c r="U2883">
        <f t="shared" ref="U2883:U2946" si="136">T2883-V2883</f>
        <v>0</v>
      </c>
      <c r="V2883">
        <f>HLOOKUP("In Use MiB",'vInfo (Imported)'!$1:$5000,M2883,FALSE)</f>
        <v>0</v>
      </c>
    </row>
    <row r="2884" spans="1:22" ht="13" x14ac:dyDescent="0.3">
      <c r="A2884" s="46">
        <f>'vHosts (Imported)'!A2884</f>
        <v>0</v>
      </c>
      <c r="B2884" s="51">
        <f t="shared" si="135"/>
        <v>4968</v>
      </c>
      <c r="C2884" s="49">
        <f>HLOOKUP("# Cores",'vHosts (Imported)'!$1:$5000,M2884,FALSE)</f>
        <v>0</v>
      </c>
      <c r="D2884" s="52">
        <f>HLOOKUP("# Memory",'vHosts (Imported)'!$1:$5000,M2884,FALSE)</f>
        <v>0</v>
      </c>
      <c r="M2884" s="45">
        <f t="shared" ref="M2884:M2947" si="137">M2883+1</f>
        <v>2884</v>
      </c>
      <c r="N2884" s="38">
        <f>HLOOKUP("Host",'vInfo (Imported)'!$1:$5000,M2884,FALSE)</f>
        <v>0</v>
      </c>
      <c r="R2884">
        <f>HLOOKUP("CPUs",'vInfo (Imported)'!$1:$5000,M2884,FALSE)</f>
        <v>0</v>
      </c>
      <c r="S2884">
        <f>HLOOKUP("Memory",'vInfo (Imported)'!$1:$5000,M2884,FALSE)</f>
        <v>0</v>
      </c>
      <c r="T2884">
        <f>HLOOKUP("Provisioned MiB",'vInfo (Imported)'!$1:$5000,M2884,FALSE)</f>
        <v>0</v>
      </c>
      <c r="U2884">
        <f t="shared" si="136"/>
        <v>0</v>
      </c>
      <c r="V2884">
        <f>HLOOKUP("In Use MiB",'vInfo (Imported)'!$1:$5000,M2884,FALSE)</f>
        <v>0</v>
      </c>
    </row>
    <row r="2885" spans="1:22" ht="13" x14ac:dyDescent="0.3">
      <c r="A2885" s="46">
        <f>'vHosts (Imported)'!A2885</f>
        <v>0</v>
      </c>
      <c r="B2885" s="51">
        <f t="shared" si="135"/>
        <v>4968</v>
      </c>
      <c r="C2885" s="49">
        <f>HLOOKUP("# Cores",'vHosts (Imported)'!$1:$5000,M2885,FALSE)</f>
        <v>0</v>
      </c>
      <c r="D2885" s="52">
        <f>HLOOKUP("# Memory",'vHosts (Imported)'!$1:$5000,M2885,FALSE)</f>
        <v>0</v>
      </c>
      <c r="M2885" s="45">
        <f t="shared" si="137"/>
        <v>2885</v>
      </c>
      <c r="N2885" s="38">
        <f>HLOOKUP("Host",'vInfo (Imported)'!$1:$5000,M2885,FALSE)</f>
        <v>0</v>
      </c>
      <c r="R2885">
        <f>HLOOKUP("CPUs",'vInfo (Imported)'!$1:$5000,M2885,FALSE)</f>
        <v>0</v>
      </c>
      <c r="S2885">
        <f>HLOOKUP("Memory",'vInfo (Imported)'!$1:$5000,M2885,FALSE)</f>
        <v>0</v>
      </c>
      <c r="T2885">
        <f>HLOOKUP("Provisioned MiB",'vInfo (Imported)'!$1:$5000,M2885,FALSE)</f>
        <v>0</v>
      </c>
      <c r="U2885">
        <f t="shared" si="136"/>
        <v>0</v>
      </c>
      <c r="V2885">
        <f>HLOOKUP("In Use MiB",'vInfo (Imported)'!$1:$5000,M2885,FALSE)</f>
        <v>0</v>
      </c>
    </row>
    <row r="2886" spans="1:22" ht="13" x14ac:dyDescent="0.3">
      <c r="A2886" s="46">
        <f>'vHosts (Imported)'!A2886</f>
        <v>0</v>
      </c>
      <c r="B2886" s="51">
        <f t="shared" si="135"/>
        <v>4968</v>
      </c>
      <c r="C2886" s="49">
        <f>HLOOKUP("# Cores",'vHosts (Imported)'!$1:$5000,M2886,FALSE)</f>
        <v>0</v>
      </c>
      <c r="D2886" s="52">
        <f>HLOOKUP("# Memory",'vHosts (Imported)'!$1:$5000,M2886,FALSE)</f>
        <v>0</v>
      </c>
      <c r="M2886" s="45">
        <f t="shared" si="137"/>
        <v>2886</v>
      </c>
      <c r="N2886" s="38">
        <f>HLOOKUP("Host",'vInfo (Imported)'!$1:$5000,M2886,FALSE)</f>
        <v>0</v>
      </c>
      <c r="R2886">
        <f>HLOOKUP("CPUs",'vInfo (Imported)'!$1:$5000,M2886,FALSE)</f>
        <v>0</v>
      </c>
      <c r="S2886">
        <f>HLOOKUP("Memory",'vInfo (Imported)'!$1:$5000,M2886,FALSE)</f>
        <v>0</v>
      </c>
      <c r="T2886">
        <f>HLOOKUP("Provisioned MiB",'vInfo (Imported)'!$1:$5000,M2886,FALSE)</f>
        <v>0</v>
      </c>
      <c r="U2886">
        <f t="shared" si="136"/>
        <v>0</v>
      </c>
      <c r="V2886">
        <f>HLOOKUP("In Use MiB",'vInfo (Imported)'!$1:$5000,M2886,FALSE)</f>
        <v>0</v>
      </c>
    </row>
    <row r="2887" spans="1:22" ht="13" x14ac:dyDescent="0.3">
      <c r="A2887" s="46">
        <f>'vHosts (Imported)'!A2887</f>
        <v>0</v>
      </c>
      <c r="B2887" s="51">
        <f t="shared" si="135"/>
        <v>4968</v>
      </c>
      <c r="C2887" s="49">
        <f>HLOOKUP("# Cores",'vHosts (Imported)'!$1:$5000,M2887,FALSE)</f>
        <v>0</v>
      </c>
      <c r="D2887" s="52">
        <f>HLOOKUP("# Memory",'vHosts (Imported)'!$1:$5000,M2887,FALSE)</f>
        <v>0</v>
      </c>
      <c r="M2887" s="45">
        <f t="shared" si="137"/>
        <v>2887</v>
      </c>
      <c r="N2887" s="38">
        <f>HLOOKUP("Host",'vInfo (Imported)'!$1:$5000,M2887,FALSE)</f>
        <v>0</v>
      </c>
      <c r="R2887">
        <f>HLOOKUP("CPUs",'vInfo (Imported)'!$1:$5000,M2887,FALSE)</f>
        <v>0</v>
      </c>
      <c r="S2887">
        <f>HLOOKUP("Memory",'vInfo (Imported)'!$1:$5000,M2887,FALSE)</f>
        <v>0</v>
      </c>
      <c r="T2887">
        <f>HLOOKUP("Provisioned MiB",'vInfo (Imported)'!$1:$5000,M2887,FALSE)</f>
        <v>0</v>
      </c>
      <c r="U2887">
        <f t="shared" si="136"/>
        <v>0</v>
      </c>
      <c r="V2887">
        <f>HLOOKUP("In Use MiB",'vInfo (Imported)'!$1:$5000,M2887,FALSE)</f>
        <v>0</v>
      </c>
    </row>
    <row r="2888" spans="1:22" ht="13" x14ac:dyDescent="0.3">
      <c r="A2888" s="46">
        <f>'vHosts (Imported)'!A2888</f>
        <v>0</v>
      </c>
      <c r="B2888" s="51">
        <f t="shared" si="135"/>
        <v>4968</v>
      </c>
      <c r="C2888" s="49">
        <f>HLOOKUP("# Cores",'vHosts (Imported)'!$1:$5000,M2888,FALSE)</f>
        <v>0</v>
      </c>
      <c r="D2888" s="52">
        <f>HLOOKUP("# Memory",'vHosts (Imported)'!$1:$5000,M2888,FALSE)</f>
        <v>0</v>
      </c>
      <c r="M2888" s="45">
        <f t="shared" si="137"/>
        <v>2888</v>
      </c>
      <c r="N2888" s="38">
        <f>HLOOKUP("Host",'vInfo (Imported)'!$1:$5000,M2888,FALSE)</f>
        <v>0</v>
      </c>
      <c r="R2888">
        <f>HLOOKUP("CPUs",'vInfo (Imported)'!$1:$5000,M2888,FALSE)</f>
        <v>0</v>
      </c>
      <c r="S2888">
        <f>HLOOKUP("Memory",'vInfo (Imported)'!$1:$5000,M2888,FALSE)</f>
        <v>0</v>
      </c>
      <c r="T2888">
        <f>HLOOKUP("Provisioned MiB",'vInfo (Imported)'!$1:$5000,M2888,FALSE)</f>
        <v>0</v>
      </c>
      <c r="U2888">
        <f t="shared" si="136"/>
        <v>0</v>
      </c>
      <c r="V2888">
        <f>HLOOKUP("In Use MiB",'vInfo (Imported)'!$1:$5000,M2888,FALSE)</f>
        <v>0</v>
      </c>
    </row>
    <row r="2889" spans="1:22" ht="13" x14ac:dyDescent="0.3">
      <c r="A2889" s="46">
        <f>'vHosts (Imported)'!A2889</f>
        <v>0</v>
      </c>
      <c r="B2889" s="51">
        <f t="shared" si="135"/>
        <v>4968</v>
      </c>
      <c r="C2889" s="49">
        <f>HLOOKUP("# Cores",'vHosts (Imported)'!$1:$5000,M2889,FALSE)</f>
        <v>0</v>
      </c>
      <c r="D2889" s="52">
        <f>HLOOKUP("# Memory",'vHosts (Imported)'!$1:$5000,M2889,FALSE)</f>
        <v>0</v>
      </c>
      <c r="M2889" s="45">
        <f t="shared" si="137"/>
        <v>2889</v>
      </c>
      <c r="N2889" s="38">
        <f>HLOOKUP("Host",'vInfo (Imported)'!$1:$5000,M2889,FALSE)</f>
        <v>0</v>
      </c>
      <c r="R2889">
        <f>HLOOKUP("CPUs",'vInfo (Imported)'!$1:$5000,M2889,FALSE)</f>
        <v>0</v>
      </c>
      <c r="S2889">
        <f>HLOOKUP("Memory",'vInfo (Imported)'!$1:$5000,M2889,FALSE)</f>
        <v>0</v>
      </c>
      <c r="T2889">
        <f>HLOOKUP("Provisioned MiB",'vInfo (Imported)'!$1:$5000,M2889,FALSE)</f>
        <v>0</v>
      </c>
      <c r="U2889">
        <f t="shared" si="136"/>
        <v>0</v>
      </c>
      <c r="V2889">
        <f>HLOOKUP("In Use MiB",'vInfo (Imported)'!$1:$5000,M2889,FALSE)</f>
        <v>0</v>
      </c>
    </row>
    <row r="2890" spans="1:22" ht="13" x14ac:dyDescent="0.3">
      <c r="A2890" s="46">
        <f>'vHosts (Imported)'!A2890</f>
        <v>0</v>
      </c>
      <c r="B2890" s="51">
        <f t="shared" si="135"/>
        <v>4968</v>
      </c>
      <c r="C2890" s="49">
        <f>HLOOKUP("# Cores",'vHosts (Imported)'!$1:$5000,M2890,FALSE)</f>
        <v>0</v>
      </c>
      <c r="D2890" s="52">
        <f>HLOOKUP("# Memory",'vHosts (Imported)'!$1:$5000,M2890,FALSE)</f>
        <v>0</v>
      </c>
      <c r="M2890" s="45">
        <f t="shared" si="137"/>
        <v>2890</v>
      </c>
      <c r="N2890" s="38">
        <f>HLOOKUP("Host",'vInfo (Imported)'!$1:$5000,M2890,FALSE)</f>
        <v>0</v>
      </c>
      <c r="R2890">
        <f>HLOOKUP("CPUs",'vInfo (Imported)'!$1:$5000,M2890,FALSE)</f>
        <v>0</v>
      </c>
      <c r="S2890">
        <f>HLOOKUP("Memory",'vInfo (Imported)'!$1:$5000,M2890,FALSE)</f>
        <v>0</v>
      </c>
      <c r="T2890">
        <f>HLOOKUP("Provisioned MiB",'vInfo (Imported)'!$1:$5000,M2890,FALSE)</f>
        <v>0</v>
      </c>
      <c r="U2890">
        <f t="shared" si="136"/>
        <v>0</v>
      </c>
      <c r="V2890">
        <f>HLOOKUP("In Use MiB",'vInfo (Imported)'!$1:$5000,M2890,FALSE)</f>
        <v>0</v>
      </c>
    </row>
    <row r="2891" spans="1:22" ht="13" x14ac:dyDescent="0.3">
      <c r="A2891" s="46">
        <f>'vHosts (Imported)'!A2891</f>
        <v>0</v>
      </c>
      <c r="B2891" s="51">
        <f t="shared" si="135"/>
        <v>4968</v>
      </c>
      <c r="C2891" s="49">
        <f>HLOOKUP("# Cores",'vHosts (Imported)'!$1:$5000,M2891,FALSE)</f>
        <v>0</v>
      </c>
      <c r="D2891" s="52">
        <f>HLOOKUP("# Memory",'vHosts (Imported)'!$1:$5000,M2891,FALSE)</f>
        <v>0</v>
      </c>
      <c r="M2891" s="45">
        <f t="shared" si="137"/>
        <v>2891</v>
      </c>
      <c r="N2891" s="38">
        <f>HLOOKUP("Host",'vInfo (Imported)'!$1:$5000,M2891,FALSE)</f>
        <v>0</v>
      </c>
      <c r="R2891">
        <f>HLOOKUP("CPUs",'vInfo (Imported)'!$1:$5000,M2891,FALSE)</f>
        <v>0</v>
      </c>
      <c r="S2891">
        <f>HLOOKUP("Memory",'vInfo (Imported)'!$1:$5000,M2891,FALSE)</f>
        <v>0</v>
      </c>
      <c r="T2891">
        <f>HLOOKUP("Provisioned MiB",'vInfo (Imported)'!$1:$5000,M2891,FALSE)</f>
        <v>0</v>
      </c>
      <c r="U2891">
        <f t="shared" si="136"/>
        <v>0</v>
      </c>
      <c r="V2891">
        <f>HLOOKUP("In Use MiB",'vInfo (Imported)'!$1:$5000,M2891,FALSE)</f>
        <v>0</v>
      </c>
    </row>
    <row r="2892" spans="1:22" ht="13" x14ac:dyDescent="0.3">
      <c r="A2892" s="46">
        <f>'vHosts (Imported)'!A2892</f>
        <v>0</v>
      </c>
      <c r="B2892" s="51">
        <f t="shared" si="135"/>
        <v>4968</v>
      </c>
      <c r="C2892" s="49">
        <f>HLOOKUP("# Cores",'vHosts (Imported)'!$1:$5000,M2892,FALSE)</f>
        <v>0</v>
      </c>
      <c r="D2892" s="52">
        <f>HLOOKUP("# Memory",'vHosts (Imported)'!$1:$5000,M2892,FALSE)</f>
        <v>0</v>
      </c>
      <c r="M2892" s="45">
        <f t="shared" si="137"/>
        <v>2892</v>
      </c>
      <c r="N2892" s="38">
        <f>HLOOKUP("Host",'vInfo (Imported)'!$1:$5000,M2892,FALSE)</f>
        <v>0</v>
      </c>
      <c r="R2892">
        <f>HLOOKUP("CPUs",'vInfo (Imported)'!$1:$5000,M2892,FALSE)</f>
        <v>0</v>
      </c>
      <c r="S2892">
        <f>HLOOKUP("Memory",'vInfo (Imported)'!$1:$5000,M2892,FALSE)</f>
        <v>0</v>
      </c>
      <c r="T2892">
        <f>HLOOKUP("Provisioned MiB",'vInfo (Imported)'!$1:$5000,M2892,FALSE)</f>
        <v>0</v>
      </c>
      <c r="U2892">
        <f t="shared" si="136"/>
        <v>0</v>
      </c>
      <c r="V2892">
        <f>HLOOKUP("In Use MiB",'vInfo (Imported)'!$1:$5000,M2892,FALSE)</f>
        <v>0</v>
      </c>
    </row>
    <row r="2893" spans="1:22" ht="13" x14ac:dyDescent="0.3">
      <c r="A2893" s="46">
        <f>'vHosts (Imported)'!A2893</f>
        <v>0</v>
      </c>
      <c r="B2893" s="51">
        <f t="shared" si="135"/>
        <v>4968</v>
      </c>
      <c r="C2893" s="49">
        <f>HLOOKUP("# Cores",'vHosts (Imported)'!$1:$5000,M2893,FALSE)</f>
        <v>0</v>
      </c>
      <c r="D2893" s="52">
        <f>HLOOKUP("# Memory",'vHosts (Imported)'!$1:$5000,M2893,FALSE)</f>
        <v>0</v>
      </c>
      <c r="M2893" s="45">
        <f t="shared" si="137"/>
        <v>2893</v>
      </c>
      <c r="N2893" s="38">
        <f>HLOOKUP("Host",'vInfo (Imported)'!$1:$5000,M2893,FALSE)</f>
        <v>0</v>
      </c>
      <c r="R2893">
        <f>HLOOKUP("CPUs",'vInfo (Imported)'!$1:$5000,M2893,FALSE)</f>
        <v>0</v>
      </c>
      <c r="S2893">
        <f>HLOOKUP("Memory",'vInfo (Imported)'!$1:$5000,M2893,FALSE)</f>
        <v>0</v>
      </c>
      <c r="T2893">
        <f>HLOOKUP("Provisioned MiB",'vInfo (Imported)'!$1:$5000,M2893,FALSE)</f>
        <v>0</v>
      </c>
      <c r="U2893">
        <f t="shared" si="136"/>
        <v>0</v>
      </c>
      <c r="V2893">
        <f>HLOOKUP("In Use MiB",'vInfo (Imported)'!$1:$5000,M2893,FALSE)</f>
        <v>0</v>
      </c>
    </row>
    <row r="2894" spans="1:22" ht="13" x14ac:dyDescent="0.3">
      <c r="A2894" s="46">
        <f>'vHosts (Imported)'!A2894</f>
        <v>0</v>
      </c>
      <c r="B2894" s="51">
        <f t="shared" si="135"/>
        <v>4968</v>
      </c>
      <c r="C2894" s="49">
        <f>HLOOKUP("# Cores",'vHosts (Imported)'!$1:$5000,M2894,FALSE)</f>
        <v>0</v>
      </c>
      <c r="D2894" s="52">
        <f>HLOOKUP("# Memory",'vHosts (Imported)'!$1:$5000,M2894,FALSE)</f>
        <v>0</v>
      </c>
      <c r="M2894" s="45">
        <f t="shared" si="137"/>
        <v>2894</v>
      </c>
      <c r="N2894" s="38">
        <f>HLOOKUP("Host",'vInfo (Imported)'!$1:$5000,M2894,FALSE)</f>
        <v>0</v>
      </c>
      <c r="R2894">
        <f>HLOOKUP("CPUs",'vInfo (Imported)'!$1:$5000,M2894,FALSE)</f>
        <v>0</v>
      </c>
      <c r="S2894">
        <f>HLOOKUP("Memory",'vInfo (Imported)'!$1:$5000,M2894,FALSE)</f>
        <v>0</v>
      </c>
      <c r="T2894">
        <f>HLOOKUP("Provisioned MiB",'vInfo (Imported)'!$1:$5000,M2894,FALSE)</f>
        <v>0</v>
      </c>
      <c r="U2894">
        <f t="shared" si="136"/>
        <v>0</v>
      </c>
      <c r="V2894">
        <f>HLOOKUP("In Use MiB",'vInfo (Imported)'!$1:$5000,M2894,FALSE)</f>
        <v>0</v>
      </c>
    </row>
    <row r="2895" spans="1:22" ht="13" x14ac:dyDescent="0.3">
      <c r="A2895" s="46">
        <f>'vHosts (Imported)'!A2895</f>
        <v>0</v>
      </c>
      <c r="B2895" s="51">
        <f t="shared" si="135"/>
        <v>4968</v>
      </c>
      <c r="C2895" s="49">
        <f>HLOOKUP("# Cores",'vHosts (Imported)'!$1:$5000,M2895,FALSE)</f>
        <v>0</v>
      </c>
      <c r="D2895" s="52">
        <f>HLOOKUP("# Memory",'vHosts (Imported)'!$1:$5000,M2895,FALSE)</f>
        <v>0</v>
      </c>
      <c r="M2895" s="45">
        <f t="shared" si="137"/>
        <v>2895</v>
      </c>
      <c r="N2895" s="38">
        <f>HLOOKUP("Host",'vInfo (Imported)'!$1:$5000,M2895,FALSE)</f>
        <v>0</v>
      </c>
      <c r="R2895">
        <f>HLOOKUP("CPUs",'vInfo (Imported)'!$1:$5000,M2895,FALSE)</f>
        <v>0</v>
      </c>
      <c r="S2895">
        <f>HLOOKUP("Memory",'vInfo (Imported)'!$1:$5000,M2895,FALSE)</f>
        <v>0</v>
      </c>
      <c r="T2895">
        <f>HLOOKUP("Provisioned MiB",'vInfo (Imported)'!$1:$5000,M2895,FALSE)</f>
        <v>0</v>
      </c>
      <c r="U2895">
        <f t="shared" si="136"/>
        <v>0</v>
      </c>
      <c r="V2895">
        <f>HLOOKUP("In Use MiB",'vInfo (Imported)'!$1:$5000,M2895,FALSE)</f>
        <v>0</v>
      </c>
    </row>
    <row r="2896" spans="1:22" ht="13" x14ac:dyDescent="0.3">
      <c r="A2896" s="46">
        <f>'vHosts (Imported)'!A2896</f>
        <v>0</v>
      </c>
      <c r="B2896" s="51">
        <f t="shared" si="135"/>
        <v>4968</v>
      </c>
      <c r="C2896" s="49">
        <f>HLOOKUP("# Cores",'vHosts (Imported)'!$1:$5000,M2896,FALSE)</f>
        <v>0</v>
      </c>
      <c r="D2896" s="52">
        <f>HLOOKUP("# Memory",'vHosts (Imported)'!$1:$5000,M2896,FALSE)</f>
        <v>0</v>
      </c>
      <c r="M2896" s="45">
        <f t="shared" si="137"/>
        <v>2896</v>
      </c>
      <c r="N2896" s="38">
        <f>HLOOKUP("Host",'vInfo (Imported)'!$1:$5000,M2896,FALSE)</f>
        <v>0</v>
      </c>
      <c r="R2896">
        <f>HLOOKUP("CPUs",'vInfo (Imported)'!$1:$5000,M2896,FALSE)</f>
        <v>0</v>
      </c>
      <c r="S2896">
        <f>HLOOKUP("Memory",'vInfo (Imported)'!$1:$5000,M2896,FALSE)</f>
        <v>0</v>
      </c>
      <c r="T2896">
        <f>HLOOKUP("Provisioned MiB",'vInfo (Imported)'!$1:$5000,M2896,FALSE)</f>
        <v>0</v>
      </c>
      <c r="U2896">
        <f t="shared" si="136"/>
        <v>0</v>
      </c>
      <c r="V2896">
        <f>HLOOKUP("In Use MiB",'vInfo (Imported)'!$1:$5000,M2896,FALSE)</f>
        <v>0</v>
      </c>
    </row>
    <row r="2897" spans="1:22" ht="13" x14ac:dyDescent="0.3">
      <c r="A2897" s="46">
        <f>'vHosts (Imported)'!A2897</f>
        <v>0</v>
      </c>
      <c r="B2897" s="51">
        <f t="shared" si="135"/>
        <v>4968</v>
      </c>
      <c r="C2897" s="49">
        <f>HLOOKUP("# Cores",'vHosts (Imported)'!$1:$5000,M2897,FALSE)</f>
        <v>0</v>
      </c>
      <c r="D2897" s="52">
        <f>HLOOKUP("# Memory",'vHosts (Imported)'!$1:$5000,M2897,FALSE)</f>
        <v>0</v>
      </c>
      <c r="M2897" s="45">
        <f t="shared" si="137"/>
        <v>2897</v>
      </c>
      <c r="N2897" s="38">
        <f>HLOOKUP("Host",'vInfo (Imported)'!$1:$5000,M2897,FALSE)</f>
        <v>0</v>
      </c>
      <c r="R2897">
        <f>HLOOKUP("CPUs",'vInfo (Imported)'!$1:$5000,M2897,FALSE)</f>
        <v>0</v>
      </c>
      <c r="S2897">
        <f>HLOOKUP("Memory",'vInfo (Imported)'!$1:$5000,M2897,FALSE)</f>
        <v>0</v>
      </c>
      <c r="T2897">
        <f>HLOOKUP("Provisioned MiB",'vInfo (Imported)'!$1:$5000,M2897,FALSE)</f>
        <v>0</v>
      </c>
      <c r="U2897">
        <f t="shared" si="136"/>
        <v>0</v>
      </c>
      <c r="V2897">
        <f>HLOOKUP("In Use MiB",'vInfo (Imported)'!$1:$5000,M2897,FALSE)</f>
        <v>0</v>
      </c>
    </row>
    <row r="2898" spans="1:22" ht="13" x14ac:dyDescent="0.3">
      <c r="A2898" s="46">
        <f>'vHosts (Imported)'!A2898</f>
        <v>0</v>
      </c>
      <c r="B2898" s="51">
        <f t="shared" si="135"/>
        <v>4968</v>
      </c>
      <c r="C2898" s="49">
        <f>HLOOKUP("# Cores",'vHosts (Imported)'!$1:$5000,M2898,FALSE)</f>
        <v>0</v>
      </c>
      <c r="D2898" s="52">
        <f>HLOOKUP("# Memory",'vHosts (Imported)'!$1:$5000,M2898,FALSE)</f>
        <v>0</v>
      </c>
      <c r="M2898" s="45">
        <f t="shared" si="137"/>
        <v>2898</v>
      </c>
      <c r="N2898" s="38">
        <f>HLOOKUP("Host",'vInfo (Imported)'!$1:$5000,M2898,FALSE)</f>
        <v>0</v>
      </c>
      <c r="R2898">
        <f>HLOOKUP("CPUs",'vInfo (Imported)'!$1:$5000,M2898,FALSE)</f>
        <v>0</v>
      </c>
      <c r="S2898">
        <f>HLOOKUP("Memory",'vInfo (Imported)'!$1:$5000,M2898,FALSE)</f>
        <v>0</v>
      </c>
      <c r="T2898">
        <f>HLOOKUP("Provisioned MiB",'vInfo (Imported)'!$1:$5000,M2898,FALSE)</f>
        <v>0</v>
      </c>
      <c r="U2898">
        <f t="shared" si="136"/>
        <v>0</v>
      </c>
      <c r="V2898">
        <f>HLOOKUP("In Use MiB",'vInfo (Imported)'!$1:$5000,M2898,FALSE)</f>
        <v>0</v>
      </c>
    </row>
    <row r="2899" spans="1:22" ht="13" x14ac:dyDescent="0.3">
      <c r="A2899" s="46">
        <f>'vHosts (Imported)'!A2899</f>
        <v>0</v>
      </c>
      <c r="B2899" s="51">
        <f t="shared" si="135"/>
        <v>4968</v>
      </c>
      <c r="C2899" s="49">
        <f>HLOOKUP("# Cores",'vHosts (Imported)'!$1:$5000,M2899,FALSE)</f>
        <v>0</v>
      </c>
      <c r="D2899" s="52">
        <f>HLOOKUP("# Memory",'vHosts (Imported)'!$1:$5000,M2899,FALSE)</f>
        <v>0</v>
      </c>
      <c r="M2899" s="45">
        <f t="shared" si="137"/>
        <v>2899</v>
      </c>
      <c r="N2899" s="38">
        <f>HLOOKUP("Host",'vInfo (Imported)'!$1:$5000,M2899,FALSE)</f>
        <v>0</v>
      </c>
      <c r="R2899">
        <f>HLOOKUP("CPUs",'vInfo (Imported)'!$1:$5000,M2899,FALSE)</f>
        <v>0</v>
      </c>
      <c r="S2899">
        <f>HLOOKUP("Memory",'vInfo (Imported)'!$1:$5000,M2899,FALSE)</f>
        <v>0</v>
      </c>
      <c r="T2899">
        <f>HLOOKUP("Provisioned MiB",'vInfo (Imported)'!$1:$5000,M2899,FALSE)</f>
        <v>0</v>
      </c>
      <c r="U2899">
        <f t="shared" si="136"/>
        <v>0</v>
      </c>
      <c r="V2899">
        <f>HLOOKUP("In Use MiB",'vInfo (Imported)'!$1:$5000,M2899,FALSE)</f>
        <v>0</v>
      </c>
    </row>
    <row r="2900" spans="1:22" ht="13" x14ac:dyDescent="0.3">
      <c r="A2900" s="46">
        <f>'vHosts (Imported)'!A2900</f>
        <v>0</v>
      </c>
      <c r="B2900" s="51">
        <f t="shared" si="135"/>
        <v>4968</v>
      </c>
      <c r="C2900" s="49">
        <f>HLOOKUP("# Cores",'vHosts (Imported)'!$1:$5000,M2900,FALSE)</f>
        <v>0</v>
      </c>
      <c r="D2900" s="52">
        <f>HLOOKUP("# Memory",'vHosts (Imported)'!$1:$5000,M2900,FALSE)</f>
        <v>0</v>
      </c>
      <c r="M2900" s="45">
        <f t="shared" si="137"/>
        <v>2900</v>
      </c>
      <c r="N2900" s="38">
        <f>HLOOKUP("Host",'vInfo (Imported)'!$1:$5000,M2900,FALSE)</f>
        <v>0</v>
      </c>
      <c r="R2900">
        <f>HLOOKUP("CPUs",'vInfo (Imported)'!$1:$5000,M2900,FALSE)</f>
        <v>0</v>
      </c>
      <c r="S2900">
        <f>HLOOKUP("Memory",'vInfo (Imported)'!$1:$5000,M2900,FALSE)</f>
        <v>0</v>
      </c>
      <c r="T2900">
        <f>HLOOKUP("Provisioned MiB",'vInfo (Imported)'!$1:$5000,M2900,FALSE)</f>
        <v>0</v>
      </c>
      <c r="U2900">
        <f t="shared" si="136"/>
        <v>0</v>
      </c>
      <c r="V2900">
        <f>HLOOKUP("In Use MiB",'vInfo (Imported)'!$1:$5000,M2900,FALSE)</f>
        <v>0</v>
      </c>
    </row>
    <row r="2901" spans="1:22" ht="13" x14ac:dyDescent="0.3">
      <c r="A2901" s="46">
        <f>'vHosts (Imported)'!A2901</f>
        <v>0</v>
      </c>
      <c r="B2901" s="51">
        <f t="shared" si="135"/>
        <v>4968</v>
      </c>
      <c r="C2901" s="49">
        <f>HLOOKUP("# Cores",'vHosts (Imported)'!$1:$5000,M2901,FALSE)</f>
        <v>0</v>
      </c>
      <c r="D2901" s="52">
        <f>HLOOKUP("# Memory",'vHosts (Imported)'!$1:$5000,M2901,FALSE)</f>
        <v>0</v>
      </c>
      <c r="M2901" s="45">
        <f t="shared" si="137"/>
        <v>2901</v>
      </c>
      <c r="N2901" s="38">
        <f>HLOOKUP("Host",'vInfo (Imported)'!$1:$5000,M2901,FALSE)</f>
        <v>0</v>
      </c>
      <c r="R2901">
        <f>HLOOKUP("CPUs",'vInfo (Imported)'!$1:$5000,M2901,FALSE)</f>
        <v>0</v>
      </c>
      <c r="S2901">
        <f>HLOOKUP("Memory",'vInfo (Imported)'!$1:$5000,M2901,FALSE)</f>
        <v>0</v>
      </c>
      <c r="T2901">
        <f>HLOOKUP("Provisioned MiB",'vInfo (Imported)'!$1:$5000,M2901,FALSE)</f>
        <v>0</v>
      </c>
      <c r="U2901">
        <f t="shared" si="136"/>
        <v>0</v>
      </c>
      <c r="V2901">
        <f>HLOOKUP("In Use MiB",'vInfo (Imported)'!$1:$5000,M2901,FALSE)</f>
        <v>0</v>
      </c>
    </row>
    <row r="2902" spans="1:22" ht="13" x14ac:dyDescent="0.3">
      <c r="A2902" s="46">
        <f>'vHosts (Imported)'!A2902</f>
        <v>0</v>
      </c>
      <c r="B2902" s="51">
        <f t="shared" si="135"/>
        <v>4968</v>
      </c>
      <c r="C2902" s="49">
        <f>HLOOKUP("# Cores",'vHosts (Imported)'!$1:$5000,M2902,FALSE)</f>
        <v>0</v>
      </c>
      <c r="D2902" s="52">
        <f>HLOOKUP("# Memory",'vHosts (Imported)'!$1:$5000,M2902,FALSE)</f>
        <v>0</v>
      </c>
      <c r="M2902" s="45">
        <f t="shared" si="137"/>
        <v>2902</v>
      </c>
      <c r="N2902" s="38">
        <f>HLOOKUP("Host",'vInfo (Imported)'!$1:$5000,M2902,FALSE)</f>
        <v>0</v>
      </c>
      <c r="R2902">
        <f>HLOOKUP("CPUs",'vInfo (Imported)'!$1:$5000,M2902,FALSE)</f>
        <v>0</v>
      </c>
      <c r="S2902">
        <f>HLOOKUP("Memory",'vInfo (Imported)'!$1:$5000,M2902,FALSE)</f>
        <v>0</v>
      </c>
      <c r="T2902">
        <f>HLOOKUP("Provisioned MiB",'vInfo (Imported)'!$1:$5000,M2902,FALSE)</f>
        <v>0</v>
      </c>
      <c r="U2902">
        <f t="shared" si="136"/>
        <v>0</v>
      </c>
      <c r="V2902">
        <f>HLOOKUP("In Use MiB",'vInfo (Imported)'!$1:$5000,M2902,FALSE)</f>
        <v>0</v>
      </c>
    </row>
    <row r="2903" spans="1:22" ht="13" x14ac:dyDescent="0.3">
      <c r="A2903" s="46">
        <f>'vHosts (Imported)'!A2903</f>
        <v>0</v>
      </c>
      <c r="B2903" s="51">
        <f t="shared" si="135"/>
        <v>4968</v>
      </c>
      <c r="C2903" s="49">
        <f>HLOOKUP("# Cores",'vHosts (Imported)'!$1:$5000,M2903,FALSE)</f>
        <v>0</v>
      </c>
      <c r="D2903" s="52">
        <f>HLOOKUP("# Memory",'vHosts (Imported)'!$1:$5000,M2903,FALSE)</f>
        <v>0</v>
      </c>
      <c r="M2903" s="45">
        <f t="shared" si="137"/>
        <v>2903</v>
      </c>
      <c r="N2903" s="38">
        <f>HLOOKUP("Host",'vInfo (Imported)'!$1:$5000,M2903,FALSE)</f>
        <v>0</v>
      </c>
      <c r="R2903">
        <f>HLOOKUP("CPUs",'vInfo (Imported)'!$1:$5000,M2903,FALSE)</f>
        <v>0</v>
      </c>
      <c r="S2903">
        <f>HLOOKUP("Memory",'vInfo (Imported)'!$1:$5000,M2903,FALSE)</f>
        <v>0</v>
      </c>
      <c r="T2903">
        <f>HLOOKUP("Provisioned MiB",'vInfo (Imported)'!$1:$5000,M2903,FALSE)</f>
        <v>0</v>
      </c>
      <c r="U2903">
        <f t="shared" si="136"/>
        <v>0</v>
      </c>
      <c r="V2903">
        <f>HLOOKUP("In Use MiB",'vInfo (Imported)'!$1:$5000,M2903,FALSE)</f>
        <v>0</v>
      </c>
    </row>
    <row r="2904" spans="1:22" ht="13" x14ac:dyDescent="0.3">
      <c r="A2904" s="46">
        <f>'vHosts (Imported)'!A2904</f>
        <v>0</v>
      </c>
      <c r="B2904" s="51">
        <f t="shared" si="135"/>
        <v>4968</v>
      </c>
      <c r="C2904" s="49">
        <f>HLOOKUP("# Cores",'vHosts (Imported)'!$1:$5000,M2904,FALSE)</f>
        <v>0</v>
      </c>
      <c r="D2904" s="52">
        <f>HLOOKUP("# Memory",'vHosts (Imported)'!$1:$5000,M2904,FALSE)</f>
        <v>0</v>
      </c>
      <c r="M2904" s="45">
        <f t="shared" si="137"/>
        <v>2904</v>
      </c>
      <c r="N2904" s="38">
        <f>HLOOKUP("Host",'vInfo (Imported)'!$1:$5000,M2904,FALSE)</f>
        <v>0</v>
      </c>
      <c r="R2904">
        <f>HLOOKUP("CPUs",'vInfo (Imported)'!$1:$5000,M2904,FALSE)</f>
        <v>0</v>
      </c>
      <c r="S2904">
        <f>HLOOKUP("Memory",'vInfo (Imported)'!$1:$5000,M2904,FALSE)</f>
        <v>0</v>
      </c>
      <c r="T2904">
        <f>HLOOKUP("Provisioned MiB",'vInfo (Imported)'!$1:$5000,M2904,FALSE)</f>
        <v>0</v>
      </c>
      <c r="U2904">
        <f t="shared" si="136"/>
        <v>0</v>
      </c>
      <c r="V2904">
        <f>HLOOKUP("In Use MiB",'vInfo (Imported)'!$1:$5000,M2904,FALSE)</f>
        <v>0</v>
      </c>
    </row>
    <row r="2905" spans="1:22" ht="13" x14ac:dyDescent="0.3">
      <c r="A2905" s="46">
        <f>'vHosts (Imported)'!A2905</f>
        <v>0</v>
      </c>
      <c r="B2905" s="51">
        <f t="shared" si="135"/>
        <v>4968</v>
      </c>
      <c r="C2905" s="49">
        <f>HLOOKUP("# Cores",'vHosts (Imported)'!$1:$5000,M2905,FALSE)</f>
        <v>0</v>
      </c>
      <c r="D2905" s="52">
        <f>HLOOKUP("# Memory",'vHosts (Imported)'!$1:$5000,M2905,FALSE)</f>
        <v>0</v>
      </c>
      <c r="M2905" s="45">
        <f t="shared" si="137"/>
        <v>2905</v>
      </c>
      <c r="N2905" s="38">
        <f>HLOOKUP("Host",'vInfo (Imported)'!$1:$5000,M2905,FALSE)</f>
        <v>0</v>
      </c>
      <c r="R2905">
        <f>HLOOKUP("CPUs",'vInfo (Imported)'!$1:$5000,M2905,FALSE)</f>
        <v>0</v>
      </c>
      <c r="S2905">
        <f>HLOOKUP("Memory",'vInfo (Imported)'!$1:$5000,M2905,FALSE)</f>
        <v>0</v>
      </c>
      <c r="T2905">
        <f>HLOOKUP("Provisioned MiB",'vInfo (Imported)'!$1:$5000,M2905,FALSE)</f>
        <v>0</v>
      </c>
      <c r="U2905">
        <f t="shared" si="136"/>
        <v>0</v>
      </c>
      <c r="V2905">
        <f>HLOOKUP("In Use MiB",'vInfo (Imported)'!$1:$5000,M2905,FALSE)</f>
        <v>0</v>
      </c>
    </row>
    <row r="2906" spans="1:22" ht="13" x14ac:dyDescent="0.3">
      <c r="A2906" s="46">
        <f>'vHosts (Imported)'!A2906</f>
        <v>0</v>
      </c>
      <c r="B2906" s="51">
        <f t="shared" si="135"/>
        <v>4968</v>
      </c>
      <c r="C2906" s="49">
        <f>HLOOKUP("# Cores",'vHosts (Imported)'!$1:$5000,M2906,FALSE)</f>
        <v>0</v>
      </c>
      <c r="D2906" s="52">
        <f>HLOOKUP("# Memory",'vHosts (Imported)'!$1:$5000,M2906,FALSE)</f>
        <v>0</v>
      </c>
      <c r="M2906" s="45">
        <f t="shared" si="137"/>
        <v>2906</v>
      </c>
      <c r="N2906" s="38">
        <f>HLOOKUP("Host",'vInfo (Imported)'!$1:$5000,M2906,FALSE)</f>
        <v>0</v>
      </c>
      <c r="R2906">
        <f>HLOOKUP("CPUs",'vInfo (Imported)'!$1:$5000,M2906,FALSE)</f>
        <v>0</v>
      </c>
      <c r="S2906">
        <f>HLOOKUP("Memory",'vInfo (Imported)'!$1:$5000,M2906,FALSE)</f>
        <v>0</v>
      </c>
      <c r="T2906">
        <f>HLOOKUP("Provisioned MiB",'vInfo (Imported)'!$1:$5000,M2906,FALSE)</f>
        <v>0</v>
      </c>
      <c r="U2906">
        <f t="shared" si="136"/>
        <v>0</v>
      </c>
      <c r="V2906">
        <f>HLOOKUP("In Use MiB",'vInfo (Imported)'!$1:$5000,M2906,FALSE)</f>
        <v>0</v>
      </c>
    </row>
    <row r="2907" spans="1:22" ht="13" x14ac:dyDescent="0.3">
      <c r="A2907" s="46">
        <f>'vHosts (Imported)'!A2907</f>
        <v>0</v>
      </c>
      <c r="B2907" s="51">
        <f t="shared" si="135"/>
        <v>4968</v>
      </c>
      <c r="C2907" s="49">
        <f>HLOOKUP("# Cores",'vHosts (Imported)'!$1:$5000,M2907,FALSE)</f>
        <v>0</v>
      </c>
      <c r="D2907" s="52">
        <f>HLOOKUP("# Memory",'vHosts (Imported)'!$1:$5000,M2907,FALSE)</f>
        <v>0</v>
      </c>
      <c r="M2907" s="45">
        <f t="shared" si="137"/>
        <v>2907</v>
      </c>
      <c r="N2907" s="38">
        <f>HLOOKUP("Host",'vInfo (Imported)'!$1:$5000,M2907,FALSE)</f>
        <v>0</v>
      </c>
      <c r="R2907">
        <f>HLOOKUP("CPUs",'vInfo (Imported)'!$1:$5000,M2907,FALSE)</f>
        <v>0</v>
      </c>
      <c r="S2907">
        <f>HLOOKUP("Memory",'vInfo (Imported)'!$1:$5000,M2907,FALSE)</f>
        <v>0</v>
      </c>
      <c r="T2907">
        <f>HLOOKUP("Provisioned MiB",'vInfo (Imported)'!$1:$5000,M2907,FALSE)</f>
        <v>0</v>
      </c>
      <c r="U2907">
        <f t="shared" si="136"/>
        <v>0</v>
      </c>
      <c r="V2907">
        <f>HLOOKUP("In Use MiB",'vInfo (Imported)'!$1:$5000,M2907,FALSE)</f>
        <v>0</v>
      </c>
    </row>
    <row r="2908" spans="1:22" ht="13" x14ac:dyDescent="0.3">
      <c r="A2908" s="46">
        <f>'vHosts (Imported)'!A2908</f>
        <v>0</v>
      </c>
      <c r="B2908" s="51">
        <f t="shared" si="135"/>
        <v>4968</v>
      </c>
      <c r="C2908" s="49">
        <f>HLOOKUP("# Cores",'vHosts (Imported)'!$1:$5000,M2908,FALSE)</f>
        <v>0</v>
      </c>
      <c r="D2908" s="52">
        <f>HLOOKUP("# Memory",'vHosts (Imported)'!$1:$5000,M2908,FALSE)</f>
        <v>0</v>
      </c>
      <c r="M2908" s="45">
        <f t="shared" si="137"/>
        <v>2908</v>
      </c>
      <c r="N2908" s="38">
        <f>HLOOKUP("Host",'vInfo (Imported)'!$1:$5000,M2908,FALSE)</f>
        <v>0</v>
      </c>
      <c r="R2908">
        <f>HLOOKUP("CPUs",'vInfo (Imported)'!$1:$5000,M2908,FALSE)</f>
        <v>0</v>
      </c>
      <c r="S2908">
        <f>HLOOKUP("Memory",'vInfo (Imported)'!$1:$5000,M2908,FALSE)</f>
        <v>0</v>
      </c>
      <c r="T2908">
        <f>HLOOKUP("Provisioned MiB",'vInfo (Imported)'!$1:$5000,M2908,FALSE)</f>
        <v>0</v>
      </c>
      <c r="U2908">
        <f t="shared" si="136"/>
        <v>0</v>
      </c>
      <c r="V2908">
        <f>HLOOKUP("In Use MiB",'vInfo (Imported)'!$1:$5000,M2908,FALSE)</f>
        <v>0</v>
      </c>
    </row>
    <row r="2909" spans="1:22" ht="13" x14ac:dyDescent="0.3">
      <c r="A2909" s="46">
        <f>'vHosts (Imported)'!A2909</f>
        <v>0</v>
      </c>
      <c r="B2909" s="51">
        <f t="shared" si="135"/>
        <v>4968</v>
      </c>
      <c r="C2909" s="49">
        <f>HLOOKUP("# Cores",'vHosts (Imported)'!$1:$5000,M2909,FALSE)</f>
        <v>0</v>
      </c>
      <c r="D2909" s="52">
        <f>HLOOKUP("# Memory",'vHosts (Imported)'!$1:$5000,M2909,FALSE)</f>
        <v>0</v>
      </c>
      <c r="M2909" s="45">
        <f t="shared" si="137"/>
        <v>2909</v>
      </c>
      <c r="N2909" s="38">
        <f>HLOOKUP("Host",'vInfo (Imported)'!$1:$5000,M2909,FALSE)</f>
        <v>0</v>
      </c>
      <c r="R2909">
        <f>HLOOKUP("CPUs",'vInfo (Imported)'!$1:$5000,M2909,FALSE)</f>
        <v>0</v>
      </c>
      <c r="S2909">
        <f>HLOOKUP("Memory",'vInfo (Imported)'!$1:$5000,M2909,FALSE)</f>
        <v>0</v>
      </c>
      <c r="T2909">
        <f>HLOOKUP("Provisioned MiB",'vInfo (Imported)'!$1:$5000,M2909,FALSE)</f>
        <v>0</v>
      </c>
      <c r="U2909">
        <f t="shared" si="136"/>
        <v>0</v>
      </c>
      <c r="V2909">
        <f>HLOOKUP("In Use MiB",'vInfo (Imported)'!$1:$5000,M2909,FALSE)</f>
        <v>0</v>
      </c>
    </row>
    <row r="2910" spans="1:22" ht="13" x14ac:dyDescent="0.3">
      <c r="A2910" s="46">
        <f>'vHosts (Imported)'!A2910</f>
        <v>0</v>
      </c>
      <c r="B2910" s="51">
        <f t="shared" si="135"/>
        <v>4968</v>
      </c>
      <c r="C2910" s="49">
        <f>HLOOKUP("# Cores",'vHosts (Imported)'!$1:$5000,M2910,FALSE)</f>
        <v>0</v>
      </c>
      <c r="D2910" s="52">
        <f>HLOOKUP("# Memory",'vHosts (Imported)'!$1:$5000,M2910,FALSE)</f>
        <v>0</v>
      </c>
      <c r="M2910" s="45">
        <f t="shared" si="137"/>
        <v>2910</v>
      </c>
      <c r="N2910" s="38">
        <f>HLOOKUP("Host",'vInfo (Imported)'!$1:$5000,M2910,FALSE)</f>
        <v>0</v>
      </c>
      <c r="R2910">
        <f>HLOOKUP("CPUs",'vInfo (Imported)'!$1:$5000,M2910,FALSE)</f>
        <v>0</v>
      </c>
      <c r="S2910">
        <f>HLOOKUP("Memory",'vInfo (Imported)'!$1:$5000,M2910,FALSE)</f>
        <v>0</v>
      </c>
      <c r="T2910">
        <f>HLOOKUP("Provisioned MiB",'vInfo (Imported)'!$1:$5000,M2910,FALSE)</f>
        <v>0</v>
      </c>
      <c r="U2910">
        <f t="shared" si="136"/>
        <v>0</v>
      </c>
      <c r="V2910">
        <f>HLOOKUP("In Use MiB",'vInfo (Imported)'!$1:$5000,M2910,FALSE)</f>
        <v>0</v>
      </c>
    </row>
    <row r="2911" spans="1:22" ht="13" x14ac:dyDescent="0.3">
      <c r="A2911" s="46">
        <f>'vHosts (Imported)'!A2911</f>
        <v>0</v>
      </c>
      <c r="B2911" s="51">
        <f t="shared" si="135"/>
        <v>4968</v>
      </c>
      <c r="C2911" s="49">
        <f>HLOOKUP("# Cores",'vHosts (Imported)'!$1:$5000,M2911,FALSE)</f>
        <v>0</v>
      </c>
      <c r="D2911" s="52">
        <f>HLOOKUP("# Memory",'vHosts (Imported)'!$1:$5000,M2911,FALSE)</f>
        <v>0</v>
      </c>
      <c r="M2911" s="45">
        <f t="shared" si="137"/>
        <v>2911</v>
      </c>
      <c r="N2911" s="38">
        <f>HLOOKUP("Host",'vInfo (Imported)'!$1:$5000,M2911,FALSE)</f>
        <v>0</v>
      </c>
      <c r="R2911">
        <f>HLOOKUP("CPUs",'vInfo (Imported)'!$1:$5000,M2911,FALSE)</f>
        <v>0</v>
      </c>
      <c r="S2911">
        <f>HLOOKUP("Memory",'vInfo (Imported)'!$1:$5000,M2911,FALSE)</f>
        <v>0</v>
      </c>
      <c r="T2911">
        <f>HLOOKUP("Provisioned MiB",'vInfo (Imported)'!$1:$5000,M2911,FALSE)</f>
        <v>0</v>
      </c>
      <c r="U2911">
        <f t="shared" si="136"/>
        <v>0</v>
      </c>
      <c r="V2911">
        <f>HLOOKUP("In Use MiB",'vInfo (Imported)'!$1:$5000,M2911,FALSE)</f>
        <v>0</v>
      </c>
    </row>
    <row r="2912" spans="1:22" ht="13" x14ac:dyDescent="0.3">
      <c r="A2912" s="46">
        <f>'vHosts (Imported)'!A2912</f>
        <v>0</v>
      </c>
      <c r="B2912" s="51">
        <f t="shared" si="135"/>
        <v>4968</v>
      </c>
      <c r="C2912" s="49">
        <f>HLOOKUP("# Cores",'vHosts (Imported)'!$1:$5000,M2912,FALSE)</f>
        <v>0</v>
      </c>
      <c r="D2912" s="52">
        <f>HLOOKUP("# Memory",'vHosts (Imported)'!$1:$5000,M2912,FALSE)</f>
        <v>0</v>
      </c>
      <c r="M2912" s="45">
        <f t="shared" si="137"/>
        <v>2912</v>
      </c>
      <c r="N2912" s="38">
        <f>HLOOKUP("Host",'vInfo (Imported)'!$1:$5000,M2912,FALSE)</f>
        <v>0</v>
      </c>
      <c r="R2912">
        <f>HLOOKUP("CPUs",'vInfo (Imported)'!$1:$5000,M2912,FALSE)</f>
        <v>0</v>
      </c>
      <c r="S2912">
        <f>HLOOKUP("Memory",'vInfo (Imported)'!$1:$5000,M2912,FALSE)</f>
        <v>0</v>
      </c>
      <c r="T2912">
        <f>HLOOKUP("Provisioned MiB",'vInfo (Imported)'!$1:$5000,M2912,FALSE)</f>
        <v>0</v>
      </c>
      <c r="U2912">
        <f t="shared" si="136"/>
        <v>0</v>
      </c>
      <c r="V2912">
        <f>HLOOKUP("In Use MiB",'vInfo (Imported)'!$1:$5000,M2912,FALSE)</f>
        <v>0</v>
      </c>
    </row>
    <row r="2913" spans="1:22" ht="13" x14ac:dyDescent="0.3">
      <c r="A2913" s="46">
        <f>'vHosts (Imported)'!A2913</f>
        <v>0</v>
      </c>
      <c r="B2913" s="51">
        <f t="shared" si="135"/>
        <v>4968</v>
      </c>
      <c r="C2913" s="49">
        <f>HLOOKUP("# Cores",'vHosts (Imported)'!$1:$5000,M2913,FALSE)</f>
        <v>0</v>
      </c>
      <c r="D2913" s="52">
        <f>HLOOKUP("# Memory",'vHosts (Imported)'!$1:$5000,M2913,FALSE)</f>
        <v>0</v>
      </c>
      <c r="M2913" s="45">
        <f t="shared" si="137"/>
        <v>2913</v>
      </c>
      <c r="N2913" s="38">
        <f>HLOOKUP("Host",'vInfo (Imported)'!$1:$5000,M2913,FALSE)</f>
        <v>0</v>
      </c>
      <c r="R2913">
        <f>HLOOKUP("CPUs",'vInfo (Imported)'!$1:$5000,M2913,FALSE)</f>
        <v>0</v>
      </c>
      <c r="S2913">
        <f>HLOOKUP("Memory",'vInfo (Imported)'!$1:$5000,M2913,FALSE)</f>
        <v>0</v>
      </c>
      <c r="T2913">
        <f>HLOOKUP("Provisioned MiB",'vInfo (Imported)'!$1:$5000,M2913,FALSE)</f>
        <v>0</v>
      </c>
      <c r="U2913">
        <f t="shared" si="136"/>
        <v>0</v>
      </c>
      <c r="V2913">
        <f>HLOOKUP("In Use MiB",'vInfo (Imported)'!$1:$5000,M2913,FALSE)</f>
        <v>0</v>
      </c>
    </row>
    <row r="2914" spans="1:22" ht="13" x14ac:dyDescent="0.3">
      <c r="A2914" s="46">
        <f>'vHosts (Imported)'!A2914</f>
        <v>0</v>
      </c>
      <c r="B2914" s="51">
        <f t="shared" si="135"/>
        <v>4968</v>
      </c>
      <c r="C2914" s="49">
        <f>HLOOKUP("# Cores",'vHosts (Imported)'!$1:$5000,M2914,FALSE)</f>
        <v>0</v>
      </c>
      <c r="D2914" s="52">
        <f>HLOOKUP("# Memory",'vHosts (Imported)'!$1:$5000,M2914,FALSE)</f>
        <v>0</v>
      </c>
      <c r="M2914" s="45">
        <f t="shared" si="137"/>
        <v>2914</v>
      </c>
      <c r="N2914" s="38">
        <f>HLOOKUP("Host",'vInfo (Imported)'!$1:$5000,M2914,FALSE)</f>
        <v>0</v>
      </c>
      <c r="R2914">
        <f>HLOOKUP("CPUs",'vInfo (Imported)'!$1:$5000,M2914,FALSE)</f>
        <v>0</v>
      </c>
      <c r="S2914">
        <f>HLOOKUP("Memory",'vInfo (Imported)'!$1:$5000,M2914,FALSE)</f>
        <v>0</v>
      </c>
      <c r="T2914">
        <f>HLOOKUP("Provisioned MiB",'vInfo (Imported)'!$1:$5000,M2914,FALSE)</f>
        <v>0</v>
      </c>
      <c r="U2914">
        <f t="shared" si="136"/>
        <v>0</v>
      </c>
      <c r="V2914">
        <f>HLOOKUP("In Use MiB",'vInfo (Imported)'!$1:$5000,M2914,FALSE)</f>
        <v>0</v>
      </c>
    </row>
    <row r="2915" spans="1:22" ht="13" x14ac:dyDescent="0.3">
      <c r="A2915" s="46">
        <f>'vHosts (Imported)'!A2915</f>
        <v>0</v>
      </c>
      <c r="B2915" s="51">
        <f t="shared" si="135"/>
        <v>4968</v>
      </c>
      <c r="C2915" s="49">
        <f>HLOOKUP("# Cores",'vHosts (Imported)'!$1:$5000,M2915,FALSE)</f>
        <v>0</v>
      </c>
      <c r="D2915" s="52">
        <f>HLOOKUP("# Memory",'vHosts (Imported)'!$1:$5000,M2915,FALSE)</f>
        <v>0</v>
      </c>
      <c r="M2915" s="45">
        <f t="shared" si="137"/>
        <v>2915</v>
      </c>
      <c r="N2915" s="38">
        <f>HLOOKUP("Host",'vInfo (Imported)'!$1:$5000,M2915,FALSE)</f>
        <v>0</v>
      </c>
      <c r="R2915">
        <f>HLOOKUP("CPUs",'vInfo (Imported)'!$1:$5000,M2915,FALSE)</f>
        <v>0</v>
      </c>
      <c r="S2915">
        <f>HLOOKUP("Memory",'vInfo (Imported)'!$1:$5000,M2915,FALSE)</f>
        <v>0</v>
      </c>
      <c r="T2915">
        <f>HLOOKUP("Provisioned MiB",'vInfo (Imported)'!$1:$5000,M2915,FALSE)</f>
        <v>0</v>
      </c>
      <c r="U2915">
        <f t="shared" si="136"/>
        <v>0</v>
      </c>
      <c r="V2915">
        <f>HLOOKUP("In Use MiB",'vInfo (Imported)'!$1:$5000,M2915,FALSE)</f>
        <v>0</v>
      </c>
    </row>
    <row r="2916" spans="1:22" ht="13" x14ac:dyDescent="0.3">
      <c r="A2916" s="46">
        <f>'vHosts (Imported)'!A2916</f>
        <v>0</v>
      </c>
      <c r="B2916" s="51">
        <f t="shared" si="135"/>
        <v>4968</v>
      </c>
      <c r="C2916" s="49">
        <f>HLOOKUP("# Cores",'vHosts (Imported)'!$1:$5000,M2916,FALSE)</f>
        <v>0</v>
      </c>
      <c r="D2916" s="52">
        <f>HLOOKUP("# Memory",'vHosts (Imported)'!$1:$5000,M2916,FALSE)</f>
        <v>0</v>
      </c>
      <c r="M2916" s="45">
        <f t="shared" si="137"/>
        <v>2916</v>
      </c>
      <c r="N2916" s="38">
        <f>HLOOKUP("Host",'vInfo (Imported)'!$1:$5000,M2916,FALSE)</f>
        <v>0</v>
      </c>
      <c r="R2916">
        <f>HLOOKUP("CPUs",'vInfo (Imported)'!$1:$5000,M2916,FALSE)</f>
        <v>0</v>
      </c>
      <c r="S2916">
        <f>HLOOKUP("Memory",'vInfo (Imported)'!$1:$5000,M2916,FALSE)</f>
        <v>0</v>
      </c>
      <c r="T2916">
        <f>HLOOKUP("Provisioned MiB",'vInfo (Imported)'!$1:$5000,M2916,FALSE)</f>
        <v>0</v>
      </c>
      <c r="U2916">
        <f t="shared" si="136"/>
        <v>0</v>
      </c>
      <c r="V2916">
        <f>HLOOKUP("In Use MiB",'vInfo (Imported)'!$1:$5000,M2916,FALSE)</f>
        <v>0</v>
      </c>
    </row>
    <row r="2917" spans="1:22" ht="13" x14ac:dyDescent="0.3">
      <c r="A2917" s="46">
        <f>'vHosts (Imported)'!A2917</f>
        <v>0</v>
      </c>
      <c r="B2917" s="51">
        <f t="shared" si="135"/>
        <v>4968</v>
      </c>
      <c r="C2917" s="49">
        <f>HLOOKUP("# Cores",'vHosts (Imported)'!$1:$5000,M2917,FALSE)</f>
        <v>0</v>
      </c>
      <c r="D2917" s="52">
        <f>HLOOKUP("# Memory",'vHosts (Imported)'!$1:$5000,M2917,FALSE)</f>
        <v>0</v>
      </c>
      <c r="M2917" s="45">
        <f t="shared" si="137"/>
        <v>2917</v>
      </c>
      <c r="N2917" s="38">
        <f>HLOOKUP("Host",'vInfo (Imported)'!$1:$5000,M2917,FALSE)</f>
        <v>0</v>
      </c>
      <c r="R2917">
        <f>HLOOKUP("CPUs",'vInfo (Imported)'!$1:$5000,M2917,FALSE)</f>
        <v>0</v>
      </c>
      <c r="S2917">
        <f>HLOOKUP("Memory",'vInfo (Imported)'!$1:$5000,M2917,FALSE)</f>
        <v>0</v>
      </c>
      <c r="T2917">
        <f>HLOOKUP("Provisioned MiB",'vInfo (Imported)'!$1:$5000,M2917,FALSE)</f>
        <v>0</v>
      </c>
      <c r="U2917">
        <f t="shared" si="136"/>
        <v>0</v>
      </c>
      <c r="V2917">
        <f>HLOOKUP("In Use MiB",'vInfo (Imported)'!$1:$5000,M2917,FALSE)</f>
        <v>0</v>
      </c>
    </row>
    <row r="2918" spans="1:22" ht="13" x14ac:dyDescent="0.3">
      <c r="A2918" s="46">
        <f>'vHosts (Imported)'!A2918</f>
        <v>0</v>
      </c>
      <c r="B2918" s="51">
        <f t="shared" si="135"/>
        <v>4968</v>
      </c>
      <c r="C2918" s="49">
        <f>HLOOKUP("# Cores",'vHosts (Imported)'!$1:$5000,M2918,FALSE)</f>
        <v>0</v>
      </c>
      <c r="D2918" s="52">
        <f>HLOOKUP("# Memory",'vHosts (Imported)'!$1:$5000,M2918,FALSE)</f>
        <v>0</v>
      </c>
      <c r="M2918" s="45">
        <f t="shared" si="137"/>
        <v>2918</v>
      </c>
      <c r="N2918" s="38">
        <f>HLOOKUP("Host",'vInfo (Imported)'!$1:$5000,M2918,FALSE)</f>
        <v>0</v>
      </c>
      <c r="R2918">
        <f>HLOOKUP("CPUs",'vInfo (Imported)'!$1:$5000,M2918,FALSE)</f>
        <v>0</v>
      </c>
      <c r="S2918">
        <f>HLOOKUP("Memory",'vInfo (Imported)'!$1:$5000,M2918,FALSE)</f>
        <v>0</v>
      </c>
      <c r="T2918">
        <f>HLOOKUP("Provisioned MiB",'vInfo (Imported)'!$1:$5000,M2918,FALSE)</f>
        <v>0</v>
      </c>
      <c r="U2918">
        <f t="shared" si="136"/>
        <v>0</v>
      </c>
      <c r="V2918">
        <f>HLOOKUP("In Use MiB",'vInfo (Imported)'!$1:$5000,M2918,FALSE)</f>
        <v>0</v>
      </c>
    </row>
    <row r="2919" spans="1:22" ht="13" x14ac:dyDescent="0.3">
      <c r="A2919" s="46">
        <f>'vHosts (Imported)'!A2919</f>
        <v>0</v>
      </c>
      <c r="B2919" s="51">
        <f t="shared" si="135"/>
        <v>4968</v>
      </c>
      <c r="C2919" s="49">
        <f>HLOOKUP("# Cores",'vHosts (Imported)'!$1:$5000,M2919,FALSE)</f>
        <v>0</v>
      </c>
      <c r="D2919" s="52">
        <f>HLOOKUP("# Memory",'vHosts (Imported)'!$1:$5000,M2919,FALSE)</f>
        <v>0</v>
      </c>
      <c r="M2919" s="45">
        <f t="shared" si="137"/>
        <v>2919</v>
      </c>
      <c r="N2919" s="38">
        <f>HLOOKUP("Host",'vInfo (Imported)'!$1:$5000,M2919,FALSE)</f>
        <v>0</v>
      </c>
      <c r="R2919">
        <f>HLOOKUP("CPUs",'vInfo (Imported)'!$1:$5000,M2919,FALSE)</f>
        <v>0</v>
      </c>
      <c r="S2919">
        <f>HLOOKUP("Memory",'vInfo (Imported)'!$1:$5000,M2919,FALSE)</f>
        <v>0</v>
      </c>
      <c r="T2919">
        <f>HLOOKUP("Provisioned MiB",'vInfo (Imported)'!$1:$5000,M2919,FALSE)</f>
        <v>0</v>
      </c>
      <c r="U2919">
        <f t="shared" si="136"/>
        <v>0</v>
      </c>
      <c r="V2919">
        <f>HLOOKUP("In Use MiB",'vInfo (Imported)'!$1:$5000,M2919,FALSE)</f>
        <v>0</v>
      </c>
    </row>
    <row r="2920" spans="1:22" ht="13" x14ac:dyDescent="0.3">
      <c r="A2920" s="46">
        <f>'vHosts (Imported)'!A2920</f>
        <v>0</v>
      </c>
      <c r="B2920" s="51">
        <f t="shared" ref="B2920:B2983" si="138">COUNTIF(N:N,A2920)</f>
        <v>4968</v>
      </c>
      <c r="C2920" s="49">
        <f>HLOOKUP("# Cores",'vHosts (Imported)'!$1:$5000,M2920,FALSE)</f>
        <v>0</v>
      </c>
      <c r="D2920" s="52">
        <f>HLOOKUP("# Memory",'vHosts (Imported)'!$1:$5000,M2920,FALSE)</f>
        <v>0</v>
      </c>
      <c r="M2920" s="45">
        <f t="shared" si="137"/>
        <v>2920</v>
      </c>
      <c r="N2920" s="38">
        <f>HLOOKUP("Host",'vInfo (Imported)'!$1:$5000,M2920,FALSE)</f>
        <v>0</v>
      </c>
      <c r="R2920">
        <f>HLOOKUP("CPUs",'vInfo (Imported)'!$1:$5000,M2920,FALSE)</f>
        <v>0</v>
      </c>
      <c r="S2920">
        <f>HLOOKUP("Memory",'vInfo (Imported)'!$1:$5000,M2920,FALSE)</f>
        <v>0</v>
      </c>
      <c r="T2920">
        <f>HLOOKUP("Provisioned MiB",'vInfo (Imported)'!$1:$5000,M2920,FALSE)</f>
        <v>0</v>
      </c>
      <c r="U2920">
        <f t="shared" si="136"/>
        <v>0</v>
      </c>
      <c r="V2920">
        <f>HLOOKUP("In Use MiB",'vInfo (Imported)'!$1:$5000,M2920,FALSE)</f>
        <v>0</v>
      </c>
    </row>
    <row r="2921" spans="1:22" ht="13" x14ac:dyDescent="0.3">
      <c r="A2921" s="46">
        <f>'vHosts (Imported)'!A2921</f>
        <v>0</v>
      </c>
      <c r="B2921" s="51">
        <f t="shared" si="138"/>
        <v>4968</v>
      </c>
      <c r="C2921" s="49">
        <f>HLOOKUP("# Cores",'vHosts (Imported)'!$1:$5000,M2921,FALSE)</f>
        <v>0</v>
      </c>
      <c r="D2921" s="52">
        <f>HLOOKUP("# Memory",'vHosts (Imported)'!$1:$5000,M2921,FALSE)</f>
        <v>0</v>
      </c>
      <c r="M2921" s="45">
        <f t="shared" si="137"/>
        <v>2921</v>
      </c>
      <c r="N2921" s="38">
        <f>HLOOKUP("Host",'vInfo (Imported)'!$1:$5000,M2921,FALSE)</f>
        <v>0</v>
      </c>
      <c r="R2921">
        <f>HLOOKUP("CPUs",'vInfo (Imported)'!$1:$5000,M2921,FALSE)</f>
        <v>0</v>
      </c>
      <c r="S2921">
        <f>HLOOKUP("Memory",'vInfo (Imported)'!$1:$5000,M2921,FALSE)</f>
        <v>0</v>
      </c>
      <c r="T2921">
        <f>HLOOKUP("Provisioned MiB",'vInfo (Imported)'!$1:$5000,M2921,FALSE)</f>
        <v>0</v>
      </c>
      <c r="U2921">
        <f t="shared" si="136"/>
        <v>0</v>
      </c>
      <c r="V2921">
        <f>HLOOKUP("In Use MiB",'vInfo (Imported)'!$1:$5000,M2921,FALSE)</f>
        <v>0</v>
      </c>
    </row>
    <row r="2922" spans="1:22" ht="13" x14ac:dyDescent="0.3">
      <c r="A2922" s="46">
        <f>'vHosts (Imported)'!A2922</f>
        <v>0</v>
      </c>
      <c r="B2922" s="51">
        <f t="shared" si="138"/>
        <v>4968</v>
      </c>
      <c r="C2922" s="49">
        <f>HLOOKUP("# Cores",'vHosts (Imported)'!$1:$5000,M2922,FALSE)</f>
        <v>0</v>
      </c>
      <c r="D2922" s="52">
        <f>HLOOKUP("# Memory",'vHosts (Imported)'!$1:$5000,M2922,FALSE)</f>
        <v>0</v>
      </c>
      <c r="M2922" s="45">
        <f t="shared" si="137"/>
        <v>2922</v>
      </c>
      <c r="N2922" s="38">
        <f>HLOOKUP("Host",'vInfo (Imported)'!$1:$5000,M2922,FALSE)</f>
        <v>0</v>
      </c>
      <c r="R2922">
        <f>HLOOKUP("CPUs",'vInfo (Imported)'!$1:$5000,M2922,FALSE)</f>
        <v>0</v>
      </c>
      <c r="S2922">
        <f>HLOOKUP("Memory",'vInfo (Imported)'!$1:$5000,M2922,FALSE)</f>
        <v>0</v>
      </c>
      <c r="T2922">
        <f>HLOOKUP("Provisioned MiB",'vInfo (Imported)'!$1:$5000,M2922,FALSE)</f>
        <v>0</v>
      </c>
      <c r="U2922">
        <f t="shared" si="136"/>
        <v>0</v>
      </c>
      <c r="V2922">
        <f>HLOOKUP("In Use MiB",'vInfo (Imported)'!$1:$5000,M2922,FALSE)</f>
        <v>0</v>
      </c>
    </row>
    <row r="2923" spans="1:22" ht="13" x14ac:dyDescent="0.3">
      <c r="A2923" s="46">
        <f>'vHosts (Imported)'!A2923</f>
        <v>0</v>
      </c>
      <c r="B2923" s="51">
        <f t="shared" si="138"/>
        <v>4968</v>
      </c>
      <c r="C2923" s="49">
        <f>HLOOKUP("# Cores",'vHosts (Imported)'!$1:$5000,M2923,FALSE)</f>
        <v>0</v>
      </c>
      <c r="D2923" s="52">
        <f>HLOOKUP("# Memory",'vHosts (Imported)'!$1:$5000,M2923,FALSE)</f>
        <v>0</v>
      </c>
      <c r="M2923" s="45">
        <f t="shared" si="137"/>
        <v>2923</v>
      </c>
      <c r="N2923" s="38">
        <f>HLOOKUP("Host",'vInfo (Imported)'!$1:$5000,M2923,FALSE)</f>
        <v>0</v>
      </c>
      <c r="R2923">
        <f>HLOOKUP("CPUs",'vInfo (Imported)'!$1:$5000,M2923,FALSE)</f>
        <v>0</v>
      </c>
      <c r="S2923">
        <f>HLOOKUP("Memory",'vInfo (Imported)'!$1:$5000,M2923,FALSE)</f>
        <v>0</v>
      </c>
      <c r="T2923">
        <f>HLOOKUP("Provisioned MiB",'vInfo (Imported)'!$1:$5000,M2923,FALSE)</f>
        <v>0</v>
      </c>
      <c r="U2923">
        <f t="shared" si="136"/>
        <v>0</v>
      </c>
      <c r="V2923">
        <f>HLOOKUP("In Use MiB",'vInfo (Imported)'!$1:$5000,M2923,FALSE)</f>
        <v>0</v>
      </c>
    </row>
    <row r="2924" spans="1:22" ht="13" x14ac:dyDescent="0.3">
      <c r="A2924" s="46">
        <f>'vHosts (Imported)'!A2924</f>
        <v>0</v>
      </c>
      <c r="B2924" s="51">
        <f t="shared" si="138"/>
        <v>4968</v>
      </c>
      <c r="C2924" s="49">
        <f>HLOOKUP("# Cores",'vHosts (Imported)'!$1:$5000,M2924,FALSE)</f>
        <v>0</v>
      </c>
      <c r="D2924" s="52">
        <f>HLOOKUP("# Memory",'vHosts (Imported)'!$1:$5000,M2924,FALSE)</f>
        <v>0</v>
      </c>
      <c r="M2924" s="45">
        <f t="shared" si="137"/>
        <v>2924</v>
      </c>
      <c r="N2924" s="38">
        <f>HLOOKUP("Host",'vInfo (Imported)'!$1:$5000,M2924,FALSE)</f>
        <v>0</v>
      </c>
      <c r="R2924">
        <f>HLOOKUP("CPUs",'vInfo (Imported)'!$1:$5000,M2924,FALSE)</f>
        <v>0</v>
      </c>
      <c r="S2924">
        <f>HLOOKUP("Memory",'vInfo (Imported)'!$1:$5000,M2924,FALSE)</f>
        <v>0</v>
      </c>
      <c r="T2924">
        <f>HLOOKUP("Provisioned MiB",'vInfo (Imported)'!$1:$5000,M2924,FALSE)</f>
        <v>0</v>
      </c>
      <c r="U2924">
        <f t="shared" si="136"/>
        <v>0</v>
      </c>
      <c r="V2924">
        <f>HLOOKUP("In Use MiB",'vInfo (Imported)'!$1:$5000,M2924,FALSE)</f>
        <v>0</v>
      </c>
    </row>
    <row r="2925" spans="1:22" ht="13" x14ac:dyDescent="0.3">
      <c r="A2925" s="46">
        <f>'vHosts (Imported)'!A2925</f>
        <v>0</v>
      </c>
      <c r="B2925" s="51">
        <f t="shared" si="138"/>
        <v>4968</v>
      </c>
      <c r="C2925" s="49">
        <f>HLOOKUP("# Cores",'vHosts (Imported)'!$1:$5000,M2925,FALSE)</f>
        <v>0</v>
      </c>
      <c r="D2925" s="52">
        <f>HLOOKUP("# Memory",'vHosts (Imported)'!$1:$5000,M2925,FALSE)</f>
        <v>0</v>
      </c>
      <c r="M2925" s="45">
        <f t="shared" si="137"/>
        <v>2925</v>
      </c>
      <c r="N2925" s="38">
        <f>HLOOKUP("Host",'vInfo (Imported)'!$1:$5000,M2925,FALSE)</f>
        <v>0</v>
      </c>
      <c r="R2925">
        <f>HLOOKUP("CPUs",'vInfo (Imported)'!$1:$5000,M2925,FALSE)</f>
        <v>0</v>
      </c>
      <c r="S2925">
        <f>HLOOKUP("Memory",'vInfo (Imported)'!$1:$5000,M2925,FALSE)</f>
        <v>0</v>
      </c>
      <c r="T2925">
        <f>HLOOKUP("Provisioned MiB",'vInfo (Imported)'!$1:$5000,M2925,FALSE)</f>
        <v>0</v>
      </c>
      <c r="U2925">
        <f t="shared" si="136"/>
        <v>0</v>
      </c>
      <c r="V2925">
        <f>HLOOKUP("In Use MiB",'vInfo (Imported)'!$1:$5000,M2925,FALSE)</f>
        <v>0</v>
      </c>
    </row>
    <row r="2926" spans="1:22" ht="13" x14ac:dyDescent="0.3">
      <c r="A2926" s="46">
        <f>'vHosts (Imported)'!A2926</f>
        <v>0</v>
      </c>
      <c r="B2926" s="51">
        <f t="shared" si="138"/>
        <v>4968</v>
      </c>
      <c r="C2926" s="49">
        <f>HLOOKUP("# Cores",'vHosts (Imported)'!$1:$5000,M2926,FALSE)</f>
        <v>0</v>
      </c>
      <c r="D2926" s="52">
        <f>HLOOKUP("# Memory",'vHosts (Imported)'!$1:$5000,M2926,FALSE)</f>
        <v>0</v>
      </c>
      <c r="M2926" s="45">
        <f t="shared" si="137"/>
        <v>2926</v>
      </c>
      <c r="N2926" s="38">
        <f>HLOOKUP("Host",'vInfo (Imported)'!$1:$5000,M2926,FALSE)</f>
        <v>0</v>
      </c>
      <c r="R2926">
        <f>HLOOKUP("CPUs",'vInfo (Imported)'!$1:$5000,M2926,FALSE)</f>
        <v>0</v>
      </c>
      <c r="S2926">
        <f>HLOOKUP("Memory",'vInfo (Imported)'!$1:$5000,M2926,FALSE)</f>
        <v>0</v>
      </c>
      <c r="T2926">
        <f>HLOOKUP("Provisioned MiB",'vInfo (Imported)'!$1:$5000,M2926,FALSE)</f>
        <v>0</v>
      </c>
      <c r="U2926">
        <f t="shared" si="136"/>
        <v>0</v>
      </c>
      <c r="V2926">
        <f>HLOOKUP("In Use MiB",'vInfo (Imported)'!$1:$5000,M2926,FALSE)</f>
        <v>0</v>
      </c>
    </row>
    <row r="2927" spans="1:22" ht="13" x14ac:dyDescent="0.3">
      <c r="A2927" s="46">
        <f>'vHosts (Imported)'!A2927</f>
        <v>0</v>
      </c>
      <c r="B2927" s="51">
        <f t="shared" si="138"/>
        <v>4968</v>
      </c>
      <c r="C2927" s="49">
        <f>HLOOKUP("# Cores",'vHosts (Imported)'!$1:$5000,M2927,FALSE)</f>
        <v>0</v>
      </c>
      <c r="D2927" s="52">
        <f>HLOOKUP("# Memory",'vHosts (Imported)'!$1:$5000,M2927,FALSE)</f>
        <v>0</v>
      </c>
      <c r="M2927" s="45">
        <f t="shared" si="137"/>
        <v>2927</v>
      </c>
      <c r="N2927" s="38">
        <f>HLOOKUP("Host",'vInfo (Imported)'!$1:$5000,M2927,FALSE)</f>
        <v>0</v>
      </c>
      <c r="R2927">
        <f>HLOOKUP("CPUs",'vInfo (Imported)'!$1:$5000,M2927,FALSE)</f>
        <v>0</v>
      </c>
      <c r="S2927">
        <f>HLOOKUP("Memory",'vInfo (Imported)'!$1:$5000,M2927,FALSE)</f>
        <v>0</v>
      </c>
      <c r="T2927">
        <f>HLOOKUP("Provisioned MiB",'vInfo (Imported)'!$1:$5000,M2927,FALSE)</f>
        <v>0</v>
      </c>
      <c r="U2927">
        <f t="shared" si="136"/>
        <v>0</v>
      </c>
      <c r="V2927">
        <f>HLOOKUP("In Use MiB",'vInfo (Imported)'!$1:$5000,M2927,FALSE)</f>
        <v>0</v>
      </c>
    </row>
    <row r="2928" spans="1:22" ht="13" x14ac:dyDescent="0.3">
      <c r="A2928" s="46">
        <f>'vHosts (Imported)'!A2928</f>
        <v>0</v>
      </c>
      <c r="B2928" s="51">
        <f t="shared" si="138"/>
        <v>4968</v>
      </c>
      <c r="C2928" s="49">
        <f>HLOOKUP("# Cores",'vHosts (Imported)'!$1:$5000,M2928,FALSE)</f>
        <v>0</v>
      </c>
      <c r="D2928" s="52">
        <f>HLOOKUP("# Memory",'vHosts (Imported)'!$1:$5000,M2928,FALSE)</f>
        <v>0</v>
      </c>
      <c r="M2928" s="45">
        <f t="shared" si="137"/>
        <v>2928</v>
      </c>
      <c r="N2928" s="38">
        <f>HLOOKUP("Host",'vInfo (Imported)'!$1:$5000,M2928,FALSE)</f>
        <v>0</v>
      </c>
      <c r="R2928">
        <f>HLOOKUP("CPUs",'vInfo (Imported)'!$1:$5000,M2928,FALSE)</f>
        <v>0</v>
      </c>
      <c r="S2928">
        <f>HLOOKUP("Memory",'vInfo (Imported)'!$1:$5000,M2928,FALSE)</f>
        <v>0</v>
      </c>
      <c r="T2928">
        <f>HLOOKUP("Provisioned MiB",'vInfo (Imported)'!$1:$5000,M2928,FALSE)</f>
        <v>0</v>
      </c>
      <c r="U2928">
        <f t="shared" si="136"/>
        <v>0</v>
      </c>
      <c r="V2928">
        <f>HLOOKUP("In Use MiB",'vInfo (Imported)'!$1:$5000,M2928,FALSE)</f>
        <v>0</v>
      </c>
    </row>
    <row r="2929" spans="1:22" ht="13" x14ac:dyDescent="0.3">
      <c r="A2929" s="46">
        <f>'vHosts (Imported)'!A2929</f>
        <v>0</v>
      </c>
      <c r="B2929" s="51">
        <f t="shared" si="138"/>
        <v>4968</v>
      </c>
      <c r="C2929" s="49">
        <f>HLOOKUP("# Cores",'vHosts (Imported)'!$1:$5000,M2929,FALSE)</f>
        <v>0</v>
      </c>
      <c r="D2929" s="52">
        <f>HLOOKUP("# Memory",'vHosts (Imported)'!$1:$5000,M2929,FALSE)</f>
        <v>0</v>
      </c>
      <c r="M2929" s="45">
        <f t="shared" si="137"/>
        <v>2929</v>
      </c>
      <c r="N2929" s="38">
        <f>HLOOKUP("Host",'vInfo (Imported)'!$1:$5000,M2929,FALSE)</f>
        <v>0</v>
      </c>
      <c r="R2929">
        <f>HLOOKUP("CPUs",'vInfo (Imported)'!$1:$5000,M2929,FALSE)</f>
        <v>0</v>
      </c>
      <c r="S2929">
        <f>HLOOKUP("Memory",'vInfo (Imported)'!$1:$5000,M2929,FALSE)</f>
        <v>0</v>
      </c>
      <c r="T2929">
        <f>HLOOKUP("Provisioned MiB",'vInfo (Imported)'!$1:$5000,M2929,FALSE)</f>
        <v>0</v>
      </c>
      <c r="U2929">
        <f t="shared" si="136"/>
        <v>0</v>
      </c>
      <c r="V2929">
        <f>HLOOKUP("In Use MiB",'vInfo (Imported)'!$1:$5000,M2929,FALSE)</f>
        <v>0</v>
      </c>
    </row>
    <row r="2930" spans="1:22" ht="13" x14ac:dyDescent="0.3">
      <c r="A2930" s="46">
        <f>'vHosts (Imported)'!A2930</f>
        <v>0</v>
      </c>
      <c r="B2930" s="51">
        <f t="shared" si="138"/>
        <v>4968</v>
      </c>
      <c r="C2930" s="49">
        <f>HLOOKUP("# Cores",'vHosts (Imported)'!$1:$5000,M2930,FALSE)</f>
        <v>0</v>
      </c>
      <c r="D2930" s="52">
        <f>HLOOKUP("# Memory",'vHosts (Imported)'!$1:$5000,M2930,FALSE)</f>
        <v>0</v>
      </c>
      <c r="M2930" s="45">
        <f t="shared" si="137"/>
        <v>2930</v>
      </c>
      <c r="N2930" s="38">
        <f>HLOOKUP("Host",'vInfo (Imported)'!$1:$5000,M2930,FALSE)</f>
        <v>0</v>
      </c>
      <c r="R2930">
        <f>HLOOKUP("CPUs",'vInfo (Imported)'!$1:$5000,M2930,FALSE)</f>
        <v>0</v>
      </c>
      <c r="S2930">
        <f>HLOOKUP("Memory",'vInfo (Imported)'!$1:$5000,M2930,FALSE)</f>
        <v>0</v>
      </c>
      <c r="T2930">
        <f>HLOOKUP("Provisioned MiB",'vInfo (Imported)'!$1:$5000,M2930,FALSE)</f>
        <v>0</v>
      </c>
      <c r="U2930">
        <f t="shared" si="136"/>
        <v>0</v>
      </c>
      <c r="V2930">
        <f>HLOOKUP("In Use MiB",'vInfo (Imported)'!$1:$5000,M2930,FALSE)</f>
        <v>0</v>
      </c>
    </row>
    <row r="2931" spans="1:22" ht="13" x14ac:dyDescent="0.3">
      <c r="A2931" s="46">
        <f>'vHosts (Imported)'!A2931</f>
        <v>0</v>
      </c>
      <c r="B2931" s="51">
        <f t="shared" si="138"/>
        <v>4968</v>
      </c>
      <c r="C2931" s="49">
        <f>HLOOKUP("# Cores",'vHosts (Imported)'!$1:$5000,M2931,FALSE)</f>
        <v>0</v>
      </c>
      <c r="D2931" s="52">
        <f>HLOOKUP("# Memory",'vHosts (Imported)'!$1:$5000,M2931,FALSE)</f>
        <v>0</v>
      </c>
      <c r="M2931" s="45">
        <f t="shared" si="137"/>
        <v>2931</v>
      </c>
      <c r="N2931" s="38">
        <f>HLOOKUP("Host",'vInfo (Imported)'!$1:$5000,M2931,FALSE)</f>
        <v>0</v>
      </c>
      <c r="R2931">
        <f>HLOOKUP("CPUs",'vInfo (Imported)'!$1:$5000,M2931,FALSE)</f>
        <v>0</v>
      </c>
      <c r="S2931">
        <f>HLOOKUP("Memory",'vInfo (Imported)'!$1:$5000,M2931,FALSE)</f>
        <v>0</v>
      </c>
      <c r="T2931">
        <f>HLOOKUP("Provisioned MiB",'vInfo (Imported)'!$1:$5000,M2931,FALSE)</f>
        <v>0</v>
      </c>
      <c r="U2931">
        <f t="shared" si="136"/>
        <v>0</v>
      </c>
      <c r="V2931">
        <f>HLOOKUP("In Use MiB",'vInfo (Imported)'!$1:$5000,M2931,FALSE)</f>
        <v>0</v>
      </c>
    </row>
    <row r="2932" spans="1:22" ht="13" x14ac:dyDescent="0.3">
      <c r="A2932" s="46">
        <f>'vHosts (Imported)'!A2932</f>
        <v>0</v>
      </c>
      <c r="B2932" s="51">
        <f t="shared" si="138"/>
        <v>4968</v>
      </c>
      <c r="C2932" s="49">
        <f>HLOOKUP("# Cores",'vHosts (Imported)'!$1:$5000,M2932,FALSE)</f>
        <v>0</v>
      </c>
      <c r="D2932" s="52">
        <f>HLOOKUP("# Memory",'vHosts (Imported)'!$1:$5000,M2932,FALSE)</f>
        <v>0</v>
      </c>
      <c r="M2932" s="45">
        <f t="shared" si="137"/>
        <v>2932</v>
      </c>
      <c r="N2932" s="38">
        <f>HLOOKUP("Host",'vInfo (Imported)'!$1:$5000,M2932,FALSE)</f>
        <v>0</v>
      </c>
      <c r="R2932">
        <f>HLOOKUP("CPUs",'vInfo (Imported)'!$1:$5000,M2932,FALSE)</f>
        <v>0</v>
      </c>
      <c r="S2932">
        <f>HLOOKUP("Memory",'vInfo (Imported)'!$1:$5000,M2932,FALSE)</f>
        <v>0</v>
      </c>
      <c r="T2932">
        <f>HLOOKUP("Provisioned MiB",'vInfo (Imported)'!$1:$5000,M2932,FALSE)</f>
        <v>0</v>
      </c>
      <c r="U2932">
        <f t="shared" si="136"/>
        <v>0</v>
      </c>
      <c r="V2932">
        <f>HLOOKUP("In Use MiB",'vInfo (Imported)'!$1:$5000,M2932,FALSE)</f>
        <v>0</v>
      </c>
    </row>
    <row r="2933" spans="1:22" ht="13" x14ac:dyDescent="0.3">
      <c r="A2933" s="46">
        <f>'vHosts (Imported)'!A2933</f>
        <v>0</v>
      </c>
      <c r="B2933" s="51">
        <f t="shared" si="138"/>
        <v>4968</v>
      </c>
      <c r="C2933" s="49">
        <f>HLOOKUP("# Cores",'vHosts (Imported)'!$1:$5000,M2933,FALSE)</f>
        <v>0</v>
      </c>
      <c r="D2933" s="52">
        <f>HLOOKUP("# Memory",'vHosts (Imported)'!$1:$5000,M2933,FALSE)</f>
        <v>0</v>
      </c>
      <c r="M2933" s="45">
        <f t="shared" si="137"/>
        <v>2933</v>
      </c>
      <c r="N2933" s="38">
        <f>HLOOKUP("Host",'vInfo (Imported)'!$1:$5000,M2933,FALSE)</f>
        <v>0</v>
      </c>
      <c r="R2933">
        <f>HLOOKUP("CPUs",'vInfo (Imported)'!$1:$5000,M2933,FALSE)</f>
        <v>0</v>
      </c>
      <c r="S2933">
        <f>HLOOKUP("Memory",'vInfo (Imported)'!$1:$5000,M2933,FALSE)</f>
        <v>0</v>
      </c>
      <c r="T2933">
        <f>HLOOKUP("Provisioned MiB",'vInfo (Imported)'!$1:$5000,M2933,FALSE)</f>
        <v>0</v>
      </c>
      <c r="U2933">
        <f t="shared" si="136"/>
        <v>0</v>
      </c>
      <c r="V2933">
        <f>HLOOKUP("In Use MiB",'vInfo (Imported)'!$1:$5000,M2933,FALSE)</f>
        <v>0</v>
      </c>
    </row>
    <row r="2934" spans="1:22" ht="13" x14ac:dyDescent="0.3">
      <c r="A2934" s="46">
        <f>'vHosts (Imported)'!A2934</f>
        <v>0</v>
      </c>
      <c r="B2934" s="51">
        <f t="shared" si="138"/>
        <v>4968</v>
      </c>
      <c r="C2934" s="49">
        <f>HLOOKUP("# Cores",'vHosts (Imported)'!$1:$5000,M2934,FALSE)</f>
        <v>0</v>
      </c>
      <c r="D2934" s="52">
        <f>HLOOKUP("# Memory",'vHosts (Imported)'!$1:$5000,M2934,FALSE)</f>
        <v>0</v>
      </c>
      <c r="M2934" s="45">
        <f t="shared" si="137"/>
        <v>2934</v>
      </c>
      <c r="N2934" s="38">
        <f>HLOOKUP("Host",'vInfo (Imported)'!$1:$5000,M2934,FALSE)</f>
        <v>0</v>
      </c>
      <c r="R2934">
        <f>HLOOKUP("CPUs",'vInfo (Imported)'!$1:$5000,M2934,FALSE)</f>
        <v>0</v>
      </c>
      <c r="S2934">
        <f>HLOOKUP("Memory",'vInfo (Imported)'!$1:$5000,M2934,FALSE)</f>
        <v>0</v>
      </c>
      <c r="T2934">
        <f>HLOOKUP("Provisioned MiB",'vInfo (Imported)'!$1:$5000,M2934,FALSE)</f>
        <v>0</v>
      </c>
      <c r="U2934">
        <f t="shared" si="136"/>
        <v>0</v>
      </c>
      <c r="V2934">
        <f>HLOOKUP("In Use MiB",'vInfo (Imported)'!$1:$5000,M2934,FALSE)</f>
        <v>0</v>
      </c>
    </row>
    <row r="2935" spans="1:22" ht="13" x14ac:dyDescent="0.3">
      <c r="A2935" s="46">
        <f>'vHosts (Imported)'!A2935</f>
        <v>0</v>
      </c>
      <c r="B2935" s="51">
        <f t="shared" si="138"/>
        <v>4968</v>
      </c>
      <c r="C2935" s="49">
        <f>HLOOKUP("# Cores",'vHosts (Imported)'!$1:$5000,M2935,FALSE)</f>
        <v>0</v>
      </c>
      <c r="D2935" s="52">
        <f>HLOOKUP("# Memory",'vHosts (Imported)'!$1:$5000,M2935,FALSE)</f>
        <v>0</v>
      </c>
      <c r="M2935" s="45">
        <f t="shared" si="137"/>
        <v>2935</v>
      </c>
      <c r="N2935" s="38">
        <f>HLOOKUP("Host",'vInfo (Imported)'!$1:$5000,M2935,FALSE)</f>
        <v>0</v>
      </c>
      <c r="R2935">
        <f>HLOOKUP("CPUs",'vInfo (Imported)'!$1:$5000,M2935,FALSE)</f>
        <v>0</v>
      </c>
      <c r="S2935">
        <f>HLOOKUP("Memory",'vInfo (Imported)'!$1:$5000,M2935,FALSE)</f>
        <v>0</v>
      </c>
      <c r="T2935">
        <f>HLOOKUP("Provisioned MiB",'vInfo (Imported)'!$1:$5000,M2935,FALSE)</f>
        <v>0</v>
      </c>
      <c r="U2935">
        <f t="shared" si="136"/>
        <v>0</v>
      </c>
      <c r="V2935">
        <f>HLOOKUP("In Use MiB",'vInfo (Imported)'!$1:$5000,M2935,FALSE)</f>
        <v>0</v>
      </c>
    </row>
    <row r="2936" spans="1:22" ht="13" x14ac:dyDescent="0.3">
      <c r="A2936" s="46">
        <f>'vHosts (Imported)'!A2936</f>
        <v>0</v>
      </c>
      <c r="B2936" s="51">
        <f t="shared" si="138"/>
        <v>4968</v>
      </c>
      <c r="C2936" s="49">
        <f>HLOOKUP("# Cores",'vHosts (Imported)'!$1:$5000,M2936,FALSE)</f>
        <v>0</v>
      </c>
      <c r="D2936" s="52">
        <f>HLOOKUP("# Memory",'vHosts (Imported)'!$1:$5000,M2936,FALSE)</f>
        <v>0</v>
      </c>
      <c r="M2936" s="45">
        <f t="shared" si="137"/>
        <v>2936</v>
      </c>
      <c r="N2936" s="38">
        <f>HLOOKUP("Host",'vInfo (Imported)'!$1:$5000,M2936,FALSE)</f>
        <v>0</v>
      </c>
      <c r="R2936">
        <f>HLOOKUP("CPUs",'vInfo (Imported)'!$1:$5000,M2936,FALSE)</f>
        <v>0</v>
      </c>
      <c r="S2936">
        <f>HLOOKUP("Memory",'vInfo (Imported)'!$1:$5000,M2936,FALSE)</f>
        <v>0</v>
      </c>
      <c r="T2936">
        <f>HLOOKUP("Provisioned MiB",'vInfo (Imported)'!$1:$5000,M2936,FALSE)</f>
        <v>0</v>
      </c>
      <c r="U2936">
        <f t="shared" si="136"/>
        <v>0</v>
      </c>
      <c r="V2936">
        <f>HLOOKUP("In Use MiB",'vInfo (Imported)'!$1:$5000,M2936,FALSE)</f>
        <v>0</v>
      </c>
    </row>
    <row r="2937" spans="1:22" ht="13" x14ac:dyDescent="0.3">
      <c r="A2937" s="46">
        <f>'vHosts (Imported)'!A2937</f>
        <v>0</v>
      </c>
      <c r="B2937" s="51">
        <f t="shared" si="138"/>
        <v>4968</v>
      </c>
      <c r="C2937" s="49">
        <f>HLOOKUP("# Cores",'vHosts (Imported)'!$1:$5000,M2937,FALSE)</f>
        <v>0</v>
      </c>
      <c r="D2937" s="52">
        <f>HLOOKUP("# Memory",'vHosts (Imported)'!$1:$5000,M2937,FALSE)</f>
        <v>0</v>
      </c>
      <c r="M2937" s="45">
        <f t="shared" si="137"/>
        <v>2937</v>
      </c>
      <c r="N2937" s="38">
        <f>HLOOKUP("Host",'vInfo (Imported)'!$1:$5000,M2937,FALSE)</f>
        <v>0</v>
      </c>
      <c r="R2937">
        <f>HLOOKUP("CPUs",'vInfo (Imported)'!$1:$5000,M2937,FALSE)</f>
        <v>0</v>
      </c>
      <c r="S2937">
        <f>HLOOKUP("Memory",'vInfo (Imported)'!$1:$5000,M2937,FALSE)</f>
        <v>0</v>
      </c>
      <c r="T2937">
        <f>HLOOKUP("Provisioned MiB",'vInfo (Imported)'!$1:$5000,M2937,FALSE)</f>
        <v>0</v>
      </c>
      <c r="U2937">
        <f t="shared" si="136"/>
        <v>0</v>
      </c>
      <c r="V2937">
        <f>HLOOKUP("In Use MiB",'vInfo (Imported)'!$1:$5000,M2937,FALSE)</f>
        <v>0</v>
      </c>
    </row>
    <row r="2938" spans="1:22" ht="13" x14ac:dyDescent="0.3">
      <c r="A2938" s="46">
        <f>'vHosts (Imported)'!A2938</f>
        <v>0</v>
      </c>
      <c r="B2938" s="51">
        <f t="shared" si="138"/>
        <v>4968</v>
      </c>
      <c r="C2938" s="49">
        <f>HLOOKUP("# Cores",'vHosts (Imported)'!$1:$5000,M2938,FALSE)</f>
        <v>0</v>
      </c>
      <c r="D2938" s="52">
        <f>HLOOKUP("# Memory",'vHosts (Imported)'!$1:$5000,M2938,FALSE)</f>
        <v>0</v>
      </c>
      <c r="M2938" s="45">
        <f t="shared" si="137"/>
        <v>2938</v>
      </c>
      <c r="N2938" s="38">
        <f>HLOOKUP("Host",'vInfo (Imported)'!$1:$5000,M2938,FALSE)</f>
        <v>0</v>
      </c>
      <c r="R2938">
        <f>HLOOKUP("CPUs",'vInfo (Imported)'!$1:$5000,M2938,FALSE)</f>
        <v>0</v>
      </c>
      <c r="S2938">
        <f>HLOOKUP("Memory",'vInfo (Imported)'!$1:$5000,M2938,FALSE)</f>
        <v>0</v>
      </c>
      <c r="T2938">
        <f>HLOOKUP("Provisioned MiB",'vInfo (Imported)'!$1:$5000,M2938,FALSE)</f>
        <v>0</v>
      </c>
      <c r="U2938">
        <f t="shared" si="136"/>
        <v>0</v>
      </c>
      <c r="V2938">
        <f>HLOOKUP("In Use MiB",'vInfo (Imported)'!$1:$5000,M2938,FALSE)</f>
        <v>0</v>
      </c>
    </row>
    <row r="2939" spans="1:22" ht="13" x14ac:dyDescent="0.3">
      <c r="A2939" s="46">
        <f>'vHosts (Imported)'!A2939</f>
        <v>0</v>
      </c>
      <c r="B2939" s="51">
        <f t="shared" si="138"/>
        <v>4968</v>
      </c>
      <c r="C2939" s="49">
        <f>HLOOKUP("# Cores",'vHosts (Imported)'!$1:$5000,M2939,FALSE)</f>
        <v>0</v>
      </c>
      <c r="D2939" s="52">
        <f>HLOOKUP("# Memory",'vHosts (Imported)'!$1:$5000,M2939,FALSE)</f>
        <v>0</v>
      </c>
      <c r="M2939" s="45">
        <f t="shared" si="137"/>
        <v>2939</v>
      </c>
      <c r="N2939" s="38">
        <f>HLOOKUP("Host",'vInfo (Imported)'!$1:$5000,M2939,FALSE)</f>
        <v>0</v>
      </c>
      <c r="R2939">
        <f>HLOOKUP("CPUs",'vInfo (Imported)'!$1:$5000,M2939,FALSE)</f>
        <v>0</v>
      </c>
      <c r="S2939">
        <f>HLOOKUP("Memory",'vInfo (Imported)'!$1:$5000,M2939,FALSE)</f>
        <v>0</v>
      </c>
      <c r="T2939">
        <f>HLOOKUP("Provisioned MiB",'vInfo (Imported)'!$1:$5000,M2939,FALSE)</f>
        <v>0</v>
      </c>
      <c r="U2939">
        <f t="shared" si="136"/>
        <v>0</v>
      </c>
      <c r="V2939">
        <f>HLOOKUP("In Use MiB",'vInfo (Imported)'!$1:$5000,M2939,FALSE)</f>
        <v>0</v>
      </c>
    </row>
    <row r="2940" spans="1:22" ht="13" x14ac:dyDescent="0.3">
      <c r="A2940" s="46">
        <f>'vHosts (Imported)'!A2940</f>
        <v>0</v>
      </c>
      <c r="B2940" s="51">
        <f t="shared" si="138"/>
        <v>4968</v>
      </c>
      <c r="C2940" s="49">
        <f>HLOOKUP("# Cores",'vHosts (Imported)'!$1:$5000,M2940,FALSE)</f>
        <v>0</v>
      </c>
      <c r="D2940" s="52">
        <f>HLOOKUP("# Memory",'vHosts (Imported)'!$1:$5000,M2940,FALSE)</f>
        <v>0</v>
      </c>
      <c r="M2940" s="45">
        <f t="shared" si="137"/>
        <v>2940</v>
      </c>
      <c r="N2940" s="38">
        <f>HLOOKUP("Host",'vInfo (Imported)'!$1:$5000,M2940,FALSE)</f>
        <v>0</v>
      </c>
      <c r="R2940">
        <f>HLOOKUP("CPUs",'vInfo (Imported)'!$1:$5000,M2940,FALSE)</f>
        <v>0</v>
      </c>
      <c r="S2940">
        <f>HLOOKUP("Memory",'vInfo (Imported)'!$1:$5000,M2940,FALSE)</f>
        <v>0</v>
      </c>
      <c r="T2940">
        <f>HLOOKUP("Provisioned MiB",'vInfo (Imported)'!$1:$5000,M2940,FALSE)</f>
        <v>0</v>
      </c>
      <c r="U2940">
        <f t="shared" si="136"/>
        <v>0</v>
      </c>
      <c r="V2940">
        <f>HLOOKUP("In Use MiB",'vInfo (Imported)'!$1:$5000,M2940,FALSE)</f>
        <v>0</v>
      </c>
    </row>
    <row r="2941" spans="1:22" ht="13" x14ac:dyDescent="0.3">
      <c r="A2941" s="46">
        <f>'vHosts (Imported)'!A2941</f>
        <v>0</v>
      </c>
      <c r="B2941" s="51">
        <f t="shared" si="138"/>
        <v>4968</v>
      </c>
      <c r="C2941" s="49">
        <f>HLOOKUP("# Cores",'vHosts (Imported)'!$1:$5000,M2941,FALSE)</f>
        <v>0</v>
      </c>
      <c r="D2941" s="52">
        <f>HLOOKUP("# Memory",'vHosts (Imported)'!$1:$5000,M2941,FALSE)</f>
        <v>0</v>
      </c>
      <c r="M2941" s="45">
        <f t="shared" si="137"/>
        <v>2941</v>
      </c>
      <c r="N2941" s="38">
        <f>HLOOKUP("Host",'vInfo (Imported)'!$1:$5000,M2941,FALSE)</f>
        <v>0</v>
      </c>
      <c r="R2941">
        <f>HLOOKUP("CPUs",'vInfo (Imported)'!$1:$5000,M2941,FALSE)</f>
        <v>0</v>
      </c>
      <c r="S2941">
        <f>HLOOKUP("Memory",'vInfo (Imported)'!$1:$5000,M2941,FALSE)</f>
        <v>0</v>
      </c>
      <c r="T2941">
        <f>HLOOKUP("Provisioned MiB",'vInfo (Imported)'!$1:$5000,M2941,FALSE)</f>
        <v>0</v>
      </c>
      <c r="U2941">
        <f t="shared" si="136"/>
        <v>0</v>
      </c>
      <c r="V2941">
        <f>HLOOKUP("In Use MiB",'vInfo (Imported)'!$1:$5000,M2941,FALSE)</f>
        <v>0</v>
      </c>
    </row>
    <row r="2942" spans="1:22" ht="13" x14ac:dyDescent="0.3">
      <c r="A2942" s="46">
        <f>'vHosts (Imported)'!A2942</f>
        <v>0</v>
      </c>
      <c r="B2942" s="51">
        <f t="shared" si="138"/>
        <v>4968</v>
      </c>
      <c r="C2942" s="49">
        <f>HLOOKUP("# Cores",'vHosts (Imported)'!$1:$5000,M2942,FALSE)</f>
        <v>0</v>
      </c>
      <c r="D2942" s="52">
        <f>HLOOKUP("# Memory",'vHosts (Imported)'!$1:$5000,M2942,FALSE)</f>
        <v>0</v>
      </c>
      <c r="M2942" s="45">
        <f t="shared" si="137"/>
        <v>2942</v>
      </c>
      <c r="N2942" s="38">
        <f>HLOOKUP("Host",'vInfo (Imported)'!$1:$5000,M2942,FALSE)</f>
        <v>0</v>
      </c>
      <c r="R2942">
        <f>HLOOKUP("CPUs",'vInfo (Imported)'!$1:$5000,M2942,FALSE)</f>
        <v>0</v>
      </c>
      <c r="S2942">
        <f>HLOOKUP("Memory",'vInfo (Imported)'!$1:$5000,M2942,FALSE)</f>
        <v>0</v>
      </c>
      <c r="T2942">
        <f>HLOOKUP("Provisioned MiB",'vInfo (Imported)'!$1:$5000,M2942,FALSE)</f>
        <v>0</v>
      </c>
      <c r="U2942">
        <f t="shared" si="136"/>
        <v>0</v>
      </c>
      <c r="V2942">
        <f>HLOOKUP("In Use MiB",'vInfo (Imported)'!$1:$5000,M2942,FALSE)</f>
        <v>0</v>
      </c>
    </row>
    <row r="2943" spans="1:22" ht="13" x14ac:dyDescent="0.3">
      <c r="A2943" s="46">
        <f>'vHosts (Imported)'!A2943</f>
        <v>0</v>
      </c>
      <c r="B2943" s="51">
        <f t="shared" si="138"/>
        <v>4968</v>
      </c>
      <c r="C2943" s="49">
        <f>HLOOKUP("# Cores",'vHosts (Imported)'!$1:$5000,M2943,FALSE)</f>
        <v>0</v>
      </c>
      <c r="D2943" s="52">
        <f>HLOOKUP("# Memory",'vHosts (Imported)'!$1:$5000,M2943,FALSE)</f>
        <v>0</v>
      </c>
      <c r="M2943" s="45">
        <f t="shared" si="137"/>
        <v>2943</v>
      </c>
      <c r="N2943" s="38">
        <f>HLOOKUP("Host",'vInfo (Imported)'!$1:$5000,M2943,FALSE)</f>
        <v>0</v>
      </c>
      <c r="R2943">
        <f>HLOOKUP("CPUs",'vInfo (Imported)'!$1:$5000,M2943,FALSE)</f>
        <v>0</v>
      </c>
      <c r="S2943">
        <f>HLOOKUP("Memory",'vInfo (Imported)'!$1:$5000,M2943,FALSE)</f>
        <v>0</v>
      </c>
      <c r="T2943">
        <f>HLOOKUP("Provisioned MiB",'vInfo (Imported)'!$1:$5000,M2943,FALSE)</f>
        <v>0</v>
      </c>
      <c r="U2943">
        <f t="shared" si="136"/>
        <v>0</v>
      </c>
      <c r="V2943">
        <f>HLOOKUP("In Use MiB",'vInfo (Imported)'!$1:$5000,M2943,FALSE)</f>
        <v>0</v>
      </c>
    </row>
    <row r="2944" spans="1:22" ht="13" x14ac:dyDescent="0.3">
      <c r="A2944" s="46">
        <f>'vHosts (Imported)'!A2944</f>
        <v>0</v>
      </c>
      <c r="B2944" s="51">
        <f t="shared" si="138"/>
        <v>4968</v>
      </c>
      <c r="C2944" s="49">
        <f>HLOOKUP("# Cores",'vHosts (Imported)'!$1:$5000,M2944,FALSE)</f>
        <v>0</v>
      </c>
      <c r="D2944" s="52">
        <f>HLOOKUP("# Memory",'vHosts (Imported)'!$1:$5000,M2944,FALSE)</f>
        <v>0</v>
      </c>
      <c r="M2944" s="45">
        <f t="shared" si="137"/>
        <v>2944</v>
      </c>
      <c r="N2944" s="38">
        <f>HLOOKUP("Host",'vInfo (Imported)'!$1:$5000,M2944,FALSE)</f>
        <v>0</v>
      </c>
      <c r="R2944">
        <f>HLOOKUP("CPUs",'vInfo (Imported)'!$1:$5000,M2944,FALSE)</f>
        <v>0</v>
      </c>
      <c r="S2944">
        <f>HLOOKUP("Memory",'vInfo (Imported)'!$1:$5000,M2944,FALSE)</f>
        <v>0</v>
      </c>
      <c r="T2944">
        <f>HLOOKUP("Provisioned MiB",'vInfo (Imported)'!$1:$5000,M2944,FALSE)</f>
        <v>0</v>
      </c>
      <c r="U2944">
        <f t="shared" si="136"/>
        <v>0</v>
      </c>
      <c r="V2944">
        <f>HLOOKUP("In Use MiB",'vInfo (Imported)'!$1:$5000,M2944,FALSE)</f>
        <v>0</v>
      </c>
    </row>
    <row r="2945" spans="1:22" ht="13" x14ac:dyDescent="0.3">
      <c r="A2945" s="46">
        <f>'vHosts (Imported)'!A2945</f>
        <v>0</v>
      </c>
      <c r="B2945" s="51">
        <f t="shared" si="138"/>
        <v>4968</v>
      </c>
      <c r="C2945" s="49">
        <f>HLOOKUP("# Cores",'vHosts (Imported)'!$1:$5000,M2945,FALSE)</f>
        <v>0</v>
      </c>
      <c r="D2945" s="52">
        <f>HLOOKUP("# Memory",'vHosts (Imported)'!$1:$5000,M2945,FALSE)</f>
        <v>0</v>
      </c>
      <c r="M2945" s="45">
        <f t="shared" si="137"/>
        <v>2945</v>
      </c>
      <c r="N2945" s="38">
        <f>HLOOKUP("Host",'vInfo (Imported)'!$1:$5000,M2945,FALSE)</f>
        <v>0</v>
      </c>
      <c r="R2945">
        <f>HLOOKUP("CPUs",'vInfo (Imported)'!$1:$5000,M2945,FALSE)</f>
        <v>0</v>
      </c>
      <c r="S2945">
        <f>HLOOKUP("Memory",'vInfo (Imported)'!$1:$5000,M2945,FALSE)</f>
        <v>0</v>
      </c>
      <c r="T2945">
        <f>HLOOKUP("Provisioned MiB",'vInfo (Imported)'!$1:$5000,M2945,FALSE)</f>
        <v>0</v>
      </c>
      <c r="U2945">
        <f t="shared" si="136"/>
        <v>0</v>
      </c>
      <c r="V2945">
        <f>HLOOKUP("In Use MiB",'vInfo (Imported)'!$1:$5000,M2945,FALSE)</f>
        <v>0</v>
      </c>
    </row>
    <row r="2946" spans="1:22" ht="13" x14ac:dyDescent="0.3">
      <c r="A2946" s="46">
        <f>'vHosts (Imported)'!A2946</f>
        <v>0</v>
      </c>
      <c r="B2946" s="51">
        <f t="shared" si="138"/>
        <v>4968</v>
      </c>
      <c r="C2946" s="49">
        <f>HLOOKUP("# Cores",'vHosts (Imported)'!$1:$5000,M2946,FALSE)</f>
        <v>0</v>
      </c>
      <c r="D2946" s="52">
        <f>HLOOKUP("# Memory",'vHosts (Imported)'!$1:$5000,M2946,FALSE)</f>
        <v>0</v>
      </c>
      <c r="M2946" s="45">
        <f t="shared" si="137"/>
        <v>2946</v>
      </c>
      <c r="N2946" s="38">
        <f>HLOOKUP("Host",'vInfo (Imported)'!$1:$5000,M2946,FALSE)</f>
        <v>0</v>
      </c>
      <c r="R2946">
        <f>HLOOKUP("CPUs",'vInfo (Imported)'!$1:$5000,M2946,FALSE)</f>
        <v>0</v>
      </c>
      <c r="S2946">
        <f>HLOOKUP("Memory",'vInfo (Imported)'!$1:$5000,M2946,FALSE)</f>
        <v>0</v>
      </c>
      <c r="T2946">
        <f>HLOOKUP("Provisioned MiB",'vInfo (Imported)'!$1:$5000,M2946,FALSE)</f>
        <v>0</v>
      </c>
      <c r="U2946">
        <f t="shared" si="136"/>
        <v>0</v>
      </c>
      <c r="V2946">
        <f>HLOOKUP("In Use MiB",'vInfo (Imported)'!$1:$5000,M2946,FALSE)</f>
        <v>0</v>
      </c>
    </row>
    <row r="2947" spans="1:22" ht="13" x14ac:dyDescent="0.3">
      <c r="A2947" s="46">
        <f>'vHosts (Imported)'!A2947</f>
        <v>0</v>
      </c>
      <c r="B2947" s="51">
        <f t="shared" si="138"/>
        <v>4968</v>
      </c>
      <c r="C2947" s="49">
        <f>HLOOKUP("# Cores",'vHosts (Imported)'!$1:$5000,M2947,FALSE)</f>
        <v>0</v>
      </c>
      <c r="D2947" s="52">
        <f>HLOOKUP("# Memory",'vHosts (Imported)'!$1:$5000,M2947,FALSE)</f>
        <v>0</v>
      </c>
      <c r="M2947" s="45">
        <f t="shared" si="137"/>
        <v>2947</v>
      </c>
      <c r="N2947" s="38">
        <f>HLOOKUP("Host",'vInfo (Imported)'!$1:$5000,M2947,FALSE)</f>
        <v>0</v>
      </c>
      <c r="R2947">
        <f>HLOOKUP("CPUs",'vInfo (Imported)'!$1:$5000,M2947,FALSE)</f>
        <v>0</v>
      </c>
      <c r="S2947">
        <f>HLOOKUP("Memory",'vInfo (Imported)'!$1:$5000,M2947,FALSE)</f>
        <v>0</v>
      </c>
      <c r="T2947">
        <f>HLOOKUP("Provisioned MiB",'vInfo (Imported)'!$1:$5000,M2947,FALSE)</f>
        <v>0</v>
      </c>
      <c r="U2947">
        <f t="shared" ref="U2947:U3010" si="139">T2947-V2947</f>
        <v>0</v>
      </c>
      <c r="V2947">
        <f>HLOOKUP("In Use MiB",'vInfo (Imported)'!$1:$5000,M2947,FALSE)</f>
        <v>0</v>
      </c>
    </row>
    <row r="2948" spans="1:22" ht="13" x14ac:dyDescent="0.3">
      <c r="A2948" s="46">
        <f>'vHosts (Imported)'!A2948</f>
        <v>0</v>
      </c>
      <c r="B2948" s="51">
        <f t="shared" si="138"/>
        <v>4968</v>
      </c>
      <c r="C2948" s="49">
        <f>HLOOKUP("# Cores",'vHosts (Imported)'!$1:$5000,M2948,FALSE)</f>
        <v>0</v>
      </c>
      <c r="D2948" s="52">
        <f>HLOOKUP("# Memory",'vHosts (Imported)'!$1:$5000,M2948,FALSE)</f>
        <v>0</v>
      </c>
      <c r="M2948" s="45">
        <f t="shared" ref="M2948:M3011" si="140">M2947+1</f>
        <v>2948</v>
      </c>
      <c r="N2948" s="38">
        <f>HLOOKUP("Host",'vInfo (Imported)'!$1:$5000,M2948,FALSE)</f>
        <v>0</v>
      </c>
      <c r="R2948">
        <f>HLOOKUP("CPUs",'vInfo (Imported)'!$1:$5000,M2948,FALSE)</f>
        <v>0</v>
      </c>
      <c r="S2948">
        <f>HLOOKUP("Memory",'vInfo (Imported)'!$1:$5000,M2948,FALSE)</f>
        <v>0</v>
      </c>
      <c r="T2948">
        <f>HLOOKUP("Provisioned MiB",'vInfo (Imported)'!$1:$5000,M2948,FALSE)</f>
        <v>0</v>
      </c>
      <c r="U2948">
        <f t="shared" si="139"/>
        <v>0</v>
      </c>
      <c r="V2948">
        <f>HLOOKUP("In Use MiB",'vInfo (Imported)'!$1:$5000,M2948,FALSE)</f>
        <v>0</v>
      </c>
    </row>
    <row r="2949" spans="1:22" ht="13" x14ac:dyDescent="0.3">
      <c r="A2949" s="46">
        <f>'vHosts (Imported)'!A2949</f>
        <v>0</v>
      </c>
      <c r="B2949" s="51">
        <f t="shared" si="138"/>
        <v>4968</v>
      </c>
      <c r="C2949" s="49">
        <f>HLOOKUP("# Cores",'vHosts (Imported)'!$1:$5000,M2949,FALSE)</f>
        <v>0</v>
      </c>
      <c r="D2949" s="52">
        <f>HLOOKUP("# Memory",'vHosts (Imported)'!$1:$5000,M2949,FALSE)</f>
        <v>0</v>
      </c>
      <c r="M2949" s="45">
        <f t="shared" si="140"/>
        <v>2949</v>
      </c>
      <c r="N2949" s="38">
        <f>HLOOKUP("Host",'vInfo (Imported)'!$1:$5000,M2949,FALSE)</f>
        <v>0</v>
      </c>
      <c r="R2949">
        <f>HLOOKUP("CPUs",'vInfo (Imported)'!$1:$5000,M2949,FALSE)</f>
        <v>0</v>
      </c>
      <c r="S2949">
        <f>HLOOKUP("Memory",'vInfo (Imported)'!$1:$5000,M2949,FALSE)</f>
        <v>0</v>
      </c>
      <c r="T2949">
        <f>HLOOKUP("Provisioned MiB",'vInfo (Imported)'!$1:$5000,M2949,FALSE)</f>
        <v>0</v>
      </c>
      <c r="U2949">
        <f t="shared" si="139"/>
        <v>0</v>
      </c>
      <c r="V2949">
        <f>HLOOKUP("In Use MiB",'vInfo (Imported)'!$1:$5000,M2949,FALSE)</f>
        <v>0</v>
      </c>
    </row>
    <row r="2950" spans="1:22" ht="13" x14ac:dyDescent="0.3">
      <c r="A2950" s="46">
        <f>'vHosts (Imported)'!A2950</f>
        <v>0</v>
      </c>
      <c r="B2950" s="51">
        <f t="shared" si="138"/>
        <v>4968</v>
      </c>
      <c r="C2950" s="49">
        <f>HLOOKUP("# Cores",'vHosts (Imported)'!$1:$5000,M2950,FALSE)</f>
        <v>0</v>
      </c>
      <c r="D2950" s="52">
        <f>HLOOKUP("# Memory",'vHosts (Imported)'!$1:$5000,M2950,FALSE)</f>
        <v>0</v>
      </c>
      <c r="M2950" s="45">
        <f t="shared" si="140"/>
        <v>2950</v>
      </c>
      <c r="N2950" s="38">
        <f>HLOOKUP("Host",'vInfo (Imported)'!$1:$5000,M2950,FALSE)</f>
        <v>0</v>
      </c>
      <c r="R2950">
        <f>HLOOKUP("CPUs",'vInfo (Imported)'!$1:$5000,M2950,FALSE)</f>
        <v>0</v>
      </c>
      <c r="S2950">
        <f>HLOOKUP("Memory",'vInfo (Imported)'!$1:$5000,M2950,FALSE)</f>
        <v>0</v>
      </c>
      <c r="T2950">
        <f>HLOOKUP("Provisioned MiB",'vInfo (Imported)'!$1:$5000,M2950,FALSE)</f>
        <v>0</v>
      </c>
      <c r="U2950">
        <f t="shared" si="139"/>
        <v>0</v>
      </c>
      <c r="V2950">
        <f>HLOOKUP("In Use MiB",'vInfo (Imported)'!$1:$5000,M2950,FALSE)</f>
        <v>0</v>
      </c>
    </row>
    <row r="2951" spans="1:22" ht="13" x14ac:dyDescent="0.3">
      <c r="A2951" s="46">
        <f>'vHosts (Imported)'!A2951</f>
        <v>0</v>
      </c>
      <c r="B2951" s="51">
        <f t="shared" si="138"/>
        <v>4968</v>
      </c>
      <c r="C2951" s="49">
        <f>HLOOKUP("# Cores",'vHosts (Imported)'!$1:$5000,M2951,FALSE)</f>
        <v>0</v>
      </c>
      <c r="D2951" s="52">
        <f>HLOOKUP("# Memory",'vHosts (Imported)'!$1:$5000,M2951,FALSE)</f>
        <v>0</v>
      </c>
      <c r="M2951" s="45">
        <f t="shared" si="140"/>
        <v>2951</v>
      </c>
      <c r="N2951" s="38">
        <f>HLOOKUP("Host",'vInfo (Imported)'!$1:$5000,M2951,FALSE)</f>
        <v>0</v>
      </c>
      <c r="R2951">
        <f>HLOOKUP("CPUs",'vInfo (Imported)'!$1:$5000,M2951,FALSE)</f>
        <v>0</v>
      </c>
      <c r="S2951">
        <f>HLOOKUP("Memory",'vInfo (Imported)'!$1:$5000,M2951,FALSE)</f>
        <v>0</v>
      </c>
      <c r="T2951">
        <f>HLOOKUP("Provisioned MiB",'vInfo (Imported)'!$1:$5000,M2951,FALSE)</f>
        <v>0</v>
      </c>
      <c r="U2951">
        <f t="shared" si="139"/>
        <v>0</v>
      </c>
      <c r="V2951">
        <f>HLOOKUP("In Use MiB",'vInfo (Imported)'!$1:$5000,M2951,FALSE)</f>
        <v>0</v>
      </c>
    </row>
    <row r="2952" spans="1:22" ht="13" x14ac:dyDescent="0.3">
      <c r="A2952" s="46">
        <f>'vHosts (Imported)'!A2952</f>
        <v>0</v>
      </c>
      <c r="B2952" s="51">
        <f t="shared" si="138"/>
        <v>4968</v>
      </c>
      <c r="C2952" s="49">
        <f>HLOOKUP("# Cores",'vHosts (Imported)'!$1:$5000,M2952,FALSE)</f>
        <v>0</v>
      </c>
      <c r="D2952" s="52">
        <f>HLOOKUP("# Memory",'vHosts (Imported)'!$1:$5000,M2952,FALSE)</f>
        <v>0</v>
      </c>
      <c r="M2952" s="45">
        <f t="shared" si="140"/>
        <v>2952</v>
      </c>
      <c r="N2952" s="38">
        <f>HLOOKUP("Host",'vInfo (Imported)'!$1:$5000,M2952,FALSE)</f>
        <v>0</v>
      </c>
      <c r="R2952">
        <f>HLOOKUP("CPUs",'vInfo (Imported)'!$1:$5000,M2952,FALSE)</f>
        <v>0</v>
      </c>
      <c r="S2952">
        <f>HLOOKUP("Memory",'vInfo (Imported)'!$1:$5000,M2952,FALSE)</f>
        <v>0</v>
      </c>
      <c r="T2952">
        <f>HLOOKUP("Provisioned MiB",'vInfo (Imported)'!$1:$5000,M2952,FALSE)</f>
        <v>0</v>
      </c>
      <c r="U2952">
        <f t="shared" si="139"/>
        <v>0</v>
      </c>
      <c r="V2952">
        <f>HLOOKUP("In Use MiB",'vInfo (Imported)'!$1:$5000,M2952,FALSE)</f>
        <v>0</v>
      </c>
    </row>
    <row r="2953" spans="1:22" ht="13" x14ac:dyDescent="0.3">
      <c r="A2953" s="46">
        <f>'vHosts (Imported)'!A2953</f>
        <v>0</v>
      </c>
      <c r="B2953" s="51">
        <f t="shared" si="138"/>
        <v>4968</v>
      </c>
      <c r="C2953" s="49">
        <f>HLOOKUP("# Cores",'vHosts (Imported)'!$1:$5000,M2953,FALSE)</f>
        <v>0</v>
      </c>
      <c r="D2953" s="52">
        <f>HLOOKUP("# Memory",'vHosts (Imported)'!$1:$5000,M2953,FALSE)</f>
        <v>0</v>
      </c>
      <c r="M2953" s="45">
        <f t="shared" si="140"/>
        <v>2953</v>
      </c>
      <c r="N2953" s="38">
        <f>HLOOKUP("Host",'vInfo (Imported)'!$1:$5000,M2953,FALSE)</f>
        <v>0</v>
      </c>
      <c r="R2953">
        <f>HLOOKUP("CPUs",'vInfo (Imported)'!$1:$5000,M2953,FALSE)</f>
        <v>0</v>
      </c>
      <c r="S2953">
        <f>HLOOKUP("Memory",'vInfo (Imported)'!$1:$5000,M2953,FALSE)</f>
        <v>0</v>
      </c>
      <c r="T2953">
        <f>HLOOKUP("Provisioned MiB",'vInfo (Imported)'!$1:$5000,M2953,FALSE)</f>
        <v>0</v>
      </c>
      <c r="U2953">
        <f t="shared" si="139"/>
        <v>0</v>
      </c>
      <c r="V2953">
        <f>HLOOKUP("In Use MiB",'vInfo (Imported)'!$1:$5000,M2953,FALSE)</f>
        <v>0</v>
      </c>
    </row>
    <row r="2954" spans="1:22" ht="13" x14ac:dyDescent="0.3">
      <c r="A2954" s="46">
        <f>'vHosts (Imported)'!A2954</f>
        <v>0</v>
      </c>
      <c r="B2954" s="51">
        <f t="shared" si="138"/>
        <v>4968</v>
      </c>
      <c r="C2954" s="49">
        <f>HLOOKUP("# Cores",'vHosts (Imported)'!$1:$5000,M2954,FALSE)</f>
        <v>0</v>
      </c>
      <c r="D2954" s="52">
        <f>HLOOKUP("# Memory",'vHosts (Imported)'!$1:$5000,M2954,FALSE)</f>
        <v>0</v>
      </c>
      <c r="M2954" s="45">
        <f t="shared" si="140"/>
        <v>2954</v>
      </c>
      <c r="N2954" s="38">
        <f>HLOOKUP("Host",'vInfo (Imported)'!$1:$5000,M2954,FALSE)</f>
        <v>0</v>
      </c>
      <c r="R2954">
        <f>HLOOKUP("CPUs",'vInfo (Imported)'!$1:$5000,M2954,FALSE)</f>
        <v>0</v>
      </c>
      <c r="S2954">
        <f>HLOOKUP("Memory",'vInfo (Imported)'!$1:$5000,M2954,FALSE)</f>
        <v>0</v>
      </c>
      <c r="T2954">
        <f>HLOOKUP("Provisioned MiB",'vInfo (Imported)'!$1:$5000,M2954,FALSE)</f>
        <v>0</v>
      </c>
      <c r="U2954">
        <f t="shared" si="139"/>
        <v>0</v>
      </c>
      <c r="V2954">
        <f>HLOOKUP("In Use MiB",'vInfo (Imported)'!$1:$5000,M2954,FALSE)</f>
        <v>0</v>
      </c>
    </row>
    <row r="2955" spans="1:22" ht="13" x14ac:dyDescent="0.3">
      <c r="A2955" s="46">
        <f>'vHosts (Imported)'!A2955</f>
        <v>0</v>
      </c>
      <c r="B2955" s="51">
        <f t="shared" si="138"/>
        <v>4968</v>
      </c>
      <c r="C2955" s="49">
        <f>HLOOKUP("# Cores",'vHosts (Imported)'!$1:$5000,M2955,FALSE)</f>
        <v>0</v>
      </c>
      <c r="D2955" s="52">
        <f>HLOOKUP("# Memory",'vHosts (Imported)'!$1:$5000,M2955,FALSE)</f>
        <v>0</v>
      </c>
      <c r="M2955" s="45">
        <f t="shared" si="140"/>
        <v>2955</v>
      </c>
      <c r="N2955" s="38">
        <f>HLOOKUP("Host",'vInfo (Imported)'!$1:$5000,M2955,FALSE)</f>
        <v>0</v>
      </c>
      <c r="R2955">
        <f>HLOOKUP("CPUs",'vInfo (Imported)'!$1:$5000,M2955,FALSE)</f>
        <v>0</v>
      </c>
      <c r="S2955">
        <f>HLOOKUP("Memory",'vInfo (Imported)'!$1:$5000,M2955,FALSE)</f>
        <v>0</v>
      </c>
      <c r="T2955">
        <f>HLOOKUP("Provisioned MiB",'vInfo (Imported)'!$1:$5000,M2955,FALSE)</f>
        <v>0</v>
      </c>
      <c r="U2955">
        <f t="shared" si="139"/>
        <v>0</v>
      </c>
      <c r="V2955">
        <f>HLOOKUP("In Use MiB",'vInfo (Imported)'!$1:$5000,M2955,FALSE)</f>
        <v>0</v>
      </c>
    </row>
    <row r="2956" spans="1:22" ht="13" x14ac:dyDescent="0.3">
      <c r="A2956" s="46">
        <f>'vHosts (Imported)'!A2956</f>
        <v>0</v>
      </c>
      <c r="B2956" s="51">
        <f t="shared" si="138"/>
        <v>4968</v>
      </c>
      <c r="C2956" s="49">
        <f>HLOOKUP("# Cores",'vHosts (Imported)'!$1:$5000,M2956,FALSE)</f>
        <v>0</v>
      </c>
      <c r="D2956" s="52">
        <f>HLOOKUP("# Memory",'vHosts (Imported)'!$1:$5000,M2956,FALSE)</f>
        <v>0</v>
      </c>
      <c r="M2956" s="45">
        <f t="shared" si="140"/>
        <v>2956</v>
      </c>
      <c r="N2956" s="38">
        <f>HLOOKUP("Host",'vInfo (Imported)'!$1:$5000,M2956,FALSE)</f>
        <v>0</v>
      </c>
      <c r="R2956">
        <f>HLOOKUP("CPUs",'vInfo (Imported)'!$1:$5000,M2956,FALSE)</f>
        <v>0</v>
      </c>
      <c r="S2956">
        <f>HLOOKUP("Memory",'vInfo (Imported)'!$1:$5000,M2956,FALSE)</f>
        <v>0</v>
      </c>
      <c r="T2956">
        <f>HLOOKUP("Provisioned MiB",'vInfo (Imported)'!$1:$5000,M2956,FALSE)</f>
        <v>0</v>
      </c>
      <c r="U2956">
        <f t="shared" si="139"/>
        <v>0</v>
      </c>
      <c r="V2956">
        <f>HLOOKUP("In Use MiB",'vInfo (Imported)'!$1:$5000,M2956,FALSE)</f>
        <v>0</v>
      </c>
    </row>
    <row r="2957" spans="1:22" ht="13" x14ac:dyDescent="0.3">
      <c r="A2957" s="46">
        <f>'vHosts (Imported)'!A2957</f>
        <v>0</v>
      </c>
      <c r="B2957" s="51">
        <f t="shared" si="138"/>
        <v>4968</v>
      </c>
      <c r="C2957" s="49">
        <f>HLOOKUP("# Cores",'vHosts (Imported)'!$1:$5000,M2957,FALSE)</f>
        <v>0</v>
      </c>
      <c r="D2957" s="52">
        <f>HLOOKUP("# Memory",'vHosts (Imported)'!$1:$5000,M2957,FALSE)</f>
        <v>0</v>
      </c>
      <c r="M2957" s="45">
        <f t="shared" si="140"/>
        <v>2957</v>
      </c>
      <c r="N2957" s="38">
        <f>HLOOKUP("Host",'vInfo (Imported)'!$1:$5000,M2957,FALSE)</f>
        <v>0</v>
      </c>
      <c r="R2957">
        <f>HLOOKUP("CPUs",'vInfo (Imported)'!$1:$5000,M2957,FALSE)</f>
        <v>0</v>
      </c>
      <c r="S2957">
        <f>HLOOKUP("Memory",'vInfo (Imported)'!$1:$5000,M2957,FALSE)</f>
        <v>0</v>
      </c>
      <c r="T2957">
        <f>HLOOKUP("Provisioned MiB",'vInfo (Imported)'!$1:$5000,M2957,FALSE)</f>
        <v>0</v>
      </c>
      <c r="U2957">
        <f t="shared" si="139"/>
        <v>0</v>
      </c>
      <c r="V2957">
        <f>HLOOKUP("In Use MiB",'vInfo (Imported)'!$1:$5000,M2957,FALSE)</f>
        <v>0</v>
      </c>
    </row>
    <row r="2958" spans="1:22" ht="13" x14ac:dyDescent="0.3">
      <c r="A2958" s="46">
        <f>'vHosts (Imported)'!A2958</f>
        <v>0</v>
      </c>
      <c r="B2958" s="51">
        <f t="shared" si="138"/>
        <v>4968</v>
      </c>
      <c r="C2958" s="49">
        <f>HLOOKUP("# Cores",'vHosts (Imported)'!$1:$5000,M2958,FALSE)</f>
        <v>0</v>
      </c>
      <c r="D2958" s="52">
        <f>HLOOKUP("# Memory",'vHosts (Imported)'!$1:$5000,M2958,FALSE)</f>
        <v>0</v>
      </c>
      <c r="M2958" s="45">
        <f t="shared" si="140"/>
        <v>2958</v>
      </c>
      <c r="N2958" s="38">
        <f>HLOOKUP("Host",'vInfo (Imported)'!$1:$5000,M2958,FALSE)</f>
        <v>0</v>
      </c>
      <c r="R2958">
        <f>HLOOKUP("CPUs",'vInfo (Imported)'!$1:$5000,M2958,FALSE)</f>
        <v>0</v>
      </c>
      <c r="S2958">
        <f>HLOOKUP("Memory",'vInfo (Imported)'!$1:$5000,M2958,FALSE)</f>
        <v>0</v>
      </c>
      <c r="T2958">
        <f>HLOOKUP("Provisioned MiB",'vInfo (Imported)'!$1:$5000,M2958,FALSE)</f>
        <v>0</v>
      </c>
      <c r="U2958">
        <f t="shared" si="139"/>
        <v>0</v>
      </c>
      <c r="V2958">
        <f>HLOOKUP("In Use MiB",'vInfo (Imported)'!$1:$5000,M2958,FALSE)</f>
        <v>0</v>
      </c>
    </row>
    <row r="2959" spans="1:22" ht="13" x14ac:dyDescent="0.3">
      <c r="A2959" s="46">
        <f>'vHosts (Imported)'!A2959</f>
        <v>0</v>
      </c>
      <c r="B2959" s="51">
        <f t="shared" si="138"/>
        <v>4968</v>
      </c>
      <c r="C2959" s="49">
        <f>HLOOKUP("# Cores",'vHosts (Imported)'!$1:$5000,M2959,FALSE)</f>
        <v>0</v>
      </c>
      <c r="D2959" s="52">
        <f>HLOOKUP("# Memory",'vHosts (Imported)'!$1:$5000,M2959,FALSE)</f>
        <v>0</v>
      </c>
      <c r="M2959" s="45">
        <f t="shared" si="140"/>
        <v>2959</v>
      </c>
      <c r="N2959" s="38">
        <f>HLOOKUP("Host",'vInfo (Imported)'!$1:$5000,M2959,FALSE)</f>
        <v>0</v>
      </c>
      <c r="R2959">
        <f>HLOOKUP("CPUs",'vInfo (Imported)'!$1:$5000,M2959,FALSE)</f>
        <v>0</v>
      </c>
      <c r="S2959">
        <f>HLOOKUP("Memory",'vInfo (Imported)'!$1:$5000,M2959,FALSE)</f>
        <v>0</v>
      </c>
      <c r="T2959">
        <f>HLOOKUP("Provisioned MiB",'vInfo (Imported)'!$1:$5000,M2959,FALSE)</f>
        <v>0</v>
      </c>
      <c r="U2959">
        <f t="shared" si="139"/>
        <v>0</v>
      </c>
      <c r="V2959">
        <f>HLOOKUP("In Use MiB",'vInfo (Imported)'!$1:$5000,M2959,FALSE)</f>
        <v>0</v>
      </c>
    </row>
    <row r="2960" spans="1:22" ht="13" x14ac:dyDescent="0.3">
      <c r="A2960" s="46">
        <f>'vHosts (Imported)'!A2960</f>
        <v>0</v>
      </c>
      <c r="B2960" s="51">
        <f t="shared" si="138"/>
        <v>4968</v>
      </c>
      <c r="C2960" s="49">
        <f>HLOOKUP("# Cores",'vHosts (Imported)'!$1:$5000,M2960,FALSE)</f>
        <v>0</v>
      </c>
      <c r="D2960" s="52">
        <f>HLOOKUP("# Memory",'vHosts (Imported)'!$1:$5000,M2960,FALSE)</f>
        <v>0</v>
      </c>
      <c r="M2960" s="45">
        <f t="shared" si="140"/>
        <v>2960</v>
      </c>
      <c r="N2960" s="38">
        <f>HLOOKUP("Host",'vInfo (Imported)'!$1:$5000,M2960,FALSE)</f>
        <v>0</v>
      </c>
      <c r="R2960">
        <f>HLOOKUP("CPUs",'vInfo (Imported)'!$1:$5000,M2960,FALSE)</f>
        <v>0</v>
      </c>
      <c r="S2960">
        <f>HLOOKUP("Memory",'vInfo (Imported)'!$1:$5000,M2960,FALSE)</f>
        <v>0</v>
      </c>
      <c r="T2960">
        <f>HLOOKUP("Provisioned MiB",'vInfo (Imported)'!$1:$5000,M2960,FALSE)</f>
        <v>0</v>
      </c>
      <c r="U2960">
        <f t="shared" si="139"/>
        <v>0</v>
      </c>
      <c r="V2960">
        <f>HLOOKUP("In Use MiB",'vInfo (Imported)'!$1:$5000,M2960,FALSE)</f>
        <v>0</v>
      </c>
    </row>
    <row r="2961" spans="1:22" ht="13" x14ac:dyDescent="0.3">
      <c r="A2961" s="46">
        <f>'vHosts (Imported)'!A2961</f>
        <v>0</v>
      </c>
      <c r="B2961" s="51">
        <f t="shared" si="138"/>
        <v>4968</v>
      </c>
      <c r="C2961" s="49">
        <f>HLOOKUP("# Cores",'vHosts (Imported)'!$1:$5000,M2961,FALSE)</f>
        <v>0</v>
      </c>
      <c r="D2961" s="52">
        <f>HLOOKUP("# Memory",'vHosts (Imported)'!$1:$5000,M2961,FALSE)</f>
        <v>0</v>
      </c>
      <c r="M2961" s="45">
        <f t="shared" si="140"/>
        <v>2961</v>
      </c>
      <c r="N2961" s="38">
        <f>HLOOKUP("Host",'vInfo (Imported)'!$1:$5000,M2961,FALSE)</f>
        <v>0</v>
      </c>
      <c r="R2961">
        <f>HLOOKUP("CPUs",'vInfo (Imported)'!$1:$5000,M2961,FALSE)</f>
        <v>0</v>
      </c>
      <c r="S2961">
        <f>HLOOKUP("Memory",'vInfo (Imported)'!$1:$5000,M2961,FALSE)</f>
        <v>0</v>
      </c>
      <c r="T2961">
        <f>HLOOKUP("Provisioned MiB",'vInfo (Imported)'!$1:$5000,M2961,FALSE)</f>
        <v>0</v>
      </c>
      <c r="U2961">
        <f t="shared" si="139"/>
        <v>0</v>
      </c>
      <c r="V2961">
        <f>HLOOKUP("In Use MiB",'vInfo (Imported)'!$1:$5000,M2961,FALSE)</f>
        <v>0</v>
      </c>
    </row>
    <row r="2962" spans="1:22" ht="13" x14ac:dyDescent="0.3">
      <c r="A2962" s="46">
        <f>'vHosts (Imported)'!A2962</f>
        <v>0</v>
      </c>
      <c r="B2962" s="51">
        <f t="shared" si="138"/>
        <v>4968</v>
      </c>
      <c r="C2962" s="49">
        <f>HLOOKUP("# Cores",'vHosts (Imported)'!$1:$5000,M2962,FALSE)</f>
        <v>0</v>
      </c>
      <c r="D2962" s="52">
        <f>HLOOKUP("# Memory",'vHosts (Imported)'!$1:$5000,M2962,FALSE)</f>
        <v>0</v>
      </c>
      <c r="M2962" s="45">
        <f t="shared" si="140"/>
        <v>2962</v>
      </c>
      <c r="N2962" s="38">
        <f>HLOOKUP("Host",'vInfo (Imported)'!$1:$5000,M2962,FALSE)</f>
        <v>0</v>
      </c>
      <c r="R2962">
        <f>HLOOKUP("CPUs",'vInfo (Imported)'!$1:$5000,M2962,FALSE)</f>
        <v>0</v>
      </c>
      <c r="S2962">
        <f>HLOOKUP("Memory",'vInfo (Imported)'!$1:$5000,M2962,FALSE)</f>
        <v>0</v>
      </c>
      <c r="T2962">
        <f>HLOOKUP("Provisioned MiB",'vInfo (Imported)'!$1:$5000,M2962,FALSE)</f>
        <v>0</v>
      </c>
      <c r="U2962">
        <f t="shared" si="139"/>
        <v>0</v>
      </c>
      <c r="V2962">
        <f>HLOOKUP("In Use MiB",'vInfo (Imported)'!$1:$5000,M2962,FALSE)</f>
        <v>0</v>
      </c>
    </row>
    <row r="2963" spans="1:22" ht="13" x14ac:dyDescent="0.3">
      <c r="A2963" s="46">
        <f>'vHosts (Imported)'!A2963</f>
        <v>0</v>
      </c>
      <c r="B2963" s="51">
        <f t="shared" si="138"/>
        <v>4968</v>
      </c>
      <c r="C2963" s="49">
        <f>HLOOKUP("# Cores",'vHosts (Imported)'!$1:$5000,M2963,FALSE)</f>
        <v>0</v>
      </c>
      <c r="D2963" s="52">
        <f>HLOOKUP("# Memory",'vHosts (Imported)'!$1:$5000,M2963,FALSE)</f>
        <v>0</v>
      </c>
      <c r="M2963" s="45">
        <f t="shared" si="140"/>
        <v>2963</v>
      </c>
      <c r="N2963" s="38">
        <f>HLOOKUP("Host",'vInfo (Imported)'!$1:$5000,M2963,FALSE)</f>
        <v>0</v>
      </c>
      <c r="R2963">
        <f>HLOOKUP("CPUs",'vInfo (Imported)'!$1:$5000,M2963,FALSE)</f>
        <v>0</v>
      </c>
      <c r="S2963">
        <f>HLOOKUP("Memory",'vInfo (Imported)'!$1:$5000,M2963,FALSE)</f>
        <v>0</v>
      </c>
      <c r="T2963">
        <f>HLOOKUP("Provisioned MiB",'vInfo (Imported)'!$1:$5000,M2963,FALSE)</f>
        <v>0</v>
      </c>
      <c r="U2963">
        <f t="shared" si="139"/>
        <v>0</v>
      </c>
      <c r="V2963">
        <f>HLOOKUP("In Use MiB",'vInfo (Imported)'!$1:$5000,M2963,FALSE)</f>
        <v>0</v>
      </c>
    </row>
    <row r="2964" spans="1:22" ht="13" x14ac:dyDescent="0.3">
      <c r="A2964" s="46">
        <f>'vHosts (Imported)'!A2964</f>
        <v>0</v>
      </c>
      <c r="B2964" s="51">
        <f t="shared" si="138"/>
        <v>4968</v>
      </c>
      <c r="C2964" s="49">
        <f>HLOOKUP("# Cores",'vHosts (Imported)'!$1:$5000,M2964,FALSE)</f>
        <v>0</v>
      </c>
      <c r="D2964" s="52">
        <f>HLOOKUP("# Memory",'vHosts (Imported)'!$1:$5000,M2964,FALSE)</f>
        <v>0</v>
      </c>
      <c r="M2964" s="45">
        <f t="shared" si="140"/>
        <v>2964</v>
      </c>
      <c r="N2964" s="38">
        <f>HLOOKUP("Host",'vInfo (Imported)'!$1:$5000,M2964,FALSE)</f>
        <v>0</v>
      </c>
      <c r="R2964">
        <f>HLOOKUP("CPUs",'vInfo (Imported)'!$1:$5000,M2964,FALSE)</f>
        <v>0</v>
      </c>
      <c r="S2964">
        <f>HLOOKUP("Memory",'vInfo (Imported)'!$1:$5000,M2964,FALSE)</f>
        <v>0</v>
      </c>
      <c r="T2964">
        <f>HLOOKUP("Provisioned MiB",'vInfo (Imported)'!$1:$5000,M2964,FALSE)</f>
        <v>0</v>
      </c>
      <c r="U2964">
        <f t="shared" si="139"/>
        <v>0</v>
      </c>
      <c r="V2964">
        <f>HLOOKUP("In Use MiB",'vInfo (Imported)'!$1:$5000,M2964,FALSE)</f>
        <v>0</v>
      </c>
    </row>
    <row r="2965" spans="1:22" ht="13" x14ac:dyDescent="0.3">
      <c r="A2965" s="46">
        <f>'vHosts (Imported)'!A2965</f>
        <v>0</v>
      </c>
      <c r="B2965" s="51">
        <f t="shared" si="138"/>
        <v>4968</v>
      </c>
      <c r="C2965" s="49">
        <f>HLOOKUP("# Cores",'vHosts (Imported)'!$1:$5000,M2965,FALSE)</f>
        <v>0</v>
      </c>
      <c r="D2965" s="52">
        <f>HLOOKUP("# Memory",'vHosts (Imported)'!$1:$5000,M2965,FALSE)</f>
        <v>0</v>
      </c>
      <c r="M2965" s="45">
        <f t="shared" si="140"/>
        <v>2965</v>
      </c>
      <c r="N2965" s="38">
        <f>HLOOKUP("Host",'vInfo (Imported)'!$1:$5000,M2965,FALSE)</f>
        <v>0</v>
      </c>
      <c r="R2965">
        <f>HLOOKUP("CPUs",'vInfo (Imported)'!$1:$5000,M2965,FALSE)</f>
        <v>0</v>
      </c>
      <c r="S2965">
        <f>HLOOKUP("Memory",'vInfo (Imported)'!$1:$5000,M2965,FALSE)</f>
        <v>0</v>
      </c>
      <c r="T2965">
        <f>HLOOKUP("Provisioned MiB",'vInfo (Imported)'!$1:$5000,M2965,FALSE)</f>
        <v>0</v>
      </c>
      <c r="U2965">
        <f t="shared" si="139"/>
        <v>0</v>
      </c>
      <c r="V2965">
        <f>HLOOKUP("In Use MiB",'vInfo (Imported)'!$1:$5000,M2965,FALSE)</f>
        <v>0</v>
      </c>
    </row>
    <row r="2966" spans="1:22" ht="13" x14ac:dyDescent="0.3">
      <c r="A2966" s="46">
        <f>'vHosts (Imported)'!A2966</f>
        <v>0</v>
      </c>
      <c r="B2966" s="51">
        <f t="shared" si="138"/>
        <v>4968</v>
      </c>
      <c r="C2966" s="49">
        <f>HLOOKUP("# Cores",'vHosts (Imported)'!$1:$5000,M2966,FALSE)</f>
        <v>0</v>
      </c>
      <c r="D2966" s="52">
        <f>HLOOKUP("# Memory",'vHosts (Imported)'!$1:$5000,M2966,FALSE)</f>
        <v>0</v>
      </c>
      <c r="M2966" s="45">
        <f t="shared" si="140"/>
        <v>2966</v>
      </c>
      <c r="N2966" s="38">
        <f>HLOOKUP("Host",'vInfo (Imported)'!$1:$5000,M2966,FALSE)</f>
        <v>0</v>
      </c>
      <c r="R2966">
        <f>HLOOKUP("CPUs",'vInfo (Imported)'!$1:$5000,M2966,FALSE)</f>
        <v>0</v>
      </c>
      <c r="S2966">
        <f>HLOOKUP("Memory",'vInfo (Imported)'!$1:$5000,M2966,FALSE)</f>
        <v>0</v>
      </c>
      <c r="T2966">
        <f>HLOOKUP("Provisioned MiB",'vInfo (Imported)'!$1:$5000,M2966,FALSE)</f>
        <v>0</v>
      </c>
      <c r="U2966">
        <f t="shared" si="139"/>
        <v>0</v>
      </c>
      <c r="V2966">
        <f>HLOOKUP("In Use MiB",'vInfo (Imported)'!$1:$5000,M2966,FALSE)</f>
        <v>0</v>
      </c>
    </row>
    <row r="2967" spans="1:22" ht="13" x14ac:dyDescent="0.3">
      <c r="A2967" s="46">
        <f>'vHosts (Imported)'!A2967</f>
        <v>0</v>
      </c>
      <c r="B2967" s="51">
        <f t="shared" si="138"/>
        <v>4968</v>
      </c>
      <c r="C2967" s="49">
        <f>HLOOKUP("# Cores",'vHosts (Imported)'!$1:$5000,M2967,FALSE)</f>
        <v>0</v>
      </c>
      <c r="D2967" s="52">
        <f>HLOOKUP("# Memory",'vHosts (Imported)'!$1:$5000,M2967,FALSE)</f>
        <v>0</v>
      </c>
      <c r="M2967" s="45">
        <f t="shared" si="140"/>
        <v>2967</v>
      </c>
      <c r="N2967" s="38">
        <f>HLOOKUP("Host",'vInfo (Imported)'!$1:$5000,M2967,FALSE)</f>
        <v>0</v>
      </c>
      <c r="R2967">
        <f>HLOOKUP("CPUs",'vInfo (Imported)'!$1:$5000,M2967,FALSE)</f>
        <v>0</v>
      </c>
      <c r="S2967">
        <f>HLOOKUP("Memory",'vInfo (Imported)'!$1:$5000,M2967,FALSE)</f>
        <v>0</v>
      </c>
      <c r="T2967">
        <f>HLOOKUP("Provisioned MiB",'vInfo (Imported)'!$1:$5000,M2967,FALSE)</f>
        <v>0</v>
      </c>
      <c r="U2967">
        <f t="shared" si="139"/>
        <v>0</v>
      </c>
      <c r="V2967">
        <f>HLOOKUP("In Use MiB",'vInfo (Imported)'!$1:$5000,M2967,FALSE)</f>
        <v>0</v>
      </c>
    </row>
    <row r="2968" spans="1:22" ht="13" x14ac:dyDescent="0.3">
      <c r="A2968" s="46">
        <f>'vHosts (Imported)'!A2968</f>
        <v>0</v>
      </c>
      <c r="B2968" s="51">
        <f t="shared" si="138"/>
        <v>4968</v>
      </c>
      <c r="C2968" s="49">
        <f>HLOOKUP("# Cores",'vHosts (Imported)'!$1:$5000,M2968,FALSE)</f>
        <v>0</v>
      </c>
      <c r="D2968" s="52">
        <f>HLOOKUP("# Memory",'vHosts (Imported)'!$1:$5000,M2968,FALSE)</f>
        <v>0</v>
      </c>
      <c r="M2968" s="45">
        <f t="shared" si="140"/>
        <v>2968</v>
      </c>
      <c r="N2968" s="38">
        <f>HLOOKUP("Host",'vInfo (Imported)'!$1:$5000,M2968,FALSE)</f>
        <v>0</v>
      </c>
      <c r="R2968">
        <f>HLOOKUP("CPUs",'vInfo (Imported)'!$1:$5000,M2968,FALSE)</f>
        <v>0</v>
      </c>
      <c r="S2968">
        <f>HLOOKUP("Memory",'vInfo (Imported)'!$1:$5000,M2968,FALSE)</f>
        <v>0</v>
      </c>
      <c r="T2968">
        <f>HLOOKUP("Provisioned MiB",'vInfo (Imported)'!$1:$5000,M2968,FALSE)</f>
        <v>0</v>
      </c>
      <c r="U2968">
        <f t="shared" si="139"/>
        <v>0</v>
      </c>
      <c r="V2968">
        <f>HLOOKUP("In Use MiB",'vInfo (Imported)'!$1:$5000,M2968,FALSE)</f>
        <v>0</v>
      </c>
    </row>
    <row r="2969" spans="1:22" ht="13" x14ac:dyDescent="0.3">
      <c r="A2969" s="46">
        <f>'vHosts (Imported)'!A2969</f>
        <v>0</v>
      </c>
      <c r="B2969" s="51">
        <f t="shared" si="138"/>
        <v>4968</v>
      </c>
      <c r="C2969" s="49">
        <f>HLOOKUP("# Cores",'vHosts (Imported)'!$1:$5000,M2969,FALSE)</f>
        <v>0</v>
      </c>
      <c r="D2969" s="52">
        <f>HLOOKUP("# Memory",'vHosts (Imported)'!$1:$5000,M2969,FALSE)</f>
        <v>0</v>
      </c>
      <c r="M2969" s="45">
        <f t="shared" si="140"/>
        <v>2969</v>
      </c>
      <c r="N2969" s="38">
        <f>HLOOKUP("Host",'vInfo (Imported)'!$1:$5000,M2969,FALSE)</f>
        <v>0</v>
      </c>
      <c r="R2969">
        <f>HLOOKUP("CPUs",'vInfo (Imported)'!$1:$5000,M2969,FALSE)</f>
        <v>0</v>
      </c>
      <c r="S2969">
        <f>HLOOKUP("Memory",'vInfo (Imported)'!$1:$5000,M2969,FALSE)</f>
        <v>0</v>
      </c>
      <c r="T2969">
        <f>HLOOKUP("Provisioned MiB",'vInfo (Imported)'!$1:$5000,M2969,FALSE)</f>
        <v>0</v>
      </c>
      <c r="U2969">
        <f t="shared" si="139"/>
        <v>0</v>
      </c>
      <c r="V2969">
        <f>HLOOKUP("In Use MiB",'vInfo (Imported)'!$1:$5000,M2969,FALSE)</f>
        <v>0</v>
      </c>
    </row>
    <row r="2970" spans="1:22" ht="13" x14ac:dyDescent="0.3">
      <c r="A2970" s="46">
        <f>'vHosts (Imported)'!A2970</f>
        <v>0</v>
      </c>
      <c r="B2970" s="51">
        <f t="shared" si="138"/>
        <v>4968</v>
      </c>
      <c r="C2970" s="49">
        <f>HLOOKUP("# Cores",'vHosts (Imported)'!$1:$5000,M2970,FALSE)</f>
        <v>0</v>
      </c>
      <c r="D2970" s="52">
        <f>HLOOKUP("# Memory",'vHosts (Imported)'!$1:$5000,M2970,FALSE)</f>
        <v>0</v>
      </c>
      <c r="M2970" s="45">
        <f t="shared" si="140"/>
        <v>2970</v>
      </c>
      <c r="N2970" s="38">
        <f>HLOOKUP("Host",'vInfo (Imported)'!$1:$5000,M2970,FALSE)</f>
        <v>0</v>
      </c>
      <c r="R2970">
        <f>HLOOKUP("CPUs",'vInfo (Imported)'!$1:$5000,M2970,FALSE)</f>
        <v>0</v>
      </c>
      <c r="S2970">
        <f>HLOOKUP("Memory",'vInfo (Imported)'!$1:$5000,M2970,FALSE)</f>
        <v>0</v>
      </c>
      <c r="T2970">
        <f>HLOOKUP("Provisioned MiB",'vInfo (Imported)'!$1:$5000,M2970,FALSE)</f>
        <v>0</v>
      </c>
      <c r="U2970">
        <f t="shared" si="139"/>
        <v>0</v>
      </c>
      <c r="V2970">
        <f>HLOOKUP("In Use MiB",'vInfo (Imported)'!$1:$5000,M2970,FALSE)</f>
        <v>0</v>
      </c>
    </row>
    <row r="2971" spans="1:22" ht="13" x14ac:dyDescent="0.3">
      <c r="A2971" s="46">
        <f>'vHosts (Imported)'!A2971</f>
        <v>0</v>
      </c>
      <c r="B2971" s="51">
        <f t="shared" si="138"/>
        <v>4968</v>
      </c>
      <c r="C2971" s="49">
        <f>HLOOKUP("# Cores",'vHosts (Imported)'!$1:$5000,M2971,FALSE)</f>
        <v>0</v>
      </c>
      <c r="D2971" s="52">
        <f>HLOOKUP("# Memory",'vHosts (Imported)'!$1:$5000,M2971,FALSE)</f>
        <v>0</v>
      </c>
      <c r="M2971" s="45">
        <f t="shared" si="140"/>
        <v>2971</v>
      </c>
      <c r="N2971" s="38">
        <f>HLOOKUP("Host",'vInfo (Imported)'!$1:$5000,M2971,FALSE)</f>
        <v>0</v>
      </c>
      <c r="R2971">
        <f>HLOOKUP("CPUs",'vInfo (Imported)'!$1:$5000,M2971,FALSE)</f>
        <v>0</v>
      </c>
      <c r="S2971">
        <f>HLOOKUP("Memory",'vInfo (Imported)'!$1:$5000,M2971,FALSE)</f>
        <v>0</v>
      </c>
      <c r="T2971">
        <f>HLOOKUP("Provisioned MiB",'vInfo (Imported)'!$1:$5000,M2971,FALSE)</f>
        <v>0</v>
      </c>
      <c r="U2971">
        <f t="shared" si="139"/>
        <v>0</v>
      </c>
      <c r="V2971">
        <f>HLOOKUP("In Use MiB",'vInfo (Imported)'!$1:$5000,M2971,FALSE)</f>
        <v>0</v>
      </c>
    </row>
    <row r="2972" spans="1:22" ht="13" x14ac:dyDescent="0.3">
      <c r="A2972" s="46">
        <f>'vHosts (Imported)'!A2972</f>
        <v>0</v>
      </c>
      <c r="B2972" s="51">
        <f t="shared" si="138"/>
        <v>4968</v>
      </c>
      <c r="C2972" s="49">
        <f>HLOOKUP("# Cores",'vHosts (Imported)'!$1:$5000,M2972,FALSE)</f>
        <v>0</v>
      </c>
      <c r="D2972" s="52">
        <f>HLOOKUP("# Memory",'vHosts (Imported)'!$1:$5000,M2972,FALSE)</f>
        <v>0</v>
      </c>
      <c r="M2972" s="45">
        <f t="shared" si="140"/>
        <v>2972</v>
      </c>
      <c r="N2972" s="38">
        <f>HLOOKUP("Host",'vInfo (Imported)'!$1:$5000,M2972,FALSE)</f>
        <v>0</v>
      </c>
      <c r="R2972">
        <f>HLOOKUP("CPUs",'vInfo (Imported)'!$1:$5000,M2972,FALSE)</f>
        <v>0</v>
      </c>
      <c r="S2972">
        <f>HLOOKUP("Memory",'vInfo (Imported)'!$1:$5000,M2972,FALSE)</f>
        <v>0</v>
      </c>
      <c r="T2972">
        <f>HLOOKUP("Provisioned MiB",'vInfo (Imported)'!$1:$5000,M2972,FALSE)</f>
        <v>0</v>
      </c>
      <c r="U2972">
        <f t="shared" si="139"/>
        <v>0</v>
      </c>
      <c r="V2972">
        <f>HLOOKUP("In Use MiB",'vInfo (Imported)'!$1:$5000,M2972,FALSE)</f>
        <v>0</v>
      </c>
    </row>
    <row r="2973" spans="1:22" ht="13" x14ac:dyDescent="0.3">
      <c r="A2973" s="46">
        <f>'vHosts (Imported)'!A2973</f>
        <v>0</v>
      </c>
      <c r="B2973" s="51">
        <f t="shared" si="138"/>
        <v>4968</v>
      </c>
      <c r="C2973" s="49">
        <f>HLOOKUP("# Cores",'vHosts (Imported)'!$1:$5000,M2973,FALSE)</f>
        <v>0</v>
      </c>
      <c r="D2973" s="52">
        <f>HLOOKUP("# Memory",'vHosts (Imported)'!$1:$5000,M2973,FALSE)</f>
        <v>0</v>
      </c>
      <c r="M2973" s="45">
        <f t="shared" si="140"/>
        <v>2973</v>
      </c>
      <c r="N2973" s="38">
        <f>HLOOKUP("Host",'vInfo (Imported)'!$1:$5000,M2973,FALSE)</f>
        <v>0</v>
      </c>
      <c r="R2973">
        <f>HLOOKUP("CPUs",'vInfo (Imported)'!$1:$5000,M2973,FALSE)</f>
        <v>0</v>
      </c>
      <c r="S2973">
        <f>HLOOKUP("Memory",'vInfo (Imported)'!$1:$5000,M2973,FALSE)</f>
        <v>0</v>
      </c>
      <c r="T2973">
        <f>HLOOKUP("Provisioned MiB",'vInfo (Imported)'!$1:$5000,M2973,FALSE)</f>
        <v>0</v>
      </c>
      <c r="U2973">
        <f t="shared" si="139"/>
        <v>0</v>
      </c>
      <c r="V2973">
        <f>HLOOKUP("In Use MiB",'vInfo (Imported)'!$1:$5000,M2973,FALSE)</f>
        <v>0</v>
      </c>
    </row>
    <row r="2974" spans="1:22" ht="13" x14ac:dyDescent="0.3">
      <c r="A2974" s="46">
        <f>'vHosts (Imported)'!A2974</f>
        <v>0</v>
      </c>
      <c r="B2974" s="51">
        <f t="shared" si="138"/>
        <v>4968</v>
      </c>
      <c r="C2974" s="49">
        <f>HLOOKUP("# Cores",'vHosts (Imported)'!$1:$5000,M2974,FALSE)</f>
        <v>0</v>
      </c>
      <c r="D2974" s="52">
        <f>HLOOKUP("# Memory",'vHosts (Imported)'!$1:$5000,M2974,FALSE)</f>
        <v>0</v>
      </c>
      <c r="M2974" s="45">
        <f t="shared" si="140"/>
        <v>2974</v>
      </c>
      <c r="N2974" s="38">
        <f>HLOOKUP("Host",'vInfo (Imported)'!$1:$5000,M2974,FALSE)</f>
        <v>0</v>
      </c>
      <c r="R2974">
        <f>HLOOKUP("CPUs",'vInfo (Imported)'!$1:$5000,M2974,FALSE)</f>
        <v>0</v>
      </c>
      <c r="S2974">
        <f>HLOOKUP("Memory",'vInfo (Imported)'!$1:$5000,M2974,FALSE)</f>
        <v>0</v>
      </c>
      <c r="T2974">
        <f>HLOOKUP("Provisioned MiB",'vInfo (Imported)'!$1:$5000,M2974,FALSE)</f>
        <v>0</v>
      </c>
      <c r="U2974">
        <f t="shared" si="139"/>
        <v>0</v>
      </c>
      <c r="V2974">
        <f>HLOOKUP("In Use MiB",'vInfo (Imported)'!$1:$5000,M2974,FALSE)</f>
        <v>0</v>
      </c>
    </row>
    <row r="2975" spans="1:22" ht="13" x14ac:dyDescent="0.3">
      <c r="A2975" s="46">
        <f>'vHosts (Imported)'!A2975</f>
        <v>0</v>
      </c>
      <c r="B2975" s="51">
        <f t="shared" si="138"/>
        <v>4968</v>
      </c>
      <c r="C2975" s="49">
        <f>HLOOKUP("# Cores",'vHosts (Imported)'!$1:$5000,M2975,FALSE)</f>
        <v>0</v>
      </c>
      <c r="D2975" s="52">
        <f>HLOOKUP("# Memory",'vHosts (Imported)'!$1:$5000,M2975,FALSE)</f>
        <v>0</v>
      </c>
      <c r="M2975" s="45">
        <f t="shared" si="140"/>
        <v>2975</v>
      </c>
      <c r="N2975" s="38">
        <f>HLOOKUP("Host",'vInfo (Imported)'!$1:$5000,M2975,FALSE)</f>
        <v>0</v>
      </c>
      <c r="R2975">
        <f>HLOOKUP("CPUs",'vInfo (Imported)'!$1:$5000,M2975,FALSE)</f>
        <v>0</v>
      </c>
      <c r="S2975">
        <f>HLOOKUP("Memory",'vInfo (Imported)'!$1:$5000,M2975,FALSE)</f>
        <v>0</v>
      </c>
      <c r="T2975">
        <f>HLOOKUP("Provisioned MiB",'vInfo (Imported)'!$1:$5000,M2975,FALSE)</f>
        <v>0</v>
      </c>
      <c r="U2975">
        <f t="shared" si="139"/>
        <v>0</v>
      </c>
      <c r="V2975">
        <f>HLOOKUP("In Use MiB",'vInfo (Imported)'!$1:$5000,M2975,FALSE)</f>
        <v>0</v>
      </c>
    </row>
    <row r="2976" spans="1:22" ht="13" x14ac:dyDescent="0.3">
      <c r="A2976" s="46">
        <f>'vHosts (Imported)'!A2976</f>
        <v>0</v>
      </c>
      <c r="B2976" s="51">
        <f t="shared" si="138"/>
        <v>4968</v>
      </c>
      <c r="C2976" s="49">
        <f>HLOOKUP("# Cores",'vHosts (Imported)'!$1:$5000,M2976,FALSE)</f>
        <v>0</v>
      </c>
      <c r="D2976" s="52">
        <f>HLOOKUP("# Memory",'vHosts (Imported)'!$1:$5000,M2976,FALSE)</f>
        <v>0</v>
      </c>
      <c r="M2976" s="45">
        <f t="shared" si="140"/>
        <v>2976</v>
      </c>
      <c r="N2976" s="38">
        <f>HLOOKUP("Host",'vInfo (Imported)'!$1:$5000,M2976,FALSE)</f>
        <v>0</v>
      </c>
      <c r="R2976">
        <f>HLOOKUP("CPUs",'vInfo (Imported)'!$1:$5000,M2976,FALSE)</f>
        <v>0</v>
      </c>
      <c r="S2976">
        <f>HLOOKUP("Memory",'vInfo (Imported)'!$1:$5000,M2976,FALSE)</f>
        <v>0</v>
      </c>
      <c r="T2976">
        <f>HLOOKUP("Provisioned MiB",'vInfo (Imported)'!$1:$5000,M2976,FALSE)</f>
        <v>0</v>
      </c>
      <c r="U2976">
        <f t="shared" si="139"/>
        <v>0</v>
      </c>
      <c r="V2976">
        <f>HLOOKUP("In Use MiB",'vInfo (Imported)'!$1:$5000,M2976,FALSE)</f>
        <v>0</v>
      </c>
    </row>
    <row r="2977" spans="1:22" ht="13" x14ac:dyDescent="0.3">
      <c r="A2977" s="46">
        <f>'vHosts (Imported)'!A2977</f>
        <v>0</v>
      </c>
      <c r="B2977" s="51">
        <f t="shared" si="138"/>
        <v>4968</v>
      </c>
      <c r="C2977" s="49">
        <f>HLOOKUP("# Cores",'vHosts (Imported)'!$1:$5000,M2977,FALSE)</f>
        <v>0</v>
      </c>
      <c r="D2977" s="52">
        <f>HLOOKUP("# Memory",'vHosts (Imported)'!$1:$5000,M2977,FALSE)</f>
        <v>0</v>
      </c>
      <c r="M2977" s="45">
        <f t="shared" si="140"/>
        <v>2977</v>
      </c>
      <c r="N2977" s="38">
        <f>HLOOKUP("Host",'vInfo (Imported)'!$1:$5000,M2977,FALSE)</f>
        <v>0</v>
      </c>
      <c r="R2977">
        <f>HLOOKUP("CPUs",'vInfo (Imported)'!$1:$5000,M2977,FALSE)</f>
        <v>0</v>
      </c>
      <c r="S2977">
        <f>HLOOKUP("Memory",'vInfo (Imported)'!$1:$5000,M2977,FALSE)</f>
        <v>0</v>
      </c>
      <c r="T2977">
        <f>HLOOKUP("Provisioned MiB",'vInfo (Imported)'!$1:$5000,M2977,FALSE)</f>
        <v>0</v>
      </c>
      <c r="U2977">
        <f t="shared" si="139"/>
        <v>0</v>
      </c>
      <c r="V2977">
        <f>HLOOKUP("In Use MiB",'vInfo (Imported)'!$1:$5000,M2977,FALSE)</f>
        <v>0</v>
      </c>
    </row>
    <row r="2978" spans="1:22" ht="13" x14ac:dyDescent="0.3">
      <c r="A2978" s="46">
        <f>'vHosts (Imported)'!A2978</f>
        <v>0</v>
      </c>
      <c r="B2978" s="51">
        <f t="shared" si="138"/>
        <v>4968</v>
      </c>
      <c r="C2978" s="49">
        <f>HLOOKUP("# Cores",'vHosts (Imported)'!$1:$5000,M2978,FALSE)</f>
        <v>0</v>
      </c>
      <c r="D2978" s="52">
        <f>HLOOKUP("# Memory",'vHosts (Imported)'!$1:$5000,M2978,FALSE)</f>
        <v>0</v>
      </c>
      <c r="M2978" s="45">
        <f t="shared" si="140"/>
        <v>2978</v>
      </c>
      <c r="N2978" s="38">
        <f>HLOOKUP("Host",'vInfo (Imported)'!$1:$5000,M2978,FALSE)</f>
        <v>0</v>
      </c>
      <c r="R2978">
        <f>HLOOKUP("CPUs",'vInfo (Imported)'!$1:$5000,M2978,FALSE)</f>
        <v>0</v>
      </c>
      <c r="S2978">
        <f>HLOOKUP("Memory",'vInfo (Imported)'!$1:$5000,M2978,FALSE)</f>
        <v>0</v>
      </c>
      <c r="T2978">
        <f>HLOOKUP("Provisioned MiB",'vInfo (Imported)'!$1:$5000,M2978,FALSE)</f>
        <v>0</v>
      </c>
      <c r="U2978">
        <f t="shared" si="139"/>
        <v>0</v>
      </c>
      <c r="V2978">
        <f>HLOOKUP("In Use MiB",'vInfo (Imported)'!$1:$5000,M2978,FALSE)</f>
        <v>0</v>
      </c>
    </row>
    <row r="2979" spans="1:22" ht="13" x14ac:dyDescent="0.3">
      <c r="A2979" s="46">
        <f>'vHosts (Imported)'!A2979</f>
        <v>0</v>
      </c>
      <c r="B2979" s="51">
        <f t="shared" si="138"/>
        <v>4968</v>
      </c>
      <c r="C2979" s="49">
        <f>HLOOKUP("# Cores",'vHosts (Imported)'!$1:$5000,M2979,FALSE)</f>
        <v>0</v>
      </c>
      <c r="D2979" s="52">
        <f>HLOOKUP("# Memory",'vHosts (Imported)'!$1:$5000,M2979,FALSE)</f>
        <v>0</v>
      </c>
      <c r="M2979" s="45">
        <f t="shared" si="140"/>
        <v>2979</v>
      </c>
      <c r="N2979" s="38">
        <f>HLOOKUP("Host",'vInfo (Imported)'!$1:$5000,M2979,FALSE)</f>
        <v>0</v>
      </c>
      <c r="R2979">
        <f>HLOOKUP("CPUs",'vInfo (Imported)'!$1:$5000,M2979,FALSE)</f>
        <v>0</v>
      </c>
      <c r="S2979">
        <f>HLOOKUP("Memory",'vInfo (Imported)'!$1:$5000,M2979,FALSE)</f>
        <v>0</v>
      </c>
      <c r="T2979">
        <f>HLOOKUP("Provisioned MiB",'vInfo (Imported)'!$1:$5000,M2979,FALSE)</f>
        <v>0</v>
      </c>
      <c r="U2979">
        <f t="shared" si="139"/>
        <v>0</v>
      </c>
      <c r="V2979">
        <f>HLOOKUP("In Use MiB",'vInfo (Imported)'!$1:$5000,M2979,FALSE)</f>
        <v>0</v>
      </c>
    </row>
    <row r="2980" spans="1:22" ht="13" x14ac:dyDescent="0.3">
      <c r="A2980" s="46">
        <f>'vHosts (Imported)'!A2980</f>
        <v>0</v>
      </c>
      <c r="B2980" s="51">
        <f t="shared" si="138"/>
        <v>4968</v>
      </c>
      <c r="C2980" s="49">
        <f>HLOOKUP("# Cores",'vHosts (Imported)'!$1:$5000,M2980,FALSE)</f>
        <v>0</v>
      </c>
      <c r="D2980" s="52">
        <f>HLOOKUP("# Memory",'vHosts (Imported)'!$1:$5000,M2980,FALSE)</f>
        <v>0</v>
      </c>
      <c r="M2980" s="45">
        <f t="shared" si="140"/>
        <v>2980</v>
      </c>
      <c r="N2980" s="38">
        <f>HLOOKUP("Host",'vInfo (Imported)'!$1:$5000,M2980,FALSE)</f>
        <v>0</v>
      </c>
      <c r="R2980">
        <f>HLOOKUP("CPUs",'vInfo (Imported)'!$1:$5000,M2980,FALSE)</f>
        <v>0</v>
      </c>
      <c r="S2980">
        <f>HLOOKUP("Memory",'vInfo (Imported)'!$1:$5000,M2980,FALSE)</f>
        <v>0</v>
      </c>
      <c r="T2980">
        <f>HLOOKUP("Provisioned MiB",'vInfo (Imported)'!$1:$5000,M2980,FALSE)</f>
        <v>0</v>
      </c>
      <c r="U2980">
        <f t="shared" si="139"/>
        <v>0</v>
      </c>
      <c r="V2980">
        <f>HLOOKUP("In Use MiB",'vInfo (Imported)'!$1:$5000,M2980,FALSE)</f>
        <v>0</v>
      </c>
    </row>
    <row r="2981" spans="1:22" ht="13" x14ac:dyDescent="0.3">
      <c r="A2981" s="46">
        <f>'vHosts (Imported)'!A2981</f>
        <v>0</v>
      </c>
      <c r="B2981" s="51">
        <f t="shared" si="138"/>
        <v>4968</v>
      </c>
      <c r="C2981" s="49">
        <f>HLOOKUP("# Cores",'vHosts (Imported)'!$1:$5000,M2981,FALSE)</f>
        <v>0</v>
      </c>
      <c r="D2981" s="52">
        <f>HLOOKUP("# Memory",'vHosts (Imported)'!$1:$5000,M2981,FALSE)</f>
        <v>0</v>
      </c>
      <c r="M2981" s="45">
        <f t="shared" si="140"/>
        <v>2981</v>
      </c>
      <c r="N2981" s="38">
        <f>HLOOKUP("Host",'vInfo (Imported)'!$1:$5000,M2981,FALSE)</f>
        <v>0</v>
      </c>
      <c r="R2981">
        <f>HLOOKUP("CPUs",'vInfo (Imported)'!$1:$5000,M2981,FALSE)</f>
        <v>0</v>
      </c>
      <c r="S2981">
        <f>HLOOKUP("Memory",'vInfo (Imported)'!$1:$5000,M2981,FALSE)</f>
        <v>0</v>
      </c>
      <c r="T2981">
        <f>HLOOKUP("Provisioned MiB",'vInfo (Imported)'!$1:$5000,M2981,FALSE)</f>
        <v>0</v>
      </c>
      <c r="U2981">
        <f t="shared" si="139"/>
        <v>0</v>
      </c>
      <c r="V2981">
        <f>HLOOKUP("In Use MiB",'vInfo (Imported)'!$1:$5000,M2981,FALSE)</f>
        <v>0</v>
      </c>
    </row>
    <row r="2982" spans="1:22" ht="13" x14ac:dyDescent="0.3">
      <c r="A2982" s="46">
        <f>'vHosts (Imported)'!A2982</f>
        <v>0</v>
      </c>
      <c r="B2982" s="51">
        <f t="shared" si="138"/>
        <v>4968</v>
      </c>
      <c r="C2982" s="49">
        <f>HLOOKUP("# Cores",'vHosts (Imported)'!$1:$5000,M2982,FALSE)</f>
        <v>0</v>
      </c>
      <c r="D2982" s="52">
        <f>HLOOKUP("# Memory",'vHosts (Imported)'!$1:$5000,M2982,FALSE)</f>
        <v>0</v>
      </c>
      <c r="M2982" s="45">
        <f t="shared" si="140"/>
        <v>2982</v>
      </c>
      <c r="N2982" s="38">
        <f>HLOOKUP("Host",'vInfo (Imported)'!$1:$5000,M2982,FALSE)</f>
        <v>0</v>
      </c>
      <c r="R2982">
        <f>HLOOKUP("CPUs",'vInfo (Imported)'!$1:$5000,M2982,FALSE)</f>
        <v>0</v>
      </c>
      <c r="S2982">
        <f>HLOOKUP("Memory",'vInfo (Imported)'!$1:$5000,M2982,FALSE)</f>
        <v>0</v>
      </c>
      <c r="T2982">
        <f>HLOOKUP("Provisioned MiB",'vInfo (Imported)'!$1:$5000,M2982,FALSE)</f>
        <v>0</v>
      </c>
      <c r="U2982">
        <f t="shared" si="139"/>
        <v>0</v>
      </c>
      <c r="V2982">
        <f>HLOOKUP("In Use MiB",'vInfo (Imported)'!$1:$5000,M2982,FALSE)</f>
        <v>0</v>
      </c>
    </row>
    <row r="2983" spans="1:22" ht="13" x14ac:dyDescent="0.3">
      <c r="A2983" s="46">
        <f>'vHosts (Imported)'!A2983</f>
        <v>0</v>
      </c>
      <c r="B2983" s="51">
        <f t="shared" si="138"/>
        <v>4968</v>
      </c>
      <c r="C2983" s="49">
        <f>HLOOKUP("# Cores",'vHosts (Imported)'!$1:$5000,M2983,FALSE)</f>
        <v>0</v>
      </c>
      <c r="D2983" s="52">
        <f>HLOOKUP("# Memory",'vHosts (Imported)'!$1:$5000,M2983,FALSE)</f>
        <v>0</v>
      </c>
      <c r="M2983" s="45">
        <f t="shared" si="140"/>
        <v>2983</v>
      </c>
      <c r="N2983" s="38">
        <f>HLOOKUP("Host",'vInfo (Imported)'!$1:$5000,M2983,FALSE)</f>
        <v>0</v>
      </c>
      <c r="R2983">
        <f>HLOOKUP("CPUs",'vInfo (Imported)'!$1:$5000,M2983,FALSE)</f>
        <v>0</v>
      </c>
      <c r="S2983">
        <f>HLOOKUP("Memory",'vInfo (Imported)'!$1:$5000,M2983,FALSE)</f>
        <v>0</v>
      </c>
      <c r="T2983">
        <f>HLOOKUP("Provisioned MiB",'vInfo (Imported)'!$1:$5000,M2983,FALSE)</f>
        <v>0</v>
      </c>
      <c r="U2983">
        <f t="shared" si="139"/>
        <v>0</v>
      </c>
      <c r="V2983">
        <f>HLOOKUP("In Use MiB",'vInfo (Imported)'!$1:$5000,M2983,FALSE)</f>
        <v>0</v>
      </c>
    </row>
    <row r="2984" spans="1:22" ht="13" x14ac:dyDescent="0.3">
      <c r="A2984" s="46">
        <f>'vHosts (Imported)'!A2984</f>
        <v>0</v>
      </c>
      <c r="B2984" s="51">
        <f t="shared" ref="B2984:B3047" si="141">COUNTIF(N:N,A2984)</f>
        <v>4968</v>
      </c>
      <c r="C2984" s="49">
        <f>HLOOKUP("# Cores",'vHosts (Imported)'!$1:$5000,M2984,FALSE)</f>
        <v>0</v>
      </c>
      <c r="D2984" s="52">
        <f>HLOOKUP("# Memory",'vHosts (Imported)'!$1:$5000,M2984,FALSE)</f>
        <v>0</v>
      </c>
      <c r="M2984" s="45">
        <f t="shared" si="140"/>
        <v>2984</v>
      </c>
      <c r="N2984" s="38">
        <f>HLOOKUP("Host",'vInfo (Imported)'!$1:$5000,M2984,FALSE)</f>
        <v>0</v>
      </c>
      <c r="R2984">
        <f>HLOOKUP("CPUs",'vInfo (Imported)'!$1:$5000,M2984,FALSE)</f>
        <v>0</v>
      </c>
      <c r="S2984">
        <f>HLOOKUP("Memory",'vInfo (Imported)'!$1:$5000,M2984,FALSE)</f>
        <v>0</v>
      </c>
      <c r="T2984">
        <f>HLOOKUP("Provisioned MiB",'vInfo (Imported)'!$1:$5000,M2984,FALSE)</f>
        <v>0</v>
      </c>
      <c r="U2984">
        <f t="shared" si="139"/>
        <v>0</v>
      </c>
      <c r="V2984">
        <f>HLOOKUP("In Use MiB",'vInfo (Imported)'!$1:$5000,M2984,FALSE)</f>
        <v>0</v>
      </c>
    </row>
    <row r="2985" spans="1:22" ht="13" x14ac:dyDescent="0.3">
      <c r="A2985" s="46">
        <f>'vHosts (Imported)'!A2985</f>
        <v>0</v>
      </c>
      <c r="B2985" s="51">
        <f t="shared" si="141"/>
        <v>4968</v>
      </c>
      <c r="C2985" s="49">
        <f>HLOOKUP("# Cores",'vHosts (Imported)'!$1:$5000,M2985,FALSE)</f>
        <v>0</v>
      </c>
      <c r="D2985" s="52">
        <f>HLOOKUP("# Memory",'vHosts (Imported)'!$1:$5000,M2985,FALSE)</f>
        <v>0</v>
      </c>
      <c r="M2985" s="45">
        <f t="shared" si="140"/>
        <v>2985</v>
      </c>
      <c r="N2985" s="38">
        <f>HLOOKUP("Host",'vInfo (Imported)'!$1:$5000,M2985,FALSE)</f>
        <v>0</v>
      </c>
      <c r="R2985">
        <f>HLOOKUP("CPUs",'vInfo (Imported)'!$1:$5000,M2985,FALSE)</f>
        <v>0</v>
      </c>
      <c r="S2985">
        <f>HLOOKUP("Memory",'vInfo (Imported)'!$1:$5000,M2985,FALSE)</f>
        <v>0</v>
      </c>
      <c r="T2985">
        <f>HLOOKUP("Provisioned MiB",'vInfo (Imported)'!$1:$5000,M2985,FALSE)</f>
        <v>0</v>
      </c>
      <c r="U2985">
        <f t="shared" si="139"/>
        <v>0</v>
      </c>
      <c r="V2985">
        <f>HLOOKUP("In Use MiB",'vInfo (Imported)'!$1:$5000,M2985,FALSE)</f>
        <v>0</v>
      </c>
    </row>
    <row r="2986" spans="1:22" ht="13" x14ac:dyDescent="0.3">
      <c r="A2986" s="46">
        <f>'vHosts (Imported)'!A2986</f>
        <v>0</v>
      </c>
      <c r="B2986" s="51">
        <f t="shared" si="141"/>
        <v>4968</v>
      </c>
      <c r="C2986" s="49">
        <f>HLOOKUP("# Cores",'vHosts (Imported)'!$1:$5000,M2986,FALSE)</f>
        <v>0</v>
      </c>
      <c r="D2986" s="52">
        <f>HLOOKUP("# Memory",'vHosts (Imported)'!$1:$5000,M2986,FALSE)</f>
        <v>0</v>
      </c>
      <c r="M2986" s="45">
        <f t="shared" si="140"/>
        <v>2986</v>
      </c>
      <c r="N2986" s="38">
        <f>HLOOKUP("Host",'vInfo (Imported)'!$1:$5000,M2986,FALSE)</f>
        <v>0</v>
      </c>
      <c r="R2986">
        <f>HLOOKUP("CPUs",'vInfo (Imported)'!$1:$5000,M2986,FALSE)</f>
        <v>0</v>
      </c>
      <c r="S2986">
        <f>HLOOKUP("Memory",'vInfo (Imported)'!$1:$5000,M2986,FALSE)</f>
        <v>0</v>
      </c>
      <c r="T2986">
        <f>HLOOKUP("Provisioned MiB",'vInfo (Imported)'!$1:$5000,M2986,FALSE)</f>
        <v>0</v>
      </c>
      <c r="U2986">
        <f t="shared" si="139"/>
        <v>0</v>
      </c>
      <c r="V2986">
        <f>HLOOKUP("In Use MiB",'vInfo (Imported)'!$1:$5000,M2986,FALSE)</f>
        <v>0</v>
      </c>
    </row>
    <row r="2987" spans="1:22" ht="13" x14ac:dyDescent="0.3">
      <c r="A2987" s="46">
        <f>'vHosts (Imported)'!A2987</f>
        <v>0</v>
      </c>
      <c r="B2987" s="51">
        <f t="shared" si="141"/>
        <v>4968</v>
      </c>
      <c r="C2987" s="49">
        <f>HLOOKUP("# Cores",'vHosts (Imported)'!$1:$5000,M2987,FALSE)</f>
        <v>0</v>
      </c>
      <c r="D2987" s="52">
        <f>HLOOKUP("# Memory",'vHosts (Imported)'!$1:$5000,M2987,FALSE)</f>
        <v>0</v>
      </c>
      <c r="M2987" s="45">
        <f t="shared" si="140"/>
        <v>2987</v>
      </c>
      <c r="N2987" s="38">
        <f>HLOOKUP("Host",'vInfo (Imported)'!$1:$5000,M2987,FALSE)</f>
        <v>0</v>
      </c>
      <c r="R2987">
        <f>HLOOKUP("CPUs",'vInfo (Imported)'!$1:$5000,M2987,FALSE)</f>
        <v>0</v>
      </c>
      <c r="S2987">
        <f>HLOOKUP("Memory",'vInfo (Imported)'!$1:$5000,M2987,FALSE)</f>
        <v>0</v>
      </c>
      <c r="T2987">
        <f>HLOOKUP("Provisioned MiB",'vInfo (Imported)'!$1:$5000,M2987,FALSE)</f>
        <v>0</v>
      </c>
      <c r="U2987">
        <f t="shared" si="139"/>
        <v>0</v>
      </c>
      <c r="V2987">
        <f>HLOOKUP("In Use MiB",'vInfo (Imported)'!$1:$5000,M2987,FALSE)</f>
        <v>0</v>
      </c>
    </row>
    <row r="2988" spans="1:22" ht="13" x14ac:dyDescent="0.3">
      <c r="A2988" s="46">
        <f>'vHosts (Imported)'!A2988</f>
        <v>0</v>
      </c>
      <c r="B2988" s="51">
        <f t="shared" si="141"/>
        <v>4968</v>
      </c>
      <c r="C2988" s="49">
        <f>HLOOKUP("# Cores",'vHosts (Imported)'!$1:$5000,M2988,FALSE)</f>
        <v>0</v>
      </c>
      <c r="D2988" s="52">
        <f>HLOOKUP("# Memory",'vHosts (Imported)'!$1:$5000,M2988,FALSE)</f>
        <v>0</v>
      </c>
      <c r="M2988" s="45">
        <f t="shared" si="140"/>
        <v>2988</v>
      </c>
      <c r="N2988" s="38">
        <f>HLOOKUP("Host",'vInfo (Imported)'!$1:$5000,M2988,FALSE)</f>
        <v>0</v>
      </c>
      <c r="R2988">
        <f>HLOOKUP("CPUs",'vInfo (Imported)'!$1:$5000,M2988,FALSE)</f>
        <v>0</v>
      </c>
      <c r="S2988">
        <f>HLOOKUP("Memory",'vInfo (Imported)'!$1:$5000,M2988,FALSE)</f>
        <v>0</v>
      </c>
      <c r="T2988">
        <f>HLOOKUP("Provisioned MiB",'vInfo (Imported)'!$1:$5000,M2988,FALSE)</f>
        <v>0</v>
      </c>
      <c r="U2988">
        <f t="shared" si="139"/>
        <v>0</v>
      </c>
      <c r="V2988">
        <f>HLOOKUP("In Use MiB",'vInfo (Imported)'!$1:$5000,M2988,FALSE)</f>
        <v>0</v>
      </c>
    </row>
    <row r="2989" spans="1:22" ht="13" x14ac:dyDescent="0.3">
      <c r="A2989" s="46">
        <f>'vHosts (Imported)'!A2989</f>
        <v>0</v>
      </c>
      <c r="B2989" s="51">
        <f t="shared" si="141"/>
        <v>4968</v>
      </c>
      <c r="C2989" s="49">
        <f>HLOOKUP("# Cores",'vHosts (Imported)'!$1:$5000,M2989,FALSE)</f>
        <v>0</v>
      </c>
      <c r="D2989" s="52">
        <f>HLOOKUP("# Memory",'vHosts (Imported)'!$1:$5000,M2989,FALSE)</f>
        <v>0</v>
      </c>
      <c r="M2989" s="45">
        <f t="shared" si="140"/>
        <v>2989</v>
      </c>
      <c r="N2989" s="38">
        <f>HLOOKUP("Host",'vInfo (Imported)'!$1:$5000,M2989,FALSE)</f>
        <v>0</v>
      </c>
      <c r="R2989">
        <f>HLOOKUP("CPUs",'vInfo (Imported)'!$1:$5000,M2989,FALSE)</f>
        <v>0</v>
      </c>
      <c r="S2989">
        <f>HLOOKUP("Memory",'vInfo (Imported)'!$1:$5000,M2989,FALSE)</f>
        <v>0</v>
      </c>
      <c r="T2989">
        <f>HLOOKUP("Provisioned MiB",'vInfo (Imported)'!$1:$5000,M2989,FALSE)</f>
        <v>0</v>
      </c>
      <c r="U2989">
        <f t="shared" si="139"/>
        <v>0</v>
      </c>
      <c r="V2989">
        <f>HLOOKUP("In Use MiB",'vInfo (Imported)'!$1:$5000,M2989,FALSE)</f>
        <v>0</v>
      </c>
    </row>
    <row r="2990" spans="1:22" ht="13" x14ac:dyDescent="0.3">
      <c r="A2990" s="46">
        <f>'vHosts (Imported)'!A2990</f>
        <v>0</v>
      </c>
      <c r="B2990" s="51">
        <f t="shared" si="141"/>
        <v>4968</v>
      </c>
      <c r="C2990" s="49">
        <f>HLOOKUP("# Cores",'vHosts (Imported)'!$1:$5000,M2990,FALSE)</f>
        <v>0</v>
      </c>
      <c r="D2990" s="52">
        <f>HLOOKUP("# Memory",'vHosts (Imported)'!$1:$5000,M2990,FALSE)</f>
        <v>0</v>
      </c>
      <c r="M2990" s="45">
        <f t="shared" si="140"/>
        <v>2990</v>
      </c>
      <c r="N2990" s="38">
        <f>HLOOKUP("Host",'vInfo (Imported)'!$1:$5000,M2990,FALSE)</f>
        <v>0</v>
      </c>
      <c r="R2990">
        <f>HLOOKUP("CPUs",'vInfo (Imported)'!$1:$5000,M2990,FALSE)</f>
        <v>0</v>
      </c>
      <c r="S2990">
        <f>HLOOKUP("Memory",'vInfo (Imported)'!$1:$5000,M2990,FALSE)</f>
        <v>0</v>
      </c>
      <c r="T2990">
        <f>HLOOKUP("Provisioned MiB",'vInfo (Imported)'!$1:$5000,M2990,FALSE)</f>
        <v>0</v>
      </c>
      <c r="U2990">
        <f t="shared" si="139"/>
        <v>0</v>
      </c>
      <c r="V2990">
        <f>HLOOKUP("In Use MiB",'vInfo (Imported)'!$1:$5000,M2990,FALSE)</f>
        <v>0</v>
      </c>
    </row>
    <row r="2991" spans="1:22" ht="13" x14ac:dyDescent="0.3">
      <c r="A2991" s="46">
        <f>'vHosts (Imported)'!A2991</f>
        <v>0</v>
      </c>
      <c r="B2991" s="51">
        <f t="shared" si="141"/>
        <v>4968</v>
      </c>
      <c r="C2991" s="49">
        <f>HLOOKUP("# Cores",'vHosts (Imported)'!$1:$5000,M2991,FALSE)</f>
        <v>0</v>
      </c>
      <c r="D2991" s="52">
        <f>HLOOKUP("# Memory",'vHosts (Imported)'!$1:$5000,M2991,FALSE)</f>
        <v>0</v>
      </c>
      <c r="M2991" s="45">
        <f t="shared" si="140"/>
        <v>2991</v>
      </c>
      <c r="N2991" s="38">
        <f>HLOOKUP("Host",'vInfo (Imported)'!$1:$5000,M2991,FALSE)</f>
        <v>0</v>
      </c>
      <c r="R2991">
        <f>HLOOKUP("CPUs",'vInfo (Imported)'!$1:$5000,M2991,FALSE)</f>
        <v>0</v>
      </c>
      <c r="S2991">
        <f>HLOOKUP("Memory",'vInfo (Imported)'!$1:$5000,M2991,FALSE)</f>
        <v>0</v>
      </c>
      <c r="T2991">
        <f>HLOOKUP("Provisioned MiB",'vInfo (Imported)'!$1:$5000,M2991,FALSE)</f>
        <v>0</v>
      </c>
      <c r="U2991">
        <f t="shared" si="139"/>
        <v>0</v>
      </c>
      <c r="V2991">
        <f>HLOOKUP("In Use MiB",'vInfo (Imported)'!$1:$5000,M2991,FALSE)</f>
        <v>0</v>
      </c>
    </row>
    <row r="2992" spans="1:22" ht="13" x14ac:dyDescent="0.3">
      <c r="A2992" s="46">
        <f>'vHosts (Imported)'!A2992</f>
        <v>0</v>
      </c>
      <c r="B2992" s="51">
        <f t="shared" si="141"/>
        <v>4968</v>
      </c>
      <c r="C2992" s="49">
        <f>HLOOKUP("# Cores",'vHosts (Imported)'!$1:$5000,M2992,FALSE)</f>
        <v>0</v>
      </c>
      <c r="D2992" s="52">
        <f>HLOOKUP("# Memory",'vHosts (Imported)'!$1:$5000,M2992,FALSE)</f>
        <v>0</v>
      </c>
      <c r="M2992" s="45">
        <f t="shared" si="140"/>
        <v>2992</v>
      </c>
      <c r="N2992" s="38">
        <f>HLOOKUP("Host",'vInfo (Imported)'!$1:$5000,M2992,FALSE)</f>
        <v>0</v>
      </c>
      <c r="R2992">
        <f>HLOOKUP("CPUs",'vInfo (Imported)'!$1:$5000,M2992,FALSE)</f>
        <v>0</v>
      </c>
      <c r="S2992">
        <f>HLOOKUP("Memory",'vInfo (Imported)'!$1:$5000,M2992,FALSE)</f>
        <v>0</v>
      </c>
      <c r="T2992">
        <f>HLOOKUP("Provisioned MiB",'vInfo (Imported)'!$1:$5000,M2992,FALSE)</f>
        <v>0</v>
      </c>
      <c r="U2992">
        <f t="shared" si="139"/>
        <v>0</v>
      </c>
      <c r="V2992">
        <f>HLOOKUP("In Use MiB",'vInfo (Imported)'!$1:$5000,M2992,FALSE)</f>
        <v>0</v>
      </c>
    </row>
    <row r="2993" spans="1:22" ht="13" x14ac:dyDescent="0.3">
      <c r="A2993" s="46">
        <f>'vHosts (Imported)'!A2993</f>
        <v>0</v>
      </c>
      <c r="B2993" s="51">
        <f t="shared" si="141"/>
        <v>4968</v>
      </c>
      <c r="C2993" s="49">
        <f>HLOOKUP("# Cores",'vHosts (Imported)'!$1:$5000,M2993,FALSE)</f>
        <v>0</v>
      </c>
      <c r="D2993" s="52">
        <f>HLOOKUP("# Memory",'vHosts (Imported)'!$1:$5000,M2993,FALSE)</f>
        <v>0</v>
      </c>
      <c r="M2993" s="45">
        <f t="shared" si="140"/>
        <v>2993</v>
      </c>
      <c r="N2993" s="38">
        <f>HLOOKUP("Host",'vInfo (Imported)'!$1:$5000,M2993,FALSE)</f>
        <v>0</v>
      </c>
      <c r="R2993">
        <f>HLOOKUP("CPUs",'vInfo (Imported)'!$1:$5000,M2993,FALSE)</f>
        <v>0</v>
      </c>
      <c r="S2993">
        <f>HLOOKUP("Memory",'vInfo (Imported)'!$1:$5000,M2993,FALSE)</f>
        <v>0</v>
      </c>
      <c r="T2993">
        <f>HLOOKUP("Provisioned MiB",'vInfo (Imported)'!$1:$5000,M2993,FALSE)</f>
        <v>0</v>
      </c>
      <c r="U2993">
        <f t="shared" si="139"/>
        <v>0</v>
      </c>
      <c r="V2993">
        <f>HLOOKUP("In Use MiB",'vInfo (Imported)'!$1:$5000,M2993,FALSE)</f>
        <v>0</v>
      </c>
    </row>
    <row r="2994" spans="1:22" ht="13" x14ac:dyDescent="0.3">
      <c r="A2994" s="46">
        <f>'vHosts (Imported)'!A2994</f>
        <v>0</v>
      </c>
      <c r="B2994" s="51">
        <f t="shared" si="141"/>
        <v>4968</v>
      </c>
      <c r="C2994" s="49">
        <f>HLOOKUP("# Cores",'vHosts (Imported)'!$1:$5000,M2994,FALSE)</f>
        <v>0</v>
      </c>
      <c r="D2994" s="52">
        <f>HLOOKUP("# Memory",'vHosts (Imported)'!$1:$5000,M2994,FALSE)</f>
        <v>0</v>
      </c>
      <c r="M2994" s="45">
        <f t="shared" si="140"/>
        <v>2994</v>
      </c>
      <c r="N2994" s="38">
        <f>HLOOKUP("Host",'vInfo (Imported)'!$1:$5000,M2994,FALSE)</f>
        <v>0</v>
      </c>
      <c r="R2994">
        <f>HLOOKUP("CPUs",'vInfo (Imported)'!$1:$5000,M2994,FALSE)</f>
        <v>0</v>
      </c>
      <c r="S2994">
        <f>HLOOKUP("Memory",'vInfo (Imported)'!$1:$5000,M2994,FALSE)</f>
        <v>0</v>
      </c>
      <c r="T2994">
        <f>HLOOKUP("Provisioned MiB",'vInfo (Imported)'!$1:$5000,M2994,FALSE)</f>
        <v>0</v>
      </c>
      <c r="U2994">
        <f t="shared" si="139"/>
        <v>0</v>
      </c>
      <c r="V2994">
        <f>HLOOKUP("In Use MiB",'vInfo (Imported)'!$1:$5000,M2994,FALSE)</f>
        <v>0</v>
      </c>
    </row>
    <row r="2995" spans="1:22" ht="13" x14ac:dyDescent="0.3">
      <c r="A2995" s="46">
        <f>'vHosts (Imported)'!A2995</f>
        <v>0</v>
      </c>
      <c r="B2995" s="51">
        <f t="shared" si="141"/>
        <v>4968</v>
      </c>
      <c r="C2995" s="49">
        <f>HLOOKUP("# Cores",'vHosts (Imported)'!$1:$5000,M2995,FALSE)</f>
        <v>0</v>
      </c>
      <c r="D2995" s="52">
        <f>HLOOKUP("# Memory",'vHosts (Imported)'!$1:$5000,M2995,FALSE)</f>
        <v>0</v>
      </c>
      <c r="M2995" s="45">
        <f t="shared" si="140"/>
        <v>2995</v>
      </c>
      <c r="N2995" s="38">
        <f>HLOOKUP("Host",'vInfo (Imported)'!$1:$5000,M2995,FALSE)</f>
        <v>0</v>
      </c>
      <c r="R2995">
        <f>HLOOKUP("CPUs",'vInfo (Imported)'!$1:$5000,M2995,FALSE)</f>
        <v>0</v>
      </c>
      <c r="S2995">
        <f>HLOOKUP("Memory",'vInfo (Imported)'!$1:$5000,M2995,FALSE)</f>
        <v>0</v>
      </c>
      <c r="T2995">
        <f>HLOOKUP("Provisioned MiB",'vInfo (Imported)'!$1:$5000,M2995,FALSE)</f>
        <v>0</v>
      </c>
      <c r="U2995">
        <f t="shared" si="139"/>
        <v>0</v>
      </c>
      <c r="V2995">
        <f>HLOOKUP("In Use MiB",'vInfo (Imported)'!$1:$5000,M2995,FALSE)</f>
        <v>0</v>
      </c>
    </row>
    <row r="2996" spans="1:22" ht="13" x14ac:dyDescent="0.3">
      <c r="A2996" s="46">
        <f>'vHosts (Imported)'!A2996</f>
        <v>0</v>
      </c>
      <c r="B2996" s="51">
        <f t="shared" si="141"/>
        <v>4968</v>
      </c>
      <c r="C2996" s="49">
        <f>HLOOKUP("# Cores",'vHosts (Imported)'!$1:$5000,M2996,FALSE)</f>
        <v>0</v>
      </c>
      <c r="D2996" s="52">
        <f>HLOOKUP("# Memory",'vHosts (Imported)'!$1:$5000,M2996,FALSE)</f>
        <v>0</v>
      </c>
      <c r="M2996" s="45">
        <f t="shared" si="140"/>
        <v>2996</v>
      </c>
      <c r="N2996" s="38">
        <f>HLOOKUP("Host",'vInfo (Imported)'!$1:$5000,M2996,FALSE)</f>
        <v>0</v>
      </c>
      <c r="R2996">
        <f>HLOOKUP("CPUs",'vInfo (Imported)'!$1:$5000,M2996,FALSE)</f>
        <v>0</v>
      </c>
      <c r="S2996">
        <f>HLOOKUP("Memory",'vInfo (Imported)'!$1:$5000,M2996,FALSE)</f>
        <v>0</v>
      </c>
      <c r="T2996">
        <f>HLOOKUP("Provisioned MiB",'vInfo (Imported)'!$1:$5000,M2996,FALSE)</f>
        <v>0</v>
      </c>
      <c r="U2996">
        <f t="shared" si="139"/>
        <v>0</v>
      </c>
      <c r="V2996">
        <f>HLOOKUP("In Use MiB",'vInfo (Imported)'!$1:$5000,M2996,FALSE)</f>
        <v>0</v>
      </c>
    </row>
    <row r="2997" spans="1:22" ht="13" x14ac:dyDescent="0.3">
      <c r="A2997" s="46">
        <f>'vHosts (Imported)'!A2997</f>
        <v>0</v>
      </c>
      <c r="B2997" s="51">
        <f t="shared" si="141"/>
        <v>4968</v>
      </c>
      <c r="C2997" s="49">
        <f>HLOOKUP("# Cores",'vHosts (Imported)'!$1:$5000,M2997,FALSE)</f>
        <v>0</v>
      </c>
      <c r="D2997" s="52">
        <f>HLOOKUP("# Memory",'vHosts (Imported)'!$1:$5000,M2997,FALSE)</f>
        <v>0</v>
      </c>
      <c r="M2997" s="45">
        <f t="shared" si="140"/>
        <v>2997</v>
      </c>
      <c r="N2997" s="38">
        <f>HLOOKUP("Host",'vInfo (Imported)'!$1:$5000,M2997,FALSE)</f>
        <v>0</v>
      </c>
      <c r="R2997">
        <f>HLOOKUP("CPUs",'vInfo (Imported)'!$1:$5000,M2997,FALSE)</f>
        <v>0</v>
      </c>
      <c r="S2997">
        <f>HLOOKUP("Memory",'vInfo (Imported)'!$1:$5000,M2997,FALSE)</f>
        <v>0</v>
      </c>
      <c r="T2997">
        <f>HLOOKUP("Provisioned MiB",'vInfo (Imported)'!$1:$5000,M2997,FALSE)</f>
        <v>0</v>
      </c>
      <c r="U2997">
        <f t="shared" si="139"/>
        <v>0</v>
      </c>
      <c r="V2997">
        <f>HLOOKUP("In Use MiB",'vInfo (Imported)'!$1:$5000,M2997,FALSE)</f>
        <v>0</v>
      </c>
    </row>
    <row r="2998" spans="1:22" ht="13" x14ac:dyDescent="0.3">
      <c r="A2998" s="46">
        <f>'vHosts (Imported)'!A2998</f>
        <v>0</v>
      </c>
      <c r="B2998" s="51">
        <f t="shared" si="141"/>
        <v>4968</v>
      </c>
      <c r="C2998" s="49">
        <f>HLOOKUP("# Cores",'vHosts (Imported)'!$1:$5000,M2998,FALSE)</f>
        <v>0</v>
      </c>
      <c r="D2998" s="52">
        <f>HLOOKUP("# Memory",'vHosts (Imported)'!$1:$5000,M2998,FALSE)</f>
        <v>0</v>
      </c>
      <c r="M2998" s="45">
        <f t="shared" si="140"/>
        <v>2998</v>
      </c>
      <c r="N2998" s="38">
        <f>HLOOKUP("Host",'vInfo (Imported)'!$1:$5000,M2998,FALSE)</f>
        <v>0</v>
      </c>
      <c r="R2998">
        <f>HLOOKUP("CPUs",'vInfo (Imported)'!$1:$5000,M2998,FALSE)</f>
        <v>0</v>
      </c>
      <c r="S2998">
        <f>HLOOKUP("Memory",'vInfo (Imported)'!$1:$5000,M2998,FALSE)</f>
        <v>0</v>
      </c>
      <c r="T2998">
        <f>HLOOKUP("Provisioned MiB",'vInfo (Imported)'!$1:$5000,M2998,FALSE)</f>
        <v>0</v>
      </c>
      <c r="U2998">
        <f t="shared" si="139"/>
        <v>0</v>
      </c>
      <c r="V2998">
        <f>HLOOKUP("In Use MiB",'vInfo (Imported)'!$1:$5000,M2998,FALSE)</f>
        <v>0</v>
      </c>
    </row>
    <row r="2999" spans="1:22" ht="13" x14ac:dyDescent="0.3">
      <c r="A2999" s="46">
        <f>'vHosts (Imported)'!A2999</f>
        <v>0</v>
      </c>
      <c r="B2999" s="51">
        <f t="shared" si="141"/>
        <v>4968</v>
      </c>
      <c r="C2999" s="49">
        <f>HLOOKUP("# Cores",'vHosts (Imported)'!$1:$5000,M2999,FALSE)</f>
        <v>0</v>
      </c>
      <c r="D2999" s="52">
        <f>HLOOKUP("# Memory",'vHosts (Imported)'!$1:$5000,M2999,FALSE)</f>
        <v>0</v>
      </c>
      <c r="M2999" s="45">
        <f t="shared" si="140"/>
        <v>2999</v>
      </c>
      <c r="N2999" s="38">
        <f>HLOOKUP("Host",'vInfo (Imported)'!$1:$5000,M2999,FALSE)</f>
        <v>0</v>
      </c>
      <c r="R2999">
        <f>HLOOKUP("CPUs",'vInfo (Imported)'!$1:$5000,M2999,FALSE)</f>
        <v>0</v>
      </c>
      <c r="S2999">
        <f>HLOOKUP("Memory",'vInfo (Imported)'!$1:$5000,M2999,FALSE)</f>
        <v>0</v>
      </c>
      <c r="T2999">
        <f>HLOOKUP("Provisioned MiB",'vInfo (Imported)'!$1:$5000,M2999,FALSE)</f>
        <v>0</v>
      </c>
      <c r="U2999">
        <f t="shared" si="139"/>
        <v>0</v>
      </c>
      <c r="V2999">
        <f>HLOOKUP("In Use MiB",'vInfo (Imported)'!$1:$5000,M2999,FALSE)</f>
        <v>0</v>
      </c>
    </row>
    <row r="3000" spans="1:22" ht="13" x14ac:dyDescent="0.3">
      <c r="A3000" s="46">
        <f>'vHosts (Imported)'!A3000</f>
        <v>0</v>
      </c>
      <c r="B3000" s="51">
        <f t="shared" si="141"/>
        <v>4968</v>
      </c>
      <c r="C3000" s="49">
        <f>HLOOKUP("# Cores",'vHosts (Imported)'!$1:$5000,M3000,FALSE)</f>
        <v>0</v>
      </c>
      <c r="D3000" s="52">
        <f>HLOOKUP("# Memory",'vHosts (Imported)'!$1:$5000,M3000,FALSE)</f>
        <v>0</v>
      </c>
      <c r="M3000" s="45">
        <f t="shared" si="140"/>
        <v>3000</v>
      </c>
      <c r="N3000" s="38">
        <f>HLOOKUP("Host",'vInfo (Imported)'!$1:$5000,M3000,FALSE)</f>
        <v>0</v>
      </c>
      <c r="R3000">
        <f>HLOOKUP("CPUs",'vInfo (Imported)'!$1:$5000,M3000,FALSE)</f>
        <v>0</v>
      </c>
      <c r="S3000">
        <f>HLOOKUP("Memory",'vInfo (Imported)'!$1:$5000,M3000,FALSE)</f>
        <v>0</v>
      </c>
      <c r="T3000">
        <f>HLOOKUP("Provisioned MiB",'vInfo (Imported)'!$1:$5000,M3000,FALSE)</f>
        <v>0</v>
      </c>
      <c r="U3000">
        <f t="shared" si="139"/>
        <v>0</v>
      </c>
      <c r="V3000">
        <f>HLOOKUP("In Use MiB",'vInfo (Imported)'!$1:$5000,M3000,FALSE)</f>
        <v>0</v>
      </c>
    </row>
    <row r="3001" spans="1:22" ht="13" x14ac:dyDescent="0.3">
      <c r="A3001" s="46">
        <f>'vHosts (Imported)'!A3001</f>
        <v>0</v>
      </c>
      <c r="B3001" s="51">
        <f t="shared" si="141"/>
        <v>4968</v>
      </c>
      <c r="C3001" s="49">
        <f>HLOOKUP("# Cores",'vHosts (Imported)'!$1:$5000,M3001,FALSE)</f>
        <v>0</v>
      </c>
      <c r="D3001" s="52">
        <f>HLOOKUP("# Memory",'vHosts (Imported)'!$1:$5000,M3001,FALSE)</f>
        <v>0</v>
      </c>
      <c r="M3001" s="45">
        <f t="shared" si="140"/>
        <v>3001</v>
      </c>
      <c r="N3001" s="38">
        <f>HLOOKUP("Host",'vInfo (Imported)'!$1:$5000,M3001,FALSE)</f>
        <v>0</v>
      </c>
      <c r="R3001">
        <f>HLOOKUP("CPUs",'vInfo (Imported)'!$1:$5000,M3001,FALSE)</f>
        <v>0</v>
      </c>
      <c r="S3001">
        <f>HLOOKUP("Memory",'vInfo (Imported)'!$1:$5000,M3001,FALSE)</f>
        <v>0</v>
      </c>
      <c r="T3001">
        <f>HLOOKUP("Provisioned MiB",'vInfo (Imported)'!$1:$5000,M3001,FALSE)</f>
        <v>0</v>
      </c>
      <c r="U3001">
        <f t="shared" si="139"/>
        <v>0</v>
      </c>
      <c r="V3001">
        <f>HLOOKUP("In Use MiB",'vInfo (Imported)'!$1:$5000,M3001,FALSE)</f>
        <v>0</v>
      </c>
    </row>
    <row r="3002" spans="1:22" ht="13" x14ac:dyDescent="0.3">
      <c r="A3002" s="46">
        <f>'vHosts (Imported)'!A3002</f>
        <v>0</v>
      </c>
      <c r="B3002" s="51">
        <f t="shared" si="141"/>
        <v>4968</v>
      </c>
      <c r="C3002" s="49">
        <f>HLOOKUP("# Cores",'vHosts (Imported)'!$1:$5000,M3002,FALSE)</f>
        <v>0</v>
      </c>
      <c r="D3002" s="52">
        <f>HLOOKUP("# Memory",'vHosts (Imported)'!$1:$5000,M3002,FALSE)</f>
        <v>0</v>
      </c>
      <c r="M3002" s="45">
        <f t="shared" si="140"/>
        <v>3002</v>
      </c>
      <c r="N3002" s="38">
        <f>HLOOKUP("Host",'vInfo (Imported)'!$1:$5000,M3002,FALSE)</f>
        <v>0</v>
      </c>
      <c r="R3002">
        <f>HLOOKUP("CPUs",'vInfo (Imported)'!$1:$5000,M3002,FALSE)</f>
        <v>0</v>
      </c>
      <c r="S3002">
        <f>HLOOKUP("Memory",'vInfo (Imported)'!$1:$5000,M3002,FALSE)</f>
        <v>0</v>
      </c>
      <c r="T3002">
        <f>HLOOKUP("Provisioned MiB",'vInfo (Imported)'!$1:$5000,M3002,FALSE)</f>
        <v>0</v>
      </c>
      <c r="U3002">
        <f t="shared" si="139"/>
        <v>0</v>
      </c>
      <c r="V3002">
        <f>HLOOKUP("In Use MiB",'vInfo (Imported)'!$1:$5000,M3002,FALSE)</f>
        <v>0</v>
      </c>
    </row>
    <row r="3003" spans="1:22" ht="13" x14ac:dyDescent="0.3">
      <c r="A3003" s="46">
        <f>'vHosts (Imported)'!A3003</f>
        <v>0</v>
      </c>
      <c r="B3003" s="51">
        <f t="shared" si="141"/>
        <v>4968</v>
      </c>
      <c r="C3003" s="49">
        <f>HLOOKUP("# Cores",'vHosts (Imported)'!$1:$5000,M3003,FALSE)</f>
        <v>0</v>
      </c>
      <c r="D3003" s="52">
        <f>HLOOKUP("# Memory",'vHosts (Imported)'!$1:$5000,M3003,FALSE)</f>
        <v>0</v>
      </c>
      <c r="M3003" s="45">
        <f t="shared" si="140"/>
        <v>3003</v>
      </c>
      <c r="N3003" s="38">
        <f>HLOOKUP("Host",'vInfo (Imported)'!$1:$5000,M3003,FALSE)</f>
        <v>0</v>
      </c>
      <c r="R3003">
        <f>HLOOKUP("CPUs",'vInfo (Imported)'!$1:$5000,M3003,FALSE)</f>
        <v>0</v>
      </c>
      <c r="S3003">
        <f>HLOOKUP("Memory",'vInfo (Imported)'!$1:$5000,M3003,FALSE)</f>
        <v>0</v>
      </c>
      <c r="T3003">
        <f>HLOOKUP("Provisioned MiB",'vInfo (Imported)'!$1:$5000,M3003,FALSE)</f>
        <v>0</v>
      </c>
      <c r="U3003">
        <f t="shared" si="139"/>
        <v>0</v>
      </c>
      <c r="V3003">
        <f>HLOOKUP("In Use MiB",'vInfo (Imported)'!$1:$5000,M3003,FALSE)</f>
        <v>0</v>
      </c>
    </row>
    <row r="3004" spans="1:22" ht="13" x14ac:dyDescent="0.3">
      <c r="A3004" s="46">
        <f>'vHosts (Imported)'!A3004</f>
        <v>0</v>
      </c>
      <c r="B3004" s="51">
        <f t="shared" si="141"/>
        <v>4968</v>
      </c>
      <c r="C3004" s="49">
        <f>HLOOKUP("# Cores",'vHosts (Imported)'!$1:$5000,M3004,FALSE)</f>
        <v>0</v>
      </c>
      <c r="D3004" s="52">
        <f>HLOOKUP("# Memory",'vHosts (Imported)'!$1:$5000,M3004,FALSE)</f>
        <v>0</v>
      </c>
      <c r="M3004" s="45">
        <f t="shared" si="140"/>
        <v>3004</v>
      </c>
      <c r="N3004" s="38">
        <f>HLOOKUP("Host",'vInfo (Imported)'!$1:$5000,M3004,FALSE)</f>
        <v>0</v>
      </c>
      <c r="R3004">
        <f>HLOOKUP("CPUs",'vInfo (Imported)'!$1:$5000,M3004,FALSE)</f>
        <v>0</v>
      </c>
      <c r="S3004">
        <f>HLOOKUP("Memory",'vInfo (Imported)'!$1:$5000,M3004,FALSE)</f>
        <v>0</v>
      </c>
      <c r="T3004">
        <f>HLOOKUP("Provisioned MiB",'vInfo (Imported)'!$1:$5000,M3004,FALSE)</f>
        <v>0</v>
      </c>
      <c r="U3004">
        <f t="shared" si="139"/>
        <v>0</v>
      </c>
      <c r="V3004">
        <f>HLOOKUP("In Use MiB",'vInfo (Imported)'!$1:$5000,M3004,FALSE)</f>
        <v>0</v>
      </c>
    </row>
    <row r="3005" spans="1:22" ht="13" x14ac:dyDescent="0.3">
      <c r="A3005" s="46">
        <f>'vHosts (Imported)'!A3005</f>
        <v>0</v>
      </c>
      <c r="B3005" s="51">
        <f t="shared" si="141"/>
        <v>4968</v>
      </c>
      <c r="C3005" s="49">
        <f>HLOOKUP("# Cores",'vHosts (Imported)'!$1:$5000,M3005,FALSE)</f>
        <v>0</v>
      </c>
      <c r="D3005" s="52">
        <f>HLOOKUP("# Memory",'vHosts (Imported)'!$1:$5000,M3005,FALSE)</f>
        <v>0</v>
      </c>
      <c r="M3005" s="45">
        <f t="shared" si="140"/>
        <v>3005</v>
      </c>
      <c r="N3005" s="38">
        <f>HLOOKUP("Host",'vInfo (Imported)'!$1:$5000,M3005,FALSE)</f>
        <v>0</v>
      </c>
      <c r="R3005">
        <f>HLOOKUP("CPUs",'vInfo (Imported)'!$1:$5000,M3005,FALSE)</f>
        <v>0</v>
      </c>
      <c r="S3005">
        <f>HLOOKUP("Memory",'vInfo (Imported)'!$1:$5000,M3005,FALSE)</f>
        <v>0</v>
      </c>
      <c r="T3005">
        <f>HLOOKUP("Provisioned MiB",'vInfo (Imported)'!$1:$5000,M3005,FALSE)</f>
        <v>0</v>
      </c>
      <c r="U3005">
        <f t="shared" si="139"/>
        <v>0</v>
      </c>
      <c r="V3005">
        <f>HLOOKUP("In Use MiB",'vInfo (Imported)'!$1:$5000,M3005,FALSE)</f>
        <v>0</v>
      </c>
    </row>
    <row r="3006" spans="1:22" ht="13" x14ac:dyDescent="0.3">
      <c r="A3006" s="46">
        <f>'vHosts (Imported)'!A3006</f>
        <v>0</v>
      </c>
      <c r="B3006" s="51">
        <f t="shared" si="141"/>
        <v>4968</v>
      </c>
      <c r="C3006" s="49">
        <f>HLOOKUP("# Cores",'vHosts (Imported)'!$1:$5000,M3006,FALSE)</f>
        <v>0</v>
      </c>
      <c r="D3006" s="52">
        <f>HLOOKUP("# Memory",'vHosts (Imported)'!$1:$5000,M3006,FALSE)</f>
        <v>0</v>
      </c>
      <c r="M3006" s="45">
        <f t="shared" si="140"/>
        <v>3006</v>
      </c>
      <c r="N3006" s="38">
        <f>HLOOKUP("Host",'vInfo (Imported)'!$1:$5000,M3006,FALSE)</f>
        <v>0</v>
      </c>
      <c r="R3006">
        <f>HLOOKUP("CPUs",'vInfo (Imported)'!$1:$5000,M3006,FALSE)</f>
        <v>0</v>
      </c>
      <c r="S3006">
        <f>HLOOKUP("Memory",'vInfo (Imported)'!$1:$5000,M3006,FALSE)</f>
        <v>0</v>
      </c>
      <c r="T3006">
        <f>HLOOKUP("Provisioned MiB",'vInfo (Imported)'!$1:$5000,M3006,FALSE)</f>
        <v>0</v>
      </c>
      <c r="U3006">
        <f t="shared" si="139"/>
        <v>0</v>
      </c>
      <c r="V3006">
        <f>HLOOKUP("In Use MiB",'vInfo (Imported)'!$1:$5000,M3006,FALSE)</f>
        <v>0</v>
      </c>
    </row>
    <row r="3007" spans="1:22" ht="13" x14ac:dyDescent="0.3">
      <c r="A3007" s="46">
        <f>'vHosts (Imported)'!A3007</f>
        <v>0</v>
      </c>
      <c r="B3007" s="51">
        <f t="shared" si="141"/>
        <v>4968</v>
      </c>
      <c r="C3007" s="49">
        <f>HLOOKUP("# Cores",'vHosts (Imported)'!$1:$5000,M3007,FALSE)</f>
        <v>0</v>
      </c>
      <c r="D3007" s="52">
        <f>HLOOKUP("# Memory",'vHosts (Imported)'!$1:$5000,M3007,FALSE)</f>
        <v>0</v>
      </c>
      <c r="M3007" s="45">
        <f t="shared" si="140"/>
        <v>3007</v>
      </c>
      <c r="N3007" s="38">
        <f>HLOOKUP("Host",'vInfo (Imported)'!$1:$5000,M3007,FALSE)</f>
        <v>0</v>
      </c>
      <c r="R3007">
        <f>HLOOKUP("CPUs",'vInfo (Imported)'!$1:$5000,M3007,FALSE)</f>
        <v>0</v>
      </c>
      <c r="S3007">
        <f>HLOOKUP("Memory",'vInfo (Imported)'!$1:$5000,M3007,FALSE)</f>
        <v>0</v>
      </c>
      <c r="T3007">
        <f>HLOOKUP("Provisioned MiB",'vInfo (Imported)'!$1:$5000,M3007,FALSE)</f>
        <v>0</v>
      </c>
      <c r="U3007">
        <f t="shared" si="139"/>
        <v>0</v>
      </c>
      <c r="V3007">
        <f>HLOOKUP("In Use MiB",'vInfo (Imported)'!$1:$5000,M3007,FALSE)</f>
        <v>0</v>
      </c>
    </row>
    <row r="3008" spans="1:22" ht="13" x14ac:dyDescent="0.3">
      <c r="A3008" s="46">
        <f>'vHosts (Imported)'!A3008</f>
        <v>0</v>
      </c>
      <c r="B3008" s="51">
        <f t="shared" si="141"/>
        <v>4968</v>
      </c>
      <c r="C3008" s="49">
        <f>HLOOKUP("# Cores",'vHosts (Imported)'!$1:$5000,M3008,FALSE)</f>
        <v>0</v>
      </c>
      <c r="D3008" s="52">
        <f>HLOOKUP("# Memory",'vHosts (Imported)'!$1:$5000,M3008,FALSE)</f>
        <v>0</v>
      </c>
      <c r="M3008" s="45">
        <f t="shared" si="140"/>
        <v>3008</v>
      </c>
      <c r="N3008" s="38">
        <f>HLOOKUP("Host",'vInfo (Imported)'!$1:$5000,M3008,FALSE)</f>
        <v>0</v>
      </c>
      <c r="R3008">
        <f>HLOOKUP("CPUs",'vInfo (Imported)'!$1:$5000,M3008,FALSE)</f>
        <v>0</v>
      </c>
      <c r="S3008">
        <f>HLOOKUP("Memory",'vInfo (Imported)'!$1:$5000,M3008,FALSE)</f>
        <v>0</v>
      </c>
      <c r="T3008">
        <f>HLOOKUP("Provisioned MiB",'vInfo (Imported)'!$1:$5000,M3008,FALSE)</f>
        <v>0</v>
      </c>
      <c r="U3008">
        <f t="shared" si="139"/>
        <v>0</v>
      </c>
      <c r="V3008">
        <f>HLOOKUP("In Use MiB",'vInfo (Imported)'!$1:$5000,M3008,FALSE)</f>
        <v>0</v>
      </c>
    </row>
    <row r="3009" spans="1:22" ht="13" x14ac:dyDescent="0.3">
      <c r="A3009" s="46">
        <f>'vHosts (Imported)'!A3009</f>
        <v>0</v>
      </c>
      <c r="B3009" s="51">
        <f t="shared" si="141"/>
        <v>4968</v>
      </c>
      <c r="C3009" s="49">
        <f>HLOOKUP("# Cores",'vHosts (Imported)'!$1:$5000,M3009,FALSE)</f>
        <v>0</v>
      </c>
      <c r="D3009" s="52">
        <f>HLOOKUP("# Memory",'vHosts (Imported)'!$1:$5000,M3009,FALSE)</f>
        <v>0</v>
      </c>
      <c r="M3009" s="45">
        <f t="shared" si="140"/>
        <v>3009</v>
      </c>
      <c r="N3009" s="38">
        <f>HLOOKUP("Host",'vInfo (Imported)'!$1:$5000,M3009,FALSE)</f>
        <v>0</v>
      </c>
      <c r="R3009">
        <f>HLOOKUP("CPUs",'vInfo (Imported)'!$1:$5000,M3009,FALSE)</f>
        <v>0</v>
      </c>
      <c r="S3009">
        <f>HLOOKUP("Memory",'vInfo (Imported)'!$1:$5000,M3009,FALSE)</f>
        <v>0</v>
      </c>
      <c r="T3009">
        <f>HLOOKUP("Provisioned MiB",'vInfo (Imported)'!$1:$5000,M3009,FALSE)</f>
        <v>0</v>
      </c>
      <c r="U3009">
        <f t="shared" si="139"/>
        <v>0</v>
      </c>
      <c r="V3009">
        <f>HLOOKUP("In Use MiB",'vInfo (Imported)'!$1:$5000,M3009,FALSE)</f>
        <v>0</v>
      </c>
    </row>
    <row r="3010" spans="1:22" ht="13" x14ac:dyDescent="0.3">
      <c r="A3010" s="46">
        <f>'vHosts (Imported)'!A3010</f>
        <v>0</v>
      </c>
      <c r="B3010" s="51">
        <f t="shared" si="141"/>
        <v>4968</v>
      </c>
      <c r="C3010" s="49">
        <f>HLOOKUP("# Cores",'vHosts (Imported)'!$1:$5000,M3010,FALSE)</f>
        <v>0</v>
      </c>
      <c r="D3010" s="52">
        <f>HLOOKUP("# Memory",'vHosts (Imported)'!$1:$5000,M3010,FALSE)</f>
        <v>0</v>
      </c>
      <c r="M3010" s="45">
        <f t="shared" si="140"/>
        <v>3010</v>
      </c>
      <c r="N3010" s="38">
        <f>HLOOKUP("Host",'vInfo (Imported)'!$1:$5000,M3010,FALSE)</f>
        <v>0</v>
      </c>
      <c r="R3010">
        <f>HLOOKUP("CPUs",'vInfo (Imported)'!$1:$5000,M3010,FALSE)</f>
        <v>0</v>
      </c>
      <c r="S3010">
        <f>HLOOKUP("Memory",'vInfo (Imported)'!$1:$5000,M3010,FALSE)</f>
        <v>0</v>
      </c>
      <c r="T3010">
        <f>HLOOKUP("Provisioned MiB",'vInfo (Imported)'!$1:$5000,M3010,FALSE)</f>
        <v>0</v>
      </c>
      <c r="U3010">
        <f t="shared" si="139"/>
        <v>0</v>
      </c>
      <c r="V3010">
        <f>HLOOKUP("In Use MiB",'vInfo (Imported)'!$1:$5000,M3010,FALSE)</f>
        <v>0</v>
      </c>
    </row>
    <row r="3011" spans="1:22" ht="13" x14ac:dyDescent="0.3">
      <c r="A3011" s="46">
        <f>'vHosts (Imported)'!A3011</f>
        <v>0</v>
      </c>
      <c r="B3011" s="51">
        <f t="shared" si="141"/>
        <v>4968</v>
      </c>
      <c r="C3011" s="49">
        <f>HLOOKUP("# Cores",'vHosts (Imported)'!$1:$5000,M3011,FALSE)</f>
        <v>0</v>
      </c>
      <c r="D3011" s="52">
        <f>HLOOKUP("# Memory",'vHosts (Imported)'!$1:$5000,M3011,FALSE)</f>
        <v>0</v>
      </c>
      <c r="M3011" s="45">
        <f t="shared" si="140"/>
        <v>3011</v>
      </c>
      <c r="N3011" s="38">
        <f>HLOOKUP("Host",'vInfo (Imported)'!$1:$5000,M3011,FALSE)</f>
        <v>0</v>
      </c>
      <c r="R3011">
        <f>HLOOKUP("CPUs",'vInfo (Imported)'!$1:$5000,M3011,FALSE)</f>
        <v>0</v>
      </c>
      <c r="S3011">
        <f>HLOOKUP("Memory",'vInfo (Imported)'!$1:$5000,M3011,FALSE)</f>
        <v>0</v>
      </c>
      <c r="T3011">
        <f>HLOOKUP("Provisioned MiB",'vInfo (Imported)'!$1:$5000,M3011,FALSE)</f>
        <v>0</v>
      </c>
      <c r="U3011">
        <f t="shared" ref="U3011:U3074" si="142">T3011-V3011</f>
        <v>0</v>
      </c>
      <c r="V3011">
        <f>HLOOKUP("In Use MiB",'vInfo (Imported)'!$1:$5000,M3011,FALSE)</f>
        <v>0</v>
      </c>
    </row>
    <row r="3012" spans="1:22" ht="13" x14ac:dyDescent="0.3">
      <c r="A3012" s="46">
        <f>'vHosts (Imported)'!A3012</f>
        <v>0</v>
      </c>
      <c r="B3012" s="51">
        <f t="shared" si="141"/>
        <v>4968</v>
      </c>
      <c r="C3012" s="49">
        <f>HLOOKUP("# Cores",'vHosts (Imported)'!$1:$5000,M3012,FALSE)</f>
        <v>0</v>
      </c>
      <c r="D3012" s="52">
        <f>HLOOKUP("# Memory",'vHosts (Imported)'!$1:$5000,M3012,FALSE)</f>
        <v>0</v>
      </c>
      <c r="M3012" s="45">
        <f t="shared" ref="M3012:M3075" si="143">M3011+1</f>
        <v>3012</v>
      </c>
      <c r="N3012" s="38">
        <f>HLOOKUP("Host",'vInfo (Imported)'!$1:$5000,M3012,FALSE)</f>
        <v>0</v>
      </c>
      <c r="R3012">
        <f>HLOOKUP("CPUs",'vInfo (Imported)'!$1:$5000,M3012,FALSE)</f>
        <v>0</v>
      </c>
      <c r="S3012">
        <f>HLOOKUP("Memory",'vInfo (Imported)'!$1:$5000,M3012,FALSE)</f>
        <v>0</v>
      </c>
      <c r="T3012">
        <f>HLOOKUP("Provisioned MiB",'vInfo (Imported)'!$1:$5000,M3012,FALSE)</f>
        <v>0</v>
      </c>
      <c r="U3012">
        <f t="shared" si="142"/>
        <v>0</v>
      </c>
      <c r="V3012">
        <f>HLOOKUP("In Use MiB",'vInfo (Imported)'!$1:$5000,M3012,FALSE)</f>
        <v>0</v>
      </c>
    </row>
    <row r="3013" spans="1:22" ht="13" x14ac:dyDescent="0.3">
      <c r="A3013" s="46">
        <f>'vHosts (Imported)'!A3013</f>
        <v>0</v>
      </c>
      <c r="B3013" s="51">
        <f t="shared" si="141"/>
        <v>4968</v>
      </c>
      <c r="C3013" s="49">
        <f>HLOOKUP("# Cores",'vHosts (Imported)'!$1:$5000,M3013,FALSE)</f>
        <v>0</v>
      </c>
      <c r="D3013" s="52">
        <f>HLOOKUP("# Memory",'vHosts (Imported)'!$1:$5000,M3013,FALSE)</f>
        <v>0</v>
      </c>
      <c r="M3013" s="45">
        <f t="shared" si="143"/>
        <v>3013</v>
      </c>
      <c r="N3013" s="38">
        <f>HLOOKUP("Host",'vInfo (Imported)'!$1:$5000,M3013,FALSE)</f>
        <v>0</v>
      </c>
      <c r="R3013">
        <f>HLOOKUP("CPUs",'vInfo (Imported)'!$1:$5000,M3013,FALSE)</f>
        <v>0</v>
      </c>
      <c r="S3013">
        <f>HLOOKUP("Memory",'vInfo (Imported)'!$1:$5000,M3013,FALSE)</f>
        <v>0</v>
      </c>
      <c r="T3013">
        <f>HLOOKUP("Provisioned MiB",'vInfo (Imported)'!$1:$5000,M3013,FALSE)</f>
        <v>0</v>
      </c>
      <c r="U3013">
        <f t="shared" si="142"/>
        <v>0</v>
      </c>
      <c r="V3013">
        <f>HLOOKUP("In Use MiB",'vInfo (Imported)'!$1:$5000,M3013,FALSE)</f>
        <v>0</v>
      </c>
    </row>
    <row r="3014" spans="1:22" ht="13" x14ac:dyDescent="0.3">
      <c r="A3014" s="46">
        <f>'vHosts (Imported)'!A3014</f>
        <v>0</v>
      </c>
      <c r="B3014" s="51">
        <f t="shared" si="141"/>
        <v>4968</v>
      </c>
      <c r="C3014" s="49">
        <f>HLOOKUP("# Cores",'vHosts (Imported)'!$1:$5000,M3014,FALSE)</f>
        <v>0</v>
      </c>
      <c r="D3014" s="52">
        <f>HLOOKUP("# Memory",'vHosts (Imported)'!$1:$5000,M3014,FALSE)</f>
        <v>0</v>
      </c>
      <c r="M3014" s="45">
        <f t="shared" si="143"/>
        <v>3014</v>
      </c>
      <c r="N3014" s="38">
        <f>HLOOKUP("Host",'vInfo (Imported)'!$1:$5000,M3014,FALSE)</f>
        <v>0</v>
      </c>
      <c r="R3014">
        <f>HLOOKUP("CPUs",'vInfo (Imported)'!$1:$5000,M3014,FALSE)</f>
        <v>0</v>
      </c>
      <c r="S3014">
        <f>HLOOKUP("Memory",'vInfo (Imported)'!$1:$5000,M3014,FALSE)</f>
        <v>0</v>
      </c>
      <c r="T3014">
        <f>HLOOKUP("Provisioned MiB",'vInfo (Imported)'!$1:$5000,M3014,FALSE)</f>
        <v>0</v>
      </c>
      <c r="U3014">
        <f t="shared" si="142"/>
        <v>0</v>
      </c>
      <c r="V3014">
        <f>HLOOKUP("In Use MiB",'vInfo (Imported)'!$1:$5000,M3014,FALSE)</f>
        <v>0</v>
      </c>
    </row>
    <row r="3015" spans="1:22" ht="13" x14ac:dyDescent="0.3">
      <c r="A3015" s="46">
        <f>'vHosts (Imported)'!A3015</f>
        <v>0</v>
      </c>
      <c r="B3015" s="51">
        <f t="shared" si="141"/>
        <v>4968</v>
      </c>
      <c r="C3015" s="49">
        <f>HLOOKUP("# Cores",'vHosts (Imported)'!$1:$5000,M3015,FALSE)</f>
        <v>0</v>
      </c>
      <c r="D3015" s="52">
        <f>HLOOKUP("# Memory",'vHosts (Imported)'!$1:$5000,M3015,FALSE)</f>
        <v>0</v>
      </c>
      <c r="M3015" s="45">
        <f t="shared" si="143"/>
        <v>3015</v>
      </c>
      <c r="N3015" s="38">
        <f>HLOOKUP("Host",'vInfo (Imported)'!$1:$5000,M3015,FALSE)</f>
        <v>0</v>
      </c>
      <c r="R3015">
        <f>HLOOKUP("CPUs",'vInfo (Imported)'!$1:$5000,M3015,FALSE)</f>
        <v>0</v>
      </c>
      <c r="S3015">
        <f>HLOOKUP("Memory",'vInfo (Imported)'!$1:$5000,M3015,FALSE)</f>
        <v>0</v>
      </c>
      <c r="T3015">
        <f>HLOOKUP("Provisioned MiB",'vInfo (Imported)'!$1:$5000,M3015,FALSE)</f>
        <v>0</v>
      </c>
      <c r="U3015">
        <f t="shared" si="142"/>
        <v>0</v>
      </c>
      <c r="V3015">
        <f>HLOOKUP("In Use MiB",'vInfo (Imported)'!$1:$5000,M3015,FALSE)</f>
        <v>0</v>
      </c>
    </row>
    <row r="3016" spans="1:22" ht="13" x14ac:dyDescent="0.3">
      <c r="A3016" s="46">
        <f>'vHosts (Imported)'!A3016</f>
        <v>0</v>
      </c>
      <c r="B3016" s="51">
        <f t="shared" si="141"/>
        <v>4968</v>
      </c>
      <c r="C3016" s="49">
        <f>HLOOKUP("# Cores",'vHosts (Imported)'!$1:$5000,M3016,FALSE)</f>
        <v>0</v>
      </c>
      <c r="D3016" s="52">
        <f>HLOOKUP("# Memory",'vHosts (Imported)'!$1:$5000,M3016,FALSE)</f>
        <v>0</v>
      </c>
      <c r="M3016" s="45">
        <f t="shared" si="143"/>
        <v>3016</v>
      </c>
      <c r="N3016" s="38">
        <f>HLOOKUP("Host",'vInfo (Imported)'!$1:$5000,M3016,FALSE)</f>
        <v>0</v>
      </c>
      <c r="R3016">
        <f>HLOOKUP("CPUs",'vInfo (Imported)'!$1:$5000,M3016,FALSE)</f>
        <v>0</v>
      </c>
      <c r="S3016">
        <f>HLOOKUP("Memory",'vInfo (Imported)'!$1:$5000,M3016,FALSE)</f>
        <v>0</v>
      </c>
      <c r="T3016">
        <f>HLOOKUP("Provisioned MiB",'vInfo (Imported)'!$1:$5000,M3016,FALSE)</f>
        <v>0</v>
      </c>
      <c r="U3016">
        <f t="shared" si="142"/>
        <v>0</v>
      </c>
      <c r="V3016">
        <f>HLOOKUP("In Use MiB",'vInfo (Imported)'!$1:$5000,M3016,FALSE)</f>
        <v>0</v>
      </c>
    </row>
    <row r="3017" spans="1:22" ht="13" x14ac:dyDescent="0.3">
      <c r="A3017" s="46">
        <f>'vHosts (Imported)'!A3017</f>
        <v>0</v>
      </c>
      <c r="B3017" s="51">
        <f t="shared" si="141"/>
        <v>4968</v>
      </c>
      <c r="C3017" s="49">
        <f>HLOOKUP("# Cores",'vHosts (Imported)'!$1:$5000,M3017,FALSE)</f>
        <v>0</v>
      </c>
      <c r="D3017" s="52">
        <f>HLOOKUP("# Memory",'vHosts (Imported)'!$1:$5000,M3017,FALSE)</f>
        <v>0</v>
      </c>
      <c r="M3017" s="45">
        <f t="shared" si="143"/>
        <v>3017</v>
      </c>
      <c r="N3017" s="38">
        <f>HLOOKUP("Host",'vInfo (Imported)'!$1:$5000,M3017,FALSE)</f>
        <v>0</v>
      </c>
      <c r="R3017">
        <f>HLOOKUP("CPUs",'vInfo (Imported)'!$1:$5000,M3017,FALSE)</f>
        <v>0</v>
      </c>
      <c r="S3017">
        <f>HLOOKUP("Memory",'vInfo (Imported)'!$1:$5000,M3017,FALSE)</f>
        <v>0</v>
      </c>
      <c r="T3017">
        <f>HLOOKUP("Provisioned MiB",'vInfo (Imported)'!$1:$5000,M3017,FALSE)</f>
        <v>0</v>
      </c>
      <c r="U3017">
        <f t="shared" si="142"/>
        <v>0</v>
      </c>
      <c r="V3017">
        <f>HLOOKUP("In Use MiB",'vInfo (Imported)'!$1:$5000,M3017,FALSE)</f>
        <v>0</v>
      </c>
    </row>
    <row r="3018" spans="1:22" ht="13" x14ac:dyDescent="0.3">
      <c r="A3018" s="46">
        <f>'vHosts (Imported)'!A3018</f>
        <v>0</v>
      </c>
      <c r="B3018" s="51">
        <f t="shared" si="141"/>
        <v>4968</v>
      </c>
      <c r="C3018" s="49">
        <f>HLOOKUP("# Cores",'vHosts (Imported)'!$1:$5000,M3018,FALSE)</f>
        <v>0</v>
      </c>
      <c r="D3018" s="52">
        <f>HLOOKUP("# Memory",'vHosts (Imported)'!$1:$5000,M3018,FALSE)</f>
        <v>0</v>
      </c>
      <c r="M3018" s="45">
        <f t="shared" si="143"/>
        <v>3018</v>
      </c>
      <c r="N3018" s="38">
        <f>HLOOKUP("Host",'vInfo (Imported)'!$1:$5000,M3018,FALSE)</f>
        <v>0</v>
      </c>
      <c r="R3018">
        <f>HLOOKUP("CPUs",'vInfo (Imported)'!$1:$5000,M3018,FALSE)</f>
        <v>0</v>
      </c>
      <c r="S3018">
        <f>HLOOKUP("Memory",'vInfo (Imported)'!$1:$5000,M3018,FALSE)</f>
        <v>0</v>
      </c>
      <c r="T3018">
        <f>HLOOKUP("Provisioned MiB",'vInfo (Imported)'!$1:$5000,M3018,FALSE)</f>
        <v>0</v>
      </c>
      <c r="U3018">
        <f t="shared" si="142"/>
        <v>0</v>
      </c>
      <c r="V3018">
        <f>HLOOKUP("In Use MiB",'vInfo (Imported)'!$1:$5000,M3018,FALSE)</f>
        <v>0</v>
      </c>
    </row>
    <row r="3019" spans="1:22" ht="13" x14ac:dyDescent="0.3">
      <c r="A3019" s="46">
        <f>'vHosts (Imported)'!A3019</f>
        <v>0</v>
      </c>
      <c r="B3019" s="51">
        <f t="shared" si="141"/>
        <v>4968</v>
      </c>
      <c r="C3019" s="49">
        <f>HLOOKUP("# Cores",'vHosts (Imported)'!$1:$5000,M3019,FALSE)</f>
        <v>0</v>
      </c>
      <c r="D3019" s="52">
        <f>HLOOKUP("# Memory",'vHosts (Imported)'!$1:$5000,M3019,FALSE)</f>
        <v>0</v>
      </c>
      <c r="M3019" s="45">
        <f t="shared" si="143"/>
        <v>3019</v>
      </c>
      <c r="N3019" s="38">
        <f>HLOOKUP("Host",'vInfo (Imported)'!$1:$5000,M3019,FALSE)</f>
        <v>0</v>
      </c>
      <c r="R3019">
        <f>HLOOKUP("CPUs",'vInfo (Imported)'!$1:$5000,M3019,FALSE)</f>
        <v>0</v>
      </c>
      <c r="S3019">
        <f>HLOOKUP("Memory",'vInfo (Imported)'!$1:$5000,M3019,FALSE)</f>
        <v>0</v>
      </c>
      <c r="T3019">
        <f>HLOOKUP("Provisioned MiB",'vInfo (Imported)'!$1:$5000,M3019,FALSE)</f>
        <v>0</v>
      </c>
      <c r="U3019">
        <f t="shared" si="142"/>
        <v>0</v>
      </c>
      <c r="V3019">
        <f>HLOOKUP("In Use MiB",'vInfo (Imported)'!$1:$5000,M3019,FALSE)</f>
        <v>0</v>
      </c>
    </row>
    <row r="3020" spans="1:22" ht="13" x14ac:dyDescent="0.3">
      <c r="A3020" s="46">
        <f>'vHosts (Imported)'!A3020</f>
        <v>0</v>
      </c>
      <c r="B3020" s="51">
        <f t="shared" si="141"/>
        <v>4968</v>
      </c>
      <c r="C3020" s="49">
        <f>HLOOKUP("# Cores",'vHosts (Imported)'!$1:$5000,M3020,FALSE)</f>
        <v>0</v>
      </c>
      <c r="D3020" s="52">
        <f>HLOOKUP("# Memory",'vHosts (Imported)'!$1:$5000,M3020,FALSE)</f>
        <v>0</v>
      </c>
      <c r="M3020" s="45">
        <f t="shared" si="143"/>
        <v>3020</v>
      </c>
      <c r="N3020" s="38">
        <f>HLOOKUP("Host",'vInfo (Imported)'!$1:$5000,M3020,FALSE)</f>
        <v>0</v>
      </c>
      <c r="R3020">
        <f>HLOOKUP("CPUs",'vInfo (Imported)'!$1:$5000,M3020,FALSE)</f>
        <v>0</v>
      </c>
      <c r="S3020">
        <f>HLOOKUP("Memory",'vInfo (Imported)'!$1:$5000,M3020,FALSE)</f>
        <v>0</v>
      </c>
      <c r="T3020">
        <f>HLOOKUP("Provisioned MiB",'vInfo (Imported)'!$1:$5000,M3020,FALSE)</f>
        <v>0</v>
      </c>
      <c r="U3020">
        <f t="shared" si="142"/>
        <v>0</v>
      </c>
      <c r="V3020">
        <f>HLOOKUP("In Use MiB",'vInfo (Imported)'!$1:$5000,M3020,FALSE)</f>
        <v>0</v>
      </c>
    </row>
    <row r="3021" spans="1:22" ht="13" x14ac:dyDescent="0.3">
      <c r="A3021" s="46">
        <f>'vHosts (Imported)'!A3021</f>
        <v>0</v>
      </c>
      <c r="B3021" s="51">
        <f t="shared" si="141"/>
        <v>4968</v>
      </c>
      <c r="C3021" s="49">
        <f>HLOOKUP("# Cores",'vHosts (Imported)'!$1:$5000,M3021,FALSE)</f>
        <v>0</v>
      </c>
      <c r="D3021" s="52">
        <f>HLOOKUP("# Memory",'vHosts (Imported)'!$1:$5000,M3021,FALSE)</f>
        <v>0</v>
      </c>
      <c r="M3021" s="45">
        <f t="shared" si="143"/>
        <v>3021</v>
      </c>
      <c r="N3021" s="38">
        <f>HLOOKUP("Host",'vInfo (Imported)'!$1:$5000,M3021,FALSE)</f>
        <v>0</v>
      </c>
      <c r="R3021">
        <f>HLOOKUP("CPUs",'vInfo (Imported)'!$1:$5000,M3021,FALSE)</f>
        <v>0</v>
      </c>
      <c r="S3021">
        <f>HLOOKUP("Memory",'vInfo (Imported)'!$1:$5000,M3021,FALSE)</f>
        <v>0</v>
      </c>
      <c r="T3021">
        <f>HLOOKUP("Provisioned MiB",'vInfo (Imported)'!$1:$5000,M3021,FALSE)</f>
        <v>0</v>
      </c>
      <c r="U3021">
        <f t="shared" si="142"/>
        <v>0</v>
      </c>
      <c r="V3021">
        <f>HLOOKUP("In Use MiB",'vInfo (Imported)'!$1:$5000,M3021,FALSE)</f>
        <v>0</v>
      </c>
    </row>
    <row r="3022" spans="1:22" ht="13" x14ac:dyDescent="0.3">
      <c r="A3022" s="46">
        <f>'vHosts (Imported)'!A3022</f>
        <v>0</v>
      </c>
      <c r="B3022" s="51">
        <f t="shared" si="141"/>
        <v>4968</v>
      </c>
      <c r="C3022" s="49">
        <f>HLOOKUP("# Cores",'vHosts (Imported)'!$1:$5000,M3022,FALSE)</f>
        <v>0</v>
      </c>
      <c r="D3022" s="52">
        <f>HLOOKUP("# Memory",'vHosts (Imported)'!$1:$5000,M3022,FALSE)</f>
        <v>0</v>
      </c>
      <c r="M3022" s="45">
        <f t="shared" si="143"/>
        <v>3022</v>
      </c>
      <c r="N3022" s="38">
        <f>HLOOKUP("Host",'vInfo (Imported)'!$1:$5000,M3022,FALSE)</f>
        <v>0</v>
      </c>
      <c r="R3022">
        <f>HLOOKUP("CPUs",'vInfo (Imported)'!$1:$5000,M3022,FALSE)</f>
        <v>0</v>
      </c>
      <c r="S3022">
        <f>HLOOKUP("Memory",'vInfo (Imported)'!$1:$5000,M3022,FALSE)</f>
        <v>0</v>
      </c>
      <c r="T3022">
        <f>HLOOKUP("Provisioned MiB",'vInfo (Imported)'!$1:$5000,M3022,FALSE)</f>
        <v>0</v>
      </c>
      <c r="U3022">
        <f t="shared" si="142"/>
        <v>0</v>
      </c>
      <c r="V3022">
        <f>HLOOKUP("In Use MiB",'vInfo (Imported)'!$1:$5000,M3022,FALSE)</f>
        <v>0</v>
      </c>
    </row>
    <row r="3023" spans="1:22" ht="13" x14ac:dyDescent="0.3">
      <c r="A3023" s="46">
        <f>'vHosts (Imported)'!A3023</f>
        <v>0</v>
      </c>
      <c r="B3023" s="51">
        <f t="shared" si="141"/>
        <v>4968</v>
      </c>
      <c r="C3023" s="49">
        <f>HLOOKUP("# Cores",'vHosts (Imported)'!$1:$5000,M3023,FALSE)</f>
        <v>0</v>
      </c>
      <c r="D3023" s="52">
        <f>HLOOKUP("# Memory",'vHosts (Imported)'!$1:$5000,M3023,FALSE)</f>
        <v>0</v>
      </c>
      <c r="M3023" s="45">
        <f t="shared" si="143"/>
        <v>3023</v>
      </c>
      <c r="N3023" s="38">
        <f>HLOOKUP("Host",'vInfo (Imported)'!$1:$5000,M3023,FALSE)</f>
        <v>0</v>
      </c>
      <c r="R3023">
        <f>HLOOKUP("CPUs",'vInfo (Imported)'!$1:$5000,M3023,FALSE)</f>
        <v>0</v>
      </c>
      <c r="S3023">
        <f>HLOOKUP("Memory",'vInfo (Imported)'!$1:$5000,M3023,FALSE)</f>
        <v>0</v>
      </c>
      <c r="T3023">
        <f>HLOOKUP("Provisioned MiB",'vInfo (Imported)'!$1:$5000,M3023,FALSE)</f>
        <v>0</v>
      </c>
      <c r="U3023">
        <f t="shared" si="142"/>
        <v>0</v>
      </c>
      <c r="V3023">
        <f>HLOOKUP("In Use MiB",'vInfo (Imported)'!$1:$5000,M3023,FALSE)</f>
        <v>0</v>
      </c>
    </row>
    <row r="3024" spans="1:22" ht="13" x14ac:dyDescent="0.3">
      <c r="A3024" s="46">
        <f>'vHosts (Imported)'!A3024</f>
        <v>0</v>
      </c>
      <c r="B3024" s="51">
        <f t="shared" si="141"/>
        <v>4968</v>
      </c>
      <c r="C3024" s="49">
        <f>HLOOKUP("# Cores",'vHosts (Imported)'!$1:$5000,M3024,FALSE)</f>
        <v>0</v>
      </c>
      <c r="D3024" s="52">
        <f>HLOOKUP("# Memory",'vHosts (Imported)'!$1:$5000,M3024,FALSE)</f>
        <v>0</v>
      </c>
      <c r="M3024" s="45">
        <f t="shared" si="143"/>
        <v>3024</v>
      </c>
      <c r="N3024" s="38">
        <f>HLOOKUP("Host",'vInfo (Imported)'!$1:$5000,M3024,FALSE)</f>
        <v>0</v>
      </c>
      <c r="R3024">
        <f>HLOOKUP("CPUs",'vInfo (Imported)'!$1:$5000,M3024,FALSE)</f>
        <v>0</v>
      </c>
      <c r="S3024">
        <f>HLOOKUP("Memory",'vInfo (Imported)'!$1:$5000,M3024,FALSE)</f>
        <v>0</v>
      </c>
      <c r="T3024">
        <f>HLOOKUP("Provisioned MiB",'vInfo (Imported)'!$1:$5000,M3024,FALSE)</f>
        <v>0</v>
      </c>
      <c r="U3024">
        <f t="shared" si="142"/>
        <v>0</v>
      </c>
      <c r="V3024">
        <f>HLOOKUP("In Use MiB",'vInfo (Imported)'!$1:$5000,M3024,FALSE)</f>
        <v>0</v>
      </c>
    </row>
    <row r="3025" spans="1:22" ht="13" x14ac:dyDescent="0.3">
      <c r="A3025" s="46">
        <f>'vHosts (Imported)'!A3025</f>
        <v>0</v>
      </c>
      <c r="B3025" s="51">
        <f t="shared" si="141"/>
        <v>4968</v>
      </c>
      <c r="C3025" s="49">
        <f>HLOOKUP("# Cores",'vHosts (Imported)'!$1:$5000,M3025,FALSE)</f>
        <v>0</v>
      </c>
      <c r="D3025" s="52">
        <f>HLOOKUP("# Memory",'vHosts (Imported)'!$1:$5000,M3025,FALSE)</f>
        <v>0</v>
      </c>
      <c r="M3025" s="45">
        <f t="shared" si="143"/>
        <v>3025</v>
      </c>
      <c r="N3025" s="38">
        <f>HLOOKUP("Host",'vInfo (Imported)'!$1:$5000,M3025,FALSE)</f>
        <v>0</v>
      </c>
      <c r="R3025">
        <f>HLOOKUP("CPUs",'vInfo (Imported)'!$1:$5000,M3025,FALSE)</f>
        <v>0</v>
      </c>
      <c r="S3025">
        <f>HLOOKUP("Memory",'vInfo (Imported)'!$1:$5000,M3025,FALSE)</f>
        <v>0</v>
      </c>
      <c r="T3025">
        <f>HLOOKUP("Provisioned MiB",'vInfo (Imported)'!$1:$5000,M3025,FALSE)</f>
        <v>0</v>
      </c>
      <c r="U3025">
        <f t="shared" si="142"/>
        <v>0</v>
      </c>
      <c r="V3025">
        <f>HLOOKUP("In Use MiB",'vInfo (Imported)'!$1:$5000,M3025,FALSE)</f>
        <v>0</v>
      </c>
    </row>
    <row r="3026" spans="1:22" ht="13" x14ac:dyDescent="0.3">
      <c r="A3026" s="46">
        <f>'vHosts (Imported)'!A3026</f>
        <v>0</v>
      </c>
      <c r="B3026" s="51">
        <f t="shared" si="141"/>
        <v>4968</v>
      </c>
      <c r="C3026" s="49">
        <f>HLOOKUP("# Cores",'vHosts (Imported)'!$1:$5000,M3026,FALSE)</f>
        <v>0</v>
      </c>
      <c r="D3026" s="52">
        <f>HLOOKUP("# Memory",'vHosts (Imported)'!$1:$5000,M3026,FALSE)</f>
        <v>0</v>
      </c>
      <c r="M3026" s="45">
        <f t="shared" si="143"/>
        <v>3026</v>
      </c>
      <c r="N3026" s="38">
        <f>HLOOKUP("Host",'vInfo (Imported)'!$1:$5000,M3026,FALSE)</f>
        <v>0</v>
      </c>
      <c r="R3026">
        <f>HLOOKUP("CPUs",'vInfo (Imported)'!$1:$5000,M3026,FALSE)</f>
        <v>0</v>
      </c>
      <c r="S3026">
        <f>HLOOKUP("Memory",'vInfo (Imported)'!$1:$5000,M3026,FALSE)</f>
        <v>0</v>
      </c>
      <c r="T3026">
        <f>HLOOKUP("Provisioned MiB",'vInfo (Imported)'!$1:$5000,M3026,FALSE)</f>
        <v>0</v>
      </c>
      <c r="U3026">
        <f t="shared" si="142"/>
        <v>0</v>
      </c>
      <c r="V3026">
        <f>HLOOKUP("In Use MiB",'vInfo (Imported)'!$1:$5000,M3026,FALSE)</f>
        <v>0</v>
      </c>
    </row>
    <row r="3027" spans="1:22" ht="13" x14ac:dyDescent="0.3">
      <c r="A3027" s="46">
        <f>'vHosts (Imported)'!A3027</f>
        <v>0</v>
      </c>
      <c r="B3027" s="51">
        <f t="shared" si="141"/>
        <v>4968</v>
      </c>
      <c r="C3027" s="49">
        <f>HLOOKUP("# Cores",'vHosts (Imported)'!$1:$5000,M3027,FALSE)</f>
        <v>0</v>
      </c>
      <c r="D3027" s="52">
        <f>HLOOKUP("# Memory",'vHosts (Imported)'!$1:$5000,M3027,FALSE)</f>
        <v>0</v>
      </c>
      <c r="M3027" s="45">
        <f t="shared" si="143"/>
        <v>3027</v>
      </c>
      <c r="N3027" s="38">
        <f>HLOOKUP("Host",'vInfo (Imported)'!$1:$5000,M3027,FALSE)</f>
        <v>0</v>
      </c>
      <c r="R3027">
        <f>HLOOKUP("CPUs",'vInfo (Imported)'!$1:$5000,M3027,FALSE)</f>
        <v>0</v>
      </c>
      <c r="S3027">
        <f>HLOOKUP("Memory",'vInfo (Imported)'!$1:$5000,M3027,FALSE)</f>
        <v>0</v>
      </c>
      <c r="T3027">
        <f>HLOOKUP("Provisioned MiB",'vInfo (Imported)'!$1:$5000,M3027,FALSE)</f>
        <v>0</v>
      </c>
      <c r="U3027">
        <f t="shared" si="142"/>
        <v>0</v>
      </c>
      <c r="V3027">
        <f>HLOOKUP("In Use MiB",'vInfo (Imported)'!$1:$5000,M3027,FALSE)</f>
        <v>0</v>
      </c>
    </row>
    <row r="3028" spans="1:22" ht="13" x14ac:dyDescent="0.3">
      <c r="A3028" s="46">
        <f>'vHosts (Imported)'!A3028</f>
        <v>0</v>
      </c>
      <c r="B3028" s="51">
        <f t="shared" si="141"/>
        <v>4968</v>
      </c>
      <c r="C3028" s="49">
        <f>HLOOKUP("# Cores",'vHosts (Imported)'!$1:$5000,M3028,FALSE)</f>
        <v>0</v>
      </c>
      <c r="D3028" s="52">
        <f>HLOOKUP("# Memory",'vHosts (Imported)'!$1:$5000,M3028,FALSE)</f>
        <v>0</v>
      </c>
      <c r="M3028" s="45">
        <f t="shared" si="143"/>
        <v>3028</v>
      </c>
      <c r="N3028" s="38">
        <f>HLOOKUP("Host",'vInfo (Imported)'!$1:$5000,M3028,FALSE)</f>
        <v>0</v>
      </c>
      <c r="R3028">
        <f>HLOOKUP("CPUs",'vInfo (Imported)'!$1:$5000,M3028,FALSE)</f>
        <v>0</v>
      </c>
      <c r="S3028">
        <f>HLOOKUP("Memory",'vInfo (Imported)'!$1:$5000,M3028,FALSE)</f>
        <v>0</v>
      </c>
      <c r="T3028">
        <f>HLOOKUP("Provisioned MiB",'vInfo (Imported)'!$1:$5000,M3028,FALSE)</f>
        <v>0</v>
      </c>
      <c r="U3028">
        <f t="shared" si="142"/>
        <v>0</v>
      </c>
      <c r="V3028">
        <f>HLOOKUP("In Use MiB",'vInfo (Imported)'!$1:$5000,M3028,FALSE)</f>
        <v>0</v>
      </c>
    </row>
    <row r="3029" spans="1:22" ht="13" x14ac:dyDescent="0.3">
      <c r="A3029" s="46">
        <f>'vHosts (Imported)'!A3029</f>
        <v>0</v>
      </c>
      <c r="B3029" s="51">
        <f t="shared" si="141"/>
        <v>4968</v>
      </c>
      <c r="C3029" s="49">
        <f>HLOOKUP("# Cores",'vHosts (Imported)'!$1:$5000,M3029,FALSE)</f>
        <v>0</v>
      </c>
      <c r="D3029" s="52">
        <f>HLOOKUP("# Memory",'vHosts (Imported)'!$1:$5000,M3029,FALSE)</f>
        <v>0</v>
      </c>
      <c r="M3029" s="45">
        <f t="shared" si="143"/>
        <v>3029</v>
      </c>
      <c r="N3029" s="38">
        <f>HLOOKUP("Host",'vInfo (Imported)'!$1:$5000,M3029,FALSE)</f>
        <v>0</v>
      </c>
      <c r="R3029">
        <f>HLOOKUP("CPUs",'vInfo (Imported)'!$1:$5000,M3029,FALSE)</f>
        <v>0</v>
      </c>
      <c r="S3029">
        <f>HLOOKUP("Memory",'vInfo (Imported)'!$1:$5000,M3029,FALSE)</f>
        <v>0</v>
      </c>
      <c r="T3029">
        <f>HLOOKUP("Provisioned MiB",'vInfo (Imported)'!$1:$5000,M3029,FALSE)</f>
        <v>0</v>
      </c>
      <c r="U3029">
        <f t="shared" si="142"/>
        <v>0</v>
      </c>
      <c r="V3029">
        <f>HLOOKUP("In Use MiB",'vInfo (Imported)'!$1:$5000,M3029,FALSE)</f>
        <v>0</v>
      </c>
    </row>
    <row r="3030" spans="1:22" ht="13" x14ac:dyDescent="0.3">
      <c r="A3030" s="46">
        <f>'vHosts (Imported)'!A3030</f>
        <v>0</v>
      </c>
      <c r="B3030" s="51">
        <f t="shared" si="141"/>
        <v>4968</v>
      </c>
      <c r="C3030" s="49">
        <f>HLOOKUP("# Cores",'vHosts (Imported)'!$1:$5000,M3030,FALSE)</f>
        <v>0</v>
      </c>
      <c r="D3030" s="52">
        <f>HLOOKUP("# Memory",'vHosts (Imported)'!$1:$5000,M3030,FALSE)</f>
        <v>0</v>
      </c>
      <c r="M3030" s="45">
        <f t="shared" si="143"/>
        <v>3030</v>
      </c>
      <c r="N3030" s="38">
        <f>HLOOKUP("Host",'vInfo (Imported)'!$1:$5000,M3030,FALSE)</f>
        <v>0</v>
      </c>
      <c r="R3030">
        <f>HLOOKUP("CPUs",'vInfo (Imported)'!$1:$5000,M3030,FALSE)</f>
        <v>0</v>
      </c>
      <c r="S3030">
        <f>HLOOKUP("Memory",'vInfo (Imported)'!$1:$5000,M3030,FALSE)</f>
        <v>0</v>
      </c>
      <c r="T3030">
        <f>HLOOKUP("Provisioned MiB",'vInfo (Imported)'!$1:$5000,M3030,FALSE)</f>
        <v>0</v>
      </c>
      <c r="U3030">
        <f t="shared" si="142"/>
        <v>0</v>
      </c>
      <c r="V3030">
        <f>HLOOKUP("In Use MiB",'vInfo (Imported)'!$1:$5000,M3030,FALSE)</f>
        <v>0</v>
      </c>
    </row>
    <row r="3031" spans="1:22" ht="13" x14ac:dyDescent="0.3">
      <c r="A3031" s="46">
        <f>'vHosts (Imported)'!A3031</f>
        <v>0</v>
      </c>
      <c r="B3031" s="51">
        <f t="shared" si="141"/>
        <v>4968</v>
      </c>
      <c r="C3031" s="49">
        <f>HLOOKUP("# Cores",'vHosts (Imported)'!$1:$5000,M3031,FALSE)</f>
        <v>0</v>
      </c>
      <c r="D3031" s="52">
        <f>HLOOKUP("# Memory",'vHosts (Imported)'!$1:$5000,M3031,FALSE)</f>
        <v>0</v>
      </c>
      <c r="M3031" s="45">
        <f t="shared" si="143"/>
        <v>3031</v>
      </c>
      <c r="N3031" s="38">
        <f>HLOOKUP("Host",'vInfo (Imported)'!$1:$5000,M3031,FALSE)</f>
        <v>0</v>
      </c>
      <c r="R3031">
        <f>HLOOKUP("CPUs",'vInfo (Imported)'!$1:$5000,M3031,FALSE)</f>
        <v>0</v>
      </c>
      <c r="S3031">
        <f>HLOOKUP("Memory",'vInfo (Imported)'!$1:$5000,M3031,FALSE)</f>
        <v>0</v>
      </c>
      <c r="T3031">
        <f>HLOOKUP("Provisioned MiB",'vInfo (Imported)'!$1:$5000,M3031,FALSE)</f>
        <v>0</v>
      </c>
      <c r="U3031">
        <f t="shared" si="142"/>
        <v>0</v>
      </c>
      <c r="V3031">
        <f>HLOOKUP("In Use MiB",'vInfo (Imported)'!$1:$5000,M3031,FALSE)</f>
        <v>0</v>
      </c>
    </row>
    <row r="3032" spans="1:22" ht="13" x14ac:dyDescent="0.3">
      <c r="A3032" s="46">
        <f>'vHosts (Imported)'!A3032</f>
        <v>0</v>
      </c>
      <c r="B3032" s="51">
        <f t="shared" si="141"/>
        <v>4968</v>
      </c>
      <c r="C3032" s="49">
        <f>HLOOKUP("# Cores",'vHosts (Imported)'!$1:$5000,M3032,FALSE)</f>
        <v>0</v>
      </c>
      <c r="D3032" s="52">
        <f>HLOOKUP("# Memory",'vHosts (Imported)'!$1:$5000,M3032,FALSE)</f>
        <v>0</v>
      </c>
      <c r="M3032" s="45">
        <f t="shared" si="143"/>
        <v>3032</v>
      </c>
      <c r="N3032" s="38">
        <f>HLOOKUP("Host",'vInfo (Imported)'!$1:$5000,M3032,FALSE)</f>
        <v>0</v>
      </c>
      <c r="R3032">
        <f>HLOOKUP("CPUs",'vInfo (Imported)'!$1:$5000,M3032,FALSE)</f>
        <v>0</v>
      </c>
      <c r="S3032">
        <f>HLOOKUP("Memory",'vInfo (Imported)'!$1:$5000,M3032,FALSE)</f>
        <v>0</v>
      </c>
      <c r="T3032">
        <f>HLOOKUP("Provisioned MiB",'vInfo (Imported)'!$1:$5000,M3032,FALSE)</f>
        <v>0</v>
      </c>
      <c r="U3032">
        <f t="shared" si="142"/>
        <v>0</v>
      </c>
      <c r="V3032">
        <f>HLOOKUP("In Use MiB",'vInfo (Imported)'!$1:$5000,M3032,FALSE)</f>
        <v>0</v>
      </c>
    </row>
    <row r="3033" spans="1:22" ht="13" x14ac:dyDescent="0.3">
      <c r="A3033" s="46">
        <f>'vHosts (Imported)'!A3033</f>
        <v>0</v>
      </c>
      <c r="B3033" s="51">
        <f t="shared" si="141"/>
        <v>4968</v>
      </c>
      <c r="C3033" s="49">
        <f>HLOOKUP("# Cores",'vHosts (Imported)'!$1:$5000,M3033,FALSE)</f>
        <v>0</v>
      </c>
      <c r="D3033" s="52">
        <f>HLOOKUP("# Memory",'vHosts (Imported)'!$1:$5000,M3033,FALSE)</f>
        <v>0</v>
      </c>
      <c r="M3033" s="45">
        <f t="shared" si="143"/>
        <v>3033</v>
      </c>
      <c r="N3033" s="38">
        <f>HLOOKUP("Host",'vInfo (Imported)'!$1:$5000,M3033,FALSE)</f>
        <v>0</v>
      </c>
      <c r="R3033">
        <f>HLOOKUP("CPUs",'vInfo (Imported)'!$1:$5000,M3033,FALSE)</f>
        <v>0</v>
      </c>
      <c r="S3033">
        <f>HLOOKUP("Memory",'vInfo (Imported)'!$1:$5000,M3033,FALSE)</f>
        <v>0</v>
      </c>
      <c r="T3033">
        <f>HLOOKUP("Provisioned MiB",'vInfo (Imported)'!$1:$5000,M3033,FALSE)</f>
        <v>0</v>
      </c>
      <c r="U3033">
        <f t="shared" si="142"/>
        <v>0</v>
      </c>
      <c r="V3033">
        <f>HLOOKUP("In Use MiB",'vInfo (Imported)'!$1:$5000,M3033,FALSE)</f>
        <v>0</v>
      </c>
    </row>
    <row r="3034" spans="1:22" ht="13" x14ac:dyDescent="0.3">
      <c r="A3034" s="46">
        <f>'vHosts (Imported)'!A3034</f>
        <v>0</v>
      </c>
      <c r="B3034" s="51">
        <f t="shared" si="141"/>
        <v>4968</v>
      </c>
      <c r="C3034" s="49">
        <f>HLOOKUP("# Cores",'vHosts (Imported)'!$1:$5000,M3034,FALSE)</f>
        <v>0</v>
      </c>
      <c r="D3034" s="52">
        <f>HLOOKUP("# Memory",'vHosts (Imported)'!$1:$5000,M3034,FALSE)</f>
        <v>0</v>
      </c>
      <c r="M3034" s="45">
        <f t="shared" si="143"/>
        <v>3034</v>
      </c>
      <c r="N3034" s="38">
        <f>HLOOKUP("Host",'vInfo (Imported)'!$1:$5000,M3034,FALSE)</f>
        <v>0</v>
      </c>
      <c r="R3034">
        <f>HLOOKUP("CPUs",'vInfo (Imported)'!$1:$5000,M3034,FALSE)</f>
        <v>0</v>
      </c>
      <c r="S3034">
        <f>HLOOKUP("Memory",'vInfo (Imported)'!$1:$5000,M3034,FALSE)</f>
        <v>0</v>
      </c>
      <c r="T3034">
        <f>HLOOKUP("Provisioned MiB",'vInfo (Imported)'!$1:$5000,M3034,FALSE)</f>
        <v>0</v>
      </c>
      <c r="U3034">
        <f t="shared" si="142"/>
        <v>0</v>
      </c>
      <c r="V3034">
        <f>HLOOKUP("In Use MiB",'vInfo (Imported)'!$1:$5000,M3034,FALSE)</f>
        <v>0</v>
      </c>
    </row>
    <row r="3035" spans="1:22" ht="13" x14ac:dyDescent="0.3">
      <c r="A3035" s="46">
        <f>'vHosts (Imported)'!A3035</f>
        <v>0</v>
      </c>
      <c r="B3035" s="51">
        <f t="shared" si="141"/>
        <v>4968</v>
      </c>
      <c r="C3035" s="49">
        <f>HLOOKUP("# Cores",'vHosts (Imported)'!$1:$5000,M3035,FALSE)</f>
        <v>0</v>
      </c>
      <c r="D3035" s="52">
        <f>HLOOKUP("# Memory",'vHosts (Imported)'!$1:$5000,M3035,FALSE)</f>
        <v>0</v>
      </c>
      <c r="M3035" s="45">
        <f t="shared" si="143"/>
        <v>3035</v>
      </c>
      <c r="N3035" s="38">
        <f>HLOOKUP("Host",'vInfo (Imported)'!$1:$5000,M3035,FALSE)</f>
        <v>0</v>
      </c>
      <c r="R3035">
        <f>HLOOKUP("CPUs",'vInfo (Imported)'!$1:$5000,M3035,FALSE)</f>
        <v>0</v>
      </c>
      <c r="S3035">
        <f>HLOOKUP("Memory",'vInfo (Imported)'!$1:$5000,M3035,FALSE)</f>
        <v>0</v>
      </c>
      <c r="T3035">
        <f>HLOOKUP("Provisioned MiB",'vInfo (Imported)'!$1:$5000,M3035,FALSE)</f>
        <v>0</v>
      </c>
      <c r="U3035">
        <f t="shared" si="142"/>
        <v>0</v>
      </c>
      <c r="V3035">
        <f>HLOOKUP("In Use MiB",'vInfo (Imported)'!$1:$5000,M3035,FALSE)</f>
        <v>0</v>
      </c>
    </row>
    <row r="3036" spans="1:22" ht="13" x14ac:dyDescent="0.3">
      <c r="A3036" s="46">
        <f>'vHosts (Imported)'!A3036</f>
        <v>0</v>
      </c>
      <c r="B3036" s="51">
        <f t="shared" si="141"/>
        <v>4968</v>
      </c>
      <c r="C3036" s="49">
        <f>HLOOKUP("# Cores",'vHosts (Imported)'!$1:$5000,M3036,FALSE)</f>
        <v>0</v>
      </c>
      <c r="D3036" s="52">
        <f>HLOOKUP("# Memory",'vHosts (Imported)'!$1:$5000,M3036,FALSE)</f>
        <v>0</v>
      </c>
      <c r="M3036" s="45">
        <f t="shared" si="143"/>
        <v>3036</v>
      </c>
      <c r="N3036" s="38">
        <f>HLOOKUP("Host",'vInfo (Imported)'!$1:$5000,M3036,FALSE)</f>
        <v>0</v>
      </c>
      <c r="R3036">
        <f>HLOOKUP("CPUs",'vInfo (Imported)'!$1:$5000,M3036,FALSE)</f>
        <v>0</v>
      </c>
      <c r="S3036">
        <f>HLOOKUP("Memory",'vInfo (Imported)'!$1:$5000,M3036,FALSE)</f>
        <v>0</v>
      </c>
      <c r="T3036">
        <f>HLOOKUP("Provisioned MiB",'vInfo (Imported)'!$1:$5000,M3036,FALSE)</f>
        <v>0</v>
      </c>
      <c r="U3036">
        <f t="shared" si="142"/>
        <v>0</v>
      </c>
      <c r="V3036">
        <f>HLOOKUP("In Use MiB",'vInfo (Imported)'!$1:$5000,M3036,FALSE)</f>
        <v>0</v>
      </c>
    </row>
    <row r="3037" spans="1:22" ht="13" x14ac:dyDescent="0.3">
      <c r="A3037" s="46">
        <f>'vHosts (Imported)'!A3037</f>
        <v>0</v>
      </c>
      <c r="B3037" s="51">
        <f t="shared" si="141"/>
        <v>4968</v>
      </c>
      <c r="C3037" s="49">
        <f>HLOOKUP("# Cores",'vHosts (Imported)'!$1:$5000,M3037,FALSE)</f>
        <v>0</v>
      </c>
      <c r="D3037" s="52">
        <f>HLOOKUP("# Memory",'vHosts (Imported)'!$1:$5000,M3037,FALSE)</f>
        <v>0</v>
      </c>
      <c r="M3037" s="45">
        <f t="shared" si="143"/>
        <v>3037</v>
      </c>
      <c r="N3037" s="38">
        <f>HLOOKUP("Host",'vInfo (Imported)'!$1:$5000,M3037,FALSE)</f>
        <v>0</v>
      </c>
      <c r="R3037">
        <f>HLOOKUP("CPUs",'vInfo (Imported)'!$1:$5000,M3037,FALSE)</f>
        <v>0</v>
      </c>
      <c r="S3037">
        <f>HLOOKUP("Memory",'vInfo (Imported)'!$1:$5000,M3037,FALSE)</f>
        <v>0</v>
      </c>
      <c r="T3037">
        <f>HLOOKUP("Provisioned MiB",'vInfo (Imported)'!$1:$5000,M3037,FALSE)</f>
        <v>0</v>
      </c>
      <c r="U3037">
        <f t="shared" si="142"/>
        <v>0</v>
      </c>
      <c r="V3037">
        <f>HLOOKUP("In Use MiB",'vInfo (Imported)'!$1:$5000,M3037,FALSE)</f>
        <v>0</v>
      </c>
    </row>
    <row r="3038" spans="1:22" ht="13" x14ac:dyDescent="0.3">
      <c r="A3038" s="46">
        <f>'vHosts (Imported)'!A3038</f>
        <v>0</v>
      </c>
      <c r="B3038" s="51">
        <f t="shared" si="141"/>
        <v>4968</v>
      </c>
      <c r="C3038" s="49">
        <f>HLOOKUP("# Cores",'vHosts (Imported)'!$1:$5000,M3038,FALSE)</f>
        <v>0</v>
      </c>
      <c r="D3038" s="52">
        <f>HLOOKUP("# Memory",'vHosts (Imported)'!$1:$5000,M3038,FALSE)</f>
        <v>0</v>
      </c>
      <c r="M3038" s="45">
        <f t="shared" si="143"/>
        <v>3038</v>
      </c>
      <c r="N3038" s="38">
        <f>HLOOKUP("Host",'vInfo (Imported)'!$1:$5000,M3038,FALSE)</f>
        <v>0</v>
      </c>
      <c r="R3038">
        <f>HLOOKUP("CPUs",'vInfo (Imported)'!$1:$5000,M3038,FALSE)</f>
        <v>0</v>
      </c>
      <c r="S3038">
        <f>HLOOKUP("Memory",'vInfo (Imported)'!$1:$5000,M3038,FALSE)</f>
        <v>0</v>
      </c>
      <c r="T3038">
        <f>HLOOKUP("Provisioned MiB",'vInfo (Imported)'!$1:$5000,M3038,FALSE)</f>
        <v>0</v>
      </c>
      <c r="U3038">
        <f t="shared" si="142"/>
        <v>0</v>
      </c>
      <c r="V3038">
        <f>HLOOKUP("In Use MiB",'vInfo (Imported)'!$1:$5000,M3038,FALSE)</f>
        <v>0</v>
      </c>
    </row>
    <row r="3039" spans="1:22" ht="13" x14ac:dyDescent="0.3">
      <c r="A3039" s="46">
        <f>'vHosts (Imported)'!A3039</f>
        <v>0</v>
      </c>
      <c r="B3039" s="51">
        <f t="shared" si="141"/>
        <v>4968</v>
      </c>
      <c r="C3039" s="49">
        <f>HLOOKUP("# Cores",'vHosts (Imported)'!$1:$5000,M3039,FALSE)</f>
        <v>0</v>
      </c>
      <c r="D3039" s="52">
        <f>HLOOKUP("# Memory",'vHosts (Imported)'!$1:$5000,M3039,FALSE)</f>
        <v>0</v>
      </c>
      <c r="M3039" s="45">
        <f t="shared" si="143"/>
        <v>3039</v>
      </c>
      <c r="N3039" s="38">
        <f>HLOOKUP("Host",'vInfo (Imported)'!$1:$5000,M3039,FALSE)</f>
        <v>0</v>
      </c>
      <c r="R3039">
        <f>HLOOKUP("CPUs",'vInfo (Imported)'!$1:$5000,M3039,FALSE)</f>
        <v>0</v>
      </c>
      <c r="S3039">
        <f>HLOOKUP("Memory",'vInfo (Imported)'!$1:$5000,M3039,FALSE)</f>
        <v>0</v>
      </c>
      <c r="T3039">
        <f>HLOOKUP("Provisioned MiB",'vInfo (Imported)'!$1:$5000,M3039,FALSE)</f>
        <v>0</v>
      </c>
      <c r="U3039">
        <f t="shared" si="142"/>
        <v>0</v>
      </c>
      <c r="V3039">
        <f>HLOOKUP("In Use MiB",'vInfo (Imported)'!$1:$5000,M3039,FALSE)</f>
        <v>0</v>
      </c>
    </row>
    <row r="3040" spans="1:22" ht="13" x14ac:dyDescent="0.3">
      <c r="A3040" s="46">
        <f>'vHosts (Imported)'!A3040</f>
        <v>0</v>
      </c>
      <c r="B3040" s="51">
        <f t="shared" si="141"/>
        <v>4968</v>
      </c>
      <c r="C3040" s="49">
        <f>HLOOKUP("# Cores",'vHosts (Imported)'!$1:$5000,M3040,FALSE)</f>
        <v>0</v>
      </c>
      <c r="D3040" s="52">
        <f>HLOOKUP("# Memory",'vHosts (Imported)'!$1:$5000,M3040,FALSE)</f>
        <v>0</v>
      </c>
      <c r="M3040" s="45">
        <f t="shared" si="143"/>
        <v>3040</v>
      </c>
      <c r="N3040" s="38">
        <f>HLOOKUP("Host",'vInfo (Imported)'!$1:$5000,M3040,FALSE)</f>
        <v>0</v>
      </c>
      <c r="R3040">
        <f>HLOOKUP("CPUs",'vInfo (Imported)'!$1:$5000,M3040,FALSE)</f>
        <v>0</v>
      </c>
      <c r="S3040">
        <f>HLOOKUP("Memory",'vInfo (Imported)'!$1:$5000,M3040,FALSE)</f>
        <v>0</v>
      </c>
      <c r="T3040">
        <f>HLOOKUP("Provisioned MiB",'vInfo (Imported)'!$1:$5000,M3040,FALSE)</f>
        <v>0</v>
      </c>
      <c r="U3040">
        <f t="shared" si="142"/>
        <v>0</v>
      </c>
      <c r="V3040">
        <f>HLOOKUP("In Use MiB",'vInfo (Imported)'!$1:$5000,M3040,FALSE)</f>
        <v>0</v>
      </c>
    </row>
    <row r="3041" spans="1:22" ht="13" x14ac:dyDescent="0.3">
      <c r="A3041" s="46">
        <f>'vHosts (Imported)'!A3041</f>
        <v>0</v>
      </c>
      <c r="B3041" s="51">
        <f t="shared" si="141"/>
        <v>4968</v>
      </c>
      <c r="C3041" s="49">
        <f>HLOOKUP("# Cores",'vHosts (Imported)'!$1:$5000,M3041,FALSE)</f>
        <v>0</v>
      </c>
      <c r="D3041" s="52">
        <f>HLOOKUP("# Memory",'vHosts (Imported)'!$1:$5000,M3041,FALSE)</f>
        <v>0</v>
      </c>
      <c r="M3041" s="45">
        <f t="shared" si="143"/>
        <v>3041</v>
      </c>
      <c r="N3041" s="38">
        <f>HLOOKUP("Host",'vInfo (Imported)'!$1:$5000,M3041,FALSE)</f>
        <v>0</v>
      </c>
      <c r="R3041">
        <f>HLOOKUP("CPUs",'vInfo (Imported)'!$1:$5000,M3041,FALSE)</f>
        <v>0</v>
      </c>
      <c r="S3041">
        <f>HLOOKUP("Memory",'vInfo (Imported)'!$1:$5000,M3041,FALSE)</f>
        <v>0</v>
      </c>
      <c r="T3041">
        <f>HLOOKUP("Provisioned MiB",'vInfo (Imported)'!$1:$5000,M3041,FALSE)</f>
        <v>0</v>
      </c>
      <c r="U3041">
        <f t="shared" si="142"/>
        <v>0</v>
      </c>
      <c r="V3041">
        <f>HLOOKUP("In Use MiB",'vInfo (Imported)'!$1:$5000,M3041,FALSE)</f>
        <v>0</v>
      </c>
    </row>
    <row r="3042" spans="1:22" ht="13" x14ac:dyDescent="0.3">
      <c r="A3042" s="46">
        <f>'vHosts (Imported)'!A3042</f>
        <v>0</v>
      </c>
      <c r="B3042" s="51">
        <f t="shared" si="141"/>
        <v>4968</v>
      </c>
      <c r="C3042" s="49">
        <f>HLOOKUP("# Cores",'vHosts (Imported)'!$1:$5000,M3042,FALSE)</f>
        <v>0</v>
      </c>
      <c r="D3042" s="52">
        <f>HLOOKUP("# Memory",'vHosts (Imported)'!$1:$5000,M3042,FALSE)</f>
        <v>0</v>
      </c>
      <c r="M3042" s="45">
        <f t="shared" si="143"/>
        <v>3042</v>
      </c>
      <c r="N3042" s="38">
        <f>HLOOKUP("Host",'vInfo (Imported)'!$1:$5000,M3042,FALSE)</f>
        <v>0</v>
      </c>
      <c r="R3042">
        <f>HLOOKUP("CPUs",'vInfo (Imported)'!$1:$5000,M3042,FALSE)</f>
        <v>0</v>
      </c>
      <c r="S3042">
        <f>HLOOKUP("Memory",'vInfo (Imported)'!$1:$5000,M3042,FALSE)</f>
        <v>0</v>
      </c>
      <c r="T3042">
        <f>HLOOKUP("Provisioned MiB",'vInfo (Imported)'!$1:$5000,M3042,FALSE)</f>
        <v>0</v>
      </c>
      <c r="U3042">
        <f t="shared" si="142"/>
        <v>0</v>
      </c>
      <c r="V3042">
        <f>HLOOKUP("In Use MiB",'vInfo (Imported)'!$1:$5000,M3042,FALSE)</f>
        <v>0</v>
      </c>
    </row>
    <row r="3043" spans="1:22" ht="13" x14ac:dyDescent="0.3">
      <c r="A3043" s="46">
        <f>'vHosts (Imported)'!A3043</f>
        <v>0</v>
      </c>
      <c r="B3043" s="51">
        <f t="shared" si="141"/>
        <v>4968</v>
      </c>
      <c r="C3043" s="49">
        <f>HLOOKUP("# Cores",'vHosts (Imported)'!$1:$5000,M3043,FALSE)</f>
        <v>0</v>
      </c>
      <c r="D3043" s="52">
        <f>HLOOKUP("# Memory",'vHosts (Imported)'!$1:$5000,M3043,FALSE)</f>
        <v>0</v>
      </c>
      <c r="M3043" s="45">
        <f t="shared" si="143"/>
        <v>3043</v>
      </c>
      <c r="N3043" s="38">
        <f>HLOOKUP("Host",'vInfo (Imported)'!$1:$5000,M3043,FALSE)</f>
        <v>0</v>
      </c>
      <c r="R3043">
        <f>HLOOKUP("CPUs",'vInfo (Imported)'!$1:$5000,M3043,FALSE)</f>
        <v>0</v>
      </c>
      <c r="S3043">
        <f>HLOOKUP("Memory",'vInfo (Imported)'!$1:$5000,M3043,FALSE)</f>
        <v>0</v>
      </c>
      <c r="T3043">
        <f>HLOOKUP("Provisioned MiB",'vInfo (Imported)'!$1:$5000,M3043,FALSE)</f>
        <v>0</v>
      </c>
      <c r="U3043">
        <f t="shared" si="142"/>
        <v>0</v>
      </c>
      <c r="V3043">
        <f>HLOOKUP("In Use MiB",'vInfo (Imported)'!$1:$5000,M3043,FALSE)</f>
        <v>0</v>
      </c>
    </row>
    <row r="3044" spans="1:22" ht="13" x14ac:dyDescent="0.3">
      <c r="A3044" s="46">
        <f>'vHosts (Imported)'!A3044</f>
        <v>0</v>
      </c>
      <c r="B3044" s="51">
        <f t="shared" si="141"/>
        <v>4968</v>
      </c>
      <c r="C3044" s="49">
        <f>HLOOKUP("# Cores",'vHosts (Imported)'!$1:$5000,M3044,FALSE)</f>
        <v>0</v>
      </c>
      <c r="D3044" s="52">
        <f>HLOOKUP("# Memory",'vHosts (Imported)'!$1:$5000,M3044,FALSE)</f>
        <v>0</v>
      </c>
      <c r="M3044" s="45">
        <f t="shared" si="143"/>
        <v>3044</v>
      </c>
      <c r="N3044" s="38">
        <f>HLOOKUP("Host",'vInfo (Imported)'!$1:$5000,M3044,FALSE)</f>
        <v>0</v>
      </c>
      <c r="R3044">
        <f>HLOOKUP("CPUs",'vInfo (Imported)'!$1:$5000,M3044,FALSE)</f>
        <v>0</v>
      </c>
      <c r="S3044">
        <f>HLOOKUP("Memory",'vInfo (Imported)'!$1:$5000,M3044,FALSE)</f>
        <v>0</v>
      </c>
      <c r="T3044">
        <f>HLOOKUP("Provisioned MiB",'vInfo (Imported)'!$1:$5000,M3044,FALSE)</f>
        <v>0</v>
      </c>
      <c r="U3044">
        <f t="shared" si="142"/>
        <v>0</v>
      </c>
      <c r="V3044">
        <f>HLOOKUP("In Use MiB",'vInfo (Imported)'!$1:$5000,M3044,FALSE)</f>
        <v>0</v>
      </c>
    </row>
    <row r="3045" spans="1:22" ht="13" x14ac:dyDescent="0.3">
      <c r="A3045" s="46">
        <f>'vHosts (Imported)'!A3045</f>
        <v>0</v>
      </c>
      <c r="B3045" s="51">
        <f t="shared" si="141"/>
        <v>4968</v>
      </c>
      <c r="C3045" s="49">
        <f>HLOOKUP("# Cores",'vHosts (Imported)'!$1:$5000,M3045,FALSE)</f>
        <v>0</v>
      </c>
      <c r="D3045" s="52">
        <f>HLOOKUP("# Memory",'vHosts (Imported)'!$1:$5000,M3045,FALSE)</f>
        <v>0</v>
      </c>
      <c r="M3045" s="45">
        <f t="shared" si="143"/>
        <v>3045</v>
      </c>
      <c r="N3045" s="38">
        <f>HLOOKUP("Host",'vInfo (Imported)'!$1:$5000,M3045,FALSE)</f>
        <v>0</v>
      </c>
      <c r="R3045">
        <f>HLOOKUP("CPUs",'vInfo (Imported)'!$1:$5000,M3045,FALSE)</f>
        <v>0</v>
      </c>
      <c r="S3045">
        <f>HLOOKUP("Memory",'vInfo (Imported)'!$1:$5000,M3045,FALSE)</f>
        <v>0</v>
      </c>
      <c r="T3045">
        <f>HLOOKUP("Provisioned MiB",'vInfo (Imported)'!$1:$5000,M3045,FALSE)</f>
        <v>0</v>
      </c>
      <c r="U3045">
        <f t="shared" si="142"/>
        <v>0</v>
      </c>
      <c r="V3045">
        <f>HLOOKUP("In Use MiB",'vInfo (Imported)'!$1:$5000,M3045,FALSE)</f>
        <v>0</v>
      </c>
    </row>
    <row r="3046" spans="1:22" ht="13" x14ac:dyDescent="0.3">
      <c r="A3046" s="46">
        <f>'vHosts (Imported)'!A3046</f>
        <v>0</v>
      </c>
      <c r="B3046" s="51">
        <f t="shared" si="141"/>
        <v>4968</v>
      </c>
      <c r="C3046" s="49">
        <f>HLOOKUP("# Cores",'vHosts (Imported)'!$1:$5000,M3046,FALSE)</f>
        <v>0</v>
      </c>
      <c r="D3046" s="52">
        <f>HLOOKUP("# Memory",'vHosts (Imported)'!$1:$5000,M3046,FALSE)</f>
        <v>0</v>
      </c>
      <c r="M3046" s="45">
        <f t="shared" si="143"/>
        <v>3046</v>
      </c>
      <c r="N3046" s="38">
        <f>HLOOKUP("Host",'vInfo (Imported)'!$1:$5000,M3046,FALSE)</f>
        <v>0</v>
      </c>
      <c r="R3046">
        <f>HLOOKUP("CPUs",'vInfo (Imported)'!$1:$5000,M3046,FALSE)</f>
        <v>0</v>
      </c>
      <c r="S3046">
        <f>HLOOKUP("Memory",'vInfo (Imported)'!$1:$5000,M3046,FALSE)</f>
        <v>0</v>
      </c>
      <c r="T3046">
        <f>HLOOKUP("Provisioned MiB",'vInfo (Imported)'!$1:$5000,M3046,FALSE)</f>
        <v>0</v>
      </c>
      <c r="U3046">
        <f t="shared" si="142"/>
        <v>0</v>
      </c>
      <c r="V3046">
        <f>HLOOKUP("In Use MiB",'vInfo (Imported)'!$1:$5000,M3046,FALSE)</f>
        <v>0</v>
      </c>
    </row>
    <row r="3047" spans="1:22" ht="13" x14ac:dyDescent="0.3">
      <c r="A3047" s="46">
        <f>'vHosts (Imported)'!A3047</f>
        <v>0</v>
      </c>
      <c r="B3047" s="51">
        <f t="shared" si="141"/>
        <v>4968</v>
      </c>
      <c r="C3047" s="49">
        <f>HLOOKUP("# Cores",'vHosts (Imported)'!$1:$5000,M3047,FALSE)</f>
        <v>0</v>
      </c>
      <c r="D3047" s="52">
        <f>HLOOKUP("# Memory",'vHosts (Imported)'!$1:$5000,M3047,FALSE)</f>
        <v>0</v>
      </c>
      <c r="M3047" s="45">
        <f t="shared" si="143"/>
        <v>3047</v>
      </c>
      <c r="N3047" s="38">
        <f>HLOOKUP("Host",'vInfo (Imported)'!$1:$5000,M3047,FALSE)</f>
        <v>0</v>
      </c>
      <c r="R3047">
        <f>HLOOKUP("CPUs",'vInfo (Imported)'!$1:$5000,M3047,FALSE)</f>
        <v>0</v>
      </c>
      <c r="S3047">
        <f>HLOOKUP("Memory",'vInfo (Imported)'!$1:$5000,M3047,FALSE)</f>
        <v>0</v>
      </c>
      <c r="T3047">
        <f>HLOOKUP("Provisioned MiB",'vInfo (Imported)'!$1:$5000,M3047,FALSE)</f>
        <v>0</v>
      </c>
      <c r="U3047">
        <f t="shared" si="142"/>
        <v>0</v>
      </c>
      <c r="V3047">
        <f>HLOOKUP("In Use MiB",'vInfo (Imported)'!$1:$5000,M3047,FALSE)</f>
        <v>0</v>
      </c>
    </row>
    <row r="3048" spans="1:22" ht="13" x14ac:dyDescent="0.3">
      <c r="A3048" s="46">
        <f>'vHosts (Imported)'!A3048</f>
        <v>0</v>
      </c>
      <c r="B3048" s="51">
        <f t="shared" ref="B3048:B3111" si="144">COUNTIF(N:N,A3048)</f>
        <v>4968</v>
      </c>
      <c r="C3048" s="49">
        <f>HLOOKUP("# Cores",'vHosts (Imported)'!$1:$5000,M3048,FALSE)</f>
        <v>0</v>
      </c>
      <c r="D3048" s="52">
        <f>HLOOKUP("# Memory",'vHosts (Imported)'!$1:$5000,M3048,FALSE)</f>
        <v>0</v>
      </c>
      <c r="M3048" s="45">
        <f t="shared" si="143"/>
        <v>3048</v>
      </c>
      <c r="N3048" s="38">
        <f>HLOOKUP("Host",'vInfo (Imported)'!$1:$5000,M3048,FALSE)</f>
        <v>0</v>
      </c>
      <c r="R3048">
        <f>HLOOKUP("CPUs",'vInfo (Imported)'!$1:$5000,M3048,FALSE)</f>
        <v>0</v>
      </c>
      <c r="S3048">
        <f>HLOOKUP("Memory",'vInfo (Imported)'!$1:$5000,M3048,FALSE)</f>
        <v>0</v>
      </c>
      <c r="T3048">
        <f>HLOOKUP("Provisioned MiB",'vInfo (Imported)'!$1:$5000,M3048,FALSE)</f>
        <v>0</v>
      </c>
      <c r="U3048">
        <f t="shared" si="142"/>
        <v>0</v>
      </c>
      <c r="V3048">
        <f>HLOOKUP("In Use MiB",'vInfo (Imported)'!$1:$5000,M3048,FALSE)</f>
        <v>0</v>
      </c>
    </row>
    <row r="3049" spans="1:22" ht="13" x14ac:dyDescent="0.3">
      <c r="A3049" s="46">
        <f>'vHosts (Imported)'!A3049</f>
        <v>0</v>
      </c>
      <c r="B3049" s="51">
        <f t="shared" si="144"/>
        <v>4968</v>
      </c>
      <c r="C3049" s="49">
        <f>HLOOKUP("# Cores",'vHosts (Imported)'!$1:$5000,M3049,FALSE)</f>
        <v>0</v>
      </c>
      <c r="D3049" s="52">
        <f>HLOOKUP("# Memory",'vHosts (Imported)'!$1:$5000,M3049,FALSE)</f>
        <v>0</v>
      </c>
      <c r="M3049" s="45">
        <f t="shared" si="143"/>
        <v>3049</v>
      </c>
      <c r="N3049" s="38">
        <f>HLOOKUP("Host",'vInfo (Imported)'!$1:$5000,M3049,FALSE)</f>
        <v>0</v>
      </c>
      <c r="R3049">
        <f>HLOOKUP("CPUs",'vInfo (Imported)'!$1:$5000,M3049,FALSE)</f>
        <v>0</v>
      </c>
      <c r="S3049">
        <f>HLOOKUP("Memory",'vInfo (Imported)'!$1:$5000,M3049,FALSE)</f>
        <v>0</v>
      </c>
      <c r="T3049">
        <f>HLOOKUP("Provisioned MiB",'vInfo (Imported)'!$1:$5000,M3049,FALSE)</f>
        <v>0</v>
      </c>
      <c r="U3049">
        <f t="shared" si="142"/>
        <v>0</v>
      </c>
      <c r="V3049">
        <f>HLOOKUP("In Use MiB",'vInfo (Imported)'!$1:$5000,M3049,FALSE)</f>
        <v>0</v>
      </c>
    </row>
    <row r="3050" spans="1:22" ht="13" x14ac:dyDescent="0.3">
      <c r="A3050" s="46">
        <f>'vHosts (Imported)'!A3050</f>
        <v>0</v>
      </c>
      <c r="B3050" s="51">
        <f t="shared" si="144"/>
        <v>4968</v>
      </c>
      <c r="C3050" s="49">
        <f>HLOOKUP("# Cores",'vHosts (Imported)'!$1:$5000,M3050,FALSE)</f>
        <v>0</v>
      </c>
      <c r="D3050" s="52">
        <f>HLOOKUP("# Memory",'vHosts (Imported)'!$1:$5000,M3050,FALSE)</f>
        <v>0</v>
      </c>
      <c r="M3050" s="45">
        <f t="shared" si="143"/>
        <v>3050</v>
      </c>
      <c r="N3050" s="38">
        <f>HLOOKUP("Host",'vInfo (Imported)'!$1:$5000,M3050,FALSE)</f>
        <v>0</v>
      </c>
      <c r="R3050">
        <f>HLOOKUP("CPUs",'vInfo (Imported)'!$1:$5000,M3050,FALSE)</f>
        <v>0</v>
      </c>
      <c r="S3050">
        <f>HLOOKUP("Memory",'vInfo (Imported)'!$1:$5000,M3050,FALSE)</f>
        <v>0</v>
      </c>
      <c r="T3050">
        <f>HLOOKUP("Provisioned MiB",'vInfo (Imported)'!$1:$5000,M3050,FALSE)</f>
        <v>0</v>
      </c>
      <c r="U3050">
        <f t="shared" si="142"/>
        <v>0</v>
      </c>
      <c r="V3050">
        <f>HLOOKUP("In Use MiB",'vInfo (Imported)'!$1:$5000,M3050,FALSE)</f>
        <v>0</v>
      </c>
    </row>
    <row r="3051" spans="1:22" ht="13" x14ac:dyDescent="0.3">
      <c r="A3051" s="46">
        <f>'vHosts (Imported)'!A3051</f>
        <v>0</v>
      </c>
      <c r="B3051" s="51">
        <f t="shared" si="144"/>
        <v>4968</v>
      </c>
      <c r="C3051" s="49">
        <f>HLOOKUP("# Cores",'vHosts (Imported)'!$1:$5000,M3051,FALSE)</f>
        <v>0</v>
      </c>
      <c r="D3051" s="52">
        <f>HLOOKUP("# Memory",'vHosts (Imported)'!$1:$5000,M3051,FALSE)</f>
        <v>0</v>
      </c>
      <c r="M3051" s="45">
        <f t="shared" si="143"/>
        <v>3051</v>
      </c>
      <c r="N3051" s="38">
        <f>HLOOKUP("Host",'vInfo (Imported)'!$1:$5000,M3051,FALSE)</f>
        <v>0</v>
      </c>
      <c r="R3051">
        <f>HLOOKUP("CPUs",'vInfo (Imported)'!$1:$5000,M3051,FALSE)</f>
        <v>0</v>
      </c>
      <c r="S3051">
        <f>HLOOKUP("Memory",'vInfo (Imported)'!$1:$5000,M3051,FALSE)</f>
        <v>0</v>
      </c>
      <c r="T3051">
        <f>HLOOKUP("Provisioned MiB",'vInfo (Imported)'!$1:$5000,M3051,FALSE)</f>
        <v>0</v>
      </c>
      <c r="U3051">
        <f t="shared" si="142"/>
        <v>0</v>
      </c>
      <c r="V3051">
        <f>HLOOKUP("In Use MiB",'vInfo (Imported)'!$1:$5000,M3051,FALSE)</f>
        <v>0</v>
      </c>
    </row>
    <row r="3052" spans="1:22" ht="13" x14ac:dyDescent="0.3">
      <c r="A3052" s="46">
        <f>'vHosts (Imported)'!A3052</f>
        <v>0</v>
      </c>
      <c r="B3052" s="51">
        <f t="shared" si="144"/>
        <v>4968</v>
      </c>
      <c r="C3052" s="49">
        <f>HLOOKUP("# Cores",'vHosts (Imported)'!$1:$5000,M3052,FALSE)</f>
        <v>0</v>
      </c>
      <c r="D3052" s="52">
        <f>HLOOKUP("# Memory",'vHosts (Imported)'!$1:$5000,M3052,FALSE)</f>
        <v>0</v>
      </c>
      <c r="M3052" s="45">
        <f t="shared" si="143"/>
        <v>3052</v>
      </c>
      <c r="N3052" s="38">
        <f>HLOOKUP("Host",'vInfo (Imported)'!$1:$5000,M3052,FALSE)</f>
        <v>0</v>
      </c>
      <c r="R3052">
        <f>HLOOKUP("CPUs",'vInfo (Imported)'!$1:$5000,M3052,FALSE)</f>
        <v>0</v>
      </c>
      <c r="S3052">
        <f>HLOOKUP("Memory",'vInfo (Imported)'!$1:$5000,M3052,FALSE)</f>
        <v>0</v>
      </c>
      <c r="T3052">
        <f>HLOOKUP("Provisioned MiB",'vInfo (Imported)'!$1:$5000,M3052,FALSE)</f>
        <v>0</v>
      </c>
      <c r="U3052">
        <f t="shared" si="142"/>
        <v>0</v>
      </c>
      <c r="V3052">
        <f>HLOOKUP("In Use MiB",'vInfo (Imported)'!$1:$5000,M3052,FALSE)</f>
        <v>0</v>
      </c>
    </row>
    <row r="3053" spans="1:22" ht="13" x14ac:dyDescent="0.3">
      <c r="A3053" s="46">
        <f>'vHosts (Imported)'!A3053</f>
        <v>0</v>
      </c>
      <c r="B3053" s="51">
        <f t="shared" si="144"/>
        <v>4968</v>
      </c>
      <c r="C3053" s="49">
        <f>HLOOKUP("# Cores",'vHosts (Imported)'!$1:$5000,M3053,FALSE)</f>
        <v>0</v>
      </c>
      <c r="D3053" s="52">
        <f>HLOOKUP("# Memory",'vHosts (Imported)'!$1:$5000,M3053,FALSE)</f>
        <v>0</v>
      </c>
      <c r="M3053" s="45">
        <f t="shared" si="143"/>
        <v>3053</v>
      </c>
      <c r="N3053" s="38">
        <f>HLOOKUP("Host",'vInfo (Imported)'!$1:$5000,M3053,FALSE)</f>
        <v>0</v>
      </c>
      <c r="R3053">
        <f>HLOOKUP("CPUs",'vInfo (Imported)'!$1:$5000,M3053,FALSE)</f>
        <v>0</v>
      </c>
      <c r="S3053">
        <f>HLOOKUP("Memory",'vInfo (Imported)'!$1:$5000,M3053,FALSE)</f>
        <v>0</v>
      </c>
      <c r="T3053">
        <f>HLOOKUP("Provisioned MiB",'vInfo (Imported)'!$1:$5000,M3053,FALSE)</f>
        <v>0</v>
      </c>
      <c r="U3053">
        <f t="shared" si="142"/>
        <v>0</v>
      </c>
      <c r="V3053">
        <f>HLOOKUP("In Use MiB",'vInfo (Imported)'!$1:$5000,M3053,FALSE)</f>
        <v>0</v>
      </c>
    </row>
    <row r="3054" spans="1:22" ht="13" x14ac:dyDescent="0.3">
      <c r="A3054" s="46">
        <f>'vHosts (Imported)'!A3054</f>
        <v>0</v>
      </c>
      <c r="B3054" s="51">
        <f t="shared" si="144"/>
        <v>4968</v>
      </c>
      <c r="C3054" s="49">
        <f>HLOOKUP("# Cores",'vHosts (Imported)'!$1:$5000,M3054,FALSE)</f>
        <v>0</v>
      </c>
      <c r="D3054" s="52">
        <f>HLOOKUP("# Memory",'vHosts (Imported)'!$1:$5000,M3054,FALSE)</f>
        <v>0</v>
      </c>
      <c r="M3054" s="45">
        <f t="shared" si="143"/>
        <v>3054</v>
      </c>
      <c r="N3054" s="38">
        <f>HLOOKUP("Host",'vInfo (Imported)'!$1:$5000,M3054,FALSE)</f>
        <v>0</v>
      </c>
      <c r="R3054">
        <f>HLOOKUP("CPUs",'vInfo (Imported)'!$1:$5000,M3054,FALSE)</f>
        <v>0</v>
      </c>
      <c r="S3054">
        <f>HLOOKUP("Memory",'vInfo (Imported)'!$1:$5000,M3054,FALSE)</f>
        <v>0</v>
      </c>
      <c r="T3054">
        <f>HLOOKUP("Provisioned MiB",'vInfo (Imported)'!$1:$5000,M3054,FALSE)</f>
        <v>0</v>
      </c>
      <c r="U3054">
        <f t="shared" si="142"/>
        <v>0</v>
      </c>
      <c r="V3054">
        <f>HLOOKUP("In Use MiB",'vInfo (Imported)'!$1:$5000,M3054,FALSE)</f>
        <v>0</v>
      </c>
    </row>
    <row r="3055" spans="1:22" ht="13" x14ac:dyDescent="0.3">
      <c r="A3055" s="46">
        <f>'vHosts (Imported)'!A3055</f>
        <v>0</v>
      </c>
      <c r="B3055" s="51">
        <f t="shared" si="144"/>
        <v>4968</v>
      </c>
      <c r="C3055" s="49">
        <f>HLOOKUP("# Cores",'vHosts (Imported)'!$1:$5000,M3055,FALSE)</f>
        <v>0</v>
      </c>
      <c r="D3055" s="52">
        <f>HLOOKUP("# Memory",'vHosts (Imported)'!$1:$5000,M3055,FALSE)</f>
        <v>0</v>
      </c>
      <c r="M3055" s="45">
        <f t="shared" si="143"/>
        <v>3055</v>
      </c>
      <c r="N3055" s="38">
        <f>HLOOKUP("Host",'vInfo (Imported)'!$1:$5000,M3055,FALSE)</f>
        <v>0</v>
      </c>
      <c r="R3055">
        <f>HLOOKUP("CPUs",'vInfo (Imported)'!$1:$5000,M3055,FALSE)</f>
        <v>0</v>
      </c>
      <c r="S3055">
        <f>HLOOKUP("Memory",'vInfo (Imported)'!$1:$5000,M3055,FALSE)</f>
        <v>0</v>
      </c>
      <c r="T3055">
        <f>HLOOKUP("Provisioned MiB",'vInfo (Imported)'!$1:$5000,M3055,FALSE)</f>
        <v>0</v>
      </c>
      <c r="U3055">
        <f t="shared" si="142"/>
        <v>0</v>
      </c>
      <c r="V3055">
        <f>HLOOKUP("In Use MiB",'vInfo (Imported)'!$1:$5000,M3055,FALSE)</f>
        <v>0</v>
      </c>
    </row>
    <row r="3056" spans="1:22" ht="13" x14ac:dyDescent="0.3">
      <c r="A3056" s="46">
        <f>'vHosts (Imported)'!A3056</f>
        <v>0</v>
      </c>
      <c r="B3056" s="51">
        <f t="shared" si="144"/>
        <v>4968</v>
      </c>
      <c r="C3056" s="49">
        <f>HLOOKUP("# Cores",'vHosts (Imported)'!$1:$5000,M3056,FALSE)</f>
        <v>0</v>
      </c>
      <c r="D3056" s="52">
        <f>HLOOKUP("# Memory",'vHosts (Imported)'!$1:$5000,M3056,FALSE)</f>
        <v>0</v>
      </c>
      <c r="M3056" s="45">
        <f t="shared" si="143"/>
        <v>3056</v>
      </c>
      <c r="N3056" s="38">
        <f>HLOOKUP("Host",'vInfo (Imported)'!$1:$5000,M3056,FALSE)</f>
        <v>0</v>
      </c>
      <c r="R3056">
        <f>HLOOKUP("CPUs",'vInfo (Imported)'!$1:$5000,M3056,FALSE)</f>
        <v>0</v>
      </c>
      <c r="S3056">
        <f>HLOOKUP("Memory",'vInfo (Imported)'!$1:$5000,M3056,FALSE)</f>
        <v>0</v>
      </c>
      <c r="T3056">
        <f>HLOOKUP("Provisioned MiB",'vInfo (Imported)'!$1:$5000,M3056,FALSE)</f>
        <v>0</v>
      </c>
      <c r="U3056">
        <f t="shared" si="142"/>
        <v>0</v>
      </c>
      <c r="V3056">
        <f>HLOOKUP("In Use MiB",'vInfo (Imported)'!$1:$5000,M3056,FALSE)</f>
        <v>0</v>
      </c>
    </row>
    <row r="3057" spans="1:22" ht="13" x14ac:dyDescent="0.3">
      <c r="A3057" s="46">
        <f>'vHosts (Imported)'!A3057</f>
        <v>0</v>
      </c>
      <c r="B3057" s="51">
        <f t="shared" si="144"/>
        <v>4968</v>
      </c>
      <c r="C3057" s="49">
        <f>HLOOKUP("# Cores",'vHosts (Imported)'!$1:$5000,M3057,FALSE)</f>
        <v>0</v>
      </c>
      <c r="D3057" s="52">
        <f>HLOOKUP("# Memory",'vHosts (Imported)'!$1:$5000,M3057,FALSE)</f>
        <v>0</v>
      </c>
      <c r="M3057" s="45">
        <f t="shared" si="143"/>
        <v>3057</v>
      </c>
      <c r="N3057" s="38">
        <f>HLOOKUP("Host",'vInfo (Imported)'!$1:$5000,M3057,FALSE)</f>
        <v>0</v>
      </c>
      <c r="R3057">
        <f>HLOOKUP("CPUs",'vInfo (Imported)'!$1:$5000,M3057,FALSE)</f>
        <v>0</v>
      </c>
      <c r="S3057">
        <f>HLOOKUP("Memory",'vInfo (Imported)'!$1:$5000,M3057,FALSE)</f>
        <v>0</v>
      </c>
      <c r="T3057">
        <f>HLOOKUP("Provisioned MiB",'vInfo (Imported)'!$1:$5000,M3057,FALSE)</f>
        <v>0</v>
      </c>
      <c r="U3057">
        <f t="shared" si="142"/>
        <v>0</v>
      </c>
      <c r="V3057">
        <f>HLOOKUP("In Use MiB",'vInfo (Imported)'!$1:$5000,M3057,FALSE)</f>
        <v>0</v>
      </c>
    </row>
    <row r="3058" spans="1:22" ht="13" x14ac:dyDescent="0.3">
      <c r="A3058" s="46">
        <f>'vHosts (Imported)'!A3058</f>
        <v>0</v>
      </c>
      <c r="B3058" s="51">
        <f t="shared" si="144"/>
        <v>4968</v>
      </c>
      <c r="C3058" s="49">
        <f>HLOOKUP("# Cores",'vHosts (Imported)'!$1:$5000,M3058,FALSE)</f>
        <v>0</v>
      </c>
      <c r="D3058" s="52">
        <f>HLOOKUP("# Memory",'vHosts (Imported)'!$1:$5000,M3058,FALSE)</f>
        <v>0</v>
      </c>
      <c r="M3058" s="45">
        <f t="shared" si="143"/>
        <v>3058</v>
      </c>
      <c r="N3058" s="38">
        <f>HLOOKUP("Host",'vInfo (Imported)'!$1:$5000,M3058,FALSE)</f>
        <v>0</v>
      </c>
      <c r="R3058">
        <f>HLOOKUP("CPUs",'vInfo (Imported)'!$1:$5000,M3058,FALSE)</f>
        <v>0</v>
      </c>
      <c r="S3058">
        <f>HLOOKUP("Memory",'vInfo (Imported)'!$1:$5000,M3058,FALSE)</f>
        <v>0</v>
      </c>
      <c r="T3058">
        <f>HLOOKUP("Provisioned MiB",'vInfo (Imported)'!$1:$5000,M3058,FALSE)</f>
        <v>0</v>
      </c>
      <c r="U3058">
        <f t="shared" si="142"/>
        <v>0</v>
      </c>
      <c r="V3058">
        <f>HLOOKUP("In Use MiB",'vInfo (Imported)'!$1:$5000,M3058,FALSE)</f>
        <v>0</v>
      </c>
    </row>
    <row r="3059" spans="1:22" ht="13" x14ac:dyDescent="0.3">
      <c r="A3059" s="46">
        <f>'vHosts (Imported)'!A3059</f>
        <v>0</v>
      </c>
      <c r="B3059" s="51">
        <f t="shared" si="144"/>
        <v>4968</v>
      </c>
      <c r="C3059" s="49">
        <f>HLOOKUP("# Cores",'vHosts (Imported)'!$1:$5000,M3059,FALSE)</f>
        <v>0</v>
      </c>
      <c r="D3059" s="52">
        <f>HLOOKUP("# Memory",'vHosts (Imported)'!$1:$5000,M3059,FALSE)</f>
        <v>0</v>
      </c>
      <c r="M3059" s="45">
        <f t="shared" si="143"/>
        <v>3059</v>
      </c>
      <c r="N3059" s="38">
        <f>HLOOKUP("Host",'vInfo (Imported)'!$1:$5000,M3059,FALSE)</f>
        <v>0</v>
      </c>
      <c r="R3059">
        <f>HLOOKUP("CPUs",'vInfo (Imported)'!$1:$5000,M3059,FALSE)</f>
        <v>0</v>
      </c>
      <c r="S3059">
        <f>HLOOKUP("Memory",'vInfo (Imported)'!$1:$5000,M3059,FALSE)</f>
        <v>0</v>
      </c>
      <c r="T3059">
        <f>HLOOKUP("Provisioned MiB",'vInfo (Imported)'!$1:$5000,M3059,FALSE)</f>
        <v>0</v>
      </c>
      <c r="U3059">
        <f t="shared" si="142"/>
        <v>0</v>
      </c>
      <c r="V3059">
        <f>HLOOKUP("In Use MiB",'vInfo (Imported)'!$1:$5000,M3059,FALSE)</f>
        <v>0</v>
      </c>
    </row>
    <row r="3060" spans="1:22" ht="13" x14ac:dyDescent="0.3">
      <c r="A3060" s="46">
        <f>'vHosts (Imported)'!A3060</f>
        <v>0</v>
      </c>
      <c r="B3060" s="51">
        <f t="shared" si="144"/>
        <v>4968</v>
      </c>
      <c r="C3060" s="49">
        <f>HLOOKUP("# Cores",'vHosts (Imported)'!$1:$5000,M3060,FALSE)</f>
        <v>0</v>
      </c>
      <c r="D3060" s="52">
        <f>HLOOKUP("# Memory",'vHosts (Imported)'!$1:$5000,M3060,FALSE)</f>
        <v>0</v>
      </c>
      <c r="M3060" s="45">
        <f t="shared" si="143"/>
        <v>3060</v>
      </c>
      <c r="N3060" s="38">
        <f>HLOOKUP("Host",'vInfo (Imported)'!$1:$5000,M3060,FALSE)</f>
        <v>0</v>
      </c>
      <c r="R3060">
        <f>HLOOKUP("CPUs",'vInfo (Imported)'!$1:$5000,M3060,FALSE)</f>
        <v>0</v>
      </c>
      <c r="S3060">
        <f>HLOOKUP("Memory",'vInfo (Imported)'!$1:$5000,M3060,FALSE)</f>
        <v>0</v>
      </c>
      <c r="T3060">
        <f>HLOOKUP("Provisioned MiB",'vInfo (Imported)'!$1:$5000,M3060,FALSE)</f>
        <v>0</v>
      </c>
      <c r="U3060">
        <f t="shared" si="142"/>
        <v>0</v>
      </c>
      <c r="V3060">
        <f>HLOOKUP("In Use MiB",'vInfo (Imported)'!$1:$5000,M3060,FALSE)</f>
        <v>0</v>
      </c>
    </row>
    <row r="3061" spans="1:22" ht="13" x14ac:dyDescent="0.3">
      <c r="A3061" s="46">
        <f>'vHosts (Imported)'!A3061</f>
        <v>0</v>
      </c>
      <c r="B3061" s="51">
        <f t="shared" si="144"/>
        <v>4968</v>
      </c>
      <c r="C3061" s="49">
        <f>HLOOKUP("# Cores",'vHosts (Imported)'!$1:$5000,M3061,FALSE)</f>
        <v>0</v>
      </c>
      <c r="D3061" s="52">
        <f>HLOOKUP("# Memory",'vHosts (Imported)'!$1:$5000,M3061,FALSE)</f>
        <v>0</v>
      </c>
      <c r="M3061" s="45">
        <f t="shared" si="143"/>
        <v>3061</v>
      </c>
      <c r="N3061" s="38">
        <f>HLOOKUP("Host",'vInfo (Imported)'!$1:$5000,M3061,FALSE)</f>
        <v>0</v>
      </c>
      <c r="R3061">
        <f>HLOOKUP("CPUs",'vInfo (Imported)'!$1:$5000,M3061,FALSE)</f>
        <v>0</v>
      </c>
      <c r="S3061">
        <f>HLOOKUP("Memory",'vInfo (Imported)'!$1:$5000,M3061,FALSE)</f>
        <v>0</v>
      </c>
      <c r="T3061">
        <f>HLOOKUP("Provisioned MiB",'vInfo (Imported)'!$1:$5000,M3061,FALSE)</f>
        <v>0</v>
      </c>
      <c r="U3061">
        <f t="shared" si="142"/>
        <v>0</v>
      </c>
      <c r="V3061">
        <f>HLOOKUP("In Use MiB",'vInfo (Imported)'!$1:$5000,M3061,FALSE)</f>
        <v>0</v>
      </c>
    </row>
    <row r="3062" spans="1:22" ht="13" x14ac:dyDescent="0.3">
      <c r="A3062" s="46">
        <f>'vHosts (Imported)'!A3062</f>
        <v>0</v>
      </c>
      <c r="B3062" s="51">
        <f t="shared" si="144"/>
        <v>4968</v>
      </c>
      <c r="C3062" s="49">
        <f>HLOOKUP("# Cores",'vHosts (Imported)'!$1:$5000,M3062,FALSE)</f>
        <v>0</v>
      </c>
      <c r="D3062" s="52">
        <f>HLOOKUP("# Memory",'vHosts (Imported)'!$1:$5000,M3062,FALSE)</f>
        <v>0</v>
      </c>
      <c r="M3062" s="45">
        <f t="shared" si="143"/>
        <v>3062</v>
      </c>
      <c r="N3062" s="38">
        <f>HLOOKUP("Host",'vInfo (Imported)'!$1:$5000,M3062,FALSE)</f>
        <v>0</v>
      </c>
      <c r="R3062">
        <f>HLOOKUP("CPUs",'vInfo (Imported)'!$1:$5000,M3062,FALSE)</f>
        <v>0</v>
      </c>
      <c r="S3062">
        <f>HLOOKUP("Memory",'vInfo (Imported)'!$1:$5000,M3062,FALSE)</f>
        <v>0</v>
      </c>
      <c r="T3062">
        <f>HLOOKUP("Provisioned MiB",'vInfo (Imported)'!$1:$5000,M3062,FALSE)</f>
        <v>0</v>
      </c>
      <c r="U3062">
        <f t="shared" si="142"/>
        <v>0</v>
      </c>
      <c r="V3062">
        <f>HLOOKUP("In Use MiB",'vInfo (Imported)'!$1:$5000,M3062,FALSE)</f>
        <v>0</v>
      </c>
    </row>
    <row r="3063" spans="1:22" ht="13" x14ac:dyDescent="0.3">
      <c r="A3063" s="46">
        <f>'vHosts (Imported)'!A3063</f>
        <v>0</v>
      </c>
      <c r="B3063" s="51">
        <f t="shared" si="144"/>
        <v>4968</v>
      </c>
      <c r="C3063" s="49">
        <f>HLOOKUP("# Cores",'vHosts (Imported)'!$1:$5000,M3063,FALSE)</f>
        <v>0</v>
      </c>
      <c r="D3063" s="52">
        <f>HLOOKUP("# Memory",'vHosts (Imported)'!$1:$5000,M3063,FALSE)</f>
        <v>0</v>
      </c>
      <c r="M3063" s="45">
        <f t="shared" si="143"/>
        <v>3063</v>
      </c>
      <c r="N3063" s="38">
        <f>HLOOKUP("Host",'vInfo (Imported)'!$1:$5000,M3063,FALSE)</f>
        <v>0</v>
      </c>
      <c r="R3063">
        <f>HLOOKUP("CPUs",'vInfo (Imported)'!$1:$5000,M3063,FALSE)</f>
        <v>0</v>
      </c>
      <c r="S3063">
        <f>HLOOKUP("Memory",'vInfo (Imported)'!$1:$5000,M3063,FALSE)</f>
        <v>0</v>
      </c>
      <c r="T3063">
        <f>HLOOKUP("Provisioned MiB",'vInfo (Imported)'!$1:$5000,M3063,FALSE)</f>
        <v>0</v>
      </c>
      <c r="U3063">
        <f t="shared" si="142"/>
        <v>0</v>
      </c>
      <c r="V3063">
        <f>HLOOKUP("In Use MiB",'vInfo (Imported)'!$1:$5000,M3063,FALSE)</f>
        <v>0</v>
      </c>
    </row>
    <row r="3064" spans="1:22" ht="13" x14ac:dyDescent="0.3">
      <c r="A3064" s="46">
        <f>'vHosts (Imported)'!A3064</f>
        <v>0</v>
      </c>
      <c r="B3064" s="51">
        <f t="shared" si="144"/>
        <v>4968</v>
      </c>
      <c r="C3064" s="49">
        <f>HLOOKUP("# Cores",'vHosts (Imported)'!$1:$5000,M3064,FALSE)</f>
        <v>0</v>
      </c>
      <c r="D3064" s="52">
        <f>HLOOKUP("# Memory",'vHosts (Imported)'!$1:$5000,M3064,FALSE)</f>
        <v>0</v>
      </c>
      <c r="M3064" s="45">
        <f t="shared" si="143"/>
        <v>3064</v>
      </c>
      <c r="N3064" s="38">
        <f>HLOOKUP("Host",'vInfo (Imported)'!$1:$5000,M3064,FALSE)</f>
        <v>0</v>
      </c>
      <c r="R3064">
        <f>HLOOKUP("CPUs",'vInfo (Imported)'!$1:$5000,M3064,FALSE)</f>
        <v>0</v>
      </c>
      <c r="S3064">
        <f>HLOOKUP("Memory",'vInfo (Imported)'!$1:$5000,M3064,FALSE)</f>
        <v>0</v>
      </c>
      <c r="T3064">
        <f>HLOOKUP("Provisioned MiB",'vInfo (Imported)'!$1:$5000,M3064,FALSE)</f>
        <v>0</v>
      </c>
      <c r="U3064">
        <f t="shared" si="142"/>
        <v>0</v>
      </c>
      <c r="V3064">
        <f>HLOOKUP("In Use MiB",'vInfo (Imported)'!$1:$5000,M3064,FALSE)</f>
        <v>0</v>
      </c>
    </row>
    <row r="3065" spans="1:22" ht="13" x14ac:dyDescent="0.3">
      <c r="A3065" s="46">
        <f>'vHosts (Imported)'!A3065</f>
        <v>0</v>
      </c>
      <c r="B3065" s="51">
        <f t="shared" si="144"/>
        <v>4968</v>
      </c>
      <c r="C3065" s="49">
        <f>HLOOKUP("# Cores",'vHosts (Imported)'!$1:$5000,M3065,FALSE)</f>
        <v>0</v>
      </c>
      <c r="D3065" s="52">
        <f>HLOOKUP("# Memory",'vHosts (Imported)'!$1:$5000,M3065,FALSE)</f>
        <v>0</v>
      </c>
      <c r="M3065" s="45">
        <f t="shared" si="143"/>
        <v>3065</v>
      </c>
      <c r="N3065" s="38">
        <f>HLOOKUP("Host",'vInfo (Imported)'!$1:$5000,M3065,FALSE)</f>
        <v>0</v>
      </c>
      <c r="R3065">
        <f>HLOOKUP("CPUs",'vInfo (Imported)'!$1:$5000,M3065,FALSE)</f>
        <v>0</v>
      </c>
      <c r="S3065">
        <f>HLOOKUP("Memory",'vInfo (Imported)'!$1:$5000,M3065,FALSE)</f>
        <v>0</v>
      </c>
      <c r="T3065">
        <f>HLOOKUP("Provisioned MiB",'vInfo (Imported)'!$1:$5000,M3065,FALSE)</f>
        <v>0</v>
      </c>
      <c r="U3065">
        <f t="shared" si="142"/>
        <v>0</v>
      </c>
      <c r="V3065">
        <f>HLOOKUP("In Use MiB",'vInfo (Imported)'!$1:$5000,M3065,FALSE)</f>
        <v>0</v>
      </c>
    </row>
    <row r="3066" spans="1:22" ht="13" x14ac:dyDescent="0.3">
      <c r="A3066" s="46">
        <f>'vHosts (Imported)'!A3066</f>
        <v>0</v>
      </c>
      <c r="B3066" s="51">
        <f t="shared" si="144"/>
        <v>4968</v>
      </c>
      <c r="C3066" s="49">
        <f>HLOOKUP("# Cores",'vHosts (Imported)'!$1:$5000,M3066,FALSE)</f>
        <v>0</v>
      </c>
      <c r="D3066" s="52">
        <f>HLOOKUP("# Memory",'vHosts (Imported)'!$1:$5000,M3066,FALSE)</f>
        <v>0</v>
      </c>
      <c r="M3066" s="45">
        <f t="shared" si="143"/>
        <v>3066</v>
      </c>
      <c r="N3066" s="38">
        <f>HLOOKUP("Host",'vInfo (Imported)'!$1:$5000,M3066,FALSE)</f>
        <v>0</v>
      </c>
      <c r="R3066">
        <f>HLOOKUP("CPUs",'vInfo (Imported)'!$1:$5000,M3066,FALSE)</f>
        <v>0</v>
      </c>
      <c r="S3066">
        <f>HLOOKUP("Memory",'vInfo (Imported)'!$1:$5000,M3066,FALSE)</f>
        <v>0</v>
      </c>
      <c r="T3066">
        <f>HLOOKUP("Provisioned MiB",'vInfo (Imported)'!$1:$5000,M3066,FALSE)</f>
        <v>0</v>
      </c>
      <c r="U3066">
        <f t="shared" si="142"/>
        <v>0</v>
      </c>
      <c r="V3066">
        <f>HLOOKUP("In Use MiB",'vInfo (Imported)'!$1:$5000,M3066,FALSE)</f>
        <v>0</v>
      </c>
    </row>
    <row r="3067" spans="1:22" ht="13" x14ac:dyDescent="0.3">
      <c r="A3067" s="46">
        <f>'vHosts (Imported)'!A3067</f>
        <v>0</v>
      </c>
      <c r="B3067" s="51">
        <f t="shared" si="144"/>
        <v>4968</v>
      </c>
      <c r="C3067" s="49">
        <f>HLOOKUP("# Cores",'vHosts (Imported)'!$1:$5000,M3067,FALSE)</f>
        <v>0</v>
      </c>
      <c r="D3067" s="52">
        <f>HLOOKUP("# Memory",'vHosts (Imported)'!$1:$5000,M3067,FALSE)</f>
        <v>0</v>
      </c>
      <c r="M3067" s="45">
        <f t="shared" si="143"/>
        <v>3067</v>
      </c>
      <c r="N3067" s="38">
        <f>HLOOKUP("Host",'vInfo (Imported)'!$1:$5000,M3067,FALSE)</f>
        <v>0</v>
      </c>
      <c r="R3067">
        <f>HLOOKUP("CPUs",'vInfo (Imported)'!$1:$5000,M3067,FALSE)</f>
        <v>0</v>
      </c>
      <c r="S3067">
        <f>HLOOKUP("Memory",'vInfo (Imported)'!$1:$5000,M3067,FALSE)</f>
        <v>0</v>
      </c>
      <c r="T3067">
        <f>HLOOKUP("Provisioned MiB",'vInfo (Imported)'!$1:$5000,M3067,FALSE)</f>
        <v>0</v>
      </c>
      <c r="U3067">
        <f t="shared" si="142"/>
        <v>0</v>
      </c>
      <c r="V3067">
        <f>HLOOKUP("In Use MiB",'vInfo (Imported)'!$1:$5000,M3067,FALSE)</f>
        <v>0</v>
      </c>
    </row>
    <row r="3068" spans="1:22" ht="13" x14ac:dyDescent="0.3">
      <c r="A3068" s="46">
        <f>'vHosts (Imported)'!A3068</f>
        <v>0</v>
      </c>
      <c r="B3068" s="51">
        <f t="shared" si="144"/>
        <v>4968</v>
      </c>
      <c r="C3068" s="49">
        <f>HLOOKUP("# Cores",'vHosts (Imported)'!$1:$5000,M3068,FALSE)</f>
        <v>0</v>
      </c>
      <c r="D3068" s="52">
        <f>HLOOKUP("# Memory",'vHosts (Imported)'!$1:$5000,M3068,FALSE)</f>
        <v>0</v>
      </c>
      <c r="M3068" s="45">
        <f t="shared" si="143"/>
        <v>3068</v>
      </c>
      <c r="N3068" s="38">
        <f>HLOOKUP("Host",'vInfo (Imported)'!$1:$5000,M3068,FALSE)</f>
        <v>0</v>
      </c>
      <c r="R3068">
        <f>HLOOKUP("CPUs",'vInfo (Imported)'!$1:$5000,M3068,FALSE)</f>
        <v>0</v>
      </c>
      <c r="S3068">
        <f>HLOOKUP("Memory",'vInfo (Imported)'!$1:$5000,M3068,FALSE)</f>
        <v>0</v>
      </c>
      <c r="T3068">
        <f>HLOOKUP("Provisioned MiB",'vInfo (Imported)'!$1:$5000,M3068,FALSE)</f>
        <v>0</v>
      </c>
      <c r="U3068">
        <f t="shared" si="142"/>
        <v>0</v>
      </c>
      <c r="V3068">
        <f>HLOOKUP("In Use MiB",'vInfo (Imported)'!$1:$5000,M3068,FALSE)</f>
        <v>0</v>
      </c>
    </row>
    <row r="3069" spans="1:22" ht="13" x14ac:dyDescent="0.3">
      <c r="A3069" s="46">
        <f>'vHosts (Imported)'!A3069</f>
        <v>0</v>
      </c>
      <c r="B3069" s="51">
        <f t="shared" si="144"/>
        <v>4968</v>
      </c>
      <c r="C3069" s="49">
        <f>HLOOKUP("# Cores",'vHosts (Imported)'!$1:$5000,M3069,FALSE)</f>
        <v>0</v>
      </c>
      <c r="D3069" s="52">
        <f>HLOOKUP("# Memory",'vHosts (Imported)'!$1:$5000,M3069,FALSE)</f>
        <v>0</v>
      </c>
      <c r="M3069" s="45">
        <f t="shared" si="143"/>
        <v>3069</v>
      </c>
      <c r="N3069" s="38">
        <f>HLOOKUP("Host",'vInfo (Imported)'!$1:$5000,M3069,FALSE)</f>
        <v>0</v>
      </c>
      <c r="R3069">
        <f>HLOOKUP("CPUs",'vInfo (Imported)'!$1:$5000,M3069,FALSE)</f>
        <v>0</v>
      </c>
      <c r="S3069">
        <f>HLOOKUP("Memory",'vInfo (Imported)'!$1:$5000,M3069,FALSE)</f>
        <v>0</v>
      </c>
      <c r="T3069">
        <f>HLOOKUP("Provisioned MiB",'vInfo (Imported)'!$1:$5000,M3069,FALSE)</f>
        <v>0</v>
      </c>
      <c r="U3069">
        <f t="shared" si="142"/>
        <v>0</v>
      </c>
      <c r="V3069">
        <f>HLOOKUP("In Use MiB",'vInfo (Imported)'!$1:$5000,M3069,FALSE)</f>
        <v>0</v>
      </c>
    </row>
    <row r="3070" spans="1:22" ht="13" x14ac:dyDescent="0.3">
      <c r="A3070" s="46">
        <f>'vHosts (Imported)'!A3070</f>
        <v>0</v>
      </c>
      <c r="B3070" s="51">
        <f t="shared" si="144"/>
        <v>4968</v>
      </c>
      <c r="C3070" s="49">
        <f>HLOOKUP("# Cores",'vHosts (Imported)'!$1:$5000,M3070,FALSE)</f>
        <v>0</v>
      </c>
      <c r="D3070" s="52">
        <f>HLOOKUP("# Memory",'vHosts (Imported)'!$1:$5000,M3070,FALSE)</f>
        <v>0</v>
      </c>
      <c r="M3070" s="45">
        <f t="shared" si="143"/>
        <v>3070</v>
      </c>
      <c r="N3070" s="38">
        <f>HLOOKUP("Host",'vInfo (Imported)'!$1:$5000,M3070,FALSE)</f>
        <v>0</v>
      </c>
      <c r="R3070">
        <f>HLOOKUP("CPUs",'vInfo (Imported)'!$1:$5000,M3070,FALSE)</f>
        <v>0</v>
      </c>
      <c r="S3070">
        <f>HLOOKUP("Memory",'vInfo (Imported)'!$1:$5000,M3070,FALSE)</f>
        <v>0</v>
      </c>
      <c r="T3070">
        <f>HLOOKUP("Provisioned MiB",'vInfo (Imported)'!$1:$5000,M3070,FALSE)</f>
        <v>0</v>
      </c>
      <c r="U3070">
        <f t="shared" si="142"/>
        <v>0</v>
      </c>
      <c r="V3070">
        <f>HLOOKUP("In Use MiB",'vInfo (Imported)'!$1:$5000,M3070,FALSE)</f>
        <v>0</v>
      </c>
    </row>
    <row r="3071" spans="1:22" ht="13" x14ac:dyDescent="0.3">
      <c r="A3071" s="46">
        <f>'vHosts (Imported)'!A3071</f>
        <v>0</v>
      </c>
      <c r="B3071" s="51">
        <f t="shared" si="144"/>
        <v>4968</v>
      </c>
      <c r="C3071" s="49">
        <f>HLOOKUP("# Cores",'vHosts (Imported)'!$1:$5000,M3071,FALSE)</f>
        <v>0</v>
      </c>
      <c r="D3071" s="52">
        <f>HLOOKUP("# Memory",'vHosts (Imported)'!$1:$5000,M3071,FALSE)</f>
        <v>0</v>
      </c>
      <c r="M3071" s="45">
        <f t="shared" si="143"/>
        <v>3071</v>
      </c>
      <c r="N3071" s="38">
        <f>HLOOKUP("Host",'vInfo (Imported)'!$1:$5000,M3071,FALSE)</f>
        <v>0</v>
      </c>
      <c r="R3071">
        <f>HLOOKUP("CPUs",'vInfo (Imported)'!$1:$5000,M3071,FALSE)</f>
        <v>0</v>
      </c>
      <c r="S3071">
        <f>HLOOKUP("Memory",'vInfo (Imported)'!$1:$5000,M3071,FALSE)</f>
        <v>0</v>
      </c>
      <c r="T3071">
        <f>HLOOKUP("Provisioned MiB",'vInfo (Imported)'!$1:$5000,M3071,FALSE)</f>
        <v>0</v>
      </c>
      <c r="U3071">
        <f t="shared" si="142"/>
        <v>0</v>
      </c>
      <c r="V3071">
        <f>HLOOKUP("In Use MiB",'vInfo (Imported)'!$1:$5000,M3071,FALSE)</f>
        <v>0</v>
      </c>
    </row>
    <row r="3072" spans="1:22" ht="13" x14ac:dyDescent="0.3">
      <c r="A3072" s="46">
        <f>'vHosts (Imported)'!A3072</f>
        <v>0</v>
      </c>
      <c r="B3072" s="51">
        <f t="shared" si="144"/>
        <v>4968</v>
      </c>
      <c r="C3072" s="49">
        <f>HLOOKUP("# Cores",'vHosts (Imported)'!$1:$5000,M3072,FALSE)</f>
        <v>0</v>
      </c>
      <c r="D3072" s="52">
        <f>HLOOKUP("# Memory",'vHosts (Imported)'!$1:$5000,M3072,FALSE)</f>
        <v>0</v>
      </c>
      <c r="M3072" s="45">
        <f t="shared" si="143"/>
        <v>3072</v>
      </c>
      <c r="N3072" s="38">
        <f>HLOOKUP("Host",'vInfo (Imported)'!$1:$5000,M3072,FALSE)</f>
        <v>0</v>
      </c>
      <c r="R3072">
        <f>HLOOKUP("CPUs",'vInfo (Imported)'!$1:$5000,M3072,FALSE)</f>
        <v>0</v>
      </c>
      <c r="S3072">
        <f>HLOOKUP("Memory",'vInfo (Imported)'!$1:$5000,M3072,FALSE)</f>
        <v>0</v>
      </c>
      <c r="T3072">
        <f>HLOOKUP("Provisioned MiB",'vInfo (Imported)'!$1:$5000,M3072,FALSE)</f>
        <v>0</v>
      </c>
      <c r="U3072">
        <f t="shared" si="142"/>
        <v>0</v>
      </c>
      <c r="V3072">
        <f>HLOOKUP("In Use MiB",'vInfo (Imported)'!$1:$5000,M3072,FALSE)</f>
        <v>0</v>
      </c>
    </row>
    <row r="3073" spans="1:22" ht="13" x14ac:dyDescent="0.3">
      <c r="A3073" s="46">
        <f>'vHosts (Imported)'!A3073</f>
        <v>0</v>
      </c>
      <c r="B3073" s="51">
        <f t="shared" si="144"/>
        <v>4968</v>
      </c>
      <c r="C3073" s="49">
        <f>HLOOKUP("# Cores",'vHosts (Imported)'!$1:$5000,M3073,FALSE)</f>
        <v>0</v>
      </c>
      <c r="D3073" s="52">
        <f>HLOOKUP("# Memory",'vHosts (Imported)'!$1:$5000,M3073,FALSE)</f>
        <v>0</v>
      </c>
      <c r="M3073" s="45">
        <f t="shared" si="143"/>
        <v>3073</v>
      </c>
      <c r="N3073" s="38">
        <f>HLOOKUP("Host",'vInfo (Imported)'!$1:$5000,M3073,FALSE)</f>
        <v>0</v>
      </c>
      <c r="R3073">
        <f>HLOOKUP("CPUs",'vInfo (Imported)'!$1:$5000,M3073,FALSE)</f>
        <v>0</v>
      </c>
      <c r="S3073">
        <f>HLOOKUP("Memory",'vInfo (Imported)'!$1:$5000,M3073,FALSE)</f>
        <v>0</v>
      </c>
      <c r="T3073">
        <f>HLOOKUP("Provisioned MiB",'vInfo (Imported)'!$1:$5000,M3073,FALSE)</f>
        <v>0</v>
      </c>
      <c r="U3073">
        <f t="shared" si="142"/>
        <v>0</v>
      </c>
      <c r="V3073">
        <f>HLOOKUP("In Use MiB",'vInfo (Imported)'!$1:$5000,M3073,FALSE)</f>
        <v>0</v>
      </c>
    </row>
    <row r="3074" spans="1:22" ht="13" x14ac:dyDescent="0.3">
      <c r="A3074" s="46">
        <f>'vHosts (Imported)'!A3074</f>
        <v>0</v>
      </c>
      <c r="B3074" s="51">
        <f t="shared" si="144"/>
        <v>4968</v>
      </c>
      <c r="C3074" s="49">
        <f>HLOOKUP("# Cores",'vHosts (Imported)'!$1:$5000,M3074,FALSE)</f>
        <v>0</v>
      </c>
      <c r="D3074" s="52">
        <f>HLOOKUP("# Memory",'vHosts (Imported)'!$1:$5000,M3074,FALSE)</f>
        <v>0</v>
      </c>
      <c r="M3074" s="45">
        <f t="shared" si="143"/>
        <v>3074</v>
      </c>
      <c r="N3074" s="38">
        <f>HLOOKUP("Host",'vInfo (Imported)'!$1:$5000,M3074,FALSE)</f>
        <v>0</v>
      </c>
      <c r="R3074">
        <f>HLOOKUP("CPUs",'vInfo (Imported)'!$1:$5000,M3074,FALSE)</f>
        <v>0</v>
      </c>
      <c r="S3074">
        <f>HLOOKUP("Memory",'vInfo (Imported)'!$1:$5000,M3074,FALSE)</f>
        <v>0</v>
      </c>
      <c r="T3074">
        <f>HLOOKUP("Provisioned MiB",'vInfo (Imported)'!$1:$5000,M3074,FALSE)</f>
        <v>0</v>
      </c>
      <c r="U3074">
        <f t="shared" si="142"/>
        <v>0</v>
      </c>
      <c r="V3074">
        <f>HLOOKUP("In Use MiB",'vInfo (Imported)'!$1:$5000,M3074,FALSE)</f>
        <v>0</v>
      </c>
    </row>
    <row r="3075" spans="1:22" ht="13" x14ac:dyDescent="0.3">
      <c r="A3075" s="46">
        <f>'vHosts (Imported)'!A3075</f>
        <v>0</v>
      </c>
      <c r="B3075" s="51">
        <f t="shared" si="144"/>
        <v>4968</v>
      </c>
      <c r="C3075" s="49">
        <f>HLOOKUP("# Cores",'vHosts (Imported)'!$1:$5000,M3075,FALSE)</f>
        <v>0</v>
      </c>
      <c r="D3075" s="52">
        <f>HLOOKUP("# Memory",'vHosts (Imported)'!$1:$5000,M3075,FALSE)</f>
        <v>0</v>
      </c>
      <c r="M3075" s="45">
        <f t="shared" si="143"/>
        <v>3075</v>
      </c>
      <c r="N3075" s="38">
        <f>HLOOKUP("Host",'vInfo (Imported)'!$1:$5000,M3075,FALSE)</f>
        <v>0</v>
      </c>
      <c r="R3075">
        <f>HLOOKUP("CPUs",'vInfo (Imported)'!$1:$5000,M3075,FALSE)</f>
        <v>0</v>
      </c>
      <c r="S3075">
        <f>HLOOKUP("Memory",'vInfo (Imported)'!$1:$5000,M3075,FALSE)</f>
        <v>0</v>
      </c>
      <c r="T3075">
        <f>HLOOKUP("Provisioned MiB",'vInfo (Imported)'!$1:$5000,M3075,FALSE)</f>
        <v>0</v>
      </c>
      <c r="U3075">
        <f t="shared" ref="U3075:U3138" si="145">T3075-V3075</f>
        <v>0</v>
      </c>
      <c r="V3075">
        <f>HLOOKUP("In Use MiB",'vInfo (Imported)'!$1:$5000,M3075,FALSE)</f>
        <v>0</v>
      </c>
    </row>
    <row r="3076" spans="1:22" ht="13" x14ac:dyDescent="0.3">
      <c r="A3076" s="46">
        <f>'vHosts (Imported)'!A3076</f>
        <v>0</v>
      </c>
      <c r="B3076" s="51">
        <f t="shared" si="144"/>
        <v>4968</v>
      </c>
      <c r="C3076" s="49">
        <f>HLOOKUP("# Cores",'vHosts (Imported)'!$1:$5000,M3076,FALSE)</f>
        <v>0</v>
      </c>
      <c r="D3076" s="52">
        <f>HLOOKUP("# Memory",'vHosts (Imported)'!$1:$5000,M3076,FALSE)</f>
        <v>0</v>
      </c>
      <c r="M3076" s="45">
        <f t="shared" ref="M3076:M3139" si="146">M3075+1</f>
        <v>3076</v>
      </c>
      <c r="N3076" s="38">
        <f>HLOOKUP("Host",'vInfo (Imported)'!$1:$5000,M3076,FALSE)</f>
        <v>0</v>
      </c>
      <c r="R3076">
        <f>HLOOKUP("CPUs",'vInfo (Imported)'!$1:$5000,M3076,FALSE)</f>
        <v>0</v>
      </c>
      <c r="S3076">
        <f>HLOOKUP("Memory",'vInfo (Imported)'!$1:$5000,M3076,FALSE)</f>
        <v>0</v>
      </c>
      <c r="T3076">
        <f>HLOOKUP("Provisioned MiB",'vInfo (Imported)'!$1:$5000,M3076,FALSE)</f>
        <v>0</v>
      </c>
      <c r="U3076">
        <f t="shared" si="145"/>
        <v>0</v>
      </c>
      <c r="V3076">
        <f>HLOOKUP("In Use MiB",'vInfo (Imported)'!$1:$5000,M3076,FALSE)</f>
        <v>0</v>
      </c>
    </row>
    <row r="3077" spans="1:22" ht="13" x14ac:dyDescent="0.3">
      <c r="A3077" s="46">
        <f>'vHosts (Imported)'!A3077</f>
        <v>0</v>
      </c>
      <c r="B3077" s="51">
        <f t="shared" si="144"/>
        <v>4968</v>
      </c>
      <c r="C3077" s="49">
        <f>HLOOKUP("# Cores",'vHosts (Imported)'!$1:$5000,M3077,FALSE)</f>
        <v>0</v>
      </c>
      <c r="D3077" s="52">
        <f>HLOOKUP("# Memory",'vHosts (Imported)'!$1:$5000,M3077,FALSE)</f>
        <v>0</v>
      </c>
      <c r="M3077" s="45">
        <f t="shared" si="146"/>
        <v>3077</v>
      </c>
      <c r="N3077" s="38">
        <f>HLOOKUP("Host",'vInfo (Imported)'!$1:$5000,M3077,FALSE)</f>
        <v>0</v>
      </c>
      <c r="R3077">
        <f>HLOOKUP("CPUs",'vInfo (Imported)'!$1:$5000,M3077,FALSE)</f>
        <v>0</v>
      </c>
      <c r="S3077">
        <f>HLOOKUP("Memory",'vInfo (Imported)'!$1:$5000,M3077,FALSE)</f>
        <v>0</v>
      </c>
      <c r="T3077">
        <f>HLOOKUP("Provisioned MiB",'vInfo (Imported)'!$1:$5000,M3077,FALSE)</f>
        <v>0</v>
      </c>
      <c r="U3077">
        <f t="shared" si="145"/>
        <v>0</v>
      </c>
      <c r="V3077">
        <f>HLOOKUP("In Use MiB",'vInfo (Imported)'!$1:$5000,M3077,FALSE)</f>
        <v>0</v>
      </c>
    </row>
    <row r="3078" spans="1:22" ht="13" x14ac:dyDescent="0.3">
      <c r="A3078" s="46">
        <f>'vHosts (Imported)'!A3078</f>
        <v>0</v>
      </c>
      <c r="B3078" s="51">
        <f t="shared" si="144"/>
        <v>4968</v>
      </c>
      <c r="C3078" s="49">
        <f>HLOOKUP("# Cores",'vHosts (Imported)'!$1:$5000,M3078,FALSE)</f>
        <v>0</v>
      </c>
      <c r="D3078" s="52">
        <f>HLOOKUP("# Memory",'vHosts (Imported)'!$1:$5000,M3078,FALSE)</f>
        <v>0</v>
      </c>
      <c r="M3078" s="45">
        <f t="shared" si="146"/>
        <v>3078</v>
      </c>
      <c r="N3078" s="38">
        <f>HLOOKUP("Host",'vInfo (Imported)'!$1:$5000,M3078,FALSE)</f>
        <v>0</v>
      </c>
      <c r="R3078">
        <f>HLOOKUP("CPUs",'vInfo (Imported)'!$1:$5000,M3078,FALSE)</f>
        <v>0</v>
      </c>
      <c r="S3078">
        <f>HLOOKUP("Memory",'vInfo (Imported)'!$1:$5000,M3078,FALSE)</f>
        <v>0</v>
      </c>
      <c r="T3078">
        <f>HLOOKUP("Provisioned MiB",'vInfo (Imported)'!$1:$5000,M3078,FALSE)</f>
        <v>0</v>
      </c>
      <c r="U3078">
        <f t="shared" si="145"/>
        <v>0</v>
      </c>
      <c r="V3078">
        <f>HLOOKUP("In Use MiB",'vInfo (Imported)'!$1:$5000,M3078,FALSE)</f>
        <v>0</v>
      </c>
    </row>
    <row r="3079" spans="1:22" ht="13" x14ac:dyDescent="0.3">
      <c r="A3079" s="46">
        <f>'vHosts (Imported)'!A3079</f>
        <v>0</v>
      </c>
      <c r="B3079" s="51">
        <f t="shared" si="144"/>
        <v>4968</v>
      </c>
      <c r="C3079" s="49">
        <f>HLOOKUP("# Cores",'vHosts (Imported)'!$1:$5000,M3079,FALSE)</f>
        <v>0</v>
      </c>
      <c r="D3079" s="52">
        <f>HLOOKUP("# Memory",'vHosts (Imported)'!$1:$5000,M3079,FALSE)</f>
        <v>0</v>
      </c>
      <c r="M3079" s="45">
        <f t="shared" si="146"/>
        <v>3079</v>
      </c>
      <c r="N3079" s="38">
        <f>HLOOKUP("Host",'vInfo (Imported)'!$1:$5000,M3079,FALSE)</f>
        <v>0</v>
      </c>
      <c r="R3079">
        <f>HLOOKUP("CPUs",'vInfo (Imported)'!$1:$5000,M3079,FALSE)</f>
        <v>0</v>
      </c>
      <c r="S3079">
        <f>HLOOKUP("Memory",'vInfo (Imported)'!$1:$5000,M3079,FALSE)</f>
        <v>0</v>
      </c>
      <c r="T3079">
        <f>HLOOKUP("Provisioned MiB",'vInfo (Imported)'!$1:$5000,M3079,FALSE)</f>
        <v>0</v>
      </c>
      <c r="U3079">
        <f t="shared" si="145"/>
        <v>0</v>
      </c>
      <c r="V3079">
        <f>HLOOKUP("In Use MiB",'vInfo (Imported)'!$1:$5000,M3079,FALSE)</f>
        <v>0</v>
      </c>
    </row>
    <row r="3080" spans="1:22" ht="13" x14ac:dyDescent="0.3">
      <c r="A3080" s="46">
        <f>'vHosts (Imported)'!A3080</f>
        <v>0</v>
      </c>
      <c r="B3080" s="51">
        <f t="shared" si="144"/>
        <v>4968</v>
      </c>
      <c r="C3080" s="49">
        <f>HLOOKUP("# Cores",'vHosts (Imported)'!$1:$5000,M3080,FALSE)</f>
        <v>0</v>
      </c>
      <c r="D3080" s="52">
        <f>HLOOKUP("# Memory",'vHosts (Imported)'!$1:$5000,M3080,FALSE)</f>
        <v>0</v>
      </c>
      <c r="M3080" s="45">
        <f t="shared" si="146"/>
        <v>3080</v>
      </c>
      <c r="N3080" s="38">
        <f>HLOOKUP("Host",'vInfo (Imported)'!$1:$5000,M3080,FALSE)</f>
        <v>0</v>
      </c>
      <c r="R3080">
        <f>HLOOKUP("CPUs",'vInfo (Imported)'!$1:$5000,M3080,FALSE)</f>
        <v>0</v>
      </c>
      <c r="S3080">
        <f>HLOOKUP("Memory",'vInfo (Imported)'!$1:$5000,M3080,FALSE)</f>
        <v>0</v>
      </c>
      <c r="T3080">
        <f>HLOOKUP("Provisioned MiB",'vInfo (Imported)'!$1:$5000,M3080,FALSE)</f>
        <v>0</v>
      </c>
      <c r="U3080">
        <f t="shared" si="145"/>
        <v>0</v>
      </c>
      <c r="V3080">
        <f>HLOOKUP("In Use MiB",'vInfo (Imported)'!$1:$5000,M3080,FALSE)</f>
        <v>0</v>
      </c>
    </row>
    <row r="3081" spans="1:22" ht="13" x14ac:dyDescent="0.3">
      <c r="A3081" s="46">
        <f>'vHosts (Imported)'!A3081</f>
        <v>0</v>
      </c>
      <c r="B3081" s="51">
        <f t="shared" si="144"/>
        <v>4968</v>
      </c>
      <c r="C3081" s="49">
        <f>HLOOKUP("# Cores",'vHosts (Imported)'!$1:$5000,M3081,FALSE)</f>
        <v>0</v>
      </c>
      <c r="D3081" s="52">
        <f>HLOOKUP("# Memory",'vHosts (Imported)'!$1:$5000,M3081,FALSE)</f>
        <v>0</v>
      </c>
      <c r="M3081" s="45">
        <f t="shared" si="146"/>
        <v>3081</v>
      </c>
      <c r="N3081" s="38">
        <f>HLOOKUP("Host",'vInfo (Imported)'!$1:$5000,M3081,FALSE)</f>
        <v>0</v>
      </c>
      <c r="R3081">
        <f>HLOOKUP("CPUs",'vInfo (Imported)'!$1:$5000,M3081,FALSE)</f>
        <v>0</v>
      </c>
      <c r="S3081">
        <f>HLOOKUP("Memory",'vInfo (Imported)'!$1:$5000,M3081,FALSE)</f>
        <v>0</v>
      </c>
      <c r="T3081">
        <f>HLOOKUP("Provisioned MiB",'vInfo (Imported)'!$1:$5000,M3081,FALSE)</f>
        <v>0</v>
      </c>
      <c r="U3081">
        <f t="shared" si="145"/>
        <v>0</v>
      </c>
      <c r="V3081">
        <f>HLOOKUP("In Use MiB",'vInfo (Imported)'!$1:$5000,M3081,FALSE)</f>
        <v>0</v>
      </c>
    </row>
    <row r="3082" spans="1:22" ht="13" x14ac:dyDescent="0.3">
      <c r="A3082" s="46">
        <f>'vHosts (Imported)'!A3082</f>
        <v>0</v>
      </c>
      <c r="B3082" s="51">
        <f t="shared" si="144"/>
        <v>4968</v>
      </c>
      <c r="C3082" s="49">
        <f>HLOOKUP("# Cores",'vHosts (Imported)'!$1:$5000,M3082,FALSE)</f>
        <v>0</v>
      </c>
      <c r="D3082" s="52">
        <f>HLOOKUP("# Memory",'vHosts (Imported)'!$1:$5000,M3082,FALSE)</f>
        <v>0</v>
      </c>
      <c r="M3082" s="45">
        <f t="shared" si="146"/>
        <v>3082</v>
      </c>
      <c r="N3082" s="38">
        <f>HLOOKUP("Host",'vInfo (Imported)'!$1:$5000,M3082,FALSE)</f>
        <v>0</v>
      </c>
      <c r="R3082">
        <f>HLOOKUP("CPUs",'vInfo (Imported)'!$1:$5000,M3082,FALSE)</f>
        <v>0</v>
      </c>
      <c r="S3082">
        <f>HLOOKUP("Memory",'vInfo (Imported)'!$1:$5000,M3082,FALSE)</f>
        <v>0</v>
      </c>
      <c r="T3082">
        <f>HLOOKUP("Provisioned MiB",'vInfo (Imported)'!$1:$5000,M3082,FALSE)</f>
        <v>0</v>
      </c>
      <c r="U3082">
        <f t="shared" si="145"/>
        <v>0</v>
      </c>
      <c r="V3082">
        <f>HLOOKUP("In Use MiB",'vInfo (Imported)'!$1:$5000,M3082,FALSE)</f>
        <v>0</v>
      </c>
    </row>
    <row r="3083" spans="1:22" ht="13" x14ac:dyDescent="0.3">
      <c r="A3083" s="46">
        <f>'vHosts (Imported)'!A3083</f>
        <v>0</v>
      </c>
      <c r="B3083" s="51">
        <f t="shared" si="144"/>
        <v>4968</v>
      </c>
      <c r="C3083" s="49">
        <f>HLOOKUP("# Cores",'vHosts (Imported)'!$1:$5000,M3083,FALSE)</f>
        <v>0</v>
      </c>
      <c r="D3083" s="52">
        <f>HLOOKUP("# Memory",'vHosts (Imported)'!$1:$5000,M3083,FALSE)</f>
        <v>0</v>
      </c>
      <c r="M3083" s="45">
        <f t="shared" si="146"/>
        <v>3083</v>
      </c>
      <c r="N3083" s="38">
        <f>HLOOKUP("Host",'vInfo (Imported)'!$1:$5000,M3083,FALSE)</f>
        <v>0</v>
      </c>
      <c r="R3083">
        <f>HLOOKUP("CPUs",'vInfo (Imported)'!$1:$5000,M3083,FALSE)</f>
        <v>0</v>
      </c>
      <c r="S3083">
        <f>HLOOKUP("Memory",'vInfo (Imported)'!$1:$5000,M3083,FALSE)</f>
        <v>0</v>
      </c>
      <c r="T3083">
        <f>HLOOKUP("Provisioned MiB",'vInfo (Imported)'!$1:$5000,M3083,FALSE)</f>
        <v>0</v>
      </c>
      <c r="U3083">
        <f t="shared" si="145"/>
        <v>0</v>
      </c>
      <c r="V3083">
        <f>HLOOKUP("In Use MiB",'vInfo (Imported)'!$1:$5000,M3083,FALSE)</f>
        <v>0</v>
      </c>
    </row>
    <row r="3084" spans="1:22" ht="13" x14ac:dyDescent="0.3">
      <c r="A3084" s="46">
        <f>'vHosts (Imported)'!A3084</f>
        <v>0</v>
      </c>
      <c r="B3084" s="51">
        <f t="shared" si="144"/>
        <v>4968</v>
      </c>
      <c r="C3084" s="49">
        <f>HLOOKUP("# Cores",'vHosts (Imported)'!$1:$5000,M3084,FALSE)</f>
        <v>0</v>
      </c>
      <c r="D3084" s="52">
        <f>HLOOKUP("# Memory",'vHosts (Imported)'!$1:$5000,M3084,FALSE)</f>
        <v>0</v>
      </c>
      <c r="M3084" s="45">
        <f t="shared" si="146"/>
        <v>3084</v>
      </c>
      <c r="N3084" s="38">
        <f>HLOOKUP("Host",'vInfo (Imported)'!$1:$5000,M3084,FALSE)</f>
        <v>0</v>
      </c>
      <c r="R3084">
        <f>HLOOKUP("CPUs",'vInfo (Imported)'!$1:$5000,M3084,FALSE)</f>
        <v>0</v>
      </c>
      <c r="S3084">
        <f>HLOOKUP("Memory",'vInfo (Imported)'!$1:$5000,M3084,FALSE)</f>
        <v>0</v>
      </c>
      <c r="T3084">
        <f>HLOOKUP("Provisioned MiB",'vInfo (Imported)'!$1:$5000,M3084,FALSE)</f>
        <v>0</v>
      </c>
      <c r="U3084">
        <f t="shared" si="145"/>
        <v>0</v>
      </c>
      <c r="V3084">
        <f>HLOOKUP("In Use MiB",'vInfo (Imported)'!$1:$5000,M3084,FALSE)</f>
        <v>0</v>
      </c>
    </row>
    <row r="3085" spans="1:22" ht="13" x14ac:dyDescent="0.3">
      <c r="A3085" s="46">
        <f>'vHosts (Imported)'!A3085</f>
        <v>0</v>
      </c>
      <c r="B3085" s="51">
        <f t="shared" si="144"/>
        <v>4968</v>
      </c>
      <c r="C3085" s="49">
        <f>HLOOKUP("# Cores",'vHosts (Imported)'!$1:$5000,M3085,FALSE)</f>
        <v>0</v>
      </c>
      <c r="D3085" s="52">
        <f>HLOOKUP("# Memory",'vHosts (Imported)'!$1:$5000,M3085,FALSE)</f>
        <v>0</v>
      </c>
      <c r="M3085" s="45">
        <f t="shared" si="146"/>
        <v>3085</v>
      </c>
      <c r="N3085" s="38">
        <f>HLOOKUP("Host",'vInfo (Imported)'!$1:$5000,M3085,FALSE)</f>
        <v>0</v>
      </c>
      <c r="R3085">
        <f>HLOOKUP("CPUs",'vInfo (Imported)'!$1:$5000,M3085,FALSE)</f>
        <v>0</v>
      </c>
      <c r="S3085">
        <f>HLOOKUP("Memory",'vInfo (Imported)'!$1:$5000,M3085,FALSE)</f>
        <v>0</v>
      </c>
      <c r="T3085">
        <f>HLOOKUP("Provisioned MiB",'vInfo (Imported)'!$1:$5000,M3085,FALSE)</f>
        <v>0</v>
      </c>
      <c r="U3085">
        <f t="shared" si="145"/>
        <v>0</v>
      </c>
      <c r="V3085">
        <f>HLOOKUP("In Use MiB",'vInfo (Imported)'!$1:$5000,M3085,FALSE)</f>
        <v>0</v>
      </c>
    </row>
    <row r="3086" spans="1:22" ht="13" x14ac:dyDescent="0.3">
      <c r="A3086" s="46">
        <f>'vHosts (Imported)'!A3086</f>
        <v>0</v>
      </c>
      <c r="B3086" s="51">
        <f t="shared" si="144"/>
        <v>4968</v>
      </c>
      <c r="C3086" s="49">
        <f>HLOOKUP("# Cores",'vHosts (Imported)'!$1:$5000,M3086,FALSE)</f>
        <v>0</v>
      </c>
      <c r="D3086" s="52">
        <f>HLOOKUP("# Memory",'vHosts (Imported)'!$1:$5000,M3086,FALSE)</f>
        <v>0</v>
      </c>
      <c r="M3086" s="45">
        <f t="shared" si="146"/>
        <v>3086</v>
      </c>
      <c r="N3086" s="38">
        <f>HLOOKUP("Host",'vInfo (Imported)'!$1:$5000,M3086,FALSE)</f>
        <v>0</v>
      </c>
      <c r="R3086">
        <f>HLOOKUP("CPUs",'vInfo (Imported)'!$1:$5000,M3086,FALSE)</f>
        <v>0</v>
      </c>
      <c r="S3086">
        <f>HLOOKUP("Memory",'vInfo (Imported)'!$1:$5000,M3086,FALSE)</f>
        <v>0</v>
      </c>
      <c r="T3086">
        <f>HLOOKUP("Provisioned MiB",'vInfo (Imported)'!$1:$5000,M3086,FALSE)</f>
        <v>0</v>
      </c>
      <c r="U3086">
        <f t="shared" si="145"/>
        <v>0</v>
      </c>
      <c r="V3086">
        <f>HLOOKUP("In Use MiB",'vInfo (Imported)'!$1:$5000,M3086,FALSE)</f>
        <v>0</v>
      </c>
    </row>
    <row r="3087" spans="1:22" ht="13" x14ac:dyDescent="0.3">
      <c r="A3087" s="46">
        <f>'vHosts (Imported)'!A3087</f>
        <v>0</v>
      </c>
      <c r="B3087" s="51">
        <f t="shared" si="144"/>
        <v>4968</v>
      </c>
      <c r="C3087" s="49">
        <f>HLOOKUP("# Cores",'vHosts (Imported)'!$1:$5000,M3087,FALSE)</f>
        <v>0</v>
      </c>
      <c r="D3087" s="52">
        <f>HLOOKUP("# Memory",'vHosts (Imported)'!$1:$5000,M3087,FALSE)</f>
        <v>0</v>
      </c>
      <c r="M3087" s="45">
        <f t="shared" si="146"/>
        <v>3087</v>
      </c>
      <c r="N3087" s="38">
        <f>HLOOKUP("Host",'vInfo (Imported)'!$1:$5000,M3087,FALSE)</f>
        <v>0</v>
      </c>
      <c r="R3087">
        <f>HLOOKUP("CPUs",'vInfo (Imported)'!$1:$5000,M3087,FALSE)</f>
        <v>0</v>
      </c>
      <c r="S3087">
        <f>HLOOKUP("Memory",'vInfo (Imported)'!$1:$5000,M3087,FALSE)</f>
        <v>0</v>
      </c>
      <c r="T3087">
        <f>HLOOKUP("Provisioned MiB",'vInfo (Imported)'!$1:$5000,M3087,FALSE)</f>
        <v>0</v>
      </c>
      <c r="U3087">
        <f t="shared" si="145"/>
        <v>0</v>
      </c>
      <c r="V3087">
        <f>HLOOKUP("In Use MiB",'vInfo (Imported)'!$1:$5000,M3087,FALSE)</f>
        <v>0</v>
      </c>
    </row>
    <row r="3088" spans="1:22" ht="13" x14ac:dyDescent="0.3">
      <c r="A3088" s="46">
        <f>'vHosts (Imported)'!A3088</f>
        <v>0</v>
      </c>
      <c r="B3088" s="51">
        <f t="shared" si="144"/>
        <v>4968</v>
      </c>
      <c r="C3088" s="49">
        <f>HLOOKUP("# Cores",'vHosts (Imported)'!$1:$5000,M3088,FALSE)</f>
        <v>0</v>
      </c>
      <c r="D3088" s="52">
        <f>HLOOKUP("# Memory",'vHosts (Imported)'!$1:$5000,M3088,FALSE)</f>
        <v>0</v>
      </c>
      <c r="M3088" s="45">
        <f t="shared" si="146"/>
        <v>3088</v>
      </c>
      <c r="N3088" s="38">
        <f>HLOOKUP("Host",'vInfo (Imported)'!$1:$5000,M3088,FALSE)</f>
        <v>0</v>
      </c>
      <c r="R3088">
        <f>HLOOKUP("CPUs",'vInfo (Imported)'!$1:$5000,M3088,FALSE)</f>
        <v>0</v>
      </c>
      <c r="S3088">
        <f>HLOOKUP("Memory",'vInfo (Imported)'!$1:$5000,M3088,FALSE)</f>
        <v>0</v>
      </c>
      <c r="T3088">
        <f>HLOOKUP("Provisioned MiB",'vInfo (Imported)'!$1:$5000,M3088,FALSE)</f>
        <v>0</v>
      </c>
      <c r="U3088">
        <f t="shared" si="145"/>
        <v>0</v>
      </c>
      <c r="V3088">
        <f>HLOOKUP("In Use MiB",'vInfo (Imported)'!$1:$5000,M3088,FALSE)</f>
        <v>0</v>
      </c>
    </row>
    <row r="3089" spans="1:22" ht="13" x14ac:dyDescent="0.3">
      <c r="A3089" s="46">
        <f>'vHosts (Imported)'!A3089</f>
        <v>0</v>
      </c>
      <c r="B3089" s="51">
        <f t="shared" si="144"/>
        <v>4968</v>
      </c>
      <c r="C3089" s="49">
        <f>HLOOKUP("# Cores",'vHosts (Imported)'!$1:$5000,M3089,FALSE)</f>
        <v>0</v>
      </c>
      <c r="D3089" s="52">
        <f>HLOOKUP("# Memory",'vHosts (Imported)'!$1:$5000,M3089,FALSE)</f>
        <v>0</v>
      </c>
      <c r="M3089" s="45">
        <f t="shared" si="146"/>
        <v>3089</v>
      </c>
      <c r="N3089" s="38">
        <f>HLOOKUP("Host",'vInfo (Imported)'!$1:$5000,M3089,FALSE)</f>
        <v>0</v>
      </c>
      <c r="R3089">
        <f>HLOOKUP("CPUs",'vInfo (Imported)'!$1:$5000,M3089,FALSE)</f>
        <v>0</v>
      </c>
      <c r="S3089">
        <f>HLOOKUP("Memory",'vInfo (Imported)'!$1:$5000,M3089,FALSE)</f>
        <v>0</v>
      </c>
      <c r="T3089">
        <f>HLOOKUP("Provisioned MiB",'vInfo (Imported)'!$1:$5000,M3089,FALSE)</f>
        <v>0</v>
      </c>
      <c r="U3089">
        <f t="shared" si="145"/>
        <v>0</v>
      </c>
      <c r="V3089">
        <f>HLOOKUP("In Use MiB",'vInfo (Imported)'!$1:$5000,M3089,FALSE)</f>
        <v>0</v>
      </c>
    </row>
    <row r="3090" spans="1:22" ht="13" x14ac:dyDescent="0.3">
      <c r="A3090" s="46">
        <f>'vHosts (Imported)'!A3090</f>
        <v>0</v>
      </c>
      <c r="B3090" s="51">
        <f t="shared" si="144"/>
        <v>4968</v>
      </c>
      <c r="C3090" s="49">
        <f>HLOOKUP("# Cores",'vHosts (Imported)'!$1:$5000,M3090,FALSE)</f>
        <v>0</v>
      </c>
      <c r="D3090" s="52">
        <f>HLOOKUP("# Memory",'vHosts (Imported)'!$1:$5000,M3090,FALSE)</f>
        <v>0</v>
      </c>
      <c r="M3090" s="45">
        <f t="shared" si="146"/>
        <v>3090</v>
      </c>
      <c r="N3090" s="38">
        <f>HLOOKUP("Host",'vInfo (Imported)'!$1:$5000,M3090,FALSE)</f>
        <v>0</v>
      </c>
      <c r="R3090">
        <f>HLOOKUP("CPUs",'vInfo (Imported)'!$1:$5000,M3090,FALSE)</f>
        <v>0</v>
      </c>
      <c r="S3090">
        <f>HLOOKUP("Memory",'vInfo (Imported)'!$1:$5000,M3090,FALSE)</f>
        <v>0</v>
      </c>
      <c r="T3090">
        <f>HLOOKUP("Provisioned MiB",'vInfo (Imported)'!$1:$5000,M3090,FALSE)</f>
        <v>0</v>
      </c>
      <c r="U3090">
        <f t="shared" si="145"/>
        <v>0</v>
      </c>
      <c r="V3090">
        <f>HLOOKUP("In Use MiB",'vInfo (Imported)'!$1:$5000,M3090,FALSE)</f>
        <v>0</v>
      </c>
    </row>
    <row r="3091" spans="1:22" ht="13" x14ac:dyDescent="0.3">
      <c r="A3091" s="46">
        <f>'vHosts (Imported)'!A3091</f>
        <v>0</v>
      </c>
      <c r="B3091" s="51">
        <f t="shared" si="144"/>
        <v>4968</v>
      </c>
      <c r="C3091" s="49">
        <f>HLOOKUP("# Cores",'vHosts (Imported)'!$1:$5000,M3091,FALSE)</f>
        <v>0</v>
      </c>
      <c r="D3091" s="52">
        <f>HLOOKUP("# Memory",'vHosts (Imported)'!$1:$5000,M3091,FALSE)</f>
        <v>0</v>
      </c>
      <c r="M3091" s="45">
        <f t="shared" si="146"/>
        <v>3091</v>
      </c>
      <c r="N3091" s="38">
        <f>HLOOKUP("Host",'vInfo (Imported)'!$1:$5000,M3091,FALSE)</f>
        <v>0</v>
      </c>
      <c r="R3091">
        <f>HLOOKUP("CPUs",'vInfo (Imported)'!$1:$5000,M3091,FALSE)</f>
        <v>0</v>
      </c>
      <c r="S3091">
        <f>HLOOKUP("Memory",'vInfo (Imported)'!$1:$5000,M3091,FALSE)</f>
        <v>0</v>
      </c>
      <c r="T3091">
        <f>HLOOKUP("Provisioned MiB",'vInfo (Imported)'!$1:$5000,M3091,FALSE)</f>
        <v>0</v>
      </c>
      <c r="U3091">
        <f t="shared" si="145"/>
        <v>0</v>
      </c>
      <c r="V3091">
        <f>HLOOKUP("In Use MiB",'vInfo (Imported)'!$1:$5000,M3091,FALSE)</f>
        <v>0</v>
      </c>
    </row>
    <row r="3092" spans="1:22" ht="13" x14ac:dyDescent="0.3">
      <c r="A3092" s="46">
        <f>'vHosts (Imported)'!A3092</f>
        <v>0</v>
      </c>
      <c r="B3092" s="51">
        <f t="shared" si="144"/>
        <v>4968</v>
      </c>
      <c r="C3092" s="49">
        <f>HLOOKUP("# Cores",'vHosts (Imported)'!$1:$5000,M3092,FALSE)</f>
        <v>0</v>
      </c>
      <c r="D3092" s="52">
        <f>HLOOKUP("# Memory",'vHosts (Imported)'!$1:$5000,M3092,FALSE)</f>
        <v>0</v>
      </c>
      <c r="M3092" s="45">
        <f t="shared" si="146"/>
        <v>3092</v>
      </c>
      <c r="N3092" s="38">
        <f>HLOOKUP("Host",'vInfo (Imported)'!$1:$5000,M3092,FALSE)</f>
        <v>0</v>
      </c>
      <c r="R3092">
        <f>HLOOKUP("CPUs",'vInfo (Imported)'!$1:$5000,M3092,FALSE)</f>
        <v>0</v>
      </c>
      <c r="S3092">
        <f>HLOOKUP("Memory",'vInfo (Imported)'!$1:$5000,M3092,FALSE)</f>
        <v>0</v>
      </c>
      <c r="T3092">
        <f>HLOOKUP("Provisioned MiB",'vInfo (Imported)'!$1:$5000,M3092,FALSE)</f>
        <v>0</v>
      </c>
      <c r="U3092">
        <f t="shared" si="145"/>
        <v>0</v>
      </c>
      <c r="V3092">
        <f>HLOOKUP("In Use MiB",'vInfo (Imported)'!$1:$5000,M3092,FALSE)</f>
        <v>0</v>
      </c>
    </row>
    <row r="3093" spans="1:22" ht="13" x14ac:dyDescent="0.3">
      <c r="A3093" s="46">
        <f>'vHosts (Imported)'!A3093</f>
        <v>0</v>
      </c>
      <c r="B3093" s="51">
        <f t="shared" si="144"/>
        <v>4968</v>
      </c>
      <c r="C3093" s="49">
        <f>HLOOKUP("# Cores",'vHosts (Imported)'!$1:$5000,M3093,FALSE)</f>
        <v>0</v>
      </c>
      <c r="D3093" s="52">
        <f>HLOOKUP("# Memory",'vHosts (Imported)'!$1:$5000,M3093,FALSE)</f>
        <v>0</v>
      </c>
      <c r="M3093" s="45">
        <f t="shared" si="146"/>
        <v>3093</v>
      </c>
      <c r="N3093" s="38">
        <f>HLOOKUP("Host",'vInfo (Imported)'!$1:$5000,M3093,FALSE)</f>
        <v>0</v>
      </c>
      <c r="R3093">
        <f>HLOOKUP("CPUs",'vInfo (Imported)'!$1:$5000,M3093,FALSE)</f>
        <v>0</v>
      </c>
      <c r="S3093">
        <f>HLOOKUP("Memory",'vInfo (Imported)'!$1:$5000,M3093,FALSE)</f>
        <v>0</v>
      </c>
      <c r="T3093">
        <f>HLOOKUP("Provisioned MiB",'vInfo (Imported)'!$1:$5000,M3093,FALSE)</f>
        <v>0</v>
      </c>
      <c r="U3093">
        <f t="shared" si="145"/>
        <v>0</v>
      </c>
      <c r="V3093">
        <f>HLOOKUP("In Use MiB",'vInfo (Imported)'!$1:$5000,M3093,FALSE)</f>
        <v>0</v>
      </c>
    </row>
    <row r="3094" spans="1:22" ht="13" x14ac:dyDescent="0.3">
      <c r="A3094" s="46">
        <f>'vHosts (Imported)'!A3094</f>
        <v>0</v>
      </c>
      <c r="B3094" s="51">
        <f t="shared" si="144"/>
        <v>4968</v>
      </c>
      <c r="C3094" s="49">
        <f>HLOOKUP("# Cores",'vHosts (Imported)'!$1:$5000,M3094,FALSE)</f>
        <v>0</v>
      </c>
      <c r="D3094" s="52">
        <f>HLOOKUP("# Memory",'vHosts (Imported)'!$1:$5000,M3094,FALSE)</f>
        <v>0</v>
      </c>
      <c r="M3094" s="45">
        <f t="shared" si="146"/>
        <v>3094</v>
      </c>
      <c r="N3094" s="38">
        <f>HLOOKUP("Host",'vInfo (Imported)'!$1:$5000,M3094,FALSE)</f>
        <v>0</v>
      </c>
      <c r="R3094">
        <f>HLOOKUP("CPUs",'vInfo (Imported)'!$1:$5000,M3094,FALSE)</f>
        <v>0</v>
      </c>
      <c r="S3094">
        <f>HLOOKUP("Memory",'vInfo (Imported)'!$1:$5000,M3094,FALSE)</f>
        <v>0</v>
      </c>
      <c r="T3094">
        <f>HLOOKUP("Provisioned MiB",'vInfo (Imported)'!$1:$5000,M3094,FALSE)</f>
        <v>0</v>
      </c>
      <c r="U3094">
        <f t="shared" si="145"/>
        <v>0</v>
      </c>
      <c r="V3094">
        <f>HLOOKUP("In Use MiB",'vInfo (Imported)'!$1:$5000,M3094,FALSE)</f>
        <v>0</v>
      </c>
    </row>
    <row r="3095" spans="1:22" ht="13" x14ac:dyDescent="0.3">
      <c r="A3095" s="46">
        <f>'vHosts (Imported)'!A3095</f>
        <v>0</v>
      </c>
      <c r="B3095" s="51">
        <f t="shared" si="144"/>
        <v>4968</v>
      </c>
      <c r="C3095" s="49">
        <f>HLOOKUP("# Cores",'vHosts (Imported)'!$1:$5000,M3095,FALSE)</f>
        <v>0</v>
      </c>
      <c r="D3095" s="52">
        <f>HLOOKUP("# Memory",'vHosts (Imported)'!$1:$5000,M3095,FALSE)</f>
        <v>0</v>
      </c>
      <c r="M3095" s="45">
        <f t="shared" si="146"/>
        <v>3095</v>
      </c>
      <c r="N3095" s="38">
        <f>HLOOKUP("Host",'vInfo (Imported)'!$1:$5000,M3095,FALSE)</f>
        <v>0</v>
      </c>
      <c r="R3095">
        <f>HLOOKUP("CPUs",'vInfo (Imported)'!$1:$5000,M3095,FALSE)</f>
        <v>0</v>
      </c>
      <c r="S3095">
        <f>HLOOKUP("Memory",'vInfo (Imported)'!$1:$5000,M3095,FALSE)</f>
        <v>0</v>
      </c>
      <c r="T3095">
        <f>HLOOKUP("Provisioned MiB",'vInfo (Imported)'!$1:$5000,M3095,FALSE)</f>
        <v>0</v>
      </c>
      <c r="U3095">
        <f t="shared" si="145"/>
        <v>0</v>
      </c>
      <c r="V3095">
        <f>HLOOKUP("In Use MiB",'vInfo (Imported)'!$1:$5000,M3095,FALSE)</f>
        <v>0</v>
      </c>
    </row>
    <row r="3096" spans="1:22" ht="13" x14ac:dyDescent="0.3">
      <c r="A3096" s="46">
        <f>'vHosts (Imported)'!A3096</f>
        <v>0</v>
      </c>
      <c r="B3096" s="51">
        <f t="shared" si="144"/>
        <v>4968</v>
      </c>
      <c r="C3096" s="49">
        <f>HLOOKUP("# Cores",'vHosts (Imported)'!$1:$5000,M3096,FALSE)</f>
        <v>0</v>
      </c>
      <c r="D3096" s="52">
        <f>HLOOKUP("# Memory",'vHosts (Imported)'!$1:$5000,M3096,FALSE)</f>
        <v>0</v>
      </c>
      <c r="M3096" s="45">
        <f t="shared" si="146"/>
        <v>3096</v>
      </c>
      <c r="N3096" s="38">
        <f>HLOOKUP("Host",'vInfo (Imported)'!$1:$5000,M3096,FALSE)</f>
        <v>0</v>
      </c>
      <c r="R3096">
        <f>HLOOKUP("CPUs",'vInfo (Imported)'!$1:$5000,M3096,FALSE)</f>
        <v>0</v>
      </c>
      <c r="S3096">
        <f>HLOOKUP("Memory",'vInfo (Imported)'!$1:$5000,M3096,FALSE)</f>
        <v>0</v>
      </c>
      <c r="T3096">
        <f>HLOOKUP("Provisioned MiB",'vInfo (Imported)'!$1:$5000,M3096,FALSE)</f>
        <v>0</v>
      </c>
      <c r="U3096">
        <f t="shared" si="145"/>
        <v>0</v>
      </c>
      <c r="V3096">
        <f>HLOOKUP("In Use MiB",'vInfo (Imported)'!$1:$5000,M3096,FALSE)</f>
        <v>0</v>
      </c>
    </row>
    <row r="3097" spans="1:22" ht="13" x14ac:dyDescent="0.3">
      <c r="A3097" s="46">
        <f>'vHosts (Imported)'!A3097</f>
        <v>0</v>
      </c>
      <c r="B3097" s="51">
        <f t="shared" si="144"/>
        <v>4968</v>
      </c>
      <c r="C3097" s="49">
        <f>HLOOKUP("# Cores",'vHosts (Imported)'!$1:$5000,M3097,FALSE)</f>
        <v>0</v>
      </c>
      <c r="D3097" s="52">
        <f>HLOOKUP("# Memory",'vHosts (Imported)'!$1:$5000,M3097,FALSE)</f>
        <v>0</v>
      </c>
      <c r="M3097" s="45">
        <f t="shared" si="146"/>
        <v>3097</v>
      </c>
      <c r="N3097" s="38">
        <f>HLOOKUP("Host",'vInfo (Imported)'!$1:$5000,M3097,FALSE)</f>
        <v>0</v>
      </c>
      <c r="R3097">
        <f>HLOOKUP("CPUs",'vInfo (Imported)'!$1:$5000,M3097,FALSE)</f>
        <v>0</v>
      </c>
      <c r="S3097">
        <f>HLOOKUP("Memory",'vInfo (Imported)'!$1:$5000,M3097,FALSE)</f>
        <v>0</v>
      </c>
      <c r="T3097">
        <f>HLOOKUP("Provisioned MiB",'vInfo (Imported)'!$1:$5000,M3097,FALSE)</f>
        <v>0</v>
      </c>
      <c r="U3097">
        <f t="shared" si="145"/>
        <v>0</v>
      </c>
      <c r="V3097">
        <f>HLOOKUP("In Use MiB",'vInfo (Imported)'!$1:$5000,M3097,FALSE)</f>
        <v>0</v>
      </c>
    </row>
    <row r="3098" spans="1:22" ht="13" x14ac:dyDescent="0.3">
      <c r="A3098" s="46">
        <f>'vHosts (Imported)'!A3098</f>
        <v>0</v>
      </c>
      <c r="B3098" s="51">
        <f t="shared" si="144"/>
        <v>4968</v>
      </c>
      <c r="C3098" s="49">
        <f>HLOOKUP("# Cores",'vHosts (Imported)'!$1:$5000,M3098,FALSE)</f>
        <v>0</v>
      </c>
      <c r="D3098" s="52">
        <f>HLOOKUP("# Memory",'vHosts (Imported)'!$1:$5000,M3098,FALSE)</f>
        <v>0</v>
      </c>
      <c r="M3098" s="45">
        <f t="shared" si="146"/>
        <v>3098</v>
      </c>
      <c r="N3098" s="38">
        <f>HLOOKUP("Host",'vInfo (Imported)'!$1:$5000,M3098,FALSE)</f>
        <v>0</v>
      </c>
      <c r="R3098">
        <f>HLOOKUP("CPUs",'vInfo (Imported)'!$1:$5000,M3098,FALSE)</f>
        <v>0</v>
      </c>
      <c r="S3098">
        <f>HLOOKUP("Memory",'vInfo (Imported)'!$1:$5000,M3098,FALSE)</f>
        <v>0</v>
      </c>
      <c r="T3098">
        <f>HLOOKUP("Provisioned MiB",'vInfo (Imported)'!$1:$5000,M3098,FALSE)</f>
        <v>0</v>
      </c>
      <c r="U3098">
        <f t="shared" si="145"/>
        <v>0</v>
      </c>
      <c r="V3098">
        <f>HLOOKUP("In Use MiB",'vInfo (Imported)'!$1:$5000,M3098,FALSE)</f>
        <v>0</v>
      </c>
    </row>
    <row r="3099" spans="1:22" ht="13" x14ac:dyDescent="0.3">
      <c r="A3099" s="46">
        <f>'vHosts (Imported)'!A3099</f>
        <v>0</v>
      </c>
      <c r="B3099" s="51">
        <f t="shared" si="144"/>
        <v>4968</v>
      </c>
      <c r="C3099" s="49">
        <f>HLOOKUP("# Cores",'vHosts (Imported)'!$1:$5000,M3099,FALSE)</f>
        <v>0</v>
      </c>
      <c r="D3099" s="52">
        <f>HLOOKUP("# Memory",'vHosts (Imported)'!$1:$5000,M3099,FALSE)</f>
        <v>0</v>
      </c>
      <c r="M3099" s="45">
        <f t="shared" si="146"/>
        <v>3099</v>
      </c>
      <c r="N3099" s="38">
        <f>HLOOKUP("Host",'vInfo (Imported)'!$1:$5000,M3099,FALSE)</f>
        <v>0</v>
      </c>
      <c r="R3099">
        <f>HLOOKUP("CPUs",'vInfo (Imported)'!$1:$5000,M3099,FALSE)</f>
        <v>0</v>
      </c>
      <c r="S3099">
        <f>HLOOKUP("Memory",'vInfo (Imported)'!$1:$5000,M3099,FALSE)</f>
        <v>0</v>
      </c>
      <c r="T3099">
        <f>HLOOKUP("Provisioned MiB",'vInfo (Imported)'!$1:$5000,M3099,FALSE)</f>
        <v>0</v>
      </c>
      <c r="U3099">
        <f t="shared" si="145"/>
        <v>0</v>
      </c>
      <c r="V3099">
        <f>HLOOKUP("In Use MiB",'vInfo (Imported)'!$1:$5000,M3099,FALSE)</f>
        <v>0</v>
      </c>
    </row>
    <row r="3100" spans="1:22" ht="13" x14ac:dyDescent="0.3">
      <c r="A3100" s="46">
        <f>'vHosts (Imported)'!A3100</f>
        <v>0</v>
      </c>
      <c r="B3100" s="51">
        <f t="shared" si="144"/>
        <v>4968</v>
      </c>
      <c r="C3100" s="49">
        <f>HLOOKUP("# Cores",'vHosts (Imported)'!$1:$5000,M3100,FALSE)</f>
        <v>0</v>
      </c>
      <c r="D3100" s="52">
        <f>HLOOKUP("# Memory",'vHosts (Imported)'!$1:$5000,M3100,FALSE)</f>
        <v>0</v>
      </c>
      <c r="M3100" s="45">
        <f t="shared" si="146"/>
        <v>3100</v>
      </c>
      <c r="N3100" s="38">
        <f>HLOOKUP("Host",'vInfo (Imported)'!$1:$5000,M3100,FALSE)</f>
        <v>0</v>
      </c>
      <c r="R3100">
        <f>HLOOKUP("CPUs",'vInfo (Imported)'!$1:$5000,M3100,FALSE)</f>
        <v>0</v>
      </c>
      <c r="S3100">
        <f>HLOOKUP("Memory",'vInfo (Imported)'!$1:$5000,M3100,FALSE)</f>
        <v>0</v>
      </c>
      <c r="T3100">
        <f>HLOOKUP("Provisioned MiB",'vInfo (Imported)'!$1:$5000,M3100,FALSE)</f>
        <v>0</v>
      </c>
      <c r="U3100">
        <f t="shared" si="145"/>
        <v>0</v>
      </c>
      <c r="V3100">
        <f>HLOOKUP("In Use MiB",'vInfo (Imported)'!$1:$5000,M3100,FALSE)</f>
        <v>0</v>
      </c>
    </row>
    <row r="3101" spans="1:22" ht="13" x14ac:dyDescent="0.3">
      <c r="A3101" s="46">
        <f>'vHosts (Imported)'!A3101</f>
        <v>0</v>
      </c>
      <c r="B3101" s="51">
        <f t="shared" si="144"/>
        <v>4968</v>
      </c>
      <c r="C3101" s="49">
        <f>HLOOKUP("# Cores",'vHosts (Imported)'!$1:$5000,M3101,FALSE)</f>
        <v>0</v>
      </c>
      <c r="D3101" s="52">
        <f>HLOOKUP("# Memory",'vHosts (Imported)'!$1:$5000,M3101,FALSE)</f>
        <v>0</v>
      </c>
      <c r="M3101" s="45">
        <f t="shared" si="146"/>
        <v>3101</v>
      </c>
      <c r="N3101" s="38">
        <f>HLOOKUP("Host",'vInfo (Imported)'!$1:$5000,M3101,FALSE)</f>
        <v>0</v>
      </c>
      <c r="R3101">
        <f>HLOOKUP("CPUs",'vInfo (Imported)'!$1:$5000,M3101,FALSE)</f>
        <v>0</v>
      </c>
      <c r="S3101">
        <f>HLOOKUP("Memory",'vInfo (Imported)'!$1:$5000,M3101,FALSE)</f>
        <v>0</v>
      </c>
      <c r="T3101">
        <f>HLOOKUP("Provisioned MiB",'vInfo (Imported)'!$1:$5000,M3101,FALSE)</f>
        <v>0</v>
      </c>
      <c r="U3101">
        <f t="shared" si="145"/>
        <v>0</v>
      </c>
      <c r="V3101">
        <f>HLOOKUP("In Use MiB",'vInfo (Imported)'!$1:$5000,M3101,FALSE)</f>
        <v>0</v>
      </c>
    </row>
    <row r="3102" spans="1:22" ht="13" x14ac:dyDescent="0.3">
      <c r="A3102" s="46">
        <f>'vHosts (Imported)'!A3102</f>
        <v>0</v>
      </c>
      <c r="B3102" s="51">
        <f t="shared" si="144"/>
        <v>4968</v>
      </c>
      <c r="C3102" s="49">
        <f>HLOOKUP("# Cores",'vHosts (Imported)'!$1:$5000,M3102,FALSE)</f>
        <v>0</v>
      </c>
      <c r="D3102" s="52">
        <f>HLOOKUP("# Memory",'vHosts (Imported)'!$1:$5000,M3102,FALSE)</f>
        <v>0</v>
      </c>
      <c r="M3102" s="45">
        <f t="shared" si="146"/>
        <v>3102</v>
      </c>
      <c r="N3102" s="38">
        <f>HLOOKUP("Host",'vInfo (Imported)'!$1:$5000,M3102,FALSE)</f>
        <v>0</v>
      </c>
      <c r="R3102">
        <f>HLOOKUP("CPUs",'vInfo (Imported)'!$1:$5000,M3102,FALSE)</f>
        <v>0</v>
      </c>
      <c r="S3102">
        <f>HLOOKUP("Memory",'vInfo (Imported)'!$1:$5000,M3102,FALSE)</f>
        <v>0</v>
      </c>
      <c r="T3102">
        <f>HLOOKUP("Provisioned MiB",'vInfo (Imported)'!$1:$5000,M3102,FALSE)</f>
        <v>0</v>
      </c>
      <c r="U3102">
        <f t="shared" si="145"/>
        <v>0</v>
      </c>
      <c r="V3102">
        <f>HLOOKUP("In Use MiB",'vInfo (Imported)'!$1:$5000,M3102,FALSE)</f>
        <v>0</v>
      </c>
    </row>
    <row r="3103" spans="1:22" ht="13" x14ac:dyDescent="0.3">
      <c r="A3103" s="46">
        <f>'vHosts (Imported)'!A3103</f>
        <v>0</v>
      </c>
      <c r="B3103" s="51">
        <f t="shared" si="144"/>
        <v>4968</v>
      </c>
      <c r="C3103" s="49">
        <f>HLOOKUP("# Cores",'vHosts (Imported)'!$1:$5000,M3103,FALSE)</f>
        <v>0</v>
      </c>
      <c r="D3103" s="52">
        <f>HLOOKUP("# Memory",'vHosts (Imported)'!$1:$5000,M3103,FALSE)</f>
        <v>0</v>
      </c>
      <c r="M3103" s="45">
        <f t="shared" si="146"/>
        <v>3103</v>
      </c>
      <c r="N3103" s="38">
        <f>HLOOKUP("Host",'vInfo (Imported)'!$1:$5000,M3103,FALSE)</f>
        <v>0</v>
      </c>
      <c r="R3103">
        <f>HLOOKUP("CPUs",'vInfo (Imported)'!$1:$5000,M3103,FALSE)</f>
        <v>0</v>
      </c>
      <c r="S3103">
        <f>HLOOKUP("Memory",'vInfo (Imported)'!$1:$5000,M3103,FALSE)</f>
        <v>0</v>
      </c>
      <c r="T3103">
        <f>HLOOKUP("Provisioned MiB",'vInfo (Imported)'!$1:$5000,M3103,FALSE)</f>
        <v>0</v>
      </c>
      <c r="U3103">
        <f t="shared" si="145"/>
        <v>0</v>
      </c>
      <c r="V3103">
        <f>HLOOKUP("In Use MiB",'vInfo (Imported)'!$1:$5000,M3103,FALSE)</f>
        <v>0</v>
      </c>
    </row>
    <row r="3104" spans="1:22" ht="13" x14ac:dyDescent="0.3">
      <c r="A3104" s="46">
        <f>'vHosts (Imported)'!A3104</f>
        <v>0</v>
      </c>
      <c r="B3104" s="51">
        <f t="shared" si="144"/>
        <v>4968</v>
      </c>
      <c r="C3104" s="49">
        <f>HLOOKUP("# Cores",'vHosts (Imported)'!$1:$5000,M3104,FALSE)</f>
        <v>0</v>
      </c>
      <c r="D3104" s="52">
        <f>HLOOKUP("# Memory",'vHosts (Imported)'!$1:$5000,M3104,FALSE)</f>
        <v>0</v>
      </c>
      <c r="M3104" s="45">
        <f t="shared" si="146"/>
        <v>3104</v>
      </c>
      <c r="N3104" s="38">
        <f>HLOOKUP("Host",'vInfo (Imported)'!$1:$5000,M3104,FALSE)</f>
        <v>0</v>
      </c>
      <c r="R3104">
        <f>HLOOKUP("CPUs",'vInfo (Imported)'!$1:$5000,M3104,FALSE)</f>
        <v>0</v>
      </c>
      <c r="S3104">
        <f>HLOOKUP("Memory",'vInfo (Imported)'!$1:$5000,M3104,FALSE)</f>
        <v>0</v>
      </c>
      <c r="T3104">
        <f>HLOOKUP("Provisioned MiB",'vInfo (Imported)'!$1:$5000,M3104,FALSE)</f>
        <v>0</v>
      </c>
      <c r="U3104">
        <f t="shared" si="145"/>
        <v>0</v>
      </c>
      <c r="V3104">
        <f>HLOOKUP("In Use MiB",'vInfo (Imported)'!$1:$5000,M3104,FALSE)</f>
        <v>0</v>
      </c>
    </row>
    <row r="3105" spans="1:22" ht="13" x14ac:dyDescent="0.3">
      <c r="A3105" s="46">
        <f>'vHosts (Imported)'!A3105</f>
        <v>0</v>
      </c>
      <c r="B3105" s="51">
        <f t="shared" si="144"/>
        <v>4968</v>
      </c>
      <c r="C3105" s="49">
        <f>HLOOKUP("# Cores",'vHosts (Imported)'!$1:$5000,M3105,FALSE)</f>
        <v>0</v>
      </c>
      <c r="D3105" s="52">
        <f>HLOOKUP("# Memory",'vHosts (Imported)'!$1:$5000,M3105,FALSE)</f>
        <v>0</v>
      </c>
      <c r="M3105" s="45">
        <f t="shared" si="146"/>
        <v>3105</v>
      </c>
      <c r="N3105" s="38">
        <f>HLOOKUP("Host",'vInfo (Imported)'!$1:$5000,M3105,FALSE)</f>
        <v>0</v>
      </c>
      <c r="R3105">
        <f>HLOOKUP("CPUs",'vInfo (Imported)'!$1:$5000,M3105,FALSE)</f>
        <v>0</v>
      </c>
      <c r="S3105">
        <f>HLOOKUP("Memory",'vInfo (Imported)'!$1:$5000,M3105,FALSE)</f>
        <v>0</v>
      </c>
      <c r="T3105">
        <f>HLOOKUP("Provisioned MiB",'vInfo (Imported)'!$1:$5000,M3105,FALSE)</f>
        <v>0</v>
      </c>
      <c r="U3105">
        <f t="shared" si="145"/>
        <v>0</v>
      </c>
      <c r="V3105">
        <f>HLOOKUP("In Use MiB",'vInfo (Imported)'!$1:$5000,M3105,FALSE)</f>
        <v>0</v>
      </c>
    </row>
    <row r="3106" spans="1:22" ht="13" x14ac:dyDescent="0.3">
      <c r="A3106" s="46">
        <f>'vHosts (Imported)'!A3106</f>
        <v>0</v>
      </c>
      <c r="B3106" s="51">
        <f t="shared" si="144"/>
        <v>4968</v>
      </c>
      <c r="C3106" s="49">
        <f>HLOOKUP("# Cores",'vHosts (Imported)'!$1:$5000,M3106,FALSE)</f>
        <v>0</v>
      </c>
      <c r="D3106" s="52">
        <f>HLOOKUP("# Memory",'vHosts (Imported)'!$1:$5000,M3106,FALSE)</f>
        <v>0</v>
      </c>
      <c r="M3106" s="45">
        <f t="shared" si="146"/>
        <v>3106</v>
      </c>
      <c r="N3106" s="38">
        <f>HLOOKUP("Host",'vInfo (Imported)'!$1:$5000,M3106,FALSE)</f>
        <v>0</v>
      </c>
      <c r="R3106">
        <f>HLOOKUP("CPUs",'vInfo (Imported)'!$1:$5000,M3106,FALSE)</f>
        <v>0</v>
      </c>
      <c r="S3106">
        <f>HLOOKUP("Memory",'vInfo (Imported)'!$1:$5000,M3106,FALSE)</f>
        <v>0</v>
      </c>
      <c r="T3106">
        <f>HLOOKUP("Provisioned MiB",'vInfo (Imported)'!$1:$5000,M3106,FALSE)</f>
        <v>0</v>
      </c>
      <c r="U3106">
        <f t="shared" si="145"/>
        <v>0</v>
      </c>
      <c r="V3106">
        <f>HLOOKUP("In Use MiB",'vInfo (Imported)'!$1:$5000,M3106,FALSE)</f>
        <v>0</v>
      </c>
    </row>
    <row r="3107" spans="1:22" ht="13" x14ac:dyDescent="0.3">
      <c r="A3107" s="46">
        <f>'vHosts (Imported)'!A3107</f>
        <v>0</v>
      </c>
      <c r="B3107" s="51">
        <f t="shared" si="144"/>
        <v>4968</v>
      </c>
      <c r="C3107" s="49">
        <f>HLOOKUP("# Cores",'vHosts (Imported)'!$1:$5000,M3107,FALSE)</f>
        <v>0</v>
      </c>
      <c r="D3107" s="52">
        <f>HLOOKUP("# Memory",'vHosts (Imported)'!$1:$5000,M3107,FALSE)</f>
        <v>0</v>
      </c>
      <c r="M3107" s="45">
        <f t="shared" si="146"/>
        <v>3107</v>
      </c>
      <c r="N3107" s="38">
        <f>HLOOKUP("Host",'vInfo (Imported)'!$1:$5000,M3107,FALSE)</f>
        <v>0</v>
      </c>
      <c r="R3107">
        <f>HLOOKUP("CPUs",'vInfo (Imported)'!$1:$5000,M3107,FALSE)</f>
        <v>0</v>
      </c>
      <c r="S3107">
        <f>HLOOKUP("Memory",'vInfo (Imported)'!$1:$5000,M3107,FALSE)</f>
        <v>0</v>
      </c>
      <c r="T3107">
        <f>HLOOKUP("Provisioned MiB",'vInfo (Imported)'!$1:$5000,M3107,FALSE)</f>
        <v>0</v>
      </c>
      <c r="U3107">
        <f t="shared" si="145"/>
        <v>0</v>
      </c>
      <c r="V3107">
        <f>HLOOKUP("In Use MiB",'vInfo (Imported)'!$1:$5000,M3107,FALSE)</f>
        <v>0</v>
      </c>
    </row>
    <row r="3108" spans="1:22" ht="13" x14ac:dyDescent="0.3">
      <c r="A3108" s="46">
        <f>'vHosts (Imported)'!A3108</f>
        <v>0</v>
      </c>
      <c r="B3108" s="51">
        <f t="shared" si="144"/>
        <v>4968</v>
      </c>
      <c r="C3108" s="49">
        <f>HLOOKUP("# Cores",'vHosts (Imported)'!$1:$5000,M3108,FALSE)</f>
        <v>0</v>
      </c>
      <c r="D3108" s="52">
        <f>HLOOKUP("# Memory",'vHosts (Imported)'!$1:$5000,M3108,FALSE)</f>
        <v>0</v>
      </c>
      <c r="M3108" s="45">
        <f t="shared" si="146"/>
        <v>3108</v>
      </c>
      <c r="N3108" s="38">
        <f>HLOOKUP("Host",'vInfo (Imported)'!$1:$5000,M3108,FALSE)</f>
        <v>0</v>
      </c>
      <c r="R3108">
        <f>HLOOKUP("CPUs",'vInfo (Imported)'!$1:$5000,M3108,FALSE)</f>
        <v>0</v>
      </c>
      <c r="S3108">
        <f>HLOOKUP("Memory",'vInfo (Imported)'!$1:$5000,M3108,FALSE)</f>
        <v>0</v>
      </c>
      <c r="T3108">
        <f>HLOOKUP("Provisioned MiB",'vInfo (Imported)'!$1:$5000,M3108,FALSE)</f>
        <v>0</v>
      </c>
      <c r="U3108">
        <f t="shared" si="145"/>
        <v>0</v>
      </c>
      <c r="V3108">
        <f>HLOOKUP("In Use MiB",'vInfo (Imported)'!$1:$5000,M3108,FALSE)</f>
        <v>0</v>
      </c>
    </row>
    <row r="3109" spans="1:22" ht="13" x14ac:dyDescent="0.3">
      <c r="A3109" s="46">
        <f>'vHosts (Imported)'!A3109</f>
        <v>0</v>
      </c>
      <c r="B3109" s="51">
        <f t="shared" si="144"/>
        <v>4968</v>
      </c>
      <c r="C3109" s="49">
        <f>HLOOKUP("# Cores",'vHosts (Imported)'!$1:$5000,M3109,FALSE)</f>
        <v>0</v>
      </c>
      <c r="D3109" s="52">
        <f>HLOOKUP("# Memory",'vHosts (Imported)'!$1:$5000,M3109,FALSE)</f>
        <v>0</v>
      </c>
      <c r="M3109" s="45">
        <f t="shared" si="146"/>
        <v>3109</v>
      </c>
      <c r="N3109" s="38">
        <f>HLOOKUP("Host",'vInfo (Imported)'!$1:$5000,M3109,FALSE)</f>
        <v>0</v>
      </c>
      <c r="R3109">
        <f>HLOOKUP("CPUs",'vInfo (Imported)'!$1:$5000,M3109,FALSE)</f>
        <v>0</v>
      </c>
      <c r="S3109">
        <f>HLOOKUP("Memory",'vInfo (Imported)'!$1:$5000,M3109,FALSE)</f>
        <v>0</v>
      </c>
      <c r="T3109">
        <f>HLOOKUP("Provisioned MiB",'vInfo (Imported)'!$1:$5000,M3109,FALSE)</f>
        <v>0</v>
      </c>
      <c r="U3109">
        <f t="shared" si="145"/>
        <v>0</v>
      </c>
      <c r="V3109">
        <f>HLOOKUP("In Use MiB",'vInfo (Imported)'!$1:$5000,M3109,FALSE)</f>
        <v>0</v>
      </c>
    </row>
    <row r="3110" spans="1:22" ht="13" x14ac:dyDescent="0.3">
      <c r="A3110" s="46">
        <f>'vHosts (Imported)'!A3110</f>
        <v>0</v>
      </c>
      <c r="B3110" s="51">
        <f t="shared" si="144"/>
        <v>4968</v>
      </c>
      <c r="C3110" s="49">
        <f>HLOOKUP("# Cores",'vHosts (Imported)'!$1:$5000,M3110,FALSE)</f>
        <v>0</v>
      </c>
      <c r="D3110" s="52">
        <f>HLOOKUP("# Memory",'vHosts (Imported)'!$1:$5000,M3110,FALSE)</f>
        <v>0</v>
      </c>
      <c r="M3110" s="45">
        <f t="shared" si="146"/>
        <v>3110</v>
      </c>
      <c r="N3110" s="38">
        <f>HLOOKUP("Host",'vInfo (Imported)'!$1:$5000,M3110,FALSE)</f>
        <v>0</v>
      </c>
      <c r="R3110">
        <f>HLOOKUP("CPUs",'vInfo (Imported)'!$1:$5000,M3110,FALSE)</f>
        <v>0</v>
      </c>
      <c r="S3110">
        <f>HLOOKUP("Memory",'vInfo (Imported)'!$1:$5000,M3110,FALSE)</f>
        <v>0</v>
      </c>
      <c r="T3110">
        <f>HLOOKUP("Provisioned MiB",'vInfo (Imported)'!$1:$5000,M3110,FALSE)</f>
        <v>0</v>
      </c>
      <c r="U3110">
        <f t="shared" si="145"/>
        <v>0</v>
      </c>
      <c r="V3110">
        <f>HLOOKUP("In Use MiB",'vInfo (Imported)'!$1:$5000,M3110,FALSE)</f>
        <v>0</v>
      </c>
    </row>
    <row r="3111" spans="1:22" ht="13" x14ac:dyDescent="0.3">
      <c r="A3111" s="46">
        <f>'vHosts (Imported)'!A3111</f>
        <v>0</v>
      </c>
      <c r="B3111" s="51">
        <f t="shared" si="144"/>
        <v>4968</v>
      </c>
      <c r="C3111" s="49">
        <f>HLOOKUP("# Cores",'vHosts (Imported)'!$1:$5000,M3111,FALSE)</f>
        <v>0</v>
      </c>
      <c r="D3111" s="52">
        <f>HLOOKUP("# Memory",'vHosts (Imported)'!$1:$5000,M3111,FALSE)</f>
        <v>0</v>
      </c>
      <c r="M3111" s="45">
        <f t="shared" si="146"/>
        <v>3111</v>
      </c>
      <c r="N3111" s="38">
        <f>HLOOKUP("Host",'vInfo (Imported)'!$1:$5000,M3111,FALSE)</f>
        <v>0</v>
      </c>
      <c r="R3111">
        <f>HLOOKUP("CPUs",'vInfo (Imported)'!$1:$5000,M3111,FALSE)</f>
        <v>0</v>
      </c>
      <c r="S3111">
        <f>HLOOKUP("Memory",'vInfo (Imported)'!$1:$5000,M3111,FALSE)</f>
        <v>0</v>
      </c>
      <c r="T3111">
        <f>HLOOKUP("Provisioned MiB",'vInfo (Imported)'!$1:$5000,M3111,FALSE)</f>
        <v>0</v>
      </c>
      <c r="U3111">
        <f t="shared" si="145"/>
        <v>0</v>
      </c>
      <c r="V3111">
        <f>HLOOKUP("In Use MiB",'vInfo (Imported)'!$1:$5000,M3111,FALSE)</f>
        <v>0</v>
      </c>
    </row>
    <row r="3112" spans="1:22" ht="13" x14ac:dyDescent="0.3">
      <c r="A3112" s="46">
        <f>'vHosts (Imported)'!A3112</f>
        <v>0</v>
      </c>
      <c r="B3112" s="51">
        <f t="shared" ref="B3112:B3175" si="147">COUNTIF(N:N,A3112)</f>
        <v>4968</v>
      </c>
      <c r="C3112" s="49">
        <f>HLOOKUP("# Cores",'vHosts (Imported)'!$1:$5000,M3112,FALSE)</f>
        <v>0</v>
      </c>
      <c r="D3112" s="52">
        <f>HLOOKUP("# Memory",'vHosts (Imported)'!$1:$5000,M3112,FALSE)</f>
        <v>0</v>
      </c>
      <c r="M3112" s="45">
        <f t="shared" si="146"/>
        <v>3112</v>
      </c>
      <c r="N3112" s="38">
        <f>HLOOKUP("Host",'vInfo (Imported)'!$1:$5000,M3112,FALSE)</f>
        <v>0</v>
      </c>
      <c r="R3112">
        <f>HLOOKUP("CPUs",'vInfo (Imported)'!$1:$5000,M3112,FALSE)</f>
        <v>0</v>
      </c>
      <c r="S3112">
        <f>HLOOKUP("Memory",'vInfo (Imported)'!$1:$5000,M3112,FALSE)</f>
        <v>0</v>
      </c>
      <c r="T3112">
        <f>HLOOKUP("Provisioned MiB",'vInfo (Imported)'!$1:$5000,M3112,FALSE)</f>
        <v>0</v>
      </c>
      <c r="U3112">
        <f t="shared" si="145"/>
        <v>0</v>
      </c>
      <c r="V3112">
        <f>HLOOKUP("In Use MiB",'vInfo (Imported)'!$1:$5000,M3112,FALSE)</f>
        <v>0</v>
      </c>
    </row>
    <row r="3113" spans="1:22" ht="13" x14ac:dyDescent="0.3">
      <c r="A3113" s="46">
        <f>'vHosts (Imported)'!A3113</f>
        <v>0</v>
      </c>
      <c r="B3113" s="51">
        <f t="shared" si="147"/>
        <v>4968</v>
      </c>
      <c r="C3113" s="49">
        <f>HLOOKUP("# Cores",'vHosts (Imported)'!$1:$5000,M3113,FALSE)</f>
        <v>0</v>
      </c>
      <c r="D3113" s="52">
        <f>HLOOKUP("# Memory",'vHosts (Imported)'!$1:$5000,M3113,FALSE)</f>
        <v>0</v>
      </c>
      <c r="M3113" s="45">
        <f t="shared" si="146"/>
        <v>3113</v>
      </c>
      <c r="N3113" s="38">
        <f>HLOOKUP("Host",'vInfo (Imported)'!$1:$5000,M3113,FALSE)</f>
        <v>0</v>
      </c>
      <c r="R3113">
        <f>HLOOKUP("CPUs",'vInfo (Imported)'!$1:$5000,M3113,FALSE)</f>
        <v>0</v>
      </c>
      <c r="S3113">
        <f>HLOOKUP("Memory",'vInfo (Imported)'!$1:$5000,M3113,FALSE)</f>
        <v>0</v>
      </c>
      <c r="T3113">
        <f>HLOOKUP("Provisioned MiB",'vInfo (Imported)'!$1:$5000,M3113,FALSE)</f>
        <v>0</v>
      </c>
      <c r="U3113">
        <f t="shared" si="145"/>
        <v>0</v>
      </c>
      <c r="V3113">
        <f>HLOOKUP("In Use MiB",'vInfo (Imported)'!$1:$5000,M3113,FALSE)</f>
        <v>0</v>
      </c>
    </row>
    <row r="3114" spans="1:22" ht="13" x14ac:dyDescent="0.3">
      <c r="A3114" s="46">
        <f>'vHosts (Imported)'!A3114</f>
        <v>0</v>
      </c>
      <c r="B3114" s="51">
        <f t="shared" si="147"/>
        <v>4968</v>
      </c>
      <c r="C3114" s="49">
        <f>HLOOKUP("# Cores",'vHosts (Imported)'!$1:$5000,M3114,FALSE)</f>
        <v>0</v>
      </c>
      <c r="D3114" s="52">
        <f>HLOOKUP("# Memory",'vHosts (Imported)'!$1:$5000,M3114,FALSE)</f>
        <v>0</v>
      </c>
      <c r="M3114" s="45">
        <f t="shared" si="146"/>
        <v>3114</v>
      </c>
      <c r="N3114" s="38">
        <f>HLOOKUP("Host",'vInfo (Imported)'!$1:$5000,M3114,FALSE)</f>
        <v>0</v>
      </c>
      <c r="R3114">
        <f>HLOOKUP("CPUs",'vInfo (Imported)'!$1:$5000,M3114,FALSE)</f>
        <v>0</v>
      </c>
      <c r="S3114">
        <f>HLOOKUP("Memory",'vInfo (Imported)'!$1:$5000,M3114,FALSE)</f>
        <v>0</v>
      </c>
      <c r="T3114">
        <f>HLOOKUP("Provisioned MiB",'vInfo (Imported)'!$1:$5000,M3114,FALSE)</f>
        <v>0</v>
      </c>
      <c r="U3114">
        <f t="shared" si="145"/>
        <v>0</v>
      </c>
      <c r="V3114">
        <f>HLOOKUP("In Use MiB",'vInfo (Imported)'!$1:$5000,M3114,FALSE)</f>
        <v>0</v>
      </c>
    </row>
    <row r="3115" spans="1:22" ht="13" x14ac:dyDescent="0.3">
      <c r="A3115" s="46">
        <f>'vHosts (Imported)'!A3115</f>
        <v>0</v>
      </c>
      <c r="B3115" s="51">
        <f t="shared" si="147"/>
        <v>4968</v>
      </c>
      <c r="C3115" s="49">
        <f>HLOOKUP("# Cores",'vHosts (Imported)'!$1:$5000,M3115,FALSE)</f>
        <v>0</v>
      </c>
      <c r="D3115" s="52">
        <f>HLOOKUP("# Memory",'vHosts (Imported)'!$1:$5000,M3115,FALSE)</f>
        <v>0</v>
      </c>
      <c r="M3115" s="45">
        <f t="shared" si="146"/>
        <v>3115</v>
      </c>
      <c r="N3115" s="38">
        <f>HLOOKUP("Host",'vInfo (Imported)'!$1:$5000,M3115,FALSE)</f>
        <v>0</v>
      </c>
      <c r="R3115">
        <f>HLOOKUP("CPUs",'vInfo (Imported)'!$1:$5000,M3115,FALSE)</f>
        <v>0</v>
      </c>
      <c r="S3115">
        <f>HLOOKUP("Memory",'vInfo (Imported)'!$1:$5000,M3115,FALSE)</f>
        <v>0</v>
      </c>
      <c r="T3115">
        <f>HLOOKUP("Provisioned MiB",'vInfo (Imported)'!$1:$5000,M3115,FALSE)</f>
        <v>0</v>
      </c>
      <c r="U3115">
        <f t="shared" si="145"/>
        <v>0</v>
      </c>
      <c r="V3115">
        <f>HLOOKUP("In Use MiB",'vInfo (Imported)'!$1:$5000,M3115,FALSE)</f>
        <v>0</v>
      </c>
    </row>
    <row r="3116" spans="1:22" ht="13" x14ac:dyDescent="0.3">
      <c r="A3116" s="46">
        <f>'vHosts (Imported)'!A3116</f>
        <v>0</v>
      </c>
      <c r="B3116" s="51">
        <f t="shared" si="147"/>
        <v>4968</v>
      </c>
      <c r="C3116" s="49">
        <f>HLOOKUP("# Cores",'vHosts (Imported)'!$1:$5000,M3116,FALSE)</f>
        <v>0</v>
      </c>
      <c r="D3116" s="52">
        <f>HLOOKUP("# Memory",'vHosts (Imported)'!$1:$5000,M3116,FALSE)</f>
        <v>0</v>
      </c>
      <c r="M3116" s="45">
        <f t="shared" si="146"/>
        <v>3116</v>
      </c>
      <c r="N3116" s="38">
        <f>HLOOKUP("Host",'vInfo (Imported)'!$1:$5000,M3116,FALSE)</f>
        <v>0</v>
      </c>
      <c r="R3116">
        <f>HLOOKUP("CPUs",'vInfo (Imported)'!$1:$5000,M3116,FALSE)</f>
        <v>0</v>
      </c>
      <c r="S3116">
        <f>HLOOKUP("Memory",'vInfo (Imported)'!$1:$5000,M3116,FALSE)</f>
        <v>0</v>
      </c>
      <c r="T3116">
        <f>HLOOKUP("Provisioned MiB",'vInfo (Imported)'!$1:$5000,M3116,FALSE)</f>
        <v>0</v>
      </c>
      <c r="U3116">
        <f t="shared" si="145"/>
        <v>0</v>
      </c>
      <c r="V3116">
        <f>HLOOKUP("In Use MiB",'vInfo (Imported)'!$1:$5000,M3116,FALSE)</f>
        <v>0</v>
      </c>
    </row>
    <row r="3117" spans="1:22" ht="13" x14ac:dyDescent="0.3">
      <c r="A3117" s="46">
        <f>'vHosts (Imported)'!A3117</f>
        <v>0</v>
      </c>
      <c r="B3117" s="51">
        <f t="shared" si="147"/>
        <v>4968</v>
      </c>
      <c r="C3117" s="49">
        <f>HLOOKUP("# Cores",'vHosts (Imported)'!$1:$5000,M3117,FALSE)</f>
        <v>0</v>
      </c>
      <c r="D3117" s="52">
        <f>HLOOKUP("# Memory",'vHosts (Imported)'!$1:$5000,M3117,FALSE)</f>
        <v>0</v>
      </c>
      <c r="M3117" s="45">
        <f t="shared" si="146"/>
        <v>3117</v>
      </c>
      <c r="N3117" s="38">
        <f>HLOOKUP("Host",'vInfo (Imported)'!$1:$5000,M3117,FALSE)</f>
        <v>0</v>
      </c>
      <c r="R3117">
        <f>HLOOKUP("CPUs",'vInfo (Imported)'!$1:$5000,M3117,FALSE)</f>
        <v>0</v>
      </c>
      <c r="S3117">
        <f>HLOOKUP("Memory",'vInfo (Imported)'!$1:$5000,M3117,FALSE)</f>
        <v>0</v>
      </c>
      <c r="T3117">
        <f>HLOOKUP("Provisioned MiB",'vInfo (Imported)'!$1:$5000,M3117,FALSE)</f>
        <v>0</v>
      </c>
      <c r="U3117">
        <f t="shared" si="145"/>
        <v>0</v>
      </c>
      <c r="V3117">
        <f>HLOOKUP("In Use MiB",'vInfo (Imported)'!$1:$5000,M3117,FALSE)</f>
        <v>0</v>
      </c>
    </row>
    <row r="3118" spans="1:22" ht="13" x14ac:dyDescent="0.3">
      <c r="A3118" s="46">
        <f>'vHosts (Imported)'!A3118</f>
        <v>0</v>
      </c>
      <c r="B3118" s="51">
        <f t="shared" si="147"/>
        <v>4968</v>
      </c>
      <c r="C3118" s="49">
        <f>HLOOKUP("# Cores",'vHosts (Imported)'!$1:$5000,M3118,FALSE)</f>
        <v>0</v>
      </c>
      <c r="D3118" s="52">
        <f>HLOOKUP("# Memory",'vHosts (Imported)'!$1:$5000,M3118,FALSE)</f>
        <v>0</v>
      </c>
      <c r="M3118" s="45">
        <f t="shared" si="146"/>
        <v>3118</v>
      </c>
      <c r="N3118" s="38">
        <f>HLOOKUP("Host",'vInfo (Imported)'!$1:$5000,M3118,FALSE)</f>
        <v>0</v>
      </c>
      <c r="R3118">
        <f>HLOOKUP("CPUs",'vInfo (Imported)'!$1:$5000,M3118,FALSE)</f>
        <v>0</v>
      </c>
      <c r="S3118">
        <f>HLOOKUP("Memory",'vInfo (Imported)'!$1:$5000,M3118,FALSE)</f>
        <v>0</v>
      </c>
      <c r="T3118">
        <f>HLOOKUP("Provisioned MiB",'vInfo (Imported)'!$1:$5000,M3118,FALSE)</f>
        <v>0</v>
      </c>
      <c r="U3118">
        <f t="shared" si="145"/>
        <v>0</v>
      </c>
      <c r="V3118">
        <f>HLOOKUP("In Use MiB",'vInfo (Imported)'!$1:$5000,M3118,FALSE)</f>
        <v>0</v>
      </c>
    </row>
    <row r="3119" spans="1:22" ht="13" x14ac:dyDescent="0.3">
      <c r="A3119" s="46">
        <f>'vHosts (Imported)'!A3119</f>
        <v>0</v>
      </c>
      <c r="B3119" s="51">
        <f t="shared" si="147"/>
        <v>4968</v>
      </c>
      <c r="C3119" s="49">
        <f>HLOOKUP("# Cores",'vHosts (Imported)'!$1:$5000,M3119,FALSE)</f>
        <v>0</v>
      </c>
      <c r="D3119" s="52">
        <f>HLOOKUP("# Memory",'vHosts (Imported)'!$1:$5000,M3119,FALSE)</f>
        <v>0</v>
      </c>
      <c r="M3119" s="45">
        <f t="shared" si="146"/>
        <v>3119</v>
      </c>
      <c r="N3119" s="38">
        <f>HLOOKUP("Host",'vInfo (Imported)'!$1:$5000,M3119,FALSE)</f>
        <v>0</v>
      </c>
      <c r="R3119">
        <f>HLOOKUP("CPUs",'vInfo (Imported)'!$1:$5000,M3119,FALSE)</f>
        <v>0</v>
      </c>
      <c r="S3119">
        <f>HLOOKUP("Memory",'vInfo (Imported)'!$1:$5000,M3119,FALSE)</f>
        <v>0</v>
      </c>
      <c r="T3119">
        <f>HLOOKUP("Provisioned MiB",'vInfo (Imported)'!$1:$5000,M3119,FALSE)</f>
        <v>0</v>
      </c>
      <c r="U3119">
        <f t="shared" si="145"/>
        <v>0</v>
      </c>
      <c r="V3119">
        <f>HLOOKUP("In Use MiB",'vInfo (Imported)'!$1:$5000,M3119,FALSE)</f>
        <v>0</v>
      </c>
    </row>
    <row r="3120" spans="1:22" ht="13" x14ac:dyDescent="0.3">
      <c r="A3120" s="46">
        <f>'vHosts (Imported)'!A3120</f>
        <v>0</v>
      </c>
      <c r="B3120" s="51">
        <f t="shared" si="147"/>
        <v>4968</v>
      </c>
      <c r="C3120" s="49">
        <f>HLOOKUP("# Cores",'vHosts (Imported)'!$1:$5000,M3120,FALSE)</f>
        <v>0</v>
      </c>
      <c r="D3120" s="52">
        <f>HLOOKUP("# Memory",'vHosts (Imported)'!$1:$5000,M3120,FALSE)</f>
        <v>0</v>
      </c>
      <c r="M3120" s="45">
        <f t="shared" si="146"/>
        <v>3120</v>
      </c>
      <c r="N3120" s="38">
        <f>HLOOKUP("Host",'vInfo (Imported)'!$1:$5000,M3120,FALSE)</f>
        <v>0</v>
      </c>
      <c r="R3120">
        <f>HLOOKUP("CPUs",'vInfo (Imported)'!$1:$5000,M3120,FALSE)</f>
        <v>0</v>
      </c>
      <c r="S3120">
        <f>HLOOKUP("Memory",'vInfo (Imported)'!$1:$5000,M3120,FALSE)</f>
        <v>0</v>
      </c>
      <c r="T3120">
        <f>HLOOKUP("Provisioned MiB",'vInfo (Imported)'!$1:$5000,M3120,FALSE)</f>
        <v>0</v>
      </c>
      <c r="U3120">
        <f t="shared" si="145"/>
        <v>0</v>
      </c>
      <c r="V3120">
        <f>HLOOKUP("In Use MiB",'vInfo (Imported)'!$1:$5000,M3120,FALSE)</f>
        <v>0</v>
      </c>
    </row>
    <row r="3121" spans="1:22" ht="13" x14ac:dyDescent="0.3">
      <c r="A3121" s="46">
        <f>'vHosts (Imported)'!A3121</f>
        <v>0</v>
      </c>
      <c r="B3121" s="51">
        <f t="shared" si="147"/>
        <v>4968</v>
      </c>
      <c r="C3121" s="49">
        <f>HLOOKUP("# Cores",'vHosts (Imported)'!$1:$5000,M3121,FALSE)</f>
        <v>0</v>
      </c>
      <c r="D3121" s="52">
        <f>HLOOKUP("# Memory",'vHosts (Imported)'!$1:$5000,M3121,FALSE)</f>
        <v>0</v>
      </c>
      <c r="M3121" s="45">
        <f t="shared" si="146"/>
        <v>3121</v>
      </c>
      <c r="N3121" s="38">
        <f>HLOOKUP("Host",'vInfo (Imported)'!$1:$5000,M3121,FALSE)</f>
        <v>0</v>
      </c>
      <c r="R3121">
        <f>HLOOKUP("CPUs",'vInfo (Imported)'!$1:$5000,M3121,FALSE)</f>
        <v>0</v>
      </c>
      <c r="S3121">
        <f>HLOOKUP("Memory",'vInfo (Imported)'!$1:$5000,M3121,FALSE)</f>
        <v>0</v>
      </c>
      <c r="T3121">
        <f>HLOOKUP("Provisioned MiB",'vInfo (Imported)'!$1:$5000,M3121,FALSE)</f>
        <v>0</v>
      </c>
      <c r="U3121">
        <f t="shared" si="145"/>
        <v>0</v>
      </c>
      <c r="V3121">
        <f>HLOOKUP("In Use MiB",'vInfo (Imported)'!$1:$5000,M3121,FALSE)</f>
        <v>0</v>
      </c>
    </row>
    <row r="3122" spans="1:22" ht="13" x14ac:dyDescent="0.3">
      <c r="A3122" s="46">
        <f>'vHosts (Imported)'!A3122</f>
        <v>0</v>
      </c>
      <c r="B3122" s="51">
        <f t="shared" si="147"/>
        <v>4968</v>
      </c>
      <c r="C3122" s="49">
        <f>HLOOKUP("# Cores",'vHosts (Imported)'!$1:$5000,M3122,FALSE)</f>
        <v>0</v>
      </c>
      <c r="D3122" s="52">
        <f>HLOOKUP("# Memory",'vHosts (Imported)'!$1:$5000,M3122,FALSE)</f>
        <v>0</v>
      </c>
      <c r="M3122" s="45">
        <f t="shared" si="146"/>
        <v>3122</v>
      </c>
      <c r="N3122" s="38">
        <f>HLOOKUP("Host",'vInfo (Imported)'!$1:$5000,M3122,FALSE)</f>
        <v>0</v>
      </c>
      <c r="R3122">
        <f>HLOOKUP("CPUs",'vInfo (Imported)'!$1:$5000,M3122,FALSE)</f>
        <v>0</v>
      </c>
      <c r="S3122">
        <f>HLOOKUP("Memory",'vInfo (Imported)'!$1:$5000,M3122,FALSE)</f>
        <v>0</v>
      </c>
      <c r="T3122">
        <f>HLOOKUP("Provisioned MiB",'vInfo (Imported)'!$1:$5000,M3122,FALSE)</f>
        <v>0</v>
      </c>
      <c r="U3122">
        <f t="shared" si="145"/>
        <v>0</v>
      </c>
      <c r="V3122">
        <f>HLOOKUP("In Use MiB",'vInfo (Imported)'!$1:$5000,M3122,FALSE)</f>
        <v>0</v>
      </c>
    </row>
    <row r="3123" spans="1:22" ht="13" x14ac:dyDescent="0.3">
      <c r="A3123" s="46">
        <f>'vHosts (Imported)'!A3123</f>
        <v>0</v>
      </c>
      <c r="B3123" s="51">
        <f t="shared" si="147"/>
        <v>4968</v>
      </c>
      <c r="C3123" s="49">
        <f>HLOOKUP("# Cores",'vHosts (Imported)'!$1:$5000,M3123,FALSE)</f>
        <v>0</v>
      </c>
      <c r="D3123" s="52">
        <f>HLOOKUP("# Memory",'vHosts (Imported)'!$1:$5000,M3123,FALSE)</f>
        <v>0</v>
      </c>
      <c r="M3123" s="45">
        <f t="shared" si="146"/>
        <v>3123</v>
      </c>
      <c r="N3123" s="38">
        <f>HLOOKUP("Host",'vInfo (Imported)'!$1:$5000,M3123,FALSE)</f>
        <v>0</v>
      </c>
      <c r="R3123">
        <f>HLOOKUP("CPUs",'vInfo (Imported)'!$1:$5000,M3123,FALSE)</f>
        <v>0</v>
      </c>
      <c r="S3123">
        <f>HLOOKUP("Memory",'vInfo (Imported)'!$1:$5000,M3123,FALSE)</f>
        <v>0</v>
      </c>
      <c r="T3123">
        <f>HLOOKUP("Provisioned MiB",'vInfo (Imported)'!$1:$5000,M3123,FALSE)</f>
        <v>0</v>
      </c>
      <c r="U3123">
        <f t="shared" si="145"/>
        <v>0</v>
      </c>
      <c r="V3123">
        <f>HLOOKUP("In Use MiB",'vInfo (Imported)'!$1:$5000,M3123,FALSE)</f>
        <v>0</v>
      </c>
    </row>
    <row r="3124" spans="1:22" ht="13" x14ac:dyDescent="0.3">
      <c r="A3124" s="46">
        <f>'vHosts (Imported)'!A3124</f>
        <v>0</v>
      </c>
      <c r="B3124" s="51">
        <f t="shared" si="147"/>
        <v>4968</v>
      </c>
      <c r="C3124" s="49">
        <f>HLOOKUP("# Cores",'vHosts (Imported)'!$1:$5000,M3124,FALSE)</f>
        <v>0</v>
      </c>
      <c r="D3124" s="52">
        <f>HLOOKUP("# Memory",'vHosts (Imported)'!$1:$5000,M3124,FALSE)</f>
        <v>0</v>
      </c>
      <c r="M3124" s="45">
        <f t="shared" si="146"/>
        <v>3124</v>
      </c>
      <c r="N3124" s="38">
        <f>HLOOKUP("Host",'vInfo (Imported)'!$1:$5000,M3124,FALSE)</f>
        <v>0</v>
      </c>
      <c r="R3124">
        <f>HLOOKUP("CPUs",'vInfo (Imported)'!$1:$5000,M3124,FALSE)</f>
        <v>0</v>
      </c>
      <c r="S3124">
        <f>HLOOKUP("Memory",'vInfo (Imported)'!$1:$5000,M3124,FALSE)</f>
        <v>0</v>
      </c>
      <c r="T3124">
        <f>HLOOKUP("Provisioned MiB",'vInfo (Imported)'!$1:$5000,M3124,FALSE)</f>
        <v>0</v>
      </c>
      <c r="U3124">
        <f t="shared" si="145"/>
        <v>0</v>
      </c>
      <c r="V3124">
        <f>HLOOKUP("In Use MiB",'vInfo (Imported)'!$1:$5000,M3124,FALSE)</f>
        <v>0</v>
      </c>
    </row>
    <row r="3125" spans="1:22" ht="13" x14ac:dyDescent="0.3">
      <c r="A3125" s="46">
        <f>'vHosts (Imported)'!A3125</f>
        <v>0</v>
      </c>
      <c r="B3125" s="51">
        <f t="shared" si="147"/>
        <v>4968</v>
      </c>
      <c r="C3125" s="49">
        <f>HLOOKUP("# Cores",'vHosts (Imported)'!$1:$5000,M3125,FALSE)</f>
        <v>0</v>
      </c>
      <c r="D3125" s="52">
        <f>HLOOKUP("# Memory",'vHosts (Imported)'!$1:$5000,M3125,FALSE)</f>
        <v>0</v>
      </c>
      <c r="M3125" s="45">
        <f t="shared" si="146"/>
        <v>3125</v>
      </c>
      <c r="N3125" s="38">
        <f>HLOOKUP("Host",'vInfo (Imported)'!$1:$5000,M3125,FALSE)</f>
        <v>0</v>
      </c>
      <c r="R3125">
        <f>HLOOKUP("CPUs",'vInfo (Imported)'!$1:$5000,M3125,FALSE)</f>
        <v>0</v>
      </c>
      <c r="S3125">
        <f>HLOOKUP("Memory",'vInfo (Imported)'!$1:$5000,M3125,FALSE)</f>
        <v>0</v>
      </c>
      <c r="T3125">
        <f>HLOOKUP("Provisioned MiB",'vInfo (Imported)'!$1:$5000,M3125,FALSE)</f>
        <v>0</v>
      </c>
      <c r="U3125">
        <f t="shared" si="145"/>
        <v>0</v>
      </c>
      <c r="V3125">
        <f>HLOOKUP("In Use MiB",'vInfo (Imported)'!$1:$5000,M3125,FALSE)</f>
        <v>0</v>
      </c>
    </row>
    <row r="3126" spans="1:22" ht="13" x14ac:dyDescent="0.3">
      <c r="A3126" s="46">
        <f>'vHosts (Imported)'!A3126</f>
        <v>0</v>
      </c>
      <c r="B3126" s="51">
        <f t="shared" si="147"/>
        <v>4968</v>
      </c>
      <c r="C3126" s="49">
        <f>HLOOKUP("# Cores",'vHosts (Imported)'!$1:$5000,M3126,FALSE)</f>
        <v>0</v>
      </c>
      <c r="D3126" s="52">
        <f>HLOOKUP("# Memory",'vHosts (Imported)'!$1:$5000,M3126,FALSE)</f>
        <v>0</v>
      </c>
      <c r="M3126" s="45">
        <f t="shared" si="146"/>
        <v>3126</v>
      </c>
      <c r="N3126" s="38">
        <f>HLOOKUP("Host",'vInfo (Imported)'!$1:$5000,M3126,FALSE)</f>
        <v>0</v>
      </c>
      <c r="R3126">
        <f>HLOOKUP("CPUs",'vInfo (Imported)'!$1:$5000,M3126,FALSE)</f>
        <v>0</v>
      </c>
      <c r="S3126">
        <f>HLOOKUP("Memory",'vInfo (Imported)'!$1:$5000,M3126,FALSE)</f>
        <v>0</v>
      </c>
      <c r="T3126">
        <f>HLOOKUP("Provisioned MiB",'vInfo (Imported)'!$1:$5000,M3126,FALSE)</f>
        <v>0</v>
      </c>
      <c r="U3126">
        <f t="shared" si="145"/>
        <v>0</v>
      </c>
      <c r="V3126">
        <f>HLOOKUP("In Use MiB",'vInfo (Imported)'!$1:$5000,M3126,FALSE)</f>
        <v>0</v>
      </c>
    </row>
    <row r="3127" spans="1:22" ht="13" x14ac:dyDescent="0.3">
      <c r="A3127" s="46">
        <f>'vHosts (Imported)'!A3127</f>
        <v>0</v>
      </c>
      <c r="B3127" s="51">
        <f t="shared" si="147"/>
        <v>4968</v>
      </c>
      <c r="C3127" s="49">
        <f>HLOOKUP("# Cores",'vHosts (Imported)'!$1:$5000,M3127,FALSE)</f>
        <v>0</v>
      </c>
      <c r="D3127" s="52">
        <f>HLOOKUP("# Memory",'vHosts (Imported)'!$1:$5000,M3127,FALSE)</f>
        <v>0</v>
      </c>
      <c r="M3127" s="45">
        <f t="shared" si="146"/>
        <v>3127</v>
      </c>
      <c r="N3127" s="38">
        <f>HLOOKUP("Host",'vInfo (Imported)'!$1:$5000,M3127,FALSE)</f>
        <v>0</v>
      </c>
      <c r="R3127">
        <f>HLOOKUP("CPUs",'vInfo (Imported)'!$1:$5000,M3127,FALSE)</f>
        <v>0</v>
      </c>
      <c r="S3127">
        <f>HLOOKUP("Memory",'vInfo (Imported)'!$1:$5000,M3127,FALSE)</f>
        <v>0</v>
      </c>
      <c r="T3127">
        <f>HLOOKUP("Provisioned MiB",'vInfo (Imported)'!$1:$5000,M3127,FALSE)</f>
        <v>0</v>
      </c>
      <c r="U3127">
        <f t="shared" si="145"/>
        <v>0</v>
      </c>
      <c r="V3127">
        <f>HLOOKUP("In Use MiB",'vInfo (Imported)'!$1:$5000,M3127,FALSE)</f>
        <v>0</v>
      </c>
    </row>
    <row r="3128" spans="1:22" ht="13" x14ac:dyDescent="0.3">
      <c r="A3128" s="46">
        <f>'vHosts (Imported)'!A3128</f>
        <v>0</v>
      </c>
      <c r="B3128" s="51">
        <f t="shared" si="147"/>
        <v>4968</v>
      </c>
      <c r="C3128" s="49">
        <f>HLOOKUP("# Cores",'vHosts (Imported)'!$1:$5000,M3128,FALSE)</f>
        <v>0</v>
      </c>
      <c r="D3128" s="52">
        <f>HLOOKUP("# Memory",'vHosts (Imported)'!$1:$5000,M3128,FALSE)</f>
        <v>0</v>
      </c>
      <c r="M3128" s="45">
        <f t="shared" si="146"/>
        <v>3128</v>
      </c>
      <c r="N3128" s="38">
        <f>HLOOKUP("Host",'vInfo (Imported)'!$1:$5000,M3128,FALSE)</f>
        <v>0</v>
      </c>
      <c r="R3128">
        <f>HLOOKUP("CPUs",'vInfo (Imported)'!$1:$5000,M3128,FALSE)</f>
        <v>0</v>
      </c>
      <c r="S3128">
        <f>HLOOKUP("Memory",'vInfo (Imported)'!$1:$5000,M3128,FALSE)</f>
        <v>0</v>
      </c>
      <c r="T3128">
        <f>HLOOKUP("Provisioned MiB",'vInfo (Imported)'!$1:$5000,M3128,FALSE)</f>
        <v>0</v>
      </c>
      <c r="U3128">
        <f t="shared" si="145"/>
        <v>0</v>
      </c>
      <c r="V3128">
        <f>HLOOKUP("In Use MiB",'vInfo (Imported)'!$1:$5000,M3128,FALSE)</f>
        <v>0</v>
      </c>
    </row>
    <row r="3129" spans="1:22" ht="13" x14ac:dyDescent="0.3">
      <c r="A3129" s="46">
        <f>'vHosts (Imported)'!A3129</f>
        <v>0</v>
      </c>
      <c r="B3129" s="51">
        <f t="shared" si="147"/>
        <v>4968</v>
      </c>
      <c r="C3129" s="49">
        <f>HLOOKUP("# Cores",'vHosts (Imported)'!$1:$5000,M3129,FALSE)</f>
        <v>0</v>
      </c>
      <c r="D3129" s="52">
        <f>HLOOKUP("# Memory",'vHosts (Imported)'!$1:$5000,M3129,FALSE)</f>
        <v>0</v>
      </c>
      <c r="M3129" s="45">
        <f t="shared" si="146"/>
        <v>3129</v>
      </c>
      <c r="N3129" s="38">
        <f>HLOOKUP("Host",'vInfo (Imported)'!$1:$5000,M3129,FALSE)</f>
        <v>0</v>
      </c>
      <c r="R3129">
        <f>HLOOKUP("CPUs",'vInfo (Imported)'!$1:$5000,M3129,FALSE)</f>
        <v>0</v>
      </c>
      <c r="S3129">
        <f>HLOOKUP("Memory",'vInfo (Imported)'!$1:$5000,M3129,FALSE)</f>
        <v>0</v>
      </c>
      <c r="T3129">
        <f>HLOOKUP("Provisioned MiB",'vInfo (Imported)'!$1:$5000,M3129,FALSE)</f>
        <v>0</v>
      </c>
      <c r="U3129">
        <f t="shared" si="145"/>
        <v>0</v>
      </c>
      <c r="V3129">
        <f>HLOOKUP("In Use MiB",'vInfo (Imported)'!$1:$5000,M3129,FALSE)</f>
        <v>0</v>
      </c>
    </row>
    <row r="3130" spans="1:22" ht="13" x14ac:dyDescent="0.3">
      <c r="A3130" s="46">
        <f>'vHosts (Imported)'!A3130</f>
        <v>0</v>
      </c>
      <c r="B3130" s="51">
        <f t="shared" si="147"/>
        <v>4968</v>
      </c>
      <c r="C3130" s="49">
        <f>HLOOKUP("# Cores",'vHosts (Imported)'!$1:$5000,M3130,FALSE)</f>
        <v>0</v>
      </c>
      <c r="D3130" s="52">
        <f>HLOOKUP("# Memory",'vHosts (Imported)'!$1:$5000,M3130,FALSE)</f>
        <v>0</v>
      </c>
      <c r="M3130" s="45">
        <f t="shared" si="146"/>
        <v>3130</v>
      </c>
      <c r="N3130" s="38">
        <f>HLOOKUP("Host",'vInfo (Imported)'!$1:$5000,M3130,FALSE)</f>
        <v>0</v>
      </c>
      <c r="R3130">
        <f>HLOOKUP("CPUs",'vInfo (Imported)'!$1:$5000,M3130,FALSE)</f>
        <v>0</v>
      </c>
      <c r="S3130">
        <f>HLOOKUP("Memory",'vInfo (Imported)'!$1:$5000,M3130,FALSE)</f>
        <v>0</v>
      </c>
      <c r="T3130">
        <f>HLOOKUP("Provisioned MiB",'vInfo (Imported)'!$1:$5000,M3130,FALSE)</f>
        <v>0</v>
      </c>
      <c r="U3130">
        <f t="shared" si="145"/>
        <v>0</v>
      </c>
      <c r="V3130">
        <f>HLOOKUP("In Use MiB",'vInfo (Imported)'!$1:$5000,M3130,FALSE)</f>
        <v>0</v>
      </c>
    </row>
    <row r="3131" spans="1:22" ht="13" x14ac:dyDescent="0.3">
      <c r="A3131" s="46">
        <f>'vHosts (Imported)'!A3131</f>
        <v>0</v>
      </c>
      <c r="B3131" s="51">
        <f t="shared" si="147"/>
        <v>4968</v>
      </c>
      <c r="C3131" s="49">
        <f>HLOOKUP("# Cores",'vHosts (Imported)'!$1:$5000,M3131,FALSE)</f>
        <v>0</v>
      </c>
      <c r="D3131" s="52">
        <f>HLOOKUP("# Memory",'vHosts (Imported)'!$1:$5000,M3131,FALSE)</f>
        <v>0</v>
      </c>
      <c r="M3131" s="45">
        <f t="shared" si="146"/>
        <v>3131</v>
      </c>
      <c r="N3131" s="38">
        <f>HLOOKUP("Host",'vInfo (Imported)'!$1:$5000,M3131,FALSE)</f>
        <v>0</v>
      </c>
      <c r="R3131">
        <f>HLOOKUP("CPUs",'vInfo (Imported)'!$1:$5000,M3131,FALSE)</f>
        <v>0</v>
      </c>
      <c r="S3131">
        <f>HLOOKUP("Memory",'vInfo (Imported)'!$1:$5000,M3131,FALSE)</f>
        <v>0</v>
      </c>
      <c r="T3131">
        <f>HLOOKUP("Provisioned MiB",'vInfo (Imported)'!$1:$5000,M3131,FALSE)</f>
        <v>0</v>
      </c>
      <c r="U3131">
        <f t="shared" si="145"/>
        <v>0</v>
      </c>
      <c r="V3131">
        <f>HLOOKUP("In Use MiB",'vInfo (Imported)'!$1:$5000,M3131,FALSE)</f>
        <v>0</v>
      </c>
    </row>
    <row r="3132" spans="1:22" ht="13" x14ac:dyDescent="0.3">
      <c r="A3132" s="46">
        <f>'vHosts (Imported)'!A3132</f>
        <v>0</v>
      </c>
      <c r="B3132" s="51">
        <f t="shared" si="147"/>
        <v>4968</v>
      </c>
      <c r="C3132" s="49">
        <f>HLOOKUP("# Cores",'vHosts (Imported)'!$1:$5000,M3132,FALSE)</f>
        <v>0</v>
      </c>
      <c r="D3132" s="52">
        <f>HLOOKUP("# Memory",'vHosts (Imported)'!$1:$5000,M3132,FALSE)</f>
        <v>0</v>
      </c>
      <c r="M3132" s="45">
        <f t="shared" si="146"/>
        <v>3132</v>
      </c>
      <c r="N3132" s="38">
        <f>HLOOKUP("Host",'vInfo (Imported)'!$1:$5000,M3132,FALSE)</f>
        <v>0</v>
      </c>
      <c r="R3132">
        <f>HLOOKUP("CPUs",'vInfo (Imported)'!$1:$5000,M3132,FALSE)</f>
        <v>0</v>
      </c>
      <c r="S3132">
        <f>HLOOKUP("Memory",'vInfo (Imported)'!$1:$5000,M3132,FALSE)</f>
        <v>0</v>
      </c>
      <c r="T3132">
        <f>HLOOKUP("Provisioned MiB",'vInfo (Imported)'!$1:$5000,M3132,FALSE)</f>
        <v>0</v>
      </c>
      <c r="U3132">
        <f t="shared" si="145"/>
        <v>0</v>
      </c>
      <c r="V3132">
        <f>HLOOKUP("In Use MiB",'vInfo (Imported)'!$1:$5000,M3132,FALSE)</f>
        <v>0</v>
      </c>
    </row>
    <row r="3133" spans="1:22" ht="13" x14ac:dyDescent="0.3">
      <c r="A3133" s="46">
        <f>'vHosts (Imported)'!A3133</f>
        <v>0</v>
      </c>
      <c r="B3133" s="51">
        <f t="shared" si="147"/>
        <v>4968</v>
      </c>
      <c r="C3133" s="49">
        <f>HLOOKUP("# Cores",'vHosts (Imported)'!$1:$5000,M3133,FALSE)</f>
        <v>0</v>
      </c>
      <c r="D3133" s="52">
        <f>HLOOKUP("# Memory",'vHosts (Imported)'!$1:$5000,M3133,FALSE)</f>
        <v>0</v>
      </c>
      <c r="M3133" s="45">
        <f t="shared" si="146"/>
        <v>3133</v>
      </c>
      <c r="N3133" s="38">
        <f>HLOOKUP("Host",'vInfo (Imported)'!$1:$5000,M3133,FALSE)</f>
        <v>0</v>
      </c>
      <c r="R3133">
        <f>HLOOKUP("CPUs",'vInfo (Imported)'!$1:$5000,M3133,FALSE)</f>
        <v>0</v>
      </c>
      <c r="S3133">
        <f>HLOOKUP("Memory",'vInfo (Imported)'!$1:$5000,M3133,FALSE)</f>
        <v>0</v>
      </c>
      <c r="T3133">
        <f>HLOOKUP("Provisioned MiB",'vInfo (Imported)'!$1:$5000,M3133,FALSE)</f>
        <v>0</v>
      </c>
      <c r="U3133">
        <f t="shared" si="145"/>
        <v>0</v>
      </c>
      <c r="V3133">
        <f>HLOOKUP("In Use MiB",'vInfo (Imported)'!$1:$5000,M3133,FALSE)</f>
        <v>0</v>
      </c>
    </row>
    <row r="3134" spans="1:22" ht="13" x14ac:dyDescent="0.3">
      <c r="A3134" s="46">
        <f>'vHosts (Imported)'!A3134</f>
        <v>0</v>
      </c>
      <c r="B3134" s="51">
        <f t="shared" si="147"/>
        <v>4968</v>
      </c>
      <c r="C3134" s="49">
        <f>HLOOKUP("# Cores",'vHosts (Imported)'!$1:$5000,M3134,FALSE)</f>
        <v>0</v>
      </c>
      <c r="D3134" s="52">
        <f>HLOOKUP("# Memory",'vHosts (Imported)'!$1:$5000,M3134,FALSE)</f>
        <v>0</v>
      </c>
      <c r="M3134" s="45">
        <f t="shared" si="146"/>
        <v>3134</v>
      </c>
      <c r="N3134" s="38">
        <f>HLOOKUP("Host",'vInfo (Imported)'!$1:$5000,M3134,FALSE)</f>
        <v>0</v>
      </c>
      <c r="R3134">
        <f>HLOOKUP("CPUs",'vInfo (Imported)'!$1:$5000,M3134,FALSE)</f>
        <v>0</v>
      </c>
      <c r="S3134">
        <f>HLOOKUP("Memory",'vInfo (Imported)'!$1:$5000,M3134,FALSE)</f>
        <v>0</v>
      </c>
      <c r="T3134">
        <f>HLOOKUP("Provisioned MiB",'vInfo (Imported)'!$1:$5000,M3134,FALSE)</f>
        <v>0</v>
      </c>
      <c r="U3134">
        <f t="shared" si="145"/>
        <v>0</v>
      </c>
      <c r="V3134">
        <f>HLOOKUP("In Use MiB",'vInfo (Imported)'!$1:$5000,M3134,FALSE)</f>
        <v>0</v>
      </c>
    </row>
    <row r="3135" spans="1:22" ht="13" x14ac:dyDescent="0.3">
      <c r="A3135" s="46">
        <f>'vHosts (Imported)'!A3135</f>
        <v>0</v>
      </c>
      <c r="B3135" s="51">
        <f t="shared" si="147"/>
        <v>4968</v>
      </c>
      <c r="C3135" s="49">
        <f>HLOOKUP("# Cores",'vHosts (Imported)'!$1:$5000,M3135,FALSE)</f>
        <v>0</v>
      </c>
      <c r="D3135" s="52">
        <f>HLOOKUP("# Memory",'vHosts (Imported)'!$1:$5000,M3135,FALSE)</f>
        <v>0</v>
      </c>
      <c r="M3135" s="45">
        <f t="shared" si="146"/>
        <v>3135</v>
      </c>
      <c r="N3135" s="38">
        <f>HLOOKUP("Host",'vInfo (Imported)'!$1:$5000,M3135,FALSE)</f>
        <v>0</v>
      </c>
      <c r="R3135">
        <f>HLOOKUP("CPUs",'vInfo (Imported)'!$1:$5000,M3135,FALSE)</f>
        <v>0</v>
      </c>
      <c r="S3135">
        <f>HLOOKUP("Memory",'vInfo (Imported)'!$1:$5000,M3135,FALSE)</f>
        <v>0</v>
      </c>
      <c r="T3135">
        <f>HLOOKUP("Provisioned MiB",'vInfo (Imported)'!$1:$5000,M3135,FALSE)</f>
        <v>0</v>
      </c>
      <c r="U3135">
        <f t="shared" si="145"/>
        <v>0</v>
      </c>
      <c r="V3135">
        <f>HLOOKUP("In Use MiB",'vInfo (Imported)'!$1:$5000,M3135,FALSE)</f>
        <v>0</v>
      </c>
    </row>
    <row r="3136" spans="1:22" ht="13" x14ac:dyDescent="0.3">
      <c r="A3136" s="46">
        <f>'vHosts (Imported)'!A3136</f>
        <v>0</v>
      </c>
      <c r="B3136" s="51">
        <f t="shared" si="147"/>
        <v>4968</v>
      </c>
      <c r="C3136" s="49">
        <f>HLOOKUP("# Cores",'vHosts (Imported)'!$1:$5000,M3136,FALSE)</f>
        <v>0</v>
      </c>
      <c r="D3136" s="52">
        <f>HLOOKUP("# Memory",'vHosts (Imported)'!$1:$5000,M3136,FALSE)</f>
        <v>0</v>
      </c>
      <c r="M3136" s="45">
        <f t="shared" si="146"/>
        <v>3136</v>
      </c>
      <c r="N3136" s="38">
        <f>HLOOKUP("Host",'vInfo (Imported)'!$1:$5000,M3136,FALSE)</f>
        <v>0</v>
      </c>
      <c r="R3136">
        <f>HLOOKUP("CPUs",'vInfo (Imported)'!$1:$5000,M3136,FALSE)</f>
        <v>0</v>
      </c>
      <c r="S3136">
        <f>HLOOKUP("Memory",'vInfo (Imported)'!$1:$5000,M3136,FALSE)</f>
        <v>0</v>
      </c>
      <c r="T3136">
        <f>HLOOKUP("Provisioned MiB",'vInfo (Imported)'!$1:$5000,M3136,FALSE)</f>
        <v>0</v>
      </c>
      <c r="U3136">
        <f t="shared" si="145"/>
        <v>0</v>
      </c>
      <c r="V3136">
        <f>HLOOKUP("In Use MiB",'vInfo (Imported)'!$1:$5000,M3136,FALSE)</f>
        <v>0</v>
      </c>
    </row>
    <row r="3137" spans="1:22" ht="13" x14ac:dyDescent="0.3">
      <c r="A3137" s="46">
        <f>'vHosts (Imported)'!A3137</f>
        <v>0</v>
      </c>
      <c r="B3137" s="51">
        <f t="shared" si="147"/>
        <v>4968</v>
      </c>
      <c r="C3137" s="49">
        <f>HLOOKUP("# Cores",'vHosts (Imported)'!$1:$5000,M3137,FALSE)</f>
        <v>0</v>
      </c>
      <c r="D3137" s="52">
        <f>HLOOKUP("# Memory",'vHosts (Imported)'!$1:$5000,M3137,FALSE)</f>
        <v>0</v>
      </c>
      <c r="M3137" s="45">
        <f t="shared" si="146"/>
        <v>3137</v>
      </c>
      <c r="N3137" s="38">
        <f>HLOOKUP("Host",'vInfo (Imported)'!$1:$5000,M3137,FALSE)</f>
        <v>0</v>
      </c>
      <c r="R3137">
        <f>HLOOKUP("CPUs",'vInfo (Imported)'!$1:$5000,M3137,FALSE)</f>
        <v>0</v>
      </c>
      <c r="S3137">
        <f>HLOOKUP("Memory",'vInfo (Imported)'!$1:$5000,M3137,FALSE)</f>
        <v>0</v>
      </c>
      <c r="T3137">
        <f>HLOOKUP("Provisioned MiB",'vInfo (Imported)'!$1:$5000,M3137,FALSE)</f>
        <v>0</v>
      </c>
      <c r="U3137">
        <f t="shared" si="145"/>
        <v>0</v>
      </c>
      <c r="V3137">
        <f>HLOOKUP("In Use MiB",'vInfo (Imported)'!$1:$5000,M3137,FALSE)</f>
        <v>0</v>
      </c>
    </row>
    <row r="3138" spans="1:22" ht="13" x14ac:dyDescent="0.3">
      <c r="A3138" s="46">
        <f>'vHosts (Imported)'!A3138</f>
        <v>0</v>
      </c>
      <c r="B3138" s="51">
        <f t="shared" si="147"/>
        <v>4968</v>
      </c>
      <c r="C3138" s="49">
        <f>HLOOKUP("# Cores",'vHosts (Imported)'!$1:$5000,M3138,FALSE)</f>
        <v>0</v>
      </c>
      <c r="D3138" s="52">
        <f>HLOOKUP("# Memory",'vHosts (Imported)'!$1:$5000,M3138,FALSE)</f>
        <v>0</v>
      </c>
      <c r="M3138" s="45">
        <f t="shared" si="146"/>
        <v>3138</v>
      </c>
      <c r="N3138" s="38">
        <f>HLOOKUP("Host",'vInfo (Imported)'!$1:$5000,M3138,FALSE)</f>
        <v>0</v>
      </c>
      <c r="R3138">
        <f>HLOOKUP("CPUs",'vInfo (Imported)'!$1:$5000,M3138,FALSE)</f>
        <v>0</v>
      </c>
      <c r="S3138">
        <f>HLOOKUP("Memory",'vInfo (Imported)'!$1:$5000,M3138,FALSE)</f>
        <v>0</v>
      </c>
      <c r="T3138">
        <f>HLOOKUP("Provisioned MiB",'vInfo (Imported)'!$1:$5000,M3138,FALSE)</f>
        <v>0</v>
      </c>
      <c r="U3138">
        <f t="shared" si="145"/>
        <v>0</v>
      </c>
      <c r="V3138">
        <f>HLOOKUP("In Use MiB",'vInfo (Imported)'!$1:$5000,M3138,FALSE)</f>
        <v>0</v>
      </c>
    </row>
    <row r="3139" spans="1:22" ht="13" x14ac:dyDescent="0.3">
      <c r="A3139" s="46">
        <f>'vHosts (Imported)'!A3139</f>
        <v>0</v>
      </c>
      <c r="B3139" s="51">
        <f t="shared" si="147"/>
        <v>4968</v>
      </c>
      <c r="C3139" s="49">
        <f>HLOOKUP("# Cores",'vHosts (Imported)'!$1:$5000,M3139,FALSE)</f>
        <v>0</v>
      </c>
      <c r="D3139" s="52">
        <f>HLOOKUP("# Memory",'vHosts (Imported)'!$1:$5000,M3139,FALSE)</f>
        <v>0</v>
      </c>
      <c r="M3139" s="45">
        <f t="shared" si="146"/>
        <v>3139</v>
      </c>
      <c r="N3139" s="38">
        <f>HLOOKUP("Host",'vInfo (Imported)'!$1:$5000,M3139,FALSE)</f>
        <v>0</v>
      </c>
      <c r="R3139">
        <f>HLOOKUP("CPUs",'vInfo (Imported)'!$1:$5000,M3139,FALSE)</f>
        <v>0</v>
      </c>
      <c r="S3139">
        <f>HLOOKUP("Memory",'vInfo (Imported)'!$1:$5000,M3139,FALSE)</f>
        <v>0</v>
      </c>
      <c r="T3139">
        <f>HLOOKUP("Provisioned MiB",'vInfo (Imported)'!$1:$5000,M3139,FALSE)</f>
        <v>0</v>
      </c>
      <c r="U3139">
        <f t="shared" ref="U3139:U3202" si="148">T3139-V3139</f>
        <v>0</v>
      </c>
      <c r="V3139">
        <f>HLOOKUP("In Use MiB",'vInfo (Imported)'!$1:$5000,M3139,FALSE)</f>
        <v>0</v>
      </c>
    </row>
    <row r="3140" spans="1:22" ht="13" x14ac:dyDescent="0.3">
      <c r="A3140" s="46">
        <f>'vHosts (Imported)'!A3140</f>
        <v>0</v>
      </c>
      <c r="B3140" s="51">
        <f t="shared" si="147"/>
        <v>4968</v>
      </c>
      <c r="C3140" s="49">
        <f>HLOOKUP("# Cores",'vHosts (Imported)'!$1:$5000,M3140,FALSE)</f>
        <v>0</v>
      </c>
      <c r="D3140" s="52">
        <f>HLOOKUP("# Memory",'vHosts (Imported)'!$1:$5000,M3140,FALSE)</f>
        <v>0</v>
      </c>
      <c r="M3140" s="45">
        <f t="shared" ref="M3140:M3203" si="149">M3139+1</f>
        <v>3140</v>
      </c>
      <c r="N3140" s="38">
        <f>HLOOKUP("Host",'vInfo (Imported)'!$1:$5000,M3140,FALSE)</f>
        <v>0</v>
      </c>
      <c r="R3140">
        <f>HLOOKUP("CPUs",'vInfo (Imported)'!$1:$5000,M3140,FALSE)</f>
        <v>0</v>
      </c>
      <c r="S3140">
        <f>HLOOKUP("Memory",'vInfo (Imported)'!$1:$5000,M3140,FALSE)</f>
        <v>0</v>
      </c>
      <c r="T3140">
        <f>HLOOKUP("Provisioned MiB",'vInfo (Imported)'!$1:$5000,M3140,FALSE)</f>
        <v>0</v>
      </c>
      <c r="U3140">
        <f t="shared" si="148"/>
        <v>0</v>
      </c>
      <c r="V3140">
        <f>HLOOKUP("In Use MiB",'vInfo (Imported)'!$1:$5000,M3140,FALSE)</f>
        <v>0</v>
      </c>
    </row>
    <row r="3141" spans="1:22" ht="13" x14ac:dyDescent="0.3">
      <c r="A3141" s="46">
        <f>'vHosts (Imported)'!A3141</f>
        <v>0</v>
      </c>
      <c r="B3141" s="51">
        <f t="shared" si="147"/>
        <v>4968</v>
      </c>
      <c r="C3141" s="49">
        <f>HLOOKUP("# Cores",'vHosts (Imported)'!$1:$5000,M3141,FALSE)</f>
        <v>0</v>
      </c>
      <c r="D3141" s="52">
        <f>HLOOKUP("# Memory",'vHosts (Imported)'!$1:$5000,M3141,FALSE)</f>
        <v>0</v>
      </c>
      <c r="M3141" s="45">
        <f t="shared" si="149"/>
        <v>3141</v>
      </c>
      <c r="N3141" s="38">
        <f>HLOOKUP("Host",'vInfo (Imported)'!$1:$5000,M3141,FALSE)</f>
        <v>0</v>
      </c>
      <c r="R3141">
        <f>HLOOKUP("CPUs",'vInfo (Imported)'!$1:$5000,M3141,FALSE)</f>
        <v>0</v>
      </c>
      <c r="S3141">
        <f>HLOOKUP("Memory",'vInfo (Imported)'!$1:$5000,M3141,FALSE)</f>
        <v>0</v>
      </c>
      <c r="T3141">
        <f>HLOOKUP("Provisioned MiB",'vInfo (Imported)'!$1:$5000,M3141,FALSE)</f>
        <v>0</v>
      </c>
      <c r="U3141">
        <f t="shared" si="148"/>
        <v>0</v>
      </c>
      <c r="V3141">
        <f>HLOOKUP("In Use MiB",'vInfo (Imported)'!$1:$5000,M3141,FALSE)</f>
        <v>0</v>
      </c>
    </row>
    <row r="3142" spans="1:22" ht="13" x14ac:dyDescent="0.3">
      <c r="A3142" s="46">
        <f>'vHosts (Imported)'!A3142</f>
        <v>0</v>
      </c>
      <c r="B3142" s="51">
        <f t="shared" si="147"/>
        <v>4968</v>
      </c>
      <c r="C3142" s="49">
        <f>HLOOKUP("# Cores",'vHosts (Imported)'!$1:$5000,M3142,FALSE)</f>
        <v>0</v>
      </c>
      <c r="D3142" s="52">
        <f>HLOOKUP("# Memory",'vHosts (Imported)'!$1:$5000,M3142,FALSE)</f>
        <v>0</v>
      </c>
      <c r="M3142" s="45">
        <f t="shared" si="149"/>
        <v>3142</v>
      </c>
      <c r="N3142" s="38">
        <f>HLOOKUP("Host",'vInfo (Imported)'!$1:$5000,M3142,FALSE)</f>
        <v>0</v>
      </c>
      <c r="R3142">
        <f>HLOOKUP("CPUs",'vInfo (Imported)'!$1:$5000,M3142,FALSE)</f>
        <v>0</v>
      </c>
      <c r="S3142">
        <f>HLOOKUP("Memory",'vInfo (Imported)'!$1:$5000,M3142,FALSE)</f>
        <v>0</v>
      </c>
      <c r="T3142">
        <f>HLOOKUP("Provisioned MiB",'vInfo (Imported)'!$1:$5000,M3142,FALSE)</f>
        <v>0</v>
      </c>
      <c r="U3142">
        <f t="shared" si="148"/>
        <v>0</v>
      </c>
      <c r="V3142">
        <f>HLOOKUP("In Use MiB",'vInfo (Imported)'!$1:$5000,M3142,FALSE)</f>
        <v>0</v>
      </c>
    </row>
    <row r="3143" spans="1:22" ht="13" x14ac:dyDescent="0.3">
      <c r="A3143" s="46">
        <f>'vHosts (Imported)'!A3143</f>
        <v>0</v>
      </c>
      <c r="B3143" s="51">
        <f t="shared" si="147"/>
        <v>4968</v>
      </c>
      <c r="C3143" s="49">
        <f>HLOOKUP("# Cores",'vHosts (Imported)'!$1:$5000,M3143,FALSE)</f>
        <v>0</v>
      </c>
      <c r="D3143" s="52">
        <f>HLOOKUP("# Memory",'vHosts (Imported)'!$1:$5000,M3143,FALSE)</f>
        <v>0</v>
      </c>
      <c r="M3143" s="45">
        <f t="shared" si="149"/>
        <v>3143</v>
      </c>
      <c r="N3143" s="38">
        <f>HLOOKUP("Host",'vInfo (Imported)'!$1:$5000,M3143,FALSE)</f>
        <v>0</v>
      </c>
      <c r="R3143">
        <f>HLOOKUP("CPUs",'vInfo (Imported)'!$1:$5000,M3143,FALSE)</f>
        <v>0</v>
      </c>
      <c r="S3143">
        <f>HLOOKUP("Memory",'vInfo (Imported)'!$1:$5000,M3143,FALSE)</f>
        <v>0</v>
      </c>
      <c r="T3143">
        <f>HLOOKUP("Provisioned MiB",'vInfo (Imported)'!$1:$5000,M3143,FALSE)</f>
        <v>0</v>
      </c>
      <c r="U3143">
        <f t="shared" si="148"/>
        <v>0</v>
      </c>
      <c r="V3143">
        <f>HLOOKUP("In Use MiB",'vInfo (Imported)'!$1:$5000,M3143,FALSE)</f>
        <v>0</v>
      </c>
    </row>
    <row r="3144" spans="1:22" ht="13" x14ac:dyDescent="0.3">
      <c r="A3144" s="46">
        <f>'vHosts (Imported)'!A3144</f>
        <v>0</v>
      </c>
      <c r="B3144" s="51">
        <f t="shared" si="147"/>
        <v>4968</v>
      </c>
      <c r="C3144" s="49">
        <f>HLOOKUP("# Cores",'vHosts (Imported)'!$1:$5000,M3144,FALSE)</f>
        <v>0</v>
      </c>
      <c r="D3144" s="52">
        <f>HLOOKUP("# Memory",'vHosts (Imported)'!$1:$5000,M3144,FALSE)</f>
        <v>0</v>
      </c>
      <c r="M3144" s="45">
        <f t="shared" si="149"/>
        <v>3144</v>
      </c>
      <c r="N3144" s="38">
        <f>HLOOKUP("Host",'vInfo (Imported)'!$1:$5000,M3144,FALSE)</f>
        <v>0</v>
      </c>
      <c r="R3144">
        <f>HLOOKUP("CPUs",'vInfo (Imported)'!$1:$5000,M3144,FALSE)</f>
        <v>0</v>
      </c>
      <c r="S3144">
        <f>HLOOKUP("Memory",'vInfo (Imported)'!$1:$5000,M3144,FALSE)</f>
        <v>0</v>
      </c>
      <c r="T3144">
        <f>HLOOKUP("Provisioned MiB",'vInfo (Imported)'!$1:$5000,M3144,FALSE)</f>
        <v>0</v>
      </c>
      <c r="U3144">
        <f t="shared" si="148"/>
        <v>0</v>
      </c>
      <c r="V3144">
        <f>HLOOKUP("In Use MiB",'vInfo (Imported)'!$1:$5000,M3144,FALSE)</f>
        <v>0</v>
      </c>
    </row>
    <row r="3145" spans="1:22" ht="13" x14ac:dyDescent="0.3">
      <c r="A3145" s="46">
        <f>'vHosts (Imported)'!A3145</f>
        <v>0</v>
      </c>
      <c r="B3145" s="51">
        <f t="shared" si="147"/>
        <v>4968</v>
      </c>
      <c r="C3145" s="49">
        <f>HLOOKUP("# Cores",'vHosts (Imported)'!$1:$5000,M3145,FALSE)</f>
        <v>0</v>
      </c>
      <c r="D3145" s="52">
        <f>HLOOKUP("# Memory",'vHosts (Imported)'!$1:$5000,M3145,FALSE)</f>
        <v>0</v>
      </c>
      <c r="M3145" s="45">
        <f t="shared" si="149"/>
        <v>3145</v>
      </c>
      <c r="N3145" s="38">
        <f>HLOOKUP("Host",'vInfo (Imported)'!$1:$5000,M3145,FALSE)</f>
        <v>0</v>
      </c>
      <c r="R3145">
        <f>HLOOKUP("CPUs",'vInfo (Imported)'!$1:$5000,M3145,FALSE)</f>
        <v>0</v>
      </c>
      <c r="S3145">
        <f>HLOOKUP("Memory",'vInfo (Imported)'!$1:$5000,M3145,FALSE)</f>
        <v>0</v>
      </c>
      <c r="T3145">
        <f>HLOOKUP("Provisioned MiB",'vInfo (Imported)'!$1:$5000,M3145,FALSE)</f>
        <v>0</v>
      </c>
      <c r="U3145">
        <f t="shared" si="148"/>
        <v>0</v>
      </c>
      <c r="V3145">
        <f>HLOOKUP("In Use MiB",'vInfo (Imported)'!$1:$5000,M3145,FALSE)</f>
        <v>0</v>
      </c>
    </row>
    <row r="3146" spans="1:22" ht="13" x14ac:dyDescent="0.3">
      <c r="A3146" s="46">
        <f>'vHosts (Imported)'!A3146</f>
        <v>0</v>
      </c>
      <c r="B3146" s="51">
        <f t="shared" si="147"/>
        <v>4968</v>
      </c>
      <c r="C3146" s="49">
        <f>HLOOKUP("# Cores",'vHosts (Imported)'!$1:$5000,M3146,FALSE)</f>
        <v>0</v>
      </c>
      <c r="D3146" s="52">
        <f>HLOOKUP("# Memory",'vHosts (Imported)'!$1:$5000,M3146,FALSE)</f>
        <v>0</v>
      </c>
      <c r="M3146" s="45">
        <f t="shared" si="149"/>
        <v>3146</v>
      </c>
      <c r="N3146" s="38">
        <f>HLOOKUP("Host",'vInfo (Imported)'!$1:$5000,M3146,FALSE)</f>
        <v>0</v>
      </c>
      <c r="R3146">
        <f>HLOOKUP("CPUs",'vInfo (Imported)'!$1:$5000,M3146,FALSE)</f>
        <v>0</v>
      </c>
      <c r="S3146">
        <f>HLOOKUP("Memory",'vInfo (Imported)'!$1:$5000,M3146,FALSE)</f>
        <v>0</v>
      </c>
      <c r="T3146">
        <f>HLOOKUP("Provisioned MiB",'vInfo (Imported)'!$1:$5000,M3146,FALSE)</f>
        <v>0</v>
      </c>
      <c r="U3146">
        <f t="shared" si="148"/>
        <v>0</v>
      </c>
      <c r="V3146">
        <f>HLOOKUP("In Use MiB",'vInfo (Imported)'!$1:$5000,M3146,FALSE)</f>
        <v>0</v>
      </c>
    </row>
    <row r="3147" spans="1:22" ht="13" x14ac:dyDescent="0.3">
      <c r="A3147" s="46">
        <f>'vHosts (Imported)'!A3147</f>
        <v>0</v>
      </c>
      <c r="B3147" s="51">
        <f t="shared" si="147"/>
        <v>4968</v>
      </c>
      <c r="C3147" s="49">
        <f>HLOOKUP("# Cores",'vHosts (Imported)'!$1:$5000,M3147,FALSE)</f>
        <v>0</v>
      </c>
      <c r="D3147" s="52">
        <f>HLOOKUP("# Memory",'vHosts (Imported)'!$1:$5000,M3147,FALSE)</f>
        <v>0</v>
      </c>
      <c r="M3147" s="45">
        <f t="shared" si="149"/>
        <v>3147</v>
      </c>
      <c r="N3147" s="38">
        <f>HLOOKUP("Host",'vInfo (Imported)'!$1:$5000,M3147,FALSE)</f>
        <v>0</v>
      </c>
      <c r="R3147">
        <f>HLOOKUP("CPUs",'vInfo (Imported)'!$1:$5000,M3147,FALSE)</f>
        <v>0</v>
      </c>
      <c r="S3147">
        <f>HLOOKUP("Memory",'vInfo (Imported)'!$1:$5000,M3147,FALSE)</f>
        <v>0</v>
      </c>
      <c r="T3147">
        <f>HLOOKUP("Provisioned MiB",'vInfo (Imported)'!$1:$5000,M3147,FALSE)</f>
        <v>0</v>
      </c>
      <c r="U3147">
        <f t="shared" si="148"/>
        <v>0</v>
      </c>
      <c r="V3147">
        <f>HLOOKUP("In Use MiB",'vInfo (Imported)'!$1:$5000,M3147,FALSE)</f>
        <v>0</v>
      </c>
    </row>
    <row r="3148" spans="1:22" ht="13" x14ac:dyDescent="0.3">
      <c r="A3148" s="46">
        <f>'vHosts (Imported)'!A3148</f>
        <v>0</v>
      </c>
      <c r="B3148" s="51">
        <f t="shared" si="147"/>
        <v>4968</v>
      </c>
      <c r="C3148" s="49">
        <f>HLOOKUP("# Cores",'vHosts (Imported)'!$1:$5000,M3148,FALSE)</f>
        <v>0</v>
      </c>
      <c r="D3148" s="52">
        <f>HLOOKUP("# Memory",'vHosts (Imported)'!$1:$5000,M3148,FALSE)</f>
        <v>0</v>
      </c>
      <c r="M3148" s="45">
        <f t="shared" si="149"/>
        <v>3148</v>
      </c>
      <c r="N3148" s="38">
        <f>HLOOKUP("Host",'vInfo (Imported)'!$1:$5000,M3148,FALSE)</f>
        <v>0</v>
      </c>
      <c r="R3148">
        <f>HLOOKUP("CPUs",'vInfo (Imported)'!$1:$5000,M3148,FALSE)</f>
        <v>0</v>
      </c>
      <c r="S3148">
        <f>HLOOKUP("Memory",'vInfo (Imported)'!$1:$5000,M3148,FALSE)</f>
        <v>0</v>
      </c>
      <c r="T3148">
        <f>HLOOKUP("Provisioned MiB",'vInfo (Imported)'!$1:$5000,M3148,FALSE)</f>
        <v>0</v>
      </c>
      <c r="U3148">
        <f t="shared" si="148"/>
        <v>0</v>
      </c>
      <c r="V3148">
        <f>HLOOKUP("In Use MiB",'vInfo (Imported)'!$1:$5000,M3148,FALSE)</f>
        <v>0</v>
      </c>
    </row>
    <row r="3149" spans="1:22" ht="13" x14ac:dyDescent="0.3">
      <c r="A3149" s="46">
        <f>'vHosts (Imported)'!A3149</f>
        <v>0</v>
      </c>
      <c r="B3149" s="51">
        <f t="shared" si="147"/>
        <v>4968</v>
      </c>
      <c r="C3149" s="49">
        <f>HLOOKUP("# Cores",'vHosts (Imported)'!$1:$5000,M3149,FALSE)</f>
        <v>0</v>
      </c>
      <c r="D3149" s="52">
        <f>HLOOKUP("# Memory",'vHosts (Imported)'!$1:$5000,M3149,FALSE)</f>
        <v>0</v>
      </c>
      <c r="M3149" s="45">
        <f t="shared" si="149"/>
        <v>3149</v>
      </c>
      <c r="N3149" s="38">
        <f>HLOOKUP("Host",'vInfo (Imported)'!$1:$5000,M3149,FALSE)</f>
        <v>0</v>
      </c>
      <c r="R3149">
        <f>HLOOKUP("CPUs",'vInfo (Imported)'!$1:$5000,M3149,FALSE)</f>
        <v>0</v>
      </c>
      <c r="S3149">
        <f>HLOOKUP("Memory",'vInfo (Imported)'!$1:$5000,M3149,FALSE)</f>
        <v>0</v>
      </c>
      <c r="T3149">
        <f>HLOOKUP("Provisioned MiB",'vInfo (Imported)'!$1:$5000,M3149,FALSE)</f>
        <v>0</v>
      </c>
      <c r="U3149">
        <f t="shared" si="148"/>
        <v>0</v>
      </c>
      <c r="V3149">
        <f>HLOOKUP("In Use MiB",'vInfo (Imported)'!$1:$5000,M3149,FALSE)</f>
        <v>0</v>
      </c>
    </row>
    <row r="3150" spans="1:22" ht="13" x14ac:dyDescent="0.3">
      <c r="A3150" s="46">
        <f>'vHosts (Imported)'!A3150</f>
        <v>0</v>
      </c>
      <c r="B3150" s="51">
        <f t="shared" si="147"/>
        <v>4968</v>
      </c>
      <c r="C3150" s="49">
        <f>HLOOKUP("# Cores",'vHosts (Imported)'!$1:$5000,M3150,FALSE)</f>
        <v>0</v>
      </c>
      <c r="D3150" s="52">
        <f>HLOOKUP("# Memory",'vHosts (Imported)'!$1:$5000,M3150,FALSE)</f>
        <v>0</v>
      </c>
      <c r="M3150" s="45">
        <f t="shared" si="149"/>
        <v>3150</v>
      </c>
      <c r="N3150" s="38">
        <f>HLOOKUP("Host",'vInfo (Imported)'!$1:$5000,M3150,FALSE)</f>
        <v>0</v>
      </c>
      <c r="R3150">
        <f>HLOOKUP("CPUs",'vInfo (Imported)'!$1:$5000,M3150,FALSE)</f>
        <v>0</v>
      </c>
      <c r="S3150">
        <f>HLOOKUP("Memory",'vInfo (Imported)'!$1:$5000,M3150,FALSE)</f>
        <v>0</v>
      </c>
      <c r="T3150">
        <f>HLOOKUP("Provisioned MiB",'vInfo (Imported)'!$1:$5000,M3150,FALSE)</f>
        <v>0</v>
      </c>
      <c r="U3150">
        <f t="shared" si="148"/>
        <v>0</v>
      </c>
      <c r="V3150">
        <f>HLOOKUP("In Use MiB",'vInfo (Imported)'!$1:$5000,M3150,FALSE)</f>
        <v>0</v>
      </c>
    </row>
    <row r="3151" spans="1:22" ht="13" x14ac:dyDescent="0.3">
      <c r="A3151" s="46">
        <f>'vHosts (Imported)'!A3151</f>
        <v>0</v>
      </c>
      <c r="B3151" s="51">
        <f t="shared" si="147"/>
        <v>4968</v>
      </c>
      <c r="C3151" s="49">
        <f>HLOOKUP("# Cores",'vHosts (Imported)'!$1:$5000,M3151,FALSE)</f>
        <v>0</v>
      </c>
      <c r="D3151" s="52">
        <f>HLOOKUP("# Memory",'vHosts (Imported)'!$1:$5000,M3151,FALSE)</f>
        <v>0</v>
      </c>
      <c r="M3151" s="45">
        <f t="shared" si="149"/>
        <v>3151</v>
      </c>
      <c r="N3151" s="38">
        <f>HLOOKUP("Host",'vInfo (Imported)'!$1:$5000,M3151,FALSE)</f>
        <v>0</v>
      </c>
      <c r="R3151">
        <f>HLOOKUP("CPUs",'vInfo (Imported)'!$1:$5000,M3151,FALSE)</f>
        <v>0</v>
      </c>
      <c r="S3151">
        <f>HLOOKUP("Memory",'vInfo (Imported)'!$1:$5000,M3151,FALSE)</f>
        <v>0</v>
      </c>
      <c r="T3151">
        <f>HLOOKUP("Provisioned MiB",'vInfo (Imported)'!$1:$5000,M3151,FALSE)</f>
        <v>0</v>
      </c>
      <c r="U3151">
        <f t="shared" si="148"/>
        <v>0</v>
      </c>
      <c r="V3151">
        <f>HLOOKUP("In Use MiB",'vInfo (Imported)'!$1:$5000,M3151,FALSE)</f>
        <v>0</v>
      </c>
    </row>
    <row r="3152" spans="1:22" ht="13" x14ac:dyDescent="0.3">
      <c r="A3152" s="46">
        <f>'vHosts (Imported)'!A3152</f>
        <v>0</v>
      </c>
      <c r="B3152" s="51">
        <f t="shared" si="147"/>
        <v>4968</v>
      </c>
      <c r="C3152" s="49">
        <f>HLOOKUP("# Cores",'vHosts (Imported)'!$1:$5000,M3152,FALSE)</f>
        <v>0</v>
      </c>
      <c r="D3152" s="52">
        <f>HLOOKUP("# Memory",'vHosts (Imported)'!$1:$5000,M3152,FALSE)</f>
        <v>0</v>
      </c>
      <c r="M3152" s="45">
        <f t="shared" si="149"/>
        <v>3152</v>
      </c>
      <c r="N3152" s="38">
        <f>HLOOKUP("Host",'vInfo (Imported)'!$1:$5000,M3152,FALSE)</f>
        <v>0</v>
      </c>
      <c r="R3152">
        <f>HLOOKUP("CPUs",'vInfo (Imported)'!$1:$5000,M3152,FALSE)</f>
        <v>0</v>
      </c>
      <c r="S3152">
        <f>HLOOKUP("Memory",'vInfo (Imported)'!$1:$5000,M3152,FALSE)</f>
        <v>0</v>
      </c>
      <c r="T3152">
        <f>HLOOKUP("Provisioned MiB",'vInfo (Imported)'!$1:$5000,M3152,FALSE)</f>
        <v>0</v>
      </c>
      <c r="U3152">
        <f t="shared" si="148"/>
        <v>0</v>
      </c>
      <c r="V3152">
        <f>HLOOKUP("In Use MiB",'vInfo (Imported)'!$1:$5000,M3152,FALSE)</f>
        <v>0</v>
      </c>
    </row>
    <row r="3153" spans="1:22" ht="13" x14ac:dyDescent="0.3">
      <c r="A3153" s="46">
        <f>'vHosts (Imported)'!A3153</f>
        <v>0</v>
      </c>
      <c r="B3153" s="51">
        <f t="shared" si="147"/>
        <v>4968</v>
      </c>
      <c r="C3153" s="49">
        <f>HLOOKUP("# Cores",'vHosts (Imported)'!$1:$5000,M3153,FALSE)</f>
        <v>0</v>
      </c>
      <c r="D3153" s="52">
        <f>HLOOKUP("# Memory",'vHosts (Imported)'!$1:$5000,M3153,FALSE)</f>
        <v>0</v>
      </c>
      <c r="M3153" s="45">
        <f t="shared" si="149"/>
        <v>3153</v>
      </c>
      <c r="N3153" s="38">
        <f>HLOOKUP("Host",'vInfo (Imported)'!$1:$5000,M3153,FALSE)</f>
        <v>0</v>
      </c>
      <c r="R3153">
        <f>HLOOKUP("CPUs",'vInfo (Imported)'!$1:$5000,M3153,FALSE)</f>
        <v>0</v>
      </c>
      <c r="S3153">
        <f>HLOOKUP("Memory",'vInfo (Imported)'!$1:$5000,M3153,FALSE)</f>
        <v>0</v>
      </c>
      <c r="T3153">
        <f>HLOOKUP("Provisioned MiB",'vInfo (Imported)'!$1:$5000,M3153,FALSE)</f>
        <v>0</v>
      </c>
      <c r="U3153">
        <f t="shared" si="148"/>
        <v>0</v>
      </c>
      <c r="V3153">
        <f>HLOOKUP("In Use MiB",'vInfo (Imported)'!$1:$5000,M3153,FALSE)</f>
        <v>0</v>
      </c>
    </row>
    <row r="3154" spans="1:22" ht="13" x14ac:dyDescent="0.3">
      <c r="A3154" s="46">
        <f>'vHosts (Imported)'!A3154</f>
        <v>0</v>
      </c>
      <c r="B3154" s="51">
        <f t="shared" si="147"/>
        <v>4968</v>
      </c>
      <c r="C3154" s="49">
        <f>HLOOKUP("# Cores",'vHosts (Imported)'!$1:$5000,M3154,FALSE)</f>
        <v>0</v>
      </c>
      <c r="D3154" s="52">
        <f>HLOOKUP("# Memory",'vHosts (Imported)'!$1:$5000,M3154,FALSE)</f>
        <v>0</v>
      </c>
      <c r="M3154" s="45">
        <f t="shared" si="149"/>
        <v>3154</v>
      </c>
      <c r="N3154" s="38">
        <f>HLOOKUP("Host",'vInfo (Imported)'!$1:$5000,M3154,FALSE)</f>
        <v>0</v>
      </c>
      <c r="R3154">
        <f>HLOOKUP("CPUs",'vInfo (Imported)'!$1:$5000,M3154,FALSE)</f>
        <v>0</v>
      </c>
      <c r="S3154">
        <f>HLOOKUP("Memory",'vInfo (Imported)'!$1:$5000,M3154,FALSE)</f>
        <v>0</v>
      </c>
      <c r="T3154">
        <f>HLOOKUP("Provisioned MiB",'vInfo (Imported)'!$1:$5000,M3154,FALSE)</f>
        <v>0</v>
      </c>
      <c r="U3154">
        <f t="shared" si="148"/>
        <v>0</v>
      </c>
      <c r="V3154">
        <f>HLOOKUP("In Use MiB",'vInfo (Imported)'!$1:$5000,M3154,FALSE)</f>
        <v>0</v>
      </c>
    </row>
    <row r="3155" spans="1:22" ht="13" x14ac:dyDescent="0.3">
      <c r="A3155" s="46">
        <f>'vHosts (Imported)'!A3155</f>
        <v>0</v>
      </c>
      <c r="B3155" s="51">
        <f t="shared" si="147"/>
        <v>4968</v>
      </c>
      <c r="C3155" s="49">
        <f>HLOOKUP("# Cores",'vHosts (Imported)'!$1:$5000,M3155,FALSE)</f>
        <v>0</v>
      </c>
      <c r="D3155" s="52">
        <f>HLOOKUP("# Memory",'vHosts (Imported)'!$1:$5000,M3155,FALSE)</f>
        <v>0</v>
      </c>
      <c r="M3155" s="45">
        <f t="shared" si="149"/>
        <v>3155</v>
      </c>
      <c r="N3155" s="38">
        <f>HLOOKUP("Host",'vInfo (Imported)'!$1:$5000,M3155,FALSE)</f>
        <v>0</v>
      </c>
      <c r="R3155">
        <f>HLOOKUP("CPUs",'vInfo (Imported)'!$1:$5000,M3155,FALSE)</f>
        <v>0</v>
      </c>
      <c r="S3155">
        <f>HLOOKUP("Memory",'vInfo (Imported)'!$1:$5000,M3155,FALSE)</f>
        <v>0</v>
      </c>
      <c r="T3155">
        <f>HLOOKUP("Provisioned MiB",'vInfo (Imported)'!$1:$5000,M3155,FALSE)</f>
        <v>0</v>
      </c>
      <c r="U3155">
        <f t="shared" si="148"/>
        <v>0</v>
      </c>
      <c r="V3155">
        <f>HLOOKUP("In Use MiB",'vInfo (Imported)'!$1:$5000,M3155,FALSE)</f>
        <v>0</v>
      </c>
    </row>
    <row r="3156" spans="1:22" ht="13" x14ac:dyDescent="0.3">
      <c r="A3156" s="46">
        <f>'vHosts (Imported)'!A3156</f>
        <v>0</v>
      </c>
      <c r="B3156" s="51">
        <f t="shared" si="147"/>
        <v>4968</v>
      </c>
      <c r="C3156" s="49">
        <f>HLOOKUP("# Cores",'vHosts (Imported)'!$1:$5000,M3156,FALSE)</f>
        <v>0</v>
      </c>
      <c r="D3156" s="52">
        <f>HLOOKUP("# Memory",'vHosts (Imported)'!$1:$5000,M3156,FALSE)</f>
        <v>0</v>
      </c>
      <c r="M3156" s="45">
        <f t="shared" si="149"/>
        <v>3156</v>
      </c>
      <c r="N3156" s="38">
        <f>HLOOKUP("Host",'vInfo (Imported)'!$1:$5000,M3156,FALSE)</f>
        <v>0</v>
      </c>
      <c r="R3156">
        <f>HLOOKUP("CPUs",'vInfo (Imported)'!$1:$5000,M3156,FALSE)</f>
        <v>0</v>
      </c>
      <c r="S3156">
        <f>HLOOKUP("Memory",'vInfo (Imported)'!$1:$5000,M3156,FALSE)</f>
        <v>0</v>
      </c>
      <c r="T3156">
        <f>HLOOKUP("Provisioned MiB",'vInfo (Imported)'!$1:$5000,M3156,FALSE)</f>
        <v>0</v>
      </c>
      <c r="U3156">
        <f t="shared" si="148"/>
        <v>0</v>
      </c>
      <c r="V3156">
        <f>HLOOKUP("In Use MiB",'vInfo (Imported)'!$1:$5000,M3156,FALSE)</f>
        <v>0</v>
      </c>
    </row>
    <row r="3157" spans="1:22" ht="13" x14ac:dyDescent="0.3">
      <c r="A3157" s="46">
        <f>'vHosts (Imported)'!A3157</f>
        <v>0</v>
      </c>
      <c r="B3157" s="51">
        <f t="shared" si="147"/>
        <v>4968</v>
      </c>
      <c r="C3157" s="49">
        <f>HLOOKUP("# Cores",'vHosts (Imported)'!$1:$5000,M3157,FALSE)</f>
        <v>0</v>
      </c>
      <c r="D3157" s="52">
        <f>HLOOKUP("# Memory",'vHosts (Imported)'!$1:$5000,M3157,FALSE)</f>
        <v>0</v>
      </c>
      <c r="M3157" s="45">
        <f t="shared" si="149"/>
        <v>3157</v>
      </c>
      <c r="N3157" s="38">
        <f>HLOOKUP("Host",'vInfo (Imported)'!$1:$5000,M3157,FALSE)</f>
        <v>0</v>
      </c>
      <c r="R3157">
        <f>HLOOKUP("CPUs",'vInfo (Imported)'!$1:$5000,M3157,FALSE)</f>
        <v>0</v>
      </c>
      <c r="S3157">
        <f>HLOOKUP("Memory",'vInfo (Imported)'!$1:$5000,M3157,FALSE)</f>
        <v>0</v>
      </c>
      <c r="T3157">
        <f>HLOOKUP("Provisioned MiB",'vInfo (Imported)'!$1:$5000,M3157,FALSE)</f>
        <v>0</v>
      </c>
      <c r="U3157">
        <f t="shared" si="148"/>
        <v>0</v>
      </c>
      <c r="V3157">
        <f>HLOOKUP("In Use MiB",'vInfo (Imported)'!$1:$5000,M3157,FALSE)</f>
        <v>0</v>
      </c>
    </row>
    <row r="3158" spans="1:22" ht="13" x14ac:dyDescent="0.3">
      <c r="A3158" s="46">
        <f>'vHosts (Imported)'!A3158</f>
        <v>0</v>
      </c>
      <c r="B3158" s="51">
        <f t="shared" si="147"/>
        <v>4968</v>
      </c>
      <c r="C3158" s="49">
        <f>HLOOKUP("# Cores",'vHosts (Imported)'!$1:$5000,M3158,FALSE)</f>
        <v>0</v>
      </c>
      <c r="D3158" s="52">
        <f>HLOOKUP("# Memory",'vHosts (Imported)'!$1:$5000,M3158,FALSE)</f>
        <v>0</v>
      </c>
      <c r="M3158" s="45">
        <f t="shared" si="149"/>
        <v>3158</v>
      </c>
      <c r="N3158" s="38">
        <f>HLOOKUP("Host",'vInfo (Imported)'!$1:$5000,M3158,FALSE)</f>
        <v>0</v>
      </c>
      <c r="R3158">
        <f>HLOOKUP("CPUs",'vInfo (Imported)'!$1:$5000,M3158,FALSE)</f>
        <v>0</v>
      </c>
      <c r="S3158">
        <f>HLOOKUP("Memory",'vInfo (Imported)'!$1:$5000,M3158,FALSE)</f>
        <v>0</v>
      </c>
      <c r="T3158">
        <f>HLOOKUP("Provisioned MiB",'vInfo (Imported)'!$1:$5000,M3158,FALSE)</f>
        <v>0</v>
      </c>
      <c r="U3158">
        <f t="shared" si="148"/>
        <v>0</v>
      </c>
      <c r="V3158">
        <f>HLOOKUP("In Use MiB",'vInfo (Imported)'!$1:$5000,M3158,FALSE)</f>
        <v>0</v>
      </c>
    </row>
    <row r="3159" spans="1:22" ht="13" x14ac:dyDescent="0.3">
      <c r="A3159" s="46">
        <f>'vHosts (Imported)'!A3159</f>
        <v>0</v>
      </c>
      <c r="B3159" s="51">
        <f t="shared" si="147"/>
        <v>4968</v>
      </c>
      <c r="C3159" s="49">
        <f>HLOOKUP("# Cores",'vHosts (Imported)'!$1:$5000,M3159,FALSE)</f>
        <v>0</v>
      </c>
      <c r="D3159" s="52">
        <f>HLOOKUP("# Memory",'vHosts (Imported)'!$1:$5000,M3159,FALSE)</f>
        <v>0</v>
      </c>
      <c r="M3159" s="45">
        <f t="shared" si="149"/>
        <v>3159</v>
      </c>
      <c r="N3159" s="38">
        <f>HLOOKUP("Host",'vInfo (Imported)'!$1:$5000,M3159,FALSE)</f>
        <v>0</v>
      </c>
      <c r="R3159">
        <f>HLOOKUP("CPUs",'vInfo (Imported)'!$1:$5000,M3159,FALSE)</f>
        <v>0</v>
      </c>
      <c r="S3159">
        <f>HLOOKUP("Memory",'vInfo (Imported)'!$1:$5000,M3159,FALSE)</f>
        <v>0</v>
      </c>
      <c r="T3159">
        <f>HLOOKUP("Provisioned MiB",'vInfo (Imported)'!$1:$5000,M3159,FALSE)</f>
        <v>0</v>
      </c>
      <c r="U3159">
        <f t="shared" si="148"/>
        <v>0</v>
      </c>
      <c r="V3159">
        <f>HLOOKUP("In Use MiB",'vInfo (Imported)'!$1:$5000,M3159,FALSE)</f>
        <v>0</v>
      </c>
    </row>
    <row r="3160" spans="1:22" ht="13" x14ac:dyDescent="0.3">
      <c r="A3160" s="46">
        <f>'vHosts (Imported)'!A3160</f>
        <v>0</v>
      </c>
      <c r="B3160" s="51">
        <f t="shared" si="147"/>
        <v>4968</v>
      </c>
      <c r="C3160" s="49">
        <f>HLOOKUP("# Cores",'vHosts (Imported)'!$1:$5000,M3160,FALSE)</f>
        <v>0</v>
      </c>
      <c r="D3160" s="52">
        <f>HLOOKUP("# Memory",'vHosts (Imported)'!$1:$5000,M3160,FALSE)</f>
        <v>0</v>
      </c>
      <c r="M3160" s="45">
        <f t="shared" si="149"/>
        <v>3160</v>
      </c>
      <c r="N3160" s="38">
        <f>HLOOKUP("Host",'vInfo (Imported)'!$1:$5000,M3160,FALSE)</f>
        <v>0</v>
      </c>
      <c r="R3160">
        <f>HLOOKUP("CPUs",'vInfo (Imported)'!$1:$5000,M3160,FALSE)</f>
        <v>0</v>
      </c>
      <c r="S3160">
        <f>HLOOKUP("Memory",'vInfo (Imported)'!$1:$5000,M3160,FALSE)</f>
        <v>0</v>
      </c>
      <c r="T3160">
        <f>HLOOKUP("Provisioned MiB",'vInfo (Imported)'!$1:$5000,M3160,FALSE)</f>
        <v>0</v>
      </c>
      <c r="U3160">
        <f t="shared" si="148"/>
        <v>0</v>
      </c>
      <c r="V3160">
        <f>HLOOKUP("In Use MiB",'vInfo (Imported)'!$1:$5000,M3160,FALSE)</f>
        <v>0</v>
      </c>
    </row>
    <row r="3161" spans="1:22" ht="13" x14ac:dyDescent="0.3">
      <c r="A3161" s="46">
        <f>'vHosts (Imported)'!A3161</f>
        <v>0</v>
      </c>
      <c r="B3161" s="51">
        <f t="shared" si="147"/>
        <v>4968</v>
      </c>
      <c r="C3161" s="49">
        <f>HLOOKUP("# Cores",'vHosts (Imported)'!$1:$5000,M3161,FALSE)</f>
        <v>0</v>
      </c>
      <c r="D3161" s="52">
        <f>HLOOKUP("# Memory",'vHosts (Imported)'!$1:$5000,M3161,FALSE)</f>
        <v>0</v>
      </c>
      <c r="M3161" s="45">
        <f t="shared" si="149"/>
        <v>3161</v>
      </c>
      <c r="N3161" s="38">
        <f>HLOOKUP("Host",'vInfo (Imported)'!$1:$5000,M3161,FALSE)</f>
        <v>0</v>
      </c>
      <c r="R3161">
        <f>HLOOKUP("CPUs",'vInfo (Imported)'!$1:$5000,M3161,FALSE)</f>
        <v>0</v>
      </c>
      <c r="S3161">
        <f>HLOOKUP("Memory",'vInfo (Imported)'!$1:$5000,M3161,FALSE)</f>
        <v>0</v>
      </c>
      <c r="T3161">
        <f>HLOOKUP("Provisioned MiB",'vInfo (Imported)'!$1:$5000,M3161,FALSE)</f>
        <v>0</v>
      </c>
      <c r="U3161">
        <f t="shared" si="148"/>
        <v>0</v>
      </c>
      <c r="V3161">
        <f>HLOOKUP("In Use MiB",'vInfo (Imported)'!$1:$5000,M3161,FALSE)</f>
        <v>0</v>
      </c>
    </row>
    <row r="3162" spans="1:22" ht="13" x14ac:dyDescent="0.3">
      <c r="A3162" s="46">
        <f>'vHosts (Imported)'!A3162</f>
        <v>0</v>
      </c>
      <c r="B3162" s="51">
        <f t="shared" si="147"/>
        <v>4968</v>
      </c>
      <c r="C3162" s="49">
        <f>HLOOKUP("# Cores",'vHosts (Imported)'!$1:$5000,M3162,FALSE)</f>
        <v>0</v>
      </c>
      <c r="D3162" s="52">
        <f>HLOOKUP("# Memory",'vHosts (Imported)'!$1:$5000,M3162,FALSE)</f>
        <v>0</v>
      </c>
      <c r="M3162" s="45">
        <f t="shared" si="149"/>
        <v>3162</v>
      </c>
      <c r="N3162" s="38">
        <f>HLOOKUP("Host",'vInfo (Imported)'!$1:$5000,M3162,FALSE)</f>
        <v>0</v>
      </c>
      <c r="R3162">
        <f>HLOOKUP("CPUs",'vInfo (Imported)'!$1:$5000,M3162,FALSE)</f>
        <v>0</v>
      </c>
      <c r="S3162">
        <f>HLOOKUP("Memory",'vInfo (Imported)'!$1:$5000,M3162,FALSE)</f>
        <v>0</v>
      </c>
      <c r="T3162">
        <f>HLOOKUP("Provisioned MiB",'vInfo (Imported)'!$1:$5000,M3162,FALSE)</f>
        <v>0</v>
      </c>
      <c r="U3162">
        <f t="shared" si="148"/>
        <v>0</v>
      </c>
      <c r="V3162">
        <f>HLOOKUP("In Use MiB",'vInfo (Imported)'!$1:$5000,M3162,FALSE)</f>
        <v>0</v>
      </c>
    </row>
    <row r="3163" spans="1:22" ht="13" x14ac:dyDescent="0.3">
      <c r="A3163" s="46">
        <f>'vHosts (Imported)'!A3163</f>
        <v>0</v>
      </c>
      <c r="B3163" s="51">
        <f t="shared" si="147"/>
        <v>4968</v>
      </c>
      <c r="C3163" s="49">
        <f>HLOOKUP("# Cores",'vHosts (Imported)'!$1:$5000,M3163,FALSE)</f>
        <v>0</v>
      </c>
      <c r="D3163" s="52">
        <f>HLOOKUP("# Memory",'vHosts (Imported)'!$1:$5000,M3163,FALSE)</f>
        <v>0</v>
      </c>
      <c r="M3163" s="45">
        <f t="shared" si="149"/>
        <v>3163</v>
      </c>
      <c r="N3163" s="38">
        <f>HLOOKUP("Host",'vInfo (Imported)'!$1:$5000,M3163,FALSE)</f>
        <v>0</v>
      </c>
      <c r="R3163">
        <f>HLOOKUP("CPUs",'vInfo (Imported)'!$1:$5000,M3163,FALSE)</f>
        <v>0</v>
      </c>
      <c r="S3163">
        <f>HLOOKUP("Memory",'vInfo (Imported)'!$1:$5000,M3163,FALSE)</f>
        <v>0</v>
      </c>
      <c r="T3163">
        <f>HLOOKUP("Provisioned MiB",'vInfo (Imported)'!$1:$5000,M3163,FALSE)</f>
        <v>0</v>
      </c>
      <c r="U3163">
        <f t="shared" si="148"/>
        <v>0</v>
      </c>
      <c r="V3163">
        <f>HLOOKUP("In Use MiB",'vInfo (Imported)'!$1:$5000,M3163,FALSE)</f>
        <v>0</v>
      </c>
    </row>
    <row r="3164" spans="1:22" ht="13" x14ac:dyDescent="0.3">
      <c r="A3164" s="46">
        <f>'vHosts (Imported)'!A3164</f>
        <v>0</v>
      </c>
      <c r="B3164" s="51">
        <f t="shared" si="147"/>
        <v>4968</v>
      </c>
      <c r="C3164" s="49">
        <f>HLOOKUP("# Cores",'vHosts (Imported)'!$1:$5000,M3164,FALSE)</f>
        <v>0</v>
      </c>
      <c r="D3164" s="52">
        <f>HLOOKUP("# Memory",'vHosts (Imported)'!$1:$5000,M3164,FALSE)</f>
        <v>0</v>
      </c>
      <c r="M3164" s="45">
        <f t="shared" si="149"/>
        <v>3164</v>
      </c>
      <c r="N3164" s="38">
        <f>HLOOKUP("Host",'vInfo (Imported)'!$1:$5000,M3164,FALSE)</f>
        <v>0</v>
      </c>
      <c r="R3164">
        <f>HLOOKUP("CPUs",'vInfo (Imported)'!$1:$5000,M3164,FALSE)</f>
        <v>0</v>
      </c>
      <c r="S3164">
        <f>HLOOKUP("Memory",'vInfo (Imported)'!$1:$5000,M3164,FALSE)</f>
        <v>0</v>
      </c>
      <c r="T3164">
        <f>HLOOKUP("Provisioned MiB",'vInfo (Imported)'!$1:$5000,M3164,FALSE)</f>
        <v>0</v>
      </c>
      <c r="U3164">
        <f t="shared" si="148"/>
        <v>0</v>
      </c>
      <c r="V3164">
        <f>HLOOKUP("In Use MiB",'vInfo (Imported)'!$1:$5000,M3164,FALSE)</f>
        <v>0</v>
      </c>
    </row>
    <row r="3165" spans="1:22" ht="13" x14ac:dyDescent="0.3">
      <c r="A3165" s="46">
        <f>'vHosts (Imported)'!A3165</f>
        <v>0</v>
      </c>
      <c r="B3165" s="51">
        <f t="shared" si="147"/>
        <v>4968</v>
      </c>
      <c r="C3165" s="49">
        <f>HLOOKUP("# Cores",'vHosts (Imported)'!$1:$5000,M3165,FALSE)</f>
        <v>0</v>
      </c>
      <c r="D3165" s="52">
        <f>HLOOKUP("# Memory",'vHosts (Imported)'!$1:$5000,M3165,FALSE)</f>
        <v>0</v>
      </c>
      <c r="M3165" s="45">
        <f t="shared" si="149"/>
        <v>3165</v>
      </c>
      <c r="N3165" s="38">
        <f>HLOOKUP("Host",'vInfo (Imported)'!$1:$5000,M3165,FALSE)</f>
        <v>0</v>
      </c>
      <c r="R3165">
        <f>HLOOKUP("CPUs",'vInfo (Imported)'!$1:$5000,M3165,FALSE)</f>
        <v>0</v>
      </c>
      <c r="S3165">
        <f>HLOOKUP("Memory",'vInfo (Imported)'!$1:$5000,M3165,FALSE)</f>
        <v>0</v>
      </c>
      <c r="T3165">
        <f>HLOOKUP("Provisioned MiB",'vInfo (Imported)'!$1:$5000,M3165,FALSE)</f>
        <v>0</v>
      </c>
      <c r="U3165">
        <f t="shared" si="148"/>
        <v>0</v>
      </c>
      <c r="V3165">
        <f>HLOOKUP("In Use MiB",'vInfo (Imported)'!$1:$5000,M3165,FALSE)</f>
        <v>0</v>
      </c>
    </row>
    <row r="3166" spans="1:22" ht="13" x14ac:dyDescent="0.3">
      <c r="A3166" s="46">
        <f>'vHosts (Imported)'!A3166</f>
        <v>0</v>
      </c>
      <c r="B3166" s="51">
        <f t="shared" si="147"/>
        <v>4968</v>
      </c>
      <c r="C3166" s="49">
        <f>HLOOKUP("# Cores",'vHosts (Imported)'!$1:$5000,M3166,FALSE)</f>
        <v>0</v>
      </c>
      <c r="D3166" s="52">
        <f>HLOOKUP("# Memory",'vHosts (Imported)'!$1:$5000,M3166,FALSE)</f>
        <v>0</v>
      </c>
      <c r="M3166" s="45">
        <f t="shared" si="149"/>
        <v>3166</v>
      </c>
      <c r="N3166" s="38">
        <f>HLOOKUP("Host",'vInfo (Imported)'!$1:$5000,M3166,FALSE)</f>
        <v>0</v>
      </c>
      <c r="R3166">
        <f>HLOOKUP("CPUs",'vInfo (Imported)'!$1:$5000,M3166,FALSE)</f>
        <v>0</v>
      </c>
      <c r="S3166">
        <f>HLOOKUP("Memory",'vInfo (Imported)'!$1:$5000,M3166,FALSE)</f>
        <v>0</v>
      </c>
      <c r="T3166">
        <f>HLOOKUP("Provisioned MiB",'vInfo (Imported)'!$1:$5000,M3166,FALSE)</f>
        <v>0</v>
      </c>
      <c r="U3166">
        <f t="shared" si="148"/>
        <v>0</v>
      </c>
      <c r="V3166">
        <f>HLOOKUP("In Use MiB",'vInfo (Imported)'!$1:$5000,M3166,FALSE)</f>
        <v>0</v>
      </c>
    </row>
    <row r="3167" spans="1:22" ht="13" x14ac:dyDescent="0.3">
      <c r="A3167" s="46">
        <f>'vHosts (Imported)'!A3167</f>
        <v>0</v>
      </c>
      <c r="B3167" s="51">
        <f t="shared" si="147"/>
        <v>4968</v>
      </c>
      <c r="C3167" s="49">
        <f>HLOOKUP("# Cores",'vHosts (Imported)'!$1:$5000,M3167,FALSE)</f>
        <v>0</v>
      </c>
      <c r="D3167" s="52">
        <f>HLOOKUP("# Memory",'vHosts (Imported)'!$1:$5000,M3167,FALSE)</f>
        <v>0</v>
      </c>
      <c r="M3167" s="45">
        <f t="shared" si="149"/>
        <v>3167</v>
      </c>
      <c r="N3167" s="38">
        <f>HLOOKUP("Host",'vInfo (Imported)'!$1:$5000,M3167,FALSE)</f>
        <v>0</v>
      </c>
      <c r="R3167">
        <f>HLOOKUP("CPUs",'vInfo (Imported)'!$1:$5000,M3167,FALSE)</f>
        <v>0</v>
      </c>
      <c r="S3167">
        <f>HLOOKUP("Memory",'vInfo (Imported)'!$1:$5000,M3167,FALSE)</f>
        <v>0</v>
      </c>
      <c r="T3167">
        <f>HLOOKUP("Provisioned MiB",'vInfo (Imported)'!$1:$5000,M3167,FALSE)</f>
        <v>0</v>
      </c>
      <c r="U3167">
        <f t="shared" si="148"/>
        <v>0</v>
      </c>
      <c r="V3167">
        <f>HLOOKUP("In Use MiB",'vInfo (Imported)'!$1:$5000,M3167,FALSE)</f>
        <v>0</v>
      </c>
    </row>
    <row r="3168" spans="1:22" ht="13" x14ac:dyDescent="0.3">
      <c r="A3168" s="46">
        <f>'vHosts (Imported)'!A3168</f>
        <v>0</v>
      </c>
      <c r="B3168" s="51">
        <f t="shared" si="147"/>
        <v>4968</v>
      </c>
      <c r="C3168" s="49">
        <f>HLOOKUP("# Cores",'vHosts (Imported)'!$1:$5000,M3168,FALSE)</f>
        <v>0</v>
      </c>
      <c r="D3168" s="52">
        <f>HLOOKUP("# Memory",'vHosts (Imported)'!$1:$5000,M3168,FALSE)</f>
        <v>0</v>
      </c>
      <c r="M3168" s="45">
        <f t="shared" si="149"/>
        <v>3168</v>
      </c>
      <c r="N3168" s="38">
        <f>HLOOKUP("Host",'vInfo (Imported)'!$1:$5000,M3168,FALSE)</f>
        <v>0</v>
      </c>
      <c r="R3168">
        <f>HLOOKUP("CPUs",'vInfo (Imported)'!$1:$5000,M3168,FALSE)</f>
        <v>0</v>
      </c>
      <c r="S3168">
        <f>HLOOKUP("Memory",'vInfo (Imported)'!$1:$5000,M3168,FALSE)</f>
        <v>0</v>
      </c>
      <c r="T3168">
        <f>HLOOKUP("Provisioned MiB",'vInfo (Imported)'!$1:$5000,M3168,FALSE)</f>
        <v>0</v>
      </c>
      <c r="U3168">
        <f t="shared" si="148"/>
        <v>0</v>
      </c>
      <c r="V3168">
        <f>HLOOKUP("In Use MiB",'vInfo (Imported)'!$1:$5000,M3168,FALSE)</f>
        <v>0</v>
      </c>
    </row>
    <row r="3169" spans="1:22" ht="13" x14ac:dyDescent="0.3">
      <c r="A3169" s="46">
        <f>'vHosts (Imported)'!A3169</f>
        <v>0</v>
      </c>
      <c r="B3169" s="51">
        <f t="shared" si="147"/>
        <v>4968</v>
      </c>
      <c r="C3169" s="49">
        <f>HLOOKUP("# Cores",'vHosts (Imported)'!$1:$5000,M3169,FALSE)</f>
        <v>0</v>
      </c>
      <c r="D3169" s="52">
        <f>HLOOKUP("# Memory",'vHosts (Imported)'!$1:$5000,M3169,FALSE)</f>
        <v>0</v>
      </c>
      <c r="M3169" s="45">
        <f t="shared" si="149"/>
        <v>3169</v>
      </c>
      <c r="N3169" s="38">
        <f>HLOOKUP("Host",'vInfo (Imported)'!$1:$5000,M3169,FALSE)</f>
        <v>0</v>
      </c>
      <c r="R3169">
        <f>HLOOKUP("CPUs",'vInfo (Imported)'!$1:$5000,M3169,FALSE)</f>
        <v>0</v>
      </c>
      <c r="S3169">
        <f>HLOOKUP("Memory",'vInfo (Imported)'!$1:$5000,M3169,FALSE)</f>
        <v>0</v>
      </c>
      <c r="T3169">
        <f>HLOOKUP("Provisioned MiB",'vInfo (Imported)'!$1:$5000,M3169,FALSE)</f>
        <v>0</v>
      </c>
      <c r="U3169">
        <f t="shared" si="148"/>
        <v>0</v>
      </c>
      <c r="V3169">
        <f>HLOOKUP("In Use MiB",'vInfo (Imported)'!$1:$5000,M3169,FALSE)</f>
        <v>0</v>
      </c>
    </row>
    <row r="3170" spans="1:22" ht="13" x14ac:dyDescent="0.3">
      <c r="A3170" s="46">
        <f>'vHosts (Imported)'!A3170</f>
        <v>0</v>
      </c>
      <c r="B3170" s="51">
        <f t="shared" si="147"/>
        <v>4968</v>
      </c>
      <c r="C3170" s="49">
        <f>HLOOKUP("# Cores",'vHosts (Imported)'!$1:$5000,M3170,FALSE)</f>
        <v>0</v>
      </c>
      <c r="D3170" s="52">
        <f>HLOOKUP("# Memory",'vHosts (Imported)'!$1:$5000,M3170,FALSE)</f>
        <v>0</v>
      </c>
      <c r="M3170" s="45">
        <f t="shared" si="149"/>
        <v>3170</v>
      </c>
      <c r="N3170" s="38">
        <f>HLOOKUP("Host",'vInfo (Imported)'!$1:$5000,M3170,FALSE)</f>
        <v>0</v>
      </c>
      <c r="R3170">
        <f>HLOOKUP("CPUs",'vInfo (Imported)'!$1:$5000,M3170,FALSE)</f>
        <v>0</v>
      </c>
      <c r="S3170">
        <f>HLOOKUP("Memory",'vInfo (Imported)'!$1:$5000,M3170,FALSE)</f>
        <v>0</v>
      </c>
      <c r="T3170">
        <f>HLOOKUP("Provisioned MiB",'vInfo (Imported)'!$1:$5000,M3170,FALSE)</f>
        <v>0</v>
      </c>
      <c r="U3170">
        <f t="shared" si="148"/>
        <v>0</v>
      </c>
      <c r="V3170">
        <f>HLOOKUP("In Use MiB",'vInfo (Imported)'!$1:$5000,M3170,FALSE)</f>
        <v>0</v>
      </c>
    </row>
    <row r="3171" spans="1:22" ht="13" x14ac:dyDescent="0.3">
      <c r="A3171" s="46">
        <f>'vHosts (Imported)'!A3171</f>
        <v>0</v>
      </c>
      <c r="B3171" s="51">
        <f t="shared" si="147"/>
        <v>4968</v>
      </c>
      <c r="C3171" s="49">
        <f>HLOOKUP("# Cores",'vHosts (Imported)'!$1:$5000,M3171,FALSE)</f>
        <v>0</v>
      </c>
      <c r="D3171" s="52">
        <f>HLOOKUP("# Memory",'vHosts (Imported)'!$1:$5000,M3171,FALSE)</f>
        <v>0</v>
      </c>
      <c r="M3171" s="45">
        <f t="shared" si="149"/>
        <v>3171</v>
      </c>
      <c r="N3171" s="38">
        <f>HLOOKUP("Host",'vInfo (Imported)'!$1:$5000,M3171,FALSE)</f>
        <v>0</v>
      </c>
      <c r="R3171">
        <f>HLOOKUP("CPUs",'vInfo (Imported)'!$1:$5000,M3171,FALSE)</f>
        <v>0</v>
      </c>
      <c r="S3171">
        <f>HLOOKUP("Memory",'vInfo (Imported)'!$1:$5000,M3171,FALSE)</f>
        <v>0</v>
      </c>
      <c r="T3171">
        <f>HLOOKUP("Provisioned MiB",'vInfo (Imported)'!$1:$5000,M3171,FALSE)</f>
        <v>0</v>
      </c>
      <c r="U3171">
        <f t="shared" si="148"/>
        <v>0</v>
      </c>
      <c r="V3171">
        <f>HLOOKUP("In Use MiB",'vInfo (Imported)'!$1:$5000,M3171,FALSE)</f>
        <v>0</v>
      </c>
    </row>
    <row r="3172" spans="1:22" ht="13" x14ac:dyDescent="0.3">
      <c r="A3172" s="46">
        <f>'vHosts (Imported)'!A3172</f>
        <v>0</v>
      </c>
      <c r="B3172" s="51">
        <f t="shared" si="147"/>
        <v>4968</v>
      </c>
      <c r="C3172" s="49">
        <f>HLOOKUP("# Cores",'vHosts (Imported)'!$1:$5000,M3172,FALSE)</f>
        <v>0</v>
      </c>
      <c r="D3172" s="52">
        <f>HLOOKUP("# Memory",'vHosts (Imported)'!$1:$5000,M3172,FALSE)</f>
        <v>0</v>
      </c>
      <c r="M3172" s="45">
        <f t="shared" si="149"/>
        <v>3172</v>
      </c>
      <c r="N3172" s="38">
        <f>HLOOKUP("Host",'vInfo (Imported)'!$1:$5000,M3172,FALSE)</f>
        <v>0</v>
      </c>
      <c r="R3172">
        <f>HLOOKUP("CPUs",'vInfo (Imported)'!$1:$5000,M3172,FALSE)</f>
        <v>0</v>
      </c>
      <c r="S3172">
        <f>HLOOKUP("Memory",'vInfo (Imported)'!$1:$5000,M3172,FALSE)</f>
        <v>0</v>
      </c>
      <c r="T3172">
        <f>HLOOKUP("Provisioned MiB",'vInfo (Imported)'!$1:$5000,M3172,FALSE)</f>
        <v>0</v>
      </c>
      <c r="U3172">
        <f t="shared" si="148"/>
        <v>0</v>
      </c>
      <c r="V3172">
        <f>HLOOKUP("In Use MiB",'vInfo (Imported)'!$1:$5000,M3172,FALSE)</f>
        <v>0</v>
      </c>
    </row>
    <row r="3173" spans="1:22" ht="13" x14ac:dyDescent="0.3">
      <c r="A3173" s="46">
        <f>'vHosts (Imported)'!A3173</f>
        <v>0</v>
      </c>
      <c r="B3173" s="51">
        <f t="shared" si="147"/>
        <v>4968</v>
      </c>
      <c r="C3173" s="49">
        <f>HLOOKUP("# Cores",'vHosts (Imported)'!$1:$5000,M3173,FALSE)</f>
        <v>0</v>
      </c>
      <c r="D3173" s="52">
        <f>HLOOKUP("# Memory",'vHosts (Imported)'!$1:$5000,M3173,FALSE)</f>
        <v>0</v>
      </c>
      <c r="M3173" s="45">
        <f t="shared" si="149"/>
        <v>3173</v>
      </c>
      <c r="N3173" s="38">
        <f>HLOOKUP("Host",'vInfo (Imported)'!$1:$5000,M3173,FALSE)</f>
        <v>0</v>
      </c>
      <c r="R3173">
        <f>HLOOKUP("CPUs",'vInfo (Imported)'!$1:$5000,M3173,FALSE)</f>
        <v>0</v>
      </c>
      <c r="S3173">
        <f>HLOOKUP("Memory",'vInfo (Imported)'!$1:$5000,M3173,FALSE)</f>
        <v>0</v>
      </c>
      <c r="T3173">
        <f>HLOOKUP("Provisioned MiB",'vInfo (Imported)'!$1:$5000,M3173,FALSE)</f>
        <v>0</v>
      </c>
      <c r="U3173">
        <f t="shared" si="148"/>
        <v>0</v>
      </c>
      <c r="V3173">
        <f>HLOOKUP("In Use MiB",'vInfo (Imported)'!$1:$5000,M3173,FALSE)</f>
        <v>0</v>
      </c>
    </row>
    <row r="3174" spans="1:22" ht="13" x14ac:dyDescent="0.3">
      <c r="A3174" s="46">
        <f>'vHosts (Imported)'!A3174</f>
        <v>0</v>
      </c>
      <c r="B3174" s="51">
        <f t="shared" si="147"/>
        <v>4968</v>
      </c>
      <c r="C3174" s="49">
        <f>HLOOKUP("# Cores",'vHosts (Imported)'!$1:$5000,M3174,FALSE)</f>
        <v>0</v>
      </c>
      <c r="D3174" s="52">
        <f>HLOOKUP("# Memory",'vHosts (Imported)'!$1:$5000,M3174,FALSE)</f>
        <v>0</v>
      </c>
      <c r="M3174" s="45">
        <f t="shared" si="149"/>
        <v>3174</v>
      </c>
      <c r="N3174" s="38">
        <f>HLOOKUP("Host",'vInfo (Imported)'!$1:$5000,M3174,FALSE)</f>
        <v>0</v>
      </c>
      <c r="R3174">
        <f>HLOOKUP("CPUs",'vInfo (Imported)'!$1:$5000,M3174,FALSE)</f>
        <v>0</v>
      </c>
      <c r="S3174">
        <f>HLOOKUP("Memory",'vInfo (Imported)'!$1:$5000,M3174,FALSE)</f>
        <v>0</v>
      </c>
      <c r="T3174">
        <f>HLOOKUP("Provisioned MiB",'vInfo (Imported)'!$1:$5000,M3174,FALSE)</f>
        <v>0</v>
      </c>
      <c r="U3174">
        <f t="shared" si="148"/>
        <v>0</v>
      </c>
      <c r="V3174">
        <f>HLOOKUP("In Use MiB",'vInfo (Imported)'!$1:$5000,M3174,FALSE)</f>
        <v>0</v>
      </c>
    </row>
    <row r="3175" spans="1:22" ht="13" x14ac:dyDescent="0.3">
      <c r="A3175" s="46">
        <f>'vHosts (Imported)'!A3175</f>
        <v>0</v>
      </c>
      <c r="B3175" s="51">
        <f t="shared" si="147"/>
        <v>4968</v>
      </c>
      <c r="C3175" s="49">
        <f>HLOOKUP("# Cores",'vHosts (Imported)'!$1:$5000,M3175,FALSE)</f>
        <v>0</v>
      </c>
      <c r="D3175" s="52">
        <f>HLOOKUP("# Memory",'vHosts (Imported)'!$1:$5000,M3175,FALSE)</f>
        <v>0</v>
      </c>
      <c r="M3175" s="45">
        <f t="shared" si="149"/>
        <v>3175</v>
      </c>
      <c r="N3175" s="38">
        <f>HLOOKUP("Host",'vInfo (Imported)'!$1:$5000,M3175,FALSE)</f>
        <v>0</v>
      </c>
      <c r="R3175">
        <f>HLOOKUP("CPUs",'vInfo (Imported)'!$1:$5000,M3175,FALSE)</f>
        <v>0</v>
      </c>
      <c r="S3175">
        <f>HLOOKUP("Memory",'vInfo (Imported)'!$1:$5000,M3175,FALSE)</f>
        <v>0</v>
      </c>
      <c r="T3175">
        <f>HLOOKUP("Provisioned MiB",'vInfo (Imported)'!$1:$5000,M3175,FALSE)</f>
        <v>0</v>
      </c>
      <c r="U3175">
        <f t="shared" si="148"/>
        <v>0</v>
      </c>
      <c r="V3175">
        <f>HLOOKUP("In Use MiB",'vInfo (Imported)'!$1:$5000,M3175,FALSE)</f>
        <v>0</v>
      </c>
    </row>
    <row r="3176" spans="1:22" ht="13" x14ac:dyDescent="0.3">
      <c r="A3176" s="46">
        <f>'vHosts (Imported)'!A3176</f>
        <v>0</v>
      </c>
      <c r="B3176" s="51">
        <f t="shared" ref="B3176:B3239" si="150">COUNTIF(N:N,A3176)</f>
        <v>4968</v>
      </c>
      <c r="C3176" s="49">
        <f>HLOOKUP("# Cores",'vHosts (Imported)'!$1:$5000,M3176,FALSE)</f>
        <v>0</v>
      </c>
      <c r="D3176" s="52">
        <f>HLOOKUP("# Memory",'vHosts (Imported)'!$1:$5000,M3176,FALSE)</f>
        <v>0</v>
      </c>
      <c r="M3176" s="45">
        <f t="shared" si="149"/>
        <v>3176</v>
      </c>
      <c r="N3176" s="38">
        <f>HLOOKUP("Host",'vInfo (Imported)'!$1:$5000,M3176,FALSE)</f>
        <v>0</v>
      </c>
      <c r="R3176">
        <f>HLOOKUP("CPUs",'vInfo (Imported)'!$1:$5000,M3176,FALSE)</f>
        <v>0</v>
      </c>
      <c r="S3176">
        <f>HLOOKUP("Memory",'vInfo (Imported)'!$1:$5000,M3176,FALSE)</f>
        <v>0</v>
      </c>
      <c r="T3176">
        <f>HLOOKUP("Provisioned MiB",'vInfo (Imported)'!$1:$5000,M3176,FALSE)</f>
        <v>0</v>
      </c>
      <c r="U3176">
        <f t="shared" si="148"/>
        <v>0</v>
      </c>
      <c r="V3176">
        <f>HLOOKUP("In Use MiB",'vInfo (Imported)'!$1:$5000,M3176,FALSE)</f>
        <v>0</v>
      </c>
    </row>
    <row r="3177" spans="1:22" ht="13" x14ac:dyDescent="0.3">
      <c r="A3177" s="46">
        <f>'vHosts (Imported)'!A3177</f>
        <v>0</v>
      </c>
      <c r="B3177" s="51">
        <f t="shared" si="150"/>
        <v>4968</v>
      </c>
      <c r="C3177" s="49">
        <f>HLOOKUP("# Cores",'vHosts (Imported)'!$1:$5000,M3177,FALSE)</f>
        <v>0</v>
      </c>
      <c r="D3177" s="52">
        <f>HLOOKUP("# Memory",'vHosts (Imported)'!$1:$5000,M3177,FALSE)</f>
        <v>0</v>
      </c>
      <c r="M3177" s="45">
        <f t="shared" si="149"/>
        <v>3177</v>
      </c>
      <c r="N3177" s="38">
        <f>HLOOKUP("Host",'vInfo (Imported)'!$1:$5000,M3177,FALSE)</f>
        <v>0</v>
      </c>
      <c r="R3177">
        <f>HLOOKUP("CPUs",'vInfo (Imported)'!$1:$5000,M3177,FALSE)</f>
        <v>0</v>
      </c>
      <c r="S3177">
        <f>HLOOKUP("Memory",'vInfo (Imported)'!$1:$5000,M3177,FALSE)</f>
        <v>0</v>
      </c>
      <c r="T3177">
        <f>HLOOKUP("Provisioned MiB",'vInfo (Imported)'!$1:$5000,M3177,FALSE)</f>
        <v>0</v>
      </c>
      <c r="U3177">
        <f t="shared" si="148"/>
        <v>0</v>
      </c>
      <c r="V3177">
        <f>HLOOKUP("In Use MiB",'vInfo (Imported)'!$1:$5000,M3177,FALSE)</f>
        <v>0</v>
      </c>
    </row>
    <row r="3178" spans="1:22" ht="13" x14ac:dyDescent="0.3">
      <c r="A3178" s="46">
        <f>'vHosts (Imported)'!A3178</f>
        <v>0</v>
      </c>
      <c r="B3178" s="51">
        <f t="shared" si="150"/>
        <v>4968</v>
      </c>
      <c r="C3178" s="49">
        <f>HLOOKUP("# Cores",'vHosts (Imported)'!$1:$5000,M3178,FALSE)</f>
        <v>0</v>
      </c>
      <c r="D3178" s="52">
        <f>HLOOKUP("# Memory",'vHosts (Imported)'!$1:$5000,M3178,FALSE)</f>
        <v>0</v>
      </c>
      <c r="M3178" s="45">
        <f t="shared" si="149"/>
        <v>3178</v>
      </c>
      <c r="N3178" s="38">
        <f>HLOOKUP("Host",'vInfo (Imported)'!$1:$5000,M3178,FALSE)</f>
        <v>0</v>
      </c>
      <c r="R3178">
        <f>HLOOKUP("CPUs",'vInfo (Imported)'!$1:$5000,M3178,FALSE)</f>
        <v>0</v>
      </c>
      <c r="S3178">
        <f>HLOOKUP("Memory",'vInfo (Imported)'!$1:$5000,M3178,FALSE)</f>
        <v>0</v>
      </c>
      <c r="T3178">
        <f>HLOOKUP("Provisioned MiB",'vInfo (Imported)'!$1:$5000,M3178,FALSE)</f>
        <v>0</v>
      </c>
      <c r="U3178">
        <f t="shared" si="148"/>
        <v>0</v>
      </c>
      <c r="V3178">
        <f>HLOOKUP("In Use MiB",'vInfo (Imported)'!$1:$5000,M3178,FALSE)</f>
        <v>0</v>
      </c>
    </row>
    <row r="3179" spans="1:22" ht="13" x14ac:dyDescent="0.3">
      <c r="A3179" s="46">
        <f>'vHosts (Imported)'!A3179</f>
        <v>0</v>
      </c>
      <c r="B3179" s="51">
        <f t="shared" si="150"/>
        <v>4968</v>
      </c>
      <c r="C3179" s="49">
        <f>HLOOKUP("# Cores",'vHosts (Imported)'!$1:$5000,M3179,FALSE)</f>
        <v>0</v>
      </c>
      <c r="D3179" s="52">
        <f>HLOOKUP("# Memory",'vHosts (Imported)'!$1:$5000,M3179,FALSE)</f>
        <v>0</v>
      </c>
      <c r="M3179" s="45">
        <f t="shared" si="149"/>
        <v>3179</v>
      </c>
      <c r="N3179" s="38">
        <f>HLOOKUP("Host",'vInfo (Imported)'!$1:$5000,M3179,FALSE)</f>
        <v>0</v>
      </c>
      <c r="R3179">
        <f>HLOOKUP("CPUs",'vInfo (Imported)'!$1:$5000,M3179,FALSE)</f>
        <v>0</v>
      </c>
      <c r="S3179">
        <f>HLOOKUP("Memory",'vInfo (Imported)'!$1:$5000,M3179,FALSE)</f>
        <v>0</v>
      </c>
      <c r="T3179">
        <f>HLOOKUP("Provisioned MiB",'vInfo (Imported)'!$1:$5000,M3179,FALSE)</f>
        <v>0</v>
      </c>
      <c r="U3179">
        <f t="shared" si="148"/>
        <v>0</v>
      </c>
      <c r="V3179">
        <f>HLOOKUP("In Use MiB",'vInfo (Imported)'!$1:$5000,M3179,FALSE)</f>
        <v>0</v>
      </c>
    </row>
    <row r="3180" spans="1:22" ht="13" x14ac:dyDescent="0.3">
      <c r="A3180" s="46">
        <f>'vHosts (Imported)'!A3180</f>
        <v>0</v>
      </c>
      <c r="B3180" s="51">
        <f t="shared" si="150"/>
        <v>4968</v>
      </c>
      <c r="C3180" s="49">
        <f>HLOOKUP("# Cores",'vHosts (Imported)'!$1:$5000,M3180,FALSE)</f>
        <v>0</v>
      </c>
      <c r="D3180" s="52">
        <f>HLOOKUP("# Memory",'vHosts (Imported)'!$1:$5000,M3180,FALSE)</f>
        <v>0</v>
      </c>
      <c r="M3180" s="45">
        <f t="shared" si="149"/>
        <v>3180</v>
      </c>
      <c r="N3180" s="38">
        <f>HLOOKUP("Host",'vInfo (Imported)'!$1:$5000,M3180,FALSE)</f>
        <v>0</v>
      </c>
      <c r="R3180">
        <f>HLOOKUP("CPUs",'vInfo (Imported)'!$1:$5000,M3180,FALSE)</f>
        <v>0</v>
      </c>
      <c r="S3180">
        <f>HLOOKUP("Memory",'vInfo (Imported)'!$1:$5000,M3180,FALSE)</f>
        <v>0</v>
      </c>
      <c r="T3180">
        <f>HLOOKUP("Provisioned MiB",'vInfo (Imported)'!$1:$5000,M3180,FALSE)</f>
        <v>0</v>
      </c>
      <c r="U3180">
        <f t="shared" si="148"/>
        <v>0</v>
      </c>
      <c r="V3180">
        <f>HLOOKUP("In Use MiB",'vInfo (Imported)'!$1:$5000,M3180,FALSE)</f>
        <v>0</v>
      </c>
    </row>
    <row r="3181" spans="1:22" ht="13" x14ac:dyDescent="0.3">
      <c r="A3181" s="46">
        <f>'vHosts (Imported)'!A3181</f>
        <v>0</v>
      </c>
      <c r="B3181" s="51">
        <f t="shared" si="150"/>
        <v>4968</v>
      </c>
      <c r="C3181" s="49">
        <f>HLOOKUP("# Cores",'vHosts (Imported)'!$1:$5000,M3181,FALSE)</f>
        <v>0</v>
      </c>
      <c r="D3181" s="52">
        <f>HLOOKUP("# Memory",'vHosts (Imported)'!$1:$5000,M3181,FALSE)</f>
        <v>0</v>
      </c>
      <c r="M3181" s="45">
        <f t="shared" si="149"/>
        <v>3181</v>
      </c>
      <c r="N3181" s="38">
        <f>HLOOKUP("Host",'vInfo (Imported)'!$1:$5000,M3181,FALSE)</f>
        <v>0</v>
      </c>
      <c r="R3181">
        <f>HLOOKUP("CPUs",'vInfo (Imported)'!$1:$5000,M3181,FALSE)</f>
        <v>0</v>
      </c>
      <c r="S3181">
        <f>HLOOKUP("Memory",'vInfo (Imported)'!$1:$5000,M3181,FALSE)</f>
        <v>0</v>
      </c>
      <c r="T3181">
        <f>HLOOKUP("Provisioned MiB",'vInfo (Imported)'!$1:$5000,M3181,FALSE)</f>
        <v>0</v>
      </c>
      <c r="U3181">
        <f t="shared" si="148"/>
        <v>0</v>
      </c>
      <c r="V3181">
        <f>HLOOKUP("In Use MiB",'vInfo (Imported)'!$1:$5000,M3181,FALSE)</f>
        <v>0</v>
      </c>
    </row>
    <row r="3182" spans="1:22" ht="13" x14ac:dyDescent="0.3">
      <c r="A3182" s="46">
        <f>'vHosts (Imported)'!A3182</f>
        <v>0</v>
      </c>
      <c r="B3182" s="51">
        <f t="shared" si="150"/>
        <v>4968</v>
      </c>
      <c r="C3182" s="49">
        <f>HLOOKUP("# Cores",'vHosts (Imported)'!$1:$5000,M3182,FALSE)</f>
        <v>0</v>
      </c>
      <c r="D3182" s="52">
        <f>HLOOKUP("# Memory",'vHosts (Imported)'!$1:$5000,M3182,FALSE)</f>
        <v>0</v>
      </c>
      <c r="M3182" s="45">
        <f t="shared" si="149"/>
        <v>3182</v>
      </c>
      <c r="N3182" s="38">
        <f>HLOOKUP("Host",'vInfo (Imported)'!$1:$5000,M3182,FALSE)</f>
        <v>0</v>
      </c>
      <c r="R3182">
        <f>HLOOKUP("CPUs",'vInfo (Imported)'!$1:$5000,M3182,FALSE)</f>
        <v>0</v>
      </c>
      <c r="S3182">
        <f>HLOOKUP("Memory",'vInfo (Imported)'!$1:$5000,M3182,FALSE)</f>
        <v>0</v>
      </c>
      <c r="T3182">
        <f>HLOOKUP("Provisioned MiB",'vInfo (Imported)'!$1:$5000,M3182,FALSE)</f>
        <v>0</v>
      </c>
      <c r="U3182">
        <f t="shared" si="148"/>
        <v>0</v>
      </c>
      <c r="V3182">
        <f>HLOOKUP("In Use MiB",'vInfo (Imported)'!$1:$5000,M3182,FALSE)</f>
        <v>0</v>
      </c>
    </row>
    <row r="3183" spans="1:22" ht="13" x14ac:dyDescent="0.3">
      <c r="A3183" s="46">
        <f>'vHosts (Imported)'!A3183</f>
        <v>0</v>
      </c>
      <c r="B3183" s="51">
        <f t="shared" si="150"/>
        <v>4968</v>
      </c>
      <c r="C3183" s="49">
        <f>HLOOKUP("# Cores",'vHosts (Imported)'!$1:$5000,M3183,FALSE)</f>
        <v>0</v>
      </c>
      <c r="D3183" s="52">
        <f>HLOOKUP("# Memory",'vHosts (Imported)'!$1:$5000,M3183,FALSE)</f>
        <v>0</v>
      </c>
      <c r="M3183" s="45">
        <f t="shared" si="149"/>
        <v>3183</v>
      </c>
      <c r="N3183" s="38">
        <f>HLOOKUP("Host",'vInfo (Imported)'!$1:$5000,M3183,FALSE)</f>
        <v>0</v>
      </c>
      <c r="R3183">
        <f>HLOOKUP("CPUs",'vInfo (Imported)'!$1:$5000,M3183,FALSE)</f>
        <v>0</v>
      </c>
      <c r="S3183">
        <f>HLOOKUP("Memory",'vInfo (Imported)'!$1:$5000,M3183,FALSE)</f>
        <v>0</v>
      </c>
      <c r="T3183">
        <f>HLOOKUP("Provisioned MiB",'vInfo (Imported)'!$1:$5000,M3183,FALSE)</f>
        <v>0</v>
      </c>
      <c r="U3183">
        <f t="shared" si="148"/>
        <v>0</v>
      </c>
      <c r="V3183">
        <f>HLOOKUP("In Use MiB",'vInfo (Imported)'!$1:$5000,M3183,FALSE)</f>
        <v>0</v>
      </c>
    </row>
    <row r="3184" spans="1:22" ht="13" x14ac:dyDescent="0.3">
      <c r="A3184" s="46">
        <f>'vHosts (Imported)'!A3184</f>
        <v>0</v>
      </c>
      <c r="B3184" s="51">
        <f t="shared" si="150"/>
        <v>4968</v>
      </c>
      <c r="C3184" s="49">
        <f>HLOOKUP("# Cores",'vHosts (Imported)'!$1:$5000,M3184,FALSE)</f>
        <v>0</v>
      </c>
      <c r="D3184" s="52">
        <f>HLOOKUP("# Memory",'vHosts (Imported)'!$1:$5000,M3184,FALSE)</f>
        <v>0</v>
      </c>
      <c r="M3184" s="45">
        <f t="shared" si="149"/>
        <v>3184</v>
      </c>
      <c r="N3184" s="38">
        <f>HLOOKUP("Host",'vInfo (Imported)'!$1:$5000,M3184,FALSE)</f>
        <v>0</v>
      </c>
      <c r="R3184">
        <f>HLOOKUP("CPUs",'vInfo (Imported)'!$1:$5000,M3184,FALSE)</f>
        <v>0</v>
      </c>
      <c r="S3184">
        <f>HLOOKUP("Memory",'vInfo (Imported)'!$1:$5000,M3184,FALSE)</f>
        <v>0</v>
      </c>
      <c r="T3184">
        <f>HLOOKUP("Provisioned MiB",'vInfo (Imported)'!$1:$5000,M3184,FALSE)</f>
        <v>0</v>
      </c>
      <c r="U3184">
        <f t="shared" si="148"/>
        <v>0</v>
      </c>
      <c r="V3184">
        <f>HLOOKUP("In Use MiB",'vInfo (Imported)'!$1:$5000,M3184,FALSE)</f>
        <v>0</v>
      </c>
    </row>
    <row r="3185" spans="1:22" ht="13" x14ac:dyDescent="0.3">
      <c r="A3185" s="46">
        <f>'vHosts (Imported)'!A3185</f>
        <v>0</v>
      </c>
      <c r="B3185" s="51">
        <f t="shared" si="150"/>
        <v>4968</v>
      </c>
      <c r="C3185" s="49">
        <f>HLOOKUP("# Cores",'vHosts (Imported)'!$1:$5000,M3185,FALSE)</f>
        <v>0</v>
      </c>
      <c r="D3185" s="52">
        <f>HLOOKUP("# Memory",'vHosts (Imported)'!$1:$5000,M3185,FALSE)</f>
        <v>0</v>
      </c>
      <c r="M3185" s="45">
        <f t="shared" si="149"/>
        <v>3185</v>
      </c>
      <c r="N3185" s="38">
        <f>HLOOKUP("Host",'vInfo (Imported)'!$1:$5000,M3185,FALSE)</f>
        <v>0</v>
      </c>
      <c r="R3185">
        <f>HLOOKUP("CPUs",'vInfo (Imported)'!$1:$5000,M3185,FALSE)</f>
        <v>0</v>
      </c>
      <c r="S3185">
        <f>HLOOKUP("Memory",'vInfo (Imported)'!$1:$5000,M3185,FALSE)</f>
        <v>0</v>
      </c>
      <c r="T3185">
        <f>HLOOKUP("Provisioned MiB",'vInfo (Imported)'!$1:$5000,M3185,FALSE)</f>
        <v>0</v>
      </c>
      <c r="U3185">
        <f t="shared" si="148"/>
        <v>0</v>
      </c>
      <c r="V3185">
        <f>HLOOKUP("In Use MiB",'vInfo (Imported)'!$1:$5000,M3185,FALSE)</f>
        <v>0</v>
      </c>
    </row>
    <row r="3186" spans="1:22" ht="13" x14ac:dyDescent="0.3">
      <c r="A3186" s="46">
        <f>'vHosts (Imported)'!A3186</f>
        <v>0</v>
      </c>
      <c r="B3186" s="51">
        <f t="shared" si="150"/>
        <v>4968</v>
      </c>
      <c r="C3186" s="49">
        <f>HLOOKUP("# Cores",'vHosts (Imported)'!$1:$5000,M3186,FALSE)</f>
        <v>0</v>
      </c>
      <c r="D3186" s="52">
        <f>HLOOKUP("# Memory",'vHosts (Imported)'!$1:$5000,M3186,FALSE)</f>
        <v>0</v>
      </c>
      <c r="M3186" s="45">
        <f t="shared" si="149"/>
        <v>3186</v>
      </c>
      <c r="N3186" s="38">
        <f>HLOOKUP("Host",'vInfo (Imported)'!$1:$5000,M3186,FALSE)</f>
        <v>0</v>
      </c>
      <c r="R3186">
        <f>HLOOKUP("CPUs",'vInfo (Imported)'!$1:$5000,M3186,FALSE)</f>
        <v>0</v>
      </c>
      <c r="S3186">
        <f>HLOOKUP("Memory",'vInfo (Imported)'!$1:$5000,M3186,FALSE)</f>
        <v>0</v>
      </c>
      <c r="T3186">
        <f>HLOOKUP("Provisioned MiB",'vInfo (Imported)'!$1:$5000,M3186,FALSE)</f>
        <v>0</v>
      </c>
      <c r="U3186">
        <f t="shared" si="148"/>
        <v>0</v>
      </c>
      <c r="V3186">
        <f>HLOOKUP("In Use MiB",'vInfo (Imported)'!$1:$5000,M3186,FALSE)</f>
        <v>0</v>
      </c>
    </row>
    <row r="3187" spans="1:22" ht="13" x14ac:dyDescent="0.3">
      <c r="A3187" s="46">
        <f>'vHosts (Imported)'!A3187</f>
        <v>0</v>
      </c>
      <c r="B3187" s="51">
        <f t="shared" si="150"/>
        <v>4968</v>
      </c>
      <c r="C3187" s="49">
        <f>HLOOKUP("# Cores",'vHosts (Imported)'!$1:$5000,M3187,FALSE)</f>
        <v>0</v>
      </c>
      <c r="D3187" s="52">
        <f>HLOOKUP("# Memory",'vHosts (Imported)'!$1:$5000,M3187,FALSE)</f>
        <v>0</v>
      </c>
      <c r="M3187" s="45">
        <f t="shared" si="149"/>
        <v>3187</v>
      </c>
      <c r="N3187" s="38">
        <f>HLOOKUP("Host",'vInfo (Imported)'!$1:$5000,M3187,FALSE)</f>
        <v>0</v>
      </c>
      <c r="R3187">
        <f>HLOOKUP("CPUs",'vInfo (Imported)'!$1:$5000,M3187,FALSE)</f>
        <v>0</v>
      </c>
      <c r="S3187">
        <f>HLOOKUP("Memory",'vInfo (Imported)'!$1:$5000,M3187,FALSE)</f>
        <v>0</v>
      </c>
      <c r="T3187">
        <f>HLOOKUP("Provisioned MiB",'vInfo (Imported)'!$1:$5000,M3187,FALSE)</f>
        <v>0</v>
      </c>
      <c r="U3187">
        <f t="shared" si="148"/>
        <v>0</v>
      </c>
      <c r="V3187">
        <f>HLOOKUP("In Use MiB",'vInfo (Imported)'!$1:$5000,M3187,FALSE)</f>
        <v>0</v>
      </c>
    </row>
    <row r="3188" spans="1:22" ht="13" x14ac:dyDescent="0.3">
      <c r="A3188" s="46">
        <f>'vHosts (Imported)'!A3188</f>
        <v>0</v>
      </c>
      <c r="B3188" s="51">
        <f t="shared" si="150"/>
        <v>4968</v>
      </c>
      <c r="C3188" s="49">
        <f>HLOOKUP("# Cores",'vHosts (Imported)'!$1:$5000,M3188,FALSE)</f>
        <v>0</v>
      </c>
      <c r="D3188" s="52">
        <f>HLOOKUP("# Memory",'vHosts (Imported)'!$1:$5000,M3188,FALSE)</f>
        <v>0</v>
      </c>
      <c r="M3188" s="45">
        <f t="shared" si="149"/>
        <v>3188</v>
      </c>
      <c r="N3188" s="38">
        <f>HLOOKUP("Host",'vInfo (Imported)'!$1:$5000,M3188,FALSE)</f>
        <v>0</v>
      </c>
      <c r="R3188">
        <f>HLOOKUP("CPUs",'vInfo (Imported)'!$1:$5000,M3188,FALSE)</f>
        <v>0</v>
      </c>
      <c r="S3188">
        <f>HLOOKUP("Memory",'vInfo (Imported)'!$1:$5000,M3188,FALSE)</f>
        <v>0</v>
      </c>
      <c r="T3188">
        <f>HLOOKUP("Provisioned MiB",'vInfo (Imported)'!$1:$5000,M3188,FALSE)</f>
        <v>0</v>
      </c>
      <c r="U3188">
        <f t="shared" si="148"/>
        <v>0</v>
      </c>
      <c r="V3188">
        <f>HLOOKUP("In Use MiB",'vInfo (Imported)'!$1:$5000,M3188,FALSE)</f>
        <v>0</v>
      </c>
    </row>
    <row r="3189" spans="1:22" ht="13" x14ac:dyDescent="0.3">
      <c r="A3189" s="46">
        <f>'vHosts (Imported)'!A3189</f>
        <v>0</v>
      </c>
      <c r="B3189" s="51">
        <f t="shared" si="150"/>
        <v>4968</v>
      </c>
      <c r="C3189" s="49">
        <f>HLOOKUP("# Cores",'vHosts (Imported)'!$1:$5000,M3189,FALSE)</f>
        <v>0</v>
      </c>
      <c r="D3189" s="52">
        <f>HLOOKUP("# Memory",'vHosts (Imported)'!$1:$5000,M3189,FALSE)</f>
        <v>0</v>
      </c>
      <c r="M3189" s="45">
        <f t="shared" si="149"/>
        <v>3189</v>
      </c>
      <c r="N3189" s="38">
        <f>HLOOKUP("Host",'vInfo (Imported)'!$1:$5000,M3189,FALSE)</f>
        <v>0</v>
      </c>
      <c r="R3189">
        <f>HLOOKUP("CPUs",'vInfo (Imported)'!$1:$5000,M3189,FALSE)</f>
        <v>0</v>
      </c>
      <c r="S3189">
        <f>HLOOKUP("Memory",'vInfo (Imported)'!$1:$5000,M3189,FALSE)</f>
        <v>0</v>
      </c>
      <c r="T3189">
        <f>HLOOKUP("Provisioned MiB",'vInfo (Imported)'!$1:$5000,M3189,FALSE)</f>
        <v>0</v>
      </c>
      <c r="U3189">
        <f t="shared" si="148"/>
        <v>0</v>
      </c>
      <c r="V3189">
        <f>HLOOKUP("In Use MiB",'vInfo (Imported)'!$1:$5000,M3189,FALSE)</f>
        <v>0</v>
      </c>
    </row>
    <row r="3190" spans="1:22" ht="13" x14ac:dyDescent="0.3">
      <c r="A3190" s="46">
        <f>'vHosts (Imported)'!A3190</f>
        <v>0</v>
      </c>
      <c r="B3190" s="51">
        <f t="shared" si="150"/>
        <v>4968</v>
      </c>
      <c r="C3190" s="49">
        <f>HLOOKUP("# Cores",'vHosts (Imported)'!$1:$5000,M3190,FALSE)</f>
        <v>0</v>
      </c>
      <c r="D3190" s="52">
        <f>HLOOKUP("# Memory",'vHosts (Imported)'!$1:$5000,M3190,FALSE)</f>
        <v>0</v>
      </c>
      <c r="M3190" s="45">
        <f t="shared" si="149"/>
        <v>3190</v>
      </c>
      <c r="N3190" s="38">
        <f>HLOOKUP("Host",'vInfo (Imported)'!$1:$5000,M3190,FALSE)</f>
        <v>0</v>
      </c>
      <c r="R3190">
        <f>HLOOKUP("CPUs",'vInfo (Imported)'!$1:$5000,M3190,FALSE)</f>
        <v>0</v>
      </c>
      <c r="S3190">
        <f>HLOOKUP("Memory",'vInfo (Imported)'!$1:$5000,M3190,FALSE)</f>
        <v>0</v>
      </c>
      <c r="T3190">
        <f>HLOOKUP("Provisioned MiB",'vInfo (Imported)'!$1:$5000,M3190,FALSE)</f>
        <v>0</v>
      </c>
      <c r="U3190">
        <f t="shared" si="148"/>
        <v>0</v>
      </c>
      <c r="V3190">
        <f>HLOOKUP("In Use MiB",'vInfo (Imported)'!$1:$5000,M3190,FALSE)</f>
        <v>0</v>
      </c>
    </row>
    <row r="3191" spans="1:22" ht="13" x14ac:dyDescent="0.3">
      <c r="A3191" s="46">
        <f>'vHosts (Imported)'!A3191</f>
        <v>0</v>
      </c>
      <c r="B3191" s="51">
        <f t="shared" si="150"/>
        <v>4968</v>
      </c>
      <c r="C3191" s="49">
        <f>HLOOKUP("# Cores",'vHosts (Imported)'!$1:$5000,M3191,FALSE)</f>
        <v>0</v>
      </c>
      <c r="D3191" s="52">
        <f>HLOOKUP("# Memory",'vHosts (Imported)'!$1:$5000,M3191,FALSE)</f>
        <v>0</v>
      </c>
      <c r="M3191" s="45">
        <f t="shared" si="149"/>
        <v>3191</v>
      </c>
      <c r="N3191" s="38">
        <f>HLOOKUP("Host",'vInfo (Imported)'!$1:$5000,M3191,FALSE)</f>
        <v>0</v>
      </c>
      <c r="R3191">
        <f>HLOOKUP("CPUs",'vInfo (Imported)'!$1:$5000,M3191,FALSE)</f>
        <v>0</v>
      </c>
      <c r="S3191">
        <f>HLOOKUP("Memory",'vInfo (Imported)'!$1:$5000,M3191,FALSE)</f>
        <v>0</v>
      </c>
      <c r="T3191">
        <f>HLOOKUP("Provisioned MiB",'vInfo (Imported)'!$1:$5000,M3191,FALSE)</f>
        <v>0</v>
      </c>
      <c r="U3191">
        <f t="shared" si="148"/>
        <v>0</v>
      </c>
      <c r="V3191">
        <f>HLOOKUP("In Use MiB",'vInfo (Imported)'!$1:$5000,M3191,FALSE)</f>
        <v>0</v>
      </c>
    </row>
    <row r="3192" spans="1:22" ht="13" x14ac:dyDescent="0.3">
      <c r="A3192" s="46">
        <f>'vHosts (Imported)'!A3192</f>
        <v>0</v>
      </c>
      <c r="B3192" s="51">
        <f t="shared" si="150"/>
        <v>4968</v>
      </c>
      <c r="C3192" s="49">
        <f>HLOOKUP("# Cores",'vHosts (Imported)'!$1:$5000,M3192,FALSE)</f>
        <v>0</v>
      </c>
      <c r="D3192" s="52">
        <f>HLOOKUP("# Memory",'vHosts (Imported)'!$1:$5000,M3192,FALSE)</f>
        <v>0</v>
      </c>
      <c r="M3192" s="45">
        <f t="shared" si="149"/>
        <v>3192</v>
      </c>
      <c r="N3192" s="38">
        <f>HLOOKUP("Host",'vInfo (Imported)'!$1:$5000,M3192,FALSE)</f>
        <v>0</v>
      </c>
      <c r="R3192">
        <f>HLOOKUP("CPUs",'vInfo (Imported)'!$1:$5000,M3192,FALSE)</f>
        <v>0</v>
      </c>
      <c r="S3192">
        <f>HLOOKUP("Memory",'vInfo (Imported)'!$1:$5000,M3192,FALSE)</f>
        <v>0</v>
      </c>
      <c r="T3192">
        <f>HLOOKUP("Provisioned MiB",'vInfo (Imported)'!$1:$5000,M3192,FALSE)</f>
        <v>0</v>
      </c>
      <c r="U3192">
        <f t="shared" si="148"/>
        <v>0</v>
      </c>
      <c r="V3192">
        <f>HLOOKUP("In Use MiB",'vInfo (Imported)'!$1:$5000,M3192,FALSE)</f>
        <v>0</v>
      </c>
    </row>
    <row r="3193" spans="1:22" ht="13" x14ac:dyDescent="0.3">
      <c r="A3193" s="46">
        <f>'vHosts (Imported)'!A3193</f>
        <v>0</v>
      </c>
      <c r="B3193" s="51">
        <f t="shared" si="150"/>
        <v>4968</v>
      </c>
      <c r="C3193" s="49">
        <f>HLOOKUP("# Cores",'vHosts (Imported)'!$1:$5000,M3193,FALSE)</f>
        <v>0</v>
      </c>
      <c r="D3193" s="52">
        <f>HLOOKUP("# Memory",'vHosts (Imported)'!$1:$5000,M3193,FALSE)</f>
        <v>0</v>
      </c>
      <c r="M3193" s="45">
        <f t="shared" si="149"/>
        <v>3193</v>
      </c>
      <c r="N3193" s="38">
        <f>HLOOKUP("Host",'vInfo (Imported)'!$1:$5000,M3193,FALSE)</f>
        <v>0</v>
      </c>
      <c r="R3193">
        <f>HLOOKUP("CPUs",'vInfo (Imported)'!$1:$5000,M3193,FALSE)</f>
        <v>0</v>
      </c>
      <c r="S3193">
        <f>HLOOKUP("Memory",'vInfo (Imported)'!$1:$5000,M3193,FALSE)</f>
        <v>0</v>
      </c>
      <c r="T3193">
        <f>HLOOKUP("Provisioned MiB",'vInfo (Imported)'!$1:$5000,M3193,FALSE)</f>
        <v>0</v>
      </c>
      <c r="U3193">
        <f t="shared" si="148"/>
        <v>0</v>
      </c>
      <c r="V3193">
        <f>HLOOKUP("In Use MiB",'vInfo (Imported)'!$1:$5000,M3193,FALSE)</f>
        <v>0</v>
      </c>
    </row>
    <row r="3194" spans="1:22" ht="13" x14ac:dyDescent="0.3">
      <c r="A3194" s="46">
        <f>'vHosts (Imported)'!A3194</f>
        <v>0</v>
      </c>
      <c r="B3194" s="51">
        <f t="shared" si="150"/>
        <v>4968</v>
      </c>
      <c r="C3194" s="49">
        <f>HLOOKUP("# Cores",'vHosts (Imported)'!$1:$5000,M3194,FALSE)</f>
        <v>0</v>
      </c>
      <c r="D3194" s="52">
        <f>HLOOKUP("# Memory",'vHosts (Imported)'!$1:$5000,M3194,FALSE)</f>
        <v>0</v>
      </c>
      <c r="M3194" s="45">
        <f t="shared" si="149"/>
        <v>3194</v>
      </c>
      <c r="N3194" s="38">
        <f>HLOOKUP("Host",'vInfo (Imported)'!$1:$5000,M3194,FALSE)</f>
        <v>0</v>
      </c>
      <c r="R3194">
        <f>HLOOKUP("CPUs",'vInfo (Imported)'!$1:$5000,M3194,FALSE)</f>
        <v>0</v>
      </c>
      <c r="S3194">
        <f>HLOOKUP("Memory",'vInfo (Imported)'!$1:$5000,M3194,FALSE)</f>
        <v>0</v>
      </c>
      <c r="T3194">
        <f>HLOOKUP("Provisioned MiB",'vInfo (Imported)'!$1:$5000,M3194,FALSE)</f>
        <v>0</v>
      </c>
      <c r="U3194">
        <f t="shared" si="148"/>
        <v>0</v>
      </c>
      <c r="V3194">
        <f>HLOOKUP("In Use MiB",'vInfo (Imported)'!$1:$5000,M3194,FALSE)</f>
        <v>0</v>
      </c>
    </row>
    <row r="3195" spans="1:22" ht="13" x14ac:dyDescent="0.3">
      <c r="A3195" s="46">
        <f>'vHosts (Imported)'!A3195</f>
        <v>0</v>
      </c>
      <c r="B3195" s="51">
        <f t="shared" si="150"/>
        <v>4968</v>
      </c>
      <c r="C3195" s="49">
        <f>HLOOKUP("# Cores",'vHosts (Imported)'!$1:$5000,M3195,FALSE)</f>
        <v>0</v>
      </c>
      <c r="D3195" s="52">
        <f>HLOOKUP("# Memory",'vHosts (Imported)'!$1:$5000,M3195,FALSE)</f>
        <v>0</v>
      </c>
      <c r="M3195" s="45">
        <f t="shared" si="149"/>
        <v>3195</v>
      </c>
      <c r="N3195" s="38">
        <f>HLOOKUP("Host",'vInfo (Imported)'!$1:$5000,M3195,FALSE)</f>
        <v>0</v>
      </c>
      <c r="R3195">
        <f>HLOOKUP("CPUs",'vInfo (Imported)'!$1:$5000,M3195,FALSE)</f>
        <v>0</v>
      </c>
      <c r="S3195">
        <f>HLOOKUP("Memory",'vInfo (Imported)'!$1:$5000,M3195,FALSE)</f>
        <v>0</v>
      </c>
      <c r="T3195">
        <f>HLOOKUP("Provisioned MiB",'vInfo (Imported)'!$1:$5000,M3195,FALSE)</f>
        <v>0</v>
      </c>
      <c r="U3195">
        <f t="shared" si="148"/>
        <v>0</v>
      </c>
      <c r="V3195">
        <f>HLOOKUP("In Use MiB",'vInfo (Imported)'!$1:$5000,M3195,FALSE)</f>
        <v>0</v>
      </c>
    </row>
    <row r="3196" spans="1:22" ht="13" x14ac:dyDescent="0.3">
      <c r="A3196" s="46">
        <f>'vHosts (Imported)'!A3196</f>
        <v>0</v>
      </c>
      <c r="B3196" s="51">
        <f t="shared" si="150"/>
        <v>4968</v>
      </c>
      <c r="C3196" s="49">
        <f>HLOOKUP("# Cores",'vHosts (Imported)'!$1:$5000,M3196,FALSE)</f>
        <v>0</v>
      </c>
      <c r="D3196" s="52">
        <f>HLOOKUP("# Memory",'vHosts (Imported)'!$1:$5000,M3196,FALSE)</f>
        <v>0</v>
      </c>
      <c r="M3196" s="45">
        <f t="shared" si="149"/>
        <v>3196</v>
      </c>
      <c r="N3196" s="38">
        <f>HLOOKUP("Host",'vInfo (Imported)'!$1:$5000,M3196,FALSE)</f>
        <v>0</v>
      </c>
      <c r="R3196">
        <f>HLOOKUP("CPUs",'vInfo (Imported)'!$1:$5000,M3196,FALSE)</f>
        <v>0</v>
      </c>
      <c r="S3196">
        <f>HLOOKUP("Memory",'vInfo (Imported)'!$1:$5000,M3196,FALSE)</f>
        <v>0</v>
      </c>
      <c r="T3196">
        <f>HLOOKUP("Provisioned MiB",'vInfo (Imported)'!$1:$5000,M3196,FALSE)</f>
        <v>0</v>
      </c>
      <c r="U3196">
        <f t="shared" si="148"/>
        <v>0</v>
      </c>
      <c r="V3196">
        <f>HLOOKUP("In Use MiB",'vInfo (Imported)'!$1:$5000,M3196,FALSE)</f>
        <v>0</v>
      </c>
    </row>
    <row r="3197" spans="1:22" ht="13" x14ac:dyDescent="0.3">
      <c r="A3197" s="46">
        <f>'vHosts (Imported)'!A3197</f>
        <v>0</v>
      </c>
      <c r="B3197" s="51">
        <f t="shared" si="150"/>
        <v>4968</v>
      </c>
      <c r="C3197" s="49">
        <f>HLOOKUP("# Cores",'vHosts (Imported)'!$1:$5000,M3197,FALSE)</f>
        <v>0</v>
      </c>
      <c r="D3197" s="52">
        <f>HLOOKUP("# Memory",'vHosts (Imported)'!$1:$5000,M3197,FALSE)</f>
        <v>0</v>
      </c>
      <c r="M3197" s="45">
        <f t="shared" si="149"/>
        <v>3197</v>
      </c>
      <c r="N3197" s="38">
        <f>HLOOKUP("Host",'vInfo (Imported)'!$1:$5000,M3197,FALSE)</f>
        <v>0</v>
      </c>
      <c r="R3197">
        <f>HLOOKUP("CPUs",'vInfo (Imported)'!$1:$5000,M3197,FALSE)</f>
        <v>0</v>
      </c>
      <c r="S3197">
        <f>HLOOKUP("Memory",'vInfo (Imported)'!$1:$5000,M3197,FALSE)</f>
        <v>0</v>
      </c>
      <c r="T3197">
        <f>HLOOKUP("Provisioned MiB",'vInfo (Imported)'!$1:$5000,M3197,FALSE)</f>
        <v>0</v>
      </c>
      <c r="U3197">
        <f t="shared" si="148"/>
        <v>0</v>
      </c>
      <c r="V3197">
        <f>HLOOKUP("In Use MiB",'vInfo (Imported)'!$1:$5000,M3197,FALSE)</f>
        <v>0</v>
      </c>
    </row>
    <row r="3198" spans="1:22" ht="13" x14ac:dyDescent="0.3">
      <c r="A3198" s="46">
        <f>'vHosts (Imported)'!A3198</f>
        <v>0</v>
      </c>
      <c r="B3198" s="51">
        <f t="shared" si="150"/>
        <v>4968</v>
      </c>
      <c r="C3198" s="49">
        <f>HLOOKUP("# Cores",'vHosts (Imported)'!$1:$5000,M3198,FALSE)</f>
        <v>0</v>
      </c>
      <c r="D3198" s="52">
        <f>HLOOKUP("# Memory",'vHosts (Imported)'!$1:$5000,M3198,FALSE)</f>
        <v>0</v>
      </c>
      <c r="M3198" s="45">
        <f t="shared" si="149"/>
        <v>3198</v>
      </c>
      <c r="N3198" s="38">
        <f>HLOOKUP("Host",'vInfo (Imported)'!$1:$5000,M3198,FALSE)</f>
        <v>0</v>
      </c>
      <c r="R3198">
        <f>HLOOKUP("CPUs",'vInfo (Imported)'!$1:$5000,M3198,FALSE)</f>
        <v>0</v>
      </c>
      <c r="S3198">
        <f>HLOOKUP("Memory",'vInfo (Imported)'!$1:$5000,M3198,FALSE)</f>
        <v>0</v>
      </c>
      <c r="T3198">
        <f>HLOOKUP("Provisioned MiB",'vInfo (Imported)'!$1:$5000,M3198,FALSE)</f>
        <v>0</v>
      </c>
      <c r="U3198">
        <f t="shared" si="148"/>
        <v>0</v>
      </c>
      <c r="V3198">
        <f>HLOOKUP("In Use MiB",'vInfo (Imported)'!$1:$5000,M3198,FALSE)</f>
        <v>0</v>
      </c>
    </row>
    <row r="3199" spans="1:22" ht="13" x14ac:dyDescent="0.3">
      <c r="A3199" s="46">
        <f>'vHosts (Imported)'!A3199</f>
        <v>0</v>
      </c>
      <c r="B3199" s="51">
        <f t="shared" si="150"/>
        <v>4968</v>
      </c>
      <c r="C3199" s="49">
        <f>HLOOKUP("# Cores",'vHosts (Imported)'!$1:$5000,M3199,FALSE)</f>
        <v>0</v>
      </c>
      <c r="D3199" s="52">
        <f>HLOOKUP("# Memory",'vHosts (Imported)'!$1:$5000,M3199,FALSE)</f>
        <v>0</v>
      </c>
      <c r="M3199" s="45">
        <f t="shared" si="149"/>
        <v>3199</v>
      </c>
      <c r="N3199" s="38">
        <f>HLOOKUP("Host",'vInfo (Imported)'!$1:$5000,M3199,FALSE)</f>
        <v>0</v>
      </c>
      <c r="R3199">
        <f>HLOOKUP("CPUs",'vInfo (Imported)'!$1:$5000,M3199,FALSE)</f>
        <v>0</v>
      </c>
      <c r="S3199">
        <f>HLOOKUP("Memory",'vInfo (Imported)'!$1:$5000,M3199,FALSE)</f>
        <v>0</v>
      </c>
      <c r="T3199">
        <f>HLOOKUP("Provisioned MiB",'vInfo (Imported)'!$1:$5000,M3199,FALSE)</f>
        <v>0</v>
      </c>
      <c r="U3199">
        <f t="shared" si="148"/>
        <v>0</v>
      </c>
      <c r="V3199">
        <f>HLOOKUP("In Use MiB",'vInfo (Imported)'!$1:$5000,M3199,FALSE)</f>
        <v>0</v>
      </c>
    </row>
    <row r="3200" spans="1:22" ht="13" x14ac:dyDescent="0.3">
      <c r="A3200" s="46">
        <f>'vHosts (Imported)'!A3200</f>
        <v>0</v>
      </c>
      <c r="B3200" s="51">
        <f t="shared" si="150"/>
        <v>4968</v>
      </c>
      <c r="C3200" s="49">
        <f>HLOOKUP("# Cores",'vHosts (Imported)'!$1:$5000,M3200,FALSE)</f>
        <v>0</v>
      </c>
      <c r="D3200" s="52">
        <f>HLOOKUP("# Memory",'vHosts (Imported)'!$1:$5000,M3200,FALSE)</f>
        <v>0</v>
      </c>
      <c r="M3200" s="45">
        <f t="shared" si="149"/>
        <v>3200</v>
      </c>
      <c r="N3200" s="38">
        <f>HLOOKUP("Host",'vInfo (Imported)'!$1:$5000,M3200,FALSE)</f>
        <v>0</v>
      </c>
      <c r="R3200">
        <f>HLOOKUP("CPUs",'vInfo (Imported)'!$1:$5000,M3200,FALSE)</f>
        <v>0</v>
      </c>
      <c r="S3200">
        <f>HLOOKUP("Memory",'vInfo (Imported)'!$1:$5000,M3200,FALSE)</f>
        <v>0</v>
      </c>
      <c r="T3200">
        <f>HLOOKUP("Provisioned MiB",'vInfo (Imported)'!$1:$5000,M3200,FALSE)</f>
        <v>0</v>
      </c>
      <c r="U3200">
        <f t="shared" si="148"/>
        <v>0</v>
      </c>
      <c r="V3200">
        <f>HLOOKUP("In Use MiB",'vInfo (Imported)'!$1:$5000,M3200,FALSE)</f>
        <v>0</v>
      </c>
    </row>
    <row r="3201" spans="1:22" ht="13" x14ac:dyDescent="0.3">
      <c r="A3201" s="46">
        <f>'vHosts (Imported)'!A3201</f>
        <v>0</v>
      </c>
      <c r="B3201" s="51">
        <f t="shared" si="150"/>
        <v>4968</v>
      </c>
      <c r="C3201" s="49">
        <f>HLOOKUP("# Cores",'vHosts (Imported)'!$1:$5000,M3201,FALSE)</f>
        <v>0</v>
      </c>
      <c r="D3201" s="52">
        <f>HLOOKUP("# Memory",'vHosts (Imported)'!$1:$5000,M3201,FALSE)</f>
        <v>0</v>
      </c>
      <c r="M3201" s="45">
        <f t="shared" si="149"/>
        <v>3201</v>
      </c>
      <c r="N3201" s="38">
        <f>HLOOKUP("Host",'vInfo (Imported)'!$1:$5000,M3201,FALSE)</f>
        <v>0</v>
      </c>
      <c r="R3201">
        <f>HLOOKUP("CPUs",'vInfo (Imported)'!$1:$5000,M3201,FALSE)</f>
        <v>0</v>
      </c>
      <c r="S3201">
        <f>HLOOKUP("Memory",'vInfo (Imported)'!$1:$5000,M3201,FALSE)</f>
        <v>0</v>
      </c>
      <c r="T3201">
        <f>HLOOKUP("Provisioned MiB",'vInfo (Imported)'!$1:$5000,M3201,FALSE)</f>
        <v>0</v>
      </c>
      <c r="U3201">
        <f t="shared" si="148"/>
        <v>0</v>
      </c>
      <c r="V3201">
        <f>HLOOKUP("In Use MiB",'vInfo (Imported)'!$1:$5000,M3201,FALSE)</f>
        <v>0</v>
      </c>
    </row>
    <row r="3202" spans="1:22" ht="13" x14ac:dyDescent="0.3">
      <c r="A3202" s="46">
        <f>'vHosts (Imported)'!A3202</f>
        <v>0</v>
      </c>
      <c r="B3202" s="51">
        <f t="shared" si="150"/>
        <v>4968</v>
      </c>
      <c r="C3202" s="49">
        <f>HLOOKUP("# Cores",'vHosts (Imported)'!$1:$5000,M3202,FALSE)</f>
        <v>0</v>
      </c>
      <c r="D3202" s="52">
        <f>HLOOKUP("# Memory",'vHosts (Imported)'!$1:$5000,M3202,FALSE)</f>
        <v>0</v>
      </c>
      <c r="M3202" s="45">
        <f t="shared" si="149"/>
        <v>3202</v>
      </c>
      <c r="N3202" s="38">
        <f>HLOOKUP("Host",'vInfo (Imported)'!$1:$5000,M3202,FALSE)</f>
        <v>0</v>
      </c>
      <c r="R3202">
        <f>HLOOKUP("CPUs",'vInfo (Imported)'!$1:$5000,M3202,FALSE)</f>
        <v>0</v>
      </c>
      <c r="S3202">
        <f>HLOOKUP("Memory",'vInfo (Imported)'!$1:$5000,M3202,FALSE)</f>
        <v>0</v>
      </c>
      <c r="T3202">
        <f>HLOOKUP("Provisioned MiB",'vInfo (Imported)'!$1:$5000,M3202,FALSE)</f>
        <v>0</v>
      </c>
      <c r="U3202">
        <f t="shared" si="148"/>
        <v>0</v>
      </c>
      <c r="V3202">
        <f>HLOOKUP("In Use MiB",'vInfo (Imported)'!$1:$5000,M3202,FALSE)</f>
        <v>0</v>
      </c>
    </row>
    <row r="3203" spans="1:22" ht="13" x14ac:dyDescent="0.3">
      <c r="A3203" s="46">
        <f>'vHosts (Imported)'!A3203</f>
        <v>0</v>
      </c>
      <c r="B3203" s="51">
        <f t="shared" si="150"/>
        <v>4968</v>
      </c>
      <c r="C3203" s="49">
        <f>HLOOKUP("# Cores",'vHosts (Imported)'!$1:$5000,M3203,FALSE)</f>
        <v>0</v>
      </c>
      <c r="D3203" s="52">
        <f>HLOOKUP("# Memory",'vHosts (Imported)'!$1:$5000,M3203,FALSE)</f>
        <v>0</v>
      </c>
      <c r="M3203" s="45">
        <f t="shared" si="149"/>
        <v>3203</v>
      </c>
      <c r="N3203" s="38">
        <f>HLOOKUP("Host",'vInfo (Imported)'!$1:$5000,M3203,FALSE)</f>
        <v>0</v>
      </c>
      <c r="R3203">
        <f>HLOOKUP("CPUs",'vInfo (Imported)'!$1:$5000,M3203,FALSE)</f>
        <v>0</v>
      </c>
      <c r="S3203">
        <f>HLOOKUP("Memory",'vInfo (Imported)'!$1:$5000,M3203,FALSE)</f>
        <v>0</v>
      </c>
      <c r="T3203">
        <f>HLOOKUP("Provisioned MiB",'vInfo (Imported)'!$1:$5000,M3203,FALSE)</f>
        <v>0</v>
      </c>
      <c r="U3203">
        <f t="shared" ref="U3203:U3266" si="151">T3203-V3203</f>
        <v>0</v>
      </c>
      <c r="V3203">
        <f>HLOOKUP("In Use MiB",'vInfo (Imported)'!$1:$5000,M3203,FALSE)</f>
        <v>0</v>
      </c>
    </row>
    <row r="3204" spans="1:22" ht="13" x14ac:dyDescent="0.3">
      <c r="A3204" s="46">
        <f>'vHosts (Imported)'!A3204</f>
        <v>0</v>
      </c>
      <c r="B3204" s="51">
        <f t="shared" si="150"/>
        <v>4968</v>
      </c>
      <c r="C3204" s="49">
        <f>HLOOKUP("# Cores",'vHosts (Imported)'!$1:$5000,M3204,FALSE)</f>
        <v>0</v>
      </c>
      <c r="D3204" s="52">
        <f>HLOOKUP("# Memory",'vHosts (Imported)'!$1:$5000,M3204,FALSE)</f>
        <v>0</v>
      </c>
      <c r="M3204" s="45">
        <f t="shared" ref="M3204:M3267" si="152">M3203+1</f>
        <v>3204</v>
      </c>
      <c r="N3204" s="38">
        <f>HLOOKUP("Host",'vInfo (Imported)'!$1:$5000,M3204,FALSE)</f>
        <v>0</v>
      </c>
      <c r="R3204">
        <f>HLOOKUP("CPUs",'vInfo (Imported)'!$1:$5000,M3204,FALSE)</f>
        <v>0</v>
      </c>
      <c r="S3204">
        <f>HLOOKUP("Memory",'vInfo (Imported)'!$1:$5000,M3204,FALSE)</f>
        <v>0</v>
      </c>
      <c r="T3204">
        <f>HLOOKUP("Provisioned MiB",'vInfo (Imported)'!$1:$5000,M3204,FALSE)</f>
        <v>0</v>
      </c>
      <c r="U3204">
        <f t="shared" si="151"/>
        <v>0</v>
      </c>
      <c r="V3204">
        <f>HLOOKUP("In Use MiB",'vInfo (Imported)'!$1:$5000,M3204,FALSE)</f>
        <v>0</v>
      </c>
    </row>
    <row r="3205" spans="1:22" ht="13" x14ac:dyDescent="0.3">
      <c r="A3205" s="46">
        <f>'vHosts (Imported)'!A3205</f>
        <v>0</v>
      </c>
      <c r="B3205" s="51">
        <f t="shared" si="150"/>
        <v>4968</v>
      </c>
      <c r="C3205" s="49">
        <f>HLOOKUP("# Cores",'vHosts (Imported)'!$1:$5000,M3205,FALSE)</f>
        <v>0</v>
      </c>
      <c r="D3205" s="52">
        <f>HLOOKUP("# Memory",'vHosts (Imported)'!$1:$5000,M3205,FALSE)</f>
        <v>0</v>
      </c>
      <c r="M3205" s="45">
        <f t="shared" si="152"/>
        <v>3205</v>
      </c>
      <c r="N3205" s="38">
        <f>HLOOKUP("Host",'vInfo (Imported)'!$1:$5000,M3205,FALSE)</f>
        <v>0</v>
      </c>
      <c r="R3205">
        <f>HLOOKUP("CPUs",'vInfo (Imported)'!$1:$5000,M3205,FALSE)</f>
        <v>0</v>
      </c>
      <c r="S3205">
        <f>HLOOKUP("Memory",'vInfo (Imported)'!$1:$5000,M3205,FALSE)</f>
        <v>0</v>
      </c>
      <c r="T3205">
        <f>HLOOKUP("Provisioned MiB",'vInfo (Imported)'!$1:$5000,M3205,FALSE)</f>
        <v>0</v>
      </c>
      <c r="U3205">
        <f t="shared" si="151"/>
        <v>0</v>
      </c>
      <c r="V3205">
        <f>HLOOKUP("In Use MiB",'vInfo (Imported)'!$1:$5000,M3205,FALSE)</f>
        <v>0</v>
      </c>
    </row>
    <row r="3206" spans="1:22" ht="13" x14ac:dyDescent="0.3">
      <c r="A3206" s="46">
        <f>'vHosts (Imported)'!A3206</f>
        <v>0</v>
      </c>
      <c r="B3206" s="51">
        <f t="shared" si="150"/>
        <v>4968</v>
      </c>
      <c r="C3206" s="49">
        <f>HLOOKUP("# Cores",'vHosts (Imported)'!$1:$5000,M3206,FALSE)</f>
        <v>0</v>
      </c>
      <c r="D3206" s="52">
        <f>HLOOKUP("# Memory",'vHosts (Imported)'!$1:$5000,M3206,FALSE)</f>
        <v>0</v>
      </c>
      <c r="M3206" s="45">
        <f t="shared" si="152"/>
        <v>3206</v>
      </c>
      <c r="N3206" s="38">
        <f>HLOOKUP("Host",'vInfo (Imported)'!$1:$5000,M3206,FALSE)</f>
        <v>0</v>
      </c>
      <c r="R3206">
        <f>HLOOKUP("CPUs",'vInfo (Imported)'!$1:$5000,M3206,FALSE)</f>
        <v>0</v>
      </c>
      <c r="S3206">
        <f>HLOOKUP("Memory",'vInfo (Imported)'!$1:$5000,M3206,FALSE)</f>
        <v>0</v>
      </c>
      <c r="T3206">
        <f>HLOOKUP("Provisioned MiB",'vInfo (Imported)'!$1:$5000,M3206,FALSE)</f>
        <v>0</v>
      </c>
      <c r="U3206">
        <f t="shared" si="151"/>
        <v>0</v>
      </c>
      <c r="V3206">
        <f>HLOOKUP("In Use MiB",'vInfo (Imported)'!$1:$5000,M3206,FALSE)</f>
        <v>0</v>
      </c>
    </row>
    <row r="3207" spans="1:22" ht="13" x14ac:dyDescent="0.3">
      <c r="A3207" s="46">
        <f>'vHosts (Imported)'!A3207</f>
        <v>0</v>
      </c>
      <c r="B3207" s="51">
        <f t="shared" si="150"/>
        <v>4968</v>
      </c>
      <c r="C3207" s="49">
        <f>HLOOKUP("# Cores",'vHosts (Imported)'!$1:$5000,M3207,FALSE)</f>
        <v>0</v>
      </c>
      <c r="D3207" s="52">
        <f>HLOOKUP("# Memory",'vHosts (Imported)'!$1:$5000,M3207,FALSE)</f>
        <v>0</v>
      </c>
      <c r="M3207" s="45">
        <f t="shared" si="152"/>
        <v>3207</v>
      </c>
      <c r="N3207" s="38">
        <f>HLOOKUP("Host",'vInfo (Imported)'!$1:$5000,M3207,FALSE)</f>
        <v>0</v>
      </c>
      <c r="R3207">
        <f>HLOOKUP("CPUs",'vInfo (Imported)'!$1:$5000,M3207,FALSE)</f>
        <v>0</v>
      </c>
      <c r="S3207">
        <f>HLOOKUP("Memory",'vInfo (Imported)'!$1:$5000,M3207,FALSE)</f>
        <v>0</v>
      </c>
      <c r="T3207">
        <f>HLOOKUP("Provisioned MiB",'vInfo (Imported)'!$1:$5000,M3207,FALSE)</f>
        <v>0</v>
      </c>
      <c r="U3207">
        <f t="shared" si="151"/>
        <v>0</v>
      </c>
      <c r="V3207">
        <f>HLOOKUP("In Use MiB",'vInfo (Imported)'!$1:$5000,M3207,FALSE)</f>
        <v>0</v>
      </c>
    </row>
    <row r="3208" spans="1:22" ht="13" x14ac:dyDescent="0.3">
      <c r="A3208" s="46">
        <f>'vHosts (Imported)'!A3208</f>
        <v>0</v>
      </c>
      <c r="B3208" s="51">
        <f t="shared" si="150"/>
        <v>4968</v>
      </c>
      <c r="C3208" s="49">
        <f>HLOOKUP("# Cores",'vHosts (Imported)'!$1:$5000,M3208,FALSE)</f>
        <v>0</v>
      </c>
      <c r="D3208" s="52">
        <f>HLOOKUP("# Memory",'vHosts (Imported)'!$1:$5000,M3208,FALSE)</f>
        <v>0</v>
      </c>
      <c r="M3208" s="45">
        <f t="shared" si="152"/>
        <v>3208</v>
      </c>
      <c r="N3208" s="38">
        <f>HLOOKUP("Host",'vInfo (Imported)'!$1:$5000,M3208,FALSE)</f>
        <v>0</v>
      </c>
      <c r="R3208">
        <f>HLOOKUP("CPUs",'vInfo (Imported)'!$1:$5000,M3208,FALSE)</f>
        <v>0</v>
      </c>
      <c r="S3208">
        <f>HLOOKUP("Memory",'vInfo (Imported)'!$1:$5000,M3208,FALSE)</f>
        <v>0</v>
      </c>
      <c r="T3208">
        <f>HLOOKUP("Provisioned MiB",'vInfo (Imported)'!$1:$5000,M3208,FALSE)</f>
        <v>0</v>
      </c>
      <c r="U3208">
        <f t="shared" si="151"/>
        <v>0</v>
      </c>
      <c r="V3208">
        <f>HLOOKUP("In Use MiB",'vInfo (Imported)'!$1:$5000,M3208,FALSE)</f>
        <v>0</v>
      </c>
    </row>
    <row r="3209" spans="1:22" ht="13" x14ac:dyDescent="0.3">
      <c r="A3209" s="46">
        <f>'vHosts (Imported)'!A3209</f>
        <v>0</v>
      </c>
      <c r="B3209" s="51">
        <f t="shared" si="150"/>
        <v>4968</v>
      </c>
      <c r="C3209" s="49">
        <f>HLOOKUP("# Cores",'vHosts (Imported)'!$1:$5000,M3209,FALSE)</f>
        <v>0</v>
      </c>
      <c r="D3209" s="52">
        <f>HLOOKUP("# Memory",'vHosts (Imported)'!$1:$5000,M3209,FALSE)</f>
        <v>0</v>
      </c>
      <c r="M3209" s="45">
        <f t="shared" si="152"/>
        <v>3209</v>
      </c>
      <c r="N3209" s="38">
        <f>HLOOKUP("Host",'vInfo (Imported)'!$1:$5000,M3209,FALSE)</f>
        <v>0</v>
      </c>
      <c r="R3209">
        <f>HLOOKUP("CPUs",'vInfo (Imported)'!$1:$5000,M3209,FALSE)</f>
        <v>0</v>
      </c>
      <c r="S3209">
        <f>HLOOKUP("Memory",'vInfo (Imported)'!$1:$5000,M3209,FALSE)</f>
        <v>0</v>
      </c>
      <c r="T3209">
        <f>HLOOKUP("Provisioned MiB",'vInfo (Imported)'!$1:$5000,M3209,FALSE)</f>
        <v>0</v>
      </c>
      <c r="U3209">
        <f t="shared" si="151"/>
        <v>0</v>
      </c>
      <c r="V3209">
        <f>HLOOKUP("In Use MiB",'vInfo (Imported)'!$1:$5000,M3209,FALSE)</f>
        <v>0</v>
      </c>
    </row>
    <row r="3210" spans="1:22" ht="13" x14ac:dyDescent="0.3">
      <c r="A3210" s="46">
        <f>'vHosts (Imported)'!A3210</f>
        <v>0</v>
      </c>
      <c r="B3210" s="51">
        <f t="shared" si="150"/>
        <v>4968</v>
      </c>
      <c r="C3210" s="49">
        <f>HLOOKUP("# Cores",'vHosts (Imported)'!$1:$5000,M3210,FALSE)</f>
        <v>0</v>
      </c>
      <c r="D3210" s="52">
        <f>HLOOKUP("# Memory",'vHosts (Imported)'!$1:$5000,M3210,FALSE)</f>
        <v>0</v>
      </c>
      <c r="M3210" s="45">
        <f t="shared" si="152"/>
        <v>3210</v>
      </c>
      <c r="N3210" s="38">
        <f>HLOOKUP("Host",'vInfo (Imported)'!$1:$5000,M3210,FALSE)</f>
        <v>0</v>
      </c>
      <c r="R3210">
        <f>HLOOKUP("CPUs",'vInfo (Imported)'!$1:$5000,M3210,FALSE)</f>
        <v>0</v>
      </c>
      <c r="S3210">
        <f>HLOOKUP("Memory",'vInfo (Imported)'!$1:$5000,M3210,FALSE)</f>
        <v>0</v>
      </c>
      <c r="T3210">
        <f>HLOOKUP("Provisioned MiB",'vInfo (Imported)'!$1:$5000,M3210,FALSE)</f>
        <v>0</v>
      </c>
      <c r="U3210">
        <f t="shared" si="151"/>
        <v>0</v>
      </c>
      <c r="V3210">
        <f>HLOOKUP("In Use MiB",'vInfo (Imported)'!$1:$5000,M3210,FALSE)</f>
        <v>0</v>
      </c>
    </row>
    <row r="3211" spans="1:22" ht="13" x14ac:dyDescent="0.3">
      <c r="A3211" s="46">
        <f>'vHosts (Imported)'!A3211</f>
        <v>0</v>
      </c>
      <c r="B3211" s="51">
        <f t="shared" si="150"/>
        <v>4968</v>
      </c>
      <c r="C3211" s="49">
        <f>HLOOKUP("# Cores",'vHosts (Imported)'!$1:$5000,M3211,FALSE)</f>
        <v>0</v>
      </c>
      <c r="D3211" s="52">
        <f>HLOOKUP("# Memory",'vHosts (Imported)'!$1:$5000,M3211,FALSE)</f>
        <v>0</v>
      </c>
      <c r="M3211" s="45">
        <f t="shared" si="152"/>
        <v>3211</v>
      </c>
      <c r="N3211" s="38">
        <f>HLOOKUP("Host",'vInfo (Imported)'!$1:$5000,M3211,FALSE)</f>
        <v>0</v>
      </c>
      <c r="R3211">
        <f>HLOOKUP("CPUs",'vInfo (Imported)'!$1:$5000,M3211,FALSE)</f>
        <v>0</v>
      </c>
      <c r="S3211">
        <f>HLOOKUP("Memory",'vInfo (Imported)'!$1:$5000,M3211,FALSE)</f>
        <v>0</v>
      </c>
      <c r="T3211">
        <f>HLOOKUP("Provisioned MiB",'vInfo (Imported)'!$1:$5000,M3211,FALSE)</f>
        <v>0</v>
      </c>
      <c r="U3211">
        <f t="shared" si="151"/>
        <v>0</v>
      </c>
      <c r="V3211">
        <f>HLOOKUP("In Use MiB",'vInfo (Imported)'!$1:$5000,M3211,FALSE)</f>
        <v>0</v>
      </c>
    </row>
    <row r="3212" spans="1:22" ht="13" x14ac:dyDescent="0.3">
      <c r="A3212" s="46">
        <f>'vHosts (Imported)'!A3212</f>
        <v>0</v>
      </c>
      <c r="B3212" s="51">
        <f t="shared" si="150"/>
        <v>4968</v>
      </c>
      <c r="C3212" s="49">
        <f>HLOOKUP("# Cores",'vHosts (Imported)'!$1:$5000,M3212,FALSE)</f>
        <v>0</v>
      </c>
      <c r="D3212" s="52">
        <f>HLOOKUP("# Memory",'vHosts (Imported)'!$1:$5000,M3212,FALSE)</f>
        <v>0</v>
      </c>
      <c r="M3212" s="45">
        <f t="shared" si="152"/>
        <v>3212</v>
      </c>
      <c r="N3212" s="38">
        <f>HLOOKUP("Host",'vInfo (Imported)'!$1:$5000,M3212,FALSE)</f>
        <v>0</v>
      </c>
      <c r="R3212">
        <f>HLOOKUP("CPUs",'vInfo (Imported)'!$1:$5000,M3212,FALSE)</f>
        <v>0</v>
      </c>
      <c r="S3212">
        <f>HLOOKUP("Memory",'vInfo (Imported)'!$1:$5000,M3212,FALSE)</f>
        <v>0</v>
      </c>
      <c r="T3212">
        <f>HLOOKUP("Provisioned MiB",'vInfo (Imported)'!$1:$5000,M3212,FALSE)</f>
        <v>0</v>
      </c>
      <c r="U3212">
        <f t="shared" si="151"/>
        <v>0</v>
      </c>
      <c r="V3212">
        <f>HLOOKUP("In Use MiB",'vInfo (Imported)'!$1:$5000,M3212,FALSE)</f>
        <v>0</v>
      </c>
    </row>
    <row r="3213" spans="1:22" ht="13" x14ac:dyDescent="0.3">
      <c r="A3213" s="46">
        <f>'vHosts (Imported)'!A3213</f>
        <v>0</v>
      </c>
      <c r="B3213" s="51">
        <f t="shared" si="150"/>
        <v>4968</v>
      </c>
      <c r="C3213" s="49">
        <f>HLOOKUP("# Cores",'vHosts (Imported)'!$1:$5000,M3213,FALSE)</f>
        <v>0</v>
      </c>
      <c r="D3213" s="52">
        <f>HLOOKUP("# Memory",'vHosts (Imported)'!$1:$5000,M3213,FALSE)</f>
        <v>0</v>
      </c>
      <c r="M3213" s="45">
        <f t="shared" si="152"/>
        <v>3213</v>
      </c>
      <c r="N3213" s="38">
        <f>HLOOKUP("Host",'vInfo (Imported)'!$1:$5000,M3213,FALSE)</f>
        <v>0</v>
      </c>
      <c r="R3213">
        <f>HLOOKUP("CPUs",'vInfo (Imported)'!$1:$5000,M3213,FALSE)</f>
        <v>0</v>
      </c>
      <c r="S3213">
        <f>HLOOKUP("Memory",'vInfo (Imported)'!$1:$5000,M3213,FALSE)</f>
        <v>0</v>
      </c>
      <c r="T3213">
        <f>HLOOKUP("Provisioned MiB",'vInfo (Imported)'!$1:$5000,M3213,FALSE)</f>
        <v>0</v>
      </c>
      <c r="U3213">
        <f t="shared" si="151"/>
        <v>0</v>
      </c>
      <c r="V3213">
        <f>HLOOKUP("In Use MiB",'vInfo (Imported)'!$1:$5000,M3213,FALSE)</f>
        <v>0</v>
      </c>
    </row>
    <row r="3214" spans="1:22" ht="13" x14ac:dyDescent="0.3">
      <c r="A3214" s="46">
        <f>'vHosts (Imported)'!A3214</f>
        <v>0</v>
      </c>
      <c r="B3214" s="51">
        <f t="shared" si="150"/>
        <v>4968</v>
      </c>
      <c r="C3214" s="49">
        <f>HLOOKUP("# Cores",'vHosts (Imported)'!$1:$5000,M3214,FALSE)</f>
        <v>0</v>
      </c>
      <c r="D3214" s="52">
        <f>HLOOKUP("# Memory",'vHosts (Imported)'!$1:$5000,M3214,FALSE)</f>
        <v>0</v>
      </c>
      <c r="M3214" s="45">
        <f t="shared" si="152"/>
        <v>3214</v>
      </c>
      <c r="N3214" s="38">
        <f>HLOOKUP("Host",'vInfo (Imported)'!$1:$5000,M3214,FALSE)</f>
        <v>0</v>
      </c>
      <c r="R3214">
        <f>HLOOKUP("CPUs",'vInfo (Imported)'!$1:$5000,M3214,FALSE)</f>
        <v>0</v>
      </c>
      <c r="S3214">
        <f>HLOOKUP("Memory",'vInfo (Imported)'!$1:$5000,M3214,FALSE)</f>
        <v>0</v>
      </c>
      <c r="T3214">
        <f>HLOOKUP("Provisioned MiB",'vInfo (Imported)'!$1:$5000,M3214,FALSE)</f>
        <v>0</v>
      </c>
      <c r="U3214">
        <f t="shared" si="151"/>
        <v>0</v>
      </c>
      <c r="V3214">
        <f>HLOOKUP("In Use MiB",'vInfo (Imported)'!$1:$5000,M3214,FALSE)</f>
        <v>0</v>
      </c>
    </row>
    <row r="3215" spans="1:22" ht="13" x14ac:dyDescent="0.3">
      <c r="A3215" s="46">
        <f>'vHosts (Imported)'!A3215</f>
        <v>0</v>
      </c>
      <c r="B3215" s="51">
        <f t="shared" si="150"/>
        <v>4968</v>
      </c>
      <c r="C3215" s="49">
        <f>HLOOKUP("# Cores",'vHosts (Imported)'!$1:$5000,M3215,FALSE)</f>
        <v>0</v>
      </c>
      <c r="D3215" s="52">
        <f>HLOOKUP("# Memory",'vHosts (Imported)'!$1:$5000,M3215,FALSE)</f>
        <v>0</v>
      </c>
      <c r="M3215" s="45">
        <f t="shared" si="152"/>
        <v>3215</v>
      </c>
      <c r="N3215" s="38">
        <f>HLOOKUP("Host",'vInfo (Imported)'!$1:$5000,M3215,FALSE)</f>
        <v>0</v>
      </c>
      <c r="R3215">
        <f>HLOOKUP("CPUs",'vInfo (Imported)'!$1:$5000,M3215,FALSE)</f>
        <v>0</v>
      </c>
      <c r="S3215">
        <f>HLOOKUP("Memory",'vInfo (Imported)'!$1:$5000,M3215,FALSE)</f>
        <v>0</v>
      </c>
      <c r="T3215">
        <f>HLOOKUP("Provisioned MiB",'vInfo (Imported)'!$1:$5000,M3215,FALSE)</f>
        <v>0</v>
      </c>
      <c r="U3215">
        <f t="shared" si="151"/>
        <v>0</v>
      </c>
      <c r="V3215">
        <f>HLOOKUP("In Use MiB",'vInfo (Imported)'!$1:$5000,M3215,FALSE)</f>
        <v>0</v>
      </c>
    </row>
    <row r="3216" spans="1:22" ht="13" x14ac:dyDescent="0.3">
      <c r="A3216" s="46">
        <f>'vHosts (Imported)'!A3216</f>
        <v>0</v>
      </c>
      <c r="B3216" s="51">
        <f t="shared" si="150"/>
        <v>4968</v>
      </c>
      <c r="C3216" s="49">
        <f>HLOOKUP("# Cores",'vHosts (Imported)'!$1:$5000,M3216,FALSE)</f>
        <v>0</v>
      </c>
      <c r="D3216" s="52">
        <f>HLOOKUP("# Memory",'vHosts (Imported)'!$1:$5000,M3216,FALSE)</f>
        <v>0</v>
      </c>
      <c r="M3216" s="45">
        <f t="shared" si="152"/>
        <v>3216</v>
      </c>
      <c r="N3216" s="38">
        <f>HLOOKUP("Host",'vInfo (Imported)'!$1:$5000,M3216,FALSE)</f>
        <v>0</v>
      </c>
      <c r="R3216">
        <f>HLOOKUP("CPUs",'vInfo (Imported)'!$1:$5000,M3216,FALSE)</f>
        <v>0</v>
      </c>
      <c r="S3216">
        <f>HLOOKUP("Memory",'vInfo (Imported)'!$1:$5000,M3216,FALSE)</f>
        <v>0</v>
      </c>
      <c r="T3216">
        <f>HLOOKUP("Provisioned MiB",'vInfo (Imported)'!$1:$5000,M3216,FALSE)</f>
        <v>0</v>
      </c>
      <c r="U3216">
        <f t="shared" si="151"/>
        <v>0</v>
      </c>
      <c r="V3216">
        <f>HLOOKUP("In Use MiB",'vInfo (Imported)'!$1:$5000,M3216,FALSE)</f>
        <v>0</v>
      </c>
    </row>
    <row r="3217" spans="1:22" ht="13" x14ac:dyDescent="0.3">
      <c r="A3217" s="46">
        <f>'vHosts (Imported)'!A3217</f>
        <v>0</v>
      </c>
      <c r="B3217" s="51">
        <f t="shared" si="150"/>
        <v>4968</v>
      </c>
      <c r="C3217" s="49">
        <f>HLOOKUP("# Cores",'vHosts (Imported)'!$1:$5000,M3217,FALSE)</f>
        <v>0</v>
      </c>
      <c r="D3217" s="52">
        <f>HLOOKUP("# Memory",'vHosts (Imported)'!$1:$5000,M3217,FALSE)</f>
        <v>0</v>
      </c>
      <c r="M3217" s="45">
        <f t="shared" si="152"/>
        <v>3217</v>
      </c>
      <c r="N3217" s="38">
        <f>HLOOKUP("Host",'vInfo (Imported)'!$1:$5000,M3217,FALSE)</f>
        <v>0</v>
      </c>
      <c r="R3217">
        <f>HLOOKUP("CPUs",'vInfo (Imported)'!$1:$5000,M3217,FALSE)</f>
        <v>0</v>
      </c>
      <c r="S3217">
        <f>HLOOKUP("Memory",'vInfo (Imported)'!$1:$5000,M3217,FALSE)</f>
        <v>0</v>
      </c>
      <c r="T3217">
        <f>HLOOKUP("Provisioned MiB",'vInfo (Imported)'!$1:$5000,M3217,FALSE)</f>
        <v>0</v>
      </c>
      <c r="U3217">
        <f t="shared" si="151"/>
        <v>0</v>
      </c>
      <c r="V3217">
        <f>HLOOKUP("In Use MiB",'vInfo (Imported)'!$1:$5000,M3217,FALSE)</f>
        <v>0</v>
      </c>
    </row>
    <row r="3218" spans="1:22" ht="13" x14ac:dyDescent="0.3">
      <c r="A3218" s="46">
        <f>'vHosts (Imported)'!A3218</f>
        <v>0</v>
      </c>
      <c r="B3218" s="51">
        <f t="shared" si="150"/>
        <v>4968</v>
      </c>
      <c r="C3218" s="49">
        <f>HLOOKUP("# Cores",'vHosts (Imported)'!$1:$5000,M3218,FALSE)</f>
        <v>0</v>
      </c>
      <c r="D3218" s="52">
        <f>HLOOKUP("# Memory",'vHosts (Imported)'!$1:$5000,M3218,FALSE)</f>
        <v>0</v>
      </c>
      <c r="M3218" s="45">
        <f t="shared" si="152"/>
        <v>3218</v>
      </c>
      <c r="N3218" s="38">
        <f>HLOOKUP("Host",'vInfo (Imported)'!$1:$5000,M3218,FALSE)</f>
        <v>0</v>
      </c>
      <c r="R3218">
        <f>HLOOKUP("CPUs",'vInfo (Imported)'!$1:$5000,M3218,FALSE)</f>
        <v>0</v>
      </c>
      <c r="S3218">
        <f>HLOOKUP("Memory",'vInfo (Imported)'!$1:$5000,M3218,FALSE)</f>
        <v>0</v>
      </c>
      <c r="T3218">
        <f>HLOOKUP("Provisioned MiB",'vInfo (Imported)'!$1:$5000,M3218,FALSE)</f>
        <v>0</v>
      </c>
      <c r="U3218">
        <f t="shared" si="151"/>
        <v>0</v>
      </c>
      <c r="V3218">
        <f>HLOOKUP("In Use MiB",'vInfo (Imported)'!$1:$5000,M3218,FALSE)</f>
        <v>0</v>
      </c>
    </row>
    <row r="3219" spans="1:22" ht="13" x14ac:dyDescent="0.3">
      <c r="A3219" s="46">
        <f>'vHosts (Imported)'!A3219</f>
        <v>0</v>
      </c>
      <c r="B3219" s="51">
        <f t="shared" si="150"/>
        <v>4968</v>
      </c>
      <c r="C3219" s="49">
        <f>HLOOKUP("# Cores",'vHosts (Imported)'!$1:$5000,M3219,FALSE)</f>
        <v>0</v>
      </c>
      <c r="D3219" s="52">
        <f>HLOOKUP("# Memory",'vHosts (Imported)'!$1:$5000,M3219,FALSE)</f>
        <v>0</v>
      </c>
      <c r="M3219" s="45">
        <f t="shared" si="152"/>
        <v>3219</v>
      </c>
      <c r="N3219" s="38">
        <f>HLOOKUP("Host",'vInfo (Imported)'!$1:$5000,M3219,FALSE)</f>
        <v>0</v>
      </c>
      <c r="R3219">
        <f>HLOOKUP("CPUs",'vInfo (Imported)'!$1:$5000,M3219,FALSE)</f>
        <v>0</v>
      </c>
      <c r="S3219">
        <f>HLOOKUP("Memory",'vInfo (Imported)'!$1:$5000,M3219,FALSE)</f>
        <v>0</v>
      </c>
      <c r="T3219">
        <f>HLOOKUP("Provisioned MiB",'vInfo (Imported)'!$1:$5000,M3219,FALSE)</f>
        <v>0</v>
      </c>
      <c r="U3219">
        <f t="shared" si="151"/>
        <v>0</v>
      </c>
      <c r="V3219">
        <f>HLOOKUP("In Use MiB",'vInfo (Imported)'!$1:$5000,M3219,FALSE)</f>
        <v>0</v>
      </c>
    </row>
    <row r="3220" spans="1:22" ht="13" x14ac:dyDescent="0.3">
      <c r="A3220" s="46">
        <f>'vHosts (Imported)'!A3220</f>
        <v>0</v>
      </c>
      <c r="B3220" s="51">
        <f t="shared" si="150"/>
        <v>4968</v>
      </c>
      <c r="C3220" s="49">
        <f>HLOOKUP("# Cores",'vHosts (Imported)'!$1:$5000,M3220,FALSE)</f>
        <v>0</v>
      </c>
      <c r="D3220" s="52">
        <f>HLOOKUP("# Memory",'vHosts (Imported)'!$1:$5000,M3220,FALSE)</f>
        <v>0</v>
      </c>
      <c r="M3220" s="45">
        <f t="shared" si="152"/>
        <v>3220</v>
      </c>
      <c r="N3220" s="38">
        <f>HLOOKUP("Host",'vInfo (Imported)'!$1:$5000,M3220,FALSE)</f>
        <v>0</v>
      </c>
      <c r="R3220">
        <f>HLOOKUP("CPUs",'vInfo (Imported)'!$1:$5000,M3220,FALSE)</f>
        <v>0</v>
      </c>
      <c r="S3220">
        <f>HLOOKUP("Memory",'vInfo (Imported)'!$1:$5000,M3220,FALSE)</f>
        <v>0</v>
      </c>
      <c r="T3220">
        <f>HLOOKUP("Provisioned MiB",'vInfo (Imported)'!$1:$5000,M3220,FALSE)</f>
        <v>0</v>
      </c>
      <c r="U3220">
        <f t="shared" si="151"/>
        <v>0</v>
      </c>
      <c r="V3220">
        <f>HLOOKUP("In Use MiB",'vInfo (Imported)'!$1:$5000,M3220,FALSE)</f>
        <v>0</v>
      </c>
    </row>
    <row r="3221" spans="1:22" ht="13" x14ac:dyDescent="0.3">
      <c r="A3221" s="46">
        <f>'vHosts (Imported)'!A3221</f>
        <v>0</v>
      </c>
      <c r="B3221" s="51">
        <f t="shared" si="150"/>
        <v>4968</v>
      </c>
      <c r="C3221" s="49">
        <f>HLOOKUP("# Cores",'vHosts (Imported)'!$1:$5000,M3221,FALSE)</f>
        <v>0</v>
      </c>
      <c r="D3221" s="52">
        <f>HLOOKUP("# Memory",'vHosts (Imported)'!$1:$5000,M3221,FALSE)</f>
        <v>0</v>
      </c>
      <c r="M3221" s="45">
        <f t="shared" si="152"/>
        <v>3221</v>
      </c>
      <c r="N3221" s="38">
        <f>HLOOKUP("Host",'vInfo (Imported)'!$1:$5000,M3221,FALSE)</f>
        <v>0</v>
      </c>
      <c r="R3221">
        <f>HLOOKUP("CPUs",'vInfo (Imported)'!$1:$5000,M3221,FALSE)</f>
        <v>0</v>
      </c>
      <c r="S3221">
        <f>HLOOKUP("Memory",'vInfo (Imported)'!$1:$5000,M3221,FALSE)</f>
        <v>0</v>
      </c>
      <c r="T3221">
        <f>HLOOKUP("Provisioned MiB",'vInfo (Imported)'!$1:$5000,M3221,FALSE)</f>
        <v>0</v>
      </c>
      <c r="U3221">
        <f t="shared" si="151"/>
        <v>0</v>
      </c>
      <c r="V3221">
        <f>HLOOKUP("In Use MiB",'vInfo (Imported)'!$1:$5000,M3221,FALSE)</f>
        <v>0</v>
      </c>
    </row>
    <row r="3222" spans="1:22" ht="13" x14ac:dyDescent="0.3">
      <c r="A3222" s="46">
        <f>'vHosts (Imported)'!A3222</f>
        <v>0</v>
      </c>
      <c r="B3222" s="51">
        <f t="shared" si="150"/>
        <v>4968</v>
      </c>
      <c r="C3222" s="49">
        <f>HLOOKUP("# Cores",'vHosts (Imported)'!$1:$5000,M3222,FALSE)</f>
        <v>0</v>
      </c>
      <c r="D3222" s="52">
        <f>HLOOKUP("# Memory",'vHosts (Imported)'!$1:$5000,M3222,FALSE)</f>
        <v>0</v>
      </c>
      <c r="M3222" s="45">
        <f t="shared" si="152"/>
        <v>3222</v>
      </c>
      <c r="N3222" s="38">
        <f>HLOOKUP("Host",'vInfo (Imported)'!$1:$5000,M3222,FALSE)</f>
        <v>0</v>
      </c>
      <c r="R3222">
        <f>HLOOKUP("CPUs",'vInfo (Imported)'!$1:$5000,M3222,FALSE)</f>
        <v>0</v>
      </c>
      <c r="S3222">
        <f>HLOOKUP("Memory",'vInfo (Imported)'!$1:$5000,M3222,FALSE)</f>
        <v>0</v>
      </c>
      <c r="T3222">
        <f>HLOOKUP("Provisioned MiB",'vInfo (Imported)'!$1:$5000,M3222,FALSE)</f>
        <v>0</v>
      </c>
      <c r="U3222">
        <f t="shared" si="151"/>
        <v>0</v>
      </c>
      <c r="V3222">
        <f>HLOOKUP("In Use MiB",'vInfo (Imported)'!$1:$5000,M3222,FALSE)</f>
        <v>0</v>
      </c>
    </row>
    <row r="3223" spans="1:22" ht="13" x14ac:dyDescent="0.3">
      <c r="A3223" s="46">
        <f>'vHosts (Imported)'!A3223</f>
        <v>0</v>
      </c>
      <c r="B3223" s="51">
        <f t="shared" si="150"/>
        <v>4968</v>
      </c>
      <c r="C3223" s="49">
        <f>HLOOKUP("# Cores",'vHosts (Imported)'!$1:$5000,M3223,FALSE)</f>
        <v>0</v>
      </c>
      <c r="D3223" s="52">
        <f>HLOOKUP("# Memory",'vHosts (Imported)'!$1:$5000,M3223,FALSE)</f>
        <v>0</v>
      </c>
      <c r="M3223" s="45">
        <f t="shared" si="152"/>
        <v>3223</v>
      </c>
      <c r="N3223" s="38">
        <f>HLOOKUP("Host",'vInfo (Imported)'!$1:$5000,M3223,FALSE)</f>
        <v>0</v>
      </c>
      <c r="R3223">
        <f>HLOOKUP("CPUs",'vInfo (Imported)'!$1:$5000,M3223,FALSE)</f>
        <v>0</v>
      </c>
      <c r="S3223">
        <f>HLOOKUP("Memory",'vInfo (Imported)'!$1:$5000,M3223,FALSE)</f>
        <v>0</v>
      </c>
      <c r="T3223">
        <f>HLOOKUP("Provisioned MiB",'vInfo (Imported)'!$1:$5000,M3223,FALSE)</f>
        <v>0</v>
      </c>
      <c r="U3223">
        <f t="shared" si="151"/>
        <v>0</v>
      </c>
      <c r="V3223">
        <f>HLOOKUP("In Use MiB",'vInfo (Imported)'!$1:$5000,M3223,FALSE)</f>
        <v>0</v>
      </c>
    </row>
    <row r="3224" spans="1:22" ht="13" x14ac:dyDescent="0.3">
      <c r="A3224" s="46">
        <f>'vHosts (Imported)'!A3224</f>
        <v>0</v>
      </c>
      <c r="B3224" s="51">
        <f t="shared" si="150"/>
        <v>4968</v>
      </c>
      <c r="C3224" s="49">
        <f>HLOOKUP("# Cores",'vHosts (Imported)'!$1:$5000,M3224,FALSE)</f>
        <v>0</v>
      </c>
      <c r="D3224" s="52">
        <f>HLOOKUP("# Memory",'vHosts (Imported)'!$1:$5000,M3224,FALSE)</f>
        <v>0</v>
      </c>
      <c r="M3224" s="45">
        <f t="shared" si="152"/>
        <v>3224</v>
      </c>
      <c r="N3224" s="38">
        <f>HLOOKUP("Host",'vInfo (Imported)'!$1:$5000,M3224,FALSE)</f>
        <v>0</v>
      </c>
      <c r="R3224">
        <f>HLOOKUP("CPUs",'vInfo (Imported)'!$1:$5000,M3224,FALSE)</f>
        <v>0</v>
      </c>
      <c r="S3224">
        <f>HLOOKUP("Memory",'vInfo (Imported)'!$1:$5000,M3224,FALSE)</f>
        <v>0</v>
      </c>
      <c r="T3224">
        <f>HLOOKUP("Provisioned MiB",'vInfo (Imported)'!$1:$5000,M3224,FALSE)</f>
        <v>0</v>
      </c>
      <c r="U3224">
        <f t="shared" si="151"/>
        <v>0</v>
      </c>
      <c r="V3224">
        <f>HLOOKUP("In Use MiB",'vInfo (Imported)'!$1:$5000,M3224,FALSE)</f>
        <v>0</v>
      </c>
    </row>
    <row r="3225" spans="1:22" ht="13" x14ac:dyDescent="0.3">
      <c r="A3225" s="46">
        <f>'vHosts (Imported)'!A3225</f>
        <v>0</v>
      </c>
      <c r="B3225" s="51">
        <f t="shared" si="150"/>
        <v>4968</v>
      </c>
      <c r="C3225" s="49">
        <f>HLOOKUP("# Cores",'vHosts (Imported)'!$1:$5000,M3225,FALSE)</f>
        <v>0</v>
      </c>
      <c r="D3225" s="52">
        <f>HLOOKUP("# Memory",'vHosts (Imported)'!$1:$5000,M3225,FALSE)</f>
        <v>0</v>
      </c>
      <c r="M3225" s="45">
        <f t="shared" si="152"/>
        <v>3225</v>
      </c>
      <c r="N3225" s="38">
        <f>HLOOKUP("Host",'vInfo (Imported)'!$1:$5000,M3225,FALSE)</f>
        <v>0</v>
      </c>
      <c r="R3225">
        <f>HLOOKUP("CPUs",'vInfo (Imported)'!$1:$5000,M3225,FALSE)</f>
        <v>0</v>
      </c>
      <c r="S3225">
        <f>HLOOKUP("Memory",'vInfo (Imported)'!$1:$5000,M3225,FALSE)</f>
        <v>0</v>
      </c>
      <c r="T3225">
        <f>HLOOKUP("Provisioned MiB",'vInfo (Imported)'!$1:$5000,M3225,FALSE)</f>
        <v>0</v>
      </c>
      <c r="U3225">
        <f t="shared" si="151"/>
        <v>0</v>
      </c>
      <c r="V3225">
        <f>HLOOKUP("In Use MiB",'vInfo (Imported)'!$1:$5000,M3225,FALSE)</f>
        <v>0</v>
      </c>
    </row>
    <row r="3226" spans="1:22" ht="13" x14ac:dyDescent="0.3">
      <c r="A3226" s="46">
        <f>'vHosts (Imported)'!A3226</f>
        <v>0</v>
      </c>
      <c r="B3226" s="51">
        <f t="shared" si="150"/>
        <v>4968</v>
      </c>
      <c r="C3226" s="49">
        <f>HLOOKUP("# Cores",'vHosts (Imported)'!$1:$5000,M3226,FALSE)</f>
        <v>0</v>
      </c>
      <c r="D3226" s="52">
        <f>HLOOKUP("# Memory",'vHosts (Imported)'!$1:$5000,M3226,FALSE)</f>
        <v>0</v>
      </c>
      <c r="M3226" s="45">
        <f t="shared" si="152"/>
        <v>3226</v>
      </c>
      <c r="N3226" s="38">
        <f>HLOOKUP("Host",'vInfo (Imported)'!$1:$5000,M3226,FALSE)</f>
        <v>0</v>
      </c>
      <c r="R3226">
        <f>HLOOKUP("CPUs",'vInfo (Imported)'!$1:$5000,M3226,FALSE)</f>
        <v>0</v>
      </c>
      <c r="S3226">
        <f>HLOOKUP("Memory",'vInfo (Imported)'!$1:$5000,M3226,FALSE)</f>
        <v>0</v>
      </c>
      <c r="T3226">
        <f>HLOOKUP("Provisioned MiB",'vInfo (Imported)'!$1:$5000,M3226,FALSE)</f>
        <v>0</v>
      </c>
      <c r="U3226">
        <f t="shared" si="151"/>
        <v>0</v>
      </c>
      <c r="V3226">
        <f>HLOOKUP("In Use MiB",'vInfo (Imported)'!$1:$5000,M3226,FALSE)</f>
        <v>0</v>
      </c>
    </row>
    <row r="3227" spans="1:22" ht="13" x14ac:dyDescent="0.3">
      <c r="A3227" s="46">
        <f>'vHosts (Imported)'!A3227</f>
        <v>0</v>
      </c>
      <c r="B3227" s="51">
        <f t="shared" si="150"/>
        <v>4968</v>
      </c>
      <c r="C3227" s="49">
        <f>HLOOKUP("# Cores",'vHosts (Imported)'!$1:$5000,M3227,FALSE)</f>
        <v>0</v>
      </c>
      <c r="D3227" s="52">
        <f>HLOOKUP("# Memory",'vHosts (Imported)'!$1:$5000,M3227,FALSE)</f>
        <v>0</v>
      </c>
      <c r="M3227" s="45">
        <f t="shared" si="152"/>
        <v>3227</v>
      </c>
      <c r="N3227" s="38">
        <f>HLOOKUP("Host",'vInfo (Imported)'!$1:$5000,M3227,FALSE)</f>
        <v>0</v>
      </c>
      <c r="R3227">
        <f>HLOOKUP("CPUs",'vInfo (Imported)'!$1:$5000,M3227,FALSE)</f>
        <v>0</v>
      </c>
      <c r="S3227">
        <f>HLOOKUP("Memory",'vInfo (Imported)'!$1:$5000,M3227,FALSE)</f>
        <v>0</v>
      </c>
      <c r="T3227">
        <f>HLOOKUP("Provisioned MiB",'vInfo (Imported)'!$1:$5000,M3227,FALSE)</f>
        <v>0</v>
      </c>
      <c r="U3227">
        <f t="shared" si="151"/>
        <v>0</v>
      </c>
      <c r="V3227">
        <f>HLOOKUP("In Use MiB",'vInfo (Imported)'!$1:$5000,M3227,FALSE)</f>
        <v>0</v>
      </c>
    </row>
    <row r="3228" spans="1:22" ht="13" x14ac:dyDescent="0.3">
      <c r="A3228" s="46">
        <f>'vHosts (Imported)'!A3228</f>
        <v>0</v>
      </c>
      <c r="B3228" s="51">
        <f t="shared" si="150"/>
        <v>4968</v>
      </c>
      <c r="C3228" s="49">
        <f>HLOOKUP("# Cores",'vHosts (Imported)'!$1:$5000,M3228,FALSE)</f>
        <v>0</v>
      </c>
      <c r="D3228" s="52">
        <f>HLOOKUP("# Memory",'vHosts (Imported)'!$1:$5000,M3228,FALSE)</f>
        <v>0</v>
      </c>
      <c r="M3228" s="45">
        <f t="shared" si="152"/>
        <v>3228</v>
      </c>
      <c r="N3228" s="38">
        <f>HLOOKUP("Host",'vInfo (Imported)'!$1:$5000,M3228,FALSE)</f>
        <v>0</v>
      </c>
      <c r="R3228">
        <f>HLOOKUP("CPUs",'vInfo (Imported)'!$1:$5000,M3228,FALSE)</f>
        <v>0</v>
      </c>
      <c r="S3228">
        <f>HLOOKUP("Memory",'vInfo (Imported)'!$1:$5000,M3228,FALSE)</f>
        <v>0</v>
      </c>
      <c r="T3228">
        <f>HLOOKUP("Provisioned MiB",'vInfo (Imported)'!$1:$5000,M3228,FALSE)</f>
        <v>0</v>
      </c>
      <c r="U3228">
        <f t="shared" si="151"/>
        <v>0</v>
      </c>
      <c r="V3228">
        <f>HLOOKUP("In Use MiB",'vInfo (Imported)'!$1:$5000,M3228,FALSE)</f>
        <v>0</v>
      </c>
    </row>
    <row r="3229" spans="1:22" ht="13" x14ac:dyDescent="0.3">
      <c r="A3229" s="46">
        <f>'vHosts (Imported)'!A3229</f>
        <v>0</v>
      </c>
      <c r="B3229" s="51">
        <f t="shared" si="150"/>
        <v>4968</v>
      </c>
      <c r="C3229" s="49">
        <f>HLOOKUP("# Cores",'vHosts (Imported)'!$1:$5000,M3229,FALSE)</f>
        <v>0</v>
      </c>
      <c r="D3229" s="52">
        <f>HLOOKUP("# Memory",'vHosts (Imported)'!$1:$5000,M3229,FALSE)</f>
        <v>0</v>
      </c>
      <c r="M3229" s="45">
        <f t="shared" si="152"/>
        <v>3229</v>
      </c>
      <c r="N3229" s="38">
        <f>HLOOKUP("Host",'vInfo (Imported)'!$1:$5000,M3229,FALSE)</f>
        <v>0</v>
      </c>
      <c r="R3229">
        <f>HLOOKUP("CPUs",'vInfo (Imported)'!$1:$5000,M3229,FALSE)</f>
        <v>0</v>
      </c>
      <c r="S3229">
        <f>HLOOKUP("Memory",'vInfo (Imported)'!$1:$5000,M3229,FALSE)</f>
        <v>0</v>
      </c>
      <c r="T3229">
        <f>HLOOKUP("Provisioned MiB",'vInfo (Imported)'!$1:$5000,M3229,FALSE)</f>
        <v>0</v>
      </c>
      <c r="U3229">
        <f t="shared" si="151"/>
        <v>0</v>
      </c>
      <c r="V3229">
        <f>HLOOKUP("In Use MiB",'vInfo (Imported)'!$1:$5000,M3229,FALSE)</f>
        <v>0</v>
      </c>
    </row>
    <row r="3230" spans="1:22" ht="13" x14ac:dyDescent="0.3">
      <c r="A3230" s="46">
        <f>'vHosts (Imported)'!A3230</f>
        <v>0</v>
      </c>
      <c r="B3230" s="51">
        <f t="shared" si="150"/>
        <v>4968</v>
      </c>
      <c r="C3230" s="49">
        <f>HLOOKUP("# Cores",'vHosts (Imported)'!$1:$5000,M3230,FALSE)</f>
        <v>0</v>
      </c>
      <c r="D3230" s="52">
        <f>HLOOKUP("# Memory",'vHosts (Imported)'!$1:$5000,M3230,FALSE)</f>
        <v>0</v>
      </c>
      <c r="M3230" s="45">
        <f t="shared" si="152"/>
        <v>3230</v>
      </c>
      <c r="N3230" s="38">
        <f>HLOOKUP("Host",'vInfo (Imported)'!$1:$5000,M3230,FALSE)</f>
        <v>0</v>
      </c>
      <c r="R3230">
        <f>HLOOKUP("CPUs",'vInfo (Imported)'!$1:$5000,M3230,FALSE)</f>
        <v>0</v>
      </c>
      <c r="S3230">
        <f>HLOOKUP("Memory",'vInfo (Imported)'!$1:$5000,M3230,FALSE)</f>
        <v>0</v>
      </c>
      <c r="T3230">
        <f>HLOOKUP("Provisioned MiB",'vInfo (Imported)'!$1:$5000,M3230,FALSE)</f>
        <v>0</v>
      </c>
      <c r="U3230">
        <f t="shared" si="151"/>
        <v>0</v>
      </c>
      <c r="V3230">
        <f>HLOOKUP("In Use MiB",'vInfo (Imported)'!$1:$5000,M3230,FALSE)</f>
        <v>0</v>
      </c>
    </row>
    <row r="3231" spans="1:22" ht="13" x14ac:dyDescent="0.3">
      <c r="A3231" s="46">
        <f>'vHosts (Imported)'!A3231</f>
        <v>0</v>
      </c>
      <c r="B3231" s="51">
        <f t="shared" si="150"/>
        <v>4968</v>
      </c>
      <c r="C3231" s="49">
        <f>HLOOKUP("# Cores",'vHosts (Imported)'!$1:$5000,M3231,FALSE)</f>
        <v>0</v>
      </c>
      <c r="D3231" s="52">
        <f>HLOOKUP("# Memory",'vHosts (Imported)'!$1:$5000,M3231,FALSE)</f>
        <v>0</v>
      </c>
      <c r="M3231" s="45">
        <f t="shared" si="152"/>
        <v>3231</v>
      </c>
      <c r="N3231" s="38">
        <f>HLOOKUP("Host",'vInfo (Imported)'!$1:$5000,M3231,FALSE)</f>
        <v>0</v>
      </c>
      <c r="R3231">
        <f>HLOOKUP("CPUs",'vInfo (Imported)'!$1:$5000,M3231,FALSE)</f>
        <v>0</v>
      </c>
      <c r="S3231">
        <f>HLOOKUP("Memory",'vInfo (Imported)'!$1:$5000,M3231,FALSE)</f>
        <v>0</v>
      </c>
      <c r="T3231">
        <f>HLOOKUP("Provisioned MiB",'vInfo (Imported)'!$1:$5000,M3231,FALSE)</f>
        <v>0</v>
      </c>
      <c r="U3231">
        <f t="shared" si="151"/>
        <v>0</v>
      </c>
      <c r="V3231">
        <f>HLOOKUP("In Use MiB",'vInfo (Imported)'!$1:$5000,M3231,FALSE)</f>
        <v>0</v>
      </c>
    </row>
    <row r="3232" spans="1:22" ht="13" x14ac:dyDescent="0.3">
      <c r="A3232" s="46">
        <f>'vHosts (Imported)'!A3232</f>
        <v>0</v>
      </c>
      <c r="B3232" s="51">
        <f t="shared" si="150"/>
        <v>4968</v>
      </c>
      <c r="C3232" s="49">
        <f>HLOOKUP("# Cores",'vHosts (Imported)'!$1:$5000,M3232,FALSE)</f>
        <v>0</v>
      </c>
      <c r="D3232" s="52">
        <f>HLOOKUP("# Memory",'vHosts (Imported)'!$1:$5000,M3232,FALSE)</f>
        <v>0</v>
      </c>
      <c r="M3232" s="45">
        <f t="shared" si="152"/>
        <v>3232</v>
      </c>
      <c r="N3232" s="38">
        <f>HLOOKUP("Host",'vInfo (Imported)'!$1:$5000,M3232,FALSE)</f>
        <v>0</v>
      </c>
      <c r="R3232">
        <f>HLOOKUP("CPUs",'vInfo (Imported)'!$1:$5000,M3232,FALSE)</f>
        <v>0</v>
      </c>
      <c r="S3232">
        <f>HLOOKUP("Memory",'vInfo (Imported)'!$1:$5000,M3232,FALSE)</f>
        <v>0</v>
      </c>
      <c r="T3232">
        <f>HLOOKUP("Provisioned MiB",'vInfo (Imported)'!$1:$5000,M3232,FALSE)</f>
        <v>0</v>
      </c>
      <c r="U3232">
        <f t="shared" si="151"/>
        <v>0</v>
      </c>
      <c r="V3232">
        <f>HLOOKUP("In Use MiB",'vInfo (Imported)'!$1:$5000,M3232,FALSE)</f>
        <v>0</v>
      </c>
    </row>
    <row r="3233" spans="1:22" ht="13" x14ac:dyDescent="0.3">
      <c r="A3233" s="46">
        <f>'vHosts (Imported)'!A3233</f>
        <v>0</v>
      </c>
      <c r="B3233" s="51">
        <f t="shared" si="150"/>
        <v>4968</v>
      </c>
      <c r="C3233" s="49">
        <f>HLOOKUP("# Cores",'vHosts (Imported)'!$1:$5000,M3233,FALSE)</f>
        <v>0</v>
      </c>
      <c r="D3233" s="52">
        <f>HLOOKUP("# Memory",'vHosts (Imported)'!$1:$5000,M3233,FALSE)</f>
        <v>0</v>
      </c>
      <c r="M3233" s="45">
        <f t="shared" si="152"/>
        <v>3233</v>
      </c>
      <c r="N3233" s="38">
        <f>HLOOKUP("Host",'vInfo (Imported)'!$1:$5000,M3233,FALSE)</f>
        <v>0</v>
      </c>
      <c r="R3233">
        <f>HLOOKUP("CPUs",'vInfo (Imported)'!$1:$5000,M3233,FALSE)</f>
        <v>0</v>
      </c>
      <c r="S3233">
        <f>HLOOKUP("Memory",'vInfo (Imported)'!$1:$5000,M3233,FALSE)</f>
        <v>0</v>
      </c>
      <c r="T3233">
        <f>HLOOKUP("Provisioned MiB",'vInfo (Imported)'!$1:$5000,M3233,FALSE)</f>
        <v>0</v>
      </c>
      <c r="U3233">
        <f t="shared" si="151"/>
        <v>0</v>
      </c>
      <c r="V3233">
        <f>HLOOKUP("In Use MiB",'vInfo (Imported)'!$1:$5000,M3233,FALSE)</f>
        <v>0</v>
      </c>
    </row>
    <row r="3234" spans="1:22" ht="13" x14ac:dyDescent="0.3">
      <c r="A3234" s="46">
        <f>'vHosts (Imported)'!A3234</f>
        <v>0</v>
      </c>
      <c r="B3234" s="51">
        <f t="shared" si="150"/>
        <v>4968</v>
      </c>
      <c r="C3234" s="49">
        <f>HLOOKUP("# Cores",'vHosts (Imported)'!$1:$5000,M3234,FALSE)</f>
        <v>0</v>
      </c>
      <c r="D3234" s="52">
        <f>HLOOKUP("# Memory",'vHosts (Imported)'!$1:$5000,M3234,FALSE)</f>
        <v>0</v>
      </c>
      <c r="M3234" s="45">
        <f t="shared" si="152"/>
        <v>3234</v>
      </c>
      <c r="N3234" s="38">
        <f>HLOOKUP("Host",'vInfo (Imported)'!$1:$5000,M3234,FALSE)</f>
        <v>0</v>
      </c>
      <c r="R3234">
        <f>HLOOKUP("CPUs",'vInfo (Imported)'!$1:$5000,M3234,FALSE)</f>
        <v>0</v>
      </c>
      <c r="S3234">
        <f>HLOOKUP("Memory",'vInfo (Imported)'!$1:$5000,M3234,FALSE)</f>
        <v>0</v>
      </c>
      <c r="T3234">
        <f>HLOOKUP("Provisioned MiB",'vInfo (Imported)'!$1:$5000,M3234,FALSE)</f>
        <v>0</v>
      </c>
      <c r="U3234">
        <f t="shared" si="151"/>
        <v>0</v>
      </c>
      <c r="V3234">
        <f>HLOOKUP("In Use MiB",'vInfo (Imported)'!$1:$5000,M3234,FALSE)</f>
        <v>0</v>
      </c>
    </row>
    <row r="3235" spans="1:22" ht="13" x14ac:dyDescent="0.3">
      <c r="A3235" s="46">
        <f>'vHosts (Imported)'!A3235</f>
        <v>0</v>
      </c>
      <c r="B3235" s="51">
        <f t="shared" si="150"/>
        <v>4968</v>
      </c>
      <c r="C3235" s="49">
        <f>HLOOKUP("# Cores",'vHosts (Imported)'!$1:$5000,M3235,FALSE)</f>
        <v>0</v>
      </c>
      <c r="D3235" s="52">
        <f>HLOOKUP("# Memory",'vHosts (Imported)'!$1:$5000,M3235,FALSE)</f>
        <v>0</v>
      </c>
      <c r="M3235" s="45">
        <f t="shared" si="152"/>
        <v>3235</v>
      </c>
      <c r="N3235" s="38">
        <f>HLOOKUP("Host",'vInfo (Imported)'!$1:$5000,M3235,FALSE)</f>
        <v>0</v>
      </c>
      <c r="R3235">
        <f>HLOOKUP("CPUs",'vInfo (Imported)'!$1:$5000,M3235,FALSE)</f>
        <v>0</v>
      </c>
      <c r="S3235">
        <f>HLOOKUP("Memory",'vInfo (Imported)'!$1:$5000,M3235,FALSE)</f>
        <v>0</v>
      </c>
      <c r="T3235">
        <f>HLOOKUP("Provisioned MiB",'vInfo (Imported)'!$1:$5000,M3235,FALSE)</f>
        <v>0</v>
      </c>
      <c r="U3235">
        <f t="shared" si="151"/>
        <v>0</v>
      </c>
      <c r="V3235">
        <f>HLOOKUP("In Use MiB",'vInfo (Imported)'!$1:$5000,M3235,FALSE)</f>
        <v>0</v>
      </c>
    </row>
    <row r="3236" spans="1:22" ht="13" x14ac:dyDescent="0.3">
      <c r="A3236" s="46">
        <f>'vHosts (Imported)'!A3236</f>
        <v>0</v>
      </c>
      <c r="B3236" s="51">
        <f t="shared" si="150"/>
        <v>4968</v>
      </c>
      <c r="C3236" s="49">
        <f>HLOOKUP("# Cores",'vHosts (Imported)'!$1:$5000,M3236,FALSE)</f>
        <v>0</v>
      </c>
      <c r="D3236" s="52">
        <f>HLOOKUP("# Memory",'vHosts (Imported)'!$1:$5000,M3236,FALSE)</f>
        <v>0</v>
      </c>
      <c r="M3236" s="45">
        <f t="shared" si="152"/>
        <v>3236</v>
      </c>
      <c r="N3236" s="38">
        <f>HLOOKUP("Host",'vInfo (Imported)'!$1:$5000,M3236,FALSE)</f>
        <v>0</v>
      </c>
      <c r="R3236">
        <f>HLOOKUP("CPUs",'vInfo (Imported)'!$1:$5000,M3236,FALSE)</f>
        <v>0</v>
      </c>
      <c r="S3236">
        <f>HLOOKUP("Memory",'vInfo (Imported)'!$1:$5000,M3236,FALSE)</f>
        <v>0</v>
      </c>
      <c r="T3236">
        <f>HLOOKUP("Provisioned MiB",'vInfo (Imported)'!$1:$5000,M3236,FALSE)</f>
        <v>0</v>
      </c>
      <c r="U3236">
        <f t="shared" si="151"/>
        <v>0</v>
      </c>
      <c r="V3236">
        <f>HLOOKUP("In Use MiB",'vInfo (Imported)'!$1:$5000,M3236,FALSE)</f>
        <v>0</v>
      </c>
    </row>
    <row r="3237" spans="1:22" ht="13" x14ac:dyDescent="0.3">
      <c r="A3237" s="46">
        <f>'vHosts (Imported)'!A3237</f>
        <v>0</v>
      </c>
      <c r="B3237" s="51">
        <f t="shared" si="150"/>
        <v>4968</v>
      </c>
      <c r="C3237" s="49">
        <f>HLOOKUP("# Cores",'vHosts (Imported)'!$1:$5000,M3237,FALSE)</f>
        <v>0</v>
      </c>
      <c r="D3237" s="52">
        <f>HLOOKUP("# Memory",'vHosts (Imported)'!$1:$5000,M3237,FALSE)</f>
        <v>0</v>
      </c>
      <c r="M3237" s="45">
        <f t="shared" si="152"/>
        <v>3237</v>
      </c>
      <c r="N3237" s="38">
        <f>HLOOKUP("Host",'vInfo (Imported)'!$1:$5000,M3237,FALSE)</f>
        <v>0</v>
      </c>
      <c r="R3237">
        <f>HLOOKUP("CPUs",'vInfo (Imported)'!$1:$5000,M3237,FALSE)</f>
        <v>0</v>
      </c>
      <c r="S3237">
        <f>HLOOKUP("Memory",'vInfo (Imported)'!$1:$5000,M3237,FALSE)</f>
        <v>0</v>
      </c>
      <c r="T3237">
        <f>HLOOKUP("Provisioned MiB",'vInfo (Imported)'!$1:$5000,M3237,FALSE)</f>
        <v>0</v>
      </c>
      <c r="U3237">
        <f t="shared" si="151"/>
        <v>0</v>
      </c>
      <c r="V3237">
        <f>HLOOKUP("In Use MiB",'vInfo (Imported)'!$1:$5000,M3237,FALSE)</f>
        <v>0</v>
      </c>
    </row>
    <row r="3238" spans="1:22" ht="13" x14ac:dyDescent="0.3">
      <c r="A3238" s="46">
        <f>'vHosts (Imported)'!A3238</f>
        <v>0</v>
      </c>
      <c r="B3238" s="51">
        <f t="shared" si="150"/>
        <v>4968</v>
      </c>
      <c r="C3238" s="49">
        <f>HLOOKUP("# Cores",'vHosts (Imported)'!$1:$5000,M3238,FALSE)</f>
        <v>0</v>
      </c>
      <c r="D3238" s="52">
        <f>HLOOKUP("# Memory",'vHosts (Imported)'!$1:$5000,M3238,FALSE)</f>
        <v>0</v>
      </c>
      <c r="M3238" s="45">
        <f t="shared" si="152"/>
        <v>3238</v>
      </c>
      <c r="N3238" s="38">
        <f>HLOOKUP("Host",'vInfo (Imported)'!$1:$5000,M3238,FALSE)</f>
        <v>0</v>
      </c>
      <c r="R3238">
        <f>HLOOKUP("CPUs",'vInfo (Imported)'!$1:$5000,M3238,FALSE)</f>
        <v>0</v>
      </c>
      <c r="S3238">
        <f>HLOOKUP("Memory",'vInfo (Imported)'!$1:$5000,M3238,FALSE)</f>
        <v>0</v>
      </c>
      <c r="T3238">
        <f>HLOOKUP("Provisioned MiB",'vInfo (Imported)'!$1:$5000,M3238,FALSE)</f>
        <v>0</v>
      </c>
      <c r="U3238">
        <f t="shared" si="151"/>
        <v>0</v>
      </c>
      <c r="V3238">
        <f>HLOOKUP("In Use MiB",'vInfo (Imported)'!$1:$5000,M3238,FALSE)</f>
        <v>0</v>
      </c>
    </row>
    <row r="3239" spans="1:22" ht="13" x14ac:dyDescent="0.3">
      <c r="A3239" s="46">
        <f>'vHosts (Imported)'!A3239</f>
        <v>0</v>
      </c>
      <c r="B3239" s="51">
        <f t="shared" si="150"/>
        <v>4968</v>
      </c>
      <c r="C3239" s="49">
        <f>HLOOKUP("# Cores",'vHosts (Imported)'!$1:$5000,M3239,FALSE)</f>
        <v>0</v>
      </c>
      <c r="D3239" s="52">
        <f>HLOOKUP("# Memory",'vHosts (Imported)'!$1:$5000,M3239,FALSE)</f>
        <v>0</v>
      </c>
      <c r="M3239" s="45">
        <f t="shared" si="152"/>
        <v>3239</v>
      </c>
      <c r="N3239" s="38">
        <f>HLOOKUP("Host",'vInfo (Imported)'!$1:$5000,M3239,FALSE)</f>
        <v>0</v>
      </c>
      <c r="R3239">
        <f>HLOOKUP("CPUs",'vInfo (Imported)'!$1:$5000,M3239,FALSE)</f>
        <v>0</v>
      </c>
      <c r="S3239">
        <f>HLOOKUP("Memory",'vInfo (Imported)'!$1:$5000,M3239,FALSE)</f>
        <v>0</v>
      </c>
      <c r="T3239">
        <f>HLOOKUP("Provisioned MiB",'vInfo (Imported)'!$1:$5000,M3239,FALSE)</f>
        <v>0</v>
      </c>
      <c r="U3239">
        <f t="shared" si="151"/>
        <v>0</v>
      </c>
      <c r="V3239">
        <f>HLOOKUP("In Use MiB",'vInfo (Imported)'!$1:$5000,M3239,FALSE)</f>
        <v>0</v>
      </c>
    </row>
    <row r="3240" spans="1:22" ht="13" x14ac:dyDescent="0.3">
      <c r="A3240" s="46">
        <f>'vHosts (Imported)'!A3240</f>
        <v>0</v>
      </c>
      <c r="B3240" s="51">
        <f t="shared" ref="B3240:B3303" si="153">COUNTIF(N:N,A3240)</f>
        <v>4968</v>
      </c>
      <c r="C3240" s="49">
        <f>HLOOKUP("# Cores",'vHosts (Imported)'!$1:$5000,M3240,FALSE)</f>
        <v>0</v>
      </c>
      <c r="D3240" s="52">
        <f>HLOOKUP("# Memory",'vHosts (Imported)'!$1:$5000,M3240,FALSE)</f>
        <v>0</v>
      </c>
      <c r="M3240" s="45">
        <f t="shared" si="152"/>
        <v>3240</v>
      </c>
      <c r="N3240" s="38">
        <f>HLOOKUP("Host",'vInfo (Imported)'!$1:$5000,M3240,FALSE)</f>
        <v>0</v>
      </c>
      <c r="R3240">
        <f>HLOOKUP("CPUs",'vInfo (Imported)'!$1:$5000,M3240,FALSE)</f>
        <v>0</v>
      </c>
      <c r="S3240">
        <f>HLOOKUP("Memory",'vInfo (Imported)'!$1:$5000,M3240,FALSE)</f>
        <v>0</v>
      </c>
      <c r="T3240">
        <f>HLOOKUP("Provisioned MiB",'vInfo (Imported)'!$1:$5000,M3240,FALSE)</f>
        <v>0</v>
      </c>
      <c r="U3240">
        <f t="shared" si="151"/>
        <v>0</v>
      </c>
      <c r="V3240">
        <f>HLOOKUP("In Use MiB",'vInfo (Imported)'!$1:$5000,M3240,FALSE)</f>
        <v>0</v>
      </c>
    </row>
    <row r="3241" spans="1:22" ht="13" x14ac:dyDescent="0.3">
      <c r="A3241" s="46">
        <f>'vHosts (Imported)'!A3241</f>
        <v>0</v>
      </c>
      <c r="B3241" s="51">
        <f t="shared" si="153"/>
        <v>4968</v>
      </c>
      <c r="C3241" s="49">
        <f>HLOOKUP("# Cores",'vHosts (Imported)'!$1:$5000,M3241,FALSE)</f>
        <v>0</v>
      </c>
      <c r="D3241" s="52">
        <f>HLOOKUP("# Memory",'vHosts (Imported)'!$1:$5000,M3241,FALSE)</f>
        <v>0</v>
      </c>
      <c r="M3241" s="45">
        <f t="shared" si="152"/>
        <v>3241</v>
      </c>
      <c r="N3241" s="38">
        <f>HLOOKUP("Host",'vInfo (Imported)'!$1:$5000,M3241,FALSE)</f>
        <v>0</v>
      </c>
      <c r="R3241">
        <f>HLOOKUP("CPUs",'vInfo (Imported)'!$1:$5000,M3241,FALSE)</f>
        <v>0</v>
      </c>
      <c r="S3241">
        <f>HLOOKUP("Memory",'vInfo (Imported)'!$1:$5000,M3241,FALSE)</f>
        <v>0</v>
      </c>
      <c r="T3241">
        <f>HLOOKUP("Provisioned MiB",'vInfo (Imported)'!$1:$5000,M3241,FALSE)</f>
        <v>0</v>
      </c>
      <c r="U3241">
        <f t="shared" si="151"/>
        <v>0</v>
      </c>
      <c r="V3241">
        <f>HLOOKUP("In Use MiB",'vInfo (Imported)'!$1:$5000,M3241,FALSE)</f>
        <v>0</v>
      </c>
    </row>
    <row r="3242" spans="1:22" ht="13" x14ac:dyDescent="0.3">
      <c r="A3242" s="46">
        <f>'vHosts (Imported)'!A3242</f>
        <v>0</v>
      </c>
      <c r="B3242" s="51">
        <f t="shared" si="153"/>
        <v>4968</v>
      </c>
      <c r="C3242" s="49">
        <f>HLOOKUP("# Cores",'vHosts (Imported)'!$1:$5000,M3242,FALSE)</f>
        <v>0</v>
      </c>
      <c r="D3242" s="52">
        <f>HLOOKUP("# Memory",'vHosts (Imported)'!$1:$5000,M3242,FALSE)</f>
        <v>0</v>
      </c>
      <c r="M3242" s="45">
        <f t="shared" si="152"/>
        <v>3242</v>
      </c>
      <c r="N3242" s="38">
        <f>HLOOKUP("Host",'vInfo (Imported)'!$1:$5000,M3242,FALSE)</f>
        <v>0</v>
      </c>
      <c r="R3242">
        <f>HLOOKUP("CPUs",'vInfo (Imported)'!$1:$5000,M3242,FALSE)</f>
        <v>0</v>
      </c>
      <c r="S3242">
        <f>HLOOKUP("Memory",'vInfo (Imported)'!$1:$5000,M3242,FALSE)</f>
        <v>0</v>
      </c>
      <c r="T3242">
        <f>HLOOKUP("Provisioned MiB",'vInfo (Imported)'!$1:$5000,M3242,FALSE)</f>
        <v>0</v>
      </c>
      <c r="U3242">
        <f t="shared" si="151"/>
        <v>0</v>
      </c>
      <c r="V3242">
        <f>HLOOKUP("In Use MiB",'vInfo (Imported)'!$1:$5000,M3242,FALSE)</f>
        <v>0</v>
      </c>
    </row>
    <row r="3243" spans="1:22" ht="13" x14ac:dyDescent="0.3">
      <c r="A3243" s="46">
        <f>'vHosts (Imported)'!A3243</f>
        <v>0</v>
      </c>
      <c r="B3243" s="51">
        <f t="shared" si="153"/>
        <v>4968</v>
      </c>
      <c r="C3243" s="49">
        <f>HLOOKUP("# Cores",'vHosts (Imported)'!$1:$5000,M3243,FALSE)</f>
        <v>0</v>
      </c>
      <c r="D3243" s="52">
        <f>HLOOKUP("# Memory",'vHosts (Imported)'!$1:$5000,M3243,FALSE)</f>
        <v>0</v>
      </c>
      <c r="M3243" s="45">
        <f t="shared" si="152"/>
        <v>3243</v>
      </c>
      <c r="N3243" s="38">
        <f>HLOOKUP("Host",'vInfo (Imported)'!$1:$5000,M3243,FALSE)</f>
        <v>0</v>
      </c>
      <c r="R3243">
        <f>HLOOKUP("CPUs",'vInfo (Imported)'!$1:$5000,M3243,FALSE)</f>
        <v>0</v>
      </c>
      <c r="S3243">
        <f>HLOOKUP("Memory",'vInfo (Imported)'!$1:$5000,M3243,FALSE)</f>
        <v>0</v>
      </c>
      <c r="T3243">
        <f>HLOOKUP("Provisioned MiB",'vInfo (Imported)'!$1:$5000,M3243,FALSE)</f>
        <v>0</v>
      </c>
      <c r="U3243">
        <f t="shared" si="151"/>
        <v>0</v>
      </c>
      <c r="V3243">
        <f>HLOOKUP("In Use MiB",'vInfo (Imported)'!$1:$5000,M3243,FALSE)</f>
        <v>0</v>
      </c>
    </row>
    <row r="3244" spans="1:22" ht="13" x14ac:dyDescent="0.3">
      <c r="A3244" s="46">
        <f>'vHosts (Imported)'!A3244</f>
        <v>0</v>
      </c>
      <c r="B3244" s="51">
        <f t="shared" si="153"/>
        <v>4968</v>
      </c>
      <c r="C3244" s="49">
        <f>HLOOKUP("# Cores",'vHosts (Imported)'!$1:$5000,M3244,FALSE)</f>
        <v>0</v>
      </c>
      <c r="D3244" s="52">
        <f>HLOOKUP("# Memory",'vHosts (Imported)'!$1:$5000,M3244,FALSE)</f>
        <v>0</v>
      </c>
      <c r="M3244" s="45">
        <f t="shared" si="152"/>
        <v>3244</v>
      </c>
      <c r="N3244" s="38">
        <f>HLOOKUP("Host",'vInfo (Imported)'!$1:$5000,M3244,FALSE)</f>
        <v>0</v>
      </c>
      <c r="R3244">
        <f>HLOOKUP("CPUs",'vInfo (Imported)'!$1:$5000,M3244,FALSE)</f>
        <v>0</v>
      </c>
      <c r="S3244">
        <f>HLOOKUP("Memory",'vInfo (Imported)'!$1:$5000,M3244,FALSE)</f>
        <v>0</v>
      </c>
      <c r="T3244">
        <f>HLOOKUP("Provisioned MiB",'vInfo (Imported)'!$1:$5000,M3244,FALSE)</f>
        <v>0</v>
      </c>
      <c r="U3244">
        <f t="shared" si="151"/>
        <v>0</v>
      </c>
      <c r="V3244">
        <f>HLOOKUP("In Use MiB",'vInfo (Imported)'!$1:$5000,M3244,FALSE)</f>
        <v>0</v>
      </c>
    </row>
    <row r="3245" spans="1:22" ht="13" x14ac:dyDescent="0.3">
      <c r="A3245" s="46">
        <f>'vHosts (Imported)'!A3245</f>
        <v>0</v>
      </c>
      <c r="B3245" s="51">
        <f t="shared" si="153"/>
        <v>4968</v>
      </c>
      <c r="C3245" s="49">
        <f>HLOOKUP("# Cores",'vHosts (Imported)'!$1:$5000,M3245,FALSE)</f>
        <v>0</v>
      </c>
      <c r="D3245" s="52">
        <f>HLOOKUP("# Memory",'vHosts (Imported)'!$1:$5000,M3245,FALSE)</f>
        <v>0</v>
      </c>
      <c r="M3245" s="45">
        <f t="shared" si="152"/>
        <v>3245</v>
      </c>
      <c r="N3245" s="38">
        <f>HLOOKUP("Host",'vInfo (Imported)'!$1:$5000,M3245,FALSE)</f>
        <v>0</v>
      </c>
      <c r="R3245">
        <f>HLOOKUP("CPUs",'vInfo (Imported)'!$1:$5000,M3245,FALSE)</f>
        <v>0</v>
      </c>
      <c r="S3245">
        <f>HLOOKUP("Memory",'vInfo (Imported)'!$1:$5000,M3245,FALSE)</f>
        <v>0</v>
      </c>
      <c r="T3245">
        <f>HLOOKUP("Provisioned MiB",'vInfo (Imported)'!$1:$5000,M3245,FALSE)</f>
        <v>0</v>
      </c>
      <c r="U3245">
        <f t="shared" si="151"/>
        <v>0</v>
      </c>
      <c r="V3245">
        <f>HLOOKUP("In Use MiB",'vInfo (Imported)'!$1:$5000,M3245,FALSE)</f>
        <v>0</v>
      </c>
    </row>
    <row r="3246" spans="1:22" ht="13" x14ac:dyDescent="0.3">
      <c r="A3246" s="46">
        <f>'vHosts (Imported)'!A3246</f>
        <v>0</v>
      </c>
      <c r="B3246" s="51">
        <f t="shared" si="153"/>
        <v>4968</v>
      </c>
      <c r="C3246" s="49">
        <f>HLOOKUP("# Cores",'vHosts (Imported)'!$1:$5000,M3246,FALSE)</f>
        <v>0</v>
      </c>
      <c r="D3246" s="52">
        <f>HLOOKUP("# Memory",'vHosts (Imported)'!$1:$5000,M3246,FALSE)</f>
        <v>0</v>
      </c>
      <c r="M3246" s="45">
        <f t="shared" si="152"/>
        <v>3246</v>
      </c>
      <c r="N3246" s="38">
        <f>HLOOKUP("Host",'vInfo (Imported)'!$1:$5000,M3246,FALSE)</f>
        <v>0</v>
      </c>
      <c r="R3246">
        <f>HLOOKUP("CPUs",'vInfo (Imported)'!$1:$5000,M3246,FALSE)</f>
        <v>0</v>
      </c>
      <c r="S3246">
        <f>HLOOKUP("Memory",'vInfo (Imported)'!$1:$5000,M3246,FALSE)</f>
        <v>0</v>
      </c>
      <c r="T3246">
        <f>HLOOKUP("Provisioned MiB",'vInfo (Imported)'!$1:$5000,M3246,FALSE)</f>
        <v>0</v>
      </c>
      <c r="U3246">
        <f t="shared" si="151"/>
        <v>0</v>
      </c>
      <c r="V3246">
        <f>HLOOKUP("In Use MiB",'vInfo (Imported)'!$1:$5000,M3246,FALSE)</f>
        <v>0</v>
      </c>
    </row>
    <row r="3247" spans="1:22" ht="13" x14ac:dyDescent="0.3">
      <c r="A3247" s="46">
        <f>'vHosts (Imported)'!A3247</f>
        <v>0</v>
      </c>
      <c r="B3247" s="51">
        <f t="shared" si="153"/>
        <v>4968</v>
      </c>
      <c r="C3247" s="49">
        <f>HLOOKUP("# Cores",'vHosts (Imported)'!$1:$5000,M3247,FALSE)</f>
        <v>0</v>
      </c>
      <c r="D3247" s="52">
        <f>HLOOKUP("# Memory",'vHosts (Imported)'!$1:$5000,M3247,FALSE)</f>
        <v>0</v>
      </c>
      <c r="M3247" s="45">
        <f t="shared" si="152"/>
        <v>3247</v>
      </c>
      <c r="N3247" s="38">
        <f>HLOOKUP("Host",'vInfo (Imported)'!$1:$5000,M3247,FALSE)</f>
        <v>0</v>
      </c>
      <c r="R3247">
        <f>HLOOKUP("CPUs",'vInfo (Imported)'!$1:$5000,M3247,FALSE)</f>
        <v>0</v>
      </c>
      <c r="S3247">
        <f>HLOOKUP("Memory",'vInfo (Imported)'!$1:$5000,M3247,FALSE)</f>
        <v>0</v>
      </c>
      <c r="T3247">
        <f>HLOOKUP("Provisioned MiB",'vInfo (Imported)'!$1:$5000,M3247,FALSE)</f>
        <v>0</v>
      </c>
      <c r="U3247">
        <f t="shared" si="151"/>
        <v>0</v>
      </c>
      <c r="V3247">
        <f>HLOOKUP("In Use MiB",'vInfo (Imported)'!$1:$5000,M3247,FALSE)</f>
        <v>0</v>
      </c>
    </row>
    <row r="3248" spans="1:22" ht="13" x14ac:dyDescent="0.3">
      <c r="A3248" s="46">
        <f>'vHosts (Imported)'!A3248</f>
        <v>0</v>
      </c>
      <c r="B3248" s="51">
        <f t="shared" si="153"/>
        <v>4968</v>
      </c>
      <c r="C3248" s="49">
        <f>HLOOKUP("# Cores",'vHosts (Imported)'!$1:$5000,M3248,FALSE)</f>
        <v>0</v>
      </c>
      <c r="D3248" s="52">
        <f>HLOOKUP("# Memory",'vHosts (Imported)'!$1:$5000,M3248,FALSE)</f>
        <v>0</v>
      </c>
      <c r="M3248" s="45">
        <f t="shared" si="152"/>
        <v>3248</v>
      </c>
      <c r="N3248" s="38">
        <f>HLOOKUP("Host",'vInfo (Imported)'!$1:$5000,M3248,FALSE)</f>
        <v>0</v>
      </c>
      <c r="R3248">
        <f>HLOOKUP("CPUs",'vInfo (Imported)'!$1:$5000,M3248,FALSE)</f>
        <v>0</v>
      </c>
      <c r="S3248">
        <f>HLOOKUP("Memory",'vInfo (Imported)'!$1:$5000,M3248,FALSE)</f>
        <v>0</v>
      </c>
      <c r="T3248">
        <f>HLOOKUP("Provisioned MiB",'vInfo (Imported)'!$1:$5000,M3248,FALSE)</f>
        <v>0</v>
      </c>
      <c r="U3248">
        <f t="shared" si="151"/>
        <v>0</v>
      </c>
      <c r="V3248">
        <f>HLOOKUP("In Use MiB",'vInfo (Imported)'!$1:$5000,M3248,FALSE)</f>
        <v>0</v>
      </c>
    </row>
    <row r="3249" spans="1:22" ht="13" x14ac:dyDescent="0.3">
      <c r="A3249" s="46">
        <f>'vHosts (Imported)'!A3249</f>
        <v>0</v>
      </c>
      <c r="B3249" s="51">
        <f t="shared" si="153"/>
        <v>4968</v>
      </c>
      <c r="C3249" s="49">
        <f>HLOOKUP("# Cores",'vHosts (Imported)'!$1:$5000,M3249,FALSE)</f>
        <v>0</v>
      </c>
      <c r="D3249" s="52">
        <f>HLOOKUP("# Memory",'vHosts (Imported)'!$1:$5000,M3249,FALSE)</f>
        <v>0</v>
      </c>
      <c r="M3249" s="45">
        <f t="shared" si="152"/>
        <v>3249</v>
      </c>
      <c r="N3249" s="38">
        <f>HLOOKUP("Host",'vInfo (Imported)'!$1:$5000,M3249,FALSE)</f>
        <v>0</v>
      </c>
      <c r="R3249">
        <f>HLOOKUP("CPUs",'vInfo (Imported)'!$1:$5000,M3249,FALSE)</f>
        <v>0</v>
      </c>
      <c r="S3249">
        <f>HLOOKUP("Memory",'vInfo (Imported)'!$1:$5000,M3249,FALSE)</f>
        <v>0</v>
      </c>
      <c r="T3249">
        <f>HLOOKUP("Provisioned MiB",'vInfo (Imported)'!$1:$5000,M3249,FALSE)</f>
        <v>0</v>
      </c>
      <c r="U3249">
        <f t="shared" si="151"/>
        <v>0</v>
      </c>
      <c r="V3249">
        <f>HLOOKUP("In Use MiB",'vInfo (Imported)'!$1:$5000,M3249,FALSE)</f>
        <v>0</v>
      </c>
    </row>
    <row r="3250" spans="1:22" ht="13" x14ac:dyDescent="0.3">
      <c r="A3250" s="46">
        <f>'vHosts (Imported)'!A3250</f>
        <v>0</v>
      </c>
      <c r="B3250" s="51">
        <f t="shared" si="153"/>
        <v>4968</v>
      </c>
      <c r="C3250" s="49">
        <f>HLOOKUP("# Cores",'vHosts (Imported)'!$1:$5000,M3250,FALSE)</f>
        <v>0</v>
      </c>
      <c r="D3250" s="52">
        <f>HLOOKUP("# Memory",'vHosts (Imported)'!$1:$5000,M3250,FALSE)</f>
        <v>0</v>
      </c>
      <c r="M3250" s="45">
        <f t="shared" si="152"/>
        <v>3250</v>
      </c>
      <c r="N3250" s="38">
        <f>HLOOKUP("Host",'vInfo (Imported)'!$1:$5000,M3250,FALSE)</f>
        <v>0</v>
      </c>
      <c r="R3250">
        <f>HLOOKUP("CPUs",'vInfo (Imported)'!$1:$5000,M3250,FALSE)</f>
        <v>0</v>
      </c>
      <c r="S3250">
        <f>HLOOKUP("Memory",'vInfo (Imported)'!$1:$5000,M3250,FALSE)</f>
        <v>0</v>
      </c>
      <c r="T3250">
        <f>HLOOKUP("Provisioned MiB",'vInfo (Imported)'!$1:$5000,M3250,FALSE)</f>
        <v>0</v>
      </c>
      <c r="U3250">
        <f t="shared" si="151"/>
        <v>0</v>
      </c>
      <c r="V3250">
        <f>HLOOKUP("In Use MiB",'vInfo (Imported)'!$1:$5000,M3250,FALSE)</f>
        <v>0</v>
      </c>
    </row>
    <row r="3251" spans="1:22" ht="13" x14ac:dyDescent="0.3">
      <c r="A3251" s="46">
        <f>'vHosts (Imported)'!A3251</f>
        <v>0</v>
      </c>
      <c r="B3251" s="51">
        <f t="shared" si="153"/>
        <v>4968</v>
      </c>
      <c r="C3251" s="49">
        <f>HLOOKUP("# Cores",'vHosts (Imported)'!$1:$5000,M3251,FALSE)</f>
        <v>0</v>
      </c>
      <c r="D3251" s="52">
        <f>HLOOKUP("# Memory",'vHosts (Imported)'!$1:$5000,M3251,FALSE)</f>
        <v>0</v>
      </c>
      <c r="M3251" s="45">
        <f t="shared" si="152"/>
        <v>3251</v>
      </c>
      <c r="N3251" s="38">
        <f>HLOOKUP("Host",'vInfo (Imported)'!$1:$5000,M3251,FALSE)</f>
        <v>0</v>
      </c>
      <c r="R3251">
        <f>HLOOKUP("CPUs",'vInfo (Imported)'!$1:$5000,M3251,FALSE)</f>
        <v>0</v>
      </c>
      <c r="S3251">
        <f>HLOOKUP("Memory",'vInfo (Imported)'!$1:$5000,M3251,FALSE)</f>
        <v>0</v>
      </c>
      <c r="T3251">
        <f>HLOOKUP("Provisioned MiB",'vInfo (Imported)'!$1:$5000,M3251,FALSE)</f>
        <v>0</v>
      </c>
      <c r="U3251">
        <f t="shared" si="151"/>
        <v>0</v>
      </c>
      <c r="V3251">
        <f>HLOOKUP("In Use MiB",'vInfo (Imported)'!$1:$5000,M3251,FALSE)</f>
        <v>0</v>
      </c>
    </row>
    <row r="3252" spans="1:22" ht="13" x14ac:dyDescent="0.3">
      <c r="A3252" s="46">
        <f>'vHosts (Imported)'!A3252</f>
        <v>0</v>
      </c>
      <c r="B3252" s="51">
        <f t="shared" si="153"/>
        <v>4968</v>
      </c>
      <c r="C3252" s="49">
        <f>HLOOKUP("# Cores",'vHosts (Imported)'!$1:$5000,M3252,FALSE)</f>
        <v>0</v>
      </c>
      <c r="D3252" s="52">
        <f>HLOOKUP("# Memory",'vHosts (Imported)'!$1:$5000,M3252,FALSE)</f>
        <v>0</v>
      </c>
      <c r="M3252" s="45">
        <f t="shared" si="152"/>
        <v>3252</v>
      </c>
      <c r="N3252" s="38">
        <f>HLOOKUP("Host",'vInfo (Imported)'!$1:$5000,M3252,FALSE)</f>
        <v>0</v>
      </c>
      <c r="R3252">
        <f>HLOOKUP("CPUs",'vInfo (Imported)'!$1:$5000,M3252,FALSE)</f>
        <v>0</v>
      </c>
      <c r="S3252">
        <f>HLOOKUP("Memory",'vInfo (Imported)'!$1:$5000,M3252,FALSE)</f>
        <v>0</v>
      </c>
      <c r="T3252">
        <f>HLOOKUP("Provisioned MiB",'vInfo (Imported)'!$1:$5000,M3252,FALSE)</f>
        <v>0</v>
      </c>
      <c r="U3252">
        <f t="shared" si="151"/>
        <v>0</v>
      </c>
      <c r="V3252">
        <f>HLOOKUP("In Use MiB",'vInfo (Imported)'!$1:$5000,M3252,FALSE)</f>
        <v>0</v>
      </c>
    </row>
    <row r="3253" spans="1:22" ht="13" x14ac:dyDescent="0.3">
      <c r="A3253" s="46">
        <f>'vHosts (Imported)'!A3253</f>
        <v>0</v>
      </c>
      <c r="B3253" s="51">
        <f t="shared" si="153"/>
        <v>4968</v>
      </c>
      <c r="C3253" s="49">
        <f>HLOOKUP("# Cores",'vHosts (Imported)'!$1:$5000,M3253,FALSE)</f>
        <v>0</v>
      </c>
      <c r="D3253" s="52">
        <f>HLOOKUP("# Memory",'vHosts (Imported)'!$1:$5000,M3253,FALSE)</f>
        <v>0</v>
      </c>
      <c r="M3253" s="45">
        <f t="shared" si="152"/>
        <v>3253</v>
      </c>
      <c r="N3253" s="38">
        <f>HLOOKUP("Host",'vInfo (Imported)'!$1:$5000,M3253,FALSE)</f>
        <v>0</v>
      </c>
      <c r="R3253">
        <f>HLOOKUP("CPUs",'vInfo (Imported)'!$1:$5000,M3253,FALSE)</f>
        <v>0</v>
      </c>
      <c r="S3253">
        <f>HLOOKUP("Memory",'vInfo (Imported)'!$1:$5000,M3253,FALSE)</f>
        <v>0</v>
      </c>
      <c r="T3253">
        <f>HLOOKUP("Provisioned MiB",'vInfo (Imported)'!$1:$5000,M3253,FALSE)</f>
        <v>0</v>
      </c>
      <c r="U3253">
        <f t="shared" si="151"/>
        <v>0</v>
      </c>
      <c r="V3253">
        <f>HLOOKUP("In Use MiB",'vInfo (Imported)'!$1:$5000,M3253,FALSE)</f>
        <v>0</v>
      </c>
    </row>
    <row r="3254" spans="1:22" ht="13" x14ac:dyDescent="0.3">
      <c r="A3254" s="46">
        <f>'vHosts (Imported)'!A3254</f>
        <v>0</v>
      </c>
      <c r="B3254" s="51">
        <f t="shared" si="153"/>
        <v>4968</v>
      </c>
      <c r="C3254" s="49">
        <f>HLOOKUP("# Cores",'vHosts (Imported)'!$1:$5000,M3254,FALSE)</f>
        <v>0</v>
      </c>
      <c r="D3254" s="52">
        <f>HLOOKUP("# Memory",'vHosts (Imported)'!$1:$5000,M3254,FALSE)</f>
        <v>0</v>
      </c>
      <c r="M3254" s="45">
        <f t="shared" si="152"/>
        <v>3254</v>
      </c>
      <c r="N3254" s="38">
        <f>HLOOKUP("Host",'vInfo (Imported)'!$1:$5000,M3254,FALSE)</f>
        <v>0</v>
      </c>
      <c r="R3254">
        <f>HLOOKUP("CPUs",'vInfo (Imported)'!$1:$5000,M3254,FALSE)</f>
        <v>0</v>
      </c>
      <c r="S3254">
        <f>HLOOKUP("Memory",'vInfo (Imported)'!$1:$5000,M3254,FALSE)</f>
        <v>0</v>
      </c>
      <c r="T3254">
        <f>HLOOKUP("Provisioned MiB",'vInfo (Imported)'!$1:$5000,M3254,FALSE)</f>
        <v>0</v>
      </c>
      <c r="U3254">
        <f t="shared" si="151"/>
        <v>0</v>
      </c>
      <c r="V3254">
        <f>HLOOKUP("In Use MiB",'vInfo (Imported)'!$1:$5000,M3254,FALSE)</f>
        <v>0</v>
      </c>
    </row>
    <row r="3255" spans="1:22" ht="13" x14ac:dyDescent="0.3">
      <c r="A3255" s="46">
        <f>'vHosts (Imported)'!A3255</f>
        <v>0</v>
      </c>
      <c r="B3255" s="51">
        <f t="shared" si="153"/>
        <v>4968</v>
      </c>
      <c r="C3255" s="49">
        <f>HLOOKUP("# Cores",'vHosts (Imported)'!$1:$5000,M3255,FALSE)</f>
        <v>0</v>
      </c>
      <c r="D3255" s="52">
        <f>HLOOKUP("# Memory",'vHosts (Imported)'!$1:$5000,M3255,FALSE)</f>
        <v>0</v>
      </c>
      <c r="M3255" s="45">
        <f t="shared" si="152"/>
        <v>3255</v>
      </c>
      <c r="N3255" s="38">
        <f>HLOOKUP("Host",'vInfo (Imported)'!$1:$5000,M3255,FALSE)</f>
        <v>0</v>
      </c>
      <c r="R3255">
        <f>HLOOKUP("CPUs",'vInfo (Imported)'!$1:$5000,M3255,FALSE)</f>
        <v>0</v>
      </c>
      <c r="S3255">
        <f>HLOOKUP("Memory",'vInfo (Imported)'!$1:$5000,M3255,FALSE)</f>
        <v>0</v>
      </c>
      <c r="T3255">
        <f>HLOOKUP("Provisioned MiB",'vInfo (Imported)'!$1:$5000,M3255,FALSE)</f>
        <v>0</v>
      </c>
      <c r="U3255">
        <f t="shared" si="151"/>
        <v>0</v>
      </c>
      <c r="V3255">
        <f>HLOOKUP("In Use MiB",'vInfo (Imported)'!$1:$5000,M3255,FALSE)</f>
        <v>0</v>
      </c>
    </row>
    <row r="3256" spans="1:22" ht="13" x14ac:dyDescent="0.3">
      <c r="A3256" s="46">
        <f>'vHosts (Imported)'!A3256</f>
        <v>0</v>
      </c>
      <c r="B3256" s="51">
        <f t="shared" si="153"/>
        <v>4968</v>
      </c>
      <c r="C3256" s="49">
        <f>HLOOKUP("# Cores",'vHosts (Imported)'!$1:$5000,M3256,FALSE)</f>
        <v>0</v>
      </c>
      <c r="D3256" s="52">
        <f>HLOOKUP("# Memory",'vHosts (Imported)'!$1:$5000,M3256,FALSE)</f>
        <v>0</v>
      </c>
      <c r="M3256" s="45">
        <f t="shared" si="152"/>
        <v>3256</v>
      </c>
      <c r="N3256" s="38">
        <f>HLOOKUP("Host",'vInfo (Imported)'!$1:$5000,M3256,FALSE)</f>
        <v>0</v>
      </c>
      <c r="R3256">
        <f>HLOOKUP("CPUs",'vInfo (Imported)'!$1:$5000,M3256,FALSE)</f>
        <v>0</v>
      </c>
      <c r="S3256">
        <f>HLOOKUP("Memory",'vInfo (Imported)'!$1:$5000,M3256,FALSE)</f>
        <v>0</v>
      </c>
      <c r="T3256">
        <f>HLOOKUP("Provisioned MiB",'vInfo (Imported)'!$1:$5000,M3256,FALSE)</f>
        <v>0</v>
      </c>
      <c r="U3256">
        <f t="shared" si="151"/>
        <v>0</v>
      </c>
      <c r="V3256">
        <f>HLOOKUP("In Use MiB",'vInfo (Imported)'!$1:$5000,M3256,FALSE)</f>
        <v>0</v>
      </c>
    </row>
    <row r="3257" spans="1:22" ht="13" x14ac:dyDescent="0.3">
      <c r="A3257" s="46">
        <f>'vHosts (Imported)'!A3257</f>
        <v>0</v>
      </c>
      <c r="B3257" s="51">
        <f t="shared" si="153"/>
        <v>4968</v>
      </c>
      <c r="C3257" s="49">
        <f>HLOOKUP("# Cores",'vHosts (Imported)'!$1:$5000,M3257,FALSE)</f>
        <v>0</v>
      </c>
      <c r="D3257" s="52">
        <f>HLOOKUP("# Memory",'vHosts (Imported)'!$1:$5000,M3257,FALSE)</f>
        <v>0</v>
      </c>
      <c r="M3257" s="45">
        <f t="shared" si="152"/>
        <v>3257</v>
      </c>
      <c r="N3257" s="38">
        <f>HLOOKUP("Host",'vInfo (Imported)'!$1:$5000,M3257,FALSE)</f>
        <v>0</v>
      </c>
      <c r="R3257">
        <f>HLOOKUP("CPUs",'vInfo (Imported)'!$1:$5000,M3257,FALSE)</f>
        <v>0</v>
      </c>
      <c r="S3257">
        <f>HLOOKUP("Memory",'vInfo (Imported)'!$1:$5000,M3257,FALSE)</f>
        <v>0</v>
      </c>
      <c r="T3257">
        <f>HLOOKUP("Provisioned MiB",'vInfo (Imported)'!$1:$5000,M3257,FALSE)</f>
        <v>0</v>
      </c>
      <c r="U3257">
        <f t="shared" si="151"/>
        <v>0</v>
      </c>
      <c r="V3257">
        <f>HLOOKUP("In Use MiB",'vInfo (Imported)'!$1:$5000,M3257,FALSE)</f>
        <v>0</v>
      </c>
    </row>
    <row r="3258" spans="1:22" ht="13" x14ac:dyDescent="0.3">
      <c r="A3258" s="46">
        <f>'vHosts (Imported)'!A3258</f>
        <v>0</v>
      </c>
      <c r="B3258" s="51">
        <f t="shared" si="153"/>
        <v>4968</v>
      </c>
      <c r="C3258" s="49">
        <f>HLOOKUP("# Cores",'vHosts (Imported)'!$1:$5000,M3258,FALSE)</f>
        <v>0</v>
      </c>
      <c r="D3258" s="52">
        <f>HLOOKUP("# Memory",'vHosts (Imported)'!$1:$5000,M3258,FALSE)</f>
        <v>0</v>
      </c>
      <c r="M3258" s="45">
        <f t="shared" si="152"/>
        <v>3258</v>
      </c>
      <c r="N3258" s="38">
        <f>HLOOKUP("Host",'vInfo (Imported)'!$1:$5000,M3258,FALSE)</f>
        <v>0</v>
      </c>
      <c r="R3258">
        <f>HLOOKUP("CPUs",'vInfo (Imported)'!$1:$5000,M3258,FALSE)</f>
        <v>0</v>
      </c>
      <c r="S3258">
        <f>HLOOKUP("Memory",'vInfo (Imported)'!$1:$5000,M3258,FALSE)</f>
        <v>0</v>
      </c>
      <c r="T3258">
        <f>HLOOKUP("Provisioned MiB",'vInfo (Imported)'!$1:$5000,M3258,FALSE)</f>
        <v>0</v>
      </c>
      <c r="U3258">
        <f t="shared" si="151"/>
        <v>0</v>
      </c>
      <c r="V3258">
        <f>HLOOKUP("In Use MiB",'vInfo (Imported)'!$1:$5000,M3258,FALSE)</f>
        <v>0</v>
      </c>
    </row>
    <row r="3259" spans="1:22" ht="13" x14ac:dyDescent="0.3">
      <c r="A3259" s="46">
        <f>'vHosts (Imported)'!A3259</f>
        <v>0</v>
      </c>
      <c r="B3259" s="51">
        <f t="shared" si="153"/>
        <v>4968</v>
      </c>
      <c r="C3259" s="49">
        <f>HLOOKUP("# Cores",'vHosts (Imported)'!$1:$5000,M3259,FALSE)</f>
        <v>0</v>
      </c>
      <c r="D3259" s="52">
        <f>HLOOKUP("# Memory",'vHosts (Imported)'!$1:$5000,M3259,FALSE)</f>
        <v>0</v>
      </c>
      <c r="M3259" s="45">
        <f t="shared" si="152"/>
        <v>3259</v>
      </c>
      <c r="N3259" s="38">
        <f>HLOOKUP("Host",'vInfo (Imported)'!$1:$5000,M3259,FALSE)</f>
        <v>0</v>
      </c>
      <c r="R3259">
        <f>HLOOKUP("CPUs",'vInfo (Imported)'!$1:$5000,M3259,FALSE)</f>
        <v>0</v>
      </c>
      <c r="S3259">
        <f>HLOOKUP("Memory",'vInfo (Imported)'!$1:$5000,M3259,FALSE)</f>
        <v>0</v>
      </c>
      <c r="T3259">
        <f>HLOOKUP("Provisioned MiB",'vInfo (Imported)'!$1:$5000,M3259,FALSE)</f>
        <v>0</v>
      </c>
      <c r="U3259">
        <f t="shared" si="151"/>
        <v>0</v>
      </c>
      <c r="V3259">
        <f>HLOOKUP("In Use MiB",'vInfo (Imported)'!$1:$5000,M3259,FALSE)</f>
        <v>0</v>
      </c>
    </row>
    <row r="3260" spans="1:22" ht="13" x14ac:dyDescent="0.3">
      <c r="A3260" s="46">
        <f>'vHosts (Imported)'!A3260</f>
        <v>0</v>
      </c>
      <c r="B3260" s="51">
        <f t="shared" si="153"/>
        <v>4968</v>
      </c>
      <c r="C3260" s="49">
        <f>HLOOKUP("# Cores",'vHosts (Imported)'!$1:$5000,M3260,FALSE)</f>
        <v>0</v>
      </c>
      <c r="D3260" s="52">
        <f>HLOOKUP("# Memory",'vHosts (Imported)'!$1:$5000,M3260,FALSE)</f>
        <v>0</v>
      </c>
      <c r="M3260" s="45">
        <f t="shared" si="152"/>
        <v>3260</v>
      </c>
      <c r="N3260" s="38">
        <f>HLOOKUP("Host",'vInfo (Imported)'!$1:$5000,M3260,FALSE)</f>
        <v>0</v>
      </c>
      <c r="R3260">
        <f>HLOOKUP("CPUs",'vInfo (Imported)'!$1:$5000,M3260,FALSE)</f>
        <v>0</v>
      </c>
      <c r="S3260">
        <f>HLOOKUP("Memory",'vInfo (Imported)'!$1:$5000,M3260,FALSE)</f>
        <v>0</v>
      </c>
      <c r="T3260">
        <f>HLOOKUP("Provisioned MiB",'vInfo (Imported)'!$1:$5000,M3260,FALSE)</f>
        <v>0</v>
      </c>
      <c r="U3260">
        <f t="shared" si="151"/>
        <v>0</v>
      </c>
      <c r="V3260">
        <f>HLOOKUP("In Use MiB",'vInfo (Imported)'!$1:$5000,M3260,FALSE)</f>
        <v>0</v>
      </c>
    </row>
    <row r="3261" spans="1:22" ht="13" x14ac:dyDescent="0.3">
      <c r="A3261" s="46">
        <f>'vHosts (Imported)'!A3261</f>
        <v>0</v>
      </c>
      <c r="B3261" s="51">
        <f t="shared" si="153"/>
        <v>4968</v>
      </c>
      <c r="C3261" s="49">
        <f>HLOOKUP("# Cores",'vHosts (Imported)'!$1:$5000,M3261,FALSE)</f>
        <v>0</v>
      </c>
      <c r="D3261" s="52">
        <f>HLOOKUP("# Memory",'vHosts (Imported)'!$1:$5000,M3261,FALSE)</f>
        <v>0</v>
      </c>
      <c r="M3261" s="45">
        <f t="shared" si="152"/>
        <v>3261</v>
      </c>
      <c r="N3261" s="38">
        <f>HLOOKUP("Host",'vInfo (Imported)'!$1:$5000,M3261,FALSE)</f>
        <v>0</v>
      </c>
      <c r="R3261">
        <f>HLOOKUP("CPUs",'vInfo (Imported)'!$1:$5000,M3261,FALSE)</f>
        <v>0</v>
      </c>
      <c r="S3261">
        <f>HLOOKUP("Memory",'vInfo (Imported)'!$1:$5000,M3261,FALSE)</f>
        <v>0</v>
      </c>
      <c r="T3261">
        <f>HLOOKUP("Provisioned MiB",'vInfo (Imported)'!$1:$5000,M3261,FALSE)</f>
        <v>0</v>
      </c>
      <c r="U3261">
        <f t="shared" si="151"/>
        <v>0</v>
      </c>
      <c r="V3261">
        <f>HLOOKUP("In Use MiB",'vInfo (Imported)'!$1:$5000,M3261,FALSE)</f>
        <v>0</v>
      </c>
    </row>
    <row r="3262" spans="1:22" ht="13" x14ac:dyDescent="0.3">
      <c r="A3262" s="46">
        <f>'vHosts (Imported)'!A3262</f>
        <v>0</v>
      </c>
      <c r="B3262" s="51">
        <f t="shared" si="153"/>
        <v>4968</v>
      </c>
      <c r="C3262" s="49">
        <f>HLOOKUP("# Cores",'vHosts (Imported)'!$1:$5000,M3262,FALSE)</f>
        <v>0</v>
      </c>
      <c r="D3262" s="52">
        <f>HLOOKUP("# Memory",'vHosts (Imported)'!$1:$5000,M3262,FALSE)</f>
        <v>0</v>
      </c>
      <c r="M3262" s="45">
        <f t="shared" si="152"/>
        <v>3262</v>
      </c>
      <c r="N3262" s="38">
        <f>HLOOKUP("Host",'vInfo (Imported)'!$1:$5000,M3262,FALSE)</f>
        <v>0</v>
      </c>
      <c r="R3262">
        <f>HLOOKUP("CPUs",'vInfo (Imported)'!$1:$5000,M3262,FALSE)</f>
        <v>0</v>
      </c>
      <c r="S3262">
        <f>HLOOKUP("Memory",'vInfo (Imported)'!$1:$5000,M3262,FALSE)</f>
        <v>0</v>
      </c>
      <c r="T3262">
        <f>HLOOKUP("Provisioned MiB",'vInfo (Imported)'!$1:$5000,M3262,FALSE)</f>
        <v>0</v>
      </c>
      <c r="U3262">
        <f t="shared" si="151"/>
        <v>0</v>
      </c>
      <c r="V3262">
        <f>HLOOKUP("In Use MiB",'vInfo (Imported)'!$1:$5000,M3262,FALSE)</f>
        <v>0</v>
      </c>
    </row>
    <row r="3263" spans="1:22" ht="13" x14ac:dyDescent="0.3">
      <c r="A3263" s="46">
        <f>'vHosts (Imported)'!A3263</f>
        <v>0</v>
      </c>
      <c r="B3263" s="51">
        <f t="shared" si="153"/>
        <v>4968</v>
      </c>
      <c r="C3263" s="49">
        <f>HLOOKUP("# Cores",'vHosts (Imported)'!$1:$5000,M3263,FALSE)</f>
        <v>0</v>
      </c>
      <c r="D3263" s="52">
        <f>HLOOKUP("# Memory",'vHosts (Imported)'!$1:$5000,M3263,FALSE)</f>
        <v>0</v>
      </c>
      <c r="M3263" s="45">
        <f t="shared" si="152"/>
        <v>3263</v>
      </c>
      <c r="N3263" s="38">
        <f>HLOOKUP("Host",'vInfo (Imported)'!$1:$5000,M3263,FALSE)</f>
        <v>0</v>
      </c>
      <c r="R3263">
        <f>HLOOKUP("CPUs",'vInfo (Imported)'!$1:$5000,M3263,FALSE)</f>
        <v>0</v>
      </c>
      <c r="S3263">
        <f>HLOOKUP("Memory",'vInfo (Imported)'!$1:$5000,M3263,FALSE)</f>
        <v>0</v>
      </c>
      <c r="T3263">
        <f>HLOOKUP("Provisioned MiB",'vInfo (Imported)'!$1:$5000,M3263,FALSE)</f>
        <v>0</v>
      </c>
      <c r="U3263">
        <f t="shared" si="151"/>
        <v>0</v>
      </c>
      <c r="V3263">
        <f>HLOOKUP("In Use MiB",'vInfo (Imported)'!$1:$5000,M3263,FALSE)</f>
        <v>0</v>
      </c>
    </row>
    <row r="3264" spans="1:22" ht="13" x14ac:dyDescent="0.3">
      <c r="A3264" s="46">
        <f>'vHosts (Imported)'!A3264</f>
        <v>0</v>
      </c>
      <c r="B3264" s="51">
        <f t="shared" si="153"/>
        <v>4968</v>
      </c>
      <c r="C3264" s="49">
        <f>HLOOKUP("# Cores",'vHosts (Imported)'!$1:$5000,M3264,FALSE)</f>
        <v>0</v>
      </c>
      <c r="D3264" s="52">
        <f>HLOOKUP("# Memory",'vHosts (Imported)'!$1:$5000,M3264,FALSE)</f>
        <v>0</v>
      </c>
      <c r="M3264" s="45">
        <f t="shared" si="152"/>
        <v>3264</v>
      </c>
      <c r="N3264" s="38">
        <f>HLOOKUP("Host",'vInfo (Imported)'!$1:$5000,M3264,FALSE)</f>
        <v>0</v>
      </c>
      <c r="R3264">
        <f>HLOOKUP("CPUs",'vInfo (Imported)'!$1:$5000,M3264,FALSE)</f>
        <v>0</v>
      </c>
      <c r="S3264">
        <f>HLOOKUP("Memory",'vInfo (Imported)'!$1:$5000,M3264,FALSE)</f>
        <v>0</v>
      </c>
      <c r="T3264">
        <f>HLOOKUP("Provisioned MiB",'vInfo (Imported)'!$1:$5000,M3264,FALSE)</f>
        <v>0</v>
      </c>
      <c r="U3264">
        <f t="shared" si="151"/>
        <v>0</v>
      </c>
      <c r="V3264">
        <f>HLOOKUP("In Use MiB",'vInfo (Imported)'!$1:$5000,M3264,FALSE)</f>
        <v>0</v>
      </c>
    </row>
    <row r="3265" spans="1:22" ht="13" x14ac:dyDescent="0.3">
      <c r="A3265" s="46">
        <f>'vHosts (Imported)'!A3265</f>
        <v>0</v>
      </c>
      <c r="B3265" s="51">
        <f t="shared" si="153"/>
        <v>4968</v>
      </c>
      <c r="C3265" s="49">
        <f>HLOOKUP("# Cores",'vHosts (Imported)'!$1:$5000,M3265,FALSE)</f>
        <v>0</v>
      </c>
      <c r="D3265" s="52">
        <f>HLOOKUP("# Memory",'vHosts (Imported)'!$1:$5000,M3265,FALSE)</f>
        <v>0</v>
      </c>
      <c r="M3265" s="45">
        <f t="shared" si="152"/>
        <v>3265</v>
      </c>
      <c r="N3265" s="38">
        <f>HLOOKUP("Host",'vInfo (Imported)'!$1:$5000,M3265,FALSE)</f>
        <v>0</v>
      </c>
      <c r="R3265">
        <f>HLOOKUP("CPUs",'vInfo (Imported)'!$1:$5000,M3265,FALSE)</f>
        <v>0</v>
      </c>
      <c r="S3265">
        <f>HLOOKUP("Memory",'vInfo (Imported)'!$1:$5000,M3265,FALSE)</f>
        <v>0</v>
      </c>
      <c r="T3265">
        <f>HLOOKUP("Provisioned MiB",'vInfo (Imported)'!$1:$5000,M3265,FALSE)</f>
        <v>0</v>
      </c>
      <c r="U3265">
        <f t="shared" si="151"/>
        <v>0</v>
      </c>
      <c r="V3265">
        <f>HLOOKUP("In Use MiB",'vInfo (Imported)'!$1:$5000,M3265,FALSE)</f>
        <v>0</v>
      </c>
    </row>
    <row r="3266" spans="1:22" ht="13" x14ac:dyDescent="0.3">
      <c r="A3266" s="46">
        <f>'vHosts (Imported)'!A3266</f>
        <v>0</v>
      </c>
      <c r="B3266" s="51">
        <f t="shared" si="153"/>
        <v>4968</v>
      </c>
      <c r="C3266" s="49">
        <f>HLOOKUP("# Cores",'vHosts (Imported)'!$1:$5000,M3266,FALSE)</f>
        <v>0</v>
      </c>
      <c r="D3266" s="52">
        <f>HLOOKUP("# Memory",'vHosts (Imported)'!$1:$5000,M3266,FALSE)</f>
        <v>0</v>
      </c>
      <c r="M3266" s="45">
        <f t="shared" si="152"/>
        <v>3266</v>
      </c>
      <c r="N3266" s="38">
        <f>HLOOKUP("Host",'vInfo (Imported)'!$1:$5000,M3266,FALSE)</f>
        <v>0</v>
      </c>
      <c r="R3266">
        <f>HLOOKUP("CPUs",'vInfo (Imported)'!$1:$5000,M3266,FALSE)</f>
        <v>0</v>
      </c>
      <c r="S3266">
        <f>HLOOKUP("Memory",'vInfo (Imported)'!$1:$5000,M3266,FALSE)</f>
        <v>0</v>
      </c>
      <c r="T3266">
        <f>HLOOKUP("Provisioned MiB",'vInfo (Imported)'!$1:$5000,M3266,FALSE)</f>
        <v>0</v>
      </c>
      <c r="U3266">
        <f t="shared" si="151"/>
        <v>0</v>
      </c>
      <c r="V3266">
        <f>HLOOKUP("In Use MiB",'vInfo (Imported)'!$1:$5000,M3266,FALSE)</f>
        <v>0</v>
      </c>
    </row>
    <row r="3267" spans="1:22" ht="13" x14ac:dyDescent="0.3">
      <c r="A3267" s="46">
        <f>'vHosts (Imported)'!A3267</f>
        <v>0</v>
      </c>
      <c r="B3267" s="51">
        <f t="shared" si="153"/>
        <v>4968</v>
      </c>
      <c r="C3267" s="49">
        <f>HLOOKUP("# Cores",'vHosts (Imported)'!$1:$5000,M3267,FALSE)</f>
        <v>0</v>
      </c>
      <c r="D3267" s="52">
        <f>HLOOKUP("# Memory",'vHosts (Imported)'!$1:$5000,M3267,FALSE)</f>
        <v>0</v>
      </c>
      <c r="M3267" s="45">
        <f t="shared" si="152"/>
        <v>3267</v>
      </c>
      <c r="N3267" s="38">
        <f>HLOOKUP("Host",'vInfo (Imported)'!$1:$5000,M3267,FALSE)</f>
        <v>0</v>
      </c>
      <c r="R3267">
        <f>HLOOKUP("CPUs",'vInfo (Imported)'!$1:$5000,M3267,FALSE)</f>
        <v>0</v>
      </c>
      <c r="S3267">
        <f>HLOOKUP("Memory",'vInfo (Imported)'!$1:$5000,M3267,FALSE)</f>
        <v>0</v>
      </c>
      <c r="T3267">
        <f>HLOOKUP("Provisioned MiB",'vInfo (Imported)'!$1:$5000,M3267,FALSE)</f>
        <v>0</v>
      </c>
      <c r="U3267">
        <f t="shared" ref="U3267:U3330" si="154">T3267-V3267</f>
        <v>0</v>
      </c>
      <c r="V3267">
        <f>HLOOKUP("In Use MiB",'vInfo (Imported)'!$1:$5000,M3267,FALSE)</f>
        <v>0</v>
      </c>
    </row>
    <row r="3268" spans="1:22" ht="13" x14ac:dyDescent="0.3">
      <c r="A3268" s="46">
        <f>'vHosts (Imported)'!A3268</f>
        <v>0</v>
      </c>
      <c r="B3268" s="51">
        <f t="shared" si="153"/>
        <v>4968</v>
      </c>
      <c r="C3268" s="49">
        <f>HLOOKUP("# Cores",'vHosts (Imported)'!$1:$5000,M3268,FALSE)</f>
        <v>0</v>
      </c>
      <c r="D3268" s="52">
        <f>HLOOKUP("# Memory",'vHosts (Imported)'!$1:$5000,M3268,FALSE)</f>
        <v>0</v>
      </c>
      <c r="M3268" s="45">
        <f t="shared" ref="M3268:M3331" si="155">M3267+1</f>
        <v>3268</v>
      </c>
      <c r="N3268" s="38">
        <f>HLOOKUP("Host",'vInfo (Imported)'!$1:$5000,M3268,FALSE)</f>
        <v>0</v>
      </c>
      <c r="R3268">
        <f>HLOOKUP("CPUs",'vInfo (Imported)'!$1:$5000,M3268,FALSE)</f>
        <v>0</v>
      </c>
      <c r="S3268">
        <f>HLOOKUP("Memory",'vInfo (Imported)'!$1:$5000,M3268,FALSE)</f>
        <v>0</v>
      </c>
      <c r="T3268">
        <f>HLOOKUP("Provisioned MiB",'vInfo (Imported)'!$1:$5000,M3268,FALSE)</f>
        <v>0</v>
      </c>
      <c r="U3268">
        <f t="shared" si="154"/>
        <v>0</v>
      </c>
      <c r="V3268">
        <f>HLOOKUP("In Use MiB",'vInfo (Imported)'!$1:$5000,M3268,FALSE)</f>
        <v>0</v>
      </c>
    </row>
    <row r="3269" spans="1:22" ht="13" x14ac:dyDescent="0.3">
      <c r="A3269" s="46">
        <f>'vHosts (Imported)'!A3269</f>
        <v>0</v>
      </c>
      <c r="B3269" s="51">
        <f t="shared" si="153"/>
        <v>4968</v>
      </c>
      <c r="C3269" s="49">
        <f>HLOOKUP("# Cores",'vHosts (Imported)'!$1:$5000,M3269,FALSE)</f>
        <v>0</v>
      </c>
      <c r="D3269" s="52">
        <f>HLOOKUP("# Memory",'vHosts (Imported)'!$1:$5000,M3269,FALSE)</f>
        <v>0</v>
      </c>
      <c r="M3269" s="45">
        <f t="shared" si="155"/>
        <v>3269</v>
      </c>
      <c r="N3269" s="38">
        <f>HLOOKUP("Host",'vInfo (Imported)'!$1:$5000,M3269,FALSE)</f>
        <v>0</v>
      </c>
      <c r="R3269">
        <f>HLOOKUP("CPUs",'vInfo (Imported)'!$1:$5000,M3269,FALSE)</f>
        <v>0</v>
      </c>
      <c r="S3269">
        <f>HLOOKUP("Memory",'vInfo (Imported)'!$1:$5000,M3269,FALSE)</f>
        <v>0</v>
      </c>
      <c r="T3269">
        <f>HLOOKUP("Provisioned MiB",'vInfo (Imported)'!$1:$5000,M3269,FALSE)</f>
        <v>0</v>
      </c>
      <c r="U3269">
        <f t="shared" si="154"/>
        <v>0</v>
      </c>
      <c r="V3269">
        <f>HLOOKUP("In Use MiB",'vInfo (Imported)'!$1:$5000,M3269,FALSE)</f>
        <v>0</v>
      </c>
    </row>
    <row r="3270" spans="1:22" ht="13" x14ac:dyDescent="0.3">
      <c r="A3270" s="46">
        <f>'vHosts (Imported)'!A3270</f>
        <v>0</v>
      </c>
      <c r="B3270" s="51">
        <f t="shared" si="153"/>
        <v>4968</v>
      </c>
      <c r="C3270" s="49">
        <f>HLOOKUP("# Cores",'vHosts (Imported)'!$1:$5000,M3270,FALSE)</f>
        <v>0</v>
      </c>
      <c r="D3270" s="52">
        <f>HLOOKUP("# Memory",'vHosts (Imported)'!$1:$5000,M3270,FALSE)</f>
        <v>0</v>
      </c>
      <c r="M3270" s="45">
        <f t="shared" si="155"/>
        <v>3270</v>
      </c>
      <c r="N3270" s="38">
        <f>HLOOKUP("Host",'vInfo (Imported)'!$1:$5000,M3270,FALSE)</f>
        <v>0</v>
      </c>
      <c r="R3270">
        <f>HLOOKUP("CPUs",'vInfo (Imported)'!$1:$5000,M3270,FALSE)</f>
        <v>0</v>
      </c>
      <c r="S3270">
        <f>HLOOKUP("Memory",'vInfo (Imported)'!$1:$5000,M3270,FALSE)</f>
        <v>0</v>
      </c>
      <c r="T3270">
        <f>HLOOKUP("Provisioned MiB",'vInfo (Imported)'!$1:$5000,M3270,FALSE)</f>
        <v>0</v>
      </c>
      <c r="U3270">
        <f t="shared" si="154"/>
        <v>0</v>
      </c>
      <c r="V3270">
        <f>HLOOKUP("In Use MiB",'vInfo (Imported)'!$1:$5000,M3270,FALSE)</f>
        <v>0</v>
      </c>
    </row>
    <row r="3271" spans="1:22" ht="13" x14ac:dyDescent="0.3">
      <c r="A3271" s="46">
        <f>'vHosts (Imported)'!A3271</f>
        <v>0</v>
      </c>
      <c r="B3271" s="51">
        <f t="shared" si="153"/>
        <v>4968</v>
      </c>
      <c r="C3271" s="49">
        <f>HLOOKUP("# Cores",'vHosts (Imported)'!$1:$5000,M3271,FALSE)</f>
        <v>0</v>
      </c>
      <c r="D3271" s="52">
        <f>HLOOKUP("# Memory",'vHosts (Imported)'!$1:$5000,M3271,FALSE)</f>
        <v>0</v>
      </c>
      <c r="M3271" s="45">
        <f t="shared" si="155"/>
        <v>3271</v>
      </c>
      <c r="N3271" s="38">
        <f>HLOOKUP("Host",'vInfo (Imported)'!$1:$5000,M3271,FALSE)</f>
        <v>0</v>
      </c>
      <c r="R3271">
        <f>HLOOKUP("CPUs",'vInfo (Imported)'!$1:$5000,M3271,FALSE)</f>
        <v>0</v>
      </c>
      <c r="S3271">
        <f>HLOOKUP("Memory",'vInfo (Imported)'!$1:$5000,M3271,FALSE)</f>
        <v>0</v>
      </c>
      <c r="T3271">
        <f>HLOOKUP("Provisioned MiB",'vInfo (Imported)'!$1:$5000,M3271,FALSE)</f>
        <v>0</v>
      </c>
      <c r="U3271">
        <f t="shared" si="154"/>
        <v>0</v>
      </c>
      <c r="V3271">
        <f>HLOOKUP("In Use MiB",'vInfo (Imported)'!$1:$5000,M3271,FALSE)</f>
        <v>0</v>
      </c>
    </row>
    <row r="3272" spans="1:22" ht="13" x14ac:dyDescent="0.3">
      <c r="A3272" s="46">
        <f>'vHosts (Imported)'!A3272</f>
        <v>0</v>
      </c>
      <c r="B3272" s="51">
        <f t="shared" si="153"/>
        <v>4968</v>
      </c>
      <c r="C3272" s="49">
        <f>HLOOKUP("# Cores",'vHosts (Imported)'!$1:$5000,M3272,FALSE)</f>
        <v>0</v>
      </c>
      <c r="D3272" s="52">
        <f>HLOOKUP("# Memory",'vHosts (Imported)'!$1:$5000,M3272,FALSE)</f>
        <v>0</v>
      </c>
      <c r="M3272" s="45">
        <f t="shared" si="155"/>
        <v>3272</v>
      </c>
      <c r="N3272" s="38">
        <f>HLOOKUP("Host",'vInfo (Imported)'!$1:$5000,M3272,FALSE)</f>
        <v>0</v>
      </c>
      <c r="R3272">
        <f>HLOOKUP("CPUs",'vInfo (Imported)'!$1:$5000,M3272,FALSE)</f>
        <v>0</v>
      </c>
      <c r="S3272">
        <f>HLOOKUP("Memory",'vInfo (Imported)'!$1:$5000,M3272,FALSE)</f>
        <v>0</v>
      </c>
      <c r="T3272">
        <f>HLOOKUP("Provisioned MiB",'vInfo (Imported)'!$1:$5000,M3272,FALSE)</f>
        <v>0</v>
      </c>
      <c r="U3272">
        <f t="shared" si="154"/>
        <v>0</v>
      </c>
      <c r="V3272">
        <f>HLOOKUP("In Use MiB",'vInfo (Imported)'!$1:$5000,M3272,FALSE)</f>
        <v>0</v>
      </c>
    </row>
    <row r="3273" spans="1:22" ht="13" x14ac:dyDescent="0.3">
      <c r="A3273" s="46">
        <f>'vHosts (Imported)'!A3273</f>
        <v>0</v>
      </c>
      <c r="B3273" s="51">
        <f t="shared" si="153"/>
        <v>4968</v>
      </c>
      <c r="C3273" s="49">
        <f>HLOOKUP("# Cores",'vHosts (Imported)'!$1:$5000,M3273,FALSE)</f>
        <v>0</v>
      </c>
      <c r="D3273" s="52">
        <f>HLOOKUP("# Memory",'vHosts (Imported)'!$1:$5000,M3273,FALSE)</f>
        <v>0</v>
      </c>
      <c r="M3273" s="45">
        <f t="shared" si="155"/>
        <v>3273</v>
      </c>
      <c r="N3273" s="38">
        <f>HLOOKUP("Host",'vInfo (Imported)'!$1:$5000,M3273,FALSE)</f>
        <v>0</v>
      </c>
      <c r="R3273">
        <f>HLOOKUP("CPUs",'vInfo (Imported)'!$1:$5000,M3273,FALSE)</f>
        <v>0</v>
      </c>
      <c r="S3273">
        <f>HLOOKUP("Memory",'vInfo (Imported)'!$1:$5000,M3273,FALSE)</f>
        <v>0</v>
      </c>
      <c r="T3273">
        <f>HLOOKUP("Provisioned MiB",'vInfo (Imported)'!$1:$5000,M3273,FALSE)</f>
        <v>0</v>
      </c>
      <c r="U3273">
        <f t="shared" si="154"/>
        <v>0</v>
      </c>
      <c r="V3273">
        <f>HLOOKUP("In Use MiB",'vInfo (Imported)'!$1:$5000,M3273,FALSE)</f>
        <v>0</v>
      </c>
    </row>
    <row r="3274" spans="1:22" ht="13" x14ac:dyDescent="0.3">
      <c r="A3274" s="46">
        <f>'vHosts (Imported)'!A3274</f>
        <v>0</v>
      </c>
      <c r="B3274" s="51">
        <f t="shared" si="153"/>
        <v>4968</v>
      </c>
      <c r="C3274" s="49">
        <f>HLOOKUP("# Cores",'vHosts (Imported)'!$1:$5000,M3274,FALSE)</f>
        <v>0</v>
      </c>
      <c r="D3274" s="52">
        <f>HLOOKUP("# Memory",'vHosts (Imported)'!$1:$5000,M3274,FALSE)</f>
        <v>0</v>
      </c>
      <c r="M3274" s="45">
        <f t="shared" si="155"/>
        <v>3274</v>
      </c>
      <c r="N3274" s="38">
        <f>HLOOKUP("Host",'vInfo (Imported)'!$1:$5000,M3274,FALSE)</f>
        <v>0</v>
      </c>
      <c r="R3274">
        <f>HLOOKUP("CPUs",'vInfo (Imported)'!$1:$5000,M3274,FALSE)</f>
        <v>0</v>
      </c>
      <c r="S3274">
        <f>HLOOKUP("Memory",'vInfo (Imported)'!$1:$5000,M3274,FALSE)</f>
        <v>0</v>
      </c>
      <c r="T3274">
        <f>HLOOKUP("Provisioned MiB",'vInfo (Imported)'!$1:$5000,M3274,FALSE)</f>
        <v>0</v>
      </c>
      <c r="U3274">
        <f t="shared" si="154"/>
        <v>0</v>
      </c>
      <c r="V3274">
        <f>HLOOKUP("In Use MiB",'vInfo (Imported)'!$1:$5000,M3274,FALSE)</f>
        <v>0</v>
      </c>
    </row>
    <row r="3275" spans="1:22" ht="13" x14ac:dyDescent="0.3">
      <c r="A3275" s="46">
        <f>'vHosts (Imported)'!A3275</f>
        <v>0</v>
      </c>
      <c r="B3275" s="51">
        <f t="shared" si="153"/>
        <v>4968</v>
      </c>
      <c r="C3275" s="49">
        <f>HLOOKUP("# Cores",'vHosts (Imported)'!$1:$5000,M3275,FALSE)</f>
        <v>0</v>
      </c>
      <c r="D3275" s="52">
        <f>HLOOKUP("# Memory",'vHosts (Imported)'!$1:$5000,M3275,FALSE)</f>
        <v>0</v>
      </c>
      <c r="M3275" s="45">
        <f t="shared" si="155"/>
        <v>3275</v>
      </c>
      <c r="N3275" s="38">
        <f>HLOOKUP("Host",'vInfo (Imported)'!$1:$5000,M3275,FALSE)</f>
        <v>0</v>
      </c>
      <c r="R3275">
        <f>HLOOKUP("CPUs",'vInfo (Imported)'!$1:$5000,M3275,FALSE)</f>
        <v>0</v>
      </c>
      <c r="S3275">
        <f>HLOOKUP("Memory",'vInfo (Imported)'!$1:$5000,M3275,FALSE)</f>
        <v>0</v>
      </c>
      <c r="T3275">
        <f>HLOOKUP("Provisioned MiB",'vInfo (Imported)'!$1:$5000,M3275,FALSE)</f>
        <v>0</v>
      </c>
      <c r="U3275">
        <f t="shared" si="154"/>
        <v>0</v>
      </c>
      <c r="V3275">
        <f>HLOOKUP("In Use MiB",'vInfo (Imported)'!$1:$5000,M3275,FALSE)</f>
        <v>0</v>
      </c>
    </row>
    <row r="3276" spans="1:22" ht="13" x14ac:dyDescent="0.3">
      <c r="A3276" s="46">
        <f>'vHosts (Imported)'!A3276</f>
        <v>0</v>
      </c>
      <c r="B3276" s="51">
        <f t="shared" si="153"/>
        <v>4968</v>
      </c>
      <c r="C3276" s="49">
        <f>HLOOKUP("# Cores",'vHosts (Imported)'!$1:$5000,M3276,FALSE)</f>
        <v>0</v>
      </c>
      <c r="D3276" s="52">
        <f>HLOOKUP("# Memory",'vHosts (Imported)'!$1:$5000,M3276,FALSE)</f>
        <v>0</v>
      </c>
      <c r="M3276" s="45">
        <f t="shared" si="155"/>
        <v>3276</v>
      </c>
      <c r="N3276" s="38">
        <f>HLOOKUP("Host",'vInfo (Imported)'!$1:$5000,M3276,FALSE)</f>
        <v>0</v>
      </c>
      <c r="R3276">
        <f>HLOOKUP("CPUs",'vInfo (Imported)'!$1:$5000,M3276,FALSE)</f>
        <v>0</v>
      </c>
      <c r="S3276">
        <f>HLOOKUP("Memory",'vInfo (Imported)'!$1:$5000,M3276,FALSE)</f>
        <v>0</v>
      </c>
      <c r="T3276">
        <f>HLOOKUP("Provisioned MiB",'vInfo (Imported)'!$1:$5000,M3276,FALSE)</f>
        <v>0</v>
      </c>
      <c r="U3276">
        <f t="shared" si="154"/>
        <v>0</v>
      </c>
      <c r="V3276">
        <f>HLOOKUP("In Use MiB",'vInfo (Imported)'!$1:$5000,M3276,FALSE)</f>
        <v>0</v>
      </c>
    </row>
    <row r="3277" spans="1:22" ht="13" x14ac:dyDescent="0.3">
      <c r="A3277" s="46">
        <f>'vHosts (Imported)'!A3277</f>
        <v>0</v>
      </c>
      <c r="B3277" s="51">
        <f t="shared" si="153"/>
        <v>4968</v>
      </c>
      <c r="C3277" s="49">
        <f>HLOOKUP("# Cores",'vHosts (Imported)'!$1:$5000,M3277,FALSE)</f>
        <v>0</v>
      </c>
      <c r="D3277" s="52">
        <f>HLOOKUP("# Memory",'vHosts (Imported)'!$1:$5000,M3277,FALSE)</f>
        <v>0</v>
      </c>
      <c r="M3277" s="45">
        <f t="shared" si="155"/>
        <v>3277</v>
      </c>
      <c r="N3277" s="38">
        <f>HLOOKUP("Host",'vInfo (Imported)'!$1:$5000,M3277,FALSE)</f>
        <v>0</v>
      </c>
      <c r="R3277">
        <f>HLOOKUP("CPUs",'vInfo (Imported)'!$1:$5000,M3277,FALSE)</f>
        <v>0</v>
      </c>
      <c r="S3277">
        <f>HLOOKUP("Memory",'vInfo (Imported)'!$1:$5000,M3277,FALSE)</f>
        <v>0</v>
      </c>
      <c r="T3277">
        <f>HLOOKUP("Provisioned MiB",'vInfo (Imported)'!$1:$5000,M3277,FALSE)</f>
        <v>0</v>
      </c>
      <c r="U3277">
        <f t="shared" si="154"/>
        <v>0</v>
      </c>
      <c r="V3277">
        <f>HLOOKUP("In Use MiB",'vInfo (Imported)'!$1:$5000,M3277,FALSE)</f>
        <v>0</v>
      </c>
    </row>
    <row r="3278" spans="1:22" ht="13" x14ac:dyDescent="0.3">
      <c r="A3278" s="46">
        <f>'vHosts (Imported)'!A3278</f>
        <v>0</v>
      </c>
      <c r="B3278" s="51">
        <f t="shared" si="153"/>
        <v>4968</v>
      </c>
      <c r="C3278" s="49">
        <f>HLOOKUP("# Cores",'vHosts (Imported)'!$1:$5000,M3278,FALSE)</f>
        <v>0</v>
      </c>
      <c r="D3278" s="52">
        <f>HLOOKUP("# Memory",'vHosts (Imported)'!$1:$5000,M3278,FALSE)</f>
        <v>0</v>
      </c>
      <c r="M3278" s="45">
        <f t="shared" si="155"/>
        <v>3278</v>
      </c>
      <c r="N3278" s="38">
        <f>HLOOKUP("Host",'vInfo (Imported)'!$1:$5000,M3278,FALSE)</f>
        <v>0</v>
      </c>
      <c r="R3278">
        <f>HLOOKUP("CPUs",'vInfo (Imported)'!$1:$5000,M3278,FALSE)</f>
        <v>0</v>
      </c>
      <c r="S3278">
        <f>HLOOKUP("Memory",'vInfo (Imported)'!$1:$5000,M3278,FALSE)</f>
        <v>0</v>
      </c>
      <c r="T3278">
        <f>HLOOKUP("Provisioned MiB",'vInfo (Imported)'!$1:$5000,M3278,FALSE)</f>
        <v>0</v>
      </c>
      <c r="U3278">
        <f t="shared" si="154"/>
        <v>0</v>
      </c>
      <c r="V3278">
        <f>HLOOKUP("In Use MiB",'vInfo (Imported)'!$1:$5000,M3278,FALSE)</f>
        <v>0</v>
      </c>
    </row>
    <row r="3279" spans="1:22" ht="13" x14ac:dyDescent="0.3">
      <c r="A3279" s="46">
        <f>'vHosts (Imported)'!A3279</f>
        <v>0</v>
      </c>
      <c r="B3279" s="51">
        <f t="shared" si="153"/>
        <v>4968</v>
      </c>
      <c r="C3279" s="49">
        <f>HLOOKUP("# Cores",'vHosts (Imported)'!$1:$5000,M3279,FALSE)</f>
        <v>0</v>
      </c>
      <c r="D3279" s="52">
        <f>HLOOKUP("# Memory",'vHosts (Imported)'!$1:$5000,M3279,FALSE)</f>
        <v>0</v>
      </c>
      <c r="M3279" s="45">
        <f t="shared" si="155"/>
        <v>3279</v>
      </c>
      <c r="N3279" s="38">
        <f>HLOOKUP("Host",'vInfo (Imported)'!$1:$5000,M3279,FALSE)</f>
        <v>0</v>
      </c>
      <c r="R3279">
        <f>HLOOKUP("CPUs",'vInfo (Imported)'!$1:$5000,M3279,FALSE)</f>
        <v>0</v>
      </c>
      <c r="S3279">
        <f>HLOOKUP("Memory",'vInfo (Imported)'!$1:$5000,M3279,FALSE)</f>
        <v>0</v>
      </c>
      <c r="T3279">
        <f>HLOOKUP("Provisioned MiB",'vInfo (Imported)'!$1:$5000,M3279,FALSE)</f>
        <v>0</v>
      </c>
      <c r="U3279">
        <f t="shared" si="154"/>
        <v>0</v>
      </c>
      <c r="V3279">
        <f>HLOOKUP("In Use MiB",'vInfo (Imported)'!$1:$5000,M3279,FALSE)</f>
        <v>0</v>
      </c>
    </row>
    <row r="3280" spans="1:22" ht="13" x14ac:dyDescent="0.3">
      <c r="A3280" s="46">
        <f>'vHosts (Imported)'!A3280</f>
        <v>0</v>
      </c>
      <c r="B3280" s="51">
        <f t="shared" si="153"/>
        <v>4968</v>
      </c>
      <c r="C3280" s="49">
        <f>HLOOKUP("# Cores",'vHosts (Imported)'!$1:$5000,M3280,FALSE)</f>
        <v>0</v>
      </c>
      <c r="D3280" s="52">
        <f>HLOOKUP("# Memory",'vHosts (Imported)'!$1:$5000,M3280,FALSE)</f>
        <v>0</v>
      </c>
      <c r="M3280" s="45">
        <f t="shared" si="155"/>
        <v>3280</v>
      </c>
      <c r="N3280" s="38">
        <f>HLOOKUP("Host",'vInfo (Imported)'!$1:$5000,M3280,FALSE)</f>
        <v>0</v>
      </c>
      <c r="R3280">
        <f>HLOOKUP("CPUs",'vInfo (Imported)'!$1:$5000,M3280,FALSE)</f>
        <v>0</v>
      </c>
      <c r="S3280">
        <f>HLOOKUP("Memory",'vInfo (Imported)'!$1:$5000,M3280,FALSE)</f>
        <v>0</v>
      </c>
      <c r="T3280">
        <f>HLOOKUP("Provisioned MiB",'vInfo (Imported)'!$1:$5000,M3280,FALSE)</f>
        <v>0</v>
      </c>
      <c r="U3280">
        <f t="shared" si="154"/>
        <v>0</v>
      </c>
      <c r="V3280">
        <f>HLOOKUP("In Use MiB",'vInfo (Imported)'!$1:$5000,M3280,FALSE)</f>
        <v>0</v>
      </c>
    </row>
    <row r="3281" spans="1:22" ht="13" x14ac:dyDescent="0.3">
      <c r="A3281" s="46">
        <f>'vHosts (Imported)'!A3281</f>
        <v>0</v>
      </c>
      <c r="B3281" s="51">
        <f t="shared" si="153"/>
        <v>4968</v>
      </c>
      <c r="C3281" s="49">
        <f>HLOOKUP("# Cores",'vHosts (Imported)'!$1:$5000,M3281,FALSE)</f>
        <v>0</v>
      </c>
      <c r="D3281" s="52">
        <f>HLOOKUP("# Memory",'vHosts (Imported)'!$1:$5000,M3281,FALSE)</f>
        <v>0</v>
      </c>
      <c r="M3281" s="45">
        <f t="shared" si="155"/>
        <v>3281</v>
      </c>
      <c r="N3281" s="38">
        <f>HLOOKUP("Host",'vInfo (Imported)'!$1:$5000,M3281,FALSE)</f>
        <v>0</v>
      </c>
      <c r="R3281">
        <f>HLOOKUP("CPUs",'vInfo (Imported)'!$1:$5000,M3281,FALSE)</f>
        <v>0</v>
      </c>
      <c r="S3281">
        <f>HLOOKUP("Memory",'vInfo (Imported)'!$1:$5000,M3281,FALSE)</f>
        <v>0</v>
      </c>
      <c r="T3281">
        <f>HLOOKUP("Provisioned MiB",'vInfo (Imported)'!$1:$5000,M3281,FALSE)</f>
        <v>0</v>
      </c>
      <c r="U3281">
        <f t="shared" si="154"/>
        <v>0</v>
      </c>
      <c r="V3281">
        <f>HLOOKUP("In Use MiB",'vInfo (Imported)'!$1:$5000,M3281,FALSE)</f>
        <v>0</v>
      </c>
    </row>
    <row r="3282" spans="1:22" ht="13" x14ac:dyDescent="0.3">
      <c r="A3282" s="46">
        <f>'vHosts (Imported)'!A3282</f>
        <v>0</v>
      </c>
      <c r="B3282" s="51">
        <f t="shared" si="153"/>
        <v>4968</v>
      </c>
      <c r="C3282" s="49">
        <f>HLOOKUP("# Cores",'vHosts (Imported)'!$1:$5000,M3282,FALSE)</f>
        <v>0</v>
      </c>
      <c r="D3282" s="52">
        <f>HLOOKUP("# Memory",'vHosts (Imported)'!$1:$5000,M3282,FALSE)</f>
        <v>0</v>
      </c>
      <c r="M3282" s="45">
        <f t="shared" si="155"/>
        <v>3282</v>
      </c>
      <c r="N3282" s="38">
        <f>HLOOKUP("Host",'vInfo (Imported)'!$1:$5000,M3282,FALSE)</f>
        <v>0</v>
      </c>
      <c r="R3282">
        <f>HLOOKUP("CPUs",'vInfo (Imported)'!$1:$5000,M3282,FALSE)</f>
        <v>0</v>
      </c>
      <c r="S3282">
        <f>HLOOKUP("Memory",'vInfo (Imported)'!$1:$5000,M3282,FALSE)</f>
        <v>0</v>
      </c>
      <c r="T3282">
        <f>HLOOKUP("Provisioned MiB",'vInfo (Imported)'!$1:$5000,M3282,FALSE)</f>
        <v>0</v>
      </c>
      <c r="U3282">
        <f t="shared" si="154"/>
        <v>0</v>
      </c>
      <c r="V3282">
        <f>HLOOKUP("In Use MiB",'vInfo (Imported)'!$1:$5000,M3282,FALSE)</f>
        <v>0</v>
      </c>
    </row>
    <row r="3283" spans="1:22" ht="13" x14ac:dyDescent="0.3">
      <c r="A3283" s="46">
        <f>'vHosts (Imported)'!A3283</f>
        <v>0</v>
      </c>
      <c r="B3283" s="51">
        <f t="shared" si="153"/>
        <v>4968</v>
      </c>
      <c r="C3283" s="49">
        <f>HLOOKUP("# Cores",'vHosts (Imported)'!$1:$5000,M3283,FALSE)</f>
        <v>0</v>
      </c>
      <c r="D3283" s="52">
        <f>HLOOKUP("# Memory",'vHosts (Imported)'!$1:$5000,M3283,FALSE)</f>
        <v>0</v>
      </c>
      <c r="M3283" s="45">
        <f t="shared" si="155"/>
        <v>3283</v>
      </c>
      <c r="N3283" s="38">
        <f>HLOOKUP("Host",'vInfo (Imported)'!$1:$5000,M3283,FALSE)</f>
        <v>0</v>
      </c>
      <c r="R3283">
        <f>HLOOKUP("CPUs",'vInfo (Imported)'!$1:$5000,M3283,FALSE)</f>
        <v>0</v>
      </c>
      <c r="S3283">
        <f>HLOOKUP("Memory",'vInfo (Imported)'!$1:$5000,M3283,FALSE)</f>
        <v>0</v>
      </c>
      <c r="T3283">
        <f>HLOOKUP("Provisioned MiB",'vInfo (Imported)'!$1:$5000,M3283,FALSE)</f>
        <v>0</v>
      </c>
      <c r="U3283">
        <f t="shared" si="154"/>
        <v>0</v>
      </c>
      <c r="V3283">
        <f>HLOOKUP("In Use MiB",'vInfo (Imported)'!$1:$5000,M3283,FALSE)</f>
        <v>0</v>
      </c>
    </row>
    <row r="3284" spans="1:22" ht="13" x14ac:dyDescent="0.3">
      <c r="A3284" s="46">
        <f>'vHosts (Imported)'!A3284</f>
        <v>0</v>
      </c>
      <c r="B3284" s="51">
        <f t="shared" si="153"/>
        <v>4968</v>
      </c>
      <c r="C3284" s="49">
        <f>HLOOKUP("# Cores",'vHosts (Imported)'!$1:$5000,M3284,FALSE)</f>
        <v>0</v>
      </c>
      <c r="D3284" s="52">
        <f>HLOOKUP("# Memory",'vHosts (Imported)'!$1:$5000,M3284,FALSE)</f>
        <v>0</v>
      </c>
      <c r="M3284" s="45">
        <f t="shared" si="155"/>
        <v>3284</v>
      </c>
      <c r="N3284" s="38">
        <f>HLOOKUP("Host",'vInfo (Imported)'!$1:$5000,M3284,FALSE)</f>
        <v>0</v>
      </c>
      <c r="R3284">
        <f>HLOOKUP("CPUs",'vInfo (Imported)'!$1:$5000,M3284,FALSE)</f>
        <v>0</v>
      </c>
      <c r="S3284">
        <f>HLOOKUP("Memory",'vInfo (Imported)'!$1:$5000,M3284,FALSE)</f>
        <v>0</v>
      </c>
      <c r="T3284">
        <f>HLOOKUP("Provisioned MiB",'vInfo (Imported)'!$1:$5000,M3284,FALSE)</f>
        <v>0</v>
      </c>
      <c r="U3284">
        <f t="shared" si="154"/>
        <v>0</v>
      </c>
      <c r="V3284">
        <f>HLOOKUP("In Use MiB",'vInfo (Imported)'!$1:$5000,M3284,FALSE)</f>
        <v>0</v>
      </c>
    </row>
    <row r="3285" spans="1:22" ht="13" x14ac:dyDescent="0.3">
      <c r="A3285" s="46">
        <f>'vHosts (Imported)'!A3285</f>
        <v>0</v>
      </c>
      <c r="B3285" s="51">
        <f t="shared" si="153"/>
        <v>4968</v>
      </c>
      <c r="C3285" s="49">
        <f>HLOOKUP("# Cores",'vHosts (Imported)'!$1:$5000,M3285,FALSE)</f>
        <v>0</v>
      </c>
      <c r="D3285" s="52">
        <f>HLOOKUP("# Memory",'vHosts (Imported)'!$1:$5000,M3285,FALSE)</f>
        <v>0</v>
      </c>
      <c r="M3285" s="45">
        <f t="shared" si="155"/>
        <v>3285</v>
      </c>
      <c r="N3285" s="38">
        <f>HLOOKUP("Host",'vInfo (Imported)'!$1:$5000,M3285,FALSE)</f>
        <v>0</v>
      </c>
      <c r="R3285">
        <f>HLOOKUP("CPUs",'vInfo (Imported)'!$1:$5000,M3285,FALSE)</f>
        <v>0</v>
      </c>
      <c r="S3285">
        <f>HLOOKUP("Memory",'vInfo (Imported)'!$1:$5000,M3285,FALSE)</f>
        <v>0</v>
      </c>
      <c r="T3285">
        <f>HLOOKUP("Provisioned MiB",'vInfo (Imported)'!$1:$5000,M3285,FALSE)</f>
        <v>0</v>
      </c>
      <c r="U3285">
        <f t="shared" si="154"/>
        <v>0</v>
      </c>
      <c r="V3285">
        <f>HLOOKUP("In Use MiB",'vInfo (Imported)'!$1:$5000,M3285,FALSE)</f>
        <v>0</v>
      </c>
    </row>
    <row r="3286" spans="1:22" ht="13" x14ac:dyDescent="0.3">
      <c r="A3286" s="46">
        <f>'vHosts (Imported)'!A3286</f>
        <v>0</v>
      </c>
      <c r="B3286" s="51">
        <f t="shared" si="153"/>
        <v>4968</v>
      </c>
      <c r="C3286" s="49">
        <f>HLOOKUP("# Cores",'vHosts (Imported)'!$1:$5000,M3286,FALSE)</f>
        <v>0</v>
      </c>
      <c r="D3286" s="52">
        <f>HLOOKUP("# Memory",'vHosts (Imported)'!$1:$5000,M3286,FALSE)</f>
        <v>0</v>
      </c>
      <c r="M3286" s="45">
        <f t="shared" si="155"/>
        <v>3286</v>
      </c>
      <c r="N3286" s="38">
        <f>HLOOKUP("Host",'vInfo (Imported)'!$1:$5000,M3286,FALSE)</f>
        <v>0</v>
      </c>
      <c r="R3286">
        <f>HLOOKUP("CPUs",'vInfo (Imported)'!$1:$5000,M3286,FALSE)</f>
        <v>0</v>
      </c>
      <c r="S3286">
        <f>HLOOKUP("Memory",'vInfo (Imported)'!$1:$5000,M3286,FALSE)</f>
        <v>0</v>
      </c>
      <c r="T3286">
        <f>HLOOKUP("Provisioned MiB",'vInfo (Imported)'!$1:$5000,M3286,FALSE)</f>
        <v>0</v>
      </c>
      <c r="U3286">
        <f t="shared" si="154"/>
        <v>0</v>
      </c>
      <c r="V3286">
        <f>HLOOKUP("In Use MiB",'vInfo (Imported)'!$1:$5000,M3286,FALSE)</f>
        <v>0</v>
      </c>
    </row>
    <row r="3287" spans="1:22" ht="13" x14ac:dyDescent="0.3">
      <c r="A3287" s="46">
        <f>'vHosts (Imported)'!A3287</f>
        <v>0</v>
      </c>
      <c r="B3287" s="51">
        <f t="shared" si="153"/>
        <v>4968</v>
      </c>
      <c r="C3287" s="49">
        <f>HLOOKUP("# Cores",'vHosts (Imported)'!$1:$5000,M3287,FALSE)</f>
        <v>0</v>
      </c>
      <c r="D3287" s="52">
        <f>HLOOKUP("# Memory",'vHosts (Imported)'!$1:$5000,M3287,FALSE)</f>
        <v>0</v>
      </c>
      <c r="M3287" s="45">
        <f t="shared" si="155"/>
        <v>3287</v>
      </c>
      <c r="N3287" s="38">
        <f>HLOOKUP("Host",'vInfo (Imported)'!$1:$5000,M3287,FALSE)</f>
        <v>0</v>
      </c>
      <c r="R3287">
        <f>HLOOKUP("CPUs",'vInfo (Imported)'!$1:$5000,M3287,FALSE)</f>
        <v>0</v>
      </c>
      <c r="S3287">
        <f>HLOOKUP("Memory",'vInfo (Imported)'!$1:$5000,M3287,FALSE)</f>
        <v>0</v>
      </c>
      <c r="T3287">
        <f>HLOOKUP("Provisioned MiB",'vInfo (Imported)'!$1:$5000,M3287,FALSE)</f>
        <v>0</v>
      </c>
      <c r="U3287">
        <f t="shared" si="154"/>
        <v>0</v>
      </c>
      <c r="V3287">
        <f>HLOOKUP("In Use MiB",'vInfo (Imported)'!$1:$5000,M3287,FALSE)</f>
        <v>0</v>
      </c>
    </row>
    <row r="3288" spans="1:22" ht="13" x14ac:dyDescent="0.3">
      <c r="A3288" s="46">
        <f>'vHosts (Imported)'!A3288</f>
        <v>0</v>
      </c>
      <c r="B3288" s="51">
        <f t="shared" si="153"/>
        <v>4968</v>
      </c>
      <c r="C3288" s="49">
        <f>HLOOKUP("# Cores",'vHosts (Imported)'!$1:$5000,M3288,FALSE)</f>
        <v>0</v>
      </c>
      <c r="D3288" s="52">
        <f>HLOOKUP("# Memory",'vHosts (Imported)'!$1:$5000,M3288,FALSE)</f>
        <v>0</v>
      </c>
      <c r="M3288" s="45">
        <f t="shared" si="155"/>
        <v>3288</v>
      </c>
      <c r="N3288" s="38">
        <f>HLOOKUP("Host",'vInfo (Imported)'!$1:$5000,M3288,FALSE)</f>
        <v>0</v>
      </c>
      <c r="R3288">
        <f>HLOOKUP("CPUs",'vInfo (Imported)'!$1:$5000,M3288,FALSE)</f>
        <v>0</v>
      </c>
      <c r="S3288">
        <f>HLOOKUP("Memory",'vInfo (Imported)'!$1:$5000,M3288,FALSE)</f>
        <v>0</v>
      </c>
      <c r="T3288">
        <f>HLOOKUP("Provisioned MiB",'vInfo (Imported)'!$1:$5000,M3288,FALSE)</f>
        <v>0</v>
      </c>
      <c r="U3288">
        <f t="shared" si="154"/>
        <v>0</v>
      </c>
      <c r="V3288">
        <f>HLOOKUP("In Use MiB",'vInfo (Imported)'!$1:$5000,M3288,FALSE)</f>
        <v>0</v>
      </c>
    </row>
    <row r="3289" spans="1:22" ht="13" x14ac:dyDescent="0.3">
      <c r="A3289" s="46">
        <f>'vHosts (Imported)'!A3289</f>
        <v>0</v>
      </c>
      <c r="B3289" s="51">
        <f t="shared" si="153"/>
        <v>4968</v>
      </c>
      <c r="C3289" s="49">
        <f>HLOOKUP("# Cores",'vHosts (Imported)'!$1:$5000,M3289,FALSE)</f>
        <v>0</v>
      </c>
      <c r="D3289" s="52">
        <f>HLOOKUP("# Memory",'vHosts (Imported)'!$1:$5000,M3289,FALSE)</f>
        <v>0</v>
      </c>
      <c r="M3289" s="45">
        <f t="shared" si="155"/>
        <v>3289</v>
      </c>
      <c r="N3289" s="38">
        <f>HLOOKUP("Host",'vInfo (Imported)'!$1:$5000,M3289,FALSE)</f>
        <v>0</v>
      </c>
      <c r="R3289">
        <f>HLOOKUP("CPUs",'vInfo (Imported)'!$1:$5000,M3289,FALSE)</f>
        <v>0</v>
      </c>
      <c r="S3289">
        <f>HLOOKUP("Memory",'vInfo (Imported)'!$1:$5000,M3289,FALSE)</f>
        <v>0</v>
      </c>
      <c r="T3289">
        <f>HLOOKUP("Provisioned MiB",'vInfo (Imported)'!$1:$5000,M3289,FALSE)</f>
        <v>0</v>
      </c>
      <c r="U3289">
        <f t="shared" si="154"/>
        <v>0</v>
      </c>
      <c r="V3289">
        <f>HLOOKUP("In Use MiB",'vInfo (Imported)'!$1:$5000,M3289,FALSE)</f>
        <v>0</v>
      </c>
    </row>
    <row r="3290" spans="1:22" ht="13" x14ac:dyDescent="0.3">
      <c r="A3290" s="46">
        <f>'vHosts (Imported)'!A3290</f>
        <v>0</v>
      </c>
      <c r="B3290" s="51">
        <f t="shared" si="153"/>
        <v>4968</v>
      </c>
      <c r="C3290" s="49">
        <f>HLOOKUP("# Cores",'vHosts (Imported)'!$1:$5000,M3290,FALSE)</f>
        <v>0</v>
      </c>
      <c r="D3290" s="52">
        <f>HLOOKUP("# Memory",'vHosts (Imported)'!$1:$5000,M3290,FALSE)</f>
        <v>0</v>
      </c>
      <c r="M3290" s="45">
        <f t="shared" si="155"/>
        <v>3290</v>
      </c>
      <c r="N3290" s="38">
        <f>HLOOKUP("Host",'vInfo (Imported)'!$1:$5000,M3290,FALSE)</f>
        <v>0</v>
      </c>
      <c r="R3290">
        <f>HLOOKUP("CPUs",'vInfo (Imported)'!$1:$5000,M3290,FALSE)</f>
        <v>0</v>
      </c>
      <c r="S3290">
        <f>HLOOKUP("Memory",'vInfo (Imported)'!$1:$5000,M3290,FALSE)</f>
        <v>0</v>
      </c>
      <c r="T3290">
        <f>HLOOKUP("Provisioned MiB",'vInfo (Imported)'!$1:$5000,M3290,FALSE)</f>
        <v>0</v>
      </c>
      <c r="U3290">
        <f t="shared" si="154"/>
        <v>0</v>
      </c>
      <c r="V3290">
        <f>HLOOKUP("In Use MiB",'vInfo (Imported)'!$1:$5000,M3290,FALSE)</f>
        <v>0</v>
      </c>
    </row>
    <row r="3291" spans="1:22" ht="13" x14ac:dyDescent="0.3">
      <c r="A3291" s="46">
        <f>'vHosts (Imported)'!A3291</f>
        <v>0</v>
      </c>
      <c r="B3291" s="51">
        <f t="shared" si="153"/>
        <v>4968</v>
      </c>
      <c r="C3291" s="49">
        <f>HLOOKUP("# Cores",'vHosts (Imported)'!$1:$5000,M3291,FALSE)</f>
        <v>0</v>
      </c>
      <c r="D3291" s="52">
        <f>HLOOKUP("# Memory",'vHosts (Imported)'!$1:$5000,M3291,FALSE)</f>
        <v>0</v>
      </c>
      <c r="M3291" s="45">
        <f t="shared" si="155"/>
        <v>3291</v>
      </c>
      <c r="N3291" s="38">
        <f>HLOOKUP("Host",'vInfo (Imported)'!$1:$5000,M3291,FALSE)</f>
        <v>0</v>
      </c>
      <c r="R3291">
        <f>HLOOKUP("CPUs",'vInfo (Imported)'!$1:$5000,M3291,FALSE)</f>
        <v>0</v>
      </c>
      <c r="S3291">
        <f>HLOOKUP("Memory",'vInfo (Imported)'!$1:$5000,M3291,FALSE)</f>
        <v>0</v>
      </c>
      <c r="T3291">
        <f>HLOOKUP("Provisioned MiB",'vInfo (Imported)'!$1:$5000,M3291,FALSE)</f>
        <v>0</v>
      </c>
      <c r="U3291">
        <f t="shared" si="154"/>
        <v>0</v>
      </c>
      <c r="V3291">
        <f>HLOOKUP("In Use MiB",'vInfo (Imported)'!$1:$5000,M3291,FALSE)</f>
        <v>0</v>
      </c>
    </row>
    <row r="3292" spans="1:22" ht="13" x14ac:dyDescent="0.3">
      <c r="A3292" s="46">
        <f>'vHosts (Imported)'!A3292</f>
        <v>0</v>
      </c>
      <c r="B3292" s="51">
        <f t="shared" si="153"/>
        <v>4968</v>
      </c>
      <c r="C3292" s="49">
        <f>HLOOKUP("# Cores",'vHosts (Imported)'!$1:$5000,M3292,FALSE)</f>
        <v>0</v>
      </c>
      <c r="D3292" s="52">
        <f>HLOOKUP("# Memory",'vHosts (Imported)'!$1:$5000,M3292,FALSE)</f>
        <v>0</v>
      </c>
      <c r="M3292" s="45">
        <f t="shared" si="155"/>
        <v>3292</v>
      </c>
      <c r="N3292" s="38">
        <f>HLOOKUP("Host",'vInfo (Imported)'!$1:$5000,M3292,FALSE)</f>
        <v>0</v>
      </c>
      <c r="R3292">
        <f>HLOOKUP("CPUs",'vInfo (Imported)'!$1:$5000,M3292,FALSE)</f>
        <v>0</v>
      </c>
      <c r="S3292">
        <f>HLOOKUP("Memory",'vInfo (Imported)'!$1:$5000,M3292,FALSE)</f>
        <v>0</v>
      </c>
      <c r="T3292">
        <f>HLOOKUP("Provisioned MiB",'vInfo (Imported)'!$1:$5000,M3292,FALSE)</f>
        <v>0</v>
      </c>
      <c r="U3292">
        <f t="shared" si="154"/>
        <v>0</v>
      </c>
      <c r="V3292">
        <f>HLOOKUP("In Use MiB",'vInfo (Imported)'!$1:$5000,M3292,FALSE)</f>
        <v>0</v>
      </c>
    </row>
    <row r="3293" spans="1:22" ht="13" x14ac:dyDescent="0.3">
      <c r="A3293" s="46">
        <f>'vHosts (Imported)'!A3293</f>
        <v>0</v>
      </c>
      <c r="B3293" s="51">
        <f t="shared" si="153"/>
        <v>4968</v>
      </c>
      <c r="C3293" s="49">
        <f>HLOOKUP("# Cores",'vHosts (Imported)'!$1:$5000,M3293,FALSE)</f>
        <v>0</v>
      </c>
      <c r="D3293" s="52">
        <f>HLOOKUP("# Memory",'vHosts (Imported)'!$1:$5000,M3293,FALSE)</f>
        <v>0</v>
      </c>
      <c r="M3293" s="45">
        <f t="shared" si="155"/>
        <v>3293</v>
      </c>
      <c r="N3293" s="38">
        <f>HLOOKUP("Host",'vInfo (Imported)'!$1:$5000,M3293,FALSE)</f>
        <v>0</v>
      </c>
      <c r="R3293">
        <f>HLOOKUP("CPUs",'vInfo (Imported)'!$1:$5000,M3293,FALSE)</f>
        <v>0</v>
      </c>
      <c r="S3293">
        <f>HLOOKUP("Memory",'vInfo (Imported)'!$1:$5000,M3293,FALSE)</f>
        <v>0</v>
      </c>
      <c r="T3293">
        <f>HLOOKUP("Provisioned MiB",'vInfo (Imported)'!$1:$5000,M3293,FALSE)</f>
        <v>0</v>
      </c>
      <c r="U3293">
        <f t="shared" si="154"/>
        <v>0</v>
      </c>
      <c r="V3293">
        <f>HLOOKUP("In Use MiB",'vInfo (Imported)'!$1:$5000,M3293,FALSE)</f>
        <v>0</v>
      </c>
    </row>
    <row r="3294" spans="1:22" ht="13" x14ac:dyDescent="0.3">
      <c r="A3294" s="46">
        <f>'vHosts (Imported)'!A3294</f>
        <v>0</v>
      </c>
      <c r="B3294" s="51">
        <f t="shared" si="153"/>
        <v>4968</v>
      </c>
      <c r="C3294" s="49">
        <f>HLOOKUP("# Cores",'vHosts (Imported)'!$1:$5000,M3294,FALSE)</f>
        <v>0</v>
      </c>
      <c r="D3294" s="52">
        <f>HLOOKUP("# Memory",'vHosts (Imported)'!$1:$5000,M3294,FALSE)</f>
        <v>0</v>
      </c>
      <c r="M3294" s="45">
        <f t="shared" si="155"/>
        <v>3294</v>
      </c>
      <c r="N3294" s="38">
        <f>HLOOKUP("Host",'vInfo (Imported)'!$1:$5000,M3294,FALSE)</f>
        <v>0</v>
      </c>
      <c r="R3294">
        <f>HLOOKUP("CPUs",'vInfo (Imported)'!$1:$5000,M3294,FALSE)</f>
        <v>0</v>
      </c>
      <c r="S3294">
        <f>HLOOKUP("Memory",'vInfo (Imported)'!$1:$5000,M3294,FALSE)</f>
        <v>0</v>
      </c>
      <c r="T3294">
        <f>HLOOKUP("Provisioned MiB",'vInfo (Imported)'!$1:$5000,M3294,FALSE)</f>
        <v>0</v>
      </c>
      <c r="U3294">
        <f t="shared" si="154"/>
        <v>0</v>
      </c>
      <c r="V3294">
        <f>HLOOKUP("In Use MiB",'vInfo (Imported)'!$1:$5000,M3294,FALSE)</f>
        <v>0</v>
      </c>
    </row>
    <row r="3295" spans="1:22" ht="13" x14ac:dyDescent="0.3">
      <c r="A3295" s="46">
        <f>'vHosts (Imported)'!A3295</f>
        <v>0</v>
      </c>
      <c r="B3295" s="51">
        <f t="shared" si="153"/>
        <v>4968</v>
      </c>
      <c r="C3295" s="49">
        <f>HLOOKUP("# Cores",'vHosts (Imported)'!$1:$5000,M3295,FALSE)</f>
        <v>0</v>
      </c>
      <c r="D3295" s="52">
        <f>HLOOKUP("# Memory",'vHosts (Imported)'!$1:$5000,M3295,FALSE)</f>
        <v>0</v>
      </c>
      <c r="M3295" s="45">
        <f t="shared" si="155"/>
        <v>3295</v>
      </c>
      <c r="N3295" s="38">
        <f>HLOOKUP("Host",'vInfo (Imported)'!$1:$5000,M3295,FALSE)</f>
        <v>0</v>
      </c>
      <c r="R3295">
        <f>HLOOKUP("CPUs",'vInfo (Imported)'!$1:$5000,M3295,FALSE)</f>
        <v>0</v>
      </c>
      <c r="S3295">
        <f>HLOOKUP("Memory",'vInfo (Imported)'!$1:$5000,M3295,FALSE)</f>
        <v>0</v>
      </c>
      <c r="T3295">
        <f>HLOOKUP("Provisioned MiB",'vInfo (Imported)'!$1:$5000,M3295,FALSE)</f>
        <v>0</v>
      </c>
      <c r="U3295">
        <f t="shared" si="154"/>
        <v>0</v>
      </c>
      <c r="V3295">
        <f>HLOOKUP("In Use MiB",'vInfo (Imported)'!$1:$5000,M3295,FALSE)</f>
        <v>0</v>
      </c>
    </row>
    <row r="3296" spans="1:22" ht="13" x14ac:dyDescent="0.3">
      <c r="A3296" s="46">
        <f>'vHosts (Imported)'!A3296</f>
        <v>0</v>
      </c>
      <c r="B3296" s="51">
        <f t="shared" si="153"/>
        <v>4968</v>
      </c>
      <c r="C3296" s="49">
        <f>HLOOKUP("# Cores",'vHosts (Imported)'!$1:$5000,M3296,FALSE)</f>
        <v>0</v>
      </c>
      <c r="D3296" s="52">
        <f>HLOOKUP("# Memory",'vHosts (Imported)'!$1:$5000,M3296,FALSE)</f>
        <v>0</v>
      </c>
      <c r="M3296" s="45">
        <f t="shared" si="155"/>
        <v>3296</v>
      </c>
      <c r="N3296" s="38">
        <f>HLOOKUP("Host",'vInfo (Imported)'!$1:$5000,M3296,FALSE)</f>
        <v>0</v>
      </c>
      <c r="R3296">
        <f>HLOOKUP("CPUs",'vInfo (Imported)'!$1:$5000,M3296,FALSE)</f>
        <v>0</v>
      </c>
      <c r="S3296">
        <f>HLOOKUP("Memory",'vInfo (Imported)'!$1:$5000,M3296,FALSE)</f>
        <v>0</v>
      </c>
      <c r="T3296">
        <f>HLOOKUP("Provisioned MiB",'vInfo (Imported)'!$1:$5000,M3296,FALSE)</f>
        <v>0</v>
      </c>
      <c r="U3296">
        <f t="shared" si="154"/>
        <v>0</v>
      </c>
      <c r="V3296">
        <f>HLOOKUP("In Use MiB",'vInfo (Imported)'!$1:$5000,M3296,FALSE)</f>
        <v>0</v>
      </c>
    </row>
    <row r="3297" spans="1:22" ht="13" x14ac:dyDescent="0.3">
      <c r="A3297" s="46">
        <f>'vHosts (Imported)'!A3297</f>
        <v>0</v>
      </c>
      <c r="B3297" s="51">
        <f t="shared" si="153"/>
        <v>4968</v>
      </c>
      <c r="C3297" s="49">
        <f>HLOOKUP("# Cores",'vHosts (Imported)'!$1:$5000,M3297,FALSE)</f>
        <v>0</v>
      </c>
      <c r="D3297" s="52">
        <f>HLOOKUP("# Memory",'vHosts (Imported)'!$1:$5000,M3297,FALSE)</f>
        <v>0</v>
      </c>
      <c r="M3297" s="45">
        <f t="shared" si="155"/>
        <v>3297</v>
      </c>
      <c r="N3297" s="38">
        <f>HLOOKUP("Host",'vInfo (Imported)'!$1:$5000,M3297,FALSE)</f>
        <v>0</v>
      </c>
      <c r="R3297">
        <f>HLOOKUP("CPUs",'vInfo (Imported)'!$1:$5000,M3297,FALSE)</f>
        <v>0</v>
      </c>
      <c r="S3297">
        <f>HLOOKUP("Memory",'vInfo (Imported)'!$1:$5000,M3297,FALSE)</f>
        <v>0</v>
      </c>
      <c r="T3297">
        <f>HLOOKUP("Provisioned MiB",'vInfo (Imported)'!$1:$5000,M3297,FALSE)</f>
        <v>0</v>
      </c>
      <c r="U3297">
        <f t="shared" si="154"/>
        <v>0</v>
      </c>
      <c r="V3297">
        <f>HLOOKUP("In Use MiB",'vInfo (Imported)'!$1:$5000,M3297,FALSE)</f>
        <v>0</v>
      </c>
    </row>
    <row r="3298" spans="1:22" ht="13" x14ac:dyDescent="0.3">
      <c r="A3298" s="46">
        <f>'vHosts (Imported)'!A3298</f>
        <v>0</v>
      </c>
      <c r="B3298" s="51">
        <f t="shared" si="153"/>
        <v>4968</v>
      </c>
      <c r="C3298" s="49">
        <f>HLOOKUP("# Cores",'vHosts (Imported)'!$1:$5000,M3298,FALSE)</f>
        <v>0</v>
      </c>
      <c r="D3298" s="52">
        <f>HLOOKUP("# Memory",'vHosts (Imported)'!$1:$5000,M3298,FALSE)</f>
        <v>0</v>
      </c>
      <c r="M3298" s="45">
        <f t="shared" si="155"/>
        <v>3298</v>
      </c>
      <c r="N3298" s="38">
        <f>HLOOKUP("Host",'vInfo (Imported)'!$1:$5000,M3298,FALSE)</f>
        <v>0</v>
      </c>
      <c r="R3298">
        <f>HLOOKUP("CPUs",'vInfo (Imported)'!$1:$5000,M3298,FALSE)</f>
        <v>0</v>
      </c>
      <c r="S3298">
        <f>HLOOKUP("Memory",'vInfo (Imported)'!$1:$5000,M3298,FALSE)</f>
        <v>0</v>
      </c>
      <c r="T3298">
        <f>HLOOKUP("Provisioned MiB",'vInfo (Imported)'!$1:$5000,M3298,FALSE)</f>
        <v>0</v>
      </c>
      <c r="U3298">
        <f t="shared" si="154"/>
        <v>0</v>
      </c>
      <c r="V3298">
        <f>HLOOKUP("In Use MiB",'vInfo (Imported)'!$1:$5000,M3298,FALSE)</f>
        <v>0</v>
      </c>
    </row>
    <row r="3299" spans="1:22" ht="13" x14ac:dyDescent="0.3">
      <c r="A3299" s="46">
        <f>'vHosts (Imported)'!A3299</f>
        <v>0</v>
      </c>
      <c r="B3299" s="51">
        <f t="shared" si="153"/>
        <v>4968</v>
      </c>
      <c r="C3299" s="49">
        <f>HLOOKUP("# Cores",'vHosts (Imported)'!$1:$5000,M3299,FALSE)</f>
        <v>0</v>
      </c>
      <c r="D3299" s="52">
        <f>HLOOKUP("# Memory",'vHosts (Imported)'!$1:$5000,M3299,FALSE)</f>
        <v>0</v>
      </c>
      <c r="M3299" s="45">
        <f t="shared" si="155"/>
        <v>3299</v>
      </c>
      <c r="N3299" s="38">
        <f>HLOOKUP("Host",'vInfo (Imported)'!$1:$5000,M3299,FALSE)</f>
        <v>0</v>
      </c>
      <c r="R3299">
        <f>HLOOKUP("CPUs",'vInfo (Imported)'!$1:$5000,M3299,FALSE)</f>
        <v>0</v>
      </c>
      <c r="S3299">
        <f>HLOOKUP("Memory",'vInfo (Imported)'!$1:$5000,M3299,FALSE)</f>
        <v>0</v>
      </c>
      <c r="T3299">
        <f>HLOOKUP("Provisioned MiB",'vInfo (Imported)'!$1:$5000,M3299,FALSE)</f>
        <v>0</v>
      </c>
      <c r="U3299">
        <f t="shared" si="154"/>
        <v>0</v>
      </c>
      <c r="V3299">
        <f>HLOOKUP("In Use MiB",'vInfo (Imported)'!$1:$5000,M3299,FALSE)</f>
        <v>0</v>
      </c>
    </row>
    <row r="3300" spans="1:22" ht="13" x14ac:dyDescent="0.3">
      <c r="A3300" s="46">
        <f>'vHosts (Imported)'!A3300</f>
        <v>0</v>
      </c>
      <c r="B3300" s="51">
        <f t="shared" si="153"/>
        <v>4968</v>
      </c>
      <c r="C3300" s="49">
        <f>HLOOKUP("# Cores",'vHosts (Imported)'!$1:$5000,M3300,FALSE)</f>
        <v>0</v>
      </c>
      <c r="D3300" s="52">
        <f>HLOOKUP("# Memory",'vHosts (Imported)'!$1:$5000,M3300,FALSE)</f>
        <v>0</v>
      </c>
      <c r="M3300" s="45">
        <f t="shared" si="155"/>
        <v>3300</v>
      </c>
      <c r="N3300" s="38">
        <f>HLOOKUP("Host",'vInfo (Imported)'!$1:$5000,M3300,FALSE)</f>
        <v>0</v>
      </c>
      <c r="R3300">
        <f>HLOOKUP("CPUs",'vInfo (Imported)'!$1:$5000,M3300,FALSE)</f>
        <v>0</v>
      </c>
      <c r="S3300">
        <f>HLOOKUP("Memory",'vInfo (Imported)'!$1:$5000,M3300,FALSE)</f>
        <v>0</v>
      </c>
      <c r="T3300">
        <f>HLOOKUP("Provisioned MiB",'vInfo (Imported)'!$1:$5000,M3300,FALSE)</f>
        <v>0</v>
      </c>
      <c r="U3300">
        <f t="shared" si="154"/>
        <v>0</v>
      </c>
      <c r="V3300">
        <f>HLOOKUP("In Use MiB",'vInfo (Imported)'!$1:$5000,M3300,FALSE)</f>
        <v>0</v>
      </c>
    </row>
    <row r="3301" spans="1:22" ht="13" x14ac:dyDescent="0.3">
      <c r="A3301" s="46">
        <f>'vHosts (Imported)'!A3301</f>
        <v>0</v>
      </c>
      <c r="B3301" s="51">
        <f t="shared" si="153"/>
        <v>4968</v>
      </c>
      <c r="C3301" s="49">
        <f>HLOOKUP("# Cores",'vHosts (Imported)'!$1:$5000,M3301,FALSE)</f>
        <v>0</v>
      </c>
      <c r="D3301" s="52">
        <f>HLOOKUP("# Memory",'vHosts (Imported)'!$1:$5000,M3301,FALSE)</f>
        <v>0</v>
      </c>
      <c r="M3301" s="45">
        <f t="shared" si="155"/>
        <v>3301</v>
      </c>
      <c r="N3301" s="38">
        <f>HLOOKUP("Host",'vInfo (Imported)'!$1:$5000,M3301,FALSE)</f>
        <v>0</v>
      </c>
      <c r="R3301">
        <f>HLOOKUP("CPUs",'vInfo (Imported)'!$1:$5000,M3301,FALSE)</f>
        <v>0</v>
      </c>
      <c r="S3301">
        <f>HLOOKUP("Memory",'vInfo (Imported)'!$1:$5000,M3301,FALSE)</f>
        <v>0</v>
      </c>
      <c r="T3301">
        <f>HLOOKUP("Provisioned MiB",'vInfo (Imported)'!$1:$5000,M3301,FALSE)</f>
        <v>0</v>
      </c>
      <c r="U3301">
        <f t="shared" si="154"/>
        <v>0</v>
      </c>
      <c r="V3301">
        <f>HLOOKUP("In Use MiB",'vInfo (Imported)'!$1:$5000,M3301,FALSE)</f>
        <v>0</v>
      </c>
    </row>
    <row r="3302" spans="1:22" ht="13" x14ac:dyDescent="0.3">
      <c r="A3302" s="46">
        <f>'vHosts (Imported)'!A3302</f>
        <v>0</v>
      </c>
      <c r="B3302" s="51">
        <f t="shared" si="153"/>
        <v>4968</v>
      </c>
      <c r="C3302" s="49">
        <f>HLOOKUP("# Cores",'vHosts (Imported)'!$1:$5000,M3302,FALSE)</f>
        <v>0</v>
      </c>
      <c r="D3302" s="52">
        <f>HLOOKUP("# Memory",'vHosts (Imported)'!$1:$5000,M3302,FALSE)</f>
        <v>0</v>
      </c>
      <c r="M3302" s="45">
        <f t="shared" si="155"/>
        <v>3302</v>
      </c>
      <c r="N3302" s="38">
        <f>HLOOKUP("Host",'vInfo (Imported)'!$1:$5000,M3302,FALSE)</f>
        <v>0</v>
      </c>
      <c r="R3302">
        <f>HLOOKUP("CPUs",'vInfo (Imported)'!$1:$5000,M3302,FALSE)</f>
        <v>0</v>
      </c>
      <c r="S3302">
        <f>HLOOKUP("Memory",'vInfo (Imported)'!$1:$5000,M3302,FALSE)</f>
        <v>0</v>
      </c>
      <c r="T3302">
        <f>HLOOKUP("Provisioned MiB",'vInfo (Imported)'!$1:$5000,M3302,FALSE)</f>
        <v>0</v>
      </c>
      <c r="U3302">
        <f t="shared" si="154"/>
        <v>0</v>
      </c>
      <c r="V3302">
        <f>HLOOKUP("In Use MiB",'vInfo (Imported)'!$1:$5000,M3302,FALSE)</f>
        <v>0</v>
      </c>
    </row>
    <row r="3303" spans="1:22" ht="13" x14ac:dyDescent="0.3">
      <c r="A3303" s="46">
        <f>'vHosts (Imported)'!A3303</f>
        <v>0</v>
      </c>
      <c r="B3303" s="51">
        <f t="shared" si="153"/>
        <v>4968</v>
      </c>
      <c r="C3303" s="49">
        <f>HLOOKUP("# Cores",'vHosts (Imported)'!$1:$5000,M3303,FALSE)</f>
        <v>0</v>
      </c>
      <c r="D3303" s="52">
        <f>HLOOKUP("# Memory",'vHosts (Imported)'!$1:$5000,M3303,FALSE)</f>
        <v>0</v>
      </c>
      <c r="M3303" s="45">
        <f t="shared" si="155"/>
        <v>3303</v>
      </c>
      <c r="N3303" s="38">
        <f>HLOOKUP("Host",'vInfo (Imported)'!$1:$5000,M3303,FALSE)</f>
        <v>0</v>
      </c>
      <c r="R3303">
        <f>HLOOKUP("CPUs",'vInfo (Imported)'!$1:$5000,M3303,FALSE)</f>
        <v>0</v>
      </c>
      <c r="S3303">
        <f>HLOOKUP("Memory",'vInfo (Imported)'!$1:$5000,M3303,FALSE)</f>
        <v>0</v>
      </c>
      <c r="T3303">
        <f>HLOOKUP("Provisioned MiB",'vInfo (Imported)'!$1:$5000,M3303,FALSE)</f>
        <v>0</v>
      </c>
      <c r="U3303">
        <f t="shared" si="154"/>
        <v>0</v>
      </c>
      <c r="V3303">
        <f>HLOOKUP("In Use MiB",'vInfo (Imported)'!$1:$5000,M3303,FALSE)</f>
        <v>0</v>
      </c>
    </row>
    <row r="3304" spans="1:22" ht="13" x14ac:dyDescent="0.3">
      <c r="A3304" s="46">
        <f>'vHosts (Imported)'!A3304</f>
        <v>0</v>
      </c>
      <c r="B3304" s="51">
        <f t="shared" ref="B3304:B3367" si="156">COUNTIF(N:N,A3304)</f>
        <v>4968</v>
      </c>
      <c r="C3304" s="49">
        <f>HLOOKUP("# Cores",'vHosts (Imported)'!$1:$5000,M3304,FALSE)</f>
        <v>0</v>
      </c>
      <c r="D3304" s="52">
        <f>HLOOKUP("# Memory",'vHosts (Imported)'!$1:$5000,M3304,FALSE)</f>
        <v>0</v>
      </c>
      <c r="M3304" s="45">
        <f t="shared" si="155"/>
        <v>3304</v>
      </c>
      <c r="N3304" s="38">
        <f>HLOOKUP("Host",'vInfo (Imported)'!$1:$5000,M3304,FALSE)</f>
        <v>0</v>
      </c>
      <c r="R3304">
        <f>HLOOKUP("CPUs",'vInfo (Imported)'!$1:$5000,M3304,FALSE)</f>
        <v>0</v>
      </c>
      <c r="S3304">
        <f>HLOOKUP("Memory",'vInfo (Imported)'!$1:$5000,M3304,FALSE)</f>
        <v>0</v>
      </c>
      <c r="T3304">
        <f>HLOOKUP("Provisioned MiB",'vInfo (Imported)'!$1:$5000,M3304,FALSE)</f>
        <v>0</v>
      </c>
      <c r="U3304">
        <f t="shared" si="154"/>
        <v>0</v>
      </c>
      <c r="V3304">
        <f>HLOOKUP("In Use MiB",'vInfo (Imported)'!$1:$5000,M3304,FALSE)</f>
        <v>0</v>
      </c>
    </row>
    <row r="3305" spans="1:22" ht="13" x14ac:dyDescent="0.3">
      <c r="A3305" s="46">
        <f>'vHosts (Imported)'!A3305</f>
        <v>0</v>
      </c>
      <c r="B3305" s="51">
        <f t="shared" si="156"/>
        <v>4968</v>
      </c>
      <c r="C3305" s="49">
        <f>HLOOKUP("# Cores",'vHosts (Imported)'!$1:$5000,M3305,FALSE)</f>
        <v>0</v>
      </c>
      <c r="D3305" s="52">
        <f>HLOOKUP("# Memory",'vHosts (Imported)'!$1:$5000,M3305,FALSE)</f>
        <v>0</v>
      </c>
      <c r="M3305" s="45">
        <f t="shared" si="155"/>
        <v>3305</v>
      </c>
      <c r="N3305" s="38">
        <f>HLOOKUP("Host",'vInfo (Imported)'!$1:$5000,M3305,FALSE)</f>
        <v>0</v>
      </c>
      <c r="R3305">
        <f>HLOOKUP("CPUs",'vInfo (Imported)'!$1:$5000,M3305,FALSE)</f>
        <v>0</v>
      </c>
      <c r="S3305">
        <f>HLOOKUP("Memory",'vInfo (Imported)'!$1:$5000,M3305,FALSE)</f>
        <v>0</v>
      </c>
      <c r="T3305">
        <f>HLOOKUP("Provisioned MiB",'vInfo (Imported)'!$1:$5000,M3305,FALSE)</f>
        <v>0</v>
      </c>
      <c r="U3305">
        <f t="shared" si="154"/>
        <v>0</v>
      </c>
      <c r="V3305">
        <f>HLOOKUP("In Use MiB",'vInfo (Imported)'!$1:$5000,M3305,FALSE)</f>
        <v>0</v>
      </c>
    </row>
    <row r="3306" spans="1:22" ht="13" x14ac:dyDescent="0.3">
      <c r="A3306" s="46">
        <f>'vHosts (Imported)'!A3306</f>
        <v>0</v>
      </c>
      <c r="B3306" s="51">
        <f t="shared" si="156"/>
        <v>4968</v>
      </c>
      <c r="C3306" s="49">
        <f>HLOOKUP("# Cores",'vHosts (Imported)'!$1:$5000,M3306,FALSE)</f>
        <v>0</v>
      </c>
      <c r="D3306" s="52">
        <f>HLOOKUP("# Memory",'vHosts (Imported)'!$1:$5000,M3306,FALSE)</f>
        <v>0</v>
      </c>
      <c r="M3306" s="45">
        <f t="shared" si="155"/>
        <v>3306</v>
      </c>
      <c r="N3306" s="38">
        <f>HLOOKUP("Host",'vInfo (Imported)'!$1:$5000,M3306,FALSE)</f>
        <v>0</v>
      </c>
      <c r="R3306">
        <f>HLOOKUP("CPUs",'vInfo (Imported)'!$1:$5000,M3306,FALSE)</f>
        <v>0</v>
      </c>
      <c r="S3306">
        <f>HLOOKUP("Memory",'vInfo (Imported)'!$1:$5000,M3306,FALSE)</f>
        <v>0</v>
      </c>
      <c r="T3306">
        <f>HLOOKUP("Provisioned MiB",'vInfo (Imported)'!$1:$5000,M3306,FALSE)</f>
        <v>0</v>
      </c>
      <c r="U3306">
        <f t="shared" si="154"/>
        <v>0</v>
      </c>
      <c r="V3306">
        <f>HLOOKUP("In Use MiB",'vInfo (Imported)'!$1:$5000,M3306,FALSE)</f>
        <v>0</v>
      </c>
    </row>
    <row r="3307" spans="1:22" ht="13" x14ac:dyDescent="0.3">
      <c r="A3307" s="46">
        <f>'vHosts (Imported)'!A3307</f>
        <v>0</v>
      </c>
      <c r="B3307" s="51">
        <f t="shared" si="156"/>
        <v>4968</v>
      </c>
      <c r="C3307" s="49">
        <f>HLOOKUP("# Cores",'vHosts (Imported)'!$1:$5000,M3307,FALSE)</f>
        <v>0</v>
      </c>
      <c r="D3307" s="52">
        <f>HLOOKUP("# Memory",'vHosts (Imported)'!$1:$5000,M3307,FALSE)</f>
        <v>0</v>
      </c>
      <c r="M3307" s="45">
        <f t="shared" si="155"/>
        <v>3307</v>
      </c>
      <c r="N3307" s="38">
        <f>HLOOKUP("Host",'vInfo (Imported)'!$1:$5000,M3307,FALSE)</f>
        <v>0</v>
      </c>
      <c r="R3307">
        <f>HLOOKUP("CPUs",'vInfo (Imported)'!$1:$5000,M3307,FALSE)</f>
        <v>0</v>
      </c>
      <c r="S3307">
        <f>HLOOKUP("Memory",'vInfo (Imported)'!$1:$5000,M3307,FALSE)</f>
        <v>0</v>
      </c>
      <c r="T3307">
        <f>HLOOKUP("Provisioned MiB",'vInfo (Imported)'!$1:$5000,M3307,FALSE)</f>
        <v>0</v>
      </c>
      <c r="U3307">
        <f t="shared" si="154"/>
        <v>0</v>
      </c>
      <c r="V3307">
        <f>HLOOKUP("In Use MiB",'vInfo (Imported)'!$1:$5000,M3307,FALSE)</f>
        <v>0</v>
      </c>
    </row>
    <row r="3308" spans="1:22" ht="13" x14ac:dyDescent="0.3">
      <c r="A3308" s="46">
        <f>'vHosts (Imported)'!A3308</f>
        <v>0</v>
      </c>
      <c r="B3308" s="51">
        <f t="shared" si="156"/>
        <v>4968</v>
      </c>
      <c r="C3308" s="49">
        <f>HLOOKUP("# Cores",'vHosts (Imported)'!$1:$5000,M3308,FALSE)</f>
        <v>0</v>
      </c>
      <c r="D3308" s="52">
        <f>HLOOKUP("# Memory",'vHosts (Imported)'!$1:$5000,M3308,FALSE)</f>
        <v>0</v>
      </c>
      <c r="M3308" s="45">
        <f t="shared" si="155"/>
        <v>3308</v>
      </c>
      <c r="N3308" s="38">
        <f>HLOOKUP("Host",'vInfo (Imported)'!$1:$5000,M3308,FALSE)</f>
        <v>0</v>
      </c>
      <c r="R3308">
        <f>HLOOKUP("CPUs",'vInfo (Imported)'!$1:$5000,M3308,FALSE)</f>
        <v>0</v>
      </c>
      <c r="S3308">
        <f>HLOOKUP("Memory",'vInfo (Imported)'!$1:$5000,M3308,FALSE)</f>
        <v>0</v>
      </c>
      <c r="T3308">
        <f>HLOOKUP("Provisioned MiB",'vInfo (Imported)'!$1:$5000,M3308,FALSE)</f>
        <v>0</v>
      </c>
      <c r="U3308">
        <f t="shared" si="154"/>
        <v>0</v>
      </c>
      <c r="V3308">
        <f>HLOOKUP("In Use MiB",'vInfo (Imported)'!$1:$5000,M3308,FALSE)</f>
        <v>0</v>
      </c>
    </row>
    <row r="3309" spans="1:22" ht="13" x14ac:dyDescent="0.3">
      <c r="A3309" s="46">
        <f>'vHosts (Imported)'!A3309</f>
        <v>0</v>
      </c>
      <c r="B3309" s="51">
        <f t="shared" si="156"/>
        <v>4968</v>
      </c>
      <c r="C3309" s="49">
        <f>HLOOKUP("# Cores",'vHosts (Imported)'!$1:$5000,M3309,FALSE)</f>
        <v>0</v>
      </c>
      <c r="D3309" s="52">
        <f>HLOOKUP("# Memory",'vHosts (Imported)'!$1:$5000,M3309,FALSE)</f>
        <v>0</v>
      </c>
      <c r="M3309" s="45">
        <f t="shared" si="155"/>
        <v>3309</v>
      </c>
      <c r="N3309" s="38">
        <f>HLOOKUP("Host",'vInfo (Imported)'!$1:$5000,M3309,FALSE)</f>
        <v>0</v>
      </c>
      <c r="R3309">
        <f>HLOOKUP("CPUs",'vInfo (Imported)'!$1:$5000,M3309,FALSE)</f>
        <v>0</v>
      </c>
      <c r="S3309">
        <f>HLOOKUP("Memory",'vInfo (Imported)'!$1:$5000,M3309,FALSE)</f>
        <v>0</v>
      </c>
      <c r="T3309">
        <f>HLOOKUP("Provisioned MiB",'vInfo (Imported)'!$1:$5000,M3309,FALSE)</f>
        <v>0</v>
      </c>
      <c r="U3309">
        <f t="shared" si="154"/>
        <v>0</v>
      </c>
      <c r="V3309">
        <f>HLOOKUP("In Use MiB",'vInfo (Imported)'!$1:$5000,M3309,FALSE)</f>
        <v>0</v>
      </c>
    </row>
    <row r="3310" spans="1:22" ht="13" x14ac:dyDescent="0.3">
      <c r="A3310" s="46">
        <f>'vHosts (Imported)'!A3310</f>
        <v>0</v>
      </c>
      <c r="B3310" s="51">
        <f t="shared" si="156"/>
        <v>4968</v>
      </c>
      <c r="C3310" s="49">
        <f>HLOOKUP("# Cores",'vHosts (Imported)'!$1:$5000,M3310,FALSE)</f>
        <v>0</v>
      </c>
      <c r="D3310" s="52">
        <f>HLOOKUP("# Memory",'vHosts (Imported)'!$1:$5000,M3310,FALSE)</f>
        <v>0</v>
      </c>
      <c r="M3310" s="45">
        <f t="shared" si="155"/>
        <v>3310</v>
      </c>
      <c r="N3310" s="38">
        <f>HLOOKUP("Host",'vInfo (Imported)'!$1:$5000,M3310,FALSE)</f>
        <v>0</v>
      </c>
      <c r="R3310">
        <f>HLOOKUP("CPUs",'vInfo (Imported)'!$1:$5000,M3310,FALSE)</f>
        <v>0</v>
      </c>
      <c r="S3310">
        <f>HLOOKUP("Memory",'vInfo (Imported)'!$1:$5000,M3310,FALSE)</f>
        <v>0</v>
      </c>
      <c r="T3310">
        <f>HLOOKUP("Provisioned MiB",'vInfo (Imported)'!$1:$5000,M3310,FALSE)</f>
        <v>0</v>
      </c>
      <c r="U3310">
        <f t="shared" si="154"/>
        <v>0</v>
      </c>
      <c r="V3310">
        <f>HLOOKUP("In Use MiB",'vInfo (Imported)'!$1:$5000,M3310,FALSE)</f>
        <v>0</v>
      </c>
    </row>
    <row r="3311" spans="1:22" ht="13" x14ac:dyDescent="0.3">
      <c r="A3311" s="46">
        <f>'vHosts (Imported)'!A3311</f>
        <v>0</v>
      </c>
      <c r="B3311" s="51">
        <f t="shared" si="156"/>
        <v>4968</v>
      </c>
      <c r="C3311" s="49">
        <f>HLOOKUP("# Cores",'vHosts (Imported)'!$1:$5000,M3311,FALSE)</f>
        <v>0</v>
      </c>
      <c r="D3311" s="52">
        <f>HLOOKUP("# Memory",'vHosts (Imported)'!$1:$5000,M3311,FALSE)</f>
        <v>0</v>
      </c>
      <c r="M3311" s="45">
        <f t="shared" si="155"/>
        <v>3311</v>
      </c>
      <c r="N3311" s="38">
        <f>HLOOKUP("Host",'vInfo (Imported)'!$1:$5000,M3311,FALSE)</f>
        <v>0</v>
      </c>
      <c r="R3311">
        <f>HLOOKUP("CPUs",'vInfo (Imported)'!$1:$5000,M3311,FALSE)</f>
        <v>0</v>
      </c>
      <c r="S3311">
        <f>HLOOKUP("Memory",'vInfo (Imported)'!$1:$5000,M3311,FALSE)</f>
        <v>0</v>
      </c>
      <c r="T3311">
        <f>HLOOKUP("Provisioned MiB",'vInfo (Imported)'!$1:$5000,M3311,FALSE)</f>
        <v>0</v>
      </c>
      <c r="U3311">
        <f t="shared" si="154"/>
        <v>0</v>
      </c>
      <c r="V3311">
        <f>HLOOKUP("In Use MiB",'vInfo (Imported)'!$1:$5000,M3311,FALSE)</f>
        <v>0</v>
      </c>
    </row>
    <row r="3312" spans="1:22" ht="13" x14ac:dyDescent="0.3">
      <c r="A3312" s="46">
        <f>'vHosts (Imported)'!A3312</f>
        <v>0</v>
      </c>
      <c r="B3312" s="51">
        <f t="shared" si="156"/>
        <v>4968</v>
      </c>
      <c r="C3312" s="49">
        <f>HLOOKUP("# Cores",'vHosts (Imported)'!$1:$5000,M3312,FALSE)</f>
        <v>0</v>
      </c>
      <c r="D3312" s="52">
        <f>HLOOKUP("# Memory",'vHosts (Imported)'!$1:$5000,M3312,FALSE)</f>
        <v>0</v>
      </c>
      <c r="M3312" s="45">
        <f t="shared" si="155"/>
        <v>3312</v>
      </c>
      <c r="N3312" s="38">
        <f>HLOOKUP("Host",'vInfo (Imported)'!$1:$5000,M3312,FALSE)</f>
        <v>0</v>
      </c>
      <c r="R3312">
        <f>HLOOKUP("CPUs",'vInfo (Imported)'!$1:$5000,M3312,FALSE)</f>
        <v>0</v>
      </c>
      <c r="S3312">
        <f>HLOOKUP("Memory",'vInfo (Imported)'!$1:$5000,M3312,FALSE)</f>
        <v>0</v>
      </c>
      <c r="T3312">
        <f>HLOOKUP("Provisioned MiB",'vInfo (Imported)'!$1:$5000,M3312,FALSE)</f>
        <v>0</v>
      </c>
      <c r="U3312">
        <f t="shared" si="154"/>
        <v>0</v>
      </c>
      <c r="V3312">
        <f>HLOOKUP("In Use MiB",'vInfo (Imported)'!$1:$5000,M3312,FALSE)</f>
        <v>0</v>
      </c>
    </row>
    <row r="3313" spans="1:22" ht="13" x14ac:dyDescent="0.3">
      <c r="A3313" s="46">
        <f>'vHosts (Imported)'!A3313</f>
        <v>0</v>
      </c>
      <c r="B3313" s="51">
        <f t="shared" si="156"/>
        <v>4968</v>
      </c>
      <c r="C3313" s="49">
        <f>HLOOKUP("# Cores",'vHosts (Imported)'!$1:$5000,M3313,FALSE)</f>
        <v>0</v>
      </c>
      <c r="D3313" s="52">
        <f>HLOOKUP("# Memory",'vHosts (Imported)'!$1:$5000,M3313,FALSE)</f>
        <v>0</v>
      </c>
      <c r="M3313" s="45">
        <f t="shared" si="155"/>
        <v>3313</v>
      </c>
      <c r="N3313" s="38">
        <f>HLOOKUP("Host",'vInfo (Imported)'!$1:$5000,M3313,FALSE)</f>
        <v>0</v>
      </c>
      <c r="R3313">
        <f>HLOOKUP("CPUs",'vInfo (Imported)'!$1:$5000,M3313,FALSE)</f>
        <v>0</v>
      </c>
      <c r="S3313">
        <f>HLOOKUP("Memory",'vInfo (Imported)'!$1:$5000,M3313,FALSE)</f>
        <v>0</v>
      </c>
      <c r="T3313">
        <f>HLOOKUP("Provisioned MiB",'vInfo (Imported)'!$1:$5000,M3313,FALSE)</f>
        <v>0</v>
      </c>
      <c r="U3313">
        <f t="shared" si="154"/>
        <v>0</v>
      </c>
      <c r="V3313">
        <f>HLOOKUP("In Use MiB",'vInfo (Imported)'!$1:$5000,M3313,FALSE)</f>
        <v>0</v>
      </c>
    </row>
    <row r="3314" spans="1:22" ht="13" x14ac:dyDescent="0.3">
      <c r="A3314" s="46">
        <f>'vHosts (Imported)'!A3314</f>
        <v>0</v>
      </c>
      <c r="B3314" s="51">
        <f t="shared" si="156"/>
        <v>4968</v>
      </c>
      <c r="C3314" s="49">
        <f>HLOOKUP("# Cores",'vHosts (Imported)'!$1:$5000,M3314,FALSE)</f>
        <v>0</v>
      </c>
      <c r="D3314" s="52">
        <f>HLOOKUP("# Memory",'vHosts (Imported)'!$1:$5000,M3314,FALSE)</f>
        <v>0</v>
      </c>
      <c r="M3314" s="45">
        <f t="shared" si="155"/>
        <v>3314</v>
      </c>
      <c r="N3314" s="38">
        <f>HLOOKUP("Host",'vInfo (Imported)'!$1:$5000,M3314,FALSE)</f>
        <v>0</v>
      </c>
      <c r="R3314">
        <f>HLOOKUP("CPUs",'vInfo (Imported)'!$1:$5000,M3314,FALSE)</f>
        <v>0</v>
      </c>
      <c r="S3314">
        <f>HLOOKUP("Memory",'vInfo (Imported)'!$1:$5000,M3314,FALSE)</f>
        <v>0</v>
      </c>
      <c r="T3314">
        <f>HLOOKUP("Provisioned MiB",'vInfo (Imported)'!$1:$5000,M3314,FALSE)</f>
        <v>0</v>
      </c>
      <c r="U3314">
        <f t="shared" si="154"/>
        <v>0</v>
      </c>
      <c r="V3314">
        <f>HLOOKUP("In Use MiB",'vInfo (Imported)'!$1:$5000,M3314,FALSE)</f>
        <v>0</v>
      </c>
    </row>
    <row r="3315" spans="1:22" ht="13" x14ac:dyDescent="0.3">
      <c r="A3315" s="46">
        <f>'vHosts (Imported)'!A3315</f>
        <v>0</v>
      </c>
      <c r="B3315" s="51">
        <f t="shared" si="156"/>
        <v>4968</v>
      </c>
      <c r="C3315" s="49">
        <f>HLOOKUP("# Cores",'vHosts (Imported)'!$1:$5000,M3315,FALSE)</f>
        <v>0</v>
      </c>
      <c r="D3315" s="52">
        <f>HLOOKUP("# Memory",'vHosts (Imported)'!$1:$5000,M3315,FALSE)</f>
        <v>0</v>
      </c>
      <c r="M3315" s="45">
        <f t="shared" si="155"/>
        <v>3315</v>
      </c>
      <c r="N3315" s="38">
        <f>HLOOKUP("Host",'vInfo (Imported)'!$1:$5000,M3315,FALSE)</f>
        <v>0</v>
      </c>
      <c r="R3315">
        <f>HLOOKUP("CPUs",'vInfo (Imported)'!$1:$5000,M3315,FALSE)</f>
        <v>0</v>
      </c>
      <c r="S3315">
        <f>HLOOKUP("Memory",'vInfo (Imported)'!$1:$5000,M3315,FALSE)</f>
        <v>0</v>
      </c>
      <c r="T3315">
        <f>HLOOKUP("Provisioned MiB",'vInfo (Imported)'!$1:$5000,M3315,FALSE)</f>
        <v>0</v>
      </c>
      <c r="U3315">
        <f t="shared" si="154"/>
        <v>0</v>
      </c>
      <c r="V3315">
        <f>HLOOKUP("In Use MiB",'vInfo (Imported)'!$1:$5000,M3315,FALSE)</f>
        <v>0</v>
      </c>
    </row>
    <row r="3316" spans="1:22" ht="13" x14ac:dyDescent="0.3">
      <c r="A3316" s="46">
        <f>'vHosts (Imported)'!A3316</f>
        <v>0</v>
      </c>
      <c r="B3316" s="51">
        <f t="shared" si="156"/>
        <v>4968</v>
      </c>
      <c r="C3316" s="49">
        <f>HLOOKUP("# Cores",'vHosts (Imported)'!$1:$5000,M3316,FALSE)</f>
        <v>0</v>
      </c>
      <c r="D3316" s="52">
        <f>HLOOKUP("# Memory",'vHosts (Imported)'!$1:$5000,M3316,FALSE)</f>
        <v>0</v>
      </c>
      <c r="M3316" s="45">
        <f t="shared" si="155"/>
        <v>3316</v>
      </c>
      <c r="N3316" s="38">
        <f>HLOOKUP("Host",'vInfo (Imported)'!$1:$5000,M3316,FALSE)</f>
        <v>0</v>
      </c>
      <c r="R3316">
        <f>HLOOKUP("CPUs",'vInfo (Imported)'!$1:$5000,M3316,FALSE)</f>
        <v>0</v>
      </c>
      <c r="S3316">
        <f>HLOOKUP("Memory",'vInfo (Imported)'!$1:$5000,M3316,FALSE)</f>
        <v>0</v>
      </c>
      <c r="T3316">
        <f>HLOOKUP("Provisioned MiB",'vInfo (Imported)'!$1:$5000,M3316,FALSE)</f>
        <v>0</v>
      </c>
      <c r="U3316">
        <f t="shared" si="154"/>
        <v>0</v>
      </c>
      <c r="V3316">
        <f>HLOOKUP("In Use MiB",'vInfo (Imported)'!$1:$5000,M3316,FALSE)</f>
        <v>0</v>
      </c>
    </row>
    <row r="3317" spans="1:22" ht="13" x14ac:dyDescent="0.3">
      <c r="A3317" s="46">
        <f>'vHosts (Imported)'!A3317</f>
        <v>0</v>
      </c>
      <c r="B3317" s="51">
        <f t="shared" si="156"/>
        <v>4968</v>
      </c>
      <c r="C3317" s="49">
        <f>HLOOKUP("# Cores",'vHosts (Imported)'!$1:$5000,M3317,FALSE)</f>
        <v>0</v>
      </c>
      <c r="D3317" s="52">
        <f>HLOOKUP("# Memory",'vHosts (Imported)'!$1:$5000,M3317,FALSE)</f>
        <v>0</v>
      </c>
      <c r="M3317" s="45">
        <f t="shared" si="155"/>
        <v>3317</v>
      </c>
      <c r="N3317" s="38">
        <f>HLOOKUP("Host",'vInfo (Imported)'!$1:$5000,M3317,FALSE)</f>
        <v>0</v>
      </c>
      <c r="R3317">
        <f>HLOOKUP("CPUs",'vInfo (Imported)'!$1:$5000,M3317,FALSE)</f>
        <v>0</v>
      </c>
      <c r="S3317">
        <f>HLOOKUP("Memory",'vInfo (Imported)'!$1:$5000,M3317,FALSE)</f>
        <v>0</v>
      </c>
      <c r="T3317">
        <f>HLOOKUP("Provisioned MiB",'vInfo (Imported)'!$1:$5000,M3317,FALSE)</f>
        <v>0</v>
      </c>
      <c r="U3317">
        <f t="shared" si="154"/>
        <v>0</v>
      </c>
      <c r="V3317">
        <f>HLOOKUP("In Use MiB",'vInfo (Imported)'!$1:$5000,M3317,FALSE)</f>
        <v>0</v>
      </c>
    </row>
    <row r="3318" spans="1:22" ht="13" x14ac:dyDescent="0.3">
      <c r="A3318" s="46">
        <f>'vHosts (Imported)'!A3318</f>
        <v>0</v>
      </c>
      <c r="B3318" s="51">
        <f t="shared" si="156"/>
        <v>4968</v>
      </c>
      <c r="C3318" s="49">
        <f>HLOOKUP("# Cores",'vHosts (Imported)'!$1:$5000,M3318,FALSE)</f>
        <v>0</v>
      </c>
      <c r="D3318" s="52">
        <f>HLOOKUP("# Memory",'vHosts (Imported)'!$1:$5000,M3318,FALSE)</f>
        <v>0</v>
      </c>
      <c r="M3318" s="45">
        <f t="shared" si="155"/>
        <v>3318</v>
      </c>
      <c r="N3318" s="38">
        <f>HLOOKUP("Host",'vInfo (Imported)'!$1:$5000,M3318,FALSE)</f>
        <v>0</v>
      </c>
      <c r="R3318">
        <f>HLOOKUP("CPUs",'vInfo (Imported)'!$1:$5000,M3318,FALSE)</f>
        <v>0</v>
      </c>
      <c r="S3318">
        <f>HLOOKUP("Memory",'vInfo (Imported)'!$1:$5000,M3318,FALSE)</f>
        <v>0</v>
      </c>
      <c r="T3318">
        <f>HLOOKUP("Provisioned MiB",'vInfo (Imported)'!$1:$5000,M3318,FALSE)</f>
        <v>0</v>
      </c>
      <c r="U3318">
        <f t="shared" si="154"/>
        <v>0</v>
      </c>
      <c r="V3318">
        <f>HLOOKUP("In Use MiB",'vInfo (Imported)'!$1:$5000,M3318,FALSE)</f>
        <v>0</v>
      </c>
    </row>
    <row r="3319" spans="1:22" ht="13" x14ac:dyDescent="0.3">
      <c r="A3319" s="46">
        <f>'vHosts (Imported)'!A3319</f>
        <v>0</v>
      </c>
      <c r="B3319" s="51">
        <f t="shared" si="156"/>
        <v>4968</v>
      </c>
      <c r="C3319" s="49">
        <f>HLOOKUP("# Cores",'vHosts (Imported)'!$1:$5000,M3319,FALSE)</f>
        <v>0</v>
      </c>
      <c r="D3319" s="52">
        <f>HLOOKUP("# Memory",'vHosts (Imported)'!$1:$5000,M3319,FALSE)</f>
        <v>0</v>
      </c>
      <c r="M3319" s="45">
        <f t="shared" si="155"/>
        <v>3319</v>
      </c>
      <c r="N3319" s="38">
        <f>HLOOKUP("Host",'vInfo (Imported)'!$1:$5000,M3319,FALSE)</f>
        <v>0</v>
      </c>
      <c r="R3319">
        <f>HLOOKUP("CPUs",'vInfo (Imported)'!$1:$5000,M3319,FALSE)</f>
        <v>0</v>
      </c>
      <c r="S3319">
        <f>HLOOKUP("Memory",'vInfo (Imported)'!$1:$5000,M3319,FALSE)</f>
        <v>0</v>
      </c>
      <c r="T3319">
        <f>HLOOKUP("Provisioned MiB",'vInfo (Imported)'!$1:$5000,M3319,FALSE)</f>
        <v>0</v>
      </c>
      <c r="U3319">
        <f t="shared" si="154"/>
        <v>0</v>
      </c>
      <c r="V3319">
        <f>HLOOKUP("In Use MiB",'vInfo (Imported)'!$1:$5000,M3319,FALSE)</f>
        <v>0</v>
      </c>
    </row>
    <row r="3320" spans="1:22" ht="13" x14ac:dyDescent="0.3">
      <c r="A3320" s="46">
        <f>'vHosts (Imported)'!A3320</f>
        <v>0</v>
      </c>
      <c r="B3320" s="51">
        <f t="shared" si="156"/>
        <v>4968</v>
      </c>
      <c r="C3320" s="49">
        <f>HLOOKUP("# Cores",'vHosts (Imported)'!$1:$5000,M3320,FALSE)</f>
        <v>0</v>
      </c>
      <c r="D3320" s="52">
        <f>HLOOKUP("# Memory",'vHosts (Imported)'!$1:$5000,M3320,FALSE)</f>
        <v>0</v>
      </c>
      <c r="M3320" s="45">
        <f t="shared" si="155"/>
        <v>3320</v>
      </c>
      <c r="N3320" s="38">
        <f>HLOOKUP("Host",'vInfo (Imported)'!$1:$5000,M3320,FALSE)</f>
        <v>0</v>
      </c>
      <c r="R3320">
        <f>HLOOKUP("CPUs",'vInfo (Imported)'!$1:$5000,M3320,FALSE)</f>
        <v>0</v>
      </c>
      <c r="S3320">
        <f>HLOOKUP("Memory",'vInfo (Imported)'!$1:$5000,M3320,FALSE)</f>
        <v>0</v>
      </c>
      <c r="T3320">
        <f>HLOOKUP("Provisioned MiB",'vInfo (Imported)'!$1:$5000,M3320,FALSE)</f>
        <v>0</v>
      </c>
      <c r="U3320">
        <f t="shared" si="154"/>
        <v>0</v>
      </c>
      <c r="V3320">
        <f>HLOOKUP("In Use MiB",'vInfo (Imported)'!$1:$5000,M3320,FALSE)</f>
        <v>0</v>
      </c>
    </row>
    <row r="3321" spans="1:22" ht="13" x14ac:dyDescent="0.3">
      <c r="A3321" s="46">
        <f>'vHosts (Imported)'!A3321</f>
        <v>0</v>
      </c>
      <c r="B3321" s="51">
        <f t="shared" si="156"/>
        <v>4968</v>
      </c>
      <c r="C3321" s="49">
        <f>HLOOKUP("# Cores",'vHosts (Imported)'!$1:$5000,M3321,FALSE)</f>
        <v>0</v>
      </c>
      <c r="D3321" s="52">
        <f>HLOOKUP("# Memory",'vHosts (Imported)'!$1:$5000,M3321,FALSE)</f>
        <v>0</v>
      </c>
      <c r="M3321" s="45">
        <f t="shared" si="155"/>
        <v>3321</v>
      </c>
      <c r="N3321" s="38">
        <f>HLOOKUP("Host",'vInfo (Imported)'!$1:$5000,M3321,FALSE)</f>
        <v>0</v>
      </c>
      <c r="R3321">
        <f>HLOOKUP("CPUs",'vInfo (Imported)'!$1:$5000,M3321,FALSE)</f>
        <v>0</v>
      </c>
      <c r="S3321">
        <f>HLOOKUP("Memory",'vInfo (Imported)'!$1:$5000,M3321,FALSE)</f>
        <v>0</v>
      </c>
      <c r="T3321">
        <f>HLOOKUP("Provisioned MiB",'vInfo (Imported)'!$1:$5000,M3321,FALSE)</f>
        <v>0</v>
      </c>
      <c r="U3321">
        <f t="shared" si="154"/>
        <v>0</v>
      </c>
      <c r="V3321">
        <f>HLOOKUP("In Use MiB",'vInfo (Imported)'!$1:$5000,M3321,FALSE)</f>
        <v>0</v>
      </c>
    </row>
    <row r="3322" spans="1:22" ht="13" x14ac:dyDescent="0.3">
      <c r="A3322" s="46">
        <f>'vHosts (Imported)'!A3322</f>
        <v>0</v>
      </c>
      <c r="B3322" s="51">
        <f t="shared" si="156"/>
        <v>4968</v>
      </c>
      <c r="C3322" s="49">
        <f>HLOOKUP("# Cores",'vHosts (Imported)'!$1:$5000,M3322,FALSE)</f>
        <v>0</v>
      </c>
      <c r="D3322" s="52">
        <f>HLOOKUP("# Memory",'vHosts (Imported)'!$1:$5000,M3322,FALSE)</f>
        <v>0</v>
      </c>
      <c r="M3322" s="45">
        <f t="shared" si="155"/>
        <v>3322</v>
      </c>
      <c r="N3322" s="38">
        <f>HLOOKUP("Host",'vInfo (Imported)'!$1:$5000,M3322,FALSE)</f>
        <v>0</v>
      </c>
      <c r="R3322">
        <f>HLOOKUP("CPUs",'vInfo (Imported)'!$1:$5000,M3322,FALSE)</f>
        <v>0</v>
      </c>
      <c r="S3322">
        <f>HLOOKUP("Memory",'vInfo (Imported)'!$1:$5000,M3322,FALSE)</f>
        <v>0</v>
      </c>
      <c r="T3322">
        <f>HLOOKUP("Provisioned MiB",'vInfo (Imported)'!$1:$5000,M3322,FALSE)</f>
        <v>0</v>
      </c>
      <c r="U3322">
        <f t="shared" si="154"/>
        <v>0</v>
      </c>
      <c r="V3322">
        <f>HLOOKUP("In Use MiB",'vInfo (Imported)'!$1:$5000,M3322,FALSE)</f>
        <v>0</v>
      </c>
    </row>
    <row r="3323" spans="1:22" ht="13" x14ac:dyDescent="0.3">
      <c r="A3323" s="46">
        <f>'vHosts (Imported)'!A3323</f>
        <v>0</v>
      </c>
      <c r="B3323" s="51">
        <f t="shared" si="156"/>
        <v>4968</v>
      </c>
      <c r="C3323" s="49">
        <f>HLOOKUP("# Cores",'vHosts (Imported)'!$1:$5000,M3323,FALSE)</f>
        <v>0</v>
      </c>
      <c r="D3323" s="52">
        <f>HLOOKUP("# Memory",'vHosts (Imported)'!$1:$5000,M3323,FALSE)</f>
        <v>0</v>
      </c>
      <c r="M3323" s="45">
        <f t="shared" si="155"/>
        <v>3323</v>
      </c>
      <c r="N3323" s="38">
        <f>HLOOKUP("Host",'vInfo (Imported)'!$1:$5000,M3323,FALSE)</f>
        <v>0</v>
      </c>
      <c r="R3323">
        <f>HLOOKUP("CPUs",'vInfo (Imported)'!$1:$5000,M3323,FALSE)</f>
        <v>0</v>
      </c>
      <c r="S3323">
        <f>HLOOKUP("Memory",'vInfo (Imported)'!$1:$5000,M3323,FALSE)</f>
        <v>0</v>
      </c>
      <c r="T3323">
        <f>HLOOKUP("Provisioned MiB",'vInfo (Imported)'!$1:$5000,M3323,FALSE)</f>
        <v>0</v>
      </c>
      <c r="U3323">
        <f t="shared" si="154"/>
        <v>0</v>
      </c>
      <c r="V3323">
        <f>HLOOKUP("In Use MiB",'vInfo (Imported)'!$1:$5000,M3323,FALSE)</f>
        <v>0</v>
      </c>
    </row>
    <row r="3324" spans="1:22" ht="13" x14ac:dyDescent="0.3">
      <c r="A3324" s="46">
        <f>'vHosts (Imported)'!A3324</f>
        <v>0</v>
      </c>
      <c r="B3324" s="51">
        <f t="shared" si="156"/>
        <v>4968</v>
      </c>
      <c r="C3324" s="49">
        <f>HLOOKUP("# Cores",'vHosts (Imported)'!$1:$5000,M3324,FALSE)</f>
        <v>0</v>
      </c>
      <c r="D3324" s="52">
        <f>HLOOKUP("# Memory",'vHosts (Imported)'!$1:$5000,M3324,FALSE)</f>
        <v>0</v>
      </c>
      <c r="M3324" s="45">
        <f t="shared" si="155"/>
        <v>3324</v>
      </c>
      <c r="N3324" s="38">
        <f>HLOOKUP("Host",'vInfo (Imported)'!$1:$5000,M3324,FALSE)</f>
        <v>0</v>
      </c>
      <c r="R3324">
        <f>HLOOKUP("CPUs",'vInfo (Imported)'!$1:$5000,M3324,FALSE)</f>
        <v>0</v>
      </c>
      <c r="S3324">
        <f>HLOOKUP("Memory",'vInfo (Imported)'!$1:$5000,M3324,FALSE)</f>
        <v>0</v>
      </c>
      <c r="T3324">
        <f>HLOOKUP("Provisioned MiB",'vInfo (Imported)'!$1:$5000,M3324,FALSE)</f>
        <v>0</v>
      </c>
      <c r="U3324">
        <f t="shared" si="154"/>
        <v>0</v>
      </c>
      <c r="V3324">
        <f>HLOOKUP("In Use MiB",'vInfo (Imported)'!$1:$5000,M3324,FALSE)</f>
        <v>0</v>
      </c>
    </row>
    <row r="3325" spans="1:22" ht="13" x14ac:dyDescent="0.3">
      <c r="A3325" s="46">
        <f>'vHosts (Imported)'!A3325</f>
        <v>0</v>
      </c>
      <c r="B3325" s="51">
        <f t="shared" si="156"/>
        <v>4968</v>
      </c>
      <c r="C3325" s="49">
        <f>HLOOKUP("# Cores",'vHosts (Imported)'!$1:$5000,M3325,FALSE)</f>
        <v>0</v>
      </c>
      <c r="D3325" s="52">
        <f>HLOOKUP("# Memory",'vHosts (Imported)'!$1:$5000,M3325,FALSE)</f>
        <v>0</v>
      </c>
      <c r="M3325" s="45">
        <f t="shared" si="155"/>
        <v>3325</v>
      </c>
      <c r="N3325" s="38">
        <f>HLOOKUP("Host",'vInfo (Imported)'!$1:$5000,M3325,FALSE)</f>
        <v>0</v>
      </c>
      <c r="R3325">
        <f>HLOOKUP("CPUs",'vInfo (Imported)'!$1:$5000,M3325,FALSE)</f>
        <v>0</v>
      </c>
      <c r="S3325">
        <f>HLOOKUP("Memory",'vInfo (Imported)'!$1:$5000,M3325,FALSE)</f>
        <v>0</v>
      </c>
      <c r="T3325">
        <f>HLOOKUP("Provisioned MiB",'vInfo (Imported)'!$1:$5000,M3325,FALSE)</f>
        <v>0</v>
      </c>
      <c r="U3325">
        <f t="shared" si="154"/>
        <v>0</v>
      </c>
      <c r="V3325">
        <f>HLOOKUP("In Use MiB",'vInfo (Imported)'!$1:$5000,M3325,FALSE)</f>
        <v>0</v>
      </c>
    </row>
    <row r="3326" spans="1:22" ht="13" x14ac:dyDescent="0.3">
      <c r="A3326" s="46">
        <f>'vHosts (Imported)'!A3326</f>
        <v>0</v>
      </c>
      <c r="B3326" s="51">
        <f t="shared" si="156"/>
        <v>4968</v>
      </c>
      <c r="C3326" s="49">
        <f>HLOOKUP("# Cores",'vHosts (Imported)'!$1:$5000,M3326,FALSE)</f>
        <v>0</v>
      </c>
      <c r="D3326" s="52">
        <f>HLOOKUP("# Memory",'vHosts (Imported)'!$1:$5000,M3326,FALSE)</f>
        <v>0</v>
      </c>
      <c r="M3326" s="45">
        <f t="shared" si="155"/>
        <v>3326</v>
      </c>
      <c r="N3326" s="38">
        <f>HLOOKUP("Host",'vInfo (Imported)'!$1:$5000,M3326,FALSE)</f>
        <v>0</v>
      </c>
      <c r="R3326">
        <f>HLOOKUP("CPUs",'vInfo (Imported)'!$1:$5000,M3326,FALSE)</f>
        <v>0</v>
      </c>
      <c r="S3326">
        <f>HLOOKUP("Memory",'vInfo (Imported)'!$1:$5000,M3326,FALSE)</f>
        <v>0</v>
      </c>
      <c r="T3326">
        <f>HLOOKUP("Provisioned MiB",'vInfo (Imported)'!$1:$5000,M3326,FALSE)</f>
        <v>0</v>
      </c>
      <c r="U3326">
        <f t="shared" si="154"/>
        <v>0</v>
      </c>
      <c r="V3326">
        <f>HLOOKUP("In Use MiB",'vInfo (Imported)'!$1:$5000,M3326,FALSE)</f>
        <v>0</v>
      </c>
    </row>
    <row r="3327" spans="1:22" ht="13" x14ac:dyDescent="0.3">
      <c r="A3327" s="46">
        <f>'vHosts (Imported)'!A3327</f>
        <v>0</v>
      </c>
      <c r="B3327" s="51">
        <f t="shared" si="156"/>
        <v>4968</v>
      </c>
      <c r="C3327" s="49">
        <f>HLOOKUP("# Cores",'vHosts (Imported)'!$1:$5000,M3327,FALSE)</f>
        <v>0</v>
      </c>
      <c r="D3327" s="52">
        <f>HLOOKUP("# Memory",'vHosts (Imported)'!$1:$5000,M3327,FALSE)</f>
        <v>0</v>
      </c>
      <c r="M3327" s="45">
        <f t="shared" si="155"/>
        <v>3327</v>
      </c>
      <c r="N3327" s="38">
        <f>HLOOKUP("Host",'vInfo (Imported)'!$1:$5000,M3327,FALSE)</f>
        <v>0</v>
      </c>
      <c r="R3327">
        <f>HLOOKUP("CPUs",'vInfo (Imported)'!$1:$5000,M3327,FALSE)</f>
        <v>0</v>
      </c>
      <c r="S3327">
        <f>HLOOKUP("Memory",'vInfo (Imported)'!$1:$5000,M3327,FALSE)</f>
        <v>0</v>
      </c>
      <c r="T3327">
        <f>HLOOKUP("Provisioned MiB",'vInfo (Imported)'!$1:$5000,M3327,FALSE)</f>
        <v>0</v>
      </c>
      <c r="U3327">
        <f t="shared" si="154"/>
        <v>0</v>
      </c>
      <c r="V3327">
        <f>HLOOKUP("In Use MiB",'vInfo (Imported)'!$1:$5000,M3327,FALSE)</f>
        <v>0</v>
      </c>
    </row>
    <row r="3328" spans="1:22" ht="13" x14ac:dyDescent="0.3">
      <c r="A3328" s="46">
        <f>'vHosts (Imported)'!A3328</f>
        <v>0</v>
      </c>
      <c r="B3328" s="51">
        <f t="shared" si="156"/>
        <v>4968</v>
      </c>
      <c r="C3328" s="49">
        <f>HLOOKUP("# Cores",'vHosts (Imported)'!$1:$5000,M3328,FALSE)</f>
        <v>0</v>
      </c>
      <c r="D3328" s="52">
        <f>HLOOKUP("# Memory",'vHosts (Imported)'!$1:$5000,M3328,FALSE)</f>
        <v>0</v>
      </c>
      <c r="M3328" s="45">
        <f t="shared" si="155"/>
        <v>3328</v>
      </c>
      <c r="N3328" s="38">
        <f>HLOOKUP("Host",'vInfo (Imported)'!$1:$5000,M3328,FALSE)</f>
        <v>0</v>
      </c>
      <c r="R3328">
        <f>HLOOKUP("CPUs",'vInfo (Imported)'!$1:$5000,M3328,FALSE)</f>
        <v>0</v>
      </c>
      <c r="S3328">
        <f>HLOOKUP("Memory",'vInfo (Imported)'!$1:$5000,M3328,FALSE)</f>
        <v>0</v>
      </c>
      <c r="T3328">
        <f>HLOOKUP("Provisioned MiB",'vInfo (Imported)'!$1:$5000,M3328,FALSE)</f>
        <v>0</v>
      </c>
      <c r="U3328">
        <f t="shared" si="154"/>
        <v>0</v>
      </c>
      <c r="V3328">
        <f>HLOOKUP("In Use MiB",'vInfo (Imported)'!$1:$5000,M3328,FALSE)</f>
        <v>0</v>
      </c>
    </row>
    <row r="3329" spans="1:22" ht="13" x14ac:dyDescent="0.3">
      <c r="A3329" s="46">
        <f>'vHosts (Imported)'!A3329</f>
        <v>0</v>
      </c>
      <c r="B3329" s="51">
        <f t="shared" si="156"/>
        <v>4968</v>
      </c>
      <c r="C3329" s="49">
        <f>HLOOKUP("# Cores",'vHosts (Imported)'!$1:$5000,M3329,FALSE)</f>
        <v>0</v>
      </c>
      <c r="D3329" s="52">
        <f>HLOOKUP("# Memory",'vHosts (Imported)'!$1:$5000,M3329,FALSE)</f>
        <v>0</v>
      </c>
      <c r="M3329" s="45">
        <f t="shared" si="155"/>
        <v>3329</v>
      </c>
      <c r="N3329" s="38">
        <f>HLOOKUP("Host",'vInfo (Imported)'!$1:$5000,M3329,FALSE)</f>
        <v>0</v>
      </c>
      <c r="R3329">
        <f>HLOOKUP("CPUs",'vInfo (Imported)'!$1:$5000,M3329,FALSE)</f>
        <v>0</v>
      </c>
      <c r="S3329">
        <f>HLOOKUP("Memory",'vInfo (Imported)'!$1:$5000,M3329,FALSE)</f>
        <v>0</v>
      </c>
      <c r="T3329">
        <f>HLOOKUP("Provisioned MiB",'vInfo (Imported)'!$1:$5000,M3329,FALSE)</f>
        <v>0</v>
      </c>
      <c r="U3329">
        <f t="shared" si="154"/>
        <v>0</v>
      </c>
      <c r="V3329">
        <f>HLOOKUP("In Use MiB",'vInfo (Imported)'!$1:$5000,M3329,FALSE)</f>
        <v>0</v>
      </c>
    </row>
    <row r="3330" spans="1:22" ht="13" x14ac:dyDescent="0.3">
      <c r="A3330" s="46">
        <f>'vHosts (Imported)'!A3330</f>
        <v>0</v>
      </c>
      <c r="B3330" s="51">
        <f t="shared" si="156"/>
        <v>4968</v>
      </c>
      <c r="C3330" s="49">
        <f>HLOOKUP("# Cores",'vHosts (Imported)'!$1:$5000,M3330,FALSE)</f>
        <v>0</v>
      </c>
      <c r="D3330" s="52">
        <f>HLOOKUP("# Memory",'vHosts (Imported)'!$1:$5000,M3330,FALSE)</f>
        <v>0</v>
      </c>
      <c r="M3330" s="45">
        <f t="shared" si="155"/>
        <v>3330</v>
      </c>
      <c r="N3330" s="38">
        <f>HLOOKUP("Host",'vInfo (Imported)'!$1:$5000,M3330,FALSE)</f>
        <v>0</v>
      </c>
      <c r="R3330">
        <f>HLOOKUP("CPUs",'vInfo (Imported)'!$1:$5000,M3330,FALSE)</f>
        <v>0</v>
      </c>
      <c r="S3330">
        <f>HLOOKUP("Memory",'vInfo (Imported)'!$1:$5000,M3330,FALSE)</f>
        <v>0</v>
      </c>
      <c r="T3330">
        <f>HLOOKUP("Provisioned MiB",'vInfo (Imported)'!$1:$5000,M3330,FALSE)</f>
        <v>0</v>
      </c>
      <c r="U3330">
        <f t="shared" si="154"/>
        <v>0</v>
      </c>
      <c r="V3330">
        <f>HLOOKUP("In Use MiB",'vInfo (Imported)'!$1:$5000,M3330,FALSE)</f>
        <v>0</v>
      </c>
    </row>
    <row r="3331" spans="1:22" ht="13" x14ac:dyDescent="0.3">
      <c r="A3331" s="46">
        <f>'vHosts (Imported)'!A3331</f>
        <v>0</v>
      </c>
      <c r="B3331" s="51">
        <f t="shared" si="156"/>
        <v>4968</v>
      </c>
      <c r="C3331" s="49">
        <f>HLOOKUP("# Cores",'vHosts (Imported)'!$1:$5000,M3331,FALSE)</f>
        <v>0</v>
      </c>
      <c r="D3331" s="52">
        <f>HLOOKUP("# Memory",'vHosts (Imported)'!$1:$5000,M3331,FALSE)</f>
        <v>0</v>
      </c>
      <c r="M3331" s="45">
        <f t="shared" si="155"/>
        <v>3331</v>
      </c>
      <c r="N3331" s="38">
        <f>HLOOKUP("Host",'vInfo (Imported)'!$1:$5000,M3331,FALSE)</f>
        <v>0</v>
      </c>
      <c r="R3331">
        <f>HLOOKUP("CPUs",'vInfo (Imported)'!$1:$5000,M3331,FALSE)</f>
        <v>0</v>
      </c>
      <c r="S3331">
        <f>HLOOKUP("Memory",'vInfo (Imported)'!$1:$5000,M3331,FALSE)</f>
        <v>0</v>
      </c>
      <c r="T3331">
        <f>HLOOKUP("Provisioned MiB",'vInfo (Imported)'!$1:$5000,M3331,FALSE)</f>
        <v>0</v>
      </c>
      <c r="U3331">
        <f t="shared" ref="U3331:U3394" si="157">T3331-V3331</f>
        <v>0</v>
      </c>
      <c r="V3331">
        <f>HLOOKUP("In Use MiB",'vInfo (Imported)'!$1:$5000,M3331,FALSE)</f>
        <v>0</v>
      </c>
    </row>
    <row r="3332" spans="1:22" ht="13" x14ac:dyDescent="0.3">
      <c r="A3332" s="46">
        <f>'vHosts (Imported)'!A3332</f>
        <v>0</v>
      </c>
      <c r="B3332" s="51">
        <f t="shared" si="156"/>
        <v>4968</v>
      </c>
      <c r="C3332" s="49">
        <f>HLOOKUP("# Cores",'vHosts (Imported)'!$1:$5000,M3332,FALSE)</f>
        <v>0</v>
      </c>
      <c r="D3332" s="52">
        <f>HLOOKUP("# Memory",'vHosts (Imported)'!$1:$5000,M3332,FALSE)</f>
        <v>0</v>
      </c>
      <c r="M3332" s="45">
        <f t="shared" ref="M3332:M3395" si="158">M3331+1</f>
        <v>3332</v>
      </c>
      <c r="N3332" s="38">
        <f>HLOOKUP("Host",'vInfo (Imported)'!$1:$5000,M3332,FALSE)</f>
        <v>0</v>
      </c>
      <c r="R3332">
        <f>HLOOKUP("CPUs",'vInfo (Imported)'!$1:$5000,M3332,FALSE)</f>
        <v>0</v>
      </c>
      <c r="S3332">
        <f>HLOOKUP("Memory",'vInfo (Imported)'!$1:$5000,M3332,FALSE)</f>
        <v>0</v>
      </c>
      <c r="T3332">
        <f>HLOOKUP("Provisioned MiB",'vInfo (Imported)'!$1:$5000,M3332,FALSE)</f>
        <v>0</v>
      </c>
      <c r="U3332">
        <f t="shared" si="157"/>
        <v>0</v>
      </c>
      <c r="V3332">
        <f>HLOOKUP("In Use MiB",'vInfo (Imported)'!$1:$5000,M3332,FALSE)</f>
        <v>0</v>
      </c>
    </row>
    <row r="3333" spans="1:22" ht="13" x14ac:dyDescent="0.3">
      <c r="A3333" s="46">
        <f>'vHosts (Imported)'!A3333</f>
        <v>0</v>
      </c>
      <c r="B3333" s="51">
        <f t="shared" si="156"/>
        <v>4968</v>
      </c>
      <c r="C3333" s="49">
        <f>HLOOKUP("# Cores",'vHosts (Imported)'!$1:$5000,M3333,FALSE)</f>
        <v>0</v>
      </c>
      <c r="D3333" s="52">
        <f>HLOOKUP("# Memory",'vHosts (Imported)'!$1:$5000,M3333,FALSE)</f>
        <v>0</v>
      </c>
      <c r="M3333" s="45">
        <f t="shared" si="158"/>
        <v>3333</v>
      </c>
      <c r="N3333" s="38">
        <f>HLOOKUP("Host",'vInfo (Imported)'!$1:$5000,M3333,FALSE)</f>
        <v>0</v>
      </c>
      <c r="R3333">
        <f>HLOOKUP("CPUs",'vInfo (Imported)'!$1:$5000,M3333,FALSE)</f>
        <v>0</v>
      </c>
      <c r="S3333">
        <f>HLOOKUP("Memory",'vInfo (Imported)'!$1:$5000,M3333,FALSE)</f>
        <v>0</v>
      </c>
      <c r="T3333">
        <f>HLOOKUP("Provisioned MiB",'vInfo (Imported)'!$1:$5000,M3333,FALSE)</f>
        <v>0</v>
      </c>
      <c r="U3333">
        <f t="shared" si="157"/>
        <v>0</v>
      </c>
      <c r="V3333">
        <f>HLOOKUP("In Use MiB",'vInfo (Imported)'!$1:$5000,M3333,FALSE)</f>
        <v>0</v>
      </c>
    </row>
    <row r="3334" spans="1:22" ht="13" x14ac:dyDescent="0.3">
      <c r="A3334" s="46">
        <f>'vHosts (Imported)'!A3334</f>
        <v>0</v>
      </c>
      <c r="B3334" s="51">
        <f t="shared" si="156"/>
        <v>4968</v>
      </c>
      <c r="C3334" s="49">
        <f>HLOOKUP("# Cores",'vHosts (Imported)'!$1:$5000,M3334,FALSE)</f>
        <v>0</v>
      </c>
      <c r="D3334" s="52">
        <f>HLOOKUP("# Memory",'vHosts (Imported)'!$1:$5000,M3334,FALSE)</f>
        <v>0</v>
      </c>
      <c r="M3334" s="45">
        <f t="shared" si="158"/>
        <v>3334</v>
      </c>
      <c r="N3334" s="38">
        <f>HLOOKUP("Host",'vInfo (Imported)'!$1:$5000,M3334,FALSE)</f>
        <v>0</v>
      </c>
      <c r="R3334">
        <f>HLOOKUP("CPUs",'vInfo (Imported)'!$1:$5000,M3334,FALSE)</f>
        <v>0</v>
      </c>
      <c r="S3334">
        <f>HLOOKUP("Memory",'vInfo (Imported)'!$1:$5000,M3334,FALSE)</f>
        <v>0</v>
      </c>
      <c r="T3334">
        <f>HLOOKUP("Provisioned MiB",'vInfo (Imported)'!$1:$5000,M3334,FALSE)</f>
        <v>0</v>
      </c>
      <c r="U3334">
        <f t="shared" si="157"/>
        <v>0</v>
      </c>
      <c r="V3334">
        <f>HLOOKUP("In Use MiB",'vInfo (Imported)'!$1:$5000,M3334,FALSE)</f>
        <v>0</v>
      </c>
    </row>
    <row r="3335" spans="1:22" ht="13" x14ac:dyDescent="0.3">
      <c r="A3335" s="46">
        <f>'vHosts (Imported)'!A3335</f>
        <v>0</v>
      </c>
      <c r="B3335" s="51">
        <f t="shared" si="156"/>
        <v>4968</v>
      </c>
      <c r="C3335" s="49">
        <f>HLOOKUP("# Cores",'vHosts (Imported)'!$1:$5000,M3335,FALSE)</f>
        <v>0</v>
      </c>
      <c r="D3335" s="52">
        <f>HLOOKUP("# Memory",'vHosts (Imported)'!$1:$5000,M3335,FALSE)</f>
        <v>0</v>
      </c>
      <c r="M3335" s="45">
        <f t="shared" si="158"/>
        <v>3335</v>
      </c>
      <c r="N3335" s="38">
        <f>HLOOKUP("Host",'vInfo (Imported)'!$1:$5000,M3335,FALSE)</f>
        <v>0</v>
      </c>
      <c r="R3335">
        <f>HLOOKUP("CPUs",'vInfo (Imported)'!$1:$5000,M3335,FALSE)</f>
        <v>0</v>
      </c>
      <c r="S3335">
        <f>HLOOKUP("Memory",'vInfo (Imported)'!$1:$5000,M3335,FALSE)</f>
        <v>0</v>
      </c>
      <c r="T3335">
        <f>HLOOKUP("Provisioned MiB",'vInfo (Imported)'!$1:$5000,M3335,FALSE)</f>
        <v>0</v>
      </c>
      <c r="U3335">
        <f t="shared" si="157"/>
        <v>0</v>
      </c>
      <c r="V3335">
        <f>HLOOKUP("In Use MiB",'vInfo (Imported)'!$1:$5000,M3335,FALSE)</f>
        <v>0</v>
      </c>
    </row>
    <row r="3336" spans="1:22" ht="13" x14ac:dyDescent="0.3">
      <c r="A3336" s="46">
        <f>'vHosts (Imported)'!A3336</f>
        <v>0</v>
      </c>
      <c r="B3336" s="51">
        <f t="shared" si="156"/>
        <v>4968</v>
      </c>
      <c r="C3336" s="49">
        <f>HLOOKUP("# Cores",'vHosts (Imported)'!$1:$5000,M3336,FALSE)</f>
        <v>0</v>
      </c>
      <c r="D3336" s="52">
        <f>HLOOKUP("# Memory",'vHosts (Imported)'!$1:$5000,M3336,FALSE)</f>
        <v>0</v>
      </c>
      <c r="M3336" s="45">
        <f t="shared" si="158"/>
        <v>3336</v>
      </c>
      <c r="N3336" s="38">
        <f>HLOOKUP("Host",'vInfo (Imported)'!$1:$5000,M3336,FALSE)</f>
        <v>0</v>
      </c>
      <c r="R3336">
        <f>HLOOKUP("CPUs",'vInfo (Imported)'!$1:$5000,M3336,FALSE)</f>
        <v>0</v>
      </c>
      <c r="S3336">
        <f>HLOOKUP("Memory",'vInfo (Imported)'!$1:$5000,M3336,FALSE)</f>
        <v>0</v>
      </c>
      <c r="T3336">
        <f>HLOOKUP("Provisioned MiB",'vInfo (Imported)'!$1:$5000,M3336,FALSE)</f>
        <v>0</v>
      </c>
      <c r="U3336">
        <f t="shared" si="157"/>
        <v>0</v>
      </c>
      <c r="V3336">
        <f>HLOOKUP("In Use MiB",'vInfo (Imported)'!$1:$5000,M3336,FALSE)</f>
        <v>0</v>
      </c>
    </row>
    <row r="3337" spans="1:22" ht="13" x14ac:dyDescent="0.3">
      <c r="A3337" s="46">
        <f>'vHosts (Imported)'!A3337</f>
        <v>0</v>
      </c>
      <c r="B3337" s="51">
        <f t="shared" si="156"/>
        <v>4968</v>
      </c>
      <c r="C3337" s="49">
        <f>HLOOKUP("# Cores",'vHosts (Imported)'!$1:$5000,M3337,FALSE)</f>
        <v>0</v>
      </c>
      <c r="D3337" s="52">
        <f>HLOOKUP("# Memory",'vHosts (Imported)'!$1:$5000,M3337,FALSE)</f>
        <v>0</v>
      </c>
      <c r="M3337" s="45">
        <f t="shared" si="158"/>
        <v>3337</v>
      </c>
      <c r="N3337" s="38">
        <f>HLOOKUP("Host",'vInfo (Imported)'!$1:$5000,M3337,FALSE)</f>
        <v>0</v>
      </c>
      <c r="R3337">
        <f>HLOOKUP("CPUs",'vInfo (Imported)'!$1:$5000,M3337,FALSE)</f>
        <v>0</v>
      </c>
      <c r="S3337">
        <f>HLOOKUP("Memory",'vInfo (Imported)'!$1:$5000,M3337,FALSE)</f>
        <v>0</v>
      </c>
      <c r="T3337">
        <f>HLOOKUP("Provisioned MiB",'vInfo (Imported)'!$1:$5000,M3337,FALSE)</f>
        <v>0</v>
      </c>
      <c r="U3337">
        <f t="shared" si="157"/>
        <v>0</v>
      </c>
      <c r="V3337">
        <f>HLOOKUP("In Use MiB",'vInfo (Imported)'!$1:$5000,M3337,FALSE)</f>
        <v>0</v>
      </c>
    </row>
    <row r="3338" spans="1:22" ht="13" x14ac:dyDescent="0.3">
      <c r="A3338" s="46">
        <f>'vHosts (Imported)'!A3338</f>
        <v>0</v>
      </c>
      <c r="B3338" s="51">
        <f t="shared" si="156"/>
        <v>4968</v>
      </c>
      <c r="C3338" s="49">
        <f>HLOOKUP("# Cores",'vHosts (Imported)'!$1:$5000,M3338,FALSE)</f>
        <v>0</v>
      </c>
      <c r="D3338" s="52">
        <f>HLOOKUP("# Memory",'vHosts (Imported)'!$1:$5000,M3338,FALSE)</f>
        <v>0</v>
      </c>
      <c r="M3338" s="45">
        <f t="shared" si="158"/>
        <v>3338</v>
      </c>
      <c r="N3338" s="38">
        <f>HLOOKUP("Host",'vInfo (Imported)'!$1:$5000,M3338,FALSE)</f>
        <v>0</v>
      </c>
      <c r="R3338">
        <f>HLOOKUP("CPUs",'vInfo (Imported)'!$1:$5000,M3338,FALSE)</f>
        <v>0</v>
      </c>
      <c r="S3338">
        <f>HLOOKUP("Memory",'vInfo (Imported)'!$1:$5000,M3338,FALSE)</f>
        <v>0</v>
      </c>
      <c r="T3338">
        <f>HLOOKUP("Provisioned MiB",'vInfo (Imported)'!$1:$5000,M3338,FALSE)</f>
        <v>0</v>
      </c>
      <c r="U3338">
        <f t="shared" si="157"/>
        <v>0</v>
      </c>
      <c r="V3338">
        <f>HLOOKUP("In Use MiB",'vInfo (Imported)'!$1:$5000,M3338,FALSE)</f>
        <v>0</v>
      </c>
    </row>
    <row r="3339" spans="1:22" ht="13" x14ac:dyDescent="0.3">
      <c r="A3339" s="46">
        <f>'vHosts (Imported)'!A3339</f>
        <v>0</v>
      </c>
      <c r="B3339" s="51">
        <f t="shared" si="156"/>
        <v>4968</v>
      </c>
      <c r="C3339" s="49">
        <f>HLOOKUP("# Cores",'vHosts (Imported)'!$1:$5000,M3339,FALSE)</f>
        <v>0</v>
      </c>
      <c r="D3339" s="52">
        <f>HLOOKUP("# Memory",'vHosts (Imported)'!$1:$5000,M3339,FALSE)</f>
        <v>0</v>
      </c>
      <c r="M3339" s="45">
        <f t="shared" si="158"/>
        <v>3339</v>
      </c>
      <c r="N3339" s="38">
        <f>HLOOKUP("Host",'vInfo (Imported)'!$1:$5000,M3339,FALSE)</f>
        <v>0</v>
      </c>
      <c r="R3339">
        <f>HLOOKUP("CPUs",'vInfo (Imported)'!$1:$5000,M3339,FALSE)</f>
        <v>0</v>
      </c>
      <c r="S3339">
        <f>HLOOKUP("Memory",'vInfo (Imported)'!$1:$5000,M3339,FALSE)</f>
        <v>0</v>
      </c>
      <c r="T3339">
        <f>HLOOKUP("Provisioned MiB",'vInfo (Imported)'!$1:$5000,M3339,FALSE)</f>
        <v>0</v>
      </c>
      <c r="U3339">
        <f t="shared" si="157"/>
        <v>0</v>
      </c>
      <c r="V3339">
        <f>HLOOKUP("In Use MiB",'vInfo (Imported)'!$1:$5000,M3339,FALSE)</f>
        <v>0</v>
      </c>
    </row>
    <row r="3340" spans="1:22" ht="13" x14ac:dyDescent="0.3">
      <c r="A3340" s="46">
        <f>'vHosts (Imported)'!A3340</f>
        <v>0</v>
      </c>
      <c r="B3340" s="51">
        <f t="shared" si="156"/>
        <v>4968</v>
      </c>
      <c r="C3340" s="49">
        <f>HLOOKUP("# Cores",'vHosts (Imported)'!$1:$5000,M3340,FALSE)</f>
        <v>0</v>
      </c>
      <c r="D3340" s="52">
        <f>HLOOKUP("# Memory",'vHosts (Imported)'!$1:$5000,M3340,FALSE)</f>
        <v>0</v>
      </c>
      <c r="M3340" s="45">
        <f t="shared" si="158"/>
        <v>3340</v>
      </c>
      <c r="N3340" s="38">
        <f>HLOOKUP("Host",'vInfo (Imported)'!$1:$5000,M3340,FALSE)</f>
        <v>0</v>
      </c>
      <c r="R3340">
        <f>HLOOKUP("CPUs",'vInfo (Imported)'!$1:$5000,M3340,FALSE)</f>
        <v>0</v>
      </c>
      <c r="S3340">
        <f>HLOOKUP("Memory",'vInfo (Imported)'!$1:$5000,M3340,FALSE)</f>
        <v>0</v>
      </c>
      <c r="T3340">
        <f>HLOOKUP("Provisioned MiB",'vInfo (Imported)'!$1:$5000,M3340,FALSE)</f>
        <v>0</v>
      </c>
      <c r="U3340">
        <f t="shared" si="157"/>
        <v>0</v>
      </c>
      <c r="V3340">
        <f>HLOOKUP("In Use MiB",'vInfo (Imported)'!$1:$5000,M3340,FALSE)</f>
        <v>0</v>
      </c>
    </row>
    <row r="3341" spans="1:22" ht="13" x14ac:dyDescent="0.3">
      <c r="A3341" s="46">
        <f>'vHosts (Imported)'!A3341</f>
        <v>0</v>
      </c>
      <c r="B3341" s="51">
        <f t="shared" si="156"/>
        <v>4968</v>
      </c>
      <c r="C3341" s="49">
        <f>HLOOKUP("# Cores",'vHosts (Imported)'!$1:$5000,M3341,FALSE)</f>
        <v>0</v>
      </c>
      <c r="D3341" s="52">
        <f>HLOOKUP("# Memory",'vHosts (Imported)'!$1:$5000,M3341,FALSE)</f>
        <v>0</v>
      </c>
      <c r="M3341" s="45">
        <f t="shared" si="158"/>
        <v>3341</v>
      </c>
      <c r="N3341" s="38">
        <f>HLOOKUP("Host",'vInfo (Imported)'!$1:$5000,M3341,FALSE)</f>
        <v>0</v>
      </c>
      <c r="R3341">
        <f>HLOOKUP("CPUs",'vInfo (Imported)'!$1:$5000,M3341,FALSE)</f>
        <v>0</v>
      </c>
      <c r="S3341">
        <f>HLOOKUP("Memory",'vInfo (Imported)'!$1:$5000,M3341,FALSE)</f>
        <v>0</v>
      </c>
      <c r="T3341">
        <f>HLOOKUP("Provisioned MiB",'vInfo (Imported)'!$1:$5000,M3341,FALSE)</f>
        <v>0</v>
      </c>
      <c r="U3341">
        <f t="shared" si="157"/>
        <v>0</v>
      </c>
      <c r="V3341">
        <f>HLOOKUP("In Use MiB",'vInfo (Imported)'!$1:$5000,M3341,FALSE)</f>
        <v>0</v>
      </c>
    </row>
    <row r="3342" spans="1:22" ht="13" x14ac:dyDescent="0.3">
      <c r="A3342" s="46">
        <f>'vHosts (Imported)'!A3342</f>
        <v>0</v>
      </c>
      <c r="B3342" s="51">
        <f t="shared" si="156"/>
        <v>4968</v>
      </c>
      <c r="C3342" s="49">
        <f>HLOOKUP("# Cores",'vHosts (Imported)'!$1:$5000,M3342,FALSE)</f>
        <v>0</v>
      </c>
      <c r="D3342" s="52">
        <f>HLOOKUP("# Memory",'vHosts (Imported)'!$1:$5000,M3342,FALSE)</f>
        <v>0</v>
      </c>
      <c r="M3342" s="45">
        <f t="shared" si="158"/>
        <v>3342</v>
      </c>
      <c r="N3342" s="38">
        <f>HLOOKUP("Host",'vInfo (Imported)'!$1:$5000,M3342,FALSE)</f>
        <v>0</v>
      </c>
      <c r="R3342">
        <f>HLOOKUP("CPUs",'vInfo (Imported)'!$1:$5000,M3342,FALSE)</f>
        <v>0</v>
      </c>
      <c r="S3342">
        <f>HLOOKUP("Memory",'vInfo (Imported)'!$1:$5000,M3342,FALSE)</f>
        <v>0</v>
      </c>
      <c r="T3342">
        <f>HLOOKUP("Provisioned MiB",'vInfo (Imported)'!$1:$5000,M3342,FALSE)</f>
        <v>0</v>
      </c>
      <c r="U3342">
        <f t="shared" si="157"/>
        <v>0</v>
      </c>
      <c r="V3342">
        <f>HLOOKUP("In Use MiB",'vInfo (Imported)'!$1:$5000,M3342,FALSE)</f>
        <v>0</v>
      </c>
    </row>
    <row r="3343" spans="1:22" ht="13" x14ac:dyDescent="0.3">
      <c r="A3343" s="46">
        <f>'vHosts (Imported)'!A3343</f>
        <v>0</v>
      </c>
      <c r="B3343" s="51">
        <f t="shared" si="156"/>
        <v>4968</v>
      </c>
      <c r="C3343" s="49">
        <f>HLOOKUP("# Cores",'vHosts (Imported)'!$1:$5000,M3343,FALSE)</f>
        <v>0</v>
      </c>
      <c r="D3343" s="52">
        <f>HLOOKUP("# Memory",'vHosts (Imported)'!$1:$5000,M3343,FALSE)</f>
        <v>0</v>
      </c>
      <c r="M3343" s="45">
        <f t="shared" si="158"/>
        <v>3343</v>
      </c>
      <c r="N3343" s="38">
        <f>HLOOKUP("Host",'vInfo (Imported)'!$1:$5000,M3343,FALSE)</f>
        <v>0</v>
      </c>
      <c r="R3343">
        <f>HLOOKUP("CPUs",'vInfo (Imported)'!$1:$5000,M3343,FALSE)</f>
        <v>0</v>
      </c>
      <c r="S3343">
        <f>HLOOKUP("Memory",'vInfo (Imported)'!$1:$5000,M3343,FALSE)</f>
        <v>0</v>
      </c>
      <c r="T3343">
        <f>HLOOKUP("Provisioned MiB",'vInfo (Imported)'!$1:$5000,M3343,FALSE)</f>
        <v>0</v>
      </c>
      <c r="U3343">
        <f t="shared" si="157"/>
        <v>0</v>
      </c>
      <c r="V3343">
        <f>HLOOKUP("In Use MiB",'vInfo (Imported)'!$1:$5000,M3343,FALSE)</f>
        <v>0</v>
      </c>
    </row>
    <row r="3344" spans="1:22" ht="13" x14ac:dyDescent="0.3">
      <c r="A3344" s="46">
        <f>'vHosts (Imported)'!A3344</f>
        <v>0</v>
      </c>
      <c r="B3344" s="51">
        <f t="shared" si="156"/>
        <v>4968</v>
      </c>
      <c r="C3344" s="49">
        <f>HLOOKUP("# Cores",'vHosts (Imported)'!$1:$5000,M3344,FALSE)</f>
        <v>0</v>
      </c>
      <c r="D3344" s="52">
        <f>HLOOKUP("# Memory",'vHosts (Imported)'!$1:$5000,M3344,FALSE)</f>
        <v>0</v>
      </c>
      <c r="M3344" s="45">
        <f t="shared" si="158"/>
        <v>3344</v>
      </c>
      <c r="N3344" s="38">
        <f>HLOOKUP("Host",'vInfo (Imported)'!$1:$5000,M3344,FALSE)</f>
        <v>0</v>
      </c>
      <c r="R3344">
        <f>HLOOKUP("CPUs",'vInfo (Imported)'!$1:$5000,M3344,FALSE)</f>
        <v>0</v>
      </c>
      <c r="S3344">
        <f>HLOOKUP("Memory",'vInfo (Imported)'!$1:$5000,M3344,FALSE)</f>
        <v>0</v>
      </c>
      <c r="T3344">
        <f>HLOOKUP("Provisioned MiB",'vInfo (Imported)'!$1:$5000,M3344,FALSE)</f>
        <v>0</v>
      </c>
      <c r="U3344">
        <f t="shared" si="157"/>
        <v>0</v>
      </c>
      <c r="V3344">
        <f>HLOOKUP("In Use MiB",'vInfo (Imported)'!$1:$5000,M3344,FALSE)</f>
        <v>0</v>
      </c>
    </row>
    <row r="3345" spans="1:22" ht="13" x14ac:dyDescent="0.3">
      <c r="A3345" s="46">
        <f>'vHosts (Imported)'!A3345</f>
        <v>0</v>
      </c>
      <c r="B3345" s="51">
        <f t="shared" si="156"/>
        <v>4968</v>
      </c>
      <c r="C3345" s="49">
        <f>HLOOKUP("# Cores",'vHosts (Imported)'!$1:$5000,M3345,FALSE)</f>
        <v>0</v>
      </c>
      <c r="D3345" s="52">
        <f>HLOOKUP("# Memory",'vHosts (Imported)'!$1:$5000,M3345,FALSE)</f>
        <v>0</v>
      </c>
      <c r="M3345" s="45">
        <f t="shared" si="158"/>
        <v>3345</v>
      </c>
      <c r="N3345" s="38">
        <f>HLOOKUP("Host",'vInfo (Imported)'!$1:$5000,M3345,FALSE)</f>
        <v>0</v>
      </c>
      <c r="R3345">
        <f>HLOOKUP("CPUs",'vInfo (Imported)'!$1:$5000,M3345,FALSE)</f>
        <v>0</v>
      </c>
      <c r="S3345">
        <f>HLOOKUP("Memory",'vInfo (Imported)'!$1:$5000,M3345,FALSE)</f>
        <v>0</v>
      </c>
      <c r="T3345">
        <f>HLOOKUP("Provisioned MiB",'vInfo (Imported)'!$1:$5000,M3345,FALSE)</f>
        <v>0</v>
      </c>
      <c r="U3345">
        <f t="shared" si="157"/>
        <v>0</v>
      </c>
      <c r="V3345">
        <f>HLOOKUP("In Use MiB",'vInfo (Imported)'!$1:$5000,M3345,FALSE)</f>
        <v>0</v>
      </c>
    </row>
    <row r="3346" spans="1:22" ht="13" x14ac:dyDescent="0.3">
      <c r="A3346" s="46">
        <f>'vHosts (Imported)'!A3346</f>
        <v>0</v>
      </c>
      <c r="B3346" s="51">
        <f t="shared" si="156"/>
        <v>4968</v>
      </c>
      <c r="C3346" s="49">
        <f>HLOOKUP("# Cores",'vHosts (Imported)'!$1:$5000,M3346,FALSE)</f>
        <v>0</v>
      </c>
      <c r="D3346" s="52">
        <f>HLOOKUP("# Memory",'vHosts (Imported)'!$1:$5000,M3346,FALSE)</f>
        <v>0</v>
      </c>
      <c r="M3346" s="45">
        <f t="shared" si="158"/>
        <v>3346</v>
      </c>
      <c r="N3346" s="38">
        <f>HLOOKUP("Host",'vInfo (Imported)'!$1:$5000,M3346,FALSE)</f>
        <v>0</v>
      </c>
      <c r="R3346">
        <f>HLOOKUP("CPUs",'vInfo (Imported)'!$1:$5000,M3346,FALSE)</f>
        <v>0</v>
      </c>
      <c r="S3346">
        <f>HLOOKUP("Memory",'vInfo (Imported)'!$1:$5000,M3346,FALSE)</f>
        <v>0</v>
      </c>
      <c r="T3346">
        <f>HLOOKUP("Provisioned MiB",'vInfo (Imported)'!$1:$5000,M3346,FALSE)</f>
        <v>0</v>
      </c>
      <c r="U3346">
        <f t="shared" si="157"/>
        <v>0</v>
      </c>
      <c r="V3346">
        <f>HLOOKUP("In Use MiB",'vInfo (Imported)'!$1:$5000,M3346,FALSE)</f>
        <v>0</v>
      </c>
    </row>
    <row r="3347" spans="1:22" ht="13" x14ac:dyDescent="0.3">
      <c r="A3347" s="46">
        <f>'vHosts (Imported)'!A3347</f>
        <v>0</v>
      </c>
      <c r="B3347" s="51">
        <f t="shared" si="156"/>
        <v>4968</v>
      </c>
      <c r="C3347" s="49">
        <f>HLOOKUP("# Cores",'vHosts (Imported)'!$1:$5000,M3347,FALSE)</f>
        <v>0</v>
      </c>
      <c r="D3347" s="52">
        <f>HLOOKUP("# Memory",'vHosts (Imported)'!$1:$5000,M3347,FALSE)</f>
        <v>0</v>
      </c>
      <c r="M3347" s="45">
        <f t="shared" si="158"/>
        <v>3347</v>
      </c>
      <c r="N3347" s="38">
        <f>HLOOKUP("Host",'vInfo (Imported)'!$1:$5000,M3347,FALSE)</f>
        <v>0</v>
      </c>
      <c r="R3347">
        <f>HLOOKUP("CPUs",'vInfo (Imported)'!$1:$5000,M3347,FALSE)</f>
        <v>0</v>
      </c>
      <c r="S3347">
        <f>HLOOKUP("Memory",'vInfo (Imported)'!$1:$5000,M3347,FALSE)</f>
        <v>0</v>
      </c>
      <c r="T3347">
        <f>HLOOKUP("Provisioned MiB",'vInfo (Imported)'!$1:$5000,M3347,FALSE)</f>
        <v>0</v>
      </c>
      <c r="U3347">
        <f t="shared" si="157"/>
        <v>0</v>
      </c>
      <c r="V3347">
        <f>HLOOKUP("In Use MiB",'vInfo (Imported)'!$1:$5000,M3347,FALSE)</f>
        <v>0</v>
      </c>
    </row>
    <row r="3348" spans="1:22" ht="13" x14ac:dyDescent="0.3">
      <c r="A3348" s="46">
        <f>'vHosts (Imported)'!A3348</f>
        <v>0</v>
      </c>
      <c r="B3348" s="51">
        <f t="shared" si="156"/>
        <v>4968</v>
      </c>
      <c r="C3348" s="49">
        <f>HLOOKUP("# Cores",'vHosts (Imported)'!$1:$5000,M3348,FALSE)</f>
        <v>0</v>
      </c>
      <c r="D3348" s="52">
        <f>HLOOKUP("# Memory",'vHosts (Imported)'!$1:$5000,M3348,FALSE)</f>
        <v>0</v>
      </c>
      <c r="M3348" s="45">
        <f t="shared" si="158"/>
        <v>3348</v>
      </c>
      <c r="N3348" s="38">
        <f>HLOOKUP("Host",'vInfo (Imported)'!$1:$5000,M3348,FALSE)</f>
        <v>0</v>
      </c>
      <c r="R3348">
        <f>HLOOKUP("CPUs",'vInfo (Imported)'!$1:$5000,M3348,FALSE)</f>
        <v>0</v>
      </c>
      <c r="S3348">
        <f>HLOOKUP("Memory",'vInfo (Imported)'!$1:$5000,M3348,FALSE)</f>
        <v>0</v>
      </c>
      <c r="T3348">
        <f>HLOOKUP("Provisioned MiB",'vInfo (Imported)'!$1:$5000,M3348,FALSE)</f>
        <v>0</v>
      </c>
      <c r="U3348">
        <f t="shared" si="157"/>
        <v>0</v>
      </c>
      <c r="V3348">
        <f>HLOOKUP("In Use MiB",'vInfo (Imported)'!$1:$5000,M3348,FALSE)</f>
        <v>0</v>
      </c>
    </row>
    <row r="3349" spans="1:22" ht="13" x14ac:dyDescent="0.3">
      <c r="A3349" s="46">
        <f>'vHosts (Imported)'!A3349</f>
        <v>0</v>
      </c>
      <c r="B3349" s="51">
        <f t="shared" si="156"/>
        <v>4968</v>
      </c>
      <c r="C3349" s="49">
        <f>HLOOKUP("# Cores",'vHosts (Imported)'!$1:$5000,M3349,FALSE)</f>
        <v>0</v>
      </c>
      <c r="D3349" s="52">
        <f>HLOOKUP("# Memory",'vHosts (Imported)'!$1:$5000,M3349,FALSE)</f>
        <v>0</v>
      </c>
      <c r="M3349" s="45">
        <f t="shared" si="158"/>
        <v>3349</v>
      </c>
      <c r="N3349" s="38">
        <f>HLOOKUP("Host",'vInfo (Imported)'!$1:$5000,M3349,FALSE)</f>
        <v>0</v>
      </c>
      <c r="R3349">
        <f>HLOOKUP("CPUs",'vInfo (Imported)'!$1:$5000,M3349,FALSE)</f>
        <v>0</v>
      </c>
      <c r="S3349">
        <f>HLOOKUP("Memory",'vInfo (Imported)'!$1:$5000,M3349,FALSE)</f>
        <v>0</v>
      </c>
      <c r="T3349">
        <f>HLOOKUP("Provisioned MiB",'vInfo (Imported)'!$1:$5000,M3349,FALSE)</f>
        <v>0</v>
      </c>
      <c r="U3349">
        <f t="shared" si="157"/>
        <v>0</v>
      </c>
      <c r="V3349">
        <f>HLOOKUP("In Use MiB",'vInfo (Imported)'!$1:$5000,M3349,FALSE)</f>
        <v>0</v>
      </c>
    </row>
    <row r="3350" spans="1:22" ht="13" x14ac:dyDescent="0.3">
      <c r="A3350" s="46">
        <f>'vHosts (Imported)'!A3350</f>
        <v>0</v>
      </c>
      <c r="B3350" s="51">
        <f t="shared" si="156"/>
        <v>4968</v>
      </c>
      <c r="C3350" s="49">
        <f>HLOOKUP("# Cores",'vHosts (Imported)'!$1:$5000,M3350,FALSE)</f>
        <v>0</v>
      </c>
      <c r="D3350" s="52">
        <f>HLOOKUP("# Memory",'vHosts (Imported)'!$1:$5000,M3350,FALSE)</f>
        <v>0</v>
      </c>
      <c r="M3350" s="45">
        <f t="shared" si="158"/>
        <v>3350</v>
      </c>
      <c r="N3350" s="38">
        <f>HLOOKUP("Host",'vInfo (Imported)'!$1:$5000,M3350,FALSE)</f>
        <v>0</v>
      </c>
      <c r="R3350">
        <f>HLOOKUP("CPUs",'vInfo (Imported)'!$1:$5000,M3350,FALSE)</f>
        <v>0</v>
      </c>
      <c r="S3350">
        <f>HLOOKUP("Memory",'vInfo (Imported)'!$1:$5000,M3350,FALSE)</f>
        <v>0</v>
      </c>
      <c r="T3350">
        <f>HLOOKUP("Provisioned MiB",'vInfo (Imported)'!$1:$5000,M3350,FALSE)</f>
        <v>0</v>
      </c>
      <c r="U3350">
        <f t="shared" si="157"/>
        <v>0</v>
      </c>
      <c r="V3350">
        <f>HLOOKUP("In Use MiB",'vInfo (Imported)'!$1:$5000,M3350,FALSE)</f>
        <v>0</v>
      </c>
    </row>
    <row r="3351" spans="1:22" ht="13" x14ac:dyDescent="0.3">
      <c r="A3351" s="46">
        <f>'vHosts (Imported)'!A3351</f>
        <v>0</v>
      </c>
      <c r="B3351" s="51">
        <f t="shared" si="156"/>
        <v>4968</v>
      </c>
      <c r="C3351" s="49">
        <f>HLOOKUP("# Cores",'vHosts (Imported)'!$1:$5000,M3351,FALSE)</f>
        <v>0</v>
      </c>
      <c r="D3351" s="52">
        <f>HLOOKUP("# Memory",'vHosts (Imported)'!$1:$5000,M3351,FALSE)</f>
        <v>0</v>
      </c>
      <c r="M3351" s="45">
        <f t="shared" si="158"/>
        <v>3351</v>
      </c>
      <c r="N3351" s="38">
        <f>HLOOKUP("Host",'vInfo (Imported)'!$1:$5000,M3351,FALSE)</f>
        <v>0</v>
      </c>
      <c r="R3351">
        <f>HLOOKUP("CPUs",'vInfo (Imported)'!$1:$5000,M3351,FALSE)</f>
        <v>0</v>
      </c>
      <c r="S3351">
        <f>HLOOKUP("Memory",'vInfo (Imported)'!$1:$5000,M3351,FALSE)</f>
        <v>0</v>
      </c>
      <c r="T3351">
        <f>HLOOKUP("Provisioned MiB",'vInfo (Imported)'!$1:$5000,M3351,FALSE)</f>
        <v>0</v>
      </c>
      <c r="U3351">
        <f t="shared" si="157"/>
        <v>0</v>
      </c>
      <c r="V3351">
        <f>HLOOKUP("In Use MiB",'vInfo (Imported)'!$1:$5000,M3351,FALSE)</f>
        <v>0</v>
      </c>
    </row>
    <row r="3352" spans="1:22" ht="13" x14ac:dyDescent="0.3">
      <c r="A3352" s="46">
        <f>'vHosts (Imported)'!A3352</f>
        <v>0</v>
      </c>
      <c r="B3352" s="51">
        <f t="shared" si="156"/>
        <v>4968</v>
      </c>
      <c r="C3352" s="49">
        <f>HLOOKUP("# Cores",'vHosts (Imported)'!$1:$5000,M3352,FALSE)</f>
        <v>0</v>
      </c>
      <c r="D3352" s="52">
        <f>HLOOKUP("# Memory",'vHosts (Imported)'!$1:$5000,M3352,FALSE)</f>
        <v>0</v>
      </c>
      <c r="M3352" s="45">
        <f t="shared" si="158"/>
        <v>3352</v>
      </c>
      <c r="N3352" s="38">
        <f>HLOOKUP("Host",'vInfo (Imported)'!$1:$5000,M3352,FALSE)</f>
        <v>0</v>
      </c>
      <c r="R3352">
        <f>HLOOKUP("CPUs",'vInfo (Imported)'!$1:$5000,M3352,FALSE)</f>
        <v>0</v>
      </c>
      <c r="S3352">
        <f>HLOOKUP("Memory",'vInfo (Imported)'!$1:$5000,M3352,FALSE)</f>
        <v>0</v>
      </c>
      <c r="T3352">
        <f>HLOOKUP("Provisioned MiB",'vInfo (Imported)'!$1:$5000,M3352,FALSE)</f>
        <v>0</v>
      </c>
      <c r="U3352">
        <f t="shared" si="157"/>
        <v>0</v>
      </c>
      <c r="V3352">
        <f>HLOOKUP("In Use MiB",'vInfo (Imported)'!$1:$5000,M3352,FALSE)</f>
        <v>0</v>
      </c>
    </row>
    <row r="3353" spans="1:22" ht="13" x14ac:dyDescent="0.3">
      <c r="A3353" s="46">
        <f>'vHosts (Imported)'!A3353</f>
        <v>0</v>
      </c>
      <c r="B3353" s="51">
        <f t="shared" si="156"/>
        <v>4968</v>
      </c>
      <c r="C3353" s="49">
        <f>HLOOKUP("# Cores",'vHosts (Imported)'!$1:$5000,M3353,FALSE)</f>
        <v>0</v>
      </c>
      <c r="D3353" s="52">
        <f>HLOOKUP("# Memory",'vHosts (Imported)'!$1:$5000,M3353,FALSE)</f>
        <v>0</v>
      </c>
      <c r="M3353" s="45">
        <f t="shared" si="158"/>
        <v>3353</v>
      </c>
      <c r="N3353" s="38">
        <f>HLOOKUP("Host",'vInfo (Imported)'!$1:$5000,M3353,FALSE)</f>
        <v>0</v>
      </c>
      <c r="R3353">
        <f>HLOOKUP("CPUs",'vInfo (Imported)'!$1:$5000,M3353,FALSE)</f>
        <v>0</v>
      </c>
      <c r="S3353">
        <f>HLOOKUP("Memory",'vInfo (Imported)'!$1:$5000,M3353,FALSE)</f>
        <v>0</v>
      </c>
      <c r="T3353">
        <f>HLOOKUP("Provisioned MiB",'vInfo (Imported)'!$1:$5000,M3353,FALSE)</f>
        <v>0</v>
      </c>
      <c r="U3353">
        <f t="shared" si="157"/>
        <v>0</v>
      </c>
      <c r="V3353">
        <f>HLOOKUP("In Use MiB",'vInfo (Imported)'!$1:$5000,M3353,FALSE)</f>
        <v>0</v>
      </c>
    </row>
    <row r="3354" spans="1:22" ht="13" x14ac:dyDescent="0.3">
      <c r="A3354" s="46">
        <f>'vHosts (Imported)'!A3354</f>
        <v>0</v>
      </c>
      <c r="B3354" s="51">
        <f t="shared" si="156"/>
        <v>4968</v>
      </c>
      <c r="C3354" s="49">
        <f>HLOOKUP("# Cores",'vHosts (Imported)'!$1:$5000,M3354,FALSE)</f>
        <v>0</v>
      </c>
      <c r="D3354" s="52">
        <f>HLOOKUP("# Memory",'vHosts (Imported)'!$1:$5000,M3354,FALSE)</f>
        <v>0</v>
      </c>
      <c r="M3354" s="45">
        <f t="shared" si="158"/>
        <v>3354</v>
      </c>
      <c r="N3354" s="38">
        <f>HLOOKUP("Host",'vInfo (Imported)'!$1:$5000,M3354,FALSE)</f>
        <v>0</v>
      </c>
      <c r="R3354">
        <f>HLOOKUP("CPUs",'vInfo (Imported)'!$1:$5000,M3354,FALSE)</f>
        <v>0</v>
      </c>
      <c r="S3354">
        <f>HLOOKUP("Memory",'vInfo (Imported)'!$1:$5000,M3354,FALSE)</f>
        <v>0</v>
      </c>
      <c r="T3354">
        <f>HLOOKUP("Provisioned MiB",'vInfo (Imported)'!$1:$5000,M3354,FALSE)</f>
        <v>0</v>
      </c>
      <c r="U3354">
        <f t="shared" si="157"/>
        <v>0</v>
      </c>
      <c r="V3354">
        <f>HLOOKUP("In Use MiB",'vInfo (Imported)'!$1:$5000,M3354,FALSE)</f>
        <v>0</v>
      </c>
    </row>
    <row r="3355" spans="1:22" ht="13" x14ac:dyDescent="0.3">
      <c r="A3355" s="46">
        <f>'vHosts (Imported)'!A3355</f>
        <v>0</v>
      </c>
      <c r="B3355" s="51">
        <f t="shared" si="156"/>
        <v>4968</v>
      </c>
      <c r="C3355" s="49">
        <f>HLOOKUP("# Cores",'vHosts (Imported)'!$1:$5000,M3355,FALSE)</f>
        <v>0</v>
      </c>
      <c r="D3355" s="52">
        <f>HLOOKUP("# Memory",'vHosts (Imported)'!$1:$5000,M3355,FALSE)</f>
        <v>0</v>
      </c>
      <c r="M3355" s="45">
        <f t="shared" si="158"/>
        <v>3355</v>
      </c>
      <c r="N3355" s="38">
        <f>HLOOKUP("Host",'vInfo (Imported)'!$1:$5000,M3355,FALSE)</f>
        <v>0</v>
      </c>
      <c r="R3355">
        <f>HLOOKUP("CPUs",'vInfo (Imported)'!$1:$5000,M3355,FALSE)</f>
        <v>0</v>
      </c>
      <c r="S3355">
        <f>HLOOKUP("Memory",'vInfo (Imported)'!$1:$5000,M3355,FALSE)</f>
        <v>0</v>
      </c>
      <c r="T3355">
        <f>HLOOKUP("Provisioned MiB",'vInfo (Imported)'!$1:$5000,M3355,FALSE)</f>
        <v>0</v>
      </c>
      <c r="U3355">
        <f t="shared" si="157"/>
        <v>0</v>
      </c>
      <c r="V3355">
        <f>HLOOKUP("In Use MiB",'vInfo (Imported)'!$1:$5000,M3355,FALSE)</f>
        <v>0</v>
      </c>
    </row>
    <row r="3356" spans="1:22" ht="13" x14ac:dyDescent="0.3">
      <c r="A3356" s="46">
        <f>'vHosts (Imported)'!A3356</f>
        <v>0</v>
      </c>
      <c r="B3356" s="51">
        <f t="shared" si="156"/>
        <v>4968</v>
      </c>
      <c r="C3356" s="49">
        <f>HLOOKUP("# Cores",'vHosts (Imported)'!$1:$5000,M3356,FALSE)</f>
        <v>0</v>
      </c>
      <c r="D3356" s="52">
        <f>HLOOKUP("# Memory",'vHosts (Imported)'!$1:$5000,M3356,FALSE)</f>
        <v>0</v>
      </c>
      <c r="M3356" s="45">
        <f t="shared" si="158"/>
        <v>3356</v>
      </c>
      <c r="N3356" s="38">
        <f>HLOOKUP("Host",'vInfo (Imported)'!$1:$5000,M3356,FALSE)</f>
        <v>0</v>
      </c>
      <c r="R3356">
        <f>HLOOKUP("CPUs",'vInfo (Imported)'!$1:$5000,M3356,FALSE)</f>
        <v>0</v>
      </c>
      <c r="S3356">
        <f>HLOOKUP("Memory",'vInfo (Imported)'!$1:$5000,M3356,FALSE)</f>
        <v>0</v>
      </c>
      <c r="T3356">
        <f>HLOOKUP("Provisioned MiB",'vInfo (Imported)'!$1:$5000,M3356,FALSE)</f>
        <v>0</v>
      </c>
      <c r="U3356">
        <f t="shared" si="157"/>
        <v>0</v>
      </c>
      <c r="V3356">
        <f>HLOOKUP("In Use MiB",'vInfo (Imported)'!$1:$5000,M3356,FALSE)</f>
        <v>0</v>
      </c>
    </row>
    <row r="3357" spans="1:22" ht="13" x14ac:dyDescent="0.3">
      <c r="A3357" s="46">
        <f>'vHosts (Imported)'!A3357</f>
        <v>0</v>
      </c>
      <c r="B3357" s="51">
        <f t="shared" si="156"/>
        <v>4968</v>
      </c>
      <c r="C3357" s="49">
        <f>HLOOKUP("# Cores",'vHosts (Imported)'!$1:$5000,M3357,FALSE)</f>
        <v>0</v>
      </c>
      <c r="D3357" s="52">
        <f>HLOOKUP("# Memory",'vHosts (Imported)'!$1:$5000,M3357,FALSE)</f>
        <v>0</v>
      </c>
      <c r="M3357" s="45">
        <f t="shared" si="158"/>
        <v>3357</v>
      </c>
      <c r="N3357" s="38">
        <f>HLOOKUP("Host",'vInfo (Imported)'!$1:$5000,M3357,FALSE)</f>
        <v>0</v>
      </c>
      <c r="R3357">
        <f>HLOOKUP("CPUs",'vInfo (Imported)'!$1:$5000,M3357,FALSE)</f>
        <v>0</v>
      </c>
      <c r="S3357">
        <f>HLOOKUP("Memory",'vInfo (Imported)'!$1:$5000,M3357,FALSE)</f>
        <v>0</v>
      </c>
      <c r="T3357">
        <f>HLOOKUP("Provisioned MiB",'vInfo (Imported)'!$1:$5000,M3357,FALSE)</f>
        <v>0</v>
      </c>
      <c r="U3357">
        <f t="shared" si="157"/>
        <v>0</v>
      </c>
      <c r="V3357">
        <f>HLOOKUP("In Use MiB",'vInfo (Imported)'!$1:$5000,M3357,FALSE)</f>
        <v>0</v>
      </c>
    </row>
    <row r="3358" spans="1:22" ht="13" x14ac:dyDescent="0.3">
      <c r="A3358" s="46">
        <f>'vHosts (Imported)'!A3358</f>
        <v>0</v>
      </c>
      <c r="B3358" s="51">
        <f t="shared" si="156"/>
        <v>4968</v>
      </c>
      <c r="C3358" s="49">
        <f>HLOOKUP("# Cores",'vHosts (Imported)'!$1:$5000,M3358,FALSE)</f>
        <v>0</v>
      </c>
      <c r="D3358" s="52">
        <f>HLOOKUP("# Memory",'vHosts (Imported)'!$1:$5000,M3358,FALSE)</f>
        <v>0</v>
      </c>
      <c r="M3358" s="45">
        <f t="shared" si="158"/>
        <v>3358</v>
      </c>
      <c r="N3358" s="38">
        <f>HLOOKUP("Host",'vInfo (Imported)'!$1:$5000,M3358,FALSE)</f>
        <v>0</v>
      </c>
      <c r="R3358">
        <f>HLOOKUP("CPUs",'vInfo (Imported)'!$1:$5000,M3358,FALSE)</f>
        <v>0</v>
      </c>
      <c r="S3358">
        <f>HLOOKUP("Memory",'vInfo (Imported)'!$1:$5000,M3358,FALSE)</f>
        <v>0</v>
      </c>
      <c r="T3358">
        <f>HLOOKUP("Provisioned MiB",'vInfo (Imported)'!$1:$5000,M3358,FALSE)</f>
        <v>0</v>
      </c>
      <c r="U3358">
        <f t="shared" si="157"/>
        <v>0</v>
      </c>
      <c r="V3358">
        <f>HLOOKUP("In Use MiB",'vInfo (Imported)'!$1:$5000,M3358,FALSE)</f>
        <v>0</v>
      </c>
    </row>
    <row r="3359" spans="1:22" ht="13" x14ac:dyDescent="0.3">
      <c r="A3359" s="46">
        <f>'vHosts (Imported)'!A3359</f>
        <v>0</v>
      </c>
      <c r="B3359" s="51">
        <f t="shared" si="156"/>
        <v>4968</v>
      </c>
      <c r="C3359" s="49">
        <f>HLOOKUP("# Cores",'vHosts (Imported)'!$1:$5000,M3359,FALSE)</f>
        <v>0</v>
      </c>
      <c r="D3359" s="52">
        <f>HLOOKUP("# Memory",'vHosts (Imported)'!$1:$5000,M3359,FALSE)</f>
        <v>0</v>
      </c>
      <c r="M3359" s="45">
        <f t="shared" si="158"/>
        <v>3359</v>
      </c>
      <c r="N3359" s="38">
        <f>HLOOKUP("Host",'vInfo (Imported)'!$1:$5000,M3359,FALSE)</f>
        <v>0</v>
      </c>
      <c r="R3359">
        <f>HLOOKUP("CPUs",'vInfo (Imported)'!$1:$5000,M3359,FALSE)</f>
        <v>0</v>
      </c>
      <c r="S3359">
        <f>HLOOKUP("Memory",'vInfo (Imported)'!$1:$5000,M3359,FALSE)</f>
        <v>0</v>
      </c>
      <c r="T3359">
        <f>HLOOKUP("Provisioned MiB",'vInfo (Imported)'!$1:$5000,M3359,FALSE)</f>
        <v>0</v>
      </c>
      <c r="U3359">
        <f t="shared" si="157"/>
        <v>0</v>
      </c>
      <c r="V3359">
        <f>HLOOKUP("In Use MiB",'vInfo (Imported)'!$1:$5000,M3359,FALSE)</f>
        <v>0</v>
      </c>
    </row>
    <row r="3360" spans="1:22" ht="13" x14ac:dyDescent="0.3">
      <c r="A3360" s="46">
        <f>'vHosts (Imported)'!A3360</f>
        <v>0</v>
      </c>
      <c r="B3360" s="51">
        <f t="shared" si="156"/>
        <v>4968</v>
      </c>
      <c r="C3360" s="49">
        <f>HLOOKUP("# Cores",'vHosts (Imported)'!$1:$5000,M3360,FALSE)</f>
        <v>0</v>
      </c>
      <c r="D3360" s="52">
        <f>HLOOKUP("# Memory",'vHosts (Imported)'!$1:$5000,M3360,FALSE)</f>
        <v>0</v>
      </c>
      <c r="M3360" s="45">
        <f t="shared" si="158"/>
        <v>3360</v>
      </c>
      <c r="N3360" s="38">
        <f>HLOOKUP("Host",'vInfo (Imported)'!$1:$5000,M3360,FALSE)</f>
        <v>0</v>
      </c>
      <c r="R3360">
        <f>HLOOKUP("CPUs",'vInfo (Imported)'!$1:$5000,M3360,FALSE)</f>
        <v>0</v>
      </c>
      <c r="S3360">
        <f>HLOOKUP("Memory",'vInfo (Imported)'!$1:$5000,M3360,FALSE)</f>
        <v>0</v>
      </c>
      <c r="T3360">
        <f>HLOOKUP("Provisioned MiB",'vInfo (Imported)'!$1:$5000,M3360,FALSE)</f>
        <v>0</v>
      </c>
      <c r="U3360">
        <f t="shared" si="157"/>
        <v>0</v>
      </c>
      <c r="V3360">
        <f>HLOOKUP("In Use MiB",'vInfo (Imported)'!$1:$5000,M3360,FALSE)</f>
        <v>0</v>
      </c>
    </row>
    <row r="3361" spans="1:22" ht="13" x14ac:dyDescent="0.3">
      <c r="A3361" s="46">
        <f>'vHosts (Imported)'!A3361</f>
        <v>0</v>
      </c>
      <c r="B3361" s="51">
        <f t="shared" si="156"/>
        <v>4968</v>
      </c>
      <c r="C3361" s="49">
        <f>HLOOKUP("# Cores",'vHosts (Imported)'!$1:$5000,M3361,FALSE)</f>
        <v>0</v>
      </c>
      <c r="D3361" s="52">
        <f>HLOOKUP("# Memory",'vHosts (Imported)'!$1:$5000,M3361,FALSE)</f>
        <v>0</v>
      </c>
      <c r="M3361" s="45">
        <f t="shared" si="158"/>
        <v>3361</v>
      </c>
      <c r="N3361" s="38">
        <f>HLOOKUP("Host",'vInfo (Imported)'!$1:$5000,M3361,FALSE)</f>
        <v>0</v>
      </c>
      <c r="R3361">
        <f>HLOOKUP("CPUs",'vInfo (Imported)'!$1:$5000,M3361,FALSE)</f>
        <v>0</v>
      </c>
      <c r="S3361">
        <f>HLOOKUP("Memory",'vInfo (Imported)'!$1:$5000,M3361,FALSE)</f>
        <v>0</v>
      </c>
      <c r="T3361">
        <f>HLOOKUP("Provisioned MiB",'vInfo (Imported)'!$1:$5000,M3361,FALSE)</f>
        <v>0</v>
      </c>
      <c r="U3361">
        <f t="shared" si="157"/>
        <v>0</v>
      </c>
      <c r="V3361">
        <f>HLOOKUP("In Use MiB",'vInfo (Imported)'!$1:$5000,M3361,FALSE)</f>
        <v>0</v>
      </c>
    </row>
    <row r="3362" spans="1:22" ht="13" x14ac:dyDescent="0.3">
      <c r="A3362" s="46">
        <f>'vHosts (Imported)'!A3362</f>
        <v>0</v>
      </c>
      <c r="B3362" s="51">
        <f t="shared" si="156"/>
        <v>4968</v>
      </c>
      <c r="C3362" s="49">
        <f>HLOOKUP("# Cores",'vHosts (Imported)'!$1:$5000,M3362,FALSE)</f>
        <v>0</v>
      </c>
      <c r="D3362" s="52">
        <f>HLOOKUP("# Memory",'vHosts (Imported)'!$1:$5000,M3362,FALSE)</f>
        <v>0</v>
      </c>
      <c r="M3362" s="45">
        <f t="shared" si="158"/>
        <v>3362</v>
      </c>
      <c r="N3362" s="38">
        <f>HLOOKUP("Host",'vInfo (Imported)'!$1:$5000,M3362,FALSE)</f>
        <v>0</v>
      </c>
      <c r="R3362">
        <f>HLOOKUP("CPUs",'vInfo (Imported)'!$1:$5000,M3362,FALSE)</f>
        <v>0</v>
      </c>
      <c r="S3362">
        <f>HLOOKUP("Memory",'vInfo (Imported)'!$1:$5000,M3362,FALSE)</f>
        <v>0</v>
      </c>
      <c r="T3362">
        <f>HLOOKUP("Provisioned MiB",'vInfo (Imported)'!$1:$5000,M3362,FALSE)</f>
        <v>0</v>
      </c>
      <c r="U3362">
        <f t="shared" si="157"/>
        <v>0</v>
      </c>
      <c r="V3362">
        <f>HLOOKUP("In Use MiB",'vInfo (Imported)'!$1:$5000,M3362,FALSE)</f>
        <v>0</v>
      </c>
    </row>
    <row r="3363" spans="1:22" ht="13" x14ac:dyDescent="0.3">
      <c r="A3363" s="46">
        <f>'vHosts (Imported)'!A3363</f>
        <v>0</v>
      </c>
      <c r="B3363" s="51">
        <f t="shared" si="156"/>
        <v>4968</v>
      </c>
      <c r="C3363" s="49">
        <f>HLOOKUP("# Cores",'vHosts (Imported)'!$1:$5000,M3363,FALSE)</f>
        <v>0</v>
      </c>
      <c r="D3363" s="52">
        <f>HLOOKUP("# Memory",'vHosts (Imported)'!$1:$5000,M3363,FALSE)</f>
        <v>0</v>
      </c>
      <c r="M3363" s="45">
        <f t="shared" si="158"/>
        <v>3363</v>
      </c>
      <c r="N3363" s="38">
        <f>HLOOKUP("Host",'vInfo (Imported)'!$1:$5000,M3363,FALSE)</f>
        <v>0</v>
      </c>
      <c r="R3363">
        <f>HLOOKUP("CPUs",'vInfo (Imported)'!$1:$5000,M3363,FALSE)</f>
        <v>0</v>
      </c>
      <c r="S3363">
        <f>HLOOKUP("Memory",'vInfo (Imported)'!$1:$5000,M3363,FALSE)</f>
        <v>0</v>
      </c>
      <c r="T3363">
        <f>HLOOKUP("Provisioned MiB",'vInfo (Imported)'!$1:$5000,M3363,FALSE)</f>
        <v>0</v>
      </c>
      <c r="U3363">
        <f t="shared" si="157"/>
        <v>0</v>
      </c>
      <c r="V3363">
        <f>HLOOKUP("In Use MiB",'vInfo (Imported)'!$1:$5000,M3363,FALSE)</f>
        <v>0</v>
      </c>
    </row>
    <row r="3364" spans="1:22" ht="13" x14ac:dyDescent="0.3">
      <c r="A3364" s="46">
        <f>'vHosts (Imported)'!A3364</f>
        <v>0</v>
      </c>
      <c r="B3364" s="51">
        <f t="shared" si="156"/>
        <v>4968</v>
      </c>
      <c r="C3364" s="49">
        <f>HLOOKUP("# Cores",'vHosts (Imported)'!$1:$5000,M3364,FALSE)</f>
        <v>0</v>
      </c>
      <c r="D3364" s="52">
        <f>HLOOKUP("# Memory",'vHosts (Imported)'!$1:$5000,M3364,FALSE)</f>
        <v>0</v>
      </c>
      <c r="M3364" s="45">
        <f t="shared" si="158"/>
        <v>3364</v>
      </c>
      <c r="N3364" s="38">
        <f>HLOOKUP("Host",'vInfo (Imported)'!$1:$5000,M3364,FALSE)</f>
        <v>0</v>
      </c>
      <c r="R3364">
        <f>HLOOKUP("CPUs",'vInfo (Imported)'!$1:$5000,M3364,FALSE)</f>
        <v>0</v>
      </c>
      <c r="S3364">
        <f>HLOOKUP("Memory",'vInfo (Imported)'!$1:$5000,M3364,FALSE)</f>
        <v>0</v>
      </c>
      <c r="T3364">
        <f>HLOOKUP("Provisioned MiB",'vInfo (Imported)'!$1:$5000,M3364,FALSE)</f>
        <v>0</v>
      </c>
      <c r="U3364">
        <f t="shared" si="157"/>
        <v>0</v>
      </c>
      <c r="V3364">
        <f>HLOOKUP("In Use MiB",'vInfo (Imported)'!$1:$5000,M3364,FALSE)</f>
        <v>0</v>
      </c>
    </row>
    <row r="3365" spans="1:22" ht="13" x14ac:dyDescent="0.3">
      <c r="A3365" s="46">
        <f>'vHosts (Imported)'!A3365</f>
        <v>0</v>
      </c>
      <c r="B3365" s="51">
        <f t="shared" si="156"/>
        <v>4968</v>
      </c>
      <c r="C3365" s="49">
        <f>HLOOKUP("# Cores",'vHosts (Imported)'!$1:$5000,M3365,FALSE)</f>
        <v>0</v>
      </c>
      <c r="D3365" s="52">
        <f>HLOOKUP("# Memory",'vHosts (Imported)'!$1:$5000,M3365,FALSE)</f>
        <v>0</v>
      </c>
      <c r="M3365" s="45">
        <f t="shared" si="158"/>
        <v>3365</v>
      </c>
      <c r="N3365" s="38">
        <f>HLOOKUP("Host",'vInfo (Imported)'!$1:$5000,M3365,FALSE)</f>
        <v>0</v>
      </c>
      <c r="R3365">
        <f>HLOOKUP("CPUs",'vInfo (Imported)'!$1:$5000,M3365,FALSE)</f>
        <v>0</v>
      </c>
      <c r="S3365">
        <f>HLOOKUP("Memory",'vInfo (Imported)'!$1:$5000,M3365,FALSE)</f>
        <v>0</v>
      </c>
      <c r="T3365">
        <f>HLOOKUP("Provisioned MiB",'vInfo (Imported)'!$1:$5000,M3365,FALSE)</f>
        <v>0</v>
      </c>
      <c r="U3365">
        <f t="shared" si="157"/>
        <v>0</v>
      </c>
      <c r="V3365">
        <f>HLOOKUP("In Use MiB",'vInfo (Imported)'!$1:$5000,M3365,FALSE)</f>
        <v>0</v>
      </c>
    </row>
    <row r="3366" spans="1:22" ht="13" x14ac:dyDescent="0.3">
      <c r="A3366" s="46">
        <f>'vHosts (Imported)'!A3366</f>
        <v>0</v>
      </c>
      <c r="B3366" s="51">
        <f t="shared" si="156"/>
        <v>4968</v>
      </c>
      <c r="C3366" s="49">
        <f>HLOOKUP("# Cores",'vHosts (Imported)'!$1:$5000,M3366,FALSE)</f>
        <v>0</v>
      </c>
      <c r="D3366" s="52">
        <f>HLOOKUP("# Memory",'vHosts (Imported)'!$1:$5000,M3366,FALSE)</f>
        <v>0</v>
      </c>
      <c r="M3366" s="45">
        <f t="shared" si="158"/>
        <v>3366</v>
      </c>
      <c r="N3366" s="38">
        <f>HLOOKUP("Host",'vInfo (Imported)'!$1:$5000,M3366,FALSE)</f>
        <v>0</v>
      </c>
      <c r="R3366">
        <f>HLOOKUP("CPUs",'vInfo (Imported)'!$1:$5000,M3366,FALSE)</f>
        <v>0</v>
      </c>
      <c r="S3366">
        <f>HLOOKUP("Memory",'vInfo (Imported)'!$1:$5000,M3366,FALSE)</f>
        <v>0</v>
      </c>
      <c r="T3366">
        <f>HLOOKUP("Provisioned MiB",'vInfo (Imported)'!$1:$5000,M3366,FALSE)</f>
        <v>0</v>
      </c>
      <c r="U3366">
        <f t="shared" si="157"/>
        <v>0</v>
      </c>
      <c r="V3366">
        <f>HLOOKUP("In Use MiB",'vInfo (Imported)'!$1:$5000,M3366,FALSE)</f>
        <v>0</v>
      </c>
    </row>
    <row r="3367" spans="1:22" ht="13" x14ac:dyDescent="0.3">
      <c r="A3367" s="46">
        <f>'vHosts (Imported)'!A3367</f>
        <v>0</v>
      </c>
      <c r="B3367" s="51">
        <f t="shared" si="156"/>
        <v>4968</v>
      </c>
      <c r="C3367" s="49">
        <f>HLOOKUP("# Cores",'vHosts (Imported)'!$1:$5000,M3367,FALSE)</f>
        <v>0</v>
      </c>
      <c r="D3367" s="52">
        <f>HLOOKUP("# Memory",'vHosts (Imported)'!$1:$5000,M3367,FALSE)</f>
        <v>0</v>
      </c>
      <c r="M3367" s="45">
        <f t="shared" si="158"/>
        <v>3367</v>
      </c>
      <c r="N3367" s="38">
        <f>HLOOKUP("Host",'vInfo (Imported)'!$1:$5000,M3367,FALSE)</f>
        <v>0</v>
      </c>
      <c r="R3367">
        <f>HLOOKUP("CPUs",'vInfo (Imported)'!$1:$5000,M3367,FALSE)</f>
        <v>0</v>
      </c>
      <c r="S3367">
        <f>HLOOKUP("Memory",'vInfo (Imported)'!$1:$5000,M3367,FALSE)</f>
        <v>0</v>
      </c>
      <c r="T3367">
        <f>HLOOKUP("Provisioned MiB",'vInfo (Imported)'!$1:$5000,M3367,FALSE)</f>
        <v>0</v>
      </c>
      <c r="U3367">
        <f t="shared" si="157"/>
        <v>0</v>
      </c>
      <c r="V3367">
        <f>HLOOKUP("In Use MiB",'vInfo (Imported)'!$1:$5000,M3367,FALSE)</f>
        <v>0</v>
      </c>
    </row>
    <row r="3368" spans="1:22" ht="13" x14ac:dyDescent="0.3">
      <c r="A3368" s="46">
        <f>'vHosts (Imported)'!A3368</f>
        <v>0</v>
      </c>
      <c r="B3368" s="51">
        <f t="shared" ref="B3368:B3431" si="159">COUNTIF(N:N,A3368)</f>
        <v>4968</v>
      </c>
      <c r="C3368" s="49">
        <f>HLOOKUP("# Cores",'vHosts (Imported)'!$1:$5000,M3368,FALSE)</f>
        <v>0</v>
      </c>
      <c r="D3368" s="52">
        <f>HLOOKUP("# Memory",'vHosts (Imported)'!$1:$5000,M3368,FALSE)</f>
        <v>0</v>
      </c>
      <c r="M3368" s="45">
        <f t="shared" si="158"/>
        <v>3368</v>
      </c>
      <c r="N3368" s="38">
        <f>HLOOKUP("Host",'vInfo (Imported)'!$1:$5000,M3368,FALSE)</f>
        <v>0</v>
      </c>
      <c r="R3368">
        <f>HLOOKUP("CPUs",'vInfo (Imported)'!$1:$5000,M3368,FALSE)</f>
        <v>0</v>
      </c>
      <c r="S3368">
        <f>HLOOKUP("Memory",'vInfo (Imported)'!$1:$5000,M3368,FALSE)</f>
        <v>0</v>
      </c>
      <c r="T3368">
        <f>HLOOKUP("Provisioned MiB",'vInfo (Imported)'!$1:$5000,M3368,FALSE)</f>
        <v>0</v>
      </c>
      <c r="U3368">
        <f t="shared" si="157"/>
        <v>0</v>
      </c>
      <c r="V3368">
        <f>HLOOKUP("In Use MiB",'vInfo (Imported)'!$1:$5000,M3368,FALSE)</f>
        <v>0</v>
      </c>
    </row>
    <row r="3369" spans="1:22" ht="13" x14ac:dyDescent="0.3">
      <c r="A3369" s="46">
        <f>'vHosts (Imported)'!A3369</f>
        <v>0</v>
      </c>
      <c r="B3369" s="51">
        <f t="shared" si="159"/>
        <v>4968</v>
      </c>
      <c r="C3369" s="49">
        <f>HLOOKUP("# Cores",'vHosts (Imported)'!$1:$5000,M3369,FALSE)</f>
        <v>0</v>
      </c>
      <c r="D3369" s="52">
        <f>HLOOKUP("# Memory",'vHosts (Imported)'!$1:$5000,M3369,FALSE)</f>
        <v>0</v>
      </c>
      <c r="M3369" s="45">
        <f t="shared" si="158"/>
        <v>3369</v>
      </c>
      <c r="N3369" s="38">
        <f>HLOOKUP("Host",'vInfo (Imported)'!$1:$5000,M3369,FALSE)</f>
        <v>0</v>
      </c>
      <c r="R3369">
        <f>HLOOKUP("CPUs",'vInfo (Imported)'!$1:$5000,M3369,FALSE)</f>
        <v>0</v>
      </c>
      <c r="S3369">
        <f>HLOOKUP("Memory",'vInfo (Imported)'!$1:$5000,M3369,FALSE)</f>
        <v>0</v>
      </c>
      <c r="T3369">
        <f>HLOOKUP("Provisioned MiB",'vInfo (Imported)'!$1:$5000,M3369,FALSE)</f>
        <v>0</v>
      </c>
      <c r="U3369">
        <f t="shared" si="157"/>
        <v>0</v>
      </c>
      <c r="V3369">
        <f>HLOOKUP("In Use MiB",'vInfo (Imported)'!$1:$5000,M3369,FALSE)</f>
        <v>0</v>
      </c>
    </row>
    <row r="3370" spans="1:22" ht="13" x14ac:dyDescent="0.3">
      <c r="A3370" s="46">
        <f>'vHosts (Imported)'!A3370</f>
        <v>0</v>
      </c>
      <c r="B3370" s="51">
        <f t="shared" si="159"/>
        <v>4968</v>
      </c>
      <c r="C3370" s="49">
        <f>HLOOKUP("# Cores",'vHosts (Imported)'!$1:$5000,M3370,FALSE)</f>
        <v>0</v>
      </c>
      <c r="D3370" s="52">
        <f>HLOOKUP("# Memory",'vHosts (Imported)'!$1:$5000,M3370,FALSE)</f>
        <v>0</v>
      </c>
      <c r="M3370" s="45">
        <f t="shared" si="158"/>
        <v>3370</v>
      </c>
      <c r="N3370" s="38">
        <f>HLOOKUP("Host",'vInfo (Imported)'!$1:$5000,M3370,FALSE)</f>
        <v>0</v>
      </c>
      <c r="R3370">
        <f>HLOOKUP("CPUs",'vInfo (Imported)'!$1:$5000,M3370,FALSE)</f>
        <v>0</v>
      </c>
      <c r="S3370">
        <f>HLOOKUP("Memory",'vInfo (Imported)'!$1:$5000,M3370,FALSE)</f>
        <v>0</v>
      </c>
      <c r="T3370">
        <f>HLOOKUP("Provisioned MiB",'vInfo (Imported)'!$1:$5000,M3370,FALSE)</f>
        <v>0</v>
      </c>
      <c r="U3370">
        <f t="shared" si="157"/>
        <v>0</v>
      </c>
      <c r="V3370">
        <f>HLOOKUP("In Use MiB",'vInfo (Imported)'!$1:$5000,M3370,FALSE)</f>
        <v>0</v>
      </c>
    </row>
    <row r="3371" spans="1:22" ht="13" x14ac:dyDescent="0.3">
      <c r="A3371" s="46">
        <f>'vHosts (Imported)'!A3371</f>
        <v>0</v>
      </c>
      <c r="B3371" s="51">
        <f t="shared" si="159"/>
        <v>4968</v>
      </c>
      <c r="C3371" s="49">
        <f>HLOOKUP("# Cores",'vHosts (Imported)'!$1:$5000,M3371,FALSE)</f>
        <v>0</v>
      </c>
      <c r="D3371" s="52">
        <f>HLOOKUP("# Memory",'vHosts (Imported)'!$1:$5000,M3371,FALSE)</f>
        <v>0</v>
      </c>
      <c r="M3371" s="45">
        <f t="shared" si="158"/>
        <v>3371</v>
      </c>
      <c r="N3371" s="38">
        <f>HLOOKUP("Host",'vInfo (Imported)'!$1:$5000,M3371,FALSE)</f>
        <v>0</v>
      </c>
      <c r="R3371">
        <f>HLOOKUP("CPUs",'vInfo (Imported)'!$1:$5000,M3371,FALSE)</f>
        <v>0</v>
      </c>
      <c r="S3371">
        <f>HLOOKUP("Memory",'vInfo (Imported)'!$1:$5000,M3371,FALSE)</f>
        <v>0</v>
      </c>
      <c r="T3371">
        <f>HLOOKUP("Provisioned MiB",'vInfo (Imported)'!$1:$5000,M3371,FALSE)</f>
        <v>0</v>
      </c>
      <c r="U3371">
        <f t="shared" si="157"/>
        <v>0</v>
      </c>
      <c r="V3371">
        <f>HLOOKUP("In Use MiB",'vInfo (Imported)'!$1:$5000,M3371,FALSE)</f>
        <v>0</v>
      </c>
    </row>
    <row r="3372" spans="1:22" ht="13" x14ac:dyDescent="0.3">
      <c r="A3372" s="46">
        <f>'vHosts (Imported)'!A3372</f>
        <v>0</v>
      </c>
      <c r="B3372" s="51">
        <f t="shared" si="159"/>
        <v>4968</v>
      </c>
      <c r="C3372" s="49">
        <f>HLOOKUP("# Cores",'vHosts (Imported)'!$1:$5000,M3372,FALSE)</f>
        <v>0</v>
      </c>
      <c r="D3372" s="52">
        <f>HLOOKUP("# Memory",'vHosts (Imported)'!$1:$5000,M3372,FALSE)</f>
        <v>0</v>
      </c>
      <c r="M3372" s="45">
        <f t="shared" si="158"/>
        <v>3372</v>
      </c>
      <c r="N3372" s="38">
        <f>HLOOKUP("Host",'vInfo (Imported)'!$1:$5000,M3372,FALSE)</f>
        <v>0</v>
      </c>
      <c r="R3372">
        <f>HLOOKUP("CPUs",'vInfo (Imported)'!$1:$5000,M3372,FALSE)</f>
        <v>0</v>
      </c>
      <c r="S3372">
        <f>HLOOKUP("Memory",'vInfo (Imported)'!$1:$5000,M3372,FALSE)</f>
        <v>0</v>
      </c>
      <c r="T3372">
        <f>HLOOKUP("Provisioned MiB",'vInfo (Imported)'!$1:$5000,M3372,FALSE)</f>
        <v>0</v>
      </c>
      <c r="U3372">
        <f t="shared" si="157"/>
        <v>0</v>
      </c>
      <c r="V3372">
        <f>HLOOKUP("In Use MiB",'vInfo (Imported)'!$1:$5000,M3372,FALSE)</f>
        <v>0</v>
      </c>
    </row>
    <row r="3373" spans="1:22" ht="13" x14ac:dyDescent="0.3">
      <c r="A3373" s="46">
        <f>'vHosts (Imported)'!A3373</f>
        <v>0</v>
      </c>
      <c r="B3373" s="51">
        <f t="shared" si="159"/>
        <v>4968</v>
      </c>
      <c r="C3373" s="49">
        <f>HLOOKUP("# Cores",'vHosts (Imported)'!$1:$5000,M3373,FALSE)</f>
        <v>0</v>
      </c>
      <c r="D3373" s="52">
        <f>HLOOKUP("# Memory",'vHosts (Imported)'!$1:$5000,M3373,FALSE)</f>
        <v>0</v>
      </c>
      <c r="M3373" s="45">
        <f t="shared" si="158"/>
        <v>3373</v>
      </c>
      <c r="N3373" s="38">
        <f>HLOOKUP("Host",'vInfo (Imported)'!$1:$5000,M3373,FALSE)</f>
        <v>0</v>
      </c>
      <c r="R3373">
        <f>HLOOKUP("CPUs",'vInfo (Imported)'!$1:$5000,M3373,FALSE)</f>
        <v>0</v>
      </c>
      <c r="S3373">
        <f>HLOOKUP("Memory",'vInfo (Imported)'!$1:$5000,M3373,FALSE)</f>
        <v>0</v>
      </c>
      <c r="T3373">
        <f>HLOOKUP("Provisioned MiB",'vInfo (Imported)'!$1:$5000,M3373,FALSE)</f>
        <v>0</v>
      </c>
      <c r="U3373">
        <f t="shared" si="157"/>
        <v>0</v>
      </c>
      <c r="V3373">
        <f>HLOOKUP("In Use MiB",'vInfo (Imported)'!$1:$5000,M3373,FALSE)</f>
        <v>0</v>
      </c>
    </row>
    <row r="3374" spans="1:22" ht="13" x14ac:dyDescent="0.3">
      <c r="A3374" s="46">
        <f>'vHosts (Imported)'!A3374</f>
        <v>0</v>
      </c>
      <c r="B3374" s="51">
        <f t="shared" si="159"/>
        <v>4968</v>
      </c>
      <c r="C3374" s="49">
        <f>HLOOKUP("# Cores",'vHosts (Imported)'!$1:$5000,M3374,FALSE)</f>
        <v>0</v>
      </c>
      <c r="D3374" s="52">
        <f>HLOOKUP("# Memory",'vHosts (Imported)'!$1:$5000,M3374,FALSE)</f>
        <v>0</v>
      </c>
      <c r="M3374" s="45">
        <f t="shared" si="158"/>
        <v>3374</v>
      </c>
      <c r="N3374" s="38">
        <f>HLOOKUP("Host",'vInfo (Imported)'!$1:$5000,M3374,FALSE)</f>
        <v>0</v>
      </c>
      <c r="R3374">
        <f>HLOOKUP("CPUs",'vInfo (Imported)'!$1:$5000,M3374,FALSE)</f>
        <v>0</v>
      </c>
      <c r="S3374">
        <f>HLOOKUP("Memory",'vInfo (Imported)'!$1:$5000,M3374,FALSE)</f>
        <v>0</v>
      </c>
      <c r="T3374">
        <f>HLOOKUP("Provisioned MiB",'vInfo (Imported)'!$1:$5000,M3374,FALSE)</f>
        <v>0</v>
      </c>
      <c r="U3374">
        <f t="shared" si="157"/>
        <v>0</v>
      </c>
      <c r="V3374">
        <f>HLOOKUP("In Use MiB",'vInfo (Imported)'!$1:$5000,M3374,FALSE)</f>
        <v>0</v>
      </c>
    </row>
    <row r="3375" spans="1:22" ht="13" x14ac:dyDescent="0.3">
      <c r="A3375" s="46">
        <f>'vHosts (Imported)'!A3375</f>
        <v>0</v>
      </c>
      <c r="B3375" s="51">
        <f t="shared" si="159"/>
        <v>4968</v>
      </c>
      <c r="C3375" s="49">
        <f>HLOOKUP("# Cores",'vHosts (Imported)'!$1:$5000,M3375,FALSE)</f>
        <v>0</v>
      </c>
      <c r="D3375" s="52">
        <f>HLOOKUP("# Memory",'vHosts (Imported)'!$1:$5000,M3375,FALSE)</f>
        <v>0</v>
      </c>
      <c r="M3375" s="45">
        <f t="shared" si="158"/>
        <v>3375</v>
      </c>
      <c r="N3375" s="38">
        <f>HLOOKUP("Host",'vInfo (Imported)'!$1:$5000,M3375,FALSE)</f>
        <v>0</v>
      </c>
      <c r="R3375">
        <f>HLOOKUP("CPUs",'vInfo (Imported)'!$1:$5000,M3375,FALSE)</f>
        <v>0</v>
      </c>
      <c r="S3375">
        <f>HLOOKUP("Memory",'vInfo (Imported)'!$1:$5000,M3375,FALSE)</f>
        <v>0</v>
      </c>
      <c r="T3375">
        <f>HLOOKUP("Provisioned MiB",'vInfo (Imported)'!$1:$5000,M3375,FALSE)</f>
        <v>0</v>
      </c>
      <c r="U3375">
        <f t="shared" si="157"/>
        <v>0</v>
      </c>
      <c r="V3375">
        <f>HLOOKUP("In Use MiB",'vInfo (Imported)'!$1:$5000,M3375,FALSE)</f>
        <v>0</v>
      </c>
    </row>
    <row r="3376" spans="1:22" ht="13" x14ac:dyDescent="0.3">
      <c r="A3376" s="46">
        <f>'vHosts (Imported)'!A3376</f>
        <v>0</v>
      </c>
      <c r="B3376" s="51">
        <f t="shared" si="159"/>
        <v>4968</v>
      </c>
      <c r="C3376" s="49">
        <f>HLOOKUP("# Cores",'vHosts (Imported)'!$1:$5000,M3376,FALSE)</f>
        <v>0</v>
      </c>
      <c r="D3376" s="52">
        <f>HLOOKUP("# Memory",'vHosts (Imported)'!$1:$5000,M3376,FALSE)</f>
        <v>0</v>
      </c>
      <c r="M3376" s="45">
        <f t="shared" si="158"/>
        <v>3376</v>
      </c>
      <c r="N3376" s="38">
        <f>HLOOKUP("Host",'vInfo (Imported)'!$1:$5000,M3376,FALSE)</f>
        <v>0</v>
      </c>
      <c r="R3376">
        <f>HLOOKUP("CPUs",'vInfo (Imported)'!$1:$5000,M3376,FALSE)</f>
        <v>0</v>
      </c>
      <c r="S3376">
        <f>HLOOKUP("Memory",'vInfo (Imported)'!$1:$5000,M3376,FALSE)</f>
        <v>0</v>
      </c>
      <c r="T3376">
        <f>HLOOKUP("Provisioned MiB",'vInfo (Imported)'!$1:$5000,M3376,FALSE)</f>
        <v>0</v>
      </c>
      <c r="U3376">
        <f t="shared" si="157"/>
        <v>0</v>
      </c>
      <c r="V3376">
        <f>HLOOKUP("In Use MiB",'vInfo (Imported)'!$1:$5000,M3376,FALSE)</f>
        <v>0</v>
      </c>
    </row>
    <row r="3377" spans="1:22" ht="13" x14ac:dyDescent="0.3">
      <c r="A3377" s="46">
        <f>'vHosts (Imported)'!A3377</f>
        <v>0</v>
      </c>
      <c r="B3377" s="51">
        <f t="shared" si="159"/>
        <v>4968</v>
      </c>
      <c r="C3377" s="49">
        <f>HLOOKUP("# Cores",'vHosts (Imported)'!$1:$5000,M3377,FALSE)</f>
        <v>0</v>
      </c>
      <c r="D3377" s="52">
        <f>HLOOKUP("# Memory",'vHosts (Imported)'!$1:$5000,M3377,FALSE)</f>
        <v>0</v>
      </c>
      <c r="M3377" s="45">
        <f t="shared" si="158"/>
        <v>3377</v>
      </c>
      <c r="N3377" s="38">
        <f>HLOOKUP("Host",'vInfo (Imported)'!$1:$5000,M3377,FALSE)</f>
        <v>0</v>
      </c>
      <c r="R3377">
        <f>HLOOKUP("CPUs",'vInfo (Imported)'!$1:$5000,M3377,FALSE)</f>
        <v>0</v>
      </c>
      <c r="S3377">
        <f>HLOOKUP("Memory",'vInfo (Imported)'!$1:$5000,M3377,FALSE)</f>
        <v>0</v>
      </c>
      <c r="T3377">
        <f>HLOOKUP("Provisioned MiB",'vInfo (Imported)'!$1:$5000,M3377,FALSE)</f>
        <v>0</v>
      </c>
      <c r="U3377">
        <f t="shared" si="157"/>
        <v>0</v>
      </c>
      <c r="V3377">
        <f>HLOOKUP("In Use MiB",'vInfo (Imported)'!$1:$5000,M3377,FALSE)</f>
        <v>0</v>
      </c>
    </row>
    <row r="3378" spans="1:22" ht="13" x14ac:dyDescent="0.3">
      <c r="A3378" s="46">
        <f>'vHosts (Imported)'!A3378</f>
        <v>0</v>
      </c>
      <c r="B3378" s="51">
        <f t="shared" si="159"/>
        <v>4968</v>
      </c>
      <c r="C3378" s="49">
        <f>HLOOKUP("# Cores",'vHosts (Imported)'!$1:$5000,M3378,FALSE)</f>
        <v>0</v>
      </c>
      <c r="D3378" s="52">
        <f>HLOOKUP("# Memory",'vHosts (Imported)'!$1:$5000,M3378,FALSE)</f>
        <v>0</v>
      </c>
      <c r="M3378" s="45">
        <f t="shared" si="158"/>
        <v>3378</v>
      </c>
      <c r="N3378" s="38">
        <f>HLOOKUP("Host",'vInfo (Imported)'!$1:$5000,M3378,FALSE)</f>
        <v>0</v>
      </c>
      <c r="R3378">
        <f>HLOOKUP("CPUs",'vInfo (Imported)'!$1:$5000,M3378,FALSE)</f>
        <v>0</v>
      </c>
      <c r="S3378">
        <f>HLOOKUP("Memory",'vInfo (Imported)'!$1:$5000,M3378,FALSE)</f>
        <v>0</v>
      </c>
      <c r="T3378">
        <f>HLOOKUP("Provisioned MiB",'vInfo (Imported)'!$1:$5000,M3378,FALSE)</f>
        <v>0</v>
      </c>
      <c r="U3378">
        <f t="shared" si="157"/>
        <v>0</v>
      </c>
      <c r="V3378">
        <f>HLOOKUP("In Use MiB",'vInfo (Imported)'!$1:$5000,M3378,FALSE)</f>
        <v>0</v>
      </c>
    </row>
    <row r="3379" spans="1:22" ht="13" x14ac:dyDescent="0.3">
      <c r="A3379" s="46">
        <f>'vHosts (Imported)'!A3379</f>
        <v>0</v>
      </c>
      <c r="B3379" s="51">
        <f t="shared" si="159"/>
        <v>4968</v>
      </c>
      <c r="C3379" s="49">
        <f>HLOOKUP("# Cores",'vHosts (Imported)'!$1:$5000,M3379,FALSE)</f>
        <v>0</v>
      </c>
      <c r="D3379" s="52">
        <f>HLOOKUP("# Memory",'vHosts (Imported)'!$1:$5000,M3379,FALSE)</f>
        <v>0</v>
      </c>
      <c r="M3379" s="45">
        <f t="shared" si="158"/>
        <v>3379</v>
      </c>
      <c r="N3379" s="38">
        <f>HLOOKUP("Host",'vInfo (Imported)'!$1:$5000,M3379,FALSE)</f>
        <v>0</v>
      </c>
      <c r="R3379">
        <f>HLOOKUP("CPUs",'vInfo (Imported)'!$1:$5000,M3379,FALSE)</f>
        <v>0</v>
      </c>
      <c r="S3379">
        <f>HLOOKUP("Memory",'vInfo (Imported)'!$1:$5000,M3379,FALSE)</f>
        <v>0</v>
      </c>
      <c r="T3379">
        <f>HLOOKUP("Provisioned MiB",'vInfo (Imported)'!$1:$5000,M3379,FALSE)</f>
        <v>0</v>
      </c>
      <c r="U3379">
        <f t="shared" si="157"/>
        <v>0</v>
      </c>
      <c r="V3379">
        <f>HLOOKUP("In Use MiB",'vInfo (Imported)'!$1:$5000,M3379,FALSE)</f>
        <v>0</v>
      </c>
    </row>
    <row r="3380" spans="1:22" ht="13" x14ac:dyDescent="0.3">
      <c r="A3380" s="46">
        <f>'vHosts (Imported)'!A3380</f>
        <v>0</v>
      </c>
      <c r="B3380" s="51">
        <f t="shared" si="159"/>
        <v>4968</v>
      </c>
      <c r="C3380" s="49">
        <f>HLOOKUP("# Cores",'vHosts (Imported)'!$1:$5000,M3380,FALSE)</f>
        <v>0</v>
      </c>
      <c r="D3380" s="52">
        <f>HLOOKUP("# Memory",'vHosts (Imported)'!$1:$5000,M3380,FALSE)</f>
        <v>0</v>
      </c>
      <c r="M3380" s="45">
        <f t="shared" si="158"/>
        <v>3380</v>
      </c>
      <c r="N3380" s="38">
        <f>HLOOKUP("Host",'vInfo (Imported)'!$1:$5000,M3380,FALSE)</f>
        <v>0</v>
      </c>
      <c r="R3380">
        <f>HLOOKUP("CPUs",'vInfo (Imported)'!$1:$5000,M3380,FALSE)</f>
        <v>0</v>
      </c>
      <c r="S3380">
        <f>HLOOKUP("Memory",'vInfo (Imported)'!$1:$5000,M3380,FALSE)</f>
        <v>0</v>
      </c>
      <c r="T3380">
        <f>HLOOKUP("Provisioned MiB",'vInfo (Imported)'!$1:$5000,M3380,FALSE)</f>
        <v>0</v>
      </c>
      <c r="U3380">
        <f t="shared" si="157"/>
        <v>0</v>
      </c>
      <c r="V3380">
        <f>HLOOKUP("In Use MiB",'vInfo (Imported)'!$1:$5000,M3380,FALSE)</f>
        <v>0</v>
      </c>
    </row>
    <row r="3381" spans="1:22" ht="13" x14ac:dyDescent="0.3">
      <c r="A3381" s="46">
        <f>'vHosts (Imported)'!A3381</f>
        <v>0</v>
      </c>
      <c r="B3381" s="51">
        <f t="shared" si="159"/>
        <v>4968</v>
      </c>
      <c r="C3381" s="49">
        <f>HLOOKUP("# Cores",'vHosts (Imported)'!$1:$5000,M3381,FALSE)</f>
        <v>0</v>
      </c>
      <c r="D3381" s="52">
        <f>HLOOKUP("# Memory",'vHosts (Imported)'!$1:$5000,M3381,FALSE)</f>
        <v>0</v>
      </c>
      <c r="M3381" s="45">
        <f t="shared" si="158"/>
        <v>3381</v>
      </c>
      <c r="N3381" s="38">
        <f>HLOOKUP("Host",'vInfo (Imported)'!$1:$5000,M3381,FALSE)</f>
        <v>0</v>
      </c>
      <c r="R3381">
        <f>HLOOKUP("CPUs",'vInfo (Imported)'!$1:$5000,M3381,FALSE)</f>
        <v>0</v>
      </c>
      <c r="S3381">
        <f>HLOOKUP("Memory",'vInfo (Imported)'!$1:$5000,M3381,FALSE)</f>
        <v>0</v>
      </c>
      <c r="T3381">
        <f>HLOOKUP("Provisioned MiB",'vInfo (Imported)'!$1:$5000,M3381,FALSE)</f>
        <v>0</v>
      </c>
      <c r="U3381">
        <f t="shared" si="157"/>
        <v>0</v>
      </c>
      <c r="V3381">
        <f>HLOOKUP("In Use MiB",'vInfo (Imported)'!$1:$5000,M3381,FALSE)</f>
        <v>0</v>
      </c>
    </row>
    <row r="3382" spans="1:22" ht="13" x14ac:dyDescent="0.3">
      <c r="A3382" s="46">
        <f>'vHosts (Imported)'!A3382</f>
        <v>0</v>
      </c>
      <c r="B3382" s="51">
        <f t="shared" si="159"/>
        <v>4968</v>
      </c>
      <c r="C3382" s="49">
        <f>HLOOKUP("# Cores",'vHosts (Imported)'!$1:$5000,M3382,FALSE)</f>
        <v>0</v>
      </c>
      <c r="D3382" s="52">
        <f>HLOOKUP("# Memory",'vHosts (Imported)'!$1:$5000,M3382,FALSE)</f>
        <v>0</v>
      </c>
      <c r="M3382" s="45">
        <f t="shared" si="158"/>
        <v>3382</v>
      </c>
      <c r="N3382" s="38">
        <f>HLOOKUP("Host",'vInfo (Imported)'!$1:$5000,M3382,FALSE)</f>
        <v>0</v>
      </c>
      <c r="R3382">
        <f>HLOOKUP("CPUs",'vInfo (Imported)'!$1:$5000,M3382,FALSE)</f>
        <v>0</v>
      </c>
      <c r="S3382">
        <f>HLOOKUP("Memory",'vInfo (Imported)'!$1:$5000,M3382,FALSE)</f>
        <v>0</v>
      </c>
      <c r="T3382">
        <f>HLOOKUP("Provisioned MiB",'vInfo (Imported)'!$1:$5000,M3382,FALSE)</f>
        <v>0</v>
      </c>
      <c r="U3382">
        <f t="shared" si="157"/>
        <v>0</v>
      </c>
      <c r="V3382">
        <f>HLOOKUP("In Use MiB",'vInfo (Imported)'!$1:$5000,M3382,FALSE)</f>
        <v>0</v>
      </c>
    </row>
    <row r="3383" spans="1:22" ht="13" x14ac:dyDescent="0.3">
      <c r="A3383" s="46">
        <f>'vHosts (Imported)'!A3383</f>
        <v>0</v>
      </c>
      <c r="B3383" s="51">
        <f t="shared" si="159"/>
        <v>4968</v>
      </c>
      <c r="C3383" s="49">
        <f>HLOOKUP("# Cores",'vHosts (Imported)'!$1:$5000,M3383,FALSE)</f>
        <v>0</v>
      </c>
      <c r="D3383" s="52">
        <f>HLOOKUP("# Memory",'vHosts (Imported)'!$1:$5000,M3383,FALSE)</f>
        <v>0</v>
      </c>
      <c r="M3383" s="45">
        <f t="shared" si="158"/>
        <v>3383</v>
      </c>
      <c r="N3383" s="38">
        <f>HLOOKUP("Host",'vInfo (Imported)'!$1:$5000,M3383,FALSE)</f>
        <v>0</v>
      </c>
      <c r="R3383">
        <f>HLOOKUP("CPUs",'vInfo (Imported)'!$1:$5000,M3383,FALSE)</f>
        <v>0</v>
      </c>
      <c r="S3383">
        <f>HLOOKUP("Memory",'vInfo (Imported)'!$1:$5000,M3383,FALSE)</f>
        <v>0</v>
      </c>
      <c r="T3383">
        <f>HLOOKUP("Provisioned MiB",'vInfo (Imported)'!$1:$5000,M3383,FALSE)</f>
        <v>0</v>
      </c>
      <c r="U3383">
        <f t="shared" si="157"/>
        <v>0</v>
      </c>
      <c r="V3383">
        <f>HLOOKUP("In Use MiB",'vInfo (Imported)'!$1:$5000,M3383,FALSE)</f>
        <v>0</v>
      </c>
    </row>
    <row r="3384" spans="1:22" ht="13" x14ac:dyDescent="0.3">
      <c r="A3384" s="46">
        <f>'vHosts (Imported)'!A3384</f>
        <v>0</v>
      </c>
      <c r="B3384" s="51">
        <f t="shared" si="159"/>
        <v>4968</v>
      </c>
      <c r="C3384" s="49">
        <f>HLOOKUP("# Cores",'vHosts (Imported)'!$1:$5000,M3384,FALSE)</f>
        <v>0</v>
      </c>
      <c r="D3384" s="52">
        <f>HLOOKUP("# Memory",'vHosts (Imported)'!$1:$5000,M3384,FALSE)</f>
        <v>0</v>
      </c>
      <c r="M3384" s="45">
        <f t="shared" si="158"/>
        <v>3384</v>
      </c>
      <c r="N3384" s="38">
        <f>HLOOKUP("Host",'vInfo (Imported)'!$1:$5000,M3384,FALSE)</f>
        <v>0</v>
      </c>
      <c r="R3384">
        <f>HLOOKUP("CPUs",'vInfo (Imported)'!$1:$5000,M3384,FALSE)</f>
        <v>0</v>
      </c>
      <c r="S3384">
        <f>HLOOKUP("Memory",'vInfo (Imported)'!$1:$5000,M3384,FALSE)</f>
        <v>0</v>
      </c>
      <c r="T3384">
        <f>HLOOKUP("Provisioned MiB",'vInfo (Imported)'!$1:$5000,M3384,FALSE)</f>
        <v>0</v>
      </c>
      <c r="U3384">
        <f t="shared" si="157"/>
        <v>0</v>
      </c>
      <c r="V3384">
        <f>HLOOKUP("In Use MiB",'vInfo (Imported)'!$1:$5000,M3384,FALSE)</f>
        <v>0</v>
      </c>
    </row>
    <row r="3385" spans="1:22" ht="13" x14ac:dyDescent="0.3">
      <c r="A3385" s="46">
        <f>'vHosts (Imported)'!A3385</f>
        <v>0</v>
      </c>
      <c r="B3385" s="51">
        <f t="shared" si="159"/>
        <v>4968</v>
      </c>
      <c r="C3385" s="49">
        <f>HLOOKUP("# Cores",'vHosts (Imported)'!$1:$5000,M3385,FALSE)</f>
        <v>0</v>
      </c>
      <c r="D3385" s="52">
        <f>HLOOKUP("# Memory",'vHosts (Imported)'!$1:$5000,M3385,FALSE)</f>
        <v>0</v>
      </c>
      <c r="M3385" s="45">
        <f t="shared" si="158"/>
        <v>3385</v>
      </c>
      <c r="N3385" s="38">
        <f>HLOOKUP("Host",'vInfo (Imported)'!$1:$5000,M3385,FALSE)</f>
        <v>0</v>
      </c>
      <c r="R3385">
        <f>HLOOKUP("CPUs",'vInfo (Imported)'!$1:$5000,M3385,FALSE)</f>
        <v>0</v>
      </c>
      <c r="S3385">
        <f>HLOOKUP("Memory",'vInfo (Imported)'!$1:$5000,M3385,FALSE)</f>
        <v>0</v>
      </c>
      <c r="T3385">
        <f>HLOOKUP("Provisioned MiB",'vInfo (Imported)'!$1:$5000,M3385,FALSE)</f>
        <v>0</v>
      </c>
      <c r="U3385">
        <f t="shared" si="157"/>
        <v>0</v>
      </c>
      <c r="V3385">
        <f>HLOOKUP("In Use MiB",'vInfo (Imported)'!$1:$5000,M3385,FALSE)</f>
        <v>0</v>
      </c>
    </row>
    <row r="3386" spans="1:22" ht="13" x14ac:dyDescent="0.3">
      <c r="A3386" s="46">
        <f>'vHosts (Imported)'!A3386</f>
        <v>0</v>
      </c>
      <c r="B3386" s="51">
        <f t="shared" si="159"/>
        <v>4968</v>
      </c>
      <c r="C3386" s="49">
        <f>HLOOKUP("# Cores",'vHosts (Imported)'!$1:$5000,M3386,FALSE)</f>
        <v>0</v>
      </c>
      <c r="D3386" s="52">
        <f>HLOOKUP("# Memory",'vHosts (Imported)'!$1:$5000,M3386,FALSE)</f>
        <v>0</v>
      </c>
      <c r="M3386" s="45">
        <f t="shared" si="158"/>
        <v>3386</v>
      </c>
      <c r="N3386" s="38">
        <f>HLOOKUP("Host",'vInfo (Imported)'!$1:$5000,M3386,FALSE)</f>
        <v>0</v>
      </c>
      <c r="R3386">
        <f>HLOOKUP("CPUs",'vInfo (Imported)'!$1:$5000,M3386,FALSE)</f>
        <v>0</v>
      </c>
      <c r="S3386">
        <f>HLOOKUP("Memory",'vInfo (Imported)'!$1:$5000,M3386,FALSE)</f>
        <v>0</v>
      </c>
      <c r="T3386">
        <f>HLOOKUP("Provisioned MiB",'vInfo (Imported)'!$1:$5000,M3386,FALSE)</f>
        <v>0</v>
      </c>
      <c r="U3386">
        <f t="shared" si="157"/>
        <v>0</v>
      </c>
      <c r="V3386">
        <f>HLOOKUP("In Use MiB",'vInfo (Imported)'!$1:$5000,M3386,FALSE)</f>
        <v>0</v>
      </c>
    </row>
    <row r="3387" spans="1:22" ht="13" x14ac:dyDescent="0.3">
      <c r="A3387" s="46">
        <f>'vHosts (Imported)'!A3387</f>
        <v>0</v>
      </c>
      <c r="B3387" s="51">
        <f t="shared" si="159"/>
        <v>4968</v>
      </c>
      <c r="C3387" s="49">
        <f>HLOOKUP("# Cores",'vHosts (Imported)'!$1:$5000,M3387,FALSE)</f>
        <v>0</v>
      </c>
      <c r="D3387" s="52">
        <f>HLOOKUP("# Memory",'vHosts (Imported)'!$1:$5000,M3387,FALSE)</f>
        <v>0</v>
      </c>
      <c r="M3387" s="45">
        <f t="shared" si="158"/>
        <v>3387</v>
      </c>
      <c r="N3387" s="38">
        <f>HLOOKUP("Host",'vInfo (Imported)'!$1:$5000,M3387,FALSE)</f>
        <v>0</v>
      </c>
      <c r="R3387">
        <f>HLOOKUP("CPUs",'vInfo (Imported)'!$1:$5000,M3387,FALSE)</f>
        <v>0</v>
      </c>
      <c r="S3387">
        <f>HLOOKUP("Memory",'vInfo (Imported)'!$1:$5000,M3387,FALSE)</f>
        <v>0</v>
      </c>
      <c r="T3387">
        <f>HLOOKUP("Provisioned MiB",'vInfo (Imported)'!$1:$5000,M3387,FALSE)</f>
        <v>0</v>
      </c>
      <c r="U3387">
        <f t="shared" si="157"/>
        <v>0</v>
      </c>
      <c r="V3387">
        <f>HLOOKUP("In Use MiB",'vInfo (Imported)'!$1:$5000,M3387,FALSE)</f>
        <v>0</v>
      </c>
    </row>
    <row r="3388" spans="1:22" ht="13" x14ac:dyDescent="0.3">
      <c r="A3388" s="46">
        <f>'vHosts (Imported)'!A3388</f>
        <v>0</v>
      </c>
      <c r="B3388" s="51">
        <f t="shared" si="159"/>
        <v>4968</v>
      </c>
      <c r="C3388" s="49">
        <f>HLOOKUP("# Cores",'vHosts (Imported)'!$1:$5000,M3388,FALSE)</f>
        <v>0</v>
      </c>
      <c r="D3388" s="52">
        <f>HLOOKUP("# Memory",'vHosts (Imported)'!$1:$5000,M3388,FALSE)</f>
        <v>0</v>
      </c>
      <c r="M3388" s="45">
        <f t="shared" si="158"/>
        <v>3388</v>
      </c>
      <c r="N3388" s="38">
        <f>HLOOKUP("Host",'vInfo (Imported)'!$1:$5000,M3388,FALSE)</f>
        <v>0</v>
      </c>
      <c r="R3388">
        <f>HLOOKUP("CPUs",'vInfo (Imported)'!$1:$5000,M3388,FALSE)</f>
        <v>0</v>
      </c>
      <c r="S3388">
        <f>HLOOKUP("Memory",'vInfo (Imported)'!$1:$5000,M3388,FALSE)</f>
        <v>0</v>
      </c>
      <c r="T3388">
        <f>HLOOKUP("Provisioned MiB",'vInfo (Imported)'!$1:$5000,M3388,FALSE)</f>
        <v>0</v>
      </c>
      <c r="U3388">
        <f t="shared" si="157"/>
        <v>0</v>
      </c>
      <c r="V3388">
        <f>HLOOKUP("In Use MiB",'vInfo (Imported)'!$1:$5000,M3388,FALSE)</f>
        <v>0</v>
      </c>
    </row>
    <row r="3389" spans="1:22" ht="13" x14ac:dyDescent="0.3">
      <c r="A3389" s="46">
        <f>'vHosts (Imported)'!A3389</f>
        <v>0</v>
      </c>
      <c r="B3389" s="51">
        <f t="shared" si="159"/>
        <v>4968</v>
      </c>
      <c r="C3389" s="49">
        <f>HLOOKUP("# Cores",'vHosts (Imported)'!$1:$5000,M3389,FALSE)</f>
        <v>0</v>
      </c>
      <c r="D3389" s="52">
        <f>HLOOKUP("# Memory",'vHosts (Imported)'!$1:$5000,M3389,FALSE)</f>
        <v>0</v>
      </c>
      <c r="M3389" s="45">
        <f t="shared" si="158"/>
        <v>3389</v>
      </c>
      <c r="N3389" s="38">
        <f>HLOOKUP("Host",'vInfo (Imported)'!$1:$5000,M3389,FALSE)</f>
        <v>0</v>
      </c>
      <c r="R3389">
        <f>HLOOKUP("CPUs",'vInfo (Imported)'!$1:$5000,M3389,FALSE)</f>
        <v>0</v>
      </c>
      <c r="S3389">
        <f>HLOOKUP("Memory",'vInfo (Imported)'!$1:$5000,M3389,FALSE)</f>
        <v>0</v>
      </c>
      <c r="T3389">
        <f>HLOOKUP("Provisioned MiB",'vInfo (Imported)'!$1:$5000,M3389,FALSE)</f>
        <v>0</v>
      </c>
      <c r="U3389">
        <f t="shared" si="157"/>
        <v>0</v>
      </c>
      <c r="V3389">
        <f>HLOOKUP("In Use MiB",'vInfo (Imported)'!$1:$5000,M3389,FALSE)</f>
        <v>0</v>
      </c>
    </row>
    <row r="3390" spans="1:22" ht="13" x14ac:dyDescent="0.3">
      <c r="A3390" s="46">
        <f>'vHosts (Imported)'!A3390</f>
        <v>0</v>
      </c>
      <c r="B3390" s="51">
        <f t="shared" si="159"/>
        <v>4968</v>
      </c>
      <c r="C3390" s="49">
        <f>HLOOKUP("# Cores",'vHosts (Imported)'!$1:$5000,M3390,FALSE)</f>
        <v>0</v>
      </c>
      <c r="D3390" s="52">
        <f>HLOOKUP("# Memory",'vHosts (Imported)'!$1:$5000,M3390,FALSE)</f>
        <v>0</v>
      </c>
      <c r="M3390" s="45">
        <f t="shared" si="158"/>
        <v>3390</v>
      </c>
      <c r="N3390" s="38">
        <f>HLOOKUP("Host",'vInfo (Imported)'!$1:$5000,M3390,FALSE)</f>
        <v>0</v>
      </c>
      <c r="R3390">
        <f>HLOOKUP("CPUs",'vInfo (Imported)'!$1:$5000,M3390,FALSE)</f>
        <v>0</v>
      </c>
      <c r="S3390">
        <f>HLOOKUP("Memory",'vInfo (Imported)'!$1:$5000,M3390,FALSE)</f>
        <v>0</v>
      </c>
      <c r="T3390">
        <f>HLOOKUP("Provisioned MiB",'vInfo (Imported)'!$1:$5000,M3390,FALSE)</f>
        <v>0</v>
      </c>
      <c r="U3390">
        <f t="shared" si="157"/>
        <v>0</v>
      </c>
      <c r="V3390">
        <f>HLOOKUP("In Use MiB",'vInfo (Imported)'!$1:$5000,M3390,FALSE)</f>
        <v>0</v>
      </c>
    </row>
    <row r="3391" spans="1:22" ht="13" x14ac:dyDescent="0.3">
      <c r="A3391" s="46">
        <f>'vHosts (Imported)'!A3391</f>
        <v>0</v>
      </c>
      <c r="B3391" s="51">
        <f t="shared" si="159"/>
        <v>4968</v>
      </c>
      <c r="C3391" s="49">
        <f>HLOOKUP("# Cores",'vHosts (Imported)'!$1:$5000,M3391,FALSE)</f>
        <v>0</v>
      </c>
      <c r="D3391" s="52">
        <f>HLOOKUP("# Memory",'vHosts (Imported)'!$1:$5000,M3391,FALSE)</f>
        <v>0</v>
      </c>
      <c r="M3391" s="45">
        <f t="shared" si="158"/>
        <v>3391</v>
      </c>
      <c r="N3391" s="38">
        <f>HLOOKUP("Host",'vInfo (Imported)'!$1:$5000,M3391,FALSE)</f>
        <v>0</v>
      </c>
      <c r="R3391">
        <f>HLOOKUP("CPUs",'vInfo (Imported)'!$1:$5000,M3391,FALSE)</f>
        <v>0</v>
      </c>
      <c r="S3391">
        <f>HLOOKUP("Memory",'vInfo (Imported)'!$1:$5000,M3391,FALSE)</f>
        <v>0</v>
      </c>
      <c r="T3391">
        <f>HLOOKUP("Provisioned MiB",'vInfo (Imported)'!$1:$5000,M3391,FALSE)</f>
        <v>0</v>
      </c>
      <c r="U3391">
        <f t="shared" si="157"/>
        <v>0</v>
      </c>
      <c r="V3391">
        <f>HLOOKUP("In Use MiB",'vInfo (Imported)'!$1:$5000,M3391,FALSE)</f>
        <v>0</v>
      </c>
    </row>
    <row r="3392" spans="1:22" ht="13" x14ac:dyDescent="0.3">
      <c r="A3392" s="46">
        <f>'vHosts (Imported)'!A3392</f>
        <v>0</v>
      </c>
      <c r="B3392" s="51">
        <f t="shared" si="159"/>
        <v>4968</v>
      </c>
      <c r="C3392" s="49">
        <f>HLOOKUP("# Cores",'vHosts (Imported)'!$1:$5000,M3392,FALSE)</f>
        <v>0</v>
      </c>
      <c r="D3392" s="52">
        <f>HLOOKUP("# Memory",'vHosts (Imported)'!$1:$5000,M3392,FALSE)</f>
        <v>0</v>
      </c>
      <c r="M3392" s="45">
        <f t="shared" si="158"/>
        <v>3392</v>
      </c>
      <c r="N3392" s="38">
        <f>HLOOKUP("Host",'vInfo (Imported)'!$1:$5000,M3392,FALSE)</f>
        <v>0</v>
      </c>
      <c r="R3392">
        <f>HLOOKUP("CPUs",'vInfo (Imported)'!$1:$5000,M3392,FALSE)</f>
        <v>0</v>
      </c>
      <c r="S3392">
        <f>HLOOKUP("Memory",'vInfo (Imported)'!$1:$5000,M3392,FALSE)</f>
        <v>0</v>
      </c>
      <c r="T3392">
        <f>HLOOKUP("Provisioned MiB",'vInfo (Imported)'!$1:$5000,M3392,FALSE)</f>
        <v>0</v>
      </c>
      <c r="U3392">
        <f t="shared" si="157"/>
        <v>0</v>
      </c>
      <c r="V3392">
        <f>HLOOKUP("In Use MiB",'vInfo (Imported)'!$1:$5000,M3392,FALSE)</f>
        <v>0</v>
      </c>
    </row>
    <row r="3393" spans="1:22" ht="13" x14ac:dyDescent="0.3">
      <c r="A3393" s="46">
        <f>'vHosts (Imported)'!A3393</f>
        <v>0</v>
      </c>
      <c r="B3393" s="51">
        <f t="shared" si="159"/>
        <v>4968</v>
      </c>
      <c r="C3393" s="49">
        <f>HLOOKUP("# Cores",'vHosts (Imported)'!$1:$5000,M3393,FALSE)</f>
        <v>0</v>
      </c>
      <c r="D3393" s="52">
        <f>HLOOKUP("# Memory",'vHosts (Imported)'!$1:$5000,M3393,FALSE)</f>
        <v>0</v>
      </c>
      <c r="M3393" s="45">
        <f t="shared" si="158"/>
        <v>3393</v>
      </c>
      <c r="N3393" s="38">
        <f>HLOOKUP("Host",'vInfo (Imported)'!$1:$5000,M3393,FALSE)</f>
        <v>0</v>
      </c>
      <c r="R3393">
        <f>HLOOKUP("CPUs",'vInfo (Imported)'!$1:$5000,M3393,FALSE)</f>
        <v>0</v>
      </c>
      <c r="S3393">
        <f>HLOOKUP("Memory",'vInfo (Imported)'!$1:$5000,M3393,FALSE)</f>
        <v>0</v>
      </c>
      <c r="T3393">
        <f>HLOOKUP("Provisioned MiB",'vInfo (Imported)'!$1:$5000,M3393,FALSE)</f>
        <v>0</v>
      </c>
      <c r="U3393">
        <f t="shared" si="157"/>
        <v>0</v>
      </c>
      <c r="V3393">
        <f>HLOOKUP("In Use MiB",'vInfo (Imported)'!$1:$5000,M3393,FALSE)</f>
        <v>0</v>
      </c>
    </row>
    <row r="3394" spans="1:22" ht="13" x14ac:dyDescent="0.3">
      <c r="A3394" s="46">
        <f>'vHosts (Imported)'!A3394</f>
        <v>0</v>
      </c>
      <c r="B3394" s="51">
        <f t="shared" si="159"/>
        <v>4968</v>
      </c>
      <c r="C3394" s="49">
        <f>HLOOKUP("# Cores",'vHosts (Imported)'!$1:$5000,M3394,FALSE)</f>
        <v>0</v>
      </c>
      <c r="D3394" s="52">
        <f>HLOOKUP("# Memory",'vHosts (Imported)'!$1:$5000,M3394,FALSE)</f>
        <v>0</v>
      </c>
      <c r="M3394" s="45">
        <f t="shared" si="158"/>
        <v>3394</v>
      </c>
      <c r="N3394" s="38">
        <f>HLOOKUP("Host",'vInfo (Imported)'!$1:$5000,M3394,FALSE)</f>
        <v>0</v>
      </c>
      <c r="R3394">
        <f>HLOOKUP("CPUs",'vInfo (Imported)'!$1:$5000,M3394,FALSE)</f>
        <v>0</v>
      </c>
      <c r="S3394">
        <f>HLOOKUP("Memory",'vInfo (Imported)'!$1:$5000,M3394,FALSE)</f>
        <v>0</v>
      </c>
      <c r="T3394">
        <f>HLOOKUP("Provisioned MiB",'vInfo (Imported)'!$1:$5000,M3394,FALSE)</f>
        <v>0</v>
      </c>
      <c r="U3394">
        <f t="shared" si="157"/>
        <v>0</v>
      </c>
      <c r="V3394">
        <f>HLOOKUP("In Use MiB",'vInfo (Imported)'!$1:$5000,M3394,FALSE)</f>
        <v>0</v>
      </c>
    </row>
    <row r="3395" spans="1:22" ht="13" x14ac:dyDescent="0.3">
      <c r="A3395" s="46">
        <f>'vHosts (Imported)'!A3395</f>
        <v>0</v>
      </c>
      <c r="B3395" s="51">
        <f t="shared" si="159"/>
        <v>4968</v>
      </c>
      <c r="C3395" s="49">
        <f>HLOOKUP("# Cores",'vHosts (Imported)'!$1:$5000,M3395,FALSE)</f>
        <v>0</v>
      </c>
      <c r="D3395" s="52">
        <f>HLOOKUP("# Memory",'vHosts (Imported)'!$1:$5000,M3395,FALSE)</f>
        <v>0</v>
      </c>
      <c r="M3395" s="45">
        <f t="shared" si="158"/>
        <v>3395</v>
      </c>
      <c r="N3395" s="38">
        <f>HLOOKUP("Host",'vInfo (Imported)'!$1:$5000,M3395,FALSE)</f>
        <v>0</v>
      </c>
      <c r="R3395">
        <f>HLOOKUP("CPUs",'vInfo (Imported)'!$1:$5000,M3395,FALSE)</f>
        <v>0</v>
      </c>
      <c r="S3395">
        <f>HLOOKUP("Memory",'vInfo (Imported)'!$1:$5000,M3395,FALSE)</f>
        <v>0</v>
      </c>
      <c r="T3395">
        <f>HLOOKUP("Provisioned MiB",'vInfo (Imported)'!$1:$5000,M3395,FALSE)</f>
        <v>0</v>
      </c>
      <c r="U3395">
        <f t="shared" ref="U3395:U3458" si="160">T3395-V3395</f>
        <v>0</v>
      </c>
      <c r="V3395">
        <f>HLOOKUP("In Use MiB",'vInfo (Imported)'!$1:$5000,M3395,FALSE)</f>
        <v>0</v>
      </c>
    </row>
    <row r="3396" spans="1:22" ht="13" x14ac:dyDescent="0.3">
      <c r="A3396" s="46">
        <f>'vHosts (Imported)'!A3396</f>
        <v>0</v>
      </c>
      <c r="B3396" s="51">
        <f t="shared" si="159"/>
        <v>4968</v>
      </c>
      <c r="C3396" s="49">
        <f>HLOOKUP("# Cores",'vHosts (Imported)'!$1:$5000,M3396,FALSE)</f>
        <v>0</v>
      </c>
      <c r="D3396" s="52">
        <f>HLOOKUP("# Memory",'vHosts (Imported)'!$1:$5000,M3396,FALSE)</f>
        <v>0</v>
      </c>
      <c r="M3396" s="45">
        <f t="shared" ref="M3396:M3459" si="161">M3395+1</f>
        <v>3396</v>
      </c>
      <c r="N3396" s="38">
        <f>HLOOKUP("Host",'vInfo (Imported)'!$1:$5000,M3396,FALSE)</f>
        <v>0</v>
      </c>
      <c r="R3396">
        <f>HLOOKUP("CPUs",'vInfo (Imported)'!$1:$5000,M3396,FALSE)</f>
        <v>0</v>
      </c>
      <c r="S3396">
        <f>HLOOKUP("Memory",'vInfo (Imported)'!$1:$5000,M3396,FALSE)</f>
        <v>0</v>
      </c>
      <c r="T3396">
        <f>HLOOKUP("Provisioned MiB",'vInfo (Imported)'!$1:$5000,M3396,FALSE)</f>
        <v>0</v>
      </c>
      <c r="U3396">
        <f t="shared" si="160"/>
        <v>0</v>
      </c>
      <c r="V3396">
        <f>HLOOKUP("In Use MiB",'vInfo (Imported)'!$1:$5000,M3396,FALSE)</f>
        <v>0</v>
      </c>
    </row>
    <row r="3397" spans="1:22" ht="13" x14ac:dyDescent="0.3">
      <c r="A3397" s="46">
        <f>'vHosts (Imported)'!A3397</f>
        <v>0</v>
      </c>
      <c r="B3397" s="51">
        <f t="shared" si="159"/>
        <v>4968</v>
      </c>
      <c r="C3397" s="49">
        <f>HLOOKUP("# Cores",'vHosts (Imported)'!$1:$5000,M3397,FALSE)</f>
        <v>0</v>
      </c>
      <c r="D3397" s="52">
        <f>HLOOKUP("# Memory",'vHosts (Imported)'!$1:$5000,M3397,FALSE)</f>
        <v>0</v>
      </c>
      <c r="M3397" s="45">
        <f t="shared" si="161"/>
        <v>3397</v>
      </c>
      <c r="N3397" s="38">
        <f>HLOOKUP("Host",'vInfo (Imported)'!$1:$5000,M3397,FALSE)</f>
        <v>0</v>
      </c>
      <c r="R3397">
        <f>HLOOKUP("CPUs",'vInfo (Imported)'!$1:$5000,M3397,FALSE)</f>
        <v>0</v>
      </c>
      <c r="S3397">
        <f>HLOOKUP("Memory",'vInfo (Imported)'!$1:$5000,M3397,FALSE)</f>
        <v>0</v>
      </c>
      <c r="T3397">
        <f>HLOOKUP("Provisioned MiB",'vInfo (Imported)'!$1:$5000,M3397,FALSE)</f>
        <v>0</v>
      </c>
      <c r="U3397">
        <f t="shared" si="160"/>
        <v>0</v>
      </c>
      <c r="V3397">
        <f>HLOOKUP("In Use MiB",'vInfo (Imported)'!$1:$5000,M3397,FALSE)</f>
        <v>0</v>
      </c>
    </row>
    <row r="3398" spans="1:22" ht="13" x14ac:dyDescent="0.3">
      <c r="A3398" s="46">
        <f>'vHosts (Imported)'!A3398</f>
        <v>0</v>
      </c>
      <c r="B3398" s="51">
        <f t="shared" si="159"/>
        <v>4968</v>
      </c>
      <c r="C3398" s="49">
        <f>HLOOKUP("# Cores",'vHosts (Imported)'!$1:$5000,M3398,FALSE)</f>
        <v>0</v>
      </c>
      <c r="D3398" s="52">
        <f>HLOOKUP("# Memory",'vHosts (Imported)'!$1:$5000,M3398,FALSE)</f>
        <v>0</v>
      </c>
      <c r="M3398" s="45">
        <f t="shared" si="161"/>
        <v>3398</v>
      </c>
      <c r="N3398" s="38">
        <f>HLOOKUP("Host",'vInfo (Imported)'!$1:$5000,M3398,FALSE)</f>
        <v>0</v>
      </c>
      <c r="R3398">
        <f>HLOOKUP("CPUs",'vInfo (Imported)'!$1:$5000,M3398,FALSE)</f>
        <v>0</v>
      </c>
      <c r="S3398">
        <f>HLOOKUP("Memory",'vInfo (Imported)'!$1:$5000,M3398,FALSE)</f>
        <v>0</v>
      </c>
      <c r="T3398">
        <f>HLOOKUP("Provisioned MiB",'vInfo (Imported)'!$1:$5000,M3398,FALSE)</f>
        <v>0</v>
      </c>
      <c r="U3398">
        <f t="shared" si="160"/>
        <v>0</v>
      </c>
      <c r="V3398">
        <f>HLOOKUP("In Use MiB",'vInfo (Imported)'!$1:$5000,M3398,FALSE)</f>
        <v>0</v>
      </c>
    </row>
    <row r="3399" spans="1:22" ht="13" x14ac:dyDescent="0.3">
      <c r="A3399" s="46">
        <f>'vHosts (Imported)'!A3399</f>
        <v>0</v>
      </c>
      <c r="B3399" s="51">
        <f t="shared" si="159"/>
        <v>4968</v>
      </c>
      <c r="C3399" s="49">
        <f>HLOOKUP("# Cores",'vHosts (Imported)'!$1:$5000,M3399,FALSE)</f>
        <v>0</v>
      </c>
      <c r="D3399" s="52">
        <f>HLOOKUP("# Memory",'vHosts (Imported)'!$1:$5000,M3399,FALSE)</f>
        <v>0</v>
      </c>
      <c r="M3399" s="45">
        <f t="shared" si="161"/>
        <v>3399</v>
      </c>
      <c r="N3399" s="38">
        <f>HLOOKUP("Host",'vInfo (Imported)'!$1:$5000,M3399,FALSE)</f>
        <v>0</v>
      </c>
      <c r="R3399">
        <f>HLOOKUP("CPUs",'vInfo (Imported)'!$1:$5000,M3399,FALSE)</f>
        <v>0</v>
      </c>
      <c r="S3399">
        <f>HLOOKUP("Memory",'vInfo (Imported)'!$1:$5000,M3399,FALSE)</f>
        <v>0</v>
      </c>
      <c r="T3399">
        <f>HLOOKUP("Provisioned MiB",'vInfo (Imported)'!$1:$5000,M3399,FALSE)</f>
        <v>0</v>
      </c>
      <c r="U3399">
        <f t="shared" si="160"/>
        <v>0</v>
      </c>
      <c r="V3399">
        <f>HLOOKUP("In Use MiB",'vInfo (Imported)'!$1:$5000,M3399,FALSE)</f>
        <v>0</v>
      </c>
    </row>
    <row r="3400" spans="1:22" ht="13" x14ac:dyDescent="0.3">
      <c r="A3400" s="46">
        <f>'vHosts (Imported)'!A3400</f>
        <v>0</v>
      </c>
      <c r="B3400" s="51">
        <f t="shared" si="159"/>
        <v>4968</v>
      </c>
      <c r="C3400" s="49">
        <f>HLOOKUP("# Cores",'vHosts (Imported)'!$1:$5000,M3400,FALSE)</f>
        <v>0</v>
      </c>
      <c r="D3400" s="52">
        <f>HLOOKUP("# Memory",'vHosts (Imported)'!$1:$5000,M3400,FALSE)</f>
        <v>0</v>
      </c>
      <c r="M3400" s="45">
        <f t="shared" si="161"/>
        <v>3400</v>
      </c>
      <c r="N3400" s="38">
        <f>HLOOKUP("Host",'vInfo (Imported)'!$1:$5000,M3400,FALSE)</f>
        <v>0</v>
      </c>
      <c r="R3400">
        <f>HLOOKUP("CPUs",'vInfo (Imported)'!$1:$5000,M3400,FALSE)</f>
        <v>0</v>
      </c>
      <c r="S3400">
        <f>HLOOKUP("Memory",'vInfo (Imported)'!$1:$5000,M3400,FALSE)</f>
        <v>0</v>
      </c>
      <c r="T3400">
        <f>HLOOKUP("Provisioned MiB",'vInfo (Imported)'!$1:$5000,M3400,FALSE)</f>
        <v>0</v>
      </c>
      <c r="U3400">
        <f t="shared" si="160"/>
        <v>0</v>
      </c>
      <c r="V3400">
        <f>HLOOKUP("In Use MiB",'vInfo (Imported)'!$1:$5000,M3400,FALSE)</f>
        <v>0</v>
      </c>
    </row>
    <row r="3401" spans="1:22" ht="13" x14ac:dyDescent="0.3">
      <c r="A3401" s="46">
        <f>'vHosts (Imported)'!A3401</f>
        <v>0</v>
      </c>
      <c r="B3401" s="51">
        <f t="shared" si="159"/>
        <v>4968</v>
      </c>
      <c r="C3401" s="49">
        <f>HLOOKUP("# Cores",'vHosts (Imported)'!$1:$5000,M3401,FALSE)</f>
        <v>0</v>
      </c>
      <c r="D3401" s="52">
        <f>HLOOKUP("# Memory",'vHosts (Imported)'!$1:$5000,M3401,FALSE)</f>
        <v>0</v>
      </c>
      <c r="M3401" s="45">
        <f t="shared" si="161"/>
        <v>3401</v>
      </c>
      <c r="N3401" s="38">
        <f>HLOOKUP("Host",'vInfo (Imported)'!$1:$5000,M3401,FALSE)</f>
        <v>0</v>
      </c>
      <c r="R3401">
        <f>HLOOKUP("CPUs",'vInfo (Imported)'!$1:$5000,M3401,FALSE)</f>
        <v>0</v>
      </c>
      <c r="S3401">
        <f>HLOOKUP("Memory",'vInfo (Imported)'!$1:$5000,M3401,FALSE)</f>
        <v>0</v>
      </c>
      <c r="T3401">
        <f>HLOOKUP("Provisioned MiB",'vInfo (Imported)'!$1:$5000,M3401,FALSE)</f>
        <v>0</v>
      </c>
      <c r="U3401">
        <f t="shared" si="160"/>
        <v>0</v>
      </c>
      <c r="V3401">
        <f>HLOOKUP("In Use MiB",'vInfo (Imported)'!$1:$5000,M3401,FALSE)</f>
        <v>0</v>
      </c>
    </row>
    <row r="3402" spans="1:22" ht="13" x14ac:dyDescent="0.3">
      <c r="A3402" s="46">
        <f>'vHosts (Imported)'!A3402</f>
        <v>0</v>
      </c>
      <c r="B3402" s="51">
        <f t="shared" si="159"/>
        <v>4968</v>
      </c>
      <c r="C3402" s="49">
        <f>HLOOKUP("# Cores",'vHosts (Imported)'!$1:$5000,M3402,FALSE)</f>
        <v>0</v>
      </c>
      <c r="D3402" s="52">
        <f>HLOOKUP("# Memory",'vHosts (Imported)'!$1:$5000,M3402,FALSE)</f>
        <v>0</v>
      </c>
      <c r="M3402" s="45">
        <f t="shared" si="161"/>
        <v>3402</v>
      </c>
      <c r="N3402" s="38">
        <f>HLOOKUP("Host",'vInfo (Imported)'!$1:$5000,M3402,FALSE)</f>
        <v>0</v>
      </c>
      <c r="R3402">
        <f>HLOOKUP("CPUs",'vInfo (Imported)'!$1:$5000,M3402,FALSE)</f>
        <v>0</v>
      </c>
      <c r="S3402">
        <f>HLOOKUP("Memory",'vInfo (Imported)'!$1:$5000,M3402,FALSE)</f>
        <v>0</v>
      </c>
      <c r="T3402">
        <f>HLOOKUP("Provisioned MiB",'vInfo (Imported)'!$1:$5000,M3402,FALSE)</f>
        <v>0</v>
      </c>
      <c r="U3402">
        <f t="shared" si="160"/>
        <v>0</v>
      </c>
      <c r="V3402">
        <f>HLOOKUP("In Use MiB",'vInfo (Imported)'!$1:$5000,M3402,FALSE)</f>
        <v>0</v>
      </c>
    </row>
    <row r="3403" spans="1:22" ht="13" x14ac:dyDescent="0.3">
      <c r="A3403" s="46">
        <f>'vHosts (Imported)'!A3403</f>
        <v>0</v>
      </c>
      <c r="B3403" s="51">
        <f t="shared" si="159"/>
        <v>4968</v>
      </c>
      <c r="C3403" s="49">
        <f>HLOOKUP("# Cores",'vHosts (Imported)'!$1:$5000,M3403,FALSE)</f>
        <v>0</v>
      </c>
      <c r="D3403" s="52">
        <f>HLOOKUP("# Memory",'vHosts (Imported)'!$1:$5000,M3403,FALSE)</f>
        <v>0</v>
      </c>
      <c r="M3403" s="45">
        <f t="shared" si="161"/>
        <v>3403</v>
      </c>
      <c r="N3403" s="38">
        <f>HLOOKUP("Host",'vInfo (Imported)'!$1:$5000,M3403,FALSE)</f>
        <v>0</v>
      </c>
      <c r="R3403">
        <f>HLOOKUP("CPUs",'vInfo (Imported)'!$1:$5000,M3403,FALSE)</f>
        <v>0</v>
      </c>
      <c r="S3403">
        <f>HLOOKUP("Memory",'vInfo (Imported)'!$1:$5000,M3403,FALSE)</f>
        <v>0</v>
      </c>
      <c r="T3403">
        <f>HLOOKUP("Provisioned MiB",'vInfo (Imported)'!$1:$5000,M3403,FALSE)</f>
        <v>0</v>
      </c>
      <c r="U3403">
        <f t="shared" si="160"/>
        <v>0</v>
      </c>
      <c r="V3403">
        <f>HLOOKUP("In Use MiB",'vInfo (Imported)'!$1:$5000,M3403,FALSE)</f>
        <v>0</v>
      </c>
    </row>
    <row r="3404" spans="1:22" ht="13" x14ac:dyDescent="0.3">
      <c r="A3404" s="46">
        <f>'vHosts (Imported)'!A3404</f>
        <v>0</v>
      </c>
      <c r="B3404" s="51">
        <f t="shared" si="159"/>
        <v>4968</v>
      </c>
      <c r="C3404" s="49">
        <f>HLOOKUP("# Cores",'vHosts (Imported)'!$1:$5000,M3404,FALSE)</f>
        <v>0</v>
      </c>
      <c r="D3404" s="52">
        <f>HLOOKUP("# Memory",'vHosts (Imported)'!$1:$5000,M3404,FALSE)</f>
        <v>0</v>
      </c>
      <c r="M3404" s="45">
        <f t="shared" si="161"/>
        <v>3404</v>
      </c>
      <c r="N3404" s="38">
        <f>HLOOKUP("Host",'vInfo (Imported)'!$1:$5000,M3404,FALSE)</f>
        <v>0</v>
      </c>
      <c r="R3404">
        <f>HLOOKUP("CPUs",'vInfo (Imported)'!$1:$5000,M3404,FALSE)</f>
        <v>0</v>
      </c>
      <c r="S3404">
        <f>HLOOKUP("Memory",'vInfo (Imported)'!$1:$5000,M3404,FALSE)</f>
        <v>0</v>
      </c>
      <c r="T3404">
        <f>HLOOKUP("Provisioned MiB",'vInfo (Imported)'!$1:$5000,M3404,FALSE)</f>
        <v>0</v>
      </c>
      <c r="U3404">
        <f t="shared" si="160"/>
        <v>0</v>
      </c>
      <c r="V3404">
        <f>HLOOKUP("In Use MiB",'vInfo (Imported)'!$1:$5000,M3404,FALSE)</f>
        <v>0</v>
      </c>
    </row>
    <row r="3405" spans="1:22" ht="13" x14ac:dyDescent="0.3">
      <c r="A3405" s="46">
        <f>'vHosts (Imported)'!A3405</f>
        <v>0</v>
      </c>
      <c r="B3405" s="51">
        <f t="shared" si="159"/>
        <v>4968</v>
      </c>
      <c r="C3405" s="49">
        <f>HLOOKUP("# Cores",'vHosts (Imported)'!$1:$5000,M3405,FALSE)</f>
        <v>0</v>
      </c>
      <c r="D3405" s="52">
        <f>HLOOKUP("# Memory",'vHosts (Imported)'!$1:$5000,M3405,FALSE)</f>
        <v>0</v>
      </c>
      <c r="M3405" s="45">
        <f t="shared" si="161"/>
        <v>3405</v>
      </c>
      <c r="N3405" s="38">
        <f>HLOOKUP("Host",'vInfo (Imported)'!$1:$5000,M3405,FALSE)</f>
        <v>0</v>
      </c>
      <c r="R3405">
        <f>HLOOKUP("CPUs",'vInfo (Imported)'!$1:$5000,M3405,FALSE)</f>
        <v>0</v>
      </c>
      <c r="S3405">
        <f>HLOOKUP("Memory",'vInfo (Imported)'!$1:$5000,M3405,FALSE)</f>
        <v>0</v>
      </c>
      <c r="T3405">
        <f>HLOOKUP("Provisioned MiB",'vInfo (Imported)'!$1:$5000,M3405,FALSE)</f>
        <v>0</v>
      </c>
      <c r="U3405">
        <f t="shared" si="160"/>
        <v>0</v>
      </c>
      <c r="V3405">
        <f>HLOOKUP("In Use MiB",'vInfo (Imported)'!$1:$5000,M3405,FALSE)</f>
        <v>0</v>
      </c>
    </row>
    <row r="3406" spans="1:22" ht="13" x14ac:dyDescent="0.3">
      <c r="A3406" s="46">
        <f>'vHosts (Imported)'!A3406</f>
        <v>0</v>
      </c>
      <c r="B3406" s="51">
        <f t="shared" si="159"/>
        <v>4968</v>
      </c>
      <c r="C3406" s="49">
        <f>HLOOKUP("# Cores",'vHosts (Imported)'!$1:$5000,M3406,FALSE)</f>
        <v>0</v>
      </c>
      <c r="D3406" s="52">
        <f>HLOOKUP("# Memory",'vHosts (Imported)'!$1:$5000,M3406,FALSE)</f>
        <v>0</v>
      </c>
      <c r="M3406" s="45">
        <f t="shared" si="161"/>
        <v>3406</v>
      </c>
      <c r="N3406" s="38">
        <f>HLOOKUP("Host",'vInfo (Imported)'!$1:$5000,M3406,FALSE)</f>
        <v>0</v>
      </c>
      <c r="R3406">
        <f>HLOOKUP("CPUs",'vInfo (Imported)'!$1:$5000,M3406,FALSE)</f>
        <v>0</v>
      </c>
      <c r="S3406">
        <f>HLOOKUP("Memory",'vInfo (Imported)'!$1:$5000,M3406,FALSE)</f>
        <v>0</v>
      </c>
      <c r="T3406">
        <f>HLOOKUP("Provisioned MiB",'vInfo (Imported)'!$1:$5000,M3406,FALSE)</f>
        <v>0</v>
      </c>
      <c r="U3406">
        <f t="shared" si="160"/>
        <v>0</v>
      </c>
      <c r="V3406">
        <f>HLOOKUP("In Use MiB",'vInfo (Imported)'!$1:$5000,M3406,FALSE)</f>
        <v>0</v>
      </c>
    </row>
    <row r="3407" spans="1:22" ht="13" x14ac:dyDescent="0.3">
      <c r="A3407" s="46">
        <f>'vHosts (Imported)'!A3407</f>
        <v>0</v>
      </c>
      <c r="B3407" s="51">
        <f t="shared" si="159"/>
        <v>4968</v>
      </c>
      <c r="C3407" s="49">
        <f>HLOOKUP("# Cores",'vHosts (Imported)'!$1:$5000,M3407,FALSE)</f>
        <v>0</v>
      </c>
      <c r="D3407" s="52">
        <f>HLOOKUP("# Memory",'vHosts (Imported)'!$1:$5000,M3407,FALSE)</f>
        <v>0</v>
      </c>
      <c r="M3407" s="45">
        <f t="shared" si="161"/>
        <v>3407</v>
      </c>
      <c r="N3407" s="38">
        <f>HLOOKUP("Host",'vInfo (Imported)'!$1:$5000,M3407,FALSE)</f>
        <v>0</v>
      </c>
      <c r="R3407">
        <f>HLOOKUP("CPUs",'vInfo (Imported)'!$1:$5000,M3407,FALSE)</f>
        <v>0</v>
      </c>
      <c r="S3407">
        <f>HLOOKUP("Memory",'vInfo (Imported)'!$1:$5000,M3407,FALSE)</f>
        <v>0</v>
      </c>
      <c r="T3407">
        <f>HLOOKUP("Provisioned MiB",'vInfo (Imported)'!$1:$5000,M3407,FALSE)</f>
        <v>0</v>
      </c>
      <c r="U3407">
        <f t="shared" si="160"/>
        <v>0</v>
      </c>
      <c r="V3407">
        <f>HLOOKUP("In Use MiB",'vInfo (Imported)'!$1:$5000,M3407,FALSE)</f>
        <v>0</v>
      </c>
    </row>
    <row r="3408" spans="1:22" ht="13" x14ac:dyDescent="0.3">
      <c r="A3408" s="46">
        <f>'vHosts (Imported)'!A3408</f>
        <v>0</v>
      </c>
      <c r="B3408" s="51">
        <f t="shared" si="159"/>
        <v>4968</v>
      </c>
      <c r="C3408" s="49">
        <f>HLOOKUP("# Cores",'vHosts (Imported)'!$1:$5000,M3408,FALSE)</f>
        <v>0</v>
      </c>
      <c r="D3408" s="52">
        <f>HLOOKUP("# Memory",'vHosts (Imported)'!$1:$5000,M3408,FALSE)</f>
        <v>0</v>
      </c>
      <c r="M3408" s="45">
        <f t="shared" si="161"/>
        <v>3408</v>
      </c>
      <c r="N3408" s="38">
        <f>HLOOKUP("Host",'vInfo (Imported)'!$1:$5000,M3408,FALSE)</f>
        <v>0</v>
      </c>
      <c r="R3408">
        <f>HLOOKUP("CPUs",'vInfo (Imported)'!$1:$5000,M3408,FALSE)</f>
        <v>0</v>
      </c>
      <c r="S3408">
        <f>HLOOKUP("Memory",'vInfo (Imported)'!$1:$5000,M3408,FALSE)</f>
        <v>0</v>
      </c>
      <c r="T3408">
        <f>HLOOKUP("Provisioned MiB",'vInfo (Imported)'!$1:$5000,M3408,FALSE)</f>
        <v>0</v>
      </c>
      <c r="U3408">
        <f t="shared" si="160"/>
        <v>0</v>
      </c>
      <c r="V3408">
        <f>HLOOKUP("In Use MiB",'vInfo (Imported)'!$1:$5000,M3408,FALSE)</f>
        <v>0</v>
      </c>
    </row>
    <row r="3409" spans="1:22" ht="13" x14ac:dyDescent="0.3">
      <c r="A3409" s="46">
        <f>'vHosts (Imported)'!A3409</f>
        <v>0</v>
      </c>
      <c r="B3409" s="51">
        <f t="shared" si="159"/>
        <v>4968</v>
      </c>
      <c r="C3409" s="49">
        <f>HLOOKUP("# Cores",'vHosts (Imported)'!$1:$5000,M3409,FALSE)</f>
        <v>0</v>
      </c>
      <c r="D3409" s="52">
        <f>HLOOKUP("# Memory",'vHosts (Imported)'!$1:$5000,M3409,FALSE)</f>
        <v>0</v>
      </c>
      <c r="M3409" s="45">
        <f t="shared" si="161"/>
        <v>3409</v>
      </c>
      <c r="N3409" s="38">
        <f>HLOOKUP("Host",'vInfo (Imported)'!$1:$5000,M3409,FALSE)</f>
        <v>0</v>
      </c>
      <c r="R3409">
        <f>HLOOKUP("CPUs",'vInfo (Imported)'!$1:$5000,M3409,FALSE)</f>
        <v>0</v>
      </c>
      <c r="S3409">
        <f>HLOOKUP("Memory",'vInfo (Imported)'!$1:$5000,M3409,FALSE)</f>
        <v>0</v>
      </c>
      <c r="T3409">
        <f>HLOOKUP("Provisioned MiB",'vInfo (Imported)'!$1:$5000,M3409,FALSE)</f>
        <v>0</v>
      </c>
      <c r="U3409">
        <f t="shared" si="160"/>
        <v>0</v>
      </c>
      <c r="V3409">
        <f>HLOOKUP("In Use MiB",'vInfo (Imported)'!$1:$5000,M3409,FALSE)</f>
        <v>0</v>
      </c>
    </row>
    <row r="3410" spans="1:22" ht="13" x14ac:dyDescent="0.3">
      <c r="A3410" s="46">
        <f>'vHosts (Imported)'!A3410</f>
        <v>0</v>
      </c>
      <c r="B3410" s="51">
        <f t="shared" si="159"/>
        <v>4968</v>
      </c>
      <c r="C3410" s="49">
        <f>HLOOKUP("# Cores",'vHosts (Imported)'!$1:$5000,M3410,FALSE)</f>
        <v>0</v>
      </c>
      <c r="D3410" s="52">
        <f>HLOOKUP("# Memory",'vHosts (Imported)'!$1:$5000,M3410,FALSE)</f>
        <v>0</v>
      </c>
      <c r="M3410" s="45">
        <f t="shared" si="161"/>
        <v>3410</v>
      </c>
      <c r="N3410" s="38">
        <f>HLOOKUP("Host",'vInfo (Imported)'!$1:$5000,M3410,FALSE)</f>
        <v>0</v>
      </c>
      <c r="R3410">
        <f>HLOOKUP("CPUs",'vInfo (Imported)'!$1:$5000,M3410,FALSE)</f>
        <v>0</v>
      </c>
      <c r="S3410">
        <f>HLOOKUP("Memory",'vInfo (Imported)'!$1:$5000,M3410,FALSE)</f>
        <v>0</v>
      </c>
      <c r="T3410">
        <f>HLOOKUP("Provisioned MiB",'vInfo (Imported)'!$1:$5000,M3410,FALSE)</f>
        <v>0</v>
      </c>
      <c r="U3410">
        <f t="shared" si="160"/>
        <v>0</v>
      </c>
      <c r="V3410">
        <f>HLOOKUP("In Use MiB",'vInfo (Imported)'!$1:$5000,M3410,FALSE)</f>
        <v>0</v>
      </c>
    </row>
    <row r="3411" spans="1:22" ht="13" x14ac:dyDescent="0.3">
      <c r="A3411" s="46">
        <f>'vHosts (Imported)'!A3411</f>
        <v>0</v>
      </c>
      <c r="B3411" s="51">
        <f t="shared" si="159"/>
        <v>4968</v>
      </c>
      <c r="C3411" s="49">
        <f>HLOOKUP("# Cores",'vHosts (Imported)'!$1:$5000,M3411,FALSE)</f>
        <v>0</v>
      </c>
      <c r="D3411" s="52">
        <f>HLOOKUP("# Memory",'vHosts (Imported)'!$1:$5000,M3411,FALSE)</f>
        <v>0</v>
      </c>
      <c r="M3411" s="45">
        <f t="shared" si="161"/>
        <v>3411</v>
      </c>
      <c r="N3411" s="38">
        <f>HLOOKUP("Host",'vInfo (Imported)'!$1:$5000,M3411,FALSE)</f>
        <v>0</v>
      </c>
      <c r="R3411">
        <f>HLOOKUP("CPUs",'vInfo (Imported)'!$1:$5000,M3411,FALSE)</f>
        <v>0</v>
      </c>
      <c r="S3411">
        <f>HLOOKUP("Memory",'vInfo (Imported)'!$1:$5000,M3411,FALSE)</f>
        <v>0</v>
      </c>
      <c r="T3411">
        <f>HLOOKUP("Provisioned MiB",'vInfo (Imported)'!$1:$5000,M3411,FALSE)</f>
        <v>0</v>
      </c>
      <c r="U3411">
        <f t="shared" si="160"/>
        <v>0</v>
      </c>
      <c r="V3411">
        <f>HLOOKUP("In Use MiB",'vInfo (Imported)'!$1:$5000,M3411,FALSE)</f>
        <v>0</v>
      </c>
    </row>
    <row r="3412" spans="1:22" ht="13" x14ac:dyDescent="0.3">
      <c r="A3412" s="46">
        <f>'vHosts (Imported)'!A3412</f>
        <v>0</v>
      </c>
      <c r="B3412" s="51">
        <f t="shared" si="159"/>
        <v>4968</v>
      </c>
      <c r="C3412" s="49">
        <f>HLOOKUP("# Cores",'vHosts (Imported)'!$1:$5000,M3412,FALSE)</f>
        <v>0</v>
      </c>
      <c r="D3412" s="52">
        <f>HLOOKUP("# Memory",'vHosts (Imported)'!$1:$5000,M3412,FALSE)</f>
        <v>0</v>
      </c>
      <c r="M3412" s="45">
        <f t="shared" si="161"/>
        <v>3412</v>
      </c>
      <c r="N3412" s="38">
        <f>HLOOKUP("Host",'vInfo (Imported)'!$1:$5000,M3412,FALSE)</f>
        <v>0</v>
      </c>
      <c r="R3412">
        <f>HLOOKUP("CPUs",'vInfo (Imported)'!$1:$5000,M3412,FALSE)</f>
        <v>0</v>
      </c>
      <c r="S3412">
        <f>HLOOKUP("Memory",'vInfo (Imported)'!$1:$5000,M3412,FALSE)</f>
        <v>0</v>
      </c>
      <c r="T3412">
        <f>HLOOKUP("Provisioned MiB",'vInfo (Imported)'!$1:$5000,M3412,FALSE)</f>
        <v>0</v>
      </c>
      <c r="U3412">
        <f t="shared" si="160"/>
        <v>0</v>
      </c>
      <c r="V3412">
        <f>HLOOKUP("In Use MiB",'vInfo (Imported)'!$1:$5000,M3412,FALSE)</f>
        <v>0</v>
      </c>
    </row>
    <row r="3413" spans="1:22" ht="13" x14ac:dyDescent="0.3">
      <c r="A3413" s="46">
        <f>'vHosts (Imported)'!A3413</f>
        <v>0</v>
      </c>
      <c r="B3413" s="51">
        <f t="shared" si="159"/>
        <v>4968</v>
      </c>
      <c r="C3413" s="49">
        <f>HLOOKUP("# Cores",'vHosts (Imported)'!$1:$5000,M3413,FALSE)</f>
        <v>0</v>
      </c>
      <c r="D3413" s="52">
        <f>HLOOKUP("# Memory",'vHosts (Imported)'!$1:$5000,M3413,FALSE)</f>
        <v>0</v>
      </c>
      <c r="M3413" s="45">
        <f t="shared" si="161"/>
        <v>3413</v>
      </c>
      <c r="N3413" s="38">
        <f>HLOOKUP("Host",'vInfo (Imported)'!$1:$5000,M3413,FALSE)</f>
        <v>0</v>
      </c>
      <c r="R3413">
        <f>HLOOKUP("CPUs",'vInfo (Imported)'!$1:$5000,M3413,FALSE)</f>
        <v>0</v>
      </c>
      <c r="S3413">
        <f>HLOOKUP("Memory",'vInfo (Imported)'!$1:$5000,M3413,FALSE)</f>
        <v>0</v>
      </c>
      <c r="T3413">
        <f>HLOOKUP("Provisioned MiB",'vInfo (Imported)'!$1:$5000,M3413,FALSE)</f>
        <v>0</v>
      </c>
      <c r="U3413">
        <f t="shared" si="160"/>
        <v>0</v>
      </c>
      <c r="V3413">
        <f>HLOOKUP("In Use MiB",'vInfo (Imported)'!$1:$5000,M3413,FALSE)</f>
        <v>0</v>
      </c>
    </row>
    <row r="3414" spans="1:22" ht="13" x14ac:dyDescent="0.3">
      <c r="A3414" s="46">
        <f>'vHosts (Imported)'!A3414</f>
        <v>0</v>
      </c>
      <c r="B3414" s="51">
        <f t="shared" si="159"/>
        <v>4968</v>
      </c>
      <c r="C3414" s="49">
        <f>HLOOKUP("# Cores",'vHosts (Imported)'!$1:$5000,M3414,FALSE)</f>
        <v>0</v>
      </c>
      <c r="D3414" s="52">
        <f>HLOOKUP("# Memory",'vHosts (Imported)'!$1:$5000,M3414,FALSE)</f>
        <v>0</v>
      </c>
      <c r="M3414" s="45">
        <f t="shared" si="161"/>
        <v>3414</v>
      </c>
      <c r="N3414" s="38">
        <f>HLOOKUP("Host",'vInfo (Imported)'!$1:$5000,M3414,FALSE)</f>
        <v>0</v>
      </c>
      <c r="R3414">
        <f>HLOOKUP("CPUs",'vInfo (Imported)'!$1:$5000,M3414,FALSE)</f>
        <v>0</v>
      </c>
      <c r="S3414">
        <f>HLOOKUP("Memory",'vInfo (Imported)'!$1:$5000,M3414,FALSE)</f>
        <v>0</v>
      </c>
      <c r="T3414">
        <f>HLOOKUP("Provisioned MiB",'vInfo (Imported)'!$1:$5000,M3414,FALSE)</f>
        <v>0</v>
      </c>
      <c r="U3414">
        <f t="shared" si="160"/>
        <v>0</v>
      </c>
      <c r="V3414">
        <f>HLOOKUP("In Use MiB",'vInfo (Imported)'!$1:$5000,M3414,FALSE)</f>
        <v>0</v>
      </c>
    </row>
    <row r="3415" spans="1:22" ht="13" x14ac:dyDescent="0.3">
      <c r="A3415" s="46">
        <f>'vHosts (Imported)'!A3415</f>
        <v>0</v>
      </c>
      <c r="B3415" s="51">
        <f t="shared" si="159"/>
        <v>4968</v>
      </c>
      <c r="C3415" s="49">
        <f>HLOOKUP("# Cores",'vHosts (Imported)'!$1:$5000,M3415,FALSE)</f>
        <v>0</v>
      </c>
      <c r="D3415" s="52">
        <f>HLOOKUP("# Memory",'vHosts (Imported)'!$1:$5000,M3415,FALSE)</f>
        <v>0</v>
      </c>
      <c r="M3415" s="45">
        <f t="shared" si="161"/>
        <v>3415</v>
      </c>
      <c r="N3415" s="38">
        <f>HLOOKUP("Host",'vInfo (Imported)'!$1:$5000,M3415,FALSE)</f>
        <v>0</v>
      </c>
      <c r="R3415">
        <f>HLOOKUP("CPUs",'vInfo (Imported)'!$1:$5000,M3415,FALSE)</f>
        <v>0</v>
      </c>
      <c r="S3415">
        <f>HLOOKUP("Memory",'vInfo (Imported)'!$1:$5000,M3415,FALSE)</f>
        <v>0</v>
      </c>
      <c r="T3415">
        <f>HLOOKUP("Provisioned MiB",'vInfo (Imported)'!$1:$5000,M3415,FALSE)</f>
        <v>0</v>
      </c>
      <c r="U3415">
        <f t="shared" si="160"/>
        <v>0</v>
      </c>
      <c r="V3415">
        <f>HLOOKUP("In Use MiB",'vInfo (Imported)'!$1:$5000,M3415,FALSE)</f>
        <v>0</v>
      </c>
    </row>
    <row r="3416" spans="1:22" ht="13" x14ac:dyDescent="0.3">
      <c r="A3416" s="46">
        <f>'vHosts (Imported)'!A3416</f>
        <v>0</v>
      </c>
      <c r="B3416" s="51">
        <f t="shared" si="159"/>
        <v>4968</v>
      </c>
      <c r="C3416" s="49">
        <f>HLOOKUP("# Cores",'vHosts (Imported)'!$1:$5000,M3416,FALSE)</f>
        <v>0</v>
      </c>
      <c r="D3416" s="52">
        <f>HLOOKUP("# Memory",'vHosts (Imported)'!$1:$5000,M3416,FALSE)</f>
        <v>0</v>
      </c>
      <c r="M3416" s="45">
        <f t="shared" si="161"/>
        <v>3416</v>
      </c>
      <c r="N3416" s="38">
        <f>HLOOKUP("Host",'vInfo (Imported)'!$1:$5000,M3416,FALSE)</f>
        <v>0</v>
      </c>
      <c r="R3416">
        <f>HLOOKUP("CPUs",'vInfo (Imported)'!$1:$5000,M3416,FALSE)</f>
        <v>0</v>
      </c>
      <c r="S3416">
        <f>HLOOKUP("Memory",'vInfo (Imported)'!$1:$5000,M3416,FALSE)</f>
        <v>0</v>
      </c>
      <c r="T3416">
        <f>HLOOKUP("Provisioned MiB",'vInfo (Imported)'!$1:$5000,M3416,FALSE)</f>
        <v>0</v>
      </c>
      <c r="U3416">
        <f t="shared" si="160"/>
        <v>0</v>
      </c>
      <c r="V3416">
        <f>HLOOKUP("In Use MiB",'vInfo (Imported)'!$1:$5000,M3416,FALSE)</f>
        <v>0</v>
      </c>
    </row>
    <row r="3417" spans="1:22" ht="13" x14ac:dyDescent="0.3">
      <c r="A3417" s="46">
        <f>'vHosts (Imported)'!A3417</f>
        <v>0</v>
      </c>
      <c r="B3417" s="51">
        <f t="shared" si="159"/>
        <v>4968</v>
      </c>
      <c r="C3417" s="49">
        <f>HLOOKUP("# Cores",'vHosts (Imported)'!$1:$5000,M3417,FALSE)</f>
        <v>0</v>
      </c>
      <c r="D3417" s="52">
        <f>HLOOKUP("# Memory",'vHosts (Imported)'!$1:$5000,M3417,FALSE)</f>
        <v>0</v>
      </c>
      <c r="M3417" s="45">
        <f t="shared" si="161"/>
        <v>3417</v>
      </c>
      <c r="N3417" s="38">
        <f>HLOOKUP("Host",'vInfo (Imported)'!$1:$5000,M3417,FALSE)</f>
        <v>0</v>
      </c>
      <c r="R3417">
        <f>HLOOKUP("CPUs",'vInfo (Imported)'!$1:$5000,M3417,FALSE)</f>
        <v>0</v>
      </c>
      <c r="S3417">
        <f>HLOOKUP("Memory",'vInfo (Imported)'!$1:$5000,M3417,FALSE)</f>
        <v>0</v>
      </c>
      <c r="T3417">
        <f>HLOOKUP("Provisioned MiB",'vInfo (Imported)'!$1:$5000,M3417,FALSE)</f>
        <v>0</v>
      </c>
      <c r="U3417">
        <f t="shared" si="160"/>
        <v>0</v>
      </c>
      <c r="V3417">
        <f>HLOOKUP("In Use MiB",'vInfo (Imported)'!$1:$5000,M3417,FALSE)</f>
        <v>0</v>
      </c>
    </row>
    <row r="3418" spans="1:22" ht="13" x14ac:dyDescent="0.3">
      <c r="A3418" s="46">
        <f>'vHosts (Imported)'!A3418</f>
        <v>0</v>
      </c>
      <c r="B3418" s="51">
        <f t="shared" si="159"/>
        <v>4968</v>
      </c>
      <c r="C3418" s="49">
        <f>HLOOKUP("# Cores",'vHosts (Imported)'!$1:$5000,M3418,FALSE)</f>
        <v>0</v>
      </c>
      <c r="D3418" s="52">
        <f>HLOOKUP("# Memory",'vHosts (Imported)'!$1:$5000,M3418,FALSE)</f>
        <v>0</v>
      </c>
      <c r="M3418" s="45">
        <f t="shared" si="161"/>
        <v>3418</v>
      </c>
      <c r="N3418" s="38">
        <f>HLOOKUP("Host",'vInfo (Imported)'!$1:$5000,M3418,FALSE)</f>
        <v>0</v>
      </c>
      <c r="R3418">
        <f>HLOOKUP("CPUs",'vInfo (Imported)'!$1:$5000,M3418,FALSE)</f>
        <v>0</v>
      </c>
      <c r="S3418">
        <f>HLOOKUP("Memory",'vInfo (Imported)'!$1:$5000,M3418,FALSE)</f>
        <v>0</v>
      </c>
      <c r="T3418">
        <f>HLOOKUP("Provisioned MiB",'vInfo (Imported)'!$1:$5000,M3418,FALSE)</f>
        <v>0</v>
      </c>
      <c r="U3418">
        <f t="shared" si="160"/>
        <v>0</v>
      </c>
      <c r="V3418">
        <f>HLOOKUP("In Use MiB",'vInfo (Imported)'!$1:$5000,M3418,FALSE)</f>
        <v>0</v>
      </c>
    </row>
    <row r="3419" spans="1:22" ht="13" x14ac:dyDescent="0.3">
      <c r="A3419" s="46">
        <f>'vHosts (Imported)'!A3419</f>
        <v>0</v>
      </c>
      <c r="B3419" s="51">
        <f t="shared" si="159"/>
        <v>4968</v>
      </c>
      <c r="C3419" s="49">
        <f>HLOOKUP("# Cores",'vHosts (Imported)'!$1:$5000,M3419,FALSE)</f>
        <v>0</v>
      </c>
      <c r="D3419" s="52">
        <f>HLOOKUP("# Memory",'vHosts (Imported)'!$1:$5000,M3419,FALSE)</f>
        <v>0</v>
      </c>
      <c r="M3419" s="45">
        <f t="shared" si="161"/>
        <v>3419</v>
      </c>
      <c r="N3419" s="38">
        <f>HLOOKUP("Host",'vInfo (Imported)'!$1:$5000,M3419,FALSE)</f>
        <v>0</v>
      </c>
      <c r="R3419">
        <f>HLOOKUP("CPUs",'vInfo (Imported)'!$1:$5000,M3419,FALSE)</f>
        <v>0</v>
      </c>
      <c r="S3419">
        <f>HLOOKUP("Memory",'vInfo (Imported)'!$1:$5000,M3419,FALSE)</f>
        <v>0</v>
      </c>
      <c r="T3419">
        <f>HLOOKUP("Provisioned MiB",'vInfo (Imported)'!$1:$5000,M3419,FALSE)</f>
        <v>0</v>
      </c>
      <c r="U3419">
        <f t="shared" si="160"/>
        <v>0</v>
      </c>
      <c r="V3419">
        <f>HLOOKUP("In Use MiB",'vInfo (Imported)'!$1:$5000,M3419,FALSE)</f>
        <v>0</v>
      </c>
    </row>
    <row r="3420" spans="1:22" ht="13" x14ac:dyDescent="0.3">
      <c r="A3420" s="46">
        <f>'vHosts (Imported)'!A3420</f>
        <v>0</v>
      </c>
      <c r="B3420" s="51">
        <f t="shared" si="159"/>
        <v>4968</v>
      </c>
      <c r="C3420" s="49">
        <f>HLOOKUP("# Cores",'vHosts (Imported)'!$1:$5000,M3420,FALSE)</f>
        <v>0</v>
      </c>
      <c r="D3420" s="52">
        <f>HLOOKUP("# Memory",'vHosts (Imported)'!$1:$5000,M3420,FALSE)</f>
        <v>0</v>
      </c>
      <c r="M3420" s="45">
        <f t="shared" si="161"/>
        <v>3420</v>
      </c>
      <c r="N3420" s="38">
        <f>HLOOKUP("Host",'vInfo (Imported)'!$1:$5000,M3420,FALSE)</f>
        <v>0</v>
      </c>
      <c r="R3420">
        <f>HLOOKUP("CPUs",'vInfo (Imported)'!$1:$5000,M3420,FALSE)</f>
        <v>0</v>
      </c>
      <c r="S3420">
        <f>HLOOKUP("Memory",'vInfo (Imported)'!$1:$5000,M3420,FALSE)</f>
        <v>0</v>
      </c>
      <c r="T3420">
        <f>HLOOKUP("Provisioned MiB",'vInfo (Imported)'!$1:$5000,M3420,FALSE)</f>
        <v>0</v>
      </c>
      <c r="U3420">
        <f t="shared" si="160"/>
        <v>0</v>
      </c>
      <c r="V3420">
        <f>HLOOKUP("In Use MiB",'vInfo (Imported)'!$1:$5000,M3420,FALSE)</f>
        <v>0</v>
      </c>
    </row>
    <row r="3421" spans="1:22" ht="13" x14ac:dyDescent="0.3">
      <c r="A3421" s="46">
        <f>'vHosts (Imported)'!A3421</f>
        <v>0</v>
      </c>
      <c r="B3421" s="51">
        <f t="shared" si="159"/>
        <v>4968</v>
      </c>
      <c r="C3421" s="49">
        <f>HLOOKUP("# Cores",'vHosts (Imported)'!$1:$5000,M3421,FALSE)</f>
        <v>0</v>
      </c>
      <c r="D3421" s="52">
        <f>HLOOKUP("# Memory",'vHosts (Imported)'!$1:$5000,M3421,FALSE)</f>
        <v>0</v>
      </c>
      <c r="M3421" s="45">
        <f t="shared" si="161"/>
        <v>3421</v>
      </c>
      <c r="N3421" s="38">
        <f>HLOOKUP("Host",'vInfo (Imported)'!$1:$5000,M3421,FALSE)</f>
        <v>0</v>
      </c>
      <c r="R3421">
        <f>HLOOKUP("CPUs",'vInfo (Imported)'!$1:$5000,M3421,FALSE)</f>
        <v>0</v>
      </c>
      <c r="S3421">
        <f>HLOOKUP("Memory",'vInfo (Imported)'!$1:$5000,M3421,FALSE)</f>
        <v>0</v>
      </c>
      <c r="T3421">
        <f>HLOOKUP("Provisioned MiB",'vInfo (Imported)'!$1:$5000,M3421,FALSE)</f>
        <v>0</v>
      </c>
      <c r="U3421">
        <f t="shared" si="160"/>
        <v>0</v>
      </c>
      <c r="V3421">
        <f>HLOOKUP("In Use MiB",'vInfo (Imported)'!$1:$5000,M3421,FALSE)</f>
        <v>0</v>
      </c>
    </row>
    <row r="3422" spans="1:22" ht="13" x14ac:dyDescent="0.3">
      <c r="A3422" s="46">
        <f>'vHosts (Imported)'!A3422</f>
        <v>0</v>
      </c>
      <c r="B3422" s="51">
        <f t="shared" si="159"/>
        <v>4968</v>
      </c>
      <c r="C3422" s="49">
        <f>HLOOKUP("# Cores",'vHosts (Imported)'!$1:$5000,M3422,FALSE)</f>
        <v>0</v>
      </c>
      <c r="D3422" s="52">
        <f>HLOOKUP("# Memory",'vHosts (Imported)'!$1:$5000,M3422,FALSE)</f>
        <v>0</v>
      </c>
      <c r="M3422" s="45">
        <f t="shared" si="161"/>
        <v>3422</v>
      </c>
      <c r="N3422" s="38">
        <f>HLOOKUP("Host",'vInfo (Imported)'!$1:$5000,M3422,FALSE)</f>
        <v>0</v>
      </c>
      <c r="R3422">
        <f>HLOOKUP("CPUs",'vInfo (Imported)'!$1:$5000,M3422,FALSE)</f>
        <v>0</v>
      </c>
      <c r="S3422">
        <f>HLOOKUP("Memory",'vInfo (Imported)'!$1:$5000,M3422,FALSE)</f>
        <v>0</v>
      </c>
      <c r="T3422">
        <f>HLOOKUP("Provisioned MiB",'vInfo (Imported)'!$1:$5000,M3422,FALSE)</f>
        <v>0</v>
      </c>
      <c r="U3422">
        <f t="shared" si="160"/>
        <v>0</v>
      </c>
      <c r="V3422">
        <f>HLOOKUP("In Use MiB",'vInfo (Imported)'!$1:$5000,M3422,FALSE)</f>
        <v>0</v>
      </c>
    </row>
    <row r="3423" spans="1:22" ht="13" x14ac:dyDescent="0.3">
      <c r="A3423" s="46">
        <f>'vHosts (Imported)'!A3423</f>
        <v>0</v>
      </c>
      <c r="B3423" s="51">
        <f t="shared" si="159"/>
        <v>4968</v>
      </c>
      <c r="C3423" s="49">
        <f>HLOOKUP("# Cores",'vHosts (Imported)'!$1:$5000,M3423,FALSE)</f>
        <v>0</v>
      </c>
      <c r="D3423" s="52">
        <f>HLOOKUP("# Memory",'vHosts (Imported)'!$1:$5000,M3423,FALSE)</f>
        <v>0</v>
      </c>
      <c r="M3423" s="45">
        <f t="shared" si="161"/>
        <v>3423</v>
      </c>
      <c r="N3423" s="38">
        <f>HLOOKUP("Host",'vInfo (Imported)'!$1:$5000,M3423,FALSE)</f>
        <v>0</v>
      </c>
      <c r="R3423">
        <f>HLOOKUP("CPUs",'vInfo (Imported)'!$1:$5000,M3423,FALSE)</f>
        <v>0</v>
      </c>
      <c r="S3423">
        <f>HLOOKUP("Memory",'vInfo (Imported)'!$1:$5000,M3423,FALSE)</f>
        <v>0</v>
      </c>
      <c r="T3423">
        <f>HLOOKUP("Provisioned MiB",'vInfo (Imported)'!$1:$5000,M3423,FALSE)</f>
        <v>0</v>
      </c>
      <c r="U3423">
        <f t="shared" si="160"/>
        <v>0</v>
      </c>
      <c r="V3423">
        <f>HLOOKUP("In Use MiB",'vInfo (Imported)'!$1:$5000,M3423,FALSE)</f>
        <v>0</v>
      </c>
    </row>
    <row r="3424" spans="1:22" ht="13" x14ac:dyDescent="0.3">
      <c r="A3424" s="46">
        <f>'vHosts (Imported)'!A3424</f>
        <v>0</v>
      </c>
      <c r="B3424" s="51">
        <f t="shared" si="159"/>
        <v>4968</v>
      </c>
      <c r="C3424" s="49">
        <f>HLOOKUP("# Cores",'vHosts (Imported)'!$1:$5000,M3424,FALSE)</f>
        <v>0</v>
      </c>
      <c r="D3424" s="52">
        <f>HLOOKUP("# Memory",'vHosts (Imported)'!$1:$5000,M3424,FALSE)</f>
        <v>0</v>
      </c>
      <c r="M3424" s="45">
        <f t="shared" si="161"/>
        <v>3424</v>
      </c>
      <c r="N3424" s="38">
        <f>HLOOKUP("Host",'vInfo (Imported)'!$1:$5000,M3424,FALSE)</f>
        <v>0</v>
      </c>
      <c r="R3424">
        <f>HLOOKUP("CPUs",'vInfo (Imported)'!$1:$5000,M3424,FALSE)</f>
        <v>0</v>
      </c>
      <c r="S3424">
        <f>HLOOKUP("Memory",'vInfo (Imported)'!$1:$5000,M3424,FALSE)</f>
        <v>0</v>
      </c>
      <c r="T3424">
        <f>HLOOKUP("Provisioned MiB",'vInfo (Imported)'!$1:$5000,M3424,FALSE)</f>
        <v>0</v>
      </c>
      <c r="U3424">
        <f t="shared" si="160"/>
        <v>0</v>
      </c>
      <c r="V3424">
        <f>HLOOKUP("In Use MiB",'vInfo (Imported)'!$1:$5000,M3424,FALSE)</f>
        <v>0</v>
      </c>
    </row>
    <row r="3425" spans="1:22" ht="13" x14ac:dyDescent="0.3">
      <c r="A3425" s="46">
        <f>'vHosts (Imported)'!A3425</f>
        <v>0</v>
      </c>
      <c r="B3425" s="51">
        <f t="shared" si="159"/>
        <v>4968</v>
      </c>
      <c r="C3425" s="49">
        <f>HLOOKUP("# Cores",'vHosts (Imported)'!$1:$5000,M3425,FALSE)</f>
        <v>0</v>
      </c>
      <c r="D3425" s="52">
        <f>HLOOKUP("# Memory",'vHosts (Imported)'!$1:$5000,M3425,FALSE)</f>
        <v>0</v>
      </c>
      <c r="M3425" s="45">
        <f t="shared" si="161"/>
        <v>3425</v>
      </c>
      <c r="N3425" s="38">
        <f>HLOOKUP("Host",'vInfo (Imported)'!$1:$5000,M3425,FALSE)</f>
        <v>0</v>
      </c>
      <c r="R3425">
        <f>HLOOKUP("CPUs",'vInfo (Imported)'!$1:$5000,M3425,FALSE)</f>
        <v>0</v>
      </c>
      <c r="S3425">
        <f>HLOOKUP("Memory",'vInfo (Imported)'!$1:$5000,M3425,FALSE)</f>
        <v>0</v>
      </c>
      <c r="T3425">
        <f>HLOOKUP("Provisioned MiB",'vInfo (Imported)'!$1:$5000,M3425,FALSE)</f>
        <v>0</v>
      </c>
      <c r="U3425">
        <f t="shared" si="160"/>
        <v>0</v>
      </c>
      <c r="V3425">
        <f>HLOOKUP("In Use MiB",'vInfo (Imported)'!$1:$5000,M3425,FALSE)</f>
        <v>0</v>
      </c>
    </row>
    <row r="3426" spans="1:22" ht="13" x14ac:dyDescent="0.3">
      <c r="A3426" s="46">
        <f>'vHosts (Imported)'!A3426</f>
        <v>0</v>
      </c>
      <c r="B3426" s="51">
        <f t="shared" si="159"/>
        <v>4968</v>
      </c>
      <c r="C3426" s="49">
        <f>HLOOKUP("# Cores",'vHosts (Imported)'!$1:$5000,M3426,FALSE)</f>
        <v>0</v>
      </c>
      <c r="D3426" s="52">
        <f>HLOOKUP("# Memory",'vHosts (Imported)'!$1:$5000,M3426,FALSE)</f>
        <v>0</v>
      </c>
      <c r="M3426" s="45">
        <f t="shared" si="161"/>
        <v>3426</v>
      </c>
      <c r="N3426" s="38">
        <f>HLOOKUP("Host",'vInfo (Imported)'!$1:$5000,M3426,FALSE)</f>
        <v>0</v>
      </c>
      <c r="R3426">
        <f>HLOOKUP("CPUs",'vInfo (Imported)'!$1:$5000,M3426,FALSE)</f>
        <v>0</v>
      </c>
      <c r="S3426">
        <f>HLOOKUP("Memory",'vInfo (Imported)'!$1:$5000,M3426,FALSE)</f>
        <v>0</v>
      </c>
      <c r="T3426">
        <f>HLOOKUP("Provisioned MiB",'vInfo (Imported)'!$1:$5000,M3426,FALSE)</f>
        <v>0</v>
      </c>
      <c r="U3426">
        <f t="shared" si="160"/>
        <v>0</v>
      </c>
      <c r="V3426">
        <f>HLOOKUP("In Use MiB",'vInfo (Imported)'!$1:$5000,M3426,FALSE)</f>
        <v>0</v>
      </c>
    </row>
    <row r="3427" spans="1:22" ht="13" x14ac:dyDescent="0.3">
      <c r="A3427" s="46">
        <f>'vHosts (Imported)'!A3427</f>
        <v>0</v>
      </c>
      <c r="B3427" s="51">
        <f t="shared" si="159"/>
        <v>4968</v>
      </c>
      <c r="C3427" s="49">
        <f>HLOOKUP("# Cores",'vHosts (Imported)'!$1:$5000,M3427,FALSE)</f>
        <v>0</v>
      </c>
      <c r="D3427" s="52">
        <f>HLOOKUP("# Memory",'vHosts (Imported)'!$1:$5000,M3427,FALSE)</f>
        <v>0</v>
      </c>
      <c r="M3427" s="45">
        <f t="shared" si="161"/>
        <v>3427</v>
      </c>
      <c r="N3427" s="38">
        <f>HLOOKUP("Host",'vInfo (Imported)'!$1:$5000,M3427,FALSE)</f>
        <v>0</v>
      </c>
      <c r="R3427">
        <f>HLOOKUP("CPUs",'vInfo (Imported)'!$1:$5000,M3427,FALSE)</f>
        <v>0</v>
      </c>
      <c r="S3427">
        <f>HLOOKUP("Memory",'vInfo (Imported)'!$1:$5000,M3427,FALSE)</f>
        <v>0</v>
      </c>
      <c r="T3427">
        <f>HLOOKUP("Provisioned MiB",'vInfo (Imported)'!$1:$5000,M3427,FALSE)</f>
        <v>0</v>
      </c>
      <c r="U3427">
        <f t="shared" si="160"/>
        <v>0</v>
      </c>
      <c r="V3427">
        <f>HLOOKUP("In Use MiB",'vInfo (Imported)'!$1:$5000,M3427,FALSE)</f>
        <v>0</v>
      </c>
    </row>
    <row r="3428" spans="1:22" ht="13" x14ac:dyDescent="0.3">
      <c r="A3428" s="46">
        <f>'vHosts (Imported)'!A3428</f>
        <v>0</v>
      </c>
      <c r="B3428" s="51">
        <f t="shared" si="159"/>
        <v>4968</v>
      </c>
      <c r="C3428" s="49">
        <f>HLOOKUP("# Cores",'vHosts (Imported)'!$1:$5000,M3428,FALSE)</f>
        <v>0</v>
      </c>
      <c r="D3428" s="52">
        <f>HLOOKUP("# Memory",'vHosts (Imported)'!$1:$5000,M3428,FALSE)</f>
        <v>0</v>
      </c>
      <c r="M3428" s="45">
        <f t="shared" si="161"/>
        <v>3428</v>
      </c>
      <c r="N3428" s="38">
        <f>HLOOKUP("Host",'vInfo (Imported)'!$1:$5000,M3428,FALSE)</f>
        <v>0</v>
      </c>
      <c r="R3428">
        <f>HLOOKUP("CPUs",'vInfo (Imported)'!$1:$5000,M3428,FALSE)</f>
        <v>0</v>
      </c>
      <c r="S3428">
        <f>HLOOKUP("Memory",'vInfo (Imported)'!$1:$5000,M3428,FALSE)</f>
        <v>0</v>
      </c>
      <c r="T3428">
        <f>HLOOKUP("Provisioned MiB",'vInfo (Imported)'!$1:$5000,M3428,FALSE)</f>
        <v>0</v>
      </c>
      <c r="U3428">
        <f t="shared" si="160"/>
        <v>0</v>
      </c>
      <c r="V3428">
        <f>HLOOKUP("In Use MiB",'vInfo (Imported)'!$1:$5000,M3428,FALSE)</f>
        <v>0</v>
      </c>
    </row>
    <row r="3429" spans="1:22" ht="13" x14ac:dyDescent="0.3">
      <c r="A3429" s="46">
        <f>'vHosts (Imported)'!A3429</f>
        <v>0</v>
      </c>
      <c r="B3429" s="51">
        <f t="shared" si="159"/>
        <v>4968</v>
      </c>
      <c r="C3429" s="49">
        <f>HLOOKUP("# Cores",'vHosts (Imported)'!$1:$5000,M3429,FALSE)</f>
        <v>0</v>
      </c>
      <c r="D3429" s="52">
        <f>HLOOKUP("# Memory",'vHosts (Imported)'!$1:$5000,M3429,FALSE)</f>
        <v>0</v>
      </c>
      <c r="M3429" s="45">
        <f t="shared" si="161"/>
        <v>3429</v>
      </c>
      <c r="N3429" s="38">
        <f>HLOOKUP("Host",'vInfo (Imported)'!$1:$5000,M3429,FALSE)</f>
        <v>0</v>
      </c>
      <c r="R3429">
        <f>HLOOKUP("CPUs",'vInfo (Imported)'!$1:$5000,M3429,FALSE)</f>
        <v>0</v>
      </c>
      <c r="S3429">
        <f>HLOOKUP("Memory",'vInfo (Imported)'!$1:$5000,M3429,FALSE)</f>
        <v>0</v>
      </c>
      <c r="T3429">
        <f>HLOOKUP("Provisioned MiB",'vInfo (Imported)'!$1:$5000,M3429,FALSE)</f>
        <v>0</v>
      </c>
      <c r="U3429">
        <f t="shared" si="160"/>
        <v>0</v>
      </c>
      <c r="V3429">
        <f>HLOOKUP("In Use MiB",'vInfo (Imported)'!$1:$5000,M3429,FALSE)</f>
        <v>0</v>
      </c>
    </row>
    <row r="3430" spans="1:22" ht="13" x14ac:dyDescent="0.3">
      <c r="A3430" s="46">
        <f>'vHosts (Imported)'!A3430</f>
        <v>0</v>
      </c>
      <c r="B3430" s="51">
        <f t="shared" si="159"/>
        <v>4968</v>
      </c>
      <c r="C3430" s="49">
        <f>HLOOKUP("# Cores",'vHosts (Imported)'!$1:$5000,M3430,FALSE)</f>
        <v>0</v>
      </c>
      <c r="D3430" s="52">
        <f>HLOOKUP("# Memory",'vHosts (Imported)'!$1:$5000,M3430,FALSE)</f>
        <v>0</v>
      </c>
      <c r="M3430" s="45">
        <f t="shared" si="161"/>
        <v>3430</v>
      </c>
      <c r="N3430" s="38">
        <f>HLOOKUP("Host",'vInfo (Imported)'!$1:$5000,M3430,FALSE)</f>
        <v>0</v>
      </c>
      <c r="R3430">
        <f>HLOOKUP("CPUs",'vInfo (Imported)'!$1:$5000,M3430,FALSE)</f>
        <v>0</v>
      </c>
      <c r="S3430">
        <f>HLOOKUP("Memory",'vInfo (Imported)'!$1:$5000,M3430,FALSE)</f>
        <v>0</v>
      </c>
      <c r="T3430">
        <f>HLOOKUP("Provisioned MiB",'vInfo (Imported)'!$1:$5000,M3430,FALSE)</f>
        <v>0</v>
      </c>
      <c r="U3430">
        <f t="shared" si="160"/>
        <v>0</v>
      </c>
      <c r="V3430">
        <f>HLOOKUP("In Use MiB",'vInfo (Imported)'!$1:$5000,M3430,FALSE)</f>
        <v>0</v>
      </c>
    </row>
    <row r="3431" spans="1:22" ht="13" x14ac:dyDescent="0.3">
      <c r="A3431" s="46">
        <f>'vHosts (Imported)'!A3431</f>
        <v>0</v>
      </c>
      <c r="B3431" s="51">
        <f t="shared" si="159"/>
        <v>4968</v>
      </c>
      <c r="C3431" s="49">
        <f>HLOOKUP("# Cores",'vHosts (Imported)'!$1:$5000,M3431,FALSE)</f>
        <v>0</v>
      </c>
      <c r="D3431" s="52">
        <f>HLOOKUP("# Memory",'vHosts (Imported)'!$1:$5000,M3431,FALSE)</f>
        <v>0</v>
      </c>
      <c r="M3431" s="45">
        <f t="shared" si="161"/>
        <v>3431</v>
      </c>
      <c r="N3431" s="38">
        <f>HLOOKUP("Host",'vInfo (Imported)'!$1:$5000,M3431,FALSE)</f>
        <v>0</v>
      </c>
      <c r="R3431">
        <f>HLOOKUP("CPUs",'vInfo (Imported)'!$1:$5000,M3431,FALSE)</f>
        <v>0</v>
      </c>
      <c r="S3431">
        <f>HLOOKUP("Memory",'vInfo (Imported)'!$1:$5000,M3431,FALSE)</f>
        <v>0</v>
      </c>
      <c r="T3431">
        <f>HLOOKUP("Provisioned MiB",'vInfo (Imported)'!$1:$5000,M3431,FALSE)</f>
        <v>0</v>
      </c>
      <c r="U3431">
        <f t="shared" si="160"/>
        <v>0</v>
      </c>
      <c r="V3431">
        <f>HLOOKUP("In Use MiB",'vInfo (Imported)'!$1:$5000,M3431,FALSE)</f>
        <v>0</v>
      </c>
    </row>
    <row r="3432" spans="1:22" ht="13" x14ac:dyDescent="0.3">
      <c r="A3432" s="46">
        <f>'vHosts (Imported)'!A3432</f>
        <v>0</v>
      </c>
      <c r="B3432" s="51">
        <f t="shared" ref="B3432:B3495" si="162">COUNTIF(N:N,A3432)</f>
        <v>4968</v>
      </c>
      <c r="C3432" s="49">
        <f>HLOOKUP("# Cores",'vHosts (Imported)'!$1:$5000,M3432,FALSE)</f>
        <v>0</v>
      </c>
      <c r="D3432" s="52">
        <f>HLOOKUP("# Memory",'vHosts (Imported)'!$1:$5000,M3432,FALSE)</f>
        <v>0</v>
      </c>
      <c r="M3432" s="45">
        <f t="shared" si="161"/>
        <v>3432</v>
      </c>
      <c r="N3432" s="38">
        <f>HLOOKUP("Host",'vInfo (Imported)'!$1:$5000,M3432,FALSE)</f>
        <v>0</v>
      </c>
      <c r="R3432">
        <f>HLOOKUP("CPUs",'vInfo (Imported)'!$1:$5000,M3432,FALSE)</f>
        <v>0</v>
      </c>
      <c r="S3432">
        <f>HLOOKUP("Memory",'vInfo (Imported)'!$1:$5000,M3432,FALSE)</f>
        <v>0</v>
      </c>
      <c r="T3432">
        <f>HLOOKUP("Provisioned MiB",'vInfo (Imported)'!$1:$5000,M3432,FALSE)</f>
        <v>0</v>
      </c>
      <c r="U3432">
        <f t="shared" si="160"/>
        <v>0</v>
      </c>
      <c r="V3432">
        <f>HLOOKUP("In Use MiB",'vInfo (Imported)'!$1:$5000,M3432,FALSE)</f>
        <v>0</v>
      </c>
    </row>
    <row r="3433" spans="1:22" ht="13" x14ac:dyDescent="0.3">
      <c r="A3433" s="46">
        <f>'vHosts (Imported)'!A3433</f>
        <v>0</v>
      </c>
      <c r="B3433" s="51">
        <f t="shared" si="162"/>
        <v>4968</v>
      </c>
      <c r="C3433" s="49">
        <f>HLOOKUP("# Cores",'vHosts (Imported)'!$1:$5000,M3433,FALSE)</f>
        <v>0</v>
      </c>
      <c r="D3433" s="52">
        <f>HLOOKUP("# Memory",'vHosts (Imported)'!$1:$5000,M3433,FALSE)</f>
        <v>0</v>
      </c>
      <c r="M3433" s="45">
        <f t="shared" si="161"/>
        <v>3433</v>
      </c>
      <c r="N3433" s="38">
        <f>HLOOKUP("Host",'vInfo (Imported)'!$1:$5000,M3433,FALSE)</f>
        <v>0</v>
      </c>
      <c r="R3433">
        <f>HLOOKUP("CPUs",'vInfo (Imported)'!$1:$5000,M3433,FALSE)</f>
        <v>0</v>
      </c>
      <c r="S3433">
        <f>HLOOKUP("Memory",'vInfo (Imported)'!$1:$5000,M3433,FALSE)</f>
        <v>0</v>
      </c>
      <c r="T3433">
        <f>HLOOKUP("Provisioned MiB",'vInfo (Imported)'!$1:$5000,M3433,FALSE)</f>
        <v>0</v>
      </c>
      <c r="U3433">
        <f t="shared" si="160"/>
        <v>0</v>
      </c>
      <c r="V3433">
        <f>HLOOKUP("In Use MiB",'vInfo (Imported)'!$1:$5000,M3433,FALSE)</f>
        <v>0</v>
      </c>
    </row>
    <row r="3434" spans="1:22" ht="13" x14ac:dyDescent="0.3">
      <c r="A3434" s="46">
        <f>'vHosts (Imported)'!A3434</f>
        <v>0</v>
      </c>
      <c r="B3434" s="51">
        <f t="shared" si="162"/>
        <v>4968</v>
      </c>
      <c r="C3434" s="49">
        <f>HLOOKUP("# Cores",'vHosts (Imported)'!$1:$5000,M3434,FALSE)</f>
        <v>0</v>
      </c>
      <c r="D3434" s="52">
        <f>HLOOKUP("# Memory",'vHosts (Imported)'!$1:$5000,M3434,FALSE)</f>
        <v>0</v>
      </c>
      <c r="M3434" s="45">
        <f t="shared" si="161"/>
        <v>3434</v>
      </c>
      <c r="N3434" s="38">
        <f>HLOOKUP("Host",'vInfo (Imported)'!$1:$5000,M3434,FALSE)</f>
        <v>0</v>
      </c>
      <c r="R3434">
        <f>HLOOKUP("CPUs",'vInfo (Imported)'!$1:$5000,M3434,FALSE)</f>
        <v>0</v>
      </c>
      <c r="S3434">
        <f>HLOOKUP("Memory",'vInfo (Imported)'!$1:$5000,M3434,FALSE)</f>
        <v>0</v>
      </c>
      <c r="T3434">
        <f>HLOOKUP("Provisioned MiB",'vInfo (Imported)'!$1:$5000,M3434,FALSE)</f>
        <v>0</v>
      </c>
      <c r="U3434">
        <f t="shared" si="160"/>
        <v>0</v>
      </c>
      <c r="V3434">
        <f>HLOOKUP("In Use MiB",'vInfo (Imported)'!$1:$5000,M3434,FALSE)</f>
        <v>0</v>
      </c>
    </row>
    <row r="3435" spans="1:22" ht="13" x14ac:dyDescent="0.3">
      <c r="A3435" s="46">
        <f>'vHosts (Imported)'!A3435</f>
        <v>0</v>
      </c>
      <c r="B3435" s="51">
        <f t="shared" si="162"/>
        <v>4968</v>
      </c>
      <c r="C3435" s="49">
        <f>HLOOKUP("# Cores",'vHosts (Imported)'!$1:$5000,M3435,FALSE)</f>
        <v>0</v>
      </c>
      <c r="D3435" s="52">
        <f>HLOOKUP("# Memory",'vHosts (Imported)'!$1:$5000,M3435,FALSE)</f>
        <v>0</v>
      </c>
      <c r="M3435" s="45">
        <f t="shared" si="161"/>
        <v>3435</v>
      </c>
      <c r="N3435" s="38">
        <f>HLOOKUP("Host",'vInfo (Imported)'!$1:$5000,M3435,FALSE)</f>
        <v>0</v>
      </c>
      <c r="R3435">
        <f>HLOOKUP("CPUs",'vInfo (Imported)'!$1:$5000,M3435,FALSE)</f>
        <v>0</v>
      </c>
      <c r="S3435">
        <f>HLOOKUP("Memory",'vInfo (Imported)'!$1:$5000,M3435,FALSE)</f>
        <v>0</v>
      </c>
      <c r="T3435">
        <f>HLOOKUP("Provisioned MiB",'vInfo (Imported)'!$1:$5000,M3435,FALSE)</f>
        <v>0</v>
      </c>
      <c r="U3435">
        <f t="shared" si="160"/>
        <v>0</v>
      </c>
      <c r="V3435">
        <f>HLOOKUP("In Use MiB",'vInfo (Imported)'!$1:$5000,M3435,FALSE)</f>
        <v>0</v>
      </c>
    </row>
    <row r="3436" spans="1:22" ht="13" x14ac:dyDescent="0.3">
      <c r="A3436" s="46">
        <f>'vHosts (Imported)'!A3436</f>
        <v>0</v>
      </c>
      <c r="B3436" s="51">
        <f t="shared" si="162"/>
        <v>4968</v>
      </c>
      <c r="C3436" s="49">
        <f>HLOOKUP("# Cores",'vHosts (Imported)'!$1:$5000,M3436,FALSE)</f>
        <v>0</v>
      </c>
      <c r="D3436" s="52">
        <f>HLOOKUP("# Memory",'vHosts (Imported)'!$1:$5000,M3436,FALSE)</f>
        <v>0</v>
      </c>
      <c r="M3436" s="45">
        <f t="shared" si="161"/>
        <v>3436</v>
      </c>
      <c r="N3436" s="38">
        <f>HLOOKUP("Host",'vInfo (Imported)'!$1:$5000,M3436,FALSE)</f>
        <v>0</v>
      </c>
      <c r="R3436">
        <f>HLOOKUP("CPUs",'vInfo (Imported)'!$1:$5000,M3436,FALSE)</f>
        <v>0</v>
      </c>
      <c r="S3436">
        <f>HLOOKUP("Memory",'vInfo (Imported)'!$1:$5000,M3436,FALSE)</f>
        <v>0</v>
      </c>
      <c r="T3436">
        <f>HLOOKUP("Provisioned MiB",'vInfo (Imported)'!$1:$5000,M3436,FALSE)</f>
        <v>0</v>
      </c>
      <c r="U3436">
        <f t="shared" si="160"/>
        <v>0</v>
      </c>
      <c r="V3436">
        <f>HLOOKUP("In Use MiB",'vInfo (Imported)'!$1:$5000,M3436,FALSE)</f>
        <v>0</v>
      </c>
    </row>
    <row r="3437" spans="1:22" ht="13" x14ac:dyDescent="0.3">
      <c r="A3437" s="46">
        <f>'vHosts (Imported)'!A3437</f>
        <v>0</v>
      </c>
      <c r="B3437" s="51">
        <f t="shared" si="162"/>
        <v>4968</v>
      </c>
      <c r="C3437" s="49">
        <f>HLOOKUP("# Cores",'vHosts (Imported)'!$1:$5000,M3437,FALSE)</f>
        <v>0</v>
      </c>
      <c r="D3437" s="52">
        <f>HLOOKUP("# Memory",'vHosts (Imported)'!$1:$5000,M3437,FALSE)</f>
        <v>0</v>
      </c>
      <c r="M3437" s="45">
        <f t="shared" si="161"/>
        <v>3437</v>
      </c>
      <c r="N3437" s="38">
        <f>HLOOKUP("Host",'vInfo (Imported)'!$1:$5000,M3437,FALSE)</f>
        <v>0</v>
      </c>
      <c r="R3437">
        <f>HLOOKUP("CPUs",'vInfo (Imported)'!$1:$5000,M3437,FALSE)</f>
        <v>0</v>
      </c>
      <c r="S3437">
        <f>HLOOKUP("Memory",'vInfo (Imported)'!$1:$5000,M3437,FALSE)</f>
        <v>0</v>
      </c>
      <c r="T3437">
        <f>HLOOKUP("Provisioned MiB",'vInfo (Imported)'!$1:$5000,M3437,FALSE)</f>
        <v>0</v>
      </c>
      <c r="U3437">
        <f t="shared" si="160"/>
        <v>0</v>
      </c>
      <c r="V3437">
        <f>HLOOKUP("In Use MiB",'vInfo (Imported)'!$1:$5000,M3437,FALSE)</f>
        <v>0</v>
      </c>
    </row>
    <row r="3438" spans="1:22" ht="13" x14ac:dyDescent="0.3">
      <c r="A3438" s="46">
        <f>'vHosts (Imported)'!A3438</f>
        <v>0</v>
      </c>
      <c r="B3438" s="51">
        <f t="shared" si="162"/>
        <v>4968</v>
      </c>
      <c r="C3438" s="49">
        <f>HLOOKUP("# Cores",'vHosts (Imported)'!$1:$5000,M3438,FALSE)</f>
        <v>0</v>
      </c>
      <c r="D3438" s="52">
        <f>HLOOKUP("# Memory",'vHosts (Imported)'!$1:$5000,M3438,FALSE)</f>
        <v>0</v>
      </c>
      <c r="M3438" s="45">
        <f t="shared" si="161"/>
        <v>3438</v>
      </c>
      <c r="N3438" s="38">
        <f>HLOOKUP("Host",'vInfo (Imported)'!$1:$5000,M3438,FALSE)</f>
        <v>0</v>
      </c>
      <c r="R3438">
        <f>HLOOKUP("CPUs",'vInfo (Imported)'!$1:$5000,M3438,FALSE)</f>
        <v>0</v>
      </c>
      <c r="S3438">
        <f>HLOOKUP("Memory",'vInfo (Imported)'!$1:$5000,M3438,FALSE)</f>
        <v>0</v>
      </c>
      <c r="T3438">
        <f>HLOOKUP("Provisioned MiB",'vInfo (Imported)'!$1:$5000,M3438,FALSE)</f>
        <v>0</v>
      </c>
      <c r="U3438">
        <f t="shared" si="160"/>
        <v>0</v>
      </c>
      <c r="V3438">
        <f>HLOOKUP("In Use MiB",'vInfo (Imported)'!$1:$5000,M3438,FALSE)</f>
        <v>0</v>
      </c>
    </row>
    <row r="3439" spans="1:22" ht="13" x14ac:dyDescent="0.3">
      <c r="A3439" s="46">
        <f>'vHosts (Imported)'!A3439</f>
        <v>0</v>
      </c>
      <c r="B3439" s="51">
        <f t="shared" si="162"/>
        <v>4968</v>
      </c>
      <c r="C3439" s="49">
        <f>HLOOKUP("# Cores",'vHosts (Imported)'!$1:$5000,M3439,FALSE)</f>
        <v>0</v>
      </c>
      <c r="D3439" s="52">
        <f>HLOOKUP("# Memory",'vHosts (Imported)'!$1:$5000,M3439,FALSE)</f>
        <v>0</v>
      </c>
      <c r="M3439" s="45">
        <f t="shared" si="161"/>
        <v>3439</v>
      </c>
      <c r="N3439" s="38">
        <f>HLOOKUP("Host",'vInfo (Imported)'!$1:$5000,M3439,FALSE)</f>
        <v>0</v>
      </c>
      <c r="R3439">
        <f>HLOOKUP("CPUs",'vInfo (Imported)'!$1:$5000,M3439,FALSE)</f>
        <v>0</v>
      </c>
      <c r="S3439">
        <f>HLOOKUP("Memory",'vInfo (Imported)'!$1:$5000,M3439,FALSE)</f>
        <v>0</v>
      </c>
      <c r="T3439">
        <f>HLOOKUP("Provisioned MiB",'vInfo (Imported)'!$1:$5000,M3439,FALSE)</f>
        <v>0</v>
      </c>
      <c r="U3439">
        <f t="shared" si="160"/>
        <v>0</v>
      </c>
      <c r="V3439">
        <f>HLOOKUP("In Use MiB",'vInfo (Imported)'!$1:$5000,M3439,FALSE)</f>
        <v>0</v>
      </c>
    </row>
    <row r="3440" spans="1:22" ht="13" x14ac:dyDescent="0.3">
      <c r="A3440" s="46">
        <f>'vHosts (Imported)'!A3440</f>
        <v>0</v>
      </c>
      <c r="B3440" s="51">
        <f t="shared" si="162"/>
        <v>4968</v>
      </c>
      <c r="C3440" s="49">
        <f>HLOOKUP("# Cores",'vHosts (Imported)'!$1:$5000,M3440,FALSE)</f>
        <v>0</v>
      </c>
      <c r="D3440" s="52">
        <f>HLOOKUP("# Memory",'vHosts (Imported)'!$1:$5000,M3440,FALSE)</f>
        <v>0</v>
      </c>
      <c r="M3440" s="45">
        <f t="shared" si="161"/>
        <v>3440</v>
      </c>
      <c r="N3440" s="38">
        <f>HLOOKUP("Host",'vInfo (Imported)'!$1:$5000,M3440,FALSE)</f>
        <v>0</v>
      </c>
      <c r="R3440">
        <f>HLOOKUP("CPUs",'vInfo (Imported)'!$1:$5000,M3440,FALSE)</f>
        <v>0</v>
      </c>
      <c r="S3440">
        <f>HLOOKUP("Memory",'vInfo (Imported)'!$1:$5000,M3440,FALSE)</f>
        <v>0</v>
      </c>
      <c r="T3440">
        <f>HLOOKUP("Provisioned MiB",'vInfo (Imported)'!$1:$5000,M3440,FALSE)</f>
        <v>0</v>
      </c>
      <c r="U3440">
        <f t="shared" si="160"/>
        <v>0</v>
      </c>
      <c r="V3440">
        <f>HLOOKUP("In Use MiB",'vInfo (Imported)'!$1:$5000,M3440,FALSE)</f>
        <v>0</v>
      </c>
    </row>
    <row r="3441" spans="1:22" ht="13" x14ac:dyDescent="0.3">
      <c r="A3441" s="46">
        <f>'vHosts (Imported)'!A3441</f>
        <v>0</v>
      </c>
      <c r="B3441" s="51">
        <f t="shared" si="162"/>
        <v>4968</v>
      </c>
      <c r="C3441" s="49">
        <f>HLOOKUP("# Cores",'vHosts (Imported)'!$1:$5000,M3441,FALSE)</f>
        <v>0</v>
      </c>
      <c r="D3441" s="52">
        <f>HLOOKUP("# Memory",'vHosts (Imported)'!$1:$5000,M3441,FALSE)</f>
        <v>0</v>
      </c>
      <c r="M3441" s="45">
        <f t="shared" si="161"/>
        <v>3441</v>
      </c>
      <c r="N3441" s="38">
        <f>HLOOKUP("Host",'vInfo (Imported)'!$1:$5000,M3441,FALSE)</f>
        <v>0</v>
      </c>
      <c r="R3441">
        <f>HLOOKUP("CPUs",'vInfo (Imported)'!$1:$5000,M3441,FALSE)</f>
        <v>0</v>
      </c>
      <c r="S3441">
        <f>HLOOKUP("Memory",'vInfo (Imported)'!$1:$5000,M3441,FALSE)</f>
        <v>0</v>
      </c>
      <c r="T3441">
        <f>HLOOKUP("Provisioned MiB",'vInfo (Imported)'!$1:$5000,M3441,FALSE)</f>
        <v>0</v>
      </c>
      <c r="U3441">
        <f t="shared" si="160"/>
        <v>0</v>
      </c>
      <c r="V3441">
        <f>HLOOKUP("In Use MiB",'vInfo (Imported)'!$1:$5000,M3441,FALSE)</f>
        <v>0</v>
      </c>
    </row>
    <row r="3442" spans="1:22" ht="13" x14ac:dyDescent="0.3">
      <c r="A3442" s="46">
        <f>'vHosts (Imported)'!A3442</f>
        <v>0</v>
      </c>
      <c r="B3442" s="51">
        <f t="shared" si="162"/>
        <v>4968</v>
      </c>
      <c r="C3442" s="49">
        <f>HLOOKUP("# Cores",'vHosts (Imported)'!$1:$5000,M3442,FALSE)</f>
        <v>0</v>
      </c>
      <c r="D3442" s="52">
        <f>HLOOKUP("# Memory",'vHosts (Imported)'!$1:$5000,M3442,FALSE)</f>
        <v>0</v>
      </c>
      <c r="M3442" s="45">
        <f t="shared" si="161"/>
        <v>3442</v>
      </c>
      <c r="N3442" s="38">
        <f>HLOOKUP("Host",'vInfo (Imported)'!$1:$5000,M3442,FALSE)</f>
        <v>0</v>
      </c>
      <c r="R3442">
        <f>HLOOKUP("CPUs",'vInfo (Imported)'!$1:$5000,M3442,FALSE)</f>
        <v>0</v>
      </c>
      <c r="S3442">
        <f>HLOOKUP("Memory",'vInfo (Imported)'!$1:$5000,M3442,FALSE)</f>
        <v>0</v>
      </c>
      <c r="T3442">
        <f>HLOOKUP("Provisioned MiB",'vInfo (Imported)'!$1:$5000,M3442,FALSE)</f>
        <v>0</v>
      </c>
      <c r="U3442">
        <f t="shared" si="160"/>
        <v>0</v>
      </c>
      <c r="V3442">
        <f>HLOOKUP("In Use MiB",'vInfo (Imported)'!$1:$5000,M3442,FALSE)</f>
        <v>0</v>
      </c>
    </row>
    <row r="3443" spans="1:22" ht="13" x14ac:dyDescent="0.3">
      <c r="A3443" s="46">
        <f>'vHosts (Imported)'!A3443</f>
        <v>0</v>
      </c>
      <c r="B3443" s="51">
        <f t="shared" si="162"/>
        <v>4968</v>
      </c>
      <c r="C3443" s="49">
        <f>HLOOKUP("# Cores",'vHosts (Imported)'!$1:$5000,M3443,FALSE)</f>
        <v>0</v>
      </c>
      <c r="D3443" s="52">
        <f>HLOOKUP("# Memory",'vHosts (Imported)'!$1:$5000,M3443,FALSE)</f>
        <v>0</v>
      </c>
      <c r="M3443" s="45">
        <f t="shared" si="161"/>
        <v>3443</v>
      </c>
      <c r="N3443" s="38">
        <f>HLOOKUP("Host",'vInfo (Imported)'!$1:$5000,M3443,FALSE)</f>
        <v>0</v>
      </c>
      <c r="R3443">
        <f>HLOOKUP("CPUs",'vInfo (Imported)'!$1:$5000,M3443,FALSE)</f>
        <v>0</v>
      </c>
      <c r="S3443">
        <f>HLOOKUP("Memory",'vInfo (Imported)'!$1:$5000,M3443,FALSE)</f>
        <v>0</v>
      </c>
      <c r="T3443">
        <f>HLOOKUP("Provisioned MiB",'vInfo (Imported)'!$1:$5000,M3443,FALSE)</f>
        <v>0</v>
      </c>
      <c r="U3443">
        <f t="shared" si="160"/>
        <v>0</v>
      </c>
      <c r="V3443">
        <f>HLOOKUP("In Use MiB",'vInfo (Imported)'!$1:$5000,M3443,FALSE)</f>
        <v>0</v>
      </c>
    </row>
    <row r="3444" spans="1:22" ht="13" x14ac:dyDescent="0.3">
      <c r="A3444" s="46">
        <f>'vHosts (Imported)'!A3444</f>
        <v>0</v>
      </c>
      <c r="B3444" s="51">
        <f t="shared" si="162"/>
        <v>4968</v>
      </c>
      <c r="C3444" s="49">
        <f>HLOOKUP("# Cores",'vHosts (Imported)'!$1:$5000,M3444,FALSE)</f>
        <v>0</v>
      </c>
      <c r="D3444" s="52">
        <f>HLOOKUP("# Memory",'vHosts (Imported)'!$1:$5000,M3444,FALSE)</f>
        <v>0</v>
      </c>
      <c r="M3444" s="45">
        <f t="shared" si="161"/>
        <v>3444</v>
      </c>
      <c r="N3444" s="38">
        <f>HLOOKUP("Host",'vInfo (Imported)'!$1:$5000,M3444,FALSE)</f>
        <v>0</v>
      </c>
      <c r="R3444">
        <f>HLOOKUP("CPUs",'vInfo (Imported)'!$1:$5000,M3444,FALSE)</f>
        <v>0</v>
      </c>
      <c r="S3444">
        <f>HLOOKUP("Memory",'vInfo (Imported)'!$1:$5000,M3444,FALSE)</f>
        <v>0</v>
      </c>
      <c r="T3444">
        <f>HLOOKUP("Provisioned MiB",'vInfo (Imported)'!$1:$5000,M3444,FALSE)</f>
        <v>0</v>
      </c>
      <c r="U3444">
        <f t="shared" si="160"/>
        <v>0</v>
      </c>
      <c r="V3444">
        <f>HLOOKUP("In Use MiB",'vInfo (Imported)'!$1:$5000,M3444,FALSE)</f>
        <v>0</v>
      </c>
    </row>
    <row r="3445" spans="1:22" ht="13" x14ac:dyDescent="0.3">
      <c r="A3445" s="46">
        <f>'vHosts (Imported)'!A3445</f>
        <v>0</v>
      </c>
      <c r="B3445" s="51">
        <f t="shared" si="162"/>
        <v>4968</v>
      </c>
      <c r="C3445" s="49">
        <f>HLOOKUP("# Cores",'vHosts (Imported)'!$1:$5000,M3445,FALSE)</f>
        <v>0</v>
      </c>
      <c r="D3445" s="52">
        <f>HLOOKUP("# Memory",'vHosts (Imported)'!$1:$5000,M3445,FALSE)</f>
        <v>0</v>
      </c>
      <c r="M3445" s="45">
        <f t="shared" si="161"/>
        <v>3445</v>
      </c>
      <c r="N3445" s="38">
        <f>HLOOKUP("Host",'vInfo (Imported)'!$1:$5000,M3445,FALSE)</f>
        <v>0</v>
      </c>
      <c r="R3445">
        <f>HLOOKUP("CPUs",'vInfo (Imported)'!$1:$5000,M3445,FALSE)</f>
        <v>0</v>
      </c>
      <c r="S3445">
        <f>HLOOKUP("Memory",'vInfo (Imported)'!$1:$5000,M3445,FALSE)</f>
        <v>0</v>
      </c>
      <c r="T3445">
        <f>HLOOKUP("Provisioned MiB",'vInfo (Imported)'!$1:$5000,M3445,FALSE)</f>
        <v>0</v>
      </c>
      <c r="U3445">
        <f t="shared" si="160"/>
        <v>0</v>
      </c>
      <c r="V3445">
        <f>HLOOKUP("In Use MiB",'vInfo (Imported)'!$1:$5000,M3445,FALSE)</f>
        <v>0</v>
      </c>
    </row>
    <row r="3446" spans="1:22" ht="13" x14ac:dyDescent="0.3">
      <c r="A3446" s="46">
        <f>'vHosts (Imported)'!A3446</f>
        <v>0</v>
      </c>
      <c r="B3446" s="51">
        <f t="shared" si="162"/>
        <v>4968</v>
      </c>
      <c r="C3446" s="49">
        <f>HLOOKUP("# Cores",'vHosts (Imported)'!$1:$5000,M3446,FALSE)</f>
        <v>0</v>
      </c>
      <c r="D3446" s="52">
        <f>HLOOKUP("# Memory",'vHosts (Imported)'!$1:$5000,M3446,FALSE)</f>
        <v>0</v>
      </c>
      <c r="M3446" s="45">
        <f t="shared" si="161"/>
        <v>3446</v>
      </c>
      <c r="N3446" s="38">
        <f>HLOOKUP("Host",'vInfo (Imported)'!$1:$5000,M3446,FALSE)</f>
        <v>0</v>
      </c>
      <c r="R3446">
        <f>HLOOKUP("CPUs",'vInfo (Imported)'!$1:$5000,M3446,FALSE)</f>
        <v>0</v>
      </c>
      <c r="S3446">
        <f>HLOOKUP("Memory",'vInfo (Imported)'!$1:$5000,M3446,FALSE)</f>
        <v>0</v>
      </c>
      <c r="T3446">
        <f>HLOOKUP("Provisioned MiB",'vInfo (Imported)'!$1:$5000,M3446,FALSE)</f>
        <v>0</v>
      </c>
      <c r="U3446">
        <f t="shared" si="160"/>
        <v>0</v>
      </c>
      <c r="V3446">
        <f>HLOOKUP("In Use MiB",'vInfo (Imported)'!$1:$5000,M3446,FALSE)</f>
        <v>0</v>
      </c>
    </row>
    <row r="3447" spans="1:22" ht="13" x14ac:dyDescent="0.3">
      <c r="A3447" s="46">
        <f>'vHosts (Imported)'!A3447</f>
        <v>0</v>
      </c>
      <c r="B3447" s="51">
        <f t="shared" si="162"/>
        <v>4968</v>
      </c>
      <c r="C3447" s="49">
        <f>HLOOKUP("# Cores",'vHosts (Imported)'!$1:$5000,M3447,FALSE)</f>
        <v>0</v>
      </c>
      <c r="D3447" s="52">
        <f>HLOOKUP("# Memory",'vHosts (Imported)'!$1:$5000,M3447,FALSE)</f>
        <v>0</v>
      </c>
      <c r="M3447" s="45">
        <f t="shared" si="161"/>
        <v>3447</v>
      </c>
      <c r="N3447" s="38">
        <f>HLOOKUP("Host",'vInfo (Imported)'!$1:$5000,M3447,FALSE)</f>
        <v>0</v>
      </c>
      <c r="R3447">
        <f>HLOOKUP("CPUs",'vInfo (Imported)'!$1:$5000,M3447,FALSE)</f>
        <v>0</v>
      </c>
      <c r="S3447">
        <f>HLOOKUP("Memory",'vInfo (Imported)'!$1:$5000,M3447,FALSE)</f>
        <v>0</v>
      </c>
      <c r="T3447">
        <f>HLOOKUP("Provisioned MiB",'vInfo (Imported)'!$1:$5000,M3447,FALSE)</f>
        <v>0</v>
      </c>
      <c r="U3447">
        <f t="shared" si="160"/>
        <v>0</v>
      </c>
      <c r="V3447">
        <f>HLOOKUP("In Use MiB",'vInfo (Imported)'!$1:$5000,M3447,FALSE)</f>
        <v>0</v>
      </c>
    </row>
    <row r="3448" spans="1:22" ht="13" x14ac:dyDescent="0.3">
      <c r="A3448" s="46">
        <f>'vHosts (Imported)'!A3448</f>
        <v>0</v>
      </c>
      <c r="B3448" s="51">
        <f t="shared" si="162"/>
        <v>4968</v>
      </c>
      <c r="C3448" s="49">
        <f>HLOOKUP("# Cores",'vHosts (Imported)'!$1:$5000,M3448,FALSE)</f>
        <v>0</v>
      </c>
      <c r="D3448" s="52">
        <f>HLOOKUP("# Memory",'vHosts (Imported)'!$1:$5000,M3448,FALSE)</f>
        <v>0</v>
      </c>
      <c r="M3448" s="45">
        <f t="shared" si="161"/>
        <v>3448</v>
      </c>
      <c r="N3448" s="38">
        <f>HLOOKUP("Host",'vInfo (Imported)'!$1:$5000,M3448,FALSE)</f>
        <v>0</v>
      </c>
      <c r="R3448">
        <f>HLOOKUP("CPUs",'vInfo (Imported)'!$1:$5000,M3448,FALSE)</f>
        <v>0</v>
      </c>
      <c r="S3448">
        <f>HLOOKUP("Memory",'vInfo (Imported)'!$1:$5000,M3448,FALSE)</f>
        <v>0</v>
      </c>
      <c r="T3448">
        <f>HLOOKUP("Provisioned MiB",'vInfo (Imported)'!$1:$5000,M3448,FALSE)</f>
        <v>0</v>
      </c>
      <c r="U3448">
        <f t="shared" si="160"/>
        <v>0</v>
      </c>
      <c r="V3448">
        <f>HLOOKUP("In Use MiB",'vInfo (Imported)'!$1:$5000,M3448,FALSE)</f>
        <v>0</v>
      </c>
    </row>
    <row r="3449" spans="1:22" ht="13" x14ac:dyDescent="0.3">
      <c r="A3449" s="46">
        <f>'vHosts (Imported)'!A3449</f>
        <v>0</v>
      </c>
      <c r="B3449" s="51">
        <f t="shared" si="162"/>
        <v>4968</v>
      </c>
      <c r="C3449" s="49">
        <f>HLOOKUP("# Cores",'vHosts (Imported)'!$1:$5000,M3449,FALSE)</f>
        <v>0</v>
      </c>
      <c r="D3449" s="52">
        <f>HLOOKUP("# Memory",'vHosts (Imported)'!$1:$5000,M3449,FALSE)</f>
        <v>0</v>
      </c>
      <c r="M3449" s="45">
        <f t="shared" si="161"/>
        <v>3449</v>
      </c>
      <c r="N3449" s="38">
        <f>HLOOKUP("Host",'vInfo (Imported)'!$1:$5000,M3449,FALSE)</f>
        <v>0</v>
      </c>
      <c r="R3449">
        <f>HLOOKUP("CPUs",'vInfo (Imported)'!$1:$5000,M3449,FALSE)</f>
        <v>0</v>
      </c>
      <c r="S3449">
        <f>HLOOKUP("Memory",'vInfo (Imported)'!$1:$5000,M3449,FALSE)</f>
        <v>0</v>
      </c>
      <c r="T3449">
        <f>HLOOKUP("Provisioned MiB",'vInfo (Imported)'!$1:$5000,M3449,FALSE)</f>
        <v>0</v>
      </c>
      <c r="U3449">
        <f t="shared" si="160"/>
        <v>0</v>
      </c>
      <c r="V3449">
        <f>HLOOKUP("In Use MiB",'vInfo (Imported)'!$1:$5000,M3449,FALSE)</f>
        <v>0</v>
      </c>
    </row>
    <row r="3450" spans="1:22" ht="13" x14ac:dyDescent="0.3">
      <c r="A3450" s="46">
        <f>'vHosts (Imported)'!A3450</f>
        <v>0</v>
      </c>
      <c r="B3450" s="51">
        <f t="shared" si="162"/>
        <v>4968</v>
      </c>
      <c r="C3450" s="49">
        <f>HLOOKUP("# Cores",'vHosts (Imported)'!$1:$5000,M3450,FALSE)</f>
        <v>0</v>
      </c>
      <c r="D3450" s="52">
        <f>HLOOKUP("# Memory",'vHosts (Imported)'!$1:$5000,M3450,FALSE)</f>
        <v>0</v>
      </c>
      <c r="M3450" s="45">
        <f t="shared" si="161"/>
        <v>3450</v>
      </c>
      <c r="N3450" s="38">
        <f>HLOOKUP("Host",'vInfo (Imported)'!$1:$5000,M3450,FALSE)</f>
        <v>0</v>
      </c>
      <c r="R3450">
        <f>HLOOKUP("CPUs",'vInfo (Imported)'!$1:$5000,M3450,FALSE)</f>
        <v>0</v>
      </c>
      <c r="S3450">
        <f>HLOOKUP("Memory",'vInfo (Imported)'!$1:$5000,M3450,FALSE)</f>
        <v>0</v>
      </c>
      <c r="T3450">
        <f>HLOOKUP("Provisioned MiB",'vInfo (Imported)'!$1:$5000,M3450,FALSE)</f>
        <v>0</v>
      </c>
      <c r="U3450">
        <f t="shared" si="160"/>
        <v>0</v>
      </c>
      <c r="V3450">
        <f>HLOOKUP("In Use MiB",'vInfo (Imported)'!$1:$5000,M3450,FALSE)</f>
        <v>0</v>
      </c>
    </row>
    <row r="3451" spans="1:22" ht="13" x14ac:dyDescent="0.3">
      <c r="A3451" s="46">
        <f>'vHosts (Imported)'!A3451</f>
        <v>0</v>
      </c>
      <c r="B3451" s="51">
        <f t="shared" si="162"/>
        <v>4968</v>
      </c>
      <c r="C3451" s="49">
        <f>HLOOKUP("# Cores",'vHosts (Imported)'!$1:$5000,M3451,FALSE)</f>
        <v>0</v>
      </c>
      <c r="D3451" s="52">
        <f>HLOOKUP("# Memory",'vHosts (Imported)'!$1:$5000,M3451,FALSE)</f>
        <v>0</v>
      </c>
      <c r="M3451" s="45">
        <f t="shared" si="161"/>
        <v>3451</v>
      </c>
      <c r="N3451" s="38">
        <f>HLOOKUP("Host",'vInfo (Imported)'!$1:$5000,M3451,FALSE)</f>
        <v>0</v>
      </c>
      <c r="R3451">
        <f>HLOOKUP("CPUs",'vInfo (Imported)'!$1:$5000,M3451,FALSE)</f>
        <v>0</v>
      </c>
      <c r="S3451">
        <f>HLOOKUP("Memory",'vInfo (Imported)'!$1:$5000,M3451,FALSE)</f>
        <v>0</v>
      </c>
      <c r="T3451">
        <f>HLOOKUP("Provisioned MiB",'vInfo (Imported)'!$1:$5000,M3451,FALSE)</f>
        <v>0</v>
      </c>
      <c r="U3451">
        <f t="shared" si="160"/>
        <v>0</v>
      </c>
      <c r="V3451">
        <f>HLOOKUP("In Use MiB",'vInfo (Imported)'!$1:$5000,M3451,FALSE)</f>
        <v>0</v>
      </c>
    </row>
    <row r="3452" spans="1:22" ht="13" x14ac:dyDescent="0.3">
      <c r="A3452" s="46">
        <f>'vHosts (Imported)'!A3452</f>
        <v>0</v>
      </c>
      <c r="B3452" s="51">
        <f t="shared" si="162"/>
        <v>4968</v>
      </c>
      <c r="C3452" s="49">
        <f>HLOOKUP("# Cores",'vHosts (Imported)'!$1:$5000,M3452,FALSE)</f>
        <v>0</v>
      </c>
      <c r="D3452" s="52">
        <f>HLOOKUP("# Memory",'vHosts (Imported)'!$1:$5000,M3452,FALSE)</f>
        <v>0</v>
      </c>
      <c r="M3452" s="45">
        <f t="shared" si="161"/>
        <v>3452</v>
      </c>
      <c r="N3452" s="38">
        <f>HLOOKUP("Host",'vInfo (Imported)'!$1:$5000,M3452,FALSE)</f>
        <v>0</v>
      </c>
      <c r="R3452">
        <f>HLOOKUP("CPUs",'vInfo (Imported)'!$1:$5000,M3452,FALSE)</f>
        <v>0</v>
      </c>
      <c r="S3452">
        <f>HLOOKUP("Memory",'vInfo (Imported)'!$1:$5000,M3452,FALSE)</f>
        <v>0</v>
      </c>
      <c r="T3452">
        <f>HLOOKUP("Provisioned MiB",'vInfo (Imported)'!$1:$5000,M3452,FALSE)</f>
        <v>0</v>
      </c>
      <c r="U3452">
        <f t="shared" si="160"/>
        <v>0</v>
      </c>
      <c r="V3452">
        <f>HLOOKUP("In Use MiB",'vInfo (Imported)'!$1:$5000,M3452,FALSE)</f>
        <v>0</v>
      </c>
    </row>
    <row r="3453" spans="1:22" ht="13" x14ac:dyDescent="0.3">
      <c r="A3453" s="46">
        <f>'vHosts (Imported)'!A3453</f>
        <v>0</v>
      </c>
      <c r="B3453" s="51">
        <f t="shared" si="162"/>
        <v>4968</v>
      </c>
      <c r="C3453" s="49">
        <f>HLOOKUP("# Cores",'vHosts (Imported)'!$1:$5000,M3453,FALSE)</f>
        <v>0</v>
      </c>
      <c r="D3453" s="52">
        <f>HLOOKUP("# Memory",'vHosts (Imported)'!$1:$5000,M3453,FALSE)</f>
        <v>0</v>
      </c>
      <c r="M3453" s="45">
        <f t="shared" si="161"/>
        <v>3453</v>
      </c>
      <c r="N3453" s="38">
        <f>HLOOKUP("Host",'vInfo (Imported)'!$1:$5000,M3453,FALSE)</f>
        <v>0</v>
      </c>
      <c r="R3453">
        <f>HLOOKUP("CPUs",'vInfo (Imported)'!$1:$5000,M3453,FALSE)</f>
        <v>0</v>
      </c>
      <c r="S3453">
        <f>HLOOKUP("Memory",'vInfo (Imported)'!$1:$5000,M3453,FALSE)</f>
        <v>0</v>
      </c>
      <c r="T3453">
        <f>HLOOKUP("Provisioned MiB",'vInfo (Imported)'!$1:$5000,M3453,FALSE)</f>
        <v>0</v>
      </c>
      <c r="U3453">
        <f t="shared" si="160"/>
        <v>0</v>
      </c>
      <c r="V3453">
        <f>HLOOKUP("In Use MiB",'vInfo (Imported)'!$1:$5000,M3453,FALSE)</f>
        <v>0</v>
      </c>
    </row>
    <row r="3454" spans="1:22" ht="13" x14ac:dyDescent="0.3">
      <c r="A3454" s="46">
        <f>'vHosts (Imported)'!A3454</f>
        <v>0</v>
      </c>
      <c r="B3454" s="51">
        <f t="shared" si="162"/>
        <v>4968</v>
      </c>
      <c r="C3454" s="49">
        <f>HLOOKUP("# Cores",'vHosts (Imported)'!$1:$5000,M3454,FALSE)</f>
        <v>0</v>
      </c>
      <c r="D3454" s="52">
        <f>HLOOKUP("# Memory",'vHosts (Imported)'!$1:$5000,M3454,FALSE)</f>
        <v>0</v>
      </c>
      <c r="M3454" s="45">
        <f t="shared" si="161"/>
        <v>3454</v>
      </c>
      <c r="N3454" s="38">
        <f>HLOOKUP("Host",'vInfo (Imported)'!$1:$5000,M3454,FALSE)</f>
        <v>0</v>
      </c>
      <c r="R3454">
        <f>HLOOKUP("CPUs",'vInfo (Imported)'!$1:$5000,M3454,FALSE)</f>
        <v>0</v>
      </c>
      <c r="S3454">
        <f>HLOOKUP("Memory",'vInfo (Imported)'!$1:$5000,M3454,FALSE)</f>
        <v>0</v>
      </c>
      <c r="T3454">
        <f>HLOOKUP("Provisioned MiB",'vInfo (Imported)'!$1:$5000,M3454,FALSE)</f>
        <v>0</v>
      </c>
      <c r="U3454">
        <f t="shared" si="160"/>
        <v>0</v>
      </c>
      <c r="V3454">
        <f>HLOOKUP("In Use MiB",'vInfo (Imported)'!$1:$5000,M3454,FALSE)</f>
        <v>0</v>
      </c>
    </row>
    <row r="3455" spans="1:22" ht="13" x14ac:dyDescent="0.3">
      <c r="A3455" s="46">
        <f>'vHosts (Imported)'!A3455</f>
        <v>0</v>
      </c>
      <c r="B3455" s="51">
        <f t="shared" si="162"/>
        <v>4968</v>
      </c>
      <c r="C3455" s="49">
        <f>HLOOKUP("# Cores",'vHosts (Imported)'!$1:$5000,M3455,FALSE)</f>
        <v>0</v>
      </c>
      <c r="D3455" s="52">
        <f>HLOOKUP("# Memory",'vHosts (Imported)'!$1:$5000,M3455,FALSE)</f>
        <v>0</v>
      </c>
      <c r="M3455" s="45">
        <f t="shared" si="161"/>
        <v>3455</v>
      </c>
      <c r="N3455" s="38">
        <f>HLOOKUP("Host",'vInfo (Imported)'!$1:$5000,M3455,FALSE)</f>
        <v>0</v>
      </c>
      <c r="R3455">
        <f>HLOOKUP("CPUs",'vInfo (Imported)'!$1:$5000,M3455,FALSE)</f>
        <v>0</v>
      </c>
      <c r="S3455">
        <f>HLOOKUP("Memory",'vInfo (Imported)'!$1:$5000,M3455,FALSE)</f>
        <v>0</v>
      </c>
      <c r="T3455">
        <f>HLOOKUP("Provisioned MiB",'vInfo (Imported)'!$1:$5000,M3455,FALSE)</f>
        <v>0</v>
      </c>
      <c r="U3455">
        <f t="shared" si="160"/>
        <v>0</v>
      </c>
      <c r="V3455">
        <f>HLOOKUP("In Use MiB",'vInfo (Imported)'!$1:$5000,M3455,FALSE)</f>
        <v>0</v>
      </c>
    </row>
    <row r="3456" spans="1:22" ht="13" x14ac:dyDescent="0.3">
      <c r="A3456" s="46">
        <f>'vHosts (Imported)'!A3456</f>
        <v>0</v>
      </c>
      <c r="B3456" s="51">
        <f t="shared" si="162"/>
        <v>4968</v>
      </c>
      <c r="C3456" s="49">
        <f>HLOOKUP("# Cores",'vHosts (Imported)'!$1:$5000,M3456,FALSE)</f>
        <v>0</v>
      </c>
      <c r="D3456" s="52">
        <f>HLOOKUP("# Memory",'vHosts (Imported)'!$1:$5000,M3456,FALSE)</f>
        <v>0</v>
      </c>
      <c r="M3456" s="45">
        <f t="shared" si="161"/>
        <v>3456</v>
      </c>
      <c r="N3456" s="38">
        <f>HLOOKUP("Host",'vInfo (Imported)'!$1:$5000,M3456,FALSE)</f>
        <v>0</v>
      </c>
      <c r="R3456">
        <f>HLOOKUP("CPUs",'vInfo (Imported)'!$1:$5000,M3456,FALSE)</f>
        <v>0</v>
      </c>
      <c r="S3456">
        <f>HLOOKUP("Memory",'vInfo (Imported)'!$1:$5000,M3456,FALSE)</f>
        <v>0</v>
      </c>
      <c r="T3456">
        <f>HLOOKUP("Provisioned MiB",'vInfo (Imported)'!$1:$5000,M3456,FALSE)</f>
        <v>0</v>
      </c>
      <c r="U3456">
        <f t="shared" si="160"/>
        <v>0</v>
      </c>
      <c r="V3456">
        <f>HLOOKUP("In Use MiB",'vInfo (Imported)'!$1:$5000,M3456,FALSE)</f>
        <v>0</v>
      </c>
    </row>
    <row r="3457" spans="1:22" ht="13" x14ac:dyDescent="0.3">
      <c r="A3457" s="46">
        <f>'vHosts (Imported)'!A3457</f>
        <v>0</v>
      </c>
      <c r="B3457" s="51">
        <f t="shared" si="162"/>
        <v>4968</v>
      </c>
      <c r="C3457" s="49">
        <f>HLOOKUP("# Cores",'vHosts (Imported)'!$1:$5000,M3457,FALSE)</f>
        <v>0</v>
      </c>
      <c r="D3457" s="52">
        <f>HLOOKUP("# Memory",'vHosts (Imported)'!$1:$5000,M3457,FALSE)</f>
        <v>0</v>
      </c>
      <c r="M3457" s="45">
        <f t="shared" si="161"/>
        <v>3457</v>
      </c>
      <c r="N3457" s="38">
        <f>HLOOKUP("Host",'vInfo (Imported)'!$1:$5000,M3457,FALSE)</f>
        <v>0</v>
      </c>
      <c r="R3457">
        <f>HLOOKUP("CPUs",'vInfo (Imported)'!$1:$5000,M3457,FALSE)</f>
        <v>0</v>
      </c>
      <c r="S3457">
        <f>HLOOKUP("Memory",'vInfo (Imported)'!$1:$5000,M3457,FALSE)</f>
        <v>0</v>
      </c>
      <c r="T3457">
        <f>HLOOKUP("Provisioned MiB",'vInfo (Imported)'!$1:$5000,M3457,FALSE)</f>
        <v>0</v>
      </c>
      <c r="U3457">
        <f t="shared" si="160"/>
        <v>0</v>
      </c>
      <c r="V3457">
        <f>HLOOKUP("In Use MiB",'vInfo (Imported)'!$1:$5000,M3457,FALSE)</f>
        <v>0</v>
      </c>
    </row>
    <row r="3458" spans="1:22" ht="13" x14ac:dyDescent="0.3">
      <c r="A3458" s="46">
        <f>'vHosts (Imported)'!A3458</f>
        <v>0</v>
      </c>
      <c r="B3458" s="51">
        <f t="shared" si="162"/>
        <v>4968</v>
      </c>
      <c r="C3458" s="49">
        <f>HLOOKUP("# Cores",'vHosts (Imported)'!$1:$5000,M3458,FALSE)</f>
        <v>0</v>
      </c>
      <c r="D3458" s="52">
        <f>HLOOKUP("# Memory",'vHosts (Imported)'!$1:$5000,M3458,FALSE)</f>
        <v>0</v>
      </c>
      <c r="M3458" s="45">
        <f t="shared" si="161"/>
        <v>3458</v>
      </c>
      <c r="N3458" s="38">
        <f>HLOOKUP("Host",'vInfo (Imported)'!$1:$5000,M3458,FALSE)</f>
        <v>0</v>
      </c>
      <c r="R3458">
        <f>HLOOKUP("CPUs",'vInfo (Imported)'!$1:$5000,M3458,FALSE)</f>
        <v>0</v>
      </c>
      <c r="S3458">
        <f>HLOOKUP("Memory",'vInfo (Imported)'!$1:$5000,M3458,FALSE)</f>
        <v>0</v>
      </c>
      <c r="T3458">
        <f>HLOOKUP("Provisioned MiB",'vInfo (Imported)'!$1:$5000,M3458,FALSE)</f>
        <v>0</v>
      </c>
      <c r="U3458">
        <f t="shared" si="160"/>
        <v>0</v>
      </c>
      <c r="V3458">
        <f>HLOOKUP("In Use MiB",'vInfo (Imported)'!$1:$5000,M3458,FALSE)</f>
        <v>0</v>
      </c>
    </row>
    <row r="3459" spans="1:22" ht="13" x14ac:dyDescent="0.3">
      <c r="A3459" s="46">
        <f>'vHosts (Imported)'!A3459</f>
        <v>0</v>
      </c>
      <c r="B3459" s="51">
        <f t="shared" si="162"/>
        <v>4968</v>
      </c>
      <c r="C3459" s="49">
        <f>HLOOKUP("# Cores",'vHosts (Imported)'!$1:$5000,M3459,FALSE)</f>
        <v>0</v>
      </c>
      <c r="D3459" s="52">
        <f>HLOOKUP("# Memory",'vHosts (Imported)'!$1:$5000,M3459,FALSE)</f>
        <v>0</v>
      </c>
      <c r="M3459" s="45">
        <f t="shared" si="161"/>
        <v>3459</v>
      </c>
      <c r="N3459" s="38">
        <f>HLOOKUP("Host",'vInfo (Imported)'!$1:$5000,M3459,FALSE)</f>
        <v>0</v>
      </c>
      <c r="R3459">
        <f>HLOOKUP("CPUs",'vInfo (Imported)'!$1:$5000,M3459,FALSE)</f>
        <v>0</v>
      </c>
      <c r="S3459">
        <f>HLOOKUP("Memory",'vInfo (Imported)'!$1:$5000,M3459,FALSE)</f>
        <v>0</v>
      </c>
      <c r="T3459">
        <f>HLOOKUP("Provisioned MiB",'vInfo (Imported)'!$1:$5000,M3459,FALSE)</f>
        <v>0</v>
      </c>
      <c r="U3459">
        <f t="shared" ref="U3459:U3522" si="163">T3459-V3459</f>
        <v>0</v>
      </c>
      <c r="V3459">
        <f>HLOOKUP("In Use MiB",'vInfo (Imported)'!$1:$5000,M3459,FALSE)</f>
        <v>0</v>
      </c>
    </row>
    <row r="3460" spans="1:22" ht="13" x14ac:dyDescent="0.3">
      <c r="A3460" s="46">
        <f>'vHosts (Imported)'!A3460</f>
        <v>0</v>
      </c>
      <c r="B3460" s="51">
        <f t="shared" si="162"/>
        <v>4968</v>
      </c>
      <c r="C3460" s="49">
        <f>HLOOKUP("# Cores",'vHosts (Imported)'!$1:$5000,M3460,FALSE)</f>
        <v>0</v>
      </c>
      <c r="D3460" s="52">
        <f>HLOOKUP("# Memory",'vHosts (Imported)'!$1:$5000,M3460,FALSE)</f>
        <v>0</v>
      </c>
      <c r="M3460" s="45">
        <f t="shared" ref="M3460:M3523" si="164">M3459+1</f>
        <v>3460</v>
      </c>
      <c r="N3460" s="38">
        <f>HLOOKUP("Host",'vInfo (Imported)'!$1:$5000,M3460,FALSE)</f>
        <v>0</v>
      </c>
      <c r="R3460">
        <f>HLOOKUP("CPUs",'vInfo (Imported)'!$1:$5000,M3460,FALSE)</f>
        <v>0</v>
      </c>
      <c r="S3460">
        <f>HLOOKUP("Memory",'vInfo (Imported)'!$1:$5000,M3460,FALSE)</f>
        <v>0</v>
      </c>
      <c r="T3460">
        <f>HLOOKUP("Provisioned MiB",'vInfo (Imported)'!$1:$5000,M3460,FALSE)</f>
        <v>0</v>
      </c>
      <c r="U3460">
        <f t="shared" si="163"/>
        <v>0</v>
      </c>
      <c r="V3460">
        <f>HLOOKUP("In Use MiB",'vInfo (Imported)'!$1:$5000,M3460,FALSE)</f>
        <v>0</v>
      </c>
    </row>
    <row r="3461" spans="1:22" ht="13" x14ac:dyDescent="0.3">
      <c r="A3461" s="46">
        <f>'vHosts (Imported)'!A3461</f>
        <v>0</v>
      </c>
      <c r="B3461" s="51">
        <f t="shared" si="162"/>
        <v>4968</v>
      </c>
      <c r="C3461" s="49">
        <f>HLOOKUP("# Cores",'vHosts (Imported)'!$1:$5000,M3461,FALSE)</f>
        <v>0</v>
      </c>
      <c r="D3461" s="52">
        <f>HLOOKUP("# Memory",'vHosts (Imported)'!$1:$5000,M3461,FALSE)</f>
        <v>0</v>
      </c>
      <c r="M3461" s="45">
        <f t="shared" si="164"/>
        <v>3461</v>
      </c>
      <c r="N3461" s="38">
        <f>HLOOKUP("Host",'vInfo (Imported)'!$1:$5000,M3461,FALSE)</f>
        <v>0</v>
      </c>
      <c r="R3461">
        <f>HLOOKUP("CPUs",'vInfo (Imported)'!$1:$5000,M3461,FALSE)</f>
        <v>0</v>
      </c>
      <c r="S3461">
        <f>HLOOKUP("Memory",'vInfo (Imported)'!$1:$5000,M3461,FALSE)</f>
        <v>0</v>
      </c>
      <c r="T3461">
        <f>HLOOKUP("Provisioned MiB",'vInfo (Imported)'!$1:$5000,M3461,FALSE)</f>
        <v>0</v>
      </c>
      <c r="U3461">
        <f t="shared" si="163"/>
        <v>0</v>
      </c>
      <c r="V3461">
        <f>HLOOKUP("In Use MiB",'vInfo (Imported)'!$1:$5000,M3461,FALSE)</f>
        <v>0</v>
      </c>
    </row>
    <row r="3462" spans="1:22" ht="13" x14ac:dyDescent="0.3">
      <c r="A3462" s="46">
        <f>'vHosts (Imported)'!A3462</f>
        <v>0</v>
      </c>
      <c r="B3462" s="51">
        <f t="shared" si="162"/>
        <v>4968</v>
      </c>
      <c r="C3462" s="49">
        <f>HLOOKUP("# Cores",'vHosts (Imported)'!$1:$5000,M3462,FALSE)</f>
        <v>0</v>
      </c>
      <c r="D3462" s="52">
        <f>HLOOKUP("# Memory",'vHosts (Imported)'!$1:$5000,M3462,FALSE)</f>
        <v>0</v>
      </c>
      <c r="M3462" s="45">
        <f t="shared" si="164"/>
        <v>3462</v>
      </c>
      <c r="N3462" s="38">
        <f>HLOOKUP("Host",'vInfo (Imported)'!$1:$5000,M3462,FALSE)</f>
        <v>0</v>
      </c>
      <c r="R3462">
        <f>HLOOKUP("CPUs",'vInfo (Imported)'!$1:$5000,M3462,FALSE)</f>
        <v>0</v>
      </c>
      <c r="S3462">
        <f>HLOOKUP("Memory",'vInfo (Imported)'!$1:$5000,M3462,FALSE)</f>
        <v>0</v>
      </c>
      <c r="T3462">
        <f>HLOOKUP("Provisioned MiB",'vInfo (Imported)'!$1:$5000,M3462,FALSE)</f>
        <v>0</v>
      </c>
      <c r="U3462">
        <f t="shared" si="163"/>
        <v>0</v>
      </c>
      <c r="V3462">
        <f>HLOOKUP("In Use MiB",'vInfo (Imported)'!$1:$5000,M3462,FALSE)</f>
        <v>0</v>
      </c>
    </row>
    <row r="3463" spans="1:22" ht="13" x14ac:dyDescent="0.3">
      <c r="A3463" s="46">
        <f>'vHosts (Imported)'!A3463</f>
        <v>0</v>
      </c>
      <c r="B3463" s="51">
        <f t="shared" si="162"/>
        <v>4968</v>
      </c>
      <c r="C3463" s="49">
        <f>HLOOKUP("# Cores",'vHosts (Imported)'!$1:$5000,M3463,FALSE)</f>
        <v>0</v>
      </c>
      <c r="D3463" s="52">
        <f>HLOOKUP("# Memory",'vHosts (Imported)'!$1:$5000,M3463,FALSE)</f>
        <v>0</v>
      </c>
      <c r="M3463" s="45">
        <f t="shared" si="164"/>
        <v>3463</v>
      </c>
      <c r="N3463" s="38">
        <f>HLOOKUP("Host",'vInfo (Imported)'!$1:$5000,M3463,FALSE)</f>
        <v>0</v>
      </c>
      <c r="R3463">
        <f>HLOOKUP("CPUs",'vInfo (Imported)'!$1:$5000,M3463,FALSE)</f>
        <v>0</v>
      </c>
      <c r="S3463">
        <f>HLOOKUP("Memory",'vInfo (Imported)'!$1:$5000,M3463,FALSE)</f>
        <v>0</v>
      </c>
      <c r="T3463">
        <f>HLOOKUP("Provisioned MiB",'vInfo (Imported)'!$1:$5000,M3463,FALSE)</f>
        <v>0</v>
      </c>
      <c r="U3463">
        <f t="shared" si="163"/>
        <v>0</v>
      </c>
      <c r="V3463">
        <f>HLOOKUP("In Use MiB",'vInfo (Imported)'!$1:$5000,M3463,FALSE)</f>
        <v>0</v>
      </c>
    </row>
    <row r="3464" spans="1:22" ht="13" x14ac:dyDescent="0.3">
      <c r="A3464" s="46">
        <f>'vHosts (Imported)'!A3464</f>
        <v>0</v>
      </c>
      <c r="B3464" s="51">
        <f t="shared" si="162"/>
        <v>4968</v>
      </c>
      <c r="C3464" s="49">
        <f>HLOOKUP("# Cores",'vHosts (Imported)'!$1:$5000,M3464,FALSE)</f>
        <v>0</v>
      </c>
      <c r="D3464" s="52">
        <f>HLOOKUP("# Memory",'vHosts (Imported)'!$1:$5000,M3464,FALSE)</f>
        <v>0</v>
      </c>
      <c r="M3464" s="45">
        <f t="shared" si="164"/>
        <v>3464</v>
      </c>
      <c r="N3464" s="38">
        <f>HLOOKUP("Host",'vInfo (Imported)'!$1:$5000,M3464,FALSE)</f>
        <v>0</v>
      </c>
      <c r="R3464">
        <f>HLOOKUP("CPUs",'vInfo (Imported)'!$1:$5000,M3464,FALSE)</f>
        <v>0</v>
      </c>
      <c r="S3464">
        <f>HLOOKUP("Memory",'vInfo (Imported)'!$1:$5000,M3464,FALSE)</f>
        <v>0</v>
      </c>
      <c r="T3464">
        <f>HLOOKUP("Provisioned MiB",'vInfo (Imported)'!$1:$5000,M3464,FALSE)</f>
        <v>0</v>
      </c>
      <c r="U3464">
        <f t="shared" si="163"/>
        <v>0</v>
      </c>
      <c r="V3464">
        <f>HLOOKUP("In Use MiB",'vInfo (Imported)'!$1:$5000,M3464,FALSE)</f>
        <v>0</v>
      </c>
    </row>
    <row r="3465" spans="1:22" ht="13" x14ac:dyDescent="0.3">
      <c r="A3465" s="46">
        <f>'vHosts (Imported)'!A3465</f>
        <v>0</v>
      </c>
      <c r="B3465" s="51">
        <f t="shared" si="162"/>
        <v>4968</v>
      </c>
      <c r="C3465" s="49">
        <f>HLOOKUP("# Cores",'vHosts (Imported)'!$1:$5000,M3465,FALSE)</f>
        <v>0</v>
      </c>
      <c r="D3465" s="52">
        <f>HLOOKUP("# Memory",'vHosts (Imported)'!$1:$5000,M3465,FALSE)</f>
        <v>0</v>
      </c>
      <c r="M3465" s="45">
        <f t="shared" si="164"/>
        <v>3465</v>
      </c>
      <c r="N3465" s="38">
        <f>HLOOKUP("Host",'vInfo (Imported)'!$1:$5000,M3465,FALSE)</f>
        <v>0</v>
      </c>
      <c r="R3465">
        <f>HLOOKUP("CPUs",'vInfo (Imported)'!$1:$5000,M3465,FALSE)</f>
        <v>0</v>
      </c>
      <c r="S3465">
        <f>HLOOKUP("Memory",'vInfo (Imported)'!$1:$5000,M3465,FALSE)</f>
        <v>0</v>
      </c>
      <c r="T3465">
        <f>HLOOKUP("Provisioned MiB",'vInfo (Imported)'!$1:$5000,M3465,FALSE)</f>
        <v>0</v>
      </c>
      <c r="U3465">
        <f t="shared" si="163"/>
        <v>0</v>
      </c>
      <c r="V3465">
        <f>HLOOKUP("In Use MiB",'vInfo (Imported)'!$1:$5000,M3465,FALSE)</f>
        <v>0</v>
      </c>
    </row>
    <row r="3466" spans="1:22" ht="13" x14ac:dyDescent="0.3">
      <c r="A3466" s="46">
        <f>'vHosts (Imported)'!A3466</f>
        <v>0</v>
      </c>
      <c r="B3466" s="51">
        <f t="shared" si="162"/>
        <v>4968</v>
      </c>
      <c r="C3466" s="49">
        <f>HLOOKUP("# Cores",'vHosts (Imported)'!$1:$5000,M3466,FALSE)</f>
        <v>0</v>
      </c>
      <c r="D3466" s="52">
        <f>HLOOKUP("# Memory",'vHosts (Imported)'!$1:$5000,M3466,FALSE)</f>
        <v>0</v>
      </c>
      <c r="M3466" s="45">
        <f t="shared" si="164"/>
        <v>3466</v>
      </c>
      <c r="N3466" s="38">
        <f>HLOOKUP("Host",'vInfo (Imported)'!$1:$5000,M3466,FALSE)</f>
        <v>0</v>
      </c>
      <c r="R3466">
        <f>HLOOKUP("CPUs",'vInfo (Imported)'!$1:$5000,M3466,FALSE)</f>
        <v>0</v>
      </c>
      <c r="S3466">
        <f>HLOOKUP("Memory",'vInfo (Imported)'!$1:$5000,M3466,FALSE)</f>
        <v>0</v>
      </c>
      <c r="T3466">
        <f>HLOOKUP("Provisioned MiB",'vInfo (Imported)'!$1:$5000,M3466,FALSE)</f>
        <v>0</v>
      </c>
      <c r="U3466">
        <f t="shared" si="163"/>
        <v>0</v>
      </c>
      <c r="V3466">
        <f>HLOOKUP("In Use MiB",'vInfo (Imported)'!$1:$5000,M3466,FALSE)</f>
        <v>0</v>
      </c>
    </row>
    <row r="3467" spans="1:22" ht="13" x14ac:dyDescent="0.3">
      <c r="A3467" s="46">
        <f>'vHosts (Imported)'!A3467</f>
        <v>0</v>
      </c>
      <c r="B3467" s="51">
        <f t="shared" si="162"/>
        <v>4968</v>
      </c>
      <c r="C3467" s="49">
        <f>HLOOKUP("# Cores",'vHosts (Imported)'!$1:$5000,M3467,FALSE)</f>
        <v>0</v>
      </c>
      <c r="D3467" s="52">
        <f>HLOOKUP("# Memory",'vHosts (Imported)'!$1:$5000,M3467,FALSE)</f>
        <v>0</v>
      </c>
      <c r="M3467" s="45">
        <f t="shared" si="164"/>
        <v>3467</v>
      </c>
      <c r="N3467" s="38">
        <f>HLOOKUP("Host",'vInfo (Imported)'!$1:$5000,M3467,FALSE)</f>
        <v>0</v>
      </c>
      <c r="R3467">
        <f>HLOOKUP("CPUs",'vInfo (Imported)'!$1:$5000,M3467,FALSE)</f>
        <v>0</v>
      </c>
      <c r="S3467">
        <f>HLOOKUP("Memory",'vInfo (Imported)'!$1:$5000,M3467,FALSE)</f>
        <v>0</v>
      </c>
      <c r="T3467">
        <f>HLOOKUP("Provisioned MiB",'vInfo (Imported)'!$1:$5000,M3467,FALSE)</f>
        <v>0</v>
      </c>
      <c r="U3467">
        <f t="shared" si="163"/>
        <v>0</v>
      </c>
      <c r="V3467">
        <f>HLOOKUP("In Use MiB",'vInfo (Imported)'!$1:$5000,M3467,FALSE)</f>
        <v>0</v>
      </c>
    </row>
    <row r="3468" spans="1:22" ht="13" x14ac:dyDescent="0.3">
      <c r="A3468" s="46">
        <f>'vHosts (Imported)'!A3468</f>
        <v>0</v>
      </c>
      <c r="B3468" s="51">
        <f t="shared" si="162"/>
        <v>4968</v>
      </c>
      <c r="C3468" s="49">
        <f>HLOOKUP("# Cores",'vHosts (Imported)'!$1:$5000,M3468,FALSE)</f>
        <v>0</v>
      </c>
      <c r="D3468" s="52">
        <f>HLOOKUP("# Memory",'vHosts (Imported)'!$1:$5000,M3468,FALSE)</f>
        <v>0</v>
      </c>
      <c r="M3468" s="45">
        <f t="shared" si="164"/>
        <v>3468</v>
      </c>
      <c r="N3468" s="38">
        <f>HLOOKUP("Host",'vInfo (Imported)'!$1:$5000,M3468,FALSE)</f>
        <v>0</v>
      </c>
      <c r="R3468">
        <f>HLOOKUP("CPUs",'vInfo (Imported)'!$1:$5000,M3468,FALSE)</f>
        <v>0</v>
      </c>
      <c r="S3468">
        <f>HLOOKUP("Memory",'vInfo (Imported)'!$1:$5000,M3468,FALSE)</f>
        <v>0</v>
      </c>
      <c r="T3468">
        <f>HLOOKUP("Provisioned MiB",'vInfo (Imported)'!$1:$5000,M3468,FALSE)</f>
        <v>0</v>
      </c>
      <c r="U3468">
        <f t="shared" si="163"/>
        <v>0</v>
      </c>
      <c r="V3468">
        <f>HLOOKUP("In Use MiB",'vInfo (Imported)'!$1:$5000,M3468,FALSE)</f>
        <v>0</v>
      </c>
    </row>
    <row r="3469" spans="1:22" ht="13" x14ac:dyDescent="0.3">
      <c r="A3469" s="46">
        <f>'vHosts (Imported)'!A3469</f>
        <v>0</v>
      </c>
      <c r="B3469" s="51">
        <f t="shared" si="162"/>
        <v>4968</v>
      </c>
      <c r="C3469" s="49">
        <f>HLOOKUP("# Cores",'vHosts (Imported)'!$1:$5000,M3469,FALSE)</f>
        <v>0</v>
      </c>
      <c r="D3469" s="52">
        <f>HLOOKUP("# Memory",'vHosts (Imported)'!$1:$5000,M3469,FALSE)</f>
        <v>0</v>
      </c>
      <c r="M3469" s="45">
        <f t="shared" si="164"/>
        <v>3469</v>
      </c>
      <c r="N3469" s="38">
        <f>HLOOKUP("Host",'vInfo (Imported)'!$1:$5000,M3469,FALSE)</f>
        <v>0</v>
      </c>
      <c r="R3469">
        <f>HLOOKUP("CPUs",'vInfo (Imported)'!$1:$5000,M3469,FALSE)</f>
        <v>0</v>
      </c>
      <c r="S3469">
        <f>HLOOKUP("Memory",'vInfo (Imported)'!$1:$5000,M3469,FALSE)</f>
        <v>0</v>
      </c>
      <c r="T3469">
        <f>HLOOKUP("Provisioned MiB",'vInfo (Imported)'!$1:$5000,M3469,FALSE)</f>
        <v>0</v>
      </c>
      <c r="U3469">
        <f t="shared" si="163"/>
        <v>0</v>
      </c>
      <c r="V3469">
        <f>HLOOKUP("In Use MiB",'vInfo (Imported)'!$1:$5000,M3469,FALSE)</f>
        <v>0</v>
      </c>
    </row>
    <row r="3470" spans="1:22" ht="13" x14ac:dyDescent="0.3">
      <c r="A3470" s="46">
        <f>'vHosts (Imported)'!A3470</f>
        <v>0</v>
      </c>
      <c r="B3470" s="51">
        <f t="shared" si="162"/>
        <v>4968</v>
      </c>
      <c r="C3470" s="49">
        <f>HLOOKUP("# Cores",'vHosts (Imported)'!$1:$5000,M3470,FALSE)</f>
        <v>0</v>
      </c>
      <c r="D3470" s="52">
        <f>HLOOKUP("# Memory",'vHosts (Imported)'!$1:$5000,M3470,FALSE)</f>
        <v>0</v>
      </c>
      <c r="M3470" s="45">
        <f t="shared" si="164"/>
        <v>3470</v>
      </c>
      <c r="N3470" s="38">
        <f>HLOOKUP("Host",'vInfo (Imported)'!$1:$5000,M3470,FALSE)</f>
        <v>0</v>
      </c>
      <c r="R3470">
        <f>HLOOKUP("CPUs",'vInfo (Imported)'!$1:$5000,M3470,FALSE)</f>
        <v>0</v>
      </c>
      <c r="S3470">
        <f>HLOOKUP("Memory",'vInfo (Imported)'!$1:$5000,M3470,FALSE)</f>
        <v>0</v>
      </c>
      <c r="T3470">
        <f>HLOOKUP("Provisioned MiB",'vInfo (Imported)'!$1:$5000,M3470,FALSE)</f>
        <v>0</v>
      </c>
      <c r="U3470">
        <f t="shared" si="163"/>
        <v>0</v>
      </c>
      <c r="V3470">
        <f>HLOOKUP("In Use MiB",'vInfo (Imported)'!$1:$5000,M3470,FALSE)</f>
        <v>0</v>
      </c>
    </row>
    <row r="3471" spans="1:22" ht="13" x14ac:dyDescent="0.3">
      <c r="A3471" s="46">
        <f>'vHosts (Imported)'!A3471</f>
        <v>0</v>
      </c>
      <c r="B3471" s="51">
        <f t="shared" si="162"/>
        <v>4968</v>
      </c>
      <c r="C3471" s="49">
        <f>HLOOKUP("# Cores",'vHosts (Imported)'!$1:$5000,M3471,FALSE)</f>
        <v>0</v>
      </c>
      <c r="D3471" s="52">
        <f>HLOOKUP("# Memory",'vHosts (Imported)'!$1:$5000,M3471,FALSE)</f>
        <v>0</v>
      </c>
      <c r="M3471" s="45">
        <f t="shared" si="164"/>
        <v>3471</v>
      </c>
      <c r="N3471" s="38">
        <f>HLOOKUP("Host",'vInfo (Imported)'!$1:$5000,M3471,FALSE)</f>
        <v>0</v>
      </c>
      <c r="R3471">
        <f>HLOOKUP("CPUs",'vInfo (Imported)'!$1:$5000,M3471,FALSE)</f>
        <v>0</v>
      </c>
      <c r="S3471">
        <f>HLOOKUP("Memory",'vInfo (Imported)'!$1:$5000,M3471,FALSE)</f>
        <v>0</v>
      </c>
      <c r="T3471">
        <f>HLOOKUP("Provisioned MiB",'vInfo (Imported)'!$1:$5000,M3471,FALSE)</f>
        <v>0</v>
      </c>
      <c r="U3471">
        <f t="shared" si="163"/>
        <v>0</v>
      </c>
      <c r="V3471">
        <f>HLOOKUP("In Use MiB",'vInfo (Imported)'!$1:$5000,M3471,FALSE)</f>
        <v>0</v>
      </c>
    </row>
    <row r="3472" spans="1:22" ht="13" x14ac:dyDescent="0.3">
      <c r="A3472" s="46">
        <f>'vHosts (Imported)'!A3472</f>
        <v>0</v>
      </c>
      <c r="B3472" s="51">
        <f t="shared" si="162"/>
        <v>4968</v>
      </c>
      <c r="C3472" s="49">
        <f>HLOOKUP("# Cores",'vHosts (Imported)'!$1:$5000,M3472,FALSE)</f>
        <v>0</v>
      </c>
      <c r="D3472" s="52">
        <f>HLOOKUP("# Memory",'vHosts (Imported)'!$1:$5000,M3472,FALSE)</f>
        <v>0</v>
      </c>
      <c r="M3472" s="45">
        <f t="shared" si="164"/>
        <v>3472</v>
      </c>
      <c r="N3472" s="38">
        <f>HLOOKUP("Host",'vInfo (Imported)'!$1:$5000,M3472,FALSE)</f>
        <v>0</v>
      </c>
      <c r="R3472">
        <f>HLOOKUP("CPUs",'vInfo (Imported)'!$1:$5000,M3472,FALSE)</f>
        <v>0</v>
      </c>
      <c r="S3472">
        <f>HLOOKUP("Memory",'vInfo (Imported)'!$1:$5000,M3472,FALSE)</f>
        <v>0</v>
      </c>
      <c r="T3472">
        <f>HLOOKUP("Provisioned MiB",'vInfo (Imported)'!$1:$5000,M3472,FALSE)</f>
        <v>0</v>
      </c>
      <c r="U3472">
        <f t="shared" si="163"/>
        <v>0</v>
      </c>
      <c r="V3472">
        <f>HLOOKUP("In Use MiB",'vInfo (Imported)'!$1:$5000,M3472,FALSE)</f>
        <v>0</v>
      </c>
    </row>
    <row r="3473" spans="1:22" ht="13" x14ac:dyDescent="0.3">
      <c r="A3473" s="46">
        <f>'vHosts (Imported)'!A3473</f>
        <v>0</v>
      </c>
      <c r="B3473" s="51">
        <f t="shared" si="162"/>
        <v>4968</v>
      </c>
      <c r="C3473" s="49">
        <f>HLOOKUP("# Cores",'vHosts (Imported)'!$1:$5000,M3473,FALSE)</f>
        <v>0</v>
      </c>
      <c r="D3473" s="52">
        <f>HLOOKUP("# Memory",'vHosts (Imported)'!$1:$5000,M3473,FALSE)</f>
        <v>0</v>
      </c>
      <c r="M3473" s="45">
        <f t="shared" si="164"/>
        <v>3473</v>
      </c>
      <c r="N3473" s="38">
        <f>HLOOKUP("Host",'vInfo (Imported)'!$1:$5000,M3473,FALSE)</f>
        <v>0</v>
      </c>
      <c r="R3473">
        <f>HLOOKUP("CPUs",'vInfo (Imported)'!$1:$5000,M3473,FALSE)</f>
        <v>0</v>
      </c>
      <c r="S3473">
        <f>HLOOKUP("Memory",'vInfo (Imported)'!$1:$5000,M3473,FALSE)</f>
        <v>0</v>
      </c>
      <c r="T3473">
        <f>HLOOKUP("Provisioned MiB",'vInfo (Imported)'!$1:$5000,M3473,FALSE)</f>
        <v>0</v>
      </c>
      <c r="U3473">
        <f t="shared" si="163"/>
        <v>0</v>
      </c>
      <c r="V3473">
        <f>HLOOKUP("In Use MiB",'vInfo (Imported)'!$1:$5000,M3473,FALSE)</f>
        <v>0</v>
      </c>
    </row>
    <row r="3474" spans="1:22" ht="13" x14ac:dyDescent="0.3">
      <c r="A3474" s="46">
        <f>'vHosts (Imported)'!A3474</f>
        <v>0</v>
      </c>
      <c r="B3474" s="51">
        <f t="shared" si="162"/>
        <v>4968</v>
      </c>
      <c r="C3474" s="49">
        <f>HLOOKUP("# Cores",'vHosts (Imported)'!$1:$5000,M3474,FALSE)</f>
        <v>0</v>
      </c>
      <c r="D3474" s="52">
        <f>HLOOKUP("# Memory",'vHosts (Imported)'!$1:$5000,M3474,FALSE)</f>
        <v>0</v>
      </c>
      <c r="M3474" s="45">
        <f t="shared" si="164"/>
        <v>3474</v>
      </c>
      <c r="N3474" s="38">
        <f>HLOOKUP("Host",'vInfo (Imported)'!$1:$5000,M3474,FALSE)</f>
        <v>0</v>
      </c>
      <c r="R3474">
        <f>HLOOKUP("CPUs",'vInfo (Imported)'!$1:$5000,M3474,FALSE)</f>
        <v>0</v>
      </c>
      <c r="S3474">
        <f>HLOOKUP("Memory",'vInfo (Imported)'!$1:$5000,M3474,FALSE)</f>
        <v>0</v>
      </c>
      <c r="T3474">
        <f>HLOOKUP("Provisioned MiB",'vInfo (Imported)'!$1:$5000,M3474,FALSE)</f>
        <v>0</v>
      </c>
      <c r="U3474">
        <f t="shared" si="163"/>
        <v>0</v>
      </c>
      <c r="V3474">
        <f>HLOOKUP("In Use MiB",'vInfo (Imported)'!$1:$5000,M3474,FALSE)</f>
        <v>0</v>
      </c>
    </row>
    <row r="3475" spans="1:22" ht="13" x14ac:dyDescent="0.3">
      <c r="A3475" s="46">
        <f>'vHosts (Imported)'!A3475</f>
        <v>0</v>
      </c>
      <c r="B3475" s="51">
        <f t="shared" si="162"/>
        <v>4968</v>
      </c>
      <c r="C3475" s="49">
        <f>HLOOKUP("# Cores",'vHosts (Imported)'!$1:$5000,M3475,FALSE)</f>
        <v>0</v>
      </c>
      <c r="D3475" s="52">
        <f>HLOOKUP("# Memory",'vHosts (Imported)'!$1:$5000,M3475,FALSE)</f>
        <v>0</v>
      </c>
      <c r="M3475" s="45">
        <f t="shared" si="164"/>
        <v>3475</v>
      </c>
      <c r="N3475" s="38">
        <f>HLOOKUP("Host",'vInfo (Imported)'!$1:$5000,M3475,FALSE)</f>
        <v>0</v>
      </c>
      <c r="R3475">
        <f>HLOOKUP("CPUs",'vInfo (Imported)'!$1:$5000,M3475,FALSE)</f>
        <v>0</v>
      </c>
      <c r="S3475">
        <f>HLOOKUP("Memory",'vInfo (Imported)'!$1:$5000,M3475,FALSE)</f>
        <v>0</v>
      </c>
      <c r="T3475">
        <f>HLOOKUP("Provisioned MiB",'vInfo (Imported)'!$1:$5000,M3475,FALSE)</f>
        <v>0</v>
      </c>
      <c r="U3475">
        <f t="shared" si="163"/>
        <v>0</v>
      </c>
      <c r="V3475">
        <f>HLOOKUP("In Use MiB",'vInfo (Imported)'!$1:$5000,M3475,FALSE)</f>
        <v>0</v>
      </c>
    </row>
    <row r="3476" spans="1:22" ht="13" x14ac:dyDescent="0.3">
      <c r="A3476" s="46">
        <f>'vHosts (Imported)'!A3476</f>
        <v>0</v>
      </c>
      <c r="B3476" s="51">
        <f t="shared" si="162"/>
        <v>4968</v>
      </c>
      <c r="C3476" s="49">
        <f>HLOOKUP("# Cores",'vHosts (Imported)'!$1:$5000,M3476,FALSE)</f>
        <v>0</v>
      </c>
      <c r="D3476" s="52">
        <f>HLOOKUP("# Memory",'vHosts (Imported)'!$1:$5000,M3476,FALSE)</f>
        <v>0</v>
      </c>
      <c r="M3476" s="45">
        <f t="shared" si="164"/>
        <v>3476</v>
      </c>
      <c r="N3476" s="38">
        <f>HLOOKUP("Host",'vInfo (Imported)'!$1:$5000,M3476,FALSE)</f>
        <v>0</v>
      </c>
      <c r="R3476">
        <f>HLOOKUP("CPUs",'vInfo (Imported)'!$1:$5000,M3476,FALSE)</f>
        <v>0</v>
      </c>
      <c r="S3476">
        <f>HLOOKUP("Memory",'vInfo (Imported)'!$1:$5000,M3476,FALSE)</f>
        <v>0</v>
      </c>
      <c r="T3476">
        <f>HLOOKUP("Provisioned MiB",'vInfo (Imported)'!$1:$5000,M3476,FALSE)</f>
        <v>0</v>
      </c>
      <c r="U3476">
        <f t="shared" si="163"/>
        <v>0</v>
      </c>
      <c r="V3476">
        <f>HLOOKUP("In Use MiB",'vInfo (Imported)'!$1:$5000,M3476,FALSE)</f>
        <v>0</v>
      </c>
    </row>
    <row r="3477" spans="1:22" ht="13" x14ac:dyDescent="0.3">
      <c r="A3477" s="46">
        <f>'vHosts (Imported)'!A3477</f>
        <v>0</v>
      </c>
      <c r="B3477" s="51">
        <f t="shared" si="162"/>
        <v>4968</v>
      </c>
      <c r="C3477" s="49">
        <f>HLOOKUP("# Cores",'vHosts (Imported)'!$1:$5000,M3477,FALSE)</f>
        <v>0</v>
      </c>
      <c r="D3477" s="52">
        <f>HLOOKUP("# Memory",'vHosts (Imported)'!$1:$5000,M3477,FALSE)</f>
        <v>0</v>
      </c>
      <c r="M3477" s="45">
        <f t="shared" si="164"/>
        <v>3477</v>
      </c>
      <c r="N3477" s="38">
        <f>HLOOKUP("Host",'vInfo (Imported)'!$1:$5000,M3477,FALSE)</f>
        <v>0</v>
      </c>
      <c r="R3477">
        <f>HLOOKUP("CPUs",'vInfo (Imported)'!$1:$5000,M3477,FALSE)</f>
        <v>0</v>
      </c>
      <c r="S3477">
        <f>HLOOKUP("Memory",'vInfo (Imported)'!$1:$5000,M3477,FALSE)</f>
        <v>0</v>
      </c>
      <c r="T3477">
        <f>HLOOKUP("Provisioned MiB",'vInfo (Imported)'!$1:$5000,M3477,FALSE)</f>
        <v>0</v>
      </c>
      <c r="U3477">
        <f t="shared" si="163"/>
        <v>0</v>
      </c>
      <c r="V3477">
        <f>HLOOKUP("In Use MiB",'vInfo (Imported)'!$1:$5000,M3477,FALSE)</f>
        <v>0</v>
      </c>
    </row>
    <row r="3478" spans="1:22" ht="13" x14ac:dyDescent="0.3">
      <c r="A3478" s="46">
        <f>'vHosts (Imported)'!A3478</f>
        <v>0</v>
      </c>
      <c r="B3478" s="51">
        <f t="shared" si="162"/>
        <v>4968</v>
      </c>
      <c r="C3478" s="49">
        <f>HLOOKUP("# Cores",'vHosts (Imported)'!$1:$5000,M3478,FALSE)</f>
        <v>0</v>
      </c>
      <c r="D3478" s="52">
        <f>HLOOKUP("# Memory",'vHosts (Imported)'!$1:$5000,M3478,FALSE)</f>
        <v>0</v>
      </c>
      <c r="M3478" s="45">
        <f t="shared" si="164"/>
        <v>3478</v>
      </c>
      <c r="N3478" s="38">
        <f>HLOOKUP("Host",'vInfo (Imported)'!$1:$5000,M3478,FALSE)</f>
        <v>0</v>
      </c>
      <c r="R3478">
        <f>HLOOKUP("CPUs",'vInfo (Imported)'!$1:$5000,M3478,FALSE)</f>
        <v>0</v>
      </c>
      <c r="S3478">
        <f>HLOOKUP("Memory",'vInfo (Imported)'!$1:$5000,M3478,FALSE)</f>
        <v>0</v>
      </c>
      <c r="T3478">
        <f>HLOOKUP("Provisioned MiB",'vInfo (Imported)'!$1:$5000,M3478,FALSE)</f>
        <v>0</v>
      </c>
      <c r="U3478">
        <f t="shared" si="163"/>
        <v>0</v>
      </c>
      <c r="V3478">
        <f>HLOOKUP("In Use MiB",'vInfo (Imported)'!$1:$5000,M3478,FALSE)</f>
        <v>0</v>
      </c>
    </row>
    <row r="3479" spans="1:22" ht="13" x14ac:dyDescent="0.3">
      <c r="A3479" s="46">
        <f>'vHosts (Imported)'!A3479</f>
        <v>0</v>
      </c>
      <c r="B3479" s="51">
        <f t="shared" si="162"/>
        <v>4968</v>
      </c>
      <c r="C3479" s="49">
        <f>HLOOKUP("# Cores",'vHosts (Imported)'!$1:$5000,M3479,FALSE)</f>
        <v>0</v>
      </c>
      <c r="D3479" s="52">
        <f>HLOOKUP("# Memory",'vHosts (Imported)'!$1:$5000,M3479,FALSE)</f>
        <v>0</v>
      </c>
      <c r="M3479" s="45">
        <f t="shared" si="164"/>
        <v>3479</v>
      </c>
      <c r="N3479" s="38">
        <f>HLOOKUP("Host",'vInfo (Imported)'!$1:$5000,M3479,FALSE)</f>
        <v>0</v>
      </c>
      <c r="R3479">
        <f>HLOOKUP("CPUs",'vInfo (Imported)'!$1:$5000,M3479,FALSE)</f>
        <v>0</v>
      </c>
      <c r="S3479">
        <f>HLOOKUP("Memory",'vInfo (Imported)'!$1:$5000,M3479,FALSE)</f>
        <v>0</v>
      </c>
      <c r="T3479">
        <f>HLOOKUP("Provisioned MiB",'vInfo (Imported)'!$1:$5000,M3479,FALSE)</f>
        <v>0</v>
      </c>
      <c r="U3479">
        <f t="shared" si="163"/>
        <v>0</v>
      </c>
      <c r="V3479">
        <f>HLOOKUP("In Use MiB",'vInfo (Imported)'!$1:$5000,M3479,FALSE)</f>
        <v>0</v>
      </c>
    </row>
    <row r="3480" spans="1:22" ht="13" x14ac:dyDescent="0.3">
      <c r="A3480" s="46">
        <f>'vHosts (Imported)'!A3480</f>
        <v>0</v>
      </c>
      <c r="B3480" s="51">
        <f t="shared" si="162"/>
        <v>4968</v>
      </c>
      <c r="C3480" s="49">
        <f>HLOOKUP("# Cores",'vHosts (Imported)'!$1:$5000,M3480,FALSE)</f>
        <v>0</v>
      </c>
      <c r="D3480" s="52">
        <f>HLOOKUP("# Memory",'vHosts (Imported)'!$1:$5000,M3480,FALSE)</f>
        <v>0</v>
      </c>
      <c r="M3480" s="45">
        <f t="shared" si="164"/>
        <v>3480</v>
      </c>
      <c r="N3480" s="38">
        <f>HLOOKUP("Host",'vInfo (Imported)'!$1:$5000,M3480,FALSE)</f>
        <v>0</v>
      </c>
      <c r="R3480">
        <f>HLOOKUP("CPUs",'vInfo (Imported)'!$1:$5000,M3480,FALSE)</f>
        <v>0</v>
      </c>
      <c r="S3480">
        <f>HLOOKUP("Memory",'vInfo (Imported)'!$1:$5000,M3480,FALSE)</f>
        <v>0</v>
      </c>
      <c r="T3480">
        <f>HLOOKUP("Provisioned MiB",'vInfo (Imported)'!$1:$5000,M3480,FALSE)</f>
        <v>0</v>
      </c>
      <c r="U3480">
        <f t="shared" si="163"/>
        <v>0</v>
      </c>
      <c r="V3480">
        <f>HLOOKUP("In Use MiB",'vInfo (Imported)'!$1:$5000,M3480,FALSE)</f>
        <v>0</v>
      </c>
    </row>
    <row r="3481" spans="1:22" ht="13" x14ac:dyDescent="0.3">
      <c r="A3481" s="46">
        <f>'vHosts (Imported)'!A3481</f>
        <v>0</v>
      </c>
      <c r="B3481" s="51">
        <f t="shared" si="162"/>
        <v>4968</v>
      </c>
      <c r="C3481" s="49">
        <f>HLOOKUP("# Cores",'vHosts (Imported)'!$1:$5000,M3481,FALSE)</f>
        <v>0</v>
      </c>
      <c r="D3481" s="52">
        <f>HLOOKUP("# Memory",'vHosts (Imported)'!$1:$5000,M3481,FALSE)</f>
        <v>0</v>
      </c>
      <c r="M3481" s="45">
        <f t="shared" si="164"/>
        <v>3481</v>
      </c>
      <c r="N3481" s="38">
        <f>HLOOKUP("Host",'vInfo (Imported)'!$1:$5000,M3481,FALSE)</f>
        <v>0</v>
      </c>
      <c r="R3481">
        <f>HLOOKUP("CPUs",'vInfo (Imported)'!$1:$5000,M3481,FALSE)</f>
        <v>0</v>
      </c>
      <c r="S3481">
        <f>HLOOKUP("Memory",'vInfo (Imported)'!$1:$5000,M3481,FALSE)</f>
        <v>0</v>
      </c>
      <c r="T3481">
        <f>HLOOKUP("Provisioned MiB",'vInfo (Imported)'!$1:$5000,M3481,FALSE)</f>
        <v>0</v>
      </c>
      <c r="U3481">
        <f t="shared" si="163"/>
        <v>0</v>
      </c>
      <c r="V3481">
        <f>HLOOKUP("In Use MiB",'vInfo (Imported)'!$1:$5000,M3481,FALSE)</f>
        <v>0</v>
      </c>
    </row>
    <row r="3482" spans="1:22" ht="13" x14ac:dyDescent="0.3">
      <c r="A3482" s="46">
        <f>'vHosts (Imported)'!A3482</f>
        <v>0</v>
      </c>
      <c r="B3482" s="51">
        <f t="shared" si="162"/>
        <v>4968</v>
      </c>
      <c r="C3482" s="49">
        <f>HLOOKUP("# Cores",'vHosts (Imported)'!$1:$5000,M3482,FALSE)</f>
        <v>0</v>
      </c>
      <c r="D3482" s="52">
        <f>HLOOKUP("# Memory",'vHosts (Imported)'!$1:$5000,M3482,FALSE)</f>
        <v>0</v>
      </c>
      <c r="M3482" s="45">
        <f t="shared" si="164"/>
        <v>3482</v>
      </c>
      <c r="N3482" s="38">
        <f>HLOOKUP("Host",'vInfo (Imported)'!$1:$5000,M3482,FALSE)</f>
        <v>0</v>
      </c>
      <c r="R3482">
        <f>HLOOKUP("CPUs",'vInfo (Imported)'!$1:$5000,M3482,FALSE)</f>
        <v>0</v>
      </c>
      <c r="S3482">
        <f>HLOOKUP("Memory",'vInfo (Imported)'!$1:$5000,M3482,FALSE)</f>
        <v>0</v>
      </c>
      <c r="T3482">
        <f>HLOOKUP("Provisioned MiB",'vInfo (Imported)'!$1:$5000,M3482,FALSE)</f>
        <v>0</v>
      </c>
      <c r="U3482">
        <f t="shared" si="163"/>
        <v>0</v>
      </c>
      <c r="V3482">
        <f>HLOOKUP("In Use MiB",'vInfo (Imported)'!$1:$5000,M3482,FALSE)</f>
        <v>0</v>
      </c>
    </row>
    <row r="3483" spans="1:22" ht="13" x14ac:dyDescent="0.3">
      <c r="A3483" s="46">
        <f>'vHosts (Imported)'!A3483</f>
        <v>0</v>
      </c>
      <c r="B3483" s="51">
        <f t="shared" si="162"/>
        <v>4968</v>
      </c>
      <c r="C3483" s="49">
        <f>HLOOKUP("# Cores",'vHosts (Imported)'!$1:$5000,M3483,FALSE)</f>
        <v>0</v>
      </c>
      <c r="D3483" s="52">
        <f>HLOOKUP("# Memory",'vHosts (Imported)'!$1:$5000,M3483,FALSE)</f>
        <v>0</v>
      </c>
      <c r="M3483" s="45">
        <f t="shared" si="164"/>
        <v>3483</v>
      </c>
      <c r="N3483" s="38">
        <f>HLOOKUP("Host",'vInfo (Imported)'!$1:$5000,M3483,FALSE)</f>
        <v>0</v>
      </c>
      <c r="R3483">
        <f>HLOOKUP("CPUs",'vInfo (Imported)'!$1:$5000,M3483,FALSE)</f>
        <v>0</v>
      </c>
      <c r="S3483">
        <f>HLOOKUP("Memory",'vInfo (Imported)'!$1:$5000,M3483,FALSE)</f>
        <v>0</v>
      </c>
      <c r="T3483">
        <f>HLOOKUP("Provisioned MiB",'vInfo (Imported)'!$1:$5000,M3483,FALSE)</f>
        <v>0</v>
      </c>
      <c r="U3483">
        <f t="shared" si="163"/>
        <v>0</v>
      </c>
      <c r="V3483">
        <f>HLOOKUP("In Use MiB",'vInfo (Imported)'!$1:$5000,M3483,FALSE)</f>
        <v>0</v>
      </c>
    </row>
    <row r="3484" spans="1:22" ht="13" x14ac:dyDescent="0.3">
      <c r="A3484" s="46">
        <f>'vHosts (Imported)'!A3484</f>
        <v>0</v>
      </c>
      <c r="B3484" s="51">
        <f t="shared" si="162"/>
        <v>4968</v>
      </c>
      <c r="C3484" s="49">
        <f>HLOOKUP("# Cores",'vHosts (Imported)'!$1:$5000,M3484,FALSE)</f>
        <v>0</v>
      </c>
      <c r="D3484" s="52">
        <f>HLOOKUP("# Memory",'vHosts (Imported)'!$1:$5000,M3484,FALSE)</f>
        <v>0</v>
      </c>
      <c r="M3484" s="45">
        <f t="shared" si="164"/>
        <v>3484</v>
      </c>
      <c r="N3484" s="38">
        <f>HLOOKUP("Host",'vInfo (Imported)'!$1:$5000,M3484,FALSE)</f>
        <v>0</v>
      </c>
      <c r="R3484">
        <f>HLOOKUP("CPUs",'vInfo (Imported)'!$1:$5000,M3484,FALSE)</f>
        <v>0</v>
      </c>
      <c r="S3484">
        <f>HLOOKUP("Memory",'vInfo (Imported)'!$1:$5000,M3484,FALSE)</f>
        <v>0</v>
      </c>
      <c r="T3484">
        <f>HLOOKUP("Provisioned MiB",'vInfo (Imported)'!$1:$5000,M3484,FALSE)</f>
        <v>0</v>
      </c>
      <c r="U3484">
        <f t="shared" si="163"/>
        <v>0</v>
      </c>
      <c r="V3484">
        <f>HLOOKUP("In Use MiB",'vInfo (Imported)'!$1:$5000,M3484,FALSE)</f>
        <v>0</v>
      </c>
    </row>
    <row r="3485" spans="1:22" ht="13" x14ac:dyDescent="0.3">
      <c r="A3485" s="46">
        <f>'vHosts (Imported)'!A3485</f>
        <v>0</v>
      </c>
      <c r="B3485" s="51">
        <f t="shared" si="162"/>
        <v>4968</v>
      </c>
      <c r="C3485" s="49">
        <f>HLOOKUP("# Cores",'vHosts (Imported)'!$1:$5000,M3485,FALSE)</f>
        <v>0</v>
      </c>
      <c r="D3485" s="52">
        <f>HLOOKUP("# Memory",'vHosts (Imported)'!$1:$5000,M3485,FALSE)</f>
        <v>0</v>
      </c>
      <c r="M3485" s="45">
        <f t="shared" si="164"/>
        <v>3485</v>
      </c>
      <c r="N3485" s="38">
        <f>HLOOKUP("Host",'vInfo (Imported)'!$1:$5000,M3485,FALSE)</f>
        <v>0</v>
      </c>
      <c r="R3485">
        <f>HLOOKUP("CPUs",'vInfo (Imported)'!$1:$5000,M3485,FALSE)</f>
        <v>0</v>
      </c>
      <c r="S3485">
        <f>HLOOKUP("Memory",'vInfo (Imported)'!$1:$5000,M3485,FALSE)</f>
        <v>0</v>
      </c>
      <c r="T3485">
        <f>HLOOKUP("Provisioned MiB",'vInfo (Imported)'!$1:$5000,M3485,FALSE)</f>
        <v>0</v>
      </c>
      <c r="U3485">
        <f t="shared" si="163"/>
        <v>0</v>
      </c>
      <c r="V3485">
        <f>HLOOKUP("In Use MiB",'vInfo (Imported)'!$1:$5000,M3485,FALSE)</f>
        <v>0</v>
      </c>
    </row>
    <row r="3486" spans="1:22" ht="13" x14ac:dyDescent="0.3">
      <c r="A3486" s="46">
        <f>'vHosts (Imported)'!A3486</f>
        <v>0</v>
      </c>
      <c r="B3486" s="51">
        <f t="shared" si="162"/>
        <v>4968</v>
      </c>
      <c r="C3486" s="49">
        <f>HLOOKUP("# Cores",'vHosts (Imported)'!$1:$5000,M3486,FALSE)</f>
        <v>0</v>
      </c>
      <c r="D3486" s="52">
        <f>HLOOKUP("# Memory",'vHosts (Imported)'!$1:$5000,M3486,FALSE)</f>
        <v>0</v>
      </c>
      <c r="M3486" s="45">
        <f t="shared" si="164"/>
        <v>3486</v>
      </c>
      <c r="N3486" s="38">
        <f>HLOOKUP("Host",'vInfo (Imported)'!$1:$5000,M3486,FALSE)</f>
        <v>0</v>
      </c>
      <c r="R3486">
        <f>HLOOKUP("CPUs",'vInfo (Imported)'!$1:$5000,M3486,FALSE)</f>
        <v>0</v>
      </c>
      <c r="S3486">
        <f>HLOOKUP("Memory",'vInfo (Imported)'!$1:$5000,M3486,FALSE)</f>
        <v>0</v>
      </c>
      <c r="T3486">
        <f>HLOOKUP("Provisioned MiB",'vInfo (Imported)'!$1:$5000,M3486,FALSE)</f>
        <v>0</v>
      </c>
      <c r="U3486">
        <f t="shared" si="163"/>
        <v>0</v>
      </c>
      <c r="V3486">
        <f>HLOOKUP("In Use MiB",'vInfo (Imported)'!$1:$5000,M3486,FALSE)</f>
        <v>0</v>
      </c>
    </row>
    <row r="3487" spans="1:22" ht="13" x14ac:dyDescent="0.3">
      <c r="A3487" s="46">
        <f>'vHosts (Imported)'!A3487</f>
        <v>0</v>
      </c>
      <c r="B3487" s="51">
        <f t="shared" si="162"/>
        <v>4968</v>
      </c>
      <c r="C3487" s="49">
        <f>HLOOKUP("# Cores",'vHosts (Imported)'!$1:$5000,M3487,FALSE)</f>
        <v>0</v>
      </c>
      <c r="D3487" s="52">
        <f>HLOOKUP("# Memory",'vHosts (Imported)'!$1:$5000,M3487,FALSE)</f>
        <v>0</v>
      </c>
      <c r="M3487" s="45">
        <f t="shared" si="164"/>
        <v>3487</v>
      </c>
      <c r="N3487" s="38">
        <f>HLOOKUP("Host",'vInfo (Imported)'!$1:$5000,M3487,FALSE)</f>
        <v>0</v>
      </c>
      <c r="R3487">
        <f>HLOOKUP("CPUs",'vInfo (Imported)'!$1:$5000,M3487,FALSE)</f>
        <v>0</v>
      </c>
      <c r="S3487">
        <f>HLOOKUP("Memory",'vInfo (Imported)'!$1:$5000,M3487,FALSE)</f>
        <v>0</v>
      </c>
      <c r="T3487">
        <f>HLOOKUP("Provisioned MiB",'vInfo (Imported)'!$1:$5000,M3487,FALSE)</f>
        <v>0</v>
      </c>
      <c r="U3487">
        <f t="shared" si="163"/>
        <v>0</v>
      </c>
      <c r="V3487">
        <f>HLOOKUP("In Use MiB",'vInfo (Imported)'!$1:$5000,M3487,FALSE)</f>
        <v>0</v>
      </c>
    </row>
    <row r="3488" spans="1:22" ht="13" x14ac:dyDescent="0.3">
      <c r="A3488" s="46">
        <f>'vHosts (Imported)'!A3488</f>
        <v>0</v>
      </c>
      <c r="B3488" s="51">
        <f t="shared" si="162"/>
        <v>4968</v>
      </c>
      <c r="C3488" s="49">
        <f>HLOOKUP("# Cores",'vHosts (Imported)'!$1:$5000,M3488,FALSE)</f>
        <v>0</v>
      </c>
      <c r="D3488" s="52">
        <f>HLOOKUP("# Memory",'vHosts (Imported)'!$1:$5000,M3488,FALSE)</f>
        <v>0</v>
      </c>
      <c r="M3488" s="45">
        <f t="shared" si="164"/>
        <v>3488</v>
      </c>
      <c r="N3488" s="38">
        <f>HLOOKUP("Host",'vInfo (Imported)'!$1:$5000,M3488,FALSE)</f>
        <v>0</v>
      </c>
      <c r="R3488">
        <f>HLOOKUP("CPUs",'vInfo (Imported)'!$1:$5000,M3488,FALSE)</f>
        <v>0</v>
      </c>
      <c r="S3488">
        <f>HLOOKUP("Memory",'vInfo (Imported)'!$1:$5000,M3488,FALSE)</f>
        <v>0</v>
      </c>
      <c r="T3488">
        <f>HLOOKUP("Provisioned MiB",'vInfo (Imported)'!$1:$5000,M3488,FALSE)</f>
        <v>0</v>
      </c>
      <c r="U3488">
        <f t="shared" si="163"/>
        <v>0</v>
      </c>
      <c r="V3488">
        <f>HLOOKUP("In Use MiB",'vInfo (Imported)'!$1:$5000,M3488,FALSE)</f>
        <v>0</v>
      </c>
    </row>
    <row r="3489" spans="1:22" ht="13" x14ac:dyDescent="0.3">
      <c r="A3489" s="46">
        <f>'vHosts (Imported)'!A3489</f>
        <v>0</v>
      </c>
      <c r="B3489" s="51">
        <f t="shared" si="162"/>
        <v>4968</v>
      </c>
      <c r="C3489" s="49">
        <f>HLOOKUP("# Cores",'vHosts (Imported)'!$1:$5000,M3489,FALSE)</f>
        <v>0</v>
      </c>
      <c r="D3489" s="52">
        <f>HLOOKUP("# Memory",'vHosts (Imported)'!$1:$5000,M3489,FALSE)</f>
        <v>0</v>
      </c>
      <c r="M3489" s="45">
        <f t="shared" si="164"/>
        <v>3489</v>
      </c>
      <c r="N3489" s="38">
        <f>HLOOKUP("Host",'vInfo (Imported)'!$1:$5000,M3489,FALSE)</f>
        <v>0</v>
      </c>
      <c r="R3489">
        <f>HLOOKUP("CPUs",'vInfo (Imported)'!$1:$5000,M3489,FALSE)</f>
        <v>0</v>
      </c>
      <c r="S3489">
        <f>HLOOKUP("Memory",'vInfo (Imported)'!$1:$5000,M3489,FALSE)</f>
        <v>0</v>
      </c>
      <c r="T3489">
        <f>HLOOKUP("Provisioned MiB",'vInfo (Imported)'!$1:$5000,M3489,FALSE)</f>
        <v>0</v>
      </c>
      <c r="U3489">
        <f t="shared" si="163"/>
        <v>0</v>
      </c>
      <c r="V3489">
        <f>HLOOKUP("In Use MiB",'vInfo (Imported)'!$1:$5000,M3489,FALSE)</f>
        <v>0</v>
      </c>
    </row>
    <row r="3490" spans="1:22" ht="13" x14ac:dyDescent="0.3">
      <c r="A3490" s="46">
        <f>'vHosts (Imported)'!A3490</f>
        <v>0</v>
      </c>
      <c r="B3490" s="51">
        <f t="shared" si="162"/>
        <v>4968</v>
      </c>
      <c r="C3490" s="49">
        <f>HLOOKUP("# Cores",'vHosts (Imported)'!$1:$5000,M3490,FALSE)</f>
        <v>0</v>
      </c>
      <c r="D3490" s="52">
        <f>HLOOKUP("# Memory",'vHosts (Imported)'!$1:$5000,M3490,FALSE)</f>
        <v>0</v>
      </c>
      <c r="M3490" s="45">
        <f t="shared" si="164"/>
        <v>3490</v>
      </c>
      <c r="N3490" s="38">
        <f>HLOOKUP("Host",'vInfo (Imported)'!$1:$5000,M3490,FALSE)</f>
        <v>0</v>
      </c>
      <c r="R3490">
        <f>HLOOKUP("CPUs",'vInfo (Imported)'!$1:$5000,M3490,FALSE)</f>
        <v>0</v>
      </c>
      <c r="S3490">
        <f>HLOOKUP("Memory",'vInfo (Imported)'!$1:$5000,M3490,FALSE)</f>
        <v>0</v>
      </c>
      <c r="T3490">
        <f>HLOOKUP("Provisioned MiB",'vInfo (Imported)'!$1:$5000,M3490,FALSE)</f>
        <v>0</v>
      </c>
      <c r="U3490">
        <f t="shared" si="163"/>
        <v>0</v>
      </c>
      <c r="V3490">
        <f>HLOOKUP("In Use MiB",'vInfo (Imported)'!$1:$5000,M3490,FALSE)</f>
        <v>0</v>
      </c>
    </row>
    <row r="3491" spans="1:22" ht="13" x14ac:dyDescent="0.3">
      <c r="A3491" s="46">
        <f>'vHosts (Imported)'!A3491</f>
        <v>0</v>
      </c>
      <c r="B3491" s="51">
        <f t="shared" si="162"/>
        <v>4968</v>
      </c>
      <c r="C3491" s="49">
        <f>HLOOKUP("# Cores",'vHosts (Imported)'!$1:$5000,M3491,FALSE)</f>
        <v>0</v>
      </c>
      <c r="D3491" s="52">
        <f>HLOOKUP("# Memory",'vHosts (Imported)'!$1:$5000,M3491,FALSE)</f>
        <v>0</v>
      </c>
      <c r="M3491" s="45">
        <f t="shared" si="164"/>
        <v>3491</v>
      </c>
      <c r="N3491" s="38">
        <f>HLOOKUP("Host",'vInfo (Imported)'!$1:$5000,M3491,FALSE)</f>
        <v>0</v>
      </c>
      <c r="R3491">
        <f>HLOOKUP("CPUs",'vInfo (Imported)'!$1:$5000,M3491,FALSE)</f>
        <v>0</v>
      </c>
      <c r="S3491">
        <f>HLOOKUP("Memory",'vInfo (Imported)'!$1:$5000,M3491,FALSE)</f>
        <v>0</v>
      </c>
      <c r="T3491">
        <f>HLOOKUP("Provisioned MiB",'vInfo (Imported)'!$1:$5000,M3491,FALSE)</f>
        <v>0</v>
      </c>
      <c r="U3491">
        <f t="shared" si="163"/>
        <v>0</v>
      </c>
      <c r="V3491">
        <f>HLOOKUP("In Use MiB",'vInfo (Imported)'!$1:$5000,M3491,FALSE)</f>
        <v>0</v>
      </c>
    </row>
    <row r="3492" spans="1:22" ht="13" x14ac:dyDescent="0.3">
      <c r="A3492" s="46">
        <f>'vHosts (Imported)'!A3492</f>
        <v>0</v>
      </c>
      <c r="B3492" s="51">
        <f t="shared" si="162"/>
        <v>4968</v>
      </c>
      <c r="C3492" s="49">
        <f>HLOOKUP("# Cores",'vHosts (Imported)'!$1:$5000,M3492,FALSE)</f>
        <v>0</v>
      </c>
      <c r="D3492" s="52">
        <f>HLOOKUP("# Memory",'vHosts (Imported)'!$1:$5000,M3492,FALSE)</f>
        <v>0</v>
      </c>
      <c r="M3492" s="45">
        <f t="shared" si="164"/>
        <v>3492</v>
      </c>
      <c r="N3492" s="38">
        <f>HLOOKUP("Host",'vInfo (Imported)'!$1:$5000,M3492,FALSE)</f>
        <v>0</v>
      </c>
      <c r="R3492">
        <f>HLOOKUP("CPUs",'vInfo (Imported)'!$1:$5000,M3492,FALSE)</f>
        <v>0</v>
      </c>
      <c r="S3492">
        <f>HLOOKUP("Memory",'vInfo (Imported)'!$1:$5000,M3492,FALSE)</f>
        <v>0</v>
      </c>
      <c r="T3492">
        <f>HLOOKUP("Provisioned MiB",'vInfo (Imported)'!$1:$5000,M3492,FALSE)</f>
        <v>0</v>
      </c>
      <c r="U3492">
        <f t="shared" si="163"/>
        <v>0</v>
      </c>
      <c r="V3492">
        <f>HLOOKUP("In Use MiB",'vInfo (Imported)'!$1:$5000,M3492,FALSE)</f>
        <v>0</v>
      </c>
    </row>
    <row r="3493" spans="1:22" ht="13" x14ac:dyDescent="0.3">
      <c r="A3493" s="46">
        <f>'vHosts (Imported)'!A3493</f>
        <v>0</v>
      </c>
      <c r="B3493" s="51">
        <f t="shared" si="162"/>
        <v>4968</v>
      </c>
      <c r="C3493" s="49">
        <f>HLOOKUP("# Cores",'vHosts (Imported)'!$1:$5000,M3493,FALSE)</f>
        <v>0</v>
      </c>
      <c r="D3493" s="52">
        <f>HLOOKUP("# Memory",'vHosts (Imported)'!$1:$5000,M3493,FALSE)</f>
        <v>0</v>
      </c>
      <c r="M3493" s="45">
        <f t="shared" si="164"/>
        <v>3493</v>
      </c>
      <c r="N3493" s="38">
        <f>HLOOKUP("Host",'vInfo (Imported)'!$1:$5000,M3493,FALSE)</f>
        <v>0</v>
      </c>
      <c r="R3493">
        <f>HLOOKUP("CPUs",'vInfo (Imported)'!$1:$5000,M3493,FALSE)</f>
        <v>0</v>
      </c>
      <c r="S3493">
        <f>HLOOKUP("Memory",'vInfo (Imported)'!$1:$5000,M3493,FALSE)</f>
        <v>0</v>
      </c>
      <c r="T3493">
        <f>HLOOKUP("Provisioned MiB",'vInfo (Imported)'!$1:$5000,M3493,FALSE)</f>
        <v>0</v>
      </c>
      <c r="U3493">
        <f t="shared" si="163"/>
        <v>0</v>
      </c>
      <c r="V3493">
        <f>HLOOKUP("In Use MiB",'vInfo (Imported)'!$1:$5000,M3493,FALSE)</f>
        <v>0</v>
      </c>
    </row>
    <row r="3494" spans="1:22" ht="13" x14ac:dyDescent="0.3">
      <c r="A3494" s="46">
        <f>'vHosts (Imported)'!A3494</f>
        <v>0</v>
      </c>
      <c r="B3494" s="51">
        <f t="shared" si="162"/>
        <v>4968</v>
      </c>
      <c r="C3494" s="49">
        <f>HLOOKUP("# Cores",'vHosts (Imported)'!$1:$5000,M3494,FALSE)</f>
        <v>0</v>
      </c>
      <c r="D3494" s="52">
        <f>HLOOKUP("# Memory",'vHosts (Imported)'!$1:$5000,M3494,FALSE)</f>
        <v>0</v>
      </c>
      <c r="M3494" s="45">
        <f t="shared" si="164"/>
        <v>3494</v>
      </c>
      <c r="N3494" s="38">
        <f>HLOOKUP("Host",'vInfo (Imported)'!$1:$5000,M3494,FALSE)</f>
        <v>0</v>
      </c>
      <c r="R3494">
        <f>HLOOKUP("CPUs",'vInfo (Imported)'!$1:$5000,M3494,FALSE)</f>
        <v>0</v>
      </c>
      <c r="S3494">
        <f>HLOOKUP("Memory",'vInfo (Imported)'!$1:$5000,M3494,FALSE)</f>
        <v>0</v>
      </c>
      <c r="T3494">
        <f>HLOOKUP("Provisioned MiB",'vInfo (Imported)'!$1:$5000,M3494,FALSE)</f>
        <v>0</v>
      </c>
      <c r="U3494">
        <f t="shared" si="163"/>
        <v>0</v>
      </c>
      <c r="V3494">
        <f>HLOOKUP("In Use MiB",'vInfo (Imported)'!$1:$5000,M3494,FALSE)</f>
        <v>0</v>
      </c>
    </row>
    <row r="3495" spans="1:22" ht="13" x14ac:dyDescent="0.3">
      <c r="A3495" s="46">
        <f>'vHosts (Imported)'!A3495</f>
        <v>0</v>
      </c>
      <c r="B3495" s="51">
        <f t="shared" si="162"/>
        <v>4968</v>
      </c>
      <c r="C3495" s="49">
        <f>HLOOKUP("# Cores",'vHosts (Imported)'!$1:$5000,M3495,FALSE)</f>
        <v>0</v>
      </c>
      <c r="D3495" s="52">
        <f>HLOOKUP("# Memory",'vHosts (Imported)'!$1:$5000,M3495,FALSE)</f>
        <v>0</v>
      </c>
      <c r="M3495" s="45">
        <f t="shared" si="164"/>
        <v>3495</v>
      </c>
      <c r="N3495" s="38">
        <f>HLOOKUP("Host",'vInfo (Imported)'!$1:$5000,M3495,FALSE)</f>
        <v>0</v>
      </c>
      <c r="R3495">
        <f>HLOOKUP("CPUs",'vInfo (Imported)'!$1:$5000,M3495,FALSE)</f>
        <v>0</v>
      </c>
      <c r="S3495">
        <f>HLOOKUP("Memory",'vInfo (Imported)'!$1:$5000,M3495,FALSE)</f>
        <v>0</v>
      </c>
      <c r="T3495">
        <f>HLOOKUP("Provisioned MiB",'vInfo (Imported)'!$1:$5000,M3495,FALSE)</f>
        <v>0</v>
      </c>
      <c r="U3495">
        <f t="shared" si="163"/>
        <v>0</v>
      </c>
      <c r="V3495">
        <f>HLOOKUP("In Use MiB",'vInfo (Imported)'!$1:$5000,M3495,FALSE)</f>
        <v>0</v>
      </c>
    </row>
    <row r="3496" spans="1:22" ht="13" x14ac:dyDescent="0.3">
      <c r="A3496" s="46">
        <f>'vHosts (Imported)'!A3496</f>
        <v>0</v>
      </c>
      <c r="B3496" s="51">
        <f t="shared" ref="B3496:B3559" si="165">COUNTIF(N:N,A3496)</f>
        <v>4968</v>
      </c>
      <c r="C3496" s="49">
        <f>HLOOKUP("# Cores",'vHosts (Imported)'!$1:$5000,M3496,FALSE)</f>
        <v>0</v>
      </c>
      <c r="D3496" s="52">
        <f>HLOOKUP("# Memory",'vHosts (Imported)'!$1:$5000,M3496,FALSE)</f>
        <v>0</v>
      </c>
      <c r="M3496" s="45">
        <f t="shared" si="164"/>
        <v>3496</v>
      </c>
      <c r="N3496" s="38">
        <f>HLOOKUP("Host",'vInfo (Imported)'!$1:$5000,M3496,FALSE)</f>
        <v>0</v>
      </c>
      <c r="R3496">
        <f>HLOOKUP("CPUs",'vInfo (Imported)'!$1:$5000,M3496,FALSE)</f>
        <v>0</v>
      </c>
      <c r="S3496">
        <f>HLOOKUP("Memory",'vInfo (Imported)'!$1:$5000,M3496,FALSE)</f>
        <v>0</v>
      </c>
      <c r="T3496">
        <f>HLOOKUP("Provisioned MiB",'vInfo (Imported)'!$1:$5000,M3496,FALSE)</f>
        <v>0</v>
      </c>
      <c r="U3496">
        <f t="shared" si="163"/>
        <v>0</v>
      </c>
      <c r="V3496">
        <f>HLOOKUP("In Use MiB",'vInfo (Imported)'!$1:$5000,M3496,FALSE)</f>
        <v>0</v>
      </c>
    </row>
    <row r="3497" spans="1:22" ht="13" x14ac:dyDescent="0.3">
      <c r="A3497" s="46">
        <f>'vHosts (Imported)'!A3497</f>
        <v>0</v>
      </c>
      <c r="B3497" s="51">
        <f t="shared" si="165"/>
        <v>4968</v>
      </c>
      <c r="C3497" s="49">
        <f>HLOOKUP("# Cores",'vHosts (Imported)'!$1:$5000,M3497,FALSE)</f>
        <v>0</v>
      </c>
      <c r="D3497" s="52">
        <f>HLOOKUP("# Memory",'vHosts (Imported)'!$1:$5000,M3497,FALSE)</f>
        <v>0</v>
      </c>
      <c r="M3497" s="45">
        <f t="shared" si="164"/>
        <v>3497</v>
      </c>
      <c r="N3497" s="38">
        <f>HLOOKUP("Host",'vInfo (Imported)'!$1:$5000,M3497,FALSE)</f>
        <v>0</v>
      </c>
      <c r="R3497">
        <f>HLOOKUP("CPUs",'vInfo (Imported)'!$1:$5000,M3497,FALSE)</f>
        <v>0</v>
      </c>
      <c r="S3497">
        <f>HLOOKUP("Memory",'vInfo (Imported)'!$1:$5000,M3497,FALSE)</f>
        <v>0</v>
      </c>
      <c r="T3497">
        <f>HLOOKUP("Provisioned MiB",'vInfo (Imported)'!$1:$5000,M3497,FALSE)</f>
        <v>0</v>
      </c>
      <c r="U3497">
        <f t="shared" si="163"/>
        <v>0</v>
      </c>
      <c r="V3497">
        <f>HLOOKUP("In Use MiB",'vInfo (Imported)'!$1:$5000,M3497,FALSE)</f>
        <v>0</v>
      </c>
    </row>
    <row r="3498" spans="1:22" ht="13" x14ac:dyDescent="0.3">
      <c r="A3498" s="46">
        <f>'vHosts (Imported)'!A3498</f>
        <v>0</v>
      </c>
      <c r="B3498" s="51">
        <f t="shared" si="165"/>
        <v>4968</v>
      </c>
      <c r="C3498" s="49">
        <f>HLOOKUP("# Cores",'vHosts (Imported)'!$1:$5000,M3498,FALSE)</f>
        <v>0</v>
      </c>
      <c r="D3498" s="52">
        <f>HLOOKUP("# Memory",'vHosts (Imported)'!$1:$5000,M3498,FALSE)</f>
        <v>0</v>
      </c>
      <c r="M3498" s="45">
        <f t="shared" si="164"/>
        <v>3498</v>
      </c>
      <c r="N3498" s="38">
        <f>HLOOKUP("Host",'vInfo (Imported)'!$1:$5000,M3498,FALSE)</f>
        <v>0</v>
      </c>
      <c r="R3498">
        <f>HLOOKUP("CPUs",'vInfo (Imported)'!$1:$5000,M3498,FALSE)</f>
        <v>0</v>
      </c>
      <c r="S3498">
        <f>HLOOKUP("Memory",'vInfo (Imported)'!$1:$5000,M3498,FALSE)</f>
        <v>0</v>
      </c>
      <c r="T3498">
        <f>HLOOKUP("Provisioned MiB",'vInfo (Imported)'!$1:$5000,M3498,FALSE)</f>
        <v>0</v>
      </c>
      <c r="U3498">
        <f t="shared" si="163"/>
        <v>0</v>
      </c>
      <c r="V3498">
        <f>HLOOKUP("In Use MiB",'vInfo (Imported)'!$1:$5000,M3498,FALSE)</f>
        <v>0</v>
      </c>
    </row>
    <row r="3499" spans="1:22" ht="13" x14ac:dyDescent="0.3">
      <c r="A3499" s="46">
        <f>'vHosts (Imported)'!A3499</f>
        <v>0</v>
      </c>
      <c r="B3499" s="51">
        <f t="shared" si="165"/>
        <v>4968</v>
      </c>
      <c r="C3499" s="49">
        <f>HLOOKUP("# Cores",'vHosts (Imported)'!$1:$5000,M3499,FALSE)</f>
        <v>0</v>
      </c>
      <c r="D3499" s="52">
        <f>HLOOKUP("# Memory",'vHosts (Imported)'!$1:$5000,M3499,FALSE)</f>
        <v>0</v>
      </c>
      <c r="M3499" s="45">
        <f t="shared" si="164"/>
        <v>3499</v>
      </c>
      <c r="N3499" s="38">
        <f>HLOOKUP("Host",'vInfo (Imported)'!$1:$5000,M3499,FALSE)</f>
        <v>0</v>
      </c>
      <c r="R3499">
        <f>HLOOKUP("CPUs",'vInfo (Imported)'!$1:$5000,M3499,FALSE)</f>
        <v>0</v>
      </c>
      <c r="S3499">
        <f>HLOOKUP("Memory",'vInfo (Imported)'!$1:$5000,M3499,FALSE)</f>
        <v>0</v>
      </c>
      <c r="T3499">
        <f>HLOOKUP("Provisioned MiB",'vInfo (Imported)'!$1:$5000,M3499,FALSE)</f>
        <v>0</v>
      </c>
      <c r="U3499">
        <f t="shared" si="163"/>
        <v>0</v>
      </c>
      <c r="V3499">
        <f>HLOOKUP("In Use MiB",'vInfo (Imported)'!$1:$5000,M3499,FALSE)</f>
        <v>0</v>
      </c>
    </row>
    <row r="3500" spans="1:22" ht="13" x14ac:dyDescent="0.3">
      <c r="A3500" s="46">
        <f>'vHosts (Imported)'!A3500</f>
        <v>0</v>
      </c>
      <c r="B3500" s="51">
        <f t="shared" si="165"/>
        <v>4968</v>
      </c>
      <c r="C3500" s="49">
        <f>HLOOKUP("# Cores",'vHosts (Imported)'!$1:$5000,M3500,FALSE)</f>
        <v>0</v>
      </c>
      <c r="D3500" s="52">
        <f>HLOOKUP("# Memory",'vHosts (Imported)'!$1:$5000,M3500,FALSE)</f>
        <v>0</v>
      </c>
      <c r="M3500" s="45">
        <f t="shared" si="164"/>
        <v>3500</v>
      </c>
      <c r="N3500" s="38">
        <f>HLOOKUP("Host",'vInfo (Imported)'!$1:$5000,M3500,FALSE)</f>
        <v>0</v>
      </c>
      <c r="R3500">
        <f>HLOOKUP("CPUs",'vInfo (Imported)'!$1:$5000,M3500,FALSE)</f>
        <v>0</v>
      </c>
      <c r="S3500">
        <f>HLOOKUP("Memory",'vInfo (Imported)'!$1:$5000,M3500,FALSE)</f>
        <v>0</v>
      </c>
      <c r="T3500">
        <f>HLOOKUP("Provisioned MiB",'vInfo (Imported)'!$1:$5000,M3500,FALSE)</f>
        <v>0</v>
      </c>
      <c r="U3500">
        <f t="shared" si="163"/>
        <v>0</v>
      </c>
      <c r="V3500">
        <f>HLOOKUP("In Use MiB",'vInfo (Imported)'!$1:$5000,M3500,FALSE)</f>
        <v>0</v>
      </c>
    </row>
    <row r="3501" spans="1:22" ht="13" x14ac:dyDescent="0.3">
      <c r="A3501" s="46">
        <f>'vHosts (Imported)'!A3501</f>
        <v>0</v>
      </c>
      <c r="B3501" s="51">
        <f t="shared" si="165"/>
        <v>4968</v>
      </c>
      <c r="C3501" s="49">
        <f>HLOOKUP("# Cores",'vHosts (Imported)'!$1:$5000,M3501,FALSE)</f>
        <v>0</v>
      </c>
      <c r="D3501" s="52">
        <f>HLOOKUP("# Memory",'vHosts (Imported)'!$1:$5000,M3501,FALSE)</f>
        <v>0</v>
      </c>
      <c r="M3501" s="45">
        <f t="shared" si="164"/>
        <v>3501</v>
      </c>
      <c r="N3501" s="38">
        <f>HLOOKUP("Host",'vInfo (Imported)'!$1:$5000,M3501,FALSE)</f>
        <v>0</v>
      </c>
      <c r="R3501">
        <f>HLOOKUP("CPUs",'vInfo (Imported)'!$1:$5000,M3501,FALSE)</f>
        <v>0</v>
      </c>
      <c r="S3501">
        <f>HLOOKUP("Memory",'vInfo (Imported)'!$1:$5000,M3501,FALSE)</f>
        <v>0</v>
      </c>
      <c r="T3501">
        <f>HLOOKUP("Provisioned MiB",'vInfo (Imported)'!$1:$5000,M3501,FALSE)</f>
        <v>0</v>
      </c>
      <c r="U3501">
        <f t="shared" si="163"/>
        <v>0</v>
      </c>
      <c r="V3501">
        <f>HLOOKUP("In Use MiB",'vInfo (Imported)'!$1:$5000,M3501,FALSE)</f>
        <v>0</v>
      </c>
    </row>
    <row r="3502" spans="1:22" ht="13" x14ac:dyDescent="0.3">
      <c r="A3502" s="46">
        <f>'vHosts (Imported)'!A3502</f>
        <v>0</v>
      </c>
      <c r="B3502" s="51">
        <f t="shared" si="165"/>
        <v>4968</v>
      </c>
      <c r="C3502" s="49">
        <f>HLOOKUP("# Cores",'vHosts (Imported)'!$1:$5000,M3502,FALSE)</f>
        <v>0</v>
      </c>
      <c r="D3502" s="52">
        <f>HLOOKUP("# Memory",'vHosts (Imported)'!$1:$5000,M3502,FALSE)</f>
        <v>0</v>
      </c>
      <c r="M3502" s="45">
        <f t="shared" si="164"/>
        <v>3502</v>
      </c>
      <c r="N3502" s="38">
        <f>HLOOKUP("Host",'vInfo (Imported)'!$1:$5000,M3502,FALSE)</f>
        <v>0</v>
      </c>
      <c r="R3502">
        <f>HLOOKUP("CPUs",'vInfo (Imported)'!$1:$5000,M3502,FALSE)</f>
        <v>0</v>
      </c>
      <c r="S3502">
        <f>HLOOKUP("Memory",'vInfo (Imported)'!$1:$5000,M3502,FALSE)</f>
        <v>0</v>
      </c>
      <c r="T3502">
        <f>HLOOKUP("Provisioned MiB",'vInfo (Imported)'!$1:$5000,M3502,FALSE)</f>
        <v>0</v>
      </c>
      <c r="U3502">
        <f t="shared" si="163"/>
        <v>0</v>
      </c>
      <c r="V3502">
        <f>HLOOKUP("In Use MiB",'vInfo (Imported)'!$1:$5000,M3502,FALSE)</f>
        <v>0</v>
      </c>
    </row>
    <row r="3503" spans="1:22" ht="13" x14ac:dyDescent="0.3">
      <c r="A3503" s="46">
        <f>'vHosts (Imported)'!A3503</f>
        <v>0</v>
      </c>
      <c r="B3503" s="51">
        <f t="shared" si="165"/>
        <v>4968</v>
      </c>
      <c r="C3503" s="49">
        <f>HLOOKUP("# Cores",'vHosts (Imported)'!$1:$5000,M3503,FALSE)</f>
        <v>0</v>
      </c>
      <c r="D3503" s="52">
        <f>HLOOKUP("# Memory",'vHosts (Imported)'!$1:$5000,M3503,FALSE)</f>
        <v>0</v>
      </c>
      <c r="M3503" s="45">
        <f t="shared" si="164"/>
        <v>3503</v>
      </c>
      <c r="N3503" s="38">
        <f>HLOOKUP("Host",'vInfo (Imported)'!$1:$5000,M3503,FALSE)</f>
        <v>0</v>
      </c>
      <c r="R3503">
        <f>HLOOKUP("CPUs",'vInfo (Imported)'!$1:$5000,M3503,FALSE)</f>
        <v>0</v>
      </c>
      <c r="S3503">
        <f>HLOOKUP("Memory",'vInfo (Imported)'!$1:$5000,M3503,FALSE)</f>
        <v>0</v>
      </c>
      <c r="T3503">
        <f>HLOOKUP("Provisioned MiB",'vInfo (Imported)'!$1:$5000,M3503,FALSE)</f>
        <v>0</v>
      </c>
      <c r="U3503">
        <f t="shared" si="163"/>
        <v>0</v>
      </c>
      <c r="V3503">
        <f>HLOOKUP("In Use MiB",'vInfo (Imported)'!$1:$5000,M3503,FALSE)</f>
        <v>0</v>
      </c>
    </row>
    <row r="3504" spans="1:22" ht="13" x14ac:dyDescent="0.3">
      <c r="A3504" s="46">
        <f>'vHosts (Imported)'!A3504</f>
        <v>0</v>
      </c>
      <c r="B3504" s="51">
        <f t="shared" si="165"/>
        <v>4968</v>
      </c>
      <c r="C3504" s="49">
        <f>HLOOKUP("# Cores",'vHosts (Imported)'!$1:$5000,M3504,FALSE)</f>
        <v>0</v>
      </c>
      <c r="D3504" s="52">
        <f>HLOOKUP("# Memory",'vHosts (Imported)'!$1:$5000,M3504,FALSE)</f>
        <v>0</v>
      </c>
      <c r="M3504" s="45">
        <f t="shared" si="164"/>
        <v>3504</v>
      </c>
      <c r="N3504" s="38">
        <f>HLOOKUP("Host",'vInfo (Imported)'!$1:$5000,M3504,FALSE)</f>
        <v>0</v>
      </c>
      <c r="R3504">
        <f>HLOOKUP("CPUs",'vInfo (Imported)'!$1:$5000,M3504,FALSE)</f>
        <v>0</v>
      </c>
      <c r="S3504">
        <f>HLOOKUP("Memory",'vInfo (Imported)'!$1:$5000,M3504,FALSE)</f>
        <v>0</v>
      </c>
      <c r="T3504">
        <f>HLOOKUP("Provisioned MiB",'vInfo (Imported)'!$1:$5000,M3504,FALSE)</f>
        <v>0</v>
      </c>
      <c r="U3504">
        <f t="shared" si="163"/>
        <v>0</v>
      </c>
      <c r="V3504">
        <f>HLOOKUP("In Use MiB",'vInfo (Imported)'!$1:$5000,M3504,FALSE)</f>
        <v>0</v>
      </c>
    </row>
    <row r="3505" spans="1:22" ht="13" x14ac:dyDescent="0.3">
      <c r="A3505" s="46">
        <f>'vHosts (Imported)'!A3505</f>
        <v>0</v>
      </c>
      <c r="B3505" s="51">
        <f t="shared" si="165"/>
        <v>4968</v>
      </c>
      <c r="C3505" s="49">
        <f>HLOOKUP("# Cores",'vHosts (Imported)'!$1:$5000,M3505,FALSE)</f>
        <v>0</v>
      </c>
      <c r="D3505" s="52">
        <f>HLOOKUP("# Memory",'vHosts (Imported)'!$1:$5000,M3505,FALSE)</f>
        <v>0</v>
      </c>
      <c r="M3505" s="45">
        <f t="shared" si="164"/>
        <v>3505</v>
      </c>
      <c r="N3505" s="38">
        <f>HLOOKUP("Host",'vInfo (Imported)'!$1:$5000,M3505,FALSE)</f>
        <v>0</v>
      </c>
      <c r="R3505">
        <f>HLOOKUP("CPUs",'vInfo (Imported)'!$1:$5000,M3505,FALSE)</f>
        <v>0</v>
      </c>
      <c r="S3505">
        <f>HLOOKUP("Memory",'vInfo (Imported)'!$1:$5000,M3505,FALSE)</f>
        <v>0</v>
      </c>
      <c r="T3505">
        <f>HLOOKUP("Provisioned MiB",'vInfo (Imported)'!$1:$5000,M3505,FALSE)</f>
        <v>0</v>
      </c>
      <c r="U3505">
        <f t="shared" si="163"/>
        <v>0</v>
      </c>
      <c r="V3505">
        <f>HLOOKUP("In Use MiB",'vInfo (Imported)'!$1:$5000,M3505,FALSE)</f>
        <v>0</v>
      </c>
    </row>
    <row r="3506" spans="1:22" ht="13" x14ac:dyDescent="0.3">
      <c r="A3506" s="46">
        <f>'vHosts (Imported)'!A3506</f>
        <v>0</v>
      </c>
      <c r="B3506" s="51">
        <f t="shared" si="165"/>
        <v>4968</v>
      </c>
      <c r="C3506" s="49">
        <f>HLOOKUP("# Cores",'vHosts (Imported)'!$1:$5000,M3506,FALSE)</f>
        <v>0</v>
      </c>
      <c r="D3506" s="52">
        <f>HLOOKUP("# Memory",'vHosts (Imported)'!$1:$5000,M3506,FALSE)</f>
        <v>0</v>
      </c>
      <c r="M3506" s="45">
        <f t="shared" si="164"/>
        <v>3506</v>
      </c>
      <c r="N3506" s="38">
        <f>HLOOKUP("Host",'vInfo (Imported)'!$1:$5000,M3506,FALSE)</f>
        <v>0</v>
      </c>
      <c r="R3506">
        <f>HLOOKUP("CPUs",'vInfo (Imported)'!$1:$5000,M3506,FALSE)</f>
        <v>0</v>
      </c>
      <c r="S3506">
        <f>HLOOKUP("Memory",'vInfo (Imported)'!$1:$5000,M3506,FALSE)</f>
        <v>0</v>
      </c>
      <c r="T3506">
        <f>HLOOKUP("Provisioned MiB",'vInfo (Imported)'!$1:$5000,M3506,FALSE)</f>
        <v>0</v>
      </c>
      <c r="U3506">
        <f t="shared" si="163"/>
        <v>0</v>
      </c>
      <c r="V3506">
        <f>HLOOKUP("In Use MiB",'vInfo (Imported)'!$1:$5000,M3506,FALSE)</f>
        <v>0</v>
      </c>
    </row>
    <row r="3507" spans="1:22" ht="13" x14ac:dyDescent="0.3">
      <c r="A3507" s="46">
        <f>'vHosts (Imported)'!A3507</f>
        <v>0</v>
      </c>
      <c r="B3507" s="51">
        <f t="shared" si="165"/>
        <v>4968</v>
      </c>
      <c r="C3507" s="49">
        <f>HLOOKUP("# Cores",'vHosts (Imported)'!$1:$5000,M3507,FALSE)</f>
        <v>0</v>
      </c>
      <c r="D3507" s="52">
        <f>HLOOKUP("# Memory",'vHosts (Imported)'!$1:$5000,M3507,FALSE)</f>
        <v>0</v>
      </c>
      <c r="M3507" s="45">
        <f t="shared" si="164"/>
        <v>3507</v>
      </c>
      <c r="N3507" s="38">
        <f>HLOOKUP("Host",'vInfo (Imported)'!$1:$5000,M3507,FALSE)</f>
        <v>0</v>
      </c>
      <c r="R3507">
        <f>HLOOKUP("CPUs",'vInfo (Imported)'!$1:$5000,M3507,FALSE)</f>
        <v>0</v>
      </c>
      <c r="S3507">
        <f>HLOOKUP("Memory",'vInfo (Imported)'!$1:$5000,M3507,FALSE)</f>
        <v>0</v>
      </c>
      <c r="T3507">
        <f>HLOOKUP("Provisioned MiB",'vInfo (Imported)'!$1:$5000,M3507,FALSE)</f>
        <v>0</v>
      </c>
      <c r="U3507">
        <f t="shared" si="163"/>
        <v>0</v>
      </c>
      <c r="V3507">
        <f>HLOOKUP("In Use MiB",'vInfo (Imported)'!$1:$5000,M3507,FALSE)</f>
        <v>0</v>
      </c>
    </row>
    <row r="3508" spans="1:22" ht="13" x14ac:dyDescent="0.3">
      <c r="A3508" s="46">
        <f>'vHosts (Imported)'!A3508</f>
        <v>0</v>
      </c>
      <c r="B3508" s="51">
        <f t="shared" si="165"/>
        <v>4968</v>
      </c>
      <c r="C3508" s="49">
        <f>HLOOKUP("# Cores",'vHosts (Imported)'!$1:$5000,M3508,FALSE)</f>
        <v>0</v>
      </c>
      <c r="D3508" s="52">
        <f>HLOOKUP("# Memory",'vHosts (Imported)'!$1:$5000,M3508,FALSE)</f>
        <v>0</v>
      </c>
      <c r="M3508" s="45">
        <f t="shared" si="164"/>
        <v>3508</v>
      </c>
      <c r="N3508" s="38">
        <f>HLOOKUP("Host",'vInfo (Imported)'!$1:$5000,M3508,FALSE)</f>
        <v>0</v>
      </c>
      <c r="R3508">
        <f>HLOOKUP("CPUs",'vInfo (Imported)'!$1:$5000,M3508,FALSE)</f>
        <v>0</v>
      </c>
      <c r="S3508">
        <f>HLOOKUP("Memory",'vInfo (Imported)'!$1:$5000,M3508,FALSE)</f>
        <v>0</v>
      </c>
      <c r="T3508">
        <f>HLOOKUP("Provisioned MiB",'vInfo (Imported)'!$1:$5000,M3508,FALSE)</f>
        <v>0</v>
      </c>
      <c r="U3508">
        <f t="shared" si="163"/>
        <v>0</v>
      </c>
      <c r="V3508">
        <f>HLOOKUP("In Use MiB",'vInfo (Imported)'!$1:$5000,M3508,FALSE)</f>
        <v>0</v>
      </c>
    </row>
    <row r="3509" spans="1:22" ht="13" x14ac:dyDescent="0.3">
      <c r="A3509" s="46">
        <f>'vHosts (Imported)'!A3509</f>
        <v>0</v>
      </c>
      <c r="B3509" s="51">
        <f t="shared" si="165"/>
        <v>4968</v>
      </c>
      <c r="C3509" s="49">
        <f>HLOOKUP("# Cores",'vHosts (Imported)'!$1:$5000,M3509,FALSE)</f>
        <v>0</v>
      </c>
      <c r="D3509" s="52">
        <f>HLOOKUP("# Memory",'vHosts (Imported)'!$1:$5000,M3509,FALSE)</f>
        <v>0</v>
      </c>
      <c r="M3509" s="45">
        <f t="shared" si="164"/>
        <v>3509</v>
      </c>
      <c r="N3509" s="38">
        <f>HLOOKUP("Host",'vInfo (Imported)'!$1:$5000,M3509,FALSE)</f>
        <v>0</v>
      </c>
      <c r="R3509">
        <f>HLOOKUP("CPUs",'vInfo (Imported)'!$1:$5000,M3509,FALSE)</f>
        <v>0</v>
      </c>
      <c r="S3509">
        <f>HLOOKUP("Memory",'vInfo (Imported)'!$1:$5000,M3509,FALSE)</f>
        <v>0</v>
      </c>
      <c r="T3509">
        <f>HLOOKUP("Provisioned MiB",'vInfo (Imported)'!$1:$5000,M3509,FALSE)</f>
        <v>0</v>
      </c>
      <c r="U3509">
        <f t="shared" si="163"/>
        <v>0</v>
      </c>
      <c r="V3509">
        <f>HLOOKUP("In Use MiB",'vInfo (Imported)'!$1:$5000,M3509,FALSE)</f>
        <v>0</v>
      </c>
    </row>
    <row r="3510" spans="1:22" ht="13" x14ac:dyDescent="0.3">
      <c r="A3510" s="46">
        <f>'vHosts (Imported)'!A3510</f>
        <v>0</v>
      </c>
      <c r="B3510" s="51">
        <f t="shared" si="165"/>
        <v>4968</v>
      </c>
      <c r="C3510" s="49">
        <f>HLOOKUP("# Cores",'vHosts (Imported)'!$1:$5000,M3510,FALSE)</f>
        <v>0</v>
      </c>
      <c r="D3510" s="52">
        <f>HLOOKUP("# Memory",'vHosts (Imported)'!$1:$5000,M3510,FALSE)</f>
        <v>0</v>
      </c>
      <c r="M3510" s="45">
        <f t="shared" si="164"/>
        <v>3510</v>
      </c>
      <c r="N3510" s="38">
        <f>HLOOKUP("Host",'vInfo (Imported)'!$1:$5000,M3510,FALSE)</f>
        <v>0</v>
      </c>
      <c r="R3510">
        <f>HLOOKUP("CPUs",'vInfo (Imported)'!$1:$5000,M3510,FALSE)</f>
        <v>0</v>
      </c>
      <c r="S3510">
        <f>HLOOKUP("Memory",'vInfo (Imported)'!$1:$5000,M3510,FALSE)</f>
        <v>0</v>
      </c>
      <c r="T3510">
        <f>HLOOKUP("Provisioned MiB",'vInfo (Imported)'!$1:$5000,M3510,FALSE)</f>
        <v>0</v>
      </c>
      <c r="U3510">
        <f t="shared" si="163"/>
        <v>0</v>
      </c>
      <c r="V3510">
        <f>HLOOKUP("In Use MiB",'vInfo (Imported)'!$1:$5000,M3510,FALSE)</f>
        <v>0</v>
      </c>
    </row>
    <row r="3511" spans="1:22" ht="13" x14ac:dyDescent="0.3">
      <c r="A3511" s="46">
        <f>'vHosts (Imported)'!A3511</f>
        <v>0</v>
      </c>
      <c r="B3511" s="51">
        <f t="shared" si="165"/>
        <v>4968</v>
      </c>
      <c r="C3511" s="49">
        <f>HLOOKUP("# Cores",'vHosts (Imported)'!$1:$5000,M3511,FALSE)</f>
        <v>0</v>
      </c>
      <c r="D3511" s="52">
        <f>HLOOKUP("# Memory",'vHosts (Imported)'!$1:$5000,M3511,FALSE)</f>
        <v>0</v>
      </c>
      <c r="M3511" s="45">
        <f t="shared" si="164"/>
        <v>3511</v>
      </c>
      <c r="N3511" s="38">
        <f>HLOOKUP("Host",'vInfo (Imported)'!$1:$5000,M3511,FALSE)</f>
        <v>0</v>
      </c>
      <c r="R3511">
        <f>HLOOKUP("CPUs",'vInfo (Imported)'!$1:$5000,M3511,FALSE)</f>
        <v>0</v>
      </c>
      <c r="S3511">
        <f>HLOOKUP("Memory",'vInfo (Imported)'!$1:$5000,M3511,FALSE)</f>
        <v>0</v>
      </c>
      <c r="T3511">
        <f>HLOOKUP("Provisioned MiB",'vInfo (Imported)'!$1:$5000,M3511,FALSE)</f>
        <v>0</v>
      </c>
      <c r="U3511">
        <f t="shared" si="163"/>
        <v>0</v>
      </c>
      <c r="V3511">
        <f>HLOOKUP("In Use MiB",'vInfo (Imported)'!$1:$5000,M3511,FALSE)</f>
        <v>0</v>
      </c>
    </row>
    <row r="3512" spans="1:22" ht="13" x14ac:dyDescent="0.3">
      <c r="A3512" s="46">
        <f>'vHosts (Imported)'!A3512</f>
        <v>0</v>
      </c>
      <c r="B3512" s="51">
        <f t="shared" si="165"/>
        <v>4968</v>
      </c>
      <c r="C3512" s="49">
        <f>HLOOKUP("# Cores",'vHosts (Imported)'!$1:$5000,M3512,FALSE)</f>
        <v>0</v>
      </c>
      <c r="D3512" s="52">
        <f>HLOOKUP("# Memory",'vHosts (Imported)'!$1:$5000,M3512,FALSE)</f>
        <v>0</v>
      </c>
      <c r="M3512" s="45">
        <f t="shared" si="164"/>
        <v>3512</v>
      </c>
      <c r="N3512" s="38">
        <f>HLOOKUP("Host",'vInfo (Imported)'!$1:$5000,M3512,FALSE)</f>
        <v>0</v>
      </c>
      <c r="R3512">
        <f>HLOOKUP("CPUs",'vInfo (Imported)'!$1:$5000,M3512,FALSE)</f>
        <v>0</v>
      </c>
      <c r="S3512">
        <f>HLOOKUP("Memory",'vInfo (Imported)'!$1:$5000,M3512,FALSE)</f>
        <v>0</v>
      </c>
      <c r="T3512">
        <f>HLOOKUP("Provisioned MiB",'vInfo (Imported)'!$1:$5000,M3512,FALSE)</f>
        <v>0</v>
      </c>
      <c r="U3512">
        <f t="shared" si="163"/>
        <v>0</v>
      </c>
      <c r="V3512">
        <f>HLOOKUP("In Use MiB",'vInfo (Imported)'!$1:$5000,M3512,FALSE)</f>
        <v>0</v>
      </c>
    </row>
    <row r="3513" spans="1:22" ht="13" x14ac:dyDescent="0.3">
      <c r="A3513" s="46">
        <f>'vHosts (Imported)'!A3513</f>
        <v>0</v>
      </c>
      <c r="B3513" s="51">
        <f t="shared" si="165"/>
        <v>4968</v>
      </c>
      <c r="C3513" s="49">
        <f>HLOOKUP("# Cores",'vHosts (Imported)'!$1:$5000,M3513,FALSE)</f>
        <v>0</v>
      </c>
      <c r="D3513" s="52">
        <f>HLOOKUP("# Memory",'vHosts (Imported)'!$1:$5000,M3513,FALSE)</f>
        <v>0</v>
      </c>
      <c r="M3513" s="45">
        <f t="shared" si="164"/>
        <v>3513</v>
      </c>
      <c r="N3513" s="38">
        <f>HLOOKUP("Host",'vInfo (Imported)'!$1:$5000,M3513,FALSE)</f>
        <v>0</v>
      </c>
      <c r="R3513">
        <f>HLOOKUP("CPUs",'vInfo (Imported)'!$1:$5000,M3513,FALSE)</f>
        <v>0</v>
      </c>
      <c r="S3513">
        <f>HLOOKUP("Memory",'vInfo (Imported)'!$1:$5000,M3513,FALSE)</f>
        <v>0</v>
      </c>
      <c r="T3513">
        <f>HLOOKUP("Provisioned MiB",'vInfo (Imported)'!$1:$5000,M3513,FALSE)</f>
        <v>0</v>
      </c>
      <c r="U3513">
        <f t="shared" si="163"/>
        <v>0</v>
      </c>
      <c r="V3513">
        <f>HLOOKUP("In Use MiB",'vInfo (Imported)'!$1:$5000,M3513,FALSE)</f>
        <v>0</v>
      </c>
    </row>
    <row r="3514" spans="1:22" ht="13" x14ac:dyDescent="0.3">
      <c r="A3514" s="46">
        <f>'vHosts (Imported)'!A3514</f>
        <v>0</v>
      </c>
      <c r="B3514" s="51">
        <f t="shared" si="165"/>
        <v>4968</v>
      </c>
      <c r="C3514" s="49">
        <f>HLOOKUP("# Cores",'vHosts (Imported)'!$1:$5000,M3514,FALSE)</f>
        <v>0</v>
      </c>
      <c r="D3514" s="52">
        <f>HLOOKUP("# Memory",'vHosts (Imported)'!$1:$5000,M3514,FALSE)</f>
        <v>0</v>
      </c>
      <c r="M3514" s="45">
        <f t="shared" si="164"/>
        <v>3514</v>
      </c>
      <c r="N3514" s="38">
        <f>HLOOKUP("Host",'vInfo (Imported)'!$1:$5000,M3514,FALSE)</f>
        <v>0</v>
      </c>
      <c r="R3514">
        <f>HLOOKUP("CPUs",'vInfo (Imported)'!$1:$5000,M3514,FALSE)</f>
        <v>0</v>
      </c>
      <c r="S3514">
        <f>HLOOKUP("Memory",'vInfo (Imported)'!$1:$5000,M3514,FALSE)</f>
        <v>0</v>
      </c>
      <c r="T3514">
        <f>HLOOKUP("Provisioned MiB",'vInfo (Imported)'!$1:$5000,M3514,FALSE)</f>
        <v>0</v>
      </c>
      <c r="U3514">
        <f t="shared" si="163"/>
        <v>0</v>
      </c>
      <c r="V3514">
        <f>HLOOKUP("In Use MiB",'vInfo (Imported)'!$1:$5000,M3514,FALSE)</f>
        <v>0</v>
      </c>
    </row>
    <row r="3515" spans="1:22" ht="13" x14ac:dyDescent="0.3">
      <c r="A3515" s="46">
        <f>'vHosts (Imported)'!A3515</f>
        <v>0</v>
      </c>
      <c r="B3515" s="51">
        <f t="shared" si="165"/>
        <v>4968</v>
      </c>
      <c r="C3515" s="49">
        <f>HLOOKUP("# Cores",'vHosts (Imported)'!$1:$5000,M3515,FALSE)</f>
        <v>0</v>
      </c>
      <c r="D3515" s="52">
        <f>HLOOKUP("# Memory",'vHosts (Imported)'!$1:$5000,M3515,FALSE)</f>
        <v>0</v>
      </c>
      <c r="M3515" s="45">
        <f t="shared" si="164"/>
        <v>3515</v>
      </c>
      <c r="N3515" s="38">
        <f>HLOOKUP("Host",'vInfo (Imported)'!$1:$5000,M3515,FALSE)</f>
        <v>0</v>
      </c>
      <c r="R3515">
        <f>HLOOKUP("CPUs",'vInfo (Imported)'!$1:$5000,M3515,FALSE)</f>
        <v>0</v>
      </c>
      <c r="S3515">
        <f>HLOOKUP("Memory",'vInfo (Imported)'!$1:$5000,M3515,FALSE)</f>
        <v>0</v>
      </c>
      <c r="T3515">
        <f>HLOOKUP("Provisioned MiB",'vInfo (Imported)'!$1:$5000,M3515,FALSE)</f>
        <v>0</v>
      </c>
      <c r="U3515">
        <f t="shared" si="163"/>
        <v>0</v>
      </c>
      <c r="V3515">
        <f>HLOOKUP("In Use MiB",'vInfo (Imported)'!$1:$5000,M3515,FALSE)</f>
        <v>0</v>
      </c>
    </row>
    <row r="3516" spans="1:22" ht="13" x14ac:dyDescent="0.3">
      <c r="A3516" s="46">
        <f>'vHosts (Imported)'!A3516</f>
        <v>0</v>
      </c>
      <c r="B3516" s="51">
        <f t="shared" si="165"/>
        <v>4968</v>
      </c>
      <c r="C3516" s="49">
        <f>HLOOKUP("# Cores",'vHosts (Imported)'!$1:$5000,M3516,FALSE)</f>
        <v>0</v>
      </c>
      <c r="D3516" s="52">
        <f>HLOOKUP("# Memory",'vHosts (Imported)'!$1:$5000,M3516,FALSE)</f>
        <v>0</v>
      </c>
      <c r="M3516" s="45">
        <f t="shared" si="164"/>
        <v>3516</v>
      </c>
      <c r="N3516" s="38">
        <f>HLOOKUP("Host",'vInfo (Imported)'!$1:$5000,M3516,FALSE)</f>
        <v>0</v>
      </c>
      <c r="R3516">
        <f>HLOOKUP("CPUs",'vInfo (Imported)'!$1:$5000,M3516,FALSE)</f>
        <v>0</v>
      </c>
      <c r="S3516">
        <f>HLOOKUP("Memory",'vInfo (Imported)'!$1:$5000,M3516,FALSE)</f>
        <v>0</v>
      </c>
      <c r="T3516">
        <f>HLOOKUP("Provisioned MiB",'vInfo (Imported)'!$1:$5000,M3516,FALSE)</f>
        <v>0</v>
      </c>
      <c r="U3516">
        <f t="shared" si="163"/>
        <v>0</v>
      </c>
      <c r="V3516">
        <f>HLOOKUP("In Use MiB",'vInfo (Imported)'!$1:$5000,M3516,FALSE)</f>
        <v>0</v>
      </c>
    </row>
    <row r="3517" spans="1:22" ht="13" x14ac:dyDescent="0.3">
      <c r="A3517" s="46">
        <f>'vHosts (Imported)'!A3517</f>
        <v>0</v>
      </c>
      <c r="B3517" s="51">
        <f t="shared" si="165"/>
        <v>4968</v>
      </c>
      <c r="C3517" s="49">
        <f>HLOOKUP("# Cores",'vHosts (Imported)'!$1:$5000,M3517,FALSE)</f>
        <v>0</v>
      </c>
      <c r="D3517" s="52">
        <f>HLOOKUP("# Memory",'vHosts (Imported)'!$1:$5000,M3517,FALSE)</f>
        <v>0</v>
      </c>
      <c r="M3517" s="45">
        <f t="shared" si="164"/>
        <v>3517</v>
      </c>
      <c r="N3517" s="38">
        <f>HLOOKUP("Host",'vInfo (Imported)'!$1:$5000,M3517,FALSE)</f>
        <v>0</v>
      </c>
      <c r="R3517">
        <f>HLOOKUP("CPUs",'vInfo (Imported)'!$1:$5000,M3517,FALSE)</f>
        <v>0</v>
      </c>
      <c r="S3517">
        <f>HLOOKUP("Memory",'vInfo (Imported)'!$1:$5000,M3517,FALSE)</f>
        <v>0</v>
      </c>
      <c r="T3517">
        <f>HLOOKUP("Provisioned MiB",'vInfo (Imported)'!$1:$5000,M3517,FALSE)</f>
        <v>0</v>
      </c>
      <c r="U3517">
        <f t="shared" si="163"/>
        <v>0</v>
      </c>
      <c r="V3517">
        <f>HLOOKUP("In Use MiB",'vInfo (Imported)'!$1:$5000,M3517,FALSE)</f>
        <v>0</v>
      </c>
    </row>
    <row r="3518" spans="1:22" ht="13" x14ac:dyDescent="0.3">
      <c r="A3518" s="46">
        <f>'vHosts (Imported)'!A3518</f>
        <v>0</v>
      </c>
      <c r="B3518" s="51">
        <f t="shared" si="165"/>
        <v>4968</v>
      </c>
      <c r="C3518" s="49">
        <f>HLOOKUP("# Cores",'vHosts (Imported)'!$1:$5000,M3518,FALSE)</f>
        <v>0</v>
      </c>
      <c r="D3518" s="52">
        <f>HLOOKUP("# Memory",'vHosts (Imported)'!$1:$5000,M3518,FALSE)</f>
        <v>0</v>
      </c>
      <c r="M3518" s="45">
        <f t="shared" si="164"/>
        <v>3518</v>
      </c>
      <c r="N3518" s="38">
        <f>HLOOKUP("Host",'vInfo (Imported)'!$1:$5000,M3518,FALSE)</f>
        <v>0</v>
      </c>
      <c r="R3518">
        <f>HLOOKUP("CPUs",'vInfo (Imported)'!$1:$5000,M3518,FALSE)</f>
        <v>0</v>
      </c>
      <c r="S3518">
        <f>HLOOKUP("Memory",'vInfo (Imported)'!$1:$5000,M3518,FALSE)</f>
        <v>0</v>
      </c>
      <c r="T3518">
        <f>HLOOKUP("Provisioned MiB",'vInfo (Imported)'!$1:$5000,M3518,FALSE)</f>
        <v>0</v>
      </c>
      <c r="U3518">
        <f t="shared" si="163"/>
        <v>0</v>
      </c>
      <c r="V3518">
        <f>HLOOKUP("In Use MiB",'vInfo (Imported)'!$1:$5000,M3518,FALSE)</f>
        <v>0</v>
      </c>
    </row>
    <row r="3519" spans="1:22" ht="13" x14ac:dyDescent="0.3">
      <c r="A3519" s="46">
        <f>'vHosts (Imported)'!A3519</f>
        <v>0</v>
      </c>
      <c r="B3519" s="51">
        <f t="shared" si="165"/>
        <v>4968</v>
      </c>
      <c r="C3519" s="49">
        <f>HLOOKUP("# Cores",'vHosts (Imported)'!$1:$5000,M3519,FALSE)</f>
        <v>0</v>
      </c>
      <c r="D3519" s="52">
        <f>HLOOKUP("# Memory",'vHosts (Imported)'!$1:$5000,M3519,FALSE)</f>
        <v>0</v>
      </c>
      <c r="M3519" s="45">
        <f t="shared" si="164"/>
        <v>3519</v>
      </c>
      <c r="N3519" s="38">
        <f>HLOOKUP("Host",'vInfo (Imported)'!$1:$5000,M3519,FALSE)</f>
        <v>0</v>
      </c>
      <c r="R3519">
        <f>HLOOKUP("CPUs",'vInfo (Imported)'!$1:$5000,M3519,FALSE)</f>
        <v>0</v>
      </c>
      <c r="S3519">
        <f>HLOOKUP("Memory",'vInfo (Imported)'!$1:$5000,M3519,FALSE)</f>
        <v>0</v>
      </c>
      <c r="T3519">
        <f>HLOOKUP("Provisioned MiB",'vInfo (Imported)'!$1:$5000,M3519,FALSE)</f>
        <v>0</v>
      </c>
      <c r="U3519">
        <f t="shared" si="163"/>
        <v>0</v>
      </c>
      <c r="V3519">
        <f>HLOOKUP("In Use MiB",'vInfo (Imported)'!$1:$5000,M3519,FALSE)</f>
        <v>0</v>
      </c>
    </row>
    <row r="3520" spans="1:22" ht="13" x14ac:dyDescent="0.3">
      <c r="A3520" s="46">
        <f>'vHosts (Imported)'!A3520</f>
        <v>0</v>
      </c>
      <c r="B3520" s="51">
        <f t="shared" si="165"/>
        <v>4968</v>
      </c>
      <c r="C3520" s="49">
        <f>HLOOKUP("# Cores",'vHosts (Imported)'!$1:$5000,M3520,FALSE)</f>
        <v>0</v>
      </c>
      <c r="D3520" s="52">
        <f>HLOOKUP("# Memory",'vHosts (Imported)'!$1:$5000,M3520,FALSE)</f>
        <v>0</v>
      </c>
      <c r="M3520" s="45">
        <f t="shared" si="164"/>
        <v>3520</v>
      </c>
      <c r="N3520" s="38">
        <f>HLOOKUP("Host",'vInfo (Imported)'!$1:$5000,M3520,FALSE)</f>
        <v>0</v>
      </c>
      <c r="R3520">
        <f>HLOOKUP("CPUs",'vInfo (Imported)'!$1:$5000,M3520,FALSE)</f>
        <v>0</v>
      </c>
      <c r="S3520">
        <f>HLOOKUP("Memory",'vInfo (Imported)'!$1:$5000,M3520,FALSE)</f>
        <v>0</v>
      </c>
      <c r="T3520">
        <f>HLOOKUP("Provisioned MiB",'vInfo (Imported)'!$1:$5000,M3520,FALSE)</f>
        <v>0</v>
      </c>
      <c r="U3520">
        <f t="shared" si="163"/>
        <v>0</v>
      </c>
      <c r="V3520">
        <f>HLOOKUP("In Use MiB",'vInfo (Imported)'!$1:$5000,M3520,FALSE)</f>
        <v>0</v>
      </c>
    </row>
    <row r="3521" spans="1:22" ht="13" x14ac:dyDescent="0.3">
      <c r="A3521" s="46">
        <f>'vHosts (Imported)'!A3521</f>
        <v>0</v>
      </c>
      <c r="B3521" s="51">
        <f t="shared" si="165"/>
        <v>4968</v>
      </c>
      <c r="C3521" s="49">
        <f>HLOOKUP("# Cores",'vHosts (Imported)'!$1:$5000,M3521,FALSE)</f>
        <v>0</v>
      </c>
      <c r="D3521" s="52">
        <f>HLOOKUP("# Memory",'vHosts (Imported)'!$1:$5000,M3521,FALSE)</f>
        <v>0</v>
      </c>
      <c r="M3521" s="45">
        <f t="shared" si="164"/>
        <v>3521</v>
      </c>
      <c r="N3521" s="38">
        <f>HLOOKUP("Host",'vInfo (Imported)'!$1:$5000,M3521,FALSE)</f>
        <v>0</v>
      </c>
      <c r="R3521">
        <f>HLOOKUP("CPUs",'vInfo (Imported)'!$1:$5000,M3521,FALSE)</f>
        <v>0</v>
      </c>
      <c r="S3521">
        <f>HLOOKUP("Memory",'vInfo (Imported)'!$1:$5000,M3521,FALSE)</f>
        <v>0</v>
      </c>
      <c r="T3521">
        <f>HLOOKUP("Provisioned MiB",'vInfo (Imported)'!$1:$5000,M3521,FALSE)</f>
        <v>0</v>
      </c>
      <c r="U3521">
        <f t="shared" si="163"/>
        <v>0</v>
      </c>
      <c r="V3521">
        <f>HLOOKUP("In Use MiB",'vInfo (Imported)'!$1:$5000,M3521,FALSE)</f>
        <v>0</v>
      </c>
    </row>
    <row r="3522" spans="1:22" ht="13" x14ac:dyDescent="0.3">
      <c r="A3522" s="46">
        <f>'vHosts (Imported)'!A3522</f>
        <v>0</v>
      </c>
      <c r="B3522" s="51">
        <f t="shared" si="165"/>
        <v>4968</v>
      </c>
      <c r="C3522" s="49">
        <f>HLOOKUP("# Cores",'vHosts (Imported)'!$1:$5000,M3522,FALSE)</f>
        <v>0</v>
      </c>
      <c r="D3522" s="52">
        <f>HLOOKUP("# Memory",'vHosts (Imported)'!$1:$5000,M3522,FALSE)</f>
        <v>0</v>
      </c>
      <c r="M3522" s="45">
        <f t="shared" si="164"/>
        <v>3522</v>
      </c>
      <c r="N3522" s="38">
        <f>HLOOKUP("Host",'vInfo (Imported)'!$1:$5000,M3522,FALSE)</f>
        <v>0</v>
      </c>
      <c r="R3522">
        <f>HLOOKUP("CPUs",'vInfo (Imported)'!$1:$5000,M3522,FALSE)</f>
        <v>0</v>
      </c>
      <c r="S3522">
        <f>HLOOKUP("Memory",'vInfo (Imported)'!$1:$5000,M3522,FALSE)</f>
        <v>0</v>
      </c>
      <c r="T3522">
        <f>HLOOKUP("Provisioned MiB",'vInfo (Imported)'!$1:$5000,M3522,FALSE)</f>
        <v>0</v>
      </c>
      <c r="U3522">
        <f t="shared" si="163"/>
        <v>0</v>
      </c>
      <c r="V3522">
        <f>HLOOKUP("In Use MiB",'vInfo (Imported)'!$1:$5000,M3522,FALSE)</f>
        <v>0</v>
      </c>
    </row>
    <row r="3523" spans="1:22" ht="13" x14ac:dyDescent="0.3">
      <c r="A3523" s="46">
        <f>'vHosts (Imported)'!A3523</f>
        <v>0</v>
      </c>
      <c r="B3523" s="51">
        <f t="shared" si="165"/>
        <v>4968</v>
      </c>
      <c r="C3523" s="49">
        <f>HLOOKUP("# Cores",'vHosts (Imported)'!$1:$5000,M3523,FALSE)</f>
        <v>0</v>
      </c>
      <c r="D3523" s="52">
        <f>HLOOKUP("# Memory",'vHosts (Imported)'!$1:$5000,M3523,FALSE)</f>
        <v>0</v>
      </c>
      <c r="M3523" s="45">
        <f t="shared" si="164"/>
        <v>3523</v>
      </c>
      <c r="N3523" s="38">
        <f>HLOOKUP("Host",'vInfo (Imported)'!$1:$5000,M3523,FALSE)</f>
        <v>0</v>
      </c>
      <c r="R3523">
        <f>HLOOKUP("CPUs",'vInfo (Imported)'!$1:$5000,M3523,FALSE)</f>
        <v>0</v>
      </c>
      <c r="S3523">
        <f>HLOOKUP("Memory",'vInfo (Imported)'!$1:$5000,M3523,FALSE)</f>
        <v>0</v>
      </c>
      <c r="T3523">
        <f>HLOOKUP("Provisioned MiB",'vInfo (Imported)'!$1:$5000,M3523,FALSE)</f>
        <v>0</v>
      </c>
      <c r="U3523">
        <f t="shared" ref="U3523:U3586" si="166">T3523-V3523</f>
        <v>0</v>
      </c>
      <c r="V3523">
        <f>HLOOKUP("In Use MiB",'vInfo (Imported)'!$1:$5000,M3523,FALSE)</f>
        <v>0</v>
      </c>
    </row>
    <row r="3524" spans="1:22" ht="13" x14ac:dyDescent="0.3">
      <c r="A3524" s="46">
        <f>'vHosts (Imported)'!A3524</f>
        <v>0</v>
      </c>
      <c r="B3524" s="51">
        <f t="shared" si="165"/>
        <v>4968</v>
      </c>
      <c r="C3524" s="49">
        <f>HLOOKUP("# Cores",'vHosts (Imported)'!$1:$5000,M3524,FALSE)</f>
        <v>0</v>
      </c>
      <c r="D3524" s="52">
        <f>HLOOKUP("# Memory",'vHosts (Imported)'!$1:$5000,M3524,FALSE)</f>
        <v>0</v>
      </c>
      <c r="M3524" s="45">
        <f t="shared" ref="M3524:M3587" si="167">M3523+1</f>
        <v>3524</v>
      </c>
      <c r="N3524" s="38">
        <f>HLOOKUP("Host",'vInfo (Imported)'!$1:$5000,M3524,FALSE)</f>
        <v>0</v>
      </c>
      <c r="R3524">
        <f>HLOOKUP("CPUs",'vInfo (Imported)'!$1:$5000,M3524,FALSE)</f>
        <v>0</v>
      </c>
      <c r="S3524">
        <f>HLOOKUP("Memory",'vInfo (Imported)'!$1:$5000,M3524,FALSE)</f>
        <v>0</v>
      </c>
      <c r="T3524">
        <f>HLOOKUP("Provisioned MiB",'vInfo (Imported)'!$1:$5000,M3524,FALSE)</f>
        <v>0</v>
      </c>
      <c r="U3524">
        <f t="shared" si="166"/>
        <v>0</v>
      </c>
      <c r="V3524">
        <f>HLOOKUP("In Use MiB",'vInfo (Imported)'!$1:$5000,M3524,FALSE)</f>
        <v>0</v>
      </c>
    </row>
    <row r="3525" spans="1:22" ht="13" x14ac:dyDescent="0.3">
      <c r="A3525" s="46">
        <f>'vHosts (Imported)'!A3525</f>
        <v>0</v>
      </c>
      <c r="B3525" s="51">
        <f t="shared" si="165"/>
        <v>4968</v>
      </c>
      <c r="C3525" s="49">
        <f>HLOOKUP("# Cores",'vHosts (Imported)'!$1:$5000,M3525,FALSE)</f>
        <v>0</v>
      </c>
      <c r="D3525" s="52">
        <f>HLOOKUP("# Memory",'vHosts (Imported)'!$1:$5000,M3525,FALSE)</f>
        <v>0</v>
      </c>
      <c r="M3525" s="45">
        <f t="shared" si="167"/>
        <v>3525</v>
      </c>
      <c r="N3525" s="38">
        <f>HLOOKUP("Host",'vInfo (Imported)'!$1:$5000,M3525,FALSE)</f>
        <v>0</v>
      </c>
      <c r="R3525">
        <f>HLOOKUP("CPUs",'vInfo (Imported)'!$1:$5000,M3525,FALSE)</f>
        <v>0</v>
      </c>
      <c r="S3525">
        <f>HLOOKUP("Memory",'vInfo (Imported)'!$1:$5000,M3525,FALSE)</f>
        <v>0</v>
      </c>
      <c r="T3525">
        <f>HLOOKUP("Provisioned MiB",'vInfo (Imported)'!$1:$5000,M3525,FALSE)</f>
        <v>0</v>
      </c>
      <c r="U3525">
        <f t="shared" si="166"/>
        <v>0</v>
      </c>
      <c r="V3525">
        <f>HLOOKUP("In Use MiB",'vInfo (Imported)'!$1:$5000,M3525,FALSE)</f>
        <v>0</v>
      </c>
    </row>
    <row r="3526" spans="1:22" ht="13" x14ac:dyDescent="0.3">
      <c r="A3526" s="46">
        <f>'vHosts (Imported)'!A3526</f>
        <v>0</v>
      </c>
      <c r="B3526" s="51">
        <f t="shared" si="165"/>
        <v>4968</v>
      </c>
      <c r="C3526" s="49">
        <f>HLOOKUP("# Cores",'vHosts (Imported)'!$1:$5000,M3526,FALSE)</f>
        <v>0</v>
      </c>
      <c r="D3526" s="52">
        <f>HLOOKUP("# Memory",'vHosts (Imported)'!$1:$5000,M3526,FALSE)</f>
        <v>0</v>
      </c>
      <c r="M3526" s="45">
        <f t="shared" si="167"/>
        <v>3526</v>
      </c>
      <c r="N3526" s="38">
        <f>HLOOKUP("Host",'vInfo (Imported)'!$1:$5000,M3526,FALSE)</f>
        <v>0</v>
      </c>
      <c r="R3526">
        <f>HLOOKUP("CPUs",'vInfo (Imported)'!$1:$5000,M3526,FALSE)</f>
        <v>0</v>
      </c>
      <c r="S3526">
        <f>HLOOKUP("Memory",'vInfo (Imported)'!$1:$5000,M3526,FALSE)</f>
        <v>0</v>
      </c>
      <c r="T3526">
        <f>HLOOKUP("Provisioned MiB",'vInfo (Imported)'!$1:$5000,M3526,FALSE)</f>
        <v>0</v>
      </c>
      <c r="U3526">
        <f t="shared" si="166"/>
        <v>0</v>
      </c>
      <c r="V3526">
        <f>HLOOKUP("In Use MiB",'vInfo (Imported)'!$1:$5000,M3526,FALSE)</f>
        <v>0</v>
      </c>
    </row>
    <row r="3527" spans="1:22" ht="13" x14ac:dyDescent="0.3">
      <c r="A3527" s="46">
        <f>'vHosts (Imported)'!A3527</f>
        <v>0</v>
      </c>
      <c r="B3527" s="51">
        <f t="shared" si="165"/>
        <v>4968</v>
      </c>
      <c r="C3527" s="49">
        <f>HLOOKUP("# Cores",'vHosts (Imported)'!$1:$5000,M3527,FALSE)</f>
        <v>0</v>
      </c>
      <c r="D3527" s="52">
        <f>HLOOKUP("# Memory",'vHosts (Imported)'!$1:$5000,M3527,FALSE)</f>
        <v>0</v>
      </c>
      <c r="M3527" s="45">
        <f t="shared" si="167"/>
        <v>3527</v>
      </c>
      <c r="N3527" s="38">
        <f>HLOOKUP("Host",'vInfo (Imported)'!$1:$5000,M3527,FALSE)</f>
        <v>0</v>
      </c>
      <c r="R3527">
        <f>HLOOKUP("CPUs",'vInfo (Imported)'!$1:$5000,M3527,FALSE)</f>
        <v>0</v>
      </c>
      <c r="S3527">
        <f>HLOOKUP("Memory",'vInfo (Imported)'!$1:$5000,M3527,FALSE)</f>
        <v>0</v>
      </c>
      <c r="T3527">
        <f>HLOOKUP("Provisioned MiB",'vInfo (Imported)'!$1:$5000,M3527,FALSE)</f>
        <v>0</v>
      </c>
      <c r="U3527">
        <f t="shared" si="166"/>
        <v>0</v>
      </c>
      <c r="V3527">
        <f>HLOOKUP("In Use MiB",'vInfo (Imported)'!$1:$5000,M3527,FALSE)</f>
        <v>0</v>
      </c>
    </row>
    <row r="3528" spans="1:22" ht="13" x14ac:dyDescent="0.3">
      <c r="A3528" s="46">
        <f>'vHosts (Imported)'!A3528</f>
        <v>0</v>
      </c>
      <c r="B3528" s="51">
        <f t="shared" si="165"/>
        <v>4968</v>
      </c>
      <c r="C3528" s="49">
        <f>HLOOKUP("# Cores",'vHosts (Imported)'!$1:$5000,M3528,FALSE)</f>
        <v>0</v>
      </c>
      <c r="D3528" s="52">
        <f>HLOOKUP("# Memory",'vHosts (Imported)'!$1:$5000,M3528,FALSE)</f>
        <v>0</v>
      </c>
      <c r="M3528" s="45">
        <f t="shared" si="167"/>
        <v>3528</v>
      </c>
      <c r="N3528" s="38">
        <f>HLOOKUP("Host",'vInfo (Imported)'!$1:$5000,M3528,FALSE)</f>
        <v>0</v>
      </c>
      <c r="R3528">
        <f>HLOOKUP("CPUs",'vInfo (Imported)'!$1:$5000,M3528,FALSE)</f>
        <v>0</v>
      </c>
      <c r="S3528">
        <f>HLOOKUP("Memory",'vInfo (Imported)'!$1:$5000,M3528,FALSE)</f>
        <v>0</v>
      </c>
      <c r="T3528">
        <f>HLOOKUP("Provisioned MiB",'vInfo (Imported)'!$1:$5000,M3528,FALSE)</f>
        <v>0</v>
      </c>
      <c r="U3528">
        <f t="shared" si="166"/>
        <v>0</v>
      </c>
      <c r="V3528">
        <f>HLOOKUP("In Use MiB",'vInfo (Imported)'!$1:$5000,M3528,FALSE)</f>
        <v>0</v>
      </c>
    </row>
    <row r="3529" spans="1:22" ht="13" x14ac:dyDescent="0.3">
      <c r="A3529" s="46">
        <f>'vHosts (Imported)'!A3529</f>
        <v>0</v>
      </c>
      <c r="B3529" s="51">
        <f t="shared" si="165"/>
        <v>4968</v>
      </c>
      <c r="C3529" s="49">
        <f>HLOOKUP("# Cores",'vHosts (Imported)'!$1:$5000,M3529,FALSE)</f>
        <v>0</v>
      </c>
      <c r="D3529" s="52">
        <f>HLOOKUP("# Memory",'vHosts (Imported)'!$1:$5000,M3529,FALSE)</f>
        <v>0</v>
      </c>
      <c r="M3529" s="45">
        <f t="shared" si="167"/>
        <v>3529</v>
      </c>
      <c r="N3529" s="38">
        <f>HLOOKUP("Host",'vInfo (Imported)'!$1:$5000,M3529,FALSE)</f>
        <v>0</v>
      </c>
      <c r="R3529">
        <f>HLOOKUP("CPUs",'vInfo (Imported)'!$1:$5000,M3529,FALSE)</f>
        <v>0</v>
      </c>
      <c r="S3529">
        <f>HLOOKUP("Memory",'vInfo (Imported)'!$1:$5000,M3529,FALSE)</f>
        <v>0</v>
      </c>
      <c r="T3529">
        <f>HLOOKUP("Provisioned MiB",'vInfo (Imported)'!$1:$5000,M3529,FALSE)</f>
        <v>0</v>
      </c>
      <c r="U3529">
        <f t="shared" si="166"/>
        <v>0</v>
      </c>
      <c r="V3529">
        <f>HLOOKUP("In Use MiB",'vInfo (Imported)'!$1:$5000,M3529,FALSE)</f>
        <v>0</v>
      </c>
    </row>
    <row r="3530" spans="1:22" ht="13" x14ac:dyDescent="0.3">
      <c r="A3530" s="46">
        <f>'vHosts (Imported)'!A3530</f>
        <v>0</v>
      </c>
      <c r="B3530" s="51">
        <f t="shared" si="165"/>
        <v>4968</v>
      </c>
      <c r="C3530" s="49">
        <f>HLOOKUP("# Cores",'vHosts (Imported)'!$1:$5000,M3530,FALSE)</f>
        <v>0</v>
      </c>
      <c r="D3530" s="52">
        <f>HLOOKUP("# Memory",'vHosts (Imported)'!$1:$5000,M3530,FALSE)</f>
        <v>0</v>
      </c>
      <c r="M3530" s="45">
        <f t="shared" si="167"/>
        <v>3530</v>
      </c>
      <c r="N3530" s="38">
        <f>HLOOKUP("Host",'vInfo (Imported)'!$1:$5000,M3530,FALSE)</f>
        <v>0</v>
      </c>
      <c r="R3530">
        <f>HLOOKUP("CPUs",'vInfo (Imported)'!$1:$5000,M3530,FALSE)</f>
        <v>0</v>
      </c>
      <c r="S3530">
        <f>HLOOKUP("Memory",'vInfo (Imported)'!$1:$5000,M3530,FALSE)</f>
        <v>0</v>
      </c>
      <c r="T3530">
        <f>HLOOKUP("Provisioned MiB",'vInfo (Imported)'!$1:$5000,M3530,FALSE)</f>
        <v>0</v>
      </c>
      <c r="U3530">
        <f t="shared" si="166"/>
        <v>0</v>
      </c>
      <c r="V3530">
        <f>HLOOKUP("In Use MiB",'vInfo (Imported)'!$1:$5000,M3530,FALSE)</f>
        <v>0</v>
      </c>
    </row>
    <row r="3531" spans="1:22" ht="13" x14ac:dyDescent="0.3">
      <c r="A3531" s="46">
        <f>'vHosts (Imported)'!A3531</f>
        <v>0</v>
      </c>
      <c r="B3531" s="51">
        <f t="shared" si="165"/>
        <v>4968</v>
      </c>
      <c r="C3531" s="49">
        <f>HLOOKUP("# Cores",'vHosts (Imported)'!$1:$5000,M3531,FALSE)</f>
        <v>0</v>
      </c>
      <c r="D3531" s="52">
        <f>HLOOKUP("# Memory",'vHosts (Imported)'!$1:$5000,M3531,FALSE)</f>
        <v>0</v>
      </c>
      <c r="M3531" s="45">
        <f t="shared" si="167"/>
        <v>3531</v>
      </c>
      <c r="N3531" s="38">
        <f>HLOOKUP("Host",'vInfo (Imported)'!$1:$5000,M3531,FALSE)</f>
        <v>0</v>
      </c>
      <c r="R3531">
        <f>HLOOKUP("CPUs",'vInfo (Imported)'!$1:$5000,M3531,FALSE)</f>
        <v>0</v>
      </c>
      <c r="S3531">
        <f>HLOOKUP("Memory",'vInfo (Imported)'!$1:$5000,M3531,FALSE)</f>
        <v>0</v>
      </c>
      <c r="T3531">
        <f>HLOOKUP("Provisioned MiB",'vInfo (Imported)'!$1:$5000,M3531,FALSE)</f>
        <v>0</v>
      </c>
      <c r="U3531">
        <f t="shared" si="166"/>
        <v>0</v>
      </c>
      <c r="V3531">
        <f>HLOOKUP("In Use MiB",'vInfo (Imported)'!$1:$5000,M3531,FALSE)</f>
        <v>0</v>
      </c>
    </row>
    <row r="3532" spans="1:22" ht="13" x14ac:dyDescent="0.3">
      <c r="A3532" s="46">
        <f>'vHosts (Imported)'!A3532</f>
        <v>0</v>
      </c>
      <c r="B3532" s="51">
        <f t="shared" si="165"/>
        <v>4968</v>
      </c>
      <c r="C3532" s="49">
        <f>HLOOKUP("# Cores",'vHosts (Imported)'!$1:$5000,M3532,FALSE)</f>
        <v>0</v>
      </c>
      <c r="D3532" s="52">
        <f>HLOOKUP("# Memory",'vHosts (Imported)'!$1:$5000,M3532,FALSE)</f>
        <v>0</v>
      </c>
      <c r="M3532" s="45">
        <f t="shared" si="167"/>
        <v>3532</v>
      </c>
      <c r="N3532" s="38">
        <f>HLOOKUP("Host",'vInfo (Imported)'!$1:$5000,M3532,FALSE)</f>
        <v>0</v>
      </c>
      <c r="R3532">
        <f>HLOOKUP("CPUs",'vInfo (Imported)'!$1:$5000,M3532,FALSE)</f>
        <v>0</v>
      </c>
      <c r="S3532">
        <f>HLOOKUP("Memory",'vInfo (Imported)'!$1:$5000,M3532,FALSE)</f>
        <v>0</v>
      </c>
      <c r="T3532">
        <f>HLOOKUP("Provisioned MiB",'vInfo (Imported)'!$1:$5000,M3532,FALSE)</f>
        <v>0</v>
      </c>
      <c r="U3532">
        <f t="shared" si="166"/>
        <v>0</v>
      </c>
      <c r="V3532">
        <f>HLOOKUP("In Use MiB",'vInfo (Imported)'!$1:$5000,M3532,FALSE)</f>
        <v>0</v>
      </c>
    </row>
    <row r="3533" spans="1:22" ht="13" x14ac:dyDescent="0.3">
      <c r="A3533" s="46">
        <f>'vHosts (Imported)'!A3533</f>
        <v>0</v>
      </c>
      <c r="B3533" s="51">
        <f t="shared" si="165"/>
        <v>4968</v>
      </c>
      <c r="C3533" s="49">
        <f>HLOOKUP("# Cores",'vHosts (Imported)'!$1:$5000,M3533,FALSE)</f>
        <v>0</v>
      </c>
      <c r="D3533" s="52">
        <f>HLOOKUP("# Memory",'vHosts (Imported)'!$1:$5000,M3533,FALSE)</f>
        <v>0</v>
      </c>
      <c r="M3533" s="45">
        <f t="shared" si="167"/>
        <v>3533</v>
      </c>
      <c r="N3533" s="38">
        <f>HLOOKUP("Host",'vInfo (Imported)'!$1:$5000,M3533,FALSE)</f>
        <v>0</v>
      </c>
      <c r="R3533">
        <f>HLOOKUP("CPUs",'vInfo (Imported)'!$1:$5000,M3533,FALSE)</f>
        <v>0</v>
      </c>
      <c r="S3533">
        <f>HLOOKUP("Memory",'vInfo (Imported)'!$1:$5000,M3533,FALSE)</f>
        <v>0</v>
      </c>
      <c r="T3533">
        <f>HLOOKUP("Provisioned MiB",'vInfo (Imported)'!$1:$5000,M3533,FALSE)</f>
        <v>0</v>
      </c>
      <c r="U3533">
        <f t="shared" si="166"/>
        <v>0</v>
      </c>
      <c r="V3533">
        <f>HLOOKUP("In Use MiB",'vInfo (Imported)'!$1:$5000,M3533,FALSE)</f>
        <v>0</v>
      </c>
    </row>
    <row r="3534" spans="1:22" ht="13" x14ac:dyDescent="0.3">
      <c r="A3534" s="46">
        <f>'vHosts (Imported)'!A3534</f>
        <v>0</v>
      </c>
      <c r="B3534" s="51">
        <f t="shared" si="165"/>
        <v>4968</v>
      </c>
      <c r="C3534" s="49">
        <f>HLOOKUP("# Cores",'vHosts (Imported)'!$1:$5000,M3534,FALSE)</f>
        <v>0</v>
      </c>
      <c r="D3534" s="52">
        <f>HLOOKUP("# Memory",'vHosts (Imported)'!$1:$5000,M3534,FALSE)</f>
        <v>0</v>
      </c>
      <c r="M3534" s="45">
        <f t="shared" si="167"/>
        <v>3534</v>
      </c>
      <c r="N3534" s="38">
        <f>HLOOKUP("Host",'vInfo (Imported)'!$1:$5000,M3534,FALSE)</f>
        <v>0</v>
      </c>
      <c r="R3534">
        <f>HLOOKUP("CPUs",'vInfo (Imported)'!$1:$5000,M3534,FALSE)</f>
        <v>0</v>
      </c>
      <c r="S3534">
        <f>HLOOKUP("Memory",'vInfo (Imported)'!$1:$5000,M3534,FALSE)</f>
        <v>0</v>
      </c>
      <c r="T3534">
        <f>HLOOKUP("Provisioned MiB",'vInfo (Imported)'!$1:$5000,M3534,FALSE)</f>
        <v>0</v>
      </c>
      <c r="U3534">
        <f t="shared" si="166"/>
        <v>0</v>
      </c>
      <c r="V3534">
        <f>HLOOKUP("In Use MiB",'vInfo (Imported)'!$1:$5000,M3534,FALSE)</f>
        <v>0</v>
      </c>
    </row>
    <row r="3535" spans="1:22" ht="13" x14ac:dyDescent="0.3">
      <c r="A3535" s="46">
        <f>'vHosts (Imported)'!A3535</f>
        <v>0</v>
      </c>
      <c r="B3535" s="51">
        <f t="shared" si="165"/>
        <v>4968</v>
      </c>
      <c r="C3535" s="49">
        <f>HLOOKUP("# Cores",'vHosts (Imported)'!$1:$5000,M3535,FALSE)</f>
        <v>0</v>
      </c>
      <c r="D3535" s="52">
        <f>HLOOKUP("# Memory",'vHosts (Imported)'!$1:$5000,M3535,FALSE)</f>
        <v>0</v>
      </c>
      <c r="M3535" s="45">
        <f t="shared" si="167"/>
        <v>3535</v>
      </c>
      <c r="N3535" s="38">
        <f>HLOOKUP("Host",'vInfo (Imported)'!$1:$5000,M3535,FALSE)</f>
        <v>0</v>
      </c>
      <c r="R3535">
        <f>HLOOKUP("CPUs",'vInfo (Imported)'!$1:$5000,M3535,FALSE)</f>
        <v>0</v>
      </c>
      <c r="S3535">
        <f>HLOOKUP("Memory",'vInfo (Imported)'!$1:$5000,M3535,FALSE)</f>
        <v>0</v>
      </c>
      <c r="T3535">
        <f>HLOOKUP("Provisioned MiB",'vInfo (Imported)'!$1:$5000,M3535,FALSE)</f>
        <v>0</v>
      </c>
      <c r="U3535">
        <f t="shared" si="166"/>
        <v>0</v>
      </c>
      <c r="V3535">
        <f>HLOOKUP("In Use MiB",'vInfo (Imported)'!$1:$5000,M3535,FALSE)</f>
        <v>0</v>
      </c>
    </row>
    <row r="3536" spans="1:22" ht="13" x14ac:dyDescent="0.3">
      <c r="A3536" s="46">
        <f>'vHosts (Imported)'!A3536</f>
        <v>0</v>
      </c>
      <c r="B3536" s="51">
        <f t="shared" si="165"/>
        <v>4968</v>
      </c>
      <c r="C3536" s="49">
        <f>HLOOKUP("# Cores",'vHosts (Imported)'!$1:$5000,M3536,FALSE)</f>
        <v>0</v>
      </c>
      <c r="D3536" s="52">
        <f>HLOOKUP("# Memory",'vHosts (Imported)'!$1:$5000,M3536,FALSE)</f>
        <v>0</v>
      </c>
      <c r="M3536" s="45">
        <f t="shared" si="167"/>
        <v>3536</v>
      </c>
      <c r="N3536" s="38">
        <f>HLOOKUP("Host",'vInfo (Imported)'!$1:$5000,M3536,FALSE)</f>
        <v>0</v>
      </c>
      <c r="R3536">
        <f>HLOOKUP("CPUs",'vInfo (Imported)'!$1:$5000,M3536,FALSE)</f>
        <v>0</v>
      </c>
      <c r="S3536">
        <f>HLOOKUP("Memory",'vInfo (Imported)'!$1:$5000,M3536,FALSE)</f>
        <v>0</v>
      </c>
      <c r="T3536">
        <f>HLOOKUP("Provisioned MiB",'vInfo (Imported)'!$1:$5000,M3536,FALSE)</f>
        <v>0</v>
      </c>
      <c r="U3536">
        <f t="shared" si="166"/>
        <v>0</v>
      </c>
      <c r="V3536">
        <f>HLOOKUP("In Use MiB",'vInfo (Imported)'!$1:$5000,M3536,FALSE)</f>
        <v>0</v>
      </c>
    </row>
    <row r="3537" spans="1:22" ht="13" x14ac:dyDescent="0.3">
      <c r="A3537" s="46">
        <f>'vHosts (Imported)'!A3537</f>
        <v>0</v>
      </c>
      <c r="B3537" s="51">
        <f t="shared" si="165"/>
        <v>4968</v>
      </c>
      <c r="C3537" s="49">
        <f>HLOOKUP("# Cores",'vHosts (Imported)'!$1:$5000,M3537,FALSE)</f>
        <v>0</v>
      </c>
      <c r="D3537" s="52">
        <f>HLOOKUP("# Memory",'vHosts (Imported)'!$1:$5000,M3537,FALSE)</f>
        <v>0</v>
      </c>
      <c r="M3537" s="45">
        <f t="shared" si="167"/>
        <v>3537</v>
      </c>
      <c r="N3537" s="38">
        <f>HLOOKUP("Host",'vInfo (Imported)'!$1:$5000,M3537,FALSE)</f>
        <v>0</v>
      </c>
      <c r="R3537">
        <f>HLOOKUP("CPUs",'vInfo (Imported)'!$1:$5000,M3537,FALSE)</f>
        <v>0</v>
      </c>
      <c r="S3537">
        <f>HLOOKUP("Memory",'vInfo (Imported)'!$1:$5000,M3537,FALSE)</f>
        <v>0</v>
      </c>
      <c r="T3537">
        <f>HLOOKUP("Provisioned MiB",'vInfo (Imported)'!$1:$5000,M3537,FALSE)</f>
        <v>0</v>
      </c>
      <c r="U3537">
        <f t="shared" si="166"/>
        <v>0</v>
      </c>
      <c r="V3537">
        <f>HLOOKUP("In Use MiB",'vInfo (Imported)'!$1:$5000,M3537,FALSE)</f>
        <v>0</v>
      </c>
    </row>
    <row r="3538" spans="1:22" ht="13" x14ac:dyDescent="0.3">
      <c r="A3538" s="46">
        <f>'vHosts (Imported)'!A3538</f>
        <v>0</v>
      </c>
      <c r="B3538" s="51">
        <f t="shared" si="165"/>
        <v>4968</v>
      </c>
      <c r="C3538" s="49">
        <f>HLOOKUP("# Cores",'vHosts (Imported)'!$1:$5000,M3538,FALSE)</f>
        <v>0</v>
      </c>
      <c r="D3538" s="52">
        <f>HLOOKUP("# Memory",'vHosts (Imported)'!$1:$5000,M3538,FALSE)</f>
        <v>0</v>
      </c>
      <c r="M3538" s="45">
        <f t="shared" si="167"/>
        <v>3538</v>
      </c>
      <c r="N3538" s="38">
        <f>HLOOKUP("Host",'vInfo (Imported)'!$1:$5000,M3538,FALSE)</f>
        <v>0</v>
      </c>
      <c r="R3538">
        <f>HLOOKUP("CPUs",'vInfo (Imported)'!$1:$5000,M3538,FALSE)</f>
        <v>0</v>
      </c>
      <c r="S3538">
        <f>HLOOKUP("Memory",'vInfo (Imported)'!$1:$5000,M3538,FALSE)</f>
        <v>0</v>
      </c>
      <c r="T3538">
        <f>HLOOKUP("Provisioned MiB",'vInfo (Imported)'!$1:$5000,M3538,FALSE)</f>
        <v>0</v>
      </c>
      <c r="U3538">
        <f t="shared" si="166"/>
        <v>0</v>
      </c>
      <c r="V3538">
        <f>HLOOKUP("In Use MiB",'vInfo (Imported)'!$1:$5000,M3538,FALSE)</f>
        <v>0</v>
      </c>
    </row>
    <row r="3539" spans="1:22" ht="13" x14ac:dyDescent="0.3">
      <c r="A3539" s="46">
        <f>'vHosts (Imported)'!A3539</f>
        <v>0</v>
      </c>
      <c r="B3539" s="51">
        <f t="shared" si="165"/>
        <v>4968</v>
      </c>
      <c r="C3539" s="49">
        <f>HLOOKUP("# Cores",'vHosts (Imported)'!$1:$5000,M3539,FALSE)</f>
        <v>0</v>
      </c>
      <c r="D3539" s="52">
        <f>HLOOKUP("# Memory",'vHosts (Imported)'!$1:$5000,M3539,FALSE)</f>
        <v>0</v>
      </c>
      <c r="M3539" s="45">
        <f t="shared" si="167"/>
        <v>3539</v>
      </c>
      <c r="N3539" s="38">
        <f>HLOOKUP("Host",'vInfo (Imported)'!$1:$5000,M3539,FALSE)</f>
        <v>0</v>
      </c>
      <c r="R3539">
        <f>HLOOKUP("CPUs",'vInfo (Imported)'!$1:$5000,M3539,FALSE)</f>
        <v>0</v>
      </c>
      <c r="S3539">
        <f>HLOOKUP("Memory",'vInfo (Imported)'!$1:$5000,M3539,FALSE)</f>
        <v>0</v>
      </c>
      <c r="T3539">
        <f>HLOOKUP("Provisioned MiB",'vInfo (Imported)'!$1:$5000,M3539,FALSE)</f>
        <v>0</v>
      </c>
      <c r="U3539">
        <f t="shared" si="166"/>
        <v>0</v>
      </c>
      <c r="V3539">
        <f>HLOOKUP("In Use MiB",'vInfo (Imported)'!$1:$5000,M3539,FALSE)</f>
        <v>0</v>
      </c>
    </row>
    <row r="3540" spans="1:22" ht="13" x14ac:dyDescent="0.3">
      <c r="A3540" s="46">
        <f>'vHosts (Imported)'!A3540</f>
        <v>0</v>
      </c>
      <c r="B3540" s="51">
        <f t="shared" si="165"/>
        <v>4968</v>
      </c>
      <c r="C3540" s="49">
        <f>HLOOKUP("# Cores",'vHosts (Imported)'!$1:$5000,M3540,FALSE)</f>
        <v>0</v>
      </c>
      <c r="D3540" s="52">
        <f>HLOOKUP("# Memory",'vHosts (Imported)'!$1:$5000,M3540,FALSE)</f>
        <v>0</v>
      </c>
      <c r="M3540" s="45">
        <f t="shared" si="167"/>
        <v>3540</v>
      </c>
      <c r="N3540" s="38">
        <f>HLOOKUP("Host",'vInfo (Imported)'!$1:$5000,M3540,FALSE)</f>
        <v>0</v>
      </c>
      <c r="R3540">
        <f>HLOOKUP("CPUs",'vInfo (Imported)'!$1:$5000,M3540,FALSE)</f>
        <v>0</v>
      </c>
      <c r="S3540">
        <f>HLOOKUP("Memory",'vInfo (Imported)'!$1:$5000,M3540,FALSE)</f>
        <v>0</v>
      </c>
      <c r="T3540">
        <f>HLOOKUP("Provisioned MiB",'vInfo (Imported)'!$1:$5000,M3540,FALSE)</f>
        <v>0</v>
      </c>
      <c r="U3540">
        <f t="shared" si="166"/>
        <v>0</v>
      </c>
      <c r="V3540">
        <f>HLOOKUP("In Use MiB",'vInfo (Imported)'!$1:$5000,M3540,FALSE)</f>
        <v>0</v>
      </c>
    </row>
    <row r="3541" spans="1:22" ht="13" x14ac:dyDescent="0.3">
      <c r="A3541" s="46">
        <f>'vHosts (Imported)'!A3541</f>
        <v>0</v>
      </c>
      <c r="B3541" s="51">
        <f t="shared" si="165"/>
        <v>4968</v>
      </c>
      <c r="C3541" s="49">
        <f>HLOOKUP("# Cores",'vHosts (Imported)'!$1:$5000,M3541,FALSE)</f>
        <v>0</v>
      </c>
      <c r="D3541" s="52">
        <f>HLOOKUP("# Memory",'vHosts (Imported)'!$1:$5000,M3541,FALSE)</f>
        <v>0</v>
      </c>
      <c r="M3541" s="45">
        <f t="shared" si="167"/>
        <v>3541</v>
      </c>
      <c r="N3541" s="38">
        <f>HLOOKUP("Host",'vInfo (Imported)'!$1:$5000,M3541,FALSE)</f>
        <v>0</v>
      </c>
      <c r="R3541">
        <f>HLOOKUP("CPUs",'vInfo (Imported)'!$1:$5000,M3541,FALSE)</f>
        <v>0</v>
      </c>
      <c r="S3541">
        <f>HLOOKUP("Memory",'vInfo (Imported)'!$1:$5000,M3541,FALSE)</f>
        <v>0</v>
      </c>
      <c r="T3541">
        <f>HLOOKUP("Provisioned MiB",'vInfo (Imported)'!$1:$5000,M3541,FALSE)</f>
        <v>0</v>
      </c>
      <c r="U3541">
        <f t="shared" si="166"/>
        <v>0</v>
      </c>
      <c r="V3541">
        <f>HLOOKUP("In Use MiB",'vInfo (Imported)'!$1:$5000,M3541,FALSE)</f>
        <v>0</v>
      </c>
    </row>
    <row r="3542" spans="1:22" ht="13" x14ac:dyDescent="0.3">
      <c r="A3542" s="46">
        <f>'vHosts (Imported)'!A3542</f>
        <v>0</v>
      </c>
      <c r="B3542" s="51">
        <f t="shared" si="165"/>
        <v>4968</v>
      </c>
      <c r="C3542" s="49">
        <f>HLOOKUP("# Cores",'vHosts (Imported)'!$1:$5000,M3542,FALSE)</f>
        <v>0</v>
      </c>
      <c r="D3542" s="52">
        <f>HLOOKUP("# Memory",'vHosts (Imported)'!$1:$5000,M3542,FALSE)</f>
        <v>0</v>
      </c>
      <c r="M3542" s="45">
        <f t="shared" si="167"/>
        <v>3542</v>
      </c>
      <c r="N3542" s="38">
        <f>HLOOKUP("Host",'vInfo (Imported)'!$1:$5000,M3542,FALSE)</f>
        <v>0</v>
      </c>
      <c r="R3542">
        <f>HLOOKUP("CPUs",'vInfo (Imported)'!$1:$5000,M3542,FALSE)</f>
        <v>0</v>
      </c>
      <c r="S3542">
        <f>HLOOKUP("Memory",'vInfo (Imported)'!$1:$5000,M3542,FALSE)</f>
        <v>0</v>
      </c>
      <c r="T3542">
        <f>HLOOKUP("Provisioned MiB",'vInfo (Imported)'!$1:$5000,M3542,FALSE)</f>
        <v>0</v>
      </c>
      <c r="U3542">
        <f t="shared" si="166"/>
        <v>0</v>
      </c>
      <c r="V3542">
        <f>HLOOKUP("In Use MiB",'vInfo (Imported)'!$1:$5000,M3542,FALSE)</f>
        <v>0</v>
      </c>
    </row>
    <row r="3543" spans="1:22" ht="13" x14ac:dyDescent="0.3">
      <c r="A3543" s="46">
        <f>'vHosts (Imported)'!A3543</f>
        <v>0</v>
      </c>
      <c r="B3543" s="51">
        <f t="shared" si="165"/>
        <v>4968</v>
      </c>
      <c r="C3543" s="49">
        <f>HLOOKUP("# Cores",'vHosts (Imported)'!$1:$5000,M3543,FALSE)</f>
        <v>0</v>
      </c>
      <c r="D3543" s="52">
        <f>HLOOKUP("# Memory",'vHosts (Imported)'!$1:$5000,M3543,FALSE)</f>
        <v>0</v>
      </c>
      <c r="M3543" s="45">
        <f t="shared" si="167"/>
        <v>3543</v>
      </c>
      <c r="N3543" s="38">
        <f>HLOOKUP("Host",'vInfo (Imported)'!$1:$5000,M3543,FALSE)</f>
        <v>0</v>
      </c>
      <c r="R3543">
        <f>HLOOKUP("CPUs",'vInfo (Imported)'!$1:$5000,M3543,FALSE)</f>
        <v>0</v>
      </c>
      <c r="S3543">
        <f>HLOOKUP("Memory",'vInfo (Imported)'!$1:$5000,M3543,FALSE)</f>
        <v>0</v>
      </c>
      <c r="T3543">
        <f>HLOOKUP("Provisioned MiB",'vInfo (Imported)'!$1:$5000,M3543,FALSE)</f>
        <v>0</v>
      </c>
      <c r="U3543">
        <f t="shared" si="166"/>
        <v>0</v>
      </c>
      <c r="V3543">
        <f>HLOOKUP("In Use MiB",'vInfo (Imported)'!$1:$5000,M3543,FALSE)</f>
        <v>0</v>
      </c>
    </row>
    <row r="3544" spans="1:22" ht="13" x14ac:dyDescent="0.3">
      <c r="A3544" s="46">
        <f>'vHosts (Imported)'!A3544</f>
        <v>0</v>
      </c>
      <c r="B3544" s="51">
        <f t="shared" si="165"/>
        <v>4968</v>
      </c>
      <c r="C3544" s="49">
        <f>HLOOKUP("# Cores",'vHosts (Imported)'!$1:$5000,M3544,FALSE)</f>
        <v>0</v>
      </c>
      <c r="D3544" s="52">
        <f>HLOOKUP("# Memory",'vHosts (Imported)'!$1:$5000,M3544,FALSE)</f>
        <v>0</v>
      </c>
      <c r="M3544" s="45">
        <f t="shared" si="167"/>
        <v>3544</v>
      </c>
      <c r="N3544" s="38">
        <f>HLOOKUP("Host",'vInfo (Imported)'!$1:$5000,M3544,FALSE)</f>
        <v>0</v>
      </c>
      <c r="R3544">
        <f>HLOOKUP("CPUs",'vInfo (Imported)'!$1:$5000,M3544,FALSE)</f>
        <v>0</v>
      </c>
      <c r="S3544">
        <f>HLOOKUP("Memory",'vInfo (Imported)'!$1:$5000,M3544,FALSE)</f>
        <v>0</v>
      </c>
      <c r="T3544">
        <f>HLOOKUP("Provisioned MiB",'vInfo (Imported)'!$1:$5000,M3544,FALSE)</f>
        <v>0</v>
      </c>
      <c r="U3544">
        <f t="shared" si="166"/>
        <v>0</v>
      </c>
      <c r="V3544">
        <f>HLOOKUP("In Use MiB",'vInfo (Imported)'!$1:$5000,M3544,FALSE)</f>
        <v>0</v>
      </c>
    </row>
    <row r="3545" spans="1:22" ht="13" x14ac:dyDescent="0.3">
      <c r="A3545" s="46">
        <f>'vHosts (Imported)'!A3545</f>
        <v>0</v>
      </c>
      <c r="B3545" s="51">
        <f t="shared" si="165"/>
        <v>4968</v>
      </c>
      <c r="C3545" s="49">
        <f>HLOOKUP("# Cores",'vHosts (Imported)'!$1:$5000,M3545,FALSE)</f>
        <v>0</v>
      </c>
      <c r="D3545" s="52">
        <f>HLOOKUP("# Memory",'vHosts (Imported)'!$1:$5000,M3545,FALSE)</f>
        <v>0</v>
      </c>
      <c r="M3545" s="45">
        <f t="shared" si="167"/>
        <v>3545</v>
      </c>
      <c r="N3545" s="38">
        <f>HLOOKUP("Host",'vInfo (Imported)'!$1:$5000,M3545,FALSE)</f>
        <v>0</v>
      </c>
      <c r="R3545">
        <f>HLOOKUP("CPUs",'vInfo (Imported)'!$1:$5000,M3545,FALSE)</f>
        <v>0</v>
      </c>
      <c r="S3545">
        <f>HLOOKUP("Memory",'vInfo (Imported)'!$1:$5000,M3545,FALSE)</f>
        <v>0</v>
      </c>
      <c r="T3545">
        <f>HLOOKUP("Provisioned MiB",'vInfo (Imported)'!$1:$5000,M3545,FALSE)</f>
        <v>0</v>
      </c>
      <c r="U3545">
        <f t="shared" si="166"/>
        <v>0</v>
      </c>
      <c r="V3545">
        <f>HLOOKUP("In Use MiB",'vInfo (Imported)'!$1:$5000,M3545,FALSE)</f>
        <v>0</v>
      </c>
    </row>
    <row r="3546" spans="1:22" ht="13" x14ac:dyDescent="0.3">
      <c r="A3546" s="46">
        <f>'vHosts (Imported)'!A3546</f>
        <v>0</v>
      </c>
      <c r="B3546" s="51">
        <f t="shared" si="165"/>
        <v>4968</v>
      </c>
      <c r="C3546" s="49">
        <f>HLOOKUP("# Cores",'vHosts (Imported)'!$1:$5000,M3546,FALSE)</f>
        <v>0</v>
      </c>
      <c r="D3546" s="52">
        <f>HLOOKUP("# Memory",'vHosts (Imported)'!$1:$5000,M3546,FALSE)</f>
        <v>0</v>
      </c>
      <c r="M3546" s="45">
        <f t="shared" si="167"/>
        <v>3546</v>
      </c>
      <c r="N3546" s="38">
        <f>HLOOKUP("Host",'vInfo (Imported)'!$1:$5000,M3546,FALSE)</f>
        <v>0</v>
      </c>
      <c r="R3546">
        <f>HLOOKUP("CPUs",'vInfo (Imported)'!$1:$5000,M3546,FALSE)</f>
        <v>0</v>
      </c>
      <c r="S3546">
        <f>HLOOKUP("Memory",'vInfo (Imported)'!$1:$5000,M3546,FALSE)</f>
        <v>0</v>
      </c>
      <c r="T3546">
        <f>HLOOKUP("Provisioned MiB",'vInfo (Imported)'!$1:$5000,M3546,FALSE)</f>
        <v>0</v>
      </c>
      <c r="U3546">
        <f t="shared" si="166"/>
        <v>0</v>
      </c>
      <c r="V3546">
        <f>HLOOKUP("In Use MiB",'vInfo (Imported)'!$1:$5000,M3546,FALSE)</f>
        <v>0</v>
      </c>
    </row>
    <row r="3547" spans="1:22" ht="13" x14ac:dyDescent="0.3">
      <c r="A3547" s="46">
        <f>'vHosts (Imported)'!A3547</f>
        <v>0</v>
      </c>
      <c r="B3547" s="51">
        <f t="shared" si="165"/>
        <v>4968</v>
      </c>
      <c r="C3547" s="49">
        <f>HLOOKUP("# Cores",'vHosts (Imported)'!$1:$5000,M3547,FALSE)</f>
        <v>0</v>
      </c>
      <c r="D3547" s="52">
        <f>HLOOKUP("# Memory",'vHosts (Imported)'!$1:$5000,M3547,FALSE)</f>
        <v>0</v>
      </c>
      <c r="M3547" s="45">
        <f t="shared" si="167"/>
        <v>3547</v>
      </c>
      <c r="N3547" s="38">
        <f>HLOOKUP("Host",'vInfo (Imported)'!$1:$5000,M3547,FALSE)</f>
        <v>0</v>
      </c>
      <c r="R3547">
        <f>HLOOKUP("CPUs",'vInfo (Imported)'!$1:$5000,M3547,FALSE)</f>
        <v>0</v>
      </c>
      <c r="S3547">
        <f>HLOOKUP("Memory",'vInfo (Imported)'!$1:$5000,M3547,FALSE)</f>
        <v>0</v>
      </c>
      <c r="T3547">
        <f>HLOOKUP("Provisioned MiB",'vInfo (Imported)'!$1:$5000,M3547,FALSE)</f>
        <v>0</v>
      </c>
      <c r="U3547">
        <f t="shared" si="166"/>
        <v>0</v>
      </c>
      <c r="V3547">
        <f>HLOOKUP("In Use MiB",'vInfo (Imported)'!$1:$5000,M3547,FALSE)</f>
        <v>0</v>
      </c>
    </row>
    <row r="3548" spans="1:22" ht="13" x14ac:dyDescent="0.3">
      <c r="A3548" s="46">
        <f>'vHosts (Imported)'!A3548</f>
        <v>0</v>
      </c>
      <c r="B3548" s="51">
        <f t="shared" si="165"/>
        <v>4968</v>
      </c>
      <c r="C3548" s="49">
        <f>HLOOKUP("# Cores",'vHosts (Imported)'!$1:$5000,M3548,FALSE)</f>
        <v>0</v>
      </c>
      <c r="D3548" s="52">
        <f>HLOOKUP("# Memory",'vHosts (Imported)'!$1:$5000,M3548,FALSE)</f>
        <v>0</v>
      </c>
      <c r="M3548" s="45">
        <f t="shared" si="167"/>
        <v>3548</v>
      </c>
      <c r="N3548" s="38">
        <f>HLOOKUP("Host",'vInfo (Imported)'!$1:$5000,M3548,FALSE)</f>
        <v>0</v>
      </c>
      <c r="R3548">
        <f>HLOOKUP("CPUs",'vInfo (Imported)'!$1:$5000,M3548,FALSE)</f>
        <v>0</v>
      </c>
      <c r="S3548">
        <f>HLOOKUP("Memory",'vInfo (Imported)'!$1:$5000,M3548,FALSE)</f>
        <v>0</v>
      </c>
      <c r="T3548">
        <f>HLOOKUP("Provisioned MiB",'vInfo (Imported)'!$1:$5000,M3548,FALSE)</f>
        <v>0</v>
      </c>
      <c r="U3548">
        <f t="shared" si="166"/>
        <v>0</v>
      </c>
      <c r="V3548">
        <f>HLOOKUP("In Use MiB",'vInfo (Imported)'!$1:$5000,M3548,FALSE)</f>
        <v>0</v>
      </c>
    </row>
    <row r="3549" spans="1:22" ht="13" x14ac:dyDescent="0.3">
      <c r="A3549" s="46">
        <f>'vHosts (Imported)'!A3549</f>
        <v>0</v>
      </c>
      <c r="B3549" s="51">
        <f t="shared" si="165"/>
        <v>4968</v>
      </c>
      <c r="C3549" s="49">
        <f>HLOOKUP("# Cores",'vHosts (Imported)'!$1:$5000,M3549,FALSE)</f>
        <v>0</v>
      </c>
      <c r="D3549" s="52">
        <f>HLOOKUP("# Memory",'vHosts (Imported)'!$1:$5000,M3549,FALSE)</f>
        <v>0</v>
      </c>
      <c r="M3549" s="45">
        <f t="shared" si="167"/>
        <v>3549</v>
      </c>
      <c r="N3549" s="38">
        <f>HLOOKUP("Host",'vInfo (Imported)'!$1:$5000,M3549,FALSE)</f>
        <v>0</v>
      </c>
      <c r="R3549">
        <f>HLOOKUP("CPUs",'vInfo (Imported)'!$1:$5000,M3549,FALSE)</f>
        <v>0</v>
      </c>
      <c r="S3549">
        <f>HLOOKUP("Memory",'vInfo (Imported)'!$1:$5000,M3549,FALSE)</f>
        <v>0</v>
      </c>
      <c r="T3549">
        <f>HLOOKUP("Provisioned MiB",'vInfo (Imported)'!$1:$5000,M3549,FALSE)</f>
        <v>0</v>
      </c>
      <c r="U3549">
        <f t="shared" si="166"/>
        <v>0</v>
      </c>
      <c r="V3549">
        <f>HLOOKUP("In Use MiB",'vInfo (Imported)'!$1:$5000,M3549,FALSE)</f>
        <v>0</v>
      </c>
    </row>
    <row r="3550" spans="1:22" ht="13" x14ac:dyDescent="0.3">
      <c r="A3550" s="46">
        <f>'vHosts (Imported)'!A3550</f>
        <v>0</v>
      </c>
      <c r="B3550" s="51">
        <f t="shared" si="165"/>
        <v>4968</v>
      </c>
      <c r="C3550" s="49">
        <f>HLOOKUP("# Cores",'vHosts (Imported)'!$1:$5000,M3550,FALSE)</f>
        <v>0</v>
      </c>
      <c r="D3550" s="52">
        <f>HLOOKUP("# Memory",'vHosts (Imported)'!$1:$5000,M3550,FALSE)</f>
        <v>0</v>
      </c>
      <c r="M3550" s="45">
        <f t="shared" si="167"/>
        <v>3550</v>
      </c>
      <c r="N3550" s="38">
        <f>HLOOKUP("Host",'vInfo (Imported)'!$1:$5000,M3550,FALSE)</f>
        <v>0</v>
      </c>
      <c r="R3550">
        <f>HLOOKUP("CPUs",'vInfo (Imported)'!$1:$5000,M3550,FALSE)</f>
        <v>0</v>
      </c>
      <c r="S3550">
        <f>HLOOKUP("Memory",'vInfo (Imported)'!$1:$5000,M3550,FALSE)</f>
        <v>0</v>
      </c>
      <c r="T3550">
        <f>HLOOKUP("Provisioned MiB",'vInfo (Imported)'!$1:$5000,M3550,FALSE)</f>
        <v>0</v>
      </c>
      <c r="U3550">
        <f t="shared" si="166"/>
        <v>0</v>
      </c>
      <c r="V3550">
        <f>HLOOKUP("In Use MiB",'vInfo (Imported)'!$1:$5000,M3550,FALSE)</f>
        <v>0</v>
      </c>
    </row>
    <row r="3551" spans="1:22" ht="13" x14ac:dyDescent="0.3">
      <c r="A3551" s="46">
        <f>'vHosts (Imported)'!A3551</f>
        <v>0</v>
      </c>
      <c r="B3551" s="51">
        <f t="shared" si="165"/>
        <v>4968</v>
      </c>
      <c r="C3551" s="49">
        <f>HLOOKUP("# Cores",'vHosts (Imported)'!$1:$5000,M3551,FALSE)</f>
        <v>0</v>
      </c>
      <c r="D3551" s="52">
        <f>HLOOKUP("# Memory",'vHosts (Imported)'!$1:$5000,M3551,FALSE)</f>
        <v>0</v>
      </c>
      <c r="M3551" s="45">
        <f t="shared" si="167"/>
        <v>3551</v>
      </c>
      <c r="N3551" s="38">
        <f>HLOOKUP("Host",'vInfo (Imported)'!$1:$5000,M3551,FALSE)</f>
        <v>0</v>
      </c>
      <c r="R3551">
        <f>HLOOKUP("CPUs",'vInfo (Imported)'!$1:$5000,M3551,FALSE)</f>
        <v>0</v>
      </c>
      <c r="S3551">
        <f>HLOOKUP("Memory",'vInfo (Imported)'!$1:$5000,M3551,FALSE)</f>
        <v>0</v>
      </c>
      <c r="T3551">
        <f>HLOOKUP("Provisioned MiB",'vInfo (Imported)'!$1:$5000,M3551,FALSE)</f>
        <v>0</v>
      </c>
      <c r="U3551">
        <f t="shared" si="166"/>
        <v>0</v>
      </c>
      <c r="V3551">
        <f>HLOOKUP("In Use MiB",'vInfo (Imported)'!$1:$5000,M3551,FALSE)</f>
        <v>0</v>
      </c>
    </row>
    <row r="3552" spans="1:22" ht="13" x14ac:dyDescent="0.3">
      <c r="A3552" s="46">
        <f>'vHosts (Imported)'!A3552</f>
        <v>0</v>
      </c>
      <c r="B3552" s="51">
        <f t="shared" si="165"/>
        <v>4968</v>
      </c>
      <c r="C3552" s="49">
        <f>HLOOKUP("# Cores",'vHosts (Imported)'!$1:$5000,M3552,FALSE)</f>
        <v>0</v>
      </c>
      <c r="D3552" s="52">
        <f>HLOOKUP("# Memory",'vHosts (Imported)'!$1:$5000,M3552,FALSE)</f>
        <v>0</v>
      </c>
      <c r="M3552" s="45">
        <f t="shared" si="167"/>
        <v>3552</v>
      </c>
      <c r="N3552" s="38">
        <f>HLOOKUP("Host",'vInfo (Imported)'!$1:$5000,M3552,FALSE)</f>
        <v>0</v>
      </c>
      <c r="R3552">
        <f>HLOOKUP("CPUs",'vInfo (Imported)'!$1:$5000,M3552,FALSE)</f>
        <v>0</v>
      </c>
      <c r="S3552">
        <f>HLOOKUP("Memory",'vInfo (Imported)'!$1:$5000,M3552,FALSE)</f>
        <v>0</v>
      </c>
      <c r="T3552">
        <f>HLOOKUP("Provisioned MiB",'vInfo (Imported)'!$1:$5000,M3552,FALSE)</f>
        <v>0</v>
      </c>
      <c r="U3552">
        <f t="shared" si="166"/>
        <v>0</v>
      </c>
      <c r="V3552">
        <f>HLOOKUP("In Use MiB",'vInfo (Imported)'!$1:$5000,M3552,FALSE)</f>
        <v>0</v>
      </c>
    </row>
    <row r="3553" spans="1:22" ht="13" x14ac:dyDescent="0.3">
      <c r="A3553" s="46">
        <f>'vHosts (Imported)'!A3553</f>
        <v>0</v>
      </c>
      <c r="B3553" s="51">
        <f t="shared" si="165"/>
        <v>4968</v>
      </c>
      <c r="C3553" s="49">
        <f>HLOOKUP("# Cores",'vHosts (Imported)'!$1:$5000,M3553,FALSE)</f>
        <v>0</v>
      </c>
      <c r="D3553" s="52">
        <f>HLOOKUP("# Memory",'vHosts (Imported)'!$1:$5000,M3553,FALSE)</f>
        <v>0</v>
      </c>
      <c r="M3553" s="45">
        <f t="shared" si="167"/>
        <v>3553</v>
      </c>
      <c r="N3553" s="38">
        <f>HLOOKUP("Host",'vInfo (Imported)'!$1:$5000,M3553,FALSE)</f>
        <v>0</v>
      </c>
      <c r="R3553">
        <f>HLOOKUP("CPUs",'vInfo (Imported)'!$1:$5000,M3553,FALSE)</f>
        <v>0</v>
      </c>
      <c r="S3553">
        <f>HLOOKUP("Memory",'vInfo (Imported)'!$1:$5000,M3553,FALSE)</f>
        <v>0</v>
      </c>
      <c r="T3553">
        <f>HLOOKUP("Provisioned MiB",'vInfo (Imported)'!$1:$5000,M3553,FALSE)</f>
        <v>0</v>
      </c>
      <c r="U3553">
        <f t="shared" si="166"/>
        <v>0</v>
      </c>
      <c r="V3553">
        <f>HLOOKUP("In Use MiB",'vInfo (Imported)'!$1:$5000,M3553,FALSE)</f>
        <v>0</v>
      </c>
    </row>
    <row r="3554" spans="1:22" ht="13" x14ac:dyDescent="0.3">
      <c r="A3554" s="46">
        <f>'vHosts (Imported)'!A3554</f>
        <v>0</v>
      </c>
      <c r="B3554" s="51">
        <f t="shared" si="165"/>
        <v>4968</v>
      </c>
      <c r="C3554" s="49">
        <f>HLOOKUP("# Cores",'vHosts (Imported)'!$1:$5000,M3554,FALSE)</f>
        <v>0</v>
      </c>
      <c r="D3554" s="52">
        <f>HLOOKUP("# Memory",'vHosts (Imported)'!$1:$5000,M3554,FALSE)</f>
        <v>0</v>
      </c>
      <c r="M3554" s="45">
        <f t="shared" si="167"/>
        <v>3554</v>
      </c>
      <c r="N3554" s="38">
        <f>HLOOKUP("Host",'vInfo (Imported)'!$1:$5000,M3554,FALSE)</f>
        <v>0</v>
      </c>
      <c r="R3554">
        <f>HLOOKUP("CPUs",'vInfo (Imported)'!$1:$5000,M3554,FALSE)</f>
        <v>0</v>
      </c>
      <c r="S3554">
        <f>HLOOKUP("Memory",'vInfo (Imported)'!$1:$5000,M3554,FALSE)</f>
        <v>0</v>
      </c>
      <c r="T3554">
        <f>HLOOKUP("Provisioned MiB",'vInfo (Imported)'!$1:$5000,M3554,FALSE)</f>
        <v>0</v>
      </c>
      <c r="U3554">
        <f t="shared" si="166"/>
        <v>0</v>
      </c>
      <c r="V3554">
        <f>HLOOKUP("In Use MiB",'vInfo (Imported)'!$1:$5000,M3554,FALSE)</f>
        <v>0</v>
      </c>
    </row>
    <row r="3555" spans="1:22" ht="13" x14ac:dyDescent="0.3">
      <c r="A3555" s="46">
        <f>'vHosts (Imported)'!A3555</f>
        <v>0</v>
      </c>
      <c r="B3555" s="51">
        <f t="shared" si="165"/>
        <v>4968</v>
      </c>
      <c r="C3555" s="49">
        <f>HLOOKUP("# Cores",'vHosts (Imported)'!$1:$5000,M3555,FALSE)</f>
        <v>0</v>
      </c>
      <c r="D3555" s="52">
        <f>HLOOKUP("# Memory",'vHosts (Imported)'!$1:$5000,M3555,FALSE)</f>
        <v>0</v>
      </c>
      <c r="M3555" s="45">
        <f t="shared" si="167"/>
        <v>3555</v>
      </c>
      <c r="N3555" s="38">
        <f>HLOOKUP("Host",'vInfo (Imported)'!$1:$5000,M3555,FALSE)</f>
        <v>0</v>
      </c>
      <c r="R3555">
        <f>HLOOKUP("CPUs",'vInfo (Imported)'!$1:$5000,M3555,FALSE)</f>
        <v>0</v>
      </c>
      <c r="S3555">
        <f>HLOOKUP("Memory",'vInfo (Imported)'!$1:$5000,M3555,FALSE)</f>
        <v>0</v>
      </c>
      <c r="T3555">
        <f>HLOOKUP("Provisioned MiB",'vInfo (Imported)'!$1:$5000,M3555,FALSE)</f>
        <v>0</v>
      </c>
      <c r="U3555">
        <f t="shared" si="166"/>
        <v>0</v>
      </c>
      <c r="V3555">
        <f>HLOOKUP("In Use MiB",'vInfo (Imported)'!$1:$5000,M3555,FALSE)</f>
        <v>0</v>
      </c>
    </row>
    <row r="3556" spans="1:22" ht="13" x14ac:dyDescent="0.3">
      <c r="A3556" s="46">
        <f>'vHosts (Imported)'!A3556</f>
        <v>0</v>
      </c>
      <c r="B3556" s="51">
        <f t="shared" si="165"/>
        <v>4968</v>
      </c>
      <c r="C3556" s="49">
        <f>HLOOKUP("# Cores",'vHosts (Imported)'!$1:$5000,M3556,FALSE)</f>
        <v>0</v>
      </c>
      <c r="D3556" s="52">
        <f>HLOOKUP("# Memory",'vHosts (Imported)'!$1:$5000,M3556,FALSE)</f>
        <v>0</v>
      </c>
      <c r="M3556" s="45">
        <f t="shared" si="167"/>
        <v>3556</v>
      </c>
      <c r="N3556" s="38">
        <f>HLOOKUP("Host",'vInfo (Imported)'!$1:$5000,M3556,FALSE)</f>
        <v>0</v>
      </c>
      <c r="R3556">
        <f>HLOOKUP("CPUs",'vInfo (Imported)'!$1:$5000,M3556,FALSE)</f>
        <v>0</v>
      </c>
      <c r="S3556">
        <f>HLOOKUP("Memory",'vInfo (Imported)'!$1:$5000,M3556,FALSE)</f>
        <v>0</v>
      </c>
      <c r="T3556">
        <f>HLOOKUP("Provisioned MiB",'vInfo (Imported)'!$1:$5000,M3556,FALSE)</f>
        <v>0</v>
      </c>
      <c r="U3556">
        <f t="shared" si="166"/>
        <v>0</v>
      </c>
      <c r="V3556">
        <f>HLOOKUP("In Use MiB",'vInfo (Imported)'!$1:$5000,M3556,FALSE)</f>
        <v>0</v>
      </c>
    </row>
    <row r="3557" spans="1:22" ht="13" x14ac:dyDescent="0.3">
      <c r="A3557" s="46">
        <f>'vHosts (Imported)'!A3557</f>
        <v>0</v>
      </c>
      <c r="B3557" s="51">
        <f t="shared" si="165"/>
        <v>4968</v>
      </c>
      <c r="C3557" s="49">
        <f>HLOOKUP("# Cores",'vHosts (Imported)'!$1:$5000,M3557,FALSE)</f>
        <v>0</v>
      </c>
      <c r="D3557" s="52">
        <f>HLOOKUP("# Memory",'vHosts (Imported)'!$1:$5000,M3557,FALSE)</f>
        <v>0</v>
      </c>
      <c r="M3557" s="45">
        <f t="shared" si="167"/>
        <v>3557</v>
      </c>
      <c r="N3557" s="38">
        <f>HLOOKUP("Host",'vInfo (Imported)'!$1:$5000,M3557,FALSE)</f>
        <v>0</v>
      </c>
      <c r="R3557">
        <f>HLOOKUP("CPUs",'vInfo (Imported)'!$1:$5000,M3557,FALSE)</f>
        <v>0</v>
      </c>
      <c r="S3557">
        <f>HLOOKUP("Memory",'vInfo (Imported)'!$1:$5000,M3557,FALSE)</f>
        <v>0</v>
      </c>
      <c r="T3557">
        <f>HLOOKUP("Provisioned MiB",'vInfo (Imported)'!$1:$5000,M3557,FALSE)</f>
        <v>0</v>
      </c>
      <c r="U3557">
        <f t="shared" si="166"/>
        <v>0</v>
      </c>
      <c r="V3557">
        <f>HLOOKUP("In Use MiB",'vInfo (Imported)'!$1:$5000,M3557,FALSE)</f>
        <v>0</v>
      </c>
    </row>
    <row r="3558" spans="1:22" ht="13" x14ac:dyDescent="0.3">
      <c r="A3558" s="46">
        <f>'vHosts (Imported)'!A3558</f>
        <v>0</v>
      </c>
      <c r="B3558" s="51">
        <f t="shared" si="165"/>
        <v>4968</v>
      </c>
      <c r="C3558" s="49">
        <f>HLOOKUP("# Cores",'vHosts (Imported)'!$1:$5000,M3558,FALSE)</f>
        <v>0</v>
      </c>
      <c r="D3558" s="52">
        <f>HLOOKUP("# Memory",'vHosts (Imported)'!$1:$5000,M3558,FALSE)</f>
        <v>0</v>
      </c>
      <c r="M3558" s="45">
        <f t="shared" si="167"/>
        <v>3558</v>
      </c>
      <c r="N3558" s="38">
        <f>HLOOKUP("Host",'vInfo (Imported)'!$1:$5000,M3558,FALSE)</f>
        <v>0</v>
      </c>
      <c r="R3558">
        <f>HLOOKUP("CPUs",'vInfo (Imported)'!$1:$5000,M3558,FALSE)</f>
        <v>0</v>
      </c>
      <c r="S3558">
        <f>HLOOKUP("Memory",'vInfo (Imported)'!$1:$5000,M3558,FALSE)</f>
        <v>0</v>
      </c>
      <c r="T3558">
        <f>HLOOKUP("Provisioned MiB",'vInfo (Imported)'!$1:$5000,M3558,FALSE)</f>
        <v>0</v>
      </c>
      <c r="U3558">
        <f t="shared" si="166"/>
        <v>0</v>
      </c>
      <c r="V3558">
        <f>HLOOKUP("In Use MiB",'vInfo (Imported)'!$1:$5000,M3558,FALSE)</f>
        <v>0</v>
      </c>
    </row>
    <row r="3559" spans="1:22" ht="13" x14ac:dyDescent="0.3">
      <c r="A3559" s="46">
        <f>'vHosts (Imported)'!A3559</f>
        <v>0</v>
      </c>
      <c r="B3559" s="51">
        <f t="shared" si="165"/>
        <v>4968</v>
      </c>
      <c r="C3559" s="49">
        <f>HLOOKUP("# Cores",'vHosts (Imported)'!$1:$5000,M3559,FALSE)</f>
        <v>0</v>
      </c>
      <c r="D3559" s="52">
        <f>HLOOKUP("# Memory",'vHosts (Imported)'!$1:$5000,M3559,FALSE)</f>
        <v>0</v>
      </c>
      <c r="M3559" s="45">
        <f t="shared" si="167"/>
        <v>3559</v>
      </c>
      <c r="N3559" s="38">
        <f>HLOOKUP("Host",'vInfo (Imported)'!$1:$5000,M3559,FALSE)</f>
        <v>0</v>
      </c>
      <c r="R3559">
        <f>HLOOKUP("CPUs",'vInfo (Imported)'!$1:$5000,M3559,FALSE)</f>
        <v>0</v>
      </c>
      <c r="S3559">
        <f>HLOOKUP("Memory",'vInfo (Imported)'!$1:$5000,M3559,FALSE)</f>
        <v>0</v>
      </c>
      <c r="T3559">
        <f>HLOOKUP("Provisioned MiB",'vInfo (Imported)'!$1:$5000,M3559,FALSE)</f>
        <v>0</v>
      </c>
      <c r="U3559">
        <f t="shared" si="166"/>
        <v>0</v>
      </c>
      <c r="V3559">
        <f>HLOOKUP("In Use MiB",'vInfo (Imported)'!$1:$5000,M3559,FALSE)</f>
        <v>0</v>
      </c>
    </row>
    <row r="3560" spans="1:22" ht="13" x14ac:dyDescent="0.3">
      <c r="A3560" s="46">
        <f>'vHosts (Imported)'!A3560</f>
        <v>0</v>
      </c>
      <c r="B3560" s="51">
        <f t="shared" ref="B3560:B3623" si="168">COUNTIF(N:N,A3560)</f>
        <v>4968</v>
      </c>
      <c r="C3560" s="49">
        <f>HLOOKUP("# Cores",'vHosts (Imported)'!$1:$5000,M3560,FALSE)</f>
        <v>0</v>
      </c>
      <c r="D3560" s="52">
        <f>HLOOKUP("# Memory",'vHosts (Imported)'!$1:$5000,M3560,FALSE)</f>
        <v>0</v>
      </c>
      <c r="M3560" s="45">
        <f t="shared" si="167"/>
        <v>3560</v>
      </c>
      <c r="N3560" s="38">
        <f>HLOOKUP("Host",'vInfo (Imported)'!$1:$5000,M3560,FALSE)</f>
        <v>0</v>
      </c>
      <c r="R3560">
        <f>HLOOKUP("CPUs",'vInfo (Imported)'!$1:$5000,M3560,FALSE)</f>
        <v>0</v>
      </c>
      <c r="S3560">
        <f>HLOOKUP("Memory",'vInfo (Imported)'!$1:$5000,M3560,FALSE)</f>
        <v>0</v>
      </c>
      <c r="T3560">
        <f>HLOOKUP("Provisioned MiB",'vInfo (Imported)'!$1:$5000,M3560,FALSE)</f>
        <v>0</v>
      </c>
      <c r="U3560">
        <f t="shared" si="166"/>
        <v>0</v>
      </c>
      <c r="V3560">
        <f>HLOOKUP("In Use MiB",'vInfo (Imported)'!$1:$5000,M3560,FALSE)</f>
        <v>0</v>
      </c>
    </row>
    <row r="3561" spans="1:22" ht="13" x14ac:dyDescent="0.3">
      <c r="A3561" s="46">
        <f>'vHosts (Imported)'!A3561</f>
        <v>0</v>
      </c>
      <c r="B3561" s="51">
        <f t="shared" si="168"/>
        <v>4968</v>
      </c>
      <c r="C3561" s="49">
        <f>HLOOKUP("# Cores",'vHosts (Imported)'!$1:$5000,M3561,FALSE)</f>
        <v>0</v>
      </c>
      <c r="D3561" s="52">
        <f>HLOOKUP("# Memory",'vHosts (Imported)'!$1:$5000,M3561,FALSE)</f>
        <v>0</v>
      </c>
      <c r="M3561" s="45">
        <f t="shared" si="167"/>
        <v>3561</v>
      </c>
      <c r="N3561" s="38">
        <f>HLOOKUP("Host",'vInfo (Imported)'!$1:$5000,M3561,FALSE)</f>
        <v>0</v>
      </c>
      <c r="R3561">
        <f>HLOOKUP("CPUs",'vInfo (Imported)'!$1:$5000,M3561,FALSE)</f>
        <v>0</v>
      </c>
      <c r="S3561">
        <f>HLOOKUP("Memory",'vInfo (Imported)'!$1:$5000,M3561,FALSE)</f>
        <v>0</v>
      </c>
      <c r="T3561">
        <f>HLOOKUP("Provisioned MiB",'vInfo (Imported)'!$1:$5000,M3561,FALSE)</f>
        <v>0</v>
      </c>
      <c r="U3561">
        <f t="shared" si="166"/>
        <v>0</v>
      </c>
      <c r="V3561">
        <f>HLOOKUP("In Use MiB",'vInfo (Imported)'!$1:$5000,M3561,FALSE)</f>
        <v>0</v>
      </c>
    </row>
    <row r="3562" spans="1:22" ht="13" x14ac:dyDescent="0.3">
      <c r="A3562" s="46">
        <f>'vHosts (Imported)'!A3562</f>
        <v>0</v>
      </c>
      <c r="B3562" s="51">
        <f t="shared" si="168"/>
        <v>4968</v>
      </c>
      <c r="C3562" s="49">
        <f>HLOOKUP("# Cores",'vHosts (Imported)'!$1:$5000,M3562,FALSE)</f>
        <v>0</v>
      </c>
      <c r="D3562" s="52">
        <f>HLOOKUP("# Memory",'vHosts (Imported)'!$1:$5000,M3562,FALSE)</f>
        <v>0</v>
      </c>
      <c r="M3562" s="45">
        <f t="shared" si="167"/>
        <v>3562</v>
      </c>
      <c r="N3562" s="38">
        <f>HLOOKUP("Host",'vInfo (Imported)'!$1:$5000,M3562,FALSE)</f>
        <v>0</v>
      </c>
      <c r="R3562">
        <f>HLOOKUP("CPUs",'vInfo (Imported)'!$1:$5000,M3562,FALSE)</f>
        <v>0</v>
      </c>
      <c r="S3562">
        <f>HLOOKUP("Memory",'vInfo (Imported)'!$1:$5000,M3562,FALSE)</f>
        <v>0</v>
      </c>
      <c r="T3562">
        <f>HLOOKUP("Provisioned MiB",'vInfo (Imported)'!$1:$5000,M3562,FALSE)</f>
        <v>0</v>
      </c>
      <c r="U3562">
        <f t="shared" si="166"/>
        <v>0</v>
      </c>
      <c r="V3562">
        <f>HLOOKUP("In Use MiB",'vInfo (Imported)'!$1:$5000,M3562,FALSE)</f>
        <v>0</v>
      </c>
    </row>
    <row r="3563" spans="1:22" ht="13" x14ac:dyDescent="0.3">
      <c r="A3563" s="46">
        <f>'vHosts (Imported)'!A3563</f>
        <v>0</v>
      </c>
      <c r="B3563" s="51">
        <f t="shared" si="168"/>
        <v>4968</v>
      </c>
      <c r="C3563" s="49">
        <f>HLOOKUP("# Cores",'vHosts (Imported)'!$1:$5000,M3563,FALSE)</f>
        <v>0</v>
      </c>
      <c r="D3563" s="52">
        <f>HLOOKUP("# Memory",'vHosts (Imported)'!$1:$5000,M3563,FALSE)</f>
        <v>0</v>
      </c>
      <c r="M3563" s="45">
        <f t="shared" si="167"/>
        <v>3563</v>
      </c>
      <c r="N3563" s="38">
        <f>HLOOKUP("Host",'vInfo (Imported)'!$1:$5000,M3563,FALSE)</f>
        <v>0</v>
      </c>
      <c r="R3563">
        <f>HLOOKUP("CPUs",'vInfo (Imported)'!$1:$5000,M3563,FALSE)</f>
        <v>0</v>
      </c>
      <c r="S3563">
        <f>HLOOKUP("Memory",'vInfo (Imported)'!$1:$5000,M3563,FALSE)</f>
        <v>0</v>
      </c>
      <c r="T3563">
        <f>HLOOKUP("Provisioned MiB",'vInfo (Imported)'!$1:$5000,M3563,FALSE)</f>
        <v>0</v>
      </c>
      <c r="U3563">
        <f t="shared" si="166"/>
        <v>0</v>
      </c>
      <c r="V3563">
        <f>HLOOKUP("In Use MiB",'vInfo (Imported)'!$1:$5000,M3563,FALSE)</f>
        <v>0</v>
      </c>
    </row>
    <row r="3564" spans="1:22" ht="13" x14ac:dyDescent="0.3">
      <c r="A3564" s="46">
        <f>'vHosts (Imported)'!A3564</f>
        <v>0</v>
      </c>
      <c r="B3564" s="51">
        <f t="shared" si="168"/>
        <v>4968</v>
      </c>
      <c r="C3564" s="49">
        <f>HLOOKUP("# Cores",'vHosts (Imported)'!$1:$5000,M3564,FALSE)</f>
        <v>0</v>
      </c>
      <c r="D3564" s="52">
        <f>HLOOKUP("# Memory",'vHosts (Imported)'!$1:$5000,M3564,FALSE)</f>
        <v>0</v>
      </c>
      <c r="M3564" s="45">
        <f t="shared" si="167"/>
        <v>3564</v>
      </c>
      <c r="N3564" s="38">
        <f>HLOOKUP("Host",'vInfo (Imported)'!$1:$5000,M3564,FALSE)</f>
        <v>0</v>
      </c>
      <c r="R3564">
        <f>HLOOKUP("CPUs",'vInfo (Imported)'!$1:$5000,M3564,FALSE)</f>
        <v>0</v>
      </c>
      <c r="S3564">
        <f>HLOOKUP("Memory",'vInfo (Imported)'!$1:$5000,M3564,FALSE)</f>
        <v>0</v>
      </c>
      <c r="T3564">
        <f>HLOOKUP("Provisioned MiB",'vInfo (Imported)'!$1:$5000,M3564,FALSE)</f>
        <v>0</v>
      </c>
      <c r="U3564">
        <f t="shared" si="166"/>
        <v>0</v>
      </c>
      <c r="V3564">
        <f>HLOOKUP("In Use MiB",'vInfo (Imported)'!$1:$5000,M3564,FALSE)</f>
        <v>0</v>
      </c>
    </row>
    <row r="3565" spans="1:22" ht="13" x14ac:dyDescent="0.3">
      <c r="A3565" s="46">
        <f>'vHosts (Imported)'!A3565</f>
        <v>0</v>
      </c>
      <c r="B3565" s="51">
        <f t="shared" si="168"/>
        <v>4968</v>
      </c>
      <c r="C3565" s="49">
        <f>HLOOKUP("# Cores",'vHosts (Imported)'!$1:$5000,M3565,FALSE)</f>
        <v>0</v>
      </c>
      <c r="D3565" s="52">
        <f>HLOOKUP("# Memory",'vHosts (Imported)'!$1:$5000,M3565,FALSE)</f>
        <v>0</v>
      </c>
      <c r="M3565" s="45">
        <f t="shared" si="167"/>
        <v>3565</v>
      </c>
      <c r="N3565" s="38">
        <f>HLOOKUP("Host",'vInfo (Imported)'!$1:$5000,M3565,FALSE)</f>
        <v>0</v>
      </c>
      <c r="R3565">
        <f>HLOOKUP("CPUs",'vInfo (Imported)'!$1:$5000,M3565,FALSE)</f>
        <v>0</v>
      </c>
      <c r="S3565">
        <f>HLOOKUP("Memory",'vInfo (Imported)'!$1:$5000,M3565,FALSE)</f>
        <v>0</v>
      </c>
      <c r="T3565">
        <f>HLOOKUP("Provisioned MiB",'vInfo (Imported)'!$1:$5000,M3565,FALSE)</f>
        <v>0</v>
      </c>
      <c r="U3565">
        <f t="shared" si="166"/>
        <v>0</v>
      </c>
      <c r="V3565">
        <f>HLOOKUP("In Use MiB",'vInfo (Imported)'!$1:$5000,M3565,FALSE)</f>
        <v>0</v>
      </c>
    </row>
    <row r="3566" spans="1:22" ht="13" x14ac:dyDescent="0.3">
      <c r="A3566" s="46">
        <f>'vHosts (Imported)'!A3566</f>
        <v>0</v>
      </c>
      <c r="B3566" s="51">
        <f t="shared" si="168"/>
        <v>4968</v>
      </c>
      <c r="C3566" s="49">
        <f>HLOOKUP("# Cores",'vHosts (Imported)'!$1:$5000,M3566,FALSE)</f>
        <v>0</v>
      </c>
      <c r="D3566" s="52">
        <f>HLOOKUP("# Memory",'vHosts (Imported)'!$1:$5000,M3566,FALSE)</f>
        <v>0</v>
      </c>
      <c r="M3566" s="45">
        <f t="shared" si="167"/>
        <v>3566</v>
      </c>
      <c r="N3566" s="38">
        <f>HLOOKUP("Host",'vInfo (Imported)'!$1:$5000,M3566,FALSE)</f>
        <v>0</v>
      </c>
      <c r="R3566">
        <f>HLOOKUP("CPUs",'vInfo (Imported)'!$1:$5000,M3566,FALSE)</f>
        <v>0</v>
      </c>
      <c r="S3566">
        <f>HLOOKUP("Memory",'vInfo (Imported)'!$1:$5000,M3566,FALSE)</f>
        <v>0</v>
      </c>
      <c r="T3566">
        <f>HLOOKUP("Provisioned MiB",'vInfo (Imported)'!$1:$5000,M3566,FALSE)</f>
        <v>0</v>
      </c>
      <c r="U3566">
        <f t="shared" si="166"/>
        <v>0</v>
      </c>
      <c r="V3566">
        <f>HLOOKUP("In Use MiB",'vInfo (Imported)'!$1:$5000,M3566,FALSE)</f>
        <v>0</v>
      </c>
    </row>
    <row r="3567" spans="1:22" ht="13" x14ac:dyDescent="0.3">
      <c r="A3567" s="46">
        <f>'vHosts (Imported)'!A3567</f>
        <v>0</v>
      </c>
      <c r="B3567" s="51">
        <f t="shared" si="168"/>
        <v>4968</v>
      </c>
      <c r="C3567" s="49">
        <f>HLOOKUP("# Cores",'vHosts (Imported)'!$1:$5000,M3567,FALSE)</f>
        <v>0</v>
      </c>
      <c r="D3567" s="52">
        <f>HLOOKUP("# Memory",'vHosts (Imported)'!$1:$5000,M3567,FALSE)</f>
        <v>0</v>
      </c>
      <c r="M3567" s="45">
        <f t="shared" si="167"/>
        <v>3567</v>
      </c>
      <c r="N3567" s="38">
        <f>HLOOKUP("Host",'vInfo (Imported)'!$1:$5000,M3567,FALSE)</f>
        <v>0</v>
      </c>
      <c r="R3567">
        <f>HLOOKUP("CPUs",'vInfo (Imported)'!$1:$5000,M3567,FALSE)</f>
        <v>0</v>
      </c>
      <c r="S3567">
        <f>HLOOKUP("Memory",'vInfo (Imported)'!$1:$5000,M3567,FALSE)</f>
        <v>0</v>
      </c>
      <c r="T3567">
        <f>HLOOKUP("Provisioned MiB",'vInfo (Imported)'!$1:$5000,M3567,FALSE)</f>
        <v>0</v>
      </c>
      <c r="U3567">
        <f t="shared" si="166"/>
        <v>0</v>
      </c>
      <c r="V3567">
        <f>HLOOKUP("In Use MiB",'vInfo (Imported)'!$1:$5000,M3567,FALSE)</f>
        <v>0</v>
      </c>
    </row>
    <row r="3568" spans="1:22" ht="13" x14ac:dyDescent="0.3">
      <c r="A3568" s="46">
        <f>'vHosts (Imported)'!A3568</f>
        <v>0</v>
      </c>
      <c r="B3568" s="51">
        <f t="shared" si="168"/>
        <v>4968</v>
      </c>
      <c r="C3568" s="49">
        <f>HLOOKUP("# Cores",'vHosts (Imported)'!$1:$5000,M3568,FALSE)</f>
        <v>0</v>
      </c>
      <c r="D3568" s="52">
        <f>HLOOKUP("# Memory",'vHosts (Imported)'!$1:$5000,M3568,FALSE)</f>
        <v>0</v>
      </c>
      <c r="M3568" s="45">
        <f t="shared" si="167"/>
        <v>3568</v>
      </c>
      <c r="N3568" s="38">
        <f>HLOOKUP("Host",'vInfo (Imported)'!$1:$5000,M3568,FALSE)</f>
        <v>0</v>
      </c>
      <c r="R3568">
        <f>HLOOKUP("CPUs",'vInfo (Imported)'!$1:$5000,M3568,FALSE)</f>
        <v>0</v>
      </c>
      <c r="S3568">
        <f>HLOOKUP("Memory",'vInfo (Imported)'!$1:$5000,M3568,FALSE)</f>
        <v>0</v>
      </c>
      <c r="T3568">
        <f>HLOOKUP("Provisioned MiB",'vInfo (Imported)'!$1:$5000,M3568,FALSE)</f>
        <v>0</v>
      </c>
      <c r="U3568">
        <f t="shared" si="166"/>
        <v>0</v>
      </c>
      <c r="V3568">
        <f>HLOOKUP("In Use MiB",'vInfo (Imported)'!$1:$5000,M3568,FALSE)</f>
        <v>0</v>
      </c>
    </row>
    <row r="3569" spans="1:22" ht="13" x14ac:dyDescent="0.3">
      <c r="A3569" s="46">
        <f>'vHosts (Imported)'!A3569</f>
        <v>0</v>
      </c>
      <c r="B3569" s="51">
        <f t="shared" si="168"/>
        <v>4968</v>
      </c>
      <c r="C3569" s="49">
        <f>HLOOKUP("# Cores",'vHosts (Imported)'!$1:$5000,M3569,FALSE)</f>
        <v>0</v>
      </c>
      <c r="D3569" s="52">
        <f>HLOOKUP("# Memory",'vHosts (Imported)'!$1:$5000,M3569,FALSE)</f>
        <v>0</v>
      </c>
      <c r="M3569" s="45">
        <f t="shared" si="167"/>
        <v>3569</v>
      </c>
      <c r="N3569" s="38">
        <f>HLOOKUP("Host",'vInfo (Imported)'!$1:$5000,M3569,FALSE)</f>
        <v>0</v>
      </c>
      <c r="R3569">
        <f>HLOOKUP("CPUs",'vInfo (Imported)'!$1:$5000,M3569,FALSE)</f>
        <v>0</v>
      </c>
      <c r="S3569">
        <f>HLOOKUP("Memory",'vInfo (Imported)'!$1:$5000,M3569,FALSE)</f>
        <v>0</v>
      </c>
      <c r="T3569">
        <f>HLOOKUP("Provisioned MiB",'vInfo (Imported)'!$1:$5000,M3569,FALSE)</f>
        <v>0</v>
      </c>
      <c r="U3569">
        <f t="shared" si="166"/>
        <v>0</v>
      </c>
      <c r="V3569">
        <f>HLOOKUP("In Use MiB",'vInfo (Imported)'!$1:$5000,M3569,FALSE)</f>
        <v>0</v>
      </c>
    </row>
    <row r="3570" spans="1:22" ht="13" x14ac:dyDescent="0.3">
      <c r="A3570" s="46">
        <f>'vHosts (Imported)'!A3570</f>
        <v>0</v>
      </c>
      <c r="B3570" s="51">
        <f t="shared" si="168"/>
        <v>4968</v>
      </c>
      <c r="C3570" s="49">
        <f>HLOOKUP("# Cores",'vHosts (Imported)'!$1:$5000,M3570,FALSE)</f>
        <v>0</v>
      </c>
      <c r="D3570" s="52">
        <f>HLOOKUP("# Memory",'vHosts (Imported)'!$1:$5000,M3570,FALSE)</f>
        <v>0</v>
      </c>
      <c r="M3570" s="45">
        <f t="shared" si="167"/>
        <v>3570</v>
      </c>
      <c r="N3570" s="38">
        <f>HLOOKUP("Host",'vInfo (Imported)'!$1:$5000,M3570,FALSE)</f>
        <v>0</v>
      </c>
      <c r="R3570">
        <f>HLOOKUP("CPUs",'vInfo (Imported)'!$1:$5000,M3570,FALSE)</f>
        <v>0</v>
      </c>
      <c r="S3570">
        <f>HLOOKUP("Memory",'vInfo (Imported)'!$1:$5000,M3570,FALSE)</f>
        <v>0</v>
      </c>
      <c r="T3570">
        <f>HLOOKUP("Provisioned MiB",'vInfo (Imported)'!$1:$5000,M3570,FALSE)</f>
        <v>0</v>
      </c>
      <c r="U3570">
        <f t="shared" si="166"/>
        <v>0</v>
      </c>
      <c r="V3570">
        <f>HLOOKUP("In Use MiB",'vInfo (Imported)'!$1:$5000,M3570,FALSE)</f>
        <v>0</v>
      </c>
    </row>
    <row r="3571" spans="1:22" ht="13" x14ac:dyDescent="0.3">
      <c r="A3571" s="46">
        <f>'vHosts (Imported)'!A3571</f>
        <v>0</v>
      </c>
      <c r="B3571" s="51">
        <f t="shared" si="168"/>
        <v>4968</v>
      </c>
      <c r="C3571" s="49">
        <f>HLOOKUP("# Cores",'vHosts (Imported)'!$1:$5000,M3571,FALSE)</f>
        <v>0</v>
      </c>
      <c r="D3571" s="52">
        <f>HLOOKUP("# Memory",'vHosts (Imported)'!$1:$5000,M3571,FALSE)</f>
        <v>0</v>
      </c>
      <c r="M3571" s="45">
        <f t="shared" si="167"/>
        <v>3571</v>
      </c>
      <c r="N3571" s="38">
        <f>HLOOKUP("Host",'vInfo (Imported)'!$1:$5000,M3571,FALSE)</f>
        <v>0</v>
      </c>
      <c r="R3571">
        <f>HLOOKUP("CPUs",'vInfo (Imported)'!$1:$5000,M3571,FALSE)</f>
        <v>0</v>
      </c>
      <c r="S3571">
        <f>HLOOKUP("Memory",'vInfo (Imported)'!$1:$5000,M3571,FALSE)</f>
        <v>0</v>
      </c>
      <c r="T3571">
        <f>HLOOKUP("Provisioned MiB",'vInfo (Imported)'!$1:$5000,M3571,FALSE)</f>
        <v>0</v>
      </c>
      <c r="U3571">
        <f t="shared" si="166"/>
        <v>0</v>
      </c>
      <c r="V3571">
        <f>HLOOKUP("In Use MiB",'vInfo (Imported)'!$1:$5000,M3571,FALSE)</f>
        <v>0</v>
      </c>
    </row>
    <row r="3572" spans="1:22" ht="13" x14ac:dyDescent="0.3">
      <c r="A3572" s="46">
        <f>'vHosts (Imported)'!A3572</f>
        <v>0</v>
      </c>
      <c r="B3572" s="51">
        <f t="shared" si="168"/>
        <v>4968</v>
      </c>
      <c r="C3572" s="49">
        <f>HLOOKUP("# Cores",'vHosts (Imported)'!$1:$5000,M3572,FALSE)</f>
        <v>0</v>
      </c>
      <c r="D3572" s="52">
        <f>HLOOKUP("# Memory",'vHosts (Imported)'!$1:$5000,M3572,FALSE)</f>
        <v>0</v>
      </c>
      <c r="M3572" s="45">
        <f t="shared" si="167"/>
        <v>3572</v>
      </c>
      <c r="N3572" s="38">
        <f>HLOOKUP("Host",'vInfo (Imported)'!$1:$5000,M3572,FALSE)</f>
        <v>0</v>
      </c>
      <c r="R3572">
        <f>HLOOKUP("CPUs",'vInfo (Imported)'!$1:$5000,M3572,FALSE)</f>
        <v>0</v>
      </c>
      <c r="S3572">
        <f>HLOOKUP("Memory",'vInfo (Imported)'!$1:$5000,M3572,FALSE)</f>
        <v>0</v>
      </c>
      <c r="T3572">
        <f>HLOOKUP("Provisioned MiB",'vInfo (Imported)'!$1:$5000,M3572,FALSE)</f>
        <v>0</v>
      </c>
      <c r="U3572">
        <f t="shared" si="166"/>
        <v>0</v>
      </c>
      <c r="V3572">
        <f>HLOOKUP("In Use MiB",'vInfo (Imported)'!$1:$5000,M3572,FALSE)</f>
        <v>0</v>
      </c>
    </row>
    <row r="3573" spans="1:22" ht="13" x14ac:dyDescent="0.3">
      <c r="A3573" s="46">
        <f>'vHosts (Imported)'!A3573</f>
        <v>0</v>
      </c>
      <c r="B3573" s="51">
        <f t="shared" si="168"/>
        <v>4968</v>
      </c>
      <c r="C3573" s="49">
        <f>HLOOKUP("# Cores",'vHosts (Imported)'!$1:$5000,M3573,FALSE)</f>
        <v>0</v>
      </c>
      <c r="D3573" s="52">
        <f>HLOOKUP("# Memory",'vHosts (Imported)'!$1:$5000,M3573,FALSE)</f>
        <v>0</v>
      </c>
      <c r="M3573" s="45">
        <f t="shared" si="167"/>
        <v>3573</v>
      </c>
      <c r="N3573" s="38">
        <f>HLOOKUP("Host",'vInfo (Imported)'!$1:$5000,M3573,FALSE)</f>
        <v>0</v>
      </c>
      <c r="R3573">
        <f>HLOOKUP("CPUs",'vInfo (Imported)'!$1:$5000,M3573,FALSE)</f>
        <v>0</v>
      </c>
      <c r="S3573">
        <f>HLOOKUP("Memory",'vInfo (Imported)'!$1:$5000,M3573,FALSE)</f>
        <v>0</v>
      </c>
      <c r="T3573">
        <f>HLOOKUP("Provisioned MiB",'vInfo (Imported)'!$1:$5000,M3573,FALSE)</f>
        <v>0</v>
      </c>
      <c r="U3573">
        <f t="shared" si="166"/>
        <v>0</v>
      </c>
      <c r="V3573">
        <f>HLOOKUP("In Use MiB",'vInfo (Imported)'!$1:$5000,M3573,FALSE)</f>
        <v>0</v>
      </c>
    </row>
    <row r="3574" spans="1:22" ht="13" x14ac:dyDescent="0.3">
      <c r="A3574" s="46">
        <f>'vHosts (Imported)'!A3574</f>
        <v>0</v>
      </c>
      <c r="B3574" s="51">
        <f t="shared" si="168"/>
        <v>4968</v>
      </c>
      <c r="C3574" s="49">
        <f>HLOOKUP("# Cores",'vHosts (Imported)'!$1:$5000,M3574,FALSE)</f>
        <v>0</v>
      </c>
      <c r="D3574" s="52">
        <f>HLOOKUP("# Memory",'vHosts (Imported)'!$1:$5000,M3574,FALSE)</f>
        <v>0</v>
      </c>
      <c r="M3574" s="45">
        <f t="shared" si="167"/>
        <v>3574</v>
      </c>
      <c r="N3574" s="38">
        <f>HLOOKUP("Host",'vInfo (Imported)'!$1:$5000,M3574,FALSE)</f>
        <v>0</v>
      </c>
      <c r="R3574">
        <f>HLOOKUP("CPUs",'vInfo (Imported)'!$1:$5000,M3574,FALSE)</f>
        <v>0</v>
      </c>
      <c r="S3574">
        <f>HLOOKUP("Memory",'vInfo (Imported)'!$1:$5000,M3574,FALSE)</f>
        <v>0</v>
      </c>
      <c r="T3574">
        <f>HLOOKUP("Provisioned MiB",'vInfo (Imported)'!$1:$5000,M3574,FALSE)</f>
        <v>0</v>
      </c>
      <c r="U3574">
        <f t="shared" si="166"/>
        <v>0</v>
      </c>
      <c r="V3574">
        <f>HLOOKUP("In Use MiB",'vInfo (Imported)'!$1:$5000,M3574,FALSE)</f>
        <v>0</v>
      </c>
    </row>
    <row r="3575" spans="1:22" ht="13" x14ac:dyDescent="0.3">
      <c r="A3575" s="46">
        <f>'vHosts (Imported)'!A3575</f>
        <v>0</v>
      </c>
      <c r="B3575" s="51">
        <f t="shared" si="168"/>
        <v>4968</v>
      </c>
      <c r="C3575" s="49">
        <f>HLOOKUP("# Cores",'vHosts (Imported)'!$1:$5000,M3575,FALSE)</f>
        <v>0</v>
      </c>
      <c r="D3575" s="52">
        <f>HLOOKUP("# Memory",'vHosts (Imported)'!$1:$5000,M3575,FALSE)</f>
        <v>0</v>
      </c>
      <c r="M3575" s="45">
        <f t="shared" si="167"/>
        <v>3575</v>
      </c>
      <c r="N3575" s="38">
        <f>HLOOKUP("Host",'vInfo (Imported)'!$1:$5000,M3575,FALSE)</f>
        <v>0</v>
      </c>
      <c r="R3575">
        <f>HLOOKUP("CPUs",'vInfo (Imported)'!$1:$5000,M3575,FALSE)</f>
        <v>0</v>
      </c>
      <c r="S3575">
        <f>HLOOKUP("Memory",'vInfo (Imported)'!$1:$5000,M3575,FALSE)</f>
        <v>0</v>
      </c>
      <c r="T3575">
        <f>HLOOKUP("Provisioned MiB",'vInfo (Imported)'!$1:$5000,M3575,FALSE)</f>
        <v>0</v>
      </c>
      <c r="U3575">
        <f t="shared" si="166"/>
        <v>0</v>
      </c>
      <c r="V3575">
        <f>HLOOKUP("In Use MiB",'vInfo (Imported)'!$1:$5000,M3575,FALSE)</f>
        <v>0</v>
      </c>
    </row>
    <row r="3576" spans="1:22" ht="13" x14ac:dyDescent="0.3">
      <c r="A3576" s="46">
        <f>'vHosts (Imported)'!A3576</f>
        <v>0</v>
      </c>
      <c r="B3576" s="51">
        <f t="shared" si="168"/>
        <v>4968</v>
      </c>
      <c r="C3576" s="49">
        <f>HLOOKUP("# Cores",'vHosts (Imported)'!$1:$5000,M3576,FALSE)</f>
        <v>0</v>
      </c>
      <c r="D3576" s="52">
        <f>HLOOKUP("# Memory",'vHosts (Imported)'!$1:$5000,M3576,FALSE)</f>
        <v>0</v>
      </c>
      <c r="M3576" s="45">
        <f t="shared" si="167"/>
        <v>3576</v>
      </c>
      <c r="N3576" s="38">
        <f>HLOOKUP("Host",'vInfo (Imported)'!$1:$5000,M3576,FALSE)</f>
        <v>0</v>
      </c>
      <c r="R3576">
        <f>HLOOKUP("CPUs",'vInfo (Imported)'!$1:$5000,M3576,FALSE)</f>
        <v>0</v>
      </c>
      <c r="S3576">
        <f>HLOOKUP("Memory",'vInfo (Imported)'!$1:$5000,M3576,FALSE)</f>
        <v>0</v>
      </c>
      <c r="T3576">
        <f>HLOOKUP("Provisioned MiB",'vInfo (Imported)'!$1:$5000,M3576,FALSE)</f>
        <v>0</v>
      </c>
      <c r="U3576">
        <f t="shared" si="166"/>
        <v>0</v>
      </c>
      <c r="V3576">
        <f>HLOOKUP("In Use MiB",'vInfo (Imported)'!$1:$5000,M3576,FALSE)</f>
        <v>0</v>
      </c>
    </row>
    <row r="3577" spans="1:22" ht="13" x14ac:dyDescent="0.3">
      <c r="A3577" s="46">
        <f>'vHosts (Imported)'!A3577</f>
        <v>0</v>
      </c>
      <c r="B3577" s="51">
        <f t="shared" si="168"/>
        <v>4968</v>
      </c>
      <c r="C3577" s="49">
        <f>HLOOKUP("# Cores",'vHosts (Imported)'!$1:$5000,M3577,FALSE)</f>
        <v>0</v>
      </c>
      <c r="D3577" s="52">
        <f>HLOOKUP("# Memory",'vHosts (Imported)'!$1:$5000,M3577,FALSE)</f>
        <v>0</v>
      </c>
      <c r="M3577" s="45">
        <f t="shared" si="167"/>
        <v>3577</v>
      </c>
      <c r="N3577" s="38">
        <f>HLOOKUP("Host",'vInfo (Imported)'!$1:$5000,M3577,FALSE)</f>
        <v>0</v>
      </c>
      <c r="R3577">
        <f>HLOOKUP("CPUs",'vInfo (Imported)'!$1:$5000,M3577,FALSE)</f>
        <v>0</v>
      </c>
      <c r="S3577">
        <f>HLOOKUP("Memory",'vInfo (Imported)'!$1:$5000,M3577,FALSE)</f>
        <v>0</v>
      </c>
      <c r="T3577">
        <f>HLOOKUP("Provisioned MiB",'vInfo (Imported)'!$1:$5000,M3577,FALSE)</f>
        <v>0</v>
      </c>
      <c r="U3577">
        <f t="shared" si="166"/>
        <v>0</v>
      </c>
      <c r="V3577">
        <f>HLOOKUP("In Use MiB",'vInfo (Imported)'!$1:$5000,M3577,FALSE)</f>
        <v>0</v>
      </c>
    </row>
    <row r="3578" spans="1:22" ht="13" x14ac:dyDescent="0.3">
      <c r="A3578" s="46">
        <f>'vHosts (Imported)'!A3578</f>
        <v>0</v>
      </c>
      <c r="B3578" s="51">
        <f t="shared" si="168"/>
        <v>4968</v>
      </c>
      <c r="C3578" s="49">
        <f>HLOOKUP("# Cores",'vHosts (Imported)'!$1:$5000,M3578,FALSE)</f>
        <v>0</v>
      </c>
      <c r="D3578" s="52">
        <f>HLOOKUP("# Memory",'vHosts (Imported)'!$1:$5000,M3578,FALSE)</f>
        <v>0</v>
      </c>
      <c r="M3578" s="45">
        <f t="shared" si="167"/>
        <v>3578</v>
      </c>
      <c r="N3578" s="38">
        <f>HLOOKUP("Host",'vInfo (Imported)'!$1:$5000,M3578,FALSE)</f>
        <v>0</v>
      </c>
      <c r="R3578">
        <f>HLOOKUP("CPUs",'vInfo (Imported)'!$1:$5000,M3578,FALSE)</f>
        <v>0</v>
      </c>
      <c r="S3578">
        <f>HLOOKUP("Memory",'vInfo (Imported)'!$1:$5000,M3578,FALSE)</f>
        <v>0</v>
      </c>
      <c r="T3578">
        <f>HLOOKUP("Provisioned MiB",'vInfo (Imported)'!$1:$5000,M3578,FALSE)</f>
        <v>0</v>
      </c>
      <c r="U3578">
        <f t="shared" si="166"/>
        <v>0</v>
      </c>
      <c r="V3578">
        <f>HLOOKUP("In Use MiB",'vInfo (Imported)'!$1:$5000,M3578,FALSE)</f>
        <v>0</v>
      </c>
    </row>
    <row r="3579" spans="1:22" ht="13" x14ac:dyDescent="0.3">
      <c r="A3579" s="46">
        <f>'vHosts (Imported)'!A3579</f>
        <v>0</v>
      </c>
      <c r="B3579" s="51">
        <f t="shared" si="168"/>
        <v>4968</v>
      </c>
      <c r="C3579" s="49">
        <f>HLOOKUP("# Cores",'vHosts (Imported)'!$1:$5000,M3579,FALSE)</f>
        <v>0</v>
      </c>
      <c r="D3579" s="52">
        <f>HLOOKUP("# Memory",'vHosts (Imported)'!$1:$5000,M3579,FALSE)</f>
        <v>0</v>
      </c>
      <c r="M3579" s="45">
        <f t="shared" si="167"/>
        <v>3579</v>
      </c>
      <c r="N3579" s="38">
        <f>HLOOKUP("Host",'vInfo (Imported)'!$1:$5000,M3579,FALSE)</f>
        <v>0</v>
      </c>
      <c r="R3579">
        <f>HLOOKUP("CPUs",'vInfo (Imported)'!$1:$5000,M3579,FALSE)</f>
        <v>0</v>
      </c>
      <c r="S3579">
        <f>HLOOKUP("Memory",'vInfo (Imported)'!$1:$5000,M3579,FALSE)</f>
        <v>0</v>
      </c>
      <c r="T3579">
        <f>HLOOKUP("Provisioned MiB",'vInfo (Imported)'!$1:$5000,M3579,FALSE)</f>
        <v>0</v>
      </c>
      <c r="U3579">
        <f t="shared" si="166"/>
        <v>0</v>
      </c>
      <c r="V3579">
        <f>HLOOKUP("In Use MiB",'vInfo (Imported)'!$1:$5000,M3579,FALSE)</f>
        <v>0</v>
      </c>
    </row>
    <row r="3580" spans="1:22" ht="13" x14ac:dyDescent="0.3">
      <c r="A3580" s="46">
        <f>'vHosts (Imported)'!A3580</f>
        <v>0</v>
      </c>
      <c r="B3580" s="51">
        <f t="shared" si="168"/>
        <v>4968</v>
      </c>
      <c r="C3580" s="49">
        <f>HLOOKUP("# Cores",'vHosts (Imported)'!$1:$5000,M3580,FALSE)</f>
        <v>0</v>
      </c>
      <c r="D3580" s="52">
        <f>HLOOKUP("# Memory",'vHosts (Imported)'!$1:$5000,M3580,FALSE)</f>
        <v>0</v>
      </c>
      <c r="M3580" s="45">
        <f t="shared" si="167"/>
        <v>3580</v>
      </c>
      <c r="N3580" s="38">
        <f>HLOOKUP("Host",'vInfo (Imported)'!$1:$5000,M3580,FALSE)</f>
        <v>0</v>
      </c>
      <c r="R3580">
        <f>HLOOKUP("CPUs",'vInfo (Imported)'!$1:$5000,M3580,FALSE)</f>
        <v>0</v>
      </c>
      <c r="S3580">
        <f>HLOOKUP("Memory",'vInfo (Imported)'!$1:$5000,M3580,FALSE)</f>
        <v>0</v>
      </c>
      <c r="T3580">
        <f>HLOOKUP("Provisioned MiB",'vInfo (Imported)'!$1:$5000,M3580,FALSE)</f>
        <v>0</v>
      </c>
      <c r="U3580">
        <f t="shared" si="166"/>
        <v>0</v>
      </c>
      <c r="V3580">
        <f>HLOOKUP("In Use MiB",'vInfo (Imported)'!$1:$5000,M3580,FALSE)</f>
        <v>0</v>
      </c>
    </row>
    <row r="3581" spans="1:22" ht="13" x14ac:dyDescent="0.3">
      <c r="A3581" s="46">
        <f>'vHosts (Imported)'!A3581</f>
        <v>0</v>
      </c>
      <c r="B3581" s="51">
        <f t="shared" si="168"/>
        <v>4968</v>
      </c>
      <c r="C3581" s="49">
        <f>HLOOKUP("# Cores",'vHosts (Imported)'!$1:$5000,M3581,FALSE)</f>
        <v>0</v>
      </c>
      <c r="D3581" s="52">
        <f>HLOOKUP("# Memory",'vHosts (Imported)'!$1:$5000,M3581,FALSE)</f>
        <v>0</v>
      </c>
      <c r="M3581" s="45">
        <f t="shared" si="167"/>
        <v>3581</v>
      </c>
      <c r="N3581" s="38">
        <f>HLOOKUP("Host",'vInfo (Imported)'!$1:$5000,M3581,FALSE)</f>
        <v>0</v>
      </c>
      <c r="R3581">
        <f>HLOOKUP("CPUs",'vInfo (Imported)'!$1:$5000,M3581,FALSE)</f>
        <v>0</v>
      </c>
      <c r="S3581">
        <f>HLOOKUP("Memory",'vInfo (Imported)'!$1:$5000,M3581,FALSE)</f>
        <v>0</v>
      </c>
      <c r="T3581">
        <f>HLOOKUP("Provisioned MiB",'vInfo (Imported)'!$1:$5000,M3581,FALSE)</f>
        <v>0</v>
      </c>
      <c r="U3581">
        <f t="shared" si="166"/>
        <v>0</v>
      </c>
      <c r="V3581">
        <f>HLOOKUP("In Use MiB",'vInfo (Imported)'!$1:$5000,M3581,FALSE)</f>
        <v>0</v>
      </c>
    </row>
    <row r="3582" spans="1:22" ht="13" x14ac:dyDescent="0.3">
      <c r="A3582" s="46">
        <f>'vHosts (Imported)'!A3582</f>
        <v>0</v>
      </c>
      <c r="B3582" s="51">
        <f t="shared" si="168"/>
        <v>4968</v>
      </c>
      <c r="C3582" s="49">
        <f>HLOOKUP("# Cores",'vHosts (Imported)'!$1:$5000,M3582,FALSE)</f>
        <v>0</v>
      </c>
      <c r="D3582" s="52">
        <f>HLOOKUP("# Memory",'vHosts (Imported)'!$1:$5000,M3582,FALSE)</f>
        <v>0</v>
      </c>
      <c r="M3582" s="45">
        <f t="shared" si="167"/>
        <v>3582</v>
      </c>
      <c r="N3582" s="38">
        <f>HLOOKUP("Host",'vInfo (Imported)'!$1:$5000,M3582,FALSE)</f>
        <v>0</v>
      </c>
      <c r="R3582">
        <f>HLOOKUP("CPUs",'vInfo (Imported)'!$1:$5000,M3582,FALSE)</f>
        <v>0</v>
      </c>
      <c r="S3582">
        <f>HLOOKUP("Memory",'vInfo (Imported)'!$1:$5000,M3582,FALSE)</f>
        <v>0</v>
      </c>
      <c r="T3582">
        <f>HLOOKUP("Provisioned MiB",'vInfo (Imported)'!$1:$5000,M3582,FALSE)</f>
        <v>0</v>
      </c>
      <c r="U3582">
        <f t="shared" si="166"/>
        <v>0</v>
      </c>
      <c r="V3582">
        <f>HLOOKUP("In Use MiB",'vInfo (Imported)'!$1:$5000,M3582,FALSE)</f>
        <v>0</v>
      </c>
    </row>
    <row r="3583" spans="1:22" ht="13" x14ac:dyDescent="0.3">
      <c r="A3583" s="46">
        <f>'vHosts (Imported)'!A3583</f>
        <v>0</v>
      </c>
      <c r="B3583" s="51">
        <f t="shared" si="168"/>
        <v>4968</v>
      </c>
      <c r="C3583" s="49">
        <f>HLOOKUP("# Cores",'vHosts (Imported)'!$1:$5000,M3583,FALSE)</f>
        <v>0</v>
      </c>
      <c r="D3583" s="52">
        <f>HLOOKUP("# Memory",'vHosts (Imported)'!$1:$5000,M3583,FALSE)</f>
        <v>0</v>
      </c>
      <c r="M3583" s="45">
        <f t="shared" si="167"/>
        <v>3583</v>
      </c>
      <c r="N3583" s="38">
        <f>HLOOKUP("Host",'vInfo (Imported)'!$1:$5000,M3583,FALSE)</f>
        <v>0</v>
      </c>
      <c r="R3583">
        <f>HLOOKUP("CPUs",'vInfo (Imported)'!$1:$5000,M3583,FALSE)</f>
        <v>0</v>
      </c>
      <c r="S3583">
        <f>HLOOKUP("Memory",'vInfo (Imported)'!$1:$5000,M3583,FALSE)</f>
        <v>0</v>
      </c>
      <c r="T3583">
        <f>HLOOKUP("Provisioned MiB",'vInfo (Imported)'!$1:$5000,M3583,FALSE)</f>
        <v>0</v>
      </c>
      <c r="U3583">
        <f t="shared" si="166"/>
        <v>0</v>
      </c>
      <c r="V3583">
        <f>HLOOKUP("In Use MiB",'vInfo (Imported)'!$1:$5000,M3583,FALSE)</f>
        <v>0</v>
      </c>
    </row>
    <row r="3584" spans="1:22" ht="13" x14ac:dyDescent="0.3">
      <c r="A3584" s="46">
        <f>'vHosts (Imported)'!A3584</f>
        <v>0</v>
      </c>
      <c r="B3584" s="51">
        <f t="shared" si="168"/>
        <v>4968</v>
      </c>
      <c r="C3584" s="49">
        <f>HLOOKUP("# Cores",'vHosts (Imported)'!$1:$5000,M3584,FALSE)</f>
        <v>0</v>
      </c>
      <c r="D3584" s="52">
        <f>HLOOKUP("# Memory",'vHosts (Imported)'!$1:$5000,M3584,FALSE)</f>
        <v>0</v>
      </c>
      <c r="M3584" s="45">
        <f t="shared" si="167"/>
        <v>3584</v>
      </c>
      <c r="N3584" s="38">
        <f>HLOOKUP("Host",'vInfo (Imported)'!$1:$5000,M3584,FALSE)</f>
        <v>0</v>
      </c>
      <c r="R3584">
        <f>HLOOKUP("CPUs",'vInfo (Imported)'!$1:$5000,M3584,FALSE)</f>
        <v>0</v>
      </c>
      <c r="S3584">
        <f>HLOOKUP("Memory",'vInfo (Imported)'!$1:$5000,M3584,FALSE)</f>
        <v>0</v>
      </c>
      <c r="T3584">
        <f>HLOOKUP("Provisioned MiB",'vInfo (Imported)'!$1:$5000,M3584,FALSE)</f>
        <v>0</v>
      </c>
      <c r="U3584">
        <f t="shared" si="166"/>
        <v>0</v>
      </c>
      <c r="V3584">
        <f>HLOOKUP("In Use MiB",'vInfo (Imported)'!$1:$5000,M3584,FALSE)</f>
        <v>0</v>
      </c>
    </row>
    <row r="3585" spans="1:22" ht="13" x14ac:dyDescent="0.3">
      <c r="A3585" s="46">
        <f>'vHosts (Imported)'!A3585</f>
        <v>0</v>
      </c>
      <c r="B3585" s="51">
        <f t="shared" si="168"/>
        <v>4968</v>
      </c>
      <c r="C3585" s="49">
        <f>HLOOKUP("# Cores",'vHosts (Imported)'!$1:$5000,M3585,FALSE)</f>
        <v>0</v>
      </c>
      <c r="D3585" s="52">
        <f>HLOOKUP("# Memory",'vHosts (Imported)'!$1:$5000,M3585,FALSE)</f>
        <v>0</v>
      </c>
      <c r="M3585" s="45">
        <f t="shared" si="167"/>
        <v>3585</v>
      </c>
      <c r="N3585" s="38">
        <f>HLOOKUP("Host",'vInfo (Imported)'!$1:$5000,M3585,FALSE)</f>
        <v>0</v>
      </c>
      <c r="R3585">
        <f>HLOOKUP("CPUs",'vInfo (Imported)'!$1:$5000,M3585,FALSE)</f>
        <v>0</v>
      </c>
      <c r="S3585">
        <f>HLOOKUP("Memory",'vInfo (Imported)'!$1:$5000,M3585,FALSE)</f>
        <v>0</v>
      </c>
      <c r="T3585">
        <f>HLOOKUP("Provisioned MiB",'vInfo (Imported)'!$1:$5000,M3585,FALSE)</f>
        <v>0</v>
      </c>
      <c r="U3585">
        <f t="shared" si="166"/>
        <v>0</v>
      </c>
      <c r="V3585">
        <f>HLOOKUP("In Use MiB",'vInfo (Imported)'!$1:$5000,M3585,FALSE)</f>
        <v>0</v>
      </c>
    </row>
    <row r="3586" spans="1:22" ht="13" x14ac:dyDescent="0.3">
      <c r="A3586" s="46">
        <f>'vHosts (Imported)'!A3586</f>
        <v>0</v>
      </c>
      <c r="B3586" s="51">
        <f t="shared" si="168"/>
        <v>4968</v>
      </c>
      <c r="C3586" s="49">
        <f>HLOOKUP("# Cores",'vHosts (Imported)'!$1:$5000,M3586,FALSE)</f>
        <v>0</v>
      </c>
      <c r="D3586" s="52">
        <f>HLOOKUP("# Memory",'vHosts (Imported)'!$1:$5000,M3586,FALSE)</f>
        <v>0</v>
      </c>
      <c r="M3586" s="45">
        <f t="shared" si="167"/>
        <v>3586</v>
      </c>
      <c r="N3586" s="38">
        <f>HLOOKUP("Host",'vInfo (Imported)'!$1:$5000,M3586,FALSE)</f>
        <v>0</v>
      </c>
      <c r="R3586">
        <f>HLOOKUP("CPUs",'vInfo (Imported)'!$1:$5000,M3586,FALSE)</f>
        <v>0</v>
      </c>
      <c r="S3586">
        <f>HLOOKUP("Memory",'vInfo (Imported)'!$1:$5000,M3586,FALSE)</f>
        <v>0</v>
      </c>
      <c r="T3586">
        <f>HLOOKUP("Provisioned MiB",'vInfo (Imported)'!$1:$5000,M3586,FALSE)</f>
        <v>0</v>
      </c>
      <c r="U3586">
        <f t="shared" si="166"/>
        <v>0</v>
      </c>
      <c r="V3586">
        <f>HLOOKUP("In Use MiB",'vInfo (Imported)'!$1:$5000,M3586,FALSE)</f>
        <v>0</v>
      </c>
    </row>
    <row r="3587" spans="1:22" ht="13" x14ac:dyDescent="0.3">
      <c r="A3587" s="46">
        <f>'vHosts (Imported)'!A3587</f>
        <v>0</v>
      </c>
      <c r="B3587" s="51">
        <f t="shared" si="168"/>
        <v>4968</v>
      </c>
      <c r="C3587" s="49">
        <f>HLOOKUP("# Cores",'vHosts (Imported)'!$1:$5000,M3587,FALSE)</f>
        <v>0</v>
      </c>
      <c r="D3587" s="52">
        <f>HLOOKUP("# Memory",'vHosts (Imported)'!$1:$5000,M3587,FALSE)</f>
        <v>0</v>
      </c>
      <c r="M3587" s="45">
        <f t="shared" si="167"/>
        <v>3587</v>
      </c>
      <c r="N3587" s="38">
        <f>HLOOKUP("Host",'vInfo (Imported)'!$1:$5000,M3587,FALSE)</f>
        <v>0</v>
      </c>
      <c r="R3587">
        <f>HLOOKUP("CPUs",'vInfo (Imported)'!$1:$5000,M3587,FALSE)</f>
        <v>0</v>
      </c>
      <c r="S3587">
        <f>HLOOKUP("Memory",'vInfo (Imported)'!$1:$5000,M3587,FALSE)</f>
        <v>0</v>
      </c>
      <c r="T3587">
        <f>HLOOKUP("Provisioned MiB",'vInfo (Imported)'!$1:$5000,M3587,FALSE)</f>
        <v>0</v>
      </c>
      <c r="U3587">
        <f t="shared" ref="U3587:U3650" si="169">T3587-V3587</f>
        <v>0</v>
      </c>
      <c r="V3587">
        <f>HLOOKUP("In Use MiB",'vInfo (Imported)'!$1:$5000,M3587,FALSE)</f>
        <v>0</v>
      </c>
    </row>
    <row r="3588" spans="1:22" ht="13" x14ac:dyDescent="0.3">
      <c r="A3588" s="46">
        <f>'vHosts (Imported)'!A3588</f>
        <v>0</v>
      </c>
      <c r="B3588" s="51">
        <f t="shared" si="168"/>
        <v>4968</v>
      </c>
      <c r="C3588" s="49">
        <f>HLOOKUP("# Cores",'vHosts (Imported)'!$1:$5000,M3588,FALSE)</f>
        <v>0</v>
      </c>
      <c r="D3588" s="52">
        <f>HLOOKUP("# Memory",'vHosts (Imported)'!$1:$5000,M3588,FALSE)</f>
        <v>0</v>
      </c>
      <c r="M3588" s="45">
        <f t="shared" ref="M3588:M3651" si="170">M3587+1</f>
        <v>3588</v>
      </c>
      <c r="N3588" s="38">
        <f>HLOOKUP("Host",'vInfo (Imported)'!$1:$5000,M3588,FALSE)</f>
        <v>0</v>
      </c>
      <c r="R3588">
        <f>HLOOKUP("CPUs",'vInfo (Imported)'!$1:$5000,M3588,FALSE)</f>
        <v>0</v>
      </c>
      <c r="S3588">
        <f>HLOOKUP("Memory",'vInfo (Imported)'!$1:$5000,M3588,FALSE)</f>
        <v>0</v>
      </c>
      <c r="T3588">
        <f>HLOOKUP("Provisioned MiB",'vInfo (Imported)'!$1:$5000,M3588,FALSE)</f>
        <v>0</v>
      </c>
      <c r="U3588">
        <f t="shared" si="169"/>
        <v>0</v>
      </c>
      <c r="V3588">
        <f>HLOOKUP("In Use MiB",'vInfo (Imported)'!$1:$5000,M3588,FALSE)</f>
        <v>0</v>
      </c>
    </row>
    <row r="3589" spans="1:22" ht="13" x14ac:dyDescent="0.3">
      <c r="A3589" s="46">
        <f>'vHosts (Imported)'!A3589</f>
        <v>0</v>
      </c>
      <c r="B3589" s="51">
        <f t="shared" si="168"/>
        <v>4968</v>
      </c>
      <c r="C3589" s="49">
        <f>HLOOKUP("# Cores",'vHosts (Imported)'!$1:$5000,M3589,FALSE)</f>
        <v>0</v>
      </c>
      <c r="D3589" s="52">
        <f>HLOOKUP("# Memory",'vHosts (Imported)'!$1:$5000,M3589,FALSE)</f>
        <v>0</v>
      </c>
      <c r="M3589" s="45">
        <f t="shared" si="170"/>
        <v>3589</v>
      </c>
      <c r="N3589" s="38">
        <f>HLOOKUP("Host",'vInfo (Imported)'!$1:$5000,M3589,FALSE)</f>
        <v>0</v>
      </c>
      <c r="R3589">
        <f>HLOOKUP("CPUs",'vInfo (Imported)'!$1:$5000,M3589,FALSE)</f>
        <v>0</v>
      </c>
      <c r="S3589">
        <f>HLOOKUP("Memory",'vInfo (Imported)'!$1:$5000,M3589,FALSE)</f>
        <v>0</v>
      </c>
      <c r="T3589">
        <f>HLOOKUP("Provisioned MiB",'vInfo (Imported)'!$1:$5000,M3589,FALSE)</f>
        <v>0</v>
      </c>
      <c r="U3589">
        <f t="shared" si="169"/>
        <v>0</v>
      </c>
      <c r="V3589">
        <f>HLOOKUP("In Use MiB",'vInfo (Imported)'!$1:$5000,M3589,FALSE)</f>
        <v>0</v>
      </c>
    </row>
    <row r="3590" spans="1:22" ht="13" x14ac:dyDescent="0.3">
      <c r="A3590" s="46">
        <f>'vHosts (Imported)'!A3590</f>
        <v>0</v>
      </c>
      <c r="B3590" s="51">
        <f t="shared" si="168"/>
        <v>4968</v>
      </c>
      <c r="C3590" s="49">
        <f>HLOOKUP("# Cores",'vHosts (Imported)'!$1:$5000,M3590,FALSE)</f>
        <v>0</v>
      </c>
      <c r="D3590" s="52">
        <f>HLOOKUP("# Memory",'vHosts (Imported)'!$1:$5000,M3590,FALSE)</f>
        <v>0</v>
      </c>
      <c r="M3590" s="45">
        <f t="shared" si="170"/>
        <v>3590</v>
      </c>
      <c r="N3590" s="38">
        <f>HLOOKUP("Host",'vInfo (Imported)'!$1:$5000,M3590,FALSE)</f>
        <v>0</v>
      </c>
      <c r="R3590">
        <f>HLOOKUP("CPUs",'vInfo (Imported)'!$1:$5000,M3590,FALSE)</f>
        <v>0</v>
      </c>
      <c r="S3590">
        <f>HLOOKUP("Memory",'vInfo (Imported)'!$1:$5000,M3590,FALSE)</f>
        <v>0</v>
      </c>
      <c r="T3590">
        <f>HLOOKUP("Provisioned MiB",'vInfo (Imported)'!$1:$5000,M3590,FALSE)</f>
        <v>0</v>
      </c>
      <c r="U3590">
        <f t="shared" si="169"/>
        <v>0</v>
      </c>
      <c r="V3590">
        <f>HLOOKUP("In Use MiB",'vInfo (Imported)'!$1:$5000,M3590,FALSE)</f>
        <v>0</v>
      </c>
    </row>
    <row r="3591" spans="1:22" ht="13" x14ac:dyDescent="0.3">
      <c r="A3591" s="46">
        <f>'vHosts (Imported)'!A3591</f>
        <v>0</v>
      </c>
      <c r="B3591" s="51">
        <f t="shared" si="168"/>
        <v>4968</v>
      </c>
      <c r="C3591" s="49">
        <f>HLOOKUP("# Cores",'vHosts (Imported)'!$1:$5000,M3591,FALSE)</f>
        <v>0</v>
      </c>
      <c r="D3591" s="52">
        <f>HLOOKUP("# Memory",'vHosts (Imported)'!$1:$5000,M3591,FALSE)</f>
        <v>0</v>
      </c>
      <c r="M3591" s="45">
        <f t="shared" si="170"/>
        <v>3591</v>
      </c>
      <c r="N3591" s="38">
        <f>HLOOKUP("Host",'vInfo (Imported)'!$1:$5000,M3591,FALSE)</f>
        <v>0</v>
      </c>
      <c r="R3591">
        <f>HLOOKUP("CPUs",'vInfo (Imported)'!$1:$5000,M3591,FALSE)</f>
        <v>0</v>
      </c>
      <c r="S3591">
        <f>HLOOKUP("Memory",'vInfo (Imported)'!$1:$5000,M3591,FALSE)</f>
        <v>0</v>
      </c>
      <c r="T3591">
        <f>HLOOKUP("Provisioned MiB",'vInfo (Imported)'!$1:$5000,M3591,FALSE)</f>
        <v>0</v>
      </c>
      <c r="U3591">
        <f t="shared" si="169"/>
        <v>0</v>
      </c>
      <c r="V3591">
        <f>HLOOKUP("In Use MiB",'vInfo (Imported)'!$1:$5000,M3591,FALSE)</f>
        <v>0</v>
      </c>
    </row>
    <row r="3592" spans="1:22" ht="13" x14ac:dyDescent="0.3">
      <c r="A3592" s="46">
        <f>'vHosts (Imported)'!A3592</f>
        <v>0</v>
      </c>
      <c r="B3592" s="51">
        <f t="shared" si="168"/>
        <v>4968</v>
      </c>
      <c r="C3592" s="49">
        <f>HLOOKUP("# Cores",'vHosts (Imported)'!$1:$5000,M3592,FALSE)</f>
        <v>0</v>
      </c>
      <c r="D3592" s="52">
        <f>HLOOKUP("# Memory",'vHosts (Imported)'!$1:$5000,M3592,FALSE)</f>
        <v>0</v>
      </c>
      <c r="M3592" s="45">
        <f t="shared" si="170"/>
        <v>3592</v>
      </c>
      <c r="N3592" s="38">
        <f>HLOOKUP("Host",'vInfo (Imported)'!$1:$5000,M3592,FALSE)</f>
        <v>0</v>
      </c>
      <c r="R3592">
        <f>HLOOKUP("CPUs",'vInfo (Imported)'!$1:$5000,M3592,FALSE)</f>
        <v>0</v>
      </c>
      <c r="S3592">
        <f>HLOOKUP("Memory",'vInfo (Imported)'!$1:$5000,M3592,FALSE)</f>
        <v>0</v>
      </c>
      <c r="T3592">
        <f>HLOOKUP("Provisioned MiB",'vInfo (Imported)'!$1:$5000,M3592,FALSE)</f>
        <v>0</v>
      </c>
      <c r="U3592">
        <f t="shared" si="169"/>
        <v>0</v>
      </c>
      <c r="V3592">
        <f>HLOOKUP("In Use MiB",'vInfo (Imported)'!$1:$5000,M3592,FALSE)</f>
        <v>0</v>
      </c>
    </row>
    <row r="3593" spans="1:22" ht="13" x14ac:dyDescent="0.3">
      <c r="A3593" s="46">
        <f>'vHosts (Imported)'!A3593</f>
        <v>0</v>
      </c>
      <c r="B3593" s="51">
        <f t="shared" si="168"/>
        <v>4968</v>
      </c>
      <c r="C3593" s="49">
        <f>HLOOKUP("# Cores",'vHosts (Imported)'!$1:$5000,M3593,FALSE)</f>
        <v>0</v>
      </c>
      <c r="D3593" s="52">
        <f>HLOOKUP("# Memory",'vHosts (Imported)'!$1:$5000,M3593,FALSE)</f>
        <v>0</v>
      </c>
      <c r="M3593" s="45">
        <f t="shared" si="170"/>
        <v>3593</v>
      </c>
      <c r="N3593" s="38">
        <f>HLOOKUP("Host",'vInfo (Imported)'!$1:$5000,M3593,FALSE)</f>
        <v>0</v>
      </c>
      <c r="R3593">
        <f>HLOOKUP("CPUs",'vInfo (Imported)'!$1:$5000,M3593,FALSE)</f>
        <v>0</v>
      </c>
      <c r="S3593">
        <f>HLOOKUP("Memory",'vInfo (Imported)'!$1:$5000,M3593,FALSE)</f>
        <v>0</v>
      </c>
      <c r="T3593">
        <f>HLOOKUP("Provisioned MiB",'vInfo (Imported)'!$1:$5000,M3593,FALSE)</f>
        <v>0</v>
      </c>
      <c r="U3593">
        <f t="shared" si="169"/>
        <v>0</v>
      </c>
      <c r="V3593">
        <f>HLOOKUP("In Use MiB",'vInfo (Imported)'!$1:$5000,M3593,FALSE)</f>
        <v>0</v>
      </c>
    </row>
    <row r="3594" spans="1:22" ht="13" x14ac:dyDescent="0.3">
      <c r="A3594" s="46">
        <f>'vHosts (Imported)'!A3594</f>
        <v>0</v>
      </c>
      <c r="B3594" s="51">
        <f t="shared" si="168"/>
        <v>4968</v>
      </c>
      <c r="C3594" s="49">
        <f>HLOOKUP("# Cores",'vHosts (Imported)'!$1:$5000,M3594,FALSE)</f>
        <v>0</v>
      </c>
      <c r="D3594" s="52">
        <f>HLOOKUP("# Memory",'vHosts (Imported)'!$1:$5000,M3594,FALSE)</f>
        <v>0</v>
      </c>
      <c r="M3594" s="45">
        <f t="shared" si="170"/>
        <v>3594</v>
      </c>
      <c r="N3594" s="38">
        <f>HLOOKUP("Host",'vInfo (Imported)'!$1:$5000,M3594,FALSE)</f>
        <v>0</v>
      </c>
      <c r="R3594">
        <f>HLOOKUP("CPUs",'vInfo (Imported)'!$1:$5000,M3594,FALSE)</f>
        <v>0</v>
      </c>
      <c r="S3594">
        <f>HLOOKUP("Memory",'vInfo (Imported)'!$1:$5000,M3594,FALSE)</f>
        <v>0</v>
      </c>
      <c r="T3594">
        <f>HLOOKUP("Provisioned MiB",'vInfo (Imported)'!$1:$5000,M3594,FALSE)</f>
        <v>0</v>
      </c>
      <c r="U3594">
        <f t="shared" si="169"/>
        <v>0</v>
      </c>
      <c r="V3594">
        <f>HLOOKUP("In Use MiB",'vInfo (Imported)'!$1:$5000,M3594,FALSE)</f>
        <v>0</v>
      </c>
    </row>
    <row r="3595" spans="1:22" ht="13" x14ac:dyDescent="0.3">
      <c r="A3595" s="46">
        <f>'vHosts (Imported)'!A3595</f>
        <v>0</v>
      </c>
      <c r="B3595" s="51">
        <f t="shared" si="168"/>
        <v>4968</v>
      </c>
      <c r="C3595" s="49">
        <f>HLOOKUP("# Cores",'vHosts (Imported)'!$1:$5000,M3595,FALSE)</f>
        <v>0</v>
      </c>
      <c r="D3595" s="52">
        <f>HLOOKUP("# Memory",'vHosts (Imported)'!$1:$5000,M3595,FALSE)</f>
        <v>0</v>
      </c>
      <c r="M3595" s="45">
        <f t="shared" si="170"/>
        <v>3595</v>
      </c>
      <c r="N3595" s="38">
        <f>HLOOKUP("Host",'vInfo (Imported)'!$1:$5000,M3595,FALSE)</f>
        <v>0</v>
      </c>
      <c r="R3595">
        <f>HLOOKUP("CPUs",'vInfo (Imported)'!$1:$5000,M3595,FALSE)</f>
        <v>0</v>
      </c>
      <c r="S3595">
        <f>HLOOKUP("Memory",'vInfo (Imported)'!$1:$5000,M3595,FALSE)</f>
        <v>0</v>
      </c>
      <c r="T3595">
        <f>HLOOKUP("Provisioned MiB",'vInfo (Imported)'!$1:$5000,M3595,FALSE)</f>
        <v>0</v>
      </c>
      <c r="U3595">
        <f t="shared" si="169"/>
        <v>0</v>
      </c>
      <c r="V3595">
        <f>HLOOKUP("In Use MiB",'vInfo (Imported)'!$1:$5000,M3595,FALSE)</f>
        <v>0</v>
      </c>
    </row>
    <row r="3596" spans="1:22" ht="13" x14ac:dyDescent="0.3">
      <c r="A3596" s="46">
        <f>'vHosts (Imported)'!A3596</f>
        <v>0</v>
      </c>
      <c r="B3596" s="51">
        <f t="shared" si="168"/>
        <v>4968</v>
      </c>
      <c r="C3596" s="49">
        <f>HLOOKUP("# Cores",'vHosts (Imported)'!$1:$5000,M3596,FALSE)</f>
        <v>0</v>
      </c>
      <c r="D3596" s="52">
        <f>HLOOKUP("# Memory",'vHosts (Imported)'!$1:$5000,M3596,FALSE)</f>
        <v>0</v>
      </c>
      <c r="M3596" s="45">
        <f t="shared" si="170"/>
        <v>3596</v>
      </c>
      <c r="N3596" s="38">
        <f>HLOOKUP("Host",'vInfo (Imported)'!$1:$5000,M3596,FALSE)</f>
        <v>0</v>
      </c>
      <c r="R3596">
        <f>HLOOKUP("CPUs",'vInfo (Imported)'!$1:$5000,M3596,FALSE)</f>
        <v>0</v>
      </c>
      <c r="S3596">
        <f>HLOOKUP("Memory",'vInfo (Imported)'!$1:$5000,M3596,FALSE)</f>
        <v>0</v>
      </c>
      <c r="T3596">
        <f>HLOOKUP("Provisioned MiB",'vInfo (Imported)'!$1:$5000,M3596,FALSE)</f>
        <v>0</v>
      </c>
      <c r="U3596">
        <f t="shared" si="169"/>
        <v>0</v>
      </c>
      <c r="V3596">
        <f>HLOOKUP("In Use MiB",'vInfo (Imported)'!$1:$5000,M3596,FALSE)</f>
        <v>0</v>
      </c>
    </row>
    <row r="3597" spans="1:22" ht="13" x14ac:dyDescent="0.3">
      <c r="A3597" s="46">
        <f>'vHosts (Imported)'!A3597</f>
        <v>0</v>
      </c>
      <c r="B3597" s="51">
        <f t="shared" si="168"/>
        <v>4968</v>
      </c>
      <c r="C3597" s="49">
        <f>HLOOKUP("# Cores",'vHosts (Imported)'!$1:$5000,M3597,FALSE)</f>
        <v>0</v>
      </c>
      <c r="D3597" s="52">
        <f>HLOOKUP("# Memory",'vHosts (Imported)'!$1:$5000,M3597,FALSE)</f>
        <v>0</v>
      </c>
      <c r="M3597" s="45">
        <f t="shared" si="170"/>
        <v>3597</v>
      </c>
      <c r="N3597" s="38">
        <f>HLOOKUP("Host",'vInfo (Imported)'!$1:$5000,M3597,FALSE)</f>
        <v>0</v>
      </c>
      <c r="R3597">
        <f>HLOOKUP("CPUs",'vInfo (Imported)'!$1:$5000,M3597,FALSE)</f>
        <v>0</v>
      </c>
      <c r="S3597">
        <f>HLOOKUP("Memory",'vInfo (Imported)'!$1:$5000,M3597,FALSE)</f>
        <v>0</v>
      </c>
      <c r="T3597">
        <f>HLOOKUP("Provisioned MiB",'vInfo (Imported)'!$1:$5000,M3597,FALSE)</f>
        <v>0</v>
      </c>
      <c r="U3597">
        <f t="shared" si="169"/>
        <v>0</v>
      </c>
      <c r="V3597">
        <f>HLOOKUP("In Use MiB",'vInfo (Imported)'!$1:$5000,M3597,FALSE)</f>
        <v>0</v>
      </c>
    </row>
    <row r="3598" spans="1:22" ht="13" x14ac:dyDescent="0.3">
      <c r="A3598" s="46">
        <f>'vHosts (Imported)'!A3598</f>
        <v>0</v>
      </c>
      <c r="B3598" s="51">
        <f t="shared" si="168"/>
        <v>4968</v>
      </c>
      <c r="C3598" s="49">
        <f>HLOOKUP("# Cores",'vHosts (Imported)'!$1:$5000,M3598,FALSE)</f>
        <v>0</v>
      </c>
      <c r="D3598" s="52">
        <f>HLOOKUP("# Memory",'vHosts (Imported)'!$1:$5000,M3598,FALSE)</f>
        <v>0</v>
      </c>
      <c r="M3598" s="45">
        <f t="shared" si="170"/>
        <v>3598</v>
      </c>
      <c r="N3598" s="38">
        <f>HLOOKUP("Host",'vInfo (Imported)'!$1:$5000,M3598,FALSE)</f>
        <v>0</v>
      </c>
      <c r="R3598">
        <f>HLOOKUP("CPUs",'vInfo (Imported)'!$1:$5000,M3598,FALSE)</f>
        <v>0</v>
      </c>
      <c r="S3598">
        <f>HLOOKUP("Memory",'vInfo (Imported)'!$1:$5000,M3598,FALSE)</f>
        <v>0</v>
      </c>
      <c r="T3598">
        <f>HLOOKUP("Provisioned MiB",'vInfo (Imported)'!$1:$5000,M3598,FALSE)</f>
        <v>0</v>
      </c>
      <c r="U3598">
        <f t="shared" si="169"/>
        <v>0</v>
      </c>
      <c r="V3598">
        <f>HLOOKUP("In Use MiB",'vInfo (Imported)'!$1:$5000,M3598,FALSE)</f>
        <v>0</v>
      </c>
    </row>
    <row r="3599" spans="1:22" ht="13" x14ac:dyDescent="0.3">
      <c r="A3599" s="46">
        <f>'vHosts (Imported)'!A3599</f>
        <v>0</v>
      </c>
      <c r="B3599" s="51">
        <f t="shared" si="168"/>
        <v>4968</v>
      </c>
      <c r="C3599" s="49">
        <f>HLOOKUP("# Cores",'vHosts (Imported)'!$1:$5000,M3599,FALSE)</f>
        <v>0</v>
      </c>
      <c r="D3599" s="52">
        <f>HLOOKUP("# Memory",'vHosts (Imported)'!$1:$5000,M3599,FALSE)</f>
        <v>0</v>
      </c>
      <c r="M3599" s="45">
        <f t="shared" si="170"/>
        <v>3599</v>
      </c>
      <c r="N3599" s="38">
        <f>HLOOKUP("Host",'vInfo (Imported)'!$1:$5000,M3599,FALSE)</f>
        <v>0</v>
      </c>
      <c r="R3599">
        <f>HLOOKUP("CPUs",'vInfo (Imported)'!$1:$5000,M3599,FALSE)</f>
        <v>0</v>
      </c>
      <c r="S3599">
        <f>HLOOKUP("Memory",'vInfo (Imported)'!$1:$5000,M3599,FALSE)</f>
        <v>0</v>
      </c>
      <c r="T3599">
        <f>HLOOKUP("Provisioned MiB",'vInfo (Imported)'!$1:$5000,M3599,FALSE)</f>
        <v>0</v>
      </c>
      <c r="U3599">
        <f t="shared" si="169"/>
        <v>0</v>
      </c>
      <c r="V3599">
        <f>HLOOKUP("In Use MiB",'vInfo (Imported)'!$1:$5000,M3599,FALSE)</f>
        <v>0</v>
      </c>
    </row>
    <row r="3600" spans="1:22" ht="13" x14ac:dyDescent="0.3">
      <c r="A3600" s="46">
        <f>'vHosts (Imported)'!A3600</f>
        <v>0</v>
      </c>
      <c r="B3600" s="51">
        <f t="shared" si="168"/>
        <v>4968</v>
      </c>
      <c r="C3600" s="49">
        <f>HLOOKUP("# Cores",'vHosts (Imported)'!$1:$5000,M3600,FALSE)</f>
        <v>0</v>
      </c>
      <c r="D3600" s="52">
        <f>HLOOKUP("# Memory",'vHosts (Imported)'!$1:$5000,M3600,FALSE)</f>
        <v>0</v>
      </c>
      <c r="M3600" s="45">
        <f t="shared" si="170"/>
        <v>3600</v>
      </c>
      <c r="N3600" s="38">
        <f>HLOOKUP("Host",'vInfo (Imported)'!$1:$5000,M3600,FALSE)</f>
        <v>0</v>
      </c>
      <c r="R3600">
        <f>HLOOKUP("CPUs",'vInfo (Imported)'!$1:$5000,M3600,FALSE)</f>
        <v>0</v>
      </c>
      <c r="S3600">
        <f>HLOOKUP("Memory",'vInfo (Imported)'!$1:$5000,M3600,FALSE)</f>
        <v>0</v>
      </c>
      <c r="T3600">
        <f>HLOOKUP("Provisioned MiB",'vInfo (Imported)'!$1:$5000,M3600,FALSE)</f>
        <v>0</v>
      </c>
      <c r="U3600">
        <f t="shared" si="169"/>
        <v>0</v>
      </c>
      <c r="V3600">
        <f>HLOOKUP("In Use MiB",'vInfo (Imported)'!$1:$5000,M3600,FALSE)</f>
        <v>0</v>
      </c>
    </row>
    <row r="3601" spans="1:22" ht="13" x14ac:dyDescent="0.3">
      <c r="A3601" s="46">
        <f>'vHosts (Imported)'!A3601</f>
        <v>0</v>
      </c>
      <c r="B3601" s="51">
        <f t="shared" si="168"/>
        <v>4968</v>
      </c>
      <c r="C3601" s="49">
        <f>HLOOKUP("# Cores",'vHosts (Imported)'!$1:$5000,M3601,FALSE)</f>
        <v>0</v>
      </c>
      <c r="D3601" s="52">
        <f>HLOOKUP("# Memory",'vHosts (Imported)'!$1:$5000,M3601,FALSE)</f>
        <v>0</v>
      </c>
      <c r="M3601" s="45">
        <f t="shared" si="170"/>
        <v>3601</v>
      </c>
      <c r="N3601" s="38">
        <f>HLOOKUP("Host",'vInfo (Imported)'!$1:$5000,M3601,FALSE)</f>
        <v>0</v>
      </c>
      <c r="R3601">
        <f>HLOOKUP("CPUs",'vInfo (Imported)'!$1:$5000,M3601,FALSE)</f>
        <v>0</v>
      </c>
      <c r="S3601">
        <f>HLOOKUP("Memory",'vInfo (Imported)'!$1:$5000,M3601,FALSE)</f>
        <v>0</v>
      </c>
      <c r="T3601">
        <f>HLOOKUP("Provisioned MiB",'vInfo (Imported)'!$1:$5000,M3601,FALSE)</f>
        <v>0</v>
      </c>
      <c r="U3601">
        <f t="shared" si="169"/>
        <v>0</v>
      </c>
      <c r="V3601">
        <f>HLOOKUP("In Use MiB",'vInfo (Imported)'!$1:$5000,M3601,FALSE)</f>
        <v>0</v>
      </c>
    </row>
    <row r="3602" spans="1:22" ht="13" x14ac:dyDescent="0.3">
      <c r="A3602" s="46">
        <f>'vHosts (Imported)'!A3602</f>
        <v>0</v>
      </c>
      <c r="B3602" s="51">
        <f t="shared" si="168"/>
        <v>4968</v>
      </c>
      <c r="C3602" s="49">
        <f>HLOOKUP("# Cores",'vHosts (Imported)'!$1:$5000,M3602,FALSE)</f>
        <v>0</v>
      </c>
      <c r="D3602" s="52">
        <f>HLOOKUP("# Memory",'vHosts (Imported)'!$1:$5000,M3602,FALSE)</f>
        <v>0</v>
      </c>
      <c r="M3602" s="45">
        <f t="shared" si="170"/>
        <v>3602</v>
      </c>
      <c r="N3602" s="38">
        <f>HLOOKUP("Host",'vInfo (Imported)'!$1:$5000,M3602,FALSE)</f>
        <v>0</v>
      </c>
      <c r="R3602">
        <f>HLOOKUP("CPUs",'vInfo (Imported)'!$1:$5000,M3602,FALSE)</f>
        <v>0</v>
      </c>
      <c r="S3602">
        <f>HLOOKUP("Memory",'vInfo (Imported)'!$1:$5000,M3602,FALSE)</f>
        <v>0</v>
      </c>
      <c r="T3602">
        <f>HLOOKUP("Provisioned MiB",'vInfo (Imported)'!$1:$5000,M3602,FALSE)</f>
        <v>0</v>
      </c>
      <c r="U3602">
        <f t="shared" si="169"/>
        <v>0</v>
      </c>
      <c r="V3602">
        <f>HLOOKUP("In Use MiB",'vInfo (Imported)'!$1:$5000,M3602,FALSE)</f>
        <v>0</v>
      </c>
    </row>
    <row r="3603" spans="1:22" ht="13" x14ac:dyDescent="0.3">
      <c r="A3603" s="46">
        <f>'vHosts (Imported)'!A3603</f>
        <v>0</v>
      </c>
      <c r="B3603" s="51">
        <f t="shared" si="168"/>
        <v>4968</v>
      </c>
      <c r="C3603" s="49">
        <f>HLOOKUP("# Cores",'vHosts (Imported)'!$1:$5000,M3603,FALSE)</f>
        <v>0</v>
      </c>
      <c r="D3603" s="52">
        <f>HLOOKUP("# Memory",'vHosts (Imported)'!$1:$5000,M3603,FALSE)</f>
        <v>0</v>
      </c>
      <c r="M3603" s="45">
        <f t="shared" si="170"/>
        <v>3603</v>
      </c>
      <c r="N3603" s="38">
        <f>HLOOKUP("Host",'vInfo (Imported)'!$1:$5000,M3603,FALSE)</f>
        <v>0</v>
      </c>
      <c r="R3603">
        <f>HLOOKUP("CPUs",'vInfo (Imported)'!$1:$5000,M3603,FALSE)</f>
        <v>0</v>
      </c>
      <c r="S3603">
        <f>HLOOKUP("Memory",'vInfo (Imported)'!$1:$5000,M3603,FALSE)</f>
        <v>0</v>
      </c>
      <c r="T3603">
        <f>HLOOKUP("Provisioned MiB",'vInfo (Imported)'!$1:$5000,M3603,FALSE)</f>
        <v>0</v>
      </c>
      <c r="U3603">
        <f t="shared" si="169"/>
        <v>0</v>
      </c>
      <c r="V3603">
        <f>HLOOKUP("In Use MiB",'vInfo (Imported)'!$1:$5000,M3603,FALSE)</f>
        <v>0</v>
      </c>
    </row>
    <row r="3604" spans="1:22" ht="13" x14ac:dyDescent="0.3">
      <c r="A3604" s="46">
        <f>'vHosts (Imported)'!A3604</f>
        <v>0</v>
      </c>
      <c r="B3604" s="51">
        <f t="shared" si="168"/>
        <v>4968</v>
      </c>
      <c r="C3604" s="49">
        <f>HLOOKUP("# Cores",'vHosts (Imported)'!$1:$5000,M3604,FALSE)</f>
        <v>0</v>
      </c>
      <c r="D3604" s="52">
        <f>HLOOKUP("# Memory",'vHosts (Imported)'!$1:$5000,M3604,FALSE)</f>
        <v>0</v>
      </c>
      <c r="M3604" s="45">
        <f t="shared" si="170"/>
        <v>3604</v>
      </c>
      <c r="N3604" s="38">
        <f>HLOOKUP("Host",'vInfo (Imported)'!$1:$5000,M3604,FALSE)</f>
        <v>0</v>
      </c>
      <c r="R3604">
        <f>HLOOKUP("CPUs",'vInfo (Imported)'!$1:$5000,M3604,FALSE)</f>
        <v>0</v>
      </c>
      <c r="S3604">
        <f>HLOOKUP("Memory",'vInfo (Imported)'!$1:$5000,M3604,FALSE)</f>
        <v>0</v>
      </c>
      <c r="T3604">
        <f>HLOOKUP("Provisioned MiB",'vInfo (Imported)'!$1:$5000,M3604,FALSE)</f>
        <v>0</v>
      </c>
      <c r="U3604">
        <f t="shared" si="169"/>
        <v>0</v>
      </c>
      <c r="V3604">
        <f>HLOOKUP("In Use MiB",'vInfo (Imported)'!$1:$5000,M3604,FALSE)</f>
        <v>0</v>
      </c>
    </row>
    <row r="3605" spans="1:22" ht="13" x14ac:dyDescent="0.3">
      <c r="A3605" s="46">
        <f>'vHosts (Imported)'!A3605</f>
        <v>0</v>
      </c>
      <c r="B3605" s="51">
        <f t="shared" si="168"/>
        <v>4968</v>
      </c>
      <c r="C3605" s="49">
        <f>HLOOKUP("# Cores",'vHosts (Imported)'!$1:$5000,M3605,FALSE)</f>
        <v>0</v>
      </c>
      <c r="D3605" s="52">
        <f>HLOOKUP("# Memory",'vHosts (Imported)'!$1:$5000,M3605,FALSE)</f>
        <v>0</v>
      </c>
      <c r="M3605" s="45">
        <f t="shared" si="170"/>
        <v>3605</v>
      </c>
      <c r="N3605" s="38">
        <f>HLOOKUP("Host",'vInfo (Imported)'!$1:$5000,M3605,FALSE)</f>
        <v>0</v>
      </c>
      <c r="R3605">
        <f>HLOOKUP("CPUs",'vInfo (Imported)'!$1:$5000,M3605,FALSE)</f>
        <v>0</v>
      </c>
      <c r="S3605">
        <f>HLOOKUP("Memory",'vInfo (Imported)'!$1:$5000,M3605,FALSE)</f>
        <v>0</v>
      </c>
      <c r="T3605">
        <f>HLOOKUP("Provisioned MiB",'vInfo (Imported)'!$1:$5000,M3605,FALSE)</f>
        <v>0</v>
      </c>
      <c r="U3605">
        <f t="shared" si="169"/>
        <v>0</v>
      </c>
      <c r="V3605">
        <f>HLOOKUP("In Use MiB",'vInfo (Imported)'!$1:$5000,M3605,FALSE)</f>
        <v>0</v>
      </c>
    </row>
    <row r="3606" spans="1:22" ht="13" x14ac:dyDescent="0.3">
      <c r="A3606" s="46">
        <f>'vHosts (Imported)'!A3606</f>
        <v>0</v>
      </c>
      <c r="B3606" s="51">
        <f t="shared" si="168"/>
        <v>4968</v>
      </c>
      <c r="C3606" s="49">
        <f>HLOOKUP("# Cores",'vHosts (Imported)'!$1:$5000,M3606,FALSE)</f>
        <v>0</v>
      </c>
      <c r="D3606" s="52">
        <f>HLOOKUP("# Memory",'vHosts (Imported)'!$1:$5000,M3606,FALSE)</f>
        <v>0</v>
      </c>
      <c r="M3606" s="45">
        <f t="shared" si="170"/>
        <v>3606</v>
      </c>
      <c r="N3606" s="38">
        <f>HLOOKUP("Host",'vInfo (Imported)'!$1:$5000,M3606,FALSE)</f>
        <v>0</v>
      </c>
      <c r="R3606">
        <f>HLOOKUP("CPUs",'vInfo (Imported)'!$1:$5000,M3606,FALSE)</f>
        <v>0</v>
      </c>
      <c r="S3606">
        <f>HLOOKUP("Memory",'vInfo (Imported)'!$1:$5000,M3606,FALSE)</f>
        <v>0</v>
      </c>
      <c r="T3606">
        <f>HLOOKUP("Provisioned MiB",'vInfo (Imported)'!$1:$5000,M3606,FALSE)</f>
        <v>0</v>
      </c>
      <c r="U3606">
        <f t="shared" si="169"/>
        <v>0</v>
      </c>
      <c r="V3606">
        <f>HLOOKUP("In Use MiB",'vInfo (Imported)'!$1:$5000,M3606,FALSE)</f>
        <v>0</v>
      </c>
    </row>
    <row r="3607" spans="1:22" ht="13" x14ac:dyDescent="0.3">
      <c r="A3607" s="46">
        <f>'vHosts (Imported)'!A3607</f>
        <v>0</v>
      </c>
      <c r="B3607" s="51">
        <f t="shared" si="168"/>
        <v>4968</v>
      </c>
      <c r="C3607" s="49">
        <f>HLOOKUP("# Cores",'vHosts (Imported)'!$1:$5000,M3607,FALSE)</f>
        <v>0</v>
      </c>
      <c r="D3607" s="52">
        <f>HLOOKUP("# Memory",'vHosts (Imported)'!$1:$5000,M3607,FALSE)</f>
        <v>0</v>
      </c>
      <c r="M3607" s="45">
        <f t="shared" si="170"/>
        <v>3607</v>
      </c>
      <c r="N3607" s="38">
        <f>HLOOKUP("Host",'vInfo (Imported)'!$1:$5000,M3607,FALSE)</f>
        <v>0</v>
      </c>
      <c r="R3607">
        <f>HLOOKUP("CPUs",'vInfo (Imported)'!$1:$5000,M3607,FALSE)</f>
        <v>0</v>
      </c>
      <c r="S3607">
        <f>HLOOKUP("Memory",'vInfo (Imported)'!$1:$5000,M3607,FALSE)</f>
        <v>0</v>
      </c>
      <c r="T3607">
        <f>HLOOKUP("Provisioned MiB",'vInfo (Imported)'!$1:$5000,M3607,FALSE)</f>
        <v>0</v>
      </c>
      <c r="U3607">
        <f t="shared" si="169"/>
        <v>0</v>
      </c>
      <c r="V3607">
        <f>HLOOKUP("In Use MiB",'vInfo (Imported)'!$1:$5000,M3607,FALSE)</f>
        <v>0</v>
      </c>
    </row>
    <row r="3608" spans="1:22" ht="13" x14ac:dyDescent="0.3">
      <c r="A3608" s="46">
        <f>'vHosts (Imported)'!A3608</f>
        <v>0</v>
      </c>
      <c r="B3608" s="51">
        <f t="shared" si="168"/>
        <v>4968</v>
      </c>
      <c r="C3608" s="49">
        <f>HLOOKUP("# Cores",'vHosts (Imported)'!$1:$5000,M3608,FALSE)</f>
        <v>0</v>
      </c>
      <c r="D3608" s="52">
        <f>HLOOKUP("# Memory",'vHosts (Imported)'!$1:$5000,M3608,FALSE)</f>
        <v>0</v>
      </c>
      <c r="M3608" s="45">
        <f t="shared" si="170"/>
        <v>3608</v>
      </c>
      <c r="N3608" s="38">
        <f>HLOOKUP("Host",'vInfo (Imported)'!$1:$5000,M3608,FALSE)</f>
        <v>0</v>
      </c>
      <c r="R3608">
        <f>HLOOKUP("CPUs",'vInfo (Imported)'!$1:$5000,M3608,FALSE)</f>
        <v>0</v>
      </c>
      <c r="S3608">
        <f>HLOOKUP("Memory",'vInfo (Imported)'!$1:$5000,M3608,FALSE)</f>
        <v>0</v>
      </c>
      <c r="T3608">
        <f>HLOOKUP("Provisioned MiB",'vInfo (Imported)'!$1:$5000,M3608,FALSE)</f>
        <v>0</v>
      </c>
      <c r="U3608">
        <f t="shared" si="169"/>
        <v>0</v>
      </c>
      <c r="V3608">
        <f>HLOOKUP("In Use MiB",'vInfo (Imported)'!$1:$5000,M3608,FALSE)</f>
        <v>0</v>
      </c>
    </row>
    <row r="3609" spans="1:22" ht="13" x14ac:dyDescent="0.3">
      <c r="A3609" s="46">
        <f>'vHosts (Imported)'!A3609</f>
        <v>0</v>
      </c>
      <c r="B3609" s="51">
        <f t="shared" si="168"/>
        <v>4968</v>
      </c>
      <c r="C3609" s="49">
        <f>HLOOKUP("# Cores",'vHosts (Imported)'!$1:$5000,M3609,FALSE)</f>
        <v>0</v>
      </c>
      <c r="D3609" s="52">
        <f>HLOOKUP("# Memory",'vHosts (Imported)'!$1:$5000,M3609,FALSE)</f>
        <v>0</v>
      </c>
      <c r="M3609" s="45">
        <f t="shared" si="170"/>
        <v>3609</v>
      </c>
      <c r="N3609" s="38">
        <f>HLOOKUP("Host",'vInfo (Imported)'!$1:$5000,M3609,FALSE)</f>
        <v>0</v>
      </c>
      <c r="R3609">
        <f>HLOOKUP("CPUs",'vInfo (Imported)'!$1:$5000,M3609,FALSE)</f>
        <v>0</v>
      </c>
      <c r="S3609">
        <f>HLOOKUP("Memory",'vInfo (Imported)'!$1:$5000,M3609,FALSE)</f>
        <v>0</v>
      </c>
      <c r="T3609">
        <f>HLOOKUP("Provisioned MiB",'vInfo (Imported)'!$1:$5000,M3609,FALSE)</f>
        <v>0</v>
      </c>
      <c r="U3609">
        <f t="shared" si="169"/>
        <v>0</v>
      </c>
      <c r="V3609">
        <f>HLOOKUP("In Use MiB",'vInfo (Imported)'!$1:$5000,M3609,FALSE)</f>
        <v>0</v>
      </c>
    </row>
    <row r="3610" spans="1:22" ht="13" x14ac:dyDescent="0.3">
      <c r="A3610" s="46">
        <f>'vHosts (Imported)'!A3610</f>
        <v>0</v>
      </c>
      <c r="B3610" s="51">
        <f t="shared" si="168"/>
        <v>4968</v>
      </c>
      <c r="C3610" s="49">
        <f>HLOOKUP("# Cores",'vHosts (Imported)'!$1:$5000,M3610,FALSE)</f>
        <v>0</v>
      </c>
      <c r="D3610" s="52">
        <f>HLOOKUP("# Memory",'vHosts (Imported)'!$1:$5000,M3610,FALSE)</f>
        <v>0</v>
      </c>
      <c r="M3610" s="45">
        <f t="shared" si="170"/>
        <v>3610</v>
      </c>
      <c r="N3610" s="38">
        <f>HLOOKUP("Host",'vInfo (Imported)'!$1:$5000,M3610,FALSE)</f>
        <v>0</v>
      </c>
      <c r="R3610">
        <f>HLOOKUP("CPUs",'vInfo (Imported)'!$1:$5000,M3610,FALSE)</f>
        <v>0</v>
      </c>
      <c r="S3610">
        <f>HLOOKUP("Memory",'vInfo (Imported)'!$1:$5000,M3610,FALSE)</f>
        <v>0</v>
      </c>
      <c r="T3610">
        <f>HLOOKUP("Provisioned MiB",'vInfo (Imported)'!$1:$5000,M3610,FALSE)</f>
        <v>0</v>
      </c>
      <c r="U3610">
        <f t="shared" si="169"/>
        <v>0</v>
      </c>
      <c r="V3610">
        <f>HLOOKUP("In Use MiB",'vInfo (Imported)'!$1:$5000,M3610,FALSE)</f>
        <v>0</v>
      </c>
    </row>
    <row r="3611" spans="1:22" ht="13" x14ac:dyDescent="0.3">
      <c r="A3611" s="46">
        <f>'vHosts (Imported)'!A3611</f>
        <v>0</v>
      </c>
      <c r="B3611" s="51">
        <f t="shared" si="168"/>
        <v>4968</v>
      </c>
      <c r="C3611" s="49">
        <f>HLOOKUP("# Cores",'vHosts (Imported)'!$1:$5000,M3611,FALSE)</f>
        <v>0</v>
      </c>
      <c r="D3611" s="52">
        <f>HLOOKUP("# Memory",'vHosts (Imported)'!$1:$5000,M3611,FALSE)</f>
        <v>0</v>
      </c>
      <c r="M3611" s="45">
        <f t="shared" si="170"/>
        <v>3611</v>
      </c>
      <c r="N3611" s="38">
        <f>HLOOKUP("Host",'vInfo (Imported)'!$1:$5000,M3611,FALSE)</f>
        <v>0</v>
      </c>
      <c r="R3611">
        <f>HLOOKUP("CPUs",'vInfo (Imported)'!$1:$5000,M3611,FALSE)</f>
        <v>0</v>
      </c>
      <c r="S3611">
        <f>HLOOKUP("Memory",'vInfo (Imported)'!$1:$5000,M3611,FALSE)</f>
        <v>0</v>
      </c>
      <c r="T3611">
        <f>HLOOKUP("Provisioned MiB",'vInfo (Imported)'!$1:$5000,M3611,FALSE)</f>
        <v>0</v>
      </c>
      <c r="U3611">
        <f t="shared" si="169"/>
        <v>0</v>
      </c>
      <c r="V3611">
        <f>HLOOKUP("In Use MiB",'vInfo (Imported)'!$1:$5000,M3611,FALSE)</f>
        <v>0</v>
      </c>
    </row>
    <row r="3612" spans="1:22" ht="13" x14ac:dyDescent="0.3">
      <c r="A3612" s="46">
        <f>'vHosts (Imported)'!A3612</f>
        <v>0</v>
      </c>
      <c r="B3612" s="51">
        <f t="shared" si="168"/>
        <v>4968</v>
      </c>
      <c r="C3612" s="49">
        <f>HLOOKUP("# Cores",'vHosts (Imported)'!$1:$5000,M3612,FALSE)</f>
        <v>0</v>
      </c>
      <c r="D3612" s="52">
        <f>HLOOKUP("# Memory",'vHosts (Imported)'!$1:$5000,M3612,FALSE)</f>
        <v>0</v>
      </c>
      <c r="M3612" s="45">
        <f t="shared" si="170"/>
        <v>3612</v>
      </c>
      <c r="N3612" s="38">
        <f>HLOOKUP("Host",'vInfo (Imported)'!$1:$5000,M3612,FALSE)</f>
        <v>0</v>
      </c>
      <c r="R3612">
        <f>HLOOKUP("CPUs",'vInfo (Imported)'!$1:$5000,M3612,FALSE)</f>
        <v>0</v>
      </c>
      <c r="S3612">
        <f>HLOOKUP("Memory",'vInfo (Imported)'!$1:$5000,M3612,FALSE)</f>
        <v>0</v>
      </c>
      <c r="T3612">
        <f>HLOOKUP("Provisioned MiB",'vInfo (Imported)'!$1:$5000,M3612,FALSE)</f>
        <v>0</v>
      </c>
      <c r="U3612">
        <f t="shared" si="169"/>
        <v>0</v>
      </c>
      <c r="V3612">
        <f>HLOOKUP("In Use MiB",'vInfo (Imported)'!$1:$5000,M3612,FALSE)</f>
        <v>0</v>
      </c>
    </row>
    <row r="3613" spans="1:22" ht="13" x14ac:dyDescent="0.3">
      <c r="A3613" s="46">
        <f>'vHosts (Imported)'!A3613</f>
        <v>0</v>
      </c>
      <c r="B3613" s="51">
        <f t="shared" si="168"/>
        <v>4968</v>
      </c>
      <c r="C3613" s="49">
        <f>HLOOKUP("# Cores",'vHosts (Imported)'!$1:$5000,M3613,FALSE)</f>
        <v>0</v>
      </c>
      <c r="D3613" s="52">
        <f>HLOOKUP("# Memory",'vHosts (Imported)'!$1:$5000,M3613,FALSE)</f>
        <v>0</v>
      </c>
      <c r="M3613" s="45">
        <f t="shared" si="170"/>
        <v>3613</v>
      </c>
      <c r="N3613" s="38">
        <f>HLOOKUP("Host",'vInfo (Imported)'!$1:$5000,M3613,FALSE)</f>
        <v>0</v>
      </c>
      <c r="R3613">
        <f>HLOOKUP("CPUs",'vInfo (Imported)'!$1:$5000,M3613,FALSE)</f>
        <v>0</v>
      </c>
      <c r="S3613">
        <f>HLOOKUP("Memory",'vInfo (Imported)'!$1:$5000,M3613,FALSE)</f>
        <v>0</v>
      </c>
      <c r="T3613">
        <f>HLOOKUP("Provisioned MiB",'vInfo (Imported)'!$1:$5000,M3613,FALSE)</f>
        <v>0</v>
      </c>
      <c r="U3613">
        <f t="shared" si="169"/>
        <v>0</v>
      </c>
      <c r="V3613">
        <f>HLOOKUP("In Use MiB",'vInfo (Imported)'!$1:$5000,M3613,FALSE)</f>
        <v>0</v>
      </c>
    </row>
    <row r="3614" spans="1:22" ht="13" x14ac:dyDescent="0.3">
      <c r="A3614" s="46">
        <f>'vHosts (Imported)'!A3614</f>
        <v>0</v>
      </c>
      <c r="B3614" s="51">
        <f t="shared" si="168"/>
        <v>4968</v>
      </c>
      <c r="C3614" s="49">
        <f>HLOOKUP("# Cores",'vHosts (Imported)'!$1:$5000,M3614,FALSE)</f>
        <v>0</v>
      </c>
      <c r="D3614" s="52">
        <f>HLOOKUP("# Memory",'vHosts (Imported)'!$1:$5000,M3614,FALSE)</f>
        <v>0</v>
      </c>
      <c r="M3614" s="45">
        <f t="shared" si="170"/>
        <v>3614</v>
      </c>
      <c r="N3614" s="38">
        <f>HLOOKUP("Host",'vInfo (Imported)'!$1:$5000,M3614,FALSE)</f>
        <v>0</v>
      </c>
      <c r="R3614">
        <f>HLOOKUP("CPUs",'vInfo (Imported)'!$1:$5000,M3614,FALSE)</f>
        <v>0</v>
      </c>
      <c r="S3614">
        <f>HLOOKUP("Memory",'vInfo (Imported)'!$1:$5000,M3614,FALSE)</f>
        <v>0</v>
      </c>
      <c r="T3614">
        <f>HLOOKUP("Provisioned MiB",'vInfo (Imported)'!$1:$5000,M3614,FALSE)</f>
        <v>0</v>
      </c>
      <c r="U3614">
        <f t="shared" si="169"/>
        <v>0</v>
      </c>
      <c r="V3614">
        <f>HLOOKUP("In Use MiB",'vInfo (Imported)'!$1:$5000,M3614,FALSE)</f>
        <v>0</v>
      </c>
    </row>
    <row r="3615" spans="1:22" ht="13" x14ac:dyDescent="0.3">
      <c r="A3615" s="46">
        <f>'vHosts (Imported)'!A3615</f>
        <v>0</v>
      </c>
      <c r="B3615" s="51">
        <f t="shared" si="168"/>
        <v>4968</v>
      </c>
      <c r="C3615" s="49">
        <f>HLOOKUP("# Cores",'vHosts (Imported)'!$1:$5000,M3615,FALSE)</f>
        <v>0</v>
      </c>
      <c r="D3615" s="52">
        <f>HLOOKUP("# Memory",'vHosts (Imported)'!$1:$5000,M3615,FALSE)</f>
        <v>0</v>
      </c>
      <c r="M3615" s="45">
        <f t="shared" si="170"/>
        <v>3615</v>
      </c>
      <c r="N3615" s="38">
        <f>HLOOKUP("Host",'vInfo (Imported)'!$1:$5000,M3615,FALSE)</f>
        <v>0</v>
      </c>
      <c r="R3615">
        <f>HLOOKUP("CPUs",'vInfo (Imported)'!$1:$5000,M3615,FALSE)</f>
        <v>0</v>
      </c>
      <c r="S3615">
        <f>HLOOKUP("Memory",'vInfo (Imported)'!$1:$5000,M3615,FALSE)</f>
        <v>0</v>
      </c>
      <c r="T3615">
        <f>HLOOKUP("Provisioned MiB",'vInfo (Imported)'!$1:$5000,M3615,FALSE)</f>
        <v>0</v>
      </c>
      <c r="U3615">
        <f t="shared" si="169"/>
        <v>0</v>
      </c>
      <c r="V3615">
        <f>HLOOKUP("In Use MiB",'vInfo (Imported)'!$1:$5000,M3615,FALSE)</f>
        <v>0</v>
      </c>
    </row>
    <row r="3616" spans="1:22" ht="13" x14ac:dyDescent="0.3">
      <c r="A3616" s="46">
        <f>'vHosts (Imported)'!A3616</f>
        <v>0</v>
      </c>
      <c r="B3616" s="51">
        <f t="shared" si="168"/>
        <v>4968</v>
      </c>
      <c r="C3616" s="49">
        <f>HLOOKUP("# Cores",'vHosts (Imported)'!$1:$5000,M3616,FALSE)</f>
        <v>0</v>
      </c>
      <c r="D3616" s="52">
        <f>HLOOKUP("# Memory",'vHosts (Imported)'!$1:$5000,M3616,FALSE)</f>
        <v>0</v>
      </c>
      <c r="M3616" s="45">
        <f t="shared" si="170"/>
        <v>3616</v>
      </c>
      <c r="N3616" s="38">
        <f>HLOOKUP("Host",'vInfo (Imported)'!$1:$5000,M3616,FALSE)</f>
        <v>0</v>
      </c>
      <c r="R3616">
        <f>HLOOKUP("CPUs",'vInfo (Imported)'!$1:$5000,M3616,FALSE)</f>
        <v>0</v>
      </c>
      <c r="S3616">
        <f>HLOOKUP("Memory",'vInfo (Imported)'!$1:$5000,M3616,FALSE)</f>
        <v>0</v>
      </c>
      <c r="T3616">
        <f>HLOOKUP("Provisioned MiB",'vInfo (Imported)'!$1:$5000,M3616,FALSE)</f>
        <v>0</v>
      </c>
      <c r="U3616">
        <f t="shared" si="169"/>
        <v>0</v>
      </c>
      <c r="V3616">
        <f>HLOOKUP("In Use MiB",'vInfo (Imported)'!$1:$5000,M3616,FALSE)</f>
        <v>0</v>
      </c>
    </row>
    <row r="3617" spans="1:22" ht="13" x14ac:dyDescent="0.3">
      <c r="A3617" s="46">
        <f>'vHosts (Imported)'!A3617</f>
        <v>0</v>
      </c>
      <c r="B3617" s="51">
        <f t="shared" si="168"/>
        <v>4968</v>
      </c>
      <c r="C3617" s="49">
        <f>HLOOKUP("# Cores",'vHosts (Imported)'!$1:$5000,M3617,FALSE)</f>
        <v>0</v>
      </c>
      <c r="D3617" s="52">
        <f>HLOOKUP("# Memory",'vHosts (Imported)'!$1:$5000,M3617,FALSE)</f>
        <v>0</v>
      </c>
      <c r="M3617" s="45">
        <f t="shared" si="170"/>
        <v>3617</v>
      </c>
      <c r="N3617" s="38">
        <f>HLOOKUP("Host",'vInfo (Imported)'!$1:$5000,M3617,FALSE)</f>
        <v>0</v>
      </c>
      <c r="R3617">
        <f>HLOOKUP("CPUs",'vInfo (Imported)'!$1:$5000,M3617,FALSE)</f>
        <v>0</v>
      </c>
      <c r="S3617">
        <f>HLOOKUP("Memory",'vInfo (Imported)'!$1:$5000,M3617,FALSE)</f>
        <v>0</v>
      </c>
      <c r="T3617">
        <f>HLOOKUP("Provisioned MiB",'vInfo (Imported)'!$1:$5000,M3617,FALSE)</f>
        <v>0</v>
      </c>
      <c r="U3617">
        <f t="shared" si="169"/>
        <v>0</v>
      </c>
      <c r="V3617">
        <f>HLOOKUP("In Use MiB",'vInfo (Imported)'!$1:$5000,M3617,FALSE)</f>
        <v>0</v>
      </c>
    </row>
    <row r="3618" spans="1:22" ht="13" x14ac:dyDescent="0.3">
      <c r="A3618" s="46">
        <f>'vHosts (Imported)'!A3618</f>
        <v>0</v>
      </c>
      <c r="B3618" s="51">
        <f t="shared" si="168"/>
        <v>4968</v>
      </c>
      <c r="C3618" s="49">
        <f>HLOOKUP("# Cores",'vHosts (Imported)'!$1:$5000,M3618,FALSE)</f>
        <v>0</v>
      </c>
      <c r="D3618" s="52">
        <f>HLOOKUP("# Memory",'vHosts (Imported)'!$1:$5000,M3618,FALSE)</f>
        <v>0</v>
      </c>
      <c r="M3618" s="45">
        <f t="shared" si="170"/>
        <v>3618</v>
      </c>
      <c r="N3618" s="38">
        <f>HLOOKUP("Host",'vInfo (Imported)'!$1:$5000,M3618,FALSE)</f>
        <v>0</v>
      </c>
      <c r="R3618">
        <f>HLOOKUP("CPUs",'vInfo (Imported)'!$1:$5000,M3618,FALSE)</f>
        <v>0</v>
      </c>
      <c r="S3618">
        <f>HLOOKUP("Memory",'vInfo (Imported)'!$1:$5000,M3618,FALSE)</f>
        <v>0</v>
      </c>
      <c r="T3618">
        <f>HLOOKUP("Provisioned MiB",'vInfo (Imported)'!$1:$5000,M3618,FALSE)</f>
        <v>0</v>
      </c>
      <c r="U3618">
        <f t="shared" si="169"/>
        <v>0</v>
      </c>
      <c r="V3618">
        <f>HLOOKUP("In Use MiB",'vInfo (Imported)'!$1:$5000,M3618,FALSE)</f>
        <v>0</v>
      </c>
    </row>
    <row r="3619" spans="1:22" ht="13" x14ac:dyDescent="0.3">
      <c r="A3619" s="46">
        <f>'vHosts (Imported)'!A3619</f>
        <v>0</v>
      </c>
      <c r="B3619" s="51">
        <f t="shared" si="168"/>
        <v>4968</v>
      </c>
      <c r="C3619" s="49">
        <f>HLOOKUP("# Cores",'vHosts (Imported)'!$1:$5000,M3619,FALSE)</f>
        <v>0</v>
      </c>
      <c r="D3619" s="52">
        <f>HLOOKUP("# Memory",'vHosts (Imported)'!$1:$5000,M3619,FALSE)</f>
        <v>0</v>
      </c>
      <c r="M3619" s="45">
        <f t="shared" si="170"/>
        <v>3619</v>
      </c>
      <c r="N3619" s="38">
        <f>HLOOKUP("Host",'vInfo (Imported)'!$1:$5000,M3619,FALSE)</f>
        <v>0</v>
      </c>
      <c r="R3619">
        <f>HLOOKUP("CPUs",'vInfo (Imported)'!$1:$5000,M3619,FALSE)</f>
        <v>0</v>
      </c>
      <c r="S3619">
        <f>HLOOKUP("Memory",'vInfo (Imported)'!$1:$5000,M3619,FALSE)</f>
        <v>0</v>
      </c>
      <c r="T3619">
        <f>HLOOKUP("Provisioned MiB",'vInfo (Imported)'!$1:$5000,M3619,FALSE)</f>
        <v>0</v>
      </c>
      <c r="U3619">
        <f t="shared" si="169"/>
        <v>0</v>
      </c>
      <c r="V3619">
        <f>HLOOKUP("In Use MiB",'vInfo (Imported)'!$1:$5000,M3619,FALSE)</f>
        <v>0</v>
      </c>
    </row>
    <row r="3620" spans="1:22" ht="13" x14ac:dyDescent="0.3">
      <c r="A3620" s="46">
        <f>'vHosts (Imported)'!A3620</f>
        <v>0</v>
      </c>
      <c r="B3620" s="51">
        <f t="shared" si="168"/>
        <v>4968</v>
      </c>
      <c r="C3620" s="49">
        <f>HLOOKUP("# Cores",'vHosts (Imported)'!$1:$5000,M3620,FALSE)</f>
        <v>0</v>
      </c>
      <c r="D3620" s="52">
        <f>HLOOKUP("# Memory",'vHosts (Imported)'!$1:$5000,M3620,FALSE)</f>
        <v>0</v>
      </c>
      <c r="M3620" s="45">
        <f t="shared" si="170"/>
        <v>3620</v>
      </c>
      <c r="N3620" s="38">
        <f>HLOOKUP("Host",'vInfo (Imported)'!$1:$5000,M3620,FALSE)</f>
        <v>0</v>
      </c>
      <c r="R3620">
        <f>HLOOKUP("CPUs",'vInfo (Imported)'!$1:$5000,M3620,FALSE)</f>
        <v>0</v>
      </c>
      <c r="S3620">
        <f>HLOOKUP("Memory",'vInfo (Imported)'!$1:$5000,M3620,FALSE)</f>
        <v>0</v>
      </c>
      <c r="T3620">
        <f>HLOOKUP("Provisioned MiB",'vInfo (Imported)'!$1:$5000,M3620,FALSE)</f>
        <v>0</v>
      </c>
      <c r="U3620">
        <f t="shared" si="169"/>
        <v>0</v>
      </c>
      <c r="V3620">
        <f>HLOOKUP("In Use MiB",'vInfo (Imported)'!$1:$5000,M3620,FALSE)</f>
        <v>0</v>
      </c>
    </row>
    <row r="3621" spans="1:22" ht="13" x14ac:dyDescent="0.3">
      <c r="A3621" s="46">
        <f>'vHosts (Imported)'!A3621</f>
        <v>0</v>
      </c>
      <c r="B3621" s="51">
        <f t="shared" si="168"/>
        <v>4968</v>
      </c>
      <c r="C3621" s="49">
        <f>HLOOKUP("# Cores",'vHosts (Imported)'!$1:$5000,M3621,FALSE)</f>
        <v>0</v>
      </c>
      <c r="D3621" s="52">
        <f>HLOOKUP("# Memory",'vHosts (Imported)'!$1:$5000,M3621,FALSE)</f>
        <v>0</v>
      </c>
      <c r="M3621" s="45">
        <f t="shared" si="170"/>
        <v>3621</v>
      </c>
      <c r="N3621" s="38">
        <f>HLOOKUP("Host",'vInfo (Imported)'!$1:$5000,M3621,FALSE)</f>
        <v>0</v>
      </c>
      <c r="R3621">
        <f>HLOOKUP("CPUs",'vInfo (Imported)'!$1:$5000,M3621,FALSE)</f>
        <v>0</v>
      </c>
      <c r="S3621">
        <f>HLOOKUP("Memory",'vInfo (Imported)'!$1:$5000,M3621,FALSE)</f>
        <v>0</v>
      </c>
      <c r="T3621">
        <f>HLOOKUP("Provisioned MiB",'vInfo (Imported)'!$1:$5000,M3621,FALSE)</f>
        <v>0</v>
      </c>
      <c r="U3621">
        <f t="shared" si="169"/>
        <v>0</v>
      </c>
      <c r="V3621">
        <f>HLOOKUP("In Use MiB",'vInfo (Imported)'!$1:$5000,M3621,FALSE)</f>
        <v>0</v>
      </c>
    </row>
    <row r="3622" spans="1:22" ht="13" x14ac:dyDescent="0.3">
      <c r="A3622" s="46">
        <f>'vHosts (Imported)'!A3622</f>
        <v>0</v>
      </c>
      <c r="B3622" s="51">
        <f t="shared" si="168"/>
        <v>4968</v>
      </c>
      <c r="C3622" s="49">
        <f>HLOOKUP("# Cores",'vHosts (Imported)'!$1:$5000,M3622,FALSE)</f>
        <v>0</v>
      </c>
      <c r="D3622" s="52">
        <f>HLOOKUP("# Memory",'vHosts (Imported)'!$1:$5000,M3622,FALSE)</f>
        <v>0</v>
      </c>
      <c r="M3622" s="45">
        <f t="shared" si="170"/>
        <v>3622</v>
      </c>
      <c r="N3622" s="38">
        <f>HLOOKUP("Host",'vInfo (Imported)'!$1:$5000,M3622,FALSE)</f>
        <v>0</v>
      </c>
      <c r="R3622">
        <f>HLOOKUP("CPUs",'vInfo (Imported)'!$1:$5000,M3622,FALSE)</f>
        <v>0</v>
      </c>
      <c r="S3622">
        <f>HLOOKUP("Memory",'vInfo (Imported)'!$1:$5000,M3622,FALSE)</f>
        <v>0</v>
      </c>
      <c r="T3622">
        <f>HLOOKUP("Provisioned MiB",'vInfo (Imported)'!$1:$5000,M3622,FALSE)</f>
        <v>0</v>
      </c>
      <c r="U3622">
        <f t="shared" si="169"/>
        <v>0</v>
      </c>
      <c r="V3622">
        <f>HLOOKUP("In Use MiB",'vInfo (Imported)'!$1:$5000,M3622,FALSE)</f>
        <v>0</v>
      </c>
    </row>
    <row r="3623" spans="1:22" ht="13" x14ac:dyDescent="0.3">
      <c r="A3623" s="46">
        <f>'vHosts (Imported)'!A3623</f>
        <v>0</v>
      </c>
      <c r="B3623" s="51">
        <f t="shared" si="168"/>
        <v>4968</v>
      </c>
      <c r="C3623" s="49">
        <f>HLOOKUP("# Cores",'vHosts (Imported)'!$1:$5000,M3623,FALSE)</f>
        <v>0</v>
      </c>
      <c r="D3623" s="52">
        <f>HLOOKUP("# Memory",'vHosts (Imported)'!$1:$5000,M3623,FALSE)</f>
        <v>0</v>
      </c>
      <c r="M3623" s="45">
        <f t="shared" si="170"/>
        <v>3623</v>
      </c>
      <c r="N3623" s="38">
        <f>HLOOKUP("Host",'vInfo (Imported)'!$1:$5000,M3623,FALSE)</f>
        <v>0</v>
      </c>
      <c r="R3623">
        <f>HLOOKUP("CPUs",'vInfo (Imported)'!$1:$5000,M3623,FALSE)</f>
        <v>0</v>
      </c>
      <c r="S3623">
        <f>HLOOKUP("Memory",'vInfo (Imported)'!$1:$5000,M3623,FALSE)</f>
        <v>0</v>
      </c>
      <c r="T3623">
        <f>HLOOKUP("Provisioned MiB",'vInfo (Imported)'!$1:$5000,M3623,FALSE)</f>
        <v>0</v>
      </c>
      <c r="U3623">
        <f t="shared" si="169"/>
        <v>0</v>
      </c>
      <c r="V3623">
        <f>HLOOKUP("In Use MiB",'vInfo (Imported)'!$1:$5000,M3623,FALSE)</f>
        <v>0</v>
      </c>
    </row>
    <row r="3624" spans="1:22" ht="13" x14ac:dyDescent="0.3">
      <c r="A3624" s="46">
        <f>'vHosts (Imported)'!A3624</f>
        <v>0</v>
      </c>
      <c r="B3624" s="51">
        <f t="shared" ref="B3624:B3687" si="171">COUNTIF(N:N,A3624)</f>
        <v>4968</v>
      </c>
      <c r="C3624" s="49">
        <f>HLOOKUP("# Cores",'vHosts (Imported)'!$1:$5000,M3624,FALSE)</f>
        <v>0</v>
      </c>
      <c r="D3624" s="52">
        <f>HLOOKUP("# Memory",'vHosts (Imported)'!$1:$5000,M3624,FALSE)</f>
        <v>0</v>
      </c>
      <c r="M3624" s="45">
        <f t="shared" si="170"/>
        <v>3624</v>
      </c>
      <c r="N3624" s="38">
        <f>HLOOKUP("Host",'vInfo (Imported)'!$1:$5000,M3624,FALSE)</f>
        <v>0</v>
      </c>
      <c r="R3624">
        <f>HLOOKUP("CPUs",'vInfo (Imported)'!$1:$5000,M3624,FALSE)</f>
        <v>0</v>
      </c>
      <c r="S3624">
        <f>HLOOKUP("Memory",'vInfo (Imported)'!$1:$5000,M3624,FALSE)</f>
        <v>0</v>
      </c>
      <c r="T3624">
        <f>HLOOKUP("Provisioned MiB",'vInfo (Imported)'!$1:$5000,M3624,FALSE)</f>
        <v>0</v>
      </c>
      <c r="U3624">
        <f t="shared" si="169"/>
        <v>0</v>
      </c>
      <c r="V3624">
        <f>HLOOKUP("In Use MiB",'vInfo (Imported)'!$1:$5000,M3624,FALSE)</f>
        <v>0</v>
      </c>
    </row>
    <row r="3625" spans="1:22" ht="13" x14ac:dyDescent="0.3">
      <c r="A3625" s="46">
        <f>'vHosts (Imported)'!A3625</f>
        <v>0</v>
      </c>
      <c r="B3625" s="51">
        <f t="shared" si="171"/>
        <v>4968</v>
      </c>
      <c r="C3625" s="49">
        <f>HLOOKUP("# Cores",'vHosts (Imported)'!$1:$5000,M3625,FALSE)</f>
        <v>0</v>
      </c>
      <c r="D3625" s="52">
        <f>HLOOKUP("# Memory",'vHosts (Imported)'!$1:$5000,M3625,FALSE)</f>
        <v>0</v>
      </c>
      <c r="M3625" s="45">
        <f t="shared" si="170"/>
        <v>3625</v>
      </c>
      <c r="N3625" s="38">
        <f>HLOOKUP("Host",'vInfo (Imported)'!$1:$5000,M3625,FALSE)</f>
        <v>0</v>
      </c>
      <c r="R3625">
        <f>HLOOKUP("CPUs",'vInfo (Imported)'!$1:$5000,M3625,FALSE)</f>
        <v>0</v>
      </c>
      <c r="S3625">
        <f>HLOOKUP("Memory",'vInfo (Imported)'!$1:$5000,M3625,FALSE)</f>
        <v>0</v>
      </c>
      <c r="T3625">
        <f>HLOOKUP("Provisioned MiB",'vInfo (Imported)'!$1:$5000,M3625,FALSE)</f>
        <v>0</v>
      </c>
      <c r="U3625">
        <f t="shared" si="169"/>
        <v>0</v>
      </c>
      <c r="V3625">
        <f>HLOOKUP("In Use MiB",'vInfo (Imported)'!$1:$5000,M3625,FALSE)</f>
        <v>0</v>
      </c>
    </row>
    <row r="3626" spans="1:22" ht="13" x14ac:dyDescent="0.3">
      <c r="A3626" s="46">
        <f>'vHosts (Imported)'!A3626</f>
        <v>0</v>
      </c>
      <c r="B3626" s="51">
        <f t="shared" si="171"/>
        <v>4968</v>
      </c>
      <c r="C3626" s="49">
        <f>HLOOKUP("# Cores",'vHosts (Imported)'!$1:$5000,M3626,FALSE)</f>
        <v>0</v>
      </c>
      <c r="D3626" s="52">
        <f>HLOOKUP("# Memory",'vHosts (Imported)'!$1:$5000,M3626,FALSE)</f>
        <v>0</v>
      </c>
      <c r="M3626" s="45">
        <f t="shared" si="170"/>
        <v>3626</v>
      </c>
      <c r="N3626" s="38">
        <f>HLOOKUP("Host",'vInfo (Imported)'!$1:$5000,M3626,FALSE)</f>
        <v>0</v>
      </c>
      <c r="R3626">
        <f>HLOOKUP("CPUs",'vInfo (Imported)'!$1:$5000,M3626,FALSE)</f>
        <v>0</v>
      </c>
      <c r="S3626">
        <f>HLOOKUP("Memory",'vInfo (Imported)'!$1:$5000,M3626,FALSE)</f>
        <v>0</v>
      </c>
      <c r="T3626">
        <f>HLOOKUP("Provisioned MiB",'vInfo (Imported)'!$1:$5000,M3626,FALSE)</f>
        <v>0</v>
      </c>
      <c r="U3626">
        <f t="shared" si="169"/>
        <v>0</v>
      </c>
      <c r="V3626">
        <f>HLOOKUP("In Use MiB",'vInfo (Imported)'!$1:$5000,M3626,FALSE)</f>
        <v>0</v>
      </c>
    </row>
    <row r="3627" spans="1:22" ht="13" x14ac:dyDescent="0.3">
      <c r="A3627" s="46">
        <f>'vHosts (Imported)'!A3627</f>
        <v>0</v>
      </c>
      <c r="B3627" s="51">
        <f t="shared" si="171"/>
        <v>4968</v>
      </c>
      <c r="C3627" s="49">
        <f>HLOOKUP("# Cores",'vHosts (Imported)'!$1:$5000,M3627,FALSE)</f>
        <v>0</v>
      </c>
      <c r="D3627" s="52">
        <f>HLOOKUP("# Memory",'vHosts (Imported)'!$1:$5000,M3627,FALSE)</f>
        <v>0</v>
      </c>
      <c r="M3627" s="45">
        <f t="shared" si="170"/>
        <v>3627</v>
      </c>
      <c r="N3627" s="38">
        <f>HLOOKUP("Host",'vInfo (Imported)'!$1:$5000,M3627,FALSE)</f>
        <v>0</v>
      </c>
      <c r="R3627">
        <f>HLOOKUP("CPUs",'vInfo (Imported)'!$1:$5000,M3627,FALSE)</f>
        <v>0</v>
      </c>
      <c r="S3627">
        <f>HLOOKUP("Memory",'vInfo (Imported)'!$1:$5000,M3627,FALSE)</f>
        <v>0</v>
      </c>
      <c r="T3627">
        <f>HLOOKUP("Provisioned MiB",'vInfo (Imported)'!$1:$5000,M3627,FALSE)</f>
        <v>0</v>
      </c>
      <c r="U3627">
        <f t="shared" si="169"/>
        <v>0</v>
      </c>
      <c r="V3627">
        <f>HLOOKUP("In Use MiB",'vInfo (Imported)'!$1:$5000,M3627,FALSE)</f>
        <v>0</v>
      </c>
    </row>
    <row r="3628" spans="1:22" ht="13" x14ac:dyDescent="0.3">
      <c r="A3628" s="46">
        <f>'vHosts (Imported)'!A3628</f>
        <v>0</v>
      </c>
      <c r="B3628" s="51">
        <f t="shared" si="171"/>
        <v>4968</v>
      </c>
      <c r="C3628" s="49">
        <f>HLOOKUP("# Cores",'vHosts (Imported)'!$1:$5000,M3628,FALSE)</f>
        <v>0</v>
      </c>
      <c r="D3628" s="52">
        <f>HLOOKUP("# Memory",'vHosts (Imported)'!$1:$5000,M3628,FALSE)</f>
        <v>0</v>
      </c>
      <c r="M3628" s="45">
        <f t="shared" si="170"/>
        <v>3628</v>
      </c>
      <c r="N3628" s="38">
        <f>HLOOKUP("Host",'vInfo (Imported)'!$1:$5000,M3628,FALSE)</f>
        <v>0</v>
      </c>
      <c r="R3628">
        <f>HLOOKUP("CPUs",'vInfo (Imported)'!$1:$5000,M3628,FALSE)</f>
        <v>0</v>
      </c>
      <c r="S3628">
        <f>HLOOKUP("Memory",'vInfo (Imported)'!$1:$5000,M3628,FALSE)</f>
        <v>0</v>
      </c>
      <c r="T3628">
        <f>HLOOKUP("Provisioned MiB",'vInfo (Imported)'!$1:$5000,M3628,FALSE)</f>
        <v>0</v>
      </c>
      <c r="U3628">
        <f t="shared" si="169"/>
        <v>0</v>
      </c>
      <c r="V3628">
        <f>HLOOKUP("In Use MiB",'vInfo (Imported)'!$1:$5000,M3628,FALSE)</f>
        <v>0</v>
      </c>
    </row>
    <row r="3629" spans="1:22" ht="13" x14ac:dyDescent="0.3">
      <c r="A3629" s="46">
        <f>'vHosts (Imported)'!A3629</f>
        <v>0</v>
      </c>
      <c r="B3629" s="51">
        <f t="shared" si="171"/>
        <v>4968</v>
      </c>
      <c r="C3629" s="49">
        <f>HLOOKUP("# Cores",'vHosts (Imported)'!$1:$5000,M3629,FALSE)</f>
        <v>0</v>
      </c>
      <c r="D3629" s="52">
        <f>HLOOKUP("# Memory",'vHosts (Imported)'!$1:$5000,M3629,FALSE)</f>
        <v>0</v>
      </c>
      <c r="M3629" s="45">
        <f t="shared" si="170"/>
        <v>3629</v>
      </c>
      <c r="N3629" s="38">
        <f>HLOOKUP("Host",'vInfo (Imported)'!$1:$5000,M3629,FALSE)</f>
        <v>0</v>
      </c>
      <c r="R3629">
        <f>HLOOKUP("CPUs",'vInfo (Imported)'!$1:$5000,M3629,FALSE)</f>
        <v>0</v>
      </c>
      <c r="S3629">
        <f>HLOOKUP("Memory",'vInfo (Imported)'!$1:$5000,M3629,FALSE)</f>
        <v>0</v>
      </c>
      <c r="T3629">
        <f>HLOOKUP("Provisioned MiB",'vInfo (Imported)'!$1:$5000,M3629,FALSE)</f>
        <v>0</v>
      </c>
      <c r="U3629">
        <f t="shared" si="169"/>
        <v>0</v>
      </c>
      <c r="V3629">
        <f>HLOOKUP("In Use MiB",'vInfo (Imported)'!$1:$5000,M3629,FALSE)</f>
        <v>0</v>
      </c>
    </row>
    <row r="3630" spans="1:22" ht="13" x14ac:dyDescent="0.3">
      <c r="A3630" s="46">
        <f>'vHosts (Imported)'!A3630</f>
        <v>0</v>
      </c>
      <c r="B3630" s="51">
        <f t="shared" si="171"/>
        <v>4968</v>
      </c>
      <c r="C3630" s="49">
        <f>HLOOKUP("# Cores",'vHosts (Imported)'!$1:$5000,M3630,FALSE)</f>
        <v>0</v>
      </c>
      <c r="D3630" s="52">
        <f>HLOOKUP("# Memory",'vHosts (Imported)'!$1:$5000,M3630,FALSE)</f>
        <v>0</v>
      </c>
      <c r="M3630" s="45">
        <f t="shared" si="170"/>
        <v>3630</v>
      </c>
      <c r="N3630" s="38">
        <f>HLOOKUP("Host",'vInfo (Imported)'!$1:$5000,M3630,FALSE)</f>
        <v>0</v>
      </c>
      <c r="R3630">
        <f>HLOOKUP("CPUs",'vInfo (Imported)'!$1:$5000,M3630,FALSE)</f>
        <v>0</v>
      </c>
      <c r="S3630">
        <f>HLOOKUP("Memory",'vInfo (Imported)'!$1:$5000,M3630,FALSE)</f>
        <v>0</v>
      </c>
      <c r="T3630">
        <f>HLOOKUP("Provisioned MiB",'vInfo (Imported)'!$1:$5000,M3630,FALSE)</f>
        <v>0</v>
      </c>
      <c r="U3630">
        <f t="shared" si="169"/>
        <v>0</v>
      </c>
      <c r="V3630">
        <f>HLOOKUP("In Use MiB",'vInfo (Imported)'!$1:$5000,M3630,FALSE)</f>
        <v>0</v>
      </c>
    </row>
    <row r="3631" spans="1:22" ht="13" x14ac:dyDescent="0.3">
      <c r="A3631" s="46">
        <f>'vHosts (Imported)'!A3631</f>
        <v>0</v>
      </c>
      <c r="B3631" s="51">
        <f t="shared" si="171"/>
        <v>4968</v>
      </c>
      <c r="C3631" s="49">
        <f>HLOOKUP("# Cores",'vHosts (Imported)'!$1:$5000,M3631,FALSE)</f>
        <v>0</v>
      </c>
      <c r="D3631" s="52">
        <f>HLOOKUP("# Memory",'vHosts (Imported)'!$1:$5000,M3631,FALSE)</f>
        <v>0</v>
      </c>
      <c r="M3631" s="45">
        <f t="shared" si="170"/>
        <v>3631</v>
      </c>
      <c r="N3631" s="38">
        <f>HLOOKUP("Host",'vInfo (Imported)'!$1:$5000,M3631,FALSE)</f>
        <v>0</v>
      </c>
      <c r="R3631">
        <f>HLOOKUP("CPUs",'vInfo (Imported)'!$1:$5000,M3631,FALSE)</f>
        <v>0</v>
      </c>
      <c r="S3631">
        <f>HLOOKUP("Memory",'vInfo (Imported)'!$1:$5000,M3631,FALSE)</f>
        <v>0</v>
      </c>
      <c r="T3631">
        <f>HLOOKUP("Provisioned MiB",'vInfo (Imported)'!$1:$5000,M3631,FALSE)</f>
        <v>0</v>
      </c>
      <c r="U3631">
        <f t="shared" si="169"/>
        <v>0</v>
      </c>
      <c r="V3631">
        <f>HLOOKUP("In Use MiB",'vInfo (Imported)'!$1:$5000,M3631,FALSE)</f>
        <v>0</v>
      </c>
    </row>
    <row r="3632" spans="1:22" ht="13" x14ac:dyDescent="0.3">
      <c r="A3632" s="46">
        <f>'vHosts (Imported)'!A3632</f>
        <v>0</v>
      </c>
      <c r="B3632" s="51">
        <f t="shared" si="171"/>
        <v>4968</v>
      </c>
      <c r="C3632" s="49">
        <f>HLOOKUP("# Cores",'vHosts (Imported)'!$1:$5000,M3632,FALSE)</f>
        <v>0</v>
      </c>
      <c r="D3632" s="52">
        <f>HLOOKUP("# Memory",'vHosts (Imported)'!$1:$5000,M3632,FALSE)</f>
        <v>0</v>
      </c>
      <c r="M3632" s="45">
        <f t="shared" si="170"/>
        <v>3632</v>
      </c>
      <c r="N3632" s="38">
        <f>HLOOKUP("Host",'vInfo (Imported)'!$1:$5000,M3632,FALSE)</f>
        <v>0</v>
      </c>
      <c r="R3632">
        <f>HLOOKUP("CPUs",'vInfo (Imported)'!$1:$5000,M3632,FALSE)</f>
        <v>0</v>
      </c>
      <c r="S3632">
        <f>HLOOKUP("Memory",'vInfo (Imported)'!$1:$5000,M3632,FALSE)</f>
        <v>0</v>
      </c>
      <c r="T3632">
        <f>HLOOKUP("Provisioned MiB",'vInfo (Imported)'!$1:$5000,M3632,FALSE)</f>
        <v>0</v>
      </c>
      <c r="U3632">
        <f t="shared" si="169"/>
        <v>0</v>
      </c>
      <c r="V3632">
        <f>HLOOKUP("In Use MiB",'vInfo (Imported)'!$1:$5000,M3632,FALSE)</f>
        <v>0</v>
      </c>
    </row>
    <row r="3633" spans="1:22" ht="13" x14ac:dyDescent="0.3">
      <c r="A3633" s="46">
        <f>'vHosts (Imported)'!A3633</f>
        <v>0</v>
      </c>
      <c r="B3633" s="51">
        <f t="shared" si="171"/>
        <v>4968</v>
      </c>
      <c r="C3633" s="49">
        <f>HLOOKUP("# Cores",'vHosts (Imported)'!$1:$5000,M3633,FALSE)</f>
        <v>0</v>
      </c>
      <c r="D3633" s="52">
        <f>HLOOKUP("# Memory",'vHosts (Imported)'!$1:$5000,M3633,FALSE)</f>
        <v>0</v>
      </c>
      <c r="M3633" s="45">
        <f t="shared" si="170"/>
        <v>3633</v>
      </c>
      <c r="N3633" s="38">
        <f>HLOOKUP("Host",'vInfo (Imported)'!$1:$5000,M3633,FALSE)</f>
        <v>0</v>
      </c>
      <c r="R3633">
        <f>HLOOKUP("CPUs",'vInfo (Imported)'!$1:$5000,M3633,FALSE)</f>
        <v>0</v>
      </c>
      <c r="S3633">
        <f>HLOOKUP("Memory",'vInfo (Imported)'!$1:$5000,M3633,FALSE)</f>
        <v>0</v>
      </c>
      <c r="T3633">
        <f>HLOOKUP("Provisioned MiB",'vInfo (Imported)'!$1:$5000,M3633,FALSE)</f>
        <v>0</v>
      </c>
      <c r="U3633">
        <f t="shared" si="169"/>
        <v>0</v>
      </c>
      <c r="V3633">
        <f>HLOOKUP("In Use MiB",'vInfo (Imported)'!$1:$5000,M3633,FALSE)</f>
        <v>0</v>
      </c>
    </row>
    <row r="3634" spans="1:22" ht="13" x14ac:dyDescent="0.3">
      <c r="A3634" s="46">
        <f>'vHosts (Imported)'!A3634</f>
        <v>0</v>
      </c>
      <c r="B3634" s="51">
        <f t="shared" si="171"/>
        <v>4968</v>
      </c>
      <c r="C3634" s="49">
        <f>HLOOKUP("# Cores",'vHosts (Imported)'!$1:$5000,M3634,FALSE)</f>
        <v>0</v>
      </c>
      <c r="D3634" s="52">
        <f>HLOOKUP("# Memory",'vHosts (Imported)'!$1:$5000,M3634,FALSE)</f>
        <v>0</v>
      </c>
      <c r="M3634" s="45">
        <f t="shared" si="170"/>
        <v>3634</v>
      </c>
      <c r="N3634" s="38">
        <f>HLOOKUP("Host",'vInfo (Imported)'!$1:$5000,M3634,FALSE)</f>
        <v>0</v>
      </c>
      <c r="R3634">
        <f>HLOOKUP("CPUs",'vInfo (Imported)'!$1:$5000,M3634,FALSE)</f>
        <v>0</v>
      </c>
      <c r="S3634">
        <f>HLOOKUP("Memory",'vInfo (Imported)'!$1:$5000,M3634,FALSE)</f>
        <v>0</v>
      </c>
      <c r="T3634">
        <f>HLOOKUP("Provisioned MiB",'vInfo (Imported)'!$1:$5000,M3634,FALSE)</f>
        <v>0</v>
      </c>
      <c r="U3634">
        <f t="shared" si="169"/>
        <v>0</v>
      </c>
      <c r="V3634">
        <f>HLOOKUP("In Use MiB",'vInfo (Imported)'!$1:$5000,M3634,FALSE)</f>
        <v>0</v>
      </c>
    </row>
    <row r="3635" spans="1:22" ht="13" x14ac:dyDescent="0.3">
      <c r="A3635" s="46">
        <f>'vHosts (Imported)'!A3635</f>
        <v>0</v>
      </c>
      <c r="B3635" s="51">
        <f t="shared" si="171"/>
        <v>4968</v>
      </c>
      <c r="C3635" s="49">
        <f>HLOOKUP("# Cores",'vHosts (Imported)'!$1:$5000,M3635,FALSE)</f>
        <v>0</v>
      </c>
      <c r="D3635" s="52">
        <f>HLOOKUP("# Memory",'vHosts (Imported)'!$1:$5000,M3635,FALSE)</f>
        <v>0</v>
      </c>
      <c r="M3635" s="45">
        <f t="shared" si="170"/>
        <v>3635</v>
      </c>
      <c r="N3635" s="38">
        <f>HLOOKUP("Host",'vInfo (Imported)'!$1:$5000,M3635,FALSE)</f>
        <v>0</v>
      </c>
      <c r="R3635">
        <f>HLOOKUP("CPUs",'vInfo (Imported)'!$1:$5000,M3635,FALSE)</f>
        <v>0</v>
      </c>
      <c r="S3635">
        <f>HLOOKUP("Memory",'vInfo (Imported)'!$1:$5000,M3635,FALSE)</f>
        <v>0</v>
      </c>
      <c r="T3635">
        <f>HLOOKUP("Provisioned MiB",'vInfo (Imported)'!$1:$5000,M3635,FALSE)</f>
        <v>0</v>
      </c>
      <c r="U3635">
        <f t="shared" si="169"/>
        <v>0</v>
      </c>
      <c r="V3635">
        <f>HLOOKUP("In Use MiB",'vInfo (Imported)'!$1:$5000,M3635,FALSE)</f>
        <v>0</v>
      </c>
    </row>
    <row r="3636" spans="1:22" ht="13" x14ac:dyDescent="0.3">
      <c r="A3636" s="46">
        <f>'vHosts (Imported)'!A3636</f>
        <v>0</v>
      </c>
      <c r="B3636" s="51">
        <f t="shared" si="171"/>
        <v>4968</v>
      </c>
      <c r="C3636" s="49">
        <f>HLOOKUP("# Cores",'vHosts (Imported)'!$1:$5000,M3636,FALSE)</f>
        <v>0</v>
      </c>
      <c r="D3636" s="52">
        <f>HLOOKUP("# Memory",'vHosts (Imported)'!$1:$5000,M3636,FALSE)</f>
        <v>0</v>
      </c>
      <c r="M3636" s="45">
        <f t="shared" si="170"/>
        <v>3636</v>
      </c>
      <c r="N3636" s="38">
        <f>HLOOKUP("Host",'vInfo (Imported)'!$1:$5000,M3636,FALSE)</f>
        <v>0</v>
      </c>
      <c r="R3636">
        <f>HLOOKUP("CPUs",'vInfo (Imported)'!$1:$5000,M3636,FALSE)</f>
        <v>0</v>
      </c>
      <c r="S3636">
        <f>HLOOKUP("Memory",'vInfo (Imported)'!$1:$5000,M3636,FALSE)</f>
        <v>0</v>
      </c>
      <c r="T3636">
        <f>HLOOKUP("Provisioned MiB",'vInfo (Imported)'!$1:$5000,M3636,FALSE)</f>
        <v>0</v>
      </c>
      <c r="U3636">
        <f t="shared" si="169"/>
        <v>0</v>
      </c>
      <c r="V3636">
        <f>HLOOKUP("In Use MiB",'vInfo (Imported)'!$1:$5000,M3636,FALSE)</f>
        <v>0</v>
      </c>
    </row>
    <row r="3637" spans="1:22" ht="13" x14ac:dyDescent="0.3">
      <c r="A3637" s="46">
        <f>'vHosts (Imported)'!A3637</f>
        <v>0</v>
      </c>
      <c r="B3637" s="51">
        <f t="shared" si="171"/>
        <v>4968</v>
      </c>
      <c r="C3637" s="49">
        <f>HLOOKUP("# Cores",'vHosts (Imported)'!$1:$5000,M3637,FALSE)</f>
        <v>0</v>
      </c>
      <c r="D3637" s="52">
        <f>HLOOKUP("# Memory",'vHosts (Imported)'!$1:$5000,M3637,FALSE)</f>
        <v>0</v>
      </c>
      <c r="M3637" s="45">
        <f t="shared" si="170"/>
        <v>3637</v>
      </c>
      <c r="N3637" s="38">
        <f>HLOOKUP("Host",'vInfo (Imported)'!$1:$5000,M3637,FALSE)</f>
        <v>0</v>
      </c>
      <c r="R3637">
        <f>HLOOKUP("CPUs",'vInfo (Imported)'!$1:$5000,M3637,FALSE)</f>
        <v>0</v>
      </c>
      <c r="S3637">
        <f>HLOOKUP("Memory",'vInfo (Imported)'!$1:$5000,M3637,FALSE)</f>
        <v>0</v>
      </c>
      <c r="T3637">
        <f>HLOOKUP("Provisioned MiB",'vInfo (Imported)'!$1:$5000,M3637,FALSE)</f>
        <v>0</v>
      </c>
      <c r="U3637">
        <f t="shared" si="169"/>
        <v>0</v>
      </c>
      <c r="V3637">
        <f>HLOOKUP("In Use MiB",'vInfo (Imported)'!$1:$5000,M3637,FALSE)</f>
        <v>0</v>
      </c>
    </row>
    <row r="3638" spans="1:22" ht="13" x14ac:dyDescent="0.3">
      <c r="A3638" s="46">
        <f>'vHosts (Imported)'!A3638</f>
        <v>0</v>
      </c>
      <c r="B3638" s="51">
        <f t="shared" si="171"/>
        <v>4968</v>
      </c>
      <c r="C3638" s="49">
        <f>HLOOKUP("# Cores",'vHosts (Imported)'!$1:$5000,M3638,FALSE)</f>
        <v>0</v>
      </c>
      <c r="D3638" s="52">
        <f>HLOOKUP("# Memory",'vHosts (Imported)'!$1:$5000,M3638,FALSE)</f>
        <v>0</v>
      </c>
      <c r="M3638" s="45">
        <f t="shared" si="170"/>
        <v>3638</v>
      </c>
      <c r="N3638" s="38">
        <f>HLOOKUP("Host",'vInfo (Imported)'!$1:$5000,M3638,FALSE)</f>
        <v>0</v>
      </c>
      <c r="R3638">
        <f>HLOOKUP("CPUs",'vInfo (Imported)'!$1:$5000,M3638,FALSE)</f>
        <v>0</v>
      </c>
      <c r="S3638">
        <f>HLOOKUP("Memory",'vInfo (Imported)'!$1:$5000,M3638,FALSE)</f>
        <v>0</v>
      </c>
      <c r="T3638">
        <f>HLOOKUP("Provisioned MiB",'vInfo (Imported)'!$1:$5000,M3638,FALSE)</f>
        <v>0</v>
      </c>
      <c r="U3638">
        <f t="shared" si="169"/>
        <v>0</v>
      </c>
      <c r="V3638">
        <f>HLOOKUP("In Use MiB",'vInfo (Imported)'!$1:$5000,M3638,FALSE)</f>
        <v>0</v>
      </c>
    </row>
    <row r="3639" spans="1:22" ht="13" x14ac:dyDescent="0.3">
      <c r="A3639" s="46">
        <f>'vHosts (Imported)'!A3639</f>
        <v>0</v>
      </c>
      <c r="B3639" s="51">
        <f t="shared" si="171"/>
        <v>4968</v>
      </c>
      <c r="C3639" s="49">
        <f>HLOOKUP("# Cores",'vHosts (Imported)'!$1:$5000,M3639,FALSE)</f>
        <v>0</v>
      </c>
      <c r="D3639" s="52">
        <f>HLOOKUP("# Memory",'vHosts (Imported)'!$1:$5000,M3639,FALSE)</f>
        <v>0</v>
      </c>
      <c r="M3639" s="45">
        <f t="shared" si="170"/>
        <v>3639</v>
      </c>
      <c r="N3639" s="38">
        <f>HLOOKUP("Host",'vInfo (Imported)'!$1:$5000,M3639,FALSE)</f>
        <v>0</v>
      </c>
      <c r="R3639">
        <f>HLOOKUP("CPUs",'vInfo (Imported)'!$1:$5000,M3639,FALSE)</f>
        <v>0</v>
      </c>
      <c r="S3639">
        <f>HLOOKUP("Memory",'vInfo (Imported)'!$1:$5000,M3639,FALSE)</f>
        <v>0</v>
      </c>
      <c r="T3639">
        <f>HLOOKUP("Provisioned MiB",'vInfo (Imported)'!$1:$5000,M3639,FALSE)</f>
        <v>0</v>
      </c>
      <c r="U3639">
        <f t="shared" si="169"/>
        <v>0</v>
      </c>
      <c r="V3639">
        <f>HLOOKUP("In Use MiB",'vInfo (Imported)'!$1:$5000,M3639,FALSE)</f>
        <v>0</v>
      </c>
    </row>
    <row r="3640" spans="1:22" ht="13" x14ac:dyDescent="0.3">
      <c r="A3640" s="46">
        <f>'vHosts (Imported)'!A3640</f>
        <v>0</v>
      </c>
      <c r="B3640" s="51">
        <f t="shared" si="171"/>
        <v>4968</v>
      </c>
      <c r="C3640" s="49">
        <f>HLOOKUP("# Cores",'vHosts (Imported)'!$1:$5000,M3640,FALSE)</f>
        <v>0</v>
      </c>
      <c r="D3640" s="52">
        <f>HLOOKUP("# Memory",'vHosts (Imported)'!$1:$5000,M3640,FALSE)</f>
        <v>0</v>
      </c>
      <c r="M3640" s="45">
        <f t="shared" si="170"/>
        <v>3640</v>
      </c>
      <c r="N3640" s="38">
        <f>HLOOKUP("Host",'vInfo (Imported)'!$1:$5000,M3640,FALSE)</f>
        <v>0</v>
      </c>
      <c r="R3640">
        <f>HLOOKUP("CPUs",'vInfo (Imported)'!$1:$5000,M3640,FALSE)</f>
        <v>0</v>
      </c>
      <c r="S3640">
        <f>HLOOKUP("Memory",'vInfo (Imported)'!$1:$5000,M3640,FALSE)</f>
        <v>0</v>
      </c>
      <c r="T3640">
        <f>HLOOKUP("Provisioned MiB",'vInfo (Imported)'!$1:$5000,M3640,FALSE)</f>
        <v>0</v>
      </c>
      <c r="U3640">
        <f t="shared" si="169"/>
        <v>0</v>
      </c>
      <c r="V3640">
        <f>HLOOKUP("In Use MiB",'vInfo (Imported)'!$1:$5000,M3640,FALSE)</f>
        <v>0</v>
      </c>
    </row>
    <row r="3641" spans="1:22" ht="13" x14ac:dyDescent="0.3">
      <c r="A3641" s="46">
        <f>'vHosts (Imported)'!A3641</f>
        <v>0</v>
      </c>
      <c r="B3641" s="51">
        <f t="shared" si="171"/>
        <v>4968</v>
      </c>
      <c r="C3641" s="49">
        <f>HLOOKUP("# Cores",'vHosts (Imported)'!$1:$5000,M3641,FALSE)</f>
        <v>0</v>
      </c>
      <c r="D3641" s="52">
        <f>HLOOKUP("# Memory",'vHosts (Imported)'!$1:$5000,M3641,FALSE)</f>
        <v>0</v>
      </c>
      <c r="M3641" s="45">
        <f t="shared" si="170"/>
        <v>3641</v>
      </c>
      <c r="N3641" s="38">
        <f>HLOOKUP("Host",'vInfo (Imported)'!$1:$5000,M3641,FALSE)</f>
        <v>0</v>
      </c>
      <c r="R3641">
        <f>HLOOKUP("CPUs",'vInfo (Imported)'!$1:$5000,M3641,FALSE)</f>
        <v>0</v>
      </c>
      <c r="S3641">
        <f>HLOOKUP("Memory",'vInfo (Imported)'!$1:$5000,M3641,FALSE)</f>
        <v>0</v>
      </c>
      <c r="T3641">
        <f>HLOOKUP("Provisioned MiB",'vInfo (Imported)'!$1:$5000,M3641,FALSE)</f>
        <v>0</v>
      </c>
      <c r="U3641">
        <f t="shared" si="169"/>
        <v>0</v>
      </c>
      <c r="V3641">
        <f>HLOOKUP("In Use MiB",'vInfo (Imported)'!$1:$5000,M3641,FALSE)</f>
        <v>0</v>
      </c>
    </row>
    <row r="3642" spans="1:22" ht="13" x14ac:dyDescent="0.3">
      <c r="A3642" s="46">
        <f>'vHosts (Imported)'!A3642</f>
        <v>0</v>
      </c>
      <c r="B3642" s="51">
        <f t="shared" si="171"/>
        <v>4968</v>
      </c>
      <c r="C3642" s="49">
        <f>HLOOKUP("# Cores",'vHosts (Imported)'!$1:$5000,M3642,FALSE)</f>
        <v>0</v>
      </c>
      <c r="D3642" s="52">
        <f>HLOOKUP("# Memory",'vHosts (Imported)'!$1:$5000,M3642,FALSE)</f>
        <v>0</v>
      </c>
      <c r="M3642" s="45">
        <f t="shared" si="170"/>
        <v>3642</v>
      </c>
      <c r="N3642" s="38">
        <f>HLOOKUP("Host",'vInfo (Imported)'!$1:$5000,M3642,FALSE)</f>
        <v>0</v>
      </c>
      <c r="R3642">
        <f>HLOOKUP("CPUs",'vInfo (Imported)'!$1:$5000,M3642,FALSE)</f>
        <v>0</v>
      </c>
      <c r="S3642">
        <f>HLOOKUP("Memory",'vInfo (Imported)'!$1:$5000,M3642,FALSE)</f>
        <v>0</v>
      </c>
      <c r="T3642">
        <f>HLOOKUP("Provisioned MiB",'vInfo (Imported)'!$1:$5000,M3642,FALSE)</f>
        <v>0</v>
      </c>
      <c r="U3642">
        <f t="shared" si="169"/>
        <v>0</v>
      </c>
      <c r="V3642">
        <f>HLOOKUP("In Use MiB",'vInfo (Imported)'!$1:$5000,M3642,FALSE)</f>
        <v>0</v>
      </c>
    </row>
    <row r="3643" spans="1:22" ht="13" x14ac:dyDescent="0.3">
      <c r="A3643" s="46">
        <f>'vHosts (Imported)'!A3643</f>
        <v>0</v>
      </c>
      <c r="B3643" s="51">
        <f t="shared" si="171"/>
        <v>4968</v>
      </c>
      <c r="C3643" s="49">
        <f>HLOOKUP("# Cores",'vHosts (Imported)'!$1:$5000,M3643,FALSE)</f>
        <v>0</v>
      </c>
      <c r="D3643" s="52">
        <f>HLOOKUP("# Memory",'vHosts (Imported)'!$1:$5000,M3643,FALSE)</f>
        <v>0</v>
      </c>
      <c r="M3643" s="45">
        <f t="shared" si="170"/>
        <v>3643</v>
      </c>
      <c r="N3643" s="38">
        <f>HLOOKUP("Host",'vInfo (Imported)'!$1:$5000,M3643,FALSE)</f>
        <v>0</v>
      </c>
      <c r="R3643">
        <f>HLOOKUP("CPUs",'vInfo (Imported)'!$1:$5000,M3643,FALSE)</f>
        <v>0</v>
      </c>
      <c r="S3643">
        <f>HLOOKUP("Memory",'vInfo (Imported)'!$1:$5000,M3643,FALSE)</f>
        <v>0</v>
      </c>
      <c r="T3643">
        <f>HLOOKUP("Provisioned MiB",'vInfo (Imported)'!$1:$5000,M3643,FALSE)</f>
        <v>0</v>
      </c>
      <c r="U3643">
        <f t="shared" si="169"/>
        <v>0</v>
      </c>
      <c r="V3643">
        <f>HLOOKUP("In Use MiB",'vInfo (Imported)'!$1:$5000,M3643,FALSE)</f>
        <v>0</v>
      </c>
    </row>
    <row r="3644" spans="1:22" ht="13" x14ac:dyDescent="0.3">
      <c r="A3644" s="46">
        <f>'vHosts (Imported)'!A3644</f>
        <v>0</v>
      </c>
      <c r="B3644" s="51">
        <f t="shared" si="171"/>
        <v>4968</v>
      </c>
      <c r="C3644" s="49">
        <f>HLOOKUP("# Cores",'vHosts (Imported)'!$1:$5000,M3644,FALSE)</f>
        <v>0</v>
      </c>
      <c r="D3644" s="52">
        <f>HLOOKUP("# Memory",'vHosts (Imported)'!$1:$5000,M3644,FALSE)</f>
        <v>0</v>
      </c>
      <c r="M3644" s="45">
        <f t="shared" si="170"/>
        <v>3644</v>
      </c>
      <c r="N3644" s="38">
        <f>HLOOKUP("Host",'vInfo (Imported)'!$1:$5000,M3644,FALSE)</f>
        <v>0</v>
      </c>
      <c r="R3644">
        <f>HLOOKUP("CPUs",'vInfo (Imported)'!$1:$5000,M3644,FALSE)</f>
        <v>0</v>
      </c>
      <c r="S3644">
        <f>HLOOKUP("Memory",'vInfo (Imported)'!$1:$5000,M3644,FALSE)</f>
        <v>0</v>
      </c>
      <c r="T3644">
        <f>HLOOKUP("Provisioned MiB",'vInfo (Imported)'!$1:$5000,M3644,FALSE)</f>
        <v>0</v>
      </c>
      <c r="U3644">
        <f t="shared" si="169"/>
        <v>0</v>
      </c>
      <c r="V3644">
        <f>HLOOKUP("In Use MiB",'vInfo (Imported)'!$1:$5000,M3644,FALSE)</f>
        <v>0</v>
      </c>
    </row>
    <row r="3645" spans="1:22" ht="13" x14ac:dyDescent="0.3">
      <c r="A3645" s="46">
        <f>'vHosts (Imported)'!A3645</f>
        <v>0</v>
      </c>
      <c r="B3645" s="51">
        <f t="shared" si="171"/>
        <v>4968</v>
      </c>
      <c r="C3645" s="49">
        <f>HLOOKUP("# Cores",'vHosts (Imported)'!$1:$5000,M3645,FALSE)</f>
        <v>0</v>
      </c>
      <c r="D3645" s="52">
        <f>HLOOKUP("# Memory",'vHosts (Imported)'!$1:$5000,M3645,FALSE)</f>
        <v>0</v>
      </c>
      <c r="M3645" s="45">
        <f t="shared" si="170"/>
        <v>3645</v>
      </c>
      <c r="N3645" s="38">
        <f>HLOOKUP("Host",'vInfo (Imported)'!$1:$5000,M3645,FALSE)</f>
        <v>0</v>
      </c>
      <c r="R3645">
        <f>HLOOKUP("CPUs",'vInfo (Imported)'!$1:$5000,M3645,FALSE)</f>
        <v>0</v>
      </c>
      <c r="S3645">
        <f>HLOOKUP("Memory",'vInfo (Imported)'!$1:$5000,M3645,FALSE)</f>
        <v>0</v>
      </c>
      <c r="T3645">
        <f>HLOOKUP("Provisioned MiB",'vInfo (Imported)'!$1:$5000,M3645,FALSE)</f>
        <v>0</v>
      </c>
      <c r="U3645">
        <f t="shared" si="169"/>
        <v>0</v>
      </c>
      <c r="V3645">
        <f>HLOOKUP("In Use MiB",'vInfo (Imported)'!$1:$5000,M3645,FALSE)</f>
        <v>0</v>
      </c>
    </row>
    <row r="3646" spans="1:22" ht="13" x14ac:dyDescent="0.3">
      <c r="A3646" s="46">
        <f>'vHosts (Imported)'!A3646</f>
        <v>0</v>
      </c>
      <c r="B3646" s="51">
        <f t="shared" si="171"/>
        <v>4968</v>
      </c>
      <c r="C3646" s="49">
        <f>HLOOKUP("# Cores",'vHosts (Imported)'!$1:$5000,M3646,FALSE)</f>
        <v>0</v>
      </c>
      <c r="D3646" s="52">
        <f>HLOOKUP("# Memory",'vHosts (Imported)'!$1:$5000,M3646,FALSE)</f>
        <v>0</v>
      </c>
      <c r="M3646" s="45">
        <f t="shared" si="170"/>
        <v>3646</v>
      </c>
      <c r="N3646" s="38">
        <f>HLOOKUP("Host",'vInfo (Imported)'!$1:$5000,M3646,FALSE)</f>
        <v>0</v>
      </c>
      <c r="R3646">
        <f>HLOOKUP("CPUs",'vInfo (Imported)'!$1:$5000,M3646,FALSE)</f>
        <v>0</v>
      </c>
      <c r="S3646">
        <f>HLOOKUP("Memory",'vInfo (Imported)'!$1:$5000,M3646,FALSE)</f>
        <v>0</v>
      </c>
      <c r="T3646">
        <f>HLOOKUP("Provisioned MiB",'vInfo (Imported)'!$1:$5000,M3646,FALSE)</f>
        <v>0</v>
      </c>
      <c r="U3646">
        <f t="shared" si="169"/>
        <v>0</v>
      </c>
      <c r="V3646">
        <f>HLOOKUP("In Use MiB",'vInfo (Imported)'!$1:$5000,M3646,FALSE)</f>
        <v>0</v>
      </c>
    </row>
    <row r="3647" spans="1:22" ht="13" x14ac:dyDescent="0.3">
      <c r="A3647" s="46">
        <f>'vHosts (Imported)'!A3647</f>
        <v>0</v>
      </c>
      <c r="B3647" s="51">
        <f t="shared" si="171"/>
        <v>4968</v>
      </c>
      <c r="C3647" s="49">
        <f>HLOOKUP("# Cores",'vHosts (Imported)'!$1:$5000,M3647,FALSE)</f>
        <v>0</v>
      </c>
      <c r="D3647" s="52">
        <f>HLOOKUP("# Memory",'vHosts (Imported)'!$1:$5000,M3647,FALSE)</f>
        <v>0</v>
      </c>
      <c r="M3647" s="45">
        <f t="shared" si="170"/>
        <v>3647</v>
      </c>
      <c r="N3647" s="38">
        <f>HLOOKUP("Host",'vInfo (Imported)'!$1:$5000,M3647,FALSE)</f>
        <v>0</v>
      </c>
      <c r="R3647">
        <f>HLOOKUP("CPUs",'vInfo (Imported)'!$1:$5000,M3647,FALSE)</f>
        <v>0</v>
      </c>
      <c r="S3647">
        <f>HLOOKUP("Memory",'vInfo (Imported)'!$1:$5000,M3647,FALSE)</f>
        <v>0</v>
      </c>
      <c r="T3647">
        <f>HLOOKUP("Provisioned MiB",'vInfo (Imported)'!$1:$5000,M3647,FALSE)</f>
        <v>0</v>
      </c>
      <c r="U3647">
        <f t="shared" si="169"/>
        <v>0</v>
      </c>
      <c r="V3647">
        <f>HLOOKUP("In Use MiB",'vInfo (Imported)'!$1:$5000,M3647,FALSE)</f>
        <v>0</v>
      </c>
    </row>
    <row r="3648" spans="1:22" ht="13" x14ac:dyDescent="0.3">
      <c r="A3648" s="46">
        <f>'vHosts (Imported)'!A3648</f>
        <v>0</v>
      </c>
      <c r="B3648" s="51">
        <f t="shared" si="171"/>
        <v>4968</v>
      </c>
      <c r="C3648" s="49">
        <f>HLOOKUP("# Cores",'vHosts (Imported)'!$1:$5000,M3648,FALSE)</f>
        <v>0</v>
      </c>
      <c r="D3648" s="52">
        <f>HLOOKUP("# Memory",'vHosts (Imported)'!$1:$5000,M3648,FALSE)</f>
        <v>0</v>
      </c>
      <c r="M3648" s="45">
        <f t="shared" si="170"/>
        <v>3648</v>
      </c>
      <c r="N3648" s="38">
        <f>HLOOKUP("Host",'vInfo (Imported)'!$1:$5000,M3648,FALSE)</f>
        <v>0</v>
      </c>
      <c r="R3648">
        <f>HLOOKUP("CPUs",'vInfo (Imported)'!$1:$5000,M3648,FALSE)</f>
        <v>0</v>
      </c>
      <c r="S3648">
        <f>HLOOKUP("Memory",'vInfo (Imported)'!$1:$5000,M3648,FALSE)</f>
        <v>0</v>
      </c>
      <c r="T3648">
        <f>HLOOKUP("Provisioned MiB",'vInfo (Imported)'!$1:$5000,M3648,FALSE)</f>
        <v>0</v>
      </c>
      <c r="U3648">
        <f t="shared" si="169"/>
        <v>0</v>
      </c>
      <c r="V3648">
        <f>HLOOKUP("In Use MiB",'vInfo (Imported)'!$1:$5000,M3648,FALSE)</f>
        <v>0</v>
      </c>
    </row>
    <row r="3649" spans="1:22" ht="13" x14ac:dyDescent="0.3">
      <c r="A3649" s="46">
        <f>'vHosts (Imported)'!A3649</f>
        <v>0</v>
      </c>
      <c r="B3649" s="51">
        <f t="shared" si="171"/>
        <v>4968</v>
      </c>
      <c r="C3649" s="49">
        <f>HLOOKUP("# Cores",'vHosts (Imported)'!$1:$5000,M3649,FALSE)</f>
        <v>0</v>
      </c>
      <c r="D3649" s="52">
        <f>HLOOKUP("# Memory",'vHosts (Imported)'!$1:$5000,M3649,FALSE)</f>
        <v>0</v>
      </c>
      <c r="M3649" s="45">
        <f t="shared" si="170"/>
        <v>3649</v>
      </c>
      <c r="N3649" s="38">
        <f>HLOOKUP("Host",'vInfo (Imported)'!$1:$5000,M3649,FALSE)</f>
        <v>0</v>
      </c>
      <c r="R3649">
        <f>HLOOKUP("CPUs",'vInfo (Imported)'!$1:$5000,M3649,FALSE)</f>
        <v>0</v>
      </c>
      <c r="S3649">
        <f>HLOOKUP("Memory",'vInfo (Imported)'!$1:$5000,M3649,FALSE)</f>
        <v>0</v>
      </c>
      <c r="T3649">
        <f>HLOOKUP("Provisioned MiB",'vInfo (Imported)'!$1:$5000,M3649,FALSE)</f>
        <v>0</v>
      </c>
      <c r="U3649">
        <f t="shared" si="169"/>
        <v>0</v>
      </c>
      <c r="V3649">
        <f>HLOOKUP("In Use MiB",'vInfo (Imported)'!$1:$5000,M3649,FALSE)</f>
        <v>0</v>
      </c>
    </row>
    <row r="3650" spans="1:22" ht="13" x14ac:dyDescent="0.3">
      <c r="A3650" s="46">
        <f>'vHosts (Imported)'!A3650</f>
        <v>0</v>
      </c>
      <c r="B3650" s="51">
        <f t="shared" si="171"/>
        <v>4968</v>
      </c>
      <c r="C3650" s="49">
        <f>HLOOKUP("# Cores",'vHosts (Imported)'!$1:$5000,M3650,FALSE)</f>
        <v>0</v>
      </c>
      <c r="D3650" s="52">
        <f>HLOOKUP("# Memory",'vHosts (Imported)'!$1:$5000,M3650,FALSE)</f>
        <v>0</v>
      </c>
      <c r="M3650" s="45">
        <f t="shared" si="170"/>
        <v>3650</v>
      </c>
      <c r="N3650" s="38">
        <f>HLOOKUP("Host",'vInfo (Imported)'!$1:$5000,M3650,FALSE)</f>
        <v>0</v>
      </c>
      <c r="R3650">
        <f>HLOOKUP("CPUs",'vInfo (Imported)'!$1:$5000,M3650,FALSE)</f>
        <v>0</v>
      </c>
      <c r="S3650">
        <f>HLOOKUP("Memory",'vInfo (Imported)'!$1:$5000,M3650,FALSE)</f>
        <v>0</v>
      </c>
      <c r="T3650">
        <f>HLOOKUP("Provisioned MiB",'vInfo (Imported)'!$1:$5000,M3650,FALSE)</f>
        <v>0</v>
      </c>
      <c r="U3650">
        <f t="shared" si="169"/>
        <v>0</v>
      </c>
      <c r="V3650">
        <f>HLOOKUP("In Use MiB",'vInfo (Imported)'!$1:$5000,M3650,FALSE)</f>
        <v>0</v>
      </c>
    </row>
    <row r="3651" spans="1:22" ht="13" x14ac:dyDescent="0.3">
      <c r="A3651" s="46">
        <f>'vHosts (Imported)'!A3651</f>
        <v>0</v>
      </c>
      <c r="B3651" s="51">
        <f t="shared" si="171"/>
        <v>4968</v>
      </c>
      <c r="C3651" s="49">
        <f>HLOOKUP("# Cores",'vHosts (Imported)'!$1:$5000,M3651,FALSE)</f>
        <v>0</v>
      </c>
      <c r="D3651" s="52">
        <f>HLOOKUP("# Memory",'vHosts (Imported)'!$1:$5000,M3651,FALSE)</f>
        <v>0</v>
      </c>
      <c r="M3651" s="45">
        <f t="shared" si="170"/>
        <v>3651</v>
      </c>
      <c r="N3651" s="38">
        <f>HLOOKUP("Host",'vInfo (Imported)'!$1:$5000,M3651,FALSE)</f>
        <v>0</v>
      </c>
      <c r="R3651">
        <f>HLOOKUP("CPUs",'vInfo (Imported)'!$1:$5000,M3651,FALSE)</f>
        <v>0</v>
      </c>
      <c r="S3651">
        <f>HLOOKUP("Memory",'vInfo (Imported)'!$1:$5000,M3651,FALSE)</f>
        <v>0</v>
      </c>
      <c r="T3651">
        <f>HLOOKUP("Provisioned MiB",'vInfo (Imported)'!$1:$5000,M3651,FALSE)</f>
        <v>0</v>
      </c>
      <c r="U3651">
        <f t="shared" ref="U3651:U3714" si="172">T3651-V3651</f>
        <v>0</v>
      </c>
      <c r="V3651">
        <f>HLOOKUP("In Use MiB",'vInfo (Imported)'!$1:$5000,M3651,FALSE)</f>
        <v>0</v>
      </c>
    </row>
    <row r="3652" spans="1:22" ht="13" x14ac:dyDescent="0.3">
      <c r="A3652" s="46">
        <f>'vHosts (Imported)'!A3652</f>
        <v>0</v>
      </c>
      <c r="B3652" s="51">
        <f t="shared" si="171"/>
        <v>4968</v>
      </c>
      <c r="C3652" s="49">
        <f>HLOOKUP("# Cores",'vHosts (Imported)'!$1:$5000,M3652,FALSE)</f>
        <v>0</v>
      </c>
      <c r="D3652" s="52">
        <f>HLOOKUP("# Memory",'vHosts (Imported)'!$1:$5000,M3652,FALSE)</f>
        <v>0</v>
      </c>
      <c r="M3652" s="45">
        <f t="shared" ref="M3652:M3715" si="173">M3651+1</f>
        <v>3652</v>
      </c>
      <c r="N3652" s="38">
        <f>HLOOKUP("Host",'vInfo (Imported)'!$1:$5000,M3652,FALSE)</f>
        <v>0</v>
      </c>
      <c r="R3652">
        <f>HLOOKUP("CPUs",'vInfo (Imported)'!$1:$5000,M3652,FALSE)</f>
        <v>0</v>
      </c>
      <c r="S3652">
        <f>HLOOKUP("Memory",'vInfo (Imported)'!$1:$5000,M3652,FALSE)</f>
        <v>0</v>
      </c>
      <c r="T3652">
        <f>HLOOKUP("Provisioned MiB",'vInfo (Imported)'!$1:$5000,M3652,FALSE)</f>
        <v>0</v>
      </c>
      <c r="U3652">
        <f t="shared" si="172"/>
        <v>0</v>
      </c>
      <c r="V3652">
        <f>HLOOKUP("In Use MiB",'vInfo (Imported)'!$1:$5000,M3652,FALSE)</f>
        <v>0</v>
      </c>
    </row>
    <row r="3653" spans="1:22" ht="13" x14ac:dyDescent="0.3">
      <c r="A3653" s="46">
        <f>'vHosts (Imported)'!A3653</f>
        <v>0</v>
      </c>
      <c r="B3653" s="51">
        <f t="shared" si="171"/>
        <v>4968</v>
      </c>
      <c r="C3653" s="49">
        <f>HLOOKUP("# Cores",'vHosts (Imported)'!$1:$5000,M3653,FALSE)</f>
        <v>0</v>
      </c>
      <c r="D3653" s="52">
        <f>HLOOKUP("# Memory",'vHosts (Imported)'!$1:$5000,M3653,FALSE)</f>
        <v>0</v>
      </c>
      <c r="M3653" s="45">
        <f t="shared" si="173"/>
        <v>3653</v>
      </c>
      <c r="N3653" s="38">
        <f>HLOOKUP("Host",'vInfo (Imported)'!$1:$5000,M3653,FALSE)</f>
        <v>0</v>
      </c>
      <c r="R3653">
        <f>HLOOKUP("CPUs",'vInfo (Imported)'!$1:$5000,M3653,FALSE)</f>
        <v>0</v>
      </c>
      <c r="S3653">
        <f>HLOOKUP("Memory",'vInfo (Imported)'!$1:$5000,M3653,FALSE)</f>
        <v>0</v>
      </c>
      <c r="T3653">
        <f>HLOOKUP("Provisioned MiB",'vInfo (Imported)'!$1:$5000,M3653,FALSE)</f>
        <v>0</v>
      </c>
      <c r="U3653">
        <f t="shared" si="172"/>
        <v>0</v>
      </c>
      <c r="V3653">
        <f>HLOOKUP("In Use MiB",'vInfo (Imported)'!$1:$5000,M3653,FALSE)</f>
        <v>0</v>
      </c>
    </row>
    <row r="3654" spans="1:22" ht="13" x14ac:dyDescent="0.3">
      <c r="A3654" s="46">
        <f>'vHosts (Imported)'!A3654</f>
        <v>0</v>
      </c>
      <c r="B3654" s="51">
        <f t="shared" si="171"/>
        <v>4968</v>
      </c>
      <c r="C3654" s="49">
        <f>HLOOKUP("# Cores",'vHosts (Imported)'!$1:$5000,M3654,FALSE)</f>
        <v>0</v>
      </c>
      <c r="D3654" s="52">
        <f>HLOOKUP("# Memory",'vHosts (Imported)'!$1:$5000,M3654,FALSE)</f>
        <v>0</v>
      </c>
      <c r="M3654" s="45">
        <f t="shared" si="173"/>
        <v>3654</v>
      </c>
      <c r="N3654" s="38">
        <f>HLOOKUP("Host",'vInfo (Imported)'!$1:$5000,M3654,FALSE)</f>
        <v>0</v>
      </c>
      <c r="R3654">
        <f>HLOOKUP("CPUs",'vInfo (Imported)'!$1:$5000,M3654,FALSE)</f>
        <v>0</v>
      </c>
      <c r="S3654">
        <f>HLOOKUP("Memory",'vInfo (Imported)'!$1:$5000,M3654,FALSE)</f>
        <v>0</v>
      </c>
      <c r="T3654">
        <f>HLOOKUP("Provisioned MiB",'vInfo (Imported)'!$1:$5000,M3654,FALSE)</f>
        <v>0</v>
      </c>
      <c r="U3654">
        <f t="shared" si="172"/>
        <v>0</v>
      </c>
      <c r="V3654">
        <f>HLOOKUP("In Use MiB",'vInfo (Imported)'!$1:$5000,M3654,FALSE)</f>
        <v>0</v>
      </c>
    </row>
    <row r="3655" spans="1:22" ht="13" x14ac:dyDescent="0.3">
      <c r="A3655" s="46">
        <f>'vHosts (Imported)'!A3655</f>
        <v>0</v>
      </c>
      <c r="B3655" s="51">
        <f t="shared" si="171"/>
        <v>4968</v>
      </c>
      <c r="C3655" s="49">
        <f>HLOOKUP("# Cores",'vHosts (Imported)'!$1:$5000,M3655,FALSE)</f>
        <v>0</v>
      </c>
      <c r="D3655" s="52">
        <f>HLOOKUP("# Memory",'vHosts (Imported)'!$1:$5000,M3655,FALSE)</f>
        <v>0</v>
      </c>
      <c r="M3655" s="45">
        <f t="shared" si="173"/>
        <v>3655</v>
      </c>
      <c r="N3655" s="38">
        <f>HLOOKUP("Host",'vInfo (Imported)'!$1:$5000,M3655,FALSE)</f>
        <v>0</v>
      </c>
      <c r="R3655">
        <f>HLOOKUP("CPUs",'vInfo (Imported)'!$1:$5000,M3655,FALSE)</f>
        <v>0</v>
      </c>
      <c r="S3655">
        <f>HLOOKUP("Memory",'vInfo (Imported)'!$1:$5000,M3655,FALSE)</f>
        <v>0</v>
      </c>
      <c r="T3655">
        <f>HLOOKUP("Provisioned MiB",'vInfo (Imported)'!$1:$5000,M3655,FALSE)</f>
        <v>0</v>
      </c>
      <c r="U3655">
        <f t="shared" si="172"/>
        <v>0</v>
      </c>
      <c r="V3655">
        <f>HLOOKUP("In Use MiB",'vInfo (Imported)'!$1:$5000,M3655,FALSE)</f>
        <v>0</v>
      </c>
    </row>
    <row r="3656" spans="1:22" ht="13" x14ac:dyDescent="0.3">
      <c r="A3656" s="46">
        <f>'vHosts (Imported)'!A3656</f>
        <v>0</v>
      </c>
      <c r="B3656" s="51">
        <f t="shared" si="171"/>
        <v>4968</v>
      </c>
      <c r="C3656" s="49">
        <f>HLOOKUP("# Cores",'vHosts (Imported)'!$1:$5000,M3656,FALSE)</f>
        <v>0</v>
      </c>
      <c r="D3656" s="52">
        <f>HLOOKUP("# Memory",'vHosts (Imported)'!$1:$5000,M3656,FALSE)</f>
        <v>0</v>
      </c>
      <c r="M3656" s="45">
        <f t="shared" si="173"/>
        <v>3656</v>
      </c>
      <c r="N3656" s="38">
        <f>HLOOKUP("Host",'vInfo (Imported)'!$1:$5000,M3656,FALSE)</f>
        <v>0</v>
      </c>
      <c r="R3656">
        <f>HLOOKUP("CPUs",'vInfo (Imported)'!$1:$5000,M3656,FALSE)</f>
        <v>0</v>
      </c>
      <c r="S3656">
        <f>HLOOKUP("Memory",'vInfo (Imported)'!$1:$5000,M3656,FALSE)</f>
        <v>0</v>
      </c>
      <c r="T3656">
        <f>HLOOKUP("Provisioned MiB",'vInfo (Imported)'!$1:$5000,M3656,FALSE)</f>
        <v>0</v>
      </c>
      <c r="U3656">
        <f t="shared" si="172"/>
        <v>0</v>
      </c>
      <c r="V3656">
        <f>HLOOKUP("In Use MiB",'vInfo (Imported)'!$1:$5000,M3656,FALSE)</f>
        <v>0</v>
      </c>
    </row>
    <row r="3657" spans="1:22" ht="13" x14ac:dyDescent="0.3">
      <c r="A3657" s="46">
        <f>'vHosts (Imported)'!A3657</f>
        <v>0</v>
      </c>
      <c r="B3657" s="51">
        <f t="shared" si="171"/>
        <v>4968</v>
      </c>
      <c r="C3657" s="49">
        <f>HLOOKUP("# Cores",'vHosts (Imported)'!$1:$5000,M3657,FALSE)</f>
        <v>0</v>
      </c>
      <c r="D3657" s="52">
        <f>HLOOKUP("# Memory",'vHosts (Imported)'!$1:$5000,M3657,FALSE)</f>
        <v>0</v>
      </c>
      <c r="M3657" s="45">
        <f t="shared" si="173"/>
        <v>3657</v>
      </c>
      <c r="N3657" s="38">
        <f>HLOOKUP("Host",'vInfo (Imported)'!$1:$5000,M3657,FALSE)</f>
        <v>0</v>
      </c>
      <c r="R3657">
        <f>HLOOKUP("CPUs",'vInfo (Imported)'!$1:$5000,M3657,FALSE)</f>
        <v>0</v>
      </c>
      <c r="S3657">
        <f>HLOOKUP("Memory",'vInfo (Imported)'!$1:$5000,M3657,FALSE)</f>
        <v>0</v>
      </c>
      <c r="T3657">
        <f>HLOOKUP("Provisioned MiB",'vInfo (Imported)'!$1:$5000,M3657,FALSE)</f>
        <v>0</v>
      </c>
      <c r="U3657">
        <f t="shared" si="172"/>
        <v>0</v>
      </c>
      <c r="V3657">
        <f>HLOOKUP("In Use MiB",'vInfo (Imported)'!$1:$5000,M3657,FALSE)</f>
        <v>0</v>
      </c>
    </row>
    <row r="3658" spans="1:22" ht="13" x14ac:dyDescent="0.3">
      <c r="A3658" s="46">
        <f>'vHosts (Imported)'!A3658</f>
        <v>0</v>
      </c>
      <c r="B3658" s="51">
        <f t="shared" si="171"/>
        <v>4968</v>
      </c>
      <c r="C3658" s="49">
        <f>HLOOKUP("# Cores",'vHosts (Imported)'!$1:$5000,M3658,FALSE)</f>
        <v>0</v>
      </c>
      <c r="D3658" s="52">
        <f>HLOOKUP("# Memory",'vHosts (Imported)'!$1:$5000,M3658,FALSE)</f>
        <v>0</v>
      </c>
      <c r="M3658" s="45">
        <f t="shared" si="173"/>
        <v>3658</v>
      </c>
      <c r="N3658" s="38">
        <f>HLOOKUP("Host",'vInfo (Imported)'!$1:$5000,M3658,FALSE)</f>
        <v>0</v>
      </c>
      <c r="R3658">
        <f>HLOOKUP("CPUs",'vInfo (Imported)'!$1:$5000,M3658,FALSE)</f>
        <v>0</v>
      </c>
      <c r="S3658">
        <f>HLOOKUP("Memory",'vInfo (Imported)'!$1:$5000,M3658,FALSE)</f>
        <v>0</v>
      </c>
      <c r="T3658">
        <f>HLOOKUP("Provisioned MiB",'vInfo (Imported)'!$1:$5000,M3658,FALSE)</f>
        <v>0</v>
      </c>
      <c r="U3658">
        <f t="shared" si="172"/>
        <v>0</v>
      </c>
      <c r="V3658">
        <f>HLOOKUP("In Use MiB",'vInfo (Imported)'!$1:$5000,M3658,FALSE)</f>
        <v>0</v>
      </c>
    </row>
    <row r="3659" spans="1:22" ht="13" x14ac:dyDescent="0.3">
      <c r="A3659" s="46">
        <f>'vHosts (Imported)'!A3659</f>
        <v>0</v>
      </c>
      <c r="B3659" s="51">
        <f t="shared" si="171"/>
        <v>4968</v>
      </c>
      <c r="C3659" s="49">
        <f>HLOOKUP("# Cores",'vHosts (Imported)'!$1:$5000,M3659,FALSE)</f>
        <v>0</v>
      </c>
      <c r="D3659" s="52">
        <f>HLOOKUP("# Memory",'vHosts (Imported)'!$1:$5000,M3659,FALSE)</f>
        <v>0</v>
      </c>
      <c r="M3659" s="45">
        <f t="shared" si="173"/>
        <v>3659</v>
      </c>
      <c r="N3659" s="38">
        <f>HLOOKUP("Host",'vInfo (Imported)'!$1:$5000,M3659,FALSE)</f>
        <v>0</v>
      </c>
      <c r="R3659">
        <f>HLOOKUP("CPUs",'vInfo (Imported)'!$1:$5000,M3659,FALSE)</f>
        <v>0</v>
      </c>
      <c r="S3659">
        <f>HLOOKUP("Memory",'vInfo (Imported)'!$1:$5000,M3659,FALSE)</f>
        <v>0</v>
      </c>
      <c r="T3659">
        <f>HLOOKUP("Provisioned MiB",'vInfo (Imported)'!$1:$5000,M3659,FALSE)</f>
        <v>0</v>
      </c>
      <c r="U3659">
        <f t="shared" si="172"/>
        <v>0</v>
      </c>
      <c r="V3659">
        <f>HLOOKUP("In Use MiB",'vInfo (Imported)'!$1:$5000,M3659,FALSE)</f>
        <v>0</v>
      </c>
    </row>
    <row r="3660" spans="1:22" ht="13" x14ac:dyDescent="0.3">
      <c r="A3660" s="46">
        <f>'vHosts (Imported)'!A3660</f>
        <v>0</v>
      </c>
      <c r="B3660" s="51">
        <f t="shared" si="171"/>
        <v>4968</v>
      </c>
      <c r="C3660" s="49">
        <f>HLOOKUP("# Cores",'vHosts (Imported)'!$1:$5000,M3660,FALSE)</f>
        <v>0</v>
      </c>
      <c r="D3660" s="52">
        <f>HLOOKUP("# Memory",'vHosts (Imported)'!$1:$5000,M3660,FALSE)</f>
        <v>0</v>
      </c>
      <c r="M3660" s="45">
        <f t="shared" si="173"/>
        <v>3660</v>
      </c>
      <c r="N3660" s="38">
        <f>HLOOKUP("Host",'vInfo (Imported)'!$1:$5000,M3660,FALSE)</f>
        <v>0</v>
      </c>
      <c r="R3660">
        <f>HLOOKUP("CPUs",'vInfo (Imported)'!$1:$5000,M3660,FALSE)</f>
        <v>0</v>
      </c>
      <c r="S3660">
        <f>HLOOKUP("Memory",'vInfo (Imported)'!$1:$5000,M3660,FALSE)</f>
        <v>0</v>
      </c>
      <c r="T3660">
        <f>HLOOKUP("Provisioned MiB",'vInfo (Imported)'!$1:$5000,M3660,FALSE)</f>
        <v>0</v>
      </c>
      <c r="U3660">
        <f t="shared" si="172"/>
        <v>0</v>
      </c>
      <c r="V3660">
        <f>HLOOKUP("In Use MiB",'vInfo (Imported)'!$1:$5000,M3660,FALSE)</f>
        <v>0</v>
      </c>
    </row>
    <row r="3661" spans="1:22" ht="13" x14ac:dyDescent="0.3">
      <c r="A3661" s="46">
        <f>'vHosts (Imported)'!A3661</f>
        <v>0</v>
      </c>
      <c r="B3661" s="51">
        <f t="shared" si="171"/>
        <v>4968</v>
      </c>
      <c r="C3661" s="49">
        <f>HLOOKUP("# Cores",'vHosts (Imported)'!$1:$5000,M3661,FALSE)</f>
        <v>0</v>
      </c>
      <c r="D3661" s="52">
        <f>HLOOKUP("# Memory",'vHosts (Imported)'!$1:$5000,M3661,FALSE)</f>
        <v>0</v>
      </c>
      <c r="M3661" s="45">
        <f t="shared" si="173"/>
        <v>3661</v>
      </c>
      <c r="N3661" s="38">
        <f>HLOOKUP("Host",'vInfo (Imported)'!$1:$5000,M3661,FALSE)</f>
        <v>0</v>
      </c>
      <c r="R3661">
        <f>HLOOKUP("CPUs",'vInfo (Imported)'!$1:$5000,M3661,FALSE)</f>
        <v>0</v>
      </c>
      <c r="S3661">
        <f>HLOOKUP("Memory",'vInfo (Imported)'!$1:$5000,M3661,FALSE)</f>
        <v>0</v>
      </c>
      <c r="T3661">
        <f>HLOOKUP("Provisioned MiB",'vInfo (Imported)'!$1:$5000,M3661,FALSE)</f>
        <v>0</v>
      </c>
      <c r="U3661">
        <f t="shared" si="172"/>
        <v>0</v>
      </c>
      <c r="V3661">
        <f>HLOOKUP("In Use MiB",'vInfo (Imported)'!$1:$5000,M3661,FALSE)</f>
        <v>0</v>
      </c>
    </row>
    <row r="3662" spans="1:22" ht="13" x14ac:dyDescent="0.3">
      <c r="A3662" s="46">
        <f>'vHosts (Imported)'!A3662</f>
        <v>0</v>
      </c>
      <c r="B3662" s="51">
        <f t="shared" si="171"/>
        <v>4968</v>
      </c>
      <c r="C3662" s="49">
        <f>HLOOKUP("# Cores",'vHosts (Imported)'!$1:$5000,M3662,FALSE)</f>
        <v>0</v>
      </c>
      <c r="D3662" s="52">
        <f>HLOOKUP("# Memory",'vHosts (Imported)'!$1:$5000,M3662,FALSE)</f>
        <v>0</v>
      </c>
      <c r="M3662" s="45">
        <f t="shared" si="173"/>
        <v>3662</v>
      </c>
      <c r="N3662" s="38">
        <f>HLOOKUP("Host",'vInfo (Imported)'!$1:$5000,M3662,FALSE)</f>
        <v>0</v>
      </c>
      <c r="R3662">
        <f>HLOOKUP("CPUs",'vInfo (Imported)'!$1:$5000,M3662,FALSE)</f>
        <v>0</v>
      </c>
      <c r="S3662">
        <f>HLOOKUP("Memory",'vInfo (Imported)'!$1:$5000,M3662,FALSE)</f>
        <v>0</v>
      </c>
      <c r="T3662">
        <f>HLOOKUP("Provisioned MiB",'vInfo (Imported)'!$1:$5000,M3662,FALSE)</f>
        <v>0</v>
      </c>
      <c r="U3662">
        <f t="shared" si="172"/>
        <v>0</v>
      </c>
      <c r="V3662">
        <f>HLOOKUP("In Use MiB",'vInfo (Imported)'!$1:$5000,M3662,FALSE)</f>
        <v>0</v>
      </c>
    </row>
    <row r="3663" spans="1:22" ht="13" x14ac:dyDescent="0.3">
      <c r="A3663" s="46">
        <f>'vHosts (Imported)'!A3663</f>
        <v>0</v>
      </c>
      <c r="B3663" s="51">
        <f t="shared" si="171"/>
        <v>4968</v>
      </c>
      <c r="C3663" s="49">
        <f>HLOOKUP("# Cores",'vHosts (Imported)'!$1:$5000,M3663,FALSE)</f>
        <v>0</v>
      </c>
      <c r="D3663" s="52">
        <f>HLOOKUP("# Memory",'vHosts (Imported)'!$1:$5000,M3663,FALSE)</f>
        <v>0</v>
      </c>
      <c r="M3663" s="45">
        <f t="shared" si="173"/>
        <v>3663</v>
      </c>
      <c r="N3663" s="38">
        <f>HLOOKUP("Host",'vInfo (Imported)'!$1:$5000,M3663,FALSE)</f>
        <v>0</v>
      </c>
      <c r="R3663">
        <f>HLOOKUP("CPUs",'vInfo (Imported)'!$1:$5000,M3663,FALSE)</f>
        <v>0</v>
      </c>
      <c r="S3663">
        <f>HLOOKUP("Memory",'vInfo (Imported)'!$1:$5000,M3663,FALSE)</f>
        <v>0</v>
      </c>
      <c r="T3663">
        <f>HLOOKUP("Provisioned MiB",'vInfo (Imported)'!$1:$5000,M3663,FALSE)</f>
        <v>0</v>
      </c>
      <c r="U3663">
        <f t="shared" si="172"/>
        <v>0</v>
      </c>
      <c r="V3663">
        <f>HLOOKUP("In Use MiB",'vInfo (Imported)'!$1:$5000,M3663,FALSE)</f>
        <v>0</v>
      </c>
    </row>
    <row r="3664" spans="1:22" ht="13" x14ac:dyDescent="0.3">
      <c r="A3664" s="46">
        <f>'vHosts (Imported)'!A3664</f>
        <v>0</v>
      </c>
      <c r="B3664" s="51">
        <f t="shared" si="171"/>
        <v>4968</v>
      </c>
      <c r="C3664" s="49">
        <f>HLOOKUP("# Cores",'vHosts (Imported)'!$1:$5000,M3664,FALSE)</f>
        <v>0</v>
      </c>
      <c r="D3664" s="52">
        <f>HLOOKUP("# Memory",'vHosts (Imported)'!$1:$5000,M3664,FALSE)</f>
        <v>0</v>
      </c>
      <c r="M3664" s="45">
        <f t="shared" si="173"/>
        <v>3664</v>
      </c>
      <c r="N3664" s="38">
        <f>HLOOKUP("Host",'vInfo (Imported)'!$1:$5000,M3664,FALSE)</f>
        <v>0</v>
      </c>
      <c r="R3664">
        <f>HLOOKUP("CPUs",'vInfo (Imported)'!$1:$5000,M3664,FALSE)</f>
        <v>0</v>
      </c>
      <c r="S3664">
        <f>HLOOKUP("Memory",'vInfo (Imported)'!$1:$5000,M3664,FALSE)</f>
        <v>0</v>
      </c>
      <c r="T3664">
        <f>HLOOKUP("Provisioned MiB",'vInfo (Imported)'!$1:$5000,M3664,FALSE)</f>
        <v>0</v>
      </c>
      <c r="U3664">
        <f t="shared" si="172"/>
        <v>0</v>
      </c>
      <c r="V3664">
        <f>HLOOKUP("In Use MiB",'vInfo (Imported)'!$1:$5000,M3664,FALSE)</f>
        <v>0</v>
      </c>
    </row>
    <row r="3665" spans="1:22" ht="13" x14ac:dyDescent="0.3">
      <c r="A3665" s="46">
        <f>'vHosts (Imported)'!A3665</f>
        <v>0</v>
      </c>
      <c r="B3665" s="51">
        <f t="shared" si="171"/>
        <v>4968</v>
      </c>
      <c r="C3665" s="49">
        <f>HLOOKUP("# Cores",'vHosts (Imported)'!$1:$5000,M3665,FALSE)</f>
        <v>0</v>
      </c>
      <c r="D3665" s="52">
        <f>HLOOKUP("# Memory",'vHosts (Imported)'!$1:$5000,M3665,FALSE)</f>
        <v>0</v>
      </c>
      <c r="M3665" s="45">
        <f t="shared" si="173"/>
        <v>3665</v>
      </c>
      <c r="N3665" s="38">
        <f>HLOOKUP("Host",'vInfo (Imported)'!$1:$5000,M3665,FALSE)</f>
        <v>0</v>
      </c>
      <c r="R3665">
        <f>HLOOKUP("CPUs",'vInfo (Imported)'!$1:$5000,M3665,FALSE)</f>
        <v>0</v>
      </c>
      <c r="S3665">
        <f>HLOOKUP("Memory",'vInfo (Imported)'!$1:$5000,M3665,FALSE)</f>
        <v>0</v>
      </c>
      <c r="T3665">
        <f>HLOOKUP("Provisioned MiB",'vInfo (Imported)'!$1:$5000,M3665,FALSE)</f>
        <v>0</v>
      </c>
      <c r="U3665">
        <f t="shared" si="172"/>
        <v>0</v>
      </c>
      <c r="V3665">
        <f>HLOOKUP("In Use MiB",'vInfo (Imported)'!$1:$5000,M3665,FALSE)</f>
        <v>0</v>
      </c>
    </row>
    <row r="3666" spans="1:22" ht="13" x14ac:dyDescent="0.3">
      <c r="A3666" s="46">
        <f>'vHosts (Imported)'!A3666</f>
        <v>0</v>
      </c>
      <c r="B3666" s="51">
        <f t="shared" si="171"/>
        <v>4968</v>
      </c>
      <c r="C3666" s="49">
        <f>HLOOKUP("# Cores",'vHosts (Imported)'!$1:$5000,M3666,FALSE)</f>
        <v>0</v>
      </c>
      <c r="D3666" s="52">
        <f>HLOOKUP("# Memory",'vHosts (Imported)'!$1:$5000,M3666,FALSE)</f>
        <v>0</v>
      </c>
      <c r="M3666" s="45">
        <f t="shared" si="173"/>
        <v>3666</v>
      </c>
      <c r="N3666" s="38">
        <f>HLOOKUP("Host",'vInfo (Imported)'!$1:$5000,M3666,FALSE)</f>
        <v>0</v>
      </c>
      <c r="R3666">
        <f>HLOOKUP("CPUs",'vInfo (Imported)'!$1:$5000,M3666,FALSE)</f>
        <v>0</v>
      </c>
      <c r="S3666">
        <f>HLOOKUP("Memory",'vInfo (Imported)'!$1:$5000,M3666,FALSE)</f>
        <v>0</v>
      </c>
      <c r="T3666">
        <f>HLOOKUP("Provisioned MiB",'vInfo (Imported)'!$1:$5000,M3666,FALSE)</f>
        <v>0</v>
      </c>
      <c r="U3666">
        <f t="shared" si="172"/>
        <v>0</v>
      </c>
      <c r="V3666">
        <f>HLOOKUP("In Use MiB",'vInfo (Imported)'!$1:$5000,M3666,FALSE)</f>
        <v>0</v>
      </c>
    </row>
    <row r="3667" spans="1:22" ht="13" x14ac:dyDescent="0.3">
      <c r="A3667" s="46">
        <f>'vHosts (Imported)'!A3667</f>
        <v>0</v>
      </c>
      <c r="B3667" s="51">
        <f t="shared" si="171"/>
        <v>4968</v>
      </c>
      <c r="C3667" s="49">
        <f>HLOOKUP("# Cores",'vHosts (Imported)'!$1:$5000,M3667,FALSE)</f>
        <v>0</v>
      </c>
      <c r="D3667" s="52">
        <f>HLOOKUP("# Memory",'vHosts (Imported)'!$1:$5000,M3667,FALSE)</f>
        <v>0</v>
      </c>
      <c r="M3667" s="45">
        <f t="shared" si="173"/>
        <v>3667</v>
      </c>
      <c r="N3667" s="38">
        <f>HLOOKUP("Host",'vInfo (Imported)'!$1:$5000,M3667,FALSE)</f>
        <v>0</v>
      </c>
      <c r="R3667">
        <f>HLOOKUP("CPUs",'vInfo (Imported)'!$1:$5000,M3667,FALSE)</f>
        <v>0</v>
      </c>
      <c r="S3667">
        <f>HLOOKUP("Memory",'vInfo (Imported)'!$1:$5000,M3667,FALSE)</f>
        <v>0</v>
      </c>
      <c r="T3667">
        <f>HLOOKUP("Provisioned MiB",'vInfo (Imported)'!$1:$5000,M3667,FALSE)</f>
        <v>0</v>
      </c>
      <c r="U3667">
        <f t="shared" si="172"/>
        <v>0</v>
      </c>
      <c r="V3667">
        <f>HLOOKUP("In Use MiB",'vInfo (Imported)'!$1:$5000,M3667,FALSE)</f>
        <v>0</v>
      </c>
    </row>
    <row r="3668" spans="1:22" ht="13" x14ac:dyDescent="0.3">
      <c r="A3668" s="46">
        <f>'vHosts (Imported)'!A3668</f>
        <v>0</v>
      </c>
      <c r="B3668" s="51">
        <f t="shared" si="171"/>
        <v>4968</v>
      </c>
      <c r="C3668" s="49">
        <f>HLOOKUP("# Cores",'vHosts (Imported)'!$1:$5000,M3668,FALSE)</f>
        <v>0</v>
      </c>
      <c r="D3668" s="52">
        <f>HLOOKUP("# Memory",'vHosts (Imported)'!$1:$5000,M3668,FALSE)</f>
        <v>0</v>
      </c>
      <c r="M3668" s="45">
        <f t="shared" si="173"/>
        <v>3668</v>
      </c>
      <c r="N3668" s="38">
        <f>HLOOKUP("Host",'vInfo (Imported)'!$1:$5000,M3668,FALSE)</f>
        <v>0</v>
      </c>
      <c r="R3668">
        <f>HLOOKUP("CPUs",'vInfo (Imported)'!$1:$5000,M3668,FALSE)</f>
        <v>0</v>
      </c>
      <c r="S3668">
        <f>HLOOKUP("Memory",'vInfo (Imported)'!$1:$5000,M3668,FALSE)</f>
        <v>0</v>
      </c>
      <c r="T3668">
        <f>HLOOKUP("Provisioned MiB",'vInfo (Imported)'!$1:$5000,M3668,FALSE)</f>
        <v>0</v>
      </c>
      <c r="U3668">
        <f t="shared" si="172"/>
        <v>0</v>
      </c>
      <c r="V3668">
        <f>HLOOKUP("In Use MiB",'vInfo (Imported)'!$1:$5000,M3668,FALSE)</f>
        <v>0</v>
      </c>
    </row>
    <row r="3669" spans="1:22" ht="13" x14ac:dyDescent="0.3">
      <c r="A3669" s="46">
        <f>'vHosts (Imported)'!A3669</f>
        <v>0</v>
      </c>
      <c r="B3669" s="51">
        <f t="shared" si="171"/>
        <v>4968</v>
      </c>
      <c r="C3669" s="49">
        <f>HLOOKUP("# Cores",'vHosts (Imported)'!$1:$5000,M3669,FALSE)</f>
        <v>0</v>
      </c>
      <c r="D3669" s="52">
        <f>HLOOKUP("# Memory",'vHosts (Imported)'!$1:$5000,M3669,FALSE)</f>
        <v>0</v>
      </c>
      <c r="M3669" s="45">
        <f t="shared" si="173"/>
        <v>3669</v>
      </c>
      <c r="N3669" s="38">
        <f>HLOOKUP("Host",'vInfo (Imported)'!$1:$5000,M3669,FALSE)</f>
        <v>0</v>
      </c>
      <c r="R3669">
        <f>HLOOKUP("CPUs",'vInfo (Imported)'!$1:$5000,M3669,FALSE)</f>
        <v>0</v>
      </c>
      <c r="S3669">
        <f>HLOOKUP("Memory",'vInfo (Imported)'!$1:$5000,M3669,FALSE)</f>
        <v>0</v>
      </c>
      <c r="T3669">
        <f>HLOOKUP("Provisioned MiB",'vInfo (Imported)'!$1:$5000,M3669,FALSE)</f>
        <v>0</v>
      </c>
      <c r="U3669">
        <f t="shared" si="172"/>
        <v>0</v>
      </c>
      <c r="V3669">
        <f>HLOOKUP("In Use MiB",'vInfo (Imported)'!$1:$5000,M3669,FALSE)</f>
        <v>0</v>
      </c>
    </row>
    <row r="3670" spans="1:22" ht="13" x14ac:dyDescent="0.3">
      <c r="A3670" s="46">
        <f>'vHosts (Imported)'!A3670</f>
        <v>0</v>
      </c>
      <c r="B3670" s="51">
        <f t="shared" si="171"/>
        <v>4968</v>
      </c>
      <c r="C3670" s="49">
        <f>HLOOKUP("# Cores",'vHosts (Imported)'!$1:$5000,M3670,FALSE)</f>
        <v>0</v>
      </c>
      <c r="D3670" s="52">
        <f>HLOOKUP("# Memory",'vHosts (Imported)'!$1:$5000,M3670,FALSE)</f>
        <v>0</v>
      </c>
      <c r="M3670" s="45">
        <f t="shared" si="173"/>
        <v>3670</v>
      </c>
      <c r="N3670" s="38">
        <f>HLOOKUP("Host",'vInfo (Imported)'!$1:$5000,M3670,FALSE)</f>
        <v>0</v>
      </c>
      <c r="R3670">
        <f>HLOOKUP("CPUs",'vInfo (Imported)'!$1:$5000,M3670,FALSE)</f>
        <v>0</v>
      </c>
      <c r="S3670">
        <f>HLOOKUP("Memory",'vInfo (Imported)'!$1:$5000,M3670,FALSE)</f>
        <v>0</v>
      </c>
      <c r="T3670">
        <f>HLOOKUP("Provisioned MiB",'vInfo (Imported)'!$1:$5000,M3670,FALSE)</f>
        <v>0</v>
      </c>
      <c r="U3670">
        <f t="shared" si="172"/>
        <v>0</v>
      </c>
      <c r="V3670">
        <f>HLOOKUP("In Use MiB",'vInfo (Imported)'!$1:$5000,M3670,FALSE)</f>
        <v>0</v>
      </c>
    </row>
    <row r="3671" spans="1:22" ht="13" x14ac:dyDescent="0.3">
      <c r="A3671" s="46">
        <f>'vHosts (Imported)'!A3671</f>
        <v>0</v>
      </c>
      <c r="B3671" s="51">
        <f t="shared" si="171"/>
        <v>4968</v>
      </c>
      <c r="C3671" s="49">
        <f>HLOOKUP("# Cores",'vHosts (Imported)'!$1:$5000,M3671,FALSE)</f>
        <v>0</v>
      </c>
      <c r="D3671" s="52">
        <f>HLOOKUP("# Memory",'vHosts (Imported)'!$1:$5000,M3671,FALSE)</f>
        <v>0</v>
      </c>
      <c r="M3671" s="45">
        <f t="shared" si="173"/>
        <v>3671</v>
      </c>
      <c r="N3671" s="38">
        <f>HLOOKUP("Host",'vInfo (Imported)'!$1:$5000,M3671,FALSE)</f>
        <v>0</v>
      </c>
      <c r="R3671">
        <f>HLOOKUP("CPUs",'vInfo (Imported)'!$1:$5000,M3671,FALSE)</f>
        <v>0</v>
      </c>
      <c r="S3671">
        <f>HLOOKUP("Memory",'vInfo (Imported)'!$1:$5000,M3671,FALSE)</f>
        <v>0</v>
      </c>
      <c r="T3671">
        <f>HLOOKUP("Provisioned MiB",'vInfo (Imported)'!$1:$5000,M3671,FALSE)</f>
        <v>0</v>
      </c>
      <c r="U3671">
        <f t="shared" si="172"/>
        <v>0</v>
      </c>
      <c r="V3671">
        <f>HLOOKUP("In Use MiB",'vInfo (Imported)'!$1:$5000,M3671,FALSE)</f>
        <v>0</v>
      </c>
    </row>
    <row r="3672" spans="1:22" ht="13" x14ac:dyDescent="0.3">
      <c r="A3672" s="46">
        <f>'vHosts (Imported)'!A3672</f>
        <v>0</v>
      </c>
      <c r="B3672" s="51">
        <f t="shared" si="171"/>
        <v>4968</v>
      </c>
      <c r="C3672" s="49">
        <f>HLOOKUP("# Cores",'vHosts (Imported)'!$1:$5000,M3672,FALSE)</f>
        <v>0</v>
      </c>
      <c r="D3672" s="52">
        <f>HLOOKUP("# Memory",'vHosts (Imported)'!$1:$5000,M3672,FALSE)</f>
        <v>0</v>
      </c>
      <c r="M3672" s="45">
        <f t="shared" si="173"/>
        <v>3672</v>
      </c>
      <c r="N3672" s="38">
        <f>HLOOKUP("Host",'vInfo (Imported)'!$1:$5000,M3672,FALSE)</f>
        <v>0</v>
      </c>
      <c r="R3672">
        <f>HLOOKUP("CPUs",'vInfo (Imported)'!$1:$5000,M3672,FALSE)</f>
        <v>0</v>
      </c>
      <c r="S3672">
        <f>HLOOKUP("Memory",'vInfo (Imported)'!$1:$5000,M3672,FALSE)</f>
        <v>0</v>
      </c>
      <c r="T3672">
        <f>HLOOKUP("Provisioned MiB",'vInfo (Imported)'!$1:$5000,M3672,FALSE)</f>
        <v>0</v>
      </c>
      <c r="U3672">
        <f t="shared" si="172"/>
        <v>0</v>
      </c>
      <c r="V3672">
        <f>HLOOKUP("In Use MiB",'vInfo (Imported)'!$1:$5000,M3672,FALSE)</f>
        <v>0</v>
      </c>
    </row>
    <row r="3673" spans="1:22" ht="13" x14ac:dyDescent="0.3">
      <c r="A3673" s="46">
        <f>'vHosts (Imported)'!A3673</f>
        <v>0</v>
      </c>
      <c r="B3673" s="51">
        <f t="shared" si="171"/>
        <v>4968</v>
      </c>
      <c r="C3673" s="49">
        <f>HLOOKUP("# Cores",'vHosts (Imported)'!$1:$5000,M3673,FALSE)</f>
        <v>0</v>
      </c>
      <c r="D3673" s="52">
        <f>HLOOKUP("# Memory",'vHosts (Imported)'!$1:$5000,M3673,FALSE)</f>
        <v>0</v>
      </c>
      <c r="M3673" s="45">
        <f t="shared" si="173"/>
        <v>3673</v>
      </c>
      <c r="N3673" s="38">
        <f>HLOOKUP("Host",'vInfo (Imported)'!$1:$5000,M3673,FALSE)</f>
        <v>0</v>
      </c>
      <c r="R3673">
        <f>HLOOKUP("CPUs",'vInfo (Imported)'!$1:$5000,M3673,FALSE)</f>
        <v>0</v>
      </c>
      <c r="S3673">
        <f>HLOOKUP("Memory",'vInfo (Imported)'!$1:$5000,M3673,FALSE)</f>
        <v>0</v>
      </c>
      <c r="T3673">
        <f>HLOOKUP("Provisioned MiB",'vInfo (Imported)'!$1:$5000,M3673,FALSE)</f>
        <v>0</v>
      </c>
      <c r="U3673">
        <f t="shared" si="172"/>
        <v>0</v>
      </c>
      <c r="V3673">
        <f>HLOOKUP("In Use MiB",'vInfo (Imported)'!$1:$5000,M3673,FALSE)</f>
        <v>0</v>
      </c>
    </row>
    <row r="3674" spans="1:22" ht="13" x14ac:dyDescent="0.3">
      <c r="A3674" s="46">
        <f>'vHosts (Imported)'!A3674</f>
        <v>0</v>
      </c>
      <c r="B3674" s="51">
        <f t="shared" si="171"/>
        <v>4968</v>
      </c>
      <c r="C3674" s="49">
        <f>HLOOKUP("# Cores",'vHosts (Imported)'!$1:$5000,M3674,FALSE)</f>
        <v>0</v>
      </c>
      <c r="D3674" s="52">
        <f>HLOOKUP("# Memory",'vHosts (Imported)'!$1:$5000,M3674,FALSE)</f>
        <v>0</v>
      </c>
      <c r="M3674" s="45">
        <f t="shared" si="173"/>
        <v>3674</v>
      </c>
      <c r="N3674" s="38">
        <f>HLOOKUP("Host",'vInfo (Imported)'!$1:$5000,M3674,FALSE)</f>
        <v>0</v>
      </c>
      <c r="R3674">
        <f>HLOOKUP("CPUs",'vInfo (Imported)'!$1:$5000,M3674,FALSE)</f>
        <v>0</v>
      </c>
      <c r="S3674">
        <f>HLOOKUP("Memory",'vInfo (Imported)'!$1:$5000,M3674,FALSE)</f>
        <v>0</v>
      </c>
      <c r="T3674">
        <f>HLOOKUP("Provisioned MiB",'vInfo (Imported)'!$1:$5000,M3674,FALSE)</f>
        <v>0</v>
      </c>
      <c r="U3674">
        <f t="shared" si="172"/>
        <v>0</v>
      </c>
      <c r="V3674">
        <f>HLOOKUP("In Use MiB",'vInfo (Imported)'!$1:$5000,M3674,FALSE)</f>
        <v>0</v>
      </c>
    </row>
    <row r="3675" spans="1:22" ht="13" x14ac:dyDescent="0.3">
      <c r="A3675" s="46">
        <f>'vHosts (Imported)'!A3675</f>
        <v>0</v>
      </c>
      <c r="B3675" s="51">
        <f t="shared" si="171"/>
        <v>4968</v>
      </c>
      <c r="C3675" s="49">
        <f>HLOOKUP("# Cores",'vHosts (Imported)'!$1:$5000,M3675,FALSE)</f>
        <v>0</v>
      </c>
      <c r="D3675" s="52">
        <f>HLOOKUP("# Memory",'vHosts (Imported)'!$1:$5000,M3675,FALSE)</f>
        <v>0</v>
      </c>
      <c r="M3675" s="45">
        <f t="shared" si="173"/>
        <v>3675</v>
      </c>
      <c r="N3675" s="38">
        <f>HLOOKUP("Host",'vInfo (Imported)'!$1:$5000,M3675,FALSE)</f>
        <v>0</v>
      </c>
      <c r="R3675">
        <f>HLOOKUP("CPUs",'vInfo (Imported)'!$1:$5000,M3675,FALSE)</f>
        <v>0</v>
      </c>
      <c r="S3675">
        <f>HLOOKUP("Memory",'vInfo (Imported)'!$1:$5000,M3675,FALSE)</f>
        <v>0</v>
      </c>
      <c r="T3675">
        <f>HLOOKUP("Provisioned MiB",'vInfo (Imported)'!$1:$5000,M3675,FALSE)</f>
        <v>0</v>
      </c>
      <c r="U3675">
        <f t="shared" si="172"/>
        <v>0</v>
      </c>
      <c r="V3675">
        <f>HLOOKUP("In Use MiB",'vInfo (Imported)'!$1:$5000,M3675,FALSE)</f>
        <v>0</v>
      </c>
    </row>
    <row r="3676" spans="1:22" ht="13" x14ac:dyDescent="0.3">
      <c r="A3676" s="46">
        <f>'vHosts (Imported)'!A3676</f>
        <v>0</v>
      </c>
      <c r="B3676" s="51">
        <f t="shared" si="171"/>
        <v>4968</v>
      </c>
      <c r="C3676" s="49">
        <f>HLOOKUP("# Cores",'vHosts (Imported)'!$1:$5000,M3676,FALSE)</f>
        <v>0</v>
      </c>
      <c r="D3676" s="52">
        <f>HLOOKUP("# Memory",'vHosts (Imported)'!$1:$5000,M3676,FALSE)</f>
        <v>0</v>
      </c>
      <c r="M3676" s="45">
        <f t="shared" si="173"/>
        <v>3676</v>
      </c>
      <c r="N3676" s="38">
        <f>HLOOKUP("Host",'vInfo (Imported)'!$1:$5000,M3676,FALSE)</f>
        <v>0</v>
      </c>
      <c r="R3676">
        <f>HLOOKUP("CPUs",'vInfo (Imported)'!$1:$5000,M3676,FALSE)</f>
        <v>0</v>
      </c>
      <c r="S3676">
        <f>HLOOKUP("Memory",'vInfo (Imported)'!$1:$5000,M3676,FALSE)</f>
        <v>0</v>
      </c>
      <c r="T3676">
        <f>HLOOKUP("Provisioned MiB",'vInfo (Imported)'!$1:$5000,M3676,FALSE)</f>
        <v>0</v>
      </c>
      <c r="U3676">
        <f t="shared" si="172"/>
        <v>0</v>
      </c>
      <c r="V3676">
        <f>HLOOKUP("In Use MiB",'vInfo (Imported)'!$1:$5000,M3676,FALSE)</f>
        <v>0</v>
      </c>
    </row>
    <row r="3677" spans="1:22" ht="13" x14ac:dyDescent="0.3">
      <c r="A3677" s="46">
        <f>'vHosts (Imported)'!A3677</f>
        <v>0</v>
      </c>
      <c r="B3677" s="51">
        <f t="shared" si="171"/>
        <v>4968</v>
      </c>
      <c r="C3677" s="49">
        <f>HLOOKUP("# Cores",'vHosts (Imported)'!$1:$5000,M3677,FALSE)</f>
        <v>0</v>
      </c>
      <c r="D3677" s="52">
        <f>HLOOKUP("# Memory",'vHosts (Imported)'!$1:$5000,M3677,FALSE)</f>
        <v>0</v>
      </c>
      <c r="M3677" s="45">
        <f t="shared" si="173"/>
        <v>3677</v>
      </c>
      <c r="N3677" s="38">
        <f>HLOOKUP("Host",'vInfo (Imported)'!$1:$5000,M3677,FALSE)</f>
        <v>0</v>
      </c>
      <c r="R3677">
        <f>HLOOKUP("CPUs",'vInfo (Imported)'!$1:$5000,M3677,FALSE)</f>
        <v>0</v>
      </c>
      <c r="S3677">
        <f>HLOOKUP("Memory",'vInfo (Imported)'!$1:$5000,M3677,FALSE)</f>
        <v>0</v>
      </c>
      <c r="T3677">
        <f>HLOOKUP("Provisioned MiB",'vInfo (Imported)'!$1:$5000,M3677,FALSE)</f>
        <v>0</v>
      </c>
      <c r="U3677">
        <f t="shared" si="172"/>
        <v>0</v>
      </c>
      <c r="V3677">
        <f>HLOOKUP("In Use MiB",'vInfo (Imported)'!$1:$5000,M3677,FALSE)</f>
        <v>0</v>
      </c>
    </row>
    <row r="3678" spans="1:22" ht="13" x14ac:dyDescent="0.3">
      <c r="A3678" s="46">
        <f>'vHosts (Imported)'!A3678</f>
        <v>0</v>
      </c>
      <c r="B3678" s="51">
        <f t="shared" si="171"/>
        <v>4968</v>
      </c>
      <c r="C3678" s="49">
        <f>HLOOKUP("# Cores",'vHosts (Imported)'!$1:$5000,M3678,FALSE)</f>
        <v>0</v>
      </c>
      <c r="D3678" s="52">
        <f>HLOOKUP("# Memory",'vHosts (Imported)'!$1:$5000,M3678,FALSE)</f>
        <v>0</v>
      </c>
      <c r="M3678" s="45">
        <f t="shared" si="173"/>
        <v>3678</v>
      </c>
      <c r="N3678" s="38">
        <f>HLOOKUP("Host",'vInfo (Imported)'!$1:$5000,M3678,FALSE)</f>
        <v>0</v>
      </c>
      <c r="R3678">
        <f>HLOOKUP("CPUs",'vInfo (Imported)'!$1:$5000,M3678,FALSE)</f>
        <v>0</v>
      </c>
      <c r="S3678">
        <f>HLOOKUP("Memory",'vInfo (Imported)'!$1:$5000,M3678,FALSE)</f>
        <v>0</v>
      </c>
      <c r="T3678">
        <f>HLOOKUP("Provisioned MiB",'vInfo (Imported)'!$1:$5000,M3678,FALSE)</f>
        <v>0</v>
      </c>
      <c r="U3678">
        <f t="shared" si="172"/>
        <v>0</v>
      </c>
      <c r="V3678">
        <f>HLOOKUP("In Use MiB",'vInfo (Imported)'!$1:$5000,M3678,FALSE)</f>
        <v>0</v>
      </c>
    </row>
    <row r="3679" spans="1:22" ht="13" x14ac:dyDescent="0.3">
      <c r="A3679" s="46">
        <f>'vHosts (Imported)'!A3679</f>
        <v>0</v>
      </c>
      <c r="B3679" s="51">
        <f t="shared" si="171"/>
        <v>4968</v>
      </c>
      <c r="C3679" s="49">
        <f>HLOOKUP("# Cores",'vHosts (Imported)'!$1:$5000,M3679,FALSE)</f>
        <v>0</v>
      </c>
      <c r="D3679" s="52">
        <f>HLOOKUP("# Memory",'vHosts (Imported)'!$1:$5000,M3679,FALSE)</f>
        <v>0</v>
      </c>
      <c r="M3679" s="45">
        <f t="shared" si="173"/>
        <v>3679</v>
      </c>
      <c r="N3679" s="38">
        <f>HLOOKUP("Host",'vInfo (Imported)'!$1:$5000,M3679,FALSE)</f>
        <v>0</v>
      </c>
      <c r="R3679">
        <f>HLOOKUP("CPUs",'vInfo (Imported)'!$1:$5000,M3679,FALSE)</f>
        <v>0</v>
      </c>
      <c r="S3679">
        <f>HLOOKUP("Memory",'vInfo (Imported)'!$1:$5000,M3679,FALSE)</f>
        <v>0</v>
      </c>
      <c r="T3679">
        <f>HLOOKUP("Provisioned MiB",'vInfo (Imported)'!$1:$5000,M3679,FALSE)</f>
        <v>0</v>
      </c>
      <c r="U3679">
        <f t="shared" si="172"/>
        <v>0</v>
      </c>
      <c r="V3679">
        <f>HLOOKUP("In Use MiB",'vInfo (Imported)'!$1:$5000,M3679,FALSE)</f>
        <v>0</v>
      </c>
    </row>
    <row r="3680" spans="1:22" ht="13" x14ac:dyDescent="0.3">
      <c r="A3680" s="46">
        <f>'vHosts (Imported)'!A3680</f>
        <v>0</v>
      </c>
      <c r="B3680" s="51">
        <f t="shared" si="171"/>
        <v>4968</v>
      </c>
      <c r="C3680" s="49">
        <f>HLOOKUP("# Cores",'vHosts (Imported)'!$1:$5000,M3680,FALSE)</f>
        <v>0</v>
      </c>
      <c r="D3680" s="52">
        <f>HLOOKUP("# Memory",'vHosts (Imported)'!$1:$5000,M3680,FALSE)</f>
        <v>0</v>
      </c>
      <c r="M3680" s="45">
        <f t="shared" si="173"/>
        <v>3680</v>
      </c>
      <c r="N3680" s="38">
        <f>HLOOKUP("Host",'vInfo (Imported)'!$1:$5000,M3680,FALSE)</f>
        <v>0</v>
      </c>
      <c r="R3680">
        <f>HLOOKUP("CPUs",'vInfo (Imported)'!$1:$5000,M3680,FALSE)</f>
        <v>0</v>
      </c>
      <c r="S3680">
        <f>HLOOKUP("Memory",'vInfo (Imported)'!$1:$5000,M3680,FALSE)</f>
        <v>0</v>
      </c>
      <c r="T3680">
        <f>HLOOKUP("Provisioned MiB",'vInfo (Imported)'!$1:$5000,M3680,FALSE)</f>
        <v>0</v>
      </c>
      <c r="U3680">
        <f t="shared" si="172"/>
        <v>0</v>
      </c>
      <c r="V3680">
        <f>HLOOKUP("In Use MiB",'vInfo (Imported)'!$1:$5000,M3680,FALSE)</f>
        <v>0</v>
      </c>
    </row>
    <row r="3681" spans="1:22" ht="13" x14ac:dyDescent="0.3">
      <c r="A3681" s="46">
        <f>'vHosts (Imported)'!A3681</f>
        <v>0</v>
      </c>
      <c r="B3681" s="51">
        <f t="shared" si="171"/>
        <v>4968</v>
      </c>
      <c r="C3681" s="49">
        <f>HLOOKUP("# Cores",'vHosts (Imported)'!$1:$5000,M3681,FALSE)</f>
        <v>0</v>
      </c>
      <c r="D3681" s="52">
        <f>HLOOKUP("# Memory",'vHosts (Imported)'!$1:$5000,M3681,FALSE)</f>
        <v>0</v>
      </c>
      <c r="M3681" s="45">
        <f t="shared" si="173"/>
        <v>3681</v>
      </c>
      <c r="N3681" s="38">
        <f>HLOOKUP("Host",'vInfo (Imported)'!$1:$5000,M3681,FALSE)</f>
        <v>0</v>
      </c>
      <c r="R3681">
        <f>HLOOKUP("CPUs",'vInfo (Imported)'!$1:$5000,M3681,FALSE)</f>
        <v>0</v>
      </c>
      <c r="S3681">
        <f>HLOOKUP("Memory",'vInfo (Imported)'!$1:$5000,M3681,FALSE)</f>
        <v>0</v>
      </c>
      <c r="T3681">
        <f>HLOOKUP("Provisioned MiB",'vInfo (Imported)'!$1:$5000,M3681,FALSE)</f>
        <v>0</v>
      </c>
      <c r="U3681">
        <f t="shared" si="172"/>
        <v>0</v>
      </c>
      <c r="V3681">
        <f>HLOOKUP("In Use MiB",'vInfo (Imported)'!$1:$5000,M3681,FALSE)</f>
        <v>0</v>
      </c>
    </row>
    <row r="3682" spans="1:22" ht="13" x14ac:dyDescent="0.3">
      <c r="A3682" s="46">
        <f>'vHosts (Imported)'!A3682</f>
        <v>0</v>
      </c>
      <c r="B3682" s="51">
        <f t="shared" si="171"/>
        <v>4968</v>
      </c>
      <c r="C3682" s="49">
        <f>HLOOKUP("# Cores",'vHosts (Imported)'!$1:$5000,M3682,FALSE)</f>
        <v>0</v>
      </c>
      <c r="D3682" s="52">
        <f>HLOOKUP("# Memory",'vHosts (Imported)'!$1:$5000,M3682,FALSE)</f>
        <v>0</v>
      </c>
      <c r="M3682" s="45">
        <f t="shared" si="173"/>
        <v>3682</v>
      </c>
      <c r="N3682" s="38">
        <f>HLOOKUP("Host",'vInfo (Imported)'!$1:$5000,M3682,FALSE)</f>
        <v>0</v>
      </c>
      <c r="R3682">
        <f>HLOOKUP("CPUs",'vInfo (Imported)'!$1:$5000,M3682,FALSE)</f>
        <v>0</v>
      </c>
      <c r="S3682">
        <f>HLOOKUP("Memory",'vInfo (Imported)'!$1:$5000,M3682,FALSE)</f>
        <v>0</v>
      </c>
      <c r="T3682">
        <f>HLOOKUP("Provisioned MiB",'vInfo (Imported)'!$1:$5000,M3682,FALSE)</f>
        <v>0</v>
      </c>
      <c r="U3682">
        <f t="shared" si="172"/>
        <v>0</v>
      </c>
      <c r="V3682">
        <f>HLOOKUP("In Use MiB",'vInfo (Imported)'!$1:$5000,M3682,FALSE)</f>
        <v>0</v>
      </c>
    </row>
    <row r="3683" spans="1:22" ht="13" x14ac:dyDescent="0.3">
      <c r="A3683" s="46">
        <f>'vHosts (Imported)'!A3683</f>
        <v>0</v>
      </c>
      <c r="B3683" s="51">
        <f t="shared" si="171"/>
        <v>4968</v>
      </c>
      <c r="C3683" s="49">
        <f>HLOOKUP("# Cores",'vHosts (Imported)'!$1:$5000,M3683,FALSE)</f>
        <v>0</v>
      </c>
      <c r="D3683" s="52">
        <f>HLOOKUP("# Memory",'vHosts (Imported)'!$1:$5000,M3683,FALSE)</f>
        <v>0</v>
      </c>
      <c r="M3683" s="45">
        <f t="shared" si="173"/>
        <v>3683</v>
      </c>
      <c r="N3683" s="38">
        <f>HLOOKUP("Host",'vInfo (Imported)'!$1:$5000,M3683,FALSE)</f>
        <v>0</v>
      </c>
      <c r="R3683">
        <f>HLOOKUP("CPUs",'vInfo (Imported)'!$1:$5000,M3683,FALSE)</f>
        <v>0</v>
      </c>
      <c r="S3683">
        <f>HLOOKUP("Memory",'vInfo (Imported)'!$1:$5000,M3683,FALSE)</f>
        <v>0</v>
      </c>
      <c r="T3683">
        <f>HLOOKUP("Provisioned MiB",'vInfo (Imported)'!$1:$5000,M3683,FALSE)</f>
        <v>0</v>
      </c>
      <c r="U3683">
        <f t="shared" si="172"/>
        <v>0</v>
      </c>
      <c r="V3683">
        <f>HLOOKUP("In Use MiB",'vInfo (Imported)'!$1:$5000,M3683,FALSE)</f>
        <v>0</v>
      </c>
    </row>
    <row r="3684" spans="1:22" ht="13" x14ac:dyDescent="0.3">
      <c r="A3684" s="46">
        <f>'vHosts (Imported)'!A3684</f>
        <v>0</v>
      </c>
      <c r="B3684" s="51">
        <f t="shared" si="171"/>
        <v>4968</v>
      </c>
      <c r="C3684" s="49">
        <f>HLOOKUP("# Cores",'vHosts (Imported)'!$1:$5000,M3684,FALSE)</f>
        <v>0</v>
      </c>
      <c r="D3684" s="52">
        <f>HLOOKUP("# Memory",'vHosts (Imported)'!$1:$5000,M3684,FALSE)</f>
        <v>0</v>
      </c>
      <c r="M3684" s="45">
        <f t="shared" si="173"/>
        <v>3684</v>
      </c>
      <c r="N3684" s="38">
        <f>HLOOKUP("Host",'vInfo (Imported)'!$1:$5000,M3684,FALSE)</f>
        <v>0</v>
      </c>
      <c r="R3684">
        <f>HLOOKUP("CPUs",'vInfo (Imported)'!$1:$5000,M3684,FALSE)</f>
        <v>0</v>
      </c>
      <c r="S3684">
        <f>HLOOKUP("Memory",'vInfo (Imported)'!$1:$5000,M3684,FALSE)</f>
        <v>0</v>
      </c>
      <c r="T3684">
        <f>HLOOKUP("Provisioned MiB",'vInfo (Imported)'!$1:$5000,M3684,FALSE)</f>
        <v>0</v>
      </c>
      <c r="U3684">
        <f t="shared" si="172"/>
        <v>0</v>
      </c>
      <c r="V3684">
        <f>HLOOKUP("In Use MiB",'vInfo (Imported)'!$1:$5000,M3684,FALSE)</f>
        <v>0</v>
      </c>
    </row>
    <row r="3685" spans="1:22" ht="13" x14ac:dyDescent="0.3">
      <c r="A3685" s="46">
        <f>'vHosts (Imported)'!A3685</f>
        <v>0</v>
      </c>
      <c r="B3685" s="51">
        <f t="shared" si="171"/>
        <v>4968</v>
      </c>
      <c r="C3685" s="49">
        <f>HLOOKUP("# Cores",'vHosts (Imported)'!$1:$5000,M3685,FALSE)</f>
        <v>0</v>
      </c>
      <c r="D3685" s="52">
        <f>HLOOKUP("# Memory",'vHosts (Imported)'!$1:$5000,M3685,FALSE)</f>
        <v>0</v>
      </c>
      <c r="M3685" s="45">
        <f t="shared" si="173"/>
        <v>3685</v>
      </c>
      <c r="N3685" s="38">
        <f>HLOOKUP("Host",'vInfo (Imported)'!$1:$5000,M3685,FALSE)</f>
        <v>0</v>
      </c>
      <c r="R3685">
        <f>HLOOKUP("CPUs",'vInfo (Imported)'!$1:$5000,M3685,FALSE)</f>
        <v>0</v>
      </c>
      <c r="S3685">
        <f>HLOOKUP("Memory",'vInfo (Imported)'!$1:$5000,M3685,FALSE)</f>
        <v>0</v>
      </c>
      <c r="T3685">
        <f>HLOOKUP("Provisioned MiB",'vInfo (Imported)'!$1:$5000,M3685,FALSE)</f>
        <v>0</v>
      </c>
      <c r="U3685">
        <f t="shared" si="172"/>
        <v>0</v>
      </c>
      <c r="V3685">
        <f>HLOOKUP("In Use MiB",'vInfo (Imported)'!$1:$5000,M3685,FALSE)</f>
        <v>0</v>
      </c>
    </row>
    <row r="3686" spans="1:22" ht="13" x14ac:dyDescent="0.3">
      <c r="A3686" s="46">
        <f>'vHosts (Imported)'!A3686</f>
        <v>0</v>
      </c>
      <c r="B3686" s="51">
        <f t="shared" si="171"/>
        <v>4968</v>
      </c>
      <c r="C3686" s="49">
        <f>HLOOKUP("# Cores",'vHosts (Imported)'!$1:$5000,M3686,FALSE)</f>
        <v>0</v>
      </c>
      <c r="D3686" s="52">
        <f>HLOOKUP("# Memory",'vHosts (Imported)'!$1:$5000,M3686,FALSE)</f>
        <v>0</v>
      </c>
      <c r="M3686" s="45">
        <f t="shared" si="173"/>
        <v>3686</v>
      </c>
      <c r="N3686" s="38">
        <f>HLOOKUP("Host",'vInfo (Imported)'!$1:$5000,M3686,FALSE)</f>
        <v>0</v>
      </c>
      <c r="R3686">
        <f>HLOOKUP("CPUs",'vInfo (Imported)'!$1:$5000,M3686,FALSE)</f>
        <v>0</v>
      </c>
      <c r="S3686">
        <f>HLOOKUP("Memory",'vInfo (Imported)'!$1:$5000,M3686,FALSE)</f>
        <v>0</v>
      </c>
      <c r="T3686">
        <f>HLOOKUP("Provisioned MiB",'vInfo (Imported)'!$1:$5000,M3686,FALSE)</f>
        <v>0</v>
      </c>
      <c r="U3686">
        <f t="shared" si="172"/>
        <v>0</v>
      </c>
      <c r="V3686">
        <f>HLOOKUP("In Use MiB",'vInfo (Imported)'!$1:$5000,M3686,FALSE)</f>
        <v>0</v>
      </c>
    </row>
    <row r="3687" spans="1:22" ht="13" x14ac:dyDescent="0.3">
      <c r="A3687" s="46">
        <f>'vHosts (Imported)'!A3687</f>
        <v>0</v>
      </c>
      <c r="B3687" s="51">
        <f t="shared" si="171"/>
        <v>4968</v>
      </c>
      <c r="C3687" s="49">
        <f>HLOOKUP("# Cores",'vHosts (Imported)'!$1:$5000,M3687,FALSE)</f>
        <v>0</v>
      </c>
      <c r="D3687" s="52">
        <f>HLOOKUP("# Memory",'vHosts (Imported)'!$1:$5000,M3687,FALSE)</f>
        <v>0</v>
      </c>
      <c r="M3687" s="45">
        <f t="shared" si="173"/>
        <v>3687</v>
      </c>
      <c r="N3687" s="38">
        <f>HLOOKUP("Host",'vInfo (Imported)'!$1:$5000,M3687,FALSE)</f>
        <v>0</v>
      </c>
      <c r="R3687">
        <f>HLOOKUP("CPUs",'vInfo (Imported)'!$1:$5000,M3687,FALSE)</f>
        <v>0</v>
      </c>
      <c r="S3687">
        <f>HLOOKUP("Memory",'vInfo (Imported)'!$1:$5000,M3687,FALSE)</f>
        <v>0</v>
      </c>
      <c r="T3687">
        <f>HLOOKUP("Provisioned MiB",'vInfo (Imported)'!$1:$5000,M3687,FALSE)</f>
        <v>0</v>
      </c>
      <c r="U3687">
        <f t="shared" si="172"/>
        <v>0</v>
      </c>
      <c r="V3687">
        <f>HLOOKUP("In Use MiB",'vInfo (Imported)'!$1:$5000,M3687,FALSE)</f>
        <v>0</v>
      </c>
    </row>
    <row r="3688" spans="1:22" ht="13" x14ac:dyDescent="0.3">
      <c r="A3688" s="46">
        <f>'vHosts (Imported)'!A3688</f>
        <v>0</v>
      </c>
      <c r="B3688" s="51">
        <f t="shared" ref="B3688:B3751" si="174">COUNTIF(N:N,A3688)</f>
        <v>4968</v>
      </c>
      <c r="C3688" s="49">
        <f>HLOOKUP("# Cores",'vHosts (Imported)'!$1:$5000,M3688,FALSE)</f>
        <v>0</v>
      </c>
      <c r="D3688" s="52">
        <f>HLOOKUP("# Memory",'vHosts (Imported)'!$1:$5000,M3688,FALSE)</f>
        <v>0</v>
      </c>
      <c r="M3688" s="45">
        <f t="shared" si="173"/>
        <v>3688</v>
      </c>
      <c r="N3688" s="38">
        <f>HLOOKUP("Host",'vInfo (Imported)'!$1:$5000,M3688,FALSE)</f>
        <v>0</v>
      </c>
      <c r="R3688">
        <f>HLOOKUP("CPUs",'vInfo (Imported)'!$1:$5000,M3688,FALSE)</f>
        <v>0</v>
      </c>
      <c r="S3688">
        <f>HLOOKUP("Memory",'vInfo (Imported)'!$1:$5000,M3688,FALSE)</f>
        <v>0</v>
      </c>
      <c r="T3688">
        <f>HLOOKUP("Provisioned MiB",'vInfo (Imported)'!$1:$5000,M3688,FALSE)</f>
        <v>0</v>
      </c>
      <c r="U3688">
        <f t="shared" si="172"/>
        <v>0</v>
      </c>
      <c r="V3688">
        <f>HLOOKUP("In Use MiB",'vInfo (Imported)'!$1:$5000,M3688,FALSE)</f>
        <v>0</v>
      </c>
    </row>
    <row r="3689" spans="1:22" ht="13" x14ac:dyDescent="0.3">
      <c r="A3689" s="46">
        <f>'vHosts (Imported)'!A3689</f>
        <v>0</v>
      </c>
      <c r="B3689" s="51">
        <f t="shared" si="174"/>
        <v>4968</v>
      </c>
      <c r="C3689" s="49">
        <f>HLOOKUP("# Cores",'vHosts (Imported)'!$1:$5000,M3689,FALSE)</f>
        <v>0</v>
      </c>
      <c r="D3689" s="52">
        <f>HLOOKUP("# Memory",'vHosts (Imported)'!$1:$5000,M3689,FALSE)</f>
        <v>0</v>
      </c>
      <c r="M3689" s="45">
        <f t="shared" si="173"/>
        <v>3689</v>
      </c>
      <c r="N3689" s="38">
        <f>HLOOKUP("Host",'vInfo (Imported)'!$1:$5000,M3689,FALSE)</f>
        <v>0</v>
      </c>
      <c r="R3689">
        <f>HLOOKUP("CPUs",'vInfo (Imported)'!$1:$5000,M3689,FALSE)</f>
        <v>0</v>
      </c>
      <c r="S3689">
        <f>HLOOKUP("Memory",'vInfo (Imported)'!$1:$5000,M3689,FALSE)</f>
        <v>0</v>
      </c>
      <c r="T3689">
        <f>HLOOKUP("Provisioned MiB",'vInfo (Imported)'!$1:$5000,M3689,FALSE)</f>
        <v>0</v>
      </c>
      <c r="U3689">
        <f t="shared" si="172"/>
        <v>0</v>
      </c>
      <c r="V3689">
        <f>HLOOKUP("In Use MiB",'vInfo (Imported)'!$1:$5000,M3689,FALSE)</f>
        <v>0</v>
      </c>
    </row>
    <row r="3690" spans="1:22" ht="13" x14ac:dyDescent="0.3">
      <c r="A3690" s="46">
        <f>'vHosts (Imported)'!A3690</f>
        <v>0</v>
      </c>
      <c r="B3690" s="51">
        <f t="shared" si="174"/>
        <v>4968</v>
      </c>
      <c r="C3690" s="49">
        <f>HLOOKUP("# Cores",'vHosts (Imported)'!$1:$5000,M3690,FALSE)</f>
        <v>0</v>
      </c>
      <c r="D3690" s="52">
        <f>HLOOKUP("# Memory",'vHosts (Imported)'!$1:$5000,M3690,FALSE)</f>
        <v>0</v>
      </c>
      <c r="M3690" s="45">
        <f t="shared" si="173"/>
        <v>3690</v>
      </c>
      <c r="N3690" s="38">
        <f>HLOOKUP("Host",'vInfo (Imported)'!$1:$5000,M3690,FALSE)</f>
        <v>0</v>
      </c>
      <c r="R3690">
        <f>HLOOKUP("CPUs",'vInfo (Imported)'!$1:$5000,M3690,FALSE)</f>
        <v>0</v>
      </c>
      <c r="S3690">
        <f>HLOOKUP("Memory",'vInfo (Imported)'!$1:$5000,M3690,FALSE)</f>
        <v>0</v>
      </c>
      <c r="T3690">
        <f>HLOOKUP("Provisioned MiB",'vInfo (Imported)'!$1:$5000,M3690,FALSE)</f>
        <v>0</v>
      </c>
      <c r="U3690">
        <f t="shared" si="172"/>
        <v>0</v>
      </c>
      <c r="V3690">
        <f>HLOOKUP("In Use MiB",'vInfo (Imported)'!$1:$5000,M3690,FALSE)</f>
        <v>0</v>
      </c>
    </row>
    <row r="3691" spans="1:22" ht="13" x14ac:dyDescent="0.3">
      <c r="A3691" s="46">
        <f>'vHosts (Imported)'!A3691</f>
        <v>0</v>
      </c>
      <c r="B3691" s="51">
        <f t="shared" si="174"/>
        <v>4968</v>
      </c>
      <c r="C3691" s="49">
        <f>HLOOKUP("# Cores",'vHosts (Imported)'!$1:$5000,M3691,FALSE)</f>
        <v>0</v>
      </c>
      <c r="D3691" s="52">
        <f>HLOOKUP("# Memory",'vHosts (Imported)'!$1:$5000,M3691,FALSE)</f>
        <v>0</v>
      </c>
      <c r="M3691" s="45">
        <f t="shared" si="173"/>
        <v>3691</v>
      </c>
      <c r="N3691" s="38">
        <f>HLOOKUP("Host",'vInfo (Imported)'!$1:$5000,M3691,FALSE)</f>
        <v>0</v>
      </c>
      <c r="R3691">
        <f>HLOOKUP("CPUs",'vInfo (Imported)'!$1:$5000,M3691,FALSE)</f>
        <v>0</v>
      </c>
      <c r="S3691">
        <f>HLOOKUP("Memory",'vInfo (Imported)'!$1:$5000,M3691,FALSE)</f>
        <v>0</v>
      </c>
      <c r="T3691">
        <f>HLOOKUP("Provisioned MiB",'vInfo (Imported)'!$1:$5000,M3691,FALSE)</f>
        <v>0</v>
      </c>
      <c r="U3691">
        <f t="shared" si="172"/>
        <v>0</v>
      </c>
      <c r="V3691">
        <f>HLOOKUP("In Use MiB",'vInfo (Imported)'!$1:$5000,M3691,FALSE)</f>
        <v>0</v>
      </c>
    </row>
    <row r="3692" spans="1:22" ht="13" x14ac:dyDescent="0.3">
      <c r="A3692" s="46">
        <f>'vHosts (Imported)'!A3692</f>
        <v>0</v>
      </c>
      <c r="B3692" s="51">
        <f t="shared" si="174"/>
        <v>4968</v>
      </c>
      <c r="C3692" s="49">
        <f>HLOOKUP("# Cores",'vHosts (Imported)'!$1:$5000,M3692,FALSE)</f>
        <v>0</v>
      </c>
      <c r="D3692" s="52">
        <f>HLOOKUP("# Memory",'vHosts (Imported)'!$1:$5000,M3692,FALSE)</f>
        <v>0</v>
      </c>
      <c r="M3692" s="45">
        <f t="shared" si="173"/>
        <v>3692</v>
      </c>
      <c r="N3692" s="38">
        <f>HLOOKUP("Host",'vInfo (Imported)'!$1:$5000,M3692,FALSE)</f>
        <v>0</v>
      </c>
      <c r="R3692">
        <f>HLOOKUP("CPUs",'vInfo (Imported)'!$1:$5000,M3692,FALSE)</f>
        <v>0</v>
      </c>
      <c r="S3692">
        <f>HLOOKUP("Memory",'vInfo (Imported)'!$1:$5000,M3692,FALSE)</f>
        <v>0</v>
      </c>
      <c r="T3692">
        <f>HLOOKUP("Provisioned MiB",'vInfo (Imported)'!$1:$5000,M3692,FALSE)</f>
        <v>0</v>
      </c>
      <c r="U3692">
        <f t="shared" si="172"/>
        <v>0</v>
      </c>
      <c r="V3692">
        <f>HLOOKUP("In Use MiB",'vInfo (Imported)'!$1:$5000,M3692,FALSE)</f>
        <v>0</v>
      </c>
    </row>
    <row r="3693" spans="1:22" ht="13" x14ac:dyDescent="0.3">
      <c r="A3693" s="46">
        <f>'vHosts (Imported)'!A3693</f>
        <v>0</v>
      </c>
      <c r="B3693" s="51">
        <f t="shared" si="174"/>
        <v>4968</v>
      </c>
      <c r="C3693" s="49">
        <f>HLOOKUP("# Cores",'vHosts (Imported)'!$1:$5000,M3693,FALSE)</f>
        <v>0</v>
      </c>
      <c r="D3693" s="52">
        <f>HLOOKUP("# Memory",'vHosts (Imported)'!$1:$5000,M3693,FALSE)</f>
        <v>0</v>
      </c>
      <c r="M3693" s="45">
        <f t="shared" si="173"/>
        <v>3693</v>
      </c>
      <c r="N3693" s="38">
        <f>HLOOKUP("Host",'vInfo (Imported)'!$1:$5000,M3693,FALSE)</f>
        <v>0</v>
      </c>
      <c r="R3693">
        <f>HLOOKUP("CPUs",'vInfo (Imported)'!$1:$5000,M3693,FALSE)</f>
        <v>0</v>
      </c>
      <c r="S3693">
        <f>HLOOKUP("Memory",'vInfo (Imported)'!$1:$5000,M3693,FALSE)</f>
        <v>0</v>
      </c>
      <c r="T3693">
        <f>HLOOKUP("Provisioned MiB",'vInfo (Imported)'!$1:$5000,M3693,FALSE)</f>
        <v>0</v>
      </c>
      <c r="U3693">
        <f t="shared" si="172"/>
        <v>0</v>
      </c>
      <c r="V3693">
        <f>HLOOKUP("In Use MiB",'vInfo (Imported)'!$1:$5000,M3693,FALSE)</f>
        <v>0</v>
      </c>
    </row>
    <row r="3694" spans="1:22" ht="13" x14ac:dyDescent="0.3">
      <c r="A3694" s="46">
        <f>'vHosts (Imported)'!A3694</f>
        <v>0</v>
      </c>
      <c r="B3694" s="51">
        <f t="shared" si="174"/>
        <v>4968</v>
      </c>
      <c r="C3694" s="49">
        <f>HLOOKUP("# Cores",'vHosts (Imported)'!$1:$5000,M3694,FALSE)</f>
        <v>0</v>
      </c>
      <c r="D3694" s="52">
        <f>HLOOKUP("# Memory",'vHosts (Imported)'!$1:$5000,M3694,FALSE)</f>
        <v>0</v>
      </c>
      <c r="M3694" s="45">
        <f t="shared" si="173"/>
        <v>3694</v>
      </c>
      <c r="N3694" s="38">
        <f>HLOOKUP("Host",'vInfo (Imported)'!$1:$5000,M3694,FALSE)</f>
        <v>0</v>
      </c>
      <c r="R3694">
        <f>HLOOKUP("CPUs",'vInfo (Imported)'!$1:$5000,M3694,FALSE)</f>
        <v>0</v>
      </c>
      <c r="S3694">
        <f>HLOOKUP("Memory",'vInfo (Imported)'!$1:$5000,M3694,FALSE)</f>
        <v>0</v>
      </c>
      <c r="T3694">
        <f>HLOOKUP("Provisioned MiB",'vInfo (Imported)'!$1:$5000,M3694,FALSE)</f>
        <v>0</v>
      </c>
      <c r="U3694">
        <f t="shared" si="172"/>
        <v>0</v>
      </c>
      <c r="V3694">
        <f>HLOOKUP("In Use MiB",'vInfo (Imported)'!$1:$5000,M3694,FALSE)</f>
        <v>0</v>
      </c>
    </row>
    <row r="3695" spans="1:22" ht="13" x14ac:dyDescent="0.3">
      <c r="A3695" s="46">
        <f>'vHosts (Imported)'!A3695</f>
        <v>0</v>
      </c>
      <c r="B3695" s="51">
        <f t="shared" si="174"/>
        <v>4968</v>
      </c>
      <c r="C3695" s="49">
        <f>HLOOKUP("# Cores",'vHosts (Imported)'!$1:$5000,M3695,FALSE)</f>
        <v>0</v>
      </c>
      <c r="D3695" s="52">
        <f>HLOOKUP("# Memory",'vHosts (Imported)'!$1:$5000,M3695,FALSE)</f>
        <v>0</v>
      </c>
      <c r="M3695" s="45">
        <f t="shared" si="173"/>
        <v>3695</v>
      </c>
      <c r="N3695" s="38">
        <f>HLOOKUP("Host",'vInfo (Imported)'!$1:$5000,M3695,FALSE)</f>
        <v>0</v>
      </c>
      <c r="R3695">
        <f>HLOOKUP("CPUs",'vInfo (Imported)'!$1:$5000,M3695,FALSE)</f>
        <v>0</v>
      </c>
      <c r="S3695">
        <f>HLOOKUP("Memory",'vInfo (Imported)'!$1:$5000,M3695,FALSE)</f>
        <v>0</v>
      </c>
      <c r="T3695">
        <f>HLOOKUP("Provisioned MiB",'vInfo (Imported)'!$1:$5000,M3695,FALSE)</f>
        <v>0</v>
      </c>
      <c r="U3695">
        <f t="shared" si="172"/>
        <v>0</v>
      </c>
      <c r="V3695">
        <f>HLOOKUP("In Use MiB",'vInfo (Imported)'!$1:$5000,M3695,FALSE)</f>
        <v>0</v>
      </c>
    </row>
    <row r="3696" spans="1:22" ht="13" x14ac:dyDescent="0.3">
      <c r="A3696" s="46">
        <f>'vHosts (Imported)'!A3696</f>
        <v>0</v>
      </c>
      <c r="B3696" s="51">
        <f t="shared" si="174"/>
        <v>4968</v>
      </c>
      <c r="C3696" s="49">
        <f>HLOOKUP("# Cores",'vHosts (Imported)'!$1:$5000,M3696,FALSE)</f>
        <v>0</v>
      </c>
      <c r="D3696" s="52">
        <f>HLOOKUP("# Memory",'vHosts (Imported)'!$1:$5000,M3696,FALSE)</f>
        <v>0</v>
      </c>
      <c r="M3696" s="45">
        <f t="shared" si="173"/>
        <v>3696</v>
      </c>
      <c r="N3696" s="38">
        <f>HLOOKUP("Host",'vInfo (Imported)'!$1:$5000,M3696,FALSE)</f>
        <v>0</v>
      </c>
      <c r="R3696">
        <f>HLOOKUP("CPUs",'vInfo (Imported)'!$1:$5000,M3696,FALSE)</f>
        <v>0</v>
      </c>
      <c r="S3696">
        <f>HLOOKUP("Memory",'vInfo (Imported)'!$1:$5000,M3696,FALSE)</f>
        <v>0</v>
      </c>
      <c r="T3696">
        <f>HLOOKUP("Provisioned MiB",'vInfo (Imported)'!$1:$5000,M3696,FALSE)</f>
        <v>0</v>
      </c>
      <c r="U3696">
        <f t="shared" si="172"/>
        <v>0</v>
      </c>
      <c r="V3696">
        <f>HLOOKUP("In Use MiB",'vInfo (Imported)'!$1:$5000,M3696,FALSE)</f>
        <v>0</v>
      </c>
    </row>
    <row r="3697" spans="1:22" ht="13" x14ac:dyDescent="0.3">
      <c r="A3697" s="46">
        <f>'vHosts (Imported)'!A3697</f>
        <v>0</v>
      </c>
      <c r="B3697" s="51">
        <f t="shared" si="174"/>
        <v>4968</v>
      </c>
      <c r="C3697" s="49">
        <f>HLOOKUP("# Cores",'vHosts (Imported)'!$1:$5000,M3697,FALSE)</f>
        <v>0</v>
      </c>
      <c r="D3697" s="52">
        <f>HLOOKUP("# Memory",'vHosts (Imported)'!$1:$5000,M3697,FALSE)</f>
        <v>0</v>
      </c>
      <c r="M3697" s="45">
        <f t="shared" si="173"/>
        <v>3697</v>
      </c>
      <c r="N3697" s="38">
        <f>HLOOKUP("Host",'vInfo (Imported)'!$1:$5000,M3697,FALSE)</f>
        <v>0</v>
      </c>
      <c r="R3697">
        <f>HLOOKUP("CPUs",'vInfo (Imported)'!$1:$5000,M3697,FALSE)</f>
        <v>0</v>
      </c>
      <c r="S3697">
        <f>HLOOKUP("Memory",'vInfo (Imported)'!$1:$5000,M3697,FALSE)</f>
        <v>0</v>
      </c>
      <c r="T3697">
        <f>HLOOKUP("Provisioned MiB",'vInfo (Imported)'!$1:$5000,M3697,FALSE)</f>
        <v>0</v>
      </c>
      <c r="U3697">
        <f t="shared" si="172"/>
        <v>0</v>
      </c>
      <c r="V3697">
        <f>HLOOKUP("In Use MiB",'vInfo (Imported)'!$1:$5000,M3697,FALSE)</f>
        <v>0</v>
      </c>
    </row>
    <row r="3698" spans="1:22" ht="13" x14ac:dyDescent="0.3">
      <c r="A3698" s="46">
        <f>'vHosts (Imported)'!A3698</f>
        <v>0</v>
      </c>
      <c r="B3698" s="51">
        <f t="shared" si="174"/>
        <v>4968</v>
      </c>
      <c r="C3698" s="49">
        <f>HLOOKUP("# Cores",'vHosts (Imported)'!$1:$5000,M3698,FALSE)</f>
        <v>0</v>
      </c>
      <c r="D3698" s="52">
        <f>HLOOKUP("# Memory",'vHosts (Imported)'!$1:$5000,M3698,FALSE)</f>
        <v>0</v>
      </c>
      <c r="M3698" s="45">
        <f t="shared" si="173"/>
        <v>3698</v>
      </c>
      <c r="N3698" s="38">
        <f>HLOOKUP("Host",'vInfo (Imported)'!$1:$5000,M3698,FALSE)</f>
        <v>0</v>
      </c>
      <c r="R3698">
        <f>HLOOKUP("CPUs",'vInfo (Imported)'!$1:$5000,M3698,FALSE)</f>
        <v>0</v>
      </c>
      <c r="S3698">
        <f>HLOOKUP("Memory",'vInfo (Imported)'!$1:$5000,M3698,FALSE)</f>
        <v>0</v>
      </c>
      <c r="T3698">
        <f>HLOOKUP("Provisioned MiB",'vInfo (Imported)'!$1:$5000,M3698,FALSE)</f>
        <v>0</v>
      </c>
      <c r="U3698">
        <f t="shared" si="172"/>
        <v>0</v>
      </c>
      <c r="V3698">
        <f>HLOOKUP("In Use MiB",'vInfo (Imported)'!$1:$5000,M3698,FALSE)</f>
        <v>0</v>
      </c>
    </row>
    <row r="3699" spans="1:22" ht="13" x14ac:dyDescent="0.3">
      <c r="A3699" s="46">
        <f>'vHosts (Imported)'!A3699</f>
        <v>0</v>
      </c>
      <c r="B3699" s="51">
        <f t="shared" si="174"/>
        <v>4968</v>
      </c>
      <c r="C3699" s="49">
        <f>HLOOKUP("# Cores",'vHosts (Imported)'!$1:$5000,M3699,FALSE)</f>
        <v>0</v>
      </c>
      <c r="D3699" s="52">
        <f>HLOOKUP("# Memory",'vHosts (Imported)'!$1:$5000,M3699,FALSE)</f>
        <v>0</v>
      </c>
      <c r="M3699" s="45">
        <f t="shared" si="173"/>
        <v>3699</v>
      </c>
      <c r="N3699" s="38">
        <f>HLOOKUP("Host",'vInfo (Imported)'!$1:$5000,M3699,FALSE)</f>
        <v>0</v>
      </c>
      <c r="R3699">
        <f>HLOOKUP("CPUs",'vInfo (Imported)'!$1:$5000,M3699,FALSE)</f>
        <v>0</v>
      </c>
      <c r="S3699">
        <f>HLOOKUP("Memory",'vInfo (Imported)'!$1:$5000,M3699,FALSE)</f>
        <v>0</v>
      </c>
      <c r="T3699">
        <f>HLOOKUP("Provisioned MiB",'vInfo (Imported)'!$1:$5000,M3699,FALSE)</f>
        <v>0</v>
      </c>
      <c r="U3699">
        <f t="shared" si="172"/>
        <v>0</v>
      </c>
      <c r="V3699">
        <f>HLOOKUP("In Use MiB",'vInfo (Imported)'!$1:$5000,M3699,FALSE)</f>
        <v>0</v>
      </c>
    </row>
    <row r="3700" spans="1:22" ht="13" x14ac:dyDescent="0.3">
      <c r="A3700" s="46">
        <f>'vHosts (Imported)'!A3700</f>
        <v>0</v>
      </c>
      <c r="B3700" s="51">
        <f t="shared" si="174"/>
        <v>4968</v>
      </c>
      <c r="C3700" s="49">
        <f>HLOOKUP("# Cores",'vHosts (Imported)'!$1:$5000,M3700,FALSE)</f>
        <v>0</v>
      </c>
      <c r="D3700" s="52">
        <f>HLOOKUP("# Memory",'vHosts (Imported)'!$1:$5000,M3700,FALSE)</f>
        <v>0</v>
      </c>
      <c r="M3700" s="45">
        <f t="shared" si="173"/>
        <v>3700</v>
      </c>
      <c r="N3700" s="38">
        <f>HLOOKUP("Host",'vInfo (Imported)'!$1:$5000,M3700,FALSE)</f>
        <v>0</v>
      </c>
      <c r="R3700">
        <f>HLOOKUP("CPUs",'vInfo (Imported)'!$1:$5000,M3700,FALSE)</f>
        <v>0</v>
      </c>
      <c r="S3700">
        <f>HLOOKUP("Memory",'vInfo (Imported)'!$1:$5000,M3700,FALSE)</f>
        <v>0</v>
      </c>
      <c r="T3700">
        <f>HLOOKUP("Provisioned MiB",'vInfo (Imported)'!$1:$5000,M3700,FALSE)</f>
        <v>0</v>
      </c>
      <c r="U3700">
        <f t="shared" si="172"/>
        <v>0</v>
      </c>
      <c r="V3700">
        <f>HLOOKUP("In Use MiB",'vInfo (Imported)'!$1:$5000,M3700,FALSE)</f>
        <v>0</v>
      </c>
    </row>
    <row r="3701" spans="1:22" ht="13" x14ac:dyDescent="0.3">
      <c r="A3701" s="46">
        <f>'vHosts (Imported)'!A3701</f>
        <v>0</v>
      </c>
      <c r="B3701" s="51">
        <f t="shared" si="174"/>
        <v>4968</v>
      </c>
      <c r="C3701" s="49">
        <f>HLOOKUP("# Cores",'vHosts (Imported)'!$1:$5000,M3701,FALSE)</f>
        <v>0</v>
      </c>
      <c r="D3701" s="52">
        <f>HLOOKUP("# Memory",'vHosts (Imported)'!$1:$5000,M3701,FALSE)</f>
        <v>0</v>
      </c>
      <c r="M3701" s="45">
        <f t="shared" si="173"/>
        <v>3701</v>
      </c>
      <c r="N3701" s="38">
        <f>HLOOKUP("Host",'vInfo (Imported)'!$1:$5000,M3701,FALSE)</f>
        <v>0</v>
      </c>
      <c r="R3701">
        <f>HLOOKUP("CPUs",'vInfo (Imported)'!$1:$5000,M3701,FALSE)</f>
        <v>0</v>
      </c>
      <c r="S3701">
        <f>HLOOKUP("Memory",'vInfo (Imported)'!$1:$5000,M3701,FALSE)</f>
        <v>0</v>
      </c>
      <c r="T3701">
        <f>HLOOKUP("Provisioned MiB",'vInfo (Imported)'!$1:$5000,M3701,FALSE)</f>
        <v>0</v>
      </c>
      <c r="U3701">
        <f t="shared" si="172"/>
        <v>0</v>
      </c>
      <c r="V3701">
        <f>HLOOKUP("In Use MiB",'vInfo (Imported)'!$1:$5000,M3701,FALSE)</f>
        <v>0</v>
      </c>
    </row>
    <row r="3702" spans="1:22" ht="13" x14ac:dyDescent="0.3">
      <c r="A3702" s="46">
        <f>'vHosts (Imported)'!A3702</f>
        <v>0</v>
      </c>
      <c r="B3702" s="51">
        <f t="shared" si="174"/>
        <v>4968</v>
      </c>
      <c r="C3702" s="49">
        <f>HLOOKUP("# Cores",'vHosts (Imported)'!$1:$5000,M3702,FALSE)</f>
        <v>0</v>
      </c>
      <c r="D3702" s="52">
        <f>HLOOKUP("# Memory",'vHosts (Imported)'!$1:$5000,M3702,FALSE)</f>
        <v>0</v>
      </c>
      <c r="M3702" s="45">
        <f t="shared" si="173"/>
        <v>3702</v>
      </c>
      <c r="N3702" s="38">
        <f>HLOOKUP("Host",'vInfo (Imported)'!$1:$5000,M3702,FALSE)</f>
        <v>0</v>
      </c>
      <c r="R3702">
        <f>HLOOKUP("CPUs",'vInfo (Imported)'!$1:$5000,M3702,FALSE)</f>
        <v>0</v>
      </c>
      <c r="S3702">
        <f>HLOOKUP("Memory",'vInfo (Imported)'!$1:$5000,M3702,FALSE)</f>
        <v>0</v>
      </c>
      <c r="T3702">
        <f>HLOOKUP("Provisioned MiB",'vInfo (Imported)'!$1:$5000,M3702,FALSE)</f>
        <v>0</v>
      </c>
      <c r="U3702">
        <f t="shared" si="172"/>
        <v>0</v>
      </c>
      <c r="V3702">
        <f>HLOOKUP("In Use MiB",'vInfo (Imported)'!$1:$5000,M3702,FALSE)</f>
        <v>0</v>
      </c>
    </row>
    <row r="3703" spans="1:22" ht="13" x14ac:dyDescent="0.3">
      <c r="A3703" s="46">
        <f>'vHosts (Imported)'!A3703</f>
        <v>0</v>
      </c>
      <c r="B3703" s="51">
        <f t="shared" si="174"/>
        <v>4968</v>
      </c>
      <c r="C3703" s="49">
        <f>HLOOKUP("# Cores",'vHosts (Imported)'!$1:$5000,M3703,FALSE)</f>
        <v>0</v>
      </c>
      <c r="D3703" s="52">
        <f>HLOOKUP("# Memory",'vHosts (Imported)'!$1:$5000,M3703,FALSE)</f>
        <v>0</v>
      </c>
      <c r="M3703" s="45">
        <f t="shared" si="173"/>
        <v>3703</v>
      </c>
      <c r="N3703" s="38">
        <f>HLOOKUP("Host",'vInfo (Imported)'!$1:$5000,M3703,FALSE)</f>
        <v>0</v>
      </c>
      <c r="R3703">
        <f>HLOOKUP("CPUs",'vInfo (Imported)'!$1:$5000,M3703,FALSE)</f>
        <v>0</v>
      </c>
      <c r="S3703">
        <f>HLOOKUP("Memory",'vInfo (Imported)'!$1:$5000,M3703,FALSE)</f>
        <v>0</v>
      </c>
      <c r="T3703">
        <f>HLOOKUP("Provisioned MiB",'vInfo (Imported)'!$1:$5000,M3703,FALSE)</f>
        <v>0</v>
      </c>
      <c r="U3703">
        <f t="shared" si="172"/>
        <v>0</v>
      </c>
      <c r="V3703">
        <f>HLOOKUP("In Use MiB",'vInfo (Imported)'!$1:$5000,M3703,FALSE)</f>
        <v>0</v>
      </c>
    </row>
    <row r="3704" spans="1:22" ht="13" x14ac:dyDescent="0.3">
      <c r="A3704" s="46">
        <f>'vHosts (Imported)'!A3704</f>
        <v>0</v>
      </c>
      <c r="B3704" s="51">
        <f t="shared" si="174"/>
        <v>4968</v>
      </c>
      <c r="C3704" s="49">
        <f>HLOOKUP("# Cores",'vHosts (Imported)'!$1:$5000,M3704,FALSE)</f>
        <v>0</v>
      </c>
      <c r="D3704" s="52">
        <f>HLOOKUP("# Memory",'vHosts (Imported)'!$1:$5000,M3704,FALSE)</f>
        <v>0</v>
      </c>
      <c r="M3704" s="45">
        <f t="shared" si="173"/>
        <v>3704</v>
      </c>
      <c r="N3704" s="38">
        <f>HLOOKUP("Host",'vInfo (Imported)'!$1:$5000,M3704,FALSE)</f>
        <v>0</v>
      </c>
      <c r="R3704">
        <f>HLOOKUP("CPUs",'vInfo (Imported)'!$1:$5000,M3704,FALSE)</f>
        <v>0</v>
      </c>
      <c r="S3704">
        <f>HLOOKUP("Memory",'vInfo (Imported)'!$1:$5000,M3704,FALSE)</f>
        <v>0</v>
      </c>
      <c r="T3704">
        <f>HLOOKUP("Provisioned MiB",'vInfo (Imported)'!$1:$5000,M3704,FALSE)</f>
        <v>0</v>
      </c>
      <c r="U3704">
        <f t="shared" si="172"/>
        <v>0</v>
      </c>
      <c r="V3704">
        <f>HLOOKUP("In Use MiB",'vInfo (Imported)'!$1:$5000,M3704,FALSE)</f>
        <v>0</v>
      </c>
    </row>
    <row r="3705" spans="1:22" ht="13" x14ac:dyDescent="0.3">
      <c r="A3705" s="46">
        <f>'vHosts (Imported)'!A3705</f>
        <v>0</v>
      </c>
      <c r="B3705" s="51">
        <f t="shared" si="174"/>
        <v>4968</v>
      </c>
      <c r="C3705" s="49">
        <f>HLOOKUP("# Cores",'vHosts (Imported)'!$1:$5000,M3705,FALSE)</f>
        <v>0</v>
      </c>
      <c r="D3705" s="52">
        <f>HLOOKUP("# Memory",'vHosts (Imported)'!$1:$5000,M3705,FALSE)</f>
        <v>0</v>
      </c>
      <c r="M3705" s="45">
        <f t="shared" si="173"/>
        <v>3705</v>
      </c>
      <c r="N3705" s="38">
        <f>HLOOKUP("Host",'vInfo (Imported)'!$1:$5000,M3705,FALSE)</f>
        <v>0</v>
      </c>
      <c r="R3705">
        <f>HLOOKUP("CPUs",'vInfo (Imported)'!$1:$5000,M3705,FALSE)</f>
        <v>0</v>
      </c>
      <c r="S3705">
        <f>HLOOKUP("Memory",'vInfo (Imported)'!$1:$5000,M3705,FALSE)</f>
        <v>0</v>
      </c>
      <c r="T3705">
        <f>HLOOKUP("Provisioned MiB",'vInfo (Imported)'!$1:$5000,M3705,FALSE)</f>
        <v>0</v>
      </c>
      <c r="U3705">
        <f t="shared" si="172"/>
        <v>0</v>
      </c>
      <c r="V3705">
        <f>HLOOKUP("In Use MiB",'vInfo (Imported)'!$1:$5000,M3705,FALSE)</f>
        <v>0</v>
      </c>
    </row>
    <row r="3706" spans="1:22" ht="13" x14ac:dyDescent="0.3">
      <c r="A3706" s="46">
        <f>'vHosts (Imported)'!A3706</f>
        <v>0</v>
      </c>
      <c r="B3706" s="51">
        <f t="shared" si="174"/>
        <v>4968</v>
      </c>
      <c r="C3706" s="49">
        <f>HLOOKUP("# Cores",'vHosts (Imported)'!$1:$5000,M3706,FALSE)</f>
        <v>0</v>
      </c>
      <c r="D3706" s="52">
        <f>HLOOKUP("# Memory",'vHosts (Imported)'!$1:$5000,M3706,FALSE)</f>
        <v>0</v>
      </c>
      <c r="M3706" s="45">
        <f t="shared" si="173"/>
        <v>3706</v>
      </c>
      <c r="N3706" s="38">
        <f>HLOOKUP("Host",'vInfo (Imported)'!$1:$5000,M3706,FALSE)</f>
        <v>0</v>
      </c>
      <c r="R3706">
        <f>HLOOKUP("CPUs",'vInfo (Imported)'!$1:$5000,M3706,FALSE)</f>
        <v>0</v>
      </c>
      <c r="S3706">
        <f>HLOOKUP("Memory",'vInfo (Imported)'!$1:$5000,M3706,FALSE)</f>
        <v>0</v>
      </c>
      <c r="T3706">
        <f>HLOOKUP("Provisioned MiB",'vInfo (Imported)'!$1:$5000,M3706,FALSE)</f>
        <v>0</v>
      </c>
      <c r="U3706">
        <f t="shared" si="172"/>
        <v>0</v>
      </c>
      <c r="V3706">
        <f>HLOOKUP("In Use MiB",'vInfo (Imported)'!$1:$5000,M3706,FALSE)</f>
        <v>0</v>
      </c>
    </row>
    <row r="3707" spans="1:22" ht="13" x14ac:dyDescent="0.3">
      <c r="A3707" s="46">
        <f>'vHosts (Imported)'!A3707</f>
        <v>0</v>
      </c>
      <c r="B3707" s="51">
        <f t="shared" si="174"/>
        <v>4968</v>
      </c>
      <c r="C3707" s="49">
        <f>HLOOKUP("# Cores",'vHosts (Imported)'!$1:$5000,M3707,FALSE)</f>
        <v>0</v>
      </c>
      <c r="D3707" s="52">
        <f>HLOOKUP("# Memory",'vHosts (Imported)'!$1:$5000,M3707,FALSE)</f>
        <v>0</v>
      </c>
      <c r="M3707" s="45">
        <f t="shared" si="173"/>
        <v>3707</v>
      </c>
      <c r="N3707" s="38">
        <f>HLOOKUP("Host",'vInfo (Imported)'!$1:$5000,M3707,FALSE)</f>
        <v>0</v>
      </c>
      <c r="R3707">
        <f>HLOOKUP("CPUs",'vInfo (Imported)'!$1:$5000,M3707,FALSE)</f>
        <v>0</v>
      </c>
      <c r="S3707">
        <f>HLOOKUP("Memory",'vInfo (Imported)'!$1:$5000,M3707,FALSE)</f>
        <v>0</v>
      </c>
      <c r="T3707">
        <f>HLOOKUP("Provisioned MiB",'vInfo (Imported)'!$1:$5000,M3707,FALSE)</f>
        <v>0</v>
      </c>
      <c r="U3707">
        <f t="shared" si="172"/>
        <v>0</v>
      </c>
      <c r="V3707">
        <f>HLOOKUP("In Use MiB",'vInfo (Imported)'!$1:$5000,M3707,FALSE)</f>
        <v>0</v>
      </c>
    </row>
    <row r="3708" spans="1:22" ht="13" x14ac:dyDescent="0.3">
      <c r="A3708" s="46">
        <f>'vHosts (Imported)'!A3708</f>
        <v>0</v>
      </c>
      <c r="B3708" s="51">
        <f t="shared" si="174"/>
        <v>4968</v>
      </c>
      <c r="C3708" s="49">
        <f>HLOOKUP("# Cores",'vHosts (Imported)'!$1:$5000,M3708,FALSE)</f>
        <v>0</v>
      </c>
      <c r="D3708" s="52">
        <f>HLOOKUP("# Memory",'vHosts (Imported)'!$1:$5000,M3708,FALSE)</f>
        <v>0</v>
      </c>
      <c r="M3708" s="45">
        <f t="shared" si="173"/>
        <v>3708</v>
      </c>
      <c r="N3708" s="38">
        <f>HLOOKUP("Host",'vInfo (Imported)'!$1:$5000,M3708,FALSE)</f>
        <v>0</v>
      </c>
      <c r="R3708">
        <f>HLOOKUP("CPUs",'vInfo (Imported)'!$1:$5000,M3708,FALSE)</f>
        <v>0</v>
      </c>
      <c r="S3708">
        <f>HLOOKUP("Memory",'vInfo (Imported)'!$1:$5000,M3708,FALSE)</f>
        <v>0</v>
      </c>
      <c r="T3708">
        <f>HLOOKUP("Provisioned MiB",'vInfo (Imported)'!$1:$5000,M3708,FALSE)</f>
        <v>0</v>
      </c>
      <c r="U3708">
        <f t="shared" si="172"/>
        <v>0</v>
      </c>
      <c r="V3708">
        <f>HLOOKUP("In Use MiB",'vInfo (Imported)'!$1:$5000,M3708,FALSE)</f>
        <v>0</v>
      </c>
    </row>
    <row r="3709" spans="1:22" ht="13" x14ac:dyDescent="0.3">
      <c r="A3709" s="46">
        <f>'vHosts (Imported)'!A3709</f>
        <v>0</v>
      </c>
      <c r="B3709" s="51">
        <f t="shared" si="174"/>
        <v>4968</v>
      </c>
      <c r="C3709" s="49">
        <f>HLOOKUP("# Cores",'vHosts (Imported)'!$1:$5000,M3709,FALSE)</f>
        <v>0</v>
      </c>
      <c r="D3709" s="52">
        <f>HLOOKUP("# Memory",'vHosts (Imported)'!$1:$5000,M3709,FALSE)</f>
        <v>0</v>
      </c>
      <c r="M3709" s="45">
        <f t="shared" si="173"/>
        <v>3709</v>
      </c>
      <c r="N3709" s="38">
        <f>HLOOKUP("Host",'vInfo (Imported)'!$1:$5000,M3709,FALSE)</f>
        <v>0</v>
      </c>
      <c r="R3709">
        <f>HLOOKUP("CPUs",'vInfo (Imported)'!$1:$5000,M3709,FALSE)</f>
        <v>0</v>
      </c>
      <c r="S3709">
        <f>HLOOKUP("Memory",'vInfo (Imported)'!$1:$5000,M3709,FALSE)</f>
        <v>0</v>
      </c>
      <c r="T3709">
        <f>HLOOKUP("Provisioned MiB",'vInfo (Imported)'!$1:$5000,M3709,FALSE)</f>
        <v>0</v>
      </c>
      <c r="U3709">
        <f t="shared" si="172"/>
        <v>0</v>
      </c>
      <c r="V3709">
        <f>HLOOKUP("In Use MiB",'vInfo (Imported)'!$1:$5000,M3709,FALSE)</f>
        <v>0</v>
      </c>
    </row>
    <row r="3710" spans="1:22" ht="13" x14ac:dyDescent="0.3">
      <c r="A3710" s="46">
        <f>'vHosts (Imported)'!A3710</f>
        <v>0</v>
      </c>
      <c r="B3710" s="51">
        <f t="shared" si="174"/>
        <v>4968</v>
      </c>
      <c r="C3710" s="49">
        <f>HLOOKUP("# Cores",'vHosts (Imported)'!$1:$5000,M3710,FALSE)</f>
        <v>0</v>
      </c>
      <c r="D3710" s="52">
        <f>HLOOKUP("# Memory",'vHosts (Imported)'!$1:$5000,M3710,FALSE)</f>
        <v>0</v>
      </c>
      <c r="M3710" s="45">
        <f t="shared" si="173"/>
        <v>3710</v>
      </c>
      <c r="N3710" s="38">
        <f>HLOOKUP("Host",'vInfo (Imported)'!$1:$5000,M3710,FALSE)</f>
        <v>0</v>
      </c>
      <c r="R3710">
        <f>HLOOKUP("CPUs",'vInfo (Imported)'!$1:$5000,M3710,FALSE)</f>
        <v>0</v>
      </c>
      <c r="S3710">
        <f>HLOOKUP("Memory",'vInfo (Imported)'!$1:$5000,M3710,FALSE)</f>
        <v>0</v>
      </c>
      <c r="T3710">
        <f>HLOOKUP("Provisioned MiB",'vInfo (Imported)'!$1:$5000,M3710,FALSE)</f>
        <v>0</v>
      </c>
      <c r="U3710">
        <f t="shared" si="172"/>
        <v>0</v>
      </c>
      <c r="V3710">
        <f>HLOOKUP("In Use MiB",'vInfo (Imported)'!$1:$5000,M3710,FALSE)</f>
        <v>0</v>
      </c>
    </row>
    <row r="3711" spans="1:22" ht="13" x14ac:dyDescent="0.3">
      <c r="A3711" s="46">
        <f>'vHosts (Imported)'!A3711</f>
        <v>0</v>
      </c>
      <c r="B3711" s="51">
        <f t="shared" si="174"/>
        <v>4968</v>
      </c>
      <c r="C3711" s="49">
        <f>HLOOKUP("# Cores",'vHosts (Imported)'!$1:$5000,M3711,FALSE)</f>
        <v>0</v>
      </c>
      <c r="D3711" s="52">
        <f>HLOOKUP("# Memory",'vHosts (Imported)'!$1:$5000,M3711,FALSE)</f>
        <v>0</v>
      </c>
      <c r="M3711" s="45">
        <f t="shared" si="173"/>
        <v>3711</v>
      </c>
      <c r="N3711" s="38">
        <f>HLOOKUP("Host",'vInfo (Imported)'!$1:$5000,M3711,FALSE)</f>
        <v>0</v>
      </c>
      <c r="R3711">
        <f>HLOOKUP("CPUs",'vInfo (Imported)'!$1:$5000,M3711,FALSE)</f>
        <v>0</v>
      </c>
      <c r="S3711">
        <f>HLOOKUP("Memory",'vInfo (Imported)'!$1:$5000,M3711,FALSE)</f>
        <v>0</v>
      </c>
      <c r="T3711">
        <f>HLOOKUP("Provisioned MiB",'vInfo (Imported)'!$1:$5000,M3711,FALSE)</f>
        <v>0</v>
      </c>
      <c r="U3711">
        <f t="shared" si="172"/>
        <v>0</v>
      </c>
      <c r="V3711">
        <f>HLOOKUP("In Use MiB",'vInfo (Imported)'!$1:$5000,M3711,FALSE)</f>
        <v>0</v>
      </c>
    </row>
    <row r="3712" spans="1:22" ht="13" x14ac:dyDescent="0.3">
      <c r="A3712" s="46">
        <f>'vHosts (Imported)'!A3712</f>
        <v>0</v>
      </c>
      <c r="B3712" s="51">
        <f t="shared" si="174"/>
        <v>4968</v>
      </c>
      <c r="C3712" s="49">
        <f>HLOOKUP("# Cores",'vHosts (Imported)'!$1:$5000,M3712,FALSE)</f>
        <v>0</v>
      </c>
      <c r="D3712" s="52">
        <f>HLOOKUP("# Memory",'vHosts (Imported)'!$1:$5000,M3712,FALSE)</f>
        <v>0</v>
      </c>
      <c r="M3712" s="45">
        <f t="shared" si="173"/>
        <v>3712</v>
      </c>
      <c r="N3712" s="38">
        <f>HLOOKUP("Host",'vInfo (Imported)'!$1:$5000,M3712,FALSE)</f>
        <v>0</v>
      </c>
      <c r="R3712">
        <f>HLOOKUP("CPUs",'vInfo (Imported)'!$1:$5000,M3712,FALSE)</f>
        <v>0</v>
      </c>
      <c r="S3712">
        <f>HLOOKUP("Memory",'vInfo (Imported)'!$1:$5000,M3712,FALSE)</f>
        <v>0</v>
      </c>
      <c r="T3712">
        <f>HLOOKUP("Provisioned MiB",'vInfo (Imported)'!$1:$5000,M3712,FALSE)</f>
        <v>0</v>
      </c>
      <c r="U3712">
        <f t="shared" si="172"/>
        <v>0</v>
      </c>
      <c r="V3712">
        <f>HLOOKUP("In Use MiB",'vInfo (Imported)'!$1:$5000,M3712,FALSE)</f>
        <v>0</v>
      </c>
    </row>
    <row r="3713" spans="1:22" ht="13" x14ac:dyDescent="0.3">
      <c r="A3713" s="46">
        <f>'vHosts (Imported)'!A3713</f>
        <v>0</v>
      </c>
      <c r="B3713" s="51">
        <f t="shared" si="174"/>
        <v>4968</v>
      </c>
      <c r="C3713" s="49">
        <f>HLOOKUP("# Cores",'vHosts (Imported)'!$1:$5000,M3713,FALSE)</f>
        <v>0</v>
      </c>
      <c r="D3713" s="52">
        <f>HLOOKUP("# Memory",'vHosts (Imported)'!$1:$5000,M3713,FALSE)</f>
        <v>0</v>
      </c>
      <c r="M3713" s="45">
        <f t="shared" si="173"/>
        <v>3713</v>
      </c>
      <c r="N3713" s="38">
        <f>HLOOKUP("Host",'vInfo (Imported)'!$1:$5000,M3713,FALSE)</f>
        <v>0</v>
      </c>
      <c r="R3713">
        <f>HLOOKUP("CPUs",'vInfo (Imported)'!$1:$5000,M3713,FALSE)</f>
        <v>0</v>
      </c>
      <c r="S3713">
        <f>HLOOKUP("Memory",'vInfo (Imported)'!$1:$5000,M3713,FALSE)</f>
        <v>0</v>
      </c>
      <c r="T3713">
        <f>HLOOKUP("Provisioned MiB",'vInfo (Imported)'!$1:$5000,M3713,FALSE)</f>
        <v>0</v>
      </c>
      <c r="U3713">
        <f t="shared" si="172"/>
        <v>0</v>
      </c>
      <c r="V3713">
        <f>HLOOKUP("In Use MiB",'vInfo (Imported)'!$1:$5000,M3713,FALSE)</f>
        <v>0</v>
      </c>
    </row>
    <row r="3714" spans="1:22" ht="13" x14ac:dyDescent="0.3">
      <c r="A3714" s="46">
        <f>'vHosts (Imported)'!A3714</f>
        <v>0</v>
      </c>
      <c r="B3714" s="51">
        <f t="shared" si="174"/>
        <v>4968</v>
      </c>
      <c r="C3714" s="49">
        <f>HLOOKUP("# Cores",'vHosts (Imported)'!$1:$5000,M3714,FALSE)</f>
        <v>0</v>
      </c>
      <c r="D3714" s="52">
        <f>HLOOKUP("# Memory",'vHosts (Imported)'!$1:$5000,M3714,FALSE)</f>
        <v>0</v>
      </c>
      <c r="M3714" s="45">
        <f t="shared" si="173"/>
        <v>3714</v>
      </c>
      <c r="N3714" s="38">
        <f>HLOOKUP("Host",'vInfo (Imported)'!$1:$5000,M3714,FALSE)</f>
        <v>0</v>
      </c>
      <c r="R3714">
        <f>HLOOKUP("CPUs",'vInfo (Imported)'!$1:$5000,M3714,FALSE)</f>
        <v>0</v>
      </c>
      <c r="S3714">
        <f>HLOOKUP("Memory",'vInfo (Imported)'!$1:$5000,M3714,FALSE)</f>
        <v>0</v>
      </c>
      <c r="T3714">
        <f>HLOOKUP("Provisioned MiB",'vInfo (Imported)'!$1:$5000,M3714,FALSE)</f>
        <v>0</v>
      </c>
      <c r="U3714">
        <f t="shared" si="172"/>
        <v>0</v>
      </c>
      <c r="V3714">
        <f>HLOOKUP("In Use MiB",'vInfo (Imported)'!$1:$5000,M3714,FALSE)</f>
        <v>0</v>
      </c>
    </row>
    <row r="3715" spans="1:22" ht="13" x14ac:dyDescent="0.3">
      <c r="A3715" s="46">
        <f>'vHosts (Imported)'!A3715</f>
        <v>0</v>
      </c>
      <c r="B3715" s="51">
        <f t="shared" si="174"/>
        <v>4968</v>
      </c>
      <c r="C3715" s="49">
        <f>HLOOKUP("# Cores",'vHosts (Imported)'!$1:$5000,M3715,FALSE)</f>
        <v>0</v>
      </c>
      <c r="D3715" s="52">
        <f>HLOOKUP("# Memory",'vHosts (Imported)'!$1:$5000,M3715,FALSE)</f>
        <v>0</v>
      </c>
      <c r="M3715" s="45">
        <f t="shared" si="173"/>
        <v>3715</v>
      </c>
      <c r="N3715" s="38">
        <f>HLOOKUP("Host",'vInfo (Imported)'!$1:$5000,M3715,FALSE)</f>
        <v>0</v>
      </c>
      <c r="R3715">
        <f>HLOOKUP("CPUs",'vInfo (Imported)'!$1:$5000,M3715,FALSE)</f>
        <v>0</v>
      </c>
      <c r="S3715">
        <f>HLOOKUP("Memory",'vInfo (Imported)'!$1:$5000,M3715,FALSE)</f>
        <v>0</v>
      </c>
      <c r="T3715">
        <f>HLOOKUP("Provisioned MiB",'vInfo (Imported)'!$1:$5000,M3715,FALSE)</f>
        <v>0</v>
      </c>
      <c r="U3715">
        <f t="shared" ref="U3715:U3778" si="175">T3715-V3715</f>
        <v>0</v>
      </c>
      <c r="V3715">
        <f>HLOOKUP("In Use MiB",'vInfo (Imported)'!$1:$5000,M3715,FALSE)</f>
        <v>0</v>
      </c>
    </row>
    <row r="3716" spans="1:22" ht="13" x14ac:dyDescent="0.3">
      <c r="A3716" s="46">
        <f>'vHosts (Imported)'!A3716</f>
        <v>0</v>
      </c>
      <c r="B3716" s="51">
        <f t="shared" si="174"/>
        <v>4968</v>
      </c>
      <c r="C3716" s="49">
        <f>HLOOKUP("# Cores",'vHosts (Imported)'!$1:$5000,M3716,FALSE)</f>
        <v>0</v>
      </c>
      <c r="D3716" s="52">
        <f>HLOOKUP("# Memory",'vHosts (Imported)'!$1:$5000,M3716,FALSE)</f>
        <v>0</v>
      </c>
      <c r="M3716" s="45">
        <f t="shared" ref="M3716:M3779" si="176">M3715+1</f>
        <v>3716</v>
      </c>
      <c r="N3716" s="38">
        <f>HLOOKUP("Host",'vInfo (Imported)'!$1:$5000,M3716,FALSE)</f>
        <v>0</v>
      </c>
      <c r="R3716">
        <f>HLOOKUP("CPUs",'vInfo (Imported)'!$1:$5000,M3716,FALSE)</f>
        <v>0</v>
      </c>
      <c r="S3716">
        <f>HLOOKUP("Memory",'vInfo (Imported)'!$1:$5000,M3716,FALSE)</f>
        <v>0</v>
      </c>
      <c r="T3716">
        <f>HLOOKUP("Provisioned MiB",'vInfo (Imported)'!$1:$5000,M3716,FALSE)</f>
        <v>0</v>
      </c>
      <c r="U3716">
        <f t="shared" si="175"/>
        <v>0</v>
      </c>
      <c r="V3716">
        <f>HLOOKUP("In Use MiB",'vInfo (Imported)'!$1:$5000,M3716,FALSE)</f>
        <v>0</v>
      </c>
    </row>
    <row r="3717" spans="1:22" ht="13" x14ac:dyDescent="0.3">
      <c r="A3717" s="46">
        <f>'vHosts (Imported)'!A3717</f>
        <v>0</v>
      </c>
      <c r="B3717" s="51">
        <f t="shared" si="174"/>
        <v>4968</v>
      </c>
      <c r="C3717" s="49">
        <f>HLOOKUP("# Cores",'vHosts (Imported)'!$1:$5000,M3717,FALSE)</f>
        <v>0</v>
      </c>
      <c r="D3717" s="52">
        <f>HLOOKUP("# Memory",'vHosts (Imported)'!$1:$5000,M3717,FALSE)</f>
        <v>0</v>
      </c>
      <c r="M3717" s="45">
        <f t="shared" si="176"/>
        <v>3717</v>
      </c>
      <c r="N3717" s="38">
        <f>HLOOKUP("Host",'vInfo (Imported)'!$1:$5000,M3717,FALSE)</f>
        <v>0</v>
      </c>
      <c r="R3717">
        <f>HLOOKUP("CPUs",'vInfo (Imported)'!$1:$5000,M3717,FALSE)</f>
        <v>0</v>
      </c>
      <c r="S3717">
        <f>HLOOKUP("Memory",'vInfo (Imported)'!$1:$5000,M3717,FALSE)</f>
        <v>0</v>
      </c>
      <c r="T3717">
        <f>HLOOKUP("Provisioned MiB",'vInfo (Imported)'!$1:$5000,M3717,FALSE)</f>
        <v>0</v>
      </c>
      <c r="U3717">
        <f t="shared" si="175"/>
        <v>0</v>
      </c>
      <c r="V3717">
        <f>HLOOKUP("In Use MiB",'vInfo (Imported)'!$1:$5000,M3717,FALSE)</f>
        <v>0</v>
      </c>
    </row>
    <row r="3718" spans="1:22" ht="13" x14ac:dyDescent="0.3">
      <c r="A3718" s="46">
        <f>'vHosts (Imported)'!A3718</f>
        <v>0</v>
      </c>
      <c r="B3718" s="51">
        <f t="shared" si="174"/>
        <v>4968</v>
      </c>
      <c r="C3718" s="49">
        <f>HLOOKUP("# Cores",'vHosts (Imported)'!$1:$5000,M3718,FALSE)</f>
        <v>0</v>
      </c>
      <c r="D3718" s="52">
        <f>HLOOKUP("# Memory",'vHosts (Imported)'!$1:$5000,M3718,FALSE)</f>
        <v>0</v>
      </c>
      <c r="M3718" s="45">
        <f t="shared" si="176"/>
        <v>3718</v>
      </c>
      <c r="N3718" s="38">
        <f>HLOOKUP("Host",'vInfo (Imported)'!$1:$5000,M3718,FALSE)</f>
        <v>0</v>
      </c>
      <c r="R3718">
        <f>HLOOKUP("CPUs",'vInfo (Imported)'!$1:$5000,M3718,FALSE)</f>
        <v>0</v>
      </c>
      <c r="S3718">
        <f>HLOOKUP("Memory",'vInfo (Imported)'!$1:$5000,M3718,FALSE)</f>
        <v>0</v>
      </c>
      <c r="T3718">
        <f>HLOOKUP("Provisioned MiB",'vInfo (Imported)'!$1:$5000,M3718,FALSE)</f>
        <v>0</v>
      </c>
      <c r="U3718">
        <f t="shared" si="175"/>
        <v>0</v>
      </c>
      <c r="V3718">
        <f>HLOOKUP("In Use MiB",'vInfo (Imported)'!$1:$5000,M3718,FALSE)</f>
        <v>0</v>
      </c>
    </row>
    <row r="3719" spans="1:22" ht="13" x14ac:dyDescent="0.3">
      <c r="A3719" s="46">
        <f>'vHosts (Imported)'!A3719</f>
        <v>0</v>
      </c>
      <c r="B3719" s="51">
        <f t="shared" si="174"/>
        <v>4968</v>
      </c>
      <c r="C3719" s="49">
        <f>HLOOKUP("# Cores",'vHosts (Imported)'!$1:$5000,M3719,FALSE)</f>
        <v>0</v>
      </c>
      <c r="D3719" s="52">
        <f>HLOOKUP("# Memory",'vHosts (Imported)'!$1:$5000,M3719,FALSE)</f>
        <v>0</v>
      </c>
      <c r="M3719" s="45">
        <f t="shared" si="176"/>
        <v>3719</v>
      </c>
      <c r="N3719" s="38">
        <f>HLOOKUP("Host",'vInfo (Imported)'!$1:$5000,M3719,FALSE)</f>
        <v>0</v>
      </c>
      <c r="R3719">
        <f>HLOOKUP("CPUs",'vInfo (Imported)'!$1:$5000,M3719,FALSE)</f>
        <v>0</v>
      </c>
      <c r="S3719">
        <f>HLOOKUP("Memory",'vInfo (Imported)'!$1:$5000,M3719,FALSE)</f>
        <v>0</v>
      </c>
      <c r="T3719">
        <f>HLOOKUP("Provisioned MiB",'vInfo (Imported)'!$1:$5000,M3719,FALSE)</f>
        <v>0</v>
      </c>
      <c r="U3719">
        <f t="shared" si="175"/>
        <v>0</v>
      </c>
      <c r="V3719">
        <f>HLOOKUP("In Use MiB",'vInfo (Imported)'!$1:$5000,M3719,FALSE)</f>
        <v>0</v>
      </c>
    </row>
    <row r="3720" spans="1:22" ht="13" x14ac:dyDescent="0.3">
      <c r="A3720" s="46">
        <f>'vHosts (Imported)'!A3720</f>
        <v>0</v>
      </c>
      <c r="B3720" s="51">
        <f t="shared" si="174"/>
        <v>4968</v>
      </c>
      <c r="C3720" s="49">
        <f>HLOOKUP("# Cores",'vHosts (Imported)'!$1:$5000,M3720,FALSE)</f>
        <v>0</v>
      </c>
      <c r="D3720" s="52">
        <f>HLOOKUP("# Memory",'vHosts (Imported)'!$1:$5000,M3720,FALSE)</f>
        <v>0</v>
      </c>
      <c r="M3720" s="45">
        <f t="shared" si="176"/>
        <v>3720</v>
      </c>
      <c r="N3720" s="38">
        <f>HLOOKUP("Host",'vInfo (Imported)'!$1:$5000,M3720,FALSE)</f>
        <v>0</v>
      </c>
      <c r="R3720">
        <f>HLOOKUP("CPUs",'vInfo (Imported)'!$1:$5000,M3720,FALSE)</f>
        <v>0</v>
      </c>
      <c r="S3720">
        <f>HLOOKUP("Memory",'vInfo (Imported)'!$1:$5000,M3720,FALSE)</f>
        <v>0</v>
      </c>
      <c r="T3720">
        <f>HLOOKUP("Provisioned MiB",'vInfo (Imported)'!$1:$5000,M3720,FALSE)</f>
        <v>0</v>
      </c>
      <c r="U3720">
        <f t="shared" si="175"/>
        <v>0</v>
      </c>
      <c r="V3720">
        <f>HLOOKUP("In Use MiB",'vInfo (Imported)'!$1:$5000,M3720,FALSE)</f>
        <v>0</v>
      </c>
    </row>
    <row r="3721" spans="1:22" ht="13" x14ac:dyDescent="0.3">
      <c r="A3721" s="46">
        <f>'vHosts (Imported)'!A3721</f>
        <v>0</v>
      </c>
      <c r="B3721" s="51">
        <f t="shared" si="174"/>
        <v>4968</v>
      </c>
      <c r="C3721" s="49">
        <f>HLOOKUP("# Cores",'vHosts (Imported)'!$1:$5000,M3721,FALSE)</f>
        <v>0</v>
      </c>
      <c r="D3721" s="52">
        <f>HLOOKUP("# Memory",'vHosts (Imported)'!$1:$5000,M3721,FALSE)</f>
        <v>0</v>
      </c>
      <c r="M3721" s="45">
        <f t="shared" si="176"/>
        <v>3721</v>
      </c>
      <c r="N3721" s="38">
        <f>HLOOKUP("Host",'vInfo (Imported)'!$1:$5000,M3721,FALSE)</f>
        <v>0</v>
      </c>
      <c r="R3721">
        <f>HLOOKUP("CPUs",'vInfo (Imported)'!$1:$5000,M3721,FALSE)</f>
        <v>0</v>
      </c>
      <c r="S3721">
        <f>HLOOKUP("Memory",'vInfo (Imported)'!$1:$5000,M3721,FALSE)</f>
        <v>0</v>
      </c>
      <c r="T3721">
        <f>HLOOKUP("Provisioned MiB",'vInfo (Imported)'!$1:$5000,M3721,FALSE)</f>
        <v>0</v>
      </c>
      <c r="U3721">
        <f t="shared" si="175"/>
        <v>0</v>
      </c>
      <c r="V3721">
        <f>HLOOKUP("In Use MiB",'vInfo (Imported)'!$1:$5000,M3721,FALSE)</f>
        <v>0</v>
      </c>
    </row>
    <row r="3722" spans="1:22" ht="13" x14ac:dyDescent="0.3">
      <c r="A3722" s="46">
        <f>'vHosts (Imported)'!A3722</f>
        <v>0</v>
      </c>
      <c r="B3722" s="51">
        <f t="shared" si="174"/>
        <v>4968</v>
      </c>
      <c r="C3722" s="49">
        <f>HLOOKUP("# Cores",'vHosts (Imported)'!$1:$5000,M3722,FALSE)</f>
        <v>0</v>
      </c>
      <c r="D3722" s="52">
        <f>HLOOKUP("# Memory",'vHosts (Imported)'!$1:$5000,M3722,FALSE)</f>
        <v>0</v>
      </c>
      <c r="M3722" s="45">
        <f t="shared" si="176"/>
        <v>3722</v>
      </c>
      <c r="N3722" s="38">
        <f>HLOOKUP("Host",'vInfo (Imported)'!$1:$5000,M3722,FALSE)</f>
        <v>0</v>
      </c>
      <c r="R3722">
        <f>HLOOKUP("CPUs",'vInfo (Imported)'!$1:$5000,M3722,FALSE)</f>
        <v>0</v>
      </c>
      <c r="S3722">
        <f>HLOOKUP("Memory",'vInfo (Imported)'!$1:$5000,M3722,FALSE)</f>
        <v>0</v>
      </c>
      <c r="T3722">
        <f>HLOOKUP("Provisioned MiB",'vInfo (Imported)'!$1:$5000,M3722,FALSE)</f>
        <v>0</v>
      </c>
      <c r="U3722">
        <f t="shared" si="175"/>
        <v>0</v>
      </c>
      <c r="V3722">
        <f>HLOOKUP("In Use MiB",'vInfo (Imported)'!$1:$5000,M3722,FALSE)</f>
        <v>0</v>
      </c>
    </row>
    <row r="3723" spans="1:22" ht="13" x14ac:dyDescent="0.3">
      <c r="A3723" s="46">
        <f>'vHosts (Imported)'!A3723</f>
        <v>0</v>
      </c>
      <c r="B3723" s="51">
        <f t="shared" si="174"/>
        <v>4968</v>
      </c>
      <c r="C3723" s="49">
        <f>HLOOKUP("# Cores",'vHosts (Imported)'!$1:$5000,M3723,FALSE)</f>
        <v>0</v>
      </c>
      <c r="D3723" s="52">
        <f>HLOOKUP("# Memory",'vHosts (Imported)'!$1:$5000,M3723,FALSE)</f>
        <v>0</v>
      </c>
      <c r="M3723" s="45">
        <f t="shared" si="176"/>
        <v>3723</v>
      </c>
      <c r="N3723" s="38">
        <f>HLOOKUP("Host",'vInfo (Imported)'!$1:$5000,M3723,FALSE)</f>
        <v>0</v>
      </c>
      <c r="R3723">
        <f>HLOOKUP("CPUs",'vInfo (Imported)'!$1:$5000,M3723,FALSE)</f>
        <v>0</v>
      </c>
      <c r="S3723">
        <f>HLOOKUP("Memory",'vInfo (Imported)'!$1:$5000,M3723,FALSE)</f>
        <v>0</v>
      </c>
      <c r="T3723">
        <f>HLOOKUP("Provisioned MiB",'vInfo (Imported)'!$1:$5000,M3723,FALSE)</f>
        <v>0</v>
      </c>
      <c r="U3723">
        <f t="shared" si="175"/>
        <v>0</v>
      </c>
      <c r="V3723">
        <f>HLOOKUP("In Use MiB",'vInfo (Imported)'!$1:$5000,M3723,FALSE)</f>
        <v>0</v>
      </c>
    </row>
    <row r="3724" spans="1:22" ht="13" x14ac:dyDescent="0.3">
      <c r="A3724" s="46">
        <f>'vHosts (Imported)'!A3724</f>
        <v>0</v>
      </c>
      <c r="B3724" s="51">
        <f t="shared" si="174"/>
        <v>4968</v>
      </c>
      <c r="C3724" s="49">
        <f>HLOOKUP("# Cores",'vHosts (Imported)'!$1:$5000,M3724,FALSE)</f>
        <v>0</v>
      </c>
      <c r="D3724" s="52">
        <f>HLOOKUP("# Memory",'vHosts (Imported)'!$1:$5000,M3724,FALSE)</f>
        <v>0</v>
      </c>
      <c r="M3724" s="45">
        <f t="shared" si="176"/>
        <v>3724</v>
      </c>
      <c r="N3724" s="38">
        <f>HLOOKUP("Host",'vInfo (Imported)'!$1:$5000,M3724,FALSE)</f>
        <v>0</v>
      </c>
      <c r="R3724">
        <f>HLOOKUP("CPUs",'vInfo (Imported)'!$1:$5000,M3724,FALSE)</f>
        <v>0</v>
      </c>
      <c r="S3724">
        <f>HLOOKUP("Memory",'vInfo (Imported)'!$1:$5000,M3724,FALSE)</f>
        <v>0</v>
      </c>
      <c r="T3724">
        <f>HLOOKUP("Provisioned MiB",'vInfo (Imported)'!$1:$5000,M3724,FALSE)</f>
        <v>0</v>
      </c>
      <c r="U3724">
        <f t="shared" si="175"/>
        <v>0</v>
      </c>
      <c r="V3724">
        <f>HLOOKUP("In Use MiB",'vInfo (Imported)'!$1:$5000,M3724,FALSE)</f>
        <v>0</v>
      </c>
    </row>
    <row r="3725" spans="1:22" ht="13" x14ac:dyDescent="0.3">
      <c r="A3725" s="46">
        <f>'vHosts (Imported)'!A3725</f>
        <v>0</v>
      </c>
      <c r="B3725" s="51">
        <f t="shared" si="174"/>
        <v>4968</v>
      </c>
      <c r="C3725" s="49">
        <f>HLOOKUP("# Cores",'vHosts (Imported)'!$1:$5000,M3725,FALSE)</f>
        <v>0</v>
      </c>
      <c r="D3725" s="52">
        <f>HLOOKUP("# Memory",'vHosts (Imported)'!$1:$5000,M3725,FALSE)</f>
        <v>0</v>
      </c>
      <c r="M3725" s="45">
        <f t="shared" si="176"/>
        <v>3725</v>
      </c>
      <c r="N3725" s="38">
        <f>HLOOKUP("Host",'vInfo (Imported)'!$1:$5000,M3725,FALSE)</f>
        <v>0</v>
      </c>
      <c r="R3725">
        <f>HLOOKUP("CPUs",'vInfo (Imported)'!$1:$5000,M3725,FALSE)</f>
        <v>0</v>
      </c>
      <c r="S3725">
        <f>HLOOKUP("Memory",'vInfo (Imported)'!$1:$5000,M3725,FALSE)</f>
        <v>0</v>
      </c>
      <c r="T3725">
        <f>HLOOKUP("Provisioned MiB",'vInfo (Imported)'!$1:$5000,M3725,FALSE)</f>
        <v>0</v>
      </c>
      <c r="U3725">
        <f t="shared" si="175"/>
        <v>0</v>
      </c>
      <c r="V3725">
        <f>HLOOKUP("In Use MiB",'vInfo (Imported)'!$1:$5000,M3725,FALSE)</f>
        <v>0</v>
      </c>
    </row>
    <row r="3726" spans="1:22" ht="13" x14ac:dyDescent="0.3">
      <c r="A3726" s="46">
        <f>'vHosts (Imported)'!A3726</f>
        <v>0</v>
      </c>
      <c r="B3726" s="51">
        <f t="shared" si="174"/>
        <v>4968</v>
      </c>
      <c r="C3726" s="49">
        <f>HLOOKUP("# Cores",'vHosts (Imported)'!$1:$5000,M3726,FALSE)</f>
        <v>0</v>
      </c>
      <c r="D3726" s="52">
        <f>HLOOKUP("# Memory",'vHosts (Imported)'!$1:$5000,M3726,FALSE)</f>
        <v>0</v>
      </c>
      <c r="M3726" s="45">
        <f t="shared" si="176"/>
        <v>3726</v>
      </c>
      <c r="N3726" s="38">
        <f>HLOOKUP("Host",'vInfo (Imported)'!$1:$5000,M3726,FALSE)</f>
        <v>0</v>
      </c>
      <c r="R3726">
        <f>HLOOKUP("CPUs",'vInfo (Imported)'!$1:$5000,M3726,FALSE)</f>
        <v>0</v>
      </c>
      <c r="S3726">
        <f>HLOOKUP("Memory",'vInfo (Imported)'!$1:$5000,M3726,FALSE)</f>
        <v>0</v>
      </c>
      <c r="T3726">
        <f>HLOOKUP("Provisioned MiB",'vInfo (Imported)'!$1:$5000,M3726,FALSE)</f>
        <v>0</v>
      </c>
      <c r="U3726">
        <f t="shared" si="175"/>
        <v>0</v>
      </c>
      <c r="V3726">
        <f>HLOOKUP("In Use MiB",'vInfo (Imported)'!$1:$5000,M3726,FALSE)</f>
        <v>0</v>
      </c>
    </row>
    <row r="3727" spans="1:22" ht="13" x14ac:dyDescent="0.3">
      <c r="A3727" s="46">
        <f>'vHosts (Imported)'!A3727</f>
        <v>0</v>
      </c>
      <c r="B3727" s="51">
        <f t="shared" si="174"/>
        <v>4968</v>
      </c>
      <c r="C3727" s="49">
        <f>HLOOKUP("# Cores",'vHosts (Imported)'!$1:$5000,M3727,FALSE)</f>
        <v>0</v>
      </c>
      <c r="D3727" s="52">
        <f>HLOOKUP("# Memory",'vHosts (Imported)'!$1:$5000,M3727,FALSE)</f>
        <v>0</v>
      </c>
      <c r="M3727" s="45">
        <f t="shared" si="176"/>
        <v>3727</v>
      </c>
      <c r="N3727" s="38">
        <f>HLOOKUP("Host",'vInfo (Imported)'!$1:$5000,M3727,FALSE)</f>
        <v>0</v>
      </c>
      <c r="R3727">
        <f>HLOOKUP("CPUs",'vInfo (Imported)'!$1:$5000,M3727,FALSE)</f>
        <v>0</v>
      </c>
      <c r="S3727">
        <f>HLOOKUP("Memory",'vInfo (Imported)'!$1:$5000,M3727,FALSE)</f>
        <v>0</v>
      </c>
      <c r="T3727">
        <f>HLOOKUP("Provisioned MiB",'vInfo (Imported)'!$1:$5000,M3727,FALSE)</f>
        <v>0</v>
      </c>
      <c r="U3727">
        <f t="shared" si="175"/>
        <v>0</v>
      </c>
      <c r="V3727">
        <f>HLOOKUP("In Use MiB",'vInfo (Imported)'!$1:$5000,M3727,FALSE)</f>
        <v>0</v>
      </c>
    </row>
    <row r="3728" spans="1:22" ht="13" x14ac:dyDescent="0.3">
      <c r="A3728" s="46">
        <f>'vHosts (Imported)'!A3728</f>
        <v>0</v>
      </c>
      <c r="B3728" s="51">
        <f t="shared" si="174"/>
        <v>4968</v>
      </c>
      <c r="C3728" s="49">
        <f>HLOOKUP("# Cores",'vHosts (Imported)'!$1:$5000,M3728,FALSE)</f>
        <v>0</v>
      </c>
      <c r="D3728" s="52">
        <f>HLOOKUP("# Memory",'vHosts (Imported)'!$1:$5000,M3728,FALSE)</f>
        <v>0</v>
      </c>
      <c r="M3728" s="45">
        <f t="shared" si="176"/>
        <v>3728</v>
      </c>
      <c r="N3728" s="38">
        <f>HLOOKUP("Host",'vInfo (Imported)'!$1:$5000,M3728,FALSE)</f>
        <v>0</v>
      </c>
      <c r="R3728">
        <f>HLOOKUP("CPUs",'vInfo (Imported)'!$1:$5000,M3728,FALSE)</f>
        <v>0</v>
      </c>
      <c r="S3728">
        <f>HLOOKUP("Memory",'vInfo (Imported)'!$1:$5000,M3728,FALSE)</f>
        <v>0</v>
      </c>
      <c r="T3728">
        <f>HLOOKUP("Provisioned MiB",'vInfo (Imported)'!$1:$5000,M3728,FALSE)</f>
        <v>0</v>
      </c>
      <c r="U3728">
        <f t="shared" si="175"/>
        <v>0</v>
      </c>
      <c r="V3728">
        <f>HLOOKUP("In Use MiB",'vInfo (Imported)'!$1:$5000,M3728,FALSE)</f>
        <v>0</v>
      </c>
    </row>
    <row r="3729" spans="1:22" ht="13" x14ac:dyDescent="0.3">
      <c r="A3729" s="46">
        <f>'vHosts (Imported)'!A3729</f>
        <v>0</v>
      </c>
      <c r="B3729" s="51">
        <f t="shared" si="174"/>
        <v>4968</v>
      </c>
      <c r="C3729" s="49">
        <f>HLOOKUP("# Cores",'vHosts (Imported)'!$1:$5000,M3729,FALSE)</f>
        <v>0</v>
      </c>
      <c r="D3729" s="52">
        <f>HLOOKUP("# Memory",'vHosts (Imported)'!$1:$5000,M3729,FALSE)</f>
        <v>0</v>
      </c>
      <c r="M3729" s="45">
        <f t="shared" si="176"/>
        <v>3729</v>
      </c>
      <c r="N3729" s="38">
        <f>HLOOKUP("Host",'vInfo (Imported)'!$1:$5000,M3729,FALSE)</f>
        <v>0</v>
      </c>
      <c r="R3729">
        <f>HLOOKUP("CPUs",'vInfo (Imported)'!$1:$5000,M3729,FALSE)</f>
        <v>0</v>
      </c>
      <c r="S3729">
        <f>HLOOKUP("Memory",'vInfo (Imported)'!$1:$5000,M3729,FALSE)</f>
        <v>0</v>
      </c>
      <c r="T3729">
        <f>HLOOKUP("Provisioned MiB",'vInfo (Imported)'!$1:$5000,M3729,FALSE)</f>
        <v>0</v>
      </c>
      <c r="U3729">
        <f t="shared" si="175"/>
        <v>0</v>
      </c>
      <c r="V3729">
        <f>HLOOKUP("In Use MiB",'vInfo (Imported)'!$1:$5000,M3729,FALSE)</f>
        <v>0</v>
      </c>
    </row>
    <row r="3730" spans="1:22" ht="13" x14ac:dyDescent="0.3">
      <c r="A3730" s="46">
        <f>'vHosts (Imported)'!A3730</f>
        <v>0</v>
      </c>
      <c r="B3730" s="51">
        <f t="shared" si="174"/>
        <v>4968</v>
      </c>
      <c r="C3730" s="49">
        <f>HLOOKUP("# Cores",'vHosts (Imported)'!$1:$5000,M3730,FALSE)</f>
        <v>0</v>
      </c>
      <c r="D3730" s="52">
        <f>HLOOKUP("# Memory",'vHosts (Imported)'!$1:$5000,M3730,FALSE)</f>
        <v>0</v>
      </c>
      <c r="M3730" s="45">
        <f t="shared" si="176"/>
        <v>3730</v>
      </c>
      <c r="N3730" s="38">
        <f>HLOOKUP("Host",'vInfo (Imported)'!$1:$5000,M3730,FALSE)</f>
        <v>0</v>
      </c>
      <c r="R3730">
        <f>HLOOKUP("CPUs",'vInfo (Imported)'!$1:$5000,M3730,FALSE)</f>
        <v>0</v>
      </c>
      <c r="S3730">
        <f>HLOOKUP("Memory",'vInfo (Imported)'!$1:$5000,M3730,FALSE)</f>
        <v>0</v>
      </c>
      <c r="T3730">
        <f>HLOOKUP("Provisioned MiB",'vInfo (Imported)'!$1:$5000,M3730,FALSE)</f>
        <v>0</v>
      </c>
      <c r="U3730">
        <f t="shared" si="175"/>
        <v>0</v>
      </c>
      <c r="V3730">
        <f>HLOOKUP("In Use MiB",'vInfo (Imported)'!$1:$5000,M3730,FALSE)</f>
        <v>0</v>
      </c>
    </row>
    <row r="3731" spans="1:22" ht="13" x14ac:dyDescent="0.3">
      <c r="A3731" s="46">
        <f>'vHosts (Imported)'!A3731</f>
        <v>0</v>
      </c>
      <c r="B3731" s="51">
        <f t="shared" si="174"/>
        <v>4968</v>
      </c>
      <c r="C3731" s="49">
        <f>HLOOKUP("# Cores",'vHosts (Imported)'!$1:$5000,M3731,FALSE)</f>
        <v>0</v>
      </c>
      <c r="D3731" s="52">
        <f>HLOOKUP("# Memory",'vHosts (Imported)'!$1:$5000,M3731,FALSE)</f>
        <v>0</v>
      </c>
      <c r="M3731" s="45">
        <f t="shared" si="176"/>
        <v>3731</v>
      </c>
      <c r="N3731" s="38">
        <f>HLOOKUP("Host",'vInfo (Imported)'!$1:$5000,M3731,FALSE)</f>
        <v>0</v>
      </c>
      <c r="R3731">
        <f>HLOOKUP("CPUs",'vInfo (Imported)'!$1:$5000,M3731,FALSE)</f>
        <v>0</v>
      </c>
      <c r="S3731">
        <f>HLOOKUP("Memory",'vInfo (Imported)'!$1:$5000,M3731,FALSE)</f>
        <v>0</v>
      </c>
      <c r="T3731">
        <f>HLOOKUP("Provisioned MiB",'vInfo (Imported)'!$1:$5000,M3731,FALSE)</f>
        <v>0</v>
      </c>
      <c r="U3731">
        <f t="shared" si="175"/>
        <v>0</v>
      </c>
      <c r="V3731">
        <f>HLOOKUP("In Use MiB",'vInfo (Imported)'!$1:$5000,M3731,FALSE)</f>
        <v>0</v>
      </c>
    </row>
    <row r="3732" spans="1:22" ht="13" x14ac:dyDescent="0.3">
      <c r="A3732" s="46">
        <f>'vHosts (Imported)'!A3732</f>
        <v>0</v>
      </c>
      <c r="B3732" s="51">
        <f t="shared" si="174"/>
        <v>4968</v>
      </c>
      <c r="C3732" s="49">
        <f>HLOOKUP("# Cores",'vHosts (Imported)'!$1:$5000,M3732,FALSE)</f>
        <v>0</v>
      </c>
      <c r="D3732" s="52">
        <f>HLOOKUP("# Memory",'vHosts (Imported)'!$1:$5000,M3732,FALSE)</f>
        <v>0</v>
      </c>
      <c r="M3732" s="45">
        <f t="shared" si="176"/>
        <v>3732</v>
      </c>
      <c r="N3732" s="38">
        <f>HLOOKUP("Host",'vInfo (Imported)'!$1:$5000,M3732,FALSE)</f>
        <v>0</v>
      </c>
      <c r="R3732">
        <f>HLOOKUP("CPUs",'vInfo (Imported)'!$1:$5000,M3732,FALSE)</f>
        <v>0</v>
      </c>
      <c r="S3732">
        <f>HLOOKUP("Memory",'vInfo (Imported)'!$1:$5000,M3732,FALSE)</f>
        <v>0</v>
      </c>
      <c r="T3732">
        <f>HLOOKUP("Provisioned MiB",'vInfo (Imported)'!$1:$5000,M3732,FALSE)</f>
        <v>0</v>
      </c>
      <c r="U3732">
        <f t="shared" si="175"/>
        <v>0</v>
      </c>
      <c r="V3732">
        <f>HLOOKUP("In Use MiB",'vInfo (Imported)'!$1:$5000,M3732,FALSE)</f>
        <v>0</v>
      </c>
    </row>
    <row r="3733" spans="1:22" ht="13" x14ac:dyDescent="0.3">
      <c r="A3733" s="46">
        <f>'vHosts (Imported)'!A3733</f>
        <v>0</v>
      </c>
      <c r="B3733" s="51">
        <f t="shared" si="174"/>
        <v>4968</v>
      </c>
      <c r="C3733" s="49">
        <f>HLOOKUP("# Cores",'vHosts (Imported)'!$1:$5000,M3733,FALSE)</f>
        <v>0</v>
      </c>
      <c r="D3733" s="52">
        <f>HLOOKUP("# Memory",'vHosts (Imported)'!$1:$5000,M3733,FALSE)</f>
        <v>0</v>
      </c>
      <c r="M3733" s="45">
        <f t="shared" si="176"/>
        <v>3733</v>
      </c>
      <c r="N3733" s="38">
        <f>HLOOKUP("Host",'vInfo (Imported)'!$1:$5000,M3733,FALSE)</f>
        <v>0</v>
      </c>
      <c r="R3733">
        <f>HLOOKUP("CPUs",'vInfo (Imported)'!$1:$5000,M3733,FALSE)</f>
        <v>0</v>
      </c>
      <c r="S3733">
        <f>HLOOKUP("Memory",'vInfo (Imported)'!$1:$5000,M3733,FALSE)</f>
        <v>0</v>
      </c>
      <c r="T3733">
        <f>HLOOKUP("Provisioned MiB",'vInfo (Imported)'!$1:$5000,M3733,FALSE)</f>
        <v>0</v>
      </c>
      <c r="U3733">
        <f t="shared" si="175"/>
        <v>0</v>
      </c>
      <c r="V3733">
        <f>HLOOKUP("In Use MiB",'vInfo (Imported)'!$1:$5000,M3733,FALSE)</f>
        <v>0</v>
      </c>
    </row>
    <row r="3734" spans="1:22" ht="13" x14ac:dyDescent="0.3">
      <c r="A3734" s="46">
        <f>'vHosts (Imported)'!A3734</f>
        <v>0</v>
      </c>
      <c r="B3734" s="51">
        <f t="shared" si="174"/>
        <v>4968</v>
      </c>
      <c r="C3734" s="49">
        <f>HLOOKUP("# Cores",'vHosts (Imported)'!$1:$5000,M3734,FALSE)</f>
        <v>0</v>
      </c>
      <c r="D3734" s="52">
        <f>HLOOKUP("# Memory",'vHosts (Imported)'!$1:$5000,M3734,FALSE)</f>
        <v>0</v>
      </c>
      <c r="M3734" s="45">
        <f t="shared" si="176"/>
        <v>3734</v>
      </c>
      <c r="N3734" s="38">
        <f>HLOOKUP("Host",'vInfo (Imported)'!$1:$5000,M3734,FALSE)</f>
        <v>0</v>
      </c>
      <c r="R3734">
        <f>HLOOKUP("CPUs",'vInfo (Imported)'!$1:$5000,M3734,FALSE)</f>
        <v>0</v>
      </c>
      <c r="S3734">
        <f>HLOOKUP("Memory",'vInfo (Imported)'!$1:$5000,M3734,FALSE)</f>
        <v>0</v>
      </c>
      <c r="T3734">
        <f>HLOOKUP("Provisioned MiB",'vInfo (Imported)'!$1:$5000,M3734,FALSE)</f>
        <v>0</v>
      </c>
      <c r="U3734">
        <f t="shared" si="175"/>
        <v>0</v>
      </c>
      <c r="V3734">
        <f>HLOOKUP("In Use MiB",'vInfo (Imported)'!$1:$5000,M3734,FALSE)</f>
        <v>0</v>
      </c>
    </row>
    <row r="3735" spans="1:22" ht="13" x14ac:dyDescent="0.3">
      <c r="A3735" s="46">
        <f>'vHosts (Imported)'!A3735</f>
        <v>0</v>
      </c>
      <c r="B3735" s="51">
        <f t="shared" si="174"/>
        <v>4968</v>
      </c>
      <c r="C3735" s="49">
        <f>HLOOKUP("# Cores",'vHosts (Imported)'!$1:$5000,M3735,FALSE)</f>
        <v>0</v>
      </c>
      <c r="D3735" s="52">
        <f>HLOOKUP("# Memory",'vHosts (Imported)'!$1:$5000,M3735,FALSE)</f>
        <v>0</v>
      </c>
      <c r="M3735" s="45">
        <f t="shared" si="176"/>
        <v>3735</v>
      </c>
      <c r="N3735" s="38">
        <f>HLOOKUP("Host",'vInfo (Imported)'!$1:$5000,M3735,FALSE)</f>
        <v>0</v>
      </c>
      <c r="R3735">
        <f>HLOOKUP("CPUs",'vInfo (Imported)'!$1:$5000,M3735,FALSE)</f>
        <v>0</v>
      </c>
      <c r="S3735">
        <f>HLOOKUP("Memory",'vInfo (Imported)'!$1:$5000,M3735,FALSE)</f>
        <v>0</v>
      </c>
      <c r="T3735">
        <f>HLOOKUP("Provisioned MiB",'vInfo (Imported)'!$1:$5000,M3735,FALSE)</f>
        <v>0</v>
      </c>
      <c r="U3735">
        <f t="shared" si="175"/>
        <v>0</v>
      </c>
      <c r="V3735">
        <f>HLOOKUP("In Use MiB",'vInfo (Imported)'!$1:$5000,M3735,FALSE)</f>
        <v>0</v>
      </c>
    </row>
    <row r="3736" spans="1:22" ht="13" x14ac:dyDescent="0.3">
      <c r="A3736" s="46">
        <f>'vHosts (Imported)'!A3736</f>
        <v>0</v>
      </c>
      <c r="B3736" s="51">
        <f t="shared" si="174"/>
        <v>4968</v>
      </c>
      <c r="C3736" s="49">
        <f>HLOOKUP("# Cores",'vHosts (Imported)'!$1:$5000,M3736,FALSE)</f>
        <v>0</v>
      </c>
      <c r="D3736" s="52">
        <f>HLOOKUP("# Memory",'vHosts (Imported)'!$1:$5000,M3736,FALSE)</f>
        <v>0</v>
      </c>
      <c r="M3736" s="45">
        <f t="shared" si="176"/>
        <v>3736</v>
      </c>
      <c r="N3736" s="38">
        <f>HLOOKUP("Host",'vInfo (Imported)'!$1:$5000,M3736,FALSE)</f>
        <v>0</v>
      </c>
      <c r="R3736">
        <f>HLOOKUP("CPUs",'vInfo (Imported)'!$1:$5000,M3736,FALSE)</f>
        <v>0</v>
      </c>
      <c r="S3736">
        <f>HLOOKUP("Memory",'vInfo (Imported)'!$1:$5000,M3736,FALSE)</f>
        <v>0</v>
      </c>
      <c r="T3736">
        <f>HLOOKUP("Provisioned MiB",'vInfo (Imported)'!$1:$5000,M3736,FALSE)</f>
        <v>0</v>
      </c>
      <c r="U3736">
        <f t="shared" si="175"/>
        <v>0</v>
      </c>
      <c r="V3736">
        <f>HLOOKUP("In Use MiB",'vInfo (Imported)'!$1:$5000,M3736,FALSE)</f>
        <v>0</v>
      </c>
    </row>
    <row r="3737" spans="1:22" ht="13" x14ac:dyDescent="0.3">
      <c r="A3737" s="46">
        <f>'vHosts (Imported)'!A3737</f>
        <v>0</v>
      </c>
      <c r="B3737" s="51">
        <f t="shared" si="174"/>
        <v>4968</v>
      </c>
      <c r="C3737" s="49">
        <f>HLOOKUP("# Cores",'vHosts (Imported)'!$1:$5000,M3737,FALSE)</f>
        <v>0</v>
      </c>
      <c r="D3737" s="52">
        <f>HLOOKUP("# Memory",'vHosts (Imported)'!$1:$5000,M3737,FALSE)</f>
        <v>0</v>
      </c>
      <c r="M3737" s="45">
        <f t="shared" si="176"/>
        <v>3737</v>
      </c>
      <c r="N3737" s="38">
        <f>HLOOKUP("Host",'vInfo (Imported)'!$1:$5000,M3737,FALSE)</f>
        <v>0</v>
      </c>
      <c r="R3737">
        <f>HLOOKUP("CPUs",'vInfo (Imported)'!$1:$5000,M3737,FALSE)</f>
        <v>0</v>
      </c>
      <c r="S3737">
        <f>HLOOKUP("Memory",'vInfo (Imported)'!$1:$5000,M3737,FALSE)</f>
        <v>0</v>
      </c>
      <c r="T3737">
        <f>HLOOKUP("Provisioned MiB",'vInfo (Imported)'!$1:$5000,M3737,FALSE)</f>
        <v>0</v>
      </c>
      <c r="U3737">
        <f t="shared" si="175"/>
        <v>0</v>
      </c>
      <c r="V3737">
        <f>HLOOKUP("In Use MiB",'vInfo (Imported)'!$1:$5000,M3737,FALSE)</f>
        <v>0</v>
      </c>
    </row>
    <row r="3738" spans="1:22" ht="13" x14ac:dyDescent="0.3">
      <c r="A3738" s="46">
        <f>'vHosts (Imported)'!A3738</f>
        <v>0</v>
      </c>
      <c r="B3738" s="51">
        <f t="shared" si="174"/>
        <v>4968</v>
      </c>
      <c r="C3738" s="49">
        <f>HLOOKUP("# Cores",'vHosts (Imported)'!$1:$5000,M3738,FALSE)</f>
        <v>0</v>
      </c>
      <c r="D3738" s="52">
        <f>HLOOKUP("# Memory",'vHosts (Imported)'!$1:$5000,M3738,FALSE)</f>
        <v>0</v>
      </c>
      <c r="M3738" s="45">
        <f t="shared" si="176"/>
        <v>3738</v>
      </c>
      <c r="N3738" s="38">
        <f>HLOOKUP("Host",'vInfo (Imported)'!$1:$5000,M3738,FALSE)</f>
        <v>0</v>
      </c>
      <c r="R3738">
        <f>HLOOKUP("CPUs",'vInfo (Imported)'!$1:$5000,M3738,FALSE)</f>
        <v>0</v>
      </c>
      <c r="S3738">
        <f>HLOOKUP("Memory",'vInfo (Imported)'!$1:$5000,M3738,FALSE)</f>
        <v>0</v>
      </c>
      <c r="T3738">
        <f>HLOOKUP("Provisioned MiB",'vInfo (Imported)'!$1:$5000,M3738,FALSE)</f>
        <v>0</v>
      </c>
      <c r="U3738">
        <f t="shared" si="175"/>
        <v>0</v>
      </c>
      <c r="V3738">
        <f>HLOOKUP("In Use MiB",'vInfo (Imported)'!$1:$5000,M3738,FALSE)</f>
        <v>0</v>
      </c>
    </row>
    <row r="3739" spans="1:22" ht="13" x14ac:dyDescent="0.3">
      <c r="A3739" s="46">
        <f>'vHosts (Imported)'!A3739</f>
        <v>0</v>
      </c>
      <c r="B3739" s="51">
        <f t="shared" si="174"/>
        <v>4968</v>
      </c>
      <c r="C3739" s="49">
        <f>HLOOKUP("# Cores",'vHosts (Imported)'!$1:$5000,M3739,FALSE)</f>
        <v>0</v>
      </c>
      <c r="D3739" s="52">
        <f>HLOOKUP("# Memory",'vHosts (Imported)'!$1:$5000,M3739,FALSE)</f>
        <v>0</v>
      </c>
      <c r="M3739" s="45">
        <f t="shared" si="176"/>
        <v>3739</v>
      </c>
      <c r="N3739" s="38">
        <f>HLOOKUP("Host",'vInfo (Imported)'!$1:$5000,M3739,FALSE)</f>
        <v>0</v>
      </c>
      <c r="R3739">
        <f>HLOOKUP("CPUs",'vInfo (Imported)'!$1:$5000,M3739,FALSE)</f>
        <v>0</v>
      </c>
      <c r="S3739">
        <f>HLOOKUP("Memory",'vInfo (Imported)'!$1:$5000,M3739,FALSE)</f>
        <v>0</v>
      </c>
      <c r="T3739">
        <f>HLOOKUP("Provisioned MiB",'vInfo (Imported)'!$1:$5000,M3739,FALSE)</f>
        <v>0</v>
      </c>
      <c r="U3739">
        <f t="shared" si="175"/>
        <v>0</v>
      </c>
      <c r="V3739">
        <f>HLOOKUP("In Use MiB",'vInfo (Imported)'!$1:$5000,M3739,FALSE)</f>
        <v>0</v>
      </c>
    </row>
    <row r="3740" spans="1:22" ht="13" x14ac:dyDescent="0.3">
      <c r="A3740" s="46">
        <f>'vHosts (Imported)'!A3740</f>
        <v>0</v>
      </c>
      <c r="B3740" s="51">
        <f t="shared" si="174"/>
        <v>4968</v>
      </c>
      <c r="C3740" s="49">
        <f>HLOOKUP("# Cores",'vHosts (Imported)'!$1:$5000,M3740,FALSE)</f>
        <v>0</v>
      </c>
      <c r="D3740" s="52">
        <f>HLOOKUP("# Memory",'vHosts (Imported)'!$1:$5000,M3740,FALSE)</f>
        <v>0</v>
      </c>
      <c r="M3740" s="45">
        <f t="shared" si="176"/>
        <v>3740</v>
      </c>
      <c r="N3740" s="38">
        <f>HLOOKUP("Host",'vInfo (Imported)'!$1:$5000,M3740,FALSE)</f>
        <v>0</v>
      </c>
      <c r="R3740">
        <f>HLOOKUP("CPUs",'vInfo (Imported)'!$1:$5000,M3740,FALSE)</f>
        <v>0</v>
      </c>
      <c r="S3740">
        <f>HLOOKUP("Memory",'vInfo (Imported)'!$1:$5000,M3740,FALSE)</f>
        <v>0</v>
      </c>
      <c r="T3740">
        <f>HLOOKUP("Provisioned MiB",'vInfo (Imported)'!$1:$5000,M3740,FALSE)</f>
        <v>0</v>
      </c>
      <c r="U3740">
        <f t="shared" si="175"/>
        <v>0</v>
      </c>
      <c r="V3740">
        <f>HLOOKUP("In Use MiB",'vInfo (Imported)'!$1:$5000,M3740,FALSE)</f>
        <v>0</v>
      </c>
    </row>
    <row r="3741" spans="1:22" ht="13" x14ac:dyDescent="0.3">
      <c r="A3741" s="46">
        <f>'vHosts (Imported)'!A3741</f>
        <v>0</v>
      </c>
      <c r="B3741" s="51">
        <f t="shared" si="174"/>
        <v>4968</v>
      </c>
      <c r="C3741" s="49">
        <f>HLOOKUP("# Cores",'vHosts (Imported)'!$1:$5000,M3741,FALSE)</f>
        <v>0</v>
      </c>
      <c r="D3741" s="52">
        <f>HLOOKUP("# Memory",'vHosts (Imported)'!$1:$5000,M3741,FALSE)</f>
        <v>0</v>
      </c>
      <c r="M3741" s="45">
        <f t="shared" si="176"/>
        <v>3741</v>
      </c>
      <c r="N3741" s="38">
        <f>HLOOKUP("Host",'vInfo (Imported)'!$1:$5000,M3741,FALSE)</f>
        <v>0</v>
      </c>
      <c r="R3741">
        <f>HLOOKUP("CPUs",'vInfo (Imported)'!$1:$5000,M3741,FALSE)</f>
        <v>0</v>
      </c>
      <c r="S3741">
        <f>HLOOKUP("Memory",'vInfo (Imported)'!$1:$5000,M3741,FALSE)</f>
        <v>0</v>
      </c>
      <c r="T3741">
        <f>HLOOKUP("Provisioned MiB",'vInfo (Imported)'!$1:$5000,M3741,FALSE)</f>
        <v>0</v>
      </c>
      <c r="U3741">
        <f t="shared" si="175"/>
        <v>0</v>
      </c>
      <c r="V3741">
        <f>HLOOKUP("In Use MiB",'vInfo (Imported)'!$1:$5000,M3741,FALSE)</f>
        <v>0</v>
      </c>
    </row>
    <row r="3742" spans="1:22" ht="13" x14ac:dyDescent="0.3">
      <c r="A3742" s="46">
        <f>'vHosts (Imported)'!A3742</f>
        <v>0</v>
      </c>
      <c r="B3742" s="51">
        <f t="shared" si="174"/>
        <v>4968</v>
      </c>
      <c r="C3742" s="49">
        <f>HLOOKUP("# Cores",'vHosts (Imported)'!$1:$5000,M3742,FALSE)</f>
        <v>0</v>
      </c>
      <c r="D3742" s="52">
        <f>HLOOKUP("# Memory",'vHosts (Imported)'!$1:$5000,M3742,FALSE)</f>
        <v>0</v>
      </c>
      <c r="M3742" s="45">
        <f t="shared" si="176"/>
        <v>3742</v>
      </c>
      <c r="N3742" s="38">
        <f>HLOOKUP("Host",'vInfo (Imported)'!$1:$5000,M3742,FALSE)</f>
        <v>0</v>
      </c>
      <c r="R3742">
        <f>HLOOKUP("CPUs",'vInfo (Imported)'!$1:$5000,M3742,FALSE)</f>
        <v>0</v>
      </c>
      <c r="S3742">
        <f>HLOOKUP("Memory",'vInfo (Imported)'!$1:$5000,M3742,FALSE)</f>
        <v>0</v>
      </c>
      <c r="T3742">
        <f>HLOOKUP("Provisioned MiB",'vInfo (Imported)'!$1:$5000,M3742,FALSE)</f>
        <v>0</v>
      </c>
      <c r="U3742">
        <f t="shared" si="175"/>
        <v>0</v>
      </c>
      <c r="V3742">
        <f>HLOOKUP("In Use MiB",'vInfo (Imported)'!$1:$5000,M3742,FALSE)</f>
        <v>0</v>
      </c>
    </row>
    <row r="3743" spans="1:22" ht="13" x14ac:dyDescent="0.3">
      <c r="A3743" s="46">
        <f>'vHosts (Imported)'!A3743</f>
        <v>0</v>
      </c>
      <c r="B3743" s="51">
        <f t="shared" si="174"/>
        <v>4968</v>
      </c>
      <c r="C3743" s="49">
        <f>HLOOKUP("# Cores",'vHosts (Imported)'!$1:$5000,M3743,FALSE)</f>
        <v>0</v>
      </c>
      <c r="D3743" s="52">
        <f>HLOOKUP("# Memory",'vHosts (Imported)'!$1:$5000,M3743,FALSE)</f>
        <v>0</v>
      </c>
      <c r="M3743" s="45">
        <f t="shared" si="176"/>
        <v>3743</v>
      </c>
      <c r="N3743" s="38">
        <f>HLOOKUP("Host",'vInfo (Imported)'!$1:$5000,M3743,FALSE)</f>
        <v>0</v>
      </c>
      <c r="R3743">
        <f>HLOOKUP("CPUs",'vInfo (Imported)'!$1:$5000,M3743,FALSE)</f>
        <v>0</v>
      </c>
      <c r="S3743">
        <f>HLOOKUP("Memory",'vInfo (Imported)'!$1:$5000,M3743,FALSE)</f>
        <v>0</v>
      </c>
      <c r="T3743">
        <f>HLOOKUP("Provisioned MiB",'vInfo (Imported)'!$1:$5000,M3743,FALSE)</f>
        <v>0</v>
      </c>
      <c r="U3743">
        <f t="shared" si="175"/>
        <v>0</v>
      </c>
      <c r="V3743">
        <f>HLOOKUP("In Use MiB",'vInfo (Imported)'!$1:$5000,M3743,FALSE)</f>
        <v>0</v>
      </c>
    </row>
    <row r="3744" spans="1:22" ht="13" x14ac:dyDescent="0.3">
      <c r="A3744" s="46">
        <f>'vHosts (Imported)'!A3744</f>
        <v>0</v>
      </c>
      <c r="B3744" s="51">
        <f t="shared" si="174"/>
        <v>4968</v>
      </c>
      <c r="C3744" s="49">
        <f>HLOOKUP("# Cores",'vHosts (Imported)'!$1:$5000,M3744,FALSE)</f>
        <v>0</v>
      </c>
      <c r="D3744" s="52">
        <f>HLOOKUP("# Memory",'vHosts (Imported)'!$1:$5000,M3744,FALSE)</f>
        <v>0</v>
      </c>
      <c r="M3744" s="45">
        <f t="shared" si="176"/>
        <v>3744</v>
      </c>
      <c r="N3744" s="38">
        <f>HLOOKUP("Host",'vInfo (Imported)'!$1:$5000,M3744,FALSE)</f>
        <v>0</v>
      </c>
      <c r="R3744">
        <f>HLOOKUP("CPUs",'vInfo (Imported)'!$1:$5000,M3744,FALSE)</f>
        <v>0</v>
      </c>
      <c r="S3744">
        <f>HLOOKUP("Memory",'vInfo (Imported)'!$1:$5000,M3744,FALSE)</f>
        <v>0</v>
      </c>
      <c r="T3744">
        <f>HLOOKUP("Provisioned MiB",'vInfo (Imported)'!$1:$5000,M3744,FALSE)</f>
        <v>0</v>
      </c>
      <c r="U3744">
        <f t="shared" si="175"/>
        <v>0</v>
      </c>
      <c r="V3744">
        <f>HLOOKUP("In Use MiB",'vInfo (Imported)'!$1:$5000,M3744,FALSE)</f>
        <v>0</v>
      </c>
    </row>
    <row r="3745" spans="1:22" ht="13" x14ac:dyDescent="0.3">
      <c r="A3745" s="46">
        <f>'vHosts (Imported)'!A3745</f>
        <v>0</v>
      </c>
      <c r="B3745" s="51">
        <f t="shared" si="174"/>
        <v>4968</v>
      </c>
      <c r="C3745" s="49">
        <f>HLOOKUP("# Cores",'vHosts (Imported)'!$1:$5000,M3745,FALSE)</f>
        <v>0</v>
      </c>
      <c r="D3745" s="52">
        <f>HLOOKUP("# Memory",'vHosts (Imported)'!$1:$5000,M3745,FALSE)</f>
        <v>0</v>
      </c>
      <c r="M3745" s="45">
        <f t="shared" si="176"/>
        <v>3745</v>
      </c>
      <c r="N3745" s="38">
        <f>HLOOKUP("Host",'vInfo (Imported)'!$1:$5000,M3745,FALSE)</f>
        <v>0</v>
      </c>
      <c r="R3745">
        <f>HLOOKUP("CPUs",'vInfo (Imported)'!$1:$5000,M3745,FALSE)</f>
        <v>0</v>
      </c>
      <c r="S3745">
        <f>HLOOKUP("Memory",'vInfo (Imported)'!$1:$5000,M3745,FALSE)</f>
        <v>0</v>
      </c>
      <c r="T3745">
        <f>HLOOKUP("Provisioned MiB",'vInfo (Imported)'!$1:$5000,M3745,FALSE)</f>
        <v>0</v>
      </c>
      <c r="U3745">
        <f t="shared" si="175"/>
        <v>0</v>
      </c>
      <c r="V3745">
        <f>HLOOKUP("In Use MiB",'vInfo (Imported)'!$1:$5000,M3745,FALSE)</f>
        <v>0</v>
      </c>
    </row>
    <row r="3746" spans="1:22" ht="13" x14ac:dyDescent="0.3">
      <c r="A3746" s="46">
        <f>'vHosts (Imported)'!A3746</f>
        <v>0</v>
      </c>
      <c r="B3746" s="51">
        <f t="shared" si="174"/>
        <v>4968</v>
      </c>
      <c r="C3746" s="49">
        <f>HLOOKUP("# Cores",'vHosts (Imported)'!$1:$5000,M3746,FALSE)</f>
        <v>0</v>
      </c>
      <c r="D3746" s="52">
        <f>HLOOKUP("# Memory",'vHosts (Imported)'!$1:$5000,M3746,FALSE)</f>
        <v>0</v>
      </c>
      <c r="M3746" s="45">
        <f t="shared" si="176"/>
        <v>3746</v>
      </c>
      <c r="N3746" s="38">
        <f>HLOOKUP("Host",'vInfo (Imported)'!$1:$5000,M3746,FALSE)</f>
        <v>0</v>
      </c>
      <c r="R3746">
        <f>HLOOKUP("CPUs",'vInfo (Imported)'!$1:$5000,M3746,FALSE)</f>
        <v>0</v>
      </c>
      <c r="S3746">
        <f>HLOOKUP("Memory",'vInfo (Imported)'!$1:$5000,M3746,FALSE)</f>
        <v>0</v>
      </c>
      <c r="T3746">
        <f>HLOOKUP("Provisioned MiB",'vInfo (Imported)'!$1:$5000,M3746,FALSE)</f>
        <v>0</v>
      </c>
      <c r="U3746">
        <f t="shared" si="175"/>
        <v>0</v>
      </c>
      <c r="V3746">
        <f>HLOOKUP("In Use MiB",'vInfo (Imported)'!$1:$5000,M3746,FALSE)</f>
        <v>0</v>
      </c>
    </row>
    <row r="3747" spans="1:22" ht="13" x14ac:dyDescent="0.3">
      <c r="A3747" s="46">
        <f>'vHosts (Imported)'!A3747</f>
        <v>0</v>
      </c>
      <c r="B3747" s="51">
        <f t="shared" si="174"/>
        <v>4968</v>
      </c>
      <c r="C3747" s="49">
        <f>HLOOKUP("# Cores",'vHosts (Imported)'!$1:$5000,M3747,FALSE)</f>
        <v>0</v>
      </c>
      <c r="D3747" s="52">
        <f>HLOOKUP("# Memory",'vHosts (Imported)'!$1:$5000,M3747,FALSE)</f>
        <v>0</v>
      </c>
      <c r="M3747" s="45">
        <f t="shared" si="176"/>
        <v>3747</v>
      </c>
      <c r="N3747" s="38">
        <f>HLOOKUP("Host",'vInfo (Imported)'!$1:$5000,M3747,FALSE)</f>
        <v>0</v>
      </c>
      <c r="R3747">
        <f>HLOOKUP("CPUs",'vInfo (Imported)'!$1:$5000,M3747,FALSE)</f>
        <v>0</v>
      </c>
      <c r="S3747">
        <f>HLOOKUP("Memory",'vInfo (Imported)'!$1:$5000,M3747,FALSE)</f>
        <v>0</v>
      </c>
      <c r="T3747">
        <f>HLOOKUP("Provisioned MiB",'vInfo (Imported)'!$1:$5000,M3747,FALSE)</f>
        <v>0</v>
      </c>
      <c r="U3747">
        <f t="shared" si="175"/>
        <v>0</v>
      </c>
      <c r="V3747">
        <f>HLOOKUP("In Use MiB",'vInfo (Imported)'!$1:$5000,M3747,FALSE)</f>
        <v>0</v>
      </c>
    </row>
    <row r="3748" spans="1:22" ht="13" x14ac:dyDescent="0.3">
      <c r="A3748" s="46">
        <f>'vHosts (Imported)'!A3748</f>
        <v>0</v>
      </c>
      <c r="B3748" s="51">
        <f t="shared" si="174"/>
        <v>4968</v>
      </c>
      <c r="C3748" s="49">
        <f>HLOOKUP("# Cores",'vHosts (Imported)'!$1:$5000,M3748,FALSE)</f>
        <v>0</v>
      </c>
      <c r="D3748" s="52">
        <f>HLOOKUP("# Memory",'vHosts (Imported)'!$1:$5000,M3748,FALSE)</f>
        <v>0</v>
      </c>
      <c r="M3748" s="45">
        <f t="shared" si="176"/>
        <v>3748</v>
      </c>
      <c r="N3748" s="38">
        <f>HLOOKUP("Host",'vInfo (Imported)'!$1:$5000,M3748,FALSE)</f>
        <v>0</v>
      </c>
      <c r="R3748">
        <f>HLOOKUP("CPUs",'vInfo (Imported)'!$1:$5000,M3748,FALSE)</f>
        <v>0</v>
      </c>
      <c r="S3748">
        <f>HLOOKUP("Memory",'vInfo (Imported)'!$1:$5000,M3748,FALSE)</f>
        <v>0</v>
      </c>
      <c r="T3748">
        <f>HLOOKUP("Provisioned MiB",'vInfo (Imported)'!$1:$5000,M3748,FALSE)</f>
        <v>0</v>
      </c>
      <c r="U3748">
        <f t="shared" si="175"/>
        <v>0</v>
      </c>
      <c r="V3748">
        <f>HLOOKUP("In Use MiB",'vInfo (Imported)'!$1:$5000,M3748,FALSE)</f>
        <v>0</v>
      </c>
    </row>
    <row r="3749" spans="1:22" ht="13" x14ac:dyDescent="0.3">
      <c r="A3749" s="46">
        <f>'vHosts (Imported)'!A3749</f>
        <v>0</v>
      </c>
      <c r="B3749" s="51">
        <f t="shared" si="174"/>
        <v>4968</v>
      </c>
      <c r="C3749" s="49">
        <f>HLOOKUP("# Cores",'vHosts (Imported)'!$1:$5000,M3749,FALSE)</f>
        <v>0</v>
      </c>
      <c r="D3749" s="52">
        <f>HLOOKUP("# Memory",'vHosts (Imported)'!$1:$5000,M3749,FALSE)</f>
        <v>0</v>
      </c>
      <c r="M3749" s="45">
        <f t="shared" si="176"/>
        <v>3749</v>
      </c>
      <c r="N3749" s="38">
        <f>HLOOKUP("Host",'vInfo (Imported)'!$1:$5000,M3749,FALSE)</f>
        <v>0</v>
      </c>
      <c r="R3749">
        <f>HLOOKUP("CPUs",'vInfo (Imported)'!$1:$5000,M3749,FALSE)</f>
        <v>0</v>
      </c>
      <c r="S3749">
        <f>HLOOKUP("Memory",'vInfo (Imported)'!$1:$5000,M3749,FALSE)</f>
        <v>0</v>
      </c>
      <c r="T3749">
        <f>HLOOKUP("Provisioned MiB",'vInfo (Imported)'!$1:$5000,M3749,FALSE)</f>
        <v>0</v>
      </c>
      <c r="U3749">
        <f t="shared" si="175"/>
        <v>0</v>
      </c>
      <c r="V3749">
        <f>HLOOKUP("In Use MiB",'vInfo (Imported)'!$1:$5000,M3749,FALSE)</f>
        <v>0</v>
      </c>
    </row>
    <row r="3750" spans="1:22" ht="13" x14ac:dyDescent="0.3">
      <c r="A3750" s="46">
        <f>'vHosts (Imported)'!A3750</f>
        <v>0</v>
      </c>
      <c r="B3750" s="51">
        <f t="shared" si="174"/>
        <v>4968</v>
      </c>
      <c r="C3750" s="49">
        <f>HLOOKUP("# Cores",'vHosts (Imported)'!$1:$5000,M3750,FALSE)</f>
        <v>0</v>
      </c>
      <c r="D3750" s="52">
        <f>HLOOKUP("# Memory",'vHosts (Imported)'!$1:$5000,M3750,FALSE)</f>
        <v>0</v>
      </c>
      <c r="M3750" s="45">
        <f t="shared" si="176"/>
        <v>3750</v>
      </c>
      <c r="N3750" s="38">
        <f>HLOOKUP("Host",'vInfo (Imported)'!$1:$5000,M3750,FALSE)</f>
        <v>0</v>
      </c>
      <c r="R3750">
        <f>HLOOKUP("CPUs",'vInfo (Imported)'!$1:$5000,M3750,FALSE)</f>
        <v>0</v>
      </c>
      <c r="S3750">
        <f>HLOOKUP("Memory",'vInfo (Imported)'!$1:$5000,M3750,FALSE)</f>
        <v>0</v>
      </c>
      <c r="T3750">
        <f>HLOOKUP("Provisioned MiB",'vInfo (Imported)'!$1:$5000,M3750,FALSE)</f>
        <v>0</v>
      </c>
      <c r="U3750">
        <f t="shared" si="175"/>
        <v>0</v>
      </c>
      <c r="V3750">
        <f>HLOOKUP("In Use MiB",'vInfo (Imported)'!$1:$5000,M3750,FALSE)</f>
        <v>0</v>
      </c>
    </row>
    <row r="3751" spans="1:22" ht="13" x14ac:dyDescent="0.3">
      <c r="A3751" s="46">
        <f>'vHosts (Imported)'!A3751</f>
        <v>0</v>
      </c>
      <c r="B3751" s="51">
        <f t="shared" si="174"/>
        <v>4968</v>
      </c>
      <c r="C3751" s="49">
        <f>HLOOKUP("# Cores",'vHosts (Imported)'!$1:$5000,M3751,FALSE)</f>
        <v>0</v>
      </c>
      <c r="D3751" s="52">
        <f>HLOOKUP("# Memory",'vHosts (Imported)'!$1:$5000,M3751,FALSE)</f>
        <v>0</v>
      </c>
      <c r="M3751" s="45">
        <f t="shared" si="176"/>
        <v>3751</v>
      </c>
      <c r="N3751" s="38">
        <f>HLOOKUP("Host",'vInfo (Imported)'!$1:$5000,M3751,FALSE)</f>
        <v>0</v>
      </c>
      <c r="R3751">
        <f>HLOOKUP("CPUs",'vInfo (Imported)'!$1:$5000,M3751,FALSE)</f>
        <v>0</v>
      </c>
      <c r="S3751">
        <f>HLOOKUP("Memory",'vInfo (Imported)'!$1:$5000,M3751,FALSE)</f>
        <v>0</v>
      </c>
      <c r="T3751">
        <f>HLOOKUP("Provisioned MiB",'vInfo (Imported)'!$1:$5000,M3751,FALSE)</f>
        <v>0</v>
      </c>
      <c r="U3751">
        <f t="shared" si="175"/>
        <v>0</v>
      </c>
      <c r="V3751">
        <f>HLOOKUP("In Use MiB",'vInfo (Imported)'!$1:$5000,M3751,FALSE)</f>
        <v>0</v>
      </c>
    </row>
    <row r="3752" spans="1:22" ht="13" x14ac:dyDescent="0.3">
      <c r="A3752" s="46">
        <f>'vHosts (Imported)'!A3752</f>
        <v>0</v>
      </c>
      <c r="B3752" s="51">
        <f t="shared" ref="B3752:B3815" si="177">COUNTIF(N:N,A3752)</f>
        <v>4968</v>
      </c>
      <c r="C3752" s="49">
        <f>HLOOKUP("# Cores",'vHosts (Imported)'!$1:$5000,M3752,FALSE)</f>
        <v>0</v>
      </c>
      <c r="D3752" s="52">
        <f>HLOOKUP("# Memory",'vHosts (Imported)'!$1:$5000,M3752,FALSE)</f>
        <v>0</v>
      </c>
      <c r="M3752" s="45">
        <f t="shared" si="176"/>
        <v>3752</v>
      </c>
      <c r="N3752" s="38">
        <f>HLOOKUP("Host",'vInfo (Imported)'!$1:$5000,M3752,FALSE)</f>
        <v>0</v>
      </c>
      <c r="R3752">
        <f>HLOOKUP("CPUs",'vInfo (Imported)'!$1:$5000,M3752,FALSE)</f>
        <v>0</v>
      </c>
      <c r="S3752">
        <f>HLOOKUP("Memory",'vInfo (Imported)'!$1:$5000,M3752,FALSE)</f>
        <v>0</v>
      </c>
      <c r="T3752">
        <f>HLOOKUP("Provisioned MiB",'vInfo (Imported)'!$1:$5000,M3752,FALSE)</f>
        <v>0</v>
      </c>
      <c r="U3752">
        <f t="shared" si="175"/>
        <v>0</v>
      </c>
      <c r="V3752">
        <f>HLOOKUP("In Use MiB",'vInfo (Imported)'!$1:$5000,M3752,FALSE)</f>
        <v>0</v>
      </c>
    </row>
    <row r="3753" spans="1:22" ht="13" x14ac:dyDescent="0.3">
      <c r="A3753" s="46">
        <f>'vHosts (Imported)'!A3753</f>
        <v>0</v>
      </c>
      <c r="B3753" s="51">
        <f t="shared" si="177"/>
        <v>4968</v>
      </c>
      <c r="C3753" s="49">
        <f>HLOOKUP("# Cores",'vHosts (Imported)'!$1:$5000,M3753,FALSE)</f>
        <v>0</v>
      </c>
      <c r="D3753" s="52">
        <f>HLOOKUP("# Memory",'vHosts (Imported)'!$1:$5000,M3753,FALSE)</f>
        <v>0</v>
      </c>
      <c r="M3753" s="45">
        <f t="shared" si="176"/>
        <v>3753</v>
      </c>
      <c r="N3753" s="38">
        <f>HLOOKUP("Host",'vInfo (Imported)'!$1:$5000,M3753,FALSE)</f>
        <v>0</v>
      </c>
      <c r="R3753">
        <f>HLOOKUP("CPUs",'vInfo (Imported)'!$1:$5000,M3753,FALSE)</f>
        <v>0</v>
      </c>
      <c r="S3753">
        <f>HLOOKUP("Memory",'vInfo (Imported)'!$1:$5000,M3753,FALSE)</f>
        <v>0</v>
      </c>
      <c r="T3753">
        <f>HLOOKUP("Provisioned MiB",'vInfo (Imported)'!$1:$5000,M3753,FALSE)</f>
        <v>0</v>
      </c>
      <c r="U3753">
        <f t="shared" si="175"/>
        <v>0</v>
      </c>
      <c r="V3753">
        <f>HLOOKUP("In Use MiB",'vInfo (Imported)'!$1:$5000,M3753,FALSE)</f>
        <v>0</v>
      </c>
    </row>
    <row r="3754" spans="1:22" ht="13" x14ac:dyDescent="0.3">
      <c r="A3754" s="46">
        <f>'vHosts (Imported)'!A3754</f>
        <v>0</v>
      </c>
      <c r="B3754" s="51">
        <f t="shared" si="177"/>
        <v>4968</v>
      </c>
      <c r="C3754" s="49">
        <f>HLOOKUP("# Cores",'vHosts (Imported)'!$1:$5000,M3754,FALSE)</f>
        <v>0</v>
      </c>
      <c r="D3754" s="52">
        <f>HLOOKUP("# Memory",'vHosts (Imported)'!$1:$5000,M3754,FALSE)</f>
        <v>0</v>
      </c>
      <c r="M3754" s="45">
        <f t="shared" si="176"/>
        <v>3754</v>
      </c>
      <c r="N3754" s="38">
        <f>HLOOKUP("Host",'vInfo (Imported)'!$1:$5000,M3754,FALSE)</f>
        <v>0</v>
      </c>
      <c r="R3754">
        <f>HLOOKUP("CPUs",'vInfo (Imported)'!$1:$5000,M3754,FALSE)</f>
        <v>0</v>
      </c>
      <c r="S3754">
        <f>HLOOKUP("Memory",'vInfo (Imported)'!$1:$5000,M3754,FALSE)</f>
        <v>0</v>
      </c>
      <c r="T3754">
        <f>HLOOKUP("Provisioned MiB",'vInfo (Imported)'!$1:$5000,M3754,FALSE)</f>
        <v>0</v>
      </c>
      <c r="U3754">
        <f t="shared" si="175"/>
        <v>0</v>
      </c>
      <c r="V3754">
        <f>HLOOKUP("In Use MiB",'vInfo (Imported)'!$1:$5000,M3754,FALSE)</f>
        <v>0</v>
      </c>
    </row>
    <row r="3755" spans="1:22" ht="13" x14ac:dyDescent="0.3">
      <c r="A3755" s="46">
        <f>'vHosts (Imported)'!A3755</f>
        <v>0</v>
      </c>
      <c r="B3755" s="51">
        <f t="shared" si="177"/>
        <v>4968</v>
      </c>
      <c r="C3755" s="49">
        <f>HLOOKUP("# Cores",'vHosts (Imported)'!$1:$5000,M3755,FALSE)</f>
        <v>0</v>
      </c>
      <c r="D3755" s="52">
        <f>HLOOKUP("# Memory",'vHosts (Imported)'!$1:$5000,M3755,FALSE)</f>
        <v>0</v>
      </c>
      <c r="M3755" s="45">
        <f t="shared" si="176"/>
        <v>3755</v>
      </c>
      <c r="N3755" s="38">
        <f>HLOOKUP("Host",'vInfo (Imported)'!$1:$5000,M3755,FALSE)</f>
        <v>0</v>
      </c>
      <c r="R3755">
        <f>HLOOKUP("CPUs",'vInfo (Imported)'!$1:$5000,M3755,FALSE)</f>
        <v>0</v>
      </c>
      <c r="S3755">
        <f>HLOOKUP("Memory",'vInfo (Imported)'!$1:$5000,M3755,FALSE)</f>
        <v>0</v>
      </c>
      <c r="T3755">
        <f>HLOOKUP("Provisioned MiB",'vInfo (Imported)'!$1:$5000,M3755,FALSE)</f>
        <v>0</v>
      </c>
      <c r="U3755">
        <f t="shared" si="175"/>
        <v>0</v>
      </c>
      <c r="V3755">
        <f>HLOOKUP("In Use MiB",'vInfo (Imported)'!$1:$5000,M3755,FALSE)</f>
        <v>0</v>
      </c>
    </row>
    <row r="3756" spans="1:22" ht="13" x14ac:dyDescent="0.3">
      <c r="A3756" s="46">
        <f>'vHosts (Imported)'!A3756</f>
        <v>0</v>
      </c>
      <c r="B3756" s="51">
        <f t="shared" si="177"/>
        <v>4968</v>
      </c>
      <c r="C3756" s="49">
        <f>HLOOKUP("# Cores",'vHosts (Imported)'!$1:$5000,M3756,FALSE)</f>
        <v>0</v>
      </c>
      <c r="D3756" s="52">
        <f>HLOOKUP("# Memory",'vHosts (Imported)'!$1:$5000,M3756,FALSE)</f>
        <v>0</v>
      </c>
      <c r="M3756" s="45">
        <f t="shared" si="176"/>
        <v>3756</v>
      </c>
      <c r="N3756" s="38">
        <f>HLOOKUP("Host",'vInfo (Imported)'!$1:$5000,M3756,FALSE)</f>
        <v>0</v>
      </c>
      <c r="R3756">
        <f>HLOOKUP("CPUs",'vInfo (Imported)'!$1:$5000,M3756,FALSE)</f>
        <v>0</v>
      </c>
      <c r="S3756">
        <f>HLOOKUP("Memory",'vInfo (Imported)'!$1:$5000,M3756,FALSE)</f>
        <v>0</v>
      </c>
      <c r="T3756">
        <f>HLOOKUP("Provisioned MiB",'vInfo (Imported)'!$1:$5000,M3756,FALSE)</f>
        <v>0</v>
      </c>
      <c r="U3756">
        <f t="shared" si="175"/>
        <v>0</v>
      </c>
      <c r="V3756">
        <f>HLOOKUP("In Use MiB",'vInfo (Imported)'!$1:$5000,M3756,FALSE)</f>
        <v>0</v>
      </c>
    </row>
    <row r="3757" spans="1:22" ht="13" x14ac:dyDescent="0.3">
      <c r="A3757" s="46">
        <f>'vHosts (Imported)'!A3757</f>
        <v>0</v>
      </c>
      <c r="B3757" s="51">
        <f t="shared" si="177"/>
        <v>4968</v>
      </c>
      <c r="C3757" s="49">
        <f>HLOOKUP("# Cores",'vHosts (Imported)'!$1:$5000,M3757,FALSE)</f>
        <v>0</v>
      </c>
      <c r="D3757" s="52">
        <f>HLOOKUP("# Memory",'vHosts (Imported)'!$1:$5000,M3757,FALSE)</f>
        <v>0</v>
      </c>
      <c r="M3757" s="45">
        <f t="shared" si="176"/>
        <v>3757</v>
      </c>
      <c r="N3757" s="38">
        <f>HLOOKUP("Host",'vInfo (Imported)'!$1:$5000,M3757,FALSE)</f>
        <v>0</v>
      </c>
      <c r="R3757">
        <f>HLOOKUP("CPUs",'vInfo (Imported)'!$1:$5000,M3757,FALSE)</f>
        <v>0</v>
      </c>
      <c r="S3757">
        <f>HLOOKUP("Memory",'vInfo (Imported)'!$1:$5000,M3757,FALSE)</f>
        <v>0</v>
      </c>
      <c r="T3757">
        <f>HLOOKUP("Provisioned MiB",'vInfo (Imported)'!$1:$5000,M3757,FALSE)</f>
        <v>0</v>
      </c>
      <c r="U3757">
        <f t="shared" si="175"/>
        <v>0</v>
      </c>
      <c r="V3757">
        <f>HLOOKUP("In Use MiB",'vInfo (Imported)'!$1:$5000,M3757,FALSE)</f>
        <v>0</v>
      </c>
    </row>
    <row r="3758" spans="1:22" ht="13" x14ac:dyDescent="0.3">
      <c r="A3758" s="46">
        <f>'vHosts (Imported)'!A3758</f>
        <v>0</v>
      </c>
      <c r="B3758" s="51">
        <f t="shared" si="177"/>
        <v>4968</v>
      </c>
      <c r="C3758" s="49">
        <f>HLOOKUP("# Cores",'vHosts (Imported)'!$1:$5000,M3758,FALSE)</f>
        <v>0</v>
      </c>
      <c r="D3758" s="52">
        <f>HLOOKUP("# Memory",'vHosts (Imported)'!$1:$5000,M3758,FALSE)</f>
        <v>0</v>
      </c>
      <c r="M3758" s="45">
        <f t="shared" si="176"/>
        <v>3758</v>
      </c>
      <c r="N3758" s="38">
        <f>HLOOKUP("Host",'vInfo (Imported)'!$1:$5000,M3758,FALSE)</f>
        <v>0</v>
      </c>
      <c r="R3758">
        <f>HLOOKUP("CPUs",'vInfo (Imported)'!$1:$5000,M3758,FALSE)</f>
        <v>0</v>
      </c>
      <c r="S3758">
        <f>HLOOKUP("Memory",'vInfo (Imported)'!$1:$5000,M3758,FALSE)</f>
        <v>0</v>
      </c>
      <c r="T3758">
        <f>HLOOKUP("Provisioned MiB",'vInfo (Imported)'!$1:$5000,M3758,FALSE)</f>
        <v>0</v>
      </c>
      <c r="U3758">
        <f t="shared" si="175"/>
        <v>0</v>
      </c>
      <c r="V3758">
        <f>HLOOKUP("In Use MiB",'vInfo (Imported)'!$1:$5000,M3758,FALSE)</f>
        <v>0</v>
      </c>
    </row>
    <row r="3759" spans="1:22" ht="13" x14ac:dyDescent="0.3">
      <c r="A3759" s="46">
        <f>'vHosts (Imported)'!A3759</f>
        <v>0</v>
      </c>
      <c r="B3759" s="51">
        <f t="shared" si="177"/>
        <v>4968</v>
      </c>
      <c r="C3759" s="49">
        <f>HLOOKUP("# Cores",'vHosts (Imported)'!$1:$5000,M3759,FALSE)</f>
        <v>0</v>
      </c>
      <c r="D3759" s="52">
        <f>HLOOKUP("# Memory",'vHosts (Imported)'!$1:$5000,M3759,FALSE)</f>
        <v>0</v>
      </c>
      <c r="M3759" s="45">
        <f t="shared" si="176"/>
        <v>3759</v>
      </c>
      <c r="N3759" s="38">
        <f>HLOOKUP("Host",'vInfo (Imported)'!$1:$5000,M3759,FALSE)</f>
        <v>0</v>
      </c>
      <c r="R3759">
        <f>HLOOKUP("CPUs",'vInfo (Imported)'!$1:$5000,M3759,FALSE)</f>
        <v>0</v>
      </c>
      <c r="S3759">
        <f>HLOOKUP("Memory",'vInfo (Imported)'!$1:$5000,M3759,FALSE)</f>
        <v>0</v>
      </c>
      <c r="T3759">
        <f>HLOOKUP("Provisioned MiB",'vInfo (Imported)'!$1:$5000,M3759,FALSE)</f>
        <v>0</v>
      </c>
      <c r="U3759">
        <f t="shared" si="175"/>
        <v>0</v>
      </c>
      <c r="V3759">
        <f>HLOOKUP("In Use MiB",'vInfo (Imported)'!$1:$5000,M3759,FALSE)</f>
        <v>0</v>
      </c>
    </row>
    <row r="3760" spans="1:22" ht="13" x14ac:dyDescent="0.3">
      <c r="A3760" s="46">
        <f>'vHosts (Imported)'!A3760</f>
        <v>0</v>
      </c>
      <c r="B3760" s="51">
        <f t="shared" si="177"/>
        <v>4968</v>
      </c>
      <c r="C3760" s="49">
        <f>HLOOKUP("# Cores",'vHosts (Imported)'!$1:$5000,M3760,FALSE)</f>
        <v>0</v>
      </c>
      <c r="D3760" s="52">
        <f>HLOOKUP("# Memory",'vHosts (Imported)'!$1:$5000,M3760,FALSE)</f>
        <v>0</v>
      </c>
      <c r="M3760" s="45">
        <f t="shared" si="176"/>
        <v>3760</v>
      </c>
      <c r="N3760" s="38">
        <f>HLOOKUP("Host",'vInfo (Imported)'!$1:$5000,M3760,FALSE)</f>
        <v>0</v>
      </c>
      <c r="R3760">
        <f>HLOOKUP("CPUs",'vInfo (Imported)'!$1:$5000,M3760,FALSE)</f>
        <v>0</v>
      </c>
      <c r="S3760">
        <f>HLOOKUP("Memory",'vInfo (Imported)'!$1:$5000,M3760,FALSE)</f>
        <v>0</v>
      </c>
      <c r="T3760">
        <f>HLOOKUP("Provisioned MiB",'vInfo (Imported)'!$1:$5000,M3760,FALSE)</f>
        <v>0</v>
      </c>
      <c r="U3760">
        <f t="shared" si="175"/>
        <v>0</v>
      </c>
      <c r="V3760">
        <f>HLOOKUP("In Use MiB",'vInfo (Imported)'!$1:$5000,M3760,FALSE)</f>
        <v>0</v>
      </c>
    </row>
    <row r="3761" spans="1:22" ht="13" x14ac:dyDescent="0.3">
      <c r="A3761" s="46">
        <f>'vHosts (Imported)'!A3761</f>
        <v>0</v>
      </c>
      <c r="B3761" s="51">
        <f t="shared" si="177"/>
        <v>4968</v>
      </c>
      <c r="C3761" s="49">
        <f>HLOOKUP("# Cores",'vHosts (Imported)'!$1:$5000,M3761,FALSE)</f>
        <v>0</v>
      </c>
      <c r="D3761" s="52">
        <f>HLOOKUP("# Memory",'vHosts (Imported)'!$1:$5000,M3761,FALSE)</f>
        <v>0</v>
      </c>
      <c r="M3761" s="45">
        <f t="shared" si="176"/>
        <v>3761</v>
      </c>
      <c r="N3761" s="38">
        <f>HLOOKUP("Host",'vInfo (Imported)'!$1:$5000,M3761,FALSE)</f>
        <v>0</v>
      </c>
      <c r="R3761">
        <f>HLOOKUP("CPUs",'vInfo (Imported)'!$1:$5000,M3761,FALSE)</f>
        <v>0</v>
      </c>
      <c r="S3761">
        <f>HLOOKUP("Memory",'vInfo (Imported)'!$1:$5000,M3761,FALSE)</f>
        <v>0</v>
      </c>
      <c r="T3761">
        <f>HLOOKUP("Provisioned MiB",'vInfo (Imported)'!$1:$5000,M3761,FALSE)</f>
        <v>0</v>
      </c>
      <c r="U3761">
        <f t="shared" si="175"/>
        <v>0</v>
      </c>
      <c r="V3761">
        <f>HLOOKUP("In Use MiB",'vInfo (Imported)'!$1:$5000,M3761,FALSE)</f>
        <v>0</v>
      </c>
    </row>
    <row r="3762" spans="1:22" ht="13" x14ac:dyDescent="0.3">
      <c r="A3762" s="46">
        <f>'vHosts (Imported)'!A3762</f>
        <v>0</v>
      </c>
      <c r="B3762" s="51">
        <f t="shared" si="177"/>
        <v>4968</v>
      </c>
      <c r="C3762" s="49">
        <f>HLOOKUP("# Cores",'vHosts (Imported)'!$1:$5000,M3762,FALSE)</f>
        <v>0</v>
      </c>
      <c r="D3762" s="52">
        <f>HLOOKUP("# Memory",'vHosts (Imported)'!$1:$5000,M3762,FALSE)</f>
        <v>0</v>
      </c>
      <c r="M3762" s="45">
        <f t="shared" si="176"/>
        <v>3762</v>
      </c>
      <c r="N3762" s="38">
        <f>HLOOKUP("Host",'vInfo (Imported)'!$1:$5000,M3762,FALSE)</f>
        <v>0</v>
      </c>
      <c r="R3762">
        <f>HLOOKUP("CPUs",'vInfo (Imported)'!$1:$5000,M3762,FALSE)</f>
        <v>0</v>
      </c>
      <c r="S3762">
        <f>HLOOKUP("Memory",'vInfo (Imported)'!$1:$5000,M3762,FALSE)</f>
        <v>0</v>
      </c>
      <c r="T3762">
        <f>HLOOKUP("Provisioned MiB",'vInfo (Imported)'!$1:$5000,M3762,FALSE)</f>
        <v>0</v>
      </c>
      <c r="U3762">
        <f t="shared" si="175"/>
        <v>0</v>
      </c>
      <c r="V3762">
        <f>HLOOKUP("In Use MiB",'vInfo (Imported)'!$1:$5000,M3762,FALSE)</f>
        <v>0</v>
      </c>
    </row>
    <row r="3763" spans="1:22" ht="13" x14ac:dyDescent="0.3">
      <c r="A3763" s="46">
        <f>'vHosts (Imported)'!A3763</f>
        <v>0</v>
      </c>
      <c r="B3763" s="51">
        <f t="shared" si="177"/>
        <v>4968</v>
      </c>
      <c r="C3763" s="49">
        <f>HLOOKUP("# Cores",'vHosts (Imported)'!$1:$5000,M3763,FALSE)</f>
        <v>0</v>
      </c>
      <c r="D3763" s="52">
        <f>HLOOKUP("# Memory",'vHosts (Imported)'!$1:$5000,M3763,FALSE)</f>
        <v>0</v>
      </c>
      <c r="M3763" s="45">
        <f t="shared" si="176"/>
        <v>3763</v>
      </c>
      <c r="N3763" s="38">
        <f>HLOOKUP("Host",'vInfo (Imported)'!$1:$5000,M3763,FALSE)</f>
        <v>0</v>
      </c>
      <c r="R3763">
        <f>HLOOKUP("CPUs",'vInfo (Imported)'!$1:$5000,M3763,FALSE)</f>
        <v>0</v>
      </c>
      <c r="S3763">
        <f>HLOOKUP("Memory",'vInfo (Imported)'!$1:$5000,M3763,FALSE)</f>
        <v>0</v>
      </c>
      <c r="T3763">
        <f>HLOOKUP("Provisioned MiB",'vInfo (Imported)'!$1:$5000,M3763,FALSE)</f>
        <v>0</v>
      </c>
      <c r="U3763">
        <f t="shared" si="175"/>
        <v>0</v>
      </c>
      <c r="V3763">
        <f>HLOOKUP("In Use MiB",'vInfo (Imported)'!$1:$5000,M3763,FALSE)</f>
        <v>0</v>
      </c>
    </row>
    <row r="3764" spans="1:22" ht="13" x14ac:dyDescent="0.3">
      <c r="A3764" s="46">
        <f>'vHosts (Imported)'!A3764</f>
        <v>0</v>
      </c>
      <c r="B3764" s="51">
        <f t="shared" si="177"/>
        <v>4968</v>
      </c>
      <c r="C3764" s="49">
        <f>HLOOKUP("# Cores",'vHosts (Imported)'!$1:$5000,M3764,FALSE)</f>
        <v>0</v>
      </c>
      <c r="D3764" s="52">
        <f>HLOOKUP("# Memory",'vHosts (Imported)'!$1:$5000,M3764,FALSE)</f>
        <v>0</v>
      </c>
      <c r="M3764" s="45">
        <f t="shared" si="176"/>
        <v>3764</v>
      </c>
      <c r="N3764" s="38">
        <f>HLOOKUP("Host",'vInfo (Imported)'!$1:$5000,M3764,FALSE)</f>
        <v>0</v>
      </c>
      <c r="R3764">
        <f>HLOOKUP("CPUs",'vInfo (Imported)'!$1:$5000,M3764,FALSE)</f>
        <v>0</v>
      </c>
      <c r="S3764">
        <f>HLOOKUP("Memory",'vInfo (Imported)'!$1:$5000,M3764,FALSE)</f>
        <v>0</v>
      </c>
      <c r="T3764">
        <f>HLOOKUP("Provisioned MiB",'vInfo (Imported)'!$1:$5000,M3764,FALSE)</f>
        <v>0</v>
      </c>
      <c r="U3764">
        <f t="shared" si="175"/>
        <v>0</v>
      </c>
      <c r="V3764">
        <f>HLOOKUP("In Use MiB",'vInfo (Imported)'!$1:$5000,M3764,FALSE)</f>
        <v>0</v>
      </c>
    </row>
    <row r="3765" spans="1:22" ht="13" x14ac:dyDescent="0.3">
      <c r="A3765" s="46">
        <f>'vHosts (Imported)'!A3765</f>
        <v>0</v>
      </c>
      <c r="B3765" s="51">
        <f t="shared" si="177"/>
        <v>4968</v>
      </c>
      <c r="C3765" s="49">
        <f>HLOOKUP("# Cores",'vHosts (Imported)'!$1:$5000,M3765,FALSE)</f>
        <v>0</v>
      </c>
      <c r="D3765" s="52">
        <f>HLOOKUP("# Memory",'vHosts (Imported)'!$1:$5000,M3765,FALSE)</f>
        <v>0</v>
      </c>
      <c r="M3765" s="45">
        <f t="shared" si="176"/>
        <v>3765</v>
      </c>
      <c r="N3765" s="38">
        <f>HLOOKUP("Host",'vInfo (Imported)'!$1:$5000,M3765,FALSE)</f>
        <v>0</v>
      </c>
      <c r="R3765">
        <f>HLOOKUP("CPUs",'vInfo (Imported)'!$1:$5000,M3765,FALSE)</f>
        <v>0</v>
      </c>
      <c r="S3765">
        <f>HLOOKUP("Memory",'vInfo (Imported)'!$1:$5000,M3765,FALSE)</f>
        <v>0</v>
      </c>
      <c r="T3765">
        <f>HLOOKUP("Provisioned MiB",'vInfo (Imported)'!$1:$5000,M3765,FALSE)</f>
        <v>0</v>
      </c>
      <c r="U3765">
        <f t="shared" si="175"/>
        <v>0</v>
      </c>
      <c r="V3765">
        <f>HLOOKUP("In Use MiB",'vInfo (Imported)'!$1:$5000,M3765,FALSE)</f>
        <v>0</v>
      </c>
    </row>
    <row r="3766" spans="1:22" ht="13" x14ac:dyDescent="0.3">
      <c r="A3766" s="46">
        <f>'vHosts (Imported)'!A3766</f>
        <v>0</v>
      </c>
      <c r="B3766" s="51">
        <f t="shared" si="177"/>
        <v>4968</v>
      </c>
      <c r="C3766" s="49">
        <f>HLOOKUP("# Cores",'vHosts (Imported)'!$1:$5000,M3766,FALSE)</f>
        <v>0</v>
      </c>
      <c r="D3766" s="52">
        <f>HLOOKUP("# Memory",'vHosts (Imported)'!$1:$5000,M3766,FALSE)</f>
        <v>0</v>
      </c>
      <c r="M3766" s="45">
        <f t="shared" si="176"/>
        <v>3766</v>
      </c>
      <c r="N3766" s="38">
        <f>HLOOKUP("Host",'vInfo (Imported)'!$1:$5000,M3766,FALSE)</f>
        <v>0</v>
      </c>
      <c r="R3766">
        <f>HLOOKUP("CPUs",'vInfo (Imported)'!$1:$5000,M3766,FALSE)</f>
        <v>0</v>
      </c>
      <c r="S3766">
        <f>HLOOKUP("Memory",'vInfo (Imported)'!$1:$5000,M3766,FALSE)</f>
        <v>0</v>
      </c>
      <c r="T3766">
        <f>HLOOKUP("Provisioned MiB",'vInfo (Imported)'!$1:$5000,M3766,FALSE)</f>
        <v>0</v>
      </c>
      <c r="U3766">
        <f t="shared" si="175"/>
        <v>0</v>
      </c>
      <c r="V3766">
        <f>HLOOKUP("In Use MiB",'vInfo (Imported)'!$1:$5000,M3766,FALSE)</f>
        <v>0</v>
      </c>
    </row>
    <row r="3767" spans="1:22" ht="13" x14ac:dyDescent="0.3">
      <c r="A3767" s="46">
        <f>'vHosts (Imported)'!A3767</f>
        <v>0</v>
      </c>
      <c r="B3767" s="51">
        <f t="shared" si="177"/>
        <v>4968</v>
      </c>
      <c r="C3767" s="49">
        <f>HLOOKUP("# Cores",'vHosts (Imported)'!$1:$5000,M3767,FALSE)</f>
        <v>0</v>
      </c>
      <c r="D3767" s="52">
        <f>HLOOKUP("# Memory",'vHosts (Imported)'!$1:$5000,M3767,FALSE)</f>
        <v>0</v>
      </c>
      <c r="M3767" s="45">
        <f t="shared" si="176"/>
        <v>3767</v>
      </c>
      <c r="N3767" s="38">
        <f>HLOOKUP("Host",'vInfo (Imported)'!$1:$5000,M3767,FALSE)</f>
        <v>0</v>
      </c>
      <c r="R3767">
        <f>HLOOKUP("CPUs",'vInfo (Imported)'!$1:$5000,M3767,FALSE)</f>
        <v>0</v>
      </c>
      <c r="S3767">
        <f>HLOOKUP("Memory",'vInfo (Imported)'!$1:$5000,M3767,FALSE)</f>
        <v>0</v>
      </c>
      <c r="T3767">
        <f>HLOOKUP("Provisioned MiB",'vInfo (Imported)'!$1:$5000,M3767,FALSE)</f>
        <v>0</v>
      </c>
      <c r="U3767">
        <f t="shared" si="175"/>
        <v>0</v>
      </c>
      <c r="V3767">
        <f>HLOOKUP("In Use MiB",'vInfo (Imported)'!$1:$5000,M3767,FALSE)</f>
        <v>0</v>
      </c>
    </row>
    <row r="3768" spans="1:22" ht="13" x14ac:dyDescent="0.3">
      <c r="A3768" s="46">
        <f>'vHosts (Imported)'!A3768</f>
        <v>0</v>
      </c>
      <c r="B3768" s="51">
        <f t="shared" si="177"/>
        <v>4968</v>
      </c>
      <c r="C3768" s="49">
        <f>HLOOKUP("# Cores",'vHosts (Imported)'!$1:$5000,M3768,FALSE)</f>
        <v>0</v>
      </c>
      <c r="D3768" s="52">
        <f>HLOOKUP("# Memory",'vHosts (Imported)'!$1:$5000,M3768,FALSE)</f>
        <v>0</v>
      </c>
      <c r="M3768" s="45">
        <f t="shared" si="176"/>
        <v>3768</v>
      </c>
      <c r="N3768" s="38">
        <f>HLOOKUP("Host",'vInfo (Imported)'!$1:$5000,M3768,FALSE)</f>
        <v>0</v>
      </c>
      <c r="R3768">
        <f>HLOOKUP("CPUs",'vInfo (Imported)'!$1:$5000,M3768,FALSE)</f>
        <v>0</v>
      </c>
      <c r="S3768">
        <f>HLOOKUP("Memory",'vInfo (Imported)'!$1:$5000,M3768,FALSE)</f>
        <v>0</v>
      </c>
      <c r="T3768">
        <f>HLOOKUP("Provisioned MiB",'vInfo (Imported)'!$1:$5000,M3768,FALSE)</f>
        <v>0</v>
      </c>
      <c r="U3768">
        <f t="shared" si="175"/>
        <v>0</v>
      </c>
      <c r="V3768">
        <f>HLOOKUP("In Use MiB",'vInfo (Imported)'!$1:$5000,M3768,FALSE)</f>
        <v>0</v>
      </c>
    </row>
    <row r="3769" spans="1:22" ht="13" x14ac:dyDescent="0.3">
      <c r="A3769" s="46">
        <f>'vHosts (Imported)'!A3769</f>
        <v>0</v>
      </c>
      <c r="B3769" s="51">
        <f t="shared" si="177"/>
        <v>4968</v>
      </c>
      <c r="C3769" s="49">
        <f>HLOOKUP("# Cores",'vHosts (Imported)'!$1:$5000,M3769,FALSE)</f>
        <v>0</v>
      </c>
      <c r="D3769" s="52">
        <f>HLOOKUP("# Memory",'vHosts (Imported)'!$1:$5000,M3769,FALSE)</f>
        <v>0</v>
      </c>
      <c r="M3769" s="45">
        <f t="shared" si="176"/>
        <v>3769</v>
      </c>
      <c r="N3769" s="38">
        <f>HLOOKUP("Host",'vInfo (Imported)'!$1:$5000,M3769,FALSE)</f>
        <v>0</v>
      </c>
      <c r="R3769">
        <f>HLOOKUP("CPUs",'vInfo (Imported)'!$1:$5000,M3769,FALSE)</f>
        <v>0</v>
      </c>
      <c r="S3769">
        <f>HLOOKUP("Memory",'vInfo (Imported)'!$1:$5000,M3769,FALSE)</f>
        <v>0</v>
      </c>
      <c r="T3769">
        <f>HLOOKUP("Provisioned MiB",'vInfo (Imported)'!$1:$5000,M3769,FALSE)</f>
        <v>0</v>
      </c>
      <c r="U3769">
        <f t="shared" si="175"/>
        <v>0</v>
      </c>
      <c r="V3769">
        <f>HLOOKUP("In Use MiB",'vInfo (Imported)'!$1:$5000,M3769,FALSE)</f>
        <v>0</v>
      </c>
    </row>
    <row r="3770" spans="1:22" ht="13" x14ac:dyDescent="0.3">
      <c r="A3770" s="46">
        <f>'vHosts (Imported)'!A3770</f>
        <v>0</v>
      </c>
      <c r="B3770" s="51">
        <f t="shared" si="177"/>
        <v>4968</v>
      </c>
      <c r="C3770" s="49">
        <f>HLOOKUP("# Cores",'vHosts (Imported)'!$1:$5000,M3770,FALSE)</f>
        <v>0</v>
      </c>
      <c r="D3770" s="52">
        <f>HLOOKUP("# Memory",'vHosts (Imported)'!$1:$5000,M3770,FALSE)</f>
        <v>0</v>
      </c>
      <c r="M3770" s="45">
        <f t="shared" si="176"/>
        <v>3770</v>
      </c>
      <c r="N3770" s="38">
        <f>HLOOKUP("Host",'vInfo (Imported)'!$1:$5000,M3770,FALSE)</f>
        <v>0</v>
      </c>
      <c r="R3770">
        <f>HLOOKUP("CPUs",'vInfo (Imported)'!$1:$5000,M3770,FALSE)</f>
        <v>0</v>
      </c>
      <c r="S3770">
        <f>HLOOKUP("Memory",'vInfo (Imported)'!$1:$5000,M3770,FALSE)</f>
        <v>0</v>
      </c>
      <c r="T3770">
        <f>HLOOKUP("Provisioned MiB",'vInfo (Imported)'!$1:$5000,M3770,FALSE)</f>
        <v>0</v>
      </c>
      <c r="U3770">
        <f t="shared" si="175"/>
        <v>0</v>
      </c>
      <c r="V3770">
        <f>HLOOKUP("In Use MiB",'vInfo (Imported)'!$1:$5000,M3770,FALSE)</f>
        <v>0</v>
      </c>
    </row>
    <row r="3771" spans="1:22" ht="13" x14ac:dyDescent="0.3">
      <c r="A3771" s="46">
        <f>'vHosts (Imported)'!A3771</f>
        <v>0</v>
      </c>
      <c r="B3771" s="51">
        <f t="shared" si="177"/>
        <v>4968</v>
      </c>
      <c r="C3771" s="49">
        <f>HLOOKUP("# Cores",'vHosts (Imported)'!$1:$5000,M3771,FALSE)</f>
        <v>0</v>
      </c>
      <c r="D3771" s="52">
        <f>HLOOKUP("# Memory",'vHosts (Imported)'!$1:$5000,M3771,FALSE)</f>
        <v>0</v>
      </c>
      <c r="M3771" s="45">
        <f t="shared" si="176"/>
        <v>3771</v>
      </c>
      <c r="N3771" s="38">
        <f>HLOOKUP("Host",'vInfo (Imported)'!$1:$5000,M3771,FALSE)</f>
        <v>0</v>
      </c>
      <c r="R3771">
        <f>HLOOKUP("CPUs",'vInfo (Imported)'!$1:$5000,M3771,FALSE)</f>
        <v>0</v>
      </c>
      <c r="S3771">
        <f>HLOOKUP("Memory",'vInfo (Imported)'!$1:$5000,M3771,FALSE)</f>
        <v>0</v>
      </c>
      <c r="T3771">
        <f>HLOOKUP("Provisioned MiB",'vInfo (Imported)'!$1:$5000,M3771,FALSE)</f>
        <v>0</v>
      </c>
      <c r="U3771">
        <f t="shared" si="175"/>
        <v>0</v>
      </c>
      <c r="V3771">
        <f>HLOOKUP("In Use MiB",'vInfo (Imported)'!$1:$5000,M3771,FALSE)</f>
        <v>0</v>
      </c>
    </row>
    <row r="3772" spans="1:22" ht="13" x14ac:dyDescent="0.3">
      <c r="A3772" s="46">
        <f>'vHosts (Imported)'!A3772</f>
        <v>0</v>
      </c>
      <c r="B3772" s="51">
        <f t="shared" si="177"/>
        <v>4968</v>
      </c>
      <c r="C3772" s="49">
        <f>HLOOKUP("# Cores",'vHosts (Imported)'!$1:$5000,M3772,FALSE)</f>
        <v>0</v>
      </c>
      <c r="D3772" s="52">
        <f>HLOOKUP("# Memory",'vHosts (Imported)'!$1:$5000,M3772,FALSE)</f>
        <v>0</v>
      </c>
      <c r="M3772" s="45">
        <f t="shared" si="176"/>
        <v>3772</v>
      </c>
      <c r="N3772" s="38">
        <f>HLOOKUP("Host",'vInfo (Imported)'!$1:$5000,M3772,FALSE)</f>
        <v>0</v>
      </c>
      <c r="R3772">
        <f>HLOOKUP("CPUs",'vInfo (Imported)'!$1:$5000,M3772,FALSE)</f>
        <v>0</v>
      </c>
      <c r="S3772">
        <f>HLOOKUP("Memory",'vInfo (Imported)'!$1:$5000,M3772,FALSE)</f>
        <v>0</v>
      </c>
      <c r="T3772">
        <f>HLOOKUP("Provisioned MiB",'vInfo (Imported)'!$1:$5000,M3772,FALSE)</f>
        <v>0</v>
      </c>
      <c r="U3772">
        <f t="shared" si="175"/>
        <v>0</v>
      </c>
      <c r="V3772">
        <f>HLOOKUP("In Use MiB",'vInfo (Imported)'!$1:$5000,M3772,FALSE)</f>
        <v>0</v>
      </c>
    </row>
    <row r="3773" spans="1:22" ht="13" x14ac:dyDescent="0.3">
      <c r="A3773" s="46">
        <f>'vHosts (Imported)'!A3773</f>
        <v>0</v>
      </c>
      <c r="B3773" s="51">
        <f t="shared" si="177"/>
        <v>4968</v>
      </c>
      <c r="C3773" s="49">
        <f>HLOOKUP("# Cores",'vHosts (Imported)'!$1:$5000,M3773,FALSE)</f>
        <v>0</v>
      </c>
      <c r="D3773" s="52">
        <f>HLOOKUP("# Memory",'vHosts (Imported)'!$1:$5000,M3773,FALSE)</f>
        <v>0</v>
      </c>
      <c r="M3773" s="45">
        <f t="shared" si="176"/>
        <v>3773</v>
      </c>
      <c r="N3773" s="38">
        <f>HLOOKUP("Host",'vInfo (Imported)'!$1:$5000,M3773,FALSE)</f>
        <v>0</v>
      </c>
      <c r="R3773">
        <f>HLOOKUP("CPUs",'vInfo (Imported)'!$1:$5000,M3773,FALSE)</f>
        <v>0</v>
      </c>
      <c r="S3773">
        <f>HLOOKUP("Memory",'vInfo (Imported)'!$1:$5000,M3773,FALSE)</f>
        <v>0</v>
      </c>
      <c r="T3773">
        <f>HLOOKUP("Provisioned MiB",'vInfo (Imported)'!$1:$5000,M3773,FALSE)</f>
        <v>0</v>
      </c>
      <c r="U3773">
        <f t="shared" si="175"/>
        <v>0</v>
      </c>
      <c r="V3773">
        <f>HLOOKUP("In Use MiB",'vInfo (Imported)'!$1:$5000,M3773,FALSE)</f>
        <v>0</v>
      </c>
    </row>
    <row r="3774" spans="1:22" ht="13" x14ac:dyDescent="0.3">
      <c r="A3774" s="46">
        <f>'vHosts (Imported)'!A3774</f>
        <v>0</v>
      </c>
      <c r="B3774" s="51">
        <f t="shared" si="177"/>
        <v>4968</v>
      </c>
      <c r="C3774" s="49">
        <f>HLOOKUP("# Cores",'vHosts (Imported)'!$1:$5000,M3774,FALSE)</f>
        <v>0</v>
      </c>
      <c r="D3774" s="52">
        <f>HLOOKUP("# Memory",'vHosts (Imported)'!$1:$5000,M3774,FALSE)</f>
        <v>0</v>
      </c>
      <c r="M3774" s="45">
        <f t="shared" si="176"/>
        <v>3774</v>
      </c>
      <c r="N3774" s="38">
        <f>HLOOKUP("Host",'vInfo (Imported)'!$1:$5000,M3774,FALSE)</f>
        <v>0</v>
      </c>
      <c r="R3774">
        <f>HLOOKUP("CPUs",'vInfo (Imported)'!$1:$5000,M3774,FALSE)</f>
        <v>0</v>
      </c>
      <c r="S3774">
        <f>HLOOKUP("Memory",'vInfo (Imported)'!$1:$5000,M3774,FALSE)</f>
        <v>0</v>
      </c>
      <c r="T3774">
        <f>HLOOKUP("Provisioned MiB",'vInfo (Imported)'!$1:$5000,M3774,FALSE)</f>
        <v>0</v>
      </c>
      <c r="U3774">
        <f t="shared" si="175"/>
        <v>0</v>
      </c>
      <c r="V3774">
        <f>HLOOKUP("In Use MiB",'vInfo (Imported)'!$1:$5000,M3774,FALSE)</f>
        <v>0</v>
      </c>
    </row>
    <row r="3775" spans="1:22" ht="13" x14ac:dyDescent="0.3">
      <c r="A3775" s="46">
        <f>'vHosts (Imported)'!A3775</f>
        <v>0</v>
      </c>
      <c r="B3775" s="51">
        <f t="shared" si="177"/>
        <v>4968</v>
      </c>
      <c r="C3775" s="49">
        <f>HLOOKUP("# Cores",'vHosts (Imported)'!$1:$5000,M3775,FALSE)</f>
        <v>0</v>
      </c>
      <c r="D3775" s="52">
        <f>HLOOKUP("# Memory",'vHosts (Imported)'!$1:$5000,M3775,FALSE)</f>
        <v>0</v>
      </c>
      <c r="M3775" s="45">
        <f t="shared" si="176"/>
        <v>3775</v>
      </c>
      <c r="N3775" s="38">
        <f>HLOOKUP("Host",'vInfo (Imported)'!$1:$5000,M3775,FALSE)</f>
        <v>0</v>
      </c>
      <c r="R3775">
        <f>HLOOKUP("CPUs",'vInfo (Imported)'!$1:$5000,M3775,FALSE)</f>
        <v>0</v>
      </c>
      <c r="S3775">
        <f>HLOOKUP("Memory",'vInfo (Imported)'!$1:$5000,M3775,FALSE)</f>
        <v>0</v>
      </c>
      <c r="T3775">
        <f>HLOOKUP("Provisioned MiB",'vInfo (Imported)'!$1:$5000,M3775,FALSE)</f>
        <v>0</v>
      </c>
      <c r="U3775">
        <f t="shared" si="175"/>
        <v>0</v>
      </c>
      <c r="V3775">
        <f>HLOOKUP("In Use MiB",'vInfo (Imported)'!$1:$5000,M3775,FALSE)</f>
        <v>0</v>
      </c>
    </row>
    <row r="3776" spans="1:22" ht="13" x14ac:dyDescent="0.3">
      <c r="A3776" s="46">
        <f>'vHosts (Imported)'!A3776</f>
        <v>0</v>
      </c>
      <c r="B3776" s="51">
        <f t="shared" si="177"/>
        <v>4968</v>
      </c>
      <c r="C3776" s="49">
        <f>HLOOKUP("# Cores",'vHosts (Imported)'!$1:$5000,M3776,FALSE)</f>
        <v>0</v>
      </c>
      <c r="D3776" s="52">
        <f>HLOOKUP("# Memory",'vHosts (Imported)'!$1:$5000,M3776,FALSE)</f>
        <v>0</v>
      </c>
      <c r="M3776" s="45">
        <f t="shared" si="176"/>
        <v>3776</v>
      </c>
      <c r="N3776" s="38">
        <f>HLOOKUP("Host",'vInfo (Imported)'!$1:$5000,M3776,FALSE)</f>
        <v>0</v>
      </c>
      <c r="R3776">
        <f>HLOOKUP("CPUs",'vInfo (Imported)'!$1:$5000,M3776,FALSE)</f>
        <v>0</v>
      </c>
      <c r="S3776">
        <f>HLOOKUP("Memory",'vInfo (Imported)'!$1:$5000,M3776,FALSE)</f>
        <v>0</v>
      </c>
      <c r="T3776">
        <f>HLOOKUP("Provisioned MiB",'vInfo (Imported)'!$1:$5000,M3776,FALSE)</f>
        <v>0</v>
      </c>
      <c r="U3776">
        <f t="shared" si="175"/>
        <v>0</v>
      </c>
      <c r="V3776">
        <f>HLOOKUP("In Use MiB",'vInfo (Imported)'!$1:$5000,M3776,FALSE)</f>
        <v>0</v>
      </c>
    </row>
    <row r="3777" spans="1:22" ht="13" x14ac:dyDescent="0.3">
      <c r="A3777" s="46">
        <f>'vHosts (Imported)'!A3777</f>
        <v>0</v>
      </c>
      <c r="B3777" s="51">
        <f t="shared" si="177"/>
        <v>4968</v>
      </c>
      <c r="C3777" s="49">
        <f>HLOOKUP("# Cores",'vHosts (Imported)'!$1:$5000,M3777,FALSE)</f>
        <v>0</v>
      </c>
      <c r="D3777" s="52">
        <f>HLOOKUP("# Memory",'vHosts (Imported)'!$1:$5000,M3777,FALSE)</f>
        <v>0</v>
      </c>
      <c r="M3777" s="45">
        <f t="shared" si="176"/>
        <v>3777</v>
      </c>
      <c r="N3777" s="38">
        <f>HLOOKUP("Host",'vInfo (Imported)'!$1:$5000,M3777,FALSE)</f>
        <v>0</v>
      </c>
      <c r="R3777">
        <f>HLOOKUP("CPUs",'vInfo (Imported)'!$1:$5000,M3777,FALSE)</f>
        <v>0</v>
      </c>
      <c r="S3777">
        <f>HLOOKUP("Memory",'vInfo (Imported)'!$1:$5000,M3777,FALSE)</f>
        <v>0</v>
      </c>
      <c r="T3777">
        <f>HLOOKUP("Provisioned MiB",'vInfo (Imported)'!$1:$5000,M3777,FALSE)</f>
        <v>0</v>
      </c>
      <c r="U3777">
        <f t="shared" si="175"/>
        <v>0</v>
      </c>
      <c r="V3777">
        <f>HLOOKUP("In Use MiB",'vInfo (Imported)'!$1:$5000,M3777,FALSE)</f>
        <v>0</v>
      </c>
    </row>
    <row r="3778" spans="1:22" ht="13" x14ac:dyDescent="0.3">
      <c r="A3778" s="46">
        <f>'vHosts (Imported)'!A3778</f>
        <v>0</v>
      </c>
      <c r="B3778" s="51">
        <f t="shared" si="177"/>
        <v>4968</v>
      </c>
      <c r="C3778" s="49">
        <f>HLOOKUP("# Cores",'vHosts (Imported)'!$1:$5000,M3778,FALSE)</f>
        <v>0</v>
      </c>
      <c r="D3778" s="52">
        <f>HLOOKUP("# Memory",'vHosts (Imported)'!$1:$5000,M3778,FALSE)</f>
        <v>0</v>
      </c>
      <c r="M3778" s="45">
        <f t="shared" si="176"/>
        <v>3778</v>
      </c>
      <c r="N3778" s="38">
        <f>HLOOKUP("Host",'vInfo (Imported)'!$1:$5000,M3778,FALSE)</f>
        <v>0</v>
      </c>
      <c r="R3778">
        <f>HLOOKUP("CPUs",'vInfo (Imported)'!$1:$5000,M3778,FALSE)</f>
        <v>0</v>
      </c>
      <c r="S3778">
        <f>HLOOKUP("Memory",'vInfo (Imported)'!$1:$5000,M3778,FALSE)</f>
        <v>0</v>
      </c>
      <c r="T3778">
        <f>HLOOKUP("Provisioned MiB",'vInfo (Imported)'!$1:$5000,M3778,FALSE)</f>
        <v>0</v>
      </c>
      <c r="U3778">
        <f t="shared" si="175"/>
        <v>0</v>
      </c>
      <c r="V3778">
        <f>HLOOKUP("In Use MiB",'vInfo (Imported)'!$1:$5000,M3778,FALSE)</f>
        <v>0</v>
      </c>
    </row>
    <row r="3779" spans="1:22" ht="13" x14ac:dyDescent="0.3">
      <c r="A3779" s="46">
        <f>'vHosts (Imported)'!A3779</f>
        <v>0</v>
      </c>
      <c r="B3779" s="51">
        <f t="shared" si="177"/>
        <v>4968</v>
      </c>
      <c r="C3779" s="49">
        <f>HLOOKUP("# Cores",'vHosts (Imported)'!$1:$5000,M3779,FALSE)</f>
        <v>0</v>
      </c>
      <c r="D3779" s="52">
        <f>HLOOKUP("# Memory",'vHosts (Imported)'!$1:$5000,M3779,FALSE)</f>
        <v>0</v>
      </c>
      <c r="M3779" s="45">
        <f t="shared" si="176"/>
        <v>3779</v>
      </c>
      <c r="N3779" s="38">
        <f>HLOOKUP("Host",'vInfo (Imported)'!$1:$5000,M3779,FALSE)</f>
        <v>0</v>
      </c>
      <c r="R3779">
        <f>HLOOKUP("CPUs",'vInfo (Imported)'!$1:$5000,M3779,FALSE)</f>
        <v>0</v>
      </c>
      <c r="S3779">
        <f>HLOOKUP("Memory",'vInfo (Imported)'!$1:$5000,M3779,FALSE)</f>
        <v>0</v>
      </c>
      <c r="T3779">
        <f>HLOOKUP("Provisioned MiB",'vInfo (Imported)'!$1:$5000,M3779,FALSE)</f>
        <v>0</v>
      </c>
      <c r="U3779">
        <f t="shared" ref="U3779:U3842" si="178">T3779-V3779</f>
        <v>0</v>
      </c>
      <c r="V3779">
        <f>HLOOKUP("In Use MiB",'vInfo (Imported)'!$1:$5000,M3779,FALSE)</f>
        <v>0</v>
      </c>
    </row>
    <row r="3780" spans="1:22" ht="13" x14ac:dyDescent="0.3">
      <c r="A3780" s="46">
        <f>'vHosts (Imported)'!A3780</f>
        <v>0</v>
      </c>
      <c r="B3780" s="51">
        <f t="shared" si="177"/>
        <v>4968</v>
      </c>
      <c r="C3780" s="49">
        <f>HLOOKUP("# Cores",'vHosts (Imported)'!$1:$5000,M3780,FALSE)</f>
        <v>0</v>
      </c>
      <c r="D3780" s="52">
        <f>HLOOKUP("# Memory",'vHosts (Imported)'!$1:$5000,M3780,FALSE)</f>
        <v>0</v>
      </c>
      <c r="M3780" s="45">
        <f t="shared" ref="M3780:M3843" si="179">M3779+1</f>
        <v>3780</v>
      </c>
      <c r="N3780" s="38">
        <f>HLOOKUP("Host",'vInfo (Imported)'!$1:$5000,M3780,FALSE)</f>
        <v>0</v>
      </c>
      <c r="R3780">
        <f>HLOOKUP("CPUs",'vInfo (Imported)'!$1:$5000,M3780,FALSE)</f>
        <v>0</v>
      </c>
      <c r="S3780">
        <f>HLOOKUP("Memory",'vInfo (Imported)'!$1:$5000,M3780,FALSE)</f>
        <v>0</v>
      </c>
      <c r="T3780">
        <f>HLOOKUP("Provisioned MiB",'vInfo (Imported)'!$1:$5000,M3780,FALSE)</f>
        <v>0</v>
      </c>
      <c r="U3780">
        <f t="shared" si="178"/>
        <v>0</v>
      </c>
      <c r="V3780">
        <f>HLOOKUP("In Use MiB",'vInfo (Imported)'!$1:$5000,M3780,FALSE)</f>
        <v>0</v>
      </c>
    </row>
    <row r="3781" spans="1:22" ht="13" x14ac:dyDescent="0.3">
      <c r="A3781" s="46">
        <f>'vHosts (Imported)'!A3781</f>
        <v>0</v>
      </c>
      <c r="B3781" s="51">
        <f t="shared" si="177"/>
        <v>4968</v>
      </c>
      <c r="C3781" s="49">
        <f>HLOOKUP("# Cores",'vHosts (Imported)'!$1:$5000,M3781,FALSE)</f>
        <v>0</v>
      </c>
      <c r="D3781" s="52">
        <f>HLOOKUP("# Memory",'vHosts (Imported)'!$1:$5000,M3781,FALSE)</f>
        <v>0</v>
      </c>
      <c r="M3781" s="45">
        <f t="shared" si="179"/>
        <v>3781</v>
      </c>
      <c r="N3781" s="38">
        <f>HLOOKUP("Host",'vInfo (Imported)'!$1:$5000,M3781,FALSE)</f>
        <v>0</v>
      </c>
      <c r="R3781">
        <f>HLOOKUP("CPUs",'vInfo (Imported)'!$1:$5000,M3781,FALSE)</f>
        <v>0</v>
      </c>
      <c r="S3781">
        <f>HLOOKUP("Memory",'vInfo (Imported)'!$1:$5000,M3781,FALSE)</f>
        <v>0</v>
      </c>
      <c r="T3781">
        <f>HLOOKUP("Provisioned MiB",'vInfo (Imported)'!$1:$5000,M3781,FALSE)</f>
        <v>0</v>
      </c>
      <c r="U3781">
        <f t="shared" si="178"/>
        <v>0</v>
      </c>
      <c r="V3781">
        <f>HLOOKUP("In Use MiB",'vInfo (Imported)'!$1:$5000,M3781,FALSE)</f>
        <v>0</v>
      </c>
    </row>
    <row r="3782" spans="1:22" ht="13" x14ac:dyDescent="0.3">
      <c r="A3782" s="46">
        <f>'vHosts (Imported)'!A3782</f>
        <v>0</v>
      </c>
      <c r="B3782" s="51">
        <f t="shared" si="177"/>
        <v>4968</v>
      </c>
      <c r="C3782" s="49">
        <f>HLOOKUP("# Cores",'vHosts (Imported)'!$1:$5000,M3782,FALSE)</f>
        <v>0</v>
      </c>
      <c r="D3782" s="52">
        <f>HLOOKUP("# Memory",'vHosts (Imported)'!$1:$5000,M3782,FALSE)</f>
        <v>0</v>
      </c>
      <c r="M3782" s="45">
        <f t="shared" si="179"/>
        <v>3782</v>
      </c>
      <c r="N3782" s="38">
        <f>HLOOKUP("Host",'vInfo (Imported)'!$1:$5000,M3782,FALSE)</f>
        <v>0</v>
      </c>
      <c r="R3782">
        <f>HLOOKUP("CPUs",'vInfo (Imported)'!$1:$5000,M3782,FALSE)</f>
        <v>0</v>
      </c>
      <c r="S3782">
        <f>HLOOKUP("Memory",'vInfo (Imported)'!$1:$5000,M3782,FALSE)</f>
        <v>0</v>
      </c>
      <c r="T3782">
        <f>HLOOKUP("Provisioned MiB",'vInfo (Imported)'!$1:$5000,M3782,FALSE)</f>
        <v>0</v>
      </c>
      <c r="U3782">
        <f t="shared" si="178"/>
        <v>0</v>
      </c>
      <c r="V3782">
        <f>HLOOKUP("In Use MiB",'vInfo (Imported)'!$1:$5000,M3782,FALSE)</f>
        <v>0</v>
      </c>
    </row>
    <row r="3783" spans="1:22" ht="13" x14ac:dyDescent="0.3">
      <c r="A3783" s="46">
        <f>'vHosts (Imported)'!A3783</f>
        <v>0</v>
      </c>
      <c r="B3783" s="51">
        <f t="shared" si="177"/>
        <v>4968</v>
      </c>
      <c r="C3783" s="49">
        <f>HLOOKUP("# Cores",'vHosts (Imported)'!$1:$5000,M3783,FALSE)</f>
        <v>0</v>
      </c>
      <c r="D3783" s="52">
        <f>HLOOKUP("# Memory",'vHosts (Imported)'!$1:$5000,M3783,FALSE)</f>
        <v>0</v>
      </c>
      <c r="M3783" s="45">
        <f t="shared" si="179"/>
        <v>3783</v>
      </c>
      <c r="N3783" s="38">
        <f>HLOOKUP("Host",'vInfo (Imported)'!$1:$5000,M3783,FALSE)</f>
        <v>0</v>
      </c>
      <c r="R3783">
        <f>HLOOKUP("CPUs",'vInfo (Imported)'!$1:$5000,M3783,FALSE)</f>
        <v>0</v>
      </c>
      <c r="S3783">
        <f>HLOOKUP("Memory",'vInfo (Imported)'!$1:$5000,M3783,FALSE)</f>
        <v>0</v>
      </c>
      <c r="T3783">
        <f>HLOOKUP("Provisioned MiB",'vInfo (Imported)'!$1:$5000,M3783,FALSE)</f>
        <v>0</v>
      </c>
      <c r="U3783">
        <f t="shared" si="178"/>
        <v>0</v>
      </c>
      <c r="V3783">
        <f>HLOOKUP("In Use MiB",'vInfo (Imported)'!$1:$5000,M3783,FALSE)</f>
        <v>0</v>
      </c>
    </row>
    <row r="3784" spans="1:22" ht="13" x14ac:dyDescent="0.3">
      <c r="A3784" s="46">
        <f>'vHosts (Imported)'!A3784</f>
        <v>0</v>
      </c>
      <c r="B3784" s="51">
        <f t="shared" si="177"/>
        <v>4968</v>
      </c>
      <c r="C3784" s="49">
        <f>HLOOKUP("# Cores",'vHosts (Imported)'!$1:$5000,M3784,FALSE)</f>
        <v>0</v>
      </c>
      <c r="D3784" s="52">
        <f>HLOOKUP("# Memory",'vHosts (Imported)'!$1:$5000,M3784,FALSE)</f>
        <v>0</v>
      </c>
      <c r="M3784" s="45">
        <f t="shared" si="179"/>
        <v>3784</v>
      </c>
      <c r="N3784" s="38">
        <f>HLOOKUP("Host",'vInfo (Imported)'!$1:$5000,M3784,FALSE)</f>
        <v>0</v>
      </c>
      <c r="R3784">
        <f>HLOOKUP("CPUs",'vInfo (Imported)'!$1:$5000,M3784,FALSE)</f>
        <v>0</v>
      </c>
      <c r="S3784">
        <f>HLOOKUP("Memory",'vInfo (Imported)'!$1:$5000,M3784,FALSE)</f>
        <v>0</v>
      </c>
      <c r="T3784">
        <f>HLOOKUP("Provisioned MiB",'vInfo (Imported)'!$1:$5000,M3784,FALSE)</f>
        <v>0</v>
      </c>
      <c r="U3784">
        <f t="shared" si="178"/>
        <v>0</v>
      </c>
      <c r="V3784">
        <f>HLOOKUP("In Use MiB",'vInfo (Imported)'!$1:$5000,M3784,FALSE)</f>
        <v>0</v>
      </c>
    </row>
    <row r="3785" spans="1:22" ht="13" x14ac:dyDescent="0.3">
      <c r="A3785" s="46">
        <f>'vHosts (Imported)'!A3785</f>
        <v>0</v>
      </c>
      <c r="B3785" s="51">
        <f t="shared" si="177"/>
        <v>4968</v>
      </c>
      <c r="C3785" s="49">
        <f>HLOOKUP("# Cores",'vHosts (Imported)'!$1:$5000,M3785,FALSE)</f>
        <v>0</v>
      </c>
      <c r="D3785" s="52">
        <f>HLOOKUP("# Memory",'vHosts (Imported)'!$1:$5000,M3785,FALSE)</f>
        <v>0</v>
      </c>
      <c r="M3785" s="45">
        <f t="shared" si="179"/>
        <v>3785</v>
      </c>
      <c r="N3785" s="38">
        <f>HLOOKUP("Host",'vInfo (Imported)'!$1:$5000,M3785,FALSE)</f>
        <v>0</v>
      </c>
      <c r="R3785">
        <f>HLOOKUP("CPUs",'vInfo (Imported)'!$1:$5000,M3785,FALSE)</f>
        <v>0</v>
      </c>
      <c r="S3785">
        <f>HLOOKUP("Memory",'vInfo (Imported)'!$1:$5000,M3785,FALSE)</f>
        <v>0</v>
      </c>
      <c r="T3785">
        <f>HLOOKUP("Provisioned MiB",'vInfo (Imported)'!$1:$5000,M3785,FALSE)</f>
        <v>0</v>
      </c>
      <c r="U3785">
        <f t="shared" si="178"/>
        <v>0</v>
      </c>
      <c r="V3785">
        <f>HLOOKUP("In Use MiB",'vInfo (Imported)'!$1:$5000,M3785,FALSE)</f>
        <v>0</v>
      </c>
    </row>
    <row r="3786" spans="1:22" ht="13" x14ac:dyDescent="0.3">
      <c r="A3786" s="46">
        <f>'vHosts (Imported)'!A3786</f>
        <v>0</v>
      </c>
      <c r="B3786" s="51">
        <f t="shared" si="177"/>
        <v>4968</v>
      </c>
      <c r="C3786" s="49">
        <f>HLOOKUP("# Cores",'vHosts (Imported)'!$1:$5000,M3786,FALSE)</f>
        <v>0</v>
      </c>
      <c r="D3786" s="52">
        <f>HLOOKUP("# Memory",'vHosts (Imported)'!$1:$5000,M3786,FALSE)</f>
        <v>0</v>
      </c>
      <c r="M3786" s="45">
        <f t="shared" si="179"/>
        <v>3786</v>
      </c>
      <c r="N3786" s="38">
        <f>HLOOKUP("Host",'vInfo (Imported)'!$1:$5000,M3786,FALSE)</f>
        <v>0</v>
      </c>
      <c r="R3786">
        <f>HLOOKUP("CPUs",'vInfo (Imported)'!$1:$5000,M3786,FALSE)</f>
        <v>0</v>
      </c>
      <c r="S3786">
        <f>HLOOKUP("Memory",'vInfo (Imported)'!$1:$5000,M3786,FALSE)</f>
        <v>0</v>
      </c>
      <c r="T3786">
        <f>HLOOKUP("Provisioned MiB",'vInfo (Imported)'!$1:$5000,M3786,FALSE)</f>
        <v>0</v>
      </c>
      <c r="U3786">
        <f t="shared" si="178"/>
        <v>0</v>
      </c>
      <c r="V3786">
        <f>HLOOKUP("In Use MiB",'vInfo (Imported)'!$1:$5000,M3786,FALSE)</f>
        <v>0</v>
      </c>
    </row>
    <row r="3787" spans="1:22" ht="13" x14ac:dyDescent="0.3">
      <c r="A3787" s="46">
        <f>'vHosts (Imported)'!A3787</f>
        <v>0</v>
      </c>
      <c r="B3787" s="51">
        <f t="shared" si="177"/>
        <v>4968</v>
      </c>
      <c r="C3787" s="49">
        <f>HLOOKUP("# Cores",'vHosts (Imported)'!$1:$5000,M3787,FALSE)</f>
        <v>0</v>
      </c>
      <c r="D3787" s="52">
        <f>HLOOKUP("# Memory",'vHosts (Imported)'!$1:$5000,M3787,FALSE)</f>
        <v>0</v>
      </c>
      <c r="M3787" s="45">
        <f t="shared" si="179"/>
        <v>3787</v>
      </c>
      <c r="N3787" s="38">
        <f>HLOOKUP("Host",'vInfo (Imported)'!$1:$5000,M3787,FALSE)</f>
        <v>0</v>
      </c>
      <c r="R3787">
        <f>HLOOKUP("CPUs",'vInfo (Imported)'!$1:$5000,M3787,FALSE)</f>
        <v>0</v>
      </c>
      <c r="S3787">
        <f>HLOOKUP("Memory",'vInfo (Imported)'!$1:$5000,M3787,FALSE)</f>
        <v>0</v>
      </c>
      <c r="T3787">
        <f>HLOOKUP("Provisioned MiB",'vInfo (Imported)'!$1:$5000,M3787,FALSE)</f>
        <v>0</v>
      </c>
      <c r="U3787">
        <f t="shared" si="178"/>
        <v>0</v>
      </c>
      <c r="V3787">
        <f>HLOOKUP("In Use MiB",'vInfo (Imported)'!$1:$5000,M3787,FALSE)</f>
        <v>0</v>
      </c>
    </row>
    <row r="3788" spans="1:22" ht="13" x14ac:dyDescent="0.3">
      <c r="A3788" s="46">
        <f>'vHosts (Imported)'!A3788</f>
        <v>0</v>
      </c>
      <c r="B3788" s="51">
        <f t="shared" si="177"/>
        <v>4968</v>
      </c>
      <c r="C3788" s="49">
        <f>HLOOKUP("# Cores",'vHosts (Imported)'!$1:$5000,M3788,FALSE)</f>
        <v>0</v>
      </c>
      <c r="D3788" s="52">
        <f>HLOOKUP("# Memory",'vHosts (Imported)'!$1:$5000,M3788,FALSE)</f>
        <v>0</v>
      </c>
      <c r="M3788" s="45">
        <f t="shared" si="179"/>
        <v>3788</v>
      </c>
      <c r="N3788" s="38">
        <f>HLOOKUP("Host",'vInfo (Imported)'!$1:$5000,M3788,FALSE)</f>
        <v>0</v>
      </c>
      <c r="R3788">
        <f>HLOOKUP("CPUs",'vInfo (Imported)'!$1:$5000,M3788,FALSE)</f>
        <v>0</v>
      </c>
      <c r="S3788">
        <f>HLOOKUP("Memory",'vInfo (Imported)'!$1:$5000,M3788,FALSE)</f>
        <v>0</v>
      </c>
      <c r="T3788">
        <f>HLOOKUP("Provisioned MiB",'vInfo (Imported)'!$1:$5000,M3788,FALSE)</f>
        <v>0</v>
      </c>
      <c r="U3788">
        <f t="shared" si="178"/>
        <v>0</v>
      </c>
      <c r="V3788">
        <f>HLOOKUP("In Use MiB",'vInfo (Imported)'!$1:$5000,M3788,FALSE)</f>
        <v>0</v>
      </c>
    </row>
    <row r="3789" spans="1:22" ht="13" x14ac:dyDescent="0.3">
      <c r="A3789" s="46">
        <f>'vHosts (Imported)'!A3789</f>
        <v>0</v>
      </c>
      <c r="B3789" s="51">
        <f t="shared" si="177"/>
        <v>4968</v>
      </c>
      <c r="C3789" s="49">
        <f>HLOOKUP("# Cores",'vHosts (Imported)'!$1:$5000,M3789,FALSE)</f>
        <v>0</v>
      </c>
      <c r="D3789" s="52">
        <f>HLOOKUP("# Memory",'vHosts (Imported)'!$1:$5000,M3789,FALSE)</f>
        <v>0</v>
      </c>
      <c r="M3789" s="45">
        <f t="shared" si="179"/>
        <v>3789</v>
      </c>
      <c r="N3789" s="38">
        <f>HLOOKUP("Host",'vInfo (Imported)'!$1:$5000,M3789,FALSE)</f>
        <v>0</v>
      </c>
      <c r="R3789">
        <f>HLOOKUP("CPUs",'vInfo (Imported)'!$1:$5000,M3789,FALSE)</f>
        <v>0</v>
      </c>
      <c r="S3789">
        <f>HLOOKUP("Memory",'vInfo (Imported)'!$1:$5000,M3789,FALSE)</f>
        <v>0</v>
      </c>
      <c r="T3789">
        <f>HLOOKUP("Provisioned MiB",'vInfo (Imported)'!$1:$5000,M3789,FALSE)</f>
        <v>0</v>
      </c>
      <c r="U3789">
        <f t="shared" si="178"/>
        <v>0</v>
      </c>
      <c r="V3789">
        <f>HLOOKUP("In Use MiB",'vInfo (Imported)'!$1:$5000,M3789,FALSE)</f>
        <v>0</v>
      </c>
    </row>
    <row r="3790" spans="1:22" ht="13" x14ac:dyDescent="0.3">
      <c r="A3790" s="46">
        <f>'vHosts (Imported)'!A3790</f>
        <v>0</v>
      </c>
      <c r="B3790" s="51">
        <f t="shared" si="177"/>
        <v>4968</v>
      </c>
      <c r="C3790" s="49">
        <f>HLOOKUP("# Cores",'vHosts (Imported)'!$1:$5000,M3790,FALSE)</f>
        <v>0</v>
      </c>
      <c r="D3790" s="52">
        <f>HLOOKUP("# Memory",'vHosts (Imported)'!$1:$5000,M3790,FALSE)</f>
        <v>0</v>
      </c>
      <c r="M3790" s="45">
        <f t="shared" si="179"/>
        <v>3790</v>
      </c>
      <c r="N3790" s="38">
        <f>HLOOKUP("Host",'vInfo (Imported)'!$1:$5000,M3790,FALSE)</f>
        <v>0</v>
      </c>
      <c r="R3790">
        <f>HLOOKUP("CPUs",'vInfo (Imported)'!$1:$5000,M3790,FALSE)</f>
        <v>0</v>
      </c>
      <c r="S3790">
        <f>HLOOKUP("Memory",'vInfo (Imported)'!$1:$5000,M3790,FALSE)</f>
        <v>0</v>
      </c>
      <c r="T3790">
        <f>HLOOKUP("Provisioned MiB",'vInfo (Imported)'!$1:$5000,M3790,FALSE)</f>
        <v>0</v>
      </c>
      <c r="U3790">
        <f t="shared" si="178"/>
        <v>0</v>
      </c>
      <c r="V3790">
        <f>HLOOKUP("In Use MiB",'vInfo (Imported)'!$1:$5000,M3790,FALSE)</f>
        <v>0</v>
      </c>
    </row>
    <row r="3791" spans="1:22" ht="13" x14ac:dyDescent="0.3">
      <c r="A3791" s="46">
        <f>'vHosts (Imported)'!A3791</f>
        <v>0</v>
      </c>
      <c r="B3791" s="51">
        <f t="shared" si="177"/>
        <v>4968</v>
      </c>
      <c r="C3791" s="49">
        <f>HLOOKUP("# Cores",'vHosts (Imported)'!$1:$5000,M3791,FALSE)</f>
        <v>0</v>
      </c>
      <c r="D3791" s="52">
        <f>HLOOKUP("# Memory",'vHosts (Imported)'!$1:$5000,M3791,FALSE)</f>
        <v>0</v>
      </c>
      <c r="M3791" s="45">
        <f t="shared" si="179"/>
        <v>3791</v>
      </c>
      <c r="N3791" s="38">
        <f>HLOOKUP("Host",'vInfo (Imported)'!$1:$5000,M3791,FALSE)</f>
        <v>0</v>
      </c>
      <c r="R3791">
        <f>HLOOKUP("CPUs",'vInfo (Imported)'!$1:$5000,M3791,FALSE)</f>
        <v>0</v>
      </c>
      <c r="S3791">
        <f>HLOOKUP("Memory",'vInfo (Imported)'!$1:$5000,M3791,FALSE)</f>
        <v>0</v>
      </c>
      <c r="T3791">
        <f>HLOOKUP("Provisioned MiB",'vInfo (Imported)'!$1:$5000,M3791,FALSE)</f>
        <v>0</v>
      </c>
      <c r="U3791">
        <f t="shared" si="178"/>
        <v>0</v>
      </c>
      <c r="V3791">
        <f>HLOOKUP("In Use MiB",'vInfo (Imported)'!$1:$5000,M3791,FALSE)</f>
        <v>0</v>
      </c>
    </row>
    <row r="3792" spans="1:22" ht="13" x14ac:dyDescent="0.3">
      <c r="A3792" s="46">
        <f>'vHosts (Imported)'!A3792</f>
        <v>0</v>
      </c>
      <c r="B3792" s="51">
        <f t="shared" si="177"/>
        <v>4968</v>
      </c>
      <c r="C3792" s="49">
        <f>HLOOKUP("# Cores",'vHosts (Imported)'!$1:$5000,M3792,FALSE)</f>
        <v>0</v>
      </c>
      <c r="D3792" s="52">
        <f>HLOOKUP("# Memory",'vHosts (Imported)'!$1:$5000,M3792,FALSE)</f>
        <v>0</v>
      </c>
      <c r="M3792" s="45">
        <f t="shared" si="179"/>
        <v>3792</v>
      </c>
      <c r="N3792" s="38">
        <f>HLOOKUP("Host",'vInfo (Imported)'!$1:$5000,M3792,FALSE)</f>
        <v>0</v>
      </c>
      <c r="R3792">
        <f>HLOOKUP("CPUs",'vInfo (Imported)'!$1:$5000,M3792,FALSE)</f>
        <v>0</v>
      </c>
      <c r="S3792">
        <f>HLOOKUP("Memory",'vInfo (Imported)'!$1:$5000,M3792,FALSE)</f>
        <v>0</v>
      </c>
      <c r="T3792">
        <f>HLOOKUP("Provisioned MiB",'vInfo (Imported)'!$1:$5000,M3792,FALSE)</f>
        <v>0</v>
      </c>
      <c r="U3792">
        <f t="shared" si="178"/>
        <v>0</v>
      </c>
      <c r="V3792">
        <f>HLOOKUP("In Use MiB",'vInfo (Imported)'!$1:$5000,M3792,FALSE)</f>
        <v>0</v>
      </c>
    </row>
    <row r="3793" spans="1:22" ht="13" x14ac:dyDescent="0.3">
      <c r="A3793" s="46">
        <f>'vHosts (Imported)'!A3793</f>
        <v>0</v>
      </c>
      <c r="B3793" s="51">
        <f t="shared" si="177"/>
        <v>4968</v>
      </c>
      <c r="C3793" s="49">
        <f>HLOOKUP("# Cores",'vHosts (Imported)'!$1:$5000,M3793,FALSE)</f>
        <v>0</v>
      </c>
      <c r="D3793" s="52">
        <f>HLOOKUP("# Memory",'vHosts (Imported)'!$1:$5000,M3793,FALSE)</f>
        <v>0</v>
      </c>
      <c r="M3793" s="45">
        <f t="shared" si="179"/>
        <v>3793</v>
      </c>
      <c r="N3793" s="38">
        <f>HLOOKUP("Host",'vInfo (Imported)'!$1:$5000,M3793,FALSE)</f>
        <v>0</v>
      </c>
      <c r="R3793">
        <f>HLOOKUP("CPUs",'vInfo (Imported)'!$1:$5000,M3793,FALSE)</f>
        <v>0</v>
      </c>
      <c r="S3793">
        <f>HLOOKUP("Memory",'vInfo (Imported)'!$1:$5000,M3793,FALSE)</f>
        <v>0</v>
      </c>
      <c r="T3793">
        <f>HLOOKUP("Provisioned MiB",'vInfo (Imported)'!$1:$5000,M3793,FALSE)</f>
        <v>0</v>
      </c>
      <c r="U3793">
        <f t="shared" si="178"/>
        <v>0</v>
      </c>
      <c r="V3793">
        <f>HLOOKUP("In Use MiB",'vInfo (Imported)'!$1:$5000,M3793,FALSE)</f>
        <v>0</v>
      </c>
    </row>
    <row r="3794" spans="1:22" ht="13" x14ac:dyDescent="0.3">
      <c r="A3794" s="46">
        <f>'vHosts (Imported)'!A3794</f>
        <v>0</v>
      </c>
      <c r="B3794" s="51">
        <f t="shared" si="177"/>
        <v>4968</v>
      </c>
      <c r="C3794" s="49">
        <f>HLOOKUP("# Cores",'vHosts (Imported)'!$1:$5000,M3794,FALSE)</f>
        <v>0</v>
      </c>
      <c r="D3794" s="52">
        <f>HLOOKUP("# Memory",'vHosts (Imported)'!$1:$5000,M3794,FALSE)</f>
        <v>0</v>
      </c>
      <c r="M3794" s="45">
        <f t="shared" si="179"/>
        <v>3794</v>
      </c>
      <c r="N3794" s="38">
        <f>HLOOKUP("Host",'vInfo (Imported)'!$1:$5000,M3794,FALSE)</f>
        <v>0</v>
      </c>
      <c r="R3794">
        <f>HLOOKUP("CPUs",'vInfo (Imported)'!$1:$5000,M3794,FALSE)</f>
        <v>0</v>
      </c>
      <c r="S3794">
        <f>HLOOKUP("Memory",'vInfo (Imported)'!$1:$5000,M3794,FALSE)</f>
        <v>0</v>
      </c>
      <c r="T3794">
        <f>HLOOKUP("Provisioned MiB",'vInfo (Imported)'!$1:$5000,M3794,FALSE)</f>
        <v>0</v>
      </c>
      <c r="U3794">
        <f t="shared" si="178"/>
        <v>0</v>
      </c>
      <c r="V3794">
        <f>HLOOKUP("In Use MiB",'vInfo (Imported)'!$1:$5000,M3794,FALSE)</f>
        <v>0</v>
      </c>
    </row>
    <row r="3795" spans="1:22" ht="13" x14ac:dyDescent="0.3">
      <c r="A3795" s="46">
        <f>'vHosts (Imported)'!A3795</f>
        <v>0</v>
      </c>
      <c r="B3795" s="51">
        <f t="shared" si="177"/>
        <v>4968</v>
      </c>
      <c r="C3795" s="49">
        <f>HLOOKUP("# Cores",'vHosts (Imported)'!$1:$5000,M3795,FALSE)</f>
        <v>0</v>
      </c>
      <c r="D3795" s="52">
        <f>HLOOKUP("# Memory",'vHosts (Imported)'!$1:$5000,M3795,FALSE)</f>
        <v>0</v>
      </c>
      <c r="M3795" s="45">
        <f t="shared" si="179"/>
        <v>3795</v>
      </c>
      <c r="N3795" s="38">
        <f>HLOOKUP("Host",'vInfo (Imported)'!$1:$5000,M3795,FALSE)</f>
        <v>0</v>
      </c>
      <c r="R3795">
        <f>HLOOKUP("CPUs",'vInfo (Imported)'!$1:$5000,M3795,FALSE)</f>
        <v>0</v>
      </c>
      <c r="S3795">
        <f>HLOOKUP("Memory",'vInfo (Imported)'!$1:$5000,M3795,FALSE)</f>
        <v>0</v>
      </c>
      <c r="T3795">
        <f>HLOOKUP("Provisioned MiB",'vInfo (Imported)'!$1:$5000,M3795,FALSE)</f>
        <v>0</v>
      </c>
      <c r="U3795">
        <f t="shared" si="178"/>
        <v>0</v>
      </c>
      <c r="V3795">
        <f>HLOOKUP("In Use MiB",'vInfo (Imported)'!$1:$5000,M3795,FALSE)</f>
        <v>0</v>
      </c>
    </row>
    <row r="3796" spans="1:22" ht="13" x14ac:dyDescent="0.3">
      <c r="A3796" s="46">
        <f>'vHosts (Imported)'!A3796</f>
        <v>0</v>
      </c>
      <c r="B3796" s="51">
        <f t="shared" si="177"/>
        <v>4968</v>
      </c>
      <c r="C3796" s="49">
        <f>HLOOKUP("# Cores",'vHosts (Imported)'!$1:$5000,M3796,FALSE)</f>
        <v>0</v>
      </c>
      <c r="D3796" s="52">
        <f>HLOOKUP("# Memory",'vHosts (Imported)'!$1:$5000,M3796,FALSE)</f>
        <v>0</v>
      </c>
      <c r="M3796" s="45">
        <f t="shared" si="179"/>
        <v>3796</v>
      </c>
      <c r="N3796" s="38">
        <f>HLOOKUP("Host",'vInfo (Imported)'!$1:$5000,M3796,FALSE)</f>
        <v>0</v>
      </c>
      <c r="R3796">
        <f>HLOOKUP("CPUs",'vInfo (Imported)'!$1:$5000,M3796,FALSE)</f>
        <v>0</v>
      </c>
      <c r="S3796">
        <f>HLOOKUP("Memory",'vInfo (Imported)'!$1:$5000,M3796,FALSE)</f>
        <v>0</v>
      </c>
      <c r="T3796">
        <f>HLOOKUP("Provisioned MiB",'vInfo (Imported)'!$1:$5000,M3796,FALSE)</f>
        <v>0</v>
      </c>
      <c r="U3796">
        <f t="shared" si="178"/>
        <v>0</v>
      </c>
      <c r="V3796">
        <f>HLOOKUP("In Use MiB",'vInfo (Imported)'!$1:$5000,M3796,FALSE)</f>
        <v>0</v>
      </c>
    </row>
    <row r="3797" spans="1:22" ht="13" x14ac:dyDescent="0.3">
      <c r="A3797" s="46">
        <f>'vHosts (Imported)'!A3797</f>
        <v>0</v>
      </c>
      <c r="B3797" s="51">
        <f t="shared" si="177"/>
        <v>4968</v>
      </c>
      <c r="C3797" s="49">
        <f>HLOOKUP("# Cores",'vHosts (Imported)'!$1:$5000,M3797,FALSE)</f>
        <v>0</v>
      </c>
      <c r="D3797" s="52">
        <f>HLOOKUP("# Memory",'vHosts (Imported)'!$1:$5000,M3797,FALSE)</f>
        <v>0</v>
      </c>
      <c r="M3797" s="45">
        <f t="shared" si="179"/>
        <v>3797</v>
      </c>
      <c r="N3797" s="38">
        <f>HLOOKUP("Host",'vInfo (Imported)'!$1:$5000,M3797,FALSE)</f>
        <v>0</v>
      </c>
      <c r="R3797">
        <f>HLOOKUP("CPUs",'vInfo (Imported)'!$1:$5000,M3797,FALSE)</f>
        <v>0</v>
      </c>
      <c r="S3797">
        <f>HLOOKUP("Memory",'vInfo (Imported)'!$1:$5000,M3797,FALSE)</f>
        <v>0</v>
      </c>
      <c r="T3797">
        <f>HLOOKUP("Provisioned MiB",'vInfo (Imported)'!$1:$5000,M3797,FALSE)</f>
        <v>0</v>
      </c>
      <c r="U3797">
        <f t="shared" si="178"/>
        <v>0</v>
      </c>
      <c r="V3797">
        <f>HLOOKUP("In Use MiB",'vInfo (Imported)'!$1:$5000,M3797,FALSE)</f>
        <v>0</v>
      </c>
    </row>
    <row r="3798" spans="1:22" ht="13" x14ac:dyDescent="0.3">
      <c r="A3798" s="46">
        <f>'vHosts (Imported)'!A3798</f>
        <v>0</v>
      </c>
      <c r="B3798" s="51">
        <f t="shared" si="177"/>
        <v>4968</v>
      </c>
      <c r="C3798" s="49">
        <f>HLOOKUP("# Cores",'vHosts (Imported)'!$1:$5000,M3798,FALSE)</f>
        <v>0</v>
      </c>
      <c r="D3798" s="52">
        <f>HLOOKUP("# Memory",'vHosts (Imported)'!$1:$5000,M3798,FALSE)</f>
        <v>0</v>
      </c>
      <c r="M3798" s="45">
        <f t="shared" si="179"/>
        <v>3798</v>
      </c>
      <c r="N3798" s="38">
        <f>HLOOKUP("Host",'vInfo (Imported)'!$1:$5000,M3798,FALSE)</f>
        <v>0</v>
      </c>
      <c r="R3798">
        <f>HLOOKUP("CPUs",'vInfo (Imported)'!$1:$5000,M3798,FALSE)</f>
        <v>0</v>
      </c>
      <c r="S3798">
        <f>HLOOKUP("Memory",'vInfo (Imported)'!$1:$5000,M3798,FALSE)</f>
        <v>0</v>
      </c>
      <c r="T3798">
        <f>HLOOKUP("Provisioned MiB",'vInfo (Imported)'!$1:$5000,M3798,FALSE)</f>
        <v>0</v>
      </c>
      <c r="U3798">
        <f t="shared" si="178"/>
        <v>0</v>
      </c>
      <c r="V3798">
        <f>HLOOKUP("In Use MiB",'vInfo (Imported)'!$1:$5000,M3798,FALSE)</f>
        <v>0</v>
      </c>
    </row>
    <row r="3799" spans="1:22" ht="13" x14ac:dyDescent="0.3">
      <c r="A3799" s="46">
        <f>'vHosts (Imported)'!A3799</f>
        <v>0</v>
      </c>
      <c r="B3799" s="51">
        <f t="shared" si="177"/>
        <v>4968</v>
      </c>
      <c r="C3799" s="49">
        <f>HLOOKUP("# Cores",'vHosts (Imported)'!$1:$5000,M3799,FALSE)</f>
        <v>0</v>
      </c>
      <c r="D3799" s="52">
        <f>HLOOKUP("# Memory",'vHosts (Imported)'!$1:$5000,M3799,FALSE)</f>
        <v>0</v>
      </c>
      <c r="M3799" s="45">
        <f t="shared" si="179"/>
        <v>3799</v>
      </c>
      <c r="N3799" s="38">
        <f>HLOOKUP("Host",'vInfo (Imported)'!$1:$5000,M3799,FALSE)</f>
        <v>0</v>
      </c>
      <c r="R3799">
        <f>HLOOKUP("CPUs",'vInfo (Imported)'!$1:$5000,M3799,FALSE)</f>
        <v>0</v>
      </c>
      <c r="S3799">
        <f>HLOOKUP("Memory",'vInfo (Imported)'!$1:$5000,M3799,FALSE)</f>
        <v>0</v>
      </c>
      <c r="T3799">
        <f>HLOOKUP("Provisioned MiB",'vInfo (Imported)'!$1:$5000,M3799,FALSE)</f>
        <v>0</v>
      </c>
      <c r="U3799">
        <f t="shared" si="178"/>
        <v>0</v>
      </c>
      <c r="V3799">
        <f>HLOOKUP("In Use MiB",'vInfo (Imported)'!$1:$5000,M3799,FALSE)</f>
        <v>0</v>
      </c>
    </row>
    <row r="3800" spans="1:22" ht="13" x14ac:dyDescent="0.3">
      <c r="A3800" s="46">
        <f>'vHosts (Imported)'!A3800</f>
        <v>0</v>
      </c>
      <c r="B3800" s="51">
        <f t="shared" si="177"/>
        <v>4968</v>
      </c>
      <c r="C3800" s="49">
        <f>HLOOKUP("# Cores",'vHosts (Imported)'!$1:$5000,M3800,FALSE)</f>
        <v>0</v>
      </c>
      <c r="D3800" s="52">
        <f>HLOOKUP("# Memory",'vHosts (Imported)'!$1:$5000,M3800,FALSE)</f>
        <v>0</v>
      </c>
      <c r="M3800" s="45">
        <f t="shared" si="179"/>
        <v>3800</v>
      </c>
      <c r="N3800" s="38">
        <f>HLOOKUP("Host",'vInfo (Imported)'!$1:$5000,M3800,FALSE)</f>
        <v>0</v>
      </c>
      <c r="R3800">
        <f>HLOOKUP("CPUs",'vInfo (Imported)'!$1:$5000,M3800,FALSE)</f>
        <v>0</v>
      </c>
      <c r="S3800">
        <f>HLOOKUP("Memory",'vInfo (Imported)'!$1:$5000,M3800,FALSE)</f>
        <v>0</v>
      </c>
      <c r="T3800">
        <f>HLOOKUP("Provisioned MiB",'vInfo (Imported)'!$1:$5000,M3800,FALSE)</f>
        <v>0</v>
      </c>
      <c r="U3800">
        <f t="shared" si="178"/>
        <v>0</v>
      </c>
      <c r="V3800">
        <f>HLOOKUP("In Use MiB",'vInfo (Imported)'!$1:$5000,M3800,FALSE)</f>
        <v>0</v>
      </c>
    </row>
    <row r="3801" spans="1:22" ht="13" x14ac:dyDescent="0.3">
      <c r="A3801" s="46">
        <f>'vHosts (Imported)'!A3801</f>
        <v>0</v>
      </c>
      <c r="B3801" s="51">
        <f t="shared" si="177"/>
        <v>4968</v>
      </c>
      <c r="C3801" s="49">
        <f>HLOOKUP("# Cores",'vHosts (Imported)'!$1:$5000,M3801,FALSE)</f>
        <v>0</v>
      </c>
      <c r="D3801" s="52">
        <f>HLOOKUP("# Memory",'vHosts (Imported)'!$1:$5000,M3801,FALSE)</f>
        <v>0</v>
      </c>
      <c r="M3801" s="45">
        <f t="shared" si="179"/>
        <v>3801</v>
      </c>
      <c r="N3801" s="38">
        <f>HLOOKUP("Host",'vInfo (Imported)'!$1:$5000,M3801,FALSE)</f>
        <v>0</v>
      </c>
      <c r="R3801">
        <f>HLOOKUP("CPUs",'vInfo (Imported)'!$1:$5000,M3801,FALSE)</f>
        <v>0</v>
      </c>
      <c r="S3801">
        <f>HLOOKUP("Memory",'vInfo (Imported)'!$1:$5000,M3801,FALSE)</f>
        <v>0</v>
      </c>
      <c r="T3801">
        <f>HLOOKUP("Provisioned MiB",'vInfo (Imported)'!$1:$5000,M3801,FALSE)</f>
        <v>0</v>
      </c>
      <c r="U3801">
        <f t="shared" si="178"/>
        <v>0</v>
      </c>
      <c r="V3801">
        <f>HLOOKUP("In Use MiB",'vInfo (Imported)'!$1:$5000,M3801,FALSE)</f>
        <v>0</v>
      </c>
    </row>
    <row r="3802" spans="1:22" ht="13" x14ac:dyDescent="0.3">
      <c r="A3802" s="46">
        <f>'vHosts (Imported)'!A3802</f>
        <v>0</v>
      </c>
      <c r="B3802" s="51">
        <f t="shared" si="177"/>
        <v>4968</v>
      </c>
      <c r="C3802" s="49">
        <f>HLOOKUP("# Cores",'vHosts (Imported)'!$1:$5000,M3802,FALSE)</f>
        <v>0</v>
      </c>
      <c r="D3802" s="52">
        <f>HLOOKUP("# Memory",'vHosts (Imported)'!$1:$5000,M3802,FALSE)</f>
        <v>0</v>
      </c>
      <c r="M3802" s="45">
        <f t="shared" si="179"/>
        <v>3802</v>
      </c>
      <c r="N3802" s="38">
        <f>HLOOKUP("Host",'vInfo (Imported)'!$1:$5000,M3802,FALSE)</f>
        <v>0</v>
      </c>
      <c r="R3802">
        <f>HLOOKUP("CPUs",'vInfo (Imported)'!$1:$5000,M3802,FALSE)</f>
        <v>0</v>
      </c>
      <c r="S3802">
        <f>HLOOKUP("Memory",'vInfo (Imported)'!$1:$5000,M3802,FALSE)</f>
        <v>0</v>
      </c>
      <c r="T3802">
        <f>HLOOKUP("Provisioned MiB",'vInfo (Imported)'!$1:$5000,M3802,FALSE)</f>
        <v>0</v>
      </c>
      <c r="U3802">
        <f t="shared" si="178"/>
        <v>0</v>
      </c>
      <c r="V3802">
        <f>HLOOKUP("In Use MiB",'vInfo (Imported)'!$1:$5000,M3802,FALSE)</f>
        <v>0</v>
      </c>
    </row>
    <row r="3803" spans="1:22" ht="13" x14ac:dyDescent="0.3">
      <c r="A3803" s="46">
        <f>'vHosts (Imported)'!A3803</f>
        <v>0</v>
      </c>
      <c r="B3803" s="51">
        <f t="shared" si="177"/>
        <v>4968</v>
      </c>
      <c r="C3803" s="49">
        <f>HLOOKUP("# Cores",'vHosts (Imported)'!$1:$5000,M3803,FALSE)</f>
        <v>0</v>
      </c>
      <c r="D3803" s="52">
        <f>HLOOKUP("# Memory",'vHosts (Imported)'!$1:$5000,M3803,FALSE)</f>
        <v>0</v>
      </c>
      <c r="M3803" s="45">
        <f t="shared" si="179"/>
        <v>3803</v>
      </c>
      <c r="N3803" s="38">
        <f>HLOOKUP("Host",'vInfo (Imported)'!$1:$5000,M3803,FALSE)</f>
        <v>0</v>
      </c>
      <c r="R3803">
        <f>HLOOKUP("CPUs",'vInfo (Imported)'!$1:$5000,M3803,FALSE)</f>
        <v>0</v>
      </c>
      <c r="S3803">
        <f>HLOOKUP("Memory",'vInfo (Imported)'!$1:$5000,M3803,FALSE)</f>
        <v>0</v>
      </c>
      <c r="T3803">
        <f>HLOOKUP("Provisioned MiB",'vInfo (Imported)'!$1:$5000,M3803,FALSE)</f>
        <v>0</v>
      </c>
      <c r="U3803">
        <f t="shared" si="178"/>
        <v>0</v>
      </c>
      <c r="V3803">
        <f>HLOOKUP("In Use MiB",'vInfo (Imported)'!$1:$5000,M3803,FALSE)</f>
        <v>0</v>
      </c>
    </row>
    <row r="3804" spans="1:22" ht="13" x14ac:dyDescent="0.3">
      <c r="A3804" s="46">
        <f>'vHosts (Imported)'!A3804</f>
        <v>0</v>
      </c>
      <c r="B3804" s="51">
        <f t="shared" si="177"/>
        <v>4968</v>
      </c>
      <c r="C3804" s="49">
        <f>HLOOKUP("# Cores",'vHosts (Imported)'!$1:$5000,M3804,FALSE)</f>
        <v>0</v>
      </c>
      <c r="D3804" s="52">
        <f>HLOOKUP("# Memory",'vHosts (Imported)'!$1:$5000,M3804,FALSE)</f>
        <v>0</v>
      </c>
      <c r="M3804" s="45">
        <f t="shared" si="179"/>
        <v>3804</v>
      </c>
      <c r="N3804" s="38">
        <f>HLOOKUP("Host",'vInfo (Imported)'!$1:$5000,M3804,FALSE)</f>
        <v>0</v>
      </c>
      <c r="R3804">
        <f>HLOOKUP("CPUs",'vInfo (Imported)'!$1:$5000,M3804,FALSE)</f>
        <v>0</v>
      </c>
      <c r="S3804">
        <f>HLOOKUP("Memory",'vInfo (Imported)'!$1:$5000,M3804,FALSE)</f>
        <v>0</v>
      </c>
      <c r="T3804">
        <f>HLOOKUP("Provisioned MiB",'vInfo (Imported)'!$1:$5000,M3804,FALSE)</f>
        <v>0</v>
      </c>
      <c r="U3804">
        <f t="shared" si="178"/>
        <v>0</v>
      </c>
      <c r="V3804">
        <f>HLOOKUP("In Use MiB",'vInfo (Imported)'!$1:$5000,M3804,FALSE)</f>
        <v>0</v>
      </c>
    </row>
    <row r="3805" spans="1:22" ht="13" x14ac:dyDescent="0.3">
      <c r="A3805" s="46">
        <f>'vHosts (Imported)'!A3805</f>
        <v>0</v>
      </c>
      <c r="B3805" s="51">
        <f t="shared" si="177"/>
        <v>4968</v>
      </c>
      <c r="C3805" s="49">
        <f>HLOOKUP("# Cores",'vHosts (Imported)'!$1:$5000,M3805,FALSE)</f>
        <v>0</v>
      </c>
      <c r="D3805" s="52">
        <f>HLOOKUP("# Memory",'vHosts (Imported)'!$1:$5000,M3805,FALSE)</f>
        <v>0</v>
      </c>
      <c r="M3805" s="45">
        <f t="shared" si="179"/>
        <v>3805</v>
      </c>
      <c r="N3805" s="38">
        <f>HLOOKUP("Host",'vInfo (Imported)'!$1:$5000,M3805,FALSE)</f>
        <v>0</v>
      </c>
      <c r="R3805">
        <f>HLOOKUP("CPUs",'vInfo (Imported)'!$1:$5000,M3805,FALSE)</f>
        <v>0</v>
      </c>
      <c r="S3805">
        <f>HLOOKUP("Memory",'vInfo (Imported)'!$1:$5000,M3805,FALSE)</f>
        <v>0</v>
      </c>
      <c r="T3805">
        <f>HLOOKUP("Provisioned MiB",'vInfo (Imported)'!$1:$5000,M3805,FALSE)</f>
        <v>0</v>
      </c>
      <c r="U3805">
        <f t="shared" si="178"/>
        <v>0</v>
      </c>
      <c r="V3805">
        <f>HLOOKUP("In Use MiB",'vInfo (Imported)'!$1:$5000,M3805,FALSE)</f>
        <v>0</v>
      </c>
    </row>
    <row r="3806" spans="1:22" ht="13" x14ac:dyDescent="0.3">
      <c r="A3806" s="46">
        <f>'vHosts (Imported)'!A3806</f>
        <v>0</v>
      </c>
      <c r="B3806" s="51">
        <f t="shared" si="177"/>
        <v>4968</v>
      </c>
      <c r="C3806" s="49">
        <f>HLOOKUP("# Cores",'vHosts (Imported)'!$1:$5000,M3806,FALSE)</f>
        <v>0</v>
      </c>
      <c r="D3806" s="52">
        <f>HLOOKUP("# Memory",'vHosts (Imported)'!$1:$5000,M3806,FALSE)</f>
        <v>0</v>
      </c>
      <c r="M3806" s="45">
        <f t="shared" si="179"/>
        <v>3806</v>
      </c>
      <c r="N3806" s="38">
        <f>HLOOKUP("Host",'vInfo (Imported)'!$1:$5000,M3806,FALSE)</f>
        <v>0</v>
      </c>
      <c r="R3806">
        <f>HLOOKUP("CPUs",'vInfo (Imported)'!$1:$5000,M3806,FALSE)</f>
        <v>0</v>
      </c>
      <c r="S3806">
        <f>HLOOKUP("Memory",'vInfo (Imported)'!$1:$5000,M3806,FALSE)</f>
        <v>0</v>
      </c>
      <c r="T3806">
        <f>HLOOKUP("Provisioned MiB",'vInfo (Imported)'!$1:$5000,M3806,FALSE)</f>
        <v>0</v>
      </c>
      <c r="U3806">
        <f t="shared" si="178"/>
        <v>0</v>
      </c>
      <c r="V3806">
        <f>HLOOKUP("In Use MiB",'vInfo (Imported)'!$1:$5000,M3806,FALSE)</f>
        <v>0</v>
      </c>
    </row>
    <row r="3807" spans="1:22" ht="13" x14ac:dyDescent="0.3">
      <c r="A3807" s="46">
        <f>'vHosts (Imported)'!A3807</f>
        <v>0</v>
      </c>
      <c r="B3807" s="51">
        <f t="shared" si="177"/>
        <v>4968</v>
      </c>
      <c r="C3807" s="49">
        <f>HLOOKUP("# Cores",'vHosts (Imported)'!$1:$5000,M3807,FALSE)</f>
        <v>0</v>
      </c>
      <c r="D3807" s="52">
        <f>HLOOKUP("# Memory",'vHosts (Imported)'!$1:$5000,M3807,FALSE)</f>
        <v>0</v>
      </c>
      <c r="M3807" s="45">
        <f t="shared" si="179"/>
        <v>3807</v>
      </c>
      <c r="N3807" s="38">
        <f>HLOOKUP("Host",'vInfo (Imported)'!$1:$5000,M3807,FALSE)</f>
        <v>0</v>
      </c>
      <c r="R3807">
        <f>HLOOKUP("CPUs",'vInfo (Imported)'!$1:$5000,M3807,FALSE)</f>
        <v>0</v>
      </c>
      <c r="S3807">
        <f>HLOOKUP("Memory",'vInfo (Imported)'!$1:$5000,M3807,FALSE)</f>
        <v>0</v>
      </c>
      <c r="T3807">
        <f>HLOOKUP("Provisioned MiB",'vInfo (Imported)'!$1:$5000,M3807,FALSE)</f>
        <v>0</v>
      </c>
      <c r="U3807">
        <f t="shared" si="178"/>
        <v>0</v>
      </c>
      <c r="V3807">
        <f>HLOOKUP("In Use MiB",'vInfo (Imported)'!$1:$5000,M3807,FALSE)</f>
        <v>0</v>
      </c>
    </row>
    <row r="3808" spans="1:22" ht="13" x14ac:dyDescent="0.3">
      <c r="A3808" s="46">
        <f>'vHosts (Imported)'!A3808</f>
        <v>0</v>
      </c>
      <c r="B3808" s="51">
        <f t="shared" si="177"/>
        <v>4968</v>
      </c>
      <c r="C3808" s="49">
        <f>HLOOKUP("# Cores",'vHosts (Imported)'!$1:$5000,M3808,FALSE)</f>
        <v>0</v>
      </c>
      <c r="D3808" s="52">
        <f>HLOOKUP("# Memory",'vHosts (Imported)'!$1:$5000,M3808,FALSE)</f>
        <v>0</v>
      </c>
      <c r="M3808" s="45">
        <f t="shared" si="179"/>
        <v>3808</v>
      </c>
      <c r="N3808" s="38">
        <f>HLOOKUP("Host",'vInfo (Imported)'!$1:$5000,M3808,FALSE)</f>
        <v>0</v>
      </c>
      <c r="R3808">
        <f>HLOOKUP("CPUs",'vInfo (Imported)'!$1:$5000,M3808,FALSE)</f>
        <v>0</v>
      </c>
      <c r="S3808">
        <f>HLOOKUP("Memory",'vInfo (Imported)'!$1:$5000,M3808,FALSE)</f>
        <v>0</v>
      </c>
      <c r="T3808">
        <f>HLOOKUP("Provisioned MiB",'vInfo (Imported)'!$1:$5000,M3808,FALSE)</f>
        <v>0</v>
      </c>
      <c r="U3808">
        <f t="shared" si="178"/>
        <v>0</v>
      </c>
      <c r="V3808">
        <f>HLOOKUP("In Use MiB",'vInfo (Imported)'!$1:$5000,M3808,FALSE)</f>
        <v>0</v>
      </c>
    </row>
    <row r="3809" spans="1:22" ht="13" x14ac:dyDescent="0.3">
      <c r="A3809" s="46">
        <f>'vHosts (Imported)'!A3809</f>
        <v>0</v>
      </c>
      <c r="B3809" s="51">
        <f t="shared" si="177"/>
        <v>4968</v>
      </c>
      <c r="C3809" s="49">
        <f>HLOOKUP("# Cores",'vHosts (Imported)'!$1:$5000,M3809,FALSE)</f>
        <v>0</v>
      </c>
      <c r="D3809" s="52">
        <f>HLOOKUP("# Memory",'vHosts (Imported)'!$1:$5000,M3809,FALSE)</f>
        <v>0</v>
      </c>
      <c r="M3809" s="45">
        <f t="shared" si="179"/>
        <v>3809</v>
      </c>
      <c r="N3809" s="38">
        <f>HLOOKUP("Host",'vInfo (Imported)'!$1:$5000,M3809,FALSE)</f>
        <v>0</v>
      </c>
      <c r="R3809">
        <f>HLOOKUP("CPUs",'vInfo (Imported)'!$1:$5000,M3809,FALSE)</f>
        <v>0</v>
      </c>
      <c r="S3809">
        <f>HLOOKUP("Memory",'vInfo (Imported)'!$1:$5000,M3809,FALSE)</f>
        <v>0</v>
      </c>
      <c r="T3809">
        <f>HLOOKUP("Provisioned MiB",'vInfo (Imported)'!$1:$5000,M3809,FALSE)</f>
        <v>0</v>
      </c>
      <c r="U3809">
        <f t="shared" si="178"/>
        <v>0</v>
      </c>
      <c r="V3809">
        <f>HLOOKUP("In Use MiB",'vInfo (Imported)'!$1:$5000,M3809,FALSE)</f>
        <v>0</v>
      </c>
    </row>
    <row r="3810" spans="1:22" ht="13" x14ac:dyDescent="0.3">
      <c r="A3810" s="46">
        <f>'vHosts (Imported)'!A3810</f>
        <v>0</v>
      </c>
      <c r="B3810" s="51">
        <f t="shared" si="177"/>
        <v>4968</v>
      </c>
      <c r="C3810" s="49">
        <f>HLOOKUP("# Cores",'vHosts (Imported)'!$1:$5000,M3810,FALSE)</f>
        <v>0</v>
      </c>
      <c r="D3810" s="52">
        <f>HLOOKUP("# Memory",'vHosts (Imported)'!$1:$5000,M3810,FALSE)</f>
        <v>0</v>
      </c>
      <c r="M3810" s="45">
        <f t="shared" si="179"/>
        <v>3810</v>
      </c>
      <c r="N3810" s="38">
        <f>HLOOKUP("Host",'vInfo (Imported)'!$1:$5000,M3810,FALSE)</f>
        <v>0</v>
      </c>
      <c r="R3810">
        <f>HLOOKUP("CPUs",'vInfo (Imported)'!$1:$5000,M3810,FALSE)</f>
        <v>0</v>
      </c>
      <c r="S3810">
        <f>HLOOKUP("Memory",'vInfo (Imported)'!$1:$5000,M3810,FALSE)</f>
        <v>0</v>
      </c>
      <c r="T3810">
        <f>HLOOKUP("Provisioned MiB",'vInfo (Imported)'!$1:$5000,M3810,FALSE)</f>
        <v>0</v>
      </c>
      <c r="U3810">
        <f t="shared" si="178"/>
        <v>0</v>
      </c>
      <c r="V3810">
        <f>HLOOKUP("In Use MiB",'vInfo (Imported)'!$1:$5000,M3810,FALSE)</f>
        <v>0</v>
      </c>
    </row>
    <row r="3811" spans="1:22" ht="13" x14ac:dyDescent="0.3">
      <c r="A3811" s="46">
        <f>'vHosts (Imported)'!A3811</f>
        <v>0</v>
      </c>
      <c r="B3811" s="51">
        <f t="shared" si="177"/>
        <v>4968</v>
      </c>
      <c r="C3811" s="49">
        <f>HLOOKUP("# Cores",'vHosts (Imported)'!$1:$5000,M3811,FALSE)</f>
        <v>0</v>
      </c>
      <c r="D3811" s="52">
        <f>HLOOKUP("# Memory",'vHosts (Imported)'!$1:$5000,M3811,FALSE)</f>
        <v>0</v>
      </c>
      <c r="M3811" s="45">
        <f t="shared" si="179"/>
        <v>3811</v>
      </c>
      <c r="N3811" s="38">
        <f>HLOOKUP("Host",'vInfo (Imported)'!$1:$5000,M3811,FALSE)</f>
        <v>0</v>
      </c>
      <c r="R3811">
        <f>HLOOKUP("CPUs",'vInfo (Imported)'!$1:$5000,M3811,FALSE)</f>
        <v>0</v>
      </c>
      <c r="S3811">
        <f>HLOOKUP("Memory",'vInfo (Imported)'!$1:$5000,M3811,FALSE)</f>
        <v>0</v>
      </c>
      <c r="T3811">
        <f>HLOOKUP("Provisioned MiB",'vInfo (Imported)'!$1:$5000,M3811,FALSE)</f>
        <v>0</v>
      </c>
      <c r="U3811">
        <f t="shared" si="178"/>
        <v>0</v>
      </c>
      <c r="V3811">
        <f>HLOOKUP("In Use MiB",'vInfo (Imported)'!$1:$5000,M3811,FALSE)</f>
        <v>0</v>
      </c>
    </row>
    <row r="3812" spans="1:22" ht="13" x14ac:dyDescent="0.3">
      <c r="A3812" s="46">
        <f>'vHosts (Imported)'!A3812</f>
        <v>0</v>
      </c>
      <c r="B3812" s="51">
        <f t="shared" si="177"/>
        <v>4968</v>
      </c>
      <c r="C3812" s="49">
        <f>HLOOKUP("# Cores",'vHosts (Imported)'!$1:$5000,M3812,FALSE)</f>
        <v>0</v>
      </c>
      <c r="D3812" s="52">
        <f>HLOOKUP("# Memory",'vHosts (Imported)'!$1:$5000,M3812,FALSE)</f>
        <v>0</v>
      </c>
      <c r="M3812" s="45">
        <f t="shared" si="179"/>
        <v>3812</v>
      </c>
      <c r="N3812" s="38">
        <f>HLOOKUP("Host",'vInfo (Imported)'!$1:$5000,M3812,FALSE)</f>
        <v>0</v>
      </c>
      <c r="R3812">
        <f>HLOOKUP("CPUs",'vInfo (Imported)'!$1:$5000,M3812,FALSE)</f>
        <v>0</v>
      </c>
      <c r="S3812">
        <f>HLOOKUP("Memory",'vInfo (Imported)'!$1:$5000,M3812,FALSE)</f>
        <v>0</v>
      </c>
      <c r="T3812">
        <f>HLOOKUP("Provisioned MiB",'vInfo (Imported)'!$1:$5000,M3812,FALSE)</f>
        <v>0</v>
      </c>
      <c r="U3812">
        <f t="shared" si="178"/>
        <v>0</v>
      </c>
      <c r="V3812">
        <f>HLOOKUP("In Use MiB",'vInfo (Imported)'!$1:$5000,M3812,FALSE)</f>
        <v>0</v>
      </c>
    </row>
    <row r="3813" spans="1:22" ht="13" x14ac:dyDescent="0.3">
      <c r="A3813" s="46">
        <f>'vHosts (Imported)'!A3813</f>
        <v>0</v>
      </c>
      <c r="B3813" s="51">
        <f t="shared" si="177"/>
        <v>4968</v>
      </c>
      <c r="C3813" s="49">
        <f>HLOOKUP("# Cores",'vHosts (Imported)'!$1:$5000,M3813,FALSE)</f>
        <v>0</v>
      </c>
      <c r="D3813" s="52">
        <f>HLOOKUP("# Memory",'vHosts (Imported)'!$1:$5000,M3813,FALSE)</f>
        <v>0</v>
      </c>
      <c r="M3813" s="45">
        <f t="shared" si="179"/>
        <v>3813</v>
      </c>
      <c r="N3813" s="38">
        <f>HLOOKUP("Host",'vInfo (Imported)'!$1:$5000,M3813,FALSE)</f>
        <v>0</v>
      </c>
      <c r="R3813">
        <f>HLOOKUP("CPUs",'vInfo (Imported)'!$1:$5000,M3813,FALSE)</f>
        <v>0</v>
      </c>
      <c r="S3813">
        <f>HLOOKUP("Memory",'vInfo (Imported)'!$1:$5000,M3813,FALSE)</f>
        <v>0</v>
      </c>
      <c r="T3813">
        <f>HLOOKUP("Provisioned MiB",'vInfo (Imported)'!$1:$5000,M3813,FALSE)</f>
        <v>0</v>
      </c>
      <c r="U3813">
        <f t="shared" si="178"/>
        <v>0</v>
      </c>
      <c r="V3813">
        <f>HLOOKUP("In Use MiB",'vInfo (Imported)'!$1:$5000,M3813,FALSE)</f>
        <v>0</v>
      </c>
    </row>
    <row r="3814" spans="1:22" ht="13" x14ac:dyDescent="0.3">
      <c r="A3814" s="46">
        <f>'vHosts (Imported)'!A3814</f>
        <v>0</v>
      </c>
      <c r="B3814" s="51">
        <f t="shared" si="177"/>
        <v>4968</v>
      </c>
      <c r="C3814" s="49">
        <f>HLOOKUP("# Cores",'vHosts (Imported)'!$1:$5000,M3814,FALSE)</f>
        <v>0</v>
      </c>
      <c r="D3814" s="52">
        <f>HLOOKUP("# Memory",'vHosts (Imported)'!$1:$5000,M3814,FALSE)</f>
        <v>0</v>
      </c>
      <c r="M3814" s="45">
        <f t="shared" si="179"/>
        <v>3814</v>
      </c>
      <c r="N3814" s="38">
        <f>HLOOKUP("Host",'vInfo (Imported)'!$1:$5000,M3814,FALSE)</f>
        <v>0</v>
      </c>
      <c r="R3814">
        <f>HLOOKUP("CPUs",'vInfo (Imported)'!$1:$5000,M3814,FALSE)</f>
        <v>0</v>
      </c>
      <c r="S3814">
        <f>HLOOKUP("Memory",'vInfo (Imported)'!$1:$5000,M3814,FALSE)</f>
        <v>0</v>
      </c>
      <c r="T3814">
        <f>HLOOKUP("Provisioned MiB",'vInfo (Imported)'!$1:$5000,M3814,FALSE)</f>
        <v>0</v>
      </c>
      <c r="U3814">
        <f t="shared" si="178"/>
        <v>0</v>
      </c>
      <c r="V3814">
        <f>HLOOKUP("In Use MiB",'vInfo (Imported)'!$1:$5000,M3814,FALSE)</f>
        <v>0</v>
      </c>
    </row>
    <row r="3815" spans="1:22" ht="13" x14ac:dyDescent="0.3">
      <c r="A3815" s="46">
        <f>'vHosts (Imported)'!A3815</f>
        <v>0</v>
      </c>
      <c r="B3815" s="51">
        <f t="shared" si="177"/>
        <v>4968</v>
      </c>
      <c r="C3815" s="49">
        <f>HLOOKUP("# Cores",'vHosts (Imported)'!$1:$5000,M3815,FALSE)</f>
        <v>0</v>
      </c>
      <c r="D3815" s="52">
        <f>HLOOKUP("# Memory",'vHosts (Imported)'!$1:$5000,M3815,FALSE)</f>
        <v>0</v>
      </c>
      <c r="M3815" s="45">
        <f t="shared" si="179"/>
        <v>3815</v>
      </c>
      <c r="N3815" s="38">
        <f>HLOOKUP("Host",'vInfo (Imported)'!$1:$5000,M3815,FALSE)</f>
        <v>0</v>
      </c>
      <c r="R3815">
        <f>HLOOKUP("CPUs",'vInfo (Imported)'!$1:$5000,M3815,FALSE)</f>
        <v>0</v>
      </c>
      <c r="S3815">
        <f>HLOOKUP("Memory",'vInfo (Imported)'!$1:$5000,M3815,FALSE)</f>
        <v>0</v>
      </c>
      <c r="T3815">
        <f>HLOOKUP("Provisioned MiB",'vInfo (Imported)'!$1:$5000,M3815,FALSE)</f>
        <v>0</v>
      </c>
      <c r="U3815">
        <f t="shared" si="178"/>
        <v>0</v>
      </c>
      <c r="V3815">
        <f>HLOOKUP("In Use MiB",'vInfo (Imported)'!$1:$5000,M3815,FALSE)</f>
        <v>0</v>
      </c>
    </row>
    <row r="3816" spans="1:22" ht="13" x14ac:dyDescent="0.3">
      <c r="A3816" s="46">
        <f>'vHosts (Imported)'!A3816</f>
        <v>0</v>
      </c>
      <c r="B3816" s="51">
        <f t="shared" ref="B3816:B3879" si="180">COUNTIF(N:N,A3816)</f>
        <v>4968</v>
      </c>
      <c r="C3816" s="49">
        <f>HLOOKUP("# Cores",'vHosts (Imported)'!$1:$5000,M3816,FALSE)</f>
        <v>0</v>
      </c>
      <c r="D3816" s="52">
        <f>HLOOKUP("# Memory",'vHosts (Imported)'!$1:$5000,M3816,FALSE)</f>
        <v>0</v>
      </c>
      <c r="M3816" s="45">
        <f t="shared" si="179"/>
        <v>3816</v>
      </c>
      <c r="N3816" s="38">
        <f>HLOOKUP("Host",'vInfo (Imported)'!$1:$5000,M3816,FALSE)</f>
        <v>0</v>
      </c>
      <c r="R3816">
        <f>HLOOKUP("CPUs",'vInfo (Imported)'!$1:$5000,M3816,FALSE)</f>
        <v>0</v>
      </c>
      <c r="S3816">
        <f>HLOOKUP("Memory",'vInfo (Imported)'!$1:$5000,M3816,FALSE)</f>
        <v>0</v>
      </c>
      <c r="T3816">
        <f>HLOOKUP("Provisioned MiB",'vInfo (Imported)'!$1:$5000,M3816,FALSE)</f>
        <v>0</v>
      </c>
      <c r="U3816">
        <f t="shared" si="178"/>
        <v>0</v>
      </c>
      <c r="V3816">
        <f>HLOOKUP("In Use MiB",'vInfo (Imported)'!$1:$5000,M3816,FALSE)</f>
        <v>0</v>
      </c>
    </row>
    <row r="3817" spans="1:22" ht="13" x14ac:dyDescent="0.3">
      <c r="A3817" s="46">
        <f>'vHosts (Imported)'!A3817</f>
        <v>0</v>
      </c>
      <c r="B3817" s="51">
        <f t="shared" si="180"/>
        <v>4968</v>
      </c>
      <c r="C3817" s="49">
        <f>HLOOKUP("# Cores",'vHosts (Imported)'!$1:$5000,M3817,FALSE)</f>
        <v>0</v>
      </c>
      <c r="D3817" s="52">
        <f>HLOOKUP("# Memory",'vHosts (Imported)'!$1:$5000,M3817,FALSE)</f>
        <v>0</v>
      </c>
      <c r="M3817" s="45">
        <f t="shared" si="179"/>
        <v>3817</v>
      </c>
      <c r="N3817" s="38">
        <f>HLOOKUP("Host",'vInfo (Imported)'!$1:$5000,M3817,FALSE)</f>
        <v>0</v>
      </c>
      <c r="R3817">
        <f>HLOOKUP("CPUs",'vInfo (Imported)'!$1:$5000,M3817,FALSE)</f>
        <v>0</v>
      </c>
      <c r="S3817">
        <f>HLOOKUP("Memory",'vInfo (Imported)'!$1:$5000,M3817,FALSE)</f>
        <v>0</v>
      </c>
      <c r="T3817">
        <f>HLOOKUP("Provisioned MiB",'vInfo (Imported)'!$1:$5000,M3817,FALSE)</f>
        <v>0</v>
      </c>
      <c r="U3817">
        <f t="shared" si="178"/>
        <v>0</v>
      </c>
      <c r="V3817">
        <f>HLOOKUP("In Use MiB",'vInfo (Imported)'!$1:$5000,M3817,FALSE)</f>
        <v>0</v>
      </c>
    </row>
    <row r="3818" spans="1:22" ht="13" x14ac:dyDescent="0.3">
      <c r="A3818" s="46">
        <f>'vHosts (Imported)'!A3818</f>
        <v>0</v>
      </c>
      <c r="B3818" s="51">
        <f t="shared" si="180"/>
        <v>4968</v>
      </c>
      <c r="C3818" s="49">
        <f>HLOOKUP("# Cores",'vHosts (Imported)'!$1:$5000,M3818,FALSE)</f>
        <v>0</v>
      </c>
      <c r="D3818" s="52">
        <f>HLOOKUP("# Memory",'vHosts (Imported)'!$1:$5000,M3818,FALSE)</f>
        <v>0</v>
      </c>
      <c r="M3818" s="45">
        <f t="shared" si="179"/>
        <v>3818</v>
      </c>
      <c r="N3818" s="38">
        <f>HLOOKUP("Host",'vInfo (Imported)'!$1:$5000,M3818,FALSE)</f>
        <v>0</v>
      </c>
      <c r="R3818">
        <f>HLOOKUP("CPUs",'vInfo (Imported)'!$1:$5000,M3818,FALSE)</f>
        <v>0</v>
      </c>
      <c r="S3818">
        <f>HLOOKUP("Memory",'vInfo (Imported)'!$1:$5000,M3818,FALSE)</f>
        <v>0</v>
      </c>
      <c r="T3818">
        <f>HLOOKUP("Provisioned MiB",'vInfo (Imported)'!$1:$5000,M3818,FALSE)</f>
        <v>0</v>
      </c>
      <c r="U3818">
        <f t="shared" si="178"/>
        <v>0</v>
      </c>
      <c r="V3818">
        <f>HLOOKUP("In Use MiB",'vInfo (Imported)'!$1:$5000,M3818,FALSE)</f>
        <v>0</v>
      </c>
    </row>
    <row r="3819" spans="1:22" ht="13" x14ac:dyDescent="0.3">
      <c r="A3819" s="46">
        <f>'vHosts (Imported)'!A3819</f>
        <v>0</v>
      </c>
      <c r="B3819" s="51">
        <f t="shared" si="180"/>
        <v>4968</v>
      </c>
      <c r="C3819" s="49">
        <f>HLOOKUP("# Cores",'vHosts (Imported)'!$1:$5000,M3819,FALSE)</f>
        <v>0</v>
      </c>
      <c r="D3819" s="52">
        <f>HLOOKUP("# Memory",'vHosts (Imported)'!$1:$5000,M3819,FALSE)</f>
        <v>0</v>
      </c>
      <c r="M3819" s="45">
        <f t="shared" si="179"/>
        <v>3819</v>
      </c>
      <c r="N3819" s="38">
        <f>HLOOKUP("Host",'vInfo (Imported)'!$1:$5000,M3819,FALSE)</f>
        <v>0</v>
      </c>
      <c r="R3819">
        <f>HLOOKUP("CPUs",'vInfo (Imported)'!$1:$5000,M3819,FALSE)</f>
        <v>0</v>
      </c>
      <c r="S3819">
        <f>HLOOKUP("Memory",'vInfo (Imported)'!$1:$5000,M3819,FALSE)</f>
        <v>0</v>
      </c>
      <c r="T3819">
        <f>HLOOKUP("Provisioned MiB",'vInfo (Imported)'!$1:$5000,M3819,FALSE)</f>
        <v>0</v>
      </c>
      <c r="U3819">
        <f t="shared" si="178"/>
        <v>0</v>
      </c>
      <c r="V3819">
        <f>HLOOKUP("In Use MiB",'vInfo (Imported)'!$1:$5000,M3819,FALSE)</f>
        <v>0</v>
      </c>
    </row>
    <row r="3820" spans="1:22" ht="13" x14ac:dyDescent="0.3">
      <c r="A3820" s="46">
        <f>'vHosts (Imported)'!A3820</f>
        <v>0</v>
      </c>
      <c r="B3820" s="51">
        <f t="shared" si="180"/>
        <v>4968</v>
      </c>
      <c r="C3820" s="49">
        <f>HLOOKUP("# Cores",'vHosts (Imported)'!$1:$5000,M3820,FALSE)</f>
        <v>0</v>
      </c>
      <c r="D3820" s="52">
        <f>HLOOKUP("# Memory",'vHosts (Imported)'!$1:$5000,M3820,FALSE)</f>
        <v>0</v>
      </c>
      <c r="M3820" s="45">
        <f t="shared" si="179"/>
        <v>3820</v>
      </c>
      <c r="N3820" s="38">
        <f>HLOOKUP("Host",'vInfo (Imported)'!$1:$5000,M3820,FALSE)</f>
        <v>0</v>
      </c>
      <c r="R3820">
        <f>HLOOKUP("CPUs",'vInfo (Imported)'!$1:$5000,M3820,FALSE)</f>
        <v>0</v>
      </c>
      <c r="S3820">
        <f>HLOOKUP("Memory",'vInfo (Imported)'!$1:$5000,M3820,FALSE)</f>
        <v>0</v>
      </c>
      <c r="T3820">
        <f>HLOOKUP("Provisioned MiB",'vInfo (Imported)'!$1:$5000,M3820,FALSE)</f>
        <v>0</v>
      </c>
      <c r="U3820">
        <f t="shared" si="178"/>
        <v>0</v>
      </c>
      <c r="V3820">
        <f>HLOOKUP("In Use MiB",'vInfo (Imported)'!$1:$5000,M3820,FALSE)</f>
        <v>0</v>
      </c>
    </row>
    <row r="3821" spans="1:22" ht="13" x14ac:dyDescent="0.3">
      <c r="A3821" s="46">
        <f>'vHosts (Imported)'!A3821</f>
        <v>0</v>
      </c>
      <c r="B3821" s="51">
        <f t="shared" si="180"/>
        <v>4968</v>
      </c>
      <c r="C3821" s="49">
        <f>HLOOKUP("# Cores",'vHosts (Imported)'!$1:$5000,M3821,FALSE)</f>
        <v>0</v>
      </c>
      <c r="D3821" s="52">
        <f>HLOOKUP("# Memory",'vHosts (Imported)'!$1:$5000,M3821,FALSE)</f>
        <v>0</v>
      </c>
      <c r="M3821" s="45">
        <f t="shared" si="179"/>
        <v>3821</v>
      </c>
      <c r="N3821" s="38">
        <f>HLOOKUP("Host",'vInfo (Imported)'!$1:$5000,M3821,FALSE)</f>
        <v>0</v>
      </c>
      <c r="R3821">
        <f>HLOOKUP("CPUs",'vInfo (Imported)'!$1:$5000,M3821,FALSE)</f>
        <v>0</v>
      </c>
      <c r="S3821">
        <f>HLOOKUP("Memory",'vInfo (Imported)'!$1:$5000,M3821,FALSE)</f>
        <v>0</v>
      </c>
      <c r="T3821">
        <f>HLOOKUP("Provisioned MiB",'vInfo (Imported)'!$1:$5000,M3821,FALSE)</f>
        <v>0</v>
      </c>
      <c r="U3821">
        <f t="shared" si="178"/>
        <v>0</v>
      </c>
      <c r="V3821">
        <f>HLOOKUP("In Use MiB",'vInfo (Imported)'!$1:$5000,M3821,FALSE)</f>
        <v>0</v>
      </c>
    </row>
    <row r="3822" spans="1:22" ht="13" x14ac:dyDescent="0.3">
      <c r="A3822" s="46">
        <f>'vHosts (Imported)'!A3822</f>
        <v>0</v>
      </c>
      <c r="B3822" s="51">
        <f t="shared" si="180"/>
        <v>4968</v>
      </c>
      <c r="C3822" s="49">
        <f>HLOOKUP("# Cores",'vHosts (Imported)'!$1:$5000,M3822,FALSE)</f>
        <v>0</v>
      </c>
      <c r="D3822" s="52">
        <f>HLOOKUP("# Memory",'vHosts (Imported)'!$1:$5000,M3822,FALSE)</f>
        <v>0</v>
      </c>
      <c r="M3822" s="45">
        <f t="shared" si="179"/>
        <v>3822</v>
      </c>
      <c r="N3822" s="38">
        <f>HLOOKUP("Host",'vInfo (Imported)'!$1:$5000,M3822,FALSE)</f>
        <v>0</v>
      </c>
      <c r="R3822">
        <f>HLOOKUP("CPUs",'vInfo (Imported)'!$1:$5000,M3822,FALSE)</f>
        <v>0</v>
      </c>
      <c r="S3822">
        <f>HLOOKUP("Memory",'vInfo (Imported)'!$1:$5000,M3822,FALSE)</f>
        <v>0</v>
      </c>
      <c r="T3822">
        <f>HLOOKUP("Provisioned MiB",'vInfo (Imported)'!$1:$5000,M3822,FALSE)</f>
        <v>0</v>
      </c>
      <c r="U3822">
        <f t="shared" si="178"/>
        <v>0</v>
      </c>
      <c r="V3822">
        <f>HLOOKUP("In Use MiB",'vInfo (Imported)'!$1:$5000,M3822,FALSE)</f>
        <v>0</v>
      </c>
    </row>
    <row r="3823" spans="1:22" ht="13" x14ac:dyDescent="0.3">
      <c r="A3823" s="46">
        <f>'vHosts (Imported)'!A3823</f>
        <v>0</v>
      </c>
      <c r="B3823" s="51">
        <f t="shared" si="180"/>
        <v>4968</v>
      </c>
      <c r="C3823" s="49">
        <f>HLOOKUP("# Cores",'vHosts (Imported)'!$1:$5000,M3823,FALSE)</f>
        <v>0</v>
      </c>
      <c r="D3823" s="52">
        <f>HLOOKUP("# Memory",'vHosts (Imported)'!$1:$5000,M3823,FALSE)</f>
        <v>0</v>
      </c>
      <c r="M3823" s="45">
        <f t="shared" si="179"/>
        <v>3823</v>
      </c>
      <c r="N3823" s="38">
        <f>HLOOKUP("Host",'vInfo (Imported)'!$1:$5000,M3823,FALSE)</f>
        <v>0</v>
      </c>
      <c r="R3823">
        <f>HLOOKUP("CPUs",'vInfo (Imported)'!$1:$5000,M3823,FALSE)</f>
        <v>0</v>
      </c>
      <c r="S3823">
        <f>HLOOKUP("Memory",'vInfo (Imported)'!$1:$5000,M3823,FALSE)</f>
        <v>0</v>
      </c>
      <c r="T3823">
        <f>HLOOKUP("Provisioned MiB",'vInfo (Imported)'!$1:$5000,M3823,FALSE)</f>
        <v>0</v>
      </c>
      <c r="U3823">
        <f t="shared" si="178"/>
        <v>0</v>
      </c>
      <c r="V3823">
        <f>HLOOKUP("In Use MiB",'vInfo (Imported)'!$1:$5000,M3823,FALSE)</f>
        <v>0</v>
      </c>
    </row>
    <row r="3824" spans="1:22" ht="13" x14ac:dyDescent="0.3">
      <c r="A3824" s="46">
        <f>'vHosts (Imported)'!A3824</f>
        <v>0</v>
      </c>
      <c r="B3824" s="51">
        <f t="shared" si="180"/>
        <v>4968</v>
      </c>
      <c r="C3824" s="49">
        <f>HLOOKUP("# Cores",'vHosts (Imported)'!$1:$5000,M3824,FALSE)</f>
        <v>0</v>
      </c>
      <c r="D3824" s="52">
        <f>HLOOKUP("# Memory",'vHosts (Imported)'!$1:$5000,M3824,FALSE)</f>
        <v>0</v>
      </c>
      <c r="M3824" s="45">
        <f t="shared" si="179"/>
        <v>3824</v>
      </c>
      <c r="N3824" s="38">
        <f>HLOOKUP("Host",'vInfo (Imported)'!$1:$5000,M3824,FALSE)</f>
        <v>0</v>
      </c>
      <c r="R3824">
        <f>HLOOKUP("CPUs",'vInfo (Imported)'!$1:$5000,M3824,FALSE)</f>
        <v>0</v>
      </c>
      <c r="S3824">
        <f>HLOOKUP("Memory",'vInfo (Imported)'!$1:$5000,M3824,FALSE)</f>
        <v>0</v>
      </c>
      <c r="T3824">
        <f>HLOOKUP("Provisioned MiB",'vInfo (Imported)'!$1:$5000,M3824,FALSE)</f>
        <v>0</v>
      </c>
      <c r="U3824">
        <f t="shared" si="178"/>
        <v>0</v>
      </c>
      <c r="V3824">
        <f>HLOOKUP("In Use MiB",'vInfo (Imported)'!$1:$5000,M3824,FALSE)</f>
        <v>0</v>
      </c>
    </row>
    <row r="3825" spans="1:22" ht="13" x14ac:dyDescent="0.3">
      <c r="A3825" s="46">
        <f>'vHosts (Imported)'!A3825</f>
        <v>0</v>
      </c>
      <c r="B3825" s="51">
        <f t="shared" si="180"/>
        <v>4968</v>
      </c>
      <c r="C3825" s="49">
        <f>HLOOKUP("# Cores",'vHosts (Imported)'!$1:$5000,M3825,FALSE)</f>
        <v>0</v>
      </c>
      <c r="D3825" s="52">
        <f>HLOOKUP("# Memory",'vHosts (Imported)'!$1:$5000,M3825,FALSE)</f>
        <v>0</v>
      </c>
      <c r="M3825" s="45">
        <f t="shared" si="179"/>
        <v>3825</v>
      </c>
      <c r="N3825" s="38">
        <f>HLOOKUP("Host",'vInfo (Imported)'!$1:$5000,M3825,FALSE)</f>
        <v>0</v>
      </c>
      <c r="R3825">
        <f>HLOOKUP("CPUs",'vInfo (Imported)'!$1:$5000,M3825,FALSE)</f>
        <v>0</v>
      </c>
      <c r="S3825">
        <f>HLOOKUP("Memory",'vInfo (Imported)'!$1:$5000,M3825,FALSE)</f>
        <v>0</v>
      </c>
      <c r="T3825">
        <f>HLOOKUP("Provisioned MiB",'vInfo (Imported)'!$1:$5000,M3825,FALSE)</f>
        <v>0</v>
      </c>
      <c r="U3825">
        <f t="shared" si="178"/>
        <v>0</v>
      </c>
      <c r="V3825">
        <f>HLOOKUP("In Use MiB",'vInfo (Imported)'!$1:$5000,M3825,FALSE)</f>
        <v>0</v>
      </c>
    </row>
    <row r="3826" spans="1:22" ht="13" x14ac:dyDescent="0.3">
      <c r="A3826" s="46">
        <f>'vHosts (Imported)'!A3826</f>
        <v>0</v>
      </c>
      <c r="B3826" s="51">
        <f t="shared" si="180"/>
        <v>4968</v>
      </c>
      <c r="C3826" s="49">
        <f>HLOOKUP("# Cores",'vHosts (Imported)'!$1:$5000,M3826,FALSE)</f>
        <v>0</v>
      </c>
      <c r="D3826" s="52">
        <f>HLOOKUP("# Memory",'vHosts (Imported)'!$1:$5000,M3826,FALSE)</f>
        <v>0</v>
      </c>
      <c r="M3826" s="45">
        <f t="shared" si="179"/>
        <v>3826</v>
      </c>
      <c r="N3826" s="38">
        <f>HLOOKUP("Host",'vInfo (Imported)'!$1:$5000,M3826,FALSE)</f>
        <v>0</v>
      </c>
      <c r="R3826">
        <f>HLOOKUP("CPUs",'vInfo (Imported)'!$1:$5000,M3826,FALSE)</f>
        <v>0</v>
      </c>
      <c r="S3826">
        <f>HLOOKUP("Memory",'vInfo (Imported)'!$1:$5000,M3826,FALSE)</f>
        <v>0</v>
      </c>
      <c r="T3826">
        <f>HLOOKUP("Provisioned MiB",'vInfo (Imported)'!$1:$5000,M3826,FALSE)</f>
        <v>0</v>
      </c>
      <c r="U3826">
        <f t="shared" si="178"/>
        <v>0</v>
      </c>
      <c r="V3826">
        <f>HLOOKUP("In Use MiB",'vInfo (Imported)'!$1:$5000,M3826,FALSE)</f>
        <v>0</v>
      </c>
    </row>
    <row r="3827" spans="1:22" ht="13" x14ac:dyDescent="0.3">
      <c r="A3827" s="46">
        <f>'vHosts (Imported)'!A3827</f>
        <v>0</v>
      </c>
      <c r="B3827" s="51">
        <f t="shared" si="180"/>
        <v>4968</v>
      </c>
      <c r="C3827" s="49">
        <f>HLOOKUP("# Cores",'vHosts (Imported)'!$1:$5000,M3827,FALSE)</f>
        <v>0</v>
      </c>
      <c r="D3827" s="52">
        <f>HLOOKUP("# Memory",'vHosts (Imported)'!$1:$5000,M3827,FALSE)</f>
        <v>0</v>
      </c>
      <c r="M3827" s="45">
        <f t="shared" si="179"/>
        <v>3827</v>
      </c>
      <c r="N3827" s="38">
        <f>HLOOKUP("Host",'vInfo (Imported)'!$1:$5000,M3827,FALSE)</f>
        <v>0</v>
      </c>
      <c r="R3827">
        <f>HLOOKUP("CPUs",'vInfo (Imported)'!$1:$5000,M3827,FALSE)</f>
        <v>0</v>
      </c>
      <c r="S3827">
        <f>HLOOKUP("Memory",'vInfo (Imported)'!$1:$5000,M3827,FALSE)</f>
        <v>0</v>
      </c>
      <c r="T3827">
        <f>HLOOKUP("Provisioned MiB",'vInfo (Imported)'!$1:$5000,M3827,FALSE)</f>
        <v>0</v>
      </c>
      <c r="U3827">
        <f t="shared" si="178"/>
        <v>0</v>
      </c>
      <c r="V3827">
        <f>HLOOKUP("In Use MiB",'vInfo (Imported)'!$1:$5000,M3827,FALSE)</f>
        <v>0</v>
      </c>
    </row>
    <row r="3828" spans="1:22" ht="13" x14ac:dyDescent="0.3">
      <c r="A3828" s="46">
        <f>'vHosts (Imported)'!A3828</f>
        <v>0</v>
      </c>
      <c r="B3828" s="51">
        <f t="shared" si="180"/>
        <v>4968</v>
      </c>
      <c r="C3828" s="49">
        <f>HLOOKUP("# Cores",'vHosts (Imported)'!$1:$5000,M3828,FALSE)</f>
        <v>0</v>
      </c>
      <c r="D3828" s="52">
        <f>HLOOKUP("# Memory",'vHosts (Imported)'!$1:$5000,M3828,FALSE)</f>
        <v>0</v>
      </c>
      <c r="M3828" s="45">
        <f t="shared" si="179"/>
        <v>3828</v>
      </c>
      <c r="N3828" s="38">
        <f>HLOOKUP("Host",'vInfo (Imported)'!$1:$5000,M3828,FALSE)</f>
        <v>0</v>
      </c>
      <c r="R3828">
        <f>HLOOKUP("CPUs",'vInfo (Imported)'!$1:$5000,M3828,FALSE)</f>
        <v>0</v>
      </c>
      <c r="S3828">
        <f>HLOOKUP("Memory",'vInfo (Imported)'!$1:$5000,M3828,FALSE)</f>
        <v>0</v>
      </c>
      <c r="T3828">
        <f>HLOOKUP("Provisioned MiB",'vInfo (Imported)'!$1:$5000,M3828,FALSE)</f>
        <v>0</v>
      </c>
      <c r="U3828">
        <f t="shared" si="178"/>
        <v>0</v>
      </c>
      <c r="V3828">
        <f>HLOOKUP("In Use MiB",'vInfo (Imported)'!$1:$5000,M3828,FALSE)</f>
        <v>0</v>
      </c>
    </row>
    <row r="3829" spans="1:22" ht="13" x14ac:dyDescent="0.3">
      <c r="A3829" s="46">
        <f>'vHosts (Imported)'!A3829</f>
        <v>0</v>
      </c>
      <c r="B3829" s="51">
        <f t="shared" si="180"/>
        <v>4968</v>
      </c>
      <c r="C3829" s="49">
        <f>HLOOKUP("# Cores",'vHosts (Imported)'!$1:$5000,M3829,FALSE)</f>
        <v>0</v>
      </c>
      <c r="D3829" s="52">
        <f>HLOOKUP("# Memory",'vHosts (Imported)'!$1:$5000,M3829,FALSE)</f>
        <v>0</v>
      </c>
      <c r="M3829" s="45">
        <f t="shared" si="179"/>
        <v>3829</v>
      </c>
      <c r="N3829" s="38">
        <f>HLOOKUP("Host",'vInfo (Imported)'!$1:$5000,M3829,FALSE)</f>
        <v>0</v>
      </c>
      <c r="R3829">
        <f>HLOOKUP("CPUs",'vInfo (Imported)'!$1:$5000,M3829,FALSE)</f>
        <v>0</v>
      </c>
      <c r="S3829">
        <f>HLOOKUP("Memory",'vInfo (Imported)'!$1:$5000,M3829,FALSE)</f>
        <v>0</v>
      </c>
      <c r="T3829">
        <f>HLOOKUP("Provisioned MiB",'vInfo (Imported)'!$1:$5000,M3829,FALSE)</f>
        <v>0</v>
      </c>
      <c r="U3829">
        <f t="shared" si="178"/>
        <v>0</v>
      </c>
      <c r="V3829">
        <f>HLOOKUP("In Use MiB",'vInfo (Imported)'!$1:$5000,M3829,FALSE)</f>
        <v>0</v>
      </c>
    </row>
    <row r="3830" spans="1:22" ht="13" x14ac:dyDescent="0.3">
      <c r="A3830" s="46">
        <f>'vHosts (Imported)'!A3830</f>
        <v>0</v>
      </c>
      <c r="B3830" s="51">
        <f t="shared" si="180"/>
        <v>4968</v>
      </c>
      <c r="C3830" s="49">
        <f>HLOOKUP("# Cores",'vHosts (Imported)'!$1:$5000,M3830,FALSE)</f>
        <v>0</v>
      </c>
      <c r="D3830" s="52">
        <f>HLOOKUP("# Memory",'vHosts (Imported)'!$1:$5000,M3830,FALSE)</f>
        <v>0</v>
      </c>
      <c r="M3830" s="45">
        <f t="shared" si="179"/>
        <v>3830</v>
      </c>
      <c r="N3830" s="38">
        <f>HLOOKUP("Host",'vInfo (Imported)'!$1:$5000,M3830,FALSE)</f>
        <v>0</v>
      </c>
      <c r="R3830">
        <f>HLOOKUP("CPUs",'vInfo (Imported)'!$1:$5000,M3830,FALSE)</f>
        <v>0</v>
      </c>
      <c r="S3830">
        <f>HLOOKUP("Memory",'vInfo (Imported)'!$1:$5000,M3830,FALSE)</f>
        <v>0</v>
      </c>
      <c r="T3830">
        <f>HLOOKUP("Provisioned MiB",'vInfo (Imported)'!$1:$5000,M3830,FALSE)</f>
        <v>0</v>
      </c>
      <c r="U3830">
        <f t="shared" si="178"/>
        <v>0</v>
      </c>
      <c r="V3830">
        <f>HLOOKUP("In Use MiB",'vInfo (Imported)'!$1:$5000,M3830,FALSE)</f>
        <v>0</v>
      </c>
    </row>
    <row r="3831" spans="1:22" ht="13" x14ac:dyDescent="0.3">
      <c r="A3831" s="46">
        <f>'vHosts (Imported)'!A3831</f>
        <v>0</v>
      </c>
      <c r="B3831" s="51">
        <f t="shared" si="180"/>
        <v>4968</v>
      </c>
      <c r="C3831" s="49">
        <f>HLOOKUP("# Cores",'vHosts (Imported)'!$1:$5000,M3831,FALSE)</f>
        <v>0</v>
      </c>
      <c r="D3831" s="52">
        <f>HLOOKUP("# Memory",'vHosts (Imported)'!$1:$5000,M3831,FALSE)</f>
        <v>0</v>
      </c>
      <c r="M3831" s="45">
        <f t="shared" si="179"/>
        <v>3831</v>
      </c>
      <c r="N3831" s="38">
        <f>HLOOKUP("Host",'vInfo (Imported)'!$1:$5000,M3831,FALSE)</f>
        <v>0</v>
      </c>
      <c r="R3831">
        <f>HLOOKUP("CPUs",'vInfo (Imported)'!$1:$5000,M3831,FALSE)</f>
        <v>0</v>
      </c>
      <c r="S3831">
        <f>HLOOKUP("Memory",'vInfo (Imported)'!$1:$5000,M3831,FALSE)</f>
        <v>0</v>
      </c>
      <c r="T3831">
        <f>HLOOKUP("Provisioned MiB",'vInfo (Imported)'!$1:$5000,M3831,FALSE)</f>
        <v>0</v>
      </c>
      <c r="U3831">
        <f t="shared" si="178"/>
        <v>0</v>
      </c>
      <c r="V3831">
        <f>HLOOKUP("In Use MiB",'vInfo (Imported)'!$1:$5000,M3831,FALSE)</f>
        <v>0</v>
      </c>
    </row>
    <row r="3832" spans="1:22" ht="13" x14ac:dyDescent="0.3">
      <c r="A3832" s="46">
        <f>'vHosts (Imported)'!A3832</f>
        <v>0</v>
      </c>
      <c r="B3832" s="51">
        <f t="shared" si="180"/>
        <v>4968</v>
      </c>
      <c r="C3832" s="49">
        <f>HLOOKUP("# Cores",'vHosts (Imported)'!$1:$5000,M3832,FALSE)</f>
        <v>0</v>
      </c>
      <c r="D3832" s="52">
        <f>HLOOKUP("# Memory",'vHosts (Imported)'!$1:$5000,M3832,FALSE)</f>
        <v>0</v>
      </c>
      <c r="M3832" s="45">
        <f t="shared" si="179"/>
        <v>3832</v>
      </c>
      <c r="N3832" s="38">
        <f>HLOOKUP("Host",'vInfo (Imported)'!$1:$5000,M3832,FALSE)</f>
        <v>0</v>
      </c>
      <c r="R3832">
        <f>HLOOKUP("CPUs",'vInfo (Imported)'!$1:$5000,M3832,FALSE)</f>
        <v>0</v>
      </c>
      <c r="S3832">
        <f>HLOOKUP("Memory",'vInfo (Imported)'!$1:$5000,M3832,FALSE)</f>
        <v>0</v>
      </c>
      <c r="T3832">
        <f>HLOOKUP("Provisioned MiB",'vInfo (Imported)'!$1:$5000,M3832,FALSE)</f>
        <v>0</v>
      </c>
      <c r="U3832">
        <f t="shared" si="178"/>
        <v>0</v>
      </c>
      <c r="V3832">
        <f>HLOOKUP("In Use MiB",'vInfo (Imported)'!$1:$5000,M3832,FALSE)</f>
        <v>0</v>
      </c>
    </row>
    <row r="3833" spans="1:22" ht="13" x14ac:dyDescent="0.3">
      <c r="A3833" s="46">
        <f>'vHosts (Imported)'!A3833</f>
        <v>0</v>
      </c>
      <c r="B3833" s="51">
        <f t="shared" si="180"/>
        <v>4968</v>
      </c>
      <c r="C3833" s="49">
        <f>HLOOKUP("# Cores",'vHosts (Imported)'!$1:$5000,M3833,FALSE)</f>
        <v>0</v>
      </c>
      <c r="D3833" s="52">
        <f>HLOOKUP("# Memory",'vHosts (Imported)'!$1:$5000,M3833,FALSE)</f>
        <v>0</v>
      </c>
      <c r="M3833" s="45">
        <f t="shared" si="179"/>
        <v>3833</v>
      </c>
      <c r="N3833" s="38">
        <f>HLOOKUP("Host",'vInfo (Imported)'!$1:$5000,M3833,FALSE)</f>
        <v>0</v>
      </c>
      <c r="R3833">
        <f>HLOOKUP("CPUs",'vInfo (Imported)'!$1:$5000,M3833,FALSE)</f>
        <v>0</v>
      </c>
      <c r="S3833">
        <f>HLOOKUP("Memory",'vInfo (Imported)'!$1:$5000,M3833,FALSE)</f>
        <v>0</v>
      </c>
      <c r="T3833">
        <f>HLOOKUP("Provisioned MiB",'vInfo (Imported)'!$1:$5000,M3833,FALSE)</f>
        <v>0</v>
      </c>
      <c r="U3833">
        <f t="shared" si="178"/>
        <v>0</v>
      </c>
      <c r="V3833">
        <f>HLOOKUP("In Use MiB",'vInfo (Imported)'!$1:$5000,M3833,FALSE)</f>
        <v>0</v>
      </c>
    </row>
    <row r="3834" spans="1:22" ht="13" x14ac:dyDescent="0.3">
      <c r="A3834" s="46">
        <f>'vHosts (Imported)'!A3834</f>
        <v>0</v>
      </c>
      <c r="B3834" s="51">
        <f t="shared" si="180"/>
        <v>4968</v>
      </c>
      <c r="C3834" s="49">
        <f>HLOOKUP("# Cores",'vHosts (Imported)'!$1:$5000,M3834,FALSE)</f>
        <v>0</v>
      </c>
      <c r="D3834" s="52">
        <f>HLOOKUP("# Memory",'vHosts (Imported)'!$1:$5000,M3834,FALSE)</f>
        <v>0</v>
      </c>
      <c r="M3834" s="45">
        <f t="shared" si="179"/>
        <v>3834</v>
      </c>
      <c r="N3834" s="38">
        <f>HLOOKUP("Host",'vInfo (Imported)'!$1:$5000,M3834,FALSE)</f>
        <v>0</v>
      </c>
      <c r="R3834">
        <f>HLOOKUP("CPUs",'vInfo (Imported)'!$1:$5000,M3834,FALSE)</f>
        <v>0</v>
      </c>
      <c r="S3834">
        <f>HLOOKUP("Memory",'vInfo (Imported)'!$1:$5000,M3834,FALSE)</f>
        <v>0</v>
      </c>
      <c r="T3834">
        <f>HLOOKUP("Provisioned MiB",'vInfo (Imported)'!$1:$5000,M3834,FALSE)</f>
        <v>0</v>
      </c>
      <c r="U3834">
        <f t="shared" si="178"/>
        <v>0</v>
      </c>
      <c r="V3834">
        <f>HLOOKUP("In Use MiB",'vInfo (Imported)'!$1:$5000,M3834,FALSE)</f>
        <v>0</v>
      </c>
    </row>
    <row r="3835" spans="1:22" ht="13" x14ac:dyDescent="0.3">
      <c r="A3835" s="46">
        <f>'vHosts (Imported)'!A3835</f>
        <v>0</v>
      </c>
      <c r="B3835" s="51">
        <f t="shared" si="180"/>
        <v>4968</v>
      </c>
      <c r="C3835" s="49">
        <f>HLOOKUP("# Cores",'vHosts (Imported)'!$1:$5000,M3835,FALSE)</f>
        <v>0</v>
      </c>
      <c r="D3835" s="52">
        <f>HLOOKUP("# Memory",'vHosts (Imported)'!$1:$5000,M3835,FALSE)</f>
        <v>0</v>
      </c>
      <c r="M3835" s="45">
        <f t="shared" si="179"/>
        <v>3835</v>
      </c>
      <c r="N3835" s="38">
        <f>HLOOKUP("Host",'vInfo (Imported)'!$1:$5000,M3835,FALSE)</f>
        <v>0</v>
      </c>
      <c r="R3835">
        <f>HLOOKUP("CPUs",'vInfo (Imported)'!$1:$5000,M3835,FALSE)</f>
        <v>0</v>
      </c>
      <c r="S3835">
        <f>HLOOKUP("Memory",'vInfo (Imported)'!$1:$5000,M3835,FALSE)</f>
        <v>0</v>
      </c>
      <c r="T3835">
        <f>HLOOKUP("Provisioned MiB",'vInfo (Imported)'!$1:$5000,M3835,FALSE)</f>
        <v>0</v>
      </c>
      <c r="U3835">
        <f t="shared" si="178"/>
        <v>0</v>
      </c>
      <c r="V3835">
        <f>HLOOKUP("In Use MiB",'vInfo (Imported)'!$1:$5000,M3835,FALSE)</f>
        <v>0</v>
      </c>
    </row>
    <row r="3836" spans="1:22" ht="13" x14ac:dyDescent="0.3">
      <c r="A3836" s="46">
        <f>'vHosts (Imported)'!A3836</f>
        <v>0</v>
      </c>
      <c r="B3836" s="51">
        <f t="shared" si="180"/>
        <v>4968</v>
      </c>
      <c r="C3836" s="49">
        <f>HLOOKUP("# Cores",'vHosts (Imported)'!$1:$5000,M3836,FALSE)</f>
        <v>0</v>
      </c>
      <c r="D3836" s="52">
        <f>HLOOKUP("# Memory",'vHosts (Imported)'!$1:$5000,M3836,FALSE)</f>
        <v>0</v>
      </c>
      <c r="M3836" s="45">
        <f t="shared" si="179"/>
        <v>3836</v>
      </c>
      <c r="N3836" s="38">
        <f>HLOOKUP("Host",'vInfo (Imported)'!$1:$5000,M3836,FALSE)</f>
        <v>0</v>
      </c>
      <c r="R3836">
        <f>HLOOKUP("CPUs",'vInfo (Imported)'!$1:$5000,M3836,FALSE)</f>
        <v>0</v>
      </c>
      <c r="S3836">
        <f>HLOOKUP("Memory",'vInfo (Imported)'!$1:$5000,M3836,FALSE)</f>
        <v>0</v>
      </c>
      <c r="T3836">
        <f>HLOOKUP("Provisioned MiB",'vInfo (Imported)'!$1:$5000,M3836,FALSE)</f>
        <v>0</v>
      </c>
      <c r="U3836">
        <f t="shared" si="178"/>
        <v>0</v>
      </c>
      <c r="V3836">
        <f>HLOOKUP("In Use MiB",'vInfo (Imported)'!$1:$5000,M3836,FALSE)</f>
        <v>0</v>
      </c>
    </row>
    <row r="3837" spans="1:22" ht="13" x14ac:dyDescent="0.3">
      <c r="A3837" s="46">
        <f>'vHosts (Imported)'!A3837</f>
        <v>0</v>
      </c>
      <c r="B3837" s="51">
        <f t="shared" si="180"/>
        <v>4968</v>
      </c>
      <c r="C3837" s="49">
        <f>HLOOKUP("# Cores",'vHosts (Imported)'!$1:$5000,M3837,FALSE)</f>
        <v>0</v>
      </c>
      <c r="D3837" s="52">
        <f>HLOOKUP("# Memory",'vHosts (Imported)'!$1:$5000,M3837,FALSE)</f>
        <v>0</v>
      </c>
      <c r="M3837" s="45">
        <f t="shared" si="179"/>
        <v>3837</v>
      </c>
      <c r="N3837" s="38">
        <f>HLOOKUP("Host",'vInfo (Imported)'!$1:$5000,M3837,FALSE)</f>
        <v>0</v>
      </c>
      <c r="R3837">
        <f>HLOOKUP("CPUs",'vInfo (Imported)'!$1:$5000,M3837,FALSE)</f>
        <v>0</v>
      </c>
      <c r="S3837">
        <f>HLOOKUP("Memory",'vInfo (Imported)'!$1:$5000,M3837,FALSE)</f>
        <v>0</v>
      </c>
      <c r="T3837">
        <f>HLOOKUP("Provisioned MiB",'vInfo (Imported)'!$1:$5000,M3837,FALSE)</f>
        <v>0</v>
      </c>
      <c r="U3837">
        <f t="shared" si="178"/>
        <v>0</v>
      </c>
      <c r="V3837">
        <f>HLOOKUP("In Use MiB",'vInfo (Imported)'!$1:$5000,M3837,FALSE)</f>
        <v>0</v>
      </c>
    </row>
    <row r="3838" spans="1:22" ht="13" x14ac:dyDescent="0.3">
      <c r="A3838" s="46">
        <f>'vHosts (Imported)'!A3838</f>
        <v>0</v>
      </c>
      <c r="B3838" s="51">
        <f t="shared" si="180"/>
        <v>4968</v>
      </c>
      <c r="C3838" s="49">
        <f>HLOOKUP("# Cores",'vHosts (Imported)'!$1:$5000,M3838,FALSE)</f>
        <v>0</v>
      </c>
      <c r="D3838" s="52">
        <f>HLOOKUP("# Memory",'vHosts (Imported)'!$1:$5000,M3838,FALSE)</f>
        <v>0</v>
      </c>
      <c r="M3838" s="45">
        <f t="shared" si="179"/>
        <v>3838</v>
      </c>
      <c r="N3838" s="38">
        <f>HLOOKUP("Host",'vInfo (Imported)'!$1:$5000,M3838,FALSE)</f>
        <v>0</v>
      </c>
      <c r="R3838">
        <f>HLOOKUP("CPUs",'vInfo (Imported)'!$1:$5000,M3838,FALSE)</f>
        <v>0</v>
      </c>
      <c r="S3838">
        <f>HLOOKUP("Memory",'vInfo (Imported)'!$1:$5000,M3838,FALSE)</f>
        <v>0</v>
      </c>
      <c r="T3838">
        <f>HLOOKUP("Provisioned MiB",'vInfo (Imported)'!$1:$5000,M3838,FALSE)</f>
        <v>0</v>
      </c>
      <c r="U3838">
        <f t="shared" si="178"/>
        <v>0</v>
      </c>
      <c r="V3838">
        <f>HLOOKUP("In Use MiB",'vInfo (Imported)'!$1:$5000,M3838,FALSE)</f>
        <v>0</v>
      </c>
    </row>
    <row r="3839" spans="1:22" ht="13" x14ac:dyDescent="0.3">
      <c r="A3839" s="46">
        <f>'vHosts (Imported)'!A3839</f>
        <v>0</v>
      </c>
      <c r="B3839" s="51">
        <f t="shared" si="180"/>
        <v>4968</v>
      </c>
      <c r="C3839" s="49">
        <f>HLOOKUP("# Cores",'vHosts (Imported)'!$1:$5000,M3839,FALSE)</f>
        <v>0</v>
      </c>
      <c r="D3839" s="52">
        <f>HLOOKUP("# Memory",'vHosts (Imported)'!$1:$5000,M3839,FALSE)</f>
        <v>0</v>
      </c>
      <c r="M3839" s="45">
        <f t="shared" si="179"/>
        <v>3839</v>
      </c>
      <c r="N3839" s="38">
        <f>HLOOKUP("Host",'vInfo (Imported)'!$1:$5000,M3839,FALSE)</f>
        <v>0</v>
      </c>
      <c r="R3839">
        <f>HLOOKUP("CPUs",'vInfo (Imported)'!$1:$5000,M3839,FALSE)</f>
        <v>0</v>
      </c>
      <c r="S3839">
        <f>HLOOKUP("Memory",'vInfo (Imported)'!$1:$5000,M3839,FALSE)</f>
        <v>0</v>
      </c>
      <c r="T3839">
        <f>HLOOKUP("Provisioned MiB",'vInfo (Imported)'!$1:$5000,M3839,FALSE)</f>
        <v>0</v>
      </c>
      <c r="U3839">
        <f t="shared" si="178"/>
        <v>0</v>
      </c>
      <c r="V3839">
        <f>HLOOKUP("In Use MiB",'vInfo (Imported)'!$1:$5000,M3839,FALSE)</f>
        <v>0</v>
      </c>
    </row>
    <row r="3840" spans="1:22" ht="13" x14ac:dyDescent="0.3">
      <c r="A3840" s="46">
        <f>'vHosts (Imported)'!A3840</f>
        <v>0</v>
      </c>
      <c r="B3840" s="51">
        <f t="shared" si="180"/>
        <v>4968</v>
      </c>
      <c r="C3840" s="49">
        <f>HLOOKUP("# Cores",'vHosts (Imported)'!$1:$5000,M3840,FALSE)</f>
        <v>0</v>
      </c>
      <c r="D3840" s="52">
        <f>HLOOKUP("# Memory",'vHosts (Imported)'!$1:$5000,M3840,FALSE)</f>
        <v>0</v>
      </c>
      <c r="M3840" s="45">
        <f t="shared" si="179"/>
        <v>3840</v>
      </c>
      <c r="N3840" s="38">
        <f>HLOOKUP("Host",'vInfo (Imported)'!$1:$5000,M3840,FALSE)</f>
        <v>0</v>
      </c>
      <c r="R3840">
        <f>HLOOKUP("CPUs",'vInfo (Imported)'!$1:$5000,M3840,FALSE)</f>
        <v>0</v>
      </c>
      <c r="S3840">
        <f>HLOOKUP("Memory",'vInfo (Imported)'!$1:$5000,M3840,FALSE)</f>
        <v>0</v>
      </c>
      <c r="T3840">
        <f>HLOOKUP("Provisioned MiB",'vInfo (Imported)'!$1:$5000,M3840,FALSE)</f>
        <v>0</v>
      </c>
      <c r="U3840">
        <f t="shared" si="178"/>
        <v>0</v>
      </c>
      <c r="V3840">
        <f>HLOOKUP("In Use MiB",'vInfo (Imported)'!$1:$5000,M3840,FALSE)</f>
        <v>0</v>
      </c>
    </row>
    <row r="3841" spans="1:22" ht="13" x14ac:dyDescent="0.3">
      <c r="A3841" s="46">
        <f>'vHosts (Imported)'!A3841</f>
        <v>0</v>
      </c>
      <c r="B3841" s="51">
        <f t="shared" si="180"/>
        <v>4968</v>
      </c>
      <c r="C3841" s="49">
        <f>HLOOKUP("# Cores",'vHosts (Imported)'!$1:$5000,M3841,FALSE)</f>
        <v>0</v>
      </c>
      <c r="D3841" s="52">
        <f>HLOOKUP("# Memory",'vHosts (Imported)'!$1:$5000,M3841,FALSE)</f>
        <v>0</v>
      </c>
      <c r="M3841" s="45">
        <f t="shared" si="179"/>
        <v>3841</v>
      </c>
      <c r="N3841" s="38">
        <f>HLOOKUP("Host",'vInfo (Imported)'!$1:$5000,M3841,FALSE)</f>
        <v>0</v>
      </c>
      <c r="R3841">
        <f>HLOOKUP("CPUs",'vInfo (Imported)'!$1:$5000,M3841,FALSE)</f>
        <v>0</v>
      </c>
      <c r="S3841">
        <f>HLOOKUP("Memory",'vInfo (Imported)'!$1:$5000,M3841,FALSE)</f>
        <v>0</v>
      </c>
      <c r="T3841">
        <f>HLOOKUP("Provisioned MiB",'vInfo (Imported)'!$1:$5000,M3841,FALSE)</f>
        <v>0</v>
      </c>
      <c r="U3841">
        <f t="shared" si="178"/>
        <v>0</v>
      </c>
      <c r="V3841">
        <f>HLOOKUP("In Use MiB",'vInfo (Imported)'!$1:$5000,M3841,FALSE)</f>
        <v>0</v>
      </c>
    </row>
    <row r="3842" spans="1:22" ht="13" x14ac:dyDescent="0.3">
      <c r="A3842" s="46">
        <f>'vHosts (Imported)'!A3842</f>
        <v>0</v>
      </c>
      <c r="B3842" s="51">
        <f t="shared" si="180"/>
        <v>4968</v>
      </c>
      <c r="C3842" s="49">
        <f>HLOOKUP("# Cores",'vHosts (Imported)'!$1:$5000,M3842,FALSE)</f>
        <v>0</v>
      </c>
      <c r="D3842" s="52">
        <f>HLOOKUP("# Memory",'vHosts (Imported)'!$1:$5000,M3842,FALSE)</f>
        <v>0</v>
      </c>
      <c r="M3842" s="45">
        <f t="shared" si="179"/>
        <v>3842</v>
      </c>
      <c r="N3842" s="38">
        <f>HLOOKUP("Host",'vInfo (Imported)'!$1:$5000,M3842,FALSE)</f>
        <v>0</v>
      </c>
      <c r="R3842">
        <f>HLOOKUP("CPUs",'vInfo (Imported)'!$1:$5000,M3842,FALSE)</f>
        <v>0</v>
      </c>
      <c r="S3842">
        <f>HLOOKUP("Memory",'vInfo (Imported)'!$1:$5000,M3842,FALSE)</f>
        <v>0</v>
      </c>
      <c r="T3842">
        <f>HLOOKUP("Provisioned MiB",'vInfo (Imported)'!$1:$5000,M3842,FALSE)</f>
        <v>0</v>
      </c>
      <c r="U3842">
        <f t="shared" si="178"/>
        <v>0</v>
      </c>
      <c r="V3842">
        <f>HLOOKUP("In Use MiB",'vInfo (Imported)'!$1:$5000,M3842,FALSE)</f>
        <v>0</v>
      </c>
    </row>
    <row r="3843" spans="1:22" ht="13" x14ac:dyDescent="0.3">
      <c r="A3843" s="46">
        <f>'vHosts (Imported)'!A3843</f>
        <v>0</v>
      </c>
      <c r="B3843" s="51">
        <f t="shared" si="180"/>
        <v>4968</v>
      </c>
      <c r="C3843" s="49">
        <f>HLOOKUP("# Cores",'vHosts (Imported)'!$1:$5000,M3843,FALSE)</f>
        <v>0</v>
      </c>
      <c r="D3843" s="52">
        <f>HLOOKUP("# Memory",'vHosts (Imported)'!$1:$5000,M3843,FALSE)</f>
        <v>0</v>
      </c>
      <c r="M3843" s="45">
        <f t="shared" si="179"/>
        <v>3843</v>
      </c>
      <c r="N3843" s="38">
        <f>HLOOKUP("Host",'vInfo (Imported)'!$1:$5000,M3843,FALSE)</f>
        <v>0</v>
      </c>
      <c r="R3843">
        <f>HLOOKUP("CPUs",'vInfo (Imported)'!$1:$5000,M3843,FALSE)</f>
        <v>0</v>
      </c>
      <c r="S3843">
        <f>HLOOKUP("Memory",'vInfo (Imported)'!$1:$5000,M3843,FALSE)</f>
        <v>0</v>
      </c>
      <c r="T3843">
        <f>HLOOKUP("Provisioned MiB",'vInfo (Imported)'!$1:$5000,M3843,FALSE)</f>
        <v>0</v>
      </c>
      <c r="U3843">
        <f t="shared" ref="U3843:U3906" si="181">T3843-V3843</f>
        <v>0</v>
      </c>
      <c r="V3843">
        <f>HLOOKUP("In Use MiB",'vInfo (Imported)'!$1:$5000,M3843,FALSE)</f>
        <v>0</v>
      </c>
    </row>
    <row r="3844" spans="1:22" ht="13" x14ac:dyDescent="0.3">
      <c r="A3844" s="46">
        <f>'vHosts (Imported)'!A3844</f>
        <v>0</v>
      </c>
      <c r="B3844" s="51">
        <f t="shared" si="180"/>
        <v>4968</v>
      </c>
      <c r="C3844" s="49">
        <f>HLOOKUP("# Cores",'vHosts (Imported)'!$1:$5000,M3844,FALSE)</f>
        <v>0</v>
      </c>
      <c r="D3844" s="52">
        <f>HLOOKUP("# Memory",'vHosts (Imported)'!$1:$5000,M3844,FALSE)</f>
        <v>0</v>
      </c>
      <c r="M3844" s="45">
        <f t="shared" ref="M3844:M3907" si="182">M3843+1</f>
        <v>3844</v>
      </c>
      <c r="N3844" s="38">
        <f>HLOOKUP("Host",'vInfo (Imported)'!$1:$5000,M3844,FALSE)</f>
        <v>0</v>
      </c>
      <c r="R3844">
        <f>HLOOKUP("CPUs",'vInfo (Imported)'!$1:$5000,M3844,FALSE)</f>
        <v>0</v>
      </c>
      <c r="S3844">
        <f>HLOOKUP("Memory",'vInfo (Imported)'!$1:$5000,M3844,FALSE)</f>
        <v>0</v>
      </c>
      <c r="T3844">
        <f>HLOOKUP("Provisioned MiB",'vInfo (Imported)'!$1:$5000,M3844,FALSE)</f>
        <v>0</v>
      </c>
      <c r="U3844">
        <f t="shared" si="181"/>
        <v>0</v>
      </c>
      <c r="V3844">
        <f>HLOOKUP("In Use MiB",'vInfo (Imported)'!$1:$5000,M3844,FALSE)</f>
        <v>0</v>
      </c>
    </row>
    <row r="3845" spans="1:22" ht="13" x14ac:dyDescent="0.3">
      <c r="A3845" s="46">
        <f>'vHosts (Imported)'!A3845</f>
        <v>0</v>
      </c>
      <c r="B3845" s="51">
        <f t="shared" si="180"/>
        <v>4968</v>
      </c>
      <c r="C3845" s="49">
        <f>HLOOKUP("# Cores",'vHosts (Imported)'!$1:$5000,M3845,FALSE)</f>
        <v>0</v>
      </c>
      <c r="D3845" s="52">
        <f>HLOOKUP("# Memory",'vHosts (Imported)'!$1:$5000,M3845,FALSE)</f>
        <v>0</v>
      </c>
      <c r="M3845" s="45">
        <f t="shared" si="182"/>
        <v>3845</v>
      </c>
      <c r="N3845" s="38">
        <f>HLOOKUP("Host",'vInfo (Imported)'!$1:$5000,M3845,FALSE)</f>
        <v>0</v>
      </c>
      <c r="R3845">
        <f>HLOOKUP("CPUs",'vInfo (Imported)'!$1:$5000,M3845,FALSE)</f>
        <v>0</v>
      </c>
      <c r="S3845">
        <f>HLOOKUP("Memory",'vInfo (Imported)'!$1:$5000,M3845,FALSE)</f>
        <v>0</v>
      </c>
      <c r="T3845">
        <f>HLOOKUP("Provisioned MiB",'vInfo (Imported)'!$1:$5000,M3845,FALSE)</f>
        <v>0</v>
      </c>
      <c r="U3845">
        <f t="shared" si="181"/>
        <v>0</v>
      </c>
      <c r="V3845">
        <f>HLOOKUP("In Use MiB",'vInfo (Imported)'!$1:$5000,M3845,FALSE)</f>
        <v>0</v>
      </c>
    </row>
    <row r="3846" spans="1:22" ht="13" x14ac:dyDescent="0.3">
      <c r="A3846" s="46">
        <f>'vHosts (Imported)'!A3846</f>
        <v>0</v>
      </c>
      <c r="B3846" s="51">
        <f t="shared" si="180"/>
        <v>4968</v>
      </c>
      <c r="C3846" s="49">
        <f>HLOOKUP("# Cores",'vHosts (Imported)'!$1:$5000,M3846,FALSE)</f>
        <v>0</v>
      </c>
      <c r="D3846" s="52">
        <f>HLOOKUP("# Memory",'vHosts (Imported)'!$1:$5000,M3846,FALSE)</f>
        <v>0</v>
      </c>
      <c r="M3846" s="45">
        <f t="shared" si="182"/>
        <v>3846</v>
      </c>
      <c r="N3846" s="38">
        <f>HLOOKUP("Host",'vInfo (Imported)'!$1:$5000,M3846,FALSE)</f>
        <v>0</v>
      </c>
      <c r="R3846">
        <f>HLOOKUP("CPUs",'vInfo (Imported)'!$1:$5000,M3846,FALSE)</f>
        <v>0</v>
      </c>
      <c r="S3846">
        <f>HLOOKUP("Memory",'vInfo (Imported)'!$1:$5000,M3846,FALSE)</f>
        <v>0</v>
      </c>
      <c r="T3846">
        <f>HLOOKUP("Provisioned MiB",'vInfo (Imported)'!$1:$5000,M3846,FALSE)</f>
        <v>0</v>
      </c>
      <c r="U3846">
        <f t="shared" si="181"/>
        <v>0</v>
      </c>
      <c r="V3846">
        <f>HLOOKUP("In Use MiB",'vInfo (Imported)'!$1:$5000,M3846,FALSE)</f>
        <v>0</v>
      </c>
    </row>
    <row r="3847" spans="1:22" ht="13" x14ac:dyDescent="0.3">
      <c r="A3847" s="46">
        <f>'vHosts (Imported)'!A3847</f>
        <v>0</v>
      </c>
      <c r="B3847" s="51">
        <f t="shared" si="180"/>
        <v>4968</v>
      </c>
      <c r="C3847" s="49">
        <f>HLOOKUP("# Cores",'vHosts (Imported)'!$1:$5000,M3847,FALSE)</f>
        <v>0</v>
      </c>
      <c r="D3847" s="52">
        <f>HLOOKUP("# Memory",'vHosts (Imported)'!$1:$5000,M3847,FALSE)</f>
        <v>0</v>
      </c>
      <c r="M3847" s="45">
        <f t="shared" si="182"/>
        <v>3847</v>
      </c>
      <c r="N3847" s="38">
        <f>HLOOKUP("Host",'vInfo (Imported)'!$1:$5000,M3847,FALSE)</f>
        <v>0</v>
      </c>
      <c r="R3847">
        <f>HLOOKUP("CPUs",'vInfo (Imported)'!$1:$5000,M3847,FALSE)</f>
        <v>0</v>
      </c>
      <c r="S3847">
        <f>HLOOKUP("Memory",'vInfo (Imported)'!$1:$5000,M3847,FALSE)</f>
        <v>0</v>
      </c>
      <c r="T3847">
        <f>HLOOKUP("Provisioned MiB",'vInfo (Imported)'!$1:$5000,M3847,FALSE)</f>
        <v>0</v>
      </c>
      <c r="U3847">
        <f t="shared" si="181"/>
        <v>0</v>
      </c>
      <c r="V3847">
        <f>HLOOKUP("In Use MiB",'vInfo (Imported)'!$1:$5000,M3847,FALSE)</f>
        <v>0</v>
      </c>
    </row>
    <row r="3848" spans="1:22" ht="13" x14ac:dyDescent="0.3">
      <c r="A3848" s="46">
        <f>'vHosts (Imported)'!A3848</f>
        <v>0</v>
      </c>
      <c r="B3848" s="51">
        <f t="shared" si="180"/>
        <v>4968</v>
      </c>
      <c r="C3848" s="49">
        <f>HLOOKUP("# Cores",'vHosts (Imported)'!$1:$5000,M3848,FALSE)</f>
        <v>0</v>
      </c>
      <c r="D3848" s="52">
        <f>HLOOKUP("# Memory",'vHosts (Imported)'!$1:$5000,M3848,FALSE)</f>
        <v>0</v>
      </c>
      <c r="M3848" s="45">
        <f t="shared" si="182"/>
        <v>3848</v>
      </c>
      <c r="N3848" s="38">
        <f>HLOOKUP("Host",'vInfo (Imported)'!$1:$5000,M3848,FALSE)</f>
        <v>0</v>
      </c>
      <c r="R3848">
        <f>HLOOKUP("CPUs",'vInfo (Imported)'!$1:$5000,M3848,FALSE)</f>
        <v>0</v>
      </c>
      <c r="S3848">
        <f>HLOOKUP("Memory",'vInfo (Imported)'!$1:$5000,M3848,FALSE)</f>
        <v>0</v>
      </c>
      <c r="T3848">
        <f>HLOOKUP("Provisioned MiB",'vInfo (Imported)'!$1:$5000,M3848,FALSE)</f>
        <v>0</v>
      </c>
      <c r="U3848">
        <f t="shared" si="181"/>
        <v>0</v>
      </c>
      <c r="V3848">
        <f>HLOOKUP("In Use MiB",'vInfo (Imported)'!$1:$5000,M3848,FALSE)</f>
        <v>0</v>
      </c>
    </row>
    <row r="3849" spans="1:22" ht="13" x14ac:dyDescent="0.3">
      <c r="A3849" s="46">
        <f>'vHosts (Imported)'!A3849</f>
        <v>0</v>
      </c>
      <c r="B3849" s="51">
        <f t="shared" si="180"/>
        <v>4968</v>
      </c>
      <c r="C3849" s="49">
        <f>HLOOKUP("# Cores",'vHosts (Imported)'!$1:$5000,M3849,FALSE)</f>
        <v>0</v>
      </c>
      <c r="D3849" s="52">
        <f>HLOOKUP("# Memory",'vHosts (Imported)'!$1:$5000,M3849,FALSE)</f>
        <v>0</v>
      </c>
      <c r="M3849" s="45">
        <f t="shared" si="182"/>
        <v>3849</v>
      </c>
      <c r="N3849" s="38">
        <f>HLOOKUP("Host",'vInfo (Imported)'!$1:$5000,M3849,FALSE)</f>
        <v>0</v>
      </c>
      <c r="R3849">
        <f>HLOOKUP("CPUs",'vInfo (Imported)'!$1:$5000,M3849,FALSE)</f>
        <v>0</v>
      </c>
      <c r="S3849">
        <f>HLOOKUP("Memory",'vInfo (Imported)'!$1:$5000,M3849,FALSE)</f>
        <v>0</v>
      </c>
      <c r="T3849">
        <f>HLOOKUP("Provisioned MiB",'vInfo (Imported)'!$1:$5000,M3849,FALSE)</f>
        <v>0</v>
      </c>
      <c r="U3849">
        <f t="shared" si="181"/>
        <v>0</v>
      </c>
      <c r="V3849">
        <f>HLOOKUP("In Use MiB",'vInfo (Imported)'!$1:$5000,M3849,FALSE)</f>
        <v>0</v>
      </c>
    </row>
    <row r="3850" spans="1:22" ht="13" x14ac:dyDescent="0.3">
      <c r="A3850" s="46">
        <f>'vHosts (Imported)'!A3850</f>
        <v>0</v>
      </c>
      <c r="B3850" s="51">
        <f t="shared" si="180"/>
        <v>4968</v>
      </c>
      <c r="C3850" s="49">
        <f>HLOOKUP("# Cores",'vHosts (Imported)'!$1:$5000,M3850,FALSE)</f>
        <v>0</v>
      </c>
      <c r="D3850" s="52">
        <f>HLOOKUP("# Memory",'vHosts (Imported)'!$1:$5000,M3850,FALSE)</f>
        <v>0</v>
      </c>
      <c r="M3850" s="45">
        <f t="shared" si="182"/>
        <v>3850</v>
      </c>
      <c r="N3850" s="38">
        <f>HLOOKUP("Host",'vInfo (Imported)'!$1:$5000,M3850,FALSE)</f>
        <v>0</v>
      </c>
      <c r="R3850">
        <f>HLOOKUP("CPUs",'vInfo (Imported)'!$1:$5000,M3850,FALSE)</f>
        <v>0</v>
      </c>
      <c r="S3850">
        <f>HLOOKUP("Memory",'vInfo (Imported)'!$1:$5000,M3850,FALSE)</f>
        <v>0</v>
      </c>
      <c r="T3850">
        <f>HLOOKUP("Provisioned MiB",'vInfo (Imported)'!$1:$5000,M3850,FALSE)</f>
        <v>0</v>
      </c>
      <c r="U3850">
        <f t="shared" si="181"/>
        <v>0</v>
      </c>
      <c r="V3850">
        <f>HLOOKUP("In Use MiB",'vInfo (Imported)'!$1:$5000,M3850,FALSE)</f>
        <v>0</v>
      </c>
    </row>
    <row r="3851" spans="1:22" ht="13" x14ac:dyDescent="0.3">
      <c r="A3851" s="46">
        <f>'vHosts (Imported)'!A3851</f>
        <v>0</v>
      </c>
      <c r="B3851" s="51">
        <f t="shared" si="180"/>
        <v>4968</v>
      </c>
      <c r="C3851" s="49">
        <f>HLOOKUP("# Cores",'vHosts (Imported)'!$1:$5000,M3851,FALSE)</f>
        <v>0</v>
      </c>
      <c r="D3851" s="52">
        <f>HLOOKUP("# Memory",'vHosts (Imported)'!$1:$5000,M3851,FALSE)</f>
        <v>0</v>
      </c>
      <c r="M3851" s="45">
        <f t="shared" si="182"/>
        <v>3851</v>
      </c>
      <c r="N3851" s="38">
        <f>HLOOKUP("Host",'vInfo (Imported)'!$1:$5000,M3851,FALSE)</f>
        <v>0</v>
      </c>
      <c r="R3851">
        <f>HLOOKUP("CPUs",'vInfo (Imported)'!$1:$5000,M3851,FALSE)</f>
        <v>0</v>
      </c>
      <c r="S3851">
        <f>HLOOKUP("Memory",'vInfo (Imported)'!$1:$5000,M3851,FALSE)</f>
        <v>0</v>
      </c>
      <c r="T3851">
        <f>HLOOKUP("Provisioned MiB",'vInfo (Imported)'!$1:$5000,M3851,FALSE)</f>
        <v>0</v>
      </c>
      <c r="U3851">
        <f t="shared" si="181"/>
        <v>0</v>
      </c>
      <c r="V3851">
        <f>HLOOKUP("In Use MiB",'vInfo (Imported)'!$1:$5000,M3851,FALSE)</f>
        <v>0</v>
      </c>
    </row>
    <row r="3852" spans="1:22" ht="13" x14ac:dyDescent="0.3">
      <c r="A3852" s="46">
        <f>'vHosts (Imported)'!A3852</f>
        <v>0</v>
      </c>
      <c r="B3852" s="51">
        <f t="shared" si="180"/>
        <v>4968</v>
      </c>
      <c r="C3852" s="49">
        <f>HLOOKUP("# Cores",'vHosts (Imported)'!$1:$5000,M3852,FALSE)</f>
        <v>0</v>
      </c>
      <c r="D3852" s="52">
        <f>HLOOKUP("# Memory",'vHosts (Imported)'!$1:$5000,M3852,FALSE)</f>
        <v>0</v>
      </c>
      <c r="M3852" s="45">
        <f t="shared" si="182"/>
        <v>3852</v>
      </c>
      <c r="N3852" s="38">
        <f>HLOOKUP("Host",'vInfo (Imported)'!$1:$5000,M3852,FALSE)</f>
        <v>0</v>
      </c>
      <c r="R3852">
        <f>HLOOKUP("CPUs",'vInfo (Imported)'!$1:$5000,M3852,FALSE)</f>
        <v>0</v>
      </c>
      <c r="S3852">
        <f>HLOOKUP("Memory",'vInfo (Imported)'!$1:$5000,M3852,FALSE)</f>
        <v>0</v>
      </c>
      <c r="T3852">
        <f>HLOOKUP("Provisioned MiB",'vInfo (Imported)'!$1:$5000,M3852,FALSE)</f>
        <v>0</v>
      </c>
      <c r="U3852">
        <f t="shared" si="181"/>
        <v>0</v>
      </c>
      <c r="V3852">
        <f>HLOOKUP("In Use MiB",'vInfo (Imported)'!$1:$5000,M3852,FALSE)</f>
        <v>0</v>
      </c>
    </row>
    <row r="3853" spans="1:22" ht="13" x14ac:dyDescent="0.3">
      <c r="A3853" s="46">
        <f>'vHosts (Imported)'!A3853</f>
        <v>0</v>
      </c>
      <c r="B3853" s="51">
        <f t="shared" si="180"/>
        <v>4968</v>
      </c>
      <c r="C3853" s="49">
        <f>HLOOKUP("# Cores",'vHosts (Imported)'!$1:$5000,M3853,FALSE)</f>
        <v>0</v>
      </c>
      <c r="D3853" s="52">
        <f>HLOOKUP("# Memory",'vHosts (Imported)'!$1:$5000,M3853,FALSE)</f>
        <v>0</v>
      </c>
      <c r="M3853" s="45">
        <f t="shared" si="182"/>
        <v>3853</v>
      </c>
      <c r="N3853" s="38">
        <f>HLOOKUP("Host",'vInfo (Imported)'!$1:$5000,M3853,FALSE)</f>
        <v>0</v>
      </c>
      <c r="R3853">
        <f>HLOOKUP("CPUs",'vInfo (Imported)'!$1:$5000,M3853,FALSE)</f>
        <v>0</v>
      </c>
      <c r="S3853">
        <f>HLOOKUP("Memory",'vInfo (Imported)'!$1:$5000,M3853,FALSE)</f>
        <v>0</v>
      </c>
      <c r="T3853">
        <f>HLOOKUP("Provisioned MiB",'vInfo (Imported)'!$1:$5000,M3853,FALSE)</f>
        <v>0</v>
      </c>
      <c r="U3853">
        <f t="shared" si="181"/>
        <v>0</v>
      </c>
      <c r="V3853">
        <f>HLOOKUP("In Use MiB",'vInfo (Imported)'!$1:$5000,M3853,FALSE)</f>
        <v>0</v>
      </c>
    </row>
    <row r="3854" spans="1:22" ht="13" x14ac:dyDescent="0.3">
      <c r="A3854" s="46">
        <f>'vHosts (Imported)'!A3854</f>
        <v>0</v>
      </c>
      <c r="B3854" s="51">
        <f t="shared" si="180"/>
        <v>4968</v>
      </c>
      <c r="C3854" s="49">
        <f>HLOOKUP("# Cores",'vHosts (Imported)'!$1:$5000,M3854,FALSE)</f>
        <v>0</v>
      </c>
      <c r="D3854" s="52">
        <f>HLOOKUP("# Memory",'vHosts (Imported)'!$1:$5000,M3854,FALSE)</f>
        <v>0</v>
      </c>
      <c r="M3854" s="45">
        <f t="shared" si="182"/>
        <v>3854</v>
      </c>
      <c r="N3854" s="38">
        <f>HLOOKUP("Host",'vInfo (Imported)'!$1:$5000,M3854,FALSE)</f>
        <v>0</v>
      </c>
      <c r="R3854">
        <f>HLOOKUP("CPUs",'vInfo (Imported)'!$1:$5000,M3854,FALSE)</f>
        <v>0</v>
      </c>
      <c r="S3854">
        <f>HLOOKUP("Memory",'vInfo (Imported)'!$1:$5000,M3854,FALSE)</f>
        <v>0</v>
      </c>
      <c r="T3854">
        <f>HLOOKUP("Provisioned MiB",'vInfo (Imported)'!$1:$5000,M3854,FALSE)</f>
        <v>0</v>
      </c>
      <c r="U3854">
        <f t="shared" si="181"/>
        <v>0</v>
      </c>
      <c r="V3854">
        <f>HLOOKUP("In Use MiB",'vInfo (Imported)'!$1:$5000,M3854,FALSE)</f>
        <v>0</v>
      </c>
    </row>
    <row r="3855" spans="1:22" ht="13" x14ac:dyDescent="0.3">
      <c r="A3855" s="46">
        <f>'vHosts (Imported)'!A3855</f>
        <v>0</v>
      </c>
      <c r="B3855" s="51">
        <f t="shared" si="180"/>
        <v>4968</v>
      </c>
      <c r="C3855" s="49">
        <f>HLOOKUP("# Cores",'vHosts (Imported)'!$1:$5000,M3855,FALSE)</f>
        <v>0</v>
      </c>
      <c r="D3855" s="52">
        <f>HLOOKUP("# Memory",'vHosts (Imported)'!$1:$5000,M3855,FALSE)</f>
        <v>0</v>
      </c>
      <c r="M3855" s="45">
        <f t="shared" si="182"/>
        <v>3855</v>
      </c>
      <c r="N3855" s="38">
        <f>HLOOKUP("Host",'vInfo (Imported)'!$1:$5000,M3855,FALSE)</f>
        <v>0</v>
      </c>
      <c r="R3855">
        <f>HLOOKUP("CPUs",'vInfo (Imported)'!$1:$5000,M3855,FALSE)</f>
        <v>0</v>
      </c>
      <c r="S3855">
        <f>HLOOKUP("Memory",'vInfo (Imported)'!$1:$5000,M3855,FALSE)</f>
        <v>0</v>
      </c>
      <c r="T3855">
        <f>HLOOKUP("Provisioned MiB",'vInfo (Imported)'!$1:$5000,M3855,FALSE)</f>
        <v>0</v>
      </c>
      <c r="U3855">
        <f t="shared" si="181"/>
        <v>0</v>
      </c>
      <c r="V3855">
        <f>HLOOKUP("In Use MiB",'vInfo (Imported)'!$1:$5000,M3855,FALSE)</f>
        <v>0</v>
      </c>
    </row>
    <row r="3856" spans="1:22" ht="13" x14ac:dyDescent="0.3">
      <c r="A3856" s="46">
        <f>'vHosts (Imported)'!A3856</f>
        <v>0</v>
      </c>
      <c r="B3856" s="51">
        <f t="shared" si="180"/>
        <v>4968</v>
      </c>
      <c r="C3856" s="49">
        <f>HLOOKUP("# Cores",'vHosts (Imported)'!$1:$5000,M3856,FALSE)</f>
        <v>0</v>
      </c>
      <c r="D3856" s="52">
        <f>HLOOKUP("# Memory",'vHosts (Imported)'!$1:$5000,M3856,FALSE)</f>
        <v>0</v>
      </c>
      <c r="M3856" s="45">
        <f t="shared" si="182"/>
        <v>3856</v>
      </c>
      <c r="N3856" s="38">
        <f>HLOOKUP("Host",'vInfo (Imported)'!$1:$5000,M3856,FALSE)</f>
        <v>0</v>
      </c>
      <c r="R3856">
        <f>HLOOKUP("CPUs",'vInfo (Imported)'!$1:$5000,M3856,FALSE)</f>
        <v>0</v>
      </c>
      <c r="S3856">
        <f>HLOOKUP("Memory",'vInfo (Imported)'!$1:$5000,M3856,FALSE)</f>
        <v>0</v>
      </c>
      <c r="T3856">
        <f>HLOOKUP("Provisioned MiB",'vInfo (Imported)'!$1:$5000,M3856,FALSE)</f>
        <v>0</v>
      </c>
      <c r="U3856">
        <f t="shared" si="181"/>
        <v>0</v>
      </c>
      <c r="V3856">
        <f>HLOOKUP("In Use MiB",'vInfo (Imported)'!$1:$5000,M3856,FALSE)</f>
        <v>0</v>
      </c>
    </row>
    <row r="3857" spans="1:22" ht="13" x14ac:dyDescent="0.3">
      <c r="A3857" s="46">
        <f>'vHosts (Imported)'!A3857</f>
        <v>0</v>
      </c>
      <c r="B3857" s="51">
        <f t="shared" si="180"/>
        <v>4968</v>
      </c>
      <c r="C3857" s="49">
        <f>HLOOKUP("# Cores",'vHosts (Imported)'!$1:$5000,M3857,FALSE)</f>
        <v>0</v>
      </c>
      <c r="D3857" s="52">
        <f>HLOOKUP("# Memory",'vHosts (Imported)'!$1:$5000,M3857,FALSE)</f>
        <v>0</v>
      </c>
      <c r="M3857" s="45">
        <f t="shared" si="182"/>
        <v>3857</v>
      </c>
      <c r="N3857" s="38">
        <f>HLOOKUP("Host",'vInfo (Imported)'!$1:$5000,M3857,FALSE)</f>
        <v>0</v>
      </c>
      <c r="R3857">
        <f>HLOOKUP("CPUs",'vInfo (Imported)'!$1:$5000,M3857,FALSE)</f>
        <v>0</v>
      </c>
      <c r="S3857">
        <f>HLOOKUP("Memory",'vInfo (Imported)'!$1:$5000,M3857,FALSE)</f>
        <v>0</v>
      </c>
      <c r="T3857">
        <f>HLOOKUP("Provisioned MiB",'vInfo (Imported)'!$1:$5000,M3857,FALSE)</f>
        <v>0</v>
      </c>
      <c r="U3857">
        <f t="shared" si="181"/>
        <v>0</v>
      </c>
      <c r="V3857">
        <f>HLOOKUP("In Use MiB",'vInfo (Imported)'!$1:$5000,M3857,FALSE)</f>
        <v>0</v>
      </c>
    </row>
    <row r="3858" spans="1:22" ht="13" x14ac:dyDescent="0.3">
      <c r="A3858" s="46">
        <f>'vHosts (Imported)'!A3858</f>
        <v>0</v>
      </c>
      <c r="B3858" s="51">
        <f t="shared" si="180"/>
        <v>4968</v>
      </c>
      <c r="C3858" s="49">
        <f>HLOOKUP("# Cores",'vHosts (Imported)'!$1:$5000,M3858,FALSE)</f>
        <v>0</v>
      </c>
      <c r="D3858" s="52">
        <f>HLOOKUP("# Memory",'vHosts (Imported)'!$1:$5000,M3858,FALSE)</f>
        <v>0</v>
      </c>
      <c r="M3858" s="45">
        <f t="shared" si="182"/>
        <v>3858</v>
      </c>
      <c r="N3858" s="38">
        <f>HLOOKUP("Host",'vInfo (Imported)'!$1:$5000,M3858,FALSE)</f>
        <v>0</v>
      </c>
      <c r="R3858">
        <f>HLOOKUP("CPUs",'vInfo (Imported)'!$1:$5000,M3858,FALSE)</f>
        <v>0</v>
      </c>
      <c r="S3858">
        <f>HLOOKUP("Memory",'vInfo (Imported)'!$1:$5000,M3858,FALSE)</f>
        <v>0</v>
      </c>
      <c r="T3858">
        <f>HLOOKUP("Provisioned MiB",'vInfo (Imported)'!$1:$5000,M3858,FALSE)</f>
        <v>0</v>
      </c>
      <c r="U3858">
        <f t="shared" si="181"/>
        <v>0</v>
      </c>
      <c r="V3858">
        <f>HLOOKUP("In Use MiB",'vInfo (Imported)'!$1:$5000,M3858,FALSE)</f>
        <v>0</v>
      </c>
    </row>
    <row r="3859" spans="1:22" ht="13" x14ac:dyDescent="0.3">
      <c r="A3859" s="46">
        <f>'vHosts (Imported)'!A3859</f>
        <v>0</v>
      </c>
      <c r="B3859" s="51">
        <f t="shared" si="180"/>
        <v>4968</v>
      </c>
      <c r="C3859" s="49">
        <f>HLOOKUP("# Cores",'vHosts (Imported)'!$1:$5000,M3859,FALSE)</f>
        <v>0</v>
      </c>
      <c r="D3859" s="52">
        <f>HLOOKUP("# Memory",'vHosts (Imported)'!$1:$5000,M3859,FALSE)</f>
        <v>0</v>
      </c>
      <c r="M3859" s="45">
        <f t="shared" si="182"/>
        <v>3859</v>
      </c>
      <c r="N3859" s="38">
        <f>HLOOKUP("Host",'vInfo (Imported)'!$1:$5000,M3859,FALSE)</f>
        <v>0</v>
      </c>
      <c r="R3859">
        <f>HLOOKUP("CPUs",'vInfo (Imported)'!$1:$5000,M3859,FALSE)</f>
        <v>0</v>
      </c>
      <c r="S3859">
        <f>HLOOKUP("Memory",'vInfo (Imported)'!$1:$5000,M3859,FALSE)</f>
        <v>0</v>
      </c>
      <c r="T3859">
        <f>HLOOKUP("Provisioned MiB",'vInfo (Imported)'!$1:$5000,M3859,FALSE)</f>
        <v>0</v>
      </c>
      <c r="U3859">
        <f t="shared" si="181"/>
        <v>0</v>
      </c>
      <c r="V3859">
        <f>HLOOKUP("In Use MiB",'vInfo (Imported)'!$1:$5000,M3859,FALSE)</f>
        <v>0</v>
      </c>
    </row>
    <row r="3860" spans="1:22" ht="13" x14ac:dyDescent="0.3">
      <c r="A3860" s="46">
        <f>'vHosts (Imported)'!A3860</f>
        <v>0</v>
      </c>
      <c r="B3860" s="51">
        <f t="shared" si="180"/>
        <v>4968</v>
      </c>
      <c r="C3860" s="49">
        <f>HLOOKUP("# Cores",'vHosts (Imported)'!$1:$5000,M3860,FALSE)</f>
        <v>0</v>
      </c>
      <c r="D3860" s="52">
        <f>HLOOKUP("# Memory",'vHosts (Imported)'!$1:$5000,M3860,FALSE)</f>
        <v>0</v>
      </c>
      <c r="M3860" s="45">
        <f t="shared" si="182"/>
        <v>3860</v>
      </c>
      <c r="N3860" s="38">
        <f>HLOOKUP("Host",'vInfo (Imported)'!$1:$5000,M3860,FALSE)</f>
        <v>0</v>
      </c>
      <c r="R3860">
        <f>HLOOKUP("CPUs",'vInfo (Imported)'!$1:$5000,M3860,FALSE)</f>
        <v>0</v>
      </c>
      <c r="S3860">
        <f>HLOOKUP("Memory",'vInfo (Imported)'!$1:$5000,M3860,FALSE)</f>
        <v>0</v>
      </c>
      <c r="T3860">
        <f>HLOOKUP("Provisioned MiB",'vInfo (Imported)'!$1:$5000,M3860,FALSE)</f>
        <v>0</v>
      </c>
      <c r="U3860">
        <f t="shared" si="181"/>
        <v>0</v>
      </c>
      <c r="V3860">
        <f>HLOOKUP("In Use MiB",'vInfo (Imported)'!$1:$5000,M3860,FALSE)</f>
        <v>0</v>
      </c>
    </row>
    <row r="3861" spans="1:22" ht="13" x14ac:dyDescent="0.3">
      <c r="A3861" s="46">
        <f>'vHosts (Imported)'!A3861</f>
        <v>0</v>
      </c>
      <c r="B3861" s="51">
        <f t="shared" si="180"/>
        <v>4968</v>
      </c>
      <c r="C3861" s="49">
        <f>HLOOKUP("# Cores",'vHosts (Imported)'!$1:$5000,M3861,FALSE)</f>
        <v>0</v>
      </c>
      <c r="D3861" s="52">
        <f>HLOOKUP("# Memory",'vHosts (Imported)'!$1:$5000,M3861,FALSE)</f>
        <v>0</v>
      </c>
      <c r="M3861" s="45">
        <f t="shared" si="182"/>
        <v>3861</v>
      </c>
      <c r="N3861" s="38">
        <f>HLOOKUP("Host",'vInfo (Imported)'!$1:$5000,M3861,FALSE)</f>
        <v>0</v>
      </c>
      <c r="R3861">
        <f>HLOOKUP("CPUs",'vInfo (Imported)'!$1:$5000,M3861,FALSE)</f>
        <v>0</v>
      </c>
      <c r="S3861">
        <f>HLOOKUP("Memory",'vInfo (Imported)'!$1:$5000,M3861,FALSE)</f>
        <v>0</v>
      </c>
      <c r="T3861">
        <f>HLOOKUP("Provisioned MiB",'vInfo (Imported)'!$1:$5000,M3861,FALSE)</f>
        <v>0</v>
      </c>
      <c r="U3861">
        <f t="shared" si="181"/>
        <v>0</v>
      </c>
      <c r="V3861">
        <f>HLOOKUP("In Use MiB",'vInfo (Imported)'!$1:$5000,M3861,FALSE)</f>
        <v>0</v>
      </c>
    </row>
    <row r="3862" spans="1:22" ht="13" x14ac:dyDescent="0.3">
      <c r="A3862" s="46">
        <f>'vHosts (Imported)'!A3862</f>
        <v>0</v>
      </c>
      <c r="B3862" s="51">
        <f t="shared" si="180"/>
        <v>4968</v>
      </c>
      <c r="C3862" s="49">
        <f>HLOOKUP("# Cores",'vHosts (Imported)'!$1:$5000,M3862,FALSE)</f>
        <v>0</v>
      </c>
      <c r="D3862" s="52">
        <f>HLOOKUP("# Memory",'vHosts (Imported)'!$1:$5000,M3862,FALSE)</f>
        <v>0</v>
      </c>
      <c r="M3862" s="45">
        <f t="shared" si="182"/>
        <v>3862</v>
      </c>
      <c r="N3862" s="38">
        <f>HLOOKUP("Host",'vInfo (Imported)'!$1:$5000,M3862,FALSE)</f>
        <v>0</v>
      </c>
      <c r="R3862">
        <f>HLOOKUP("CPUs",'vInfo (Imported)'!$1:$5000,M3862,FALSE)</f>
        <v>0</v>
      </c>
      <c r="S3862">
        <f>HLOOKUP("Memory",'vInfo (Imported)'!$1:$5000,M3862,FALSE)</f>
        <v>0</v>
      </c>
      <c r="T3862">
        <f>HLOOKUP("Provisioned MiB",'vInfo (Imported)'!$1:$5000,M3862,FALSE)</f>
        <v>0</v>
      </c>
      <c r="U3862">
        <f t="shared" si="181"/>
        <v>0</v>
      </c>
      <c r="V3862">
        <f>HLOOKUP("In Use MiB",'vInfo (Imported)'!$1:$5000,M3862,FALSE)</f>
        <v>0</v>
      </c>
    </row>
    <row r="3863" spans="1:22" ht="13" x14ac:dyDescent="0.3">
      <c r="A3863" s="46">
        <f>'vHosts (Imported)'!A3863</f>
        <v>0</v>
      </c>
      <c r="B3863" s="51">
        <f t="shared" si="180"/>
        <v>4968</v>
      </c>
      <c r="C3863" s="49">
        <f>HLOOKUP("# Cores",'vHosts (Imported)'!$1:$5000,M3863,FALSE)</f>
        <v>0</v>
      </c>
      <c r="D3863" s="52">
        <f>HLOOKUP("# Memory",'vHosts (Imported)'!$1:$5000,M3863,FALSE)</f>
        <v>0</v>
      </c>
      <c r="M3863" s="45">
        <f t="shared" si="182"/>
        <v>3863</v>
      </c>
      <c r="N3863" s="38">
        <f>HLOOKUP("Host",'vInfo (Imported)'!$1:$5000,M3863,FALSE)</f>
        <v>0</v>
      </c>
      <c r="R3863">
        <f>HLOOKUP("CPUs",'vInfo (Imported)'!$1:$5000,M3863,FALSE)</f>
        <v>0</v>
      </c>
      <c r="S3863">
        <f>HLOOKUP("Memory",'vInfo (Imported)'!$1:$5000,M3863,FALSE)</f>
        <v>0</v>
      </c>
      <c r="T3863">
        <f>HLOOKUP("Provisioned MiB",'vInfo (Imported)'!$1:$5000,M3863,FALSE)</f>
        <v>0</v>
      </c>
      <c r="U3863">
        <f t="shared" si="181"/>
        <v>0</v>
      </c>
      <c r="V3863">
        <f>HLOOKUP("In Use MiB",'vInfo (Imported)'!$1:$5000,M3863,FALSE)</f>
        <v>0</v>
      </c>
    </row>
    <row r="3864" spans="1:22" ht="13" x14ac:dyDescent="0.3">
      <c r="A3864" s="46">
        <f>'vHosts (Imported)'!A3864</f>
        <v>0</v>
      </c>
      <c r="B3864" s="51">
        <f t="shared" si="180"/>
        <v>4968</v>
      </c>
      <c r="C3864" s="49">
        <f>HLOOKUP("# Cores",'vHosts (Imported)'!$1:$5000,M3864,FALSE)</f>
        <v>0</v>
      </c>
      <c r="D3864" s="52">
        <f>HLOOKUP("# Memory",'vHosts (Imported)'!$1:$5000,M3864,FALSE)</f>
        <v>0</v>
      </c>
      <c r="M3864" s="45">
        <f t="shared" si="182"/>
        <v>3864</v>
      </c>
      <c r="N3864" s="38">
        <f>HLOOKUP("Host",'vInfo (Imported)'!$1:$5000,M3864,FALSE)</f>
        <v>0</v>
      </c>
      <c r="R3864">
        <f>HLOOKUP("CPUs",'vInfo (Imported)'!$1:$5000,M3864,FALSE)</f>
        <v>0</v>
      </c>
      <c r="S3864">
        <f>HLOOKUP("Memory",'vInfo (Imported)'!$1:$5000,M3864,FALSE)</f>
        <v>0</v>
      </c>
      <c r="T3864">
        <f>HLOOKUP("Provisioned MiB",'vInfo (Imported)'!$1:$5000,M3864,FALSE)</f>
        <v>0</v>
      </c>
      <c r="U3864">
        <f t="shared" si="181"/>
        <v>0</v>
      </c>
      <c r="V3864">
        <f>HLOOKUP("In Use MiB",'vInfo (Imported)'!$1:$5000,M3864,FALSE)</f>
        <v>0</v>
      </c>
    </row>
    <row r="3865" spans="1:22" ht="13" x14ac:dyDescent="0.3">
      <c r="A3865" s="46">
        <f>'vHosts (Imported)'!A3865</f>
        <v>0</v>
      </c>
      <c r="B3865" s="51">
        <f t="shared" si="180"/>
        <v>4968</v>
      </c>
      <c r="C3865" s="49">
        <f>HLOOKUP("# Cores",'vHosts (Imported)'!$1:$5000,M3865,FALSE)</f>
        <v>0</v>
      </c>
      <c r="D3865" s="52">
        <f>HLOOKUP("# Memory",'vHosts (Imported)'!$1:$5000,M3865,FALSE)</f>
        <v>0</v>
      </c>
      <c r="M3865" s="45">
        <f t="shared" si="182"/>
        <v>3865</v>
      </c>
      <c r="N3865" s="38">
        <f>HLOOKUP("Host",'vInfo (Imported)'!$1:$5000,M3865,FALSE)</f>
        <v>0</v>
      </c>
      <c r="R3865">
        <f>HLOOKUP("CPUs",'vInfo (Imported)'!$1:$5000,M3865,FALSE)</f>
        <v>0</v>
      </c>
      <c r="S3865">
        <f>HLOOKUP("Memory",'vInfo (Imported)'!$1:$5000,M3865,FALSE)</f>
        <v>0</v>
      </c>
      <c r="T3865">
        <f>HLOOKUP("Provisioned MiB",'vInfo (Imported)'!$1:$5000,M3865,FALSE)</f>
        <v>0</v>
      </c>
      <c r="U3865">
        <f t="shared" si="181"/>
        <v>0</v>
      </c>
      <c r="V3865">
        <f>HLOOKUP("In Use MiB",'vInfo (Imported)'!$1:$5000,M3865,FALSE)</f>
        <v>0</v>
      </c>
    </row>
    <row r="3866" spans="1:22" ht="13" x14ac:dyDescent="0.3">
      <c r="A3866" s="46">
        <f>'vHosts (Imported)'!A3866</f>
        <v>0</v>
      </c>
      <c r="B3866" s="51">
        <f t="shared" si="180"/>
        <v>4968</v>
      </c>
      <c r="C3866" s="49">
        <f>HLOOKUP("# Cores",'vHosts (Imported)'!$1:$5000,M3866,FALSE)</f>
        <v>0</v>
      </c>
      <c r="D3866" s="52">
        <f>HLOOKUP("# Memory",'vHosts (Imported)'!$1:$5000,M3866,FALSE)</f>
        <v>0</v>
      </c>
      <c r="M3866" s="45">
        <f t="shared" si="182"/>
        <v>3866</v>
      </c>
      <c r="N3866" s="38">
        <f>HLOOKUP("Host",'vInfo (Imported)'!$1:$5000,M3866,FALSE)</f>
        <v>0</v>
      </c>
      <c r="R3866">
        <f>HLOOKUP("CPUs",'vInfo (Imported)'!$1:$5000,M3866,FALSE)</f>
        <v>0</v>
      </c>
      <c r="S3866">
        <f>HLOOKUP("Memory",'vInfo (Imported)'!$1:$5000,M3866,FALSE)</f>
        <v>0</v>
      </c>
      <c r="T3866">
        <f>HLOOKUP("Provisioned MiB",'vInfo (Imported)'!$1:$5000,M3866,FALSE)</f>
        <v>0</v>
      </c>
      <c r="U3866">
        <f t="shared" si="181"/>
        <v>0</v>
      </c>
      <c r="V3866">
        <f>HLOOKUP("In Use MiB",'vInfo (Imported)'!$1:$5000,M3866,FALSE)</f>
        <v>0</v>
      </c>
    </row>
    <row r="3867" spans="1:22" ht="13" x14ac:dyDescent="0.3">
      <c r="A3867" s="46">
        <f>'vHosts (Imported)'!A3867</f>
        <v>0</v>
      </c>
      <c r="B3867" s="51">
        <f t="shared" si="180"/>
        <v>4968</v>
      </c>
      <c r="C3867" s="49">
        <f>HLOOKUP("# Cores",'vHosts (Imported)'!$1:$5000,M3867,FALSE)</f>
        <v>0</v>
      </c>
      <c r="D3867" s="52">
        <f>HLOOKUP("# Memory",'vHosts (Imported)'!$1:$5000,M3867,FALSE)</f>
        <v>0</v>
      </c>
      <c r="M3867" s="45">
        <f t="shared" si="182"/>
        <v>3867</v>
      </c>
      <c r="N3867" s="38">
        <f>HLOOKUP("Host",'vInfo (Imported)'!$1:$5000,M3867,FALSE)</f>
        <v>0</v>
      </c>
      <c r="R3867">
        <f>HLOOKUP("CPUs",'vInfo (Imported)'!$1:$5000,M3867,FALSE)</f>
        <v>0</v>
      </c>
      <c r="S3867">
        <f>HLOOKUP("Memory",'vInfo (Imported)'!$1:$5000,M3867,FALSE)</f>
        <v>0</v>
      </c>
      <c r="T3867">
        <f>HLOOKUP("Provisioned MiB",'vInfo (Imported)'!$1:$5000,M3867,FALSE)</f>
        <v>0</v>
      </c>
      <c r="U3867">
        <f t="shared" si="181"/>
        <v>0</v>
      </c>
      <c r="V3867">
        <f>HLOOKUP("In Use MiB",'vInfo (Imported)'!$1:$5000,M3867,FALSE)</f>
        <v>0</v>
      </c>
    </row>
    <row r="3868" spans="1:22" ht="13" x14ac:dyDescent="0.3">
      <c r="A3868" s="46">
        <f>'vHosts (Imported)'!A3868</f>
        <v>0</v>
      </c>
      <c r="B3868" s="51">
        <f t="shared" si="180"/>
        <v>4968</v>
      </c>
      <c r="C3868" s="49">
        <f>HLOOKUP("# Cores",'vHosts (Imported)'!$1:$5000,M3868,FALSE)</f>
        <v>0</v>
      </c>
      <c r="D3868" s="52">
        <f>HLOOKUP("# Memory",'vHosts (Imported)'!$1:$5000,M3868,FALSE)</f>
        <v>0</v>
      </c>
      <c r="M3868" s="45">
        <f t="shared" si="182"/>
        <v>3868</v>
      </c>
      <c r="N3868" s="38">
        <f>HLOOKUP("Host",'vInfo (Imported)'!$1:$5000,M3868,FALSE)</f>
        <v>0</v>
      </c>
      <c r="R3868">
        <f>HLOOKUP("CPUs",'vInfo (Imported)'!$1:$5000,M3868,FALSE)</f>
        <v>0</v>
      </c>
      <c r="S3868">
        <f>HLOOKUP("Memory",'vInfo (Imported)'!$1:$5000,M3868,FALSE)</f>
        <v>0</v>
      </c>
      <c r="T3868">
        <f>HLOOKUP("Provisioned MiB",'vInfo (Imported)'!$1:$5000,M3868,FALSE)</f>
        <v>0</v>
      </c>
      <c r="U3868">
        <f t="shared" si="181"/>
        <v>0</v>
      </c>
      <c r="V3868">
        <f>HLOOKUP("In Use MiB",'vInfo (Imported)'!$1:$5000,M3868,FALSE)</f>
        <v>0</v>
      </c>
    </row>
    <row r="3869" spans="1:22" ht="13" x14ac:dyDescent="0.3">
      <c r="A3869" s="46">
        <f>'vHosts (Imported)'!A3869</f>
        <v>0</v>
      </c>
      <c r="B3869" s="51">
        <f t="shared" si="180"/>
        <v>4968</v>
      </c>
      <c r="C3869" s="49">
        <f>HLOOKUP("# Cores",'vHosts (Imported)'!$1:$5000,M3869,FALSE)</f>
        <v>0</v>
      </c>
      <c r="D3869" s="52">
        <f>HLOOKUP("# Memory",'vHosts (Imported)'!$1:$5000,M3869,FALSE)</f>
        <v>0</v>
      </c>
      <c r="M3869" s="45">
        <f t="shared" si="182"/>
        <v>3869</v>
      </c>
      <c r="N3869" s="38">
        <f>HLOOKUP("Host",'vInfo (Imported)'!$1:$5000,M3869,FALSE)</f>
        <v>0</v>
      </c>
      <c r="R3869">
        <f>HLOOKUP("CPUs",'vInfo (Imported)'!$1:$5000,M3869,FALSE)</f>
        <v>0</v>
      </c>
      <c r="S3869">
        <f>HLOOKUP("Memory",'vInfo (Imported)'!$1:$5000,M3869,FALSE)</f>
        <v>0</v>
      </c>
      <c r="T3869">
        <f>HLOOKUP("Provisioned MiB",'vInfo (Imported)'!$1:$5000,M3869,FALSE)</f>
        <v>0</v>
      </c>
      <c r="U3869">
        <f t="shared" si="181"/>
        <v>0</v>
      </c>
      <c r="V3869">
        <f>HLOOKUP("In Use MiB",'vInfo (Imported)'!$1:$5000,M3869,FALSE)</f>
        <v>0</v>
      </c>
    </row>
    <row r="3870" spans="1:22" ht="13" x14ac:dyDescent="0.3">
      <c r="A3870" s="46">
        <f>'vHosts (Imported)'!A3870</f>
        <v>0</v>
      </c>
      <c r="B3870" s="51">
        <f t="shared" si="180"/>
        <v>4968</v>
      </c>
      <c r="C3870" s="49">
        <f>HLOOKUP("# Cores",'vHosts (Imported)'!$1:$5000,M3870,FALSE)</f>
        <v>0</v>
      </c>
      <c r="D3870" s="52">
        <f>HLOOKUP("# Memory",'vHosts (Imported)'!$1:$5000,M3870,FALSE)</f>
        <v>0</v>
      </c>
      <c r="M3870" s="45">
        <f t="shared" si="182"/>
        <v>3870</v>
      </c>
      <c r="N3870" s="38">
        <f>HLOOKUP("Host",'vInfo (Imported)'!$1:$5000,M3870,FALSE)</f>
        <v>0</v>
      </c>
      <c r="R3870">
        <f>HLOOKUP("CPUs",'vInfo (Imported)'!$1:$5000,M3870,FALSE)</f>
        <v>0</v>
      </c>
      <c r="S3870">
        <f>HLOOKUP("Memory",'vInfo (Imported)'!$1:$5000,M3870,FALSE)</f>
        <v>0</v>
      </c>
      <c r="T3870">
        <f>HLOOKUP("Provisioned MiB",'vInfo (Imported)'!$1:$5000,M3870,FALSE)</f>
        <v>0</v>
      </c>
      <c r="U3870">
        <f t="shared" si="181"/>
        <v>0</v>
      </c>
      <c r="V3870">
        <f>HLOOKUP("In Use MiB",'vInfo (Imported)'!$1:$5000,M3870,FALSE)</f>
        <v>0</v>
      </c>
    </row>
    <row r="3871" spans="1:22" ht="13" x14ac:dyDescent="0.3">
      <c r="A3871" s="46">
        <f>'vHosts (Imported)'!A3871</f>
        <v>0</v>
      </c>
      <c r="B3871" s="51">
        <f t="shared" si="180"/>
        <v>4968</v>
      </c>
      <c r="C3871" s="49">
        <f>HLOOKUP("# Cores",'vHosts (Imported)'!$1:$5000,M3871,FALSE)</f>
        <v>0</v>
      </c>
      <c r="D3871" s="52">
        <f>HLOOKUP("# Memory",'vHosts (Imported)'!$1:$5000,M3871,FALSE)</f>
        <v>0</v>
      </c>
      <c r="M3871" s="45">
        <f t="shared" si="182"/>
        <v>3871</v>
      </c>
      <c r="N3871" s="38">
        <f>HLOOKUP("Host",'vInfo (Imported)'!$1:$5000,M3871,FALSE)</f>
        <v>0</v>
      </c>
      <c r="R3871">
        <f>HLOOKUP("CPUs",'vInfo (Imported)'!$1:$5000,M3871,FALSE)</f>
        <v>0</v>
      </c>
      <c r="S3871">
        <f>HLOOKUP("Memory",'vInfo (Imported)'!$1:$5000,M3871,FALSE)</f>
        <v>0</v>
      </c>
      <c r="T3871">
        <f>HLOOKUP("Provisioned MiB",'vInfo (Imported)'!$1:$5000,M3871,FALSE)</f>
        <v>0</v>
      </c>
      <c r="U3871">
        <f t="shared" si="181"/>
        <v>0</v>
      </c>
      <c r="V3871">
        <f>HLOOKUP("In Use MiB",'vInfo (Imported)'!$1:$5000,M3871,FALSE)</f>
        <v>0</v>
      </c>
    </row>
    <row r="3872" spans="1:22" ht="13" x14ac:dyDescent="0.3">
      <c r="A3872" s="46">
        <f>'vHosts (Imported)'!A3872</f>
        <v>0</v>
      </c>
      <c r="B3872" s="51">
        <f t="shared" si="180"/>
        <v>4968</v>
      </c>
      <c r="C3872" s="49">
        <f>HLOOKUP("# Cores",'vHosts (Imported)'!$1:$5000,M3872,FALSE)</f>
        <v>0</v>
      </c>
      <c r="D3872" s="52">
        <f>HLOOKUP("# Memory",'vHosts (Imported)'!$1:$5000,M3872,FALSE)</f>
        <v>0</v>
      </c>
      <c r="M3872" s="45">
        <f t="shared" si="182"/>
        <v>3872</v>
      </c>
      <c r="N3872" s="38">
        <f>HLOOKUP("Host",'vInfo (Imported)'!$1:$5000,M3872,FALSE)</f>
        <v>0</v>
      </c>
      <c r="R3872">
        <f>HLOOKUP("CPUs",'vInfo (Imported)'!$1:$5000,M3872,FALSE)</f>
        <v>0</v>
      </c>
      <c r="S3872">
        <f>HLOOKUP("Memory",'vInfo (Imported)'!$1:$5000,M3872,FALSE)</f>
        <v>0</v>
      </c>
      <c r="T3872">
        <f>HLOOKUP("Provisioned MiB",'vInfo (Imported)'!$1:$5000,M3872,FALSE)</f>
        <v>0</v>
      </c>
      <c r="U3872">
        <f t="shared" si="181"/>
        <v>0</v>
      </c>
      <c r="V3872">
        <f>HLOOKUP("In Use MiB",'vInfo (Imported)'!$1:$5000,M3872,FALSE)</f>
        <v>0</v>
      </c>
    </row>
    <row r="3873" spans="1:22" ht="13" x14ac:dyDescent="0.3">
      <c r="A3873" s="46">
        <f>'vHosts (Imported)'!A3873</f>
        <v>0</v>
      </c>
      <c r="B3873" s="51">
        <f t="shared" si="180"/>
        <v>4968</v>
      </c>
      <c r="C3873" s="49">
        <f>HLOOKUP("# Cores",'vHosts (Imported)'!$1:$5000,M3873,FALSE)</f>
        <v>0</v>
      </c>
      <c r="D3873" s="52">
        <f>HLOOKUP("# Memory",'vHosts (Imported)'!$1:$5000,M3873,FALSE)</f>
        <v>0</v>
      </c>
      <c r="M3873" s="45">
        <f t="shared" si="182"/>
        <v>3873</v>
      </c>
      <c r="N3873" s="38">
        <f>HLOOKUP("Host",'vInfo (Imported)'!$1:$5000,M3873,FALSE)</f>
        <v>0</v>
      </c>
      <c r="R3873">
        <f>HLOOKUP("CPUs",'vInfo (Imported)'!$1:$5000,M3873,FALSE)</f>
        <v>0</v>
      </c>
      <c r="S3873">
        <f>HLOOKUP("Memory",'vInfo (Imported)'!$1:$5000,M3873,FALSE)</f>
        <v>0</v>
      </c>
      <c r="T3873">
        <f>HLOOKUP("Provisioned MiB",'vInfo (Imported)'!$1:$5000,M3873,FALSE)</f>
        <v>0</v>
      </c>
      <c r="U3873">
        <f t="shared" si="181"/>
        <v>0</v>
      </c>
      <c r="V3873">
        <f>HLOOKUP("In Use MiB",'vInfo (Imported)'!$1:$5000,M3873,FALSE)</f>
        <v>0</v>
      </c>
    </row>
    <row r="3874" spans="1:22" ht="13" x14ac:dyDescent="0.3">
      <c r="A3874" s="46">
        <f>'vHosts (Imported)'!A3874</f>
        <v>0</v>
      </c>
      <c r="B3874" s="51">
        <f t="shared" si="180"/>
        <v>4968</v>
      </c>
      <c r="C3874" s="49">
        <f>HLOOKUP("# Cores",'vHosts (Imported)'!$1:$5000,M3874,FALSE)</f>
        <v>0</v>
      </c>
      <c r="D3874" s="52">
        <f>HLOOKUP("# Memory",'vHosts (Imported)'!$1:$5000,M3874,FALSE)</f>
        <v>0</v>
      </c>
      <c r="M3874" s="45">
        <f t="shared" si="182"/>
        <v>3874</v>
      </c>
      <c r="N3874" s="38">
        <f>HLOOKUP("Host",'vInfo (Imported)'!$1:$5000,M3874,FALSE)</f>
        <v>0</v>
      </c>
      <c r="R3874">
        <f>HLOOKUP("CPUs",'vInfo (Imported)'!$1:$5000,M3874,FALSE)</f>
        <v>0</v>
      </c>
      <c r="S3874">
        <f>HLOOKUP("Memory",'vInfo (Imported)'!$1:$5000,M3874,FALSE)</f>
        <v>0</v>
      </c>
      <c r="T3874">
        <f>HLOOKUP("Provisioned MiB",'vInfo (Imported)'!$1:$5000,M3874,FALSE)</f>
        <v>0</v>
      </c>
      <c r="U3874">
        <f t="shared" si="181"/>
        <v>0</v>
      </c>
      <c r="V3874">
        <f>HLOOKUP("In Use MiB",'vInfo (Imported)'!$1:$5000,M3874,FALSE)</f>
        <v>0</v>
      </c>
    </row>
    <row r="3875" spans="1:22" ht="13" x14ac:dyDescent="0.3">
      <c r="A3875" s="46">
        <f>'vHosts (Imported)'!A3875</f>
        <v>0</v>
      </c>
      <c r="B3875" s="51">
        <f t="shared" si="180"/>
        <v>4968</v>
      </c>
      <c r="C3875" s="49">
        <f>HLOOKUP("# Cores",'vHosts (Imported)'!$1:$5000,M3875,FALSE)</f>
        <v>0</v>
      </c>
      <c r="D3875" s="52">
        <f>HLOOKUP("# Memory",'vHosts (Imported)'!$1:$5000,M3875,FALSE)</f>
        <v>0</v>
      </c>
      <c r="M3875" s="45">
        <f t="shared" si="182"/>
        <v>3875</v>
      </c>
      <c r="N3875" s="38">
        <f>HLOOKUP("Host",'vInfo (Imported)'!$1:$5000,M3875,FALSE)</f>
        <v>0</v>
      </c>
      <c r="R3875">
        <f>HLOOKUP("CPUs",'vInfo (Imported)'!$1:$5000,M3875,FALSE)</f>
        <v>0</v>
      </c>
      <c r="S3875">
        <f>HLOOKUP("Memory",'vInfo (Imported)'!$1:$5000,M3875,FALSE)</f>
        <v>0</v>
      </c>
      <c r="T3875">
        <f>HLOOKUP("Provisioned MiB",'vInfo (Imported)'!$1:$5000,M3875,FALSE)</f>
        <v>0</v>
      </c>
      <c r="U3875">
        <f t="shared" si="181"/>
        <v>0</v>
      </c>
      <c r="V3875">
        <f>HLOOKUP("In Use MiB",'vInfo (Imported)'!$1:$5000,M3875,FALSE)</f>
        <v>0</v>
      </c>
    </row>
    <row r="3876" spans="1:22" ht="13" x14ac:dyDescent="0.3">
      <c r="A3876" s="46">
        <f>'vHosts (Imported)'!A3876</f>
        <v>0</v>
      </c>
      <c r="B3876" s="51">
        <f t="shared" si="180"/>
        <v>4968</v>
      </c>
      <c r="C3876" s="49">
        <f>HLOOKUP("# Cores",'vHosts (Imported)'!$1:$5000,M3876,FALSE)</f>
        <v>0</v>
      </c>
      <c r="D3876" s="52">
        <f>HLOOKUP("# Memory",'vHosts (Imported)'!$1:$5000,M3876,FALSE)</f>
        <v>0</v>
      </c>
      <c r="M3876" s="45">
        <f t="shared" si="182"/>
        <v>3876</v>
      </c>
      <c r="N3876" s="38">
        <f>HLOOKUP("Host",'vInfo (Imported)'!$1:$5000,M3876,FALSE)</f>
        <v>0</v>
      </c>
      <c r="R3876">
        <f>HLOOKUP("CPUs",'vInfo (Imported)'!$1:$5000,M3876,FALSE)</f>
        <v>0</v>
      </c>
      <c r="S3876">
        <f>HLOOKUP("Memory",'vInfo (Imported)'!$1:$5000,M3876,FALSE)</f>
        <v>0</v>
      </c>
      <c r="T3876">
        <f>HLOOKUP("Provisioned MiB",'vInfo (Imported)'!$1:$5000,M3876,FALSE)</f>
        <v>0</v>
      </c>
      <c r="U3876">
        <f t="shared" si="181"/>
        <v>0</v>
      </c>
      <c r="V3876">
        <f>HLOOKUP("In Use MiB",'vInfo (Imported)'!$1:$5000,M3876,FALSE)</f>
        <v>0</v>
      </c>
    </row>
    <row r="3877" spans="1:22" ht="13" x14ac:dyDescent="0.3">
      <c r="A3877" s="46">
        <f>'vHosts (Imported)'!A3877</f>
        <v>0</v>
      </c>
      <c r="B3877" s="51">
        <f t="shared" si="180"/>
        <v>4968</v>
      </c>
      <c r="C3877" s="49">
        <f>HLOOKUP("# Cores",'vHosts (Imported)'!$1:$5000,M3877,FALSE)</f>
        <v>0</v>
      </c>
      <c r="D3877" s="52">
        <f>HLOOKUP("# Memory",'vHosts (Imported)'!$1:$5000,M3877,FALSE)</f>
        <v>0</v>
      </c>
      <c r="M3877" s="45">
        <f t="shared" si="182"/>
        <v>3877</v>
      </c>
      <c r="N3877" s="38">
        <f>HLOOKUP("Host",'vInfo (Imported)'!$1:$5000,M3877,FALSE)</f>
        <v>0</v>
      </c>
      <c r="R3877">
        <f>HLOOKUP("CPUs",'vInfo (Imported)'!$1:$5000,M3877,FALSE)</f>
        <v>0</v>
      </c>
      <c r="S3877">
        <f>HLOOKUP("Memory",'vInfo (Imported)'!$1:$5000,M3877,FALSE)</f>
        <v>0</v>
      </c>
      <c r="T3877">
        <f>HLOOKUP("Provisioned MiB",'vInfo (Imported)'!$1:$5000,M3877,FALSE)</f>
        <v>0</v>
      </c>
      <c r="U3877">
        <f t="shared" si="181"/>
        <v>0</v>
      </c>
      <c r="V3877">
        <f>HLOOKUP("In Use MiB",'vInfo (Imported)'!$1:$5000,M3877,FALSE)</f>
        <v>0</v>
      </c>
    </row>
    <row r="3878" spans="1:22" ht="13" x14ac:dyDescent="0.3">
      <c r="A3878" s="46">
        <f>'vHosts (Imported)'!A3878</f>
        <v>0</v>
      </c>
      <c r="B3878" s="51">
        <f t="shared" si="180"/>
        <v>4968</v>
      </c>
      <c r="C3878" s="49">
        <f>HLOOKUP("# Cores",'vHosts (Imported)'!$1:$5000,M3878,FALSE)</f>
        <v>0</v>
      </c>
      <c r="D3878" s="52">
        <f>HLOOKUP("# Memory",'vHosts (Imported)'!$1:$5000,M3878,FALSE)</f>
        <v>0</v>
      </c>
      <c r="M3878" s="45">
        <f t="shared" si="182"/>
        <v>3878</v>
      </c>
      <c r="N3878" s="38">
        <f>HLOOKUP("Host",'vInfo (Imported)'!$1:$5000,M3878,FALSE)</f>
        <v>0</v>
      </c>
      <c r="R3878">
        <f>HLOOKUP("CPUs",'vInfo (Imported)'!$1:$5000,M3878,FALSE)</f>
        <v>0</v>
      </c>
      <c r="S3878">
        <f>HLOOKUP("Memory",'vInfo (Imported)'!$1:$5000,M3878,FALSE)</f>
        <v>0</v>
      </c>
      <c r="T3878">
        <f>HLOOKUP("Provisioned MiB",'vInfo (Imported)'!$1:$5000,M3878,FALSE)</f>
        <v>0</v>
      </c>
      <c r="U3878">
        <f t="shared" si="181"/>
        <v>0</v>
      </c>
      <c r="V3878">
        <f>HLOOKUP("In Use MiB",'vInfo (Imported)'!$1:$5000,M3878,FALSE)</f>
        <v>0</v>
      </c>
    </row>
    <row r="3879" spans="1:22" ht="13" x14ac:dyDescent="0.3">
      <c r="A3879" s="46">
        <f>'vHosts (Imported)'!A3879</f>
        <v>0</v>
      </c>
      <c r="B3879" s="51">
        <f t="shared" si="180"/>
        <v>4968</v>
      </c>
      <c r="C3879" s="49">
        <f>HLOOKUP("# Cores",'vHosts (Imported)'!$1:$5000,M3879,FALSE)</f>
        <v>0</v>
      </c>
      <c r="D3879" s="52">
        <f>HLOOKUP("# Memory",'vHosts (Imported)'!$1:$5000,M3879,FALSE)</f>
        <v>0</v>
      </c>
      <c r="M3879" s="45">
        <f t="shared" si="182"/>
        <v>3879</v>
      </c>
      <c r="N3879" s="38">
        <f>HLOOKUP("Host",'vInfo (Imported)'!$1:$5000,M3879,FALSE)</f>
        <v>0</v>
      </c>
      <c r="R3879">
        <f>HLOOKUP("CPUs",'vInfo (Imported)'!$1:$5000,M3879,FALSE)</f>
        <v>0</v>
      </c>
      <c r="S3879">
        <f>HLOOKUP("Memory",'vInfo (Imported)'!$1:$5000,M3879,FALSE)</f>
        <v>0</v>
      </c>
      <c r="T3879">
        <f>HLOOKUP("Provisioned MiB",'vInfo (Imported)'!$1:$5000,M3879,FALSE)</f>
        <v>0</v>
      </c>
      <c r="U3879">
        <f t="shared" si="181"/>
        <v>0</v>
      </c>
      <c r="V3879">
        <f>HLOOKUP("In Use MiB",'vInfo (Imported)'!$1:$5000,M3879,FALSE)</f>
        <v>0</v>
      </c>
    </row>
    <row r="3880" spans="1:22" ht="13" x14ac:dyDescent="0.3">
      <c r="A3880" s="46">
        <f>'vHosts (Imported)'!A3880</f>
        <v>0</v>
      </c>
      <c r="B3880" s="51">
        <f t="shared" ref="B3880:B3943" si="183">COUNTIF(N:N,A3880)</f>
        <v>4968</v>
      </c>
      <c r="C3880" s="49">
        <f>HLOOKUP("# Cores",'vHosts (Imported)'!$1:$5000,M3880,FALSE)</f>
        <v>0</v>
      </c>
      <c r="D3880" s="52">
        <f>HLOOKUP("# Memory",'vHosts (Imported)'!$1:$5000,M3880,FALSE)</f>
        <v>0</v>
      </c>
      <c r="M3880" s="45">
        <f t="shared" si="182"/>
        <v>3880</v>
      </c>
      <c r="N3880" s="38">
        <f>HLOOKUP("Host",'vInfo (Imported)'!$1:$5000,M3880,FALSE)</f>
        <v>0</v>
      </c>
      <c r="R3880">
        <f>HLOOKUP("CPUs",'vInfo (Imported)'!$1:$5000,M3880,FALSE)</f>
        <v>0</v>
      </c>
      <c r="S3880">
        <f>HLOOKUP("Memory",'vInfo (Imported)'!$1:$5000,M3880,FALSE)</f>
        <v>0</v>
      </c>
      <c r="T3880">
        <f>HLOOKUP("Provisioned MiB",'vInfo (Imported)'!$1:$5000,M3880,FALSE)</f>
        <v>0</v>
      </c>
      <c r="U3880">
        <f t="shared" si="181"/>
        <v>0</v>
      </c>
      <c r="V3880">
        <f>HLOOKUP("In Use MiB",'vInfo (Imported)'!$1:$5000,M3880,FALSE)</f>
        <v>0</v>
      </c>
    </row>
    <row r="3881" spans="1:22" ht="13" x14ac:dyDescent="0.3">
      <c r="A3881" s="46">
        <f>'vHosts (Imported)'!A3881</f>
        <v>0</v>
      </c>
      <c r="B3881" s="51">
        <f t="shared" si="183"/>
        <v>4968</v>
      </c>
      <c r="C3881" s="49">
        <f>HLOOKUP("# Cores",'vHosts (Imported)'!$1:$5000,M3881,FALSE)</f>
        <v>0</v>
      </c>
      <c r="D3881" s="52">
        <f>HLOOKUP("# Memory",'vHosts (Imported)'!$1:$5000,M3881,FALSE)</f>
        <v>0</v>
      </c>
      <c r="M3881" s="45">
        <f t="shared" si="182"/>
        <v>3881</v>
      </c>
      <c r="N3881" s="38">
        <f>HLOOKUP("Host",'vInfo (Imported)'!$1:$5000,M3881,FALSE)</f>
        <v>0</v>
      </c>
      <c r="R3881">
        <f>HLOOKUP("CPUs",'vInfo (Imported)'!$1:$5000,M3881,FALSE)</f>
        <v>0</v>
      </c>
      <c r="S3881">
        <f>HLOOKUP("Memory",'vInfo (Imported)'!$1:$5000,M3881,FALSE)</f>
        <v>0</v>
      </c>
      <c r="T3881">
        <f>HLOOKUP("Provisioned MiB",'vInfo (Imported)'!$1:$5000,M3881,FALSE)</f>
        <v>0</v>
      </c>
      <c r="U3881">
        <f t="shared" si="181"/>
        <v>0</v>
      </c>
      <c r="V3881">
        <f>HLOOKUP("In Use MiB",'vInfo (Imported)'!$1:$5000,M3881,FALSE)</f>
        <v>0</v>
      </c>
    </row>
    <row r="3882" spans="1:22" ht="13" x14ac:dyDescent="0.3">
      <c r="A3882" s="46">
        <f>'vHosts (Imported)'!A3882</f>
        <v>0</v>
      </c>
      <c r="B3882" s="51">
        <f t="shared" si="183"/>
        <v>4968</v>
      </c>
      <c r="C3882" s="49">
        <f>HLOOKUP("# Cores",'vHosts (Imported)'!$1:$5000,M3882,FALSE)</f>
        <v>0</v>
      </c>
      <c r="D3882" s="52">
        <f>HLOOKUP("# Memory",'vHosts (Imported)'!$1:$5000,M3882,FALSE)</f>
        <v>0</v>
      </c>
      <c r="M3882" s="45">
        <f t="shared" si="182"/>
        <v>3882</v>
      </c>
      <c r="N3882" s="38">
        <f>HLOOKUP("Host",'vInfo (Imported)'!$1:$5000,M3882,FALSE)</f>
        <v>0</v>
      </c>
      <c r="R3882">
        <f>HLOOKUP("CPUs",'vInfo (Imported)'!$1:$5000,M3882,FALSE)</f>
        <v>0</v>
      </c>
      <c r="S3882">
        <f>HLOOKUP("Memory",'vInfo (Imported)'!$1:$5000,M3882,FALSE)</f>
        <v>0</v>
      </c>
      <c r="T3882">
        <f>HLOOKUP("Provisioned MiB",'vInfo (Imported)'!$1:$5000,M3882,FALSE)</f>
        <v>0</v>
      </c>
      <c r="U3882">
        <f t="shared" si="181"/>
        <v>0</v>
      </c>
      <c r="V3882">
        <f>HLOOKUP("In Use MiB",'vInfo (Imported)'!$1:$5000,M3882,FALSE)</f>
        <v>0</v>
      </c>
    </row>
    <row r="3883" spans="1:22" ht="13" x14ac:dyDescent="0.3">
      <c r="A3883" s="46">
        <f>'vHosts (Imported)'!A3883</f>
        <v>0</v>
      </c>
      <c r="B3883" s="51">
        <f t="shared" si="183"/>
        <v>4968</v>
      </c>
      <c r="C3883" s="49">
        <f>HLOOKUP("# Cores",'vHosts (Imported)'!$1:$5000,M3883,FALSE)</f>
        <v>0</v>
      </c>
      <c r="D3883" s="52">
        <f>HLOOKUP("# Memory",'vHosts (Imported)'!$1:$5000,M3883,FALSE)</f>
        <v>0</v>
      </c>
      <c r="M3883" s="45">
        <f t="shared" si="182"/>
        <v>3883</v>
      </c>
      <c r="N3883" s="38">
        <f>HLOOKUP("Host",'vInfo (Imported)'!$1:$5000,M3883,FALSE)</f>
        <v>0</v>
      </c>
      <c r="R3883">
        <f>HLOOKUP("CPUs",'vInfo (Imported)'!$1:$5000,M3883,FALSE)</f>
        <v>0</v>
      </c>
      <c r="S3883">
        <f>HLOOKUP("Memory",'vInfo (Imported)'!$1:$5000,M3883,FALSE)</f>
        <v>0</v>
      </c>
      <c r="T3883">
        <f>HLOOKUP("Provisioned MiB",'vInfo (Imported)'!$1:$5000,M3883,FALSE)</f>
        <v>0</v>
      </c>
      <c r="U3883">
        <f t="shared" si="181"/>
        <v>0</v>
      </c>
      <c r="V3883">
        <f>HLOOKUP("In Use MiB",'vInfo (Imported)'!$1:$5000,M3883,FALSE)</f>
        <v>0</v>
      </c>
    </row>
    <row r="3884" spans="1:22" ht="13" x14ac:dyDescent="0.3">
      <c r="A3884" s="46">
        <f>'vHosts (Imported)'!A3884</f>
        <v>0</v>
      </c>
      <c r="B3884" s="51">
        <f t="shared" si="183"/>
        <v>4968</v>
      </c>
      <c r="C3884" s="49">
        <f>HLOOKUP("# Cores",'vHosts (Imported)'!$1:$5000,M3884,FALSE)</f>
        <v>0</v>
      </c>
      <c r="D3884" s="52">
        <f>HLOOKUP("# Memory",'vHosts (Imported)'!$1:$5000,M3884,FALSE)</f>
        <v>0</v>
      </c>
      <c r="M3884" s="45">
        <f t="shared" si="182"/>
        <v>3884</v>
      </c>
      <c r="N3884" s="38">
        <f>HLOOKUP("Host",'vInfo (Imported)'!$1:$5000,M3884,FALSE)</f>
        <v>0</v>
      </c>
      <c r="R3884">
        <f>HLOOKUP("CPUs",'vInfo (Imported)'!$1:$5000,M3884,FALSE)</f>
        <v>0</v>
      </c>
      <c r="S3884">
        <f>HLOOKUP("Memory",'vInfo (Imported)'!$1:$5000,M3884,FALSE)</f>
        <v>0</v>
      </c>
      <c r="T3884">
        <f>HLOOKUP("Provisioned MiB",'vInfo (Imported)'!$1:$5000,M3884,FALSE)</f>
        <v>0</v>
      </c>
      <c r="U3884">
        <f t="shared" si="181"/>
        <v>0</v>
      </c>
      <c r="V3884">
        <f>HLOOKUP("In Use MiB",'vInfo (Imported)'!$1:$5000,M3884,FALSE)</f>
        <v>0</v>
      </c>
    </row>
    <row r="3885" spans="1:22" ht="13" x14ac:dyDescent="0.3">
      <c r="A3885" s="46">
        <f>'vHosts (Imported)'!A3885</f>
        <v>0</v>
      </c>
      <c r="B3885" s="51">
        <f t="shared" si="183"/>
        <v>4968</v>
      </c>
      <c r="C3885" s="49">
        <f>HLOOKUP("# Cores",'vHosts (Imported)'!$1:$5000,M3885,FALSE)</f>
        <v>0</v>
      </c>
      <c r="D3885" s="52">
        <f>HLOOKUP("# Memory",'vHosts (Imported)'!$1:$5000,M3885,FALSE)</f>
        <v>0</v>
      </c>
      <c r="M3885" s="45">
        <f t="shared" si="182"/>
        <v>3885</v>
      </c>
      <c r="N3885" s="38">
        <f>HLOOKUP("Host",'vInfo (Imported)'!$1:$5000,M3885,FALSE)</f>
        <v>0</v>
      </c>
      <c r="R3885">
        <f>HLOOKUP("CPUs",'vInfo (Imported)'!$1:$5000,M3885,FALSE)</f>
        <v>0</v>
      </c>
      <c r="S3885">
        <f>HLOOKUP("Memory",'vInfo (Imported)'!$1:$5000,M3885,FALSE)</f>
        <v>0</v>
      </c>
      <c r="T3885">
        <f>HLOOKUP("Provisioned MiB",'vInfo (Imported)'!$1:$5000,M3885,FALSE)</f>
        <v>0</v>
      </c>
      <c r="U3885">
        <f t="shared" si="181"/>
        <v>0</v>
      </c>
      <c r="V3885">
        <f>HLOOKUP("In Use MiB",'vInfo (Imported)'!$1:$5000,M3885,FALSE)</f>
        <v>0</v>
      </c>
    </row>
    <row r="3886" spans="1:22" ht="13" x14ac:dyDescent="0.3">
      <c r="A3886" s="46">
        <f>'vHosts (Imported)'!A3886</f>
        <v>0</v>
      </c>
      <c r="B3886" s="51">
        <f t="shared" si="183"/>
        <v>4968</v>
      </c>
      <c r="C3886" s="49">
        <f>HLOOKUP("# Cores",'vHosts (Imported)'!$1:$5000,M3886,FALSE)</f>
        <v>0</v>
      </c>
      <c r="D3886" s="52">
        <f>HLOOKUP("# Memory",'vHosts (Imported)'!$1:$5000,M3886,FALSE)</f>
        <v>0</v>
      </c>
      <c r="M3886" s="45">
        <f t="shared" si="182"/>
        <v>3886</v>
      </c>
      <c r="N3886" s="38">
        <f>HLOOKUP("Host",'vInfo (Imported)'!$1:$5000,M3886,FALSE)</f>
        <v>0</v>
      </c>
      <c r="R3886">
        <f>HLOOKUP("CPUs",'vInfo (Imported)'!$1:$5000,M3886,FALSE)</f>
        <v>0</v>
      </c>
      <c r="S3886">
        <f>HLOOKUP("Memory",'vInfo (Imported)'!$1:$5000,M3886,FALSE)</f>
        <v>0</v>
      </c>
      <c r="T3886">
        <f>HLOOKUP("Provisioned MiB",'vInfo (Imported)'!$1:$5000,M3886,FALSE)</f>
        <v>0</v>
      </c>
      <c r="U3886">
        <f t="shared" si="181"/>
        <v>0</v>
      </c>
      <c r="V3886">
        <f>HLOOKUP("In Use MiB",'vInfo (Imported)'!$1:$5000,M3886,FALSE)</f>
        <v>0</v>
      </c>
    </row>
    <row r="3887" spans="1:22" ht="13" x14ac:dyDescent="0.3">
      <c r="A3887" s="46">
        <f>'vHosts (Imported)'!A3887</f>
        <v>0</v>
      </c>
      <c r="B3887" s="51">
        <f t="shared" si="183"/>
        <v>4968</v>
      </c>
      <c r="C3887" s="49">
        <f>HLOOKUP("# Cores",'vHosts (Imported)'!$1:$5000,M3887,FALSE)</f>
        <v>0</v>
      </c>
      <c r="D3887" s="52">
        <f>HLOOKUP("# Memory",'vHosts (Imported)'!$1:$5000,M3887,FALSE)</f>
        <v>0</v>
      </c>
      <c r="M3887" s="45">
        <f t="shared" si="182"/>
        <v>3887</v>
      </c>
      <c r="N3887" s="38">
        <f>HLOOKUP("Host",'vInfo (Imported)'!$1:$5000,M3887,FALSE)</f>
        <v>0</v>
      </c>
      <c r="R3887">
        <f>HLOOKUP("CPUs",'vInfo (Imported)'!$1:$5000,M3887,FALSE)</f>
        <v>0</v>
      </c>
      <c r="S3887">
        <f>HLOOKUP("Memory",'vInfo (Imported)'!$1:$5000,M3887,FALSE)</f>
        <v>0</v>
      </c>
      <c r="T3887">
        <f>HLOOKUP("Provisioned MiB",'vInfo (Imported)'!$1:$5000,M3887,FALSE)</f>
        <v>0</v>
      </c>
      <c r="U3887">
        <f t="shared" si="181"/>
        <v>0</v>
      </c>
      <c r="V3887">
        <f>HLOOKUP("In Use MiB",'vInfo (Imported)'!$1:$5000,M3887,FALSE)</f>
        <v>0</v>
      </c>
    </row>
    <row r="3888" spans="1:22" ht="13" x14ac:dyDescent="0.3">
      <c r="A3888" s="46">
        <f>'vHosts (Imported)'!A3888</f>
        <v>0</v>
      </c>
      <c r="B3888" s="51">
        <f t="shared" si="183"/>
        <v>4968</v>
      </c>
      <c r="C3888" s="49">
        <f>HLOOKUP("# Cores",'vHosts (Imported)'!$1:$5000,M3888,FALSE)</f>
        <v>0</v>
      </c>
      <c r="D3888" s="52">
        <f>HLOOKUP("# Memory",'vHosts (Imported)'!$1:$5000,M3888,FALSE)</f>
        <v>0</v>
      </c>
      <c r="M3888" s="45">
        <f t="shared" si="182"/>
        <v>3888</v>
      </c>
      <c r="N3888" s="38">
        <f>HLOOKUP("Host",'vInfo (Imported)'!$1:$5000,M3888,FALSE)</f>
        <v>0</v>
      </c>
      <c r="R3888">
        <f>HLOOKUP("CPUs",'vInfo (Imported)'!$1:$5000,M3888,FALSE)</f>
        <v>0</v>
      </c>
      <c r="S3888">
        <f>HLOOKUP("Memory",'vInfo (Imported)'!$1:$5000,M3888,FALSE)</f>
        <v>0</v>
      </c>
      <c r="T3888">
        <f>HLOOKUP("Provisioned MiB",'vInfo (Imported)'!$1:$5000,M3888,FALSE)</f>
        <v>0</v>
      </c>
      <c r="U3888">
        <f t="shared" si="181"/>
        <v>0</v>
      </c>
      <c r="V3888">
        <f>HLOOKUP("In Use MiB",'vInfo (Imported)'!$1:$5000,M3888,FALSE)</f>
        <v>0</v>
      </c>
    </row>
    <row r="3889" spans="1:22" ht="13" x14ac:dyDescent="0.3">
      <c r="A3889" s="46">
        <f>'vHosts (Imported)'!A3889</f>
        <v>0</v>
      </c>
      <c r="B3889" s="51">
        <f t="shared" si="183"/>
        <v>4968</v>
      </c>
      <c r="C3889" s="49">
        <f>HLOOKUP("# Cores",'vHosts (Imported)'!$1:$5000,M3889,FALSE)</f>
        <v>0</v>
      </c>
      <c r="D3889" s="52">
        <f>HLOOKUP("# Memory",'vHosts (Imported)'!$1:$5000,M3889,FALSE)</f>
        <v>0</v>
      </c>
      <c r="M3889" s="45">
        <f t="shared" si="182"/>
        <v>3889</v>
      </c>
      <c r="N3889" s="38">
        <f>HLOOKUP("Host",'vInfo (Imported)'!$1:$5000,M3889,FALSE)</f>
        <v>0</v>
      </c>
      <c r="R3889">
        <f>HLOOKUP("CPUs",'vInfo (Imported)'!$1:$5000,M3889,FALSE)</f>
        <v>0</v>
      </c>
      <c r="S3889">
        <f>HLOOKUP("Memory",'vInfo (Imported)'!$1:$5000,M3889,FALSE)</f>
        <v>0</v>
      </c>
      <c r="T3889">
        <f>HLOOKUP("Provisioned MiB",'vInfo (Imported)'!$1:$5000,M3889,FALSE)</f>
        <v>0</v>
      </c>
      <c r="U3889">
        <f t="shared" si="181"/>
        <v>0</v>
      </c>
      <c r="V3889">
        <f>HLOOKUP("In Use MiB",'vInfo (Imported)'!$1:$5000,M3889,FALSE)</f>
        <v>0</v>
      </c>
    </row>
    <row r="3890" spans="1:22" ht="13" x14ac:dyDescent="0.3">
      <c r="A3890" s="46">
        <f>'vHosts (Imported)'!A3890</f>
        <v>0</v>
      </c>
      <c r="B3890" s="51">
        <f t="shared" si="183"/>
        <v>4968</v>
      </c>
      <c r="C3890" s="49">
        <f>HLOOKUP("# Cores",'vHosts (Imported)'!$1:$5000,M3890,FALSE)</f>
        <v>0</v>
      </c>
      <c r="D3890" s="52">
        <f>HLOOKUP("# Memory",'vHosts (Imported)'!$1:$5000,M3890,FALSE)</f>
        <v>0</v>
      </c>
      <c r="M3890" s="45">
        <f t="shared" si="182"/>
        <v>3890</v>
      </c>
      <c r="N3890" s="38">
        <f>HLOOKUP("Host",'vInfo (Imported)'!$1:$5000,M3890,FALSE)</f>
        <v>0</v>
      </c>
      <c r="R3890">
        <f>HLOOKUP("CPUs",'vInfo (Imported)'!$1:$5000,M3890,FALSE)</f>
        <v>0</v>
      </c>
      <c r="S3890">
        <f>HLOOKUP("Memory",'vInfo (Imported)'!$1:$5000,M3890,FALSE)</f>
        <v>0</v>
      </c>
      <c r="T3890">
        <f>HLOOKUP("Provisioned MiB",'vInfo (Imported)'!$1:$5000,M3890,FALSE)</f>
        <v>0</v>
      </c>
      <c r="U3890">
        <f t="shared" si="181"/>
        <v>0</v>
      </c>
      <c r="V3890">
        <f>HLOOKUP("In Use MiB",'vInfo (Imported)'!$1:$5000,M3890,FALSE)</f>
        <v>0</v>
      </c>
    </row>
    <row r="3891" spans="1:22" ht="13" x14ac:dyDescent="0.3">
      <c r="A3891" s="46">
        <f>'vHosts (Imported)'!A3891</f>
        <v>0</v>
      </c>
      <c r="B3891" s="51">
        <f t="shared" si="183"/>
        <v>4968</v>
      </c>
      <c r="C3891" s="49">
        <f>HLOOKUP("# Cores",'vHosts (Imported)'!$1:$5000,M3891,FALSE)</f>
        <v>0</v>
      </c>
      <c r="D3891" s="52">
        <f>HLOOKUP("# Memory",'vHosts (Imported)'!$1:$5000,M3891,FALSE)</f>
        <v>0</v>
      </c>
      <c r="M3891" s="45">
        <f t="shared" si="182"/>
        <v>3891</v>
      </c>
      <c r="N3891" s="38">
        <f>HLOOKUP("Host",'vInfo (Imported)'!$1:$5000,M3891,FALSE)</f>
        <v>0</v>
      </c>
      <c r="R3891">
        <f>HLOOKUP("CPUs",'vInfo (Imported)'!$1:$5000,M3891,FALSE)</f>
        <v>0</v>
      </c>
      <c r="S3891">
        <f>HLOOKUP("Memory",'vInfo (Imported)'!$1:$5000,M3891,FALSE)</f>
        <v>0</v>
      </c>
      <c r="T3891">
        <f>HLOOKUP("Provisioned MiB",'vInfo (Imported)'!$1:$5000,M3891,FALSE)</f>
        <v>0</v>
      </c>
      <c r="U3891">
        <f t="shared" si="181"/>
        <v>0</v>
      </c>
      <c r="V3891">
        <f>HLOOKUP("In Use MiB",'vInfo (Imported)'!$1:$5000,M3891,FALSE)</f>
        <v>0</v>
      </c>
    </row>
    <row r="3892" spans="1:22" ht="13" x14ac:dyDescent="0.3">
      <c r="A3892" s="46">
        <f>'vHosts (Imported)'!A3892</f>
        <v>0</v>
      </c>
      <c r="B3892" s="51">
        <f t="shared" si="183"/>
        <v>4968</v>
      </c>
      <c r="C3892" s="49">
        <f>HLOOKUP("# Cores",'vHosts (Imported)'!$1:$5000,M3892,FALSE)</f>
        <v>0</v>
      </c>
      <c r="D3892" s="52">
        <f>HLOOKUP("# Memory",'vHosts (Imported)'!$1:$5000,M3892,FALSE)</f>
        <v>0</v>
      </c>
      <c r="M3892" s="45">
        <f t="shared" si="182"/>
        <v>3892</v>
      </c>
      <c r="N3892" s="38">
        <f>HLOOKUP("Host",'vInfo (Imported)'!$1:$5000,M3892,FALSE)</f>
        <v>0</v>
      </c>
      <c r="R3892">
        <f>HLOOKUP("CPUs",'vInfo (Imported)'!$1:$5000,M3892,FALSE)</f>
        <v>0</v>
      </c>
      <c r="S3892">
        <f>HLOOKUP("Memory",'vInfo (Imported)'!$1:$5000,M3892,FALSE)</f>
        <v>0</v>
      </c>
      <c r="T3892">
        <f>HLOOKUP("Provisioned MiB",'vInfo (Imported)'!$1:$5000,M3892,FALSE)</f>
        <v>0</v>
      </c>
      <c r="U3892">
        <f t="shared" si="181"/>
        <v>0</v>
      </c>
      <c r="V3892">
        <f>HLOOKUP("In Use MiB",'vInfo (Imported)'!$1:$5000,M3892,FALSE)</f>
        <v>0</v>
      </c>
    </row>
    <row r="3893" spans="1:22" ht="13" x14ac:dyDescent="0.3">
      <c r="A3893" s="46">
        <f>'vHosts (Imported)'!A3893</f>
        <v>0</v>
      </c>
      <c r="B3893" s="51">
        <f t="shared" si="183"/>
        <v>4968</v>
      </c>
      <c r="C3893" s="49">
        <f>HLOOKUP("# Cores",'vHosts (Imported)'!$1:$5000,M3893,FALSE)</f>
        <v>0</v>
      </c>
      <c r="D3893" s="52">
        <f>HLOOKUP("# Memory",'vHosts (Imported)'!$1:$5000,M3893,FALSE)</f>
        <v>0</v>
      </c>
      <c r="M3893" s="45">
        <f t="shared" si="182"/>
        <v>3893</v>
      </c>
      <c r="N3893" s="38">
        <f>HLOOKUP("Host",'vInfo (Imported)'!$1:$5000,M3893,FALSE)</f>
        <v>0</v>
      </c>
      <c r="R3893">
        <f>HLOOKUP("CPUs",'vInfo (Imported)'!$1:$5000,M3893,FALSE)</f>
        <v>0</v>
      </c>
      <c r="S3893">
        <f>HLOOKUP("Memory",'vInfo (Imported)'!$1:$5000,M3893,FALSE)</f>
        <v>0</v>
      </c>
      <c r="T3893">
        <f>HLOOKUP("Provisioned MiB",'vInfo (Imported)'!$1:$5000,M3893,FALSE)</f>
        <v>0</v>
      </c>
      <c r="U3893">
        <f t="shared" si="181"/>
        <v>0</v>
      </c>
      <c r="V3893">
        <f>HLOOKUP("In Use MiB",'vInfo (Imported)'!$1:$5000,M3893,FALSE)</f>
        <v>0</v>
      </c>
    </row>
    <row r="3894" spans="1:22" ht="13" x14ac:dyDescent="0.3">
      <c r="A3894" s="46">
        <f>'vHosts (Imported)'!A3894</f>
        <v>0</v>
      </c>
      <c r="B3894" s="51">
        <f t="shared" si="183"/>
        <v>4968</v>
      </c>
      <c r="C3894" s="49">
        <f>HLOOKUP("# Cores",'vHosts (Imported)'!$1:$5000,M3894,FALSE)</f>
        <v>0</v>
      </c>
      <c r="D3894" s="52">
        <f>HLOOKUP("# Memory",'vHosts (Imported)'!$1:$5000,M3894,FALSE)</f>
        <v>0</v>
      </c>
      <c r="M3894" s="45">
        <f t="shared" si="182"/>
        <v>3894</v>
      </c>
      <c r="N3894" s="38">
        <f>HLOOKUP("Host",'vInfo (Imported)'!$1:$5000,M3894,FALSE)</f>
        <v>0</v>
      </c>
      <c r="R3894">
        <f>HLOOKUP("CPUs",'vInfo (Imported)'!$1:$5000,M3894,FALSE)</f>
        <v>0</v>
      </c>
      <c r="S3894">
        <f>HLOOKUP("Memory",'vInfo (Imported)'!$1:$5000,M3894,FALSE)</f>
        <v>0</v>
      </c>
      <c r="T3894">
        <f>HLOOKUP("Provisioned MiB",'vInfo (Imported)'!$1:$5000,M3894,FALSE)</f>
        <v>0</v>
      </c>
      <c r="U3894">
        <f t="shared" si="181"/>
        <v>0</v>
      </c>
      <c r="V3894">
        <f>HLOOKUP("In Use MiB",'vInfo (Imported)'!$1:$5000,M3894,FALSE)</f>
        <v>0</v>
      </c>
    </row>
    <row r="3895" spans="1:22" ht="13" x14ac:dyDescent="0.3">
      <c r="A3895" s="46">
        <f>'vHosts (Imported)'!A3895</f>
        <v>0</v>
      </c>
      <c r="B3895" s="51">
        <f t="shared" si="183"/>
        <v>4968</v>
      </c>
      <c r="C3895" s="49">
        <f>HLOOKUP("# Cores",'vHosts (Imported)'!$1:$5000,M3895,FALSE)</f>
        <v>0</v>
      </c>
      <c r="D3895" s="52">
        <f>HLOOKUP("# Memory",'vHosts (Imported)'!$1:$5000,M3895,FALSE)</f>
        <v>0</v>
      </c>
      <c r="M3895" s="45">
        <f t="shared" si="182"/>
        <v>3895</v>
      </c>
      <c r="N3895" s="38">
        <f>HLOOKUP("Host",'vInfo (Imported)'!$1:$5000,M3895,FALSE)</f>
        <v>0</v>
      </c>
      <c r="R3895">
        <f>HLOOKUP("CPUs",'vInfo (Imported)'!$1:$5000,M3895,FALSE)</f>
        <v>0</v>
      </c>
      <c r="S3895">
        <f>HLOOKUP("Memory",'vInfo (Imported)'!$1:$5000,M3895,FALSE)</f>
        <v>0</v>
      </c>
      <c r="T3895">
        <f>HLOOKUP("Provisioned MiB",'vInfo (Imported)'!$1:$5000,M3895,FALSE)</f>
        <v>0</v>
      </c>
      <c r="U3895">
        <f t="shared" si="181"/>
        <v>0</v>
      </c>
      <c r="V3895">
        <f>HLOOKUP("In Use MiB",'vInfo (Imported)'!$1:$5000,M3895,FALSE)</f>
        <v>0</v>
      </c>
    </row>
    <row r="3896" spans="1:22" ht="13" x14ac:dyDescent="0.3">
      <c r="A3896" s="46">
        <f>'vHosts (Imported)'!A3896</f>
        <v>0</v>
      </c>
      <c r="B3896" s="51">
        <f t="shared" si="183"/>
        <v>4968</v>
      </c>
      <c r="C3896" s="49">
        <f>HLOOKUP("# Cores",'vHosts (Imported)'!$1:$5000,M3896,FALSE)</f>
        <v>0</v>
      </c>
      <c r="D3896" s="52">
        <f>HLOOKUP("# Memory",'vHosts (Imported)'!$1:$5000,M3896,FALSE)</f>
        <v>0</v>
      </c>
      <c r="M3896" s="45">
        <f t="shared" si="182"/>
        <v>3896</v>
      </c>
      <c r="N3896" s="38">
        <f>HLOOKUP("Host",'vInfo (Imported)'!$1:$5000,M3896,FALSE)</f>
        <v>0</v>
      </c>
      <c r="R3896">
        <f>HLOOKUP("CPUs",'vInfo (Imported)'!$1:$5000,M3896,FALSE)</f>
        <v>0</v>
      </c>
      <c r="S3896">
        <f>HLOOKUP("Memory",'vInfo (Imported)'!$1:$5000,M3896,FALSE)</f>
        <v>0</v>
      </c>
      <c r="T3896">
        <f>HLOOKUP("Provisioned MiB",'vInfo (Imported)'!$1:$5000,M3896,FALSE)</f>
        <v>0</v>
      </c>
      <c r="U3896">
        <f t="shared" si="181"/>
        <v>0</v>
      </c>
      <c r="V3896">
        <f>HLOOKUP("In Use MiB",'vInfo (Imported)'!$1:$5000,M3896,FALSE)</f>
        <v>0</v>
      </c>
    </row>
    <row r="3897" spans="1:22" ht="13" x14ac:dyDescent="0.3">
      <c r="A3897" s="46">
        <f>'vHosts (Imported)'!A3897</f>
        <v>0</v>
      </c>
      <c r="B3897" s="51">
        <f t="shared" si="183"/>
        <v>4968</v>
      </c>
      <c r="C3897" s="49">
        <f>HLOOKUP("# Cores",'vHosts (Imported)'!$1:$5000,M3897,FALSE)</f>
        <v>0</v>
      </c>
      <c r="D3897" s="52">
        <f>HLOOKUP("# Memory",'vHosts (Imported)'!$1:$5000,M3897,FALSE)</f>
        <v>0</v>
      </c>
      <c r="M3897" s="45">
        <f t="shared" si="182"/>
        <v>3897</v>
      </c>
      <c r="N3897" s="38">
        <f>HLOOKUP("Host",'vInfo (Imported)'!$1:$5000,M3897,FALSE)</f>
        <v>0</v>
      </c>
      <c r="R3897">
        <f>HLOOKUP("CPUs",'vInfo (Imported)'!$1:$5000,M3897,FALSE)</f>
        <v>0</v>
      </c>
      <c r="S3897">
        <f>HLOOKUP("Memory",'vInfo (Imported)'!$1:$5000,M3897,FALSE)</f>
        <v>0</v>
      </c>
      <c r="T3897">
        <f>HLOOKUP("Provisioned MiB",'vInfo (Imported)'!$1:$5000,M3897,FALSE)</f>
        <v>0</v>
      </c>
      <c r="U3897">
        <f t="shared" si="181"/>
        <v>0</v>
      </c>
      <c r="V3897">
        <f>HLOOKUP("In Use MiB",'vInfo (Imported)'!$1:$5000,M3897,FALSE)</f>
        <v>0</v>
      </c>
    </row>
    <row r="3898" spans="1:22" ht="13" x14ac:dyDescent="0.3">
      <c r="A3898" s="46">
        <f>'vHosts (Imported)'!A3898</f>
        <v>0</v>
      </c>
      <c r="B3898" s="51">
        <f t="shared" si="183"/>
        <v>4968</v>
      </c>
      <c r="C3898" s="49">
        <f>HLOOKUP("# Cores",'vHosts (Imported)'!$1:$5000,M3898,FALSE)</f>
        <v>0</v>
      </c>
      <c r="D3898" s="52">
        <f>HLOOKUP("# Memory",'vHosts (Imported)'!$1:$5000,M3898,FALSE)</f>
        <v>0</v>
      </c>
      <c r="M3898" s="45">
        <f t="shared" si="182"/>
        <v>3898</v>
      </c>
      <c r="N3898" s="38">
        <f>HLOOKUP("Host",'vInfo (Imported)'!$1:$5000,M3898,FALSE)</f>
        <v>0</v>
      </c>
      <c r="R3898">
        <f>HLOOKUP("CPUs",'vInfo (Imported)'!$1:$5000,M3898,FALSE)</f>
        <v>0</v>
      </c>
      <c r="S3898">
        <f>HLOOKUP("Memory",'vInfo (Imported)'!$1:$5000,M3898,FALSE)</f>
        <v>0</v>
      </c>
      <c r="T3898">
        <f>HLOOKUP("Provisioned MiB",'vInfo (Imported)'!$1:$5000,M3898,FALSE)</f>
        <v>0</v>
      </c>
      <c r="U3898">
        <f t="shared" si="181"/>
        <v>0</v>
      </c>
      <c r="V3898">
        <f>HLOOKUP("In Use MiB",'vInfo (Imported)'!$1:$5000,M3898,FALSE)</f>
        <v>0</v>
      </c>
    </row>
    <row r="3899" spans="1:22" ht="13" x14ac:dyDescent="0.3">
      <c r="A3899" s="46">
        <f>'vHosts (Imported)'!A3899</f>
        <v>0</v>
      </c>
      <c r="B3899" s="51">
        <f t="shared" si="183"/>
        <v>4968</v>
      </c>
      <c r="C3899" s="49">
        <f>HLOOKUP("# Cores",'vHosts (Imported)'!$1:$5000,M3899,FALSE)</f>
        <v>0</v>
      </c>
      <c r="D3899" s="52">
        <f>HLOOKUP("# Memory",'vHosts (Imported)'!$1:$5000,M3899,FALSE)</f>
        <v>0</v>
      </c>
      <c r="M3899" s="45">
        <f t="shared" si="182"/>
        <v>3899</v>
      </c>
      <c r="N3899" s="38">
        <f>HLOOKUP("Host",'vInfo (Imported)'!$1:$5000,M3899,FALSE)</f>
        <v>0</v>
      </c>
      <c r="R3899">
        <f>HLOOKUP("CPUs",'vInfo (Imported)'!$1:$5000,M3899,FALSE)</f>
        <v>0</v>
      </c>
      <c r="S3899">
        <f>HLOOKUP("Memory",'vInfo (Imported)'!$1:$5000,M3899,FALSE)</f>
        <v>0</v>
      </c>
      <c r="T3899">
        <f>HLOOKUP("Provisioned MiB",'vInfo (Imported)'!$1:$5000,M3899,FALSE)</f>
        <v>0</v>
      </c>
      <c r="U3899">
        <f t="shared" si="181"/>
        <v>0</v>
      </c>
      <c r="V3899">
        <f>HLOOKUP("In Use MiB",'vInfo (Imported)'!$1:$5000,M3899,FALSE)</f>
        <v>0</v>
      </c>
    </row>
    <row r="3900" spans="1:22" ht="13" x14ac:dyDescent="0.3">
      <c r="A3900" s="46">
        <f>'vHosts (Imported)'!A3900</f>
        <v>0</v>
      </c>
      <c r="B3900" s="51">
        <f t="shared" si="183"/>
        <v>4968</v>
      </c>
      <c r="C3900" s="49">
        <f>HLOOKUP("# Cores",'vHosts (Imported)'!$1:$5000,M3900,FALSE)</f>
        <v>0</v>
      </c>
      <c r="D3900" s="52">
        <f>HLOOKUP("# Memory",'vHosts (Imported)'!$1:$5000,M3900,FALSE)</f>
        <v>0</v>
      </c>
      <c r="M3900" s="45">
        <f t="shared" si="182"/>
        <v>3900</v>
      </c>
      <c r="N3900" s="38">
        <f>HLOOKUP("Host",'vInfo (Imported)'!$1:$5000,M3900,FALSE)</f>
        <v>0</v>
      </c>
      <c r="R3900">
        <f>HLOOKUP("CPUs",'vInfo (Imported)'!$1:$5000,M3900,FALSE)</f>
        <v>0</v>
      </c>
      <c r="S3900">
        <f>HLOOKUP("Memory",'vInfo (Imported)'!$1:$5000,M3900,FALSE)</f>
        <v>0</v>
      </c>
      <c r="T3900">
        <f>HLOOKUP("Provisioned MiB",'vInfo (Imported)'!$1:$5000,M3900,FALSE)</f>
        <v>0</v>
      </c>
      <c r="U3900">
        <f t="shared" si="181"/>
        <v>0</v>
      </c>
      <c r="V3900">
        <f>HLOOKUP("In Use MiB",'vInfo (Imported)'!$1:$5000,M3900,FALSE)</f>
        <v>0</v>
      </c>
    </row>
    <row r="3901" spans="1:22" ht="13" x14ac:dyDescent="0.3">
      <c r="A3901" s="46">
        <f>'vHosts (Imported)'!A3901</f>
        <v>0</v>
      </c>
      <c r="B3901" s="51">
        <f t="shared" si="183"/>
        <v>4968</v>
      </c>
      <c r="C3901" s="49">
        <f>HLOOKUP("# Cores",'vHosts (Imported)'!$1:$5000,M3901,FALSE)</f>
        <v>0</v>
      </c>
      <c r="D3901" s="52">
        <f>HLOOKUP("# Memory",'vHosts (Imported)'!$1:$5000,M3901,FALSE)</f>
        <v>0</v>
      </c>
      <c r="M3901" s="45">
        <f t="shared" si="182"/>
        <v>3901</v>
      </c>
      <c r="N3901" s="38">
        <f>HLOOKUP("Host",'vInfo (Imported)'!$1:$5000,M3901,FALSE)</f>
        <v>0</v>
      </c>
      <c r="R3901">
        <f>HLOOKUP("CPUs",'vInfo (Imported)'!$1:$5000,M3901,FALSE)</f>
        <v>0</v>
      </c>
      <c r="S3901">
        <f>HLOOKUP("Memory",'vInfo (Imported)'!$1:$5000,M3901,FALSE)</f>
        <v>0</v>
      </c>
      <c r="T3901">
        <f>HLOOKUP("Provisioned MiB",'vInfo (Imported)'!$1:$5000,M3901,FALSE)</f>
        <v>0</v>
      </c>
      <c r="U3901">
        <f t="shared" si="181"/>
        <v>0</v>
      </c>
      <c r="V3901">
        <f>HLOOKUP("In Use MiB",'vInfo (Imported)'!$1:$5000,M3901,FALSE)</f>
        <v>0</v>
      </c>
    </row>
    <row r="3902" spans="1:22" ht="13" x14ac:dyDescent="0.3">
      <c r="A3902" s="46">
        <f>'vHosts (Imported)'!A3902</f>
        <v>0</v>
      </c>
      <c r="B3902" s="51">
        <f t="shared" si="183"/>
        <v>4968</v>
      </c>
      <c r="C3902" s="49">
        <f>HLOOKUP("# Cores",'vHosts (Imported)'!$1:$5000,M3902,FALSE)</f>
        <v>0</v>
      </c>
      <c r="D3902" s="52">
        <f>HLOOKUP("# Memory",'vHosts (Imported)'!$1:$5000,M3902,FALSE)</f>
        <v>0</v>
      </c>
      <c r="M3902" s="45">
        <f t="shared" si="182"/>
        <v>3902</v>
      </c>
      <c r="N3902" s="38">
        <f>HLOOKUP("Host",'vInfo (Imported)'!$1:$5000,M3902,FALSE)</f>
        <v>0</v>
      </c>
      <c r="R3902">
        <f>HLOOKUP("CPUs",'vInfo (Imported)'!$1:$5000,M3902,FALSE)</f>
        <v>0</v>
      </c>
      <c r="S3902">
        <f>HLOOKUP("Memory",'vInfo (Imported)'!$1:$5000,M3902,FALSE)</f>
        <v>0</v>
      </c>
      <c r="T3902">
        <f>HLOOKUP("Provisioned MiB",'vInfo (Imported)'!$1:$5000,M3902,FALSE)</f>
        <v>0</v>
      </c>
      <c r="U3902">
        <f t="shared" si="181"/>
        <v>0</v>
      </c>
      <c r="V3902">
        <f>HLOOKUP("In Use MiB",'vInfo (Imported)'!$1:$5000,M3902,FALSE)</f>
        <v>0</v>
      </c>
    </row>
    <row r="3903" spans="1:22" ht="13" x14ac:dyDescent="0.3">
      <c r="A3903" s="46">
        <f>'vHosts (Imported)'!A3903</f>
        <v>0</v>
      </c>
      <c r="B3903" s="51">
        <f t="shared" si="183"/>
        <v>4968</v>
      </c>
      <c r="C3903" s="49">
        <f>HLOOKUP("# Cores",'vHosts (Imported)'!$1:$5000,M3903,FALSE)</f>
        <v>0</v>
      </c>
      <c r="D3903" s="52">
        <f>HLOOKUP("# Memory",'vHosts (Imported)'!$1:$5000,M3903,FALSE)</f>
        <v>0</v>
      </c>
      <c r="M3903" s="45">
        <f t="shared" si="182"/>
        <v>3903</v>
      </c>
      <c r="N3903" s="38">
        <f>HLOOKUP("Host",'vInfo (Imported)'!$1:$5000,M3903,FALSE)</f>
        <v>0</v>
      </c>
      <c r="R3903">
        <f>HLOOKUP("CPUs",'vInfo (Imported)'!$1:$5000,M3903,FALSE)</f>
        <v>0</v>
      </c>
      <c r="S3903">
        <f>HLOOKUP("Memory",'vInfo (Imported)'!$1:$5000,M3903,FALSE)</f>
        <v>0</v>
      </c>
      <c r="T3903">
        <f>HLOOKUP("Provisioned MiB",'vInfo (Imported)'!$1:$5000,M3903,FALSE)</f>
        <v>0</v>
      </c>
      <c r="U3903">
        <f t="shared" si="181"/>
        <v>0</v>
      </c>
      <c r="V3903">
        <f>HLOOKUP("In Use MiB",'vInfo (Imported)'!$1:$5000,M3903,FALSE)</f>
        <v>0</v>
      </c>
    </row>
    <row r="3904" spans="1:22" ht="13" x14ac:dyDescent="0.3">
      <c r="A3904" s="46">
        <f>'vHosts (Imported)'!A3904</f>
        <v>0</v>
      </c>
      <c r="B3904" s="51">
        <f t="shared" si="183"/>
        <v>4968</v>
      </c>
      <c r="C3904" s="49">
        <f>HLOOKUP("# Cores",'vHosts (Imported)'!$1:$5000,M3904,FALSE)</f>
        <v>0</v>
      </c>
      <c r="D3904" s="52">
        <f>HLOOKUP("# Memory",'vHosts (Imported)'!$1:$5000,M3904,FALSE)</f>
        <v>0</v>
      </c>
      <c r="M3904" s="45">
        <f t="shared" si="182"/>
        <v>3904</v>
      </c>
      <c r="N3904" s="38">
        <f>HLOOKUP("Host",'vInfo (Imported)'!$1:$5000,M3904,FALSE)</f>
        <v>0</v>
      </c>
      <c r="R3904">
        <f>HLOOKUP("CPUs",'vInfo (Imported)'!$1:$5000,M3904,FALSE)</f>
        <v>0</v>
      </c>
      <c r="S3904">
        <f>HLOOKUP("Memory",'vInfo (Imported)'!$1:$5000,M3904,FALSE)</f>
        <v>0</v>
      </c>
      <c r="T3904">
        <f>HLOOKUP("Provisioned MiB",'vInfo (Imported)'!$1:$5000,M3904,FALSE)</f>
        <v>0</v>
      </c>
      <c r="U3904">
        <f t="shared" si="181"/>
        <v>0</v>
      </c>
      <c r="V3904">
        <f>HLOOKUP("In Use MiB",'vInfo (Imported)'!$1:$5000,M3904,FALSE)</f>
        <v>0</v>
      </c>
    </row>
    <row r="3905" spans="1:22" ht="13" x14ac:dyDescent="0.3">
      <c r="A3905" s="46">
        <f>'vHosts (Imported)'!A3905</f>
        <v>0</v>
      </c>
      <c r="B3905" s="51">
        <f t="shared" si="183"/>
        <v>4968</v>
      </c>
      <c r="C3905" s="49">
        <f>HLOOKUP("# Cores",'vHosts (Imported)'!$1:$5000,M3905,FALSE)</f>
        <v>0</v>
      </c>
      <c r="D3905" s="52">
        <f>HLOOKUP("# Memory",'vHosts (Imported)'!$1:$5000,M3905,FALSE)</f>
        <v>0</v>
      </c>
      <c r="M3905" s="45">
        <f t="shared" si="182"/>
        <v>3905</v>
      </c>
      <c r="N3905" s="38">
        <f>HLOOKUP("Host",'vInfo (Imported)'!$1:$5000,M3905,FALSE)</f>
        <v>0</v>
      </c>
      <c r="R3905">
        <f>HLOOKUP("CPUs",'vInfo (Imported)'!$1:$5000,M3905,FALSE)</f>
        <v>0</v>
      </c>
      <c r="S3905">
        <f>HLOOKUP("Memory",'vInfo (Imported)'!$1:$5000,M3905,FALSE)</f>
        <v>0</v>
      </c>
      <c r="T3905">
        <f>HLOOKUP("Provisioned MiB",'vInfo (Imported)'!$1:$5000,M3905,FALSE)</f>
        <v>0</v>
      </c>
      <c r="U3905">
        <f t="shared" si="181"/>
        <v>0</v>
      </c>
      <c r="V3905">
        <f>HLOOKUP("In Use MiB",'vInfo (Imported)'!$1:$5000,M3905,FALSE)</f>
        <v>0</v>
      </c>
    </row>
    <row r="3906" spans="1:22" ht="13" x14ac:dyDescent="0.3">
      <c r="A3906" s="46">
        <f>'vHosts (Imported)'!A3906</f>
        <v>0</v>
      </c>
      <c r="B3906" s="51">
        <f t="shared" si="183"/>
        <v>4968</v>
      </c>
      <c r="C3906" s="49">
        <f>HLOOKUP("# Cores",'vHosts (Imported)'!$1:$5000,M3906,FALSE)</f>
        <v>0</v>
      </c>
      <c r="D3906" s="52">
        <f>HLOOKUP("# Memory",'vHosts (Imported)'!$1:$5000,M3906,FALSE)</f>
        <v>0</v>
      </c>
      <c r="M3906" s="45">
        <f t="shared" si="182"/>
        <v>3906</v>
      </c>
      <c r="N3906" s="38">
        <f>HLOOKUP("Host",'vInfo (Imported)'!$1:$5000,M3906,FALSE)</f>
        <v>0</v>
      </c>
      <c r="R3906">
        <f>HLOOKUP("CPUs",'vInfo (Imported)'!$1:$5000,M3906,FALSE)</f>
        <v>0</v>
      </c>
      <c r="S3906">
        <f>HLOOKUP("Memory",'vInfo (Imported)'!$1:$5000,M3906,FALSE)</f>
        <v>0</v>
      </c>
      <c r="T3906">
        <f>HLOOKUP("Provisioned MiB",'vInfo (Imported)'!$1:$5000,M3906,FALSE)</f>
        <v>0</v>
      </c>
      <c r="U3906">
        <f t="shared" si="181"/>
        <v>0</v>
      </c>
      <c r="V3906">
        <f>HLOOKUP("In Use MiB",'vInfo (Imported)'!$1:$5000,M3906,FALSE)</f>
        <v>0</v>
      </c>
    </row>
    <row r="3907" spans="1:22" ht="13" x14ac:dyDescent="0.3">
      <c r="A3907" s="46">
        <f>'vHosts (Imported)'!A3907</f>
        <v>0</v>
      </c>
      <c r="B3907" s="51">
        <f t="shared" si="183"/>
        <v>4968</v>
      </c>
      <c r="C3907" s="49">
        <f>HLOOKUP("# Cores",'vHosts (Imported)'!$1:$5000,M3907,FALSE)</f>
        <v>0</v>
      </c>
      <c r="D3907" s="52">
        <f>HLOOKUP("# Memory",'vHosts (Imported)'!$1:$5000,M3907,FALSE)</f>
        <v>0</v>
      </c>
      <c r="M3907" s="45">
        <f t="shared" si="182"/>
        <v>3907</v>
      </c>
      <c r="N3907" s="38">
        <f>HLOOKUP("Host",'vInfo (Imported)'!$1:$5000,M3907,FALSE)</f>
        <v>0</v>
      </c>
      <c r="R3907">
        <f>HLOOKUP("CPUs",'vInfo (Imported)'!$1:$5000,M3907,FALSE)</f>
        <v>0</v>
      </c>
      <c r="S3907">
        <f>HLOOKUP("Memory",'vInfo (Imported)'!$1:$5000,M3907,FALSE)</f>
        <v>0</v>
      </c>
      <c r="T3907">
        <f>HLOOKUP("Provisioned MiB",'vInfo (Imported)'!$1:$5000,M3907,FALSE)</f>
        <v>0</v>
      </c>
      <c r="U3907">
        <f t="shared" ref="U3907:U3970" si="184">T3907-V3907</f>
        <v>0</v>
      </c>
      <c r="V3907">
        <f>HLOOKUP("In Use MiB",'vInfo (Imported)'!$1:$5000,M3907,FALSE)</f>
        <v>0</v>
      </c>
    </row>
    <row r="3908" spans="1:22" ht="13" x14ac:dyDescent="0.3">
      <c r="A3908" s="46">
        <f>'vHosts (Imported)'!A3908</f>
        <v>0</v>
      </c>
      <c r="B3908" s="51">
        <f t="shared" si="183"/>
        <v>4968</v>
      </c>
      <c r="C3908" s="49">
        <f>HLOOKUP("# Cores",'vHosts (Imported)'!$1:$5000,M3908,FALSE)</f>
        <v>0</v>
      </c>
      <c r="D3908" s="52">
        <f>HLOOKUP("# Memory",'vHosts (Imported)'!$1:$5000,M3908,FALSE)</f>
        <v>0</v>
      </c>
      <c r="M3908" s="45">
        <f t="shared" ref="M3908:M3971" si="185">M3907+1</f>
        <v>3908</v>
      </c>
      <c r="N3908" s="38">
        <f>HLOOKUP("Host",'vInfo (Imported)'!$1:$5000,M3908,FALSE)</f>
        <v>0</v>
      </c>
      <c r="R3908">
        <f>HLOOKUP("CPUs",'vInfo (Imported)'!$1:$5000,M3908,FALSE)</f>
        <v>0</v>
      </c>
      <c r="S3908">
        <f>HLOOKUP("Memory",'vInfo (Imported)'!$1:$5000,M3908,FALSE)</f>
        <v>0</v>
      </c>
      <c r="T3908">
        <f>HLOOKUP("Provisioned MiB",'vInfo (Imported)'!$1:$5000,M3908,FALSE)</f>
        <v>0</v>
      </c>
      <c r="U3908">
        <f t="shared" si="184"/>
        <v>0</v>
      </c>
      <c r="V3908">
        <f>HLOOKUP("In Use MiB",'vInfo (Imported)'!$1:$5000,M3908,FALSE)</f>
        <v>0</v>
      </c>
    </row>
    <row r="3909" spans="1:22" ht="13" x14ac:dyDescent="0.3">
      <c r="A3909" s="46">
        <f>'vHosts (Imported)'!A3909</f>
        <v>0</v>
      </c>
      <c r="B3909" s="51">
        <f t="shared" si="183"/>
        <v>4968</v>
      </c>
      <c r="C3909" s="49">
        <f>HLOOKUP("# Cores",'vHosts (Imported)'!$1:$5000,M3909,FALSE)</f>
        <v>0</v>
      </c>
      <c r="D3909" s="52">
        <f>HLOOKUP("# Memory",'vHosts (Imported)'!$1:$5000,M3909,FALSE)</f>
        <v>0</v>
      </c>
      <c r="M3909" s="45">
        <f t="shared" si="185"/>
        <v>3909</v>
      </c>
      <c r="N3909" s="38">
        <f>HLOOKUP("Host",'vInfo (Imported)'!$1:$5000,M3909,FALSE)</f>
        <v>0</v>
      </c>
      <c r="R3909">
        <f>HLOOKUP("CPUs",'vInfo (Imported)'!$1:$5000,M3909,FALSE)</f>
        <v>0</v>
      </c>
      <c r="S3909">
        <f>HLOOKUP("Memory",'vInfo (Imported)'!$1:$5000,M3909,FALSE)</f>
        <v>0</v>
      </c>
      <c r="T3909">
        <f>HLOOKUP("Provisioned MiB",'vInfo (Imported)'!$1:$5000,M3909,FALSE)</f>
        <v>0</v>
      </c>
      <c r="U3909">
        <f t="shared" si="184"/>
        <v>0</v>
      </c>
      <c r="V3909">
        <f>HLOOKUP("In Use MiB",'vInfo (Imported)'!$1:$5000,M3909,FALSE)</f>
        <v>0</v>
      </c>
    </row>
    <row r="3910" spans="1:22" ht="13" x14ac:dyDescent="0.3">
      <c r="A3910" s="46">
        <f>'vHosts (Imported)'!A3910</f>
        <v>0</v>
      </c>
      <c r="B3910" s="51">
        <f t="shared" si="183"/>
        <v>4968</v>
      </c>
      <c r="C3910" s="49">
        <f>HLOOKUP("# Cores",'vHosts (Imported)'!$1:$5000,M3910,FALSE)</f>
        <v>0</v>
      </c>
      <c r="D3910" s="52">
        <f>HLOOKUP("# Memory",'vHosts (Imported)'!$1:$5000,M3910,FALSE)</f>
        <v>0</v>
      </c>
      <c r="M3910" s="45">
        <f t="shared" si="185"/>
        <v>3910</v>
      </c>
      <c r="N3910" s="38">
        <f>HLOOKUP("Host",'vInfo (Imported)'!$1:$5000,M3910,FALSE)</f>
        <v>0</v>
      </c>
      <c r="R3910">
        <f>HLOOKUP("CPUs",'vInfo (Imported)'!$1:$5000,M3910,FALSE)</f>
        <v>0</v>
      </c>
      <c r="S3910">
        <f>HLOOKUP("Memory",'vInfo (Imported)'!$1:$5000,M3910,FALSE)</f>
        <v>0</v>
      </c>
      <c r="T3910">
        <f>HLOOKUP("Provisioned MiB",'vInfo (Imported)'!$1:$5000,M3910,FALSE)</f>
        <v>0</v>
      </c>
      <c r="U3910">
        <f t="shared" si="184"/>
        <v>0</v>
      </c>
      <c r="V3910">
        <f>HLOOKUP("In Use MiB",'vInfo (Imported)'!$1:$5000,M3910,FALSE)</f>
        <v>0</v>
      </c>
    </row>
    <row r="3911" spans="1:22" ht="13" x14ac:dyDescent="0.3">
      <c r="A3911" s="46">
        <f>'vHosts (Imported)'!A3911</f>
        <v>0</v>
      </c>
      <c r="B3911" s="51">
        <f t="shared" si="183"/>
        <v>4968</v>
      </c>
      <c r="C3911" s="49">
        <f>HLOOKUP("# Cores",'vHosts (Imported)'!$1:$5000,M3911,FALSE)</f>
        <v>0</v>
      </c>
      <c r="D3911" s="52">
        <f>HLOOKUP("# Memory",'vHosts (Imported)'!$1:$5000,M3911,FALSE)</f>
        <v>0</v>
      </c>
      <c r="M3911" s="45">
        <f t="shared" si="185"/>
        <v>3911</v>
      </c>
      <c r="N3911" s="38">
        <f>HLOOKUP("Host",'vInfo (Imported)'!$1:$5000,M3911,FALSE)</f>
        <v>0</v>
      </c>
      <c r="R3911">
        <f>HLOOKUP("CPUs",'vInfo (Imported)'!$1:$5000,M3911,FALSE)</f>
        <v>0</v>
      </c>
      <c r="S3911">
        <f>HLOOKUP("Memory",'vInfo (Imported)'!$1:$5000,M3911,FALSE)</f>
        <v>0</v>
      </c>
      <c r="T3911">
        <f>HLOOKUP("Provisioned MiB",'vInfo (Imported)'!$1:$5000,M3911,FALSE)</f>
        <v>0</v>
      </c>
      <c r="U3911">
        <f t="shared" si="184"/>
        <v>0</v>
      </c>
      <c r="V3911">
        <f>HLOOKUP("In Use MiB",'vInfo (Imported)'!$1:$5000,M3911,FALSE)</f>
        <v>0</v>
      </c>
    </row>
    <row r="3912" spans="1:22" ht="13" x14ac:dyDescent="0.3">
      <c r="A3912" s="46">
        <f>'vHosts (Imported)'!A3912</f>
        <v>0</v>
      </c>
      <c r="B3912" s="51">
        <f t="shared" si="183"/>
        <v>4968</v>
      </c>
      <c r="C3912" s="49">
        <f>HLOOKUP("# Cores",'vHosts (Imported)'!$1:$5000,M3912,FALSE)</f>
        <v>0</v>
      </c>
      <c r="D3912" s="52">
        <f>HLOOKUP("# Memory",'vHosts (Imported)'!$1:$5000,M3912,FALSE)</f>
        <v>0</v>
      </c>
      <c r="M3912" s="45">
        <f t="shared" si="185"/>
        <v>3912</v>
      </c>
      <c r="N3912" s="38">
        <f>HLOOKUP("Host",'vInfo (Imported)'!$1:$5000,M3912,FALSE)</f>
        <v>0</v>
      </c>
      <c r="R3912">
        <f>HLOOKUP("CPUs",'vInfo (Imported)'!$1:$5000,M3912,FALSE)</f>
        <v>0</v>
      </c>
      <c r="S3912">
        <f>HLOOKUP("Memory",'vInfo (Imported)'!$1:$5000,M3912,FALSE)</f>
        <v>0</v>
      </c>
      <c r="T3912">
        <f>HLOOKUP("Provisioned MiB",'vInfo (Imported)'!$1:$5000,M3912,FALSE)</f>
        <v>0</v>
      </c>
      <c r="U3912">
        <f t="shared" si="184"/>
        <v>0</v>
      </c>
      <c r="V3912">
        <f>HLOOKUP("In Use MiB",'vInfo (Imported)'!$1:$5000,M3912,FALSE)</f>
        <v>0</v>
      </c>
    </row>
    <row r="3913" spans="1:22" ht="13" x14ac:dyDescent="0.3">
      <c r="A3913" s="46">
        <f>'vHosts (Imported)'!A3913</f>
        <v>0</v>
      </c>
      <c r="B3913" s="51">
        <f t="shared" si="183"/>
        <v>4968</v>
      </c>
      <c r="C3913" s="49">
        <f>HLOOKUP("# Cores",'vHosts (Imported)'!$1:$5000,M3913,FALSE)</f>
        <v>0</v>
      </c>
      <c r="D3913" s="52">
        <f>HLOOKUP("# Memory",'vHosts (Imported)'!$1:$5000,M3913,FALSE)</f>
        <v>0</v>
      </c>
      <c r="M3913" s="45">
        <f t="shared" si="185"/>
        <v>3913</v>
      </c>
      <c r="N3913" s="38">
        <f>HLOOKUP("Host",'vInfo (Imported)'!$1:$5000,M3913,FALSE)</f>
        <v>0</v>
      </c>
      <c r="R3913">
        <f>HLOOKUP("CPUs",'vInfo (Imported)'!$1:$5000,M3913,FALSE)</f>
        <v>0</v>
      </c>
      <c r="S3913">
        <f>HLOOKUP("Memory",'vInfo (Imported)'!$1:$5000,M3913,FALSE)</f>
        <v>0</v>
      </c>
      <c r="T3913">
        <f>HLOOKUP("Provisioned MiB",'vInfo (Imported)'!$1:$5000,M3913,FALSE)</f>
        <v>0</v>
      </c>
      <c r="U3913">
        <f t="shared" si="184"/>
        <v>0</v>
      </c>
      <c r="V3913">
        <f>HLOOKUP("In Use MiB",'vInfo (Imported)'!$1:$5000,M3913,FALSE)</f>
        <v>0</v>
      </c>
    </row>
    <row r="3914" spans="1:22" ht="13" x14ac:dyDescent="0.3">
      <c r="A3914" s="46">
        <f>'vHosts (Imported)'!A3914</f>
        <v>0</v>
      </c>
      <c r="B3914" s="51">
        <f t="shared" si="183"/>
        <v>4968</v>
      </c>
      <c r="C3914" s="49">
        <f>HLOOKUP("# Cores",'vHosts (Imported)'!$1:$5000,M3914,FALSE)</f>
        <v>0</v>
      </c>
      <c r="D3914" s="52">
        <f>HLOOKUP("# Memory",'vHosts (Imported)'!$1:$5000,M3914,FALSE)</f>
        <v>0</v>
      </c>
      <c r="M3914" s="45">
        <f t="shared" si="185"/>
        <v>3914</v>
      </c>
      <c r="N3914" s="38">
        <f>HLOOKUP("Host",'vInfo (Imported)'!$1:$5000,M3914,FALSE)</f>
        <v>0</v>
      </c>
      <c r="R3914">
        <f>HLOOKUP("CPUs",'vInfo (Imported)'!$1:$5000,M3914,FALSE)</f>
        <v>0</v>
      </c>
      <c r="S3914">
        <f>HLOOKUP("Memory",'vInfo (Imported)'!$1:$5000,M3914,FALSE)</f>
        <v>0</v>
      </c>
      <c r="T3914">
        <f>HLOOKUP("Provisioned MiB",'vInfo (Imported)'!$1:$5000,M3914,FALSE)</f>
        <v>0</v>
      </c>
      <c r="U3914">
        <f t="shared" si="184"/>
        <v>0</v>
      </c>
      <c r="V3914">
        <f>HLOOKUP("In Use MiB",'vInfo (Imported)'!$1:$5000,M3914,FALSE)</f>
        <v>0</v>
      </c>
    </row>
    <row r="3915" spans="1:22" ht="13" x14ac:dyDescent="0.3">
      <c r="A3915" s="46">
        <f>'vHosts (Imported)'!A3915</f>
        <v>0</v>
      </c>
      <c r="B3915" s="51">
        <f t="shared" si="183"/>
        <v>4968</v>
      </c>
      <c r="C3915" s="49">
        <f>HLOOKUP("# Cores",'vHosts (Imported)'!$1:$5000,M3915,FALSE)</f>
        <v>0</v>
      </c>
      <c r="D3915" s="52">
        <f>HLOOKUP("# Memory",'vHosts (Imported)'!$1:$5000,M3915,FALSE)</f>
        <v>0</v>
      </c>
      <c r="M3915" s="45">
        <f t="shared" si="185"/>
        <v>3915</v>
      </c>
      <c r="N3915" s="38">
        <f>HLOOKUP("Host",'vInfo (Imported)'!$1:$5000,M3915,FALSE)</f>
        <v>0</v>
      </c>
      <c r="R3915">
        <f>HLOOKUP("CPUs",'vInfo (Imported)'!$1:$5000,M3915,FALSE)</f>
        <v>0</v>
      </c>
      <c r="S3915">
        <f>HLOOKUP("Memory",'vInfo (Imported)'!$1:$5000,M3915,FALSE)</f>
        <v>0</v>
      </c>
      <c r="T3915">
        <f>HLOOKUP("Provisioned MiB",'vInfo (Imported)'!$1:$5000,M3915,FALSE)</f>
        <v>0</v>
      </c>
      <c r="U3915">
        <f t="shared" si="184"/>
        <v>0</v>
      </c>
      <c r="V3915">
        <f>HLOOKUP("In Use MiB",'vInfo (Imported)'!$1:$5000,M3915,FALSE)</f>
        <v>0</v>
      </c>
    </row>
    <row r="3916" spans="1:22" ht="13" x14ac:dyDescent="0.3">
      <c r="A3916" s="46">
        <f>'vHosts (Imported)'!A3916</f>
        <v>0</v>
      </c>
      <c r="B3916" s="51">
        <f t="shared" si="183"/>
        <v>4968</v>
      </c>
      <c r="C3916" s="49">
        <f>HLOOKUP("# Cores",'vHosts (Imported)'!$1:$5000,M3916,FALSE)</f>
        <v>0</v>
      </c>
      <c r="D3916" s="52">
        <f>HLOOKUP("# Memory",'vHosts (Imported)'!$1:$5000,M3916,FALSE)</f>
        <v>0</v>
      </c>
      <c r="M3916" s="45">
        <f t="shared" si="185"/>
        <v>3916</v>
      </c>
      <c r="N3916" s="38">
        <f>HLOOKUP("Host",'vInfo (Imported)'!$1:$5000,M3916,FALSE)</f>
        <v>0</v>
      </c>
      <c r="R3916">
        <f>HLOOKUP("CPUs",'vInfo (Imported)'!$1:$5000,M3916,FALSE)</f>
        <v>0</v>
      </c>
      <c r="S3916">
        <f>HLOOKUP("Memory",'vInfo (Imported)'!$1:$5000,M3916,FALSE)</f>
        <v>0</v>
      </c>
      <c r="T3916">
        <f>HLOOKUP("Provisioned MiB",'vInfo (Imported)'!$1:$5000,M3916,FALSE)</f>
        <v>0</v>
      </c>
      <c r="U3916">
        <f t="shared" si="184"/>
        <v>0</v>
      </c>
      <c r="V3916">
        <f>HLOOKUP("In Use MiB",'vInfo (Imported)'!$1:$5000,M3916,FALSE)</f>
        <v>0</v>
      </c>
    </row>
    <row r="3917" spans="1:22" ht="13" x14ac:dyDescent="0.3">
      <c r="A3917" s="46">
        <f>'vHosts (Imported)'!A3917</f>
        <v>0</v>
      </c>
      <c r="B3917" s="51">
        <f t="shared" si="183"/>
        <v>4968</v>
      </c>
      <c r="C3917" s="49">
        <f>HLOOKUP("# Cores",'vHosts (Imported)'!$1:$5000,M3917,FALSE)</f>
        <v>0</v>
      </c>
      <c r="D3917" s="52">
        <f>HLOOKUP("# Memory",'vHosts (Imported)'!$1:$5000,M3917,FALSE)</f>
        <v>0</v>
      </c>
      <c r="M3917" s="45">
        <f t="shared" si="185"/>
        <v>3917</v>
      </c>
      <c r="N3917" s="38">
        <f>HLOOKUP("Host",'vInfo (Imported)'!$1:$5000,M3917,FALSE)</f>
        <v>0</v>
      </c>
      <c r="R3917">
        <f>HLOOKUP("CPUs",'vInfo (Imported)'!$1:$5000,M3917,FALSE)</f>
        <v>0</v>
      </c>
      <c r="S3917">
        <f>HLOOKUP("Memory",'vInfo (Imported)'!$1:$5000,M3917,FALSE)</f>
        <v>0</v>
      </c>
      <c r="T3917">
        <f>HLOOKUP("Provisioned MiB",'vInfo (Imported)'!$1:$5000,M3917,FALSE)</f>
        <v>0</v>
      </c>
      <c r="U3917">
        <f t="shared" si="184"/>
        <v>0</v>
      </c>
      <c r="V3917">
        <f>HLOOKUP("In Use MiB",'vInfo (Imported)'!$1:$5000,M3917,FALSE)</f>
        <v>0</v>
      </c>
    </row>
    <row r="3918" spans="1:22" ht="13" x14ac:dyDescent="0.3">
      <c r="A3918" s="46">
        <f>'vHosts (Imported)'!A3918</f>
        <v>0</v>
      </c>
      <c r="B3918" s="51">
        <f t="shared" si="183"/>
        <v>4968</v>
      </c>
      <c r="C3918" s="49">
        <f>HLOOKUP("# Cores",'vHosts (Imported)'!$1:$5000,M3918,FALSE)</f>
        <v>0</v>
      </c>
      <c r="D3918" s="52">
        <f>HLOOKUP("# Memory",'vHosts (Imported)'!$1:$5000,M3918,FALSE)</f>
        <v>0</v>
      </c>
      <c r="M3918" s="45">
        <f t="shared" si="185"/>
        <v>3918</v>
      </c>
      <c r="N3918" s="38">
        <f>HLOOKUP("Host",'vInfo (Imported)'!$1:$5000,M3918,FALSE)</f>
        <v>0</v>
      </c>
      <c r="R3918">
        <f>HLOOKUP("CPUs",'vInfo (Imported)'!$1:$5000,M3918,FALSE)</f>
        <v>0</v>
      </c>
      <c r="S3918">
        <f>HLOOKUP("Memory",'vInfo (Imported)'!$1:$5000,M3918,FALSE)</f>
        <v>0</v>
      </c>
      <c r="T3918">
        <f>HLOOKUP("Provisioned MiB",'vInfo (Imported)'!$1:$5000,M3918,FALSE)</f>
        <v>0</v>
      </c>
      <c r="U3918">
        <f t="shared" si="184"/>
        <v>0</v>
      </c>
      <c r="V3918">
        <f>HLOOKUP("In Use MiB",'vInfo (Imported)'!$1:$5000,M3918,FALSE)</f>
        <v>0</v>
      </c>
    </row>
    <row r="3919" spans="1:22" ht="13" x14ac:dyDescent="0.3">
      <c r="A3919" s="46">
        <f>'vHosts (Imported)'!A3919</f>
        <v>0</v>
      </c>
      <c r="B3919" s="51">
        <f t="shared" si="183"/>
        <v>4968</v>
      </c>
      <c r="C3919" s="49">
        <f>HLOOKUP("# Cores",'vHosts (Imported)'!$1:$5000,M3919,FALSE)</f>
        <v>0</v>
      </c>
      <c r="D3919" s="52">
        <f>HLOOKUP("# Memory",'vHosts (Imported)'!$1:$5000,M3919,FALSE)</f>
        <v>0</v>
      </c>
      <c r="M3919" s="45">
        <f t="shared" si="185"/>
        <v>3919</v>
      </c>
      <c r="N3919" s="38">
        <f>HLOOKUP("Host",'vInfo (Imported)'!$1:$5000,M3919,FALSE)</f>
        <v>0</v>
      </c>
      <c r="R3919">
        <f>HLOOKUP("CPUs",'vInfo (Imported)'!$1:$5000,M3919,FALSE)</f>
        <v>0</v>
      </c>
      <c r="S3919">
        <f>HLOOKUP("Memory",'vInfo (Imported)'!$1:$5000,M3919,FALSE)</f>
        <v>0</v>
      </c>
      <c r="T3919">
        <f>HLOOKUP("Provisioned MiB",'vInfo (Imported)'!$1:$5000,M3919,FALSE)</f>
        <v>0</v>
      </c>
      <c r="U3919">
        <f t="shared" si="184"/>
        <v>0</v>
      </c>
      <c r="V3919">
        <f>HLOOKUP("In Use MiB",'vInfo (Imported)'!$1:$5000,M3919,FALSE)</f>
        <v>0</v>
      </c>
    </row>
    <row r="3920" spans="1:22" ht="13" x14ac:dyDescent="0.3">
      <c r="A3920" s="46">
        <f>'vHosts (Imported)'!A3920</f>
        <v>0</v>
      </c>
      <c r="B3920" s="51">
        <f t="shared" si="183"/>
        <v>4968</v>
      </c>
      <c r="C3920" s="49">
        <f>HLOOKUP("# Cores",'vHosts (Imported)'!$1:$5000,M3920,FALSE)</f>
        <v>0</v>
      </c>
      <c r="D3920" s="52">
        <f>HLOOKUP("# Memory",'vHosts (Imported)'!$1:$5000,M3920,FALSE)</f>
        <v>0</v>
      </c>
      <c r="M3920" s="45">
        <f t="shared" si="185"/>
        <v>3920</v>
      </c>
      <c r="N3920" s="38">
        <f>HLOOKUP("Host",'vInfo (Imported)'!$1:$5000,M3920,FALSE)</f>
        <v>0</v>
      </c>
      <c r="R3920">
        <f>HLOOKUP("CPUs",'vInfo (Imported)'!$1:$5000,M3920,FALSE)</f>
        <v>0</v>
      </c>
      <c r="S3920">
        <f>HLOOKUP("Memory",'vInfo (Imported)'!$1:$5000,M3920,FALSE)</f>
        <v>0</v>
      </c>
      <c r="T3920">
        <f>HLOOKUP("Provisioned MiB",'vInfo (Imported)'!$1:$5000,M3920,FALSE)</f>
        <v>0</v>
      </c>
      <c r="U3920">
        <f t="shared" si="184"/>
        <v>0</v>
      </c>
      <c r="V3920">
        <f>HLOOKUP("In Use MiB",'vInfo (Imported)'!$1:$5000,M3920,FALSE)</f>
        <v>0</v>
      </c>
    </row>
    <row r="3921" spans="1:22" ht="13" x14ac:dyDescent="0.3">
      <c r="A3921" s="46">
        <f>'vHosts (Imported)'!A3921</f>
        <v>0</v>
      </c>
      <c r="B3921" s="51">
        <f t="shared" si="183"/>
        <v>4968</v>
      </c>
      <c r="C3921" s="49">
        <f>HLOOKUP("# Cores",'vHosts (Imported)'!$1:$5000,M3921,FALSE)</f>
        <v>0</v>
      </c>
      <c r="D3921" s="52">
        <f>HLOOKUP("# Memory",'vHosts (Imported)'!$1:$5000,M3921,FALSE)</f>
        <v>0</v>
      </c>
      <c r="M3921" s="45">
        <f t="shared" si="185"/>
        <v>3921</v>
      </c>
      <c r="N3921" s="38">
        <f>HLOOKUP("Host",'vInfo (Imported)'!$1:$5000,M3921,FALSE)</f>
        <v>0</v>
      </c>
      <c r="R3921">
        <f>HLOOKUP("CPUs",'vInfo (Imported)'!$1:$5000,M3921,FALSE)</f>
        <v>0</v>
      </c>
      <c r="S3921">
        <f>HLOOKUP("Memory",'vInfo (Imported)'!$1:$5000,M3921,FALSE)</f>
        <v>0</v>
      </c>
      <c r="T3921">
        <f>HLOOKUP("Provisioned MiB",'vInfo (Imported)'!$1:$5000,M3921,FALSE)</f>
        <v>0</v>
      </c>
      <c r="U3921">
        <f t="shared" si="184"/>
        <v>0</v>
      </c>
      <c r="V3921">
        <f>HLOOKUP("In Use MiB",'vInfo (Imported)'!$1:$5000,M3921,FALSE)</f>
        <v>0</v>
      </c>
    </row>
    <row r="3922" spans="1:22" ht="13" x14ac:dyDescent="0.3">
      <c r="A3922" s="46">
        <f>'vHosts (Imported)'!A3922</f>
        <v>0</v>
      </c>
      <c r="B3922" s="51">
        <f t="shared" si="183"/>
        <v>4968</v>
      </c>
      <c r="C3922" s="49">
        <f>HLOOKUP("# Cores",'vHosts (Imported)'!$1:$5000,M3922,FALSE)</f>
        <v>0</v>
      </c>
      <c r="D3922" s="52">
        <f>HLOOKUP("# Memory",'vHosts (Imported)'!$1:$5000,M3922,FALSE)</f>
        <v>0</v>
      </c>
      <c r="M3922" s="45">
        <f t="shared" si="185"/>
        <v>3922</v>
      </c>
      <c r="N3922" s="38">
        <f>HLOOKUP("Host",'vInfo (Imported)'!$1:$5000,M3922,FALSE)</f>
        <v>0</v>
      </c>
      <c r="R3922">
        <f>HLOOKUP("CPUs",'vInfo (Imported)'!$1:$5000,M3922,FALSE)</f>
        <v>0</v>
      </c>
      <c r="S3922">
        <f>HLOOKUP("Memory",'vInfo (Imported)'!$1:$5000,M3922,FALSE)</f>
        <v>0</v>
      </c>
      <c r="T3922">
        <f>HLOOKUP("Provisioned MiB",'vInfo (Imported)'!$1:$5000,M3922,FALSE)</f>
        <v>0</v>
      </c>
      <c r="U3922">
        <f t="shared" si="184"/>
        <v>0</v>
      </c>
      <c r="V3922">
        <f>HLOOKUP("In Use MiB",'vInfo (Imported)'!$1:$5000,M3922,FALSE)</f>
        <v>0</v>
      </c>
    </row>
    <row r="3923" spans="1:22" ht="13" x14ac:dyDescent="0.3">
      <c r="A3923" s="46">
        <f>'vHosts (Imported)'!A3923</f>
        <v>0</v>
      </c>
      <c r="B3923" s="51">
        <f t="shared" si="183"/>
        <v>4968</v>
      </c>
      <c r="C3923" s="49">
        <f>HLOOKUP("# Cores",'vHosts (Imported)'!$1:$5000,M3923,FALSE)</f>
        <v>0</v>
      </c>
      <c r="D3923" s="52">
        <f>HLOOKUP("# Memory",'vHosts (Imported)'!$1:$5000,M3923,FALSE)</f>
        <v>0</v>
      </c>
      <c r="M3923" s="45">
        <f t="shared" si="185"/>
        <v>3923</v>
      </c>
      <c r="N3923" s="38">
        <f>HLOOKUP("Host",'vInfo (Imported)'!$1:$5000,M3923,FALSE)</f>
        <v>0</v>
      </c>
      <c r="R3923">
        <f>HLOOKUP("CPUs",'vInfo (Imported)'!$1:$5000,M3923,FALSE)</f>
        <v>0</v>
      </c>
      <c r="S3923">
        <f>HLOOKUP("Memory",'vInfo (Imported)'!$1:$5000,M3923,FALSE)</f>
        <v>0</v>
      </c>
      <c r="T3923">
        <f>HLOOKUP("Provisioned MiB",'vInfo (Imported)'!$1:$5000,M3923,FALSE)</f>
        <v>0</v>
      </c>
      <c r="U3923">
        <f t="shared" si="184"/>
        <v>0</v>
      </c>
      <c r="V3923">
        <f>HLOOKUP("In Use MiB",'vInfo (Imported)'!$1:$5000,M3923,FALSE)</f>
        <v>0</v>
      </c>
    </row>
    <row r="3924" spans="1:22" ht="13" x14ac:dyDescent="0.3">
      <c r="A3924" s="46">
        <f>'vHosts (Imported)'!A3924</f>
        <v>0</v>
      </c>
      <c r="B3924" s="51">
        <f t="shared" si="183"/>
        <v>4968</v>
      </c>
      <c r="C3924" s="49">
        <f>HLOOKUP("# Cores",'vHosts (Imported)'!$1:$5000,M3924,FALSE)</f>
        <v>0</v>
      </c>
      <c r="D3924" s="52">
        <f>HLOOKUP("# Memory",'vHosts (Imported)'!$1:$5000,M3924,FALSE)</f>
        <v>0</v>
      </c>
      <c r="M3924" s="45">
        <f t="shared" si="185"/>
        <v>3924</v>
      </c>
      <c r="N3924" s="38">
        <f>HLOOKUP("Host",'vInfo (Imported)'!$1:$5000,M3924,FALSE)</f>
        <v>0</v>
      </c>
      <c r="R3924">
        <f>HLOOKUP("CPUs",'vInfo (Imported)'!$1:$5000,M3924,FALSE)</f>
        <v>0</v>
      </c>
      <c r="S3924">
        <f>HLOOKUP("Memory",'vInfo (Imported)'!$1:$5000,M3924,FALSE)</f>
        <v>0</v>
      </c>
      <c r="T3924">
        <f>HLOOKUP("Provisioned MiB",'vInfo (Imported)'!$1:$5000,M3924,FALSE)</f>
        <v>0</v>
      </c>
      <c r="U3924">
        <f t="shared" si="184"/>
        <v>0</v>
      </c>
      <c r="V3924">
        <f>HLOOKUP("In Use MiB",'vInfo (Imported)'!$1:$5000,M3924,FALSE)</f>
        <v>0</v>
      </c>
    </row>
    <row r="3925" spans="1:22" ht="13" x14ac:dyDescent="0.3">
      <c r="A3925" s="46">
        <f>'vHosts (Imported)'!A3925</f>
        <v>0</v>
      </c>
      <c r="B3925" s="51">
        <f t="shared" si="183"/>
        <v>4968</v>
      </c>
      <c r="C3925" s="49">
        <f>HLOOKUP("# Cores",'vHosts (Imported)'!$1:$5000,M3925,FALSE)</f>
        <v>0</v>
      </c>
      <c r="D3925" s="52">
        <f>HLOOKUP("# Memory",'vHosts (Imported)'!$1:$5000,M3925,FALSE)</f>
        <v>0</v>
      </c>
      <c r="M3925" s="45">
        <f t="shared" si="185"/>
        <v>3925</v>
      </c>
      <c r="N3925" s="38">
        <f>HLOOKUP("Host",'vInfo (Imported)'!$1:$5000,M3925,FALSE)</f>
        <v>0</v>
      </c>
      <c r="R3925">
        <f>HLOOKUP("CPUs",'vInfo (Imported)'!$1:$5000,M3925,FALSE)</f>
        <v>0</v>
      </c>
      <c r="S3925">
        <f>HLOOKUP("Memory",'vInfo (Imported)'!$1:$5000,M3925,FALSE)</f>
        <v>0</v>
      </c>
      <c r="T3925">
        <f>HLOOKUP("Provisioned MiB",'vInfo (Imported)'!$1:$5000,M3925,FALSE)</f>
        <v>0</v>
      </c>
      <c r="U3925">
        <f t="shared" si="184"/>
        <v>0</v>
      </c>
      <c r="V3925">
        <f>HLOOKUP("In Use MiB",'vInfo (Imported)'!$1:$5000,M3925,FALSE)</f>
        <v>0</v>
      </c>
    </row>
    <row r="3926" spans="1:22" ht="13" x14ac:dyDescent="0.3">
      <c r="A3926" s="46">
        <f>'vHosts (Imported)'!A3926</f>
        <v>0</v>
      </c>
      <c r="B3926" s="51">
        <f t="shared" si="183"/>
        <v>4968</v>
      </c>
      <c r="C3926" s="49">
        <f>HLOOKUP("# Cores",'vHosts (Imported)'!$1:$5000,M3926,FALSE)</f>
        <v>0</v>
      </c>
      <c r="D3926" s="52">
        <f>HLOOKUP("# Memory",'vHosts (Imported)'!$1:$5000,M3926,FALSE)</f>
        <v>0</v>
      </c>
      <c r="M3926" s="45">
        <f t="shared" si="185"/>
        <v>3926</v>
      </c>
      <c r="N3926" s="38">
        <f>HLOOKUP("Host",'vInfo (Imported)'!$1:$5000,M3926,FALSE)</f>
        <v>0</v>
      </c>
      <c r="R3926">
        <f>HLOOKUP("CPUs",'vInfo (Imported)'!$1:$5000,M3926,FALSE)</f>
        <v>0</v>
      </c>
      <c r="S3926">
        <f>HLOOKUP("Memory",'vInfo (Imported)'!$1:$5000,M3926,FALSE)</f>
        <v>0</v>
      </c>
      <c r="T3926">
        <f>HLOOKUP("Provisioned MiB",'vInfo (Imported)'!$1:$5000,M3926,FALSE)</f>
        <v>0</v>
      </c>
      <c r="U3926">
        <f t="shared" si="184"/>
        <v>0</v>
      </c>
      <c r="V3926">
        <f>HLOOKUP("In Use MiB",'vInfo (Imported)'!$1:$5000,M3926,FALSE)</f>
        <v>0</v>
      </c>
    </row>
    <row r="3927" spans="1:22" ht="13" x14ac:dyDescent="0.3">
      <c r="A3927" s="46">
        <f>'vHosts (Imported)'!A3927</f>
        <v>0</v>
      </c>
      <c r="B3927" s="51">
        <f t="shared" si="183"/>
        <v>4968</v>
      </c>
      <c r="C3927" s="49">
        <f>HLOOKUP("# Cores",'vHosts (Imported)'!$1:$5000,M3927,FALSE)</f>
        <v>0</v>
      </c>
      <c r="D3927" s="52">
        <f>HLOOKUP("# Memory",'vHosts (Imported)'!$1:$5000,M3927,FALSE)</f>
        <v>0</v>
      </c>
      <c r="M3927" s="45">
        <f t="shared" si="185"/>
        <v>3927</v>
      </c>
      <c r="N3927" s="38">
        <f>HLOOKUP("Host",'vInfo (Imported)'!$1:$5000,M3927,FALSE)</f>
        <v>0</v>
      </c>
      <c r="R3927">
        <f>HLOOKUP("CPUs",'vInfo (Imported)'!$1:$5000,M3927,FALSE)</f>
        <v>0</v>
      </c>
      <c r="S3927">
        <f>HLOOKUP("Memory",'vInfo (Imported)'!$1:$5000,M3927,FALSE)</f>
        <v>0</v>
      </c>
      <c r="T3927">
        <f>HLOOKUP("Provisioned MiB",'vInfo (Imported)'!$1:$5000,M3927,FALSE)</f>
        <v>0</v>
      </c>
      <c r="U3927">
        <f t="shared" si="184"/>
        <v>0</v>
      </c>
      <c r="V3927">
        <f>HLOOKUP("In Use MiB",'vInfo (Imported)'!$1:$5000,M3927,FALSE)</f>
        <v>0</v>
      </c>
    </row>
    <row r="3928" spans="1:22" ht="13" x14ac:dyDescent="0.3">
      <c r="A3928" s="46">
        <f>'vHosts (Imported)'!A3928</f>
        <v>0</v>
      </c>
      <c r="B3928" s="51">
        <f t="shared" si="183"/>
        <v>4968</v>
      </c>
      <c r="C3928" s="49">
        <f>HLOOKUP("# Cores",'vHosts (Imported)'!$1:$5000,M3928,FALSE)</f>
        <v>0</v>
      </c>
      <c r="D3928" s="52">
        <f>HLOOKUP("# Memory",'vHosts (Imported)'!$1:$5000,M3928,FALSE)</f>
        <v>0</v>
      </c>
      <c r="M3928" s="45">
        <f t="shared" si="185"/>
        <v>3928</v>
      </c>
      <c r="N3928" s="38">
        <f>HLOOKUP("Host",'vInfo (Imported)'!$1:$5000,M3928,FALSE)</f>
        <v>0</v>
      </c>
      <c r="R3928">
        <f>HLOOKUP("CPUs",'vInfo (Imported)'!$1:$5000,M3928,FALSE)</f>
        <v>0</v>
      </c>
      <c r="S3928">
        <f>HLOOKUP("Memory",'vInfo (Imported)'!$1:$5000,M3928,FALSE)</f>
        <v>0</v>
      </c>
      <c r="T3928">
        <f>HLOOKUP("Provisioned MiB",'vInfo (Imported)'!$1:$5000,M3928,FALSE)</f>
        <v>0</v>
      </c>
      <c r="U3928">
        <f t="shared" si="184"/>
        <v>0</v>
      </c>
      <c r="V3928">
        <f>HLOOKUP("In Use MiB",'vInfo (Imported)'!$1:$5000,M3928,FALSE)</f>
        <v>0</v>
      </c>
    </row>
    <row r="3929" spans="1:22" ht="13" x14ac:dyDescent="0.3">
      <c r="A3929" s="46">
        <f>'vHosts (Imported)'!A3929</f>
        <v>0</v>
      </c>
      <c r="B3929" s="51">
        <f t="shared" si="183"/>
        <v>4968</v>
      </c>
      <c r="C3929" s="49">
        <f>HLOOKUP("# Cores",'vHosts (Imported)'!$1:$5000,M3929,FALSE)</f>
        <v>0</v>
      </c>
      <c r="D3929" s="52">
        <f>HLOOKUP("# Memory",'vHosts (Imported)'!$1:$5000,M3929,FALSE)</f>
        <v>0</v>
      </c>
      <c r="M3929" s="45">
        <f t="shared" si="185"/>
        <v>3929</v>
      </c>
      <c r="N3929" s="38">
        <f>HLOOKUP("Host",'vInfo (Imported)'!$1:$5000,M3929,FALSE)</f>
        <v>0</v>
      </c>
      <c r="R3929">
        <f>HLOOKUP("CPUs",'vInfo (Imported)'!$1:$5000,M3929,FALSE)</f>
        <v>0</v>
      </c>
      <c r="S3929">
        <f>HLOOKUP("Memory",'vInfo (Imported)'!$1:$5000,M3929,FALSE)</f>
        <v>0</v>
      </c>
      <c r="T3929">
        <f>HLOOKUP("Provisioned MiB",'vInfo (Imported)'!$1:$5000,M3929,FALSE)</f>
        <v>0</v>
      </c>
      <c r="U3929">
        <f t="shared" si="184"/>
        <v>0</v>
      </c>
      <c r="V3929">
        <f>HLOOKUP("In Use MiB",'vInfo (Imported)'!$1:$5000,M3929,FALSE)</f>
        <v>0</v>
      </c>
    </row>
    <row r="3930" spans="1:22" ht="13" x14ac:dyDescent="0.3">
      <c r="A3930" s="46">
        <f>'vHosts (Imported)'!A3930</f>
        <v>0</v>
      </c>
      <c r="B3930" s="51">
        <f t="shared" si="183"/>
        <v>4968</v>
      </c>
      <c r="C3930" s="49">
        <f>HLOOKUP("# Cores",'vHosts (Imported)'!$1:$5000,M3930,FALSE)</f>
        <v>0</v>
      </c>
      <c r="D3930" s="52">
        <f>HLOOKUP("# Memory",'vHosts (Imported)'!$1:$5000,M3930,FALSE)</f>
        <v>0</v>
      </c>
      <c r="M3930" s="45">
        <f t="shared" si="185"/>
        <v>3930</v>
      </c>
      <c r="N3930" s="38">
        <f>HLOOKUP("Host",'vInfo (Imported)'!$1:$5000,M3930,FALSE)</f>
        <v>0</v>
      </c>
      <c r="R3930">
        <f>HLOOKUP("CPUs",'vInfo (Imported)'!$1:$5000,M3930,FALSE)</f>
        <v>0</v>
      </c>
      <c r="S3930">
        <f>HLOOKUP("Memory",'vInfo (Imported)'!$1:$5000,M3930,FALSE)</f>
        <v>0</v>
      </c>
      <c r="T3930">
        <f>HLOOKUP("Provisioned MiB",'vInfo (Imported)'!$1:$5000,M3930,FALSE)</f>
        <v>0</v>
      </c>
      <c r="U3930">
        <f t="shared" si="184"/>
        <v>0</v>
      </c>
      <c r="V3930">
        <f>HLOOKUP("In Use MiB",'vInfo (Imported)'!$1:$5000,M3930,FALSE)</f>
        <v>0</v>
      </c>
    </row>
    <row r="3931" spans="1:22" ht="13" x14ac:dyDescent="0.3">
      <c r="A3931" s="46">
        <f>'vHosts (Imported)'!A3931</f>
        <v>0</v>
      </c>
      <c r="B3931" s="51">
        <f t="shared" si="183"/>
        <v>4968</v>
      </c>
      <c r="C3931" s="49">
        <f>HLOOKUP("# Cores",'vHosts (Imported)'!$1:$5000,M3931,FALSE)</f>
        <v>0</v>
      </c>
      <c r="D3931" s="52">
        <f>HLOOKUP("# Memory",'vHosts (Imported)'!$1:$5000,M3931,FALSE)</f>
        <v>0</v>
      </c>
      <c r="M3931" s="45">
        <f t="shared" si="185"/>
        <v>3931</v>
      </c>
      <c r="N3931" s="38">
        <f>HLOOKUP("Host",'vInfo (Imported)'!$1:$5000,M3931,FALSE)</f>
        <v>0</v>
      </c>
      <c r="R3931">
        <f>HLOOKUP("CPUs",'vInfo (Imported)'!$1:$5000,M3931,FALSE)</f>
        <v>0</v>
      </c>
      <c r="S3931">
        <f>HLOOKUP("Memory",'vInfo (Imported)'!$1:$5000,M3931,FALSE)</f>
        <v>0</v>
      </c>
      <c r="T3931">
        <f>HLOOKUP("Provisioned MiB",'vInfo (Imported)'!$1:$5000,M3931,FALSE)</f>
        <v>0</v>
      </c>
      <c r="U3931">
        <f t="shared" si="184"/>
        <v>0</v>
      </c>
      <c r="V3931">
        <f>HLOOKUP("In Use MiB",'vInfo (Imported)'!$1:$5000,M3931,FALSE)</f>
        <v>0</v>
      </c>
    </row>
    <row r="3932" spans="1:22" ht="13" x14ac:dyDescent="0.3">
      <c r="A3932" s="46">
        <f>'vHosts (Imported)'!A3932</f>
        <v>0</v>
      </c>
      <c r="B3932" s="51">
        <f t="shared" si="183"/>
        <v>4968</v>
      </c>
      <c r="C3932" s="49">
        <f>HLOOKUP("# Cores",'vHosts (Imported)'!$1:$5000,M3932,FALSE)</f>
        <v>0</v>
      </c>
      <c r="D3932" s="52">
        <f>HLOOKUP("# Memory",'vHosts (Imported)'!$1:$5000,M3932,FALSE)</f>
        <v>0</v>
      </c>
      <c r="M3932" s="45">
        <f t="shared" si="185"/>
        <v>3932</v>
      </c>
      <c r="N3932" s="38">
        <f>HLOOKUP("Host",'vInfo (Imported)'!$1:$5000,M3932,FALSE)</f>
        <v>0</v>
      </c>
      <c r="R3932">
        <f>HLOOKUP("CPUs",'vInfo (Imported)'!$1:$5000,M3932,FALSE)</f>
        <v>0</v>
      </c>
      <c r="S3932">
        <f>HLOOKUP("Memory",'vInfo (Imported)'!$1:$5000,M3932,FALSE)</f>
        <v>0</v>
      </c>
      <c r="T3932">
        <f>HLOOKUP("Provisioned MiB",'vInfo (Imported)'!$1:$5000,M3932,FALSE)</f>
        <v>0</v>
      </c>
      <c r="U3932">
        <f t="shared" si="184"/>
        <v>0</v>
      </c>
      <c r="V3932">
        <f>HLOOKUP("In Use MiB",'vInfo (Imported)'!$1:$5000,M3932,FALSE)</f>
        <v>0</v>
      </c>
    </row>
    <row r="3933" spans="1:22" ht="13" x14ac:dyDescent="0.3">
      <c r="A3933" s="46">
        <f>'vHosts (Imported)'!A3933</f>
        <v>0</v>
      </c>
      <c r="B3933" s="51">
        <f t="shared" si="183"/>
        <v>4968</v>
      </c>
      <c r="C3933" s="49">
        <f>HLOOKUP("# Cores",'vHosts (Imported)'!$1:$5000,M3933,FALSE)</f>
        <v>0</v>
      </c>
      <c r="D3933" s="52">
        <f>HLOOKUP("# Memory",'vHosts (Imported)'!$1:$5000,M3933,FALSE)</f>
        <v>0</v>
      </c>
      <c r="M3933" s="45">
        <f t="shared" si="185"/>
        <v>3933</v>
      </c>
      <c r="N3933" s="38">
        <f>HLOOKUP("Host",'vInfo (Imported)'!$1:$5000,M3933,FALSE)</f>
        <v>0</v>
      </c>
      <c r="R3933">
        <f>HLOOKUP("CPUs",'vInfo (Imported)'!$1:$5000,M3933,FALSE)</f>
        <v>0</v>
      </c>
      <c r="S3933">
        <f>HLOOKUP("Memory",'vInfo (Imported)'!$1:$5000,M3933,FALSE)</f>
        <v>0</v>
      </c>
      <c r="T3933">
        <f>HLOOKUP("Provisioned MiB",'vInfo (Imported)'!$1:$5000,M3933,FALSE)</f>
        <v>0</v>
      </c>
      <c r="U3933">
        <f t="shared" si="184"/>
        <v>0</v>
      </c>
      <c r="V3933">
        <f>HLOOKUP("In Use MiB",'vInfo (Imported)'!$1:$5000,M3933,FALSE)</f>
        <v>0</v>
      </c>
    </row>
    <row r="3934" spans="1:22" ht="13" x14ac:dyDescent="0.3">
      <c r="A3934" s="46">
        <f>'vHosts (Imported)'!A3934</f>
        <v>0</v>
      </c>
      <c r="B3934" s="51">
        <f t="shared" si="183"/>
        <v>4968</v>
      </c>
      <c r="C3934" s="49">
        <f>HLOOKUP("# Cores",'vHosts (Imported)'!$1:$5000,M3934,FALSE)</f>
        <v>0</v>
      </c>
      <c r="D3934" s="52">
        <f>HLOOKUP("# Memory",'vHosts (Imported)'!$1:$5000,M3934,FALSE)</f>
        <v>0</v>
      </c>
      <c r="M3934" s="45">
        <f t="shared" si="185"/>
        <v>3934</v>
      </c>
      <c r="N3934" s="38">
        <f>HLOOKUP("Host",'vInfo (Imported)'!$1:$5000,M3934,FALSE)</f>
        <v>0</v>
      </c>
      <c r="R3934">
        <f>HLOOKUP("CPUs",'vInfo (Imported)'!$1:$5000,M3934,FALSE)</f>
        <v>0</v>
      </c>
      <c r="S3934">
        <f>HLOOKUP("Memory",'vInfo (Imported)'!$1:$5000,M3934,FALSE)</f>
        <v>0</v>
      </c>
      <c r="T3934">
        <f>HLOOKUP("Provisioned MiB",'vInfo (Imported)'!$1:$5000,M3934,FALSE)</f>
        <v>0</v>
      </c>
      <c r="U3934">
        <f t="shared" si="184"/>
        <v>0</v>
      </c>
      <c r="V3934">
        <f>HLOOKUP("In Use MiB",'vInfo (Imported)'!$1:$5000,M3934,FALSE)</f>
        <v>0</v>
      </c>
    </row>
    <row r="3935" spans="1:22" ht="13" x14ac:dyDescent="0.3">
      <c r="A3935" s="46">
        <f>'vHosts (Imported)'!A3935</f>
        <v>0</v>
      </c>
      <c r="B3935" s="51">
        <f t="shared" si="183"/>
        <v>4968</v>
      </c>
      <c r="C3935" s="49">
        <f>HLOOKUP("# Cores",'vHosts (Imported)'!$1:$5000,M3935,FALSE)</f>
        <v>0</v>
      </c>
      <c r="D3935" s="52">
        <f>HLOOKUP("# Memory",'vHosts (Imported)'!$1:$5000,M3935,FALSE)</f>
        <v>0</v>
      </c>
      <c r="M3935" s="45">
        <f t="shared" si="185"/>
        <v>3935</v>
      </c>
      <c r="N3935" s="38">
        <f>HLOOKUP("Host",'vInfo (Imported)'!$1:$5000,M3935,FALSE)</f>
        <v>0</v>
      </c>
      <c r="R3935">
        <f>HLOOKUP("CPUs",'vInfo (Imported)'!$1:$5000,M3935,FALSE)</f>
        <v>0</v>
      </c>
      <c r="S3935">
        <f>HLOOKUP("Memory",'vInfo (Imported)'!$1:$5000,M3935,FALSE)</f>
        <v>0</v>
      </c>
      <c r="T3935">
        <f>HLOOKUP("Provisioned MiB",'vInfo (Imported)'!$1:$5000,M3935,FALSE)</f>
        <v>0</v>
      </c>
      <c r="U3935">
        <f t="shared" si="184"/>
        <v>0</v>
      </c>
      <c r="V3935">
        <f>HLOOKUP("In Use MiB",'vInfo (Imported)'!$1:$5000,M3935,FALSE)</f>
        <v>0</v>
      </c>
    </row>
    <row r="3936" spans="1:22" ht="13" x14ac:dyDescent="0.3">
      <c r="A3936" s="46">
        <f>'vHosts (Imported)'!A3936</f>
        <v>0</v>
      </c>
      <c r="B3936" s="51">
        <f t="shared" si="183"/>
        <v>4968</v>
      </c>
      <c r="C3936" s="49">
        <f>HLOOKUP("# Cores",'vHosts (Imported)'!$1:$5000,M3936,FALSE)</f>
        <v>0</v>
      </c>
      <c r="D3936" s="52">
        <f>HLOOKUP("# Memory",'vHosts (Imported)'!$1:$5000,M3936,FALSE)</f>
        <v>0</v>
      </c>
      <c r="M3936" s="45">
        <f t="shared" si="185"/>
        <v>3936</v>
      </c>
      <c r="N3936" s="38">
        <f>HLOOKUP("Host",'vInfo (Imported)'!$1:$5000,M3936,FALSE)</f>
        <v>0</v>
      </c>
      <c r="R3936">
        <f>HLOOKUP("CPUs",'vInfo (Imported)'!$1:$5000,M3936,FALSE)</f>
        <v>0</v>
      </c>
      <c r="S3936">
        <f>HLOOKUP("Memory",'vInfo (Imported)'!$1:$5000,M3936,FALSE)</f>
        <v>0</v>
      </c>
      <c r="T3936">
        <f>HLOOKUP("Provisioned MiB",'vInfo (Imported)'!$1:$5000,M3936,FALSE)</f>
        <v>0</v>
      </c>
      <c r="U3936">
        <f t="shared" si="184"/>
        <v>0</v>
      </c>
      <c r="V3936">
        <f>HLOOKUP("In Use MiB",'vInfo (Imported)'!$1:$5000,M3936,FALSE)</f>
        <v>0</v>
      </c>
    </row>
    <row r="3937" spans="1:22" ht="13" x14ac:dyDescent="0.3">
      <c r="A3937" s="46">
        <f>'vHosts (Imported)'!A3937</f>
        <v>0</v>
      </c>
      <c r="B3937" s="51">
        <f t="shared" si="183"/>
        <v>4968</v>
      </c>
      <c r="C3937" s="49">
        <f>HLOOKUP("# Cores",'vHosts (Imported)'!$1:$5000,M3937,FALSE)</f>
        <v>0</v>
      </c>
      <c r="D3937" s="52">
        <f>HLOOKUP("# Memory",'vHosts (Imported)'!$1:$5000,M3937,FALSE)</f>
        <v>0</v>
      </c>
      <c r="M3937" s="45">
        <f t="shared" si="185"/>
        <v>3937</v>
      </c>
      <c r="N3937" s="38">
        <f>HLOOKUP("Host",'vInfo (Imported)'!$1:$5000,M3937,FALSE)</f>
        <v>0</v>
      </c>
      <c r="R3937">
        <f>HLOOKUP("CPUs",'vInfo (Imported)'!$1:$5000,M3937,FALSE)</f>
        <v>0</v>
      </c>
      <c r="S3937">
        <f>HLOOKUP("Memory",'vInfo (Imported)'!$1:$5000,M3937,FALSE)</f>
        <v>0</v>
      </c>
      <c r="T3937">
        <f>HLOOKUP("Provisioned MiB",'vInfo (Imported)'!$1:$5000,M3937,FALSE)</f>
        <v>0</v>
      </c>
      <c r="U3937">
        <f t="shared" si="184"/>
        <v>0</v>
      </c>
      <c r="V3937">
        <f>HLOOKUP("In Use MiB",'vInfo (Imported)'!$1:$5000,M3937,FALSE)</f>
        <v>0</v>
      </c>
    </row>
    <row r="3938" spans="1:22" ht="13" x14ac:dyDescent="0.3">
      <c r="A3938" s="46">
        <f>'vHosts (Imported)'!A3938</f>
        <v>0</v>
      </c>
      <c r="B3938" s="51">
        <f t="shared" si="183"/>
        <v>4968</v>
      </c>
      <c r="C3938" s="49">
        <f>HLOOKUP("# Cores",'vHosts (Imported)'!$1:$5000,M3938,FALSE)</f>
        <v>0</v>
      </c>
      <c r="D3938" s="52">
        <f>HLOOKUP("# Memory",'vHosts (Imported)'!$1:$5000,M3938,FALSE)</f>
        <v>0</v>
      </c>
      <c r="M3938" s="45">
        <f t="shared" si="185"/>
        <v>3938</v>
      </c>
      <c r="N3938" s="38">
        <f>HLOOKUP("Host",'vInfo (Imported)'!$1:$5000,M3938,FALSE)</f>
        <v>0</v>
      </c>
      <c r="R3938">
        <f>HLOOKUP("CPUs",'vInfo (Imported)'!$1:$5000,M3938,FALSE)</f>
        <v>0</v>
      </c>
      <c r="S3938">
        <f>HLOOKUP("Memory",'vInfo (Imported)'!$1:$5000,M3938,FALSE)</f>
        <v>0</v>
      </c>
      <c r="T3938">
        <f>HLOOKUP("Provisioned MiB",'vInfo (Imported)'!$1:$5000,M3938,FALSE)</f>
        <v>0</v>
      </c>
      <c r="U3938">
        <f t="shared" si="184"/>
        <v>0</v>
      </c>
      <c r="V3938">
        <f>HLOOKUP("In Use MiB",'vInfo (Imported)'!$1:$5000,M3938,FALSE)</f>
        <v>0</v>
      </c>
    </row>
    <row r="3939" spans="1:22" ht="13" x14ac:dyDescent="0.3">
      <c r="A3939" s="46">
        <f>'vHosts (Imported)'!A3939</f>
        <v>0</v>
      </c>
      <c r="B3939" s="51">
        <f t="shared" si="183"/>
        <v>4968</v>
      </c>
      <c r="C3939" s="49">
        <f>HLOOKUP("# Cores",'vHosts (Imported)'!$1:$5000,M3939,FALSE)</f>
        <v>0</v>
      </c>
      <c r="D3939" s="52">
        <f>HLOOKUP("# Memory",'vHosts (Imported)'!$1:$5000,M3939,FALSE)</f>
        <v>0</v>
      </c>
      <c r="M3939" s="45">
        <f t="shared" si="185"/>
        <v>3939</v>
      </c>
      <c r="N3939" s="38">
        <f>HLOOKUP("Host",'vInfo (Imported)'!$1:$5000,M3939,FALSE)</f>
        <v>0</v>
      </c>
      <c r="R3939">
        <f>HLOOKUP("CPUs",'vInfo (Imported)'!$1:$5000,M3939,FALSE)</f>
        <v>0</v>
      </c>
      <c r="S3939">
        <f>HLOOKUP("Memory",'vInfo (Imported)'!$1:$5000,M3939,FALSE)</f>
        <v>0</v>
      </c>
      <c r="T3939">
        <f>HLOOKUP("Provisioned MiB",'vInfo (Imported)'!$1:$5000,M3939,FALSE)</f>
        <v>0</v>
      </c>
      <c r="U3939">
        <f t="shared" si="184"/>
        <v>0</v>
      </c>
      <c r="V3939">
        <f>HLOOKUP("In Use MiB",'vInfo (Imported)'!$1:$5000,M3939,FALSE)</f>
        <v>0</v>
      </c>
    </row>
    <row r="3940" spans="1:22" ht="13" x14ac:dyDescent="0.3">
      <c r="A3940" s="46">
        <f>'vHosts (Imported)'!A3940</f>
        <v>0</v>
      </c>
      <c r="B3940" s="51">
        <f t="shared" si="183"/>
        <v>4968</v>
      </c>
      <c r="C3940" s="49">
        <f>HLOOKUP("# Cores",'vHosts (Imported)'!$1:$5000,M3940,FALSE)</f>
        <v>0</v>
      </c>
      <c r="D3940" s="52">
        <f>HLOOKUP("# Memory",'vHosts (Imported)'!$1:$5000,M3940,FALSE)</f>
        <v>0</v>
      </c>
      <c r="M3940" s="45">
        <f t="shared" si="185"/>
        <v>3940</v>
      </c>
      <c r="N3940" s="38">
        <f>HLOOKUP("Host",'vInfo (Imported)'!$1:$5000,M3940,FALSE)</f>
        <v>0</v>
      </c>
      <c r="R3940">
        <f>HLOOKUP("CPUs",'vInfo (Imported)'!$1:$5000,M3940,FALSE)</f>
        <v>0</v>
      </c>
      <c r="S3940">
        <f>HLOOKUP("Memory",'vInfo (Imported)'!$1:$5000,M3940,FALSE)</f>
        <v>0</v>
      </c>
      <c r="T3940">
        <f>HLOOKUP("Provisioned MiB",'vInfo (Imported)'!$1:$5000,M3940,FALSE)</f>
        <v>0</v>
      </c>
      <c r="U3940">
        <f t="shared" si="184"/>
        <v>0</v>
      </c>
      <c r="V3940">
        <f>HLOOKUP("In Use MiB",'vInfo (Imported)'!$1:$5000,M3940,FALSE)</f>
        <v>0</v>
      </c>
    </row>
    <row r="3941" spans="1:22" ht="13" x14ac:dyDescent="0.3">
      <c r="A3941" s="46">
        <f>'vHosts (Imported)'!A3941</f>
        <v>0</v>
      </c>
      <c r="B3941" s="51">
        <f t="shared" si="183"/>
        <v>4968</v>
      </c>
      <c r="C3941" s="49">
        <f>HLOOKUP("# Cores",'vHosts (Imported)'!$1:$5000,M3941,FALSE)</f>
        <v>0</v>
      </c>
      <c r="D3941" s="52">
        <f>HLOOKUP("# Memory",'vHosts (Imported)'!$1:$5000,M3941,FALSE)</f>
        <v>0</v>
      </c>
      <c r="M3941" s="45">
        <f t="shared" si="185"/>
        <v>3941</v>
      </c>
      <c r="N3941" s="38">
        <f>HLOOKUP("Host",'vInfo (Imported)'!$1:$5000,M3941,FALSE)</f>
        <v>0</v>
      </c>
      <c r="R3941">
        <f>HLOOKUP("CPUs",'vInfo (Imported)'!$1:$5000,M3941,FALSE)</f>
        <v>0</v>
      </c>
      <c r="S3941">
        <f>HLOOKUP("Memory",'vInfo (Imported)'!$1:$5000,M3941,FALSE)</f>
        <v>0</v>
      </c>
      <c r="T3941">
        <f>HLOOKUP("Provisioned MiB",'vInfo (Imported)'!$1:$5000,M3941,FALSE)</f>
        <v>0</v>
      </c>
      <c r="U3941">
        <f t="shared" si="184"/>
        <v>0</v>
      </c>
      <c r="V3941">
        <f>HLOOKUP("In Use MiB",'vInfo (Imported)'!$1:$5000,M3941,FALSE)</f>
        <v>0</v>
      </c>
    </row>
    <row r="3942" spans="1:22" ht="13" x14ac:dyDescent="0.3">
      <c r="A3942" s="46">
        <f>'vHosts (Imported)'!A3942</f>
        <v>0</v>
      </c>
      <c r="B3942" s="51">
        <f t="shared" si="183"/>
        <v>4968</v>
      </c>
      <c r="C3942" s="49">
        <f>HLOOKUP("# Cores",'vHosts (Imported)'!$1:$5000,M3942,FALSE)</f>
        <v>0</v>
      </c>
      <c r="D3942" s="52">
        <f>HLOOKUP("# Memory",'vHosts (Imported)'!$1:$5000,M3942,FALSE)</f>
        <v>0</v>
      </c>
      <c r="M3942" s="45">
        <f t="shared" si="185"/>
        <v>3942</v>
      </c>
      <c r="N3942" s="38">
        <f>HLOOKUP("Host",'vInfo (Imported)'!$1:$5000,M3942,FALSE)</f>
        <v>0</v>
      </c>
      <c r="R3942">
        <f>HLOOKUP("CPUs",'vInfo (Imported)'!$1:$5000,M3942,FALSE)</f>
        <v>0</v>
      </c>
      <c r="S3942">
        <f>HLOOKUP("Memory",'vInfo (Imported)'!$1:$5000,M3942,FALSE)</f>
        <v>0</v>
      </c>
      <c r="T3942">
        <f>HLOOKUP("Provisioned MiB",'vInfo (Imported)'!$1:$5000,M3942,FALSE)</f>
        <v>0</v>
      </c>
      <c r="U3942">
        <f t="shared" si="184"/>
        <v>0</v>
      </c>
      <c r="V3942">
        <f>HLOOKUP("In Use MiB",'vInfo (Imported)'!$1:$5000,M3942,FALSE)</f>
        <v>0</v>
      </c>
    </row>
    <row r="3943" spans="1:22" ht="13" x14ac:dyDescent="0.3">
      <c r="A3943" s="46">
        <f>'vHosts (Imported)'!A3943</f>
        <v>0</v>
      </c>
      <c r="B3943" s="51">
        <f t="shared" si="183"/>
        <v>4968</v>
      </c>
      <c r="C3943" s="49">
        <f>HLOOKUP("# Cores",'vHosts (Imported)'!$1:$5000,M3943,FALSE)</f>
        <v>0</v>
      </c>
      <c r="D3943" s="52">
        <f>HLOOKUP("# Memory",'vHosts (Imported)'!$1:$5000,M3943,FALSE)</f>
        <v>0</v>
      </c>
      <c r="M3943" s="45">
        <f t="shared" si="185"/>
        <v>3943</v>
      </c>
      <c r="N3943" s="38">
        <f>HLOOKUP("Host",'vInfo (Imported)'!$1:$5000,M3943,FALSE)</f>
        <v>0</v>
      </c>
      <c r="R3943">
        <f>HLOOKUP("CPUs",'vInfo (Imported)'!$1:$5000,M3943,FALSE)</f>
        <v>0</v>
      </c>
      <c r="S3943">
        <f>HLOOKUP("Memory",'vInfo (Imported)'!$1:$5000,M3943,FALSE)</f>
        <v>0</v>
      </c>
      <c r="T3943">
        <f>HLOOKUP("Provisioned MiB",'vInfo (Imported)'!$1:$5000,M3943,FALSE)</f>
        <v>0</v>
      </c>
      <c r="U3943">
        <f t="shared" si="184"/>
        <v>0</v>
      </c>
      <c r="V3943">
        <f>HLOOKUP("In Use MiB",'vInfo (Imported)'!$1:$5000,M3943,FALSE)</f>
        <v>0</v>
      </c>
    </row>
    <row r="3944" spans="1:22" ht="13" x14ac:dyDescent="0.3">
      <c r="A3944" s="46">
        <f>'vHosts (Imported)'!A3944</f>
        <v>0</v>
      </c>
      <c r="B3944" s="51">
        <f t="shared" ref="B3944:B4007" si="186">COUNTIF(N:N,A3944)</f>
        <v>4968</v>
      </c>
      <c r="C3944" s="49">
        <f>HLOOKUP("# Cores",'vHosts (Imported)'!$1:$5000,M3944,FALSE)</f>
        <v>0</v>
      </c>
      <c r="D3944" s="52">
        <f>HLOOKUP("# Memory",'vHosts (Imported)'!$1:$5000,M3944,FALSE)</f>
        <v>0</v>
      </c>
      <c r="M3944" s="45">
        <f t="shared" si="185"/>
        <v>3944</v>
      </c>
      <c r="N3944" s="38">
        <f>HLOOKUP("Host",'vInfo (Imported)'!$1:$5000,M3944,FALSE)</f>
        <v>0</v>
      </c>
      <c r="R3944">
        <f>HLOOKUP("CPUs",'vInfo (Imported)'!$1:$5000,M3944,FALSE)</f>
        <v>0</v>
      </c>
      <c r="S3944">
        <f>HLOOKUP("Memory",'vInfo (Imported)'!$1:$5000,M3944,FALSE)</f>
        <v>0</v>
      </c>
      <c r="T3944">
        <f>HLOOKUP("Provisioned MiB",'vInfo (Imported)'!$1:$5000,M3944,FALSE)</f>
        <v>0</v>
      </c>
      <c r="U3944">
        <f t="shared" si="184"/>
        <v>0</v>
      </c>
      <c r="V3944">
        <f>HLOOKUP("In Use MiB",'vInfo (Imported)'!$1:$5000,M3944,FALSE)</f>
        <v>0</v>
      </c>
    </row>
    <row r="3945" spans="1:22" ht="13" x14ac:dyDescent="0.3">
      <c r="A3945" s="46">
        <f>'vHosts (Imported)'!A3945</f>
        <v>0</v>
      </c>
      <c r="B3945" s="51">
        <f t="shared" si="186"/>
        <v>4968</v>
      </c>
      <c r="C3945" s="49">
        <f>HLOOKUP("# Cores",'vHosts (Imported)'!$1:$5000,M3945,FALSE)</f>
        <v>0</v>
      </c>
      <c r="D3945" s="52">
        <f>HLOOKUP("# Memory",'vHosts (Imported)'!$1:$5000,M3945,FALSE)</f>
        <v>0</v>
      </c>
      <c r="M3945" s="45">
        <f t="shared" si="185"/>
        <v>3945</v>
      </c>
      <c r="N3945" s="38">
        <f>HLOOKUP("Host",'vInfo (Imported)'!$1:$5000,M3945,FALSE)</f>
        <v>0</v>
      </c>
      <c r="R3945">
        <f>HLOOKUP("CPUs",'vInfo (Imported)'!$1:$5000,M3945,FALSE)</f>
        <v>0</v>
      </c>
      <c r="S3945">
        <f>HLOOKUP("Memory",'vInfo (Imported)'!$1:$5000,M3945,FALSE)</f>
        <v>0</v>
      </c>
      <c r="T3945">
        <f>HLOOKUP("Provisioned MiB",'vInfo (Imported)'!$1:$5000,M3945,FALSE)</f>
        <v>0</v>
      </c>
      <c r="U3945">
        <f t="shared" si="184"/>
        <v>0</v>
      </c>
      <c r="V3945">
        <f>HLOOKUP("In Use MiB",'vInfo (Imported)'!$1:$5000,M3945,FALSE)</f>
        <v>0</v>
      </c>
    </row>
    <row r="3946" spans="1:22" ht="13" x14ac:dyDescent="0.3">
      <c r="A3946" s="46">
        <f>'vHosts (Imported)'!A3946</f>
        <v>0</v>
      </c>
      <c r="B3946" s="51">
        <f t="shared" si="186"/>
        <v>4968</v>
      </c>
      <c r="C3946" s="49">
        <f>HLOOKUP("# Cores",'vHosts (Imported)'!$1:$5000,M3946,FALSE)</f>
        <v>0</v>
      </c>
      <c r="D3946" s="52">
        <f>HLOOKUP("# Memory",'vHosts (Imported)'!$1:$5000,M3946,FALSE)</f>
        <v>0</v>
      </c>
      <c r="M3946" s="45">
        <f t="shared" si="185"/>
        <v>3946</v>
      </c>
      <c r="N3946" s="38">
        <f>HLOOKUP("Host",'vInfo (Imported)'!$1:$5000,M3946,FALSE)</f>
        <v>0</v>
      </c>
      <c r="R3946">
        <f>HLOOKUP("CPUs",'vInfo (Imported)'!$1:$5000,M3946,FALSE)</f>
        <v>0</v>
      </c>
      <c r="S3946">
        <f>HLOOKUP("Memory",'vInfo (Imported)'!$1:$5000,M3946,FALSE)</f>
        <v>0</v>
      </c>
      <c r="T3946">
        <f>HLOOKUP("Provisioned MiB",'vInfo (Imported)'!$1:$5000,M3946,FALSE)</f>
        <v>0</v>
      </c>
      <c r="U3946">
        <f t="shared" si="184"/>
        <v>0</v>
      </c>
      <c r="V3946">
        <f>HLOOKUP("In Use MiB",'vInfo (Imported)'!$1:$5000,M3946,FALSE)</f>
        <v>0</v>
      </c>
    </row>
    <row r="3947" spans="1:22" ht="13" x14ac:dyDescent="0.3">
      <c r="A3947" s="46">
        <f>'vHosts (Imported)'!A3947</f>
        <v>0</v>
      </c>
      <c r="B3947" s="51">
        <f t="shared" si="186"/>
        <v>4968</v>
      </c>
      <c r="C3947" s="49">
        <f>HLOOKUP("# Cores",'vHosts (Imported)'!$1:$5000,M3947,FALSE)</f>
        <v>0</v>
      </c>
      <c r="D3947" s="52">
        <f>HLOOKUP("# Memory",'vHosts (Imported)'!$1:$5000,M3947,FALSE)</f>
        <v>0</v>
      </c>
      <c r="M3947" s="45">
        <f t="shared" si="185"/>
        <v>3947</v>
      </c>
      <c r="N3947" s="38">
        <f>HLOOKUP("Host",'vInfo (Imported)'!$1:$5000,M3947,FALSE)</f>
        <v>0</v>
      </c>
      <c r="R3947">
        <f>HLOOKUP("CPUs",'vInfo (Imported)'!$1:$5000,M3947,FALSE)</f>
        <v>0</v>
      </c>
      <c r="S3947">
        <f>HLOOKUP("Memory",'vInfo (Imported)'!$1:$5000,M3947,FALSE)</f>
        <v>0</v>
      </c>
      <c r="T3947">
        <f>HLOOKUP("Provisioned MiB",'vInfo (Imported)'!$1:$5000,M3947,FALSE)</f>
        <v>0</v>
      </c>
      <c r="U3947">
        <f t="shared" si="184"/>
        <v>0</v>
      </c>
      <c r="V3947">
        <f>HLOOKUP("In Use MiB",'vInfo (Imported)'!$1:$5000,M3947,FALSE)</f>
        <v>0</v>
      </c>
    </row>
    <row r="3948" spans="1:22" ht="13" x14ac:dyDescent="0.3">
      <c r="A3948" s="46">
        <f>'vHosts (Imported)'!A3948</f>
        <v>0</v>
      </c>
      <c r="B3948" s="51">
        <f t="shared" si="186"/>
        <v>4968</v>
      </c>
      <c r="C3948" s="49">
        <f>HLOOKUP("# Cores",'vHosts (Imported)'!$1:$5000,M3948,FALSE)</f>
        <v>0</v>
      </c>
      <c r="D3948" s="52">
        <f>HLOOKUP("# Memory",'vHosts (Imported)'!$1:$5000,M3948,FALSE)</f>
        <v>0</v>
      </c>
      <c r="M3948" s="45">
        <f t="shared" si="185"/>
        <v>3948</v>
      </c>
      <c r="N3948" s="38">
        <f>HLOOKUP("Host",'vInfo (Imported)'!$1:$5000,M3948,FALSE)</f>
        <v>0</v>
      </c>
      <c r="R3948">
        <f>HLOOKUP("CPUs",'vInfo (Imported)'!$1:$5000,M3948,FALSE)</f>
        <v>0</v>
      </c>
      <c r="S3948">
        <f>HLOOKUP("Memory",'vInfo (Imported)'!$1:$5000,M3948,FALSE)</f>
        <v>0</v>
      </c>
      <c r="T3948">
        <f>HLOOKUP("Provisioned MiB",'vInfo (Imported)'!$1:$5000,M3948,FALSE)</f>
        <v>0</v>
      </c>
      <c r="U3948">
        <f t="shared" si="184"/>
        <v>0</v>
      </c>
      <c r="V3948">
        <f>HLOOKUP("In Use MiB",'vInfo (Imported)'!$1:$5000,M3948,FALSE)</f>
        <v>0</v>
      </c>
    </row>
    <row r="3949" spans="1:22" ht="13" x14ac:dyDescent="0.3">
      <c r="A3949" s="46">
        <f>'vHosts (Imported)'!A3949</f>
        <v>0</v>
      </c>
      <c r="B3949" s="51">
        <f t="shared" si="186"/>
        <v>4968</v>
      </c>
      <c r="C3949" s="49">
        <f>HLOOKUP("# Cores",'vHosts (Imported)'!$1:$5000,M3949,FALSE)</f>
        <v>0</v>
      </c>
      <c r="D3949" s="52">
        <f>HLOOKUP("# Memory",'vHosts (Imported)'!$1:$5000,M3949,FALSE)</f>
        <v>0</v>
      </c>
      <c r="M3949" s="45">
        <f t="shared" si="185"/>
        <v>3949</v>
      </c>
      <c r="N3949" s="38">
        <f>HLOOKUP("Host",'vInfo (Imported)'!$1:$5000,M3949,FALSE)</f>
        <v>0</v>
      </c>
      <c r="R3949">
        <f>HLOOKUP("CPUs",'vInfo (Imported)'!$1:$5000,M3949,FALSE)</f>
        <v>0</v>
      </c>
      <c r="S3949">
        <f>HLOOKUP("Memory",'vInfo (Imported)'!$1:$5000,M3949,FALSE)</f>
        <v>0</v>
      </c>
      <c r="T3949">
        <f>HLOOKUP("Provisioned MiB",'vInfo (Imported)'!$1:$5000,M3949,FALSE)</f>
        <v>0</v>
      </c>
      <c r="U3949">
        <f t="shared" si="184"/>
        <v>0</v>
      </c>
      <c r="V3949">
        <f>HLOOKUP("In Use MiB",'vInfo (Imported)'!$1:$5000,M3949,FALSE)</f>
        <v>0</v>
      </c>
    </row>
    <row r="3950" spans="1:22" ht="13" x14ac:dyDescent="0.3">
      <c r="A3950" s="46">
        <f>'vHosts (Imported)'!A3950</f>
        <v>0</v>
      </c>
      <c r="B3950" s="51">
        <f t="shared" si="186"/>
        <v>4968</v>
      </c>
      <c r="C3950" s="49">
        <f>HLOOKUP("# Cores",'vHosts (Imported)'!$1:$5000,M3950,FALSE)</f>
        <v>0</v>
      </c>
      <c r="D3950" s="52">
        <f>HLOOKUP("# Memory",'vHosts (Imported)'!$1:$5000,M3950,FALSE)</f>
        <v>0</v>
      </c>
      <c r="M3950" s="45">
        <f t="shared" si="185"/>
        <v>3950</v>
      </c>
      <c r="N3950" s="38">
        <f>HLOOKUP("Host",'vInfo (Imported)'!$1:$5000,M3950,FALSE)</f>
        <v>0</v>
      </c>
      <c r="R3950">
        <f>HLOOKUP("CPUs",'vInfo (Imported)'!$1:$5000,M3950,FALSE)</f>
        <v>0</v>
      </c>
      <c r="S3950">
        <f>HLOOKUP("Memory",'vInfo (Imported)'!$1:$5000,M3950,FALSE)</f>
        <v>0</v>
      </c>
      <c r="T3950">
        <f>HLOOKUP("Provisioned MiB",'vInfo (Imported)'!$1:$5000,M3950,FALSE)</f>
        <v>0</v>
      </c>
      <c r="U3950">
        <f t="shared" si="184"/>
        <v>0</v>
      </c>
      <c r="V3950">
        <f>HLOOKUP("In Use MiB",'vInfo (Imported)'!$1:$5000,M3950,FALSE)</f>
        <v>0</v>
      </c>
    </row>
    <row r="3951" spans="1:22" ht="13" x14ac:dyDescent="0.3">
      <c r="A3951" s="46">
        <f>'vHosts (Imported)'!A3951</f>
        <v>0</v>
      </c>
      <c r="B3951" s="51">
        <f t="shared" si="186"/>
        <v>4968</v>
      </c>
      <c r="C3951" s="49">
        <f>HLOOKUP("# Cores",'vHosts (Imported)'!$1:$5000,M3951,FALSE)</f>
        <v>0</v>
      </c>
      <c r="D3951" s="52">
        <f>HLOOKUP("# Memory",'vHosts (Imported)'!$1:$5000,M3951,FALSE)</f>
        <v>0</v>
      </c>
      <c r="M3951" s="45">
        <f t="shared" si="185"/>
        <v>3951</v>
      </c>
      <c r="N3951" s="38">
        <f>HLOOKUP("Host",'vInfo (Imported)'!$1:$5000,M3951,FALSE)</f>
        <v>0</v>
      </c>
      <c r="R3951">
        <f>HLOOKUP("CPUs",'vInfo (Imported)'!$1:$5000,M3951,FALSE)</f>
        <v>0</v>
      </c>
      <c r="S3951">
        <f>HLOOKUP("Memory",'vInfo (Imported)'!$1:$5000,M3951,FALSE)</f>
        <v>0</v>
      </c>
      <c r="T3951">
        <f>HLOOKUP("Provisioned MiB",'vInfo (Imported)'!$1:$5000,M3951,FALSE)</f>
        <v>0</v>
      </c>
      <c r="U3951">
        <f t="shared" si="184"/>
        <v>0</v>
      </c>
      <c r="V3951">
        <f>HLOOKUP("In Use MiB",'vInfo (Imported)'!$1:$5000,M3951,FALSE)</f>
        <v>0</v>
      </c>
    </row>
    <row r="3952" spans="1:22" ht="13" x14ac:dyDescent="0.3">
      <c r="A3952" s="46">
        <f>'vHosts (Imported)'!A3952</f>
        <v>0</v>
      </c>
      <c r="B3952" s="51">
        <f t="shared" si="186"/>
        <v>4968</v>
      </c>
      <c r="C3952" s="49">
        <f>HLOOKUP("# Cores",'vHosts (Imported)'!$1:$5000,M3952,FALSE)</f>
        <v>0</v>
      </c>
      <c r="D3952" s="52">
        <f>HLOOKUP("# Memory",'vHosts (Imported)'!$1:$5000,M3952,FALSE)</f>
        <v>0</v>
      </c>
      <c r="M3952" s="45">
        <f t="shared" si="185"/>
        <v>3952</v>
      </c>
      <c r="N3952" s="38">
        <f>HLOOKUP("Host",'vInfo (Imported)'!$1:$5000,M3952,FALSE)</f>
        <v>0</v>
      </c>
      <c r="R3952">
        <f>HLOOKUP("CPUs",'vInfo (Imported)'!$1:$5000,M3952,FALSE)</f>
        <v>0</v>
      </c>
      <c r="S3952">
        <f>HLOOKUP("Memory",'vInfo (Imported)'!$1:$5000,M3952,FALSE)</f>
        <v>0</v>
      </c>
      <c r="T3952">
        <f>HLOOKUP("Provisioned MiB",'vInfo (Imported)'!$1:$5000,M3952,FALSE)</f>
        <v>0</v>
      </c>
      <c r="U3952">
        <f t="shared" si="184"/>
        <v>0</v>
      </c>
      <c r="V3952">
        <f>HLOOKUP("In Use MiB",'vInfo (Imported)'!$1:$5000,M3952,FALSE)</f>
        <v>0</v>
      </c>
    </row>
    <row r="3953" spans="1:22" ht="13" x14ac:dyDescent="0.3">
      <c r="A3953" s="46">
        <f>'vHosts (Imported)'!A3953</f>
        <v>0</v>
      </c>
      <c r="B3953" s="51">
        <f t="shared" si="186"/>
        <v>4968</v>
      </c>
      <c r="C3953" s="49">
        <f>HLOOKUP("# Cores",'vHosts (Imported)'!$1:$5000,M3953,FALSE)</f>
        <v>0</v>
      </c>
      <c r="D3953" s="52">
        <f>HLOOKUP("# Memory",'vHosts (Imported)'!$1:$5000,M3953,FALSE)</f>
        <v>0</v>
      </c>
      <c r="M3953" s="45">
        <f t="shared" si="185"/>
        <v>3953</v>
      </c>
      <c r="N3953" s="38">
        <f>HLOOKUP("Host",'vInfo (Imported)'!$1:$5000,M3953,FALSE)</f>
        <v>0</v>
      </c>
      <c r="R3953">
        <f>HLOOKUP("CPUs",'vInfo (Imported)'!$1:$5000,M3953,FALSE)</f>
        <v>0</v>
      </c>
      <c r="S3953">
        <f>HLOOKUP("Memory",'vInfo (Imported)'!$1:$5000,M3953,FALSE)</f>
        <v>0</v>
      </c>
      <c r="T3953">
        <f>HLOOKUP("Provisioned MiB",'vInfo (Imported)'!$1:$5000,M3953,FALSE)</f>
        <v>0</v>
      </c>
      <c r="U3953">
        <f t="shared" si="184"/>
        <v>0</v>
      </c>
      <c r="V3953">
        <f>HLOOKUP("In Use MiB",'vInfo (Imported)'!$1:$5000,M3953,FALSE)</f>
        <v>0</v>
      </c>
    </row>
    <row r="3954" spans="1:22" ht="13" x14ac:dyDescent="0.3">
      <c r="A3954" s="46">
        <f>'vHosts (Imported)'!A3954</f>
        <v>0</v>
      </c>
      <c r="B3954" s="51">
        <f t="shared" si="186"/>
        <v>4968</v>
      </c>
      <c r="C3954" s="49">
        <f>HLOOKUP("# Cores",'vHosts (Imported)'!$1:$5000,M3954,FALSE)</f>
        <v>0</v>
      </c>
      <c r="D3954" s="52">
        <f>HLOOKUP("# Memory",'vHosts (Imported)'!$1:$5000,M3954,FALSE)</f>
        <v>0</v>
      </c>
      <c r="M3954" s="45">
        <f t="shared" si="185"/>
        <v>3954</v>
      </c>
      <c r="N3954" s="38">
        <f>HLOOKUP("Host",'vInfo (Imported)'!$1:$5000,M3954,FALSE)</f>
        <v>0</v>
      </c>
      <c r="R3954">
        <f>HLOOKUP("CPUs",'vInfo (Imported)'!$1:$5000,M3954,FALSE)</f>
        <v>0</v>
      </c>
      <c r="S3954">
        <f>HLOOKUP("Memory",'vInfo (Imported)'!$1:$5000,M3954,FALSE)</f>
        <v>0</v>
      </c>
      <c r="T3954">
        <f>HLOOKUP("Provisioned MiB",'vInfo (Imported)'!$1:$5000,M3954,FALSE)</f>
        <v>0</v>
      </c>
      <c r="U3954">
        <f t="shared" si="184"/>
        <v>0</v>
      </c>
      <c r="V3954">
        <f>HLOOKUP("In Use MiB",'vInfo (Imported)'!$1:$5000,M3954,FALSE)</f>
        <v>0</v>
      </c>
    </row>
    <row r="3955" spans="1:22" ht="13" x14ac:dyDescent="0.3">
      <c r="A3955" s="46">
        <f>'vHosts (Imported)'!A3955</f>
        <v>0</v>
      </c>
      <c r="B3955" s="51">
        <f t="shared" si="186"/>
        <v>4968</v>
      </c>
      <c r="C3955" s="49">
        <f>HLOOKUP("# Cores",'vHosts (Imported)'!$1:$5000,M3955,FALSE)</f>
        <v>0</v>
      </c>
      <c r="D3955" s="52">
        <f>HLOOKUP("# Memory",'vHosts (Imported)'!$1:$5000,M3955,FALSE)</f>
        <v>0</v>
      </c>
      <c r="M3955" s="45">
        <f t="shared" si="185"/>
        <v>3955</v>
      </c>
      <c r="N3955" s="38">
        <f>HLOOKUP("Host",'vInfo (Imported)'!$1:$5000,M3955,FALSE)</f>
        <v>0</v>
      </c>
      <c r="R3955">
        <f>HLOOKUP("CPUs",'vInfo (Imported)'!$1:$5000,M3955,FALSE)</f>
        <v>0</v>
      </c>
      <c r="S3955">
        <f>HLOOKUP("Memory",'vInfo (Imported)'!$1:$5000,M3955,FALSE)</f>
        <v>0</v>
      </c>
      <c r="T3955">
        <f>HLOOKUP("Provisioned MiB",'vInfo (Imported)'!$1:$5000,M3955,FALSE)</f>
        <v>0</v>
      </c>
      <c r="U3955">
        <f t="shared" si="184"/>
        <v>0</v>
      </c>
      <c r="V3955">
        <f>HLOOKUP("In Use MiB",'vInfo (Imported)'!$1:$5000,M3955,FALSE)</f>
        <v>0</v>
      </c>
    </row>
    <row r="3956" spans="1:22" ht="13" x14ac:dyDescent="0.3">
      <c r="A3956" s="46">
        <f>'vHosts (Imported)'!A3956</f>
        <v>0</v>
      </c>
      <c r="B3956" s="51">
        <f t="shared" si="186"/>
        <v>4968</v>
      </c>
      <c r="C3956" s="49">
        <f>HLOOKUP("# Cores",'vHosts (Imported)'!$1:$5000,M3956,FALSE)</f>
        <v>0</v>
      </c>
      <c r="D3956" s="52">
        <f>HLOOKUP("# Memory",'vHosts (Imported)'!$1:$5000,M3956,FALSE)</f>
        <v>0</v>
      </c>
      <c r="M3956" s="45">
        <f t="shared" si="185"/>
        <v>3956</v>
      </c>
      <c r="N3956" s="38">
        <f>HLOOKUP("Host",'vInfo (Imported)'!$1:$5000,M3956,FALSE)</f>
        <v>0</v>
      </c>
      <c r="R3956">
        <f>HLOOKUP("CPUs",'vInfo (Imported)'!$1:$5000,M3956,FALSE)</f>
        <v>0</v>
      </c>
      <c r="S3956">
        <f>HLOOKUP("Memory",'vInfo (Imported)'!$1:$5000,M3956,FALSE)</f>
        <v>0</v>
      </c>
      <c r="T3956">
        <f>HLOOKUP("Provisioned MiB",'vInfo (Imported)'!$1:$5000,M3956,FALSE)</f>
        <v>0</v>
      </c>
      <c r="U3956">
        <f t="shared" si="184"/>
        <v>0</v>
      </c>
      <c r="V3956">
        <f>HLOOKUP("In Use MiB",'vInfo (Imported)'!$1:$5000,M3956,FALSE)</f>
        <v>0</v>
      </c>
    </row>
    <row r="3957" spans="1:22" ht="13" x14ac:dyDescent="0.3">
      <c r="A3957" s="46">
        <f>'vHosts (Imported)'!A3957</f>
        <v>0</v>
      </c>
      <c r="B3957" s="51">
        <f t="shared" si="186"/>
        <v>4968</v>
      </c>
      <c r="C3957" s="49">
        <f>HLOOKUP("# Cores",'vHosts (Imported)'!$1:$5000,M3957,FALSE)</f>
        <v>0</v>
      </c>
      <c r="D3957" s="52">
        <f>HLOOKUP("# Memory",'vHosts (Imported)'!$1:$5000,M3957,FALSE)</f>
        <v>0</v>
      </c>
      <c r="M3957" s="45">
        <f t="shared" si="185"/>
        <v>3957</v>
      </c>
      <c r="N3957" s="38">
        <f>HLOOKUP("Host",'vInfo (Imported)'!$1:$5000,M3957,FALSE)</f>
        <v>0</v>
      </c>
      <c r="R3957">
        <f>HLOOKUP("CPUs",'vInfo (Imported)'!$1:$5000,M3957,FALSE)</f>
        <v>0</v>
      </c>
      <c r="S3957">
        <f>HLOOKUP("Memory",'vInfo (Imported)'!$1:$5000,M3957,FALSE)</f>
        <v>0</v>
      </c>
      <c r="T3957">
        <f>HLOOKUP("Provisioned MiB",'vInfo (Imported)'!$1:$5000,M3957,FALSE)</f>
        <v>0</v>
      </c>
      <c r="U3957">
        <f t="shared" si="184"/>
        <v>0</v>
      </c>
      <c r="V3957">
        <f>HLOOKUP("In Use MiB",'vInfo (Imported)'!$1:$5000,M3957,FALSE)</f>
        <v>0</v>
      </c>
    </row>
    <row r="3958" spans="1:22" ht="13" x14ac:dyDescent="0.3">
      <c r="A3958" s="46">
        <f>'vHosts (Imported)'!A3958</f>
        <v>0</v>
      </c>
      <c r="B3958" s="51">
        <f t="shared" si="186"/>
        <v>4968</v>
      </c>
      <c r="C3958" s="49">
        <f>HLOOKUP("# Cores",'vHosts (Imported)'!$1:$5000,M3958,FALSE)</f>
        <v>0</v>
      </c>
      <c r="D3958" s="52">
        <f>HLOOKUP("# Memory",'vHosts (Imported)'!$1:$5000,M3958,FALSE)</f>
        <v>0</v>
      </c>
      <c r="M3958" s="45">
        <f t="shared" si="185"/>
        <v>3958</v>
      </c>
      <c r="N3958" s="38">
        <f>HLOOKUP("Host",'vInfo (Imported)'!$1:$5000,M3958,FALSE)</f>
        <v>0</v>
      </c>
      <c r="R3958">
        <f>HLOOKUP("CPUs",'vInfo (Imported)'!$1:$5000,M3958,FALSE)</f>
        <v>0</v>
      </c>
      <c r="S3958">
        <f>HLOOKUP("Memory",'vInfo (Imported)'!$1:$5000,M3958,FALSE)</f>
        <v>0</v>
      </c>
      <c r="T3958">
        <f>HLOOKUP("Provisioned MiB",'vInfo (Imported)'!$1:$5000,M3958,FALSE)</f>
        <v>0</v>
      </c>
      <c r="U3958">
        <f t="shared" si="184"/>
        <v>0</v>
      </c>
      <c r="V3958">
        <f>HLOOKUP("In Use MiB",'vInfo (Imported)'!$1:$5000,M3958,FALSE)</f>
        <v>0</v>
      </c>
    </row>
    <row r="3959" spans="1:22" ht="13" x14ac:dyDescent="0.3">
      <c r="A3959" s="46">
        <f>'vHosts (Imported)'!A3959</f>
        <v>0</v>
      </c>
      <c r="B3959" s="51">
        <f t="shared" si="186"/>
        <v>4968</v>
      </c>
      <c r="C3959" s="49">
        <f>HLOOKUP("# Cores",'vHosts (Imported)'!$1:$5000,M3959,FALSE)</f>
        <v>0</v>
      </c>
      <c r="D3959" s="52">
        <f>HLOOKUP("# Memory",'vHosts (Imported)'!$1:$5000,M3959,FALSE)</f>
        <v>0</v>
      </c>
      <c r="M3959" s="45">
        <f t="shared" si="185"/>
        <v>3959</v>
      </c>
      <c r="N3959" s="38">
        <f>HLOOKUP("Host",'vInfo (Imported)'!$1:$5000,M3959,FALSE)</f>
        <v>0</v>
      </c>
      <c r="R3959">
        <f>HLOOKUP("CPUs",'vInfo (Imported)'!$1:$5000,M3959,FALSE)</f>
        <v>0</v>
      </c>
      <c r="S3959">
        <f>HLOOKUP("Memory",'vInfo (Imported)'!$1:$5000,M3959,FALSE)</f>
        <v>0</v>
      </c>
      <c r="T3959">
        <f>HLOOKUP("Provisioned MiB",'vInfo (Imported)'!$1:$5000,M3959,FALSE)</f>
        <v>0</v>
      </c>
      <c r="U3959">
        <f t="shared" si="184"/>
        <v>0</v>
      </c>
      <c r="V3959">
        <f>HLOOKUP("In Use MiB",'vInfo (Imported)'!$1:$5000,M3959,FALSE)</f>
        <v>0</v>
      </c>
    </row>
    <row r="3960" spans="1:22" ht="13" x14ac:dyDescent="0.3">
      <c r="A3960" s="46">
        <f>'vHosts (Imported)'!A3960</f>
        <v>0</v>
      </c>
      <c r="B3960" s="51">
        <f t="shared" si="186"/>
        <v>4968</v>
      </c>
      <c r="C3960" s="49">
        <f>HLOOKUP("# Cores",'vHosts (Imported)'!$1:$5000,M3960,FALSE)</f>
        <v>0</v>
      </c>
      <c r="D3960" s="52">
        <f>HLOOKUP("# Memory",'vHosts (Imported)'!$1:$5000,M3960,FALSE)</f>
        <v>0</v>
      </c>
      <c r="M3960" s="45">
        <f t="shared" si="185"/>
        <v>3960</v>
      </c>
      <c r="N3960" s="38">
        <f>HLOOKUP("Host",'vInfo (Imported)'!$1:$5000,M3960,FALSE)</f>
        <v>0</v>
      </c>
      <c r="R3960">
        <f>HLOOKUP("CPUs",'vInfo (Imported)'!$1:$5000,M3960,FALSE)</f>
        <v>0</v>
      </c>
      <c r="S3960">
        <f>HLOOKUP("Memory",'vInfo (Imported)'!$1:$5000,M3960,FALSE)</f>
        <v>0</v>
      </c>
      <c r="T3960">
        <f>HLOOKUP("Provisioned MiB",'vInfo (Imported)'!$1:$5000,M3960,FALSE)</f>
        <v>0</v>
      </c>
      <c r="U3960">
        <f t="shared" si="184"/>
        <v>0</v>
      </c>
      <c r="V3960">
        <f>HLOOKUP("In Use MiB",'vInfo (Imported)'!$1:$5000,M3960,FALSE)</f>
        <v>0</v>
      </c>
    </row>
    <row r="3961" spans="1:22" ht="13" x14ac:dyDescent="0.3">
      <c r="A3961" s="46">
        <f>'vHosts (Imported)'!A3961</f>
        <v>0</v>
      </c>
      <c r="B3961" s="51">
        <f t="shared" si="186"/>
        <v>4968</v>
      </c>
      <c r="C3961" s="49">
        <f>HLOOKUP("# Cores",'vHosts (Imported)'!$1:$5000,M3961,FALSE)</f>
        <v>0</v>
      </c>
      <c r="D3961" s="52">
        <f>HLOOKUP("# Memory",'vHosts (Imported)'!$1:$5000,M3961,FALSE)</f>
        <v>0</v>
      </c>
      <c r="M3961" s="45">
        <f t="shared" si="185"/>
        <v>3961</v>
      </c>
      <c r="N3961" s="38">
        <f>HLOOKUP("Host",'vInfo (Imported)'!$1:$5000,M3961,FALSE)</f>
        <v>0</v>
      </c>
      <c r="R3961">
        <f>HLOOKUP("CPUs",'vInfo (Imported)'!$1:$5000,M3961,FALSE)</f>
        <v>0</v>
      </c>
      <c r="S3961">
        <f>HLOOKUP("Memory",'vInfo (Imported)'!$1:$5000,M3961,FALSE)</f>
        <v>0</v>
      </c>
      <c r="T3961">
        <f>HLOOKUP("Provisioned MiB",'vInfo (Imported)'!$1:$5000,M3961,FALSE)</f>
        <v>0</v>
      </c>
      <c r="U3961">
        <f t="shared" si="184"/>
        <v>0</v>
      </c>
      <c r="V3961">
        <f>HLOOKUP("In Use MiB",'vInfo (Imported)'!$1:$5000,M3961,FALSE)</f>
        <v>0</v>
      </c>
    </row>
    <row r="3962" spans="1:22" ht="13" x14ac:dyDescent="0.3">
      <c r="A3962" s="46">
        <f>'vHosts (Imported)'!A3962</f>
        <v>0</v>
      </c>
      <c r="B3962" s="51">
        <f t="shared" si="186"/>
        <v>4968</v>
      </c>
      <c r="C3962" s="49">
        <f>HLOOKUP("# Cores",'vHosts (Imported)'!$1:$5000,M3962,FALSE)</f>
        <v>0</v>
      </c>
      <c r="D3962" s="52">
        <f>HLOOKUP("# Memory",'vHosts (Imported)'!$1:$5000,M3962,FALSE)</f>
        <v>0</v>
      </c>
      <c r="M3962" s="45">
        <f t="shared" si="185"/>
        <v>3962</v>
      </c>
      <c r="N3962" s="38">
        <f>HLOOKUP("Host",'vInfo (Imported)'!$1:$5000,M3962,FALSE)</f>
        <v>0</v>
      </c>
      <c r="R3962">
        <f>HLOOKUP("CPUs",'vInfo (Imported)'!$1:$5000,M3962,FALSE)</f>
        <v>0</v>
      </c>
      <c r="S3962">
        <f>HLOOKUP("Memory",'vInfo (Imported)'!$1:$5000,M3962,FALSE)</f>
        <v>0</v>
      </c>
      <c r="T3962">
        <f>HLOOKUP("Provisioned MiB",'vInfo (Imported)'!$1:$5000,M3962,FALSE)</f>
        <v>0</v>
      </c>
      <c r="U3962">
        <f t="shared" si="184"/>
        <v>0</v>
      </c>
      <c r="V3962">
        <f>HLOOKUP("In Use MiB",'vInfo (Imported)'!$1:$5000,M3962,FALSE)</f>
        <v>0</v>
      </c>
    </row>
    <row r="3963" spans="1:22" ht="13" x14ac:dyDescent="0.3">
      <c r="A3963" s="46">
        <f>'vHosts (Imported)'!A3963</f>
        <v>0</v>
      </c>
      <c r="B3963" s="51">
        <f t="shared" si="186"/>
        <v>4968</v>
      </c>
      <c r="C3963" s="49">
        <f>HLOOKUP("# Cores",'vHosts (Imported)'!$1:$5000,M3963,FALSE)</f>
        <v>0</v>
      </c>
      <c r="D3963" s="52">
        <f>HLOOKUP("# Memory",'vHosts (Imported)'!$1:$5000,M3963,FALSE)</f>
        <v>0</v>
      </c>
      <c r="M3963" s="45">
        <f t="shared" si="185"/>
        <v>3963</v>
      </c>
      <c r="N3963" s="38">
        <f>HLOOKUP("Host",'vInfo (Imported)'!$1:$5000,M3963,FALSE)</f>
        <v>0</v>
      </c>
      <c r="R3963">
        <f>HLOOKUP("CPUs",'vInfo (Imported)'!$1:$5000,M3963,FALSE)</f>
        <v>0</v>
      </c>
      <c r="S3963">
        <f>HLOOKUP("Memory",'vInfo (Imported)'!$1:$5000,M3963,FALSE)</f>
        <v>0</v>
      </c>
      <c r="T3963">
        <f>HLOOKUP("Provisioned MiB",'vInfo (Imported)'!$1:$5000,M3963,FALSE)</f>
        <v>0</v>
      </c>
      <c r="U3963">
        <f t="shared" si="184"/>
        <v>0</v>
      </c>
      <c r="V3963">
        <f>HLOOKUP("In Use MiB",'vInfo (Imported)'!$1:$5000,M3963,FALSE)</f>
        <v>0</v>
      </c>
    </row>
    <row r="3964" spans="1:22" ht="13" x14ac:dyDescent="0.3">
      <c r="A3964" s="46">
        <f>'vHosts (Imported)'!A3964</f>
        <v>0</v>
      </c>
      <c r="B3964" s="51">
        <f t="shared" si="186"/>
        <v>4968</v>
      </c>
      <c r="C3964" s="49">
        <f>HLOOKUP("# Cores",'vHosts (Imported)'!$1:$5000,M3964,FALSE)</f>
        <v>0</v>
      </c>
      <c r="D3964" s="52">
        <f>HLOOKUP("# Memory",'vHosts (Imported)'!$1:$5000,M3964,FALSE)</f>
        <v>0</v>
      </c>
      <c r="M3964" s="45">
        <f t="shared" si="185"/>
        <v>3964</v>
      </c>
      <c r="N3964" s="38">
        <f>HLOOKUP("Host",'vInfo (Imported)'!$1:$5000,M3964,FALSE)</f>
        <v>0</v>
      </c>
      <c r="R3964">
        <f>HLOOKUP("CPUs",'vInfo (Imported)'!$1:$5000,M3964,FALSE)</f>
        <v>0</v>
      </c>
      <c r="S3964">
        <f>HLOOKUP("Memory",'vInfo (Imported)'!$1:$5000,M3964,FALSE)</f>
        <v>0</v>
      </c>
      <c r="T3964">
        <f>HLOOKUP("Provisioned MiB",'vInfo (Imported)'!$1:$5000,M3964,FALSE)</f>
        <v>0</v>
      </c>
      <c r="U3964">
        <f t="shared" si="184"/>
        <v>0</v>
      </c>
      <c r="V3964">
        <f>HLOOKUP("In Use MiB",'vInfo (Imported)'!$1:$5000,M3964,FALSE)</f>
        <v>0</v>
      </c>
    </row>
    <row r="3965" spans="1:22" ht="13" x14ac:dyDescent="0.3">
      <c r="A3965" s="46">
        <f>'vHosts (Imported)'!A3965</f>
        <v>0</v>
      </c>
      <c r="B3965" s="51">
        <f t="shared" si="186"/>
        <v>4968</v>
      </c>
      <c r="C3965" s="49">
        <f>HLOOKUP("# Cores",'vHosts (Imported)'!$1:$5000,M3965,FALSE)</f>
        <v>0</v>
      </c>
      <c r="D3965" s="52">
        <f>HLOOKUP("# Memory",'vHosts (Imported)'!$1:$5000,M3965,FALSE)</f>
        <v>0</v>
      </c>
      <c r="M3965" s="45">
        <f t="shared" si="185"/>
        <v>3965</v>
      </c>
      <c r="N3965" s="38">
        <f>HLOOKUP("Host",'vInfo (Imported)'!$1:$5000,M3965,FALSE)</f>
        <v>0</v>
      </c>
      <c r="R3965">
        <f>HLOOKUP("CPUs",'vInfo (Imported)'!$1:$5000,M3965,FALSE)</f>
        <v>0</v>
      </c>
      <c r="S3965">
        <f>HLOOKUP("Memory",'vInfo (Imported)'!$1:$5000,M3965,FALSE)</f>
        <v>0</v>
      </c>
      <c r="T3965">
        <f>HLOOKUP("Provisioned MiB",'vInfo (Imported)'!$1:$5000,M3965,FALSE)</f>
        <v>0</v>
      </c>
      <c r="U3965">
        <f t="shared" si="184"/>
        <v>0</v>
      </c>
      <c r="V3965">
        <f>HLOOKUP("In Use MiB",'vInfo (Imported)'!$1:$5000,M3965,FALSE)</f>
        <v>0</v>
      </c>
    </row>
    <row r="3966" spans="1:22" ht="13" x14ac:dyDescent="0.3">
      <c r="A3966" s="46">
        <f>'vHosts (Imported)'!A3966</f>
        <v>0</v>
      </c>
      <c r="B3966" s="51">
        <f t="shared" si="186"/>
        <v>4968</v>
      </c>
      <c r="C3966" s="49">
        <f>HLOOKUP("# Cores",'vHosts (Imported)'!$1:$5000,M3966,FALSE)</f>
        <v>0</v>
      </c>
      <c r="D3966" s="52">
        <f>HLOOKUP("# Memory",'vHosts (Imported)'!$1:$5000,M3966,FALSE)</f>
        <v>0</v>
      </c>
      <c r="M3966" s="45">
        <f t="shared" si="185"/>
        <v>3966</v>
      </c>
      <c r="N3966" s="38">
        <f>HLOOKUP("Host",'vInfo (Imported)'!$1:$5000,M3966,FALSE)</f>
        <v>0</v>
      </c>
      <c r="R3966">
        <f>HLOOKUP("CPUs",'vInfo (Imported)'!$1:$5000,M3966,FALSE)</f>
        <v>0</v>
      </c>
      <c r="S3966">
        <f>HLOOKUP("Memory",'vInfo (Imported)'!$1:$5000,M3966,FALSE)</f>
        <v>0</v>
      </c>
      <c r="T3966">
        <f>HLOOKUP("Provisioned MiB",'vInfo (Imported)'!$1:$5000,M3966,FALSE)</f>
        <v>0</v>
      </c>
      <c r="U3966">
        <f t="shared" si="184"/>
        <v>0</v>
      </c>
      <c r="V3966">
        <f>HLOOKUP("In Use MiB",'vInfo (Imported)'!$1:$5000,M3966,FALSE)</f>
        <v>0</v>
      </c>
    </row>
    <row r="3967" spans="1:22" ht="13" x14ac:dyDescent="0.3">
      <c r="A3967" s="46">
        <f>'vHosts (Imported)'!A3967</f>
        <v>0</v>
      </c>
      <c r="B3967" s="51">
        <f t="shared" si="186"/>
        <v>4968</v>
      </c>
      <c r="C3967" s="49">
        <f>HLOOKUP("# Cores",'vHosts (Imported)'!$1:$5000,M3967,FALSE)</f>
        <v>0</v>
      </c>
      <c r="D3967" s="52">
        <f>HLOOKUP("# Memory",'vHosts (Imported)'!$1:$5000,M3967,FALSE)</f>
        <v>0</v>
      </c>
      <c r="M3967" s="45">
        <f t="shared" si="185"/>
        <v>3967</v>
      </c>
      <c r="N3967" s="38">
        <f>HLOOKUP("Host",'vInfo (Imported)'!$1:$5000,M3967,FALSE)</f>
        <v>0</v>
      </c>
      <c r="R3967">
        <f>HLOOKUP("CPUs",'vInfo (Imported)'!$1:$5000,M3967,FALSE)</f>
        <v>0</v>
      </c>
      <c r="S3967">
        <f>HLOOKUP("Memory",'vInfo (Imported)'!$1:$5000,M3967,FALSE)</f>
        <v>0</v>
      </c>
      <c r="T3967">
        <f>HLOOKUP("Provisioned MiB",'vInfo (Imported)'!$1:$5000,M3967,FALSE)</f>
        <v>0</v>
      </c>
      <c r="U3967">
        <f t="shared" si="184"/>
        <v>0</v>
      </c>
      <c r="V3967">
        <f>HLOOKUP("In Use MiB",'vInfo (Imported)'!$1:$5000,M3967,FALSE)</f>
        <v>0</v>
      </c>
    </row>
    <row r="3968" spans="1:22" ht="13" x14ac:dyDescent="0.3">
      <c r="A3968" s="46">
        <f>'vHosts (Imported)'!A3968</f>
        <v>0</v>
      </c>
      <c r="B3968" s="51">
        <f t="shared" si="186"/>
        <v>4968</v>
      </c>
      <c r="C3968" s="49">
        <f>HLOOKUP("# Cores",'vHosts (Imported)'!$1:$5000,M3968,FALSE)</f>
        <v>0</v>
      </c>
      <c r="D3968" s="52">
        <f>HLOOKUP("# Memory",'vHosts (Imported)'!$1:$5000,M3968,FALSE)</f>
        <v>0</v>
      </c>
      <c r="M3968" s="45">
        <f t="shared" si="185"/>
        <v>3968</v>
      </c>
      <c r="N3968" s="38">
        <f>HLOOKUP("Host",'vInfo (Imported)'!$1:$5000,M3968,FALSE)</f>
        <v>0</v>
      </c>
      <c r="R3968">
        <f>HLOOKUP("CPUs",'vInfo (Imported)'!$1:$5000,M3968,FALSE)</f>
        <v>0</v>
      </c>
      <c r="S3968">
        <f>HLOOKUP("Memory",'vInfo (Imported)'!$1:$5000,M3968,FALSE)</f>
        <v>0</v>
      </c>
      <c r="T3968">
        <f>HLOOKUP("Provisioned MiB",'vInfo (Imported)'!$1:$5000,M3968,FALSE)</f>
        <v>0</v>
      </c>
      <c r="U3968">
        <f t="shared" si="184"/>
        <v>0</v>
      </c>
      <c r="V3968">
        <f>HLOOKUP("In Use MiB",'vInfo (Imported)'!$1:$5000,M3968,FALSE)</f>
        <v>0</v>
      </c>
    </row>
    <row r="3969" spans="1:22" ht="13" x14ac:dyDescent="0.3">
      <c r="A3969" s="46">
        <f>'vHosts (Imported)'!A3969</f>
        <v>0</v>
      </c>
      <c r="B3969" s="51">
        <f t="shared" si="186"/>
        <v>4968</v>
      </c>
      <c r="C3969" s="49">
        <f>HLOOKUP("# Cores",'vHosts (Imported)'!$1:$5000,M3969,FALSE)</f>
        <v>0</v>
      </c>
      <c r="D3969" s="52">
        <f>HLOOKUP("# Memory",'vHosts (Imported)'!$1:$5000,M3969,FALSE)</f>
        <v>0</v>
      </c>
      <c r="M3969" s="45">
        <f t="shared" si="185"/>
        <v>3969</v>
      </c>
      <c r="N3969" s="38">
        <f>HLOOKUP("Host",'vInfo (Imported)'!$1:$5000,M3969,FALSE)</f>
        <v>0</v>
      </c>
      <c r="R3969">
        <f>HLOOKUP("CPUs",'vInfo (Imported)'!$1:$5000,M3969,FALSE)</f>
        <v>0</v>
      </c>
      <c r="S3969">
        <f>HLOOKUP("Memory",'vInfo (Imported)'!$1:$5000,M3969,FALSE)</f>
        <v>0</v>
      </c>
      <c r="T3969">
        <f>HLOOKUP("Provisioned MiB",'vInfo (Imported)'!$1:$5000,M3969,FALSE)</f>
        <v>0</v>
      </c>
      <c r="U3969">
        <f t="shared" si="184"/>
        <v>0</v>
      </c>
      <c r="V3969">
        <f>HLOOKUP("In Use MiB",'vInfo (Imported)'!$1:$5000,M3969,FALSE)</f>
        <v>0</v>
      </c>
    </row>
    <row r="3970" spans="1:22" ht="13" x14ac:dyDescent="0.3">
      <c r="A3970" s="46">
        <f>'vHosts (Imported)'!A3970</f>
        <v>0</v>
      </c>
      <c r="B3970" s="51">
        <f t="shared" si="186"/>
        <v>4968</v>
      </c>
      <c r="C3970" s="49">
        <f>HLOOKUP("# Cores",'vHosts (Imported)'!$1:$5000,M3970,FALSE)</f>
        <v>0</v>
      </c>
      <c r="D3970" s="52">
        <f>HLOOKUP("# Memory",'vHosts (Imported)'!$1:$5000,M3970,FALSE)</f>
        <v>0</v>
      </c>
      <c r="M3970" s="45">
        <f t="shared" si="185"/>
        <v>3970</v>
      </c>
      <c r="N3970" s="38">
        <f>HLOOKUP("Host",'vInfo (Imported)'!$1:$5000,M3970,FALSE)</f>
        <v>0</v>
      </c>
      <c r="R3970">
        <f>HLOOKUP("CPUs",'vInfo (Imported)'!$1:$5000,M3970,FALSE)</f>
        <v>0</v>
      </c>
      <c r="S3970">
        <f>HLOOKUP("Memory",'vInfo (Imported)'!$1:$5000,M3970,FALSE)</f>
        <v>0</v>
      </c>
      <c r="T3970">
        <f>HLOOKUP("Provisioned MiB",'vInfo (Imported)'!$1:$5000,M3970,FALSE)</f>
        <v>0</v>
      </c>
      <c r="U3970">
        <f t="shared" si="184"/>
        <v>0</v>
      </c>
      <c r="V3970">
        <f>HLOOKUP("In Use MiB",'vInfo (Imported)'!$1:$5000,M3970,FALSE)</f>
        <v>0</v>
      </c>
    </row>
    <row r="3971" spans="1:22" ht="13" x14ac:dyDescent="0.3">
      <c r="A3971" s="46">
        <f>'vHosts (Imported)'!A3971</f>
        <v>0</v>
      </c>
      <c r="B3971" s="51">
        <f t="shared" si="186"/>
        <v>4968</v>
      </c>
      <c r="C3971" s="49">
        <f>HLOOKUP("# Cores",'vHosts (Imported)'!$1:$5000,M3971,FALSE)</f>
        <v>0</v>
      </c>
      <c r="D3971" s="52">
        <f>HLOOKUP("# Memory",'vHosts (Imported)'!$1:$5000,M3971,FALSE)</f>
        <v>0</v>
      </c>
      <c r="M3971" s="45">
        <f t="shared" si="185"/>
        <v>3971</v>
      </c>
      <c r="N3971" s="38">
        <f>HLOOKUP("Host",'vInfo (Imported)'!$1:$5000,M3971,FALSE)</f>
        <v>0</v>
      </c>
      <c r="R3971">
        <f>HLOOKUP("CPUs",'vInfo (Imported)'!$1:$5000,M3971,FALSE)</f>
        <v>0</v>
      </c>
      <c r="S3971">
        <f>HLOOKUP("Memory",'vInfo (Imported)'!$1:$5000,M3971,FALSE)</f>
        <v>0</v>
      </c>
      <c r="T3971">
        <f>HLOOKUP("Provisioned MiB",'vInfo (Imported)'!$1:$5000,M3971,FALSE)</f>
        <v>0</v>
      </c>
      <c r="U3971">
        <f t="shared" ref="U3971:U4034" si="187">T3971-V3971</f>
        <v>0</v>
      </c>
      <c r="V3971">
        <f>HLOOKUP("In Use MiB",'vInfo (Imported)'!$1:$5000,M3971,FALSE)</f>
        <v>0</v>
      </c>
    </row>
    <row r="3972" spans="1:22" ht="13" x14ac:dyDescent="0.3">
      <c r="A3972" s="46">
        <f>'vHosts (Imported)'!A3972</f>
        <v>0</v>
      </c>
      <c r="B3972" s="51">
        <f t="shared" si="186"/>
        <v>4968</v>
      </c>
      <c r="C3972" s="49">
        <f>HLOOKUP("# Cores",'vHosts (Imported)'!$1:$5000,M3972,FALSE)</f>
        <v>0</v>
      </c>
      <c r="D3972" s="52">
        <f>HLOOKUP("# Memory",'vHosts (Imported)'!$1:$5000,M3972,FALSE)</f>
        <v>0</v>
      </c>
      <c r="M3972" s="45">
        <f t="shared" ref="M3972:M4035" si="188">M3971+1</f>
        <v>3972</v>
      </c>
      <c r="N3972" s="38">
        <f>HLOOKUP("Host",'vInfo (Imported)'!$1:$5000,M3972,FALSE)</f>
        <v>0</v>
      </c>
      <c r="R3972">
        <f>HLOOKUP("CPUs",'vInfo (Imported)'!$1:$5000,M3972,FALSE)</f>
        <v>0</v>
      </c>
      <c r="S3972">
        <f>HLOOKUP("Memory",'vInfo (Imported)'!$1:$5000,M3972,FALSE)</f>
        <v>0</v>
      </c>
      <c r="T3972">
        <f>HLOOKUP("Provisioned MiB",'vInfo (Imported)'!$1:$5000,M3972,FALSE)</f>
        <v>0</v>
      </c>
      <c r="U3972">
        <f t="shared" si="187"/>
        <v>0</v>
      </c>
      <c r="V3972">
        <f>HLOOKUP("In Use MiB",'vInfo (Imported)'!$1:$5000,M3972,FALSE)</f>
        <v>0</v>
      </c>
    </row>
    <row r="3973" spans="1:22" ht="13" x14ac:dyDescent="0.3">
      <c r="A3973" s="46">
        <f>'vHosts (Imported)'!A3973</f>
        <v>0</v>
      </c>
      <c r="B3973" s="51">
        <f t="shared" si="186"/>
        <v>4968</v>
      </c>
      <c r="C3973" s="49">
        <f>HLOOKUP("# Cores",'vHosts (Imported)'!$1:$5000,M3973,FALSE)</f>
        <v>0</v>
      </c>
      <c r="D3973" s="52">
        <f>HLOOKUP("# Memory",'vHosts (Imported)'!$1:$5000,M3973,FALSE)</f>
        <v>0</v>
      </c>
      <c r="M3973" s="45">
        <f t="shared" si="188"/>
        <v>3973</v>
      </c>
      <c r="N3973" s="38">
        <f>HLOOKUP("Host",'vInfo (Imported)'!$1:$5000,M3973,FALSE)</f>
        <v>0</v>
      </c>
      <c r="R3973">
        <f>HLOOKUP("CPUs",'vInfo (Imported)'!$1:$5000,M3973,FALSE)</f>
        <v>0</v>
      </c>
      <c r="S3973">
        <f>HLOOKUP("Memory",'vInfo (Imported)'!$1:$5000,M3973,FALSE)</f>
        <v>0</v>
      </c>
      <c r="T3973">
        <f>HLOOKUP("Provisioned MiB",'vInfo (Imported)'!$1:$5000,M3973,FALSE)</f>
        <v>0</v>
      </c>
      <c r="U3973">
        <f t="shared" si="187"/>
        <v>0</v>
      </c>
      <c r="V3973">
        <f>HLOOKUP("In Use MiB",'vInfo (Imported)'!$1:$5000,M3973,FALSE)</f>
        <v>0</v>
      </c>
    </row>
    <row r="3974" spans="1:22" ht="13" x14ac:dyDescent="0.3">
      <c r="A3974" s="46">
        <f>'vHosts (Imported)'!A3974</f>
        <v>0</v>
      </c>
      <c r="B3974" s="51">
        <f t="shared" si="186"/>
        <v>4968</v>
      </c>
      <c r="C3974" s="49">
        <f>HLOOKUP("# Cores",'vHosts (Imported)'!$1:$5000,M3974,FALSE)</f>
        <v>0</v>
      </c>
      <c r="D3974" s="52">
        <f>HLOOKUP("# Memory",'vHosts (Imported)'!$1:$5000,M3974,FALSE)</f>
        <v>0</v>
      </c>
      <c r="M3974" s="45">
        <f t="shared" si="188"/>
        <v>3974</v>
      </c>
      <c r="N3974" s="38">
        <f>HLOOKUP("Host",'vInfo (Imported)'!$1:$5000,M3974,FALSE)</f>
        <v>0</v>
      </c>
      <c r="R3974">
        <f>HLOOKUP("CPUs",'vInfo (Imported)'!$1:$5000,M3974,FALSE)</f>
        <v>0</v>
      </c>
      <c r="S3974">
        <f>HLOOKUP("Memory",'vInfo (Imported)'!$1:$5000,M3974,FALSE)</f>
        <v>0</v>
      </c>
      <c r="T3974">
        <f>HLOOKUP("Provisioned MiB",'vInfo (Imported)'!$1:$5000,M3974,FALSE)</f>
        <v>0</v>
      </c>
      <c r="U3974">
        <f t="shared" si="187"/>
        <v>0</v>
      </c>
      <c r="V3974">
        <f>HLOOKUP("In Use MiB",'vInfo (Imported)'!$1:$5000,M3974,FALSE)</f>
        <v>0</v>
      </c>
    </row>
    <row r="3975" spans="1:22" ht="13" x14ac:dyDescent="0.3">
      <c r="A3975" s="46">
        <f>'vHosts (Imported)'!A3975</f>
        <v>0</v>
      </c>
      <c r="B3975" s="51">
        <f t="shared" si="186"/>
        <v>4968</v>
      </c>
      <c r="C3975" s="49">
        <f>HLOOKUP("# Cores",'vHosts (Imported)'!$1:$5000,M3975,FALSE)</f>
        <v>0</v>
      </c>
      <c r="D3975" s="52">
        <f>HLOOKUP("# Memory",'vHosts (Imported)'!$1:$5000,M3975,FALSE)</f>
        <v>0</v>
      </c>
      <c r="M3975" s="45">
        <f t="shared" si="188"/>
        <v>3975</v>
      </c>
      <c r="N3975" s="38">
        <f>HLOOKUP("Host",'vInfo (Imported)'!$1:$5000,M3975,FALSE)</f>
        <v>0</v>
      </c>
      <c r="R3975">
        <f>HLOOKUP("CPUs",'vInfo (Imported)'!$1:$5000,M3975,FALSE)</f>
        <v>0</v>
      </c>
      <c r="S3975">
        <f>HLOOKUP("Memory",'vInfo (Imported)'!$1:$5000,M3975,FALSE)</f>
        <v>0</v>
      </c>
      <c r="T3975">
        <f>HLOOKUP("Provisioned MiB",'vInfo (Imported)'!$1:$5000,M3975,FALSE)</f>
        <v>0</v>
      </c>
      <c r="U3975">
        <f t="shared" si="187"/>
        <v>0</v>
      </c>
      <c r="V3975">
        <f>HLOOKUP("In Use MiB",'vInfo (Imported)'!$1:$5000,M3975,FALSE)</f>
        <v>0</v>
      </c>
    </row>
    <row r="3976" spans="1:22" ht="13" x14ac:dyDescent="0.3">
      <c r="A3976" s="46">
        <f>'vHosts (Imported)'!A3976</f>
        <v>0</v>
      </c>
      <c r="B3976" s="51">
        <f t="shared" si="186"/>
        <v>4968</v>
      </c>
      <c r="C3976" s="49">
        <f>HLOOKUP("# Cores",'vHosts (Imported)'!$1:$5000,M3976,FALSE)</f>
        <v>0</v>
      </c>
      <c r="D3976" s="52">
        <f>HLOOKUP("# Memory",'vHosts (Imported)'!$1:$5000,M3976,FALSE)</f>
        <v>0</v>
      </c>
      <c r="M3976" s="45">
        <f t="shared" si="188"/>
        <v>3976</v>
      </c>
      <c r="N3976" s="38">
        <f>HLOOKUP("Host",'vInfo (Imported)'!$1:$5000,M3976,FALSE)</f>
        <v>0</v>
      </c>
      <c r="R3976">
        <f>HLOOKUP("CPUs",'vInfo (Imported)'!$1:$5000,M3976,FALSE)</f>
        <v>0</v>
      </c>
      <c r="S3976">
        <f>HLOOKUP("Memory",'vInfo (Imported)'!$1:$5000,M3976,FALSE)</f>
        <v>0</v>
      </c>
      <c r="T3976">
        <f>HLOOKUP("Provisioned MiB",'vInfo (Imported)'!$1:$5000,M3976,FALSE)</f>
        <v>0</v>
      </c>
      <c r="U3976">
        <f t="shared" si="187"/>
        <v>0</v>
      </c>
      <c r="V3976">
        <f>HLOOKUP("In Use MiB",'vInfo (Imported)'!$1:$5000,M3976,FALSE)</f>
        <v>0</v>
      </c>
    </row>
    <row r="3977" spans="1:22" ht="13" x14ac:dyDescent="0.3">
      <c r="A3977" s="46">
        <f>'vHosts (Imported)'!A3977</f>
        <v>0</v>
      </c>
      <c r="B3977" s="51">
        <f t="shared" si="186"/>
        <v>4968</v>
      </c>
      <c r="C3977" s="49">
        <f>HLOOKUP("# Cores",'vHosts (Imported)'!$1:$5000,M3977,FALSE)</f>
        <v>0</v>
      </c>
      <c r="D3977" s="52">
        <f>HLOOKUP("# Memory",'vHosts (Imported)'!$1:$5000,M3977,FALSE)</f>
        <v>0</v>
      </c>
      <c r="M3977" s="45">
        <f t="shared" si="188"/>
        <v>3977</v>
      </c>
      <c r="N3977" s="38">
        <f>HLOOKUP("Host",'vInfo (Imported)'!$1:$5000,M3977,FALSE)</f>
        <v>0</v>
      </c>
      <c r="R3977">
        <f>HLOOKUP("CPUs",'vInfo (Imported)'!$1:$5000,M3977,FALSE)</f>
        <v>0</v>
      </c>
      <c r="S3977">
        <f>HLOOKUP("Memory",'vInfo (Imported)'!$1:$5000,M3977,FALSE)</f>
        <v>0</v>
      </c>
      <c r="T3977">
        <f>HLOOKUP("Provisioned MiB",'vInfo (Imported)'!$1:$5000,M3977,FALSE)</f>
        <v>0</v>
      </c>
      <c r="U3977">
        <f t="shared" si="187"/>
        <v>0</v>
      </c>
      <c r="V3977">
        <f>HLOOKUP("In Use MiB",'vInfo (Imported)'!$1:$5000,M3977,FALSE)</f>
        <v>0</v>
      </c>
    </row>
    <row r="3978" spans="1:22" ht="13" x14ac:dyDescent="0.3">
      <c r="A3978" s="46">
        <f>'vHosts (Imported)'!A3978</f>
        <v>0</v>
      </c>
      <c r="B3978" s="51">
        <f t="shared" si="186"/>
        <v>4968</v>
      </c>
      <c r="C3978" s="49">
        <f>HLOOKUP("# Cores",'vHosts (Imported)'!$1:$5000,M3978,FALSE)</f>
        <v>0</v>
      </c>
      <c r="D3978" s="52">
        <f>HLOOKUP("# Memory",'vHosts (Imported)'!$1:$5000,M3978,FALSE)</f>
        <v>0</v>
      </c>
      <c r="M3978" s="45">
        <f t="shared" si="188"/>
        <v>3978</v>
      </c>
      <c r="N3978" s="38">
        <f>HLOOKUP("Host",'vInfo (Imported)'!$1:$5000,M3978,FALSE)</f>
        <v>0</v>
      </c>
      <c r="R3978">
        <f>HLOOKUP("CPUs",'vInfo (Imported)'!$1:$5000,M3978,FALSE)</f>
        <v>0</v>
      </c>
      <c r="S3978">
        <f>HLOOKUP("Memory",'vInfo (Imported)'!$1:$5000,M3978,FALSE)</f>
        <v>0</v>
      </c>
      <c r="T3978">
        <f>HLOOKUP("Provisioned MiB",'vInfo (Imported)'!$1:$5000,M3978,FALSE)</f>
        <v>0</v>
      </c>
      <c r="U3978">
        <f t="shared" si="187"/>
        <v>0</v>
      </c>
      <c r="V3978">
        <f>HLOOKUP("In Use MiB",'vInfo (Imported)'!$1:$5000,M3978,FALSE)</f>
        <v>0</v>
      </c>
    </row>
    <row r="3979" spans="1:22" ht="13" x14ac:dyDescent="0.3">
      <c r="A3979" s="46">
        <f>'vHosts (Imported)'!A3979</f>
        <v>0</v>
      </c>
      <c r="B3979" s="51">
        <f t="shared" si="186"/>
        <v>4968</v>
      </c>
      <c r="C3979" s="49">
        <f>HLOOKUP("# Cores",'vHosts (Imported)'!$1:$5000,M3979,FALSE)</f>
        <v>0</v>
      </c>
      <c r="D3979" s="52">
        <f>HLOOKUP("# Memory",'vHosts (Imported)'!$1:$5000,M3979,FALSE)</f>
        <v>0</v>
      </c>
      <c r="M3979" s="45">
        <f t="shared" si="188"/>
        <v>3979</v>
      </c>
      <c r="N3979" s="38">
        <f>HLOOKUP("Host",'vInfo (Imported)'!$1:$5000,M3979,FALSE)</f>
        <v>0</v>
      </c>
      <c r="R3979">
        <f>HLOOKUP("CPUs",'vInfo (Imported)'!$1:$5000,M3979,FALSE)</f>
        <v>0</v>
      </c>
      <c r="S3979">
        <f>HLOOKUP("Memory",'vInfo (Imported)'!$1:$5000,M3979,FALSE)</f>
        <v>0</v>
      </c>
      <c r="T3979">
        <f>HLOOKUP("Provisioned MiB",'vInfo (Imported)'!$1:$5000,M3979,FALSE)</f>
        <v>0</v>
      </c>
      <c r="U3979">
        <f t="shared" si="187"/>
        <v>0</v>
      </c>
      <c r="V3979">
        <f>HLOOKUP("In Use MiB",'vInfo (Imported)'!$1:$5000,M3979,FALSE)</f>
        <v>0</v>
      </c>
    </row>
    <row r="3980" spans="1:22" ht="13" x14ac:dyDescent="0.3">
      <c r="A3980" s="46">
        <f>'vHosts (Imported)'!A3980</f>
        <v>0</v>
      </c>
      <c r="B3980" s="51">
        <f t="shared" si="186"/>
        <v>4968</v>
      </c>
      <c r="C3980" s="49">
        <f>HLOOKUP("# Cores",'vHosts (Imported)'!$1:$5000,M3980,FALSE)</f>
        <v>0</v>
      </c>
      <c r="D3980" s="52">
        <f>HLOOKUP("# Memory",'vHosts (Imported)'!$1:$5000,M3980,FALSE)</f>
        <v>0</v>
      </c>
      <c r="M3980" s="45">
        <f t="shared" si="188"/>
        <v>3980</v>
      </c>
      <c r="N3980" s="38">
        <f>HLOOKUP("Host",'vInfo (Imported)'!$1:$5000,M3980,FALSE)</f>
        <v>0</v>
      </c>
      <c r="R3980">
        <f>HLOOKUP("CPUs",'vInfo (Imported)'!$1:$5000,M3980,FALSE)</f>
        <v>0</v>
      </c>
      <c r="S3980">
        <f>HLOOKUP("Memory",'vInfo (Imported)'!$1:$5000,M3980,FALSE)</f>
        <v>0</v>
      </c>
      <c r="T3980">
        <f>HLOOKUP("Provisioned MiB",'vInfo (Imported)'!$1:$5000,M3980,FALSE)</f>
        <v>0</v>
      </c>
      <c r="U3980">
        <f t="shared" si="187"/>
        <v>0</v>
      </c>
      <c r="V3980">
        <f>HLOOKUP("In Use MiB",'vInfo (Imported)'!$1:$5000,M3980,FALSE)</f>
        <v>0</v>
      </c>
    </row>
    <row r="3981" spans="1:22" ht="13" x14ac:dyDescent="0.3">
      <c r="A3981" s="46">
        <f>'vHosts (Imported)'!A3981</f>
        <v>0</v>
      </c>
      <c r="B3981" s="51">
        <f t="shared" si="186"/>
        <v>4968</v>
      </c>
      <c r="C3981" s="49">
        <f>HLOOKUP("# Cores",'vHosts (Imported)'!$1:$5000,M3981,FALSE)</f>
        <v>0</v>
      </c>
      <c r="D3981" s="52">
        <f>HLOOKUP("# Memory",'vHosts (Imported)'!$1:$5000,M3981,FALSE)</f>
        <v>0</v>
      </c>
      <c r="M3981" s="45">
        <f t="shared" si="188"/>
        <v>3981</v>
      </c>
      <c r="N3981" s="38">
        <f>HLOOKUP("Host",'vInfo (Imported)'!$1:$5000,M3981,FALSE)</f>
        <v>0</v>
      </c>
      <c r="R3981">
        <f>HLOOKUP("CPUs",'vInfo (Imported)'!$1:$5000,M3981,FALSE)</f>
        <v>0</v>
      </c>
      <c r="S3981">
        <f>HLOOKUP("Memory",'vInfo (Imported)'!$1:$5000,M3981,FALSE)</f>
        <v>0</v>
      </c>
      <c r="T3981">
        <f>HLOOKUP("Provisioned MiB",'vInfo (Imported)'!$1:$5000,M3981,FALSE)</f>
        <v>0</v>
      </c>
      <c r="U3981">
        <f t="shared" si="187"/>
        <v>0</v>
      </c>
      <c r="V3981">
        <f>HLOOKUP("In Use MiB",'vInfo (Imported)'!$1:$5000,M3981,FALSE)</f>
        <v>0</v>
      </c>
    </row>
    <row r="3982" spans="1:22" ht="13" x14ac:dyDescent="0.3">
      <c r="A3982" s="46">
        <f>'vHosts (Imported)'!A3982</f>
        <v>0</v>
      </c>
      <c r="B3982" s="51">
        <f t="shared" si="186"/>
        <v>4968</v>
      </c>
      <c r="C3982" s="49">
        <f>HLOOKUP("# Cores",'vHosts (Imported)'!$1:$5000,M3982,FALSE)</f>
        <v>0</v>
      </c>
      <c r="D3982" s="52">
        <f>HLOOKUP("# Memory",'vHosts (Imported)'!$1:$5000,M3982,FALSE)</f>
        <v>0</v>
      </c>
      <c r="M3982" s="45">
        <f t="shared" si="188"/>
        <v>3982</v>
      </c>
      <c r="N3982" s="38">
        <f>HLOOKUP("Host",'vInfo (Imported)'!$1:$5000,M3982,FALSE)</f>
        <v>0</v>
      </c>
      <c r="R3982">
        <f>HLOOKUP("CPUs",'vInfo (Imported)'!$1:$5000,M3982,FALSE)</f>
        <v>0</v>
      </c>
      <c r="S3982">
        <f>HLOOKUP("Memory",'vInfo (Imported)'!$1:$5000,M3982,FALSE)</f>
        <v>0</v>
      </c>
      <c r="T3982">
        <f>HLOOKUP("Provisioned MiB",'vInfo (Imported)'!$1:$5000,M3982,FALSE)</f>
        <v>0</v>
      </c>
      <c r="U3982">
        <f t="shared" si="187"/>
        <v>0</v>
      </c>
      <c r="V3982">
        <f>HLOOKUP("In Use MiB",'vInfo (Imported)'!$1:$5000,M3982,FALSE)</f>
        <v>0</v>
      </c>
    </row>
    <row r="3983" spans="1:22" ht="13" x14ac:dyDescent="0.3">
      <c r="A3983" s="46">
        <f>'vHosts (Imported)'!A3983</f>
        <v>0</v>
      </c>
      <c r="B3983" s="51">
        <f t="shared" si="186"/>
        <v>4968</v>
      </c>
      <c r="C3983" s="49">
        <f>HLOOKUP("# Cores",'vHosts (Imported)'!$1:$5000,M3983,FALSE)</f>
        <v>0</v>
      </c>
      <c r="D3983" s="52">
        <f>HLOOKUP("# Memory",'vHosts (Imported)'!$1:$5000,M3983,FALSE)</f>
        <v>0</v>
      </c>
      <c r="M3983" s="45">
        <f t="shared" si="188"/>
        <v>3983</v>
      </c>
      <c r="N3983" s="38">
        <f>HLOOKUP("Host",'vInfo (Imported)'!$1:$5000,M3983,FALSE)</f>
        <v>0</v>
      </c>
      <c r="R3983">
        <f>HLOOKUP("CPUs",'vInfo (Imported)'!$1:$5000,M3983,FALSE)</f>
        <v>0</v>
      </c>
      <c r="S3983">
        <f>HLOOKUP("Memory",'vInfo (Imported)'!$1:$5000,M3983,FALSE)</f>
        <v>0</v>
      </c>
      <c r="T3983">
        <f>HLOOKUP("Provisioned MiB",'vInfo (Imported)'!$1:$5000,M3983,FALSE)</f>
        <v>0</v>
      </c>
      <c r="U3983">
        <f t="shared" si="187"/>
        <v>0</v>
      </c>
      <c r="V3983">
        <f>HLOOKUP("In Use MiB",'vInfo (Imported)'!$1:$5000,M3983,FALSE)</f>
        <v>0</v>
      </c>
    </row>
    <row r="3984" spans="1:22" ht="13" x14ac:dyDescent="0.3">
      <c r="A3984" s="46">
        <f>'vHosts (Imported)'!A3984</f>
        <v>0</v>
      </c>
      <c r="B3984" s="51">
        <f t="shared" si="186"/>
        <v>4968</v>
      </c>
      <c r="C3984" s="49">
        <f>HLOOKUP("# Cores",'vHosts (Imported)'!$1:$5000,M3984,FALSE)</f>
        <v>0</v>
      </c>
      <c r="D3984" s="52">
        <f>HLOOKUP("# Memory",'vHosts (Imported)'!$1:$5000,M3984,FALSE)</f>
        <v>0</v>
      </c>
      <c r="M3984" s="45">
        <f t="shared" si="188"/>
        <v>3984</v>
      </c>
      <c r="N3984" s="38">
        <f>HLOOKUP("Host",'vInfo (Imported)'!$1:$5000,M3984,FALSE)</f>
        <v>0</v>
      </c>
      <c r="R3984">
        <f>HLOOKUP("CPUs",'vInfo (Imported)'!$1:$5000,M3984,FALSE)</f>
        <v>0</v>
      </c>
      <c r="S3984">
        <f>HLOOKUP("Memory",'vInfo (Imported)'!$1:$5000,M3984,FALSE)</f>
        <v>0</v>
      </c>
      <c r="T3984">
        <f>HLOOKUP("Provisioned MiB",'vInfo (Imported)'!$1:$5000,M3984,FALSE)</f>
        <v>0</v>
      </c>
      <c r="U3984">
        <f t="shared" si="187"/>
        <v>0</v>
      </c>
      <c r="V3984">
        <f>HLOOKUP("In Use MiB",'vInfo (Imported)'!$1:$5000,M3984,FALSE)</f>
        <v>0</v>
      </c>
    </row>
    <row r="3985" spans="1:22" ht="13" x14ac:dyDescent="0.3">
      <c r="A3985" s="46">
        <f>'vHosts (Imported)'!A3985</f>
        <v>0</v>
      </c>
      <c r="B3985" s="51">
        <f t="shared" si="186"/>
        <v>4968</v>
      </c>
      <c r="C3985" s="49">
        <f>HLOOKUP("# Cores",'vHosts (Imported)'!$1:$5000,M3985,FALSE)</f>
        <v>0</v>
      </c>
      <c r="D3985" s="52">
        <f>HLOOKUP("# Memory",'vHosts (Imported)'!$1:$5000,M3985,FALSE)</f>
        <v>0</v>
      </c>
      <c r="M3985" s="45">
        <f t="shared" si="188"/>
        <v>3985</v>
      </c>
      <c r="N3985" s="38">
        <f>HLOOKUP("Host",'vInfo (Imported)'!$1:$5000,M3985,FALSE)</f>
        <v>0</v>
      </c>
      <c r="R3985">
        <f>HLOOKUP("CPUs",'vInfo (Imported)'!$1:$5000,M3985,FALSE)</f>
        <v>0</v>
      </c>
      <c r="S3985">
        <f>HLOOKUP("Memory",'vInfo (Imported)'!$1:$5000,M3985,FALSE)</f>
        <v>0</v>
      </c>
      <c r="T3985">
        <f>HLOOKUP("Provisioned MiB",'vInfo (Imported)'!$1:$5000,M3985,FALSE)</f>
        <v>0</v>
      </c>
      <c r="U3985">
        <f t="shared" si="187"/>
        <v>0</v>
      </c>
      <c r="V3985">
        <f>HLOOKUP("In Use MiB",'vInfo (Imported)'!$1:$5000,M3985,FALSE)</f>
        <v>0</v>
      </c>
    </row>
    <row r="3986" spans="1:22" ht="13" x14ac:dyDescent="0.3">
      <c r="A3986" s="46">
        <f>'vHosts (Imported)'!A3986</f>
        <v>0</v>
      </c>
      <c r="B3986" s="51">
        <f t="shared" si="186"/>
        <v>4968</v>
      </c>
      <c r="C3986" s="49">
        <f>HLOOKUP("# Cores",'vHosts (Imported)'!$1:$5000,M3986,FALSE)</f>
        <v>0</v>
      </c>
      <c r="D3986" s="52">
        <f>HLOOKUP("# Memory",'vHosts (Imported)'!$1:$5000,M3986,FALSE)</f>
        <v>0</v>
      </c>
      <c r="M3986" s="45">
        <f t="shared" si="188"/>
        <v>3986</v>
      </c>
      <c r="N3986" s="38">
        <f>HLOOKUP("Host",'vInfo (Imported)'!$1:$5000,M3986,FALSE)</f>
        <v>0</v>
      </c>
      <c r="R3986">
        <f>HLOOKUP("CPUs",'vInfo (Imported)'!$1:$5000,M3986,FALSE)</f>
        <v>0</v>
      </c>
      <c r="S3986">
        <f>HLOOKUP("Memory",'vInfo (Imported)'!$1:$5000,M3986,FALSE)</f>
        <v>0</v>
      </c>
      <c r="T3986">
        <f>HLOOKUP("Provisioned MiB",'vInfo (Imported)'!$1:$5000,M3986,FALSE)</f>
        <v>0</v>
      </c>
      <c r="U3986">
        <f t="shared" si="187"/>
        <v>0</v>
      </c>
      <c r="V3986">
        <f>HLOOKUP("In Use MiB",'vInfo (Imported)'!$1:$5000,M3986,FALSE)</f>
        <v>0</v>
      </c>
    </row>
    <row r="3987" spans="1:22" ht="13" x14ac:dyDescent="0.3">
      <c r="A3987" s="46">
        <f>'vHosts (Imported)'!A3987</f>
        <v>0</v>
      </c>
      <c r="B3987" s="51">
        <f t="shared" si="186"/>
        <v>4968</v>
      </c>
      <c r="C3987" s="49">
        <f>HLOOKUP("# Cores",'vHosts (Imported)'!$1:$5000,M3987,FALSE)</f>
        <v>0</v>
      </c>
      <c r="D3987" s="52">
        <f>HLOOKUP("# Memory",'vHosts (Imported)'!$1:$5000,M3987,FALSE)</f>
        <v>0</v>
      </c>
      <c r="M3987" s="45">
        <f t="shared" si="188"/>
        <v>3987</v>
      </c>
      <c r="N3987" s="38">
        <f>HLOOKUP("Host",'vInfo (Imported)'!$1:$5000,M3987,FALSE)</f>
        <v>0</v>
      </c>
      <c r="R3987">
        <f>HLOOKUP("CPUs",'vInfo (Imported)'!$1:$5000,M3987,FALSE)</f>
        <v>0</v>
      </c>
      <c r="S3987">
        <f>HLOOKUP("Memory",'vInfo (Imported)'!$1:$5000,M3987,FALSE)</f>
        <v>0</v>
      </c>
      <c r="T3987">
        <f>HLOOKUP("Provisioned MiB",'vInfo (Imported)'!$1:$5000,M3987,FALSE)</f>
        <v>0</v>
      </c>
      <c r="U3987">
        <f t="shared" si="187"/>
        <v>0</v>
      </c>
      <c r="V3987">
        <f>HLOOKUP("In Use MiB",'vInfo (Imported)'!$1:$5000,M3987,FALSE)</f>
        <v>0</v>
      </c>
    </row>
    <row r="3988" spans="1:22" ht="13" x14ac:dyDescent="0.3">
      <c r="A3988" s="46">
        <f>'vHosts (Imported)'!A3988</f>
        <v>0</v>
      </c>
      <c r="B3988" s="51">
        <f t="shared" si="186"/>
        <v>4968</v>
      </c>
      <c r="C3988" s="49">
        <f>HLOOKUP("# Cores",'vHosts (Imported)'!$1:$5000,M3988,FALSE)</f>
        <v>0</v>
      </c>
      <c r="D3988" s="52">
        <f>HLOOKUP("# Memory",'vHosts (Imported)'!$1:$5000,M3988,FALSE)</f>
        <v>0</v>
      </c>
      <c r="M3988" s="45">
        <f t="shared" si="188"/>
        <v>3988</v>
      </c>
      <c r="N3988" s="38">
        <f>HLOOKUP("Host",'vInfo (Imported)'!$1:$5000,M3988,FALSE)</f>
        <v>0</v>
      </c>
      <c r="R3988">
        <f>HLOOKUP("CPUs",'vInfo (Imported)'!$1:$5000,M3988,FALSE)</f>
        <v>0</v>
      </c>
      <c r="S3988">
        <f>HLOOKUP("Memory",'vInfo (Imported)'!$1:$5000,M3988,FALSE)</f>
        <v>0</v>
      </c>
      <c r="T3988">
        <f>HLOOKUP("Provisioned MiB",'vInfo (Imported)'!$1:$5000,M3988,FALSE)</f>
        <v>0</v>
      </c>
      <c r="U3988">
        <f t="shared" si="187"/>
        <v>0</v>
      </c>
      <c r="V3988">
        <f>HLOOKUP("In Use MiB",'vInfo (Imported)'!$1:$5000,M3988,FALSE)</f>
        <v>0</v>
      </c>
    </row>
    <row r="3989" spans="1:22" ht="13" x14ac:dyDescent="0.3">
      <c r="A3989" s="46">
        <f>'vHosts (Imported)'!A3989</f>
        <v>0</v>
      </c>
      <c r="B3989" s="51">
        <f t="shared" si="186"/>
        <v>4968</v>
      </c>
      <c r="C3989" s="49">
        <f>HLOOKUP("# Cores",'vHosts (Imported)'!$1:$5000,M3989,FALSE)</f>
        <v>0</v>
      </c>
      <c r="D3989" s="52">
        <f>HLOOKUP("# Memory",'vHosts (Imported)'!$1:$5000,M3989,FALSE)</f>
        <v>0</v>
      </c>
      <c r="M3989" s="45">
        <f t="shared" si="188"/>
        <v>3989</v>
      </c>
      <c r="N3989" s="38">
        <f>HLOOKUP("Host",'vInfo (Imported)'!$1:$5000,M3989,FALSE)</f>
        <v>0</v>
      </c>
      <c r="R3989">
        <f>HLOOKUP("CPUs",'vInfo (Imported)'!$1:$5000,M3989,FALSE)</f>
        <v>0</v>
      </c>
      <c r="S3989">
        <f>HLOOKUP("Memory",'vInfo (Imported)'!$1:$5000,M3989,FALSE)</f>
        <v>0</v>
      </c>
      <c r="T3989">
        <f>HLOOKUP("Provisioned MiB",'vInfo (Imported)'!$1:$5000,M3989,FALSE)</f>
        <v>0</v>
      </c>
      <c r="U3989">
        <f t="shared" si="187"/>
        <v>0</v>
      </c>
      <c r="V3989">
        <f>HLOOKUP("In Use MiB",'vInfo (Imported)'!$1:$5000,M3989,FALSE)</f>
        <v>0</v>
      </c>
    </row>
    <row r="3990" spans="1:22" ht="13" x14ac:dyDescent="0.3">
      <c r="A3990" s="46">
        <f>'vHosts (Imported)'!A3990</f>
        <v>0</v>
      </c>
      <c r="B3990" s="51">
        <f t="shared" si="186"/>
        <v>4968</v>
      </c>
      <c r="C3990" s="49">
        <f>HLOOKUP("# Cores",'vHosts (Imported)'!$1:$5000,M3990,FALSE)</f>
        <v>0</v>
      </c>
      <c r="D3990" s="52">
        <f>HLOOKUP("# Memory",'vHosts (Imported)'!$1:$5000,M3990,FALSE)</f>
        <v>0</v>
      </c>
      <c r="M3990" s="45">
        <f t="shared" si="188"/>
        <v>3990</v>
      </c>
      <c r="N3990" s="38">
        <f>HLOOKUP("Host",'vInfo (Imported)'!$1:$5000,M3990,FALSE)</f>
        <v>0</v>
      </c>
      <c r="R3990">
        <f>HLOOKUP("CPUs",'vInfo (Imported)'!$1:$5000,M3990,FALSE)</f>
        <v>0</v>
      </c>
      <c r="S3990">
        <f>HLOOKUP("Memory",'vInfo (Imported)'!$1:$5000,M3990,FALSE)</f>
        <v>0</v>
      </c>
      <c r="T3990">
        <f>HLOOKUP("Provisioned MiB",'vInfo (Imported)'!$1:$5000,M3990,FALSE)</f>
        <v>0</v>
      </c>
      <c r="U3990">
        <f t="shared" si="187"/>
        <v>0</v>
      </c>
      <c r="V3990">
        <f>HLOOKUP("In Use MiB",'vInfo (Imported)'!$1:$5000,M3990,FALSE)</f>
        <v>0</v>
      </c>
    </row>
    <row r="3991" spans="1:22" ht="13" x14ac:dyDescent="0.3">
      <c r="A3991" s="46">
        <f>'vHosts (Imported)'!A3991</f>
        <v>0</v>
      </c>
      <c r="B3991" s="51">
        <f t="shared" si="186"/>
        <v>4968</v>
      </c>
      <c r="C3991" s="49">
        <f>HLOOKUP("# Cores",'vHosts (Imported)'!$1:$5000,M3991,FALSE)</f>
        <v>0</v>
      </c>
      <c r="D3991" s="52">
        <f>HLOOKUP("# Memory",'vHosts (Imported)'!$1:$5000,M3991,FALSE)</f>
        <v>0</v>
      </c>
      <c r="M3991" s="45">
        <f t="shared" si="188"/>
        <v>3991</v>
      </c>
      <c r="N3991" s="38">
        <f>HLOOKUP("Host",'vInfo (Imported)'!$1:$5000,M3991,FALSE)</f>
        <v>0</v>
      </c>
      <c r="R3991">
        <f>HLOOKUP("CPUs",'vInfo (Imported)'!$1:$5000,M3991,FALSE)</f>
        <v>0</v>
      </c>
      <c r="S3991">
        <f>HLOOKUP("Memory",'vInfo (Imported)'!$1:$5000,M3991,FALSE)</f>
        <v>0</v>
      </c>
      <c r="T3991">
        <f>HLOOKUP("Provisioned MiB",'vInfo (Imported)'!$1:$5000,M3991,FALSE)</f>
        <v>0</v>
      </c>
      <c r="U3991">
        <f t="shared" si="187"/>
        <v>0</v>
      </c>
      <c r="V3991">
        <f>HLOOKUP("In Use MiB",'vInfo (Imported)'!$1:$5000,M3991,FALSE)</f>
        <v>0</v>
      </c>
    </row>
    <row r="3992" spans="1:22" ht="13" x14ac:dyDescent="0.3">
      <c r="A3992" s="46">
        <f>'vHosts (Imported)'!A3992</f>
        <v>0</v>
      </c>
      <c r="B3992" s="51">
        <f t="shared" si="186"/>
        <v>4968</v>
      </c>
      <c r="C3992" s="49">
        <f>HLOOKUP("# Cores",'vHosts (Imported)'!$1:$5000,M3992,FALSE)</f>
        <v>0</v>
      </c>
      <c r="D3992" s="52">
        <f>HLOOKUP("# Memory",'vHosts (Imported)'!$1:$5000,M3992,FALSE)</f>
        <v>0</v>
      </c>
      <c r="M3992" s="45">
        <f t="shared" si="188"/>
        <v>3992</v>
      </c>
      <c r="N3992" s="38">
        <f>HLOOKUP("Host",'vInfo (Imported)'!$1:$5000,M3992,FALSE)</f>
        <v>0</v>
      </c>
      <c r="R3992">
        <f>HLOOKUP("CPUs",'vInfo (Imported)'!$1:$5000,M3992,FALSE)</f>
        <v>0</v>
      </c>
      <c r="S3992">
        <f>HLOOKUP("Memory",'vInfo (Imported)'!$1:$5000,M3992,FALSE)</f>
        <v>0</v>
      </c>
      <c r="T3992">
        <f>HLOOKUP("Provisioned MiB",'vInfo (Imported)'!$1:$5000,M3992,FALSE)</f>
        <v>0</v>
      </c>
      <c r="U3992">
        <f t="shared" si="187"/>
        <v>0</v>
      </c>
      <c r="V3992">
        <f>HLOOKUP("In Use MiB",'vInfo (Imported)'!$1:$5000,M3992,FALSE)</f>
        <v>0</v>
      </c>
    </row>
    <row r="3993" spans="1:22" ht="13" x14ac:dyDescent="0.3">
      <c r="A3993" s="46">
        <f>'vHosts (Imported)'!A3993</f>
        <v>0</v>
      </c>
      <c r="B3993" s="51">
        <f t="shared" si="186"/>
        <v>4968</v>
      </c>
      <c r="C3993" s="49">
        <f>HLOOKUP("# Cores",'vHosts (Imported)'!$1:$5000,M3993,FALSE)</f>
        <v>0</v>
      </c>
      <c r="D3993" s="52">
        <f>HLOOKUP("# Memory",'vHosts (Imported)'!$1:$5000,M3993,FALSE)</f>
        <v>0</v>
      </c>
      <c r="M3993" s="45">
        <f t="shared" si="188"/>
        <v>3993</v>
      </c>
      <c r="N3993" s="38">
        <f>HLOOKUP("Host",'vInfo (Imported)'!$1:$5000,M3993,FALSE)</f>
        <v>0</v>
      </c>
      <c r="R3993">
        <f>HLOOKUP("CPUs",'vInfo (Imported)'!$1:$5000,M3993,FALSE)</f>
        <v>0</v>
      </c>
      <c r="S3993">
        <f>HLOOKUP("Memory",'vInfo (Imported)'!$1:$5000,M3993,FALSE)</f>
        <v>0</v>
      </c>
      <c r="T3993">
        <f>HLOOKUP("Provisioned MiB",'vInfo (Imported)'!$1:$5000,M3993,FALSE)</f>
        <v>0</v>
      </c>
      <c r="U3993">
        <f t="shared" si="187"/>
        <v>0</v>
      </c>
      <c r="V3993">
        <f>HLOOKUP("In Use MiB",'vInfo (Imported)'!$1:$5000,M3993,FALSE)</f>
        <v>0</v>
      </c>
    </row>
    <row r="3994" spans="1:22" ht="13" x14ac:dyDescent="0.3">
      <c r="A3994" s="46">
        <f>'vHosts (Imported)'!A3994</f>
        <v>0</v>
      </c>
      <c r="B3994" s="51">
        <f t="shared" si="186"/>
        <v>4968</v>
      </c>
      <c r="C3994" s="49">
        <f>HLOOKUP("# Cores",'vHosts (Imported)'!$1:$5000,M3994,FALSE)</f>
        <v>0</v>
      </c>
      <c r="D3994" s="52">
        <f>HLOOKUP("# Memory",'vHosts (Imported)'!$1:$5000,M3994,FALSE)</f>
        <v>0</v>
      </c>
      <c r="M3994" s="45">
        <f t="shared" si="188"/>
        <v>3994</v>
      </c>
      <c r="N3994" s="38">
        <f>HLOOKUP("Host",'vInfo (Imported)'!$1:$5000,M3994,FALSE)</f>
        <v>0</v>
      </c>
      <c r="R3994">
        <f>HLOOKUP("CPUs",'vInfo (Imported)'!$1:$5000,M3994,FALSE)</f>
        <v>0</v>
      </c>
      <c r="S3994">
        <f>HLOOKUP("Memory",'vInfo (Imported)'!$1:$5000,M3994,FALSE)</f>
        <v>0</v>
      </c>
      <c r="T3994">
        <f>HLOOKUP("Provisioned MiB",'vInfo (Imported)'!$1:$5000,M3994,FALSE)</f>
        <v>0</v>
      </c>
      <c r="U3994">
        <f t="shared" si="187"/>
        <v>0</v>
      </c>
      <c r="V3994">
        <f>HLOOKUP("In Use MiB",'vInfo (Imported)'!$1:$5000,M3994,FALSE)</f>
        <v>0</v>
      </c>
    </row>
    <row r="3995" spans="1:22" ht="13" x14ac:dyDescent="0.3">
      <c r="A3995" s="46">
        <f>'vHosts (Imported)'!A3995</f>
        <v>0</v>
      </c>
      <c r="B3995" s="51">
        <f t="shared" si="186"/>
        <v>4968</v>
      </c>
      <c r="C3995" s="49">
        <f>HLOOKUP("# Cores",'vHosts (Imported)'!$1:$5000,M3995,FALSE)</f>
        <v>0</v>
      </c>
      <c r="D3995" s="52">
        <f>HLOOKUP("# Memory",'vHosts (Imported)'!$1:$5000,M3995,FALSE)</f>
        <v>0</v>
      </c>
      <c r="M3995" s="45">
        <f t="shared" si="188"/>
        <v>3995</v>
      </c>
      <c r="N3995" s="38">
        <f>HLOOKUP("Host",'vInfo (Imported)'!$1:$5000,M3995,FALSE)</f>
        <v>0</v>
      </c>
      <c r="R3995">
        <f>HLOOKUP("CPUs",'vInfo (Imported)'!$1:$5000,M3995,FALSE)</f>
        <v>0</v>
      </c>
      <c r="S3995">
        <f>HLOOKUP("Memory",'vInfo (Imported)'!$1:$5000,M3995,FALSE)</f>
        <v>0</v>
      </c>
      <c r="T3995">
        <f>HLOOKUP("Provisioned MiB",'vInfo (Imported)'!$1:$5000,M3995,FALSE)</f>
        <v>0</v>
      </c>
      <c r="U3995">
        <f t="shared" si="187"/>
        <v>0</v>
      </c>
      <c r="V3995">
        <f>HLOOKUP("In Use MiB",'vInfo (Imported)'!$1:$5000,M3995,FALSE)</f>
        <v>0</v>
      </c>
    </row>
    <row r="3996" spans="1:22" ht="13" x14ac:dyDescent="0.3">
      <c r="A3996" s="46">
        <f>'vHosts (Imported)'!A3996</f>
        <v>0</v>
      </c>
      <c r="B3996" s="51">
        <f t="shared" si="186"/>
        <v>4968</v>
      </c>
      <c r="C3996" s="49">
        <f>HLOOKUP("# Cores",'vHosts (Imported)'!$1:$5000,M3996,FALSE)</f>
        <v>0</v>
      </c>
      <c r="D3996" s="52">
        <f>HLOOKUP("# Memory",'vHosts (Imported)'!$1:$5000,M3996,FALSE)</f>
        <v>0</v>
      </c>
      <c r="M3996" s="45">
        <f t="shared" si="188"/>
        <v>3996</v>
      </c>
      <c r="N3996" s="38">
        <f>HLOOKUP("Host",'vInfo (Imported)'!$1:$5000,M3996,FALSE)</f>
        <v>0</v>
      </c>
      <c r="R3996">
        <f>HLOOKUP("CPUs",'vInfo (Imported)'!$1:$5000,M3996,FALSE)</f>
        <v>0</v>
      </c>
      <c r="S3996">
        <f>HLOOKUP("Memory",'vInfo (Imported)'!$1:$5000,M3996,FALSE)</f>
        <v>0</v>
      </c>
      <c r="T3996">
        <f>HLOOKUP("Provisioned MiB",'vInfo (Imported)'!$1:$5000,M3996,FALSE)</f>
        <v>0</v>
      </c>
      <c r="U3996">
        <f t="shared" si="187"/>
        <v>0</v>
      </c>
      <c r="V3996">
        <f>HLOOKUP("In Use MiB",'vInfo (Imported)'!$1:$5000,M3996,FALSE)</f>
        <v>0</v>
      </c>
    </row>
    <row r="3997" spans="1:22" ht="13" x14ac:dyDescent="0.3">
      <c r="A3997" s="46">
        <f>'vHosts (Imported)'!A3997</f>
        <v>0</v>
      </c>
      <c r="B3997" s="51">
        <f t="shared" si="186"/>
        <v>4968</v>
      </c>
      <c r="C3997" s="49">
        <f>HLOOKUP("# Cores",'vHosts (Imported)'!$1:$5000,M3997,FALSE)</f>
        <v>0</v>
      </c>
      <c r="D3997" s="52">
        <f>HLOOKUP("# Memory",'vHosts (Imported)'!$1:$5000,M3997,FALSE)</f>
        <v>0</v>
      </c>
      <c r="M3997" s="45">
        <f t="shared" si="188"/>
        <v>3997</v>
      </c>
      <c r="N3997" s="38">
        <f>HLOOKUP("Host",'vInfo (Imported)'!$1:$5000,M3997,FALSE)</f>
        <v>0</v>
      </c>
      <c r="R3997">
        <f>HLOOKUP("CPUs",'vInfo (Imported)'!$1:$5000,M3997,FALSE)</f>
        <v>0</v>
      </c>
      <c r="S3997">
        <f>HLOOKUP("Memory",'vInfo (Imported)'!$1:$5000,M3997,FALSE)</f>
        <v>0</v>
      </c>
      <c r="T3997">
        <f>HLOOKUP("Provisioned MiB",'vInfo (Imported)'!$1:$5000,M3997,FALSE)</f>
        <v>0</v>
      </c>
      <c r="U3997">
        <f t="shared" si="187"/>
        <v>0</v>
      </c>
      <c r="V3997">
        <f>HLOOKUP("In Use MiB",'vInfo (Imported)'!$1:$5000,M3997,FALSE)</f>
        <v>0</v>
      </c>
    </row>
    <row r="3998" spans="1:22" ht="13" x14ac:dyDescent="0.3">
      <c r="A3998" s="46">
        <f>'vHosts (Imported)'!A3998</f>
        <v>0</v>
      </c>
      <c r="B3998" s="51">
        <f t="shared" si="186"/>
        <v>4968</v>
      </c>
      <c r="C3998" s="49">
        <f>HLOOKUP("# Cores",'vHosts (Imported)'!$1:$5000,M3998,FALSE)</f>
        <v>0</v>
      </c>
      <c r="D3998" s="52">
        <f>HLOOKUP("# Memory",'vHosts (Imported)'!$1:$5000,M3998,FALSE)</f>
        <v>0</v>
      </c>
      <c r="M3998" s="45">
        <f t="shared" si="188"/>
        <v>3998</v>
      </c>
      <c r="N3998" s="38">
        <f>HLOOKUP("Host",'vInfo (Imported)'!$1:$5000,M3998,FALSE)</f>
        <v>0</v>
      </c>
      <c r="R3998">
        <f>HLOOKUP("CPUs",'vInfo (Imported)'!$1:$5000,M3998,FALSE)</f>
        <v>0</v>
      </c>
      <c r="S3998">
        <f>HLOOKUP("Memory",'vInfo (Imported)'!$1:$5000,M3998,FALSE)</f>
        <v>0</v>
      </c>
      <c r="T3998">
        <f>HLOOKUP("Provisioned MiB",'vInfo (Imported)'!$1:$5000,M3998,FALSE)</f>
        <v>0</v>
      </c>
      <c r="U3998">
        <f t="shared" si="187"/>
        <v>0</v>
      </c>
      <c r="V3998">
        <f>HLOOKUP("In Use MiB",'vInfo (Imported)'!$1:$5000,M3998,FALSE)</f>
        <v>0</v>
      </c>
    </row>
    <row r="3999" spans="1:22" ht="13" x14ac:dyDescent="0.3">
      <c r="A3999" s="46">
        <f>'vHosts (Imported)'!A3999</f>
        <v>0</v>
      </c>
      <c r="B3999" s="51">
        <f t="shared" si="186"/>
        <v>4968</v>
      </c>
      <c r="C3999" s="49">
        <f>HLOOKUP("# Cores",'vHosts (Imported)'!$1:$5000,M3999,FALSE)</f>
        <v>0</v>
      </c>
      <c r="D3999" s="52">
        <f>HLOOKUP("# Memory",'vHosts (Imported)'!$1:$5000,M3999,FALSE)</f>
        <v>0</v>
      </c>
      <c r="M3999" s="45">
        <f t="shared" si="188"/>
        <v>3999</v>
      </c>
      <c r="N3999" s="38">
        <f>HLOOKUP("Host",'vInfo (Imported)'!$1:$5000,M3999,FALSE)</f>
        <v>0</v>
      </c>
      <c r="R3999">
        <f>HLOOKUP("CPUs",'vInfo (Imported)'!$1:$5000,M3999,FALSE)</f>
        <v>0</v>
      </c>
      <c r="S3999">
        <f>HLOOKUP("Memory",'vInfo (Imported)'!$1:$5000,M3999,FALSE)</f>
        <v>0</v>
      </c>
      <c r="T3999">
        <f>HLOOKUP("Provisioned MiB",'vInfo (Imported)'!$1:$5000,M3999,FALSE)</f>
        <v>0</v>
      </c>
      <c r="U3999">
        <f t="shared" si="187"/>
        <v>0</v>
      </c>
      <c r="V3999">
        <f>HLOOKUP("In Use MiB",'vInfo (Imported)'!$1:$5000,M3999,FALSE)</f>
        <v>0</v>
      </c>
    </row>
    <row r="4000" spans="1:22" ht="13" x14ac:dyDescent="0.3">
      <c r="A4000" s="46">
        <f>'vHosts (Imported)'!A4000</f>
        <v>0</v>
      </c>
      <c r="B4000" s="51">
        <f t="shared" si="186"/>
        <v>4968</v>
      </c>
      <c r="C4000" s="49">
        <f>HLOOKUP("# Cores",'vHosts (Imported)'!$1:$5000,M4000,FALSE)</f>
        <v>0</v>
      </c>
      <c r="D4000" s="52">
        <f>HLOOKUP("# Memory",'vHosts (Imported)'!$1:$5000,M4000,FALSE)</f>
        <v>0</v>
      </c>
      <c r="M4000" s="45">
        <f t="shared" si="188"/>
        <v>4000</v>
      </c>
      <c r="N4000" s="38">
        <f>HLOOKUP("Host",'vInfo (Imported)'!$1:$5000,M4000,FALSE)</f>
        <v>0</v>
      </c>
      <c r="R4000">
        <f>HLOOKUP("CPUs",'vInfo (Imported)'!$1:$5000,M4000,FALSE)</f>
        <v>0</v>
      </c>
      <c r="S4000">
        <f>HLOOKUP("Memory",'vInfo (Imported)'!$1:$5000,M4000,FALSE)</f>
        <v>0</v>
      </c>
      <c r="T4000">
        <f>HLOOKUP("Provisioned MiB",'vInfo (Imported)'!$1:$5000,M4000,FALSE)</f>
        <v>0</v>
      </c>
      <c r="U4000">
        <f t="shared" si="187"/>
        <v>0</v>
      </c>
      <c r="V4000">
        <f>HLOOKUP("In Use MiB",'vInfo (Imported)'!$1:$5000,M4000,FALSE)</f>
        <v>0</v>
      </c>
    </row>
    <row r="4001" spans="1:22" ht="13" x14ac:dyDescent="0.3">
      <c r="A4001" s="46">
        <f>'vHosts (Imported)'!A4001</f>
        <v>0</v>
      </c>
      <c r="B4001" s="51">
        <f t="shared" si="186"/>
        <v>4968</v>
      </c>
      <c r="C4001" s="49">
        <f>HLOOKUP("# Cores",'vHosts (Imported)'!$1:$5000,M4001,FALSE)</f>
        <v>0</v>
      </c>
      <c r="D4001" s="52">
        <f>HLOOKUP("# Memory",'vHosts (Imported)'!$1:$5000,M4001,FALSE)</f>
        <v>0</v>
      </c>
      <c r="M4001" s="45">
        <f t="shared" si="188"/>
        <v>4001</v>
      </c>
      <c r="N4001" s="38">
        <f>HLOOKUP("Host",'vInfo (Imported)'!$1:$5000,M4001,FALSE)</f>
        <v>0</v>
      </c>
      <c r="R4001">
        <f>HLOOKUP("CPUs",'vInfo (Imported)'!$1:$5000,M4001,FALSE)</f>
        <v>0</v>
      </c>
      <c r="S4001">
        <f>HLOOKUP("Memory",'vInfo (Imported)'!$1:$5000,M4001,FALSE)</f>
        <v>0</v>
      </c>
      <c r="T4001">
        <f>HLOOKUP("Provisioned MiB",'vInfo (Imported)'!$1:$5000,M4001,FALSE)</f>
        <v>0</v>
      </c>
      <c r="U4001">
        <f t="shared" si="187"/>
        <v>0</v>
      </c>
      <c r="V4001">
        <f>HLOOKUP("In Use MiB",'vInfo (Imported)'!$1:$5000,M4001,FALSE)</f>
        <v>0</v>
      </c>
    </row>
    <row r="4002" spans="1:22" ht="13" x14ac:dyDescent="0.3">
      <c r="A4002" s="46">
        <f>'vHosts (Imported)'!A4002</f>
        <v>0</v>
      </c>
      <c r="B4002" s="51">
        <f t="shared" si="186"/>
        <v>4968</v>
      </c>
      <c r="C4002" s="49">
        <f>HLOOKUP("# Cores",'vHosts (Imported)'!$1:$5000,M4002,FALSE)</f>
        <v>0</v>
      </c>
      <c r="D4002" s="52">
        <f>HLOOKUP("# Memory",'vHosts (Imported)'!$1:$5000,M4002,FALSE)</f>
        <v>0</v>
      </c>
      <c r="M4002" s="45">
        <f t="shared" si="188"/>
        <v>4002</v>
      </c>
      <c r="N4002" s="38">
        <f>HLOOKUP("Host",'vInfo (Imported)'!$1:$5000,M4002,FALSE)</f>
        <v>0</v>
      </c>
      <c r="R4002">
        <f>HLOOKUP("CPUs",'vInfo (Imported)'!$1:$5000,M4002,FALSE)</f>
        <v>0</v>
      </c>
      <c r="S4002">
        <f>HLOOKUP("Memory",'vInfo (Imported)'!$1:$5000,M4002,FALSE)</f>
        <v>0</v>
      </c>
      <c r="T4002">
        <f>HLOOKUP("Provisioned MiB",'vInfo (Imported)'!$1:$5000,M4002,FALSE)</f>
        <v>0</v>
      </c>
      <c r="U4002">
        <f t="shared" si="187"/>
        <v>0</v>
      </c>
      <c r="V4002">
        <f>HLOOKUP("In Use MiB",'vInfo (Imported)'!$1:$5000,M4002,FALSE)</f>
        <v>0</v>
      </c>
    </row>
    <row r="4003" spans="1:22" ht="13" x14ac:dyDescent="0.3">
      <c r="A4003" s="46">
        <f>'vHosts (Imported)'!A4003</f>
        <v>0</v>
      </c>
      <c r="B4003" s="51">
        <f t="shared" si="186"/>
        <v>4968</v>
      </c>
      <c r="C4003" s="49">
        <f>HLOOKUP("# Cores",'vHosts (Imported)'!$1:$5000,M4003,FALSE)</f>
        <v>0</v>
      </c>
      <c r="D4003" s="52">
        <f>HLOOKUP("# Memory",'vHosts (Imported)'!$1:$5000,M4003,FALSE)</f>
        <v>0</v>
      </c>
      <c r="M4003" s="45">
        <f t="shared" si="188"/>
        <v>4003</v>
      </c>
      <c r="N4003" s="38">
        <f>HLOOKUP("Host",'vInfo (Imported)'!$1:$5000,M4003,FALSE)</f>
        <v>0</v>
      </c>
      <c r="R4003">
        <f>HLOOKUP("CPUs",'vInfo (Imported)'!$1:$5000,M4003,FALSE)</f>
        <v>0</v>
      </c>
      <c r="S4003">
        <f>HLOOKUP("Memory",'vInfo (Imported)'!$1:$5000,M4003,FALSE)</f>
        <v>0</v>
      </c>
      <c r="T4003">
        <f>HLOOKUP("Provisioned MiB",'vInfo (Imported)'!$1:$5000,M4003,FALSE)</f>
        <v>0</v>
      </c>
      <c r="U4003">
        <f t="shared" si="187"/>
        <v>0</v>
      </c>
      <c r="V4003">
        <f>HLOOKUP("In Use MiB",'vInfo (Imported)'!$1:$5000,M4003,FALSE)</f>
        <v>0</v>
      </c>
    </row>
    <row r="4004" spans="1:22" ht="13" x14ac:dyDescent="0.3">
      <c r="A4004" s="46">
        <f>'vHosts (Imported)'!A4004</f>
        <v>0</v>
      </c>
      <c r="B4004" s="51">
        <f t="shared" si="186"/>
        <v>4968</v>
      </c>
      <c r="C4004" s="49">
        <f>HLOOKUP("# Cores",'vHosts (Imported)'!$1:$5000,M4004,FALSE)</f>
        <v>0</v>
      </c>
      <c r="D4004" s="52">
        <f>HLOOKUP("# Memory",'vHosts (Imported)'!$1:$5000,M4004,FALSE)</f>
        <v>0</v>
      </c>
      <c r="M4004" s="45">
        <f t="shared" si="188"/>
        <v>4004</v>
      </c>
      <c r="N4004" s="38">
        <f>HLOOKUP("Host",'vInfo (Imported)'!$1:$5000,M4004,FALSE)</f>
        <v>0</v>
      </c>
      <c r="R4004">
        <f>HLOOKUP("CPUs",'vInfo (Imported)'!$1:$5000,M4004,FALSE)</f>
        <v>0</v>
      </c>
      <c r="S4004">
        <f>HLOOKUP("Memory",'vInfo (Imported)'!$1:$5000,M4004,FALSE)</f>
        <v>0</v>
      </c>
      <c r="T4004">
        <f>HLOOKUP("Provisioned MiB",'vInfo (Imported)'!$1:$5000,M4004,FALSE)</f>
        <v>0</v>
      </c>
      <c r="U4004">
        <f t="shared" si="187"/>
        <v>0</v>
      </c>
      <c r="V4004">
        <f>HLOOKUP("In Use MiB",'vInfo (Imported)'!$1:$5000,M4004,FALSE)</f>
        <v>0</v>
      </c>
    </row>
    <row r="4005" spans="1:22" ht="13" x14ac:dyDescent="0.3">
      <c r="A4005" s="46">
        <f>'vHosts (Imported)'!A4005</f>
        <v>0</v>
      </c>
      <c r="B4005" s="51">
        <f t="shared" si="186"/>
        <v>4968</v>
      </c>
      <c r="C4005" s="49">
        <f>HLOOKUP("# Cores",'vHosts (Imported)'!$1:$5000,M4005,FALSE)</f>
        <v>0</v>
      </c>
      <c r="D4005" s="52">
        <f>HLOOKUP("# Memory",'vHosts (Imported)'!$1:$5000,M4005,FALSE)</f>
        <v>0</v>
      </c>
      <c r="M4005" s="45">
        <f t="shared" si="188"/>
        <v>4005</v>
      </c>
      <c r="N4005" s="38">
        <f>HLOOKUP("Host",'vInfo (Imported)'!$1:$5000,M4005,FALSE)</f>
        <v>0</v>
      </c>
      <c r="R4005">
        <f>HLOOKUP("CPUs",'vInfo (Imported)'!$1:$5000,M4005,FALSE)</f>
        <v>0</v>
      </c>
      <c r="S4005">
        <f>HLOOKUP("Memory",'vInfo (Imported)'!$1:$5000,M4005,FALSE)</f>
        <v>0</v>
      </c>
      <c r="T4005">
        <f>HLOOKUP("Provisioned MiB",'vInfo (Imported)'!$1:$5000,M4005,FALSE)</f>
        <v>0</v>
      </c>
      <c r="U4005">
        <f t="shared" si="187"/>
        <v>0</v>
      </c>
      <c r="V4005">
        <f>HLOOKUP("In Use MiB",'vInfo (Imported)'!$1:$5000,M4005,FALSE)</f>
        <v>0</v>
      </c>
    </row>
    <row r="4006" spans="1:22" ht="13" x14ac:dyDescent="0.3">
      <c r="A4006" s="46">
        <f>'vHosts (Imported)'!A4006</f>
        <v>0</v>
      </c>
      <c r="B4006" s="51">
        <f t="shared" si="186"/>
        <v>4968</v>
      </c>
      <c r="C4006" s="49">
        <f>HLOOKUP("# Cores",'vHosts (Imported)'!$1:$5000,M4006,FALSE)</f>
        <v>0</v>
      </c>
      <c r="D4006" s="52">
        <f>HLOOKUP("# Memory",'vHosts (Imported)'!$1:$5000,M4006,FALSE)</f>
        <v>0</v>
      </c>
      <c r="M4006" s="45">
        <f t="shared" si="188"/>
        <v>4006</v>
      </c>
      <c r="N4006" s="38">
        <f>HLOOKUP("Host",'vInfo (Imported)'!$1:$5000,M4006,FALSE)</f>
        <v>0</v>
      </c>
      <c r="R4006">
        <f>HLOOKUP("CPUs",'vInfo (Imported)'!$1:$5000,M4006,FALSE)</f>
        <v>0</v>
      </c>
      <c r="S4006">
        <f>HLOOKUP("Memory",'vInfo (Imported)'!$1:$5000,M4006,FALSE)</f>
        <v>0</v>
      </c>
      <c r="T4006">
        <f>HLOOKUP("Provisioned MiB",'vInfo (Imported)'!$1:$5000,M4006,FALSE)</f>
        <v>0</v>
      </c>
      <c r="U4006">
        <f t="shared" si="187"/>
        <v>0</v>
      </c>
      <c r="V4006">
        <f>HLOOKUP("In Use MiB",'vInfo (Imported)'!$1:$5000,M4006,FALSE)</f>
        <v>0</v>
      </c>
    </row>
    <row r="4007" spans="1:22" ht="13" x14ac:dyDescent="0.3">
      <c r="A4007" s="46">
        <f>'vHosts (Imported)'!A4007</f>
        <v>0</v>
      </c>
      <c r="B4007" s="51">
        <f t="shared" si="186"/>
        <v>4968</v>
      </c>
      <c r="C4007" s="49">
        <f>HLOOKUP("# Cores",'vHosts (Imported)'!$1:$5000,M4007,FALSE)</f>
        <v>0</v>
      </c>
      <c r="D4007" s="52">
        <f>HLOOKUP("# Memory",'vHosts (Imported)'!$1:$5000,M4007,FALSE)</f>
        <v>0</v>
      </c>
      <c r="M4007" s="45">
        <f t="shared" si="188"/>
        <v>4007</v>
      </c>
      <c r="N4007" s="38">
        <f>HLOOKUP("Host",'vInfo (Imported)'!$1:$5000,M4007,FALSE)</f>
        <v>0</v>
      </c>
      <c r="R4007">
        <f>HLOOKUP("CPUs",'vInfo (Imported)'!$1:$5000,M4007,FALSE)</f>
        <v>0</v>
      </c>
      <c r="S4007">
        <f>HLOOKUP("Memory",'vInfo (Imported)'!$1:$5000,M4007,FALSE)</f>
        <v>0</v>
      </c>
      <c r="T4007">
        <f>HLOOKUP("Provisioned MiB",'vInfo (Imported)'!$1:$5000,M4007,FALSE)</f>
        <v>0</v>
      </c>
      <c r="U4007">
        <f t="shared" si="187"/>
        <v>0</v>
      </c>
      <c r="V4007">
        <f>HLOOKUP("In Use MiB",'vInfo (Imported)'!$1:$5000,M4007,FALSE)</f>
        <v>0</v>
      </c>
    </row>
    <row r="4008" spans="1:22" ht="13" x14ac:dyDescent="0.3">
      <c r="A4008" s="46">
        <f>'vHosts (Imported)'!A4008</f>
        <v>0</v>
      </c>
      <c r="B4008" s="51">
        <f t="shared" ref="B4008:B4071" si="189">COUNTIF(N:N,A4008)</f>
        <v>4968</v>
      </c>
      <c r="C4008" s="49">
        <f>HLOOKUP("# Cores",'vHosts (Imported)'!$1:$5000,M4008,FALSE)</f>
        <v>0</v>
      </c>
      <c r="D4008" s="52">
        <f>HLOOKUP("# Memory",'vHosts (Imported)'!$1:$5000,M4008,FALSE)</f>
        <v>0</v>
      </c>
      <c r="M4008" s="45">
        <f t="shared" si="188"/>
        <v>4008</v>
      </c>
      <c r="N4008" s="38">
        <f>HLOOKUP("Host",'vInfo (Imported)'!$1:$5000,M4008,FALSE)</f>
        <v>0</v>
      </c>
      <c r="R4008">
        <f>HLOOKUP("CPUs",'vInfo (Imported)'!$1:$5000,M4008,FALSE)</f>
        <v>0</v>
      </c>
      <c r="S4008">
        <f>HLOOKUP("Memory",'vInfo (Imported)'!$1:$5000,M4008,FALSE)</f>
        <v>0</v>
      </c>
      <c r="T4008">
        <f>HLOOKUP("Provisioned MiB",'vInfo (Imported)'!$1:$5000,M4008,FALSE)</f>
        <v>0</v>
      </c>
      <c r="U4008">
        <f t="shared" si="187"/>
        <v>0</v>
      </c>
      <c r="V4008">
        <f>HLOOKUP("In Use MiB",'vInfo (Imported)'!$1:$5000,M4008,FALSE)</f>
        <v>0</v>
      </c>
    </row>
    <row r="4009" spans="1:22" ht="13" x14ac:dyDescent="0.3">
      <c r="A4009" s="46">
        <f>'vHosts (Imported)'!A4009</f>
        <v>0</v>
      </c>
      <c r="B4009" s="51">
        <f t="shared" si="189"/>
        <v>4968</v>
      </c>
      <c r="C4009" s="49">
        <f>HLOOKUP("# Cores",'vHosts (Imported)'!$1:$5000,M4009,FALSE)</f>
        <v>0</v>
      </c>
      <c r="D4009" s="52">
        <f>HLOOKUP("# Memory",'vHosts (Imported)'!$1:$5000,M4009,FALSE)</f>
        <v>0</v>
      </c>
      <c r="M4009" s="45">
        <f t="shared" si="188"/>
        <v>4009</v>
      </c>
      <c r="N4009" s="38">
        <f>HLOOKUP("Host",'vInfo (Imported)'!$1:$5000,M4009,FALSE)</f>
        <v>0</v>
      </c>
      <c r="R4009">
        <f>HLOOKUP("CPUs",'vInfo (Imported)'!$1:$5000,M4009,FALSE)</f>
        <v>0</v>
      </c>
      <c r="S4009">
        <f>HLOOKUP("Memory",'vInfo (Imported)'!$1:$5000,M4009,FALSE)</f>
        <v>0</v>
      </c>
      <c r="T4009">
        <f>HLOOKUP("Provisioned MiB",'vInfo (Imported)'!$1:$5000,M4009,FALSE)</f>
        <v>0</v>
      </c>
      <c r="U4009">
        <f t="shared" si="187"/>
        <v>0</v>
      </c>
      <c r="V4009">
        <f>HLOOKUP("In Use MiB",'vInfo (Imported)'!$1:$5000,M4009,FALSE)</f>
        <v>0</v>
      </c>
    </row>
    <row r="4010" spans="1:22" ht="13" x14ac:dyDescent="0.3">
      <c r="A4010" s="46">
        <f>'vHosts (Imported)'!A4010</f>
        <v>0</v>
      </c>
      <c r="B4010" s="51">
        <f t="shared" si="189"/>
        <v>4968</v>
      </c>
      <c r="C4010" s="49">
        <f>HLOOKUP("# Cores",'vHosts (Imported)'!$1:$5000,M4010,FALSE)</f>
        <v>0</v>
      </c>
      <c r="D4010" s="52">
        <f>HLOOKUP("# Memory",'vHosts (Imported)'!$1:$5000,M4010,FALSE)</f>
        <v>0</v>
      </c>
      <c r="M4010" s="45">
        <f t="shared" si="188"/>
        <v>4010</v>
      </c>
      <c r="N4010" s="38">
        <f>HLOOKUP("Host",'vInfo (Imported)'!$1:$5000,M4010,FALSE)</f>
        <v>0</v>
      </c>
      <c r="R4010">
        <f>HLOOKUP("CPUs",'vInfo (Imported)'!$1:$5000,M4010,FALSE)</f>
        <v>0</v>
      </c>
      <c r="S4010">
        <f>HLOOKUP("Memory",'vInfo (Imported)'!$1:$5000,M4010,FALSE)</f>
        <v>0</v>
      </c>
      <c r="T4010">
        <f>HLOOKUP("Provisioned MiB",'vInfo (Imported)'!$1:$5000,M4010,FALSE)</f>
        <v>0</v>
      </c>
      <c r="U4010">
        <f t="shared" si="187"/>
        <v>0</v>
      </c>
      <c r="V4010">
        <f>HLOOKUP("In Use MiB",'vInfo (Imported)'!$1:$5000,M4010,FALSE)</f>
        <v>0</v>
      </c>
    </row>
    <row r="4011" spans="1:22" ht="13" x14ac:dyDescent="0.3">
      <c r="A4011" s="46">
        <f>'vHosts (Imported)'!A4011</f>
        <v>0</v>
      </c>
      <c r="B4011" s="51">
        <f t="shared" si="189"/>
        <v>4968</v>
      </c>
      <c r="C4011" s="49">
        <f>HLOOKUP("# Cores",'vHosts (Imported)'!$1:$5000,M4011,FALSE)</f>
        <v>0</v>
      </c>
      <c r="D4011" s="52">
        <f>HLOOKUP("# Memory",'vHosts (Imported)'!$1:$5000,M4011,FALSE)</f>
        <v>0</v>
      </c>
      <c r="M4011" s="45">
        <f t="shared" si="188"/>
        <v>4011</v>
      </c>
      <c r="N4011" s="38">
        <f>HLOOKUP("Host",'vInfo (Imported)'!$1:$5000,M4011,FALSE)</f>
        <v>0</v>
      </c>
      <c r="R4011">
        <f>HLOOKUP("CPUs",'vInfo (Imported)'!$1:$5000,M4011,FALSE)</f>
        <v>0</v>
      </c>
      <c r="S4011">
        <f>HLOOKUP("Memory",'vInfo (Imported)'!$1:$5000,M4011,FALSE)</f>
        <v>0</v>
      </c>
      <c r="T4011">
        <f>HLOOKUP("Provisioned MiB",'vInfo (Imported)'!$1:$5000,M4011,FALSE)</f>
        <v>0</v>
      </c>
      <c r="U4011">
        <f t="shared" si="187"/>
        <v>0</v>
      </c>
      <c r="V4011">
        <f>HLOOKUP("In Use MiB",'vInfo (Imported)'!$1:$5000,M4011,FALSE)</f>
        <v>0</v>
      </c>
    </row>
    <row r="4012" spans="1:22" ht="13" x14ac:dyDescent="0.3">
      <c r="A4012" s="46">
        <f>'vHosts (Imported)'!A4012</f>
        <v>0</v>
      </c>
      <c r="B4012" s="51">
        <f t="shared" si="189"/>
        <v>4968</v>
      </c>
      <c r="C4012" s="49">
        <f>HLOOKUP("# Cores",'vHosts (Imported)'!$1:$5000,M4012,FALSE)</f>
        <v>0</v>
      </c>
      <c r="D4012" s="52">
        <f>HLOOKUP("# Memory",'vHosts (Imported)'!$1:$5000,M4012,FALSE)</f>
        <v>0</v>
      </c>
      <c r="M4012" s="45">
        <f t="shared" si="188"/>
        <v>4012</v>
      </c>
      <c r="N4012" s="38">
        <f>HLOOKUP("Host",'vInfo (Imported)'!$1:$5000,M4012,FALSE)</f>
        <v>0</v>
      </c>
      <c r="R4012">
        <f>HLOOKUP("CPUs",'vInfo (Imported)'!$1:$5000,M4012,FALSE)</f>
        <v>0</v>
      </c>
      <c r="S4012">
        <f>HLOOKUP("Memory",'vInfo (Imported)'!$1:$5000,M4012,FALSE)</f>
        <v>0</v>
      </c>
      <c r="T4012">
        <f>HLOOKUP("Provisioned MiB",'vInfo (Imported)'!$1:$5000,M4012,FALSE)</f>
        <v>0</v>
      </c>
      <c r="U4012">
        <f t="shared" si="187"/>
        <v>0</v>
      </c>
      <c r="V4012">
        <f>HLOOKUP("In Use MiB",'vInfo (Imported)'!$1:$5000,M4012,FALSE)</f>
        <v>0</v>
      </c>
    </row>
    <row r="4013" spans="1:22" ht="13" x14ac:dyDescent="0.3">
      <c r="A4013" s="46">
        <f>'vHosts (Imported)'!A4013</f>
        <v>0</v>
      </c>
      <c r="B4013" s="51">
        <f t="shared" si="189"/>
        <v>4968</v>
      </c>
      <c r="C4013" s="49">
        <f>HLOOKUP("# Cores",'vHosts (Imported)'!$1:$5000,M4013,FALSE)</f>
        <v>0</v>
      </c>
      <c r="D4013" s="52">
        <f>HLOOKUP("# Memory",'vHosts (Imported)'!$1:$5000,M4013,FALSE)</f>
        <v>0</v>
      </c>
      <c r="M4013" s="45">
        <f t="shared" si="188"/>
        <v>4013</v>
      </c>
      <c r="N4013" s="38">
        <f>HLOOKUP("Host",'vInfo (Imported)'!$1:$5000,M4013,FALSE)</f>
        <v>0</v>
      </c>
      <c r="R4013">
        <f>HLOOKUP("CPUs",'vInfo (Imported)'!$1:$5000,M4013,FALSE)</f>
        <v>0</v>
      </c>
      <c r="S4013">
        <f>HLOOKUP("Memory",'vInfo (Imported)'!$1:$5000,M4013,FALSE)</f>
        <v>0</v>
      </c>
      <c r="T4013">
        <f>HLOOKUP("Provisioned MiB",'vInfo (Imported)'!$1:$5000,M4013,FALSE)</f>
        <v>0</v>
      </c>
      <c r="U4013">
        <f t="shared" si="187"/>
        <v>0</v>
      </c>
      <c r="V4013">
        <f>HLOOKUP("In Use MiB",'vInfo (Imported)'!$1:$5000,M4013,FALSE)</f>
        <v>0</v>
      </c>
    </row>
    <row r="4014" spans="1:22" ht="13" x14ac:dyDescent="0.3">
      <c r="A4014" s="46">
        <f>'vHosts (Imported)'!A4014</f>
        <v>0</v>
      </c>
      <c r="B4014" s="51">
        <f t="shared" si="189"/>
        <v>4968</v>
      </c>
      <c r="C4014" s="49">
        <f>HLOOKUP("# Cores",'vHosts (Imported)'!$1:$5000,M4014,FALSE)</f>
        <v>0</v>
      </c>
      <c r="D4014" s="52">
        <f>HLOOKUP("# Memory",'vHosts (Imported)'!$1:$5000,M4014,FALSE)</f>
        <v>0</v>
      </c>
      <c r="M4014" s="45">
        <f t="shared" si="188"/>
        <v>4014</v>
      </c>
      <c r="N4014" s="38">
        <f>HLOOKUP("Host",'vInfo (Imported)'!$1:$5000,M4014,FALSE)</f>
        <v>0</v>
      </c>
      <c r="R4014">
        <f>HLOOKUP("CPUs",'vInfo (Imported)'!$1:$5000,M4014,FALSE)</f>
        <v>0</v>
      </c>
      <c r="S4014">
        <f>HLOOKUP("Memory",'vInfo (Imported)'!$1:$5000,M4014,FALSE)</f>
        <v>0</v>
      </c>
      <c r="T4014">
        <f>HLOOKUP("Provisioned MiB",'vInfo (Imported)'!$1:$5000,M4014,FALSE)</f>
        <v>0</v>
      </c>
      <c r="U4014">
        <f t="shared" si="187"/>
        <v>0</v>
      </c>
      <c r="V4014">
        <f>HLOOKUP("In Use MiB",'vInfo (Imported)'!$1:$5000,M4014,FALSE)</f>
        <v>0</v>
      </c>
    </row>
    <row r="4015" spans="1:22" ht="13" x14ac:dyDescent="0.3">
      <c r="A4015" s="46">
        <f>'vHosts (Imported)'!A4015</f>
        <v>0</v>
      </c>
      <c r="B4015" s="51">
        <f t="shared" si="189"/>
        <v>4968</v>
      </c>
      <c r="C4015" s="49">
        <f>HLOOKUP("# Cores",'vHosts (Imported)'!$1:$5000,M4015,FALSE)</f>
        <v>0</v>
      </c>
      <c r="D4015" s="52">
        <f>HLOOKUP("# Memory",'vHosts (Imported)'!$1:$5000,M4015,FALSE)</f>
        <v>0</v>
      </c>
      <c r="M4015" s="45">
        <f t="shared" si="188"/>
        <v>4015</v>
      </c>
      <c r="N4015" s="38">
        <f>HLOOKUP("Host",'vInfo (Imported)'!$1:$5000,M4015,FALSE)</f>
        <v>0</v>
      </c>
      <c r="R4015">
        <f>HLOOKUP("CPUs",'vInfo (Imported)'!$1:$5000,M4015,FALSE)</f>
        <v>0</v>
      </c>
      <c r="S4015">
        <f>HLOOKUP("Memory",'vInfo (Imported)'!$1:$5000,M4015,FALSE)</f>
        <v>0</v>
      </c>
      <c r="T4015">
        <f>HLOOKUP("Provisioned MiB",'vInfo (Imported)'!$1:$5000,M4015,FALSE)</f>
        <v>0</v>
      </c>
      <c r="U4015">
        <f t="shared" si="187"/>
        <v>0</v>
      </c>
      <c r="V4015">
        <f>HLOOKUP("In Use MiB",'vInfo (Imported)'!$1:$5000,M4015,FALSE)</f>
        <v>0</v>
      </c>
    </row>
    <row r="4016" spans="1:22" ht="13" x14ac:dyDescent="0.3">
      <c r="A4016" s="46">
        <f>'vHosts (Imported)'!A4016</f>
        <v>0</v>
      </c>
      <c r="B4016" s="51">
        <f t="shared" si="189"/>
        <v>4968</v>
      </c>
      <c r="C4016" s="49">
        <f>HLOOKUP("# Cores",'vHosts (Imported)'!$1:$5000,M4016,FALSE)</f>
        <v>0</v>
      </c>
      <c r="D4016" s="52">
        <f>HLOOKUP("# Memory",'vHosts (Imported)'!$1:$5000,M4016,FALSE)</f>
        <v>0</v>
      </c>
      <c r="M4016" s="45">
        <f t="shared" si="188"/>
        <v>4016</v>
      </c>
      <c r="N4016" s="38">
        <f>HLOOKUP("Host",'vInfo (Imported)'!$1:$5000,M4016,FALSE)</f>
        <v>0</v>
      </c>
      <c r="R4016">
        <f>HLOOKUP("CPUs",'vInfo (Imported)'!$1:$5000,M4016,FALSE)</f>
        <v>0</v>
      </c>
      <c r="S4016">
        <f>HLOOKUP("Memory",'vInfo (Imported)'!$1:$5000,M4016,FALSE)</f>
        <v>0</v>
      </c>
      <c r="T4016">
        <f>HLOOKUP("Provisioned MiB",'vInfo (Imported)'!$1:$5000,M4016,FALSE)</f>
        <v>0</v>
      </c>
      <c r="U4016">
        <f t="shared" si="187"/>
        <v>0</v>
      </c>
      <c r="V4016">
        <f>HLOOKUP("In Use MiB",'vInfo (Imported)'!$1:$5000,M4016,FALSE)</f>
        <v>0</v>
      </c>
    </row>
    <row r="4017" spans="1:22" ht="13" x14ac:dyDescent="0.3">
      <c r="A4017" s="46">
        <f>'vHosts (Imported)'!A4017</f>
        <v>0</v>
      </c>
      <c r="B4017" s="51">
        <f t="shared" si="189"/>
        <v>4968</v>
      </c>
      <c r="C4017" s="49">
        <f>HLOOKUP("# Cores",'vHosts (Imported)'!$1:$5000,M4017,FALSE)</f>
        <v>0</v>
      </c>
      <c r="D4017" s="52">
        <f>HLOOKUP("# Memory",'vHosts (Imported)'!$1:$5000,M4017,FALSE)</f>
        <v>0</v>
      </c>
      <c r="M4017" s="45">
        <f t="shared" si="188"/>
        <v>4017</v>
      </c>
      <c r="N4017" s="38">
        <f>HLOOKUP("Host",'vInfo (Imported)'!$1:$5000,M4017,FALSE)</f>
        <v>0</v>
      </c>
      <c r="R4017">
        <f>HLOOKUP("CPUs",'vInfo (Imported)'!$1:$5000,M4017,FALSE)</f>
        <v>0</v>
      </c>
      <c r="S4017">
        <f>HLOOKUP("Memory",'vInfo (Imported)'!$1:$5000,M4017,FALSE)</f>
        <v>0</v>
      </c>
      <c r="T4017">
        <f>HLOOKUP("Provisioned MiB",'vInfo (Imported)'!$1:$5000,M4017,FALSE)</f>
        <v>0</v>
      </c>
      <c r="U4017">
        <f t="shared" si="187"/>
        <v>0</v>
      </c>
      <c r="V4017">
        <f>HLOOKUP("In Use MiB",'vInfo (Imported)'!$1:$5000,M4017,FALSE)</f>
        <v>0</v>
      </c>
    </row>
    <row r="4018" spans="1:22" ht="13" x14ac:dyDescent="0.3">
      <c r="A4018" s="46">
        <f>'vHosts (Imported)'!A4018</f>
        <v>0</v>
      </c>
      <c r="B4018" s="51">
        <f t="shared" si="189"/>
        <v>4968</v>
      </c>
      <c r="C4018" s="49">
        <f>HLOOKUP("# Cores",'vHosts (Imported)'!$1:$5000,M4018,FALSE)</f>
        <v>0</v>
      </c>
      <c r="D4018" s="52">
        <f>HLOOKUP("# Memory",'vHosts (Imported)'!$1:$5000,M4018,FALSE)</f>
        <v>0</v>
      </c>
      <c r="M4018" s="45">
        <f t="shared" si="188"/>
        <v>4018</v>
      </c>
      <c r="N4018" s="38">
        <f>HLOOKUP("Host",'vInfo (Imported)'!$1:$5000,M4018,FALSE)</f>
        <v>0</v>
      </c>
      <c r="R4018">
        <f>HLOOKUP("CPUs",'vInfo (Imported)'!$1:$5000,M4018,FALSE)</f>
        <v>0</v>
      </c>
      <c r="S4018">
        <f>HLOOKUP("Memory",'vInfo (Imported)'!$1:$5000,M4018,FALSE)</f>
        <v>0</v>
      </c>
      <c r="T4018">
        <f>HLOOKUP("Provisioned MiB",'vInfo (Imported)'!$1:$5000,M4018,FALSE)</f>
        <v>0</v>
      </c>
      <c r="U4018">
        <f t="shared" si="187"/>
        <v>0</v>
      </c>
      <c r="V4018">
        <f>HLOOKUP("In Use MiB",'vInfo (Imported)'!$1:$5000,M4018,FALSE)</f>
        <v>0</v>
      </c>
    </row>
    <row r="4019" spans="1:22" ht="13" x14ac:dyDescent="0.3">
      <c r="A4019" s="46">
        <f>'vHosts (Imported)'!A4019</f>
        <v>0</v>
      </c>
      <c r="B4019" s="51">
        <f t="shared" si="189"/>
        <v>4968</v>
      </c>
      <c r="C4019" s="49">
        <f>HLOOKUP("# Cores",'vHosts (Imported)'!$1:$5000,M4019,FALSE)</f>
        <v>0</v>
      </c>
      <c r="D4019" s="52">
        <f>HLOOKUP("# Memory",'vHosts (Imported)'!$1:$5000,M4019,FALSE)</f>
        <v>0</v>
      </c>
      <c r="M4019" s="45">
        <f t="shared" si="188"/>
        <v>4019</v>
      </c>
      <c r="N4019" s="38">
        <f>HLOOKUP("Host",'vInfo (Imported)'!$1:$5000,M4019,FALSE)</f>
        <v>0</v>
      </c>
      <c r="R4019">
        <f>HLOOKUP("CPUs",'vInfo (Imported)'!$1:$5000,M4019,FALSE)</f>
        <v>0</v>
      </c>
      <c r="S4019">
        <f>HLOOKUP("Memory",'vInfo (Imported)'!$1:$5000,M4019,FALSE)</f>
        <v>0</v>
      </c>
      <c r="T4019">
        <f>HLOOKUP("Provisioned MiB",'vInfo (Imported)'!$1:$5000,M4019,FALSE)</f>
        <v>0</v>
      </c>
      <c r="U4019">
        <f t="shared" si="187"/>
        <v>0</v>
      </c>
      <c r="V4019">
        <f>HLOOKUP("In Use MiB",'vInfo (Imported)'!$1:$5000,M4019,FALSE)</f>
        <v>0</v>
      </c>
    </row>
    <row r="4020" spans="1:22" ht="13" x14ac:dyDescent="0.3">
      <c r="A4020" s="46">
        <f>'vHosts (Imported)'!A4020</f>
        <v>0</v>
      </c>
      <c r="B4020" s="51">
        <f t="shared" si="189"/>
        <v>4968</v>
      </c>
      <c r="C4020" s="49">
        <f>HLOOKUP("# Cores",'vHosts (Imported)'!$1:$5000,M4020,FALSE)</f>
        <v>0</v>
      </c>
      <c r="D4020" s="52">
        <f>HLOOKUP("# Memory",'vHosts (Imported)'!$1:$5000,M4020,FALSE)</f>
        <v>0</v>
      </c>
      <c r="M4020" s="45">
        <f t="shared" si="188"/>
        <v>4020</v>
      </c>
      <c r="N4020" s="38">
        <f>HLOOKUP("Host",'vInfo (Imported)'!$1:$5000,M4020,FALSE)</f>
        <v>0</v>
      </c>
      <c r="R4020">
        <f>HLOOKUP("CPUs",'vInfo (Imported)'!$1:$5000,M4020,FALSE)</f>
        <v>0</v>
      </c>
      <c r="S4020">
        <f>HLOOKUP("Memory",'vInfo (Imported)'!$1:$5000,M4020,FALSE)</f>
        <v>0</v>
      </c>
      <c r="T4020">
        <f>HLOOKUP("Provisioned MiB",'vInfo (Imported)'!$1:$5000,M4020,FALSE)</f>
        <v>0</v>
      </c>
      <c r="U4020">
        <f t="shared" si="187"/>
        <v>0</v>
      </c>
      <c r="V4020">
        <f>HLOOKUP("In Use MiB",'vInfo (Imported)'!$1:$5000,M4020,FALSE)</f>
        <v>0</v>
      </c>
    </row>
    <row r="4021" spans="1:22" ht="13" x14ac:dyDescent="0.3">
      <c r="A4021" s="46">
        <f>'vHosts (Imported)'!A4021</f>
        <v>0</v>
      </c>
      <c r="B4021" s="51">
        <f t="shared" si="189"/>
        <v>4968</v>
      </c>
      <c r="C4021" s="49">
        <f>HLOOKUP("# Cores",'vHosts (Imported)'!$1:$5000,M4021,FALSE)</f>
        <v>0</v>
      </c>
      <c r="D4021" s="52">
        <f>HLOOKUP("# Memory",'vHosts (Imported)'!$1:$5000,M4021,FALSE)</f>
        <v>0</v>
      </c>
      <c r="M4021" s="45">
        <f t="shared" si="188"/>
        <v>4021</v>
      </c>
      <c r="N4021" s="38">
        <f>HLOOKUP("Host",'vInfo (Imported)'!$1:$5000,M4021,FALSE)</f>
        <v>0</v>
      </c>
      <c r="R4021">
        <f>HLOOKUP("CPUs",'vInfo (Imported)'!$1:$5000,M4021,FALSE)</f>
        <v>0</v>
      </c>
      <c r="S4021">
        <f>HLOOKUP("Memory",'vInfo (Imported)'!$1:$5000,M4021,FALSE)</f>
        <v>0</v>
      </c>
      <c r="T4021">
        <f>HLOOKUP("Provisioned MiB",'vInfo (Imported)'!$1:$5000,M4021,FALSE)</f>
        <v>0</v>
      </c>
      <c r="U4021">
        <f t="shared" si="187"/>
        <v>0</v>
      </c>
      <c r="V4021">
        <f>HLOOKUP("In Use MiB",'vInfo (Imported)'!$1:$5000,M4021,FALSE)</f>
        <v>0</v>
      </c>
    </row>
    <row r="4022" spans="1:22" ht="13" x14ac:dyDescent="0.3">
      <c r="A4022" s="46">
        <f>'vHosts (Imported)'!A4022</f>
        <v>0</v>
      </c>
      <c r="B4022" s="51">
        <f t="shared" si="189"/>
        <v>4968</v>
      </c>
      <c r="C4022" s="49">
        <f>HLOOKUP("# Cores",'vHosts (Imported)'!$1:$5000,M4022,FALSE)</f>
        <v>0</v>
      </c>
      <c r="D4022" s="52">
        <f>HLOOKUP("# Memory",'vHosts (Imported)'!$1:$5000,M4022,FALSE)</f>
        <v>0</v>
      </c>
      <c r="M4022" s="45">
        <f t="shared" si="188"/>
        <v>4022</v>
      </c>
      <c r="N4022" s="38">
        <f>HLOOKUP("Host",'vInfo (Imported)'!$1:$5000,M4022,FALSE)</f>
        <v>0</v>
      </c>
      <c r="R4022">
        <f>HLOOKUP("CPUs",'vInfo (Imported)'!$1:$5000,M4022,FALSE)</f>
        <v>0</v>
      </c>
      <c r="S4022">
        <f>HLOOKUP("Memory",'vInfo (Imported)'!$1:$5000,M4022,FALSE)</f>
        <v>0</v>
      </c>
      <c r="T4022">
        <f>HLOOKUP("Provisioned MiB",'vInfo (Imported)'!$1:$5000,M4022,FALSE)</f>
        <v>0</v>
      </c>
      <c r="U4022">
        <f t="shared" si="187"/>
        <v>0</v>
      </c>
      <c r="V4022">
        <f>HLOOKUP("In Use MiB",'vInfo (Imported)'!$1:$5000,M4022,FALSE)</f>
        <v>0</v>
      </c>
    </row>
    <row r="4023" spans="1:22" ht="13" x14ac:dyDescent="0.3">
      <c r="A4023" s="46">
        <f>'vHosts (Imported)'!A4023</f>
        <v>0</v>
      </c>
      <c r="B4023" s="51">
        <f t="shared" si="189"/>
        <v>4968</v>
      </c>
      <c r="C4023" s="49">
        <f>HLOOKUP("# Cores",'vHosts (Imported)'!$1:$5000,M4023,FALSE)</f>
        <v>0</v>
      </c>
      <c r="D4023" s="52">
        <f>HLOOKUP("# Memory",'vHosts (Imported)'!$1:$5000,M4023,FALSE)</f>
        <v>0</v>
      </c>
      <c r="M4023" s="45">
        <f t="shared" si="188"/>
        <v>4023</v>
      </c>
      <c r="N4023" s="38">
        <f>HLOOKUP("Host",'vInfo (Imported)'!$1:$5000,M4023,FALSE)</f>
        <v>0</v>
      </c>
      <c r="R4023">
        <f>HLOOKUP("CPUs",'vInfo (Imported)'!$1:$5000,M4023,FALSE)</f>
        <v>0</v>
      </c>
      <c r="S4023">
        <f>HLOOKUP("Memory",'vInfo (Imported)'!$1:$5000,M4023,FALSE)</f>
        <v>0</v>
      </c>
      <c r="T4023">
        <f>HLOOKUP("Provisioned MiB",'vInfo (Imported)'!$1:$5000,M4023,FALSE)</f>
        <v>0</v>
      </c>
      <c r="U4023">
        <f t="shared" si="187"/>
        <v>0</v>
      </c>
      <c r="V4023">
        <f>HLOOKUP("In Use MiB",'vInfo (Imported)'!$1:$5000,M4023,FALSE)</f>
        <v>0</v>
      </c>
    </row>
    <row r="4024" spans="1:22" ht="13" x14ac:dyDescent="0.3">
      <c r="A4024" s="46">
        <f>'vHosts (Imported)'!A4024</f>
        <v>0</v>
      </c>
      <c r="B4024" s="51">
        <f t="shared" si="189"/>
        <v>4968</v>
      </c>
      <c r="C4024" s="49">
        <f>HLOOKUP("# Cores",'vHosts (Imported)'!$1:$5000,M4024,FALSE)</f>
        <v>0</v>
      </c>
      <c r="D4024" s="52">
        <f>HLOOKUP("# Memory",'vHosts (Imported)'!$1:$5000,M4024,FALSE)</f>
        <v>0</v>
      </c>
      <c r="M4024" s="45">
        <f t="shared" si="188"/>
        <v>4024</v>
      </c>
      <c r="N4024" s="38">
        <f>HLOOKUP("Host",'vInfo (Imported)'!$1:$5000,M4024,FALSE)</f>
        <v>0</v>
      </c>
      <c r="R4024">
        <f>HLOOKUP("CPUs",'vInfo (Imported)'!$1:$5000,M4024,FALSE)</f>
        <v>0</v>
      </c>
      <c r="S4024">
        <f>HLOOKUP("Memory",'vInfo (Imported)'!$1:$5000,M4024,FALSE)</f>
        <v>0</v>
      </c>
      <c r="T4024">
        <f>HLOOKUP("Provisioned MiB",'vInfo (Imported)'!$1:$5000,M4024,FALSE)</f>
        <v>0</v>
      </c>
      <c r="U4024">
        <f t="shared" si="187"/>
        <v>0</v>
      </c>
      <c r="V4024">
        <f>HLOOKUP("In Use MiB",'vInfo (Imported)'!$1:$5000,M4024,FALSE)</f>
        <v>0</v>
      </c>
    </row>
    <row r="4025" spans="1:22" ht="13" x14ac:dyDescent="0.3">
      <c r="A4025" s="46">
        <f>'vHosts (Imported)'!A4025</f>
        <v>0</v>
      </c>
      <c r="B4025" s="51">
        <f t="shared" si="189"/>
        <v>4968</v>
      </c>
      <c r="C4025" s="49">
        <f>HLOOKUP("# Cores",'vHosts (Imported)'!$1:$5000,M4025,FALSE)</f>
        <v>0</v>
      </c>
      <c r="D4025" s="52">
        <f>HLOOKUP("# Memory",'vHosts (Imported)'!$1:$5000,M4025,FALSE)</f>
        <v>0</v>
      </c>
      <c r="M4025" s="45">
        <f t="shared" si="188"/>
        <v>4025</v>
      </c>
      <c r="N4025" s="38">
        <f>HLOOKUP("Host",'vInfo (Imported)'!$1:$5000,M4025,FALSE)</f>
        <v>0</v>
      </c>
      <c r="R4025">
        <f>HLOOKUP("CPUs",'vInfo (Imported)'!$1:$5000,M4025,FALSE)</f>
        <v>0</v>
      </c>
      <c r="S4025">
        <f>HLOOKUP("Memory",'vInfo (Imported)'!$1:$5000,M4025,FALSE)</f>
        <v>0</v>
      </c>
      <c r="T4025">
        <f>HLOOKUP("Provisioned MiB",'vInfo (Imported)'!$1:$5000,M4025,FALSE)</f>
        <v>0</v>
      </c>
      <c r="U4025">
        <f t="shared" si="187"/>
        <v>0</v>
      </c>
      <c r="V4025">
        <f>HLOOKUP("In Use MiB",'vInfo (Imported)'!$1:$5000,M4025,FALSE)</f>
        <v>0</v>
      </c>
    </row>
    <row r="4026" spans="1:22" ht="13" x14ac:dyDescent="0.3">
      <c r="A4026" s="46">
        <f>'vHosts (Imported)'!A4026</f>
        <v>0</v>
      </c>
      <c r="B4026" s="51">
        <f t="shared" si="189"/>
        <v>4968</v>
      </c>
      <c r="C4026" s="49">
        <f>HLOOKUP("# Cores",'vHosts (Imported)'!$1:$5000,M4026,FALSE)</f>
        <v>0</v>
      </c>
      <c r="D4026" s="52">
        <f>HLOOKUP("# Memory",'vHosts (Imported)'!$1:$5000,M4026,FALSE)</f>
        <v>0</v>
      </c>
      <c r="M4026" s="45">
        <f t="shared" si="188"/>
        <v>4026</v>
      </c>
      <c r="N4026" s="38">
        <f>HLOOKUP("Host",'vInfo (Imported)'!$1:$5000,M4026,FALSE)</f>
        <v>0</v>
      </c>
      <c r="R4026">
        <f>HLOOKUP("CPUs",'vInfo (Imported)'!$1:$5000,M4026,FALSE)</f>
        <v>0</v>
      </c>
      <c r="S4026">
        <f>HLOOKUP("Memory",'vInfo (Imported)'!$1:$5000,M4026,FALSE)</f>
        <v>0</v>
      </c>
      <c r="T4026">
        <f>HLOOKUP("Provisioned MiB",'vInfo (Imported)'!$1:$5000,M4026,FALSE)</f>
        <v>0</v>
      </c>
      <c r="U4026">
        <f t="shared" si="187"/>
        <v>0</v>
      </c>
      <c r="V4026">
        <f>HLOOKUP("In Use MiB",'vInfo (Imported)'!$1:$5000,M4026,FALSE)</f>
        <v>0</v>
      </c>
    </row>
    <row r="4027" spans="1:22" ht="13" x14ac:dyDescent="0.3">
      <c r="A4027" s="46">
        <f>'vHosts (Imported)'!A4027</f>
        <v>0</v>
      </c>
      <c r="B4027" s="51">
        <f t="shared" si="189"/>
        <v>4968</v>
      </c>
      <c r="C4027" s="49">
        <f>HLOOKUP("# Cores",'vHosts (Imported)'!$1:$5000,M4027,FALSE)</f>
        <v>0</v>
      </c>
      <c r="D4027" s="52">
        <f>HLOOKUP("# Memory",'vHosts (Imported)'!$1:$5000,M4027,FALSE)</f>
        <v>0</v>
      </c>
      <c r="M4027" s="45">
        <f t="shared" si="188"/>
        <v>4027</v>
      </c>
      <c r="N4027" s="38">
        <f>HLOOKUP("Host",'vInfo (Imported)'!$1:$5000,M4027,FALSE)</f>
        <v>0</v>
      </c>
      <c r="R4027">
        <f>HLOOKUP("CPUs",'vInfo (Imported)'!$1:$5000,M4027,FALSE)</f>
        <v>0</v>
      </c>
      <c r="S4027">
        <f>HLOOKUP("Memory",'vInfo (Imported)'!$1:$5000,M4027,FALSE)</f>
        <v>0</v>
      </c>
      <c r="T4027">
        <f>HLOOKUP("Provisioned MiB",'vInfo (Imported)'!$1:$5000,M4027,FALSE)</f>
        <v>0</v>
      </c>
      <c r="U4027">
        <f t="shared" si="187"/>
        <v>0</v>
      </c>
      <c r="V4027">
        <f>HLOOKUP("In Use MiB",'vInfo (Imported)'!$1:$5000,M4027,FALSE)</f>
        <v>0</v>
      </c>
    </row>
    <row r="4028" spans="1:22" ht="13" x14ac:dyDescent="0.3">
      <c r="A4028" s="46">
        <f>'vHosts (Imported)'!A4028</f>
        <v>0</v>
      </c>
      <c r="B4028" s="51">
        <f t="shared" si="189"/>
        <v>4968</v>
      </c>
      <c r="C4028" s="49">
        <f>HLOOKUP("# Cores",'vHosts (Imported)'!$1:$5000,M4028,FALSE)</f>
        <v>0</v>
      </c>
      <c r="D4028" s="52">
        <f>HLOOKUP("# Memory",'vHosts (Imported)'!$1:$5000,M4028,FALSE)</f>
        <v>0</v>
      </c>
      <c r="M4028" s="45">
        <f t="shared" si="188"/>
        <v>4028</v>
      </c>
      <c r="N4028" s="38">
        <f>HLOOKUP("Host",'vInfo (Imported)'!$1:$5000,M4028,FALSE)</f>
        <v>0</v>
      </c>
      <c r="R4028">
        <f>HLOOKUP("CPUs",'vInfo (Imported)'!$1:$5000,M4028,FALSE)</f>
        <v>0</v>
      </c>
      <c r="S4028">
        <f>HLOOKUP("Memory",'vInfo (Imported)'!$1:$5000,M4028,FALSE)</f>
        <v>0</v>
      </c>
      <c r="T4028">
        <f>HLOOKUP("Provisioned MiB",'vInfo (Imported)'!$1:$5000,M4028,FALSE)</f>
        <v>0</v>
      </c>
      <c r="U4028">
        <f t="shared" si="187"/>
        <v>0</v>
      </c>
      <c r="V4028">
        <f>HLOOKUP("In Use MiB",'vInfo (Imported)'!$1:$5000,M4028,FALSE)</f>
        <v>0</v>
      </c>
    </row>
    <row r="4029" spans="1:22" ht="13" x14ac:dyDescent="0.3">
      <c r="A4029" s="46">
        <f>'vHosts (Imported)'!A4029</f>
        <v>0</v>
      </c>
      <c r="B4029" s="51">
        <f t="shared" si="189"/>
        <v>4968</v>
      </c>
      <c r="C4029" s="49">
        <f>HLOOKUP("# Cores",'vHosts (Imported)'!$1:$5000,M4029,FALSE)</f>
        <v>0</v>
      </c>
      <c r="D4029" s="52">
        <f>HLOOKUP("# Memory",'vHosts (Imported)'!$1:$5000,M4029,FALSE)</f>
        <v>0</v>
      </c>
      <c r="M4029" s="45">
        <f t="shared" si="188"/>
        <v>4029</v>
      </c>
      <c r="N4029" s="38">
        <f>HLOOKUP("Host",'vInfo (Imported)'!$1:$5000,M4029,FALSE)</f>
        <v>0</v>
      </c>
      <c r="R4029">
        <f>HLOOKUP("CPUs",'vInfo (Imported)'!$1:$5000,M4029,FALSE)</f>
        <v>0</v>
      </c>
      <c r="S4029">
        <f>HLOOKUP("Memory",'vInfo (Imported)'!$1:$5000,M4029,FALSE)</f>
        <v>0</v>
      </c>
      <c r="T4029">
        <f>HLOOKUP("Provisioned MiB",'vInfo (Imported)'!$1:$5000,M4029,FALSE)</f>
        <v>0</v>
      </c>
      <c r="U4029">
        <f t="shared" si="187"/>
        <v>0</v>
      </c>
      <c r="V4029">
        <f>HLOOKUP("In Use MiB",'vInfo (Imported)'!$1:$5000,M4029,FALSE)</f>
        <v>0</v>
      </c>
    </row>
    <row r="4030" spans="1:22" ht="13" x14ac:dyDescent="0.3">
      <c r="A4030" s="46">
        <f>'vHosts (Imported)'!A4030</f>
        <v>0</v>
      </c>
      <c r="B4030" s="51">
        <f t="shared" si="189"/>
        <v>4968</v>
      </c>
      <c r="C4030" s="49">
        <f>HLOOKUP("# Cores",'vHosts (Imported)'!$1:$5000,M4030,FALSE)</f>
        <v>0</v>
      </c>
      <c r="D4030" s="52">
        <f>HLOOKUP("# Memory",'vHosts (Imported)'!$1:$5000,M4030,FALSE)</f>
        <v>0</v>
      </c>
      <c r="M4030" s="45">
        <f t="shared" si="188"/>
        <v>4030</v>
      </c>
      <c r="N4030" s="38">
        <f>HLOOKUP("Host",'vInfo (Imported)'!$1:$5000,M4030,FALSE)</f>
        <v>0</v>
      </c>
      <c r="R4030">
        <f>HLOOKUP("CPUs",'vInfo (Imported)'!$1:$5000,M4030,FALSE)</f>
        <v>0</v>
      </c>
      <c r="S4030">
        <f>HLOOKUP("Memory",'vInfo (Imported)'!$1:$5000,M4030,FALSE)</f>
        <v>0</v>
      </c>
      <c r="T4030">
        <f>HLOOKUP("Provisioned MiB",'vInfo (Imported)'!$1:$5000,M4030,FALSE)</f>
        <v>0</v>
      </c>
      <c r="U4030">
        <f t="shared" si="187"/>
        <v>0</v>
      </c>
      <c r="V4030">
        <f>HLOOKUP("In Use MiB",'vInfo (Imported)'!$1:$5000,M4030,FALSE)</f>
        <v>0</v>
      </c>
    </row>
    <row r="4031" spans="1:22" ht="13" x14ac:dyDescent="0.3">
      <c r="A4031" s="46">
        <f>'vHosts (Imported)'!A4031</f>
        <v>0</v>
      </c>
      <c r="B4031" s="51">
        <f t="shared" si="189"/>
        <v>4968</v>
      </c>
      <c r="C4031" s="49">
        <f>HLOOKUP("# Cores",'vHosts (Imported)'!$1:$5000,M4031,FALSE)</f>
        <v>0</v>
      </c>
      <c r="D4031" s="52">
        <f>HLOOKUP("# Memory",'vHosts (Imported)'!$1:$5000,M4031,FALSE)</f>
        <v>0</v>
      </c>
      <c r="M4031" s="45">
        <f t="shared" si="188"/>
        <v>4031</v>
      </c>
      <c r="N4031" s="38">
        <f>HLOOKUP("Host",'vInfo (Imported)'!$1:$5000,M4031,FALSE)</f>
        <v>0</v>
      </c>
      <c r="R4031">
        <f>HLOOKUP("CPUs",'vInfo (Imported)'!$1:$5000,M4031,FALSE)</f>
        <v>0</v>
      </c>
      <c r="S4031">
        <f>HLOOKUP("Memory",'vInfo (Imported)'!$1:$5000,M4031,FALSE)</f>
        <v>0</v>
      </c>
      <c r="T4031">
        <f>HLOOKUP("Provisioned MiB",'vInfo (Imported)'!$1:$5000,M4031,FALSE)</f>
        <v>0</v>
      </c>
      <c r="U4031">
        <f t="shared" si="187"/>
        <v>0</v>
      </c>
      <c r="V4031">
        <f>HLOOKUP("In Use MiB",'vInfo (Imported)'!$1:$5000,M4031,FALSE)</f>
        <v>0</v>
      </c>
    </row>
    <row r="4032" spans="1:22" ht="13" x14ac:dyDescent="0.3">
      <c r="A4032" s="46">
        <f>'vHosts (Imported)'!A4032</f>
        <v>0</v>
      </c>
      <c r="B4032" s="51">
        <f t="shared" si="189"/>
        <v>4968</v>
      </c>
      <c r="C4032" s="49">
        <f>HLOOKUP("# Cores",'vHosts (Imported)'!$1:$5000,M4032,FALSE)</f>
        <v>0</v>
      </c>
      <c r="D4032" s="52">
        <f>HLOOKUP("# Memory",'vHosts (Imported)'!$1:$5000,M4032,FALSE)</f>
        <v>0</v>
      </c>
      <c r="M4032" s="45">
        <f t="shared" si="188"/>
        <v>4032</v>
      </c>
      <c r="N4032" s="38">
        <f>HLOOKUP("Host",'vInfo (Imported)'!$1:$5000,M4032,FALSE)</f>
        <v>0</v>
      </c>
      <c r="R4032">
        <f>HLOOKUP("CPUs",'vInfo (Imported)'!$1:$5000,M4032,FALSE)</f>
        <v>0</v>
      </c>
      <c r="S4032">
        <f>HLOOKUP("Memory",'vInfo (Imported)'!$1:$5000,M4032,FALSE)</f>
        <v>0</v>
      </c>
      <c r="T4032">
        <f>HLOOKUP("Provisioned MiB",'vInfo (Imported)'!$1:$5000,M4032,FALSE)</f>
        <v>0</v>
      </c>
      <c r="U4032">
        <f t="shared" si="187"/>
        <v>0</v>
      </c>
      <c r="V4032">
        <f>HLOOKUP("In Use MiB",'vInfo (Imported)'!$1:$5000,M4032,FALSE)</f>
        <v>0</v>
      </c>
    </row>
    <row r="4033" spans="1:22" ht="13" x14ac:dyDescent="0.3">
      <c r="A4033" s="46">
        <f>'vHosts (Imported)'!A4033</f>
        <v>0</v>
      </c>
      <c r="B4033" s="51">
        <f t="shared" si="189"/>
        <v>4968</v>
      </c>
      <c r="C4033" s="49">
        <f>HLOOKUP("# Cores",'vHosts (Imported)'!$1:$5000,M4033,FALSE)</f>
        <v>0</v>
      </c>
      <c r="D4033" s="52">
        <f>HLOOKUP("# Memory",'vHosts (Imported)'!$1:$5000,M4033,FALSE)</f>
        <v>0</v>
      </c>
      <c r="M4033" s="45">
        <f t="shared" si="188"/>
        <v>4033</v>
      </c>
      <c r="N4033" s="38">
        <f>HLOOKUP("Host",'vInfo (Imported)'!$1:$5000,M4033,FALSE)</f>
        <v>0</v>
      </c>
      <c r="R4033">
        <f>HLOOKUP("CPUs",'vInfo (Imported)'!$1:$5000,M4033,FALSE)</f>
        <v>0</v>
      </c>
      <c r="S4033">
        <f>HLOOKUP("Memory",'vInfo (Imported)'!$1:$5000,M4033,FALSE)</f>
        <v>0</v>
      </c>
      <c r="T4033">
        <f>HLOOKUP("Provisioned MiB",'vInfo (Imported)'!$1:$5000,M4033,FALSE)</f>
        <v>0</v>
      </c>
      <c r="U4033">
        <f t="shared" si="187"/>
        <v>0</v>
      </c>
      <c r="V4033">
        <f>HLOOKUP("In Use MiB",'vInfo (Imported)'!$1:$5000,M4033,FALSE)</f>
        <v>0</v>
      </c>
    </row>
    <row r="4034" spans="1:22" ht="13" x14ac:dyDescent="0.3">
      <c r="A4034" s="46">
        <f>'vHosts (Imported)'!A4034</f>
        <v>0</v>
      </c>
      <c r="B4034" s="51">
        <f t="shared" si="189"/>
        <v>4968</v>
      </c>
      <c r="C4034" s="49">
        <f>HLOOKUP("# Cores",'vHosts (Imported)'!$1:$5000,M4034,FALSE)</f>
        <v>0</v>
      </c>
      <c r="D4034" s="52">
        <f>HLOOKUP("# Memory",'vHosts (Imported)'!$1:$5000,M4034,FALSE)</f>
        <v>0</v>
      </c>
      <c r="M4034" s="45">
        <f t="shared" si="188"/>
        <v>4034</v>
      </c>
      <c r="N4034" s="38">
        <f>HLOOKUP("Host",'vInfo (Imported)'!$1:$5000,M4034,FALSE)</f>
        <v>0</v>
      </c>
      <c r="R4034">
        <f>HLOOKUP("CPUs",'vInfo (Imported)'!$1:$5000,M4034,FALSE)</f>
        <v>0</v>
      </c>
      <c r="S4034">
        <f>HLOOKUP("Memory",'vInfo (Imported)'!$1:$5000,M4034,FALSE)</f>
        <v>0</v>
      </c>
      <c r="T4034">
        <f>HLOOKUP("Provisioned MiB",'vInfo (Imported)'!$1:$5000,M4034,FALSE)</f>
        <v>0</v>
      </c>
      <c r="U4034">
        <f t="shared" si="187"/>
        <v>0</v>
      </c>
      <c r="V4034">
        <f>HLOOKUP("In Use MiB",'vInfo (Imported)'!$1:$5000,M4034,FALSE)</f>
        <v>0</v>
      </c>
    </row>
    <row r="4035" spans="1:22" ht="13" x14ac:dyDescent="0.3">
      <c r="A4035" s="46">
        <f>'vHosts (Imported)'!A4035</f>
        <v>0</v>
      </c>
      <c r="B4035" s="51">
        <f t="shared" si="189"/>
        <v>4968</v>
      </c>
      <c r="C4035" s="49">
        <f>HLOOKUP("# Cores",'vHosts (Imported)'!$1:$5000,M4035,FALSE)</f>
        <v>0</v>
      </c>
      <c r="D4035" s="52">
        <f>HLOOKUP("# Memory",'vHosts (Imported)'!$1:$5000,M4035,FALSE)</f>
        <v>0</v>
      </c>
      <c r="M4035" s="45">
        <f t="shared" si="188"/>
        <v>4035</v>
      </c>
      <c r="N4035" s="38">
        <f>HLOOKUP("Host",'vInfo (Imported)'!$1:$5000,M4035,FALSE)</f>
        <v>0</v>
      </c>
      <c r="R4035">
        <f>HLOOKUP("CPUs",'vInfo (Imported)'!$1:$5000,M4035,FALSE)</f>
        <v>0</v>
      </c>
      <c r="S4035">
        <f>HLOOKUP("Memory",'vInfo (Imported)'!$1:$5000,M4035,FALSE)</f>
        <v>0</v>
      </c>
      <c r="T4035">
        <f>HLOOKUP("Provisioned MiB",'vInfo (Imported)'!$1:$5000,M4035,FALSE)</f>
        <v>0</v>
      </c>
      <c r="U4035">
        <f t="shared" ref="U4035:U4098" si="190">T4035-V4035</f>
        <v>0</v>
      </c>
      <c r="V4035">
        <f>HLOOKUP("In Use MiB",'vInfo (Imported)'!$1:$5000,M4035,FALSE)</f>
        <v>0</v>
      </c>
    </row>
    <row r="4036" spans="1:22" ht="13" x14ac:dyDescent="0.3">
      <c r="A4036" s="46">
        <f>'vHosts (Imported)'!A4036</f>
        <v>0</v>
      </c>
      <c r="B4036" s="51">
        <f t="shared" si="189"/>
        <v>4968</v>
      </c>
      <c r="C4036" s="49">
        <f>HLOOKUP("# Cores",'vHosts (Imported)'!$1:$5000,M4036,FALSE)</f>
        <v>0</v>
      </c>
      <c r="D4036" s="52">
        <f>HLOOKUP("# Memory",'vHosts (Imported)'!$1:$5000,M4036,FALSE)</f>
        <v>0</v>
      </c>
      <c r="M4036" s="45">
        <f t="shared" ref="M4036:M4099" si="191">M4035+1</f>
        <v>4036</v>
      </c>
      <c r="N4036" s="38">
        <f>HLOOKUP("Host",'vInfo (Imported)'!$1:$5000,M4036,FALSE)</f>
        <v>0</v>
      </c>
      <c r="R4036">
        <f>HLOOKUP("CPUs",'vInfo (Imported)'!$1:$5000,M4036,FALSE)</f>
        <v>0</v>
      </c>
      <c r="S4036">
        <f>HLOOKUP("Memory",'vInfo (Imported)'!$1:$5000,M4036,FALSE)</f>
        <v>0</v>
      </c>
      <c r="T4036">
        <f>HLOOKUP("Provisioned MiB",'vInfo (Imported)'!$1:$5000,M4036,FALSE)</f>
        <v>0</v>
      </c>
      <c r="U4036">
        <f t="shared" si="190"/>
        <v>0</v>
      </c>
      <c r="V4036">
        <f>HLOOKUP("In Use MiB",'vInfo (Imported)'!$1:$5000,M4036,FALSE)</f>
        <v>0</v>
      </c>
    </row>
    <row r="4037" spans="1:22" ht="13" x14ac:dyDescent="0.3">
      <c r="A4037" s="46">
        <f>'vHosts (Imported)'!A4037</f>
        <v>0</v>
      </c>
      <c r="B4037" s="51">
        <f t="shared" si="189"/>
        <v>4968</v>
      </c>
      <c r="C4037" s="49">
        <f>HLOOKUP("# Cores",'vHosts (Imported)'!$1:$5000,M4037,FALSE)</f>
        <v>0</v>
      </c>
      <c r="D4037" s="52">
        <f>HLOOKUP("# Memory",'vHosts (Imported)'!$1:$5000,M4037,FALSE)</f>
        <v>0</v>
      </c>
      <c r="M4037" s="45">
        <f t="shared" si="191"/>
        <v>4037</v>
      </c>
      <c r="N4037" s="38">
        <f>HLOOKUP("Host",'vInfo (Imported)'!$1:$5000,M4037,FALSE)</f>
        <v>0</v>
      </c>
      <c r="R4037">
        <f>HLOOKUP("CPUs",'vInfo (Imported)'!$1:$5000,M4037,FALSE)</f>
        <v>0</v>
      </c>
      <c r="S4037">
        <f>HLOOKUP("Memory",'vInfo (Imported)'!$1:$5000,M4037,FALSE)</f>
        <v>0</v>
      </c>
      <c r="T4037">
        <f>HLOOKUP("Provisioned MiB",'vInfo (Imported)'!$1:$5000,M4037,FALSE)</f>
        <v>0</v>
      </c>
      <c r="U4037">
        <f t="shared" si="190"/>
        <v>0</v>
      </c>
      <c r="V4037">
        <f>HLOOKUP("In Use MiB",'vInfo (Imported)'!$1:$5000,M4037,FALSE)</f>
        <v>0</v>
      </c>
    </row>
    <row r="4038" spans="1:22" ht="13" x14ac:dyDescent="0.3">
      <c r="A4038" s="46">
        <f>'vHosts (Imported)'!A4038</f>
        <v>0</v>
      </c>
      <c r="B4038" s="51">
        <f t="shared" si="189"/>
        <v>4968</v>
      </c>
      <c r="C4038" s="49">
        <f>HLOOKUP("# Cores",'vHosts (Imported)'!$1:$5000,M4038,FALSE)</f>
        <v>0</v>
      </c>
      <c r="D4038" s="52">
        <f>HLOOKUP("# Memory",'vHosts (Imported)'!$1:$5000,M4038,FALSE)</f>
        <v>0</v>
      </c>
      <c r="M4038" s="45">
        <f t="shared" si="191"/>
        <v>4038</v>
      </c>
      <c r="N4038" s="38">
        <f>HLOOKUP("Host",'vInfo (Imported)'!$1:$5000,M4038,FALSE)</f>
        <v>0</v>
      </c>
      <c r="R4038">
        <f>HLOOKUP("CPUs",'vInfo (Imported)'!$1:$5000,M4038,FALSE)</f>
        <v>0</v>
      </c>
      <c r="S4038">
        <f>HLOOKUP("Memory",'vInfo (Imported)'!$1:$5000,M4038,FALSE)</f>
        <v>0</v>
      </c>
      <c r="T4038">
        <f>HLOOKUP("Provisioned MiB",'vInfo (Imported)'!$1:$5000,M4038,FALSE)</f>
        <v>0</v>
      </c>
      <c r="U4038">
        <f t="shared" si="190"/>
        <v>0</v>
      </c>
      <c r="V4038">
        <f>HLOOKUP("In Use MiB",'vInfo (Imported)'!$1:$5000,M4038,FALSE)</f>
        <v>0</v>
      </c>
    </row>
    <row r="4039" spans="1:22" ht="13" x14ac:dyDescent="0.3">
      <c r="A4039" s="46">
        <f>'vHosts (Imported)'!A4039</f>
        <v>0</v>
      </c>
      <c r="B4039" s="51">
        <f t="shared" si="189"/>
        <v>4968</v>
      </c>
      <c r="C4039" s="49">
        <f>HLOOKUP("# Cores",'vHosts (Imported)'!$1:$5000,M4039,FALSE)</f>
        <v>0</v>
      </c>
      <c r="D4039" s="52">
        <f>HLOOKUP("# Memory",'vHosts (Imported)'!$1:$5000,M4039,FALSE)</f>
        <v>0</v>
      </c>
      <c r="M4039" s="45">
        <f t="shared" si="191"/>
        <v>4039</v>
      </c>
      <c r="N4039" s="38">
        <f>HLOOKUP("Host",'vInfo (Imported)'!$1:$5000,M4039,FALSE)</f>
        <v>0</v>
      </c>
      <c r="R4039">
        <f>HLOOKUP("CPUs",'vInfo (Imported)'!$1:$5000,M4039,FALSE)</f>
        <v>0</v>
      </c>
      <c r="S4039">
        <f>HLOOKUP("Memory",'vInfo (Imported)'!$1:$5000,M4039,FALSE)</f>
        <v>0</v>
      </c>
      <c r="T4039">
        <f>HLOOKUP("Provisioned MiB",'vInfo (Imported)'!$1:$5000,M4039,FALSE)</f>
        <v>0</v>
      </c>
      <c r="U4039">
        <f t="shared" si="190"/>
        <v>0</v>
      </c>
      <c r="V4039">
        <f>HLOOKUP("In Use MiB",'vInfo (Imported)'!$1:$5000,M4039,FALSE)</f>
        <v>0</v>
      </c>
    </row>
    <row r="4040" spans="1:22" ht="13" x14ac:dyDescent="0.3">
      <c r="A4040" s="46">
        <f>'vHosts (Imported)'!A4040</f>
        <v>0</v>
      </c>
      <c r="B4040" s="51">
        <f t="shared" si="189"/>
        <v>4968</v>
      </c>
      <c r="C4040" s="49">
        <f>HLOOKUP("# Cores",'vHosts (Imported)'!$1:$5000,M4040,FALSE)</f>
        <v>0</v>
      </c>
      <c r="D4040" s="52">
        <f>HLOOKUP("# Memory",'vHosts (Imported)'!$1:$5000,M4040,FALSE)</f>
        <v>0</v>
      </c>
      <c r="M4040" s="45">
        <f t="shared" si="191"/>
        <v>4040</v>
      </c>
      <c r="N4040" s="38">
        <f>HLOOKUP("Host",'vInfo (Imported)'!$1:$5000,M4040,FALSE)</f>
        <v>0</v>
      </c>
      <c r="R4040">
        <f>HLOOKUP("CPUs",'vInfo (Imported)'!$1:$5000,M4040,FALSE)</f>
        <v>0</v>
      </c>
      <c r="S4040">
        <f>HLOOKUP("Memory",'vInfo (Imported)'!$1:$5000,M4040,FALSE)</f>
        <v>0</v>
      </c>
      <c r="T4040">
        <f>HLOOKUP("Provisioned MiB",'vInfo (Imported)'!$1:$5000,M4040,FALSE)</f>
        <v>0</v>
      </c>
      <c r="U4040">
        <f t="shared" si="190"/>
        <v>0</v>
      </c>
      <c r="V4040">
        <f>HLOOKUP("In Use MiB",'vInfo (Imported)'!$1:$5000,M4040,FALSE)</f>
        <v>0</v>
      </c>
    </row>
    <row r="4041" spans="1:22" ht="13" x14ac:dyDescent="0.3">
      <c r="A4041" s="46">
        <f>'vHosts (Imported)'!A4041</f>
        <v>0</v>
      </c>
      <c r="B4041" s="51">
        <f t="shared" si="189"/>
        <v>4968</v>
      </c>
      <c r="C4041" s="49">
        <f>HLOOKUP("# Cores",'vHosts (Imported)'!$1:$5000,M4041,FALSE)</f>
        <v>0</v>
      </c>
      <c r="D4041" s="52">
        <f>HLOOKUP("# Memory",'vHosts (Imported)'!$1:$5000,M4041,FALSE)</f>
        <v>0</v>
      </c>
      <c r="M4041" s="45">
        <f t="shared" si="191"/>
        <v>4041</v>
      </c>
      <c r="N4041" s="38">
        <f>HLOOKUP("Host",'vInfo (Imported)'!$1:$5000,M4041,FALSE)</f>
        <v>0</v>
      </c>
      <c r="R4041">
        <f>HLOOKUP("CPUs",'vInfo (Imported)'!$1:$5000,M4041,FALSE)</f>
        <v>0</v>
      </c>
      <c r="S4041">
        <f>HLOOKUP("Memory",'vInfo (Imported)'!$1:$5000,M4041,FALSE)</f>
        <v>0</v>
      </c>
      <c r="T4041">
        <f>HLOOKUP("Provisioned MiB",'vInfo (Imported)'!$1:$5000,M4041,FALSE)</f>
        <v>0</v>
      </c>
      <c r="U4041">
        <f t="shared" si="190"/>
        <v>0</v>
      </c>
      <c r="V4041">
        <f>HLOOKUP("In Use MiB",'vInfo (Imported)'!$1:$5000,M4041,FALSE)</f>
        <v>0</v>
      </c>
    </row>
    <row r="4042" spans="1:22" ht="13" x14ac:dyDescent="0.3">
      <c r="A4042" s="46">
        <f>'vHosts (Imported)'!A4042</f>
        <v>0</v>
      </c>
      <c r="B4042" s="51">
        <f t="shared" si="189"/>
        <v>4968</v>
      </c>
      <c r="C4042" s="49">
        <f>HLOOKUP("# Cores",'vHosts (Imported)'!$1:$5000,M4042,FALSE)</f>
        <v>0</v>
      </c>
      <c r="D4042" s="52">
        <f>HLOOKUP("# Memory",'vHosts (Imported)'!$1:$5000,M4042,FALSE)</f>
        <v>0</v>
      </c>
      <c r="M4042" s="45">
        <f t="shared" si="191"/>
        <v>4042</v>
      </c>
      <c r="N4042" s="38">
        <f>HLOOKUP("Host",'vInfo (Imported)'!$1:$5000,M4042,FALSE)</f>
        <v>0</v>
      </c>
      <c r="R4042">
        <f>HLOOKUP("CPUs",'vInfo (Imported)'!$1:$5000,M4042,FALSE)</f>
        <v>0</v>
      </c>
      <c r="S4042">
        <f>HLOOKUP("Memory",'vInfo (Imported)'!$1:$5000,M4042,FALSE)</f>
        <v>0</v>
      </c>
      <c r="T4042">
        <f>HLOOKUP("Provisioned MiB",'vInfo (Imported)'!$1:$5000,M4042,FALSE)</f>
        <v>0</v>
      </c>
      <c r="U4042">
        <f t="shared" si="190"/>
        <v>0</v>
      </c>
      <c r="V4042">
        <f>HLOOKUP("In Use MiB",'vInfo (Imported)'!$1:$5000,M4042,FALSE)</f>
        <v>0</v>
      </c>
    </row>
    <row r="4043" spans="1:22" ht="13" x14ac:dyDescent="0.3">
      <c r="A4043" s="46">
        <f>'vHosts (Imported)'!A4043</f>
        <v>0</v>
      </c>
      <c r="B4043" s="51">
        <f t="shared" si="189"/>
        <v>4968</v>
      </c>
      <c r="C4043" s="49">
        <f>HLOOKUP("# Cores",'vHosts (Imported)'!$1:$5000,M4043,FALSE)</f>
        <v>0</v>
      </c>
      <c r="D4043" s="52">
        <f>HLOOKUP("# Memory",'vHosts (Imported)'!$1:$5000,M4043,FALSE)</f>
        <v>0</v>
      </c>
      <c r="M4043" s="45">
        <f t="shared" si="191"/>
        <v>4043</v>
      </c>
      <c r="N4043" s="38">
        <f>HLOOKUP("Host",'vInfo (Imported)'!$1:$5000,M4043,FALSE)</f>
        <v>0</v>
      </c>
      <c r="R4043">
        <f>HLOOKUP("CPUs",'vInfo (Imported)'!$1:$5000,M4043,FALSE)</f>
        <v>0</v>
      </c>
      <c r="S4043">
        <f>HLOOKUP("Memory",'vInfo (Imported)'!$1:$5000,M4043,FALSE)</f>
        <v>0</v>
      </c>
      <c r="T4043">
        <f>HLOOKUP("Provisioned MiB",'vInfo (Imported)'!$1:$5000,M4043,FALSE)</f>
        <v>0</v>
      </c>
      <c r="U4043">
        <f t="shared" si="190"/>
        <v>0</v>
      </c>
      <c r="V4043">
        <f>HLOOKUP("In Use MiB",'vInfo (Imported)'!$1:$5000,M4043,FALSE)</f>
        <v>0</v>
      </c>
    </row>
    <row r="4044" spans="1:22" ht="13" x14ac:dyDescent="0.3">
      <c r="A4044" s="46">
        <f>'vHosts (Imported)'!A4044</f>
        <v>0</v>
      </c>
      <c r="B4044" s="51">
        <f t="shared" si="189"/>
        <v>4968</v>
      </c>
      <c r="C4044" s="49">
        <f>HLOOKUP("# Cores",'vHosts (Imported)'!$1:$5000,M4044,FALSE)</f>
        <v>0</v>
      </c>
      <c r="D4044" s="52">
        <f>HLOOKUP("# Memory",'vHosts (Imported)'!$1:$5000,M4044,FALSE)</f>
        <v>0</v>
      </c>
      <c r="M4044" s="45">
        <f t="shared" si="191"/>
        <v>4044</v>
      </c>
      <c r="N4044" s="38">
        <f>HLOOKUP("Host",'vInfo (Imported)'!$1:$5000,M4044,FALSE)</f>
        <v>0</v>
      </c>
      <c r="R4044">
        <f>HLOOKUP("CPUs",'vInfo (Imported)'!$1:$5000,M4044,FALSE)</f>
        <v>0</v>
      </c>
      <c r="S4044">
        <f>HLOOKUP("Memory",'vInfo (Imported)'!$1:$5000,M4044,FALSE)</f>
        <v>0</v>
      </c>
      <c r="T4044">
        <f>HLOOKUP("Provisioned MiB",'vInfo (Imported)'!$1:$5000,M4044,FALSE)</f>
        <v>0</v>
      </c>
      <c r="U4044">
        <f t="shared" si="190"/>
        <v>0</v>
      </c>
      <c r="V4044">
        <f>HLOOKUP("In Use MiB",'vInfo (Imported)'!$1:$5000,M4044,FALSE)</f>
        <v>0</v>
      </c>
    </row>
    <row r="4045" spans="1:22" ht="13" x14ac:dyDescent="0.3">
      <c r="A4045" s="46">
        <f>'vHosts (Imported)'!A4045</f>
        <v>0</v>
      </c>
      <c r="B4045" s="51">
        <f t="shared" si="189"/>
        <v>4968</v>
      </c>
      <c r="C4045" s="49">
        <f>HLOOKUP("# Cores",'vHosts (Imported)'!$1:$5000,M4045,FALSE)</f>
        <v>0</v>
      </c>
      <c r="D4045" s="52">
        <f>HLOOKUP("# Memory",'vHosts (Imported)'!$1:$5000,M4045,FALSE)</f>
        <v>0</v>
      </c>
      <c r="M4045" s="45">
        <f t="shared" si="191"/>
        <v>4045</v>
      </c>
      <c r="N4045" s="38">
        <f>HLOOKUP("Host",'vInfo (Imported)'!$1:$5000,M4045,FALSE)</f>
        <v>0</v>
      </c>
      <c r="R4045">
        <f>HLOOKUP("CPUs",'vInfo (Imported)'!$1:$5000,M4045,FALSE)</f>
        <v>0</v>
      </c>
      <c r="S4045">
        <f>HLOOKUP("Memory",'vInfo (Imported)'!$1:$5000,M4045,FALSE)</f>
        <v>0</v>
      </c>
      <c r="T4045">
        <f>HLOOKUP("Provisioned MiB",'vInfo (Imported)'!$1:$5000,M4045,FALSE)</f>
        <v>0</v>
      </c>
      <c r="U4045">
        <f t="shared" si="190"/>
        <v>0</v>
      </c>
      <c r="V4045">
        <f>HLOOKUP("In Use MiB",'vInfo (Imported)'!$1:$5000,M4045,FALSE)</f>
        <v>0</v>
      </c>
    </row>
    <row r="4046" spans="1:22" ht="13" x14ac:dyDescent="0.3">
      <c r="A4046" s="46">
        <f>'vHosts (Imported)'!A4046</f>
        <v>0</v>
      </c>
      <c r="B4046" s="51">
        <f t="shared" si="189"/>
        <v>4968</v>
      </c>
      <c r="C4046" s="49">
        <f>HLOOKUP("# Cores",'vHosts (Imported)'!$1:$5000,M4046,FALSE)</f>
        <v>0</v>
      </c>
      <c r="D4046" s="52">
        <f>HLOOKUP("# Memory",'vHosts (Imported)'!$1:$5000,M4046,FALSE)</f>
        <v>0</v>
      </c>
      <c r="M4046" s="45">
        <f t="shared" si="191"/>
        <v>4046</v>
      </c>
      <c r="N4046" s="38">
        <f>HLOOKUP("Host",'vInfo (Imported)'!$1:$5000,M4046,FALSE)</f>
        <v>0</v>
      </c>
      <c r="R4046">
        <f>HLOOKUP("CPUs",'vInfo (Imported)'!$1:$5000,M4046,FALSE)</f>
        <v>0</v>
      </c>
      <c r="S4046">
        <f>HLOOKUP("Memory",'vInfo (Imported)'!$1:$5000,M4046,FALSE)</f>
        <v>0</v>
      </c>
      <c r="T4046">
        <f>HLOOKUP("Provisioned MiB",'vInfo (Imported)'!$1:$5000,M4046,FALSE)</f>
        <v>0</v>
      </c>
      <c r="U4046">
        <f t="shared" si="190"/>
        <v>0</v>
      </c>
      <c r="V4046">
        <f>HLOOKUP("In Use MiB",'vInfo (Imported)'!$1:$5000,M4046,FALSE)</f>
        <v>0</v>
      </c>
    </row>
    <row r="4047" spans="1:22" ht="13" x14ac:dyDescent="0.3">
      <c r="A4047" s="46">
        <f>'vHosts (Imported)'!A4047</f>
        <v>0</v>
      </c>
      <c r="B4047" s="51">
        <f t="shared" si="189"/>
        <v>4968</v>
      </c>
      <c r="C4047" s="49">
        <f>HLOOKUP("# Cores",'vHosts (Imported)'!$1:$5000,M4047,FALSE)</f>
        <v>0</v>
      </c>
      <c r="D4047" s="52">
        <f>HLOOKUP("# Memory",'vHosts (Imported)'!$1:$5000,M4047,FALSE)</f>
        <v>0</v>
      </c>
      <c r="M4047" s="45">
        <f t="shared" si="191"/>
        <v>4047</v>
      </c>
      <c r="N4047" s="38">
        <f>HLOOKUP("Host",'vInfo (Imported)'!$1:$5000,M4047,FALSE)</f>
        <v>0</v>
      </c>
      <c r="R4047">
        <f>HLOOKUP("CPUs",'vInfo (Imported)'!$1:$5000,M4047,FALSE)</f>
        <v>0</v>
      </c>
      <c r="S4047">
        <f>HLOOKUP("Memory",'vInfo (Imported)'!$1:$5000,M4047,FALSE)</f>
        <v>0</v>
      </c>
      <c r="T4047">
        <f>HLOOKUP("Provisioned MiB",'vInfo (Imported)'!$1:$5000,M4047,FALSE)</f>
        <v>0</v>
      </c>
      <c r="U4047">
        <f t="shared" si="190"/>
        <v>0</v>
      </c>
      <c r="V4047">
        <f>HLOOKUP("In Use MiB",'vInfo (Imported)'!$1:$5000,M4047,FALSE)</f>
        <v>0</v>
      </c>
    </row>
    <row r="4048" spans="1:22" ht="13" x14ac:dyDescent="0.3">
      <c r="A4048" s="46">
        <f>'vHosts (Imported)'!A4048</f>
        <v>0</v>
      </c>
      <c r="B4048" s="51">
        <f t="shared" si="189"/>
        <v>4968</v>
      </c>
      <c r="C4048" s="49">
        <f>HLOOKUP("# Cores",'vHosts (Imported)'!$1:$5000,M4048,FALSE)</f>
        <v>0</v>
      </c>
      <c r="D4048" s="52">
        <f>HLOOKUP("# Memory",'vHosts (Imported)'!$1:$5000,M4048,FALSE)</f>
        <v>0</v>
      </c>
      <c r="M4048" s="45">
        <f t="shared" si="191"/>
        <v>4048</v>
      </c>
      <c r="N4048" s="38">
        <f>HLOOKUP("Host",'vInfo (Imported)'!$1:$5000,M4048,FALSE)</f>
        <v>0</v>
      </c>
      <c r="R4048">
        <f>HLOOKUP("CPUs",'vInfo (Imported)'!$1:$5000,M4048,FALSE)</f>
        <v>0</v>
      </c>
      <c r="S4048">
        <f>HLOOKUP("Memory",'vInfo (Imported)'!$1:$5000,M4048,FALSE)</f>
        <v>0</v>
      </c>
      <c r="T4048">
        <f>HLOOKUP("Provisioned MiB",'vInfo (Imported)'!$1:$5000,M4048,FALSE)</f>
        <v>0</v>
      </c>
      <c r="U4048">
        <f t="shared" si="190"/>
        <v>0</v>
      </c>
      <c r="V4048">
        <f>HLOOKUP("In Use MiB",'vInfo (Imported)'!$1:$5000,M4048,FALSE)</f>
        <v>0</v>
      </c>
    </row>
    <row r="4049" spans="1:22" ht="13" x14ac:dyDescent="0.3">
      <c r="A4049" s="46">
        <f>'vHosts (Imported)'!A4049</f>
        <v>0</v>
      </c>
      <c r="B4049" s="51">
        <f t="shared" si="189"/>
        <v>4968</v>
      </c>
      <c r="C4049" s="49">
        <f>HLOOKUP("# Cores",'vHosts (Imported)'!$1:$5000,M4049,FALSE)</f>
        <v>0</v>
      </c>
      <c r="D4049" s="52">
        <f>HLOOKUP("# Memory",'vHosts (Imported)'!$1:$5000,M4049,FALSE)</f>
        <v>0</v>
      </c>
      <c r="M4049" s="45">
        <f t="shared" si="191"/>
        <v>4049</v>
      </c>
      <c r="N4049" s="38">
        <f>HLOOKUP("Host",'vInfo (Imported)'!$1:$5000,M4049,FALSE)</f>
        <v>0</v>
      </c>
      <c r="R4049">
        <f>HLOOKUP("CPUs",'vInfo (Imported)'!$1:$5000,M4049,FALSE)</f>
        <v>0</v>
      </c>
      <c r="S4049">
        <f>HLOOKUP("Memory",'vInfo (Imported)'!$1:$5000,M4049,FALSE)</f>
        <v>0</v>
      </c>
      <c r="T4049">
        <f>HLOOKUP("Provisioned MiB",'vInfo (Imported)'!$1:$5000,M4049,FALSE)</f>
        <v>0</v>
      </c>
      <c r="U4049">
        <f t="shared" si="190"/>
        <v>0</v>
      </c>
      <c r="V4049">
        <f>HLOOKUP("In Use MiB",'vInfo (Imported)'!$1:$5000,M4049,FALSE)</f>
        <v>0</v>
      </c>
    </row>
    <row r="4050" spans="1:22" ht="13" x14ac:dyDescent="0.3">
      <c r="A4050" s="46">
        <f>'vHosts (Imported)'!A4050</f>
        <v>0</v>
      </c>
      <c r="B4050" s="51">
        <f t="shared" si="189"/>
        <v>4968</v>
      </c>
      <c r="C4050" s="49">
        <f>HLOOKUP("# Cores",'vHosts (Imported)'!$1:$5000,M4050,FALSE)</f>
        <v>0</v>
      </c>
      <c r="D4050" s="52">
        <f>HLOOKUP("# Memory",'vHosts (Imported)'!$1:$5000,M4050,FALSE)</f>
        <v>0</v>
      </c>
      <c r="M4050" s="45">
        <f t="shared" si="191"/>
        <v>4050</v>
      </c>
      <c r="N4050" s="38">
        <f>HLOOKUP("Host",'vInfo (Imported)'!$1:$5000,M4050,FALSE)</f>
        <v>0</v>
      </c>
      <c r="R4050">
        <f>HLOOKUP("CPUs",'vInfo (Imported)'!$1:$5000,M4050,FALSE)</f>
        <v>0</v>
      </c>
      <c r="S4050">
        <f>HLOOKUP("Memory",'vInfo (Imported)'!$1:$5000,M4050,FALSE)</f>
        <v>0</v>
      </c>
      <c r="T4050">
        <f>HLOOKUP("Provisioned MiB",'vInfo (Imported)'!$1:$5000,M4050,FALSE)</f>
        <v>0</v>
      </c>
      <c r="U4050">
        <f t="shared" si="190"/>
        <v>0</v>
      </c>
      <c r="V4050">
        <f>HLOOKUP("In Use MiB",'vInfo (Imported)'!$1:$5000,M4050,FALSE)</f>
        <v>0</v>
      </c>
    </row>
    <row r="4051" spans="1:22" ht="13" x14ac:dyDescent="0.3">
      <c r="A4051" s="46">
        <f>'vHosts (Imported)'!A4051</f>
        <v>0</v>
      </c>
      <c r="B4051" s="51">
        <f t="shared" si="189"/>
        <v>4968</v>
      </c>
      <c r="C4051" s="49">
        <f>HLOOKUP("# Cores",'vHosts (Imported)'!$1:$5000,M4051,FALSE)</f>
        <v>0</v>
      </c>
      <c r="D4051" s="52">
        <f>HLOOKUP("# Memory",'vHosts (Imported)'!$1:$5000,M4051,FALSE)</f>
        <v>0</v>
      </c>
      <c r="M4051" s="45">
        <f t="shared" si="191"/>
        <v>4051</v>
      </c>
      <c r="N4051" s="38">
        <f>HLOOKUP("Host",'vInfo (Imported)'!$1:$5000,M4051,FALSE)</f>
        <v>0</v>
      </c>
      <c r="R4051">
        <f>HLOOKUP("CPUs",'vInfo (Imported)'!$1:$5000,M4051,FALSE)</f>
        <v>0</v>
      </c>
      <c r="S4051">
        <f>HLOOKUP("Memory",'vInfo (Imported)'!$1:$5000,M4051,FALSE)</f>
        <v>0</v>
      </c>
      <c r="T4051">
        <f>HLOOKUP("Provisioned MiB",'vInfo (Imported)'!$1:$5000,M4051,FALSE)</f>
        <v>0</v>
      </c>
      <c r="U4051">
        <f t="shared" si="190"/>
        <v>0</v>
      </c>
      <c r="V4051">
        <f>HLOOKUP("In Use MiB",'vInfo (Imported)'!$1:$5000,M4051,FALSE)</f>
        <v>0</v>
      </c>
    </row>
    <row r="4052" spans="1:22" ht="13" x14ac:dyDescent="0.3">
      <c r="A4052" s="46">
        <f>'vHosts (Imported)'!A4052</f>
        <v>0</v>
      </c>
      <c r="B4052" s="51">
        <f t="shared" si="189"/>
        <v>4968</v>
      </c>
      <c r="C4052" s="49">
        <f>HLOOKUP("# Cores",'vHosts (Imported)'!$1:$5000,M4052,FALSE)</f>
        <v>0</v>
      </c>
      <c r="D4052" s="52">
        <f>HLOOKUP("# Memory",'vHosts (Imported)'!$1:$5000,M4052,FALSE)</f>
        <v>0</v>
      </c>
      <c r="M4052" s="45">
        <f t="shared" si="191"/>
        <v>4052</v>
      </c>
      <c r="N4052" s="38">
        <f>HLOOKUP("Host",'vInfo (Imported)'!$1:$5000,M4052,FALSE)</f>
        <v>0</v>
      </c>
      <c r="R4052">
        <f>HLOOKUP("CPUs",'vInfo (Imported)'!$1:$5000,M4052,FALSE)</f>
        <v>0</v>
      </c>
      <c r="S4052">
        <f>HLOOKUP("Memory",'vInfo (Imported)'!$1:$5000,M4052,FALSE)</f>
        <v>0</v>
      </c>
      <c r="T4052">
        <f>HLOOKUP("Provisioned MiB",'vInfo (Imported)'!$1:$5000,M4052,FALSE)</f>
        <v>0</v>
      </c>
      <c r="U4052">
        <f t="shared" si="190"/>
        <v>0</v>
      </c>
      <c r="V4052">
        <f>HLOOKUP("In Use MiB",'vInfo (Imported)'!$1:$5000,M4052,FALSE)</f>
        <v>0</v>
      </c>
    </row>
    <row r="4053" spans="1:22" ht="13" x14ac:dyDescent="0.3">
      <c r="A4053" s="46">
        <f>'vHosts (Imported)'!A4053</f>
        <v>0</v>
      </c>
      <c r="B4053" s="51">
        <f t="shared" si="189"/>
        <v>4968</v>
      </c>
      <c r="C4053" s="49">
        <f>HLOOKUP("# Cores",'vHosts (Imported)'!$1:$5000,M4053,FALSE)</f>
        <v>0</v>
      </c>
      <c r="D4053" s="52">
        <f>HLOOKUP("# Memory",'vHosts (Imported)'!$1:$5000,M4053,FALSE)</f>
        <v>0</v>
      </c>
      <c r="M4053" s="45">
        <f t="shared" si="191"/>
        <v>4053</v>
      </c>
      <c r="N4053" s="38">
        <f>HLOOKUP("Host",'vInfo (Imported)'!$1:$5000,M4053,FALSE)</f>
        <v>0</v>
      </c>
      <c r="R4053">
        <f>HLOOKUP("CPUs",'vInfo (Imported)'!$1:$5000,M4053,FALSE)</f>
        <v>0</v>
      </c>
      <c r="S4053">
        <f>HLOOKUP("Memory",'vInfo (Imported)'!$1:$5000,M4053,FALSE)</f>
        <v>0</v>
      </c>
      <c r="T4053">
        <f>HLOOKUP("Provisioned MiB",'vInfo (Imported)'!$1:$5000,M4053,FALSE)</f>
        <v>0</v>
      </c>
      <c r="U4053">
        <f t="shared" si="190"/>
        <v>0</v>
      </c>
      <c r="V4053">
        <f>HLOOKUP("In Use MiB",'vInfo (Imported)'!$1:$5000,M4053,FALSE)</f>
        <v>0</v>
      </c>
    </row>
    <row r="4054" spans="1:22" ht="13" x14ac:dyDescent="0.3">
      <c r="A4054" s="46">
        <f>'vHosts (Imported)'!A4054</f>
        <v>0</v>
      </c>
      <c r="B4054" s="51">
        <f t="shared" si="189"/>
        <v>4968</v>
      </c>
      <c r="C4054" s="49">
        <f>HLOOKUP("# Cores",'vHosts (Imported)'!$1:$5000,M4054,FALSE)</f>
        <v>0</v>
      </c>
      <c r="D4054" s="52">
        <f>HLOOKUP("# Memory",'vHosts (Imported)'!$1:$5000,M4054,FALSE)</f>
        <v>0</v>
      </c>
      <c r="M4054" s="45">
        <f t="shared" si="191"/>
        <v>4054</v>
      </c>
      <c r="N4054" s="38">
        <f>HLOOKUP("Host",'vInfo (Imported)'!$1:$5000,M4054,FALSE)</f>
        <v>0</v>
      </c>
      <c r="R4054">
        <f>HLOOKUP("CPUs",'vInfo (Imported)'!$1:$5000,M4054,FALSE)</f>
        <v>0</v>
      </c>
      <c r="S4054">
        <f>HLOOKUP("Memory",'vInfo (Imported)'!$1:$5000,M4054,FALSE)</f>
        <v>0</v>
      </c>
      <c r="T4054">
        <f>HLOOKUP("Provisioned MiB",'vInfo (Imported)'!$1:$5000,M4054,FALSE)</f>
        <v>0</v>
      </c>
      <c r="U4054">
        <f t="shared" si="190"/>
        <v>0</v>
      </c>
      <c r="V4054">
        <f>HLOOKUP("In Use MiB",'vInfo (Imported)'!$1:$5000,M4054,FALSE)</f>
        <v>0</v>
      </c>
    </row>
    <row r="4055" spans="1:22" ht="13" x14ac:dyDescent="0.3">
      <c r="A4055" s="46">
        <f>'vHosts (Imported)'!A4055</f>
        <v>0</v>
      </c>
      <c r="B4055" s="51">
        <f t="shared" si="189"/>
        <v>4968</v>
      </c>
      <c r="C4055" s="49">
        <f>HLOOKUP("# Cores",'vHosts (Imported)'!$1:$5000,M4055,FALSE)</f>
        <v>0</v>
      </c>
      <c r="D4055" s="52">
        <f>HLOOKUP("# Memory",'vHosts (Imported)'!$1:$5000,M4055,FALSE)</f>
        <v>0</v>
      </c>
      <c r="M4055" s="45">
        <f t="shared" si="191"/>
        <v>4055</v>
      </c>
      <c r="N4055" s="38">
        <f>HLOOKUP("Host",'vInfo (Imported)'!$1:$5000,M4055,FALSE)</f>
        <v>0</v>
      </c>
      <c r="R4055">
        <f>HLOOKUP("CPUs",'vInfo (Imported)'!$1:$5000,M4055,FALSE)</f>
        <v>0</v>
      </c>
      <c r="S4055">
        <f>HLOOKUP("Memory",'vInfo (Imported)'!$1:$5000,M4055,FALSE)</f>
        <v>0</v>
      </c>
      <c r="T4055">
        <f>HLOOKUP("Provisioned MiB",'vInfo (Imported)'!$1:$5000,M4055,FALSE)</f>
        <v>0</v>
      </c>
      <c r="U4055">
        <f t="shared" si="190"/>
        <v>0</v>
      </c>
      <c r="V4055">
        <f>HLOOKUP("In Use MiB",'vInfo (Imported)'!$1:$5000,M4055,FALSE)</f>
        <v>0</v>
      </c>
    </row>
    <row r="4056" spans="1:22" ht="13" x14ac:dyDescent="0.3">
      <c r="A4056" s="46">
        <f>'vHosts (Imported)'!A4056</f>
        <v>0</v>
      </c>
      <c r="B4056" s="51">
        <f t="shared" si="189"/>
        <v>4968</v>
      </c>
      <c r="C4056" s="49">
        <f>HLOOKUP("# Cores",'vHosts (Imported)'!$1:$5000,M4056,FALSE)</f>
        <v>0</v>
      </c>
      <c r="D4056" s="52">
        <f>HLOOKUP("# Memory",'vHosts (Imported)'!$1:$5000,M4056,FALSE)</f>
        <v>0</v>
      </c>
      <c r="M4056" s="45">
        <f t="shared" si="191"/>
        <v>4056</v>
      </c>
      <c r="N4056" s="38">
        <f>HLOOKUP("Host",'vInfo (Imported)'!$1:$5000,M4056,FALSE)</f>
        <v>0</v>
      </c>
      <c r="R4056">
        <f>HLOOKUP("CPUs",'vInfo (Imported)'!$1:$5000,M4056,FALSE)</f>
        <v>0</v>
      </c>
      <c r="S4056">
        <f>HLOOKUP("Memory",'vInfo (Imported)'!$1:$5000,M4056,FALSE)</f>
        <v>0</v>
      </c>
      <c r="T4056">
        <f>HLOOKUP("Provisioned MiB",'vInfo (Imported)'!$1:$5000,M4056,FALSE)</f>
        <v>0</v>
      </c>
      <c r="U4056">
        <f t="shared" si="190"/>
        <v>0</v>
      </c>
      <c r="V4056">
        <f>HLOOKUP("In Use MiB",'vInfo (Imported)'!$1:$5000,M4056,FALSE)</f>
        <v>0</v>
      </c>
    </row>
    <row r="4057" spans="1:22" ht="13" x14ac:dyDescent="0.3">
      <c r="A4057" s="46">
        <f>'vHosts (Imported)'!A4057</f>
        <v>0</v>
      </c>
      <c r="B4057" s="51">
        <f t="shared" si="189"/>
        <v>4968</v>
      </c>
      <c r="C4057" s="49">
        <f>HLOOKUP("# Cores",'vHosts (Imported)'!$1:$5000,M4057,FALSE)</f>
        <v>0</v>
      </c>
      <c r="D4057" s="52">
        <f>HLOOKUP("# Memory",'vHosts (Imported)'!$1:$5000,M4057,FALSE)</f>
        <v>0</v>
      </c>
      <c r="M4057" s="45">
        <f t="shared" si="191"/>
        <v>4057</v>
      </c>
      <c r="N4057" s="38">
        <f>HLOOKUP("Host",'vInfo (Imported)'!$1:$5000,M4057,FALSE)</f>
        <v>0</v>
      </c>
      <c r="R4057">
        <f>HLOOKUP("CPUs",'vInfo (Imported)'!$1:$5000,M4057,FALSE)</f>
        <v>0</v>
      </c>
      <c r="S4057">
        <f>HLOOKUP("Memory",'vInfo (Imported)'!$1:$5000,M4057,FALSE)</f>
        <v>0</v>
      </c>
      <c r="T4057">
        <f>HLOOKUP("Provisioned MiB",'vInfo (Imported)'!$1:$5000,M4057,FALSE)</f>
        <v>0</v>
      </c>
      <c r="U4057">
        <f t="shared" si="190"/>
        <v>0</v>
      </c>
      <c r="V4057">
        <f>HLOOKUP("In Use MiB",'vInfo (Imported)'!$1:$5000,M4057,FALSE)</f>
        <v>0</v>
      </c>
    </row>
    <row r="4058" spans="1:22" ht="13" x14ac:dyDescent="0.3">
      <c r="A4058" s="46">
        <f>'vHosts (Imported)'!A4058</f>
        <v>0</v>
      </c>
      <c r="B4058" s="51">
        <f t="shared" si="189"/>
        <v>4968</v>
      </c>
      <c r="C4058" s="49">
        <f>HLOOKUP("# Cores",'vHosts (Imported)'!$1:$5000,M4058,FALSE)</f>
        <v>0</v>
      </c>
      <c r="D4058" s="52">
        <f>HLOOKUP("# Memory",'vHosts (Imported)'!$1:$5000,M4058,FALSE)</f>
        <v>0</v>
      </c>
      <c r="M4058" s="45">
        <f t="shared" si="191"/>
        <v>4058</v>
      </c>
      <c r="N4058" s="38">
        <f>HLOOKUP("Host",'vInfo (Imported)'!$1:$5000,M4058,FALSE)</f>
        <v>0</v>
      </c>
      <c r="R4058">
        <f>HLOOKUP("CPUs",'vInfo (Imported)'!$1:$5000,M4058,FALSE)</f>
        <v>0</v>
      </c>
      <c r="S4058">
        <f>HLOOKUP("Memory",'vInfo (Imported)'!$1:$5000,M4058,FALSE)</f>
        <v>0</v>
      </c>
      <c r="T4058">
        <f>HLOOKUP("Provisioned MiB",'vInfo (Imported)'!$1:$5000,M4058,FALSE)</f>
        <v>0</v>
      </c>
      <c r="U4058">
        <f t="shared" si="190"/>
        <v>0</v>
      </c>
      <c r="V4058">
        <f>HLOOKUP("In Use MiB",'vInfo (Imported)'!$1:$5000,M4058,FALSE)</f>
        <v>0</v>
      </c>
    </row>
    <row r="4059" spans="1:22" ht="13" x14ac:dyDescent="0.3">
      <c r="A4059" s="46">
        <f>'vHosts (Imported)'!A4059</f>
        <v>0</v>
      </c>
      <c r="B4059" s="51">
        <f t="shared" si="189"/>
        <v>4968</v>
      </c>
      <c r="C4059" s="49">
        <f>HLOOKUP("# Cores",'vHosts (Imported)'!$1:$5000,M4059,FALSE)</f>
        <v>0</v>
      </c>
      <c r="D4059" s="52">
        <f>HLOOKUP("# Memory",'vHosts (Imported)'!$1:$5000,M4059,FALSE)</f>
        <v>0</v>
      </c>
      <c r="M4059" s="45">
        <f t="shared" si="191"/>
        <v>4059</v>
      </c>
      <c r="N4059" s="38">
        <f>HLOOKUP("Host",'vInfo (Imported)'!$1:$5000,M4059,FALSE)</f>
        <v>0</v>
      </c>
      <c r="R4059">
        <f>HLOOKUP("CPUs",'vInfo (Imported)'!$1:$5000,M4059,FALSE)</f>
        <v>0</v>
      </c>
      <c r="S4059">
        <f>HLOOKUP("Memory",'vInfo (Imported)'!$1:$5000,M4059,FALSE)</f>
        <v>0</v>
      </c>
      <c r="T4059">
        <f>HLOOKUP("Provisioned MiB",'vInfo (Imported)'!$1:$5000,M4059,FALSE)</f>
        <v>0</v>
      </c>
      <c r="U4059">
        <f t="shared" si="190"/>
        <v>0</v>
      </c>
      <c r="V4059">
        <f>HLOOKUP("In Use MiB",'vInfo (Imported)'!$1:$5000,M4059,FALSE)</f>
        <v>0</v>
      </c>
    </row>
    <row r="4060" spans="1:22" ht="13" x14ac:dyDescent="0.3">
      <c r="A4060" s="46">
        <f>'vHosts (Imported)'!A4060</f>
        <v>0</v>
      </c>
      <c r="B4060" s="51">
        <f t="shared" si="189"/>
        <v>4968</v>
      </c>
      <c r="C4060" s="49">
        <f>HLOOKUP("# Cores",'vHosts (Imported)'!$1:$5000,M4060,FALSE)</f>
        <v>0</v>
      </c>
      <c r="D4060" s="52">
        <f>HLOOKUP("# Memory",'vHosts (Imported)'!$1:$5000,M4060,FALSE)</f>
        <v>0</v>
      </c>
      <c r="M4060" s="45">
        <f t="shared" si="191"/>
        <v>4060</v>
      </c>
      <c r="N4060" s="38">
        <f>HLOOKUP("Host",'vInfo (Imported)'!$1:$5000,M4060,FALSE)</f>
        <v>0</v>
      </c>
      <c r="R4060">
        <f>HLOOKUP("CPUs",'vInfo (Imported)'!$1:$5000,M4060,FALSE)</f>
        <v>0</v>
      </c>
      <c r="S4060">
        <f>HLOOKUP("Memory",'vInfo (Imported)'!$1:$5000,M4060,FALSE)</f>
        <v>0</v>
      </c>
      <c r="T4060">
        <f>HLOOKUP("Provisioned MiB",'vInfo (Imported)'!$1:$5000,M4060,FALSE)</f>
        <v>0</v>
      </c>
      <c r="U4060">
        <f t="shared" si="190"/>
        <v>0</v>
      </c>
      <c r="V4060">
        <f>HLOOKUP("In Use MiB",'vInfo (Imported)'!$1:$5000,M4060,FALSE)</f>
        <v>0</v>
      </c>
    </row>
    <row r="4061" spans="1:22" ht="13" x14ac:dyDescent="0.3">
      <c r="A4061" s="46">
        <f>'vHosts (Imported)'!A4061</f>
        <v>0</v>
      </c>
      <c r="B4061" s="51">
        <f t="shared" si="189"/>
        <v>4968</v>
      </c>
      <c r="C4061" s="49">
        <f>HLOOKUP("# Cores",'vHosts (Imported)'!$1:$5000,M4061,FALSE)</f>
        <v>0</v>
      </c>
      <c r="D4061" s="52">
        <f>HLOOKUP("# Memory",'vHosts (Imported)'!$1:$5000,M4061,FALSE)</f>
        <v>0</v>
      </c>
      <c r="M4061" s="45">
        <f t="shared" si="191"/>
        <v>4061</v>
      </c>
      <c r="N4061" s="38">
        <f>HLOOKUP("Host",'vInfo (Imported)'!$1:$5000,M4061,FALSE)</f>
        <v>0</v>
      </c>
      <c r="R4061">
        <f>HLOOKUP("CPUs",'vInfo (Imported)'!$1:$5000,M4061,FALSE)</f>
        <v>0</v>
      </c>
      <c r="S4061">
        <f>HLOOKUP("Memory",'vInfo (Imported)'!$1:$5000,M4061,FALSE)</f>
        <v>0</v>
      </c>
      <c r="T4061">
        <f>HLOOKUP("Provisioned MiB",'vInfo (Imported)'!$1:$5000,M4061,FALSE)</f>
        <v>0</v>
      </c>
      <c r="U4061">
        <f t="shared" si="190"/>
        <v>0</v>
      </c>
      <c r="V4061">
        <f>HLOOKUP("In Use MiB",'vInfo (Imported)'!$1:$5000,M4061,FALSE)</f>
        <v>0</v>
      </c>
    </row>
    <row r="4062" spans="1:22" ht="13" x14ac:dyDescent="0.3">
      <c r="A4062" s="46">
        <f>'vHosts (Imported)'!A4062</f>
        <v>0</v>
      </c>
      <c r="B4062" s="51">
        <f t="shared" si="189"/>
        <v>4968</v>
      </c>
      <c r="C4062" s="49">
        <f>HLOOKUP("# Cores",'vHosts (Imported)'!$1:$5000,M4062,FALSE)</f>
        <v>0</v>
      </c>
      <c r="D4062" s="52">
        <f>HLOOKUP("# Memory",'vHosts (Imported)'!$1:$5000,M4062,FALSE)</f>
        <v>0</v>
      </c>
      <c r="M4062" s="45">
        <f t="shared" si="191"/>
        <v>4062</v>
      </c>
      <c r="N4062" s="38">
        <f>HLOOKUP("Host",'vInfo (Imported)'!$1:$5000,M4062,FALSE)</f>
        <v>0</v>
      </c>
      <c r="R4062">
        <f>HLOOKUP("CPUs",'vInfo (Imported)'!$1:$5000,M4062,FALSE)</f>
        <v>0</v>
      </c>
      <c r="S4062">
        <f>HLOOKUP("Memory",'vInfo (Imported)'!$1:$5000,M4062,FALSE)</f>
        <v>0</v>
      </c>
      <c r="T4062">
        <f>HLOOKUP("Provisioned MiB",'vInfo (Imported)'!$1:$5000,M4062,FALSE)</f>
        <v>0</v>
      </c>
      <c r="U4062">
        <f t="shared" si="190"/>
        <v>0</v>
      </c>
      <c r="V4062">
        <f>HLOOKUP("In Use MiB",'vInfo (Imported)'!$1:$5000,M4062,FALSE)</f>
        <v>0</v>
      </c>
    </row>
    <row r="4063" spans="1:22" ht="13" x14ac:dyDescent="0.3">
      <c r="A4063" s="46">
        <f>'vHosts (Imported)'!A4063</f>
        <v>0</v>
      </c>
      <c r="B4063" s="51">
        <f t="shared" si="189"/>
        <v>4968</v>
      </c>
      <c r="C4063" s="49">
        <f>HLOOKUP("# Cores",'vHosts (Imported)'!$1:$5000,M4063,FALSE)</f>
        <v>0</v>
      </c>
      <c r="D4063" s="52">
        <f>HLOOKUP("# Memory",'vHosts (Imported)'!$1:$5000,M4063,FALSE)</f>
        <v>0</v>
      </c>
      <c r="M4063" s="45">
        <f t="shared" si="191"/>
        <v>4063</v>
      </c>
      <c r="N4063" s="38">
        <f>HLOOKUP("Host",'vInfo (Imported)'!$1:$5000,M4063,FALSE)</f>
        <v>0</v>
      </c>
      <c r="R4063">
        <f>HLOOKUP("CPUs",'vInfo (Imported)'!$1:$5000,M4063,FALSE)</f>
        <v>0</v>
      </c>
      <c r="S4063">
        <f>HLOOKUP("Memory",'vInfo (Imported)'!$1:$5000,M4063,FALSE)</f>
        <v>0</v>
      </c>
      <c r="T4063">
        <f>HLOOKUP("Provisioned MiB",'vInfo (Imported)'!$1:$5000,M4063,FALSE)</f>
        <v>0</v>
      </c>
      <c r="U4063">
        <f t="shared" si="190"/>
        <v>0</v>
      </c>
      <c r="V4063">
        <f>HLOOKUP("In Use MiB",'vInfo (Imported)'!$1:$5000,M4063,FALSE)</f>
        <v>0</v>
      </c>
    </row>
    <row r="4064" spans="1:22" ht="13" x14ac:dyDescent="0.3">
      <c r="A4064" s="46">
        <f>'vHosts (Imported)'!A4064</f>
        <v>0</v>
      </c>
      <c r="B4064" s="51">
        <f t="shared" si="189"/>
        <v>4968</v>
      </c>
      <c r="C4064" s="49">
        <f>HLOOKUP("# Cores",'vHosts (Imported)'!$1:$5000,M4064,FALSE)</f>
        <v>0</v>
      </c>
      <c r="D4064" s="52">
        <f>HLOOKUP("# Memory",'vHosts (Imported)'!$1:$5000,M4064,FALSE)</f>
        <v>0</v>
      </c>
      <c r="M4064" s="45">
        <f t="shared" si="191"/>
        <v>4064</v>
      </c>
      <c r="N4064" s="38">
        <f>HLOOKUP("Host",'vInfo (Imported)'!$1:$5000,M4064,FALSE)</f>
        <v>0</v>
      </c>
      <c r="R4064">
        <f>HLOOKUP("CPUs",'vInfo (Imported)'!$1:$5000,M4064,FALSE)</f>
        <v>0</v>
      </c>
      <c r="S4064">
        <f>HLOOKUP("Memory",'vInfo (Imported)'!$1:$5000,M4064,FALSE)</f>
        <v>0</v>
      </c>
      <c r="T4064">
        <f>HLOOKUP("Provisioned MiB",'vInfo (Imported)'!$1:$5000,M4064,FALSE)</f>
        <v>0</v>
      </c>
      <c r="U4064">
        <f t="shared" si="190"/>
        <v>0</v>
      </c>
      <c r="V4064">
        <f>HLOOKUP("In Use MiB",'vInfo (Imported)'!$1:$5000,M4064,FALSE)</f>
        <v>0</v>
      </c>
    </row>
    <row r="4065" spans="1:22" ht="13" x14ac:dyDescent="0.3">
      <c r="A4065" s="46">
        <f>'vHosts (Imported)'!A4065</f>
        <v>0</v>
      </c>
      <c r="B4065" s="51">
        <f t="shared" si="189"/>
        <v>4968</v>
      </c>
      <c r="C4065" s="49">
        <f>HLOOKUP("# Cores",'vHosts (Imported)'!$1:$5000,M4065,FALSE)</f>
        <v>0</v>
      </c>
      <c r="D4065" s="52">
        <f>HLOOKUP("# Memory",'vHosts (Imported)'!$1:$5000,M4065,FALSE)</f>
        <v>0</v>
      </c>
      <c r="M4065" s="45">
        <f t="shared" si="191"/>
        <v>4065</v>
      </c>
      <c r="N4065" s="38">
        <f>HLOOKUP("Host",'vInfo (Imported)'!$1:$5000,M4065,FALSE)</f>
        <v>0</v>
      </c>
      <c r="R4065">
        <f>HLOOKUP("CPUs",'vInfo (Imported)'!$1:$5000,M4065,FALSE)</f>
        <v>0</v>
      </c>
      <c r="S4065">
        <f>HLOOKUP("Memory",'vInfo (Imported)'!$1:$5000,M4065,FALSE)</f>
        <v>0</v>
      </c>
      <c r="T4065">
        <f>HLOOKUP("Provisioned MiB",'vInfo (Imported)'!$1:$5000,M4065,FALSE)</f>
        <v>0</v>
      </c>
      <c r="U4065">
        <f t="shared" si="190"/>
        <v>0</v>
      </c>
      <c r="V4065">
        <f>HLOOKUP("In Use MiB",'vInfo (Imported)'!$1:$5000,M4065,FALSE)</f>
        <v>0</v>
      </c>
    </row>
    <row r="4066" spans="1:22" ht="13" x14ac:dyDescent="0.3">
      <c r="A4066" s="46">
        <f>'vHosts (Imported)'!A4066</f>
        <v>0</v>
      </c>
      <c r="B4066" s="51">
        <f t="shared" si="189"/>
        <v>4968</v>
      </c>
      <c r="C4066" s="49">
        <f>HLOOKUP("# Cores",'vHosts (Imported)'!$1:$5000,M4066,FALSE)</f>
        <v>0</v>
      </c>
      <c r="D4066" s="52">
        <f>HLOOKUP("# Memory",'vHosts (Imported)'!$1:$5000,M4066,FALSE)</f>
        <v>0</v>
      </c>
      <c r="M4066" s="45">
        <f t="shared" si="191"/>
        <v>4066</v>
      </c>
      <c r="N4066" s="38">
        <f>HLOOKUP("Host",'vInfo (Imported)'!$1:$5000,M4066,FALSE)</f>
        <v>0</v>
      </c>
      <c r="R4066">
        <f>HLOOKUP("CPUs",'vInfo (Imported)'!$1:$5000,M4066,FALSE)</f>
        <v>0</v>
      </c>
      <c r="S4066">
        <f>HLOOKUP("Memory",'vInfo (Imported)'!$1:$5000,M4066,FALSE)</f>
        <v>0</v>
      </c>
      <c r="T4066">
        <f>HLOOKUP("Provisioned MiB",'vInfo (Imported)'!$1:$5000,M4066,FALSE)</f>
        <v>0</v>
      </c>
      <c r="U4066">
        <f t="shared" si="190"/>
        <v>0</v>
      </c>
      <c r="V4066">
        <f>HLOOKUP("In Use MiB",'vInfo (Imported)'!$1:$5000,M4066,FALSE)</f>
        <v>0</v>
      </c>
    </row>
    <row r="4067" spans="1:22" ht="13" x14ac:dyDescent="0.3">
      <c r="A4067" s="46">
        <f>'vHosts (Imported)'!A4067</f>
        <v>0</v>
      </c>
      <c r="B4067" s="51">
        <f t="shared" si="189"/>
        <v>4968</v>
      </c>
      <c r="C4067" s="49">
        <f>HLOOKUP("# Cores",'vHosts (Imported)'!$1:$5000,M4067,FALSE)</f>
        <v>0</v>
      </c>
      <c r="D4067" s="52">
        <f>HLOOKUP("# Memory",'vHosts (Imported)'!$1:$5000,M4067,FALSE)</f>
        <v>0</v>
      </c>
      <c r="M4067" s="45">
        <f t="shared" si="191"/>
        <v>4067</v>
      </c>
      <c r="N4067" s="38">
        <f>HLOOKUP("Host",'vInfo (Imported)'!$1:$5000,M4067,FALSE)</f>
        <v>0</v>
      </c>
      <c r="R4067">
        <f>HLOOKUP("CPUs",'vInfo (Imported)'!$1:$5000,M4067,FALSE)</f>
        <v>0</v>
      </c>
      <c r="S4067">
        <f>HLOOKUP("Memory",'vInfo (Imported)'!$1:$5000,M4067,FALSE)</f>
        <v>0</v>
      </c>
      <c r="T4067">
        <f>HLOOKUP("Provisioned MiB",'vInfo (Imported)'!$1:$5000,M4067,FALSE)</f>
        <v>0</v>
      </c>
      <c r="U4067">
        <f t="shared" si="190"/>
        <v>0</v>
      </c>
      <c r="V4067">
        <f>HLOOKUP("In Use MiB",'vInfo (Imported)'!$1:$5000,M4067,FALSE)</f>
        <v>0</v>
      </c>
    </row>
    <row r="4068" spans="1:22" ht="13" x14ac:dyDescent="0.3">
      <c r="A4068" s="46">
        <f>'vHosts (Imported)'!A4068</f>
        <v>0</v>
      </c>
      <c r="B4068" s="51">
        <f t="shared" si="189"/>
        <v>4968</v>
      </c>
      <c r="C4068" s="49">
        <f>HLOOKUP("# Cores",'vHosts (Imported)'!$1:$5000,M4068,FALSE)</f>
        <v>0</v>
      </c>
      <c r="D4068" s="52">
        <f>HLOOKUP("# Memory",'vHosts (Imported)'!$1:$5000,M4068,FALSE)</f>
        <v>0</v>
      </c>
      <c r="M4068" s="45">
        <f t="shared" si="191"/>
        <v>4068</v>
      </c>
      <c r="N4068" s="38">
        <f>HLOOKUP("Host",'vInfo (Imported)'!$1:$5000,M4068,FALSE)</f>
        <v>0</v>
      </c>
      <c r="R4068">
        <f>HLOOKUP("CPUs",'vInfo (Imported)'!$1:$5000,M4068,FALSE)</f>
        <v>0</v>
      </c>
      <c r="S4068">
        <f>HLOOKUP("Memory",'vInfo (Imported)'!$1:$5000,M4068,FALSE)</f>
        <v>0</v>
      </c>
      <c r="T4068">
        <f>HLOOKUP("Provisioned MiB",'vInfo (Imported)'!$1:$5000,M4068,FALSE)</f>
        <v>0</v>
      </c>
      <c r="U4068">
        <f t="shared" si="190"/>
        <v>0</v>
      </c>
      <c r="V4068">
        <f>HLOOKUP("In Use MiB",'vInfo (Imported)'!$1:$5000,M4068,FALSE)</f>
        <v>0</v>
      </c>
    </row>
    <row r="4069" spans="1:22" ht="13" x14ac:dyDescent="0.3">
      <c r="A4069" s="46">
        <f>'vHosts (Imported)'!A4069</f>
        <v>0</v>
      </c>
      <c r="B4069" s="51">
        <f t="shared" si="189"/>
        <v>4968</v>
      </c>
      <c r="C4069" s="49">
        <f>HLOOKUP("# Cores",'vHosts (Imported)'!$1:$5000,M4069,FALSE)</f>
        <v>0</v>
      </c>
      <c r="D4069" s="52">
        <f>HLOOKUP("# Memory",'vHosts (Imported)'!$1:$5000,M4069,FALSE)</f>
        <v>0</v>
      </c>
      <c r="M4069" s="45">
        <f t="shared" si="191"/>
        <v>4069</v>
      </c>
      <c r="N4069" s="38">
        <f>HLOOKUP("Host",'vInfo (Imported)'!$1:$5000,M4069,FALSE)</f>
        <v>0</v>
      </c>
      <c r="R4069">
        <f>HLOOKUP("CPUs",'vInfo (Imported)'!$1:$5000,M4069,FALSE)</f>
        <v>0</v>
      </c>
      <c r="S4069">
        <f>HLOOKUP("Memory",'vInfo (Imported)'!$1:$5000,M4069,FALSE)</f>
        <v>0</v>
      </c>
      <c r="T4069">
        <f>HLOOKUP("Provisioned MiB",'vInfo (Imported)'!$1:$5000,M4069,FALSE)</f>
        <v>0</v>
      </c>
      <c r="U4069">
        <f t="shared" si="190"/>
        <v>0</v>
      </c>
      <c r="V4069">
        <f>HLOOKUP("In Use MiB",'vInfo (Imported)'!$1:$5000,M4069,FALSE)</f>
        <v>0</v>
      </c>
    </row>
    <row r="4070" spans="1:22" ht="13" x14ac:dyDescent="0.3">
      <c r="A4070" s="46">
        <f>'vHosts (Imported)'!A4070</f>
        <v>0</v>
      </c>
      <c r="B4070" s="51">
        <f t="shared" si="189"/>
        <v>4968</v>
      </c>
      <c r="C4070" s="49">
        <f>HLOOKUP("# Cores",'vHosts (Imported)'!$1:$5000,M4070,FALSE)</f>
        <v>0</v>
      </c>
      <c r="D4070" s="52">
        <f>HLOOKUP("# Memory",'vHosts (Imported)'!$1:$5000,M4070,FALSE)</f>
        <v>0</v>
      </c>
      <c r="M4070" s="45">
        <f t="shared" si="191"/>
        <v>4070</v>
      </c>
      <c r="N4070" s="38">
        <f>HLOOKUP("Host",'vInfo (Imported)'!$1:$5000,M4070,FALSE)</f>
        <v>0</v>
      </c>
      <c r="R4070">
        <f>HLOOKUP("CPUs",'vInfo (Imported)'!$1:$5000,M4070,FALSE)</f>
        <v>0</v>
      </c>
      <c r="S4070">
        <f>HLOOKUP("Memory",'vInfo (Imported)'!$1:$5000,M4070,FALSE)</f>
        <v>0</v>
      </c>
      <c r="T4070">
        <f>HLOOKUP("Provisioned MiB",'vInfo (Imported)'!$1:$5000,M4070,FALSE)</f>
        <v>0</v>
      </c>
      <c r="U4070">
        <f t="shared" si="190"/>
        <v>0</v>
      </c>
      <c r="V4070">
        <f>HLOOKUP("In Use MiB",'vInfo (Imported)'!$1:$5000,M4070,FALSE)</f>
        <v>0</v>
      </c>
    </row>
    <row r="4071" spans="1:22" ht="13" x14ac:dyDescent="0.3">
      <c r="A4071" s="46">
        <f>'vHosts (Imported)'!A4071</f>
        <v>0</v>
      </c>
      <c r="B4071" s="51">
        <f t="shared" si="189"/>
        <v>4968</v>
      </c>
      <c r="C4071" s="49">
        <f>HLOOKUP("# Cores",'vHosts (Imported)'!$1:$5000,M4071,FALSE)</f>
        <v>0</v>
      </c>
      <c r="D4071" s="52">
        <f>HLOOKUP("# Memory",'vHosts (Imported)'!$1:$5000,M4071,FALSE)</f>
        <v>0</v>
      </c>
      <c r="M4071" s="45">
        <f t="shared" si="191"/>
        <v>4071</v>
      </c>
      <c r="N4071" s="38">
        <f>HLOOKUP("Host",'vInfo (Imported)'!$1:$5000,M4071,FALSE)</f>
        <v>0</v>
      </c>
      <c r="R4071">
        <f>HLOOKUP("CPUs",'vInfo (Imported)'!$1:$5000,M4071,FALSE)</f>
        <v>0</v>
      </c>
      <c r="S4071">
        <f>HLOOKUP("Memory",'vInfo (Imported)'!$1:$5000,M4071,FALSE)</f>
        <v>0</v>
      </c>
      <c r="T4071">
        <f>HLOOKUP("Provisioned MiB",'vInfo (Imported)'!$1:$5000,M4071,FALSE)</f>
        <v>0</v>
      </c>
      <c r="U4071">
        <f t="shared" si="190"/>
        <v>0</v>
      </c>
      <c r="V4071">
        <f>HLOOKUP("In Use MiB",'vInfo (Imported)'!$1:$5000,M4071,FALSE)</f>
        <v>0</v>
      </c>
    </row>
    <row r="4072" spans="1:22" ht="13" x14ac:dyDescent="0.3">
      <c r="A4072" s="46">
        <f>'vHosts (Imported)'!A4072</f>
        <v>0</v>
      </c>
      <c r="B4072" s="51">
        <f t="shared" ref="B4072:B4135" si="192">COUNTIF(N:N,A4072)</f>
        <v>4968</v>
      </c>
      <c r="C4072" s="49">
        <f>HLOOKUP("# Cores",'vHosts (Imported)'!$1:$5000,M4072,FALSE)</f>
        <v>0</v>
      </c>
      <c r="D4072" s="52">
        <f>HLOOKUP("# Memory",'vHosts (Imported)'!$1:$5000,M4072,FALSE)</f>
        <v>0</v>
      </c>
      <c r="M4072" s="45">
        <f t="shared" si="191"/>
        <v>4072</v>
      </c>
      <c r="N4072" s="38">
        <f>HLOOKUP("Host",'vInfo (Imported)'!$1:$5000,M4072,FALSE)</f>
        <v>0</v>
      </c>
      <c r="R4072">
        <f>HLOOKUP("CPUs",'vInfo (Imported)'!$1:$5000,M4072,FALSE)</f>
        <v>0</v>
      </c>
      <c r="S4072">
        <f>HLOOKUP("Memory",'vInfo (Imported)'!$1:$5000,M4072,FALSE)</f>
        <v>0</v>
      </c>
      <c r="T4072">
        <f>HLOOKUP("Provisioned MiB",'vInfo (Imported)'!$1:$5000,M4072,FALSE)</f>
        <v>0</v>
      </c>
      <c r="U4072">
        <f t="shared" si="190"/>
        <v>0</v>
      </c>
      <c r="V4072">
        <f>HLOOKUP("In Use MiB",'vInfo (Imported)'!$1:$5000,M4072,FALSE)</f>
        <v>0</v>
      </c>
    </row>
    <row r="4073" spans="1:22" ht="13" x14ac:dyDescent="0.3">
      <c r="A4073" s="46">
        <f>'vHosts (Imported)'!A4073</f>
        <v>0</v>
      </c>
      <c r="B4073" s="51">
        <f t="shared" si="192"/>
        <v>4968</v>
      </c>
      <c r="C4073" s="49">
        <f>HLOOKUP("# Cores",'vHosts (Imported)'!$1:$5000,M4073,FALSE)</f>
        <v>0</v>
      </c>
      <c r="D4073" s="52">
        <f>HLOOKUP("# Memory",'vHosts (Imported)'!$1:$5000,M4073,FALSE)</f>
        <v>0</v>
      </c>
      <c r="M4073" s="45">
        <f t="shared" si="191"/>
        <v>4073</v>
      </c>
      <c r="N4073" s="38">
        <f>HLOOKUP("Host",'vInfo (Imported)'!$1:$5000,M4073,FALSE)</f>
        <v>0</v>
      </c>
      <c r="R4073">
        <f>HLOOKUP("CPUs",'vInfo (Imported)'!$1:$5000,M4073,FALSE)</f>
        <v>0</v>
      </c>
      <c r="S4073">
        <f>HLOOKUP("Memory",'vInfo (Imported)'!$1:$5000,M4073,FALSE)</f>
        <v>0</v>
      </c>
      <c r="T4073">
        <f>HLOOKUP("Provisioned MiB",'vInfo (Imported)'!$1:$5000,M4073,FALSE)</f>
        <v>0</v>
      </c>
      <c r="U4073">
        <f t="shared" si="190"/>
        <v>0</v>
      </c>
      <c r="V4073">
        <f>HLOOKUP("In Use MiB",'vInfo (Imported)'!$1:$5000,M4073,FALSE)</f>
        <v>0</v>
      </c>
    </row>
    <row r="4074" spans="1:22" ht="13" x14ac:dyDescent="0.3">
      <c r="A4074" s="46">
        <f>'vHosts (Imported)'!A4074</f>
        <v>0</v>
      </c>
      <c r="B4074" s="51">
        <f t="shared" si="192"/>
        <v>4968</v>
      </c>
      <c r="C4074" s="49">
        <f>HLOOKUP("# Cores",'vHosts (Imported)'!$1:$5000,M4074,FALSE)</f>
        <v>0</v>
      </c>
      <c r="D4074" s="52">
        <f>HLOOKUP("# Memory",'vHosts (Imported)'!$1:$5000,M4074,FALSE)</f>
        <v>0</v>
      </c>
      <c r="M4074" s="45">
        <f t="shared" si="191"/>
        <v>4074</v>
      </c>
      <c r="N4074" s="38">
        <f>HLOOKUP("Host",'vInfo (Imported)'!$1:$5000,M4074,FALSE)</f>
        <v>0</v>
      </c>
      <c r="R4074">
        <f>HLOOKUP("CPUs",'vInfo (Imported)'!$1:$5000,M4074,FALSE)</f>
        <v>0</v>
      </c>
      <c r="S4074">
        <f>HLOOKUP("Memory",'vInfo (Imported)'!$1:$5000,M4074,FALSE)</f>
        <v>0</v>
      </c>
      <c r="T4074">
        <f>HLOOKUP("Provisioned MiB",'vInfo (Imported)'!$1:$5000,M4074,FALSE)</f>
        <v>0</v>
      </c>
      <c r="U4074">
        <f t="shared" si="190"/>
        <v>0</v>
      </c>
      <c r="V4074">
        <f>HLOOKUP("In Use MiB",'vInfo (Imported)'!$1:$5000,M4074,FALSE)</f>
        <v>0</v>
      </c>
    </row>
    <row r="4075" spans="1:22" ht="13" x14ac:dyDescent="0.3">
      <c r="A4075" s="46">
        <f>'vHosts (Imported)'!A4075</f>
        <v>0</v>
      </c>
      <c r="B4075" s="51">
        <f t="shared" si="192"/>
        <v>4968</v>
      </c>
      <c r="C4075" s="49">
        <f>HLOOKUP("# Cores",'vHosts (Imported)'!$1:$5000,M4075,FALSE)</f>
        <v>0</v>
      </c>
      <c r="D4075" s="52">
        <f>HLOOKUP("# Memory",'vHosts (Imported)'!$1:$5000,M4075,FALSE)</f>
        <v>0</v>
      </c>
      <c r="M4075" s="45">
        <f t="shared" si="191"/>
        <v>4075</v>
      </c>
      <c r="N4075" s="38">
        <f>HLOOKUP("Host",'vInfo (Imported)'!$1:$5000,M4075,FALSE)</f>
        <v>0</v>
      </c>
      <c r="R4075">
        <f>HLOOKUP("CPUs",'vInfo (Imported)'!$1:$5000,M4075,FALSE)</f>
        <v>0</v>
      </c>
      <c r="S4075">
        <f>HLOOKUP("Memory",'vInfo (Imported)'!$1:$5000,M4075,FALSE)</f>
        <v>0</v>
      </c>
      <c r="T4075">
        <f>HLOOKUP("Provisioned MiB",'vInfo (Imported)'!$1:$5000,M4075,FALSE)</f>
        <v>0</v>
      </c>
      <c r="U4075">
        <f t="shared" si="190"/>
        <v>0</v>
      </c>
      <c r="V4075">
        <f>HLOOKUP("In Use MiB",'vInfo (Imported)'!$1:$5000,M4075,FALSE)</f>
        <v>0</v>
      </c>
    </row>
    <row r="4076" spans="1:22" ht="13" x14ac:dyDescent="0.3">
      <c r="A4076" s="46">
        <f>'vHosts (Imported)'!A4076</f>
        <v>0</v>
      </c>
      <c r="B4076" s="51">
        <f t="shared" si="192"/>
        <v>4968</v>
      </c>
      <c r="C4076" s="49">
        <f>HLOOKUP("# Cores",'vHosts (Imported)'!$1:$5000,M4076,FALSE)</f>
        <v>0</v>
      </c>
      <c r="D4076" s="52">
        <f>HLOOKUP("# Memory",'vHosts (Imported)'!$1:$5000,M4076,FALSE)</f>
        <v>0</v>
      </c>
      <c r="M4076" s="45">
        <f t="shared" si="191"/>
        <v>4076</v>
      </c>
      <c r="N4076" s="38">
        <f>HLOOKUP("Host",'vInfo (Imported)'!$1:$5000,M4076,FALSE)</f>
        <v>0</v>
      </c>
      <c r="R4076">
        <f>HLOOKUP("CPUs",'vInfo (Imported)'!$1:$5000,M4076,FALSE)</f>
        <v>0</v>
      </c>
      <c r="S4076">
        <f>HLOOKUP("Memory",'vInfo (Imported)'!$1:$5000,M4076,FALSE)</f>
        <v>0</v>
      </c>
      <c r="T4076">
        <f>HLOOKUP("Provisioned MiB",'vInfo (Imported)'!$1:$5000,M4076,FALSE)</f>
        <v>0</v>
      </c>
      <c r="U4076">
        <f t="shared" si="190"/>
        <v>0</v>
      </c>
      <c r="V4076">
        <f>HLOOKUP("In Use MiB",'vInfo (Imported)'!$1:$5000,M4076,FALSE)</f>
        <v>0</v>
      </c>
    </row>
    <row r="4077" spans="1:22" ht="13" x14ac:dyDescent="0.3">
      <c r="A4077" s="46">
        <f>'vHosts (Imported)'!A4077</f>
        <v>0</v>
      </c>
      <c r="B4077" s="51">
        <f t="shared" si="192"/>
        <v>4968</v>
      </c>
      <c r="C4077" s="49">
        <f>HLOOKUP("# Cores",'vHosts (Imported)'!$1:$5000,M4077,FALSE)</f>
        <v>0</v>
      </c>
      <c r="D4077" s="52">
        <f>HLOOKUP("# Memory",'vHosts (Imported)'!$1:$5000,M4077,FALSE)</f>
        <v>0</v>
      </c>
      <c r="M4077" s="45">
        <f t="shared" si="191"/>
        <v>4077</v>
      </c>
      <c r="N4077" s="38">
        <f>HLOOKUP("Host",'vInfo (Imported)'!$1:$5000,M4077,FALSE)</f>
        <v>0</v>
      </c>
      <c r="R4077">
        <f>HLOOKUP("CPUs",'vInfo (Imported)'!$1:$5000,M4077,FALSE)</f>
        <v>0</v>
      </c>
      <c r="S4077">
        <f>HLOOKUP("Memory",'vInfo (Imported)'!$1:$5000,M4077,FALSE)</f>
        <v>0</v>
      </c>
      <c r="T4077">
        <f>HLOOKUP("Provisioned MiB",'vInfo (Imported)'!$1:$5000,M4077,FALSE)</f>
        <v>0</v>
      </c>
      <c r="U4077">
        <f t="shared" si="190"/>
        <v>0</v>
      </c>
      <c r="V4077">
        <f>HLOOKUP("In Use MiB",'vInfo (Imported)'!$1:$5000,M4077,FALSE)</f>
        <v>0</v>
      </c>
    </row>
    <row r="4078" spans="1:22" ht="13" x14ac:dyDescent="0.3">
      <c r="A4078" s="46">
        <f>'vHosts (Imported)'!A4078</f>
        <v>0</v>
      </c>
      <c r="B4078" s="51">
        <f t="shared" si="192"/>
        <v>4968</v>
      </c>
      <c r="C4078" s="49">
        <f>HLOOKUP("# Cores",'vHosts (Imported)'!$1:$5000,M4078,FALSE)</f>
        <v>0</v>
      </c>
      <c r="D4078" s="52">
        <f>HLOOKUP("# Memory",'vHosts (Imported)'!$1:$5000,M4078,FALSE)</f>
        <v>0</v>
      </c>
      <c r="M4078" s="45">
        <f t="shared" si="191"/>
        <v>4078</v>
      </c>
      <c r="N4078" s="38">
        <f>HLOOKUP("Host",'vInfo (Imported)'!$1:$5000,M4078,FALSE)</f>
        <v>0</v>
      </c>
      <c r="R4078">
        <f>HLOOKUP("CPUs",'vInfo (Imported)'!$1:$5000,M4078,FALSE)</f>
        <v>0</v>
      </c>
      <c r="S4078">
        <f>HLOOKUP("Memory",'vInfo (Imported)'!$1:$5000,M4078,FALSE)</f>
        <v>0</v>
      </c>
      <c r="T4078">
        <f>HLOOKUP("Provisioned MiB",'vInfo (Imported)'!$1:$5000,M4078,FALSE)</f>
        <v>0</v>
      </c>
      <c r="U4078">
        <f t="shared" si="190"/>
        <v>0</v>
      </c>
      <c r="V4078">
        <f>HLOOKUP("In Use MiB",'vInfo (Imported)'!$1:$5000,M4078,FALSE)</f>
        <v>0</v>
      </c>
    </row>
    <row r="4079" spans="1:22" ht="13" x14ac:dyDescent="0.3">
      <c r="A4079" s="46">
        <f>'vHosts (Imported)'!A4079</f>
        <v>0</v>
      </c>
      <c r="B4079" s="51">
        <f t="shared" si="192"/>
        <v>4968</v>
      </c>
      <c r="C4079" s="49">
        <f>HLOOKUP("# Cores",'vHosts (Imported)'!$1:$5000,M4079,FALSE)</f>
        <v>0</v>
      </c>
      <c r="D4079" s="52">
        <f>HLOOKUP("# Memory",'vHosts (Imported)'!$1:$5000,M4079,FALSE)</f>
        <v>0</v>
      </c>
      <c r="M4079" s="45">
        <f t="shared" si="191"/>
        <v>4079</v>
      </c>
      <c r="N4079" s="38">
        <f>HLOOKUP("Host",'vInfo (Imported)'!$1:$5000,M4079,FALSE)</f>
        <v>0</v>
      </c>
      <c r="R4079">
        <f>HLOOKUP("CPUs",'vInfo (Imported)'!$1:$5000,M4079,FALSE)</f>
        <v>0</v>
      </c>
      <c r="S4079">
        <f>HLOOKUP("Memory",'vInfo (Imported)'!$1:$5000,M4079,FALSE)</f>
        <v>0</v>
      </c>
      <c r="T4079">
        <f>HLOOKUP("Provisioned MiB",'vInfo (Imported)'!$1:$5000,M4079,FALSE)</f>
        <v>0</v>
      </c>
      <c r="U4079">
        <f t="shared" si="190"/>
        <v>0</v>
      </c>
      <c r="V4079">
        <f>HLOOKUP("In Use MiB",'vInfo (Imported)'!$1:$5000,M4079,FALSE)</f>
        <v>0</v>
      </c>
    </row>
    <row r="4080" spans="1:22" ht="13" x14ac:dyDescent="0.3">
      <c r="A4080" s="46">
        <f>'vHosts (Imported)'!A4080</f>
        <v>0</v>
      </c>
      <c r="B4080" s="51">
        <f t="shared" si="192"/>
        <v>4968</v>
      </c>
      <c r="C4080" s="49">
        <f>HLOOKUP("# Cores",'vHosts (Imported)'!$1:$5000,M4080,FALSE)</f>
        <v>0</v>
      </c>
      <c r="D4080" s="52">
        <f>HLOOKUP("# Memory",'vHosts (Imported)'!$1:$5000,M4080,FALSE)</f>
        <v>0</v>
      </c>
      <c r="M4080" s="45">
        <f t="shared" si="191"/>
        <v>4080</v>
      </c>
      <c r="N4080" s="38">
        <f>HLOOKUP("Host",'vInfo (Imported)'!$1:$5000,M4080,FALSE)</f>
        <v>0</v>
      </c>
      <c r="R4080">
        <f>HLOOKUP("CPUs",'vInfo (Imported)'!$1:$5000,M4080,FALSE)</f>
        <v>0</v>
      </c>
      <c r="S4080">
        <f>HLOOKUP("Memory",'vInfo (Imported)'!$1:$5000,M4080,FALSE)</f>
        <v>0</v>
      </c>
      <c r="T4080">
        <f>HLOOKUP("Provisioned MiB",'vInfo (Imported)'!$1:$5000,M4080,FALSE)</f>
        <v>0</v>
      </c>
      <c r="U4080">
        <f t="shared" si="190"/>
        <v>0</v>
      </c>
      <c r="V4080">
        <f>HLOOKUP("In Use MiB",'vInfo (Imported)'!$1:$5000,M4080,FALSE)</f>
        <v>0</v>
      </c>
    </row>
    <row r="4081" spans="1:22" ht="13" x14ac:dyDescent="0.3">
      <c r="A4081" s="46">
        <f>'vHosts (Imported)'!A4081</f>
        <v>0</v>
      </c>
      <c r="B4081" s="51">
        <f t="shared" si="192"/>
        <v>4968</v>
      </c>
      <c r="C4081" s="49">
        <f>HLOOKUP("# Cores",'vHosts (Imported)'!$1:$5000,M4081,FALSE)</f>
        <v>0</v>
      </c>
      <c r="D4081" s="52">
        <f>HLOOKUP("# Memory",'vHosts (Imported)'!$1:$5000,M4081,FALSE)</f>
        <v>0</v>
      </c>
      <c r="M4081" s="45">
        <f t="shared" si="191"/>
        <v>4081</v>
      </c>
      <c r="N4081" s="38">
        <f>HLOOKUP("Host",'vInfo (Imported)'!$1:$5000,M4081,FALSE)</f>
        <v>0</v>
      </c>
      <c r="R4081">
        <f>HLOOKUP("CPUs",'vInfo (Imported)'!$1:$5000,M4081,FALSE)</f>
        <v>0</v>
      </c>
      <c r="S4081">
        <f>HLOOKUP("Memory",'vInfo (Imported)'!$1:$5000,M4081,FALSE)</f>
        <v>0</v>
      </c>
      <c r="T4081">
        <f>HLOOKUP("Provisioned MiB",'vInfo (Imported)'!$1:$5000,M4081,FALSE)</f>
        <v>0</v>
      </c>
      <c r="U4081">
        <f t="shared" si="190"/>
        <v>0</v>
      </c>
      <c r="V4081">
        <f>HLOOKUP("In Use MiB",'vInfo (Imported)'!$1:$5000,M4081,FALSE)</f>
        <v>0</v>
      </c>
    </row>
    <row r="4082" spans="1:22" ht="13" x14ac:dyDescent="0.3">
      <c r="A4082" s="46">
        <f>'vHosts (Imported)'!A4082</f>
        <v>0</v>
      </c>
      <c r="B4082" s="51">
        <f t="shared" si="192"/>
        <v>4968</v>
      </c>
      <c r="C4082" s="49">
        <f>HLOOKUP("# Cores",'vHosts (Imported)'!$1:$5000,M4082,FALSE)</f>
        <v>0</v>
      </c>
      <c r="D4082" s="52">
        <f>HLOOKUP("# Memory",'vHosts (Imported)'!$1:$5000,M4082,FALSE)</f>
        <v>0</v>
      </c>
      <c r="M4082" s="45">
        <f t="shared" si="191"/>
        <v>4082</v>
      </c>
      <c r="N4082" s="38">
        <f>HLOOKUP("Host",'vInfo (Imported)'!$1:$5000,M4082,FALSE)</f>
        <v>0</v>
      </c>
      <c r="R4082">
        <f>HLOOKUP("CPUs",'vInfo (Imported)'!$1:$5000,M4082,FALSE)</f>
        <v>0</v>
      </c>
      <c r="S4082">
        <f>HLOOKUP("Memory",'vInfo (Imported)'!$1:$5000,M4082,FALSE)</f>
        <v>0</v>
      </c>
      <c r="T4082">
        <f>HLOOKUP("Provisioned MiB",'vInfo (Imported)'!$1:$5000,M4082,FALSE)</f>
        <v>0</v>
      </c>
      <c r="U4082">
        <f t="shared" si="190"/>
        <v>0</v>
      </c>
      <c r="V4082">
        <f>HLOOKUP("In Use MiB",'vInfo (Imported)'!$1:$5000,M4082,FALSE)</f>
        <v>0</v>
      </c>
    </row>
    <row r="4083" spans="1:22" ht="13" x14ac:dyDescent="0.3">
      <c r="A4083" s="46">
        <f>'vHosts (Imported)'!A4083</f>
        <v>0</v>
      </c>
      <c r="B4083" s="51">
        <f t="shared" si="192"/>
        <v>4968</v>
      </c>
      <c r="C4083" s="49">
        <f>HLOOKUP("# Cores",'vHosts (Imported)'!$1:$5000,M4083,FALSE)</f>
        <v>0</v>
      </c>
      <c r="D4083" s="52">
        <f>HLOOKUP("# Memory",'vHosts (Imported)'!$1:$5000,M4083,FALSE)</f>
        <v>0</v>
      </c>
      <c r="M4083" s="45">
        <f t="shared" si="191"/>
        <v>4083</v>
      </c>
      <c r="N4083" s="38">
        <f>HLOOKUP("Host",'vInfo (Imported)'!$1:$5000,M4083,FALSE)</f>
        <v>0</v>
      </c>
      <c r="R4083">
        <f>HLOOKUP("CPUs",'vInfo (Imported)'!$1:$5000,M4083,FALSE)</f>
        <v>0</v>
      </c>
      <c r="S4083">
        <f>HLOOKUP("Memory",'vInfo (Imported)'!$1:$5000,M4083,FALSE)</f>
        <v>0</v>
      </c>
      <c r="T4083">
        <f>HLOOKUP("Provisioned MiB",'vInfo (Imported)'!$1:$5000,M4083,FALSE)</f>
        <v>0</v>
      </c>
      <c r="U4083">
        <f t="shared" si="190"/>
        <v>0</v>
      </c>
      <c r="V4083">
        <f>HLOOKUP("In Use MiB",'vInfo (Imported)'!$1:$5000,M4083,FALSE)</f>
        <v>0</v>
      </c>
    </row>
    <row r="4084" spans="1:22" ht="13" x14ac:dyDescent="0.3">
      <c r="A4084" s="46">
        <f>'vHosts (Imported)'!A4084</f>
        <v>0</v>
      </c>
      <c r="B4084" s="51">
        <f t="shared" si="192"/>
        <v>4968</v>
      </c>
      <c r="C4084" s="49">
        <f>HLOOKUP("# Cores",'vHosts (Imported)'!$1:$5000,M4084,FALSE)</f>
        <v>0</v>
      </c>
      <c r="D4084" s="52">
        <f>HLOOKUP("# Memory",'vHosts (Imported)'!$1:$5000,M4084,FALSE)</f>
        <v>0</v>
      </c>
      <c r="M4084" s="45">
        <f t="shared" si="191"/>
        <v>4084</v>
      </c>
      <c r="N4084" s="38">
        <f>HLOOKUP("Host",'vInfo (Imported)'!$1:$5000,M4084,FALSE)</f>
        <v>0</v>
      </c>
      <c r="R4084">
        <f>HLOOKUP("CPUs",'vInfo (Imported)'!$1:$5000,M4084,FALSE)</f>
        <v>0</v>
      </c>
      <c r="S4084">
        <f>HLOOKUP("Memory",'vInfo (Imported)'!$1:$5000,M4084,FALSE)</f>
        <v>0</v>
      </c>
      <c r="T4084">
        <f>HLOOKUP("Provisioned MiB",'vInfo (Imported)'!$1:$5000,M4084,FALSE)</f>
        <v>0</v>
      </c>
      <c r="U4084">
        <f t="shared" si="190"/>
        <v>0</v>
      </c>
      <c r="V4084">
        <f>HLOOKUP("In Use MiB",'vInfo (Imported)'!$1:$5000,M4084,FALSE)</f>
        <v>0</v>
      </c>
    </row>
    <row r="4085" spans="1:22" ht="13" x14ac:dyDescent="0.3">
      <c r="A4085" s="46">
        <f>'vHosts (Imported)'!A4085</f>
        <v>0</v>
      </c>
      <c r="B4085" s="51">
        <f t="shared" si="192"/>
        <v>4968</v>
      </c>
      <c r="C4085" s="49">
        <f>HLOOKUP("# Cores",'vHosts (Imported)'!$1:$5000,M4085,FALSE)</f>
        <v>0</v>
      </c>
      <c r="D4085" s="52">
        <f>HLOOKUP("# Memory",'vHosts (Imported)'!$1:$5000,M4085,FALSE)</f>
        <v>0</v>
      </c>
      <c r="M4085" s="45">
        <f t="shared" si="191"/>
        <v>4085</v>
      </c>
      <c r="N4085" s="38">
        <f>HLOOKUP("Host",'vInfo (Imported)'!$1:$5000,M4085,FALSE)</f>
        <v>0</v>
      </c>
      <c r="R4085">
        <f>HLOOKUP("CPUs",'vInfo (Imported)'!$1:$5000,M4085,FALSE)</f>
        <v>0</v>
      </c>
      <c r="S4085">
        <f>HLOOKUP("Memory",'vInfo (Imported)'!$1:$5000,M4085,FALSE)</f>
        <v>0</v>
      </c>
      <c r="T4085">
        <f>HLOOKUP("Provisioned MiB",'vInfo (Imported)'!$1:$5000,M4085,FALSE)</f>
        <v>0</v>
      </c>
      <c r="U4085">
        <f t="shared" si="190"/>
        <v>0</v>
      </c>
      <c r="V4085">
        <f>HLOOKUP("In Use MiB",'vInfo (Imported)'!$1:$5000,M4085,FALSE)</f>
        <v>0</v>
      </c>
    </row>
    <row r="4086" spans="1:22" ht="13" x14ac:dyDescent="0.3">
      <c r="A4086" s="46">
        <f>'vHosts (Imported)'!A4086</f>
        <v>0</v>
      </c>
      <c r="B4086" s="51">
        <f t="shared" si="192"/>
        <v>4968</v>
      </c>
      <c r="C4086" s="49">
        <f>HLOOKUP("# Cores",'vHosts (Imported)'!$1:$5000,M4086,FALSE)</f>
        <v>0</v>
      </c>
      <c r="D4086" s="52">
        <f>HLOOKUP("# Memory",'vHosts (Imported)'!$1:$5000,M4086,FALSE)</f>
        <v>0</v>
      </c>
      <c r="M4086" s="45">
        <f t="shared" si="191"/>
        <v>4086</v>
      </c>
      <c r="N4086" s="38">
        <f>HLOOKUP("Host",'vInfo (Imported)'!$1:$5000,M4086,FALSE)</f>
        <v>0</v>
      </c>
      <c r="R4086">
        <f>HLOOKUP("CPUs",'vInfo (Imported)'!$1:$5000,M4086,FALSE)</f>
        <v>0</v>
      </c>
      <c r="S4086">
        <f>HLOOKUP("Memory",'vInfo (Imported)'!$1:$5000,M4086,FALSE)</f>
        <v>0</v>
      </c>
      <c r="T4086">
        <f>HLOOKUP("Provisioned MiB",'vInfo (Imported)'!$1:$5000,M4086,FALSE)</f>
        <v>0</v>
      </c>
      <c r="U4086">
        <f t="shared" si="190"/>
        <v>0</v>
      </c>
      <c r="V4086">
        <f>HLOOKUP("In Use MiB",'vInfo (Imported)'!$1:$5000,M4086,FALSE)</f>
        <v>0</v>
      </c>
    </row>
    <row r="4087" spans="1:22" ht="13" x14ac:dyDescent="0.3">
      <c r="A4087" s="46">
        <f>'vHosts (Imported)'!A4087</f>
        <v>0</v>
      </c>
      <c r="B4087" s="51">
        <f t="shared" si="192"/>
        <v>4968</v>
      </c>
      <c r="C4087" s="49">
        <f>HLOOKUP("# Cores",'vHosts (Imported)'!$1:$5000,M4087,FALSE)</f>
        <v>0</v>
      </c>
      <c r="D4087" s="52">
        <f>HLOOKUP("# Memory",'vHosts (Imported)'!$1:$5000,M4087,FALSE)</f>
        <v>0</v>
      </c>
      <c r="M4087" s="45">
        <f t="shared" si="191"/>
        <v>4087</v>
      </c>
      <c r="N4087" s="38">
        <f>HLOOKUP("Host",'vInfo (Imported)'!$1:$5000,M4087,FALSE)</f>
        <v>0</v>
      </c>
      <c r="R4087">
        <f>HLOOKUP("CPUs",'vInfo (Imported)'!$1:$5000,M4087,FALSE)</f>
        <v>0</v>
      </c>
      <c r="S4087">
        <f>HLOOKUP("Memory",'vInfo (Imported)'!$1:$5000,M4087,FALSE)</f>
        <v>0</v>
      </c>
      <c r="T4087">
        <f>HLOOKUP("Provisioned MiB",'vInfo (Imported)'!$1:$5000,M4087,FALSE)</f>
        <v>0</v>
      </c>
      <c r="U4087">
        <f t="shared" si="190"/>
        <v>0</v>
      </c>
      <c r="V4087">
        <f>HLOOKUP("In Use MiB",'vInfo (Imported)'!$1:$5000,M4087,FALSE)</f>
        <v>0</v>
      </c>
    </row>
    <row r="4088" spans="1:22" ht="13" x14ac:dyDescent="0.3">
      <c r="A4088" s="46">
        <f>'vHosts (Imported)'!A4088</f>
        <v>0</v>
      </c>
      <c r="B4088" s="51">
        <f t="shared" si="192"/>
        <v>4968</v>
      </c>
      <c r="C4088" s="49">
        <f>HLOOKUP("# Cores",'vHosts (Imported)'!$1:$5000,M4088,FALSE)</f>
        <v>0</v>
      </c>
      <c r="D4088" s="52">
        <f>HLOOKUP("# Memory",'vHosts (Imported)'!$1:$5000,M4088,FALSE)</f>
        <v>0</v>
      </c>
      <c r="M4088" s="45">
        <f t="shared" si="191"/>
        <v>4088</v>
      </c>
      <c r="N4088" s="38">
        <f>HLOOKUP("Host",'vInfo (Imported)'!$1:$5000,M4088,FALSE)</f>
        <v>0</v>
      </c>
      <c r="R4088">
        <f>HLOOKUP("CPUs",'vInfo (Imported)'!$1:$5000,M4088,FALSE)</f>
        <v>0</v>
      </c>
      <c r="S4088">
        <f>HLOOKUP("Memory",'vInfo (Imported)'!$1:$5000,M4088,FALSE)</f>
        <v>0</v>
      </c>
      <c r="T4088">
        <f>HLOOKUP("Provisioned MiB",'vInfo (Imported)'!$1:$5000,M4088,FALSE)</f>
        <v>0</v>
      </c>
      <c r="U4088">
        <f t="shared" si="190"/>
        <v>0</v>
      </c>
      <c r="V4088">
        <f>HLOOKUP("In Use MiB",'vInfo (Imported)'!$1:$5000,M4088,FALSE)</f>
        <v>0</v>
      </c>
    </row>
    <row r="4089" spans="1:22" ht="13" x14ac:dyDescent="0.3">
      <c r="A4089" s="46">
        <f>'vHosts (Imported)'!A4089</f>
        <v>0</v>
      </c>
      <c r="B4089" s="51">
        <f t="shared" si="192"/>
        <v>4968</v>
      </c>
      <c r="C4089" s="49">
        <f>HLOOKUP("# Cores",'vHosts (Imported)'!$1:$5000,M4089,FALSE)</f>
        <v>0</v>
      </c>
      <c r="D4089" s="52">
        <f>HLOOKUP("# Memory",'vHosts (Imported)'!$1:$5000,M4089,FALSE)</f>
        <v>0</v>
      </c>
      <c r="M4089" s="45">
        <f t="shared" si="191"/>
        <v>4089</v>
      </c>
      <c r="N4089" s="38">
        <f>HLOOKUP("Host",'vInfo (Imported)'!$1:$5000,M4089,FALSE)</f>
        <v>0</v>
      </c>
      <c r="R4089">
        <f>HLOOKUP("CPUs",'vInfo (Imported)'!$1:$5000,M4089,FALSE)</f>
        <v>0</v>
      </c>
      <c r="S4089">
        <f>HLOOKUP("Memory",'vInfo (Imported)'!$1:$5000,M4089,FALSE)</f>
        <v>0</v>
      </c>
      <c r="T4089">
        <f>HLOOKUP("Provisioned MiB",'vInfo (Imported)'!$1:$5000,M4089,FALSE)</f>
        <v>0</v>
      </c>
      <c r="U4089">
        <f t="shared" si="190"/>
        <v>0</v>
      </c>
      <c r="V4089">
        <f>HLOOKUP("In Use MiB",'vInfo (Imported)'!$1:$5000,M4089,FALSE)</f>
        <v>0</v>
      </c>
    </row>
    <row r="4090" spans="1:22" ht="13" x14ac:dyDescent="0.3">
      <c r="A4090" s="46">
        <f>'vHosts (Imported)'!A4090</f>
        <v>0</v>
      </c>
      <c r="B4090" s="51">
        <f t="shared" si="192"/>
        <v>4968</v>
      </c>
      <c r="C4090" s="49">
        <f>HLOOKUP("# Cores",'vHosts (Imported)'!$1:$5000,M4090,FALSE)</f>
        <v>0</v>
      </c>
      <c r="D4090" s="52">
        <f>HLOOKUP("# Memory",'vHosts (Imported)'!$1:$5000,M4090,FALSE)</f>
        <v>0</v>
      </c>
      <c r="M4090" s="45">
        <f t="shared" si="191"/>
        <v>4090</v>
      </c>
      <c r="N4090" s="38">
        <f>HLOOKUP("Host",'vInfo (Imported)'!$1:$5000,M4090,FALSE)</f>
        <v>0</v>
      </c>
      <c r="R4090">
        <f>HLOOKUP("CPUs",'vInfo (Imported)'!$1:$5000,M4090,FALSE)</f>
        <v>0</v>
      </c>
      <c r="S4090">
        <f>HLOOKUP("Memory",'vInfo (Imported)'!$1:$5000,M4090,FALSE)</f>
        <v>0</v>
      </c>
      <c r="T4090">
        <f>HLOOKUP("Provisioned MiB",'vInfo (Imported)'!$1:$5000,M4090,FALSE)</f>
        <v>0</v>
      </c>
      <c r="U4090">
        <f t="shared" si="190"/>
        <v>0</v>
      </c>
      <c r="V4090">
        <f>HLOOKUP("In Use MiB",'vInfo (Imported)'!$1:$5000,M4090,FALSE)</f>
        <v>0</v>
      </c>
    </row>
    <row r="4091" spans="1:22" ht="13" x14ac:dyDescent="0.3">
      <c r="A4091" s="46">
        <f>'vHosts (Imported)'!A4091</f>
        <v>0</v>
      </c>
      <c r="B4091" s="51">
        <f t="shared" si="192"/>
        <v>4968</v>
      </c>
      <c r="C4091" s="49">
        <f>HLOOKUP("# Cores",'vHosts (Imported)'!$1:$5000,M4091,FALSE)</f>
        <v>0</v>
      </c>
      <c r="D4091" s="52">
        <f>HLOOKUP("# Memory",'vHosts (Imported)'!$1:$5000,M4091,FALSE)</f>
        <v>0</v>
      </c>
      <c r="M4091" s="45">
        <f t="shared" si="191"/>
        <v>4091</v>
      </c>
      <c r="N4091" s="38">
        <f>HLOOKUP("Host",'vInfo (Imported)'!$1:$5000,M4091,FALSE)</f>
        <v>0</v>
      </c>
      <c r="R4091">
        <f>HLOOKUP("CPUs",'vInfo (Imported)'!$1:$5000,M4091,FALSE)</f>
        <v>0</v>
      </c>
      <c r="S4091">
        <f>HLOOKUP("Memory",'vInfo (Imported)'!$1:$5000,M4091,FALSE)</f>
        <v>0</v>
      </c>
      <c r="T4091">
        <f>HLOOKUP("Provisioned MiB",'vInfo (Imported)'!$1:$5000,M4091,FALSE)</f>
        <v>0</v>
      </c>
      <c r="U4091">
        <f t="shared" si="190"/>
        <v>0</v>
      </c>
      <c r="V4091">
        <f>HLOOKUP("In Use MiB",'vInfo (Imported)'!$1:$5000,M4091,FALSE)</f>
        <v>0</v>
      </c>
    </row>
    <row r="4092" spans="1:22" ht="13" x14ac:dyDescent="0.3">
      <c r="A4092" s="46">
        <f>'vHosts (Imported)'!A4092</f>
        <v>0</v>
      </c>
      <c r="B4092" s="51">
        <f t="shared" si="192"/>
        <v>4968</v>
      </c>
      <c r="C4092" s="49">
        <f>HLOOKUP("# Cores",'vHosts (Imported)'!$1:$5000,M4092,FALSE)</f>
        <v>0</v>
      </c>
      <c r="D4092" s="52">
        <f>HLOOKUP("# Memory",'vHosts (Imported)'!$1:$5000,M4092,FALSE)</f>
        <v>0</v>
      </c>
      <c r="M4092" s="45">
        <f t="shared" si="191"/>
        <v>4092</v>
      </c>
      <c r="N4092" s="38">
        <f>HLOOKUP("Host",'vInfo (Imported)'!$1:$5000,M4092,FALSE)</f>
        <v>0</v>
      </c>
      <c r="R4092">
        <f>HLOOKUP("CPUs",'vInfo (Imported)'!$1:$5000,M4092,FALSE)</f>
        <v>0</v>
      </c>
      <c r="S4092">
        <f>HLOOKUP("Memory",'vInfo (Imported)'!$1:$5000,M4092,FALSE)</f>
        <v>0</v>
      </c>
      <c r="T4092">
        <f>HLOOKUP("Provisioned MiB",'vInfo (Imported)'!$1:$5000,M4092,FALSE)</f>
        <v>0</v>
      </c>
      <c r="U4092">
        <f t="shared" si="190"/>
        <v>0</v>
      </c>
      <c r="V4092">
        <f>HLOOKUP("In Use MiB",'vInfo (Imported)'!$1:$5000,M4092,FALSE)</f>
        <v>0</v>
      </c>
    </row>
    <row r="4093" spans="1:22" ht="13" x14ac:dyDescent="0.3">
      <c r="A4093" s="46">
        <f>'vHosts (Imported)'!A4093</f>
        <v>0</v>
      </c>
      <c r="B4093" s="51">
        <f t="shared" si="192"/>
        <v>4968</v>
      </c>
      <c r="C4093" s="49">
        <f>HLOOKUP("# Cores",'vHosts (Imported)'!$1:$5000,M4093,FALSE)</f>
        <v>0</v>
      </c>
      <c r="D4093" s="52">
        <f>HLOOKUP("# Memory",'vHosts (Imported)'!$1:$5000,M4093,FALSE)</f>
        <v>0</v>
      </c>
      <c r="M4093" s="45">
        <f t="shared" si="191"/>
        <v>4093</v>
      </c>
      <c r="N4093" s="38">
        <f>HLOOKUP("Host",'vInfo (Imported)'!$1:$5000,M4093,FALSE)</f>
        <v>0</v>
      </c>
      <c r="R4093">
        <f>HLOOKUP("CPUs",'vInfo (Imported)'!$1:$5000,M4093,FALSE)</f>
        <v>0</v>
      </c>
      <c r="S4093">
        <f>HLOOKUP("Memory",'vInfo (Imported)'!$1:$5000,M4093,FALSE)</f>
        <v>0</v>
      </c>
      <c r="T4093">
        <f>HLOOKUP("Provisioned MiB",'vInfo (Imported)'!$1:$5000,M4093,FALSE)</f>
        <v>0</v>
      </c>
      <c r="U4093">
        <f t="shared" si="190"/>
        <v>0</v>
      </c>
      <c r="V4093">
        <f>HLOOKUP("In Use MiB",'vInfo (Imported)'!$1:$5000,M4093,FALSE)</f>
        <v>0</v>
      </c>
    </row>
    <row r="4094" spans="1:22" ht="13" x14ac:dyDescent="0.3">
      <c r="A4094" s="46">
        <f>'vHosts (Imported)'!A4094</f>
        <v>0</v>
      </c>
      <c r="B4094" s="51">
        <f t="shared" si="192"/>
        <v>4968</v>
      </c>
      <c r="C4094" s="49">
        <f>HLOOKUP("# Cores",'vHosts (Imported)'!$1:$5000,M4094,FALSE)</f>
        <v>0</v>
      </c>
      <c r="D4094" s="52">
        <f>HLOOKUP("# Memory",'vHosts (Imported)'!$1:$5000,M4094,FALSE)</f>
        <v>0</v>
      </c>
      <c r="M4094" s="45">
        <f t="shared" si="191"/>
        <v>4094</v>
      </c>
      <c r="N4094" s="38">
        <f>HLOOKUP("Host",'vInfo (Imported)'!$1:$5000,M4094,FALSE)</f>
        <v>0</v>
      </c>
      <c r="R4094">
        <f>HLOOKUP("CPUs",'vInfo (Imported)'!$1:$5000,M4094,FALSE)</f>
        <v>0</v>
      </c>
      <c r="S4094">
        <f>HLOOKUP("Memory",'vInfo (Imported)'!$1:$5000,M4094,FALSE)</f>
        <v>0</v>
      </c>
      <c r="T4094">
        <f>HLOOKUP("Provisioned MiB",'vInfo (Imported)'!$1:$5000,M4094,FALSE)</f>
        <v>0</v>
      </c>
      <c r="U4094">
        <f t="shared" si="190"/>
        <v>0</v>
      </c>
      <c r="V4094">
        <f>HLOOKUP("In Use MiB",'vInfo (Imported)'!$1:$5000,M4094,FALSE)</f>
        <v>0</v>
      </c>
    </row>
    <row r="4095" spans="1:22" ht="13" x14ac:dyDescent="0.3">
      <c r="A4095" s="46">
        <f>'vHosts (Imported)'!A4095</f>
        <v>0</v>
      </c>
      <c r="B4095" s="51">
        <f t="shared" si="192"/>
        <v>4968</v>
      </c>
      <c r="C4095" s="49">
        <f>HLOOKUP("# Cores",'vHosts (Imported)'!$1:$5000,M4095,FALSE)</f>
        <v>0</v>
      </c>
      <c r="D4095" s="52">
        <f>HLOOKUP("# Memory",'vHosts (Imported)'!$1:$5000,M4095,FALSE)</f>
        <v>0</v>
      </c>
      <c r="M4095" s="45">
        <f t="shared" si="191"/>
        <v>4095</v>
      </c>
      <c r="N4095" s="38">
        <f>HLOOKUP("Host",'vInfo (Imported)'!$1:$5000,M4095,FALSE)</f>
        <v>0</v>
      </c>
      <c r="R4095">
        <f>HLOOKUP("CPUs",'vInfo (Imported)'!$1:$5000,M4095,FALSE)</f>
        <v>0</v>
      </c>
      <c r="S4095">
        <f>HLOOKUP("Memory",'vInfo (Imported)'!$1:$5000,M4095,FALSE)</f>
        <v>0</v>
      </c>
      <c r="T4095">
        <f>HLOOKUP("Provisioned MiB",'vInfo (Imported)'!$1:$5000,M4095,FALSE)</f>
        <v>0</v>
      </c>
      <c r="U4095">
        <f t="shared" si="190"/>
        <v>0</v>
      </c>
      <c r="V4095">
        <f>HLOOKUP("In Use MiB",'vInfo (Imported)'!$1:$5000,M4095,FALSE)</f>
        <v>0</v>
      </c>
    </row>
    <row r="4096" spans="1:22" ht="13" x14ac:dyDescent="0.3">
      <c r="A4096" s="46">
        <f>'vHosts (Imported)'!A4096</f>
        <v>0</v>
      </c>
      <c r="B4096" s="51">
        <f t="shared" si="192"/>
        <v>4968</v>
      </c>
      <c r="C4096" s="49">
        <f>HLOOKUP("# Cores",'vHosts (Imported)'!$1:$5000,M4096,FALSE)</f>
        <v>0</v>
      </c>
      <c r="D4096" s="52">
        <f>HLOOKUP("# Memory",'vHosts (Imported)'!$1:$5000,M4096,FALSE)</f>
        <v>0</v>
      </c>
      <c r="M4096" s="45">
        <f t="shared" si="191"/>
        <v>4096</v>
      </c>
      <c r="N4096" s="38">
        <f>HLOOKUP("Host",'vInfo (Imported)'!$1:$5000,M4096,FALSE)</f>
        <v>0</v>
      </c>
      <c r="R4096">
        <f>HLOOKUP("CPUs",'vInfo (Imported)'!$1:$5000,M4096,FALSE)</f>
        <v>0</v>
      </c>
      <c r="S4096">
        <f>HLOOKUP("Memory",'vInfo (Imported)'!$1:$5000,M4096,FALSE)</f>
        <v>0</v>
      </c>
      <c r="T4096">
        <f>HLOOKUP("Provisioned MiB",'vInfo (Imported)'!$1:$5000,M4096,FALSE)</f>
        <v>0</v>
      </c>
      <c r="U4096">
        <f t="shared" si="190"/>
        <v>0</v>
      </c>
      <c r="V4096">
        <f>HLOOKUP("In Use MiB",'vInfo (Imported)'!$1:$5000,M4096,FALSE)</f>
        <v>0</v>
      </c>
    </row>
    <row r="4097" spans="1:22" ht="13" x14ac:dyDescent="0.3">
      <c r="A4097" s="46">
        <f>'vHosts (Imported)'!A4097</f>
        <v>0</v>
      </c>
      <c r="B4097" s="51">
        <f t="shared" si="192"/>
        <v>4968</v>
      </c>
      <c r="C4097" s="49">
        <f>HLOOKUP("# Cores",'vHosts (Imported)'!$1:$5000,M4097,FALSE)</f>
        <v>0</v>
      </c>
      <c r="D4097" s="52">
        <f>HLOOKUP("# Memory",'vHosts (Imported)'!$1:$5000,M4097,FALSE)</f>
        <v>0</v>
      </c>
      <c r="M4097" s="45">
        <f t="shared" si="191"/>
        <v>4097</v>
      </c>
      <c r="N4097" s="38">
        <f>HLOOKUP("Host",'vInfo (Imported)'!$1:$5000,M4097,FALSE)</f>
        <v>0</v>
      </c>
      <c r="R4097">
        <f>HLOOKUP("CPUs",'vInfo (Imported)'!$1:$5000,M4097,FALSE)</f>
        <v>0</v>
      </c>
      <c r="S4097">
        <f>HLOOKUP("Memory",'vInfo (Imported)'!$1:$5000,M4097,FALSE)</f>
        <v>0</v>
      </c>
      <c r="T4097">
        <f>HLOOKUP("Provisioned MiB",'vInfo (Imported)'!$1:$5000,M4097,FALSE)</f>
        <v>0</v>
      </c>
      <c r="U4097">
        <f t="shared" si="190"/>
        <v>0</v>
      </c>
      <c r="V4097">
        <f>HLOOKUP("In Use MiB",'vInfo (Imported)'!$1:$5000,M4097,FALSE)</f>
        <v>0</v>
      </c>
    </row>
    <row r="4098" spans="1:22" ht="13" x14ac:dyDescent="0.3">
      <c r="A4098" s="46">
        <f>'vHosts (Imported)'!A4098</f>
        <v>0</v>
      </c>
      <c r="B4098" s="51">
        <f t="shared" si="192"/>
        <v>4968</v>
      </c>
      <c r="C4098" s="49">
        <f>HLOOKUP("# Cores",'vHosts (Imported)'!$1:$5000,M4098,FALSE)</f>
        <v>0</v>
      </c>
      <c r="D4098" s="52">
        <f>HLOOKUP("# Memory",'vHosts (Imported)'!$1:$5000,M4098,FALSE)</f>
        <v>0</v>
      </c>
      <c r="M4098" s="45">
        <f t="shared" si="191"/>
        <v>4098</v>
      </c>
      <c r="N4098" s="38">
        <f>HLOOKUP("Host",'vInfo (Imported)'!$1:$5000,M4098,FALSE)</f>
        <v>0</v>
      </c>
      <c r="R4098">
        <f>HLOOKUP("CPUs",'vInfo (Imported)'!$1:$5000,M4098,FALSE)</f>
        <v>0</v>
      </c>
      <c r="S4098">
        <f>HLOOKUP("Memory",'vInfo (Imported)'!$1:$5000,M4098,FALSE)</f>
        <v>0</v>
      </c>
      <c r="T4098">
        <f>HLOOKUP("Provisioned MiB",'vInfo (Imported)'!$1:$5000,M4098,FALSE)</f>
        <v>0</v>
      </c>
      <c r="U4098">
        <f t="shared" si="190"/>
        <v>0</v>
      </c>
      <c r="V4098">
        <f>HLOOKUP("In Use MiB",'vInfo (Imported)'!$1:$5000,M4098,FALSE)</f>
        <v>0</v>
      </c>
    </row>
    <row r="4099" spans="1:22" ht="13" x14ac:dyDescent="0.3">
      <c r="A4099" s="46">
        <f>'vHosts (Imported)'!A4099</f>
        <v>0</v>
      </c>
      <c r="B4099" s="51">
        <f t="shared" si="192"/>
        <v>4968</v>
      </c>
      <c r="C4099" s="49">
        <f>HLOOKUP("# Cores",'vHosts (Imported)'!$1:$5000,M4099,FALSE)</f>
        <v>0</v>
      </c>
      <c r="D4099" s="52">
        <f>HLOOKUP("# Memory",'vHosts (Imported)'!$1:$5000,M4099,FALSE)</f>
        <v>0</v>
      </c>
      <c r="M4099" s="45">
        <f t="shared" si="191"/>
        <v>4099</v>
      </c>
      <c r="N4099" s="38">
        <f>HLOOKUP("Host",'vInfo (Imported)'!$1:$5000,M4099,FALSE)</f>
        <v>0</v>
      </c>
      <c r="R4099">
        <f>HLOOKUP("CPUs",'vInfo (Imported)'!$1:$5000,M4099,FALSE)</f>
        <v>0</v>
      </c>
      <c r="S4099">
        <f>HLOOKUP("Memory",'vInfo (Imported)'!$1:$5000,M4099,FALSE)</f>
        <v>0</v>
      </c>
      <c r="T4099">
        <f>HLOOKUP("Provisioned MiB",'vInfo (Imported)'!$1:$5000,M4099,FALSE)</f>
        <v>0</v>
      </c>
      <c r="U4099">
        <f t="shared" ref="U4099:U4162" si="193">T4099-V4099</f>
        <v>0</v>
      </c>
      <c r="V4099">
        <f>HLOOKUP("In Use MiB",'vInfo (Imported)'!$1:$5000,M4099,FALSE)</f>
        <v>0</v>
      </c>
    </row>
    <row r="4100" spans="1:22" ht="13" x14ac:dyDescent="0.3">
      <c r="A4100" s="46">
        <f>'vHosts (Imported)'!A4100</f>
        <v>0</v>
      </c>
      <c r="B4100" s="51">
        <f t="shared" si="192"/>
        <v>4968</v>
      </c>
      <c r="C4100" s="49">
        <f>HLOOKUP("# Cores",'vHosts (Imported)'!$1:$5000,M4100,FALSE)</f>
        <v>0</v>
      </c>
      <c r="D4100" s="52">
        <f>HLOOKUP("# Memory",'vHosts (Imported)'!$1:$5000,M4100,FALSE)</f>
        <v>0</v>
      </c>
      <c r="M4100" s="45">
        <f t="shared" ref="M4100:M4163" si="194">M4099+1</f>
        <v>4100</v>
      </c>
      <c r="N4100" s="38">
        <f>HLOOKUP("Host",'vInfo (Imported)'!$1:$5000,M4100,FALSE)</f>
        <v>0</v>
      </c>
      <c r="R4100">
        <f>HLOOKUP("CPUs",'vInfo (Imported)'!$1:$5000,M4100,FALSE)</f>
        <v>0</v>
      </c>
      <c r="S4100">
        <f>HLOOKUP("Memory",'vInfo (Imported)'!$1:$5000,M4100,FALSE)</f>
        <v>0</v>
      </c>
      <c r="T4100">
        <f>HLOOKUP("Provisioned MiB",'vInfo (Imported)'!$1:$5000,M4100,FALSE)</f>
        <v>0</v>
      </c>
      <c r="U4100">
        <f t="shared" si="193"/>
        <v>0</v>
      </c>
      <c r="V4100">
        <f>HLOOKUP("In Use MiB",'vInfo (Imported)'!$1:$5000,M4100,FALSE)</f>
        <v>0</v>
      </c>
    </row>
    <row r="4101" spans="1:22" ht="13" x14ac:dyDescent="0.3">
      <c r="A4101" s="46">
        <f>'vHosts (Imported)'!A4101</f>
        <v>0</v>
      </c>
      <c r="B4101" s="51">
        <f t="shared" si="192"/>
        <v>4968</v>
      </c>
      <c r="C4101" s="49">
        <f>HLOOKUP("# Cores",'vHosts (Imported)'!$1:$5000,M4101,FALSE)</f>
        <v>0</v>
      </c>
      <c r="D4101" s="52">
        <f>HLOOKUP("# Memory",'vHosts (Imported)'!$1:$5000,M4101,FALSE)</f>
        <v>0</v>
      </c>
      <c r="M4101" s="45">
        <f t="shared" si="194"/>
        <v>4101</v>
      </c>
      <c r="N4101" s="38">
        <f>HLOOKUP("Host",'vInfo (Imported)'!$1:$5000,M4101,FALSE)</f>
        <v>0</v>
      </c>
      <c r="R4101">
        <f>HLOOKUP("CPUs",'vInfo (Imported)'!$1:$5000,M4101,FALSE)</f>
        <v>0</v>
      </c>
      <c r="S4101">
        <f>HLOOKUP("Memory",'vInfo (Imported)'!$1:$5000,M4101,FALSE)</f>
        <v>0</v>
      </c>
      <c r="T4101">
        <f>HLOOKUP("Provisioned MiB",'vInfo (Imported)'!$1:$5000,M4101,FALSE)</f>
        <v>0</v>
      </c>
      <c r="U4101">
        <f t="shared" si="193"/>
        <v>0</v>
      </c>
      <c r="V4101">
        <f>HLOOKUP("In Use MiB",'vInfo (Imported)'!$1:$5000,M4101,FALSE)</f>
        <v>0</v>
      </c>
    </row>
    <row r="4102" spans="1:22" ht="13" x14ac:dyDescent="0.3">
      <c r="A4102" s="46">
        <f>'vHosts (Imported)'!A4102</f>
        <v>0</v>
      </c>
      <c r="B4102" s="51">
        <f t="shared" si="192"/>
        <v>4968</v>
      </c>
      <c r="C4102" s="49">
        <f>HLOOKUP("# Cores",'vHosts (Imported)'!$1:$5000,M4102,FALSE)</f>
        <v>0</v>
      </c>
      <c r="D4102" s="52">
        <f>HLOOKUP("# Memory",'vHosts (Imported)'!$1:$5000,M4102,FALSE)</f>
        <v>0</v>
      </c>
      <c r="M4102" s="45">
        <f t="shared" si="194"/>
        <v>4102</v>
      </c>
      <c r="N4102" s="38">
        <f>HLOOKUP("Host",'vInfo (Imported)'!$1:$5000,M4102,FALSE)</f>
        <v>0</v>
      </c>
      <c r="R4102">
        <f>HLOOKUP("CPUs",'vInfo (Imported)'!$1:$5000,M4102,FALSE)</f>
        <v>0</v>
      </c>
      <c r="S4102">
        <f>HLOOKUP("Memory",'vInfo (Imported)'!$1:$5000,M4102,FALSE)</f>
        <v>0</v>
      </c>
      <c r="T4102">
        <f>HLOOKUP("Provisioned MiB",'vInfo (Imported)'!$1:$5000,M4102,FALSE)</f>
        <v>0</v>
      </c>
      <c r="U4102">
        <f t="shared" si="193"/>
        <v>0</v>
      </c>
      <c r="V4102">
        <f>HLOOKUP("In Use MiB",'vInfo (Imported)'!$1:$5000,M4102,FALSE)</f>
        <v>0</v>
      </c>
    </row>
    <row r="4103" spans="1:22" ht="13" x14ac:dyDescent="0.3">
      <c r="A4103" s="46">
        <f>'vHosts (Imported)'!A4103</f>
        <v>0</v>
      </c>
      <c r="B4103" s="51">
        <f t="shared" si="192"/>
        <v>4968</v>
      </c>
      <c r="C4103" s="49">
        <f>HLOOKUP("# Cores",'vHosts (Imported)'!$1:$5000,M4103,FALSE)</f>
        <v>0</v>
      </c>
      <c r="D4103" s="52">
        <f>HLOOKUP("# Memory",'vHosts (Imported)'!$1:$5000,M4103,FALSE)</f>
        <v>0</v>
      </c>
      <c r="M4103" s="45">
        <f t="shared" si="194"/>
        <v>4103</v>
      </c>
      <c r="N4103" s="38">
        <f>HLOOKUP("Host",'vInfo (Imported)'!$1:$5000,M4103,FALSE)</f>
        <v>0</v>
      </c>
      <c r="R4103">
        <f>HLOOKUP("CPUs",'vInfo (Imported)'!$1:$5000,M4103,FALSE)</f>
        <v>0</v>
      </c>
      <c r="S4103">
        <f>HLOOKUP("Memory",'vInfo (Imported)'!$1:$5000,M4103,FALSE)</f>
        <v>0</v>
      </c>
      <c r="T4103">
        <f>HLOOKUP("Provisioned MiB",'vInfo (Imported)'!$1:$5000,M4103,FALSE)</f>
        <v>0</v>
      </c>
      <c r="U4103">
        <f t="shared" si="193"/>
        <v>0</v>
      </c>
      <c r="V4103">
        <f>HLOOKUP("In Use MiB",'vInfo (Imported)'!$1:$5000,M4103,FALSE)</f>
        <v>0</v>
      </c>
    </row>
    <row r="4104" spans="1:22" ht="13" x14ac:dyDescent="0.3">
      <c r="A4104" s="46">
        <f>'vHosts (Imported)'!A4104</f>
        <v>0</v>
      </c>
      <c r="B4104" s="51">
        <f t="shared" si="192"/>
        <v>4968</v>
      </c>
      <c r="C4104" s="49">
        <f>HLOOKUP("# Cores",'vHosts (Imported)'!$1:$5000,M4104,FALSE)</f>
        <v>0</v>
      </c>
      <c r="D4104" s="52">
        <f>HLOOKUP("# Memory",'vHosts (Imported)'!$1:$5000,M4104,FALSE)</f>
        <v>0</v>
      </c>
      <c r="M4104" s="45">
        <f t="shared" si="194"/>
        <v>4104</v>
      </c>
      <c r="N4104" s="38">
        <f>HLOOKUP("Host",'vInfo (Imported)'!$1:$5000,M4104,FALSE)</f>
        <v>0</v>
      </c>
      <c r="R4104">
        <f>HLOOKUP("CPUs",'vInfo (Imported)'!$1:$5000,M4104,FALSE)</f>
        <v>0</v>
      </c>
      <c r="S4104">
        <f>HLOOKUP("Memory",'vInfo (Imported)'!$1:$5000,M4104,FALSE)</f>
        <v>0</v>
      </c>
      <c r="T4104">
        <f>HLOOKUP("Provisioned MiB",'vInfo (Imported)'!$1:$5000,M4104,FALSE)</f>
        <v>0</v>
      </c>
      <c r="U4104">
        <f t="shared" si="193"/>
        <v>0</v>
      </c>
      <c r="V4104">
        <f>HLOOKUP("In Use MiB",'vInfo (Imported)'!$1:$5000,M4104,FALSE)</f>
        <v>0</v>
      </c>
    </row>
    <row r="4105" spans="1:22" ht="13" x14ac:dyDescent="0.3">
      <c r="A4105" s="46">
        <f>'vHosts (Imported)'!A4105</f>
        <v>0</v>
      </c>
      <c r="B4105" s="51">
        <f t="shared" si="192"/>
        <v>4968</v>
      </c>
      <c r="C4105" s="49">
        <f>HLOOKUP("# Cores",'vHosts (Imported)'!$1:$5000,M4105,FALSE)</f>
        <v>0</v>
      </c>
      <c r="D4105" s="52">
        <f>HLOOKUP("# Memory",'vHosts (Imported)'!$1:$5000,M4105,FALSE)</f>
        <v>0</v>
      </c>
      <c r="M4105" s="45">
        <f t="shared" si="194"/>
        <v>4105</v>
      </c>
      <c r="N4105" s="38">
        <f>HLOOKUP("Host",'vInfo (Imported)'!$1:$5000,M4105,FALSE)</f>
        <v>0</v>
      </c>
      <c r="R4105">
        <f>HLOOKUP("CPUs",'vInfo (Imported)'!$1:$5000,M4105,FALSE)</f>
        <v>0</v>
      </c>
      <c r="S4105">
        <f>HLOOKUP("Memory",'vInfo (Imported)'!$1:$5000,M4105,FALSE)</f>
        <v>0</v>
      </c>
      <c r="T4105">
        <f>HLOOKUP("Provisioned MiB",'vInfo (Imported)'!$1:$5000,M4105,FALSE)</f>
        <v>0</v>
      </c>
      <c r="U4105">
        <f t="shared" si="193"/>
        <v>0</v>
      </c>
      <c r="V4105">
        <f>HLOOKUP("In Use MiB",'vInfo (Imported)'!$1:$5000,M4105,FALSE)</f>
        <v>0</v>
      </c>
    </row>
    <row r="4106" spans="1:22" ht="13" x14ac:dyDescent="0.3">
      <c r="A4106" s="46">
        <f>'vHosts (Imported)'!A4106</f>
        <v>0</v>
      </c>
      <c r="B4106" s="51">
        <f t="shared" si="192"/>
        <v>4968</v>
      </c>
      <c r="C4106" s="49">
        <f>HLOOKUP("# Cores",'vHosts (Imported)'!$1:$5000,M4106,FALSE)</f>
        <v>0</v>
      </c>
      <c r="D4106" s="52">
        <f>HLOOKUP("# Memory",'vHosts (Imported)'!$1:$5000,M4106,FALSE)</f>
        <v>0</v>
      </c>
      <c r="M4106" s="45">
        <f t="shared" si="194"/>
        <v>4106</v>
      </c>
      <c r="N4106" s="38">
        <f>HLOOKUP("Host",'vInfo (Imported)'!$1:$5000,M4106,FALSE)</f>
        <v>0</v>
      </c>
      <c r="R4106">
        <f>HLOOKUP("CPUs",'vInfo (Imported)'!$1:$5000,M4106,FALSE)</f>
        <v>0</v>
      </c>
      <c r="S4106">
        <f>HLOOKUP("Memory",'vInfo (Imported)'!$1:$5000,M4106,FALSE)</f>
        <v>0</v>
      </c>
      <c r="T4106">
        <f>HLOOKUP("Provisioned MiB",'vInfo (Imported)'!$1:$5000,M4106,FALSE)</f>
        <v>0</v>
      </c>
      <c r="U4106">
        <f t="shared" si="193"/>
        <v>0</v>
      </c>
      <c r="V4106">
        <f>HLOOKUP("In Use MiB",'vInfo (Imported)'!$1:$5000,M4106,FALSE)</f>
        <v>0</v>
      </c>
    </row>
    <row r="4107" spans="1:22" ht="13" x14ac:dyDescent="0.3">
      <c r="A4107" s="46">
        <f>'vHosts (Imported)'!A4107</f>
        <v>0</v>
      </c>
      <c r="B4107" s="51">
        <f t="shared" si="192"/>
        <v>4968</v>
      </c>
      <c r="C4107" s="49">
        <f>HLOOKUP("# Cores",'vHosts (Imported)'!$1:$5000,M4107,FALSE)</f>
        <v>0</v>
      </c>
      <c r="D4107" s="52">
        <f>HLOOKUP("# Memory",'vHosts (Imported)'!$1:$5000,M4107,FALSE)</f>
        <v>0</v>
      </c>
      <c r="M4107" s="45">
        <f t="shared" si="194"/>
        <v>4107</v>
      </c>
      <c r="N4107" s="38">
        <f>HLOOKUP("Host",'vInfo (Imported)'!$1:$5000,M4107,FALSE)</f>
        <v>0</v>
      </c>
      <c r="R4107">
        <f>HLOOKUP("CPUs",'vInfo (Imported)'!$1:$5000,M4107,FALSE)</f>
        <v>0</v>
      </c>
      <c r="S4107">
        <f>HLOOKUP("Memory",'vInfo (Imported)'!$1:$5000,M4107,FALSE)</f>
        <v>0</v>
      </c>
      <c r="T4107">
        <f>HLOOKUP("Provisioned MiB",'vInfo (Imported)'!$1:$5000,M4107,FALSE)</f>
        <v>0</v>
      </c>
      <c r="U4107">
        <f t="shared" si="193"/>
        <v>0</v>
      </c>
      <c r="V4107">
        <f>HLOOKUP("In Use MiB",'vInfo (Imported)'!$1:$5000,M4107,FALSE)</f>
        <v>0</v>
      </c>
    </row>
    <row r="4108" spans="1:22" ht="13" x14ac:dyDescent="0.3">
      <c r="A4108" s="46">
        <f>'vHosts (Imported)'!A4108</f>
        <v>0</v>
      </c>
      <c r="B4108" s="51">
        <f t="shared" si="192"/>
        <v>4968</v>
      </c>
      <c r="C4108" s="49">
        <f>HLOOKUP("# Cores",'vHosts (Imported)'!$1:$5000,M4108,FALSE)</f>
        <v>0</v>
      </c>
      <c r="D4108" s="52">
        <f>HLOOKUP("# Memory",'vHosts (Imported)'!$1:$5000,M4108,FALSE)</f>
        <v>0</v>
      </c>
      <c r="M4108" s="45">
        <f t="shared" si="194"/>
        <v>4108</v>
      </c>
      <c r="N4108" s="38">
        <f>HLOOKUP("Host",'vInfo (Imported)'!$1:$5000,M4108,FALSE)</f>
        <v>0</v>
      </c>
      <c r="R4108">
        <f>HLOOKUP("CPUs",'vInfo (Imported)'!$1:$5000,M4108,FALSE)</f>
        <v>0</v>
      </c>
      <c r="S4108">
        <f>HLOOKUP("Memory",'vInfo (Imported)'!$1:$5000,M4108,FALSE)</f>
        <v>0</v>
      </c>
      <c r="T4108">
        <f>HLOOKUP("Provisioned MiB",'vInfo (Imported)'!$1:$5000,M4108,FALSE)</f>
        <v>0</v>
      </c>
      <c r="U4108">
        <f t="shared" si="193"/>
        <v>0</v>
      </c>
      <c r="V4108">
        <f>HLOOKUP("In Use MiB",'vInfo (Imported)'!$1:$5000,M4108,FALSE)</f>
        <v>0</v>
      </c>
    </row>
    <row r="4109" spans="1:22" ht="13" x14ac:dyDescent="0.3">
      <c r="A4109" s="46">
        <f>'vHosts (Imported)'!A4109</f>
        <v>0</v>
      </c>
      <c r="B4109" s="51">
        <f t="shared" si="192"/>
        <v>4968</v>
      </c>
      <c r="C4109" s="49">
        <f>HLOOKUP("# Cores",'vHosts (Imported)'!$1:$5000,M4109,FALSE)</f>
        <v>0</v>
      </c>
      <c r="D4109" s="52">
        <f>HLOOKUP("# Memory",'vHosts (Imported)'!$1:$5000,M4109,FALSE)</f>
        <v>0</v>
      </c>
      <c r="M4109" s="45">
        <f t="shared" si="194"/>
        <v>4109</v>
      </c>
      <c r="N4109" s="38">
        <f>HLOOKUP("Host",'vInfo (Imported)'!$1:$5000,M4109,FALSE)</f>
        <v>0</v>
      </c>
      <c r="R4109">
        <f>HLOOKUP("CPUs",'vInfo (Imported)'!$1:$5000,M4109,FALSE)</f>
        <v>0</v>
      </c>
      <c r="S4109">
        <f>HLOOKUP("Memory",'vInfo (Imported)'!$1:$5000,M4109,FALSE)</f>
        <v>0</v>
      </c>
      <c r="T4109">
        <f>HLOOKUP("Provisioned MiB",'vInfo (Imported)'!$1:$5000,M4109,FALSE)</f>
        <v>0</v>
      </c>
      <c r="U4109">
        <f t="shared" si="193"/>
        <v>0</v>
      </c>
      <c r="V4109">
        <f>HLOOKUP("In Use MiB",'vInfo (Imported)'!$1:$5000,M4109,FALSE)</f>
        <v>0</v>
      </c>
    </row>
    <row r="4110" spans="1:22" ht="13" x14ac:dyDescent="0.3">
      <c r="A4110" s="46">
        <f>'vHosts (Imported)'!A4110</f>
        <v>0</v>
      </c>
      <c r="B4110" s="51">
        <f t="shared" si="192"/>
        <v>4968</v>
      </c>
      <c r="C4110" s="49">
        <f>HLOOKUP("# Cores",'vHosts (Imported)'!$1:$5000,M4110,FALSE)</f>
        <v>0</v>
      </c>
      <c r="D4110" s="52">
        <f>HLOOKUP("# Memory",'vHosts (Imported)'!$1:$5000,M4110,FALSE)</f>
        <v>0</v>
      </c>
      <c r="M4110" s="45">
        <f t="shared" si="194"/>
        <v>4110</v>
      </c>
      <c r="N4110" s="38">
        <f>HLOOKUP("Host",'vInfo (Imported)'!$1:$5000,M4110,FALSE)</f>
        <v>0</v>
      </c>
      <c r="R4110">
        <f>HLOOKUP("CPUs",'vInfo (Imported)'!$1:$5000,M4110,FALSE)</f>
        <v>0</v>
      </c>
      <c r="S4110">
        <f>HLOOKUP("Memory",'vInfo (Imported)'!$1:$5000,M4110,FALSE)</f>
        <v>0</v>
      </c>
      <c r="T4110">
        <f>HLOOKUP("Provisioned MiB",'vInfo (Imported)'!$1:$5000,M4110,FALSE)</f>
        <v>0</v>
      </c>
      <c r="U4110">
        <f t="shared" si="193"/>
        <v>0</v>
      </c>
      <c r="V4110">
        <f>HLOOKUP("In Use MiB",'vInfo (Imported)'!$1:$5000,M4110,FALSE)</f>
        <v>0</v>
      </c>
    </row>
    <row r="4111" spans="1:22" ht="13" x14ac:dyDescent="0.3">
      <c r="A4111" s="46">
        <f>'vHosts (Imported)'!A4111</f>
        <v>0</v>
      </c>
      <c r="B4111" s="51">
        <f t="shared" si="192"/>
        <v>4968</v>
      </c>
      <c r="C4111" s="49">
        <f>HLOOKUP("# Cores",'vHosts (Imported)'!$1:$5000,M4111,FALSE)</f>
        <v>0</v>
      </c>
      <c r="D4111" s="52">
        <f>HLOOKUP("# Memory",'vHosts (Imported)'!$1:$5000,M4111,FALSE)</f>
        <v>0</v>
      </c>
      <c r="M4111" s="45">
        <f t="shared" si="194"/>
        <v>4111</v>
      </c>
      <c r="N4111" s="38">
        <f>HLOOKUP("Host",'vInfo (Imported)'!$1:$5000,M4111,FALSE)</f>
        <v>0</v>
      </c>
      <c r="R4111">
        <f>HLOOKUP("CPUs",'vInfo (Imported)'!$1:$5000,M4111,FALSE)</f>
        <v>0</v>
      </c>
      <c r="S4111">
        <f>HLOOKUP("Memory",'vInfo (Imported)'!$1:$5000,M4111,FALSE)</f>
        <v>0</v>
      </c>
      <c r="T4111">
        <f>HLOOKUP("Provisioned MiB",'vInfo (Imported)'!$1:$5000,M4111,FALSE)</f>
        <v>0</v>
      </c>
      <c r="U4111">
        <f t="shared" si="193"/>
        <v>0</v>
      </c>
      <c r="V4111">
        <f>HLOOKUP("In Use MiB",'vInfo (Imported)'!$1:$5000,M4111,FALSE)</f>
        <v>0</v>
      </c>
    </row>
    <row r="4112" spans="1:22" ht="13" x14ac:dyDescent="0.3">
      <c r="A4112" s="46">
        <f>'vHosts (Imported)'!A4112</f>
        <v>0</v>
      </c>
      <c r="B4112" s="51">
        <f t="shared" si="192"/>
        <v>4968</v>
      </c>
      <c r="C4112" s="49">
        <f>HLOOKUP("# Cores",'vHosts (Imported)'!$1:$5000,M4112,FALSE)</f>
        <v>0</v>
      </c>
      <c r="D4112" s="52">
        <f>HLOOKUP("# Memory",'vHosts (Imported)'!$1:$5000,M4112,FALSE)</f>
        <v>0</v>
      </c>
      <c r="M4112" s="45">
        <f t="shared" si="194"/>
        <v>4112</v>
      </c>
      <c r="N4112" s="38">
        <f>HLOOKUP("Host",'vInfo (Imported)'!$1:$5000,M4112,FALSE)</f>
        <v>0</v>
      </c>
      <c r="R4112">
        <f>HLOOKUP("CPUs",'vInfo (Imported)'!$1:$5000,M4112,FALSE)</f>
        <v>0</v>
      </c>
      <c r="S4112">
        <f>HLOOKUP("Memory",'vInfo (Imported)'!$1:$5000,M4112,FALSE)</f>
        <v>0</v>
      </c>
      <c r="T4112">
        <f>HLOOKUP("Provisioned MiB",'vInfo (Imported)'!$1:$5000,M4112,FALSE)</f>
        <v>0</v>
      </c>
      <c r="U4112">
        <f t="shared" si="193"/>
        <v>0</v>
      </c>
      <c r="V4112">
        <f>HLOOKUP("In Use MiB",'vInfo (Imported)'!$1:$5000,M4112,FALSE)</f>
        <v>0</v>
      </c>
    </row>
    <row r="4113" spans="1:22" ht="13" x14ac:dyDescent="0.3">
      <c r="A4113" s="46">
        <f>'vHosts (Imported)'!A4113</f>
        <v>0</v>
      </c>
      <c r="B4113" s="51">
        <f t="shared" si="192"/>
        <v>4968</v>
      </c>
      <c r="C4113" s="49">
        <f>HLOOKUP("# Cores",'vHosts (Imported)'!$1:$5000,M4113,FALSE)</f>
        <v>0</v>
      </c>
      <c r="D4113" s="52">
        <f>HLOOKUP("# Memory",'vHosts (Imported)'!$1:$5000,M4113,FALSE)</f>
        <v>0</v>
      </c>
      <c r="M4113" s="45">
        <f t="shared" si="194"/>
        <v>4113</v>
      </c>
      <c r="N4113" s="38">
        <f>HLOOKUP("Host",'vInfo (Imported)'!$1:$5000,M4113,FALSE)</f>
        <v>0</v>
      </c>
      <c r="R4113">
        <f>HLOOKUP("CPUs",'vInfo (Imported)'!$1:$5000,M4113,FALSE)</f>
        <v>0</v>
      </c>
      <c r="S4113">
        <f>HLOOKUP("Memory",'vInfo (Imported)'!$1:$5000,M4113,FALSE)</f>
        <v>0</v>
      </c>
      <c r="T4113">
        <f>HLOOKUP("Provisioned MiB",'vInfo (Imported)'!$1:$5000,M4113,FALSE)</f>
        <v>0</v>
      </c>
      <c r="U4113">
        <f t="shared" si="193"/>
        <v>0</v>
      </c>
      <c r="V4113">
        <f>HLOOKUP("In Use MiB",'vInfo (Imported)'!$1:$5000,M4113,FALSE)</f>
        <v>0</v>
      </c>
    </row>
    <row r="4114" spans="1:22" ht="13" x14ac:dyDescent="0.3">
      <c r="A4114" s="46">
        <f>'vHosts (Imported)'!A4114</f>
        <v>0</v>
      </c>
      <c r="B4114" s="51">
        <f t="shared" si="192"/>
        <v>4968</v>
      </c>
      <c r="C4114" s="49">
        <f>HLOOKUP("# Cores",'vHosts (Imported)'!$1:$5000,M4114,FALSE)</f>
        <v>0</v>
      </c>
      <c r="D4114" s="52">
        <f>HLOOKUP("# Memory",'vHosts (Imported)'!$1:$5000,M4114,FALSE)</f>
        <v>0</v>
      </c>
      <c r="M4114" s="45">
        <f t="shared" si="194"/>
        <v>4114</v>
      </c>
      <c r="N4114" s="38">
        <f>HLOOKUP("Host",'vInfo (Imported)'!$1:$5000,M4114,FALSE)</f>
        <v>0</v>
      </c>
      <c r="R4114">
        <f>HLOOKUP("CPUs",'vInfo (Imported)'!$1:$5000,M4114,FALSE)</f>
        <v>0</v>
      </c>
      <c r="S4114">
        <f>HLOOKUP("Memory",'vInfo (Imported)'!$1:$5000,M4114,FALSE)</f>
        <v>0</v>
      </c>
      <c r="T4114">
        <f>HLOOKUP("Provisioned MiB",'vInfo (Imported)'!$1:$5000,M4114,FALSE)</f>
        <v>0</v>
      </c>
      <c r="U4114">
        <f t="shared" si="193"/>
        <v>0</v>
      </c>
      <c r="V4114">
        <f>HLOOKUP("In Use MiB",'vInfo (Imported)'!$1:$5000,M4114,FALSE)</f>
        <v>0</v>
      </c>
    </row>
    <row r="4115" spans="1:22" ht="13" x14ac:dyDescent="0.3">
      <c r="A4115" s="46">
        <f>'vHosts (Imported)'!A4115</f>
        <v>0</v>
      </c>
      <c r="B4115" s="51">
        <f t="shared" si="192"/>
        <v>4968</v>
      </c>
      <c r="C4115" s="49">
        <f>HLOOKUP("# Cores",'vHosts (Imported)'!$1:$5000,M4115,FALSE)</f>
        <v>0</v>
      </c>
      <c r="D4115" s="52">
        <f>HLOOKUP("# Memory",'vHosts (Imported)'!$1:$5000,M4115,FALSE)</f>
        <v>0</v>
      </c>
      <c r="M4115" s="45">
        <f t="shared" si="194"/>
        <v>4115</v>
      </c>
      <c r="N4115" s="38">
        <f>HLOOKUP("Host",'vInfo (Imported)'!$1:$5000,M4115,FALSE)</f>
        <v>0</v>
      </c>
      <c r="R4115">
        <f>HLOOKUP("CPUs",'vInfo (Imported)'!$1:$5000,M4115,FALSE)</f>
        <v>0</v>
      </c>
      <c r="S4115">
        <f>HLOOKUP("Memory",'vInfo (Imported)'!$1:$5000,M4115,FALSE)</f>
        <v>0</v>
      </c>
      <c r="T4115">
        <f>HLOOKUP("Provisioned MiB",'vInfo (Imported)'!$1:$5000,M4115,FALSE)</f>
        <v>0</v>
      </c>
      <c r="U4115">
        <f t="shared" si="193"/>
        <v>0</v>
      </c>
      <c r="V4115">
        <f>HLOOKUP("In Use MiB",'vInfo (Imported)'!$1:$5000,M4115,FALSE)</f>
        <v>0</v>
      </c>
    </row>
    <row r="4116" spans="1:22" ht="13" x14ac:dyDescent="0.3">
      <c r="A4116" s="46">
        <f>'vHosts (Imported)'!A4116</f>
        <v>0</v>
      </c>
      <c r="B4116" s="51">
        <f t="shared" si="192"/>
        <v>4968</v>
      </c>
      <c r="C4116" s="49">
        <f>HLOOKUP("# Cores",'vHosts (Imported)'!$1:$5000,M4116,FALSE)</f>
        <v>0</v>
      </c>
      <c r="D4116" s="52">
        <f>HLOOKUP("# Memory",'vHosts (Imported)'!$1:$5000,M4116,FALSE)</f>
        <v>0</v>
      </c>
      <c r="M4116" s="45">
        <f t="shared" si="194"/>
        <v>4116</v>
      </c>
      <c r="N4116" s="38">
        <f>HLOOKUP("Host",'vInfo (Imported)'!$1:$5000,M4116,FALSE)</f>
        <v>0</v>
      </c>
      <c r="R4116">
        <f>HLOOKUP("CPUs",'vInfo (Imported)'!$1:$5000,M4116,FALSE)</f>
        <v>0</v>
      </c>
      <c r="S4116">
        <f>HLOOKUP("Memory",'vInfo (Imported)'!$1:$5000,M4116,FALSE)</f>
        <v>0</v>
      </c>
      <c r="T4116">
        <f>HLOOKUP("Provisioned MiB",'vInfo (Imported)'!$1:$5000,M4116,FALSE)</f>
        <v>0</v>
      </c>
      <c r="U4116">
        <f t="shared" si="193"/>
        <v>0</v>
      </c>
      <c r="V4116">
        <f>HLOOKUP("In Use MiB",'vInfo (Imported)'!$1:$5000,M4116,FALSE)</f>
        <v>0</v>
      </c>
    </row>
    <row r="4117" spans="1:22" ht="13" x14ac:dyDescent="0.3">
      <c r="A4117" s="46">
        <f>'vHosts (Imported)'!A4117</f>
        <v>0</v>
      </c>
      <c r="B4117" s="51">
        <f t="shared" si="192"/>
        <v>4968</v>
      </c>
      <c r="C4117" s="49">
        <f>HLOOKUP("# Cores",'vHosts (Imported)'!$1:$5000,M4117,FALSE)</f>
        <v>0</v>
      </c>
      <c r="D4117" s="52">
        <f>HLOOKUP("# Memory",'vHosts (Imported)'!$1:$5000,M4117,FALSE)</f>
        <v>0</v>
      </c>
      <c r="M4117" s="45">
        <f t="shared" si="194"/>
        <v>4117</v>
      </c>
      <c r="N4117" s="38">
        <f>HLOOKUP("Host",'vInfo (Imported)'!$1:$5000,M4117,FALSE)</f>
        <v>0</v>
      </c>
      <c r="R4117">
        <f>HLOOKUP("CPUs",'vInfo (Imported)'!$1:$5000,M4117,FALSE)</f>
        <v>0</v>
      </c>
      <c r="S4117">
        <f>HLOOKUP("Memory",'vInfo (Imported)'!$1:$5000,M4117,FALSE)</f>
        <v>0</v>
      </c>
      <c r="T4117">
        <f>HLOOKUP("Provisioned MiB",'vInfo (Imported)'!$1:$5000,M4117,FALSE)</f>
        <v>0</v>
      </c>
      <c r="U4117">
        <f t="shared" si="193"/>
        <v>0</v>
      </c>
      <c r="V4117">
        <f>HLOOKUP("In Use MiB",'vInfo (Imported)'!$1:$5000,M4117,FALSE)</f>
        <v>0</v>
      </c>
    </row>
    <row r="4118" spans="1:22" ht="13" x14ac:dyDescent="0.3">
      <c r="A4118" s="46">
        <f>'vHosts (Imported)'!A4118</f>
        <v>0</v>
      </c>
      <c r="B4118" s="51">
        <f t="shared" si="192"/>
        <v>4968</v>
      </c>
      <c r="C4118" s="49">
        <f>HLOOKUP("# Cores",'vHosts (Imported)'!$1:$5000,M4118,FALSE)</f>
        <v>0</v>
      </c>
      <c r="D4118" s="52">
        <f>HLOOKUP("# Memory",'vHosts (Imported)'!$1:$5000,M4118,FALSE)</f>
        <v>0</v>
      </c>
      <c r="M4118" s="45">
        <f t="shared" si="194"/>
        <v>4118</v>
      </c>
      <c r="N4118" s="38">
        <f>HLOOKUP("Host",'vInfo (Imported)'!$1:$5000,M4118,FALSE)</f>
        <v>0</v>
      </c>
      <c r="R4118">
        <f>HLOOKUP("CPUs",'vInfo (Imported)'!$1:$5000,M4118,FALSE)</f>
        <v>0</v>
      </c>
      <c r="S4118">
        <f>HLOOKUP("Memory",'vInfo (Imported)'!$1:$5000,M4118,FALSE)</f>
        <v>0</v>
      </c>
      <c r="T4118">
        <f>HLOOKUP("Provisioned MiB",'vInfo (Imported)'!$1:$5000,M4118,FALSE)</f>
        <v>0</v>
      </c>
      <c r="U4118">
        <f t="shared" si="193"/>
        <v>0</v>
      </c>
      <c r="V4118">
        <f>HLOOKUP("In Use MiB",'vInfo (Imported)'!$1:$5000,M4118,FALSE)</f>
        <v>0</v>
      </c>
    </row>
    <row r="4119" spans="1:22" ht="13" x14ac:dyDescent="0.3">
      <c r="A4119" s="46">
        <f>'vHosts (Imported)'!A4119</f>
        <v>0</v>
      </c>
      <c r="B4119" s="51">
        <f t="shared" si="192"/>
        <v>4968</v>
      </c>
      <c r="C4119" s="49">
        <f>HLOOKUP("# Cores",'vHosts (Imported)'!$1:$5000,M4119,FALSE)</f>
        <v>0</v>
      </c>
      <c r="D4119" s="52">
        <f>HLOOKUP("# Memory",'vHosts (Imported)'!$1:$5000,M4119,FALSE)</f>
        <v>0</v>
      </c>
      <c r="M4119" s="45">
        <f t="shared" si="194"/>
        <v>4119</v>
      </c>
      <c r="N4119" s="38">
        <f>HLOOKUP("Host",'vInfo (Imported)'!$1:$5000,M4119,FALSE)</f>
        <v>0</v>
      </c>
      <c r="R4119">
        <f>HLOOKUP("CPUs",'vInfo (Imported)'!$1:$5000,M4119,FALSE)</f>
        <v>0</v>
      </c>
      <c r="S4119">
        <f>HLOOKUP("Memory",'vInfo (Imported)'!$1:$5000,M4119,FALSE)</f>
        <v>0</v>
      </c>
      <c r="T4119">
        <f>HLOOKUP("Provisioned MiB",'vInfo (Imported)'!$1:$5000,M4119,FALSE)</f>
        <v>0</v>
      </c>
      <c r="U4119">
        <f t="shared" si="193"/>
        <v>0</v>
      </c>
      <c r="V4119">
        <f>HLOOKUP("In Use MiB",'vInfo (Imported)'!$1:$5000,M4119,FALSE)</f>
        <v>0</v>
      </c>
    </row>
    <row r="4120" spans="1:22" ht="13" x14ac:dyDescent="0.3">
      <c r="A4120" s="46">
        <f>'vHosts (Imported)'!A4120</f>
        <v>0</v>
      </c>
      <c r="B4120" s="51">
        <f t="shared" si="192"/>
        <v>4968</v>
      </c>
      <c r="C4120" s="49">
        <f>HLOOKUP("# Cores",'vHosts (Imported)'!$1:$5000,M4120,FALSE)</f>
        <v>0</v>
      </c>
      <c r="D4120" s="52">
        <f>HLOOKUP("# Memory",'vHosts (Imported)'!$1:$5000,M4120,FALSE)</f>
        <v>0</v>
      </c>
      <c r="M4120" s="45">
        <f t="shared" si="194"/>
        <v>4120</v>
      </c>
      <c r="N4120" s="38">
        <f>HLOOKUP("Host",'vInfo (Imported)'!$1:$5000,M4120,FALSE)</f>
        <v>0</v>
      </c>
      <c r="R4120">
        <f>HLOOKUP("CPUs",'vInfo (Imported)'!$1:$5000,M4120,FALSE)</f>
        <v>0</v>
      </c>
      <c r="S4120">
        <f>HLOOKUP("Memory",'vInfo (Imported)'!$1:$5000,M4120,FALSE)</f>
        <v>0</v>
      </c>
      <c r="T4120">
        <f>HLOOKUP("Provisioned MiB",'vInfo (Imported)'!$1:$5000,M4120,FALSE)</f>
        <v>0</v>
      </c>
      <c r="U4120">
        <f t="shared" si="193"/>
        <v>0</v>
      </c>
      <c r="V4120">
        <f>HLOOKUP("In Use MiB",'vInfo (Imported)'!$1:$5000,M4120,FALSE)</f>
        <v>0</v>
      </c>
    </row>
    <row r="4121" spans="1:22" ht="13" x14ac:dyDescent="0.3">
      <c r="A4121" s="46">
        <f>'vHosts (Imported)'!A4121</f>
        <v>0</v>
      </c>
      <c r="B4121" s="51">
        <f t="shared" si="192"/>
        <v>4968</v>
      </c>
      <c r="C4121" s="49">
        <f>HLOOKUP("# Cores",'vHosts (Imported)'!$1:$5000,M4121,FALSE)</f>
        <v>0</v>
      </c>
      <c r="D4121" s="52">
        <f>HLOOKUP("# Memory",'vHosts (Imported)'!$1:$5000,M4121,FALSE)</f>
        <v>0</v>
      </c>
      <c r="M4121" s="45">
        <f t="shared" si="194"/>
        <v>4121</v>
      </c>
      <c r="N4121" s="38">
        <f>HLOOKUP("Host",'vInfo (Imported)'!$1:$5000,M4121,FALSE)</f>
        <v>0</v>
      </c>
      <c r="R4121">
        <f>HLOOKUP("CPUs",'vInfo (Imported)'!$1:$5000,M4121,FALSE)</f>
        <v>0</v>
      </c>
      <c r="S4121">
        <f>HLOOKUP("Memory",'vInfo (Imported)'!$1:$5000,M4121,FALSE)</f>
        <v>0</v>
      </c>
      <c r="T4121">
        <f>HLOOKUP("Provisioned MiB",'vInfo (Imported)'!$1:$5000,M4121,FALSE)</f>
        <v>0</v>
      </c>
      <c r="U4121">
        <f t="shared" si="193"/>
        <v>0</v>
      </c>
      <c r="V4121">
        <f>HLOOKUP("In Use MiB",'vInfo (Imported)'!$1:$5000,M4121,FALSE)</f>
        <v>0</v>
      </c>
    </row>
    <row r="4122" spans="1:22" ht="13" x14ac:dyDescent="0.3">
      <c r="A4122" s="46">
        <f>'vHosts (Imported)'!A4122</f>
        <v>0</v>
      </c>
      <c r="B4122" s="51">
        <f t="shared" si="192"/>
        <v>4968</v>
      </c>
      <c r="C4122" s="49">
        <f>HLOOKUP("# Cores",'vHosts (Imported)'!$1:$5000,M4122,FALSE)</f>
        <v>0</v>
      </c>
      <c r="D4122" s="52">
        <f>HLOOKUP("# Memory",'vHosts (Imported)'!$1:$5000,M4122,FALSE)</f>
        <v>0</v>
      </c>
      <c r="M4122" s="45">
        <f t="shared" si="194"/>
        <v>4122</v>
      </c>
      <c r="N4122" s="38">
        <f>HLOOKUP("Host",'vInfo (Imported)'!$1:$5000,M4122,FALSE)</f>
        <v>0</v>
      </c>
      <c r="R4122">
        <f>HLOOKUP("CPUs",'vInfo (Imported)'!$1:$5000,M4122,FALSE)</f>
        <v>0</v>
      </c>
      <c r="S4122">
        <f>HLOOKUP("Memory",'vInfo (Imported)'!$1:$5000,M4122,FALSE)</f>
        <v>0</v>
      </c>
      <c r="T4122">
        <f>HLOOKUP("Provisioned MiB",'vInfo (Imported)'!$1:$5000,M4122,FALSE)</f>
        <v>0</v>
      </c>
      <c r="U4122">
        <f t="shared" si="193"/>
        <v>0</v>
      </c>
      <c r="V4122">
        <f>HLOOKUP("In Use MiB",'vInfo (Imported)'!$1:$5000,M4122,FALSE)</f>
        <v>0</v>
      </c>
    </row>
    <row r="4123" spans="1:22" ht="13" x14ac:dyDescent="0.3">
      <c r="A4123" s="46">
        <f>'vHosts (Imported)'!A4123</f>
        <v>0</v>
      </c>
      <c r="B4123" s="51">
        <f t="shared" si="192"/>
        <v>4968</v>
      </c>
      <c r="C4123" s="49">
        <f>HLOOKUP("# Cores",'vHosts (Imported)'!$1:$5000,M4123,FALSE)</f>
        <v>0</v>
      </c>
      <c r="D4123" s="52">
        <f>HLOOKUP("# Memory",'vHosts (Imported)'!$1:$5000,M4123,FALSE)</f>
        <v>0</v>
      </c>
      <c r="M4123" s="45">
        <f t="shared" si="194"/>
        <v>4123</v>
      </c>
      <c r="N4123" s="38">
        <f>HLOOKUP("Host",'vInfo (Imported)'!$1:$5000,M4123,FALSE)</f>
        <v>0</v>
      </c>
      <c r="R4123">
        <f>HLOOKUP("CPUs",'vInfo (Imported)'!$1:$5000,M4123,FALSE)</f>
        <v>0</v>
      </c>
      <c r="S4123">
        <f>HLOOKUP("Memory",'vInfo (Imported)'!$1:$5000,M4123,FALSE)</f>
        <v>0</v>
      </c>
      <c r="T4123">
        <f>HLOOKUP("Provisioned MiB",'vInfo (Imported)'!$1:$5000,M4123,FALSE)</f>
        <v>0</v>
      </c>
      <c r="U4123">
        <f t="shared" si="193"/>
        <v>0</v>
      </c>
      <c r="V4123">
        <f>HLOOKUP("In Use MiB",'vInfo (Imported)'!$1:$5000,M4123,FALSE)</f>
        <v>0</v>
      </c>
    </row>
    <row r="4124" spans="1:22" ht="13" x14ac:dyDescent="0.3">
      <c r="A4124" s="46">
        <f>'vHosts (Imported)'!A4124</f>
        <v>0</v>
      </c>
      <c r="B4124" s="51">
        <f t="shared" si="192"/>
        <v>4968</v>
      </c>
      <c r="C4124" s="49">
        <f>HLOOKUP("# Cores",'vHosts (Imported)'!$1:$5000,M4124,FALSE)</f>
        <v>0</v>
      </c>
      <c r="D4124" s="52">
        <f>HLOOKUP("# Memory",'vHosts (Imported)'!$1:$5000,M4124,FALSE)</f>
        <v>0</v>
      </c>
      <c r="M4124" s="45">
        <f t="shared" si="194"/>
        <v>4124</v>
      </c>
      <c r="N4124" s="38">
        <f>HLOOKUP("Host",'vInfo (Imported)'!$1:$5000,M4124,FALSE)</f>
        <v>0</v>
      </c>
      <c r="R4124">
        <f>HLOOKUP("CPUs",'vInfo (Imported)'!$1:$5000,M4124,FALSE)</f>
        <v>0</v>
      </c>
      <c r="S4124">
        <f>HLOOKUP("Memory",'vInfo (Imported)'!$1:$5000,M4124,FALSE)</f>
        <v>0</v>
      </c>
      <c r="T4124">
        <f>HLOOKUP("Provisioned MiB",'vInfo (Imported)'!$1:$5000,M4124,FALSE)</f>
        <v>0</v>
      </c>
      <c r="U4124">
        <f t="shared" si="193"/>
        <v>0</v>
      </c>
      <c r="V4124">
        <f>HLOOKUP("In Use MiB",'vInfo (Imported)'!$1:$5000,M4124,FALSE)</f>
        <v>0</v>
      </c>
    </row>
    <row r="4125" spans="1:22" ht="13" x14ac:dyDescent="0.3">
      <c r="A4125" s="46">
        <f>'vHosts (Imported)'!A4125</f>
        <v>0</v>
      </c>
      <c r="B4125" s="51">
        <f t="shared" si="192"/>
        <v>4968</v>
      </c>
      <c r="C4125" s="49">
        <f>HLOOKUP("# Cores",'vHosts (Imported)'!$1:$5000,M4125,FALSE)</f>
        <v>0</v>
      </c>
      <c r="D4125" s="52">
        <f>HLOOKUP("# Memory",'vHosts (Imported)'!$1:$5000,M4125,FALSE)</f>
        <v>0</v>
      </c>
      <c r="M4125" s="45">
        <f t="shared" si="194"/>
        <v>4125</v>
      </c>
      <c r="N4125" s="38">
        <f>HLOOKUP("Host",'vInfo (Imported)'!$1:$5000,M4125,FALSE)</f>
        <v>0</v>
      </c>
      <c r="R4125">
        <f>HLOOKUP("CPUs",'vInfo (Imported)'!$1:$5000,M4125,FALSE)</f>
        <v>0</v>
      </c>
      <c r="S4125">
        <f>HLOOKUP("Memory",'vInfo (Imported)'!$1:$5000,M4125,FALSE)</f>
        <v>0</v>
      </c>
      <c r="T4125">
        <f>HLOOKUP("Provisioned MiB",'vInfo (Imported)'!$1:$5000,M4125,FALSE)</f>
        <v>0</v>
      </c>
      <c r="U4125">
        <f t="shared" si="193"/>
        <v>0</v>
      </c>
      <c r="V4125">
        <f>HLOOKUP("In Use MiB",'vInfo (Imported)'!$1:$5000,M4125,FALSE)</f>
        <v>0</v>
      </c>
    </row>
    <row r="4126" spans="1:22" ht="13" x14ac:dyDescent="0.3">
      <c r="A4126" s="46">
        <f>'vHosts (Imported)'!A4126</f>
        <v>0</v>
      </c>
      <c r="B4126" s="51">
        <f t="shared" si="192"/>
        <v>4968</v>
      </c>
      <c r="C4126" s="49">
        <f>HLOOKUP("# Cores",'vHosts (Imported)'!$1:$5000,M4126,FALSE)</f>
        <v>0</v>
      </c>
      <c r="D4126" s="52">
        <f>HLOOKUP("# Memory",'vHosts (Imported)'!$1:$5000,M4126,FALSE)</f>
        <v>0</v>
      </c>
      <c r="M4126" s="45">
        <f t="shared" si="194"/>
        <v>4126</v>
      </c>
      <c r="N4126" s="38">
        <f>HLOOKUP("Host",'vInfo (Imported)'!$1:$5000,M4126,FALSE)</f>
        <v>0</v>
      </c>
      <c r="R4126">
        <f>HLOOKUP("CPUs",'vInfo (Imported)'!$1:$5000,M4126,FALSE)</f>
        <v>0</v>
      </c>
      <c r="S4126">
        <f>HLOOKUP("Memory",'vInfo (Imported)'!$1:$5000,M4126,FALSE)</f>
        <v>0</v>
      </c>
      <c r="T4126">
        <f>HLOOKUP("Provisioned MiB",'vInfo (Imported)'!$1:$5000,M4126,FALSE)</f>
        <v>0</v>
      </c>
      <c r="U4126">
        <f t="shared" si="193"/>
        <v>0</v>
      </c>
      <c r="V4126">
        <f>HLOOKUP("In Use MiB",'vInfo (Imported)'!$1:$5000,M4126,FALSE)</f>
        <v>0</v>
      </c>
    </row>
    <row r="4127" spans="1:22" ht="13" x14ac:dyDescent="0.3">
      <c r="A4127" s="46">
        <f>'vHosts (Imported)'!A4127</f>
        <v>0</v>
      </c>
      <c r="B4127" s="51">
        <f t="shared" si="192"/>
        <v>4968</v>
      </c>
      <c r="C4127" s="49">
        <f>HLOOKUP("# Cores",'vHosts (Imported)'!$1:$5000,M4127,FALSE)</f>
        <v>0</v>
      </c>
      <c r="D4127" s="52">
        <f>HLOOKUP("# Memory",'vHosts (Imported)'!$1:$5000,M4127,FALSE)</f>
        <v>0</v>
      </c>
      <c r="M4127" s="45">
        <f t="shared" si="194"/>
        <v>4127</v>
      </c>
      <c r="N4127" s="38">
        <f>HLOOKUP("Host",'vInfo (Imported)'!$1:$5000,M4127,FALSE)</f>
        <v>0</v>
      </c>
      <c r="R4127">
        <f>HLOOKUP("CPUs",'vInfo (Imported)'!$1:$5000,M4127,FALSE)</f>
        <v>0</v>
      </c>
      <c r="S4127">
        <f>HLOOKUP("Memory",'vInfo (Imported)'!$1:$5000,M4127,FALSE)</f>
        <v>0</v>
      </c>
      <c r="T4127">
        <f>HLOOKUP("Provisioned MiB",'vInfo (Imported)'!$1:$5000,M4127,FALSE)</f>
        <v>0</v>
      </c>
      <c r="U4127">
        <f t="shared" si="193"/>
        <v>0</v>
      </c>
      <c r="V4127">
        <f>HLOOKUP("In Use MiB",'vInfo (Imported)'!$1:$5000,M4127,FALSE)</f>
        <v>0</v>
      </c>
    </row>
    <row r="4128" spans="1:22" ht="13" x14ac:dyDescent="0.3">
      <c r="A4128" s="46">
        <f>'vHosts (Imported)'!A4128</f>
        <v>0</v>
      </c>
      <c r="B4128" s="51">
        <f t="shared" si="192"/>
        <v>4968</v>
      </c>
      <c r="C4128" s="49">
        <f>HLOOKUP("# Cores",'vHosts (Imported)'!$1:$5000,M4128,FALSE)</f>
        <v>0</v>
      </c>
      <c r="D4128" s="52">
        <f>HLOOKUP("# Memory",'vHosts (Imported)'!$1:$5000,M4128,FALSE)</f>
        <v>0</v>
      </c>
      <c r="M4128" s="45">
        <f t="shared" si="194"/>
        <v>4128</v>
      </c>
      <c r="N4128" s="38">
        <f>HLOOKUP("Host",'vInfo (Imported)'!$1:$5000,M4128,FALSE)</f>
        <v>0</v>
      </c>
      <c r="R4128">
        <f>HLOOKUP("CPUs",'vInfo (Imported)'!$1:$5000,M4128,FALSE)</f>
        <v>0</v>
      </c>
      <c r="S4128">
        <f>HLOOKUP("Memory",'vInfo (Imported)'!$1:$5000,M4128,FALSE)</f>
        <v>0</v>
      </c>
      <c r="T4128">
        <f>HLOOKUP("Provisioned MiB",'vInfo (Imported)'!$1:$5000,M4128,FALSE)</f>
        <v>0</v>
      </c>
      <c r="U4128">
        <f t="shared" si="193"/>
        <v>0</v>
      </c>
      <c r="V4128">
        <f>HLOOKUP("In Use MiB",'vInfo (Imported)'!$1:$5000,M4128,FALSE)</f>
        <v>0</v>
      </c>
    </row>
    <row r="4129" spans="1:22" ht="13" x14ac:dyDescent="0.3">
      <c r="A4129" s="46">
        <f>'vHosts (Imported)'!A4129</f>
        <v>0</v>
      </c>
      <c r="B4129" s="51">
        <f t="shared" si="192"/>
        <v>4968</v>
      </c>
      <c r="C4129" s="49">
        <f>HLOOKUP("# Cores",'vHosts (Imported)'!$1:$5000,M4129,FALSE)</f>
        <v>0</v>
      </c>
      <c r="D4129" s="52">
        <f>HLOOKUP("# Memory",'vHosts (Imported)'!$1:$5000,M4129,FALSE)</f>
        <v>0</v>
      </c>
      <c r="M4129" s="45">
        <f t="shared" si="194"/>
        <v>4129</v>
      </c>
      <c r="N4129" s="38">
        <f>HLOOKUP("Host",'vInfo (Imported)'!$1:$5000,M4129,FALSE)</f>
        <v>0</v>
      </c>
      <c r="R4129">
        <f>HLOOKUP("CPUs",'vInfo (Imported)'!$1:$5000,M4129,FALSE)</f>
        <v>0</v>
      </c>
      <c r="S4129">
        <f>HLOOKUP("Memory",'vInfo (Imported)'!$1:$5000,M4129,FALSE)</f>
        <v>0</v>
      </c>
      <c r="T4129">
        <f>HLOOKUP("Provisioned MiB",'vInfo (Imported)'!$1:$5000,M4129,FALSE)</f>
        <v>0</v>
      </c>
      <c r="U4129">
        <f t="shared" si="193"/>
        <v>0</v>
      </c>
      <c r="V4129">
        <f>HLOOKUP("In Use MiB",'vInfo (Imported)'!$1:$5000,M4129,FALSE)</f>
        <v>0</v>
      </c>
    </row>
    <row r="4130" spans="1:22" ht="13" x14ac:dyDescent="0.3">
      <c r="A4130" s="46">
        <f>'vHosts (Imported)'!A4130</f>
        <v>0</v>
      </c>
      <c r="B4130" s="51">
        <f t="shared" si="192"/>
        <v>4968</v>
      </c>
      <c r="C4130" s="49">
        <f>HLOOKUP("# Cores",'vHosts (Imported)'!$1:$5000,M4130,FALSE)</f>
        <v>0</v>
      </c>
      <c r="D4130" s="52">
        <f>HLOOKUP("# Memory",'vHosts (Imported)'!$1:$5000,M4130,FALSE)</f>
        <v>0</v>
      </c>
      <c r="M4130" s="45">
        <f t="shared" si="194"/>
        <v>4130</v>
      </c>
      <c r="N4130" s="38">
        <f>HLOOKUP("Host",'vInfo (Imported)'!$1:$5000,M4130,FALSE)</f>
        <v>0</v>
      </c>
      <c r="R4130">
        <f>HLOOKUP("CPUs",'vInfo (Imported)'!$1:$5000,M4130,FALSE)</f>
        <v>0</v>
      </c>
      <c r="S4130">
        <f>HLOOKUP("Memory",'vInfo (Imported)'!$1:$5000,M4130,FALSE)</f>
        <v>0</v>
      </c>
      <c r="T4130">
        <f>HLOOKUP("Provisioned MiB",'vInfo (Imported)'!$1:$5000,M4130,FALSE)</f>
        <v>0</v>
      </c>
      <c r="U4130">
        <f t="shared" si="193"/>
        <v>0</v>
      </c>
      <c r="V4130">
        <f>HLOOKUP("In Use MiB",'vInfo (Imported)'!$1:$5000,M4130,FALSE)</f>
        <v>0</v>
      </c>
    </row>
    <row r="4131" spans="1:22" ht="13" x14ac:dyDescent="0.3">
      <c r="A4131" s="46">
        <f>'vHosts (Imported)'!A4131</f>
        <v>0</v>
      </c>
      <c r="B4131" s="51">
        <f t="shared" si="192"/>
        <v>4968</v>
      </c>
      <c r="C4131" s="49">
        <f>HLOOKUP("# Cores",'vHosts (Imported)'!$1:$5000,M4131,FALSE)</f>
        <v>0</v>
      </c>
      <c r="D4131" s="52">
        <f>HLOOKUP("# Memory",'vHosts (Imported)'!$1:$5000,M4131,FALSE)</f>
        <v>0</v>
      </c>
      <c r="M4131" s="45">
        <f t="shared" si="194"/>
        <v>4131</v>
      </c>
      <c r="N4131" s="38">
        <f>HLOOKUP("Host",'vInfo (Imported)'!$1:$5000,M4131,FALSE)</f>
        <v>0</v>
      </c>
      <c r="R4131">
        <f>HLOOKUP("CPUs",'vInfo (Imported)'!$1:$5000,M4131,FALSE)</f>
        <v>0</v>
      </c>
      <c r="S4131">
        <f>HLOOKUP("Memory",'vInfo (Imported)'!$1:$5000,M4131,FALSE)</f>
        <v>0</v>
      </c>
      <c r="T4131">
        <f>HLOOKUP("Provisioned MiB",'vInfo (Imported)'!$1:$5000,M4131,FALSE)</f>
        <v>0</v>
      </c>
      <c r="U4131">
        <f t="shared" si="193"/>
        <v>0</v>
      </c>
      <c r="V4131">
        <f>HLOOKUP("In Use MiB",'vInfo (Imported)'!$1:$5000,M4131,FALSE)</f>
        <v>0</v>
      </c>
    </row>
    <row r="4132" spans="1:22" ht="13" x14ac:dyDescent="0.3">
      <c r="A4132" s="46">
        <f>'vHosts (Imported)'!A4132</f>
        <v>0</v>
      </c>
      <c r="B4132" s="51">
        <f t="shared" si="192"/>
        <v>4968</v>
      </c>
      <c r="C4132" s="49">
        <f>HLOOKUP("# Cores",'vHosts (Imported)'!$1:$5000,M4132,FALSE)</f>
        <v>0</v>
      </c>
      <c r="D4132" s="52">
        <f>HLOOKUP("# Memory",'vHosts (Imported)'!$1:$5000,M4132,FALSE)</f>
        <v>0</v>
      </c>
      <c r="M4132" s="45">
        <f t="shared" si="194"/>
        <v>4132</v>
      </c>
      <c r="N4132" s="38">
        <f>HLOOKUP("Host",'vInfo (Imported)'!$1:$5000,M4132,FALSE)</f>
        <v>0</v>
      </c>
      <c r="R4132">
        <f>HLOOKUP("CPUs",'vInfo (Imported)'!$1:$5000,M4132,FALSE)</f>
        <v>0</v>
      </c>
      <c r="S4132">
        <f>HLOOKUP("Memory",'vInfo (Imported)'!$1:$5000,M4132,FALSE)</f>
        <v>0</v>
      </c>
      <c r="T4132">
        <f>HLOOKUP("Provisioned MiB",'vInfo (Imported)'!$1:$5000,M4132,FALSE)</f>
        <v>0</v>
      </c>
      <c r="U4132">
        <f t="shared" si="193"/>
        <v>0</v>
      </c>
      <c r="V4132">
        <f>HLOOKUP("In Use MiB",'vInfo (Imported)'!$1:$5000,M4132,FALSE)</f>
        <v>0</v>
      </c>
    </row>
    <row r="4133" spans="1:22" ht="13" x14ac:dyDescent="0.3">
      <c r="A4133" s="46">
        <f>'vHosts (Imported)'!A4133</f>
        <v>0</v>
      </c>
      <c r="B4133" s="51">
        <f t="shared" si="192"/>
        <v>4968</v>
      </c>
      <c r="C4133" s="49">
        <f>HLOOKUP("# Cores",'vHosts (Imported)'!$1:$5000,M4133,FALSE)</f>
        <v>0</v>
      </c>
      <c r="D4133" s="52">
        <f>HLOOKUP("# Memory",'vHosts (Imported)'!$1:$5000,M4133,FALSE)</f>
        <v>0</v>
      </c>
      <c r="M4133" s="45">
        <f t="shared" si="194"/>
        <v>4133</v>
      </c>
      <c r="N4133" s="38">
        <f>HLOOKUP("Host",'vInfo (Imported)'!$1:$5000,M4133,FALSE)</f>
        <v>0</v>
      </c>
      <c r="R4133">
        <f>HLOOKUP("CPUs",'vInfo (Imported)'!$1:$5000,M4133,FALSE)</f>
        <v>0</v>
      </c>
      <c r="S4133">
        <f>HLOOKUP("Memory",'vInfo (Imported)'!$1:$5000,M4133,FALSE)</f>
        <v>0</v>
      </c>
      <c r="T4133">
        <f>HLOOKUP("Provisioned MiB",'vInfo (Imported)'!$1:$5000,M4133,FALSE)</f>
        <v>0</v>
      </c>
      <c r="U4133">
        <f t="shared" si="193"/>
        <v>0</v>
      </c>
      <c r="V4133">
        <f>HLOOKUP("In Use MiB",'vInfo (Imported)'!$1:$5000,M4133,FALSE)</f>
        <v>0</v>
      </c>
    </row>
    <row r="4134" spans="1:22" ht="13" x14ac:dyDescent="0.3">
      <c r="A4134" s="46">
        <f>'vHosts (Imported)'!A4134</f>
        <v>0</v>
      </c>
      <c r="B4134" s="51">
        <f t="shared" si="192"/>
        <v>4968</v>
      </c>
      <c r="C4134" s="49">
        <f>HLOOKUP("# Cores",'vHosts (Imported)'!$1:$5000,M4134,FALSE)</f>
        <v>0</v>
      </c>
      <c r="D4134" s="52">
        <f>HLOOKUP("# Memory",'vHosts (Imported)'!$1:$5000,M4134,FALSE)</f>
        <v>0</v>
      </c>
      <c r="M4134" s="45">
        <f t="shared" si="194"/>
        <v>4134</v>
      </c>
      <c r="N4134" s="38">
        <f>HLOOKUP("Host",'vInfo (Imported)'!$1:$5000,M4134,FALSE)</f>
        <v>0</v>
      </c>
      <c r="R4134">
        <f>HLOOKUP("CPUs",'vInfo (Imported)'!$1:$5000,M4134,FALSE)</f>
        <v>0</v>
      </c>
      <c r="S4134">
        <f>HLOOKUP("Memory",'vInfo (Imported)'!$1:$5000,M4134,FALSE)</f>
        <v>0</v>
      </c>
      <c r="T4134">
        <f>HLOOKUP("Provisioned MiB",'vInfo (Imported)'!$1:$5000,M4134,FALSE)</f>
        <v>0</v>
      </c>
      <c r="U4134">
        <f t="shared" si="193"/>
        <v>0</v>
      </c>
      <c r="V4134">
        <f>HLOOKUP("In Use MiB",'vInfo (Imported)'!$1:$5000,M4134,FALSE)</f>
        <v>0</v>
      </c>
    </row>
    <row r="4135" spans="1:22" ht="13" x14ac:dyDescent="0.3">
      <c r="A4135" s="46">
        <f>'vHosts (Imported)'!A4135</f>
        <v>0</v>
      </c>
      <c r="B4135" s="51">
        <f t="shared" si="192"/>
        <v>4968</v>
      </c>
      <c r="C4135" s="49">
        <f>HLOOKUP("# Cores",'vHosts (Imported)'!$1:$5000,M4135,FALSE)</f>
        <v>0</v>
      </c>
      <c r="D4135" s="52">
        <f>HLOOKUP("# Memory",'vHosts (Imported)'!$1:$5000,M4135,FALSE)</f>
        <v>0</v>
      </c>
      <c r="M4135" s="45">
        <f t="shared" si="194"/>
        <v>4135</v>
      </c>
      <c r="N4135" s="38">
        <f>HLOOKUP("Host",'vInfo (Imported)'!$1:$5000,M4135,FALSE)</f>
        <v>0</v>
      </c>
      <c r="R4135">
        <f>HLOOKUP("CPUs",'vInfo (Imported)'!$1:$5000,M4135,FALSE)</f>
        <v>0</v>
      </c>
      <c r="S4135">
        <f>HLOOKUP("Memory",'vInfo (Imported)'!$1:$5000,M4135,FALSE)</f>
        <v>0</v>
      </c>
      <c r="T4135">
        <f>HLOOKUP("Provisioned MiB",'vInfo (Imported)'!$1:$5000,M4135,FALSE)</f>
        <v>0</v>
      </c>
      <c r="U4135">
        <f t="shared" si="193"/>
        <v>0</v>
      </c>
      <c r="V4135">
        <f>HLOOKUP("In Use MiB",'vInfo (Imported)'!$1:$5000,M4135,FALSE)</f>
        <v>0</v>
      </c>
    </row>
    <row r="4136" spans="1:22" ht="13" x14ac:dyDescent="0.3">
      <c r="A4136" s="46">
        <f>'vHosts (Imported)'!A4136</f>
        <v>0</v>
      </c>
      <c r="B4136" s="51">
        <f t="shared" ref="B4136:B4199" si="195">COUNTIF(N:N,A4136)</f>
        <v>4968</v>
      </c>
      <c r="C4136" s="49">
        <f>HLOOKUP("# Cores",'vHosts (Imported)'!$1:$5000,M4136,FALSE)</f>
        <v>0</v>
      </c>
      <c r="D4136" s="52">
        <f>HLOOKUP("# Memory",'vHosts (Imported)'!$1:$5000,M4136,FALSE)</f>
        <v>0</v>
      </c>
      <c r="M4136" s="45">
        <f t="shared" si="194"/>
        <v>4136</v>
      </c>
      <c r="N4136" s="38">
        <f>HLOOKUP("Host",'vInfo (Imported)'!$1:$5000,M4136,FALSE)</f>
        <v>0</v>
      </c>
      <c r="R4136">
        <f>HLOOKUP("CPUs",'vInfo (Imported)'!$1:$5000,M4136,FALSE)</f>
        <v>0</v>
      </c>
      <c r="S4136">
        <f>HLOOKUP("Memory",'vInfo (Imported)'!$1:$5000,M4136,FALSE)</f>
        <v>0</v>
      </c>
      <c r="T4136">
        <f>HLOOKUP("Provisioned MiB",'vInfo (Imported)'!$1:$5000,M4136,FALSE)</f>
        <v>0</v>
      </c>
      <c r="U4136">
        <f t="shared" si="193"/>
        <v>0</v>
      </c>
      <c r="V4136">
        <f>HLOOKUP("In Use MiB",'vInfo (Imported)'!$1:$5000,M4136,FALSE)</f>
        <v>0</v>
      </c>
    </row>
    <row r="4137" spans="1:22" ht="13" x14ac:dyDescent="0.3">
      <c r="A4137" s="46">
        <f>'vHosts (Imported)'!A4137</f>
        <v>0</v>
      </c>
      <c r="B4137" s="51">
        <f t="shared" si="195"/>
        <v>4968</v>
      </c>
      <c r="C4137" s="49">
        <f>HLOOKUP("# Cores",'vHosts (Imported)'!$1:$5000,M4137,FALSE)</f>
        <v>0</v>
      </c>
      <c r="D4137" s="52">
        <f>HLOOKUP("# Memory",'vHosts (Imported)'!$1:$5000,M4137,FALSE)</f>
        <v>0</v>
      </c>
      <c r="M4137" s="45">
        <f t="shared" si="194"/>
        <v>4137</v>
      </c>
      <c r="N4137" s="38">
        <f>HLOOKUP("Host",'vInfo (Imported)'!$1:$5000,M4137,FALSE)</f>
        <v>0</v>
      </c>
      <c r="R4137">
        <f>HLOOKUP("CPUs",'vInfo (Imported)'!$1:$5000,M4137,FALSE)</f>
        <v>0</v>
      </c>
      <c r="S4137">
        <f>HLOOKUP("Memory",'vInfo (Imported)'!$1:$5000,M4137,FALSE)</f>
        <v>0</v>
      </c>
      <c r="T4137">
        <f>HLOOKUP("Provisioned MiB",'vInfo (Imported)'!$1:$5000,M4137,FALSE)</f>
        <v>0</v>
      </c>
      <c r="U4137">
        <f t="shared" si="193"/>
        <v>0</v>
      </c>
      <c r="V4137">
        <f>HLOOKUP("In Use MiB",'vInfo (Imported)'!$1:$5000,M4137,FALSE)</f>
        <v>0</v>
      </c>
    </row>
    <row r="4138" spans="1:22" ht="13" x14ac:dyDescent="0.3">
      <c r="A4138" s="46">
        <f>'vHosts (Imported)'!A4138</f>
        <v>0</v>
      </c>
      <c r="B4138" s="51">
        <f t="shared" si="195"/>
        <v>4968</v>
      </c>
      <c r="C4138" s="49">
        <f>HLOOKUP("# Cores",'vHosts (Imported)'!$1:$5000,M4138,FALSE)</f>
        <v>0</v>
      </c>
      <c r="D4138" s="52">
        <f>HLOOKUP("# Memory",'vHosts (Imported)'!$1:$5000,M4138,FALSE)</f>
        <v>0</v>
      </c>
      <c r="M4138" s="45">
        <f t="shared" si="194"/>
        <v>4138</v>
      </c>
      <c r="N4138" s="38">
        <f>HLOOKUP("Host",'vInfo (Imported)'!$1:$5000,M4138,FALSE)</f>
        <v>0</v>
      </c>
      <c r="R4138">
        <f>HLOOKUP("CPUs",'vInfo (Imported)'!$1:$5000,M4138,FALSE)</f>
        <v>0</v>
      </c>
      <c r="S4138">
        <f>HLOOKUP("Memory",'vInfo (Imported)'!$1:$5000,M4138,FALSE)</f>
        <v>0</v>
      </c>
      <c r="T4138">
        <f>HLOOKUP("Provisioned MiB",'vInfo (Imported)'!$1:$5000,M4138,FALSE)</f>
        <v>0</v>
      </c>
      <c r="U4138">
        <f t="shared" si="193"/>
        <v>0</v>
      </c>
      <c r="V4138">
        <f>HLOOKUP("In Use MiB",'vInfo (Imported)'!$1:$5000,M4138,FALSE)</f>
        <v>0</v>
      </c>
    </row>
    <row r="4139" spans="1:22" ht="13" x14ac:dyDescent="0.3">
      <c r="A4139" s="46">
        <f>'vHosts (Imported)'!A4139</f>
        <v>0</v>
      </c>
      <c r="B4139" s="51">
        <f t="shared" si="195"/>
        <v>4968</v>
      </c>
      <c r="C4139" s="49">
        <f>HLOOKUP("# Cores",'vHosts (Imported)'!$1:$5000,M4139,FALSE)</f>
        <v>0</v>
      </c>
      <c r="D4139" s="52">
        <f>HLOOKUP("# Memory",'vHosts (Imported)'!$1:$5000,M4139,FALSE)</f>
        <v>0</v>
      </c>
      <c r="M4139" s="45">
        <f t="shared" si="194"/>
        <v>4139</v>
      </c>
      <c r="N4139" s="38">
        <f>HLOOKUP("Host",'vInfo (Imported)'!$1:$5000,M4139,FALSE)</f>
        <v>0</v>
      </c>
      <c r="R4139">
        <f>HLOOKUP("CPUs",'vInfo (Imported)'!$1:$5000,M4139,FALSE)</f>
        <v>0</v>
      </c>
      <c r="S4139">
        <f>HLOOKUP("Memory",'vInfo (Imported)'!$1:$5000,M4139,FALSE)</f>
        <v>0</v>
      </c>
      <c r="T4139">
        <f>HLOOKUP("Provisioned MiB",'vInfo (Imported)'!$1:$5000,M4139,FALSE)</f>
        <v>0</v>
      </c>
      <c r="U4139">
        <f t="shared" si="193"/>
        <v>0</v>
      </c>
      <c r="V4139">
        <f>HLOOKUP("In Use MiB",'vInfo (Imported)'!$1:$5000,M4139,FALSE)</f>
        <v>0</v>
      </c>
    </row>
    <row r="4140" spans="1:22" ht="13" x14ac:dyDescent="0.3">
      <c r="A4140" s="46">
        <f>'vHosts (Imported)'!A4140</f>
        <v>0</v>
      </c>
      <c r="B4140" s="51">
        <f t="shared" si="195"/>
        <v>4968</v>
      </c>
      <c r="C4140" s="49">
        <f>HLOOKUP("# Cores",'vHosts (Imported)'!$1:$5000,M4140,FALSE)</f>
        <v>0</v>
      </c>
      <c r="D4140" s="52">
        <f>HLOOKUP("# Memory",'vHosts (Imported)'!$1:$5000,M4140,FALSE)</f>
        <v>0</v>
      </c>
      <c r="M4140" s="45">
        <f t="shared" si="194"/>
        <v>4140</v>
      </c>
      <c r="N4140" s="38">
        <f>HLOOKUP("Host",'vInfo (Imported)'!$1:$5000,M4140,FALSE)</f>
        <v>0</v>
      </c>
      <c r="R4140">
        <f>HLOOKUP("CPUs",'vInfo (Imported)'!$1:$5000,M4140,FALSE)</f>
        <v>0</v>
      </c>
      <c r="S4140">
        <f>HLOOKUP("Memory",'vInfo (Imported)'!$1:$5000,M4140,FALSE)</f>
        <v>0</v>
      </c>
      <c r="T4140">
        <f>HLOOKUP("Provisioned MiB",'vInfo (Imported)'!$1:$5000,M4140,FALSE)</f>
        <v>0</v>
      </c>
      <c r="U4140">
        <f t="shared" si="193"/>
        <v>0</v>
      </c>
      <c r="V4140">
        <f>HLOOKUP("In Use MiB",'vInfo (Imported)'!$1:$5000,M4140,FALSE)</f>
        <v>0</v>
      </c>
    </row>
    <row r="4141" spans="1:22" ht="13" x14ac:dyDescent="0.3">
      <c r="A4141" s="46">
        <f>'vHosts (Imported)'!A4141</f>
        <v>0</v>
      </c>
      <c r="B4141" s="51">
        <f t="shared" si="195"/>
        <v>4968</v>
      </c>
      <c r="C4141" s="49">
        <f>HLOOKUP("# Cores",'vHosts (Imported)'!$1:$5000,M4141,FALSE)</f>
        <v>0</v>
      </c>
      <c r="D4141" s="52">
        <f>HLOOKUP("# Memory",'vHosts (Imported)'!$1:$5000,M4141,FALSE)</f>
        <v>0</v>
      </c>
      <c r="M4141" s="45">
        <f t="shared" si="194"/>
        <v>4141</v>
      </c>
      <c r="N4141" s="38">
        <f>HLOOKUP("Host",'vInfo (Imported)'!$1:$5000,M4141,FALSE)</f>
        <v>0</v>
      </c>
      <c r="R4141">
        <f>HLOOKUP("CPUs",'vInfo (Imported)'!$1:$5000,M4141,FALSE)</f>
        <v>0</v>
      </c>
      <c r="S4141">
        <f>HLOOKUP("Memory",'vInfo (Imported)'!$1:$5000,M4141,FALSE)</f>
        <v>0</v>
      </c>
      <c r="T4141">
        <f>HLOOKUP("Provisioned MiB",'vInfo (Imported)'!$1:$5000,M4141,FALSE)</f>
        <v>0</v>
      </c>
      <c r="U4141">
        <f t="shared" si="193"/>
        <v>0</v>
      </c>
      <c r="V4141">
        <f>HLOOKUP("In Use MiB",'vInfo (Imported)'!$1:$5000,M4141,FALSE)</f>
        <v>0</v>
      </c>
    </row>
    <row r="4142" spans="1:22" ht="13" x14ac:dyDescent="0.3">
      <c r="A4142" s="46">
        <f>'vHosts (Imported)'!A4142</f>
        <v>0</v>
      </c>
      <c r="B4142" s="51">
        <f t="shared" si="195"/>
        <v>4968</v>
      </c>
      <c r="C4142" s="49">
        <f>HLOOKUP("# Cores",'vHosts (Imported)'!$1:$5000,M4142,FALSE)</f>
        <v>0</v>
      </c>
      <c r="D4142" s="52">
        <f>HLOOKUP("# Memory",'vHosts (Imported)'!$1:$5000,M4142,FALSE)</f>
        <v>0</v>
      </c>
      <c r="M4142" s="45">
        <f t="shared" si="194"/>
        <v>4142</v>
      </c>
      <c r="N4142" s="38">
        <f>HLOOKUP("Host",'vInfo (Imported)'!$1:$5000,M4142,FALSE)</f>
        <v>0</v>
      </c>
      <c r="R4142">
        <f>HLOOKUP("CPUs",'vInfo (Imported)'!$1:$5000,M4142,FALSE)</f>
        <v>0</v>
      </c>
      <c r="S4142">
        <f>HLOOKUP("Memory",'vInfo (Imported)'!$1:$5000,M4142,FALSE)</f>
        <v>0</v>
      </c>
      <c r="T4142">
        <f>HLOOKUP("Provisioned MiB",'vInfo (Imported)'!$1:$5000,M4142,FALSE)</f>
        <v>0</v>
      </c>
      <c r="U4142">
        <f t="shared" si="193"/>
        <v>0</v>
      </c>
      <c r="V4142">
        <f>HLOOKUP("In Use MiB",'vInfo (Imported)'!$1:$5000,M4142,FALSE)</f>
        <v>0</v>
      </c>
    </row>
    <row r="4143" spans="1:22" ht="13" x14ac:dyDescent="0.3">
      <c r="A4143" s="46">
        <f>'vHosts (Imported)'!A4143</f>
        <v>0</v>
      </c>
      <c r="B4143" s="51">
        <f t="shared" si="195"/>
        <v>4968</v>
      </c>
      <c r="C4143" s="49">
        <f>HLOOKUP("# Cores",'vHosts (Imported)'!$1:$5000,M4143,FALSE)</f>
        <v>0</v>
      </c>
      <c r="D4143" s="52">
        <f>HLOOKUP("# Memory",'vHosts (Imported)'!$1:$5000,M4143,FALSE)</f>
        <v>0</v>
      </c>
      <c r="M4143" s="45">
        <f t="shared" si="194"/>
        <v>4143</v>
      </c>
      <c r="N4143" s="38">
        <f>HLOOKUP("Host",'vInfo (Imported)'!$1:$5000,M4143,FALSE)</f>
        <v>0</v>
      </c>
      <c r="R4143">
        <f>HLOOKUP("CPUs",'vInfo (Imported)'!$1:$5000,M4143,FALSE)</f>
        <v>0</v>
      </c>
      <c r="S4143">
        <f>HLOOKUP("Memory",'vInfo (Imported)'!$1:$5000,M4143,FALSE)</f>
        <v>0</v>
      </c>
      <c r="T4143">
        <f>HLOOKUP("Provisioned MiB",'vInfo (Imported)'!$1:$5000,M4143,FALSE)</f>
        <v>0</v>
      </c>
      <c r="U4143">
        <f t="shared" si="193"/>
        <v>0</v>
      </c>
      <c r="V4143">
        <f>HLOOKUP("In Use MiB",'vInfo (Imported)'!$1:$5000,M4143,FALSE)</f>
        <v>0</v>
      </c>
    </row>
    <row r="4144" spans="1:22" ht="13" x14ac:dyDescent="0.3">
      <c r="A4144" s="46">
        <f>'vHosts (Imported)'!A4144</f>
        <v>0</v>
      </c>
      <c r="B4144" s="51">
        <f t="shared" si="195"/>
        <v>4968</v>
      </c>
      <c r="C4144" s="49">
        <f>HLOOKUP("# Cores",'vHosts (Imported)'!$1:$5000,M4144,FALSE)</f>
        <v>0</v>
      </c>
      <c r="D4144" s="52">
        <f>HLOOKUP("# Memory",'vHosts (Imported)'!$1:$5000,M4144,FALSE)</f>
        <v>0</v>
      </c>
      <c r="M4144" s="45">
        <f t="shared" si="194"/>
        <v>4144</v>
      </c>
      <c r="N4144" s="38">
        <f>HLOOKUP("Host",'vInfo (Imported)'!$1:$5000,M4144,FALSE)</f>
        <v>0</v>
      </c>
      <c r="R4144">
        <f>HLOOKUP("CPUs",'vInfo (Imported)'!$1:$5000,M4144,FALSE)</f>
        <v>0</v>
      </c>
      <c r="S4144">
        <f>HLOOKUP("Memory",'vInfo (Imported)'!$1:$5000,M4144,FALSE)</f>
        <v>0</v>
      </c>
      <c r="T4144">
        <f>HLOOKUP("Provisioned MiB",'vInfo (Imported)'!$1:$5000,M4144,FALSE)</f>
        <v>0</v>
      </c>
      <c r="U4144">
        <f t="shared" si="193"/>
        <v>0</v>
      </c>
      <c r="V4144">
        <f>HLOOKUP("In Use MiB",'vInfo (Imported)'!$1:$5000,M4144,FALSE)</f>
        <v>0</v>
      </c>
    </row>
    <row r="4145" spans="1:22" ht="13" x14ac:dyDescent="0.3">
      <c r="A4145" s="46">
        <f>'vHosts (Imported)'!A4145</f>
        <v>0</v>
      </c>
      <c r="B4145" s="51">
        <f t="shared" si="195"/>
        <v>4968</v>
      </c>
      <c r="C4145" s="49">
        <f>HLOOKUP("# Cores",'vHosts (Imported)'!$1:$5000,M4145,FALSE)</f>
        <v>0</v>
      </c>
      <c r="D4145" s="52">
        <f>HLOOKUP("# Memory",'vHosts (Imported)'!$1:$5000,M4145,FALSE)</f>
        <v>0</v>
      </c>
      <c r="M4145" s="45">
        <f t="shared" si="194"/>
        <v>4145</v>
      </c>
      <c r="N4145" s="38">
        <f>HLOOKUP("Host",'vInfo (Imported)'!$1:$5000,M4145,FALSE)</f>
        <v>0</v>
      </c>
      <c r="R4145">
        <f>HLOOKUP("CPUs",'vInfo (Imported)'!$1:$5000,M4145,FALSE)</f>
        <v>0</v>
      </c>
      <c r="S4145">
        <f>HLOOKUP("Memory",'vInfo (Imported)'!$1:$5000,M4145,FALSE)</f>
        <v>0</v>
      </c>
      <c r="T4145">
        <f>HLOOKUP("Provisioned MiB",'vInfo (Imported)'!$1:$5000,M4145,FALSE)</f>
        <v>0</v>
      </c>
      <c r="U4145">
        <f t="shared" si="193"/>
        <v>0</v>
      </c>
      <c r="V4145">
        <f>HLOOKUP("In Use MiB",'vInfo (Imported)'!$1:$5000,M4145,FALSE)</f>
        <v>0</v>
      </c>
    </row>
    <row r="4146" spans="1:22" ht="13" x14ac:dyDescent="0.3">
      <c r="A4146" s="46">
        <f>'vHosts (Imported)'!A4146</f>
        <v>0</v>
      </c>
      <c r="B4146" s="51">
        <f t="shared" si="195"/>
        <v>4968</v>
      </c>
      <c r="C4146" s="49">
        <f>HLOOKUP("# Cores",'vHosts (Imported)'!$1:$5000,M4146,FALSE)</f>
        <v>0</v>
      </c>
      <c r="D4146" s="52">
        <f>HLOOKUP("# Memory",'vHosts (Imported)'!$1:$5000,M4146,FALSE)</f>
        <v>0</v>
      </c>
      <c r="M4146" s="45">
        <f t="shared" si="194"/>
        <v>4146</v>
      </c>
      <c r="N4146" s="38">
        <f>HLOOKUP("Host",'vInfo (Imported)'!$1:$5000,M4146,FALSE)</f>
        <v>0</v>
      </c>
      <c r="R4146">
        <f>HLOOKUP("CPUs",'vInfo (Imported)'!$1:$5000,M4146,FALSE)</f>
        <v>0</v>
      </c>
      <c r="S4146">
        <f>HLOOKUP("Memory",'vInfo (Imported)'!$1:$5000,M4146,FALSE)</f>
        <v>0</v>
      </c>
      <c r="T4146">
        <f>HLOOKUP("Provisioned MiB",'vInfo (Imported)'!$1:$5000,M4146,FALSE)</f>
        <v>0</v>
      </c>
      <c r="U4146">
        <f t="shared" si="193"/>
        <v>0</v>
      </c>
      <c r="V4146">
        <f>HLOOKUP("In Use MiB",'vInfo (Imported)'!$1:$5000,M4146,FALSE)</f>
        <v>0</v>
      </c>
    </row>
    <row r="4147" spans="1:22" ht="13" x14ac:dyDescent="0.3">
      <c r="A4147" s="46">
        <f>'vHosts (Imported)'!A4147</f>
        <v>0</v>
      </c>
      <c r="B4147" s="51">
        <f t="shared" si="195"/>
        <v>4968</v>
      </c>
      <c r="C4147" s="49">
        <f>HLOOKUP("# Cores",'vHosts (Imported)'!$1:$5000,M4147,FALSE)</f>
        <v>0</v>
      </c>
      <c r="D4147" s="52">
        <f>HLOOKUP("# Memory",'vHosts (Imported)'!$1:$5000,M4147,FALSE)</f>
        <v>0</v>
      </c>
      <c r="M4147" s="45">
        <f t="shared" si="194"/>
        <v>4147</v>
      </c>
      <c r="N4147" s="38">
        <f>HLOOKUP("Host",'vInfo (Imported)'!$1:$5000,M4147,FALSE)</f>
        <v>0</v>
      </c>
      <c r="R4147">
        <f>HLOOKUP("CPUs",'vInfo (Imported)'!$1:$5000,M4147,FALSE)</f>
        <v>0</v>
      </c>
      <c r="S4147">
        <f>HLOOKUP("Memory",'vInfo (Imported)'!$1:$5000,M4147,FALSE)</f>
        <v>0</v>
      </c>
      <c r="T4147">
        <f>HLOOKUP("Provisioned MiB",'vInfo (Imported)'!$1:$5000,M4147,FALSE)</f>
        <v>0</v>
      </c>
      <c r="U4147">
        <f t="shared" si="193"/>
        <v>0</v>
      </c>
      <c r="V4147">
        <f>HLOOKUP("In Use MiB",'vInfo (Imported)'!$1:$5000,M4147,FALSE)</f>
        <v>0</v>
      </c>
    </row>
    <row r="4148" spans="1:22" ht="13" x14ac:dyDescent="0.3">
      <c r="A4148" s="46">
        <f>'vHosts (Imported)'!A4148</f>
        <v>0</v>
      </c>
      <c r="B4148" s="51">
        <f t="shared" si="195"/>
        <v>4968</v>
      </c>
      <c r="C4148" s="49">
        <f>HLOOKUP("# Cores",'vHosts (Imported)'!$1:$5000,M4148,FALSE)</f>
        <v>0</v>
      </c>
      <c r="D4148" s="52">
        <f>HLOOKUP("# Memory",'vHosts (Imported)'!$1:$5000,M4148,FALSE)</f>
        <v>0</v>
      </c>
      <c r="M4148" s="45">
        <f t="shared" si="194"/>
        <v>4148</v>
      </c>
      <c r="N4148" s="38">
        <f>HLOOKUP("Host",'vInfo (Imported)'!$1:$5000,M4148,FALSE)</f>
        <v>0</v>
      </c>
      <c r="R4148">
        <f>HLOOKUP("CPUs",'vInfo (Imported)'!$1:$5000,M4148,FALSE)</f>
        <v>0</v>
      </c>
      <c r="S4148">
        <f>HLOOKUP("Memory",'vInfo (Imported)'!$1:$5000,M4148,FALSE)</f>
        <v>0</v>
      </c>
      <c r="T4148">
        <f>HLOOKUP("Provisioned MiB",'vInfo (Imported)'!$1:$5000,M4148,FALSE)</f>
        <v>0</v>
      </c>
      <c r="U4148">
        <f t="shared" si="193"/>
        <v>0</v>
      </c>
      <c r="V4148">
        <f>HLOOKUP("In Use MiB",'vInfo (Imported)'!$1:$5000,M4148,FALSE)</f>
        <v>0</v>
      </c>
    </row>
    <row r="4149" spans="1:22" ht="13" x14ac:dyDescent="0.3">
      <c r="A4149" s="46">
        <f>'vHosts (Imported)'!A4149</f>
        <v>0</v>
      </c>
      <c r="B4149" s="51">
        <f t="shared" si="195"/>
        <v>4968</v>
      </c>
      <c r="C4149" s="49">
        <f>HLOOKUP("# Cores",'vHosts (Imported)'!$1:$5000,M4149,FALSE)</f>
        <v>0</v>
      </c>
      <c r="D4149" s="52">
        <f>HLOOKUP("# Memory",'vHosts (Imported)'!$1:$5000,M4149,FALSE)</f>
        <v>0</v>
      </c>
      <c r="M4149" s="45">
        <f t="shared" si="194"/>
        <v>4149</v>
      </c>
      <c r="N4149" s="38">
        <f>HLOOKUP("Host",'vInfo (Imported)'!$1:$5000,M4149,FALSE)</f>
        <v>0</v>
      </c>
      <c r="R4149">
        <f>HLOOKUP("CPUs",'vInfo (Imported)'!$1:$5000,M4149,FALSE)</f>
        <v>0</v>
      </c>
      <c r="S4149">
        <f>HLOOKUP("Memory",'vInfo (Imported)'!$1:$5000,M4149,FALSE)</f>
        <v>0</v>
      </c>
      <c r="T4149">
        <f>HLOOKUP("Provisioned MiB",'vInfo (Imported)'!$1:$5000,M4149,FALSE)</f>
        <v>0</v>
      </c>
      <c r="U4149">
        <f t="shared" si="193"/>
        <v>0</v>
      </c>
      <c r="V4149">
        <f>HLOOKUP("In Use MiB",'vInfo (Imported)'!$1:$5000,M4149,FALSE)</f>
        <v>0</v>
      </c>
    </row>
    <row r="4150" spans="1:22" ht="13" x14ac:dyDescent="0.3">
      <c r="A4150" s="46">
        <f>'vHosts (Imported)'!A4150</f>
        <v>0</v>
      </c>
      <c r="B4150" s="51">
        <f t="shared" si="195"/>
        <v>4968</v>
      </c>
      <c r="C4150" s="49">
        <f>HLOOKUP("# Cores",'vHosts (Imported)'!$1:$5000,M4150,FALSE)</f>
        <v>0</v>
      </c>
      <c r="D4150" s="52">
        <f>HLOOKUP("# Memory",'vHosts (Imported)'!$1:$5000,M4150,FALSE)</f>
        <v>0</v>
      </c>
      <c r="M4150" s="45">
        <f t="shared" si="194"/>
        <v>4150</v>
      </c>
      <c r="N4150" s="38">
        <f>HLOOKUP("Host",'vInfo (Imported)'!$1:$5000,M4150,FALSE)</f>
        <v>0</v>
      </c>
      <c r="R4150">
        <f>HLOOKUP("CPUs",'vInfo (Imported)'!$1:$5000,M4150,FALSE)</f>
        <v>0</v>
      </c>
      <c r="S4150">
        <f>HLOOKUP("Memory",'vInfo (Imported)'!$1:$5000,M4150,FALSE)</f>
        <v>0</v>
      </c>
      <c r="T4150">
        <f>HLOOKUP("Provisioned MiB",'vInfo (Imported)'!$1:$5000,M4150,FALSE)</f>
        <v>0</v>
      </c>
      <c r="U4150">
        <f t="shared" si="193"/>
        <v>0</v>
      </c>
      <c r="V4150">
        <f>HLOOKUP("In Use MiB",'vInfo (Imported)'!$1:$5000,M4150,FALSE)</f>
        <v>0</v>
      </c>
    </row>
    <row r="4151" spans="1:22" ht="13" x14ac:dyDescent="0.3">
      <c r="A4151" s="46">
        <f>'vHosts (Imported)'!A4151</f>
        <v>0</v>
      </c>
      <c r="B4151" s="51">
        <f t="shared" si="195"/>
        <v>4968</v>
      </c>
      <c r="C4151" s="49">
        <f>HLOOKUP("# Cores",'vHosts (Imported)'!$1:$5000,M4151,FALSE)</f>
        <v>0</v>
      </c>
      <c r="D4151" s="52">
        <f>HLOOKUP("# Memory",'vHosts (Imported)'!$1:$5000,M4151,FALSE)</f>
        <v>0</v>
      </c>
      <c r="M4151" s="45">
        <f t="shared" si="194"/>
        <v>4151</v>
      </c>
      <c r="N4151" s="38">
        <f>HLOOKUP("Host",'vInfo (Imported)'!$1:$5000,M4151,FALSE)</f>
        <v>0</v>
      </c>
      <c r="R4151">
        <f>HLOOKUP("CPUs",'vInfo (Imported)'!$1:$5000,M4151,FALSE)</f>
        <v>0</v>
      </c>
      <c r="S4151">
        <f>HLOOKUP("Memory",'vInfo (Imported)'!$1:$5000,M4151,FALSE)</f>
        <v>0</v>
      </c>
      <c r="T4151">
        <f>HLOOKUP("Provisioned MiB",'vInfo (Imported)'!$1:$5000,M4151,FALSE)</f>
        <v>0</v>
      </c>
      <c r="U4151">
        <f t="shared" si="193"/>
        <v>0</v>
      </c>
      <c r="V4151">
        <f>HLOOKUP("In Use MiB",'vInfo (Imported)'!$1:$5000,M4151,FALSE)</f>
        <v>0</v>
      </c>
    </row>
    <row r="4152" spans="1:22" ht="13" x14ac:dyDescent="0.3">
      <c r="A4152" s="46">
        <f>'vHosts (Imported)'!A4152</f>
        <v>0</v>
      </c>
      <c r="B4152" s="51">
        <f t="shared" si="195"/>
        <v>4968</v>
      </c>
      <c r="C4152" s="49">
        <f>HLOOKUP("# Cores",'vHosts (Imported)'!$1:$5000,M4152,FALSE)</f>
        <v>0</v>
      </c>
      <c r="D4152" s="52">
        <f>HLOOKUP("# Memory",'vHosts (Imported)'!$1:$5000,M4152,FALSE)</f>
        <v>0</v>
      </c>
      <c r="M4152" s="45">
        <f t="shared" si="194"/>
        <v>4152</v>
      </c>
      <c r="N4152" s="38">
        <f>HLOOKUP("Host",'vInfo (Imported)'!$1:$5000,M4152,FALSE)</f>
        <v>0</v>
      </c>
      <c r="R4152">
        <f>HLOOKUP("CPUs",'vInfo (Imported)'!$1:$5000,M4152,FALSE)</f>
        <v>0</v>
      </c>
      <c r="S4152">
        <f>HLOOKUP("Memory",'vInfo (Imported)'!$1:$5000,M4152,FALSE)</f>
        <v>0</v>
      </c>
      <c r="T4152">
        <f>HLOOKUP("Provisioned MiB",'vInfo (Imported)'!$1:$5000,M4152,FALSE)</f>
        <v>0</v>
      </c>
      <c r="U4152">
        <f t="shared" si="193"/>
        <v>0</v>
      </c>
      <c r="V4152">
        <f>HLOOKUP("In Use MiB",'vInfo (Imported)'!$1:$5000,M4152,FALSE)</f>
        <v>0</v>
      </c>
    </row>
    <row r="4153" spans="1:22" ht="13" x14ac:dyDescent="0.3">
      <c r="A4153" s="46">
        <f>'vHosts (Imported)'!A4153</f>
        <v>0</v>
      </c>
      <c r="B4153" s="51">
        <f t="shared" si="195"/>
        <v>4968</v>
      </c>
      <c r="C4153" s="49">
        <f>HLOOKUP("# Cores",'vHosts (Imported)'!$1:$5000,M4153,FALSE)</f>
        <v>0</v>
      </c>
      <c r="D4153" s="52">
        <f>HLOOKUP("# Memory",'vHosts (Imported)'!$1:$5000,M4153,FALSE)</f>
        <v>0</v>
      </c>
      <c r="M4153" s="45">
        <f t="shared" si="194"/>
        <v>4153</v>
      </c>
      <c r="N4153" s="38">
        <f>HLOOKUP("Host",'vInfo (Imported)'!$1:$5000,M4153,FALSE)</f>
        <v>0</v>
      </c>
      <c r="R4153">
        <f>HLOOKUP("CPUs",'vInfo (Imported)'!$1:$5000,M4153,FALSE)</f>
        <v>0</v>
      </c>
      <c r="S4153">
        <f>HLOOKUP("Memory",'vInfo (Imported)'!$1:$5000,M4153,FALSE)</f>
        <v>0</v>
      </c>
      <c r="T4153">
        <f>HLOOKUP("Provisioned MiB",'vInfo (Imported)'!$1:$5000,M4153,FALSE)</f>
        <v>0</v>
      </c>
      <c r="U4153">
        <f t="shared" si="193"/>
        <v>0</v>
      </c>
      <c r="V4153">
        <f>HLOOKUP("In Use MiB",'vInfo (Imported)'!$1:$5000,M4153,FALSE)</f>
        <v>0</v>
      </c>
    </row>
    <row r="4154" spans="1:22" ht="13" x14ac:dyDescent="0.3">
      <c r="A4154" s="46">
        <f>'vHosts (Imported)'!A4154</f>
        <v>0</v>
      </c>
      <c r="B4154" s="51">
        <f t="shared" si="195"/>
        <v>4968</v>
      </c>
      <c r="C4154" s="49">
        <f>HLOOKUP("# Cores",'vHosts (Imported)'!$1:$5000,M4154,FALSE)</f>
        <v>0</v>
      </c>
      <c r="D4154" s="52">
        <f>HLOOKUP("# Memory",'vHosts (Imported)'!$1:$5000,M4154,FALSE)</f>
        <v>0</v>
      </c>
      <c r="M4154" s="45">
        <f t="shared" si="194"/>
        <v>4154</v>
      </c>
      <c r="N4154" s="38">
        <f>HLOOKUP("Host",'vInfo (Imported)'!$1:$5000,M4154,FALSE)</f>
        <v>0</v>
      </c>
      <c r="R4154">
        <f>HLOOKUP("CPUs",'vInfo (Imported)'!$1:$5000,M4154,FALSE)</f>
        <v>0</v>
      </c>
      <c r="S4154">
        <f>HLOOKUP("Memory",'vInfo (Imported)'!$1:$5000,M4154,FALSE)</f>
        <v>0</v>
      </c>
      <c r="T4154">
        <f>HLOOKUP("Provisioned MiB",'vInfo (Imported)'!$1:$5000,M4154,FALSE)</f>
        <v>0</v>
      </c>
      <c r="U4154">
        <f t="shared" si="193"/>
        <v>0</v>
      </c>
      <c r="V4154">
        <f>HLOOKUP("In Use MiB",'vInfo (Imported)'!$1:$5000,M4154,FALSE)</f>
        <v>0</v>
      </c>
    </row>
    <row r="4155" spans="1:22" ht="13" x14ac:dyDescent="0.3">
      <c r="A4155" s="46">
        <f>'vHosts (Imported)'!A4155</f>
        <v>0</v>
      </c>
      <c r="B4155" s="51">
        <f t="shared" si="195"/>
        <v>4968</v>
      </c>
      <c r="C4155" s="49">
        <f>HLOOKUP("# Cores",'vHosts (Imported)'!$1:$5000,M4155,FALSE)</f>
        <v>0</v>
      </c>
      <c r="D4155" s="52">
        <f>HLOOKUP("# Memory",'vHosts (Imported)'!$1:$5000,M4155,FALSE)</f>
        <v>0</v>
      </c>
      <c r="M4155" s="45">
        <f t="shared" si="194"/>
        <v>4155</v>
      </c>
      <c r="N4155" s="38">
        <f>HLOOKUP("Host",'vInfo (Imported)'!$1:$5000,M4155,FALSE)</f>
        <v>0</v>
      </c>
      <c r="R4155">
        <f>HLOOKUP("CPUs",'vInfo (Imported)'!$1:$5000,M4155,FALSE)</f>
        <v>0</v>
      </c>
      <c r="S4155">
        <f>HLOOKUP("Memory",'vInfo (Imported)'!$1:$5000,M4155,FALSE)</f>
        <v>0</v>
      </c>
      <c r="T4155">
        <f>HLOOKUP("Provisioned MiB",'vInfo (Imported)'!$1:$5000,M4155,FALSE)</f>
        <v>0</v>
      </c>
      <c r="U4155">
        <f t="shared" si="193"/>
        <v>0</v>
      </c>
      <c r="V4155">
        <f>HLOOKUP("In Use MiB",'vInfo (Imported)'!$1:$5000,M4155,FALSE)</f>
        <v>0</v>
      </c>
    </row>
    <row r="4156" spans="1:22" ht="13" x14ac:dyDescent="0.3">
      <c r="A4156" s="46">
        <f>'vHosts (Imported)'!A4156</f>
        <v>0</v>
      </c>
      <c r="B4156" s="51">
        <f t="shared" si="195"/>
        <v>4968</v>
      </c>
      <c r="C4156" s="49">
        <f>HLOOKUP("# Cores",'vHosts (Imported)'!$1:$5000,M4156,FALSE)</f>
        <v>0</v>
      </c>
      <c r="D4156" s="52">
        <f>HLOOKUP("# Memory",'vHosts (Imported)'!$1:$5000,M4156,FALSE)</f>
        <v>0</v>
      </c>
      <c r="M4156" s="45">
        <f t="shared" si="194"/>
        <v>4156</v>
      </c>
      <c r="N4156" s="38">
        <f>HLOOKUP("Host",'vInfo (Imported)'!$1:$5000,M4156,FALSE)</f>
        <v>0</v>
      </c>
      <c r="R4156">
        <f>HLOOKUP("CPUs",'vInfo (Imported)'!$1:$5000,M4156,FALSE)</f>
        <v>0</v>
      </c>
      <c r="S4156">
        <f>HLOOKUP("Memory",'vInfo (Imported)'!$1:$5000,M4156,FALSE)</f>
        <v>0</v>
      </c>
      <c r="T4156">
        <f>HLOOKUP("Provisioned MiB",'vInfo (Imported)'!$1:$5000,M4156,FALSE)</f>
        <v>0</v>
      </c>
      <c r="U4156">
        <f t="shared" si="193"/>
        <v>0</v>
      </c>
      <c r="V4156">
        <f>HLOOKUP("In Use MiB",'vInfo (Imported)'!$1:$5000,M4156,FALSE)</f>
        <v>0</v>
      </c>
    </row>
    <row r="4157" spans="1:22" ht="13" x14ac:dyDescent="0.3">
      <c r="A4157" s="46">
        <f>'vHosts (Imported)'!A4157</f>
        <v>0</v>
      </c>
      <c r="B4157" s="51">
        <f t="shared" si="195"/>
        <v>4968</v>
      </c>
      <c r="C4157" s="49">
        <f>HLOOKUP("# Cores",'vHosts (Imported)'!$1:$5000,M4157,FALSE)</f>
        <v>0</v>
      </c>
      <c r="D4157" s="52">
        <f>HLOOKUP("# Memory",'vHosts (Imported)'!$1:$5000,M4157,FALSE)</f>
        <v>0</v>
      </c>
      <c r="M4157" s="45">
        <f t="shared" si="194"/>
        <v>4157</v>
      </c>
      <c r="N4157" s="38">
        <f>HLOOKUP("Host",'vInfo (Imported)'!$1:$5000,M4157,FALSE)</f>
        <v>0</v>
      </c>
      <c r="R4157">
        <f>HLOOKUP("CPUs",'vInfo (Imported)'!$1:$5000,M4157,FALSE)</f>
        <v>0</v>
      </c>
      <c r="S4157">
        <f>HLOOKUP("Memory",'vInfo (Imported)'!$1:$5000,M4157,FALSE)</f>
        <v>0</v>
      </c>
      <c r="T4157">
        <f>HLOOKUP("Provisioned MiB",'vInfo (Imported)'!$1:$5000,M4157,FALSE)</f>
        <v>0</v>
      </c>
      <c r="U4157">
        <f t="shared" si="193"/>
        <v>0</v>
      </c>
      <c r="V4157">
        <f>HLOOKUP("In Use MiB",'vInfo (Imported)'!$1:$5000,M4157,FALSE)</f>
        <v>0</v>
      </c>
    </row>
    <row r="4158" spans="1:22" ht="13" x14ac:dyDescent="0.3">
      <c r="A4158" s="46">
        <f>'vHosts (Imported)'!A4158</f>
        <v>0</v>
      </c>
      <c r="B4158" s="51">
        <f t="shared" si="195"/>
        <v>4968</v>
      </c>
      <c r="C4158" s="49">
        <f>HLOOKUP("# Cores",'vHosts (Imported)'!$1:$5000,M4158,FALSE)</f>
        <v>0</v>
      </c>
      <c r="D4158" s="52">
        <f>HLOOKUP("# Memory",'vHosts (Imported)'!$1:$5000,M4158,FALSE)</f>
        <v>0</v>
      </c>
      <c r="M4158" s="45">
        <f t="shared" si="194"/>
        <v>4158</v>
      </c>
      <c r="N4158" s="38">
        <f>HLOOKUP("Host",'vInfo (Imported)'!$1:$5000,M4158,FALSE)</f>
        <v>0</v>
      </c>
      <c r="R4158">
        <f>HLOOKUP("CPUs",'vInfo (Imported)'!$1:$5000,M4158,FALSE)</f>
        <v>0</v>
      </c>
      <c r="S4158">
        <f>HLOOKUP("Memory",'vInfo (Imported)'!$1:$5000,M4158,FALSE)</f>
        <v>0</v>
      </c>
      <c r="T4158">
        <f>HLOOKUP("Provisioned MiB",'vInfo (Imported)'!$1:$5000,M4158,FALSE)</f>
        <v>0</v>
      </c>
      <c r="U4158">
        <f t="shared" si="193"/>
        <v>0</v>
      </c>
      <c r="V4158">
        <f>HLOOKUP("In Use MiB",'vInfo (Imported)'!$1:$5000,M4158,FALSE)</f>
        <v>0</v>
      </c>
    </row>
    <row r="4159" spans="1:22" ht="13" x14ac:dyDescent="0.3">
      <c r="A4159" s="46">
        <f>'vHosts (Imported)'!A4159</f>
        <v>0</v>
      </c>
      <c r="B4159" s="51">
        <f t="shared" si="195"/>
        <v>4968</v>
      </c>
      <c r="C4159" s="49">
        <f>HLOOKUP("# Cores",'vHosts (Imported)'!$1:$5000,M4159,FALSE)</f>
        <v>0</v>
      </c>
      <c r="D4159" s="52">
        <f>HLOOKUP("# Memory",'vHosts (Imported)'!$1:$5000,M4159,FALSE)</f>
        <v>0</v>
      </c>
      <c r="M4159" s="45">
        <f t="shared" si="194"/>
        <v>4159</v>
      </c>
      <c r="N4159" s="38">
        <f>HLOOKUP("Host",'vInfo (Imported)'!$1:$5000,M4159,FALSE)</f>
        <v>0</v>
      </c>
      <c r="R4159">
        <f>HLOOKUP("CPUs",'vInfo (Imported)'!$1:$5000,M4159,FALSE)</f>
        <v>0</v>
      </c>
      <c r="S4159">
        <f>HLOOKUP("Memory",'vInfo (Imported)'!$1:$5000,M4159,FALSE)</f>
        <v>0</v>
      </c>
      <c r="T4159">
        <f>HLOOKUP("Provisioned MiB",'vInfo (Imported)'!$1:$5000,M4159,FALSE)</f>
        <v>0</v>
      </c>
      <c r="U4159">
        <f t="shared" si="193"/>
        <v>0</v>
      </c>
      <c r="V4159">
        <f>HLOOKUP("In Use MiB",'vInfo (Imported)'!$1:$5000,M4159,FALSE)</f>
        <v>0</v>
      </c>
    </row>
    <row r="4160" spans="1:22" ht="13" x14ac:dyDescent="0.3">
      <c r="A4160" s="46">
        <f>'vHosts (Imported)'!A4160</f>
        <v>0</v>
      </c>
      <c r="B4160" s="51">
        <f t="shared" si="195"/>
        <v>4968</v>
      </c>
      <c r="C4160" s="49">
        <f>HLOOKUP("# Cores",'vHosts (Imported)'!$1:$5000,M4160,FALSE)</f>
        <v>0</v>
      </c>
      <c r="D4160" s="52">
        <f>HLOOKUP("# Memory",'vHosts (Imported)'!$1:$5000,M4160,FALSE)</f>
        <v>0</v>
      </c>
      <c r="M4160" s="45">
        <f t="shared" si="194"/>
        <v>4160</v>
      </c>
      <c r="N4160" s="38">
        <f>HLOOKUP("Host",'vInfo (Imported)'!$1:$5000,M4160,FALSE)</f>
        <v>0</v>
      </c>
      <c r="R4160">
        <f>HLOOKUP("CPUs",'vInfo (Imported)'!$1:$5000,M4160,FALSE)</f>
        <v>0</v>
      </c>
      <c r="S4160">
        <f>HLOOKUP("Memory",'vInfo (Imported)'!$1:$5000,M4160,FALSE)</f>
        <v>0</v>
      </c>
      <c r="T4160">
        <f>HLOOKUP("Provisioned MiB",'vInfo (Imported)'!$1:$5000,M4160,FALSE)</f>
        <v>0</v>
      </c>
      <c r="U4160">
        <f t="shared" si="193"/>
        <v>0</v>
      </c>
      <c r="V4160">
        <f>HLOOKUP("In Use MiB",'vInfo (Imported)'!$1:$5000,M4160,FALSE)</f>
        <v>0</v>
      </c>
    </row>
    <row r="4161" spans="1:22" ht="13" x14ac:dyDescent="0.3">
      <c r="A4161" s="46">
        <f>'vHosts (Imported)'!A4161</f>
        <v>0</v>
      </c>
      <c r="B4161" s="51">
        <f t="shared" si="195"/>
        <v>4968</v>
      </c>
      <c r="C4161" s="49">
        <f>HLOOKUP("# Cores",'vHosts (Imported)'!$1:$5000,M4161,FALSE)</f>
        <v>0</v>
      </c>
      <c r="D4161" s="52">
        <f>HLOOKUP("# Memory",'vHosts (Imported)'!$1:$5000,M4161,FALSE)</f>
        <v>0</v>
      </c>
      <c r="M4161" s="45">
        <f t="shared" si="194"/>
        <v>4161</v>
      </c>
      <c r="N4161" s="38">
        <f>HLOOKUP("Host",'vInfo (Imported)'!$1:$5000,M4161,FALSE)</f>
        <v>0</v>
      </c>
      <c r="R4161">
        <f>HLOOKUP("CPUs",'vInfo (Imported)'!$1:$5000,M4161,FALSE)</f>
        <v>0</v>
      </c>
      <c r="S4161">
        <f>HLOOKUP("Memory",'vInfo (Imported)'!$1:$5000,M4161,FALSE)</f>
        <v>0</v>
      </c>
      <c r="T4161">
        <f>HLOOKUP("Provisioned MiB",'vInfo (Imported)'!$1:$5000,M4161,FALSE)</f>
        <v>0</v>
      </c>
      <c r="U4161">
        <f t="shared" si="193"/>
        <v>0</v>
      </c>
      <c r="V4161">
        <f>HLOOKUP("In Use MiB",'vInfo (Imported)'!$1:$5000,M4161,FALSE)</f>
        <v>0</v>
      </c>
    </row>
    <row r="4162" spans="1:22" ht="13" x14ac:dyDescent="0.3">
      <c r="A4162" s="46">
        <f>'vHosts (Imported)'!A4162</f>
        <v>0</v>
      </c>
      <c r="B4162" s="51">
        <f t="shared" si="195"/>
        <v>4968</v>
      </c>
      <c r="C4162" s="49">
        <f>HLOOKUP("# Cores",'vHosts (Imported)'!$1:$5000,M4162,FALSE)</f>
        <v>0</v>
      </c>
      <c r="D4162" s="52">
        <f>HLOOKUP("# Memory",'vHosts (Imported)'!$1:$5000,M4162,FALSE)</f>
        <v>0</v>
      </c>
      <c r="M4162" s="45">
        <f t="shared" si="194"/>
        <v>4162</v>
      </c>
      <c r="N4162" s="38">
        <f>HLOOKUP("Host",'vInfo (Imported)'!$1:$5000,M4162,FALSE)</f>
        <v>0</v>
      </c>
      <c r="R4162">
        <f>HLOOKUP("CPUs",'vInfo (Imported)'!$1:$5000,M4162,FALSE)</f>
        <v>0</v>
      </c>
      <c r="S4162">
        <f>HLOOKUP("Memory",'vInfo (Imported)'!$1:$5000,M4162,FALSE)</f>
        <v>0</v>
      </c>
      <c r="T4162">
        <f>HLOOKUP("Provisioned MiB",'vInfo (Imported)'!$1:$5000,M4162,FALSE)</f>
        <v>0</v>
      </c>
      <c r="U4162">
        <f t="shared" si="193"/>
        <v>0</v>
      </c>
      <c r="V4162">
        <f>HLOOKUP("In Use MiB",'vInfo (Imported)'!$1:$5000,M4162,FALSE)</f>
        <v>0</v>
      </c>
    </row>
    <row r="4163" spans="1:22" ht="13" x14ac:dyDescent="0.3">
      <c r="A4163" s="46">
        <f>'vHosts (Imported)'!A4163</f>
        <v>0</v>
      </c>
      <c r="B4163" s="51">
        <f t="shared" si="195"/>
        <v>4968</v>
      </c>
      <c r="C4163" s="49">
        <f>HLOOKUP("# Cores",'vHosts (Imported)'!$1:$5000,M4163,FALSE)</f>
        <v>0</v>
      </c>
      <c r="D4163" s="52">
        <f>HLOOKUP("# Memory",'vHosts (Imported)'!$1:$5000,M4163,FALSE)</f>
        <v>0</v>
      </c>
      <c r="M4163" s="45">
        <f t="shared" si="194"/>
        <v>4163</v>
      </c>
      <c r="N4163" s="38">
        <f>HLOOKUP("Host",'vInfo (Imported)'!$1:$5000,M4163,FALSE)</f>
        <v>0</v>
      </c>
      <c r="R4163">
        <f>HLOOKUP("CPUs",'vInfo (Imported)'!$1:$5000,M4163,FALSE)</f>
        <v>0</v>
      </c>
      <c r="S4163">
        <f>HLOOKUP("Memory",'vInfo (Imported)'!$1:$5000,M4163,FALSE)</f>
        <v>0</v>
      </c>
      <c r="T4163">
        <f>HLOOKUP("Provisioned MiB",'vInfo (Imported)'!$1:$5000,M4163,FALSE)</f>
        <v>0</v>
      </c>
      <c r="U4163">
        <f t="shared" ref="U4163:U4226" si="196">T4163-V4163</f>
        <v>0</v>
      </c>
      <c r="V4163">
        <f>HLOOKUP("In Use MiB",'vInfo (Imported)'!$1:$5000,M4163,FALSE)</f>
        <v>0</v>
      </c>
    </row>
    <row r="4164" spans="1:22" ht="13" x14ac:dyDescent="0.3">
      <c r="A4164" s="46">
        <f>'vHosts (Imported)'!A4164</f>
        <v>0</v>
      </c>
      <c r="B4164" s="51">
        <f t="shared" si="195"/>
        <v>4968</v>
      </c>
      <c r="C4164" s="49">
        <f>HLOOKUP("# Cores",'vHosts (Imported)'!$1:$5000,M4164,FALSE)</f>
        <v>0</v>
      </c>
      <c r="D4164" s="52">
        <f>HLOOKUP("# Memory",'vHosts (Imported)'!$1:$5000,M4164,FALSE)</f>
        <v>0</v>
      </c>
      <c r="M4164" s="45">
        <f t="shared" ref="M4164:M4227" si="197">M4163+1</f>
        <v>4164</v>
      </c>
      <c r="N4164" s="38">
        <f>HLOOKUP("Host",'vInfo (Imported)'!$1:$5000,M4164,FALSE)</f>
        <v>0</v>
      </c>
      <c r="R4164">
        <f>HLOOKUP("CPUs",'vInfo (Imported)'!$1:$5000,M4164,FALSE)</f>
        <v>0</v>
      </c>
      <c r="S4164">
        <f>HLOOKUP("Memory",'vInfo (Imported)'!$1:$5000,M4164,FALSE)</f>
        <v>0</v>
      </c>
      <c r="T4164">
        <f>HLOOKUP("Provisioned MiB",'vInfo (Imported)'!$1:$5000,M4164,FALSE)</f>
        <v>0</v>
      </c>
      <c r="U4164">
        <f t="shared" si="196"/>
        <v>0</v>
      </c>
      <c r="V4164">
        <f>HLOOKUP("In Use MiB",'vInfo (Imported)'!$1:$5000,M4164,FALSE)</f>
        <v>0</v>
      </c>
    </row>
    <row r="4165" spans="1:22" ht="13" x14ac:dyDescent="0.3">
      <c r="A4165" s="46">
        <f>'vHosts (Imported)'!A4165</f>
        <v>0</v>
      </c>
      <c r="B4165" s="51">
        <f t="shared" si="195"/>
        <v>4968</v>
      </c>
      <c r="C4165" s="49">
        <f>HLOOKUP("# Cores",'vHosts (Imported)'!$1:$5000,M4165,FALSE)</f>
        <v>0</v>
      </c>
      <c r="D4165" s="52">
        <f>HLOOKUP("# Memory",'vHosts (Imported)'!$1:$5000,M4165,FALSE)</f>
        <v>0</v>
      </c>
      <c r="M4165" s="45">
        <f t="shared" si="197"/>
        <v>4165</v>
      </c>
      <c r="N4165" s="38">
        <f>HLOOKUP("Host",'vInfo (Imported)'!$1:$5000,M4165,FALSE)</f>
        <v>0</v>
      </c>
      <c r="R4165">
        <f>HLOOKUP("CPUs",'vInfo (Imported)'!$1:$5000,M4165,FALSE)</f>
        <v>0</v>
      </c>
      <c r="S4165">
        <f>HLOOKUP("Memory",'vInfo (Imported)'!$1:$5000,M4165,FALSE)</f>
        <v>0</v>
      </c>
      <c r="T4165">
        <f>HLOOKUP("Provisioned MiB",'vInfo (Imported)'!$1:$5000,M4165,FALSE)</f>
        <v>0</v>
      </c>
      <c r="U4165">
        <f t="shared" si="196"/>
        <v>0</v>
      </c>
      <c r="V4165">
        <f>HLOOKUP("In Use MiB",'vInfo (Imported)'!$1:$5000,M4165,FALSE)</f>
        <v>0</v>
      </c>
    </row>
    <row r="4166" spans="1:22" ht="13" x14ac:dyDescent="0.3">
      <c r="A4166" s="46">
        <f>'vHosts (Imported)'!A4166</f>
        <v>0</v>
      </c>
      <c r="B4166" s="51">
        <f t="shared" si="195"/>
        <v>4968</v>
      </c>
      <c r="C4166" s="49">
        <f>HLOOKUP("# Cores",'vHosts (Imported)'!$1:$5000,M4166,FALSE)</f>
        <v>0</v>
      </c>
      <c r="D4166" s="52">
        <f>HLOOKUP("# Memory",'vHosts (Imported)'!$1:$5000,M4166,FALSE)</f>
        <v>0</v>
      </c>
      <c r="M4166" s="45">
        <f t="shared" si="197"/>
        <v>4166</v>
      </c>
      <c r="N4166" s="38">
        <f>HLOOKUP("Host",'vInfo (Imported)'!$1:$5000,M4166,FALSE)</f>
        <v>0</v>
      </c>
      <c r="R4166">
        <f>HLOOKUP("CPUs",'vInfo (Imported)'!$1:$5000,M4166,FALSE)</f>
        <v>0</v>
      </c>
      <c r="S4166">
        <f>HLOOKUP("Memory",'vInfo (Imported)'!$1:$5000,M4166,FALSE)</f>
        <v>0</v>
      </c>
      <c r="T4166">
        <f>HLOOKUP("Provisioned MiB",'vInfo (Imported)'!$1:$5000,M4166,FALSE)</f>
        <v>0</v>
      </c>
      <c r="U4166">
        <f t="shared" si="196"/>
        <v>0</v>
      </c>
      <c r="V4166">
        <f>HLOOKUP("In Use MiB",'vInfo (Imported)'!$1:$5000,M4166,FALSE)</f>
        <v>0</v>
      </c>
    </row>
    <row r="4167" spans="1:22" ht="13" x14ac:dyDescent="0.3">
      <c r="A4167" s="46">
        <f>'vHosts (Imported)'!A4167</f>
        <v>0</v>
      </c>
      <c r="B4167" s="51">
        <f t="shared" si="195"/>
        <v>4968</v>
      </c>
      <c r="C4167" s="49">
        <f>HLOOKUP("# Cores",'vHosts (Imported)'!$1:$5000,M4167,FALSE)</f>
        <v>0</v>
      </c>
      <c r="D4167" s="52">
        <f>HLOOKUP("# Memory",'vHosts (Imported)'!$1:$5000,M4167,FALSE)</f>
        <v>0</v>
      </c>
      <c r="M4167" s="45">
        <f t="shared" si="197"/>
        <v>4167</v>
      </c>
      <c r="N4167" s="38">
        <f>HLOOKUP("Host",'vInfo (Imported)'!$1:$5000,M4167,FALSE)</f>
        <v>0</v>
      </c>
      <c r="R4167">
        <f>HLOOKUP("CPUs",'vInfo (Imported)'!$1:$5000,M4167,FALSE)</f>
        <v>0</v>
      </c>
      <c r="S4167">
        <f>HLOOKUP("Memory",'vInfo (Imported)'!$1:$5000,M4167,FALSE)</f>
        <v>0</v>
      </c>
      <c r="T4167">
        <f>HLOOKUP("Provisioned MiB",'vInfo (Imported)'!$1:$5000,M4167,FALSE)</f>
        <v>0</v>
      </c>
      <c r="U4167">
        <f t="shared" si="196"/>
        <v>0</v>
      </c>
      <c r="V4167">
        <f>HLOOKUP("In Use MiB",'vInfo (Imported)'!$1:$5000,M4167,FALSE)</f>
        <v>0</v>
      </c>
    </row>
    <row r="4168" spans="1:22" ht="13" x14ac:dyDescent="0.3">
      <c r="A4168" s="46">
        <f>'vHosts (Imported)'!A4168</f>
        <v>0</v>
      </c>
      <c r="B4168" s="51">
        <f t="shared" si="195"/>
        <v>4968</v>
      </c>
      <c r="C4168" s="49">
        <f>HLOOKUP("# Cores",'vHosts (Imported)'!$1:$5000,M4168,FALSE)</f>
        <v>0</v>
      </c>
      <c r="D4168" s="52">
        <f>HLOOKUP("# Memory",'vHosts (Imported)'!$1:$5000,M4168,FALSE)</f>
        <v>0</v>
      </c>
      <c r="M4168" s="45">
        <f t="shared" si="197"/>
        <v>4168</v>
      </c>
      <c r="N4168" s="38">
        <f>HLOOKUP("Host",'vInfo (Imported)'!$1:$5000,M4168,FALSE)</f>
        <v>0</v>
      </c>
      <c r="R4168">
        <f>HLOOKUP("CPUs",'vInfo (Imported)'!$1:$5000,M4168,FALSE)</f>
        <v>0</v>
      </c>
      <c r="S4168">
        <f>HLOOKUP("Memory",'vInfo (Imported)'!$1:$5000,M4168,FALSE)</f>
        <v>0</v>
      </c>
      <c r="T4168">
        <f>HLOOKUP("Provisioned MiB",'vInfo (Imported)'!$1:$5000,M4168,FALSE)</f>
        <v>0</v>
      </c>
      <c r="U4168">
        <f t="shared" si="196"/>
        <v>0</v>
      </c>
      <c r="V4168">
        <f>HLOOKUP("In Use MiB",'vInfo (Imported)'!$1:$5000,M4168,FALSE)</f>
        <v>0</v>
      </c>
    </row>
    <row r="4169" spans="1:22" ht="13" x14ac:dyDescent="0.3">
      <c r="A4169" s="46">
        <f>'vHosts (Imported)'!A4169</f>
        <v>0</v>
      </c>
      <c r="B4169" s="51">
        <f t="shared" si="195"/>
        <v>4968</v>
      </c>
      <c r="C4169" s="49">
        <f>HLOOKUP("# Cores",'vHosts (Imported)'!$1:$5000,M4169,FALSE)</f>
        <v>0</v>
      </c>
      <c r="D4169" s="52">
        <f>HLOOKUP("# Memory",'vHosts (Imported)'!$1:$5000,M4169,FALSE)</f>
        <v>0</v>
      </c>
      <c r="M4169" s="45">
        <f t="shared" si="197"/>
        <v>4169</v>
      </c>
      <c r="N4169" s="38">
        <f>HLOOKUP("Host",'vInfo (Imported)'!$1:$5000,M4169,FALSE)</f>
        <v>0</v>
      </c>
      <c r="R4169">
        <f>HLOOKUP("CPUs",'vInfo (Imported)'!$1:$5000,M4169,FALSE)</f>
        <v>0</v>
      </c>
      <c r="S4169">
        <f>HLOOKUP("Memory",'vInfo (Imported)'!$1:$5000,M4169,FALSE)</f>
        <v>0</v>
      </c>
      <c r="T4169">
        <f>HLOOKUP("Provisioned MiB",'vInfo (Imported)'!$1:$5000,M4169,FALSE)</f>
        <v>0</v>
      </c>
      <c r="U4169">
        <f t="shared" si="196"/>
        <v>0</v>
      </c>
      <c r="V4169">
        <f>HLOOKUP("In Use MiB",'vInfo (Imported)'!$1:$5000,M4169,FALSE)</f>
        <v>0</v>
      </c>
    </row>
    <row r="4170" spans="1:22" ht="13" x14ac:dyDescent="0.3">
      <c r="A4170" s="46">
        <f>'vHosts (Imported)'!A4170</f>
        <v>0</v>
      </c>
      <c r="B4170" s="51">
        <f t="shared" si="195"/>
        <v>4968</v>
      </c>
      <c r="C4170" s="49">
        <f>HLOOKUP("# Cores",'vHosts (Imported)'!$1:$5000,M4170,FALSE)</f>
        <v>0</v>
      </c>
      <c r="D4170" s="52">
        <f>HLOOKUP("# Memory",'vHosts (Imported)'!$1:$5000,M4170,FALSE)</f>
        <v>0</v>
      </c>
      <c r="M4170" s="45">
        <f t="shared" si="197"/>
        <v>4170</v>
      </c>
      <c r="N4170" s="38">
        <f>HLOOKUP("Host",'vInfo (Imported)'!$1:$5000,M4170,FALSE)</f>
        <v>0</v>
      </c>
      <c r="R4170">
        <f>HLOOKUP("CPUs",'vInfo (Imported)'!$1:$5000,M4170,FALSE)</f>
        <v>0</v>
      </c>
      <c r="S4170">
        <f>HLOOKUP("Memory",'vInfo (Imported)'!$1:$5000,M4170,FALSE)</f>
        <v>0</v>
      </c>
      <c r="T4170">
        <f>HLOOKUP("Provisioned MiB",'vInfo (Imported)'!$1:$5000,M4170,FALSE)</f>
        <v>0</v>
      </c>
      <c r="U4170">
        <f t="shared" si="196"/>
        <v>0</v>
      </c>
      <c r="V4170">
        <f>HLOOKUP("In Use MiB",'vInfo (Imported)'!$1:$5000,M4170,FALSE)</f>
        <v>0</v>
      </c>
    </row>
    <row r="4171" spans="1:22" ht="13" x14ac:dyDescent="0.3">
      <c r="A4171" s="46">
        <f>'vHosts (Imported)'!A4171</f>
        <v>0</v>
      </c>
      <c r="B4171" s="51">
        <f t="shared" si="195"/>
        <v>4968</v>
      </c>
      <c r="C4171" s="49">
        <f>HLOOKUP("# Cores",'vHosts (Imported)'!$1:$5000,M4171,FALSE)</f>
        <v>0</v>
      </c>
      <c r="D4171" s="52">
        <f>HLOOKUP("# Memory",'vHosts (Imported)'!$1:$5000,M4171,FALSE)</f>
        <v>0</v>
      </c>
      <c r="M4171" s="45">
        <f t="shared" si="197"/>
        <v>4171</v>
      </c>
      <c r="N4171" s="38">
        <f>HLOOKUP("Host",'vInfo (Imported)'!$1:$5000,M4171,FALSE)</f>
        <v>0</v>
      </c>
      <c r="R4171">
        <f>HLOOKUP("CPUs",'vInfo (Imported)'!$1:$5000,M4171,FALSE)</f>
        <v>0</v>
      </c>
      <c r="S4171">
        <f>HLOOKUP("Memory",'vInfo (Imported)'!$1:$5000,M4171,FALSE)</f>
        <v>0</v>
      </c>
      <c r="T4171">
        <f>HLOOKUP("Provisioned MiB",'vInfo (Imported)'!$1:$5000,M4171,FALSE)</f>
        <v>0</v>
      </c>
      <c r="U4171">
        <f t="shared" si="196"/>
        <v>0</v>
      </c>
      <c r="V4171">
        <f>HLOOKUP("In Use MiB",'vInfo (Imported)'!$1:$5000,M4171,FALSE)</f>
        <v>0</v>
      </c>
    </row>
    <row r="4172" spans="1:22" ht="13" x14ac:dyDescent="0.3">
      <c r="A4172" s="46">
        <f>'vHosts (Imported)'!A4172</f>
        <v>0</v>
      </c>
      <c r="B4172" s="51">
        <f t="shared" si="195"/>
        <v>4968</v>
      </c>
      <c r="C4172" s="49">
        <f>HLOOKUP("# Cores",'vHosts (Imported)'!$1:$5000,M4172,FALSE)</f>
        <v>0</v>
      </c>
      <c r="D4172" s="52">
        <f>HLOOKUP("# Memory",'vHosts (Imported)'!$1:$5000,M4172,FALSE)</f>
        <v>0</v>
      </c>
      <c r="M4172" s="45">
        <f t="shared" si="197"/>
        <v>4172</v>
      </c>
      <c r="N4172" s="38">
        <f>HLOOKUP("Host",'vInfo (Imported)'!$1:$5000,M4172,FALSE)</f>
        <v>0</v>
      </c>
      <c r="R4172">
        <f>HLOOKUP("CPUs",'vInfo (Imported)'!$1:$5000,M4172,FALSE)</f>
        <v>0</v>
      </c>
      <c r="S4172">
        <f>HLOOKUP("Memory",'vInfo (Imported)'!$1:$5000,M4172,FALSE)</f>
        <v>0</v>
      </c>
      <c r="T4172">
        <f>HLOOKUP("Provisioned MiB",'vInfo (Imported)'!$1:$5000,M4172,FALSE)</f>
        <v>0</v>
      </c>
      <c r="U4172">
        <f t="shared" si="196"/>
        <v>0</v>
      </c>
      <c r="V4172">
        <f>HLOOKUP("In Use MiB",'vInfo (Imported)'!$1:$5000,M4172,FALSE)</f>
        <v>0</v>
      </c>
    </row>
    <row r="4173" spans="1:22" ht="13" x14ac:dyDescent="0.3">
      <c r="A4173" s="46">
        <f>'vHosts (Imported)'!A4173</f>
        <v>0</v>
      </c>
      <c r="B4173" s="51">
        <f t="shared" si="195"/>
        <v>4968</v>
      </c>
      <c r="C4173" s="49">
        <f>HLOOKUP("# Cores",'vHosts (Imported)'!$1:$5000,M4173,FALSE)</f>
        <v>0</v>
      </c>
      <c r="D4173" s="52">
        <f>HLOOKUP("# Memory",'vHosts (Imported)'!$1:$5000,M4173,FALSE)</f>
        <v>0</v>
      </c>
      <c r="M4173" s="45">
        <f t="shared" si="197"/>
        <v>4173</v>
      </c>
      <c r="N4173" s="38">
        <f>HLOOKUP("Host",'vInfo (Imported)'!$1:$5000,M4173,FALSE)</f>
        <v>0</v>
      </c>
      <c r="R4173">
        <f>HLOOKUP("CPUs",'vInfo (Imported)'!$1:$5000,M4173,FALSE)</f>
        <v>0</v>
      </c>
      <c r="S4173">
        <f>HLOOKUP("Memory",'vInfo (Imported)'!$1:$5000,M4173,FALSE)</f>
        <v>0</v>
      </c>
      <c r="T4173">
        <f>HLOOKUP("Provisioned MiB",'vInfo (Imported)'!$1:$5000,M4173,FALSE)</f>
        <v>0</v>
      </c>
      <c r="U4173">
        <f t="shared" si="196"/>
        <v>0</v>
      </c>
      <c r="V4173">
        <f>HLOOKUP("In Use MiB",'vInfo (Imported)'!$1:$5000,M4173,FALSE)</f>
        <v>0</v>
      </c>
    </row>
    <row r="4174" spans="1:22" ht="13" x14ac:dyDescent="0.3">
      <c r="A4174" s="46">
        <f>'vHosts (Imported)'!A4174</f>
        <v>0</v>
      </c>
      <c r="B4174" s="51">
        <f t="shared" si="195"/>
        <v>4968</v>
      </c>
      <c r="C4174" s="49">
        <f>HLOOKUP("# Cores",'vHosts (Imported)'!$1:$5000,M4174,FALSE)</f>
        <v>0</v>
      </c>
      <c r="D4174" s="52">
        <f>HLOOKUP("# Memory",'vHosts (Imported)'!$1:$5000,M4174,FALSE)</f>
        <v>0</v>
      </c>
      <c r="M4174" s="45">
        <f t="shared" si="197"/>
        <v>4174</v>
      </c>
      <c r="N4174" s="38">
        <f>HLOOKUP("Host",'vInfo (Imported)'!$1:$5000,M4174,FALSE)</f>
        <v>0</v>
      </c>
      <c r="R4174">
        <f>HLOOKUP("CPUs",'vInfo (Imported)'!$1:$5000,M4174,FALSE)</f>
        <v>0</v>
      </c>
      <c r="S4174">
        <f>HLOOKUP("Memory",'vInfo (Imported)'!$1:$5000,M4174,FALSE)</f>
        <v>0</v>
      </c>
      <c r="T4174">
        <f>HLOOKUP("Provisioned MiB",'vInfo (Imported)'!$1:$5000,M4174,FALSE)</f>
        <v>0</v>
      </c>
      <c r="U4174">
        <f t="shared" si="196"/>
        <v>0</v>
      </c>
      <c r="V4174">
        <f>HLOOKUP("In Use MiB",'vInfo (Imported)'!$1:$5000,M4174,FALSE)</f>
        <v>0</v>
      </c>
    </row>
    <row r="4175" spans="1:22" ht="13" x14ac:dyDescent="0.3">
      <c r="A4175" s="46">
        <f>'vHosts (Imported)'!A4175</f>
        <v>0</v>
      </c>
      <c r="B4175" s="51">
        <f t="shared" si="195"/>
        <v>4968</v>
      </c>
      <c r="C4175" s="49">
        <f>HLOOKUP("# Cores",'vHosts (Imported)'!$1:$5000,M4175,FALSE)</f>
        <v>0</v>
      </c>
      <c r="D4175" s="52">
        <f>HLOOKUP("# Memory",'vHosts (Imported)'!$1:$5000,M4175,FALSE)</f>
        <v>0</v>
      </c>
      <c r="M4175" s="45">
        <f t="shared" si="197"/>
        <v>4175</v>
      </c>
      <c r="N4175" s="38">
        <f>HLOOKUP("Host",'vInfo (Imported)'!$1:$5000,M4175,FALSE)</f>
        <v>0</v>
      </c>
      <c r="R4175">
        <f>HLOOKUP("CPUs",'vInfo (Imported)'!$1:$5000,M4175,FALSE)</f>
        <v>0</v>
      </c>
      <c r="S4175">
        <f>HLOOKUP("Memory",'vInfo (Imported)'!$1:$5000,M4175,FALSE)</f>
        <v>0</v>
      </c>
      <c r="T4175">
        <f>HLOOKUP("Provisioned MiB",'vInfo (Imported)'!$1:$5000,M4175,FALSE)</f>
        <v>0</v>
      </c>
      <c r="U4175">
        <f t="shared" si="196"/>
        <v>0</v>
      </c>
      <c r="V4175">
        <f>HLOOKUP("In Use MiB",'vInfo (Imported)'!$1:$5000,M4175,FALSE)</f>
        <v>0</v>
      </c>
    </row>
    <row r="4176" spans="1:22" ht="13" x14ac:dyDescent="0.3">
      <c r="A4176" s="46">
        <f>'vHosts (Imported)'!A4176</f>
        <v>0</v>
      </c>
      <c r="B4176" s="51">
        <f t="shared" si="195"/>
        <v>4968</v>
      </c>
      <c r="C4176" s="49">
        <f>HLOOKUP("# Cores",'vHosts (Imported)'!$1:$5000,M4176,FALSE)</f>
        <v>0</v>
      </c>
      <c r="D4176" s="52">
        <f>HLOOKUP("# Memory",'vHosts (Imported)'!$1:$5000,M4176,FALSE)</f>
        <v>0</v>
      </c>
      <c r="M4176" s="45">
        <f t="shared" si="197"/>
        <v>4176</v>
      </c>
      <c r="N4176" s="38">
        <f>HLOOKUP("Host",'vInfo (Imported)'!$1:$5000,M4176,FALSE)</f>
        <v>0</v>
      </c>
      <c r="R4176">
        <f>HLOOKUP("CPUs",'vInfo (Imported)'!$1:$5000,M4176,FALSE)</f>
        <v>0</v>
      </c>
      <c r="S4176">
        <f>HLOOKUP("Memory",'vInfo (Imported)'!$1:$5000,M4176,FALSE)</f>
        <v>0</v>
      </c>
      <c r="T4176">
        <f>HLOOKUP("Provisioned MiB",'vInfo (Imported)'!$1:$5000,M4176,FALSE)</f>
        <v>0</v>
      </c>
      <c r="U4176">
        <f t="shared" si="196"/>
        <v>0</v>
      </c>
      <c r="V4176">
        <f>HLOOKUP("In Use MiB",'vInfo (Imported)'!$1:$5000,M4176,FALSE)</f>
        <v>0</v>
      </c>
    </row>
    <row r="4177" spans="1:22" ht="13" x14ac:dyDescent="0.3">
      <c r="A4177" s="46">
        <f>'vHosts (Imported)'!A4177</f>
        <v>0</v>
      </c>
      <c r="B4177" s="51">
        <f t="shared" si="195"/>
        <v>4968</v>
      </c>
      <c r="C4177" s="49">
        <f>HLOOKUP("# Cores",'vHosts (Imported)'!$1:$5000,M4177,FALSE)</f>
        <v>0</v>
      </c>
      <c r="D4177" s="52">
        <f>HLOOKUP("# Memory",'vHosts (Imported)'!$1:$5000,M4177,FALSE)</f>
        <v>0</v>
      </c>
      <c r="M4177" s="45">
        <f t="shared" si="197"/>
        <v>4177</v>
      </c>
      <c r="N4177" s="38">
        <f>HLOOKUP("Host",'vInfo (Imported)'!$1:$5000,M4177,FALSE)</f>
        <v>0</v>
      </c>
      <c r="R4177">
        <f>HLOOKUP("CPUs",'vInfo (Imported)'!$1:$5000,M4177,FALSE)</f>
        <v>0</v>
      </c>
      <c r="S4177">
        <f>HLOOKUP("Memory",'vInfo (Imported)'!$1:$5000,M4177,FALSE)</f>
        <v>0</v>
      </c>
      <c r="T4177">
        <f>HLOOKUP("Provisioned MiB",'vInfo (Imported)'!$1:$5000,M4177,FALSE)</f>
        <v>0</v>
      </c>
      <c r="U4177">
        <f t="shared" si="196"/>
        <v>0</v>
      </c>
      <c r="V4177">
        <f>HLOOKUP("In Use MiB",'vInfo (Imported)'!$1:$5000,M4177,FALSE)</f>
        <v>0</v>
      </c>
    </row>
    <row r="4178" spans="1:22" ht="13" x14ac:dyDescent="0.3">
      <c r="A4178" s="46">
        <f>'vHosts (Imported)'!A4178</f>
        <v>0</v>
      </c>
      <c r="B4178" s="51">
        <f t="shared" si="195"/>
        <v>4968</v>
      </c>
      <c r="C4178" s="49">
        <f>HLOOKUP("# Cores",'vHosts (Imported)'!$1:$5000,M4178,FALSE)</f>
        <v>0</v>
      </c>
      <c r="D4178" s="52">
        <f>HLOOKUP("# Memory",'vHosts (Imported)'!$1:$5000,M4178,FALSE)</f>
        <v>0</v>
      </c>
      <c r="M4178" s="45">
        <f t="shared" si="197"/>
        <v>4178</v>
      </c>
      <c r="N4178" s="38">
        <f>HLOOKUP("Host",'vInfo (Imported)'!$1:$5000,M4178,FALSE)</f>
        <v>0</v>
      </c>
      <c r="R4178">
        <f>HLOOKUP("CPUs",'vInfo (Imported)'!$1:$5000,M4178,FALSE)</f>
        <v>0</v>
      </c>
      <c r="S4178">
        <f>HLOOKUP("Memory",'vInfo (Imported)'!$1:$5000,M4178,FALSE)</f>
        <v>0</v>
      </c>
      <c r="T4178">
        <f>HLOOKUP("Provisioned MiB",'vInfo (Imported)'!$1:$5000,M4178,FALSE)</f>
        <v>0</v>
      </c>
      <c r="U4178">
        <f t="shared" si="196"/>
        <v>0</v>
      </c>
      <c r="V4178">
        <f>HLOOKUP("In Use MiB",'vInfo (Imported)'!$1:$5000,M4178,FALSE)</f>
        <v>0</v>
      </c>
    </row>
    <row r="4179" spans="1:22" ht="13" x14ac:dyDescent="0.3">
      <c r="A4179" s="46">
        <f>'vHosts (Imported)'!A4179</f>
        <v>0</v>
      </c>
      <c r="B4179" s="51">
        <f t="shared" si="195"/>
        <v>4968</v>
      </c>
      <c r="C4179" s="49">
        <f>HLOOKUP("# Cores",'vHosts (Imported)'!$1:$5000,M4179,FALSE)</f>
        <v>0</v>
      </c>
      <c r="D4179" s="52">
        <f>HLOOKUP("# Memory",'vHosts (Imported)'!$1:$5000,M4179,FALSE)</f>
        <v>0</v>
      </c>
      <c r="M4179" s="45">
        <f t="shared" si="197"/>
        <v>4179</v>
      </c>
      <c r="N4179" s="38">
        <f>HLOOKUP("Host",'vInfo (Imported)'!$1:$5000,M4179,FALSE)</f>
        <v>0</v>
      </c>
      <c r="R4179">
        <f>HLOOKUP("CPUs",'vInfo (Imported)'!$1:$5000,M4179,FALSE)</f>
        <v>0</v>
      </c>
      <c r="S4179">
        <f>HLOOKUP("Memory",'vInfo (Imported)'!$1:$5000,M4179,FALSE)</f>
        <v>0</v>
      </c>
      <c r="T4179">
        <f>HLOOKUP("Provisioned MiB",'vInfo (Imported)'!$1:$5000,M4179,FALSE)</f>
        <v>0</v>
      </c>
      <c r="U4179">
        <f t="shared" si="196"/>
        <v>0</v>
      </c>
      <c r="V4179">
        <f>HLOOKUP("In Use MiB",'vInfo (Imported)'!$1:$5000,M4179,FALSE)</f>
        <v>0</v>
      </c>
    </row>
    <row r="4180" spans="1:22" ht="13" x14ac:dyDescent="0.3">
      <c r="A4180" s="46">
        <f>'vHosts (Imported)'!A4180</f>
        <v>0</v>
      </c>
      <c r="B4180" s="51">
        <f t="shared" si="195"/>
        <v>4968</v>
      </c>
      <c r="C4180" s="49">
        <f>HLOOKUP("# Cores",'vHosts (Imported)'!$1:$5000,M4180,FALSE)</f>
        <v>0</v>
      </c>
      <c r="D4180" s="52">
        <f>HLOOKUP("# Memory",'vHosts (Imported)'!$1:$5000,M4180,FALSE)</f>
        <v>0</v>
      </c>
      <c r="M4180" s="45">
        <f t="shared" si="197"/>
        <v>4180</v>
      </c>
      <c r="N4180" s="38">
        <f>HLOOKUP("Host",'vInfo (Imported)'!$1:$5000,M4180,FALSE)</f>
        <v>0</v>
      </c>
      <c r="R4180">
        <f>HLOOKUP("CPUs",'vInfo (Imported)'!$1:$5000,M4180,FALSE)</f>
        <v>0</v>
      </c>
      <c r="S4180">
        <f>HLOOKUP("Memory",'vInfo (Imported)'!$1:$5000,M4180,FALSE)</f>
        <v>0</v>
      </c>
      <c r="T4180">
        <f>HLOOKUP("Provisioned MiB",'vInfo (Imported)'!$1:$5000,M4180,FALSE)</f>
        <v>0</v>
      </c>
      <c r="U4180">
        <f t="shared" si="196"/>
        <v>0</v>
      </c>
      <c r="V4180">
        <f>HLOOKUP("In Use MiB",'vInfo (Imported)'!$1:$5000,M4180,FALSE)</f>
        <v>0</v>
      </c>
    </row>
    <row r="4181" spans="1:22" ht="13" x14ac:dyDescent="0.3">
      <c r="A4181" s="46">
        <f>'vHosts (Imported)'!A4181</f>
        <v>0</v>
      </c>
      <c r="B4181" s="51">
        <f t="shared" si="195"/>
        <v>4968</v>
      </c>
      <c r="C4181" s="49">
        <f>HLOOKUP("# Cores",'vHosts (Imported)'!$1:$5000,M4181,FALSE)</f>
        <v>0</v>
      </c>
      <c r="D4181" s="52">
        <f>HLOOKUP("# Memory",'vHosts (Imported)'!$1:$5000,M4181,FALSE)</f>
        <v>0</v>
      </c>
      <c r="M4181" s="45">
        <f t="shared" si="197"/>
        <v>4181</v>
      </c>
      <c r="N4181" s="38">
        <f>HLOOKUP("Host",'vInfo (Imported)'!$1:$5000,M4181,FALSE)</f>
        <v>0</v>
      </c>
      <c r="R4181">
        <f>HLOOKUP("CPUs",'vInfo (Imported)'!$1:$5000,M4181,FALSE)</f>
        <v>0</v>
      </c>
      <c r="S4181">
        <f>HLOOKUP("Memory",'vInfo (Imported)'!$1:$5000,M4181,FALSE)</f>
        <v>0</v>
      </c>
      <c r="T4181">
        <f>HLOOKUP("Provisioned MiB",'vInfo (Imported)'!$1:$5000,M4181,FALSE)</f>
        <v>0</v>
      </c>
      <c r="U4181">
        <f t="shared" si="196"/>
        <v>0</v>
      </c>
      <c r="V4181">
        <f>HLOOKUP("In Use MiB",'vInfo (Imported)'!$1:$5000,M4181,FALSE)</f>
        <v>0</v>
      </c>
    </row>
    <row r="4182" spans="1:22" ht="13" x14ac:dyDescent="0.3">
      <c r="A4182" s="46">
        <f>'vHosts (Imported)'!A4182</f>
        <v>0</v>
      </c>
      <c r="B4182" s="51">
        <f t="shared" si="195"/>
        <v>4968</v>
      </c>
      <c r="C4182" s="49">
        <f>HLOOKUP("# Cores",'vHosts (Imported)'!$1:$5000,M4182,FALSE)</f>
        <v>0</v>
      </c>
      <c r="D4182" s="52">
        <f>HLOOKUP("# Memory",'vHosts (Imported)'!$1:$5000,M4182,FALSE)</f>
        <v>0</v>
      </c>
      <c r="M4182" s="45">
        <f t="shared" si="197"/>
        <v>4182</v>
      </c>
      <c r="N4182" s="38">
        <f>HLOOKUP("Host",'vInfo (Imported)'!$1:$5000,M4182,FALSE)</f>
        <v>0</v>
      </c>
      <c r="R4182">
        <f>HLOOKUP("CPUs",'vInfo (Imported)'!$1:$5000,M4182,FALSE)</f>
        <v>0</v>
      </c>
      <c r="S4182">
        <f>HLOOKUP("Memory",'vInfo (Imported)'!$1:$5000,M4182,FALSE)</f>
        <v>0</v>
      </c>
      <c r="T4182">
        <f>HLOOKUP("Provisioned MiB",'vInfo (Imported)'!$1:$5000,M4182,FALSE)</f>
        <v>0</v>
      </c>
      <c r="U4182">
        <f t="shared" si="196"/>
        <v>0</v>
      </c>
      <c r="V4182">
        <f>HLOOKUP("In Use MiB",'vInfo (Imported)'!$1:$5000,M4182,FALSE)</f>
        <v>0</v>
      </c>
    </row>
    <row r="4183" spans="1:22" ht="13" x14ac:dyDescent="0.3">
      <c r="A4183" s="46">
        <f>'vHosts (Imported)'!A4183</f>
        <v>0</v>
      </c>
      <c r="B4183" s="51">
        <f t="shared" si="195"/>
        <v>4968</v>
      </c>
      <c r="C4183" s="49">
        <f>HLOOKUP("# Cores",'vHosts (Imported)'!$1:$5000,M4183,FALSE)</f>
        <v>0</v>
      </c>
      <c r="D4183" s="52">
        <f>HLOOKUP("# Memory",'vHosts (Imported)'!$1:$5000,M4183,FALSE)</f>
        <v>0</v>
      </c>
      <c r="M4183" s="45">
        <f t="shared" si="197"/>
        <v>4183</v>
      </c>
      <c r="N4183" s="38">
        <f>HLOOKUP("Host",'vInfo (Imported)'!$1:$5000,M4183,FALSE)</f>
        <v>0</v>
      </c>
      <c r="R4183">
        <f>HLOOKUP("CPUs",'vInfo (Imported)'!$1:$5000,M4183,FALSE)</f>
        <v>0</v>
      </c>
      <c r="S4183">
        <f>HLOOKUP("Memory",'vInfo (Imported)'!$1:$5000,M4183,FALSE)</f>
        <v>0</v>
      </c>
      <c r="T4183">
        <f>HLOOKUP("Provisioned MiB",'vInfo (Imported)'!$1:$5000,M4183,FALSE)</f>
        <v>0</v>
      </c>
      <c r="U4183">
        <f t="shared" si="196"/>
        <v>0</v>
      </c>
      <c r="V4183">
        <f>HLOOKUP("In Use MiB",'vInfo (Imported)'!$1:$5000,M4183,FALSE)</f>
        <v>0</v>
      </c>
    </row>
    <row r="4184" spans="1:22" ht="13" x14ac:dyDescent="0.3">
      <c r="A4184" s="46">
        <f>'vHosts (Imported)'!A4184</f>
        <v>0</v>
      </c>
      <c r="B4184" s="51">
        <f t="shared" si="195"/>
        <v>4968</v>
      </c>
      <c r="C4184" s="49">
        <f>HLOOKUP("# Cores",'vHosts (Imported)'!$1:$5000,M4184,FALSE)</f>
        <v>0</v>
      </c>
      <c r="D4184" s="52">
        <f>HLOOKUP("# Memory",'vHosts (Imported)'!$1:$5000,M4184,FALSE)</f>
        <v>0</v>
      </c>
      <c r="M4184" s="45">
        <f t="shared" si="197"/>
        <v>4184</v>
      </c>
      <c r="N4184" s="38">
        <f>HLOOKUP("Host",'vInfo (Imported)'!$1:$5000,M4184,FALSE)</f>
        <v>0</v>
      </c>
      <c r="R4184">
        <f>HLOOKUP("CPUs",'vInfo (Imported)'!$1:$5000,M4184,FALSE)</f>
        <v>0</v>
      </c>
      <c r="S4184">
        <f>HLOOKUP("Memory",'vInfo (Imported)'!$1:$5000,M4184,FALSE)</f>
        <v>0</v>
      </c>
      <c r="T4184">
        <f>HLOOKUP("Provisioned MiB",'vInfo (Imported)'!$1:$5000,M4184,FALSE)</f>
        <v>0</v>
      </c>
      <c r="U4184">
        <f t="shared" si="196"/>
        <v>0</v>
      </c>
      <c r="V4184">
        <f>HLOOKUP("In Use MiB",'vInfo (Imported)'!$1:$5000,M4184,FALSE)</f>
        <v>0</v>
      </c>
    </row>
    <row r="4185" spans="1:22" ht="13" x14ac:dyDescent="0.3">
      <c r="A4185" s="46">
        <f>'vHosts (Imported)'!A4185</f>
        <v>0</v>
      </c>
      <c r="B4185" s="51">
        <f t="shared" si="195"/>
        <v>4968</v>
      </c>
      <c r="C4185" s="49">
        <f>HLOOKUP("# Cores",'vHosts (Imported)'!$1:$5000,M4185,FALSE)</f>
        <v>0</v>
      </c>
      <c r="D4185" s="52">
        <f>HLOOKUP("# Memory",'vHosts (Imported)'!$1:$5000,M4185,FALSE)</f>
        <v>0</v>
      </c>
      <c r="M4185" s="45">
        <f t="shared" si="197"/>
        <v>4185</v>
      </c>
      <c r="N4185" s="38">
        <f>HLOOKUP("Host",'vInfo (Imported)'!$1:$5000,M4185,FALSE)</f>
        <v>0</v>
      </c>
      <c r="R4185">
        <f>HLOOKUP("CPUs",'vInfo (Imported)'!$1:$5000,M4185,FALSE)</f>
        <v>0</v>
      </c>
      <c r="S4185">
        <f>HLOOKUP("Memory",'vInfo (Imported)'!$1:$5000,M4185,FALSE)</f>
        <v>0</v>
      </c>
      <c r="T4185">
        <f>HLOOKUP("Provisioned MiB",'vInfo (Imported)'!$1:$5000,M4185,FALSE)</f>
        <v>0</v>
      </c>
      <c r="U4185">
        <f t="shared" si="196"/>
        <v>0</v>
      </c>
      <c r="V4185">
        <f>HLOOKUP("In Use MiB",'vInfo (Imported)'!$1:$5000,M4185,FALSE)</f>
        <v>0</v>
      </c>
    </row>
    <row r="4186" spans="1:22" ht="13" x14ac:dyDescent="0.3">
      <c r="A4186" s="46">
        <f>'vHosts (Imported)'!A4186</f>
        <v>0</v>
      </c>
      <c r="B4186" s="51">
        <f t="shared" si="195"/>
        <v>4968</v>
      </c>
      <c r="C4186" s="49">
        <f>HLOOKUP("# Cores",'vHosts (Imported)'!$1:$5000,M4186,FALSE)</f>
        <v>0</v>
      </c>
      <c r="D4186" s="52">
        <f>HLOOKUP("# Memory",'vHosts (Imported)'!$1:$5000,M4186,FALSE)</f>
        <v>0</v>
      </c>
      <c r="M4186" s="45">
        <f t="shared" si="197"/>
        <v>4186</v>
      </c>
      <c r="N4186" s="38">
        <f>HLOOKUP("Host",'vInfo (Imported)'!$1:$5000,M4186,FALSE)</f>
        <v>0</v>
      </c>
      <c r="R4186">
        <f>HLOOKUP("CPUs",'vInfo (Imported)'!$1:$5000,M4186,FALSE)</f>
        <v>0</v>
      </c>
      <c r="S4186">
        <f>HLOOKUP("Memory",'vInfo (Imported)'!$1:$5000,M4186,FALSE)</f>
        <v>0</v>
      </c>
      <c r="T4186">
        <f>HLOOKUP("Provisioned MiB",'vInfo (Imported)'!$1:$5000,M4186,FALSE)</f>
        <v>0</v>
      </c>
      <c r="U4186">
        <f t="shared" si="196"/>
        <v>0</v>
      </c>
      <c r="V4186">
        <f>HLOOKUP("In Use MiB",'vInfo (Imported)'!$1:$5000,M4186,FALSE)</f>
        <v>0</v>
      </c>
    </row>
    <row r="4187" spans="1:22" ht="13" x14ac:dyDescent="0.3">
      <c r="A4187" s="46">
        <f>'vHosts (Imported)'!A4187</f>
        <v>0</v>
      </c>
      <c r="B4187" s="51">
        <f t="shared" si="195"/>
        <v>4968</v>
      </c>
      <c r="C4187" s="49">
        <f>HLOOKUP("# Cores",'vHosts (Imported)'!$1:$5000,M4187,FALSE)</f>
        <v>0</v>
      </c>
      <c r="D4187" s="52">
        <f>HLOOKUP("# Memory",'vHosts (Imported)'!$1:$5000,M4187,FALSE)</f>
        <v>0</v>
      </c>
      <c r="M4187" s="45">
        <f t="shared" si="197"/>
        <v>4187</v>
      </c>
      <c r="N4187" s="38">
        <f>HLOOKUP("Host",'vInfo (Imported)'!$1:$5000,M4187,FALSE)</f>
        <v>0</v>
      </c>
      <c r="R4187">
        <f>HLOOKUP("CPUs",'vInfo (Imported)'!$1:$5000,M4187,FALSE)</f>
        <v>0</v>
      </c>
      <c r="S4187">
        <f>HLOOKUP("Memory",'vInfo (Imported)'!$1:$5000,M4187,FALSE)</f>
        <v>0</v>
      </c>
      <c r="T4187">
        <f>HLOOKUP("Provisioned MiB",'vInfo (Imported)'!$1:$5000,M4187,FALSE)</f>
        <v>0</v>
      </c>
      <c r="U4187">
        <f t="shared" si="196"/>
        <v>0</v>
      </c>
      <c r="V4187">
        <f>HLOOKUP("In Use MiB",'vInfo (Imported)'!$1:$5000,M4187,FALSE)</f>
        <v>0</v>
      </c>
    </row>
    <row r="4188" spans="1:22" ht="13" x14ac:dyDescent="0.3">
      <c r="A4188" s="46">
        <f>'vHosts (Imported)'!A4188</f>
        <v>0</v>
      </c>
      <c r="B4188" s="51">
        <f t="shared" si="195"/>
        <v>4968</v>
      </c>
      <c r="C4188" s="49">
        <f>HLOOKUP("# Cores",'vHosts (Imported)'!$1:$5000,M4188,FALSE)</f>
        <v>0</v>
      </c>
      <c r="D4188" s="52">
        <f>HLOOKUP("# Memory",'vHosts (Imported)'!$1:$5000,M4188,FALSE)</f>
        <v>0</v>
      </c>
      <c r="M4188" s="45">
        <f t="shared" si="197"/>
        <v>4188</v>
      </c>
      <c r="N4188" s="38">
        <f>HLOOKUP("Host",'vInfo (Imported)'!$1:$5000,M4188,FALSE)</f>
        <v>0</v>
      </c>
      <c r="R4188">
        <f>HLOOKUP("CPUs",'vInfo (Imported)'!$1:$5000,M4188,FALSE)</f>
        <v>0</v>
      </c>
      <c r="S4188">
        <f>HLOOKUP("Memory",'vInfo (Imported)'!$1:$5000,M4188,FALSE)</f>
        <v>0</v>
      </c>
      <c r="T4188">
        <f>HLOOKUP("Provisioned MiB",'vInfo (Imported)'!$1:$5000,M4188,FALSE)</f>
        <v>0</v>
      </c>
      <c r="U4188">
        <f t="shared" si="196"/>
        <v>0</v>
      </c>
      <c r="V4188">
        <f>HLOOKUP("In Use MiB",'vInfo (Imported)'!$1:$5000,M4188,FALSE)</f>
        <v>0</v>
      </c>
    </row>
    <row r="4189" spans="1:22" ht="13" x14ac:dyDescent="0.3">
      <c r="A4189" s="46">
        <f>'vHosts (Imported)'!A4189</f>
        <v>0</v>
      </c>
      <c r="B4189" s="51">
        <f t="shared" si="195"/>
        <v>4968</v>
      </c>
      <c r="C4189" s="49">
        <f>HLOOKUP("# Cores",'vHosts (Imported)'!$1:$5000,M4189,FALSE)</f>
        <v>0</v>
      </c>
      <c r="D4189" s="52">
        <f>HLOOKUP("# Memory",'vHosts (Imported)'!$1:$5000,M4189,FALSE)</f>
        <v>0</v>
      </c>
      <c r="M4189" s="45">
        <f t="shared" si="197"/>
        <v>4189</v>
      </c>
      <c r="N4189" s="38">
        <f>HLOOKUP("Host",'vInfo (Imported)'!$1:$5000,M4189,FALSE)</f>
        <v>0</v>
      </c>
      <c r="R4189">
        <f>HLOOKUP("CPUs",'vInfo (Imported)'!$1:$5000,M4189,FALSE)</f>
        <v>0</v>
      </c>
      <c r="S4189">
        <f>HLOOKUP("Memory",'vInfo (Imported)'!$1:$5000,M4189,FALSE)</f>
        <v>0</v>
      </c>
      <c r="T4189">
        <f>HLOOKUP("Provisioned MiB",'vInfo (Imported)'!$1:$5000,M4189,FALSE)</f>
        <v>0</v>
      </c>
      <c r="U4189">
        <f t="shared" si="196"/>
        <v>0</v>
      </c>
      <c r="V4189">
        <f>HLOOKUP("In Use MiB",'vInfo (Imported)'!$1:$5000,M4189,FALSE)</f>
        <v>0</v>
      </c>
    </row>
    <row r="4190" spans="1:22" ht="13" x14ac:dyDescent="0.3">
      <c r="A4190" s="46">
        <f>'vHosts (Imported)'!A4190</f>
        <v>0</v>
      </c>
      <c r="B4190" s="51">
        <f t="shared" si="195"/>
        <v>4968</v>
      </c>
      <c r="C4190" s="49">
        <f>HLOOKUP("# Cores",'vHosts (Imported)'!$1:$5000,M4190,FALSE)</f>
        <v>0</v>
      </c>
      <c r="D4190" s="52">
        <f>HLOOKUP("# Memory",'vHosts (Imported)'!$1:$5000,M4190,FALSE)</f>
        <v>0</v>
      </c>
      <c r="M4190" s="45">
        <f t="shared" si="197"/>
        <v>4190</v>
      </c>
      <c r="N4190" s="38">
        <f>HLOOKUP("Host",'vInfo (Imported)'!$1:$5000,M4190,FALSE)</f>
        <v>0</v>
      </c>
      <c r="R4190">
        <f>HLOOKUP("CPUs",'vInfo (Imported)'!$1:$5000,M4190,FALSE)</f>
        <v>0</v>
      </c>
      <c r="S4190">
        <f>HLOOKUP("Memory",'vInfo (Imported)'!$1:$5000,M4190,FALSE)</f>
        <v>0</v>
      </c>
      <c r="T4190">
        <f>HLOOKUP("Provisioned MiB",'vInfo (Imported)'!$1:$5000,M4190,FALSE)</f>
        <v>0</v>
      </c>
      <c r="U4190">
        <f t="shared" si="196"/>
        <v>0</v>
      </c>
      <c r="V4190">
        <f>HLOOKUP("In Use MiB",'vInfo (Imported)'!$1:$5000,M4190,FALSE)</f>
        <v>0</v>
      </c>
    </row>
    <row r="4191" spans="1:22" ht="13" x14ac:dyDescent="0.3">
      <c r="A4191" s="46">
        <f>'vHosts (Imported)'!A4191</f>
        <v>0</v>
      </c>
      <c r="B4191" s="51">
        <f t="shared" si="195"/>
        <v>4968</v>
      </c>
      <c r="C4191" s="49">
        <f>HLOOKUP("# Cores",'vHosts (Imported)'!$1:$5000,M4191,FALSE)</f>
        <v>0</v>
      </c>
      <c r="D4191" s="52">
        <f>HLOOKUP("# Memory",'vHosts (Imported)'!$1:$5000,M4191,FALSE)</f>
        <v>0</v>
      </c>
      <c r="M4191" s="45">
        <f t="shared" si="197"/>
        <v>4191</v>
      </c>
      <c r="N4191" s="38">
        <f>HLOOKUP("Host",'vInfo (Imported)'!$1:$5000,M4191,FALSE)</f>
        <v>0</v>
      </c>
      <c r="R4191">
        <f>HLOOKUP("CPUs",'vInfo (Imported)'!$1:$5000,M4191,FALSE)</f>
        <v>0</v>
      </c>
      <c r="S4191">
        <f>HLOOKUP("Memory",'vInfo (Imported)'!$1:$5000,M4191,FALSE)</f>
        <v>0</v>
      </c>
      <c r="T4191">
        <f>HLOOKUP("Provisioned MiB",'vInfo (Imported)'!$1:$5000,M4191,FALSE)</f>
        <v>0</v>
      </c>
      <c r="U4191">
        <f t="shared" si="196"/>
        <v>0</v>
      </c>
      <c r="V4191">
        <f>HLOOKUP("In Use MiB",'vInfo (Imported)'!$1:$5000,M4191,FALSE)</f>
        <v>0</v>
      </c>
    </row>
    <row r="4192" spans="1:22" ht="13" x14ac:dyDescent="0.3">
      <c r="A4192" s="46">
        <f>'vHosts (Imported)'!A4192</f>
        <v>0</v>
      </c>
      <c r="B4192" s="51">
        <f t="shared" si="195"/>
        <v>4968</v>
      </c>
      <c r="C4192" s="49">
        <f>HLOOKUP("# Cores",'vHosts (Imported)'!$1:$5000,M4192,FALSE)</f>
        <v>0</v>
      </c>
      <c r="D4192" s="52">
        <f>HLOOKUP("# Memory",'vHosts (Imported)'!$1:$5000,M4192,FALSE)</f>
        <v>0</v>
      </c>
      <c r="M4192" s="45">
        <f t="shared" si="197"/>
        <v>4192</v>
      </c>
      <c r="N4192" s="38">
        <f>HLOOKUP("Host",'vInfo (Imported)'!$1:$5000,M4192,FALSE)</f>
        <v>0</v>
      </c>
      <c r="R4192">
        <f>HLOOKUP("CPUs",'vInfo (Imported)'!$1:$5000,M4192,FALSE)</f>
        <v>0</v>
      </c>
      <c r="S4192">
        <f>HLOOKUP("Memory",'vInfo (Imported)'!$1:$5000,M4192,FALSE)</f>
        <v>0</v>
      </c>
      <c r="T4192">
        <f>HLOOKUP("Provisioned MiB",'vInfo (Imported)'!$1:$5000,M4192,FALSE)</f>
        <v>0</v>
      </c>
      <c r="U4192">
        <f t="shared" si="196"/>
        <v>0</v>
      </c>
      <c r="V4192">
        <f>HLOOKUP("In Use MiB",'vInfo (Imported)'!$1:$5000,M4192,FALSE)</f>
        <v>0</v>
      </c>
    </row>
    <row r="4193" spans="1:22" ht="13" x14ac:dyDescent="0.3">
      <c r="A4193" s="46">
        <f>'vHosts (Imported)'!A4193</f>
        <v>0</v>
      </c>
      <c r="B4193" s="51">
        <f t="shared" si="195"/>
        <v>4968</v>
      </c>
      <c r="C4193" s="49">
        <f>HLOOKUP("# Cores",'vHosts (Imported)'!$1:$5000,M4193,FALSE)</f>
        <v>0</v>
      </c>
      <c r="D4193" s="52">
        <f>HLOOKUP("# Memory",'vHosts (Imported)'!$1:$5000,M4193,FALSE)</f>
        <v>0</v>
      </c>
      <c r="M4193" s="45">
        <f t="shared" si="197"/>
        <v>4193</v>
      </c>
      <c r="N4193" s="38">
        <f>HLOOKUP("Host",'vInfo (Imported)'!$1:$5000,M4193,FALSE)</f>
        <v>0</v>
      </c>
      <c r="R4193">
        <f>HLOOKUP("CPUs",'vInfo (Imported)'!$1:$5000,M4193,FALSE)</f>
        <v>0</v>
      </c>
      <c r="S4193">
        <f>HLOOKUP("Memory",'vInfo (Imported)'!$1:$5000,M4193,FALSE)</f>
        <v>0</v>
      </c>
      <c r="T4193">
        <f>HLOOKUP("Provisioned MiB",'vInfo (Imported)'!$1:$5000,M4193,FALSE)</f>
        <v>0</v>
      </c>
      <c r="U4193">
        <f t="shared" si="196"/>
        <v>0</v>
      </c>
      <c r="V4193">
        <f>HLOOKUP("In Use MiB",'vInfo (Imported)'!$1:$5000,M4193,FALSE)</f>
        <v>0</v>
      </c>
    </row>
    <row r="4194" spans="1:22" ht="13" x14ac:dyDescent="0.3">
      <c r="A4194" s="46">
        <f>'vHosts (Imported)'!A4194</f>
        <v>0</v>
      </c>
      <c r="B4194" s="51">
        <f t="shared" si="195"/>
        <v>4968</v>
      </c>
      <c r="C4194" s="49">
        <f>HLOOKUP("# Cores",'vHosts (Imported)'!$1:$5000,M4194,FALSE)</f>
        <v>0</v>
      </c>
      <c r="D4194" s="52">
        <f>HLOOKUP("# Memory",'vHosts (Imported)'!$1:$5000,M4194,FALSE)</f>
        <v>0</v>
      </c>
      <c r="M4194" s="45">
        <f t="shared" si="197"/>
        <v>4194</v>
      </c>
      <c r="N4194" s="38">
        <f>HLOOKUP("Host",'vInfo (Imported)'!$1:$5000,M4194,FALSE)</f>
        <v>0</v>
      </c>
      <c r="R4194">
        <f>HLOOKUP("CPUs",'vInfo (Imported)'!$1:$5000,M4194,FALSE)</f>
        <v>0</v>
      </c>
      <c r="S4194">
        <f>HLOOKUP("Memory",'vInfo (Imported)'!$1:$5000,M4194,FALSE)</f>
        <v>0</v>
      </c>
      <c r="T4194">
        <f>HLOOKUP("Provisioned MiB",'vInfo (Imported)'!$1:$5000,M4194,FALSE)</f>
        <v>0</v>
      </c>
      <c r="U4194">
        <f t="shared" si="196"/>
        <v>0</v>
      </c>
      <c r="V4194">
        <f>HLOOKUP("In Use MiB",'vInfo (Imported)'!$1:$5000,M4194,FALSE)</f>
        <v>0</v>
      </c>
    </row>
    <row r="4195" spans="1:22" ht="13" x14ac:dyDescent="0.3">
      <c r="A4195" s="46">
        <f>'vHosts (Imported)'!A4195</f>
        <v>0</v>
      </c>
      <c r="B4195" s="51">
        <f t="shared" si="195"/>
        <v>4968</v>
      </c>
      <c r="C4195" s="49">
        <f>HLOOKUP("# Cores",'vHosts (Imported)'!$1:$5000,M4195,FALSE)</f>
        <v>0</v>
      </c>
      <c r="D4195" s="52">
        <f>HLOOKUP("# Memory",'vHosts (Imported)'!$1:$5000,M4195,FALSE)</f>
        <v>0</v>
      </c>
      <c r="M4195" s="45">
        <f t="shared" si="197"/>
        <v>4195</v>
      </c>
      <c r="N4195" s="38">
        <f>HLOOKUP("Host",'vInfo (Imported)'!$1:$5000,M4195,FALSE)</f>
        <v>0</v>
      </c>
      <c r="R4195">
        <f>HLOOKUP("CPUs",'vInfo (Imported)'!$1:$5000,M4195,FALSE)</f>
        <v>0</v>
      </c>
      <c r="S4195">
        <f>HLOOKUP("Memory",'vInfo (Imported)'!$1:$5000,M4195,FALSE)</f>
        <v>0</v>
      </c>
      <c r="T4195">
        <f>HLOOKUP("Provisioned MiB",'vInfo (Imported)'!$1:$5000,M4195,FALSE)</f>
        <v>0</v>
      </c>
      <c r="U4195">
        <f t="shared" si="196"/>
        <v>0</v>
      </c>
      <c r="V4195">
        <f>HLOOKUP("In Use MiB",'vInfo (Imported)'!$1:$5000,M4195,FALSE)</f>
        <v>0</v>
      </c>
    </row>
    <row r="4196" spans="1:22" ht="13" x14ac:dyDescent="0.3">
      <c r="A4196" s="46">
        <f>'vHosts (Imported)'!A4196</f>
        <v>0</v>
      </c>
      <c r="B4196" s="51">
        <f t="shared" si="195"/>
        <v>4968</v>
      </c>
      <c r="C4196" s="49">
        <f>HLOOKUP("# Cores",'vHosts (Imported)'!$1:$5000,M4196,FALSE)</f>
        <v>0</v>
      </c>
      <c r="D4196" s="52">
        <f>HLOOKUP("# Memory",'vHosts (Imported)'!$1:$5000,M4196,FALSE)</f>
        <v>0</v>
      </c>
      <c r="M4196" s="45">
        <f t="shared" si="197"/>
        <v>4196</v>
      </c>
      <c r="N4196" s="38">
        <f>HLOOKUP("Host",'vInfo (Imported)'!$1:$5000,M4196,FALSE)</f>
        <v>0</v>
      </c>
      <c r="R4196">
        <f>HLOOKUP("CPUs",'vInfo (Imported)'!$1:$5000,M4196,FALSE)</f>
        <v>0</v>
      </c>
      <c r="S4196">
        <f>HLOOKUP("Memory",'vInfo (Imported)'!$1:$5000,M4196,FALSE)</f>
        <v>0</v>
      </c>
      <c r="T4196">
        <f>HLOOKUP("Provisioned MiB",'vInfo (Imported)'!$1:$5000,M4196,FALSE)</f>
        <v>0</v>
      </c>
      <c r="U4196">
        <f t="shared" si="196"/>
        <v>0</v>
      </c>
      <c r="V4196">
        <f>HLOOKUP("In Use MiB",'vInfo (Imported)'!$1:$5000,M4196,FALSE)</f>
        <v>0</v>
      </c>
    </row>
    <row r="4197" spans="1:22" ht="13" x14ac:dyDescent="0.3">
      <c r="A4197" s="46">
        <f>'vHosts (Imported)'!A4197</f>
        <v>0</v>
      </c>
      <c r="B4197" s="51">
        <f t="shared" si="195"/>
        <v>4968</v>
      </c>
      <c r="C4197" s="49">
        <f>HLOOKUP("# Cores",'vHosts (Imported)'!$1:$5000,M4197,FALSE)</f>
        <v>0</v>
      </c>
      <c r="D4197" s="52">
        <f>HLOOKUP("# Memory",'vHosts (Imported)'!$1:$5000,M4197,FALSE)</f>
        <v>0</v>
      </c>
      <c r="M4197" s="45">
        <f t="shared" si="197"/>
        <v>4197</v>
      </c>
      <c r="N4197" s="38">
        <f>HLOOKUP("Host",'vInfo (Imported)'!$1:$5000,M4197,FALSE)</f>
        <v>0</v>
      </c>
      <c r="R4197">
        <f>HLOOKUP("CPUs",'vInfo (Imported)'!$1:$5000,M4197,FALSE)</f>
        <v>0</v>
      </c>
      <c r="S4197">
        <f>HLOOKUP("Memory",'vInfo (Imported)'!$1:$5000,M4197,FALSE)</f>
        <v>0</v>
      </c>
      <c r="T4197">
        <f>HLOOKUP("Provisioned MiB",'vInfo (Imported)'!$1:$5000,M4197,FALSE)</f>
        <v>0</v>
      </c>
      <c r="U4197">
        <f t="shared" si="196"/>
        <v>0</v>
      </c>
      <c r="V4197">
        <f>HLOOKUP("In Use MiB",'vInfo (Imported)'!$1:$5000,M4197,FALSE)</f>
        <v>0</v>
      </c>
    </row>
    <row r="4198" spans="1:22" ht="13" x14ac:dyDescent="0.3">
      <c r="A4198" s="46">
        <f>'vHosts (Imported)'!A4198</f>
        <v>0</v>
      </c>
      <c r="B4198" s="51">
        <f t="shared" si="195"/>
        <v>4968</v>
      </c>
      <c r="C4198" s="49">
        <f>HLOOKUP("# Cores",'vHosts (Imported)'!$1:$5000,M4198,FALSE)</f>
        <v>0</v>
      </c>
      <c r="D4198" s="52">
        <f>HLOOKUP("# Memory",'vHosts (Imported)'!$1:$5000,M4198,FALSE)</f>
        <v>0</v>
      </c>
      <c r="M4198" s="45">
        <f t="shared" si="197"/>
        <v>4198</v>
      </c>
      <c r="N4198" s="38">
        <f>HLOOKUP("Host",'vInfo (Imported)'!$1:$5000,M4198,FALSE)</f>
        <v>0</v>
      </c>
      <c r="R4198">
        <f>HLOOKUP("CPUs",'vInfo (Imported)'!$1:$5000,M4198,FALSE)</f>
        <v>0</v>
      </c>
      <c r="S4198">
        <f>HLOOKUP("Memory",'vInfo (Imported)'!$1:$5000,M4198,FALSE)</f>
        <v>0</v>
      </c>
      <c r="T4198">
        <f>HLOOKUP("Provisioned MiB",'vInfo (Imported)'!$1:$5000,M4198,FALSE)</f>
        <v>0</v>
      </c>
      <c r="U4198">
        <f t="shared" si="196"/>
        <v>0</v>
      </c>
      <c r="V4198">
        <f>HLOOKUP("In Use MiB",'vInfo (Imported)'!$1:$5000,M4198,FALSE)</f>
        <v>0</v>
      </c>
    </row>
    <row r="4199" spans="1:22" ht="13" x14ac:dyDescent="0.3">
      <c r="A4199" s="46">
        <f>'vHosts (Imported)'!A4199</f>
        <v>0</v>
      </c>
      <c r="B4199" s="51">
        <f t="shared" si="195"/>
        <v>4968</v>
      </c>
      <c r="C4199" s="49">
        <f>HLOOKUP("# Cores",'vHosts (Imported)'!$1:$5000,M4199,FALSE)</f>
        <v>0</v>
      </c>
      <c r="D4199" s="52">
        <f>HLOOKUP("# Memory",'vHosts (Imported)'!$1:$5000,M4199,FALSE)</f>
        <v>0</v>
      </c>
      <c r="M4199" s="45">
        <f t="shared" si="197"/>
        <v>4199</v>
      </c>
      <c r="N4199" s="38">
        <f>HLOOKUP("Host",'vInfo (Imported)'!$1:$5000,M4199,FALSE)</f>
        <v>0</v>
      </c>
      <c r="R4199">
        <f>HLOOKUP("CPUs",'vInfo (Imported)'!$1:$5000,M4199,FALSE)</f>
        <v>0</v>
      </c>
      <c r="S4199">
        <f>HLOOKUP("Memory",'vInfo (Imported)'!$1:$5000,M4199,FALSE)</f>
        <v>0</v>
      </c>
      <c r="T4199">
        <f>HLOOKUP("Provisioned MiB",'vInfo (Imported)'!$1:$5000,M4199,FALSE)</f>
        <v>0</v>
      </c>
      <c r="U4199">
        <f t="shared" si="196"/>
        <v>0</v>
      </c>
      <c r="V4199">
        <f>HLOOKUP("In Use MiB",'vInfo (Imported)'!$1:$5000,M4199,FALSE)</f>
        <v>0</v>
      </c>
    </row>
    <row r="4200" spans="1:22" ht="13" x14ac:dyDescent="0.3">
      <c r="A4200" s="46">
        <f>'vHosts (Imported)'!A4200</f>
        <v>0</v>
      </c>
      <c r="B4200" s="51">
        <f t="shared" ref="B4200:B4263" si="198">COUNTIF(N:N,A4200)</f>
        <v>4968</v>
      </c>
      <c r="C4200" s="49">
        <f>HLOOKUP("# Cores",'vHosts (Imported)'!$1:$5000,M4200,FALSE)</f>
        <v>0</v>
      </c>
      <c r="D4200" s="52">
        <f>HLOOKUP("# Memory",'vHosts (Imported)'!$1:$5000,M4200,FALSE)</f>
        <v>0</v>
      </c>
      <c r="M4200" s="45">
        <f t="shared" si="197"/>
        <v>4200</v>
      </c>
      <c r="N4200" s="38">
        <f>HLOOKUP("Host",'vInfo (Imported)'!$1:$5000,M4200,FALSE)</f>
        <v>0</v>
      </c>
      <c r="R4200">
        <f>HLOOKUP("CPUs",'vInfo (Imported)'!$1:$5000,M4200,FALSE)</f>
        <v>0</v>
      </c>
      <c r="S4200">
        <f>HLOOKUP("Memory",'vInfo (Imported)'!$1:$5000,M4200,FALSE)</f>
        <v>0</v>
      </c>
      <c r="T4200">
        <f>HLOOKUP("Provisioned MiB",'vInfo (Imported)'!$1:$5000,M4200,FALSE)</f>
        <v>0</v>
      </c>
      <c r="U4200">
        <f t="shared" si="196"/>
        <v>0</v>
      </c>
      <c r="V4200">
        <f>HLOOKUP("In Use MiB",'vInfo (Imported)'!$1:$5000,M4200,FALSE)</f>
        <v>0</v>
      </c>
    </row>
    <row r="4201" spans="1:22" ht="13" x14ac:dyDescent="0.3">
      <c r="A4201" s="46">
        <f>'vHosts (Imported)'!A4201</f>
        <v>0</v>
      </c>
      <c r="B4201" s="51">
        <f t="shared" si="198"/>
        <v>4968</v>
      </c>
      <c r="C4201" s="49">
        <f>HLOOKUP("# Cores",'vHosts (Imported)'!$1:$5000,M4201,FALSE)</f>
        <v>0</v>
      </c>
      <c r="D4201" s="52">
        <f>HLOOKUP("# Memory",'vHosts (Imported)'!$1:$5000,M4201,FALSE)</f>
        <v>0</v>
      </c>
      <c r="M4201" s="45">
        <f t="shared" si="197"/>
        <v>4201</v>
      </c>
      <c r="N4201" s="38">
        <f>HLOOKUP("Host",'vInfo (Imported)'!$1:$5000,M4201,FALSE)</f>
        <v>0</v>
      </c>
      <c r="R4201">
        <f>HLOOKUP("CPUs",'vInfo (Imported)'!$1:$5000,M4201,FALSE)</f>
        <v>0</v>
      </c>
      <c r="S4201">
        <f>HLOOKUP("Memory",'vInfo (Imported)'!$1:$5000,M4201,FALSE)</f>
        <v>0</v>
      </c>
      <c r="T4201">
        <f>HLOOKUP("Provisioned MiB",'vInfo (Imported)'!$1:$5000,M4201,FALSE)</f>
        <v>0</v>
      </c>
      <c r="U4201">
        <f t="shared" si="196"/>
        <v>0</v>
      </c>
      <c r="V4201">
        <f>HLOOKUP("In Use MiB",'vInfo (Imported)'!$1:$5000,M4201,FALSE)</f>
        <v>0</v>
      </c>
    </row>
    <row r="4202" spans="1:22" ht="13" x14ac:dyDescent="0.3">
      <c r="A4202" s="46">
        <f>'vHosts (Imported)'!A4202</f>
        <v>0</v>
      </c>
      <c r="B4202" s="51">
        <f t="shared" si="198"/>
        <v>4968</v>
      </c>
      <c r="C4202" s="49">
        <f>HLOOKUP("# Cores",'vHosts (Imported)'!$1:$5000,M4202,FALSE)</f>
        <v>0</v>
      </c>
      <c r="D4202" s="52">
        <f>HLOOKUP("# Memory",'vHosts (Imported)'!$1:$5000,M4202,FALSE)</f>
        <v>0</v>
      </c>
      <c r="M4202" s="45">
        <f t="shared" si="197"/>
        <v>4202</v>
      </c>
      <c r="N4202" s="38">
        <f>HLOOKUP("Host",'vInfo (Imported)'!$1:$5000,M4202,FALSE)</f>
        <v>0</v>
      </c>
      <c r="R4202">
        <f>HLOOKUP("CPUs",'vInfo (Imported)'!$1:$5000,M4202,FALSE)</f>
        <v>0</v>
      </c>
      <c r="S4202">
        <f>HLOOKUP("Memory",'vInfo (Imported)'!$1:$5000,M4202,FALSE)</f>
        <v>0</v>
      </c>
      <c r="T4202">
        <f>HLOOKUP("Provisioned MiB",'vInfo (Imported)'!$1:$5000,M4202,FALSE)</f>
        <v>0</v>
      </c>
      <c r="U4202">
        <f t="shared" si="196"/>
        <v>0</v>
      </c>
      <c r="V4202">
        <f>HLOOKUP("In Use MiB",'vInfo (Imported)'!$1:$5000,M4202,FALSE)</f>
        <v>0</v>
      </c>
    </row>
    <row r="4203" spans="1:22" ht="13" x14ac:dyDescent="0.3">
      <c r="A4203" s="46">
        <f>'vHosts (Imported)'!A4203</f>
        <v>0</v>
      </c>
      <c r="B4203" s="51">
        <f t="shared" si="198"/>
        <v>4968</v>
      </c>
      <c r="C4203" s="49">
        <f>HLOOKUP("# Cores",'vHosts (Imported)'!$1:$5000,M4203,FALSE)</f>
        <v>0</v>
      </c>
      <c r="D4203" s="52">
        <f>HLOOKUP("# Memory",'vHosts (Imported)'!$1:$5000,M4203,FALSE)</f>
        <v>0</v>
      </c>
      <c r="M4203" s="45">
        <f t="shared" si="197"/>
        <v>4203</v>
      </c>
      <c r="N4203" s="38">
        <f>HLOOKUP("Host",'vInfo (Imported)'!$1:$5000,M4203,FALSE)</f>
        <v>0</v>
      </c>
      <c r="R4203">
        <f>HLOOKUP("CPUs",'vInfo (Imported)'!$1:$5000,M4203,FALSE)</f>
        <v>0</v>
      </c>
      <c r="S4203">
        <f>HLOOKUP("Memory",'vInfo (Imported)'!$1:$5000,M4203,FALSE)</f>
        <v>0</v>
      </c>
      <c r="T4203">
        <f>HLOOKUP("Provisioned MiB",'vInfo (Imported)'!$1:$5000,M4203,FALSE)</f>
        <v>0</v>
      </c>
      <c r="U4203">
        <f t="shared" si="196"/>
        <v>0</v>
      </c>
      <c r="V4203">
        <f>HLOOKUP("In Use MiB",'vInfo (Imported)'!$1:$5000,M4203,FALSE)</f>
        <v>0</v>
      </c>
    </row>
    <row r="4204" spans="1:22" ht="13" x14ac:dyDescent="0.3">
      <c r="A4204" s="46">
        <f>'vHosts (Imported)'!A4204</f>
        <v>0</v>
      </c>
      <c r="B4204" s="51">
        <f t="shared" si="198"/>
        <v>4968</v>
      </c>
      <c r="C4204" s="49">
        <f>HLOOKUP("# Cores",'vHosts (Imported)'!$1:$5000,M4204,FALSE)</f>
        <v>0</v>
      </c>
      <c r="D4204" s="52">
        <f>HLOOKUP("# Memory",'vHosts (Imported)'!$1:$5000,M4204,FALSE)</f>
        <v>0</v>
      </c>
      <c r="M4204" s="45">
        <f t="shared" si="197"/>
        <v>4204</v>
      </c>
      <c r="N4204" s="38">
        <f>HLOOKUP("Host",'vInfo (Imported)'!$1:$5000,M4204,FALSE)</f>
        <v>0</v>
      </c>
      <c r="R4204">
        <f>HLOOKUP("CPUs",'vInfo (Imported)'!$1:$5000,M4204,FALSE)</f>
        <v>0</v>
      </c>
      <c r="S4204">
        <f>HLOOKUP("Memory",'vInfo (Imported)'!$1:$5000,M4204,FALSE)</f>
        <v>0</v>
      </c>
      <c r="T4204">
        <f>HLOOKUP("Provisioned MiB",'vInfo (Imported)'!$1:$5000,M4204,FALSE)</f>
        <v>0</v>
      </c>
      <c r="U4204">
        <f t="shared" si="196"/>
        <v>0</v>
      </c>
      <c r="V4204">
        <f>HLOOKUP("In Use MiB",'vInfo (Imported)'!$1:$5000,M4204,FALSE)</f>
        <v>0</v>
      </c>
    </row>
    <row r="4205" spans="1:22" ht="13" x14ac:dyDescent="0.3">
      <c r="A4205" s="46">
        <f>'vHosts (Imported)'!A4205</f>
        <v>0</v>
      </c>
      <c r="B4205" s="51">
        <f t="shared" si="198"/>
        <v>4968</v>
      </c>
      <c r="C4205" s="49">
        <f>HLOOKUP("# Cores",'vHosts (Imported)'!$1:$5000,M4205,FALSE)</f>
        <v>0</v>
      </c>
      <c r="D4205" s="52">
        <f>HLOOKUP("# Memory",'vHosts (Imported)'!$1:$5000,M4205,FALSE)</f>
        <v>0</v>
      </c>
      <c r="M4205" s="45">
        <f t="shared" si="197"/>
        <v>4205</v>
      </c>
      <c r="N4205" s="38">
        <f>HLOOKUP("Host",'vInfo (Imported)'!$1:$5000,M4205,FALSE)</f>
        <v>0</v>
      </c>
      <c r="R4205">
        <f>HLOOKUP("CPUs",'vInfo (Imported)'!$1:$5000,M4205,FALSE)</f>
        <v>0</v>
      </c>
      <c r="S4205">
        <f>HLOOKUP("Memory",'vInfo (Imported)'!$1:$5000,M4205,FALSE)</f>
        <v>0</v>
      </c>
      <c r="T4205">
        <f>HLOOKUP("Provisioned MiB",'vInfo (Imported)'!$1:$5000,M4205,FALSE)</f>
        <v>0</v>
      </c>
      <c r="U4205">
        <f t="shared" si="196"/>
        <v>0</v>
      </c>
      <c r="V4205">
        <f>HLOOKUP("In Use MiB",'vInfo (Imported)'!$1:$5000,M4205,FALSE)</f>
        <v>0</v>
      </c>
    </row>
    <row r="4206" spans="1:22" ht="13" x14ac:dyDescent="0.3">
      <c r="A4206" s="46">
        <f>'vHosts (Imported)'!A4206</f>
        <v>0</v>
      </c>
      <c r="B4206" s="51">
        <f t="shared" si="198"/>
        <v>4968</v>
      </c>
      <c r="C4206" s="49">
        <f>HLOOKUP("# Cores",'vHosts (Imported)'!$1:$5000,M4206,FALSE)</f>
        <v>0</v>
      </c>
      <c r="D4206" s="52">
        <f>HLOOKUP("# Memory",'vHosts (Imported)'!$1:$5000,M4206,FALSE)</f>
        <v>0</v>
      </c>
      <c r="M4206" s="45">
        <f t="shared" si="197"/>
        <v>4206</v>
      </c>
      <c r="N4206" s="38">
        <f>HLOOKUP("Host",'vInfo (Imported)'!$1:$5000,M4206,FALSE)</f>
        <v>0</v>
      </c>
      <c r="R4206">
        <f>HLOOKUP("CPUs",'vInfo (Imported)'!$1:$5000,M4206,FALSE)</f>
        <v>0</v>
      </c>
      <c r="S4206">
        <f>HLOOKUP("Memory",'vInfo (Imported)'!$1:$5000,M4206,FALSE)</f>
        <v>0</v>
      </c>
      <c r="T4206">
        <f>HLOOKUP("Provisioned MiB",'vInfo (Imported)'!$1:$5000,M4206,FALSE)</f>
        <v>0</v>
      </c>
      <c r="U4206">
        <f t="shared" si="196"/>
        <v>0</v>
      </c>
      <c r="V4206">
        <f>HLOOKUP("In Use MiB",'vInfo (Imported)'!$1:$5000,M4206,FALSE)</f>
        <v>0</v>
      </c>
    </row>
    <row r="4207" spans="1:22" ht="13" x14ac:dyDescent="0.3">
      <c r="A4207" s="46">
        <f>'vHosts (Imported)'!A4207</f>
        <v>0</v>
      </c>
      <c r="B4207" s="51">
        <f t="shared" si="198"/>
        <v>4968</v>
      </c>
      <c r="C4207" s="49">
        <f>HLOOKUP("# Cores",'vHosts (Imported)'!$1:$5000,M4207,FALSE)</f>
        <v>0</v>
      </c>
      <c r="D4207" s="52">
        <f>HLOOKUP("# Memory",'vHosts (Imported)'!$1:$5000,M4207,FALSE)</f>
        <v>0</v>
      </c>
      <c r="M4207" s="45">
        <f t="shared" si="197"/>
        <v>4207</v>
      </c>
      <c r="N4207" s="38">
        <f>HLOOKUP("Host",'vInfo (Imported)'!$1:$5000,M4207,FALSE)</f>
        <v>0</v>
      </c>
      <c r="R4207">
        <f>HLOOKUP("CPUs",'vInfo (Imported)'!$1:$5000,M4207,FALSE)</f>
        <v>0</v>
      </c>
      <c r="S4207">
        <f>HLOOKUP("Memory",'vInfo (Imported)'!$1:$5000,M4207,FALSE)</f>
        <v>0</v>
      </c>
      <c r="T4207">
        <f>HLOOKUP("Provisioned MiB",'vInfo (Imported)'!$1:$5000,M4207,FALSE)</f>
        <v>0</v>
      </c>
      <c r="U4207">
        <f t="shared" si="196"/>
        <v>0</v>
      </c>
      <c r="V4207">
        <f>HLOOKUP("In Use MiB",'vInfo (Imported)'!$1:$5000,M4207,FALSE)</f>
        <v>0</v>
      </c>
    </row>
    <row r="4208" spans="1:22" ht="13" x14ac:dyDescent="0.3">
      <c r="A4208" s="46">
        <f>'vHosts (Imported)'!A4208</f>
        <v>0</v>
      </c>
      <c r="B4208" s="51">
        <f t="shared" si="198"/>
        <v>4968</v>
      </c>
      <c r="C4208" s="49">
        <f>HLOOKUP("# Cores",'vHosts (Imported)'!$1:$5000,M4208,FALSE)</f>
        <v>0</v>
      </c>
      <c r="D4208" s="52">
        <f>HLOOKUP("# Memory",'vHosts (Imported)'!$1:$5000,M4208,FALSE)</f>
        <v>0</v>
      </c>
      <c r="M4208" s="45">
        <f t="shared" si="197"/>
        <v>4208</v>
      </c>
      <c r="N4208" s="38">
        <f>HLOOKUP("Host",'vInfo (Imported)'!$1:$5000,M4208,FALSE)</f>
        <v>0</v>
      </c>
      <c r="R4208">
        <f>HLOOKUP("CPUs",'vInfo (Imported)'!$1:$5000,M4208,FALSE)</f>
        <v>0</v>
      </c>
      <c r="S4208">
        <f>HLOOKUP("Memory",'vInfo (Imported)'!$1:$5000,M4208,FALSE)</f>
        <v>0</v>
      </c>
      <c r="T4208">
        <f>HLOOKUP("Provisioned MiB",'vInfo (Imported)'!$1:$5000,M4208,FALSE)</f>
        <v>0</v>
      </c>
      <c r="U4208">
        <f t="shared" si="196"/>
        <v>0</v>
      </c>
      <c r="V4208">
        <f>HLOOKUP("In Use MiB",'vInfo (Imported)'!$1:$5000,M4208,FALSE)</f>
        <v>0</v>
      </c>
    </row>
    <row r="4209" spans="1:22" ht="13" x14ac:dyDescent="0.3">
      <c r="A4209" s="46">
        <f>'vHosts (Imported)'!A4209</f>
        <v>0</v>
      </c>
      <c r="B4209" s="51">
        <f t="shared" si="198"/>
        <v>4968</v>
      </c>
      <c r="C4209" s="49">
        <f>HLOOKUP("# Cores",'vHosts (Imported)'!$1:$5000,M4209,FALSE)</f>
        <v>0</v>
      </c>
      <c r="D4209" s="52">
        <f>HLOOKUP("# Memory",'vHosts (Imported)'!$1:$5000,M4209,FALSE)</f>
        <v>0</v>
      </c>
      <c r="M4209" s="45">
        <f t="shared" si="197"/>
        <v>4209</v>
      </c>
      <c r="N4209" s="38">
        <f>HLOOKUP("Host",'vInfo (Imported)'!$1:$5000,M4209,FALSE)</f>
        <v>0</v>
      </c>
      <c r="R4209">
        <f>HLOOKUP("CPUs",'vInfo (Imported)'!$1:$5000,M4209,FALSE)</f>
        <v>0</v>
      </c>
      <c r="S4209">
        <f>HLOOKUP("Memory",'vInfo (Imported)'!$1:$5000,M4209,FALSE)</f>
        <v>0</v>
      </c>
      <c r="T4209">
        <f>HLOOKUP("Provisioned MiB",'vInfo (Imported)'!$1:$5000,M4209,FALSE)</f>
        <v>0</v>
      </c>
      <c r="U4209">
        <f t="shared" si="196"/>
        <v>0</v>
      </c>
      <c r="V4209">
        <f>HLOOKUP("In Use MiB",'vInfo (Imported)'!$1:$5000,M4209,FALSE)</f>
        <v>0</v>
      </c>
    </row>
    <row r="4210" spans="1:22" ht="13" x14ac:dyDescent="0.3">
      <c r="A4210" s="46">
        <f>'vHosts (Imported)'!A4210</f>
        <v>0</v>
      </c>
      <c r="B4210" s="51">
        <f t="shared" si="198"/>
        <v>4968</v>
      </c>
      <c r="C4210" s="49">
        <f>HLOOKUP("# Cores",'vHosts (Imported)'!$1:$5000,M4210,FALSE)</f>
        <v>0</v>
      </c>
      <c r="D4210" s="52">
        <f>HLOOKUP("# Memory",'vHosts (Imported)'!$1:$5000,M4210,FALSE)</f>
        <v>0</v>
      </c>
      <c r="M4210" s="45">
        <f t="shared" si="197"/>
        <v>4210</v>
      </c>
      <c r="N4210" s="38">
        <f>HLOOKUP("Host",'vInfo (Imported)'!$1:$5000,M4210,FALSE)</f>
        <v>0</v>
      </c>
      <c r="R4210">
        <f>HLOOKUP("CPUs",'vInfo (Imported)'!$1:$5000,M4210,FALSE)</f>
        <v>0</v>
      </c>
      <c r="S4210">
        <f>HLOOKUP("Memory",'vInfo (Imported)'!$1:$5000,M4210,FALSE)</f>
        <v>0</v>
      </c>
      <c r="T4210">
        <f>HLOOKUP("Provisioned MiB",'vInfo (Imported)'!$1:$5000,M4210,FALSE)</f>
        <v>0</v>
      </c>
      <c r="U4210">
        <f t="shared" si="196"/>
        <v>0</v>
      </c>
      <c r="V4210">
        <f>HLOOKUP("In Use MiB",'vInfo (Imported)'!$1:$5000,M4210,FALSE)</f>
        <v>0</v>
      </c>
    </row>
    <row r="4211" spans="1:22" ht="13" x14ac:dyDescent="0.3">
      <c r="A4211" s="46">
        <f>'vHosts (Imported)'!A4211</f>
        <v>0</v>
      </c>
      <c r="B4211" s="51">
        <f t="shared" si="198"/>
        <v>4968</v>
      </c>
      <c r="C4211" s="49">
        <f>HLOOKUP("# Cores",'vHosts (Imported)'!$1:$5000,M4211,FALSE)</f>
        <v>0</v>
      </c>
      <c r="D4211" s="52">
        <f>HLOOKUP("# Memory",'vHosts (Imported)'!$1:$5000,M4211,FALSE)</f>
        <v>0</v>
      </c>
      <c r="M4211" s="45">
        <f t="shared" si="197"/>
        <v>4211</v>
      </c>
      <c r="N4211" s="38">
        <f>HLOOKUP("Host",'vInfo (Imported)'!$1:$5000,M4211,FALSE)</f>
        <v>0</v>
      </c>
      <c r="R4211">
        <f>HLOOKUP("CPUs",'vInfo (Imported)'!$1:$5000,M4211,FALSE)</f>
        <v>0</v>
      </c>
      <c r="S4211">
        <f>HLOOKUP("Memory",'vInfo (Imported)'!$1:$5000,M4211,FALSE)</f>
        <v>0</v>
      </c>
      <c r="T4211">
        <f>HLOOKUP("Provisioned MiB",'vInfo (Imported)'!$1:$5000,M4211,FALSE)</f>
        <v>0</v>
      </c>
      <c r="U4211">
        <f t="shared" si="196"/>
        <v>0</v>
      </c>
      <c r="V4211">
        <f>HLOOKUP("In Use MiB",'vInfo (Imported)'!$1:$5000,M4211,FALSE)</f>
        <v>0</v>
      </c>
    </row>
    <row r="4212" spans="1:22" ht="13" x14ac:dyDescent="0.3">
      <c r="A4212" s="46">
        <f>'vHosts (Imported)'!A4212</f>
        <v>0</v>
      </c>
      <c r="B4212" s="51">
        <f t="shared" si="198"/>
        <v>4968</v>
      </c>
      <c r="C4212" s="49">
        <f>HLOOKUP("# Cores",'vHosts (Imported)'!$1:$5000,M4212,FALSE)</f>
        <v>0</v>
      </c>
      <c r="D4212" s="52">
        <f>HLOOKUP("# Memory",'vHosts (Imported)'!$1:$5000,M4212,FALSE)</f>
        <v>0</v>
      </c>
      <c r="M4212" s="45">
        <f t="shared" si="197"/>
        <v>4212</v>
      </c>
      <c r="N4212" s="38">
        <f>HLOOKUP("Host",'vInfo (Imported)'!$1:$5000,M4212,FALSE)</f>
        <v>0</v>
      </c>
      <c r="R4212">
        <f>HLOOKUP("CPUs",'vInfo (Imported)'!$1:$5000,M4212,FALSE)</f>
        <v>0</v>
      </c>
      <c r="S4212">
        <f>HLOOKUP("Memory",'vInfo (Imported)'!$1:$5000,M4212,FALSE)</f>
        <v>0</v>
      </c>
      <c r="T4212">
        <f>HLOOKUP("Provisioned MiB",'vInfo (Imported)'!$1:$5000,M4212,FALSE)</f>
        <v>0</v>
      </c>
      <c r="U4212">
        <f t="shared" si="196"/>
        <v>0</v>
      </c>
      <c r="V4212">
        <f>HLOOKUP("In Use MiB",'vInfo (Imported)'!$1:$5000,M4212,FALSE)</f>
        <v>0</v>
      </c>
    </row>
    <row r="4213" spans="1:22" ht="13" x14ac:dyDescent="0.3">
      <c r="A4213" s="46">
        <f>'vHosts (Imported)'!A4213</f>
        <v>0</v>
      </c>
      <c r="B4213" s="51">
        <f t="shared" si="198"/>
        <v>4968</v>
      </c>
      <c r="C4213" s="49">
        <f>HLOOKUP("# Cores",'vHosts (Imported)'!$1:$5000,M4213,FALSE)</f>
        <v>0</v>
      </c>
      <c r="D4213" s="52">
        <f>HLOOKUP("# Memory",'vHosts (Imported)'!$1:$5000,M4213,FALSE)</f>
        <v>0</v>
      </c>
      <c r="M4213" s="45">
        <f t="shared" si="197"/>
        <v>4213</v>
      </c>
      <c r="N4213" s="38">
        <f>HLOOKUP("Host",'vInfo (Imported)'!$1:$5000,M4213,FALSE)</f>
        <v>0</v>
      </c>
      <c r="R4213">
        <f>HLOOKUP("CPUs",'vInfo (Imported)'!$1:$5000,M4213,FALSE)</f>
        <v>0</v>
      </c>
      <c r="S4213">
        <f>HLOOKUP("Memory",'vInfo (Imported)'!$1:$5000,M4213,FALSE)</f>
        <v>0</v>
      </c>
      <c r="T4213">
        <f>HLOOKUP("Provisioned MiB",'vInfo (Imported)'!$1:$5000,M4213,FALSE)</f>
        <v>0</v>
      </c>
      <c r="U4213">
        <f t="shared" si="196"/>
        <v>0</v>
      </c>
      <c r="V4213">
        <f>HLOOKUP("In Use MiB",'vInfo (Imported)'!$1:$5000,M4213,FALSE)</f>
        <v>0</v>
      </c>
    </row>
    <row r="4214" spans="1:22" ht="13" x14ac:dyDescent="0.3">
      <c r="A4214" s="46">
        <f>'vHosts (Imported)'!A4214</f>
        <v>0</v>
      </c>
      <c r="B4214" s="51">
        <f t="shared" si="198"/>
        <v>4968</v>
      </c>
      <c r="C4214" s="49">
        <f>HLOOKUP("# Cores",'vHosts (Imported)'!$1:$5000,M4214,FALSE)</f>
        <v>0</v>
      </c>
      <c r="D4214" s="52">
        <f>HLOOKUP("# Memory",'vHosts (Imported)'!$1:$5000,M4214,FALSE)</f>
        <v>0</v>
      </c>
      <c r="M4214" s="45">
        <f t="shared" si="197"/>
        <v>4214</v>
      </c>
      <c r="N4214" s="38">
        <f>HLOOKUP("Host",'vInfo (Imported)'!$1:$5000,M4214,FALSE)</f>
        <v>0</v>
      </c>
      <c r="R4214">
        <f>HLOOKUP("CPUs",'vInfo (Imported)'!$1:$5000,M4214,FALSE)</f>
        <v>0</v>
      </c>
      <c r="S4214">
        <f>HLOOKUP("Memory",'vInfo (Imported)'!$1:$5000,M4214,FALSE)</f>
        <v>0</v>
      </c>
      <c r="T4214">
        <f>HLOOKUP("Provisioned MiB",'vInfo (Imported)'!$1:$5000,M4214,FALSE)</f>
        <v>0</v>
      </c>
      <c r="U4214">
        <f t="shared" si="196"/>
        <v>0</v>
      </c>
      <c r="V4214">
        <f>HLOOKUP("In Use MiB",'vInfo (Imported)'!$1:$5000,M4214,FALSE)</f>
        <v>0</v>
      </c>
    </row>
    <row r="4215" spans="1:22" ht="13" x14ac:dyDescent="0.3">
      <c r="A4215" s="46">
        <f>'vHosts (Imported)'!A4215</f>
        <v>0</v>
      </c>
      <c r="B4215" s="51">
        <f t="shared" si="198"/>
        <v>4968</v>
      </c>
      <c r="C4215" s="49">
        <f>HLOOKUP("# Cores",'vHosts (Imported)'!$1:$5000,M4215,FALSE)</f>
        <v>0</v>
      </c>
      <c r="D4215" s="52">
        <f>HLOOKUP("# Memory",'vHosts (Imported)'!$1:$5000,M4215,FALSE)</f>
        <v>0</v>
      </c>
      <c r="M4215" s="45">
        <f t="shared" si="197"/>
        <v>4215</v>
      </c>
      <c r="N4215" s="38">
        <f>HLOOKUP("Host",'vInfo (Imported)'!$1:$5000,M4215,FALSE)</f>
        <v>0</v>
      </c>
      <c r="R4215">
        <f>HLOOKUP("CPUs",'vInfo (Imported)'!$1:$5000,M4215,FALSE)</f>
        <v>0</v>
      </c>
      <c r="S4215">
        <f>HLOOKUP("Memory",'vInfo (Imported)'!$1:$5000,M4215,FALSE)</f>
        <v>0</v>
      </c>
      <c r="T4215">
        <f>HLOOKUP("Provisioned MiB",'vInfo (Imported)'!$1:$5000,M4215,FALSE)</f>
        <v>0</v>
      </c>
      <c r="U4215">
        <f t="shared" si="196"/>
        <v>0</v>
      </c>
      <c r="V4215">
        <f>HLOOKUP("In Use MiB",'vInfo (Imported)'!$1:$5000,M4215,FALSE)</f>
        <v>0</v>
      </c>
    </row>
    <row r="4216" spans="1:22" ht="13" x14ac:dyDescent="0.3">
      <c r="A4216" s="46">
        <f>'vHosts (Imported)'!A4216</f>
        <v>0</v>
      </c>
      <c r="B4216" s="51">
        <f t="shared" si="198"/>
        <v>4968</v>
      </c>
      <c r="C4216" s="49">
        <f>HLOOKUP("# Cores",'vHosts (Imported)'!$1:$5000,M4216,FALSE)</f>
        <v>0</v>
      </c>
      <c r="D4216" s="52">
        <f>HLOOKUP("# Memory",'vHosts (Imported)'!$1:$5000,M4216,FALSE)</f>
        <v>0</v>
      </c>
      <c r="M4216" s="45">
        <f t="shared" si="197"/>
        <v>4216</v>
      </c>
      <c r="N4216" s="38">
        <f>HLOOKUP("Host",'vInfo (Imported)'!$1:$5000,M4216,FALSE)</f>
        <v>0</v>
      </c>
      <c r="R4216">
        <f>HLOOKUP("CPUs",'vInfo (Imported)'!$1:$5000,M4216,FALSE)</f>
        <v>0</v>
      </c>
      <c r="S4216">
        <f>HLOOKUP("Memory",'vInfo (Imported)'!$1:$5000,M4216,FALSE)</f>
        <v>0</v>
      </c>
      <c r="T4216">
        <f>HLOOKUP("Provisioned MiB",'vInfo (Imported)'!$1:$5000,M4216,FALSE)</f>
        <v>0</v>
      </c>
      <c r="U4216">
        <f t="shared" si="196"/>
        <v>0</v>
      </c>
      <c r="V4216">
        <f>HLOOKUP("In Use MiB",'vInfo (Imported)'!$1:$5000,M4216,FALSE)</f>
        <v>0</v>
      </c>
    </row>
    <row r="4217" spans="1:22" ht="13" x14ac:dyDescent="0.3">
      <c r="A4217" s="46">
        <f>'vHosts (Imported)'!A4217</f>
        <v>0</v>
      </c>
      <c r="B4217" s="51">
        <f t="shared" si="198"/>
        <v>4968</v>
      </c>
      <c r="C4217" s="49">
        <f>HLOOKUP("# Cores",'vHosts (Imported)'!$1:$5000,M4217,FALSE)</f>
        <v>0</v>
      </c>
      <c r="D4217" s="52">
        <f>HLOOKUP("# Memory",'vHosts (Imported)'!$1:$5000,M4217,FALSE)</f>
        <v>0</v>
      </c>
      <c r="M4217" s="45">
        <f t="shared" si="197"/>
        <v>4217</v>
      </c>
      <c r="N4217" s="38">
        <f>HLOOKUP("Host",'vInfo (Imported)'!$1:$5000,M4217,FALSE)</f>
        <v>0</v>
      </c>
      <c r="R4217">
        <f>HLOOKUP("CPUs",'vInfo (Imported)'!$1:$5000,M4217,FALSE)</f>
        <v>0</v>
      </c>
      <c r="S4217">
        <f>HLOOKUP("Memory",'vInfo (Imported)'!$1:$5000,M4217,FALSE)</f>
        <v>0</v>
      </c>
      <c r="T4217">
        <f>HLOOKUP("Provisioned MiB",'vInfo (Imported)'!$1:$5000,M4217,FALSE)</f>
        <v>0</v>
      </c>
      <c r="U4217">
        <f t="shared" si="196"/>
        <v>0</v>
      </c>
      <c r="V4217">
        <f>HLOOKUP("In Use MiB",'vInfo (Imported)'!$1:$5000,M4217,FALSE)</f>
        <v>0</v>
      </c>
    </row>
    <row r="4218" spans="1:22" ht="13" x14ac:dyDescent="0.3">
      <c r="A4218" s="46">
        <f>'vHosts (Imported)'!A4218</f>
        <v>0</v>
      </c>
      <c r="B4218" s="51">
        <f t="shared" si="198"/>
        <v>4968</v>
      </c>
      <c r="C4218" s="49">
        <f>HLOOKUP("# Cores",'vHosts (Imported)'!$1:$5000,M4218,FALSE)</f>
        <v>0</v>
      </c>
      <c r="D4218" s="52">
        <f>HLOOKUP("# Memory",'vHosts (Imported)'!$1:$5000,M4218,FALSE)</f>
        <v>0</v>
      </c>
      <c r="M4218" s="45">
        <f t="shared" si="197"/>
        <v>4218</v>
      </c>
      <c r="N4218" s="38">
        <f>HLOOKUP("Host",'vInfo (Imported)'!$1:$5000,M4218,FALSE)</f>
        <v>0</v>
      </c>
      <c r="R4218">
        <f>HLOOKUP("CPUs",'vInfo (Imported)'!$1:$5000,M4218,FALSE)</f>
        <v>0</v>
      </c>
      <c r="S4218">
        <f>HLOOKUP("Memory",'vInfo (Imported)'!$1:$5000,M4218,FALSE)</f>
        <v>0</v>
      </c>
      <c r="T4218">
        <f>HLOOKUP("Provisioned MiB",'vInfo (Imported)'!$1:$5000,M4218,FALSE)</f>
        <v>0</v>
      </c>
      <c r="U4218">
        <f t="shared" si="196"/>
        <v>0</v>
      </c>
      <c r="V4218">
        <f>HLOOKUP("In Use MiB",'vInfo (Imported)'!$1:$5000,M4218,FALSE)</f>
        <v>0</v>
      </c>
    </row>
    <row r="4219" spans="1:22" ht="13" x14ac:dyDescent="0.3">
      <c r="A4219" s="46">
        <f>'vHosts (Imported)'!A4219</f>
        <v>0</v>
      </c>
      <c r="B4219" s="51">
        <f t="shared" si="198"/>
        <v>4968</v>
      </c>
      <c r="C4219" s="49">
        <f>HLOOKUP("# Cores",'vHosts (Imported)'!$1:$5000,M4219,FALSE)</f>
        <v>0</v>
      </c>
      <c r="D4219" s="52">
        <f>HLOOKUP("# Memory",'vHosts (Imported)'!$1:$5000,M4219,FALSE)</f>
        <v>0</v>
      </c>
      <c r="M4219" s="45">
        <f t="shared" si="197"/>
        <v>4219</v>
      </c>
      <c r="N4219" s="38">
        <f>HLOOKUP("Host",'vInfo (Imported)'!$1:$5000,M4219,FALSE)</f>
        <v>0</v>
      </c>
      <c r="R4219">
        <f>HLOOKUP("CPUs",'vInfo (Imported)'!$1:$5000,M4219,FALSE)</f>
        <v>0</v>
      </c>
      <c r="S4219">
        <f>HLOOKUP("Memory",'vInfo (Imported)'!$1:$5000,M4219,FALSE)</f>
        <v>0</v>
      </c>
      <c r="T4219">
        <f>HLOOKUP("Provisioned MiB",'vInfo (Imported)'!$1:$5000,M4219,FALSE)</f>
        <v>0</v>
      </c>
      <c r="U4219">
        <f t="shared" si="196"/>
        <v>0</v>
      </c>
      <c r="V4219">
        <f>HLOOKUP("In Use MiB",'vInfo (Imported)'!$1:$5000,M4219,FALSE)</f>
        <v>0</v>
      </c>
    </row>
    <row r="4220" spans="1:22" ht="13" x14ac:dyDescent="0.3">
      <c r="A4220" s="46">
        <f>'vHosts (Imported)'!A4220</f>
        <v>0</v>
      </c>
      <c r="B4220" s="51">
        <f t="shared" si="198"/>
        <v>4968</v>
      </c>
      <c r="C4220" s="49">
        <f>HLOOKUP("# Cores",'vHosts (Imported)'!$1:$5000,M4220,FALSE)</f>
        <v>0</v>
      </c>
      <c r="D4220" s="52">
        <f>HLOOKUP("# Memory",'vHosts (Imported)'!$1:$5000,M4220,FALSE)</f>
        <v>0</v>
      </c>
      <c r="M4220" s="45">
        <f t="shared" si="197"/>
        <v>4220</v>
      </c>
      <c r="N4220" s="38">
        <f>HLOOKUP("Host",'vInfo (Imported)'!$1:$5000,M4220,FALSE)</f>
        <v>0</v>
      </c>
      <c r="R4220">
        <f>HLOOKUP("CPUs",'vInfo (Imported)'!$1:$5000,M4220,FALSE)</f>
        <v>0</v>
      </c>
      <c r="S4220">
        <f>HLOOKUP("Memory",'vInfo (Imported)'!$1:$5000,M4220,FALSE)</f>
        <v>0</v>
      </c>
      <c r="T4220">
        <f>HLOOKUP("Provisioned MiB",'vInfo (Imported)'!$1:$5000,M4220,FALSE)</f>
        <v>0</v>
      </c>
      <c r="U4220">
        <f t="shared" si="196"/>
        <v>0</v>
      </c>
      <c r="V4220">
        <f>HLOOKUP("In Use MiB",'vInfo (Imported)'!$1:$5000,M4220,FALSE)</f>
        <v>0</v>
      </c>
    </row>
    <row r="4221" spans="1:22" ht="13" x14ac:dyDescent="0.3">
      <c r="A4221" s="46">
        <f>'vHosts (Imported)'!A4221</f>
        <v>0</v>
      </c>
      <c r="B4221" s="51">
        <f t="shared" si="198"/>
        <v>4968</v>
      </c>
      <c r="C4221" s="49">
        <f>HLOOKUP("# Cores",'vHosts (Imported)'!$1:$5000,M4221,FALSE)</f>
        <v>0</v>
      </c>
      <c r="D4221" s="52">
        <f>HLOOKUP("# Memory",'vHosts (Imported)'!$1:$5000,M4221,FALSE)</f>
        <v>0</v>
      </c>
      <c r="M4221" s="45">
        <f t="shared" si="197"/>
        <v>4221</v>
      </c>
      <c r="N4221" s="38">
        <f>HLOOKUP("Host",'vInfo (Imported)'!$1:$5000,M4221,FALSE)</f>
        <v>0</v>
      </c>
      <c r="R4221">
        <f>HLOOKUP("CPUs",'vInfo (Imported)'!$1:$5000,M4221,FALSE)</f>
        <v>0</v>
      </c>
      <c r="S4221">
        <f>HLOOKUP("Memory",'vInfo (Imported)'!$1:$5000,M4221,FALSE)</f>
        <v>0</v>
      </c>
      <c r="T4221">
        <f>HLOOKUP("Provisioned MiB",'vInfo (Imported)'!$1:$5000,M4221,FALSE)</f>
        <v>0</v>
      </c>
      <c r="U4221">
        <f t="shared" si="196"/>
        <v>0</v>
      </c>
      <c r="V4221">
        <f>HLOOKUP("In Use MiB",'vInfo (Imported)'!$1:$5000,M4221,FALSE)</f>
        <v>0</v>
      </c>
    </row>
    <row r="4222" spans="1:22" ht="13" x14ac:dyDescent="0.3">
      <c r="A4222" s="46">
        <f>'vHosts (Imported)'!A4222</f>
        <v>0</v>
      </c>
      <c r="B4222" s="51">
        <f t="shared" si="198"/>
        <v>4968</v>
      </c>
      <c r="C4222" s="49">
        <f>HLOOKUP("# Cores",'vHosts (Imported)'!$1:$5000,M4222,FALSE)</f>
        <v>0</v>
      </c>
      <c r="D4222" s="52">
        <f>HLOOKUP("# Memory",'vHosts (Imported)'!$1:$5000,M4222,FALSE)</f>
        <v>0</v>
      </c>
      <c r="M4222" s="45">
        <f t="shared" si="197"/>
        <v>4222</v>
      </c>
      <c r="N4222" s="38">
        <f>HLOOKUP("Host",'vInfo (Imported)'!$1:$5000,M4222,FALSE)</f>
        <v>0</v>
      </c>
      <c r="R4222">
        <f>HLOOKUP("CPUs",'vInfo (Imported)'!$1:$5000,M4222,FALSE)</f>
        <v>0</v>
      </c>
      <c r="S4222">
        <f>HLOOKUP("Memory",'vInfo (Imported)'!$1:$5000,M4222,FALSE)</f>
        <v>0</v>
      </c>
      <c r="T4222">
        <f>HLOOKUP("Provisioned MiB",'vInfo (Imported)'!$1:$5000,M4222,FALSE)</f>
        <v>0</v>
      </c>
      <c r="U4222">
        <f t="shared" si="196"/>
        <v>0</v>
      </c>
      <c r="V4222">
        <f>HLOOKUP("In Use MiB",'vInfo (Imported)'!$1:$5000,M4222,FALSE)</f>
        <v>0</v>
      </c>
    </row>
    <row r="4223" spans="1:22" ht="13" x14ac:dyDescent="0.3">
      <c r="A4223" s="46">
        <f>'vHosts (Imported)'!A4223</f>
        <v>0</v>
      </c>
      <c r="B4223" s="51">
        <f t="shared" si="198"/>
        <v>4968</v>
      </c>
      <c r="C4223" s="49">
        <f>HLOOKUP("# Cores",'vHosts (Imported)'!$1:$5000,M4223,FALSE)</f>
        <v>0</v>
      </c>
      <c r="D4223" s="52">
        <f>HLOOKUP("# Memory",'vHosts (Imported)'!$1:$5000,M4223,FALSE)</f>
        <v>0</v>
      </c>
      <c r="M4223" s="45">
        <f t="shared" si="197"/>
        <v>4223</v>
      </c>
      <c r="N4223" s="38">
        <f>HLOOKUP("Host",'vInfo (Imported)'!$1:$5000,M4223,FALSE)</f>
        <v>0</v>
      </c>
      <c r="R4223">
        <f>HLOOKUP("CPUs",'vInfo (Imported)'!$1:$5000,M4223,FALSE)</f>
        <v>0</v>
      </c>
      <c r="S4223">
        <f>HLOOKUP("Memory",'vInfo (Imported)'!$1:$5000,M4223,FALSE)</f>
        <v>0</v>
      </c>
      <c r="T4223">
        <f>HLOOKUP("Provisioned MiB",'vInfo (Imported)'!$1:$5000,M4223,FALSE)</f>
        <v>0</v>
      </c>
      <c r="U4223">
        <f t="shared" si="196"/>
        <v>0</v>
      </c>
      <c r="V4223">
        <f>HLOOKUP("In Use MiB",'vInfo (Imported)'!$1:$5000,M4223,FALSE)</f>
        <v>0</v>
      </c>
    </row>
    <row r="4224" spans="1:22" ht="13" x14ac:dyDescent="0.3">
      <c r="A4224" s="46">
        <f>'vHosts (Imported)'!A4224</f>
        <v>0</v>
      </c>
      <c r="B4224" s="51">
        <f t="shared" si="198"/>
        <v>4968</v>
      </c>
      <c r="C4224" s="49">
        <f>HLOOKUP("# Cores",'vHosts (Imported)'!$1:$5000,M4224,FALSE)</f>
        <v>0</v>
      </c>
      <c r="D4224" s="52">
        <f>HLOOKUP("# Memory",'vHosts (Imported)'!$1:$5000,M4224,FALSE)</f>
        <v>0</v>
      </c>
      <c r="M4224" s="45">
        <f t="shared" si="197"/>
        <v>4224</v>
      </c>
      <c r="N4224" s="38">
        <f>HLOOKUP("Host",'vInfo (Imported)'!$1:$5000,M4224,FALSE)</f>
        <v>0</v>
      </c>
      <c r="R4224">
        <f>HLOOKUP("CPUs",'vInfo (Imported)'!$1:$5000,M4224,FALSE)</f>
        <v>0</v>
      </c>
      <c r="S4224">
        <f>HLOOKUP("Memory",'vInfo (Imported)'!$1:$5000,M4224,FALSE)</f>
        <v>0</v>
      </c>
      <c r="T4224">
        <f>HLOOKUP("Provisioned MiB",'vInfo (Imported)'!$1:$5000,M4224,FALSE)</f>
        <v>0</v>
      </c>
      <c r="U4224">
        <f t="shared" si="196"/>
        <v>0</v>
      </c>
      <c r="V4224">
        <f>HLOOKUP("In Use MiB",'vInfo (Imported)'!$1:$5000,M4224,FALSE)</f>
        <v>0</v>
      </c>
    </row>
    <row r="4225" spans="1:22" ht="13" x14ac:dyDescent="0.3">
      <c r="A4225" s="46">
        <f>'vHosts (Imported)'!A4225</f>
        <v>0</v>
      </c>
      <c r="B4225" s="51">
        <f t="shared" si="198"/>
        <v>4968</v>
      </c>
      <c r="C4225" s="49">
        <f>HLOOKUP("# Cores",'vHosts (Imported)'!$1:$5000,M4225,FALSE)</f>
        <v>0</v>
      </c>
      <c r="D4225" s="52">
        <f>HLOOKUP("# Memory",'vHosts (Imported)'!$1:$5000,M4225,FALSE)</f>
        <v>0</v>
      </c>
      <c r="M4225" s="45">
        <f t="shared" si="197"/>
        <v>4225</v>
      </c>
      <c r="N4225" s="38">
        <f>HLOOKUP("Host",'vInfo (Imported)'!$1:$5000,M4225,FALSE)</f>
        <v>0</v>
      </c>
      <c r="R4225">
        <f>HLOOKUP("CPUs",'vInfo (Imported)'!$1:$5000,M4225,FALSE)</f>
        <v>0</v>
      </c>
      <c r="S4225">
        <f>HLOOKUP("Memory",'vInfo (Imported)'!$1:$5000,M4225,FALSE)</f>
        <v>0</v>
      </c>
      <c r="T4225">
        <f>HLOOKUP("Provisioned MiB",'vInfo (Imported)'!$1:$5000,M4225,FALSE)</f>
        <v>0</v>
      </c>
      <c r="U4225">
        <f t="shared" si="196"/>
        <v>0</v>
      </c>
      <c r="V4225">
        <f>HLOOKUP("In Use MiB",'vInfo (Imported)'!$1:$5000,M4225,FALSE)</f>
        <v>0</v>
      </c>
    </row>
    <row r="4226" spans="1:22" ht="13" x14ac:dyDescent="0.3">
      <c r="A4226" s="46">
        <f>'vHosts (Imported)'!A4226</f>
        <v>0</v>
      </c>
      <c r="B4226" s="51">
        <f t="shared" si="198"/>
        <v>4968</v>
      </c>
      <c r="C4226" s="49">
        <f>HLOOKUP("# Cores",'vHosts (Imported)'!$1:$5000,M4226,FALSE)</f>
        <v>0</v>
      </c>
      <c r="D4226" s="52">
        <f>HLOOKUP("# Memory",'vHosts (Imported)'!$1:$5000,M4226,FALSE)</f>
        <v>0</v>
      </c>
      <c r="M4226" s="45">
        <f t="shared" si="197"/>
        <v>4226</v>
      </c>
      <c r="N4226" s="38">
        <f>HLOOKUP("Host",'vInfo (Imported)'!$1:$5000,M4226,FALSE)</f>
        <v>0</v>
      </c>
      <c r="R4226">
        <f>HLOOKUP("CPUs",'vInfo (Imported)'!$1:$5000,M4226,FALSE)</f>
        <v>0</v>
      </c>
      <c r="S4226">
        <f>HLOOKUP("Memory",'vInfo (Imported)'!$1:$5000,M4226,FALSE)</f>
        <v>0</v>
      </c>
      <c r="T4226">
        <f>HLOOKUP("Provisioned MiB",'vInfo (Imported)'!$1:$5000,M4226,FALSE)</f>
        <v>0</v>
      </c>
      <c r="U4226">
        <f t="shared" si="196"/>
        <v>0</v>
      </c>
      <c r="V4226">
        <f>HLOOKUP("In Use MiB",'vInfo (Imported)'!$1:$5000,M4226,FALSE)</f>
        <v>0</v>
      </c>
    </row>
    <row r="4227" spans="1:22" ht="13" x14ac:dyDescent="0.3">
      <c r="A4227" s="46">
        <f>'vHosts (Imported)'!A4227</f>
        <v>0</v>
      </c>
      <c r="B4227" s="51">
        <f t="shared" si="198"/>
        <v>4968</v>
      </c>
      <c r="C4227" s="49">
        <f>HLOOKUP("# Cores",'vHosts (Imported)'!$1:$5000,M4227,FALSE)</f>
        <v>0</v>
      </c>
      <c r="D4227" s="52">
        <f>HLOOKUP("# Memory",'vHosts (Imported)'!$1:$5000,M4227,FALSE)</f>
        <v>0</v>
      </c>
      <c r="M4227" s="45">
        <f t="shared" si="197"/>
        <v>4227</v>
      </c>
      <c r="N4227" s="38">
        <f>HLOOKUP("Host",'vInfo (Imported)'!$1:$5000,M4227,FALSE)</f>
        <v>0</v>
      </c>
      <c r="R4227">
        <f>HLOOKUP("CPUs",'vInfo (Imported)'!$1:$5000,M4227,FALSE)</f>
        <v>0</v>
      </c>
      <c r="S4227">
        <f>HLOOKUP("Memory",'vInfo (Imported)'!$1:$5000,M4227,FALSE)</f>
        <v>0</v>
      </c>
      <c r="T4227">
        <f>HLOOKUP("Provisioned MiB",'vInfo (Imported)'!$1:$5000,M4227,FALSE)</f>
        <v>0</v>
      </c>
      <c r="U4227">
        <f t="shared" ref="U4227:U4290" si="199">T4227-V4227</f>
        <v>0</v>
      </c>
      <c r="V4227">
        <f>HLOOKUP("In Use MiB",'vInfo (Imported)'!$1:$5000,M4227,FALSE)</f>
        <v>0</v>
      </c>
    </row>
    <row r="4228" spans="1:22" ht="13" x14ac:dyDescent="0.3">
      <c r="A4228" s="46">
        <f>'vHosts (Imported)'!A4228</f>
        <v>0</v>
      </c>
      <c r="B4228" s="51">
        <f t="shared" si="198"/>
        <v>4968</v>
      </c>
      <c r="C4228" s="49">
        <f>HLOOKUP("# Cores",'vHosts (Imported)'!$1:$5000,M4228,FALSE)</f>
        <v>0</v>
      </c>
      <c r="D4228" s="52">
        <f>HLOOKUP("# Memory",'vHosts (Imported)'!$1:$5000,M4228,FALSE)</f>
        <v>0</v>
      </c>
      <c r="M4228" s="45">
        <f t="shared" ref="M4228:M4291" si="200">M4227+1</f>
        <v>4228</v>
      </c>
      <c r="N4228" s="38">
        <f>HLOOKUP("Host",'vInfo (Imported)'!$1:$5000,M4228,FALSE)</f>
        <v>0</v>
      </c>
      <c r="R4228">
        <f>HLOOKUP("CPUs",'vInfo (Imported)'!$1:$5000,M4228,FALSE)</f>
        <v>0</v>
      </c>
      <c r="S4228">
        <f>HLOOKUP("Memory",'vInfo (Imported)'!$1:$5000,M4228,FALSE)</f>
        <v>0</v>
      </c>
      <c r="T4228">
        <f>HLOOKUP("Provisioned MiB",'vInfo (Imported)'!$1:$5000,M4228,FALSE)</f>
        <v>0</v>
      </c>
      <c r="U4228">
        <f t="shared" si="199"/>
        <v>0</v>
      </c>
      <c r="V4228">
        <f>HLOOKUP("In Use MiB",'vInfo (Imported)'!$1:$5000,M4228,FALSE)</f>
        <v>0</v>
      </c>
    </row>
    <row r="4229" spans="1:22" ht="13" x14ac:dyDescent="0.3">
      <c r="A4229" s="46">
        <f>'vHosts (Imported)'!A4229</f>
        <v>0</v>
      </c>
      <c r="B4229" s="51">
        <f t="shared" si="198"/>
        <v>4968</v>
      </c>
      <c r="C4229" s="49">
        <f>HLOOKUP("# Cores",'vHosts (Imported)'!$1:$5000,M4229,FALSE)</f>
        <v>0</v>
      </c>
      <c r="D4229" s="52">
        <f>HLOOKUP("# Memory",'vHosts (Imported)'!$1:$5000,M4229,FALSE)</f>
        <v>0</v>
      </c>
      <c r="M4229" s="45">
        <f t="shared" si="200"/>
        <v>4229</v>
      </c>
      <c r="N4229" s="38">
        <f>HLOOKUP("Host",'vInfo (Imported)'!$1:$5000,M4229,FALSE)</f>
        <v>0</v>
      </c>
      <c r="R4229">
        <f>HLOOKUP("CPUs",'vInfo (Imported)'!$1:$5000,M4229,FALSE)</f>
        <v>0</v>
      </c>
      <c r="S4229">
        <f>HLOOKUP("Memory",'vInfo (Imported)'!$1:$5000,M4229,FALSE)</f>
        <v>0</v>
      </c>
      <c r="T4229">
        <f>HLOOKUP("Provisioned MiB",'vInfo (Imported)'!$1:$5000,M4229,FALSE)</f>
        <v>0</v>
      </c>
      <c r="U4229">
        <f t="shared" si="199"/>
        <v>0</v>
      </c>
      <c r="V4229">
        <f>HLOOKUP("In Use MiB",'vInfo (Imported)'!$1:$5000,M4229,FALSE)</f>
        <v>0</v>
      </c>
    </row>
    <row r="4230" spans="1:22" ht="13" x14ac:dyDescent="0.3">
      <c r="A4230" s="46">
        <f>'vHosts (Imported)'!A4230</f>
        <v>0</v>
      </c>
      <c r="B4230" s="51">
        <f t="shared" si="198"/>
        <v>4968</v>
      </c>
      <c r="C4230" s="49">
        <f>HLOOKUP("# Cores",'vHosts (Imported)'!$1:$5000,M4230,FALSE)</f>
        <v>0</v>
      </c>
      <c r="D4230" s="52">
        <f>HLOOKUP("# Memory",'vHosts (Imported)'!$1:$5000,M4230,FALSE)</f>
        <v>0</v>
      </c>
      <c r="M4230" s="45">
        <f t="shared" si="200"/>
        <v>4230</v>
      </c>
      <c r="N4230" s="38">
        <f>HLOOKUP("Host",'vInfo (Imported)'!$1:$5000,M4230,FALSE)</f>
        <v>0</v>
      </c>
      <c r="R4230">
        <f>HLOOKUP("CPUs",'vInfo (Imported)'!$1:$5000,M4230,FALSE)</f>
        <v>0</v>
      </c>
      <c r="S4230">
        <f>HLOOKUP("Memory",'vInfo (Imported)'!$1:$5000,M4230,FALSE)</f>
        <v>0</v>
      </c>
      <c r="T4230">
        <f>HLOOKUP("Provisioned MiB",'vInfo (Imported)'!$1:$5000,M4230,FALSE)</f>
        <v>0</v>
      </c>
      <c r="U4230">
        <f t="shared" si="199"/>
        <v>0</v>
      </c>
      <c r="V4230">
        <f>HLOOKUP("In Use MiB",'vInfo (Imported)'!$1:$5000,M4230,FALSE)</f>
        <v>0</v>
      </c>
    </row>
    <row r="4231" spans="1:22" ht="13" x14ac:dyDescent="0.3">
      <c r="A4231" s="46">
        <f>'vHosts (Imported)'!A4231</f>
        <v>0</v>
      </c>
      <c r="B4231" s="51">
        <f t="shared" si="198"/>
        <v>4968</v>
      </c>
      <c r="C4231" s="49">
        <f>HLOOKUP("# Cores",'vHosts (Imported)'!$1:$5000,M4231,FALSE)</f>
        <v>0</v>
      </c>
      <c r="D4231" s="52">
        <f>HLOOKUP("# Memory",'vHosts (Imported)'!$1:$5000,M4231,FALSE)</f>
        <v>0</v>
      </c>
      <c r="M4231" s="45">
        <f t="shared" si="200"/>
        <v>4231</v>
      </c>
      <c r="N4231" s="38">
        <f>HLOOKUP("Host",'vInfo (Imported)'!$1:$5000,M4231,FALSE)</f>
        <v>0</v>
      </c>
      <c r="R4231">
        <f>HLOOKUP("CPUs",'vInfo (Imported)'!$1:$5000,M4231,FALSE)</f>
        <v>0</v>
      </c>
      <c r="S4231">
        <f>HLOOKUP("Memory",'vInfo (Imported)'!$1:$5000,M4231,FALSE)</f>
        <v>0</v>
      </c>
      <c r="T4231">
        <f>HLOOKUP("Provisioned MiB",'vInfo (Imported)'!$1:$5000,M4231,FALSE)</f>
        <v>0</v>
      </c>
      <c r="U4231">
        <f t="shared" si="199"/>
        <v>0</v>
      </c>
      <c r="V4231">
        <f>HLOOKUP("In Use MiB",'vInfo (Imported)'!$1:$5000,M4231,FALSE)</f>
        <v>0</v>
      </c>
    </row>
    <row r="4232" spans="1:22" ht="13" x14ac:dyDescent="0.3">
      <c r="A4232" s="46">
        <f>'vHosts (Imported)'!A4232</f>
        <v>0</v>
      </c>
      <c r="B4232" s="51">
        <f t="shared" si="198"/>
        <v>4968</v>
      </c>
      <c r="C4232" s="49">
        <f>HLOOKUP("# Cores",'vHosts (Imported)'!$1:$5000,M4232,FALSE)</f>
        <v>0</v>
      </c>
      <c r="D4232" s="52">
        <f>HLOOKUP("# Memory",'vHosts (Imported)'!$1:$5000,M4232,FALSE)</f>
        <v>0</v>
      </c>
      <c r="M4232" s="45">
        <f t="shared" si="200"/>
        <v>4232</v>
      </c>
      <c r="N4232" s="38">
        <f>HLOOKUP("Host",'vInfo (Imported)'!$1:$5000,M4232,FALSE)</f>
        <v>0</v>
      </c>
      <c r="R4232">
        <f>HLOOKUP("CPUs",'vInfo (Imported)'!$1:$5000,M4232,FALSE)</f>
        <v>0</v>
      </c>
      <c r="S4232">
        <f>HLOOKUP("Memory",'vInfo (Imported)'!$1:$5000,M4232,FALSE)</f>
        <v>0</v>
      </c>
      <c r="T4232">
        <f>HLOOKUP("Provisioned MiB",'vInfo (Imported)'!$1:$5000,M4232,FALSE)</f>
        <v>0</v>
      </c>
      <c r="U4232">
        <f t="shared" si="199"/>
        <v>0</v>
      </c>
      <c r="V4232">
        <f>HLOOKUP("In Use MiB",'vInfo (Imported)'!$1:$5000,M4232,FALSE)</f>
        <v>0</v>
      </c>
    </row>
    <row r="4233" spans="1:22" ht="13" x14ac:dyDescent="0.3">
      <c r="A4233" s="46">
        <f>'vHosts (Imported)'!A4233</f>
        <v>0</v>
      </c>
      <c r="B4233" s="51">
        <f t="shared" si="198"/>
        <v>4968</v>
      </c>
      <c r="C4233" s="49">
        <f>HLOOKUP("# Cores",'vHosts (Imported)'!$1:$5000,M4233,FALSE)</f>
        <v>0</v>
      </c>
      <c r="D4233" s="52">
        <f>HLOOKUP("# Memory",'vHosts (Imported)'!$1:$5000,M4233,FALSE)</f>
        <v>0</v>
      </c>
      <c r="M4233" s="45">
        <f t="shared" si="200"/>
        <v>4233</v>
      </c>
      <c r="N4233" s="38">
        <f>HLOOKUP("Host",'vInfo (Imported)'!$1:$5000,M4233,FALSE)</f>
        <v>0</v>
      </c>
      <c r="R4233">
        <f>HLOOKUP("CPUs",'vInfo (Imported)'!$1:$5000,M4233,FALSE)</f>
        <v>0</v>
      </c>
      <c r="S4233">
        <f>HLOOKUP("Memory",'vInfo (Imported)'!$1:$5000,M4233,FALSE)</f>
        <v>0</v>
      </c>
      <c r="T4233">
        <f>HLOOKUP("Provisioned MiB",'vInfo (Imported)'!$1:$5000,M4233,FALSE)</f>
        <v>0</v>
      </c>
      <c r="U4233">
        <f t="shared" si="199"/>
        <v>0</v>
      </c>
      <c r="V4233">
        <f>HLOOKUP("In Use MiB",'vInfo (Imported)'!$1:$5000,M4233,FALSE)</f>
        <v>0</v>
      </c>
    </row>
    <row r="4234" spans="1:22" ht="13" x14ac:dyDescent="0.3">
      <c r="A4234" s="46">
        <f>'vHosts (Imported)'!A4234</f>
        <v>0</v>
      </c>
      <c r="B4234" s="51">
        <f t="shared" si="198"/>
        <v>4968</v>
      </c>
      <c r="C4234" s="49">
        <f>HLOOKUP("# Cores",'vHosts (Imported)'!$1:$5000,M4234,FALSE)</f>
        <v>0</v>
      </c>
      <c r="D4234" s="52">
        <f>HLOOKUP("# Memory",'vHosts (Imported)'!$1:$5000,M4234,FALSE)</f>
        <v>0</v>
      </c>
      <c r="M4234" s="45">
        <f t="shared" si="200"/>
        <v>4234</v>
      </c>
      <c r="N4234" s="38">
        <f>HLOOKUP("Host",'vInfo (Imported)'!$1:$5000,M4234,FALSE)</f>
        <v>0</v>
      </c>
      <c r="R4234">
        <f>HLOOKUP("CPUs",'vInfo (Imported)'!$1:$5000,M4234,FALSE)</f>
        <v>0</v>
      </c>
      <c r="S4234">
        <f>HLOOKUP("Memory",'vInfo (Imported)'!$1:$5000,M4234,FALSE)</f>
        <v>0</v>
      </c>
      <c r="T4234">
        <f>HLOOKUP("Provisioned MiB",'vInfo (Imported)'!$1:$5000,M4234,FALSE)</f>
        <v>0</v>
      </c>
      <c r="U4234">
        <f t="shared" si="199"/>
        <v>0</v>
      </c>
      <c r="V4234">
        <f>HLOOKUP("In Use MiB",'vInfo (Imported)'!$1:$5000,M4234,FALSE)</f>
        <v>0</v>
      </c>
    </row>
    <row r="4235" spans="1:22" ht="13" x14ac:dyDescent="0.3">
      <c r="A4235" s="46">
        <f>'vHosts (Imported)'!A4235</f>
        <v>0</v>
      </c>
      <c r="B4235" s="51">
        <f t="shared" si="198"/>
        <v>4968</v>
      </c>
      <c r="C4235" s="49">
        <f>HLOOKUP("# Cores",'vHosts (Imported)'!$1:$5000,M4235,FALSE)</f>
        <v>0</v>
      </c>
      <c r="D4235" s="52">
        <f>HLOOKUP("# Memory",'vHosts (Imported)'!$1:$5000,M4235,FALSE)</f>
        <v>0</v>
      </c>
      <c r="M4235" s="45">
        <f t="shared" si="200"/>
        <v>4235</v>
      </c>
      <c r="N4235" s="38">
        <f>HLOOKUP("Host",'vInfo (Imported)'!$1:$5000,M4235,FALSE)</f>
        <v>0</v>
      </c>
      <c r="R4235">
        <f>HLOOKUP("CPUs",'vInfo (Imported)'!$1:$5000,M4235,FALSE)</f>
        <v>0</v>
      </c>
      <c r="S4235">
        <f>HLOOKUP("Memory",'vInfo (Imported)'!$1:$5000,M4235,FALSE)</f>
        <v>0</v>
      </c>
      <c r="T4235">
        <f>HLOOKUP("Provisioned MiB",'vInfo (Imported)'!$1:$5000,M4235,FALSE)</f>
        <v>0</v>
      </c>
      <c r="U4235">
        <f t="shared" si="199"/>
        <v>0</v>
      </c>
      <c r="V4235">
        <f>HLOOKUP("In Use MiB",'vInfo (Imported)'!$1:$5000,M4235,FALSE)</f>
        <v>0</v>
      </c>
    </row>
    <row r="4236" spans="1:22" ht="13" x14ac:dyDescent="0.3">
      <c r="A4236" s="46">
        <f>'vHosts (Imported)'!A4236</f>
        <v>0</v>
      </c>
      <c r="B4236" s="51">
        <f t="shared" si="198"/>
        <v>4968</v>
      </c>
      <c r="C4236" s="49">
        <f>HLOOKUP("# Cores",'vHosts (Imported)'!$1:$5000,M4236,FALSE)</f>
        <v>0</v>
      </c>
      <c r="D4236" s="52">
        <f>HLOOKUP("# Memory",'vHosts (Imported)'!$1:$5000,M4236,FALSE)</f>
        <v>0</v>
      </c>
      <c r="M4236" s="45">
        <f t="shared" si="200"/>
        <v>4236</v>
      </c>
      <c r="N4236" s="38">
        <f>HLOOKUP("Host",'vInfo (Imported)'!$1:$5000,M4236,FALSE)</f>
        <v>0</v>
      </c>
      <c r="R4236">
        <f>HLOOKUP("CPUs",'vInfo (Imported)'!$1:$5000,M4236,FALSE)</f>
        <v>0</v>
      </c>
      <c r="S4236">
        <f>HLOOKUP("Memory",'vInfo (Imported)'!$1:$5000,M4236,FALSE)</f>
        <v>0</v>
      </c>
      <c r="T4236">
        <f>HLOOKUP("Provisioned MiB",'vInfo (Imported)'!$1:$5000,M4236,FALSE)</f>
        <v>0</v>
      </c>
      <c r="U4236">
        <f t="shared" si="199"/>
        <v>0</v>
      </c>
      <c r="V4236">
        <f>HLOOKUP("In Use MiB",'vInfo (Imported)'!$1:$5000,M4236,FALSE)</f>
        <v>0</v>
      </c>
    </row>
    <row r="4237" spans="1:22" ht="13" x14ac:dyDescent="0.3">
      <c r="A4237" s="46">
        <f>'vHosts (Imported)'!A4237</f>
        <v>0</v>
      </c>
      <c r="B4237" s="51">
        <f t="shared" si="198"/>
        <v>4968</v>
      </c>
      <c r="C4237" s="49">
        <f>HLOOKUP("# Cores",'vHosts (Imported)'!$1:$5000,M4237,FALSE)</f>
        <v>0</v>
      </c>
      <c r="D4237" s="52">
        <f>HLOOKUP("# Memory",'vHosts (Imported)'!$1:$5000,M4237,FALSE)</f>
        <v>0</v>
      </c>
      <c r="M4237" s="45">
        <f t="shared" si="200"/>
        <v>4237</v>
      </c>
      <c r="N4237" s="38">
        <f>HLOOKUP("Host",'vInfo (Imported)'!$1:$5000,M4237,FALSE)</f>
        <v>0</v>
      </c>
      <c r="R4237">
        <f>HLOOKUP("CPUs",'vInfo (Imported)'!$1:$5000,M4237,FALSE)</f>
        <v>0</v>
      </c>
      <c r="S4237">
        <f>HLOOKUP("Memory",'vInfo (Imported)'!$1:$5000,M4237,FALSE)</f>
        <v>0</v>
      </c>
      <c r="T4237">
        <f>HLOOKUP("Provisioned MiB",'vInfo (Imported)'!$1:$5000,M4237,FALSE)</f>
        <v>0</v>
      </c>
      <c r="U4237">
        <f t="shared" si="199"/>
        <v>0</v>
      </c>
      <c r="V4237">
        <f>HLOOKUP("In Use MiB",'vInfo (Imported)'!$1:$5000,M4237,FALSE)</f>
        <v>0</v>
      </c>
    </row>
    <row r="4238" spans="1:22" ht="13" x14ac:dyDescent="0.3">
      <c r="A4238" s="46">
        <f>'vHosts (Imported)'!A4238</f>
        <v>0</v>
      </c>
      <c r="B4238" s="51">
        <f t="shared" si="198"/>
        <v>4968</v>
      </c>
      <c r="C4238" s="49">
        <f>HLOOKUP("# Cores",'vHosts (Imported)'!$1:$5000,M4238,FALSE)</f>
        <v>0</v>
      </c>
      <c r="D4238" s="52">
        <f>HLOOKUP("# Memory",'vHosts (Imported)'!$1:$5000,M4238,FALSE)</f>
        <v>0</v>
      </c>
      <c r="M4238" s="45">
        <f t="shared" si="200"/>
        <v>4238</v>
      </c>
      <c r="N4238" s="38">
        <f>HLOOKUP("Host",'vInfo (Imported)'!$1:$5000,M4238,FALSE)</f>
        <v>0</v>
      </c>
      <c r="R4238">
        <f>HLOOKUP("CPUs",'vInfo (Imported)'!$1:$5000,M4238,FALSE)</f>
        <v>0</v>
      </c>
      <c r="S4238">
        <f>HLOOKUP("Memory",'vInfo (Imported)'!$1:$5000,M4238,FALSE)</f>
        <v>0</v>
      </c>
      <c r="T4238">
        <f>HLOOKUP("Provisioned MiB",'vInfo (Imported)'!$1:$5000,M4238,FALSE)</f>
        <v>0</v>
      </c>
      <c r="U4238">
        <f t="shared" si="199"/>
        <v>0</v>
      </c>
      <c r="V4238">
        <f>HLOOKUP("In Use MiB",'vInfo (Imported)'!$1:$5000,M4238,FALSE)</f>
        <v>0</v>
      </c>
    </row>
    <row r="4239" spans="1:22" ht="13" x14ac:dyDescent="0.3">
      <c r="A4239" s="46">
        <f>'vHosts (Imported)'!A4239</f>
        <v>0</v>
      </c>
      <c r="B4239" s="51">
        <f t="shared" si="198"/>
        <v>4968</v>
      </c>
      <c r="C4239" s="49">
        <f>HLOOKUP("# Cores",'vHosts (Imported)'!$1:$5000,M4239,FALSE)</f>
        <v>0</v>
      </c>
      <c r="D4239" s="52">
        <f>HLOOKUP("# Memory",'vHosts (Imported)'!$1:$5000,M4239,FALSE)</f>
        <v>0</v>
      </c>
      <c r="M4239" s="45">
        <f t="shared" si="200"/>
        <v>4239</v>
      </c>
      <c r="N4239" s="38">
        <f>HLOOKUP("Host",'vInfo (Imported)'!$1:$5000,M4239,FALSE)</f>
        <v>0</v>
      </c>
      <c r="R4239">
        <f>HLOOKUP("CPUs",'vInfo (Imported)'!$1:$5000,M4239,FALSE)</f>
        <v>0</v>
      </c>
      <c r="S4239">
        <f>HLOOKUP("Memory",'vInfo (Imported)'!$1:$5000,M4239,FALSE)</f>
        <v>0</v>
      </c>
      <c r="T4239">
        <f>HLOOKUP("Provisioned MiB",'vInfo (Imported)'!$1:$5000,M4239,FALSE)</f>
        <v>0</v>
      </c>
      <c r="U4239">
        <f t="shared" si="199"/>
        <v>0</v>
      </c>
      <c r="V4239">
        <f>HLOOKUP("In Use MiB",'vInfo (Imported)'!$1:$5000,M4239,FALSE)</f>
        <v>0</v>
      </c>
    </row>
    <row r="4240" spans="1:22" ht="13" x14ac:dyDescent="0.3">
      <c r="A4240" s="46">
        <f>'vHosts (Imported)'!A4240</f>
        <v>0</v>
      </c>
      <c r="B4240" s="51">
        <f t="shared" si="198"/>
        <v>4968</v>
      </c>
      <c r="C4240" s="49">
        <f>HLOOKUP("# Cores",'vHosts (Imported)'!$1:$5000,M4240,FALSE)</f>
        <v>0</v>
      </c>
      <c r="D4240" s="52">
        <f>HLOOKUP("# Memory",'vHosts (Imported)'!$1:$5000,M4240,FALSE)</f>
        <v>0</v>
      </c>
      <c r="M4240" s="45">
        <f t="shared" si="200"/>
        <v>4240</v>
      </c>
      <c r="N4240" s="38">
        <f>HLOOKUP("Host",'vInfo (Imported)'!$1:$5000,M4240,FALSE)</f>
        <v>0</v>
      </c>
      <c r="R4240">
        <f>HLOOKUP("CPUs",'vInfo (Imported)'!$1:$5000,M4240,FALSE)</f>
        <v>0</v>
      </c>
      <c r="S4240">
        <f>HLOOKUP("Memory",'vInfo (Imported)'!$1:$5000,M4240,FALSE)</f>
        <v>0</v>
      </c>
      <c r="T4240">
        <f>HLOOKUP("Provisioned MiB",'vInfo (Imported)'!$1:$5000,M4240,FALSE)</f>
        <v>0</v>
      </c>
      <c r="U4240">
        <f t="shared" si="199"/>
        <v>0</v>
      </c>
      <c r="V4240">
        <f>HLOOKUP("In Use MiB",'vInfo (Imported)'!$1:$5000,M4240,FALSE)</f>
        <v>0</v>
      </c>
    </row>
    <row r="4241" spans="1:22" ht="13" x14ac:dyDescent="0.3">
      <c r="A4241" s="46">
        <f>'vHosts (Imported)'!A4241</f>
        <v>0</v>
      </c>
      <c r="B4241" s="51">
        <f t="shared" si="198"/>
        <v>4968</v>
      </c>
      <c r="C4241" s="49">
        <f>HLOOKUP("# Cores",'vHosts (Imported)'!$1:$5000,M4241,FALSE)</f>
        <v>0</v>
      </c>
      <c r="D4241" s="52">
        <f>HLOOKUP("# Memory",'vHosts (Imported)'!$1:$5000,M4241,FALSE)</f>
        <v>0</v>
      </c>
      <c r="M4241" s="45">
        <f t="shared" si="200"/>
        <v>4241</v>
      </c>
      <c r="N4241" s="38">
        <f>HLOOKUP("Host",'vInfo (Imported)'!$1:$5000,M4241,FALSE)</f>
        <v>0</v>
      </c>
      <c r="R4241">
        <f>HLOOKUP("CPUs",'vInfo (Imported)'!$1:$5000,M4241,FALSE)</f>
        <v>0</v>
      </c>
      <c r="S4241">
        <f>HLOOKUP("Memory",'vInfo (Imported)'!$1:$5000,M4241,FALSE)</f>
        <v>0</v>
      </c>
      <c r="T4241">
        <f>HLOOKUP("Provisioned MiB",'vInfo (Imported)'!$1:$5000,M4241,FALSE)</f>
        <v>0</v>
      </c>
      <c r="U4241">
        <f t="shared" si="199"/>
        <v>0</v>
      </c>
      <c r="V4241">
        <f>HLOOKUP("In Use MiB",'vInfo (Imported)'!$1:$5000,M4241,FALSE)</f>
        <v>0</v>
      </c>
    </row>
    <row r="4242" spans="1:22" ht="13" x14ac:dyDescent="0.3">
      <c r="A4242" s="46">
        <f>'vHosts (Imported)'!A4242</f>
        <v>0</v>
      </c>
      <c r="B4242" s="51">
        <f t="shared" si="198"/>
        <v>4968</v>
      </c>
      <c r="C4242" s="49">
        <f>HLOOKUP("# Cores",'vHosts (Imported)'!$1:$5000,M4242,FALSE)</f>
        <v>0</v>
      </c>
      <c r="D4242" s="52">
        <f>HLOOKUP("# Memory",'vHosts (Imported)'!$1:$5000,M4242,FALSE)</f>
        <v>0</v>
      </c>
      <c r="M4242" s="45">
        <f t="shared" si="200"/>
        <v>4242</v>
      </c>
      <c r="N4242" s="38">
        <f>HLOOKUP("Host",'vInfo (Imported)'!$1:$5000,M4242,FALSE)</f>
        <v>0</v>
      </c>
      <c r="R4242">
        <f>HLOOKUP("CPUs",'vInfo (Imported)'!$1:$5000,M4242,FALSE)</f>
        <v>0</v>
      </c>
      <c r="S4242">
        <f>HLOOKUP("Memory",'vInfo (Imported)'!$1:$5000,M4242,FALSE)</f>
        <v>0</v>
      </c>
      <c r="T4242">
        <f>HLOOKUP("Provisioned MiB",'vInfo (Imported)'!$1:$5000,M4242,FALSE)</f>
        <v>0</v>
      </c>
      <c r="U4242">
        <f t="shared" si="199"/>
        <v>0</v>
      </c>
      <c r="V4242">
        <f>HLOOKUP("In Use MiB",'vInfo (Imported)'!$1:$5000,M4242,FALSE)</f>
        <v>0</v>
      </c>
    </row>
    <row r="4243" spans="1:22" ht="13" x14ac:dyDescent="0.3">
      <c r="A4243" s="46">
        <f>'vHosts (Imported)'!A4243</f>
        <v>0</v>
      </c>
      <c r="B4243" s="51">
        <f t="shared" si="198"/>
        <v>4968</v>
      </c>
      <c r="C4243" s="49">
        <f>HLOOKUP("# Cores",'vHosts (Imported)'!$1:$5000,M4243,FALSE)</f>
        <v>0</v>
      </c>
      <c r="D4243" s="52">
        <f>HLOOKUP("# Memory",'vHosts (Imported)'!$1:$5000,M4243,FALSE)</f>
        <v>0</v>
      </c>
      <c r="M4243" s="45">
        <f t="shared" si="200"/>
        <v>4243</v>
      </c>
      <c r="N4243" s="38">
        <f>HLOOKUP("Host",'vInfo (Imported)'!$1:$5000,M4243,FALSE)</f>
        <v>0</v>
      </c>
      <c r="R4243">
        <f>HLOOKUP("CPUs",'vInfo (Imported)'!$1:$5000,M4243,FALSE)</f>
        <v>0</v>
      </c>
      <c r="S4243">
        <f>HLOOKUP("Memory",'vInfo (Imported)'!$1:$5000,M4243,FALSE)</f>
        <v>0</v>
      </c>
      <c r="T4243">
        <f>HLOOKUP("Provisioned MiB",'vInfo (Imported)'!$1:$5000,M4243,FALSE)</f>
        <v>0</v>
      </c>
      <c r="U4243">
        <f t="shared" si="199"/>
        <v>0</v>
      </c>
      <c r="V4243">
        <f>HLOOKUP("In Use MiB",'vInfo (Imported)'!$1:$5000,M4243,FALSE)</f>
        <v>0</v>
      </c>
    </row>
    <row r="4244" spans="1:22" ht="13" x14ac:dyDescent="0.3">
      <c r="A4244" s="46">
        <f>'vHosts (Imported)'!A4244</f>
        <v>0</v>
      </c>
      <c r="B4244" s="51">
        <f t="shared" si="198"/>
        <v>4968</v>
      </c>
      <c r="C4244" s="49">
        <f>HLOOKUP("# Cores",'vHosts (Imported)'!$1:$5000,M4244,FALSE)</f>
        <v>0</v>
      </c>
      <c r="D4244" s="52">
        <f>HLOOKUP("# Memory",'vHosts (Imported)'!$1:$5000,M4244,FALSE)</f>
        <v>0</v>
      </c>
      <c r="M4244" s="45">
        <f t="shared" si="200"/>
        <v>4244</v>
      </c>
      <c r="N4244" s="38">
        <f>HLOOKUP("Host",'vInfo (Imported)'!$1:$5000,M4244,FALSE)</f>
        <v>0</v>
      </c>
      <c r="R4244">
        <f>HLOOKUP("CPUs",'vInfo (Imported)'!$1:$5000,M4244,FALSE)</f>
        <v>0</v>
      </c>
      <c r="S4244">
        <f>HLOOKUP("Memory",'vInfo (Imported)'!$1:$5000,M4244,FALSE)</f>
        <v>0</v>
      </c>
      <c r="T4244">
        <f>HLOOKUP("Provisioned MiB",'vInfo (Imported)'!$1:$5000,M4244,FALSE)</f>
        <v>0</v>
      </c>
      <c r="U4244">
        <f t="shared" si="199"/>
        <v>0</v>
      </c>
      <c r="V4244">
        <f>HLOOKUP("In Use MiB",'vInfo (Imported)'!$1:$5000,M4244,FALSE)</f>
        <v>0</v>
      </c>
    </row>
    <row r="4245" spans="1:22" ht="13" x14ac:dyDescent="0.3">
      <c r="A4245" s="46">
        <f>'vHosts (Imported)'!A4245</f>
        <v>0</v>
      </c>
      <c r="B4245" s="51">
        <f t="shared" si="198"/>
        <v>4968</v>
      </c>
      <c r="C4245" s="49">
        <f>HLOOKUP("# Cores",'vHosts (Imported)'!$1:$5000,M4245,FALSE)</f>
        <v>0</v>
      </c>
      <c r="D4245" s="52">
        <f>HLOOKUP("# Memory",'vHosts (Imported)'!$1:$5000,M4245,FALSE)</f>
        <v>0</v>
      </c>
      <c r="M4245" s="45">
        <f t="shared" si="200"/>
        <v>4245</v>
      </c>
      <c r="N4245" s="38">
        <f>HLOOKUP("Host",'vInfo (Imported)'!$1:$5000,M4245,FALSE)</f>
        <v>0</v>
      </c>
      <c r="R4245">
        <f>HLOOKUP("CPUs",'vInfo (Imported)'!$1:$5000,M4245,FALSE)</f>
        <v>0</v>
      </c>
      <c r="S4245">
        <f>HLOOKUP("Memory",'vInfo (Imported)'!$1:$5000,M4245,FALSE)</f>
        <v>0</v>
      </c>
      <c r="T4245">
        <f>HLOOKUP("Provisioned MiB",'vInfo (Imported)'!$1:$5000,M4245,FALSE)</f>
        <v>0</v>
      </c>
      <c r="U4245">
        <f t="shared" si="199"/>
        <v>0</v>
      </c>
      <c r="V4245">
        <f>HLOOKUP("In Use MiB",'vInfo (Imported)'!$1:$5000,M4245,FALSE)</f>
        <v>0</v>
      </c>
    </row>
    <row r="4246" spans="1:22" ht="13" x14ac:dyDescent="0.3">
      <c r="A4246" s="46">
        <f>'vHosts (Imported)'!A4246</f>
        <v>0</v>
      </c>
      <c r="B4246" s="51">
        <f t="shared" si="198"/>
        <v>4968</v>
      </c>
      <c r="C4246" s="49">
        <f>HLOOKUP("# Cores",'vHosts (Imported)'!$1:$5000,M4246,FALSE)</f>
        <v>0</v>
      </c>
      <c r="D4246" s="52">
        <f>HLOOKUP("# Memory",'vHosts (Imported)'!$1:$5000,M4246,FALSE)</f>
        <v>0</v>
      </c>
      <c r="M4246" s="45">
        <f t="shared" si="200"/>
        <v>4246</v>
      </c>
      <c r="N4246" s="38">
        <f>HLOOKUP("Host",'vInfo (Imported)'!$1:$5000,M4246,FALSE)</f>
        <v>0</v>
      </c>
      <c r="R4246">
        <f>HLOOKUP("CPUs",'vInfo (Imported)'!$1:$5000,M4246,FALSE)</f>
        <v>0</v>
      </c>
      <c r="S4246">
        <f>HLOOKUP("Memory",'vInfo (Imported)'!$1:$5000,M4246,FALSE)</f>
        <v>0</v>
      </c>
      <c r="T4246">
        <f>HLOOKUP("Provisioned MiB",'vInfo (Imported)'!$1:$5000,M4246,FALSE)</f>
        <v>0</v>
      </c>
      <c r="U4246">
        <f t="shared" si="199"/>
        <v>0</v>
      </c>
      <c r="V4246">
        <f>HLOOKUP("In Use MiB",'vInfo (Imported)'!$1:$5000,M4246,FALSE)</f>
        <v>0</v>
      </c>
    </row>
    <row r="4247" spans="1:22" ht="13" x14ac:dyDescent="0.3">
      <c r="A4247" s="46">
        <f>'vHosts (Imported)'!A4247</f>
        <v>0</v>
      </c>
      <c r="B4247" s="51">
        <f t="shared" si="198"/>
        <v>4968</v>
      </c>
      <c r="C4247" s="49">
        <f>HLOOKUP("# Cores",'vHosts (Imported)'!$1:$5000,M4247,FALSE)</f>
        <v>0</v>
      </c>
      <c r="D4247" s="52">
        <f>HLOOKUP("# Memory",'vHosts (Imported)'!$1:$5000,M4247,FALSE)</f>
        <v>0</v>
      </c>
      <c r="M4247" s="45">
        <f t="shared" si="200"/>
        <v>4247</v>
      </c>
      <c r="N4247" s="38">
        <f>HLOOKUP("Host",'vInfo (Imported)'!$1:$5000,M4247,FALSE)</f>
        <v>0</v>
      </c>
      <c r="R4247">
        <f>HLOOKUP("CPUs",'vInfo (Imported)'!$1:$5000,M4247,FALSE)</f>
        <v>0</v>
      </c>
      <c r="S4247">
        <f>HLOOKUP("Memory",'vInfo (Imported)'!$1:$5000,M4247,FALSE)</f>
        <v>0</v>
      </c>
      <c r="T4247">
        <f>HLOOKUP("Provisioned MiB",'vInfo (Imported)'!$1:$5000,M4247,FALSE)</f>
        <v>0</v>
      </c>
      <c r="U4247">
        <f t="shared" si="199"/>
        <v>0</v>
      </c>
      <c r="V4247">
        <f>HLOOKUP("In Use MiB",'vInfo (Imported)'!$1:$5000,M4247,FALSE)</f>
        <v>0</v>
      </c>
    </row>
    <row r="4248" spans="1:22" ht="13" x14ac:dyDescent="0.3">
      <c r="A4248" s="46">
        <f>'vHosts (Imported)'!A4248</f>
        <v>0</v>
      </c>
      <c r="B4248" s="51">
        <f t="shared" si="198"/>
        <v>4968</v>
      </c>
      <c r="C4248" s="49">
        <f>HLOOKUP("# Cores",'vHosts (Imported)'!$1:$5000,M4248,FALSE)</f>
        <v>0</v>
      </c>
      <c r="D4248" s="52">
        <f>HLOOKUP("# Memory",'vHosts (Imported)'!$1:$5000,M4248,FALSE)</f>
        <v>0</v>
      </c>
      <c r="M4248" s="45">
        <f t="shared" si="200"/>
        <v>4248</v>
      </c>
      <c r="N4248" s="38">
        <f>HLOOKUP("Host",'vInfo (Imported)'!$1:$5000,M4248,FALSE)</f>
        <v>0</v>
      </c>
      <c r="R4248">
        <f>HLOOKUP("CPUs",'vInfo (Imported)'!$1:$5000,M4248,FALSE)</f>
        <v>0</v>
      </c>
      <c r="S4248">
        <f>HLOOKUP("Memory",'vInfo (Imported)'!$1:$5000,M4248,FALSE)</f>
        <v>0</v>
      </c>
      <c r="T4248">
        <f>HLOOKUP("Provisioned MiB",'vInfo (Imported)'!$1:$5000,M4248,FALSE)</f>
        <v>0</v>
      </c>
      <c r="U4248">
        <f t="shared" si="199"/>
        <v>0</v>
      </c>
      <c r="V4248">
        <f>HLOOKUP("In Use MiB",'vInfo (Imported)'!$1:$5000,M4248,FALSE)</f>
        <v>0</v>
      </c>
    </row>
    <row r="4249" spans="1:22" ht="13" x14ac:dyDescent="0.3">
      <c r="A4249" s="46">
        <f>'vHosts (Imported)'!A4249</f>
        <v>0</v>
      </c>
      <c r="B4249" s="51">
        <f t="shared" si="198"/>
        <v>4968</v>
      </c>
      <c r="C4249" s="49">
        <f>HLOOKUP("# Cores",'vHosts (Imported)'!$1:$5000,M4249,FALSE)</f>
        <v>0</v>
      </c>
      <c r="D4249" s="52">
        <f>HLOOKUP("# Memory",'vHosts (Imported)'!$1:$5000,M4249,FALSE)</f>
        <v>0</v>
      </c>
      <c r="M4249" s="45">
        <f t="shared" si="200"/>
        <v>4249</v>
      </c>
      <c r="N4249" s="38">
        <f>HLOOKUP("Host",'vInfo (Imported)'!$1:$5000,M4249,FALSE)</f>
        <v>0</v>
      </c>
      <c r="R4249">
        <f>HLOOKUP("CPUs",'vInfo (Imported)'!$1:$5000,M4249,FALSE)</f>
        <v>0</v>
      </c>
      <c r="S4249">
        <f>HLOOKUP("Memory",'vInfo (Imported)'!$1:$5000,M4249,FALSE)</f>
        <v>0</v>
      </c>
      <c r="T4249">
        <f>HLOOKUP("Provisioned MiB",'vInfo (Imported)'!$1:$5000,M4249,FALSE)</f>
        <v>0</v>
      </c>
      <c r="U4249">
        <f t="shared" si="199"/>
        <v>0</v>
      </c>
      <c r="V4249">
        <f>HLOOKUP("In Use MiB",'vInfo (Imported)'!$1:$5000,M4249,FALSE)</f>
        <v>0</v>
      </c>
    </row>
    <row r="4250" spans="1:22" ht="13" x14ac:dyDescent="0.3">
      <c r="A4250" s="46">
        <f>'vHosts (Imported)'!A4250</f>
        <v>0</v>
      </c>
      <c r="B4250" s="51">
        <f t="shared" si="198"/>
        <v>4968</v>
      </c>
      <c r="C4250" s="49">
        <f>HLOOKUP("# Cores",'vHosts (Imported)'!$1:$5000,M4250,FALSE)</f>
        <v>0</v>
      </c>
      <c r="D4250" s="52">
        <f>HLOOKUP("# Memory",'vHosts (Imported)'!$1:$5000,M4250,FALSE)</f>
        <v>0</v>
      </c>
      <c r="M4250" s="45">
        <f t="shared" si="200"/>
        <v>4250</v>
      </c>
      <c r="N4250" s="38">
        <f>HLOOKUP("Host",'vInfo (Imported)'!$1:$5000,M4250,FALSE)</f>
        <v>0</v>
      </c>
      <c r="R4250">
        <f>HLOOKUP("CPUs",'vInfo (Imported)'!$1:$5000,M4250,FALSE)</f>
        <v>0</v>
      </c>
      <c r="S4250">
        <f>HLOOKUP("Memory",'vInfo (Imported)'!$1:$5000,M4250,FALSE)</f>
        <v>0</v>
      </c>
      <c r="T4250">
        <f>HLOOKUP("Provisioned MiB",'vInfo (Imported)'!$1:$5000,M4250,FALSE)</f>
        <v>0</v>
      </c>
      <c r="U4250">
        <f t="shared" si="199"/>
        <v>0</v>
      </c>
      <c r="V4250">
        <f>HLOOKUP("In Use MiB",'vInfo (Imported)'!$1:$5000,M4250,FALSE)</f>
        <v>0</v>
      </c>
    </row>
    <row r="4251" spans="1:22" ht="13" x14ac:dyDescent="0.3">
      <c r="A4251" s="46">
        <f>'vHosts (Imported)'!A4251</f>
        <v>0</v>
      </c>
      <c r="B4251" s="51">
        <f t="shared" si="198"/>
        <v>4968</v>
      </c>
      <c r="C4251" s="49">
        <f>HLOOKUP("# Cores",'vHosts (Imported)'!$1:$5000,M4251,FALSE)</f>
        <v>0</v>
      </c>
      <c r="D4251" s="52">
        <f>HLOOKUP("# Memory",'vHosts (Imported)'!$1:$5000,M4251,FALSE)</f>
        <v>0</v>
      </c>
      <c r="M4251" s="45">
        <f t="shared" si="200"/>
        <v>4251</v>
      </c>
      <c r="N4251" s="38">
        <f>HLOOKUP("Host",'vInfo (Imported)'!$1:$5000,M4251,FALSE)</f>
        <v>0</v>
      </c>
      <c r="R4251">
        <f>HLOOKUP("CPUs",'vInfo (Imported)'!$1:$5000,M4251,FALSE)</f>
        <v>0</v>
      </c>
      <c r="S4251">
        <f>HLOOKUP("Memory",'vInfo (Imported)'!$1:$5000,M4251,FALSE)</f>
        <v>0</v>
      </c>
      <c r="T4251">
        <f>HLOOKUP("Provisioned MiB",'vInfo (Imported)'!$1:$5000,M4251,FALSE)</f>
        <v>0</v>
      </c>
      <c r="U4251">
        <f t="shared" si="199"/>
        <v>0</v>
      </c>
      <c r="V4251">
        <f>HLOOKUP("In Use MiB",'vInfo (Imported)'!$1:$5000,M4251,FALSE)</f>
        <v>0</v>
      </c>
    </row>
    <row r="4252" spans="1:22" ht="13" x14ac:dyDescent="0.3">
      <c r="A4252" s="46">
        <f>'vHosts (Imported)'!A4252</f>
        <v>0</v>
      </c>
      <c r="B4252" s="51">
        <f t="shared" si="198"/>
        <v>4968</v>
      </c>
      <c r="C4252" s="49">
        <f>HLOOKUP("# Cores",'vHosts (Imported)'!$1:$5000,M4252,FALSE)</f>
        <v>0</v>
      </c>
      <c r="D4252" s="52">
        <f>HLOOKUP("# Memory",'vHosts (Imported)'!$1:$5000,M4252,FALSE)</f>
        <v>0</v>
      </c>
      <c r="M4252" s="45">
        <f t="shared" si="200"/>
        <v>4252</v>
      </c>
      <c r="N4252" s="38">
        <f>HLOOKUP("Host",'vInfo (Imported)'!$1:$5000,M4252,FALSE)</f>
        <v>0</v>
      </c>
      <c r="R4252">
        <f>HLOOKUP("CPUs",'vInfo (Imported)'!$1:$5000,M4252,FALSE)</f>
        <v>0</v>
      </c>
      <c r="S4252">
        <f>HLOOKUP("Memory",'vInfo (Imported)'!$1:$5000,M4252,FALSE)</f>
        <v>0</v>
      </c>
      <c r="T4252">
        <f>HLOOKUP("Provisioned MiB",'vInfo (Imported)'!$1:$5000,M4252,FALSE)</f>
        <v>0</v>
      </c>
      <c r="U4252">
        <f t="shared" si="199"/>
        <v>0</v>
      </c>
      <c r="V4252">
        <f>HLOOKUP("In Use MiB",'vInfo (Imported)'!$1:$5000,M4252,FALSE)</f>
        <v>0</v>
      </c>
    </row>
    <row r="4253" spans="1:22" ht="13" x14ac:dyDescent="0.3">
      <c r="A4253" s="46">
        <f>'vHosts (Imported)'!A4253</f>
        <v>0</v>
      </c>
      <c r="B4253" s="51">
        <f t="shared" si="198"/>
        <v>4968</v>
      </c>
      <c r="C4253" s="49">
        <f>HLOOKUP("# Cores",'vHosts (Imported)'!$1:$5000,M4253,FALSE)</f>
        <v>0</v>
      </c>
      <c r="D4253" s="52">
        <f>HLOOKUP("# Memory",'vHosts (Imported)'!$1:$5000,M4253,FALSE)</f>
        <v>0</v>
      </c>
      <c r="M4253" s="45">
        <f t="shared" si="200"/>
        <v>4253</v>
      </c>
      <c r="N4253" s="38">
        <f>HLOOKUP("Host",'vInfo (Imported)'!$1:$5000,M4253,FALSE)</f>
        <v>0</v>
      </c>
      <c r="R4253">
        <f>HLOOKUP("CPUs",'vInfo (Imported)'!$1:$5000,M4253,FALSE)</f>
        <v>0</v>
      </c>
      <c r="S4253">
        <f>HLOOKUP("Memory",'vInfo (Imported)'!$1:$5000,M4253,FALSE)</f>
        <v>0</v>
      </c>
      <c r="T4253">
        <f>HLOOKUP("Provisioned MiB",'vInfo (Imported)'!$1:$5000,M4253,FALSE)</f>
        <v>0</v>
      </c>
      <c r="U4253">
        <f t="shared" si="199"/>
        <v>0</v>
      </c>
      <c r="V4253">
        <f>HLOOKUP("In Use MiB",'vInfo (Imported)'!$1:$5000,M4253,FALSE)</f>
        <v>0</v>
      </c>
    </row>
    <row r="4254" spans="1:22" ht="13" x14ac:dyDescent="0.3">
      <c r="A4254" s="46">
        <f>'vHosts (Imported)'!A4254</f>
        <v>0</v>
      </c>
      <c r="B4254" s="51">
        <f t="shared" si="198"/>
        <v>4968</v>
      </c>
      <c r="C4254" s="49">
        <f>HLOOKUP("# Cores",'vHosts (Imported)'!$1:$5000,M4254,FALSE)</f>
        <v>0</v>
      </c>
      <c r="D4254" s="52">
        <f>HLOOKUP("# Memory",'vHosts (Imported)'!$1:$5000,M4254,FALSE)</f>
        <v>0</v>
      </c>
      <c r="M4254" s="45">
        <f t="shared" si="200"/>
        <v>4254</v>
      </c>
      <c r="N4254" s="38">
        <f>HLOOKUP("Host",'vInfo (Imported)'!$1:$5000,M4254,FALSE)</f>
        <v>0</v>
      </c>
      <c r="R4254">
        <f>HLOOKUP("CPUs",'vInfo (Imported)'!$1:$5000,M4254,FALSE)</f>
        <v>0</v>
      </c>
      <c r="S4254">
        <f>HLOOKUP("Memory",'vInfo (Imported)'!$1:$5000,M4254,FALSE)</f>
        <v>0</v>
      </c>
      <c r="T4254">
        <f>HLOOKUP("Provisioned MiB",'vInfo (Imported)'!$1:$5000,M4254,FALSE)</f>
        <v>0</v>
      </c>
      <c r="U4254">
        <f t="shared" si="199"/>
        <v>0</v>
      </c>
      <c r="V4254">
        <f>HLOOKUP("In Use MiB",'vInfo (Imported)'!$1:$5000,M4254,FALSE)</f>
        <v>0</v>
      </c>
    </row>
    <row r="4255" spans="1:22" ht="13" x14ac:dyDescent="0.3">
      <c r="A4255" s="46">
        <f>'vHosts (Imported)'!A4255</f>
        <v>0</v>
      </c>
      <c r="B4255" s="51">
        <f t="shared" si="198"/>
        <v>4968</v>
      </c>
      <c r="C4255" s="49">
        <f>HLOOKUP("# Cores",'vHosts (Imported)'!$1:$5000,M4255,FALSE)</f>
        <v>0</v>
      </c>
      <c r="D4255" s="52">
        <f>HLOOKUP("# Memory",'vHosts (Imported)'!$1:$5000,M4255,FALSE)</f>
        <v>0</v>
      </c>
      <c r="M4255" s="45">
        <f t="shared" si="200"/>
        <v>4255</v>
      </c>
      <c r="N4255" s="38">
        <f>HLOOKUP("Host",'vInfo (Imported)'!$1:$5000,M4255,FALSE)</f>
        <v>0</v>
      </c>
      <c r="R4255">
        <f>HLOOKUP("CPUs",'vInfo (Imported)'!$1:$5000,M4255,FALSE)</f>
        <v>0</v>
      </c>
      <c r="S4255">
        <f>HLOOKUP("Memory",'vInfo (Imported)'!$1:$5000,M4255,FALSE)</f>
        <v>0</v>
      </c>
      <c r="T4255">
        <f>HLOOKUP("Provisioned MiB",'vInfo (Imported)'!$1:$5000,M4255,FALSE)</f>
        <v>0</v>
      </c>
      <c r="U4255">
        <f t="shared" si="199"/>
        <v>0</v>
      </c>
      <c r="V4255">
        <f>HLOOKUP("In Use MiB",'vInfo (Imported)'!$1:$5000,M4255,FALSE)</f>
        <v>0</v>
      </c>
    </row>
    <row r="4256" spans="1:22" ht="13" x14ac:dyDescent="0.3">
      <c r="A4256" s="46">
        <f>'vHosts (Imported)'!A4256</f>
        <v>0</v>
      </c>
      <c r="B4256" s="51">
        <f t="shared" si="198"/>
        <v>4968</v>
      </c>
      <c r="C4256" s="49">
        <f>HLOOKUP("# Cores",'vHosts (Imported)'!$1:$5000,M4256,FALSE)</f>
        <v>0</v>
      </c>
      <c r="D4256" s="52">
        <f>HLOOKUP("# Memory",'vHosts (Imported)'!$1:$5000,M4256,FALSE)</f>
        <v>0</v>
      </c>
      <c r="M4256" s="45">
        <f t="shared" si="200"/>
        <v>4256</v>
      </c>
      <c r="N4256" s="38">
        <f>HLOOKUP("Host",'vInfo (Imported)'!$1:$5000,M4256,FALSE)</f>
        <v>0</v>
      </c>
      <c r="R4256">
        <f>HLOOKUP("CPUs",'vInfo (Imported)'!$1:$5000,M4256,FALSE)</f>
        <v>0</v>
      </c>
      <c r="S4256">
        <f>HLOOKUP("Memory",'vInfo (Imported)'!$1:$5000,M4256,FALSE)</f>
        <v>0</v>
      </c>
      <c r="T4256">
        <f>HLOOKUP("Provisioned MiB",'vInfo (Imported)'!$1:$5000,M4256,FALSE)</f>
        <v>0</v>
      </c>
      <c r="U4256">
        <f t="shared" si="199"/>
        <v>0</v>
      </c>
      <c r="V4256">
        <f>HLOOKUP("In Use MiB",'vInfo (Imported)'!$1:$5000,M4256,FALSE)</f>
        <v>0</v>
      </c>
    </row>
    <row r="4257" spans="1:22" ht="13" x14ac:dyDescent="0.3">
      <c r="A4257" s="46">
        <f>'vHosts (Imported)'!A4257</f>
        <v>0</v>
      </c>
      <c r="B4257" s="51">
        <f t="shared" si="198"/>
        <v>4968</v>
      </c>
      <c r="C4257" s="49">
        <f>HLOOKUP("# Cores",'vHosts (Imported)'!$1:$5000,M4257,FALSE)</f>
        <v>0</v>
      </c>
      <c r="D4257" s="52">
        <f>HLOOKUP("# Memory",'vHosts (Imported)'!$1:$5000,M4257,FALSE)</f>
        <v>0</v>
      </c>
      <c r="M4257" s="45">
        <f t="shared" si="200"/>
        <v>4257</v>
      </c>
      <c r="N4257" s="38">
        <f>HLOOKUP("Host",'vInfo (Imported)'!$1:$5000,M4257,FALSE)</f>
        <v>0</v>
      </c>
      <c r="R4257">
        <f>HLOOKUP("CPUs",'vInfo (Imported)'!$1:$5000,M4257,FALSE)</f>
        <v>0</v>
      </c>
      <c r="S4257">
        <f>HLOOKUP("Memory",'vInfo (Imported)'!$1:$5000,M4257,FALSE)</f>
        <v>0</v>
      </c>
      <c r="T4257">
        <f>HLOOKUP("Provisioned MiB",'vInfo (Imported)'!$1:$5000,M4257,FALSE)</f>
        <v>0</v>
      </c>
      <c r="U4257">
        <f t="shared" si="199"/>
        <v>0</v>
      </c>
      <c r="V4257">
        <f>HLOOKUP("In Use MiB",'vInfo (Imported)'!$1:$5000,M4257,FALSE)</f>
        <v>0</v>
      </c>
    </row>
    <row r="4258" spans="1:22" ht="13" x14ac:dyDescent="0.3">
      <c r="A4258" s="46">
        <f>'vHosts (Imported)'!A4258</f>
        <v>0</v>
      </c>
      <c r="B4258" s="51">
        <f t="shared" si="198"/>
        <v>4968</v>
      </c>
      <c r="C4258" s="49">
        <f>HLOOKUP("# Cores",'vHosts (Imported)'!$1:$5000,M4258,FALSE)</f>
        <v>0</v>
      </c>
      <c r="D4258" s="52">
        <f>HLOOKUP("# Memory",'vHosts (Imported)'!$1:$5000,M4258,FALSE)</f>
        <v>0</v>
      </c>
      <c r="M4258" s="45">
        <f t="shared" si="200"/>
        <v>4258</v>
      </c>
      <c r="N4258" s="38">
        <f>HLOOKUP("Host",'vInfo (Imported)'!$1:$5000,M4258,FALSE)</f>
        <v>0</v>
      </c>
      <c r="R4258">
        <f>HLOOKUP("CPUs",'vInfo (Imported)'!$1:$5000,M4258,FALSE)</f>
        <v>0</v>
      </c>
      <c r="S4258">
        <f>HLOOKUP("Memory",'vInfo (Imported)'!$1:$5000,M4258,FALSE)</f>
        <v>0</v>
      </c>
      <c r="T4258">
        <f>HLOOKUP("Provisioned MiB",'vInfo (Imported)'!$1:$5000,M4258,FALSE)</f>
        <v>0</v>
      </c>
      <c r="U4258">
        <f t="shared" si="199"/>
        <v>0</v>
      </c>
      <c r="V4258">
        <f>HLOOKUP("In Use MiB",'vInfo (Imported)'!$1:$5000,M4258,FALSE)</f>
        <v>0</v>
      </c>
    </row>
    <row r="4259" spans="1:22" ht="13" x14ac:dyDescent="0.3">
      <c r="A4259" s="46">
        <f>'vHosts (Imported)'!A4259</f>
        <v>0</v>
      </c>
      <c r="B4259" s="51">
        <f t="shared" si="198"/>
        <v>4968</v>
      </c>
      <c r="C4259" s="49">
        <f>HLOOKUP("# Cores",'vHosts (Imported)'!$1:$5000,M4259,FALSE)</f>
        <v>0</v>
      </c>
      <c r="D4259" s="52">
        <f>HLOOKUP("# Memory",'vHosts (Imported)'!$1:$5000,M4259,FALSE)</f>
        <v>0</v>
      </c>
      <c r="M4259" s="45">
        <f t="shared" si="200"/>
        <v>4259</v>
      </c>
      <c r="N4259" s="38">
        <f>HLOOKUP("Host",'vInfo (Imported)'!$1:$5000,M4259,FALSE)</f>
        <v>0</v>
      </c>
      <c r="R4259">
        <f>HLOOKUP("CPUs",'vInfo (Imported)'!$1:$5000,M4259,FALSE)</f>
        <v>0</v>
      </c>
      <c r="S4259">
        <f>HLOOKUP("Memory",'vInfo (Imported)'!$1:$5000,M4259,FALSE)</f>
        <v>0</v>
      </c>
      <c r="T4259">
        <f>HLOOKUP("Provisioned MiB",'vInfo (Imported)'!$1:$5000,M4259,FALSE)</f>
        <v>0</v>
      </c>
      <c r="U4259">
        <f t="shared" si="199"/>
        <v>0</v>
      </c>
      <c r="V4259">
        <f>HLOOKUP("In Use MiB",'vInfo (Imported)'!$1:$5000,M4259,FALSE)</f>
        <v>0</v>
      </c>
    </row>
    <row r="4260" spans="1:22" ht="13" x14ac:dyDescent="0.3">
      <c r="A4260" s="46">
        <f>'vHosts (Imported)'!A4260</f>
        <v>0</v>
      </c>
      <c r="B4260" s="51">
        <f t="shared" si="198"/>
        <v>4968</v>
      </c>
      <c r="C4260" s="49">
        <f>HLOOKUP("# Cores",'vHosts (Imported)'!$1:$5000,M4260,FALSE)</f>
        <v>0</v>
      </c>
      <c r="D4260" s="52">
        <f>HLOOKUP("# Memory",'vHosts (Imported)'!$1:$5000,M4260,FALSE)</f>
        <v>0</v>
      </c>
      <c r="M4260" s="45">
        <f t="shared" si="200"/>
        <v>4260</v>
      </c>
      <c r="N4260" s="38">
        <f>HLOOKUP("Host",'vInfo (Imported)'!$1:$5000,M4260,FALSE)</f>
        <v>0</v>
      </c>
      <c r="R4260">
        <f>HLOOKUP("CPUs",'vInfo (Imported)'!$1:$5000,M4260,FALSE)</f>
        <v>0</v>
      </c>
      <c r="S4260">
        <f>HLOOKUP("Memory",'vInfo (Imported)'!$1:$5000,M4260,FALSE)</f>
        <v>0</v>
      </c>
      <c r="T4260">
        <f>HLOOKUP("Provisioned MiB",'vInfo (Imported)'!$1:$5000,M4260,FALSE)</f>
        <v>0</v>
      </c>
      <c r="U4260">
        <f t="shared" si="199"/>
        <v>0</v>
      </c>
      <c r="V4260">
        <f>HLOOKUP("In Use MiB",'vInfo (Imported)'!$1:$5000,M4260,FALSE)</f>
        <v>0</v>
      </c>
    </row>
    <row r="4261" spans="1:22" ht="13" x14ac:dyDescent="0.3">
      <c r="A4261" s="46">
        <f>'vHosts (Imported)'!A4261</f>
        <v>0</v>
      </c>
      <c r="B4261" s="51">
        <f t="shared" si="198"/>
        <v>4968</v>
      </c>
      <c r="C4261" s="49">
        <f>HLOOKUP("# Cores",'vHosts (Imported)'!$1:$5000,M4261,FALSE)</f>
        <v>0</v>
      </c>
      <c r="D4261" s="52">
        <f>HLOOKUP("# Memory",'vHosts (Imported)'!$1:$5000,M4261,FALSE)</f>
        <v>0</v>
      </c>
      <c r="M4261" s="45">
        <f t="shared" si="200"/>
        <v>4261</v>
      </c>
      <c r="N4261" s="38">
        <f>HLOOKUP("Host",'vInfo (Imported)'!$1:$5000,M4261,FALSE)</f>
        <v>0</v>
      </c>
      <c r="R4261">
        <f>HLOOKUP("CPUs",'vInfo (Imported)'!$1:$5000,M4261,FALSE)</f>
        <v>0</v>
      </c>
      <c r="S4261">
        <f>HLOOKUP("Memory",'vInfo (Imported)'!$1:$5000,M4261,FALSE)</f>
        <v>0</v>
      </c>
      <c r="T4261">
        <f>HLOOKUP("Provisioned MiB",'vInfo (Imported)'!$1:$5000,M4261,FALSE)</f>
        <v>0</v>
      </c>
      <c r="U4261">
        <f t="shared" si="199"/>
        <v>0</v>
      </c>
      <c r="V4261">
        <f>HLOOKUP("In Use MiB",'vInfo (Imported)'!$1:$5000,M4261,FALSE)</f>
        <v>0</v>
      </c>
    </row>
    <row r="4262" spans="1:22" ht="13" x14ac:dyDescent="0.3">
      <c r="A4262" s="46">
        <f>'vHosts (Imported)'!A4262</f>
        <v>0</v>
      </c>
      <c r="B4262" s="51">
        <f t="shared" si="198"/>
        <v>4968</v>
      </c>
      <c r="C4262" s="49">
        <f>HLOOKUP("# Cores",'vHosts (Imported)'!$1:$5000,M4262,FALSE)</f>
        <v>0</v>
      </c>
      <c r="D4262" s="52">
        <f>HLOOKUP("# Memory",'vHosts (Imported)'!$1:$5000,M4262,FALSE)</f>
        <v>0</v>
      </c>
      <c r="M4262" s="45">
        <f t="shared" si="200"/>
        <v>4262</v>
      </c>
      <c r="N4262" s="38">
        <f>HLOOKUP("Host",'vInfo (Imported)'!$1:$5000,M4262,FALSE)</f>
        <v>0</v>
      </c>
      <c r="R4262">
        <f>HLOOKUP("CPUs",'vInfo (Imported)'!$1:$5000,M4262,FALSE)</f>
        <v>0</v>
      </c>
      <c r="S4262">
        <f>HLOOKUP("Memory",'vInfo (Imported)'!$1:$5000,M4262,FALSE)</f>
        <v>0</v>
      </c>
      <c r="T4262">
        <f>HLOOKUP("Provisioned MiB",'vInfo (Imported)'!$1:$5000,M4262,FALSE)</f>
        <v>0</v>
      </c>
      <c r="U4262">
        <f t="shared" si="199"/>
        <v>0</v>
      </c>
      <c r="V4262">
        <f>HLOOKUP("In Use MiB",'vInfo (Imported)'!$1:$5000,M4262,FALSE)</f>
        <v>0</v>
      </c>
    </row>
    <row r="4263" spans="1:22" ht="13" x14ac:dyDescent="0.3">
      <c r="A4263" s="46">
        <f>'vHosts (Imported)'!A4263</f>
        <v>0</v>
      </c>
      <c r="B4263" s="51">
        <f t="shared" si="198"/>
        <v>4968</v>
      </c>
      <c r="C4263" s="49">
        <f>HLOOKUP("# Cores",'vHosts (Imported)'!$1:$5000,M4263,FALSE)</f>
        <v>0</v>
      </c>
      <c r="D4263" s="52">
        <f>HLOOKUP("# Memory",'vHosts (Imported)'!$1:$5000,M4263,FALSE)</f>
        <v>0</v>
      </c>
      <c r="M4263" s="45">
        <f t="shared" si="200"/>
        <v>4263</v>
      </c>
      <c r="N4263" s="38">
        <f>HLOOKUP("Host",'vInfo (Imported)'!$1:$5000,M4263,FALSE)</f>
        <v>0</v>
      </c>
      <c r="R4263">
        <f>HLOOKUP("CPUs",'vInfo (Imported)'!$1:$5000,M4263,FALSE)</f>
        <v>0</v>
      </c>
      <c r="S4263">
        <f>HLOOKUP("Memory",'vInfo (Imported)'!$1:$5000,M4263,FALSE)</f>
        <v>0</v>
      </c>
      <c r="T4263">
        <f>HLOOKUP("Provisioned MiB",'vInfo (Imported)'!$1:$5000,M4263,FALSE)</f>
        <v>0</v>
      </c>
      <c r="U4263">
        <f t="shared" si="199"/>
        <v>0</v>
      </c>
      <c r="V4263">
        <f>HLOOKUP("In Use MiB",'vInfo (Imported)'!$1:$5000,M4263,FALSE)</f>
        <v>0</v>
      </c>
    </row>
    <row r="4264" spans="1:22" ht="13" x14ac:dyDescent="0.3">
      <c r="A4264" s="46">
        <f>'vHosts (Imported)'!A4264</f>
        <v>0</v>
      </c>
      <c r="B4264" s="51">
        <f t="shared" ref="B4264:B4327" si="201">COUNTIF(N:N,A4264)</f>
        <v>4968</v>
      </c>
      <c r="C4264" s="49">
        <f>HLOOKUP("# Cores",'vHosts (Imported)'!$1:$5000,M4264,FALSE)</f>
        <v>0</v>
      </c>
      <c r="D4264" s="52">
        <f>HLOOKUP("# Memory",'vHosts (Imported)'!$1:$5000,M4264,FALSE)</f>
        <v>0</v>
      </c>
      <c r="M4264" s="45">
        <f t="shared" si="200"/>
        <v>4264</v>
      </c>
      <c r="N4264" s="38">
        <f>HLOOKUP("Host",'vInfo (Imported)'!$1:$5000,M4264,FALSE)</f>
        <v>0</v>
      </c>
      <c r="R4264">
        <f>HLOOKUP("CPUs",'vInfo (Imported)'!$1:$5000,M4264,FALSE)</f>
        <v>0</v>
      </c>
      <c r="S4264">
        <f>HLOOKUP("Memory",'vInfo (Imported)'!$1:$5000,M4264,FALSE)</f>
        <v>0</v>
      </c>
      <c r="T4264">
        <f>HLOOKUP("Provisioned MiB",'vInfo (Imported)'!$1:$5000,M4264,FALSE)</f>
        <v>0</v>
      </c>
      <c r="U4264">
        <f t="shared" si="199"/>
        <v>0</v>
      </c>
      <c r="V4264">
        <f>HLOOKUP("In Use MiB",'vInfo (Imported)'!$1:$5000,M4264,FALSE)</f>
        <v>0</v>
      </c>
    </row>
    <row r="4265" spans="1:22" ht="13" x14ac:dyDescent="0.3">
      <c r="A4265" s="46">
        <f>'vHosts (Imported)'!A4265</f>
        <v>0</v>
      </c>
      <c r="B4265" s="51">
        <f t="shared" si="201"/>
        <v>4968</v>
      </c>
      <c r="C4265" s="49">
        <f>HLOOKUP("# Cores",'vHosts (Imported)'!$1:$5000,M4265,FALSE)</f>
        <v>0</v>
      </c>
      <c r="D4265" s="52">
        <f>HLOOKUP("# Memory",'vHosts (Imported)'!$1:$5000,M4265,FALSE)</f>
        <v>0</v>
      </c>
      <c r="M4265" s="45">
        <f t="shared" si="200"/>
        <v>4265</v>
      </c>
      <c r="N4265" s="38">
        <f>HLOOKUP("Host",'vInfo (Imported)'!$1:$5000,M4265,FALSE)</f>
        <v>0</v>
      </c>
      <c r="R4265">
        <f>HLOOKUP("CPUs",'vInfo (Imported)'!$1:$5000,M4265,FALSE)</f>
        <v>0</v>
      </c>
      <c r="S4265">
        <f>HLOOKUP("Memory",'vInfo (Imported)'!$1:$5000,M4265,FALSE)</f>
        <v>0</v>
      </c>
      <c r="T4265">
        <f>HLOOKUP("Provisioned MiB",'vInfo (Imported)'!$1:$5000,M4265,FALSE)</f>
        <v>0</v>
      </c>
      <c r="U4265">
        <f t="shared" si="199"/>
        <v>0</v>
      </c>
      <c r="V4265">
        <f>HLOOKUP("In Use MiB",'vInfo (Imported)'!$1:$5000,M4265,FALSE)</f>
        <v>0</v>
      </c>
    </row>
    <row r="4266" spans="1:22" ht="13" x14ac:dyDescent="0.3">
      <c r="A4266" s="46">
        <f>'vHosts (Imported)'!A4266</f>
        <v>0</v>
      </c>
      <c r="B4266" s="51">
        <f t="shared" si="201"/>
        <v>4968</v>
      </c>
      <c r="C4266" s="49">
        <f>HLOOKUP("# Cores",'vHosts (Imported)'!$1:$5000,M4266,FALSE)</f>
        <v>0</v>
      </c>
      <c r="D4266" s="52">
        <f>HLOOKUP("# Memory",'vHosts (Imported)'!$1:$5000,M4266,FALSE)</f>
        <v>0</v>
      </c>
      <c r="M4266" s="45">
        <f t="shared" si="200"/>
        <v>4266</v>
      </c>
      <c r="N4266" s="38">
        <f>HLOOKUP("Host",'vInfo (Imported)'!$1:$5000,M4266,FALSE)</f>
        <v>0</v>
      </c>
      <c r="R4266">
        <f>HLOOKUP("CPUs",'vInfo (Imported)'!$1:$5000,M4266,FALSE)</f>
        <v>0</v>
      </c>
      <c r="S4266">
        <f>HLOOKUP("Memory",'vInfo (Imported)'!$1:$5000,M4266,FALSE)</f>
        <v>0</v>
      </c>
      <c r="T4266">
        <f>HLOOKUP("Provisioned MiB",'vInfo (Imported)'!$1:$5000,M4266,FALSE)</f>
        <v>0</v>
      </c>
      <c r="U4266">
        <f t="shared" si="199"/>
        <v>0</v>
      </c>
      <c r="V4266">
        <f>HLOOKUP("In Use MiB",'vInfo (Imported)'!$1:$5000,M4266,FALSE)</f>
        <v>0</v>
      </c>
    </row>
    <row r="4267" spans="1:22" ht="13" x14ac:dyDescent="0.3">
      <c r="A4267" s="46">
        <f>'vHosts (Imported)'!A4267</f>
        <v>0</v>
      </c>
      <c r="B4267" s="51">
        <f t="shared" si="201"/>
        <v>4968</v>
      </c>
      <c r="C4267" s="49">
        <f>HLOOKUP("# Cores",'vHosts (Imported)'!$1:$5000,M4267,FALSE)</f>
        <v>0</v>
      </c>
      <c r="D4267" s="52">
        <f>HLOOKUP("# Memory",'vHosts (Imported)'!$1:$5000,M4267,FALSE)</f>
        <v>0</v>
      </c>
      <c r="M4267" s="45">
        <f t="shared" si="200"/>
        <v>4267</v>
      </c>
      <c r="N4267" s="38">
        <f>HLOOKUP("Host",'vInfo (Imported)'!$1:$5000,M4267,FALSE)</f>
        <v>0</v>
      </c>
      <c r="R4267">
        <f>HLOOKUP("CPUs",'vInfo (Imported)'!$1:$5000,M4267,FALSE)</f>
        <v>0</v>
      </c>
      <c r="S4267">
        <f>HLOOKUP("Memory",'vInfo (Imported)'!$1:$5000,M4267,FALSE)</f>
        <v>0</v>
      </c>
      <c r="T4267">
        <f>HLOOKUP("Provisioned MiB",'vInfo (Imported)'!$1:$5000,M4267,FALSE)</f>
        <v>0</v>
      </c>
      <c r="U4267">
        <f t="shared" si="199"/>
        <v>0</v>
      </c>
      <c r="V4267">
        <f>HLOOKUP("In Use MiB",'vInfo (Imported)'!$1:$5000,M4267,FALSE)</f>
        <v>0</v>
      </c>
    </row>
    <row r="4268" spans="1:22" ht="13" x14ac:dyDescent="0.3">
      <c r="A4268" s="46">
        <f>'vHosts (Imported)'!A4268</f>
        <v>0</v>
      </c>
      <c r="B4268" s="51">
        <f t="shared" si="201"/>
        <v>4968</v>
      </c>
      <c r="C4268" s="49">
        <f>HLOOKUP("# Cores",'vHosts (Imported)'!$1:$5000,M4268,FALSE)</f>
        <v>0</v>
      </c>
      <c r="D4268" s="52">
        <f>HLOOKUP("# Memory",'vHosts (Imported)'!$1:$5000,M4268,FALSE)</f>
        <v>0</v>
      </c>
      <c r="M4268" s="45">
        <f t="shared" si="200"/>
        <v>4268</v>
      </c>
      <c r="N4268" s="38">
        <f>HLOOKUP("Host",'vInfo (Imported)'!$1:$5000,M4268,FALSE)</f>
        <v>0</v>
      </c>
      <c r="R4268">
        <f>HLOOKUP("CPUs",'vInfo (Imported)'!$1:$5000,M4268,FALSE)</f>
        <v>0</v>
      </c>
      <c r="S4268">
        <f>HLOOKUP("Memory",'vInfo (Imported)'!$1:$5000,M4268,FALSE)</f>
        <v>0</v>
      </c>
      <c r="T4268">
        <f>HLOOKUP("Provisioned MiB",'vInfo (Imported)'!$1:$5000,M4268,FALSE)</f>
        <v>0</v>
      </c>
      <c r="U4268">
        <f t="shared" si="199"/>
        <v>0</v>
      </c>
      <c r="V4268">
        <f>HLOOKUP("In Use MiB",'vInfo (Imported)'!$1:$5000,M4268,FALSE)</f>
        <v>0</v>
      </c>
    </row>
    <row r="4269" spans="1:22" ht="13" x14ac:dyDescent="0.3">
      <c r="A4269" s="46">
        <f>'vHosts (Imported)'!A4269</f>
        <v>0</v>
      </c>
      <c r="B4269" s="51">
        <f t="shared" si="201"/>
        <v>4968</v>
      </c>
      <c r="C4269" s="49">
        <f>HLOOKUP("# Cores",'vHosts (Imported)'!$1:$5000,M4269,FALSE)</f>
        <v>0</v>
      </c>
      <c r="D4269" s="52">
        <f>HLOOKUP("# Memory",'vHosts (Imported)'!$1:$5000,M4269,FALSE)</f>
        <v>0</v>
      </c>
      <c r="M4269" s="45">
        <f t="shared" si="200"/>
        <v>4269</v>
      </c>
      <c r="N4269" s="38">
        <f>HLOOKUP("Host",'vInfo (Imported)'!$1:$5000,M4269,FALSE)</f>
        <v>0</v>
      </c>
      <c r="R4269">
        <f>HLOOKUP("CPUs",'vInfo (Imported)'!$1:$5000,M4269,FALSE)</f>
        <v>0</v>
      </c>
      <c r="S4269">
        <f>HLOOKUP("Memory",'vInfo (Imported)'!$1:$5000,M4269,FALSE)</f>
        <v>0</v>
      </c>
      <c r="T4269">
        <f>HLOOKUP("Provisioned MiB",'vInfo (Imported)'!$1:$5000,M4269,FALSE)</f>
        <v>0</v>
      </c>
      <c r="U4269">
        <f t="shared" si="199"/>
        <v>0</v>
      </c>
      <c r="V4269">
        <f>HLOOKUP("In Use MiB",'vInfo (Imported)'!$1:$5000,M4269,FALSE)</f>
        <v>0</v>
      </c>
    </row>
    <row r="4270" spans="1:22" ht="13" x14ac:dyDescent="0.3">
      <c r="A4270" s="46">
        <f>'vHosts (Imported)'!A4270</f>
        <v>0</v>
      </c>
      <c r="B4270" s="51">
        <f t="shared" si="201"/>
        <v>4968</v>
      </c>
      <c r="C4270" s="49">
        <f>HLOOKUP("# Cores",'vHosts (Imported)'!$1:$5000,M4270,FALSE)</f>
        <v>0</v>
      </c>
      <c r="D4270" s="52">
        <f>HLOOKUP("# Memory",'vHosts (Imported)'!$1:$5000,M4270,FALSE)</f>
        <v>0</v>
      </c>
      <c r="M4270" s="45">
        <f t="shared" si="200"/>
        <v>4270</v>
      </c>
      <c r="N4270" s="38">
        <f>HLOOKUP("Host",'vInfo (Imported)'!$1:$5000,M4270,FALSE)</f>
        <v>0</v>
      </c>
      <c r="R4270">
        <f>HLOOKUP("CPUs",'vInfo (Imported)'!$1:$5000,M4270,FALSE)</f>
        <v>0</v>
      </c>
      <c r="S4270">
        <f>HLOOKUP("Memory",'vInfo (Imported)'!$1:$5000,M4270,FALSE)</f>
        <v>0</v>
      </c>
      <c r="T4270">
        <f>HLOOKUP("Provisioned MiB",'vInfo (Imported)'!$1:$5000,M4270,FALSE)</f>
        <v>0</v>
      </c>
      <c r="U4270">
        <f t="shared" si="199"/>
        <v>0</v>
      </c>
      <c r="V4270">
        <f>HLOOKUP("In Use MiB",'vInfo (Imported)'!$1:$5000,M4270,FALSE)</f>
        <v>0</v>
      </c>
    </row>
    <row r="4271" spans="1:22" ht="13" x14ac:dyDescent="0.3">
      <c r="A4271" s="46">
        <f>'vHosts (Imported)'!A4271</f>
        <v>0</v>
      </c>
      <c r="B4271" s="51">
        <f t="shared" si="201"/>
        <v>4968</v>
      </c>
      <c r="C4271" s="49">
        <f>HLOOKUP("# Cores",'vHosts (Imported)'!$1:$5000,M4271,FALSE)</f>
        <v>0</v>
      </c>
      <c r="D4271" s="52">
        <f>HLOOKUP("# Memory",'vHosts (Imported)'!$1:$5000,M4271,FALSE)</f>
        <v>0</v>
      </c>
      <c r="M4271" s="45">
        <f t="shared" si="200"/>
        <v>4271</v>
      </c>
      <c r="N4271" s="38">
        <f>HLOOKUP("Host",'vInfo (Imported)'!$1:$5000,M4271,FALSE)</f>
        <v>0</v>
      </c>
      <c r="R4271">
        <f>HLOOKUP("CPUs",'vInfo (Imported)'!$1:$5000,M4271,FALSE)</f>
        <v>0</v>
      </c>
      <c r="S4271">
        <f>HLOOKUP("Memory",'vInfo (Imported)'!$1:$5000,M4271,FALSE)</f>
        <v>0</v>
      </c>
      <c r="T4271">
        <f>HLOOKUP("Provisioned MiB",'vInfo (Imported)'!$1:$5000,M4271,FALSE)</f>
        <v>0</v>
      </c>
      <c r="U4271">
        <f t="shared" si="199"/>
        <v>0</v>
      </c>
      <c r="V4271">
        <f>HLOOKUP("In Use MiB",'vInfo (Imported)'!$1:$5000,M4271,FALSE)</f>
        <v>0</v>
      </c>
    </row>
    <row r="4272" spans="1:22" ht="13" x14ac:dyDescent="0.3">
      <c r="A4272" s="46">
        <f>'vHosts (Imported)'!A4272</f>
        <v>0</v>
      </c>
      <c r="B4272" s="51">
        <f t="shared" si="201"/>
        <v>4968</v>
      </c>
      <c r="C4272" s="49">
        <f>HLOOKUP("# Cores",'vHosts (Imported)'!$1:$5000,M4272,FALSE)</f>
        <v>0</v>
      </c>
      <c r="D4272" s="52">
        <f>HLOOKUP("# Memory",'vHosts (Imported)'!$1:$5000,M4272,FALSE)</f>
        <v>0</v>
      </c>
      <c r="M4272" s="45">
        <f t="shared" si="200"/>
        <v>4272</v>
      </c>
      <c r="N4272" s="38">
        <f>HLOOKUP("Host",'vInfo (Imported)'!$1:$5000,M4272,FALSE)</f>
        <v>0</v>
      </c>
      <c r="R4272">
        <f>HLOOKUP("CPUs",'vInfo (Imported)'!$1:$5000,M4272,FALSE)</f>
        <v>0</v>
      </c>
      <c r="S4272">
        <f>HLOOKUP("Memory",'vInfo (Imported)'!$1:$5000,M4272,FALSE)</f>
        <v>0</v>
      </c>
      <c r="T4272">
        <f>HLOOKUP("Provisioned MiB",'vInfo (Imported)'!$1:$5000,M4272,FALSE)</f>
        <v>0</v>
      </c>
      <c r="U4272">
        <f t="shared" si="199"/>
        <v>0</v>
      </c>
      <c r="V4272">
        <f>HLOOKUP("In Use MiB",'vInfo (Imported)'!$1:$5000,M4272,FALSE)</f>
        <v>0</v>
      </c>
    </row>
    <row r="4273" spans="1:22" ht="13" x14ac:dyDescent="0.3">
      <c r="A4273" s="46">
        <f>'vHosts (Imported)'!A4273</f>
        <v>0</v>
      </c>
      <c r="B4273" s="51">
        <f t="shared" si="201"/>
        <v>4968</v>
      </c>
      <c r="C4273" s="49">
        <f>HLOOKUP("# Cores",'vHosts (Imported)'!$1:$5000,M4273,FALSE)</f>
        <v>0</v>
      </c>
      <c r="D4273" s="52">
        <f>HLOOKUP("# Memory",'vHosts (Imported)'!$1:$5000,M4273,FALSE)</f>
        <v>0</v>
      </c>
      <c r="M4273" s="45">
        <f t="shared" si="200"/>
        <v>4273</v>
      </c>
      <c r="N4273" s="38">
        <f>HLOOKUP("Host",'vInfo (Imported)'!$1:$5000,M4273,FALSE)</f>
        <v>0</v>
      </c>
      <c r="R4273">
        <f>HLOOKUP("CPUs",'vInfo (Imported)'!$1:$5000,M4273,FALSE)</f>
        <v>0</v>
      </c>
      <c r="S4273">
        <f>HLOOKUP("Memory",'vInfo (Imported)'!$1:$5000,M4273,FALSE)</f>
        <v>0</v>
      </c>
      <c r="T4273">
        <f>HLOOKUP("Provisioned MiB",'vInfo (Imported)'!$1:$5000,M4273,FALSE)</f>
        <v>0</v>
      </c>
      <c r="U4273">
        <f t="shared" si="199"/>
        <v>0</v>
      </c>
      <c r="V4273">
        <f>HLOOKUP("In Use MiB",'vInfo (Imported)'!$1:$5000,M4273,FALSE)</f>
        <v>0</v>
      </c>
    </row>
    <row r="4274" spans="1:22" ht="13" x14ac:dyDescent="0.3">
      <c r="A4274" s="46">
        <f>'vHosts (Imported)'!A4274</f>
        <v>0</v>
      </c>
      <c r="B4274" s="51">
        <f t="shared" si="201"/>
        <v>4968</v>
      </c>
      <c r="C4274" s="49">
        <f>HLOOKUP("# Cores",'vHosts (Imported)'!$1:$5000,M4274,FALSE)</f>
        <v>0</v>
      </c>
      <c r="D4274" s="52">
        <f>HLOOKUP("# Memory",'vHosts (Imported)'!$1:$5000,M4274,FALSE)</f>
        <v>0</v>
      </c>
      <c r="M4274" s="45">
        <f t="shared" si="200"/>
        <v>4274</v>
      </c>
      <c r="N4274" s="38">
        <f>HLOOKUP("Host",'vInfo (Imported)'!$1:$5000,M4274,FALSE)</f>
        <v>0</v>
      </c>
      <c r="R4274">
        <f>HLOOKUP("CPUs",'vInfo (Imported)'!$1:$5000,M4274,FALSE)</f>
        <v>0</v>
      </c>
      <c r="S4274">
        <f>HLOOKUP("Memory",'vInfo (Imported)'!$1:$5000,M4274,FALSE)</f>
        <v>0</v>
      </c>
      <c r="T4274">
        <f>HLOOKUP("Provisioned MiB",'vInfo (Imported)'!$1:$5000,M4274,FALSE)</f>
        <v>0</v>
      </c>
      <c r="U4274">
        <f t="shared" si="199"/>
        <v>0</v>
      </c>
      <c r="V4274">
        <f>HLOOKUP("In Use MiB",'vInfo (Imported)'!$1:$5000,M4274,FALSE)</f>
        <v>0</v>
      </c>
    </row>
    <row r="4275" spans="1:22" ht="13" x14ac:dyDescent="0.3">
      <c r="A4275" s="46">
        <f>'vHosts (Imported)'!A4275</f>
        <v>0</v>
      </c>
      <c r="B4275" s="51">
        <f t="shared" si="201"/>
        <v>4968</v>
      </c>
      <c r="C4275" s="49">
        <f>HLOOKUP("# Cores",'vHosts (Imported)'!$1:$5000,M4275,FALSE)</f>
        <v>0</v>
      </c>
      <c r="D4275" s="52">
        <f>HLOOKUP("# Memory",'vHosts (Imported)'!$1:$5000,M4275,FALSE)</f>
        <v>0</v>
      </c>
      <c r="M4275" s="45">
        <f t="shared" si="200"/>
        <v>4275</v>
      </c>
      <c r="N4275" s="38">
        <f>HLOOKUP("Host",'vInfo (Imported)'!$1:$5000,M4275,FALSE)</f>
        <v>0</v>
      </c>
      <c r="R4275">
        <f>HLOOKUP("CPUs",'vInfo (Imported)'!$1:$5000,M4275,FALSE)</f>
        <v>0</v>
      </c>
      <c r="S4275">
        <f>HLOOKUP("Memory",'vInfo (Imported)'!$1:$5000,M4275,FALSE)</f>
        <v>0</v>
      </c>
      <c r="T4275">
        <f>HLOOKUP("Provisioned MiB",'vInfo (Imported)'!$1:$5000,M4275,FALSE)</f>
        <v>0</v>
      </c>
      <c r="U4275">
        <f t="shared" si="199"/>
        <v>0</v>
      </c>
      <c r="V4275">
        <f>HLOOKUP("In Use MiB",'vInfo (Imported)'!$1:$5000,M4275,FALSE)</f>
        <v>0</v>
      </c>
    </row>
    <row r="4276" spans="1:22" ht="13" x14ac:dyDescent="0.3">
      <c r="A4276" s="46">
        <f>'vHosts (Imported)'!A4276</f>
        <v>0</v>
      </c>
      <c r="B4276" s="51">
        <f t="shared" si="201"/>
        <v>4968</v>
      </c>
      <c r="C4276" s="49">
        <f>HLOOKUP("# Cores",'vHosts (Imported)'!$1:$5000,M4276,FALSE)</f>
        <v>0</v>
      </c>
      <c r="D4276" s="52">
        <f>HLOOKUP("# Memory",'vHosts (Imported)'!$1:$5000,M4276,FALSE)</f>
        <v>0</v>
      </c>
      <c r="M4276" s="45">
        <f t="shared" si="200"/>
        <v>4276</v>
      </c>
      <c r="N4276" s="38">
        <f>HLOOKUP("Host",'vInfo (Imported)'!$1:$5000,M4276,FALSE)</f>
        <v>0</v>
      </c>
      <c r="R4276">
        <f>HLOOKUP("CPUs",'vInfo (Imported)'!$1:$5000,M4276,FALSE)</f>
        <v>0</v>
      </c>
      <c r="S4276">
        <f>HLOOKUP("Memory",'vInfo (Imported)'!$1:$5000,M4276,FALSE)</f>
        <v>0</v>
      </c>
      <c r="T4276">
        <f>HLOOKUP("Provisioned MiB",'vInfo (Imported)'!$1:$5000,M4276,FALSE)</f>
        <v>0</v>
      </c>
      <c r="U4276">
        <f t="shared" si="199"/>
        <v>0</v>
      </c>
      <c r="V4276">
        <f>HLOOKUP("In Use MiB",'vInfo (Imported)'!$1:$5000,M4276,FALSE)</f>
        <v>0</v>
      </c>
    </row>
    <row r="4277" spans="1:22" ht="13" x14ac:dyDescent="0.3">
      <c r="A4277" s="46">
        <f>'vHosts (Imported)'!A4277</f>
        <v>0</v>
      </c>
      <c r="B4277" s="51">
        <f t="shared" si="201"/>
        <v>4968</v>
      </c>
      <c r="C4277" s="49">
        <f>HLOOKUP("# Cores",'vHosts (Imported)'!$1:$5000,M4277,FALSE)</f>
        <v>0</v>
      </c>
      <c r="D4277" s="52">
        <f>HLOOKUP("# Memory",'vHosts (Imported)'!$1:$5000,M4277,FALSE)</f>
        <v>0</v>
      </c>
      <c r="M4277" s="45">
        <f t="shared" si="200"/>
        <v>4277</v>
      </c>
      <c r="N4277" s="38">
        <f>HLOOKUP("Host",'vInfo (Imported)'!$1:$5000,M4277,FALSE)</f>
        <v>0</v>
      </c>
      <c r="R4277">
        <f>HLOOKUP("CPUs",'vInfo (Imported)'!$1:$5000,M4277,FALSE)</f>
        <v>0</v>
      </c>
      <c r="S4277">
        <f>HLOOKUP("Memory",'vInfo (Imported)'!$1:$5000,M4277,FALSE)</f>
        <v>0</v>
      </c>
      <c r="T4277">
        <f>HLOOKUP("Provisioned MiB",'vInfo (Imported)'!$1:$5000,M4277,FALSE)</f>
        <v>0</v>
      </c>
      <c r="U4277">
        <f t="shared" si="199"/>
        <v>0</v>
      </c>
      <c r="V4277">
        <f>HLOOKUP("In Use MiB",'vInfo (Imported)'!$1:$5000,M4277,FALSE)</f>
        <v>0</v>
      </c>
    </row>
    <row r="4278" spans="1:22" ht="13" x14ac:dyDescent="0.3">
      <c r="A4278" s="46">
        <f>'vHosts (Imported)'!A4278</f>
        <v>0</v>
      </c>
      <c r="B4278" s="51">
        <f t="shared" si="201"/>
        <v>4968</v>
      </c>
      <c r="C4278" s="49">
        <f>HLOOKUP("# Cores",'vHosts (Imported)'!$1:$5000,M4278,FALSE)</f>
        <v>0</v>
      </c>
      <c r="D4278" s="52">
        <f>HLOOKUP("# Memory",'vHosts (Imported)'!$1:$5000,M4278,FALSE)</f>
        <v>0</v>
      </c>
      <c r="M4278" s="45">
        <f t="shared" si="200"/>
        <v>4278</v>
      </c>
      <c r="N4278" s="38">
        <f>HLOOKUP("Host",'vInfo (Imported)'!$1:$5000,M4278,FALSE)</f>
        <v>0</v>
      </c>
      <c r="R4278">
        <f>HLOOKUP("CPUs",'vInfo (Imported)'!$1:$5000,M4278,FALSE)</f>
        <v>0</v>
      </c>
      <c r="S4278">
        <f>HLOOKUP("Memory",'vInfo (Imported)'!$1:$5000,M4278,FALSE)</f>
        <v>0</v>
      </c>
      <c r="T4278">
        <f>HLOOKUP("Provisioned MiB",'vInfo (Imported)'!$1:$5000,M4278,FALSE)</f>
        <v>0</v>
      </c>
      <c r="U4278">
        <f t="shared" si="199"/>
        <v>0</v>
      </c>
      <c r="V4278">
        <f>HLOOKUP("In Use MiB",'vInfo (Imported)'!$1:$5000,M4278,FALSE)</f>
        <v>0</v>
      </c>
    </row>
    <row r="4279" spans="1:22" ht="13" x14ac:dyDescent="0.3">
      <c r="A4279" s="46">
        <f>'vHosts (Imported)'!A4279</f>
        <v>0</v>
      </c>
      <c r="B4279" s="51">
        <f t="shared" si="201"/>
        <v>4968</v>
      </c>
      <c r="C4279" s="49">
        <f>HLOOKUP("# Cores",'vHosts (Imported)'!$1:$5000,M4279,FALSE)</f>
        <v>0</v>
      </c>
      <c r="D4279" s="52">
        <f>HLOOKUP("# Memory",'vHosts (Imported)'!$1:$5000,M4279,FALSE)</f>
        <v>0</v>
      </c>
      <c r="M4279" s="45">
        <f t="shared" si="200"/>
        <v>4279</v>
      </c>
      <c r="N4279" s="38">
        <f>HLOOKUP("Host",'vInfo (Imported)'!$1:$5000,M4279,FALSE)</f>
        <v>0</v>
      </c>
      <c r="R4279">
        <f>HLOOKUP("CPUs",'vInfo (Imported)'!$1:$5000,M4279,FALSE)</f>
        <v>0</v>
      </c>
      <c r="S4279">
        <f>HLOOKUP("Memory",'vInfo (Imported)'!$1:$5000,M4279,FALSE)</f>
        <v>0</v>
      </c>
      <c r="T4279">
        <f>HLOOKUP("Provisioned MiB",'vInfo (Imported)'!$1:$5000,M4279,FALSE)</f>
        <v>0</v>
      </c>
      <c r="U4279">
        <f t="shared" si="199"/>
        <v>0</v>
      </c>
      <c r="V4279">
        <f>HLOOKUP("In Use MiB",'vInfo (Imported)'!$1:$5000,M4279,FALSE)</f>
        <v>0</v>
      </c>
    </row>
    <row r="4280" spans="1:22" ht="13" x14ac:dyDescent="0.3">
      <c r="A4280" s="46">
        <f>'vHosts (Imported)'!A4280</f>
        <v>0</v>
      </c>
      <c r="B4280" s="51">
        <f t="shared" si="201"/>
        <v>4968</v>
      </c>
      <c r="C4280" s="49">
        <f>HLOOKUP("# Cores",'vHosts (Imported)'!$1:$5000,M4280,FALSE)</f>
        <v>0</v>
      </c>
      <c r="D4280" s="52">
        <f>HLOOKUP("# Memory",'vHosts (Imported)'!$1:$5000,M4280,FALSE)</f>
        <v>0</v>
      </c>
      <c r="M4280" s="45">
        <f t="shared" si="200"/>
        <v>4280</v>
      </c>
      <c r="N4280" s="38">
        <f>HLOOKUP("Host",'vInfo (Imported)'!$1:$5000,M4280,FALSE)</f>
        <v>0</v>
      </c>
      <c r="R4280">
        <f>HLOOKUP("CPUs",'vInfo (Imported)'!$1:$5000,M4280,FALSE)</f>
        <v>0</v>
      </c>
      <c r="S4280">
        <f>HLOOKUP("Memory",'vInfo (Imported)'!$1:$5000,M4280,FALSE)</f>
        <v>0</v>
      </c>
      <c r="T4280">
        <f>HLOOKUP("Provisioned MiB",'vInfo (Imported)'!$1:$5000,M4280,FALSE)</f>
        <v>0</v>
      </c>
      <c r="U4280">
        <f t="shared" si="199"/>
        <v>0</v>
      </c>
      <c r="V4280">
        <f>HLOOKUP("In Use MiB",'vInfo (Imported)'!$1:$5000,M4280,FALSE)</f>
        <v>0</v>
      </c>
    </row>
    <row r="4281" spans="1:22" ht="13" x14ac:dyDescent="0.3">
      <c r="A4281" s="46">
        <f>'vHosts (Imported)'!A4281</f>
        <v>0</v>
      </c>
      <c r="B4281" s="51">
        <f t="shared" si="201"/>
        <v>4968</v>
      </c>
      <c r="C4281" s="49">
        <f>HLOOKUP("# Cores",'vHosts (Imported)'!$1:$5000,M4281,FALSE)</f>
        <v>0</v>
      </c>
      <c r="D4281" s="52">
        <f>HLOOKUP("# Memory",'vHosts (Imported)'!$1:$5000,M4281,FALSE)</f>
        <v>0</v>
      </c>
      <c r="M4281" s="45">
        <f t="shared" si="200"/>
        <v>4281</v>
      </c>
      <c r="N4281" s="38">
        <f>HLOOKUP("Host",'vInfo (Imported)'!$1:$5000,M4281,FALSE)</f>
        <v>0</v>
      </c>
      <c r="R4281">
        <f>HLOOKUP("CPUs",'vInfo (Imported)'!$1:$5000,M4281,FALSE)</f>
        <v>0</v>
      </c>
      <c r="S4281">
        <f>HLOOKUP("Memory",'vInfo (Imported)'!$1:$5000,M4281,FALSE)</f>
        <v>0</v>
      </c>
      <c r="T4281">
        <f>HLOOKUP("Provisioned MiB",'vInfo (Imported)'!$1:$5000,M4281,FALSE)</f>
        <v>0</v>
      </c>
      <c r="U4281">
        <f t="shared" si="199"/>
        <v>0</v>
      </c>
      <c r="V4281">
        <f>HLOOKUP("In Use MiB",'vInfo (Imported)'!$1:$5000,M4281,FALSE)</f>
        <v>0</v>
      </c>
    </row>
    <row r="4282" spans="1:22" ht="13" x14ac:dyDescent="0.3">
      <c r="A4282" s="46">
        <f>'vHosts (Imported)'!A4282</f>
        <v>0</v>
      </c>
      <c r="B4282" s="51">
        <f t="shared" si="201"/>
        <v>4968</v>
      </c>
      <c r="C4282" s="49">
        <f>HLOOKUP("# Cores",'vHosts (Imported)'!$1:$5000,M4282,FALSE)</f>
        <v>0</v>
      </c>
      <c r="D4282" s="52">
        <f>HLOOKUP("# Memory",'vHosts (Imported)'!$1:$5000,M4282,FALSE)</f>
        <v>0</v>
      </c>
      <c r="M4282" s="45">
        <f t="shared" si="200"/>
        <v>4282</v>
      </c>
      <c r="N4282" s="38">
        <f>HLOOKUP("Host",'vInfo (Imported)'!$1:$5000,M4282,FALSE)</f>
        <v>0</v>
      </c>
      <c r="R4282">
        <f>HLOOKUP("CPUs",'vInfo (Imported)'!$1:$5000,M4282,FALSE)</f>
        <v>0</v>
      </c>
      <c r="S4282">
        <f>HLOOKUP("Memory",'vInfo (Imported)'!$1:$5000,M4282,FALSE)</f>
        <v>0</v>
      </c>
      <c r="T4282">
        <f>HLOOKUP("Provisioned MiB",'vInfo (Imported)'!$1:$5000,M4282,FALSE)</f>
        <v>0</v>
      </c>
      <c r="U4282">
        <f t="shared" si="199"/>
        <v>0</v>
      </c>
      <c r="V4282">
        <f>HLOOKUP("In Use MiB",'vInfo (Imported)'!$1:$5000,M4282,FALSE)</f>
        <v>0</v>
      </c>
    </row>
    <row r="4283" spans="1:22" ht="13" x14ac:dyDescent="0.3">
      <c r="A4283" s="46">
        <f>'vHosts (Imported)'!A4283</f>
        <v>0</v>
      </c>
      <c r="B4283" s="51">
        <f t="shared" si="201"/>
        <v>4968</v>
      </c>
      <c r="C4283" s="49">
        <f>HLOOKUP("# Cores",'vHosts (Imported)'!$1:$5000,M4283,FALSE)</f>
        <v>0</v>
      </c>
      <c r="D4283" s="52">
        <f>HLOOKUP("# Memory",'vHosts (Imported)'!$1:$5000,M4283,FALSE)</f>
        <v>0</v>
      </c>
      <c r="M4283" s="45">
        <f t="shared" si="200"/>
        <v>4283</v>
      </c>
      <c r="N4283" s="38">
        <f>HLOOKUP("Host",'vInfo (Imported)'!$1:$5000,M4283,FALSE)</f>
        <v>0</v>
      </c>
      <c r="R4283">
        <f>HLOOKUP("CPUs",'vInfo (Imported)'!$1:$5000,M4283,FALSE)</f>
        <v>0</v>
      </c>
      <c r="S4283">
        <f>HLOOKUP("Memory",'vInfo (Imported)'!$1:$5000,M4283,FALSE)</f>
        <v>0</v>
      </c>
      <c r="T4283">
        <f>HLOOKUP("Provisioned MiB",'vInfo (Imported)'!$1:$5000,M4283,FALSE)</f>
        <v>0</v>
      </c>
      <c r="U4283">
        <f t="shared" si="199"/>
        <v>0</v>
      </c>
      <c r="V4283">
        <f>HLOOKUP("In Use MiB",'vInfo (Imported)'!$1:$5000,M4283,FALSE)</f>
        <v>0</v>
      </c>
    </row>
    <row r="4284" spans="1:22" ht="13" x14ac:dyDescent="0.3">
      <c r="A4284" s="46">
        <f>'vHosts (Imported)'!A4284</f>
        <v>0</v>
      </c>
      <c r="B4284" s="51">
        <f t="shared" si="201"/>
        <v>4968</v>
      </c>
      <c r="C4284" s="49">
        <f>HLOOKUP("# Cores",'vHosts (Imported)'!$1:$5000,M4284,FALSE)</f>
        <v>0</v>
      </c>
      <c r="D4284" s="52">
        <f>HLOOKUP("# Memory",'vHosts (Imported)'!$1:$5000,M4284,FALSE)</f>
        <v>0</v>
      </c>
      <c r="M4284" s="45">
        <f t="shared" si="200"/>
        <v>4284</v>
      </c>
      <c r="N4284" s="38">
        <f>HLOOKUP("Host",'vInfo (Imported)'!$1:$5000,M4284,FALSE)</f>
        <v>0</v>
      </c>
      <c r="R4284">
        <f>HLOOKUP("CPUs",'vInfo (Imported)'!$1:$5000,M4284,FALSE)</f>
        <v>0</v>
      </c>
      <c r="S4284">
        <f>HLOOKUP("Memory",'vInfo (Imported)'!$1:$5000,M4284,FALSE)</f>
        <v>0</v>
      </c>
      <c r="T4284">
        <f>HLOOKUP("Provisioned MiB",'vInfo (Imported)'!$1:$5000,M4284,FALSE)</f>
        <v>0</v>
      </c>
      <c r="U4284">
        <f t="shared" si="199"/>
        <v>0</v>
      </c>
      <c r="V4284">
        <f>HLOOKUP("In Use MiB",'vInfo (Imported)'!$1:$5000,M4284,FALSE)</f>
        <v>0</v>
      </c>
    </row>
    <row r="4285" spans="1:22" ht="13" x14ac:dyDescent="0.3">
      <c r="A4285" s="46">
        <f>'vHosts (Imported)'!A4285</f>
        <v>0</v>
      </c>
      <c r="B4285" s="51">
        <f t="shared" si="201"/>
        <v>4968</v>
      </c>
      <c r="C4285" s="49">
        <f>HLOOKUP("# Cores",'vHosts (Imported)'!$1:$5000,M4285,FALSE)</f>
        <v>0</v>
      </c>
      <c r="D4285" s="52">
        <f>HLOOKUP("# Memory",'vHosts (Imported)'!$1:$5000,M4285,FALSE)</f>
        <v>0</v>
      </c>
      <c r="M4285" s="45">
        <f t="shared" si="200"/>
        <v>4285</v>
      </c>
      <c r="N4285" s="38">
        <f>HLOOKUP("Host",'vInfo (Imported)'!$1:$5000,M4285,FALSE)</f>
        <v>0</v>
      </c>
      <c r="R4285">
        <f>HLOOKUP("CPUs",'vInfo (Imported)'!$1:$5000,M4285,FALSE)</f>
        <v>0</v>
      </c>
      <c r="S4285">
        <f>HLOOKUP("Memory",'vInfo (Imported)'!$1:$5000,M4285,FALSE)</f>
        <v>0</v>
      </c>
      <c r="T4285">
        <f>HLOOKUP("Provisioned MiB",'vInfo (Imported)'!$1:$5000,M4285,FALSE)</f>
        <v>0</v>
      </c>
      <c r="U4285">
        <f t="shared" si="199"/>
        <v>0</v>
      </c>
      <c r="V4285">
        <f>HLOOKUP("In Use MiB",'vInfo (Imported)'!$1:$5000,M4285,FALSE)</f>
        <v>0</v>
      </c>
    </row>
    <row r="4286" spans="1:22" ht="13" x14ac:dyDescent="0.3">
      <c r="A4286" s="46">
        <f>'vHosts (Imported)'!A4286</f>
        <v>0</v>
      </c>
      <c r="B4286" s="51">
        <f t="shared" si="201"/>
        <v>4968</v>
      </c>
      <c r="C4286" s="49">
        <f>HLOOKUP("# Cores",'vHosts (Imported)'!$1:$5000,M4286,FALSE)</f>
        <v>0</v>
      </c>
      <c r="D4286" s="52">
        <f>HLOOKUP("# Memory",'vHosts (Imported)'!$1:$5000,M4286,FALSE)</f>
        <v>0</v>
      </c>
      <c r="M4286" s="45">
        <f t="shared" si="200"/>
        <v>4286</v>
      </c>
      <c r="N4286" s="38">
        <f>HLOOKUP("Host",'vInfo (Imported)'!$1:$5000,M4286,FALSE)</f>
        <v>0</v>
      </c>
      <c r="R4286">
        <f>HLOOKUP("CPUs",'vInfo (Imported)'!$1:$5000,M4286,FALSE)</f>
        <v>0</v>
      </c>
      <c r="S4286">
        <f>HLOOKUP("Memory",'vInfo (Imported)'!$1:$5000,M4286,FALSE)</f>
        <v>0</v>
      </c>
      <c r="T4286">
        <f>HLOOKUP("Provisioned MiB",'vInfo (Imported)'!$1:$5000,M4286,FALSE)</f>
        <v>0</v>
      </c>
      <c r="U4286">
        <f t="shared" si="199"/>
        <v>0</v>
      </c>
      <c r="V4286">
        <f>HLOOKUP("In Use MiB",'vInfo (Imported)'!$1:$5000,M4286,FALSE)</f>
        <v>0</v>
      </c>
    </row>
    <row r="4287" spans="1:22" ht="13" x14ac:dyDescent="0.3">
      <c r="A4287" s="46">
        <f>'vHosts (Imported)'!A4287</f>
        <v>0</v>
      </c>
      <c r="B4287" s="51">
        <f t="shared" si="201"/>
        <v>4968</v>
      </c>
      <c r="C4287" s="49">
        <f>HLOOKUP("# Cores",'vHosts (Imported)'!$1:$5000,M4287,FALSE)</f>
        <v>0</v>
      </c>
      <c r="D4287" s="52">
        <f>HLOOKUP("# Memory",'vHosts (Imported)'!$1:$5000,M4287,FALSE)</f>
        <v>0</v>
      </c>
      <c r="M4287" s="45">
        <f t="shared" si="200"/>
        <v>4287</v>
      </c>
      <c r="N4287" s="38">
        <f>HLOOKUP("Host",'vInfo (Imported)'!$1:$5000,M4287,FALSE)</f>
        <v>0</v>
      </c>
      <c r="R4287">
        <f>HLOOKUP("CPUs",'vInfo (Imported)'!$1:$5000,M4287,FALSE)</f>
        <v>0</v>
      </c>
      <c r="S4287">
        <f>HLOOKUP("Memory",'vInfo (Imported)'!$1:$5000,M4287,FALSE)</f>
        <v>0</v>
      </c>
      <c r="T4287">
        <f>HLOOKUP("Provisioned MiB",'vInfo (Imported)'!$1:$5000,M4287,FALSE)</f>
        <v>0</v>
      </c>
      <c r="U4287">
        <f t="shared" si="199"/>
        <v>0</v>
      </c>
      <c r="V4287">
        <f>HLOOKUP("In Use MiB",'vInfo (Imported)'!$1:$5000,M4287,FALSE)</f>
        <v>0</v>
      </c>
    </row>
    <row r="4288" spans="1:22" ht="13" x14ac:dyDescent="0.3">
      <c r="A4288" s="46">
        <f>'vHosts (Imported)'!A4288</f>
        <v>0</v>
      </c>
      <c r="B4288" s="51">
        <f t="shared" si="201"/>
        <v>4968</v>
      </c>
      <c r="C4288" s="49">
        <f>HLOOKUP("# Cores",'vHosts (Imported)'!$1:$5000,M4288,FALSE)</f>
        <v>0</v>
      </c>
      <c r="D4288" s="52">
        <f>HLOOKUP("# Memory",'vHosts (Imported)'!$1:$5000,M4288,FALSE)</f>
        <v>0</v>
      </c>
      <c r="M4288" s="45">
        <f t="shared" si="200"/>
        <v>4288</v>
      </c>
      <c r="N4288" s="38">
        <f>HLOOKUP("Host",'vInfo (Imported)'!$1:$5000,M4288,FALSE)</f>
        <v>0</v>
      </c>
      <c r="R4288">
        <f>HLOOKUP("CPUs",'vInfo (Imported)'!$1:$5000,M4288,FALSE)</f>
        <v>0</v>
      </c>
      <c r="S4288">
        <f>HLOOKUP("Memory",'vInfo (Imported)'!$1:$5000,M4288,FALSE)</f>
        <v>0</v>
      </c>
      <c r="T4288">
        <f>HLOOKUP("Provisioned MiB",'vInfo (Imported)'!$1:$5000,M4288,FALSE)</f>
        <v>0</v>
      </c>
      <c r="U4288">
        <f t="shared" si="199"/>
        <v>0</v>
      </c>
      <c r="V4288">
        <f>HLOOKUP("In Use MiB",'vInfo (Imported)'!$1:$5000,M4288,FALSE)</f>
        <v>0</v>
      </c>
    </row>
    <row r="4289" spans="1:22" ht="13" x14ac:dyDescent="0.3">
      <c r="A4289" s="46">
        <f>'vHosts (Imported)'!A4289</f>
        <v>0</v>
      </c>
      <c r="B4289" s="51">
        <f t="shared" si="201"/>
        <v>4968</v>
      </c>
      <c r="C4289" s="49">
        <f>HLOOKUP("# Cores",'vHosts (Imported)'!$1:$5000,M4289,FALSE)</f>
        <v>0</v>
      </c>
      <c r="D4289" s="52">
        <f>HLOOKUP("# Memory",'vHosts (Imported)'!$1:$5000,M4289,FALSE)</f>
        <v>0</v>
      </c>
      <c r="M4289" s="45">
        <f t="shared" si="200"/>
        <v>4289</v>
      </c>
      <c r="N4289" s="38">
        <f>HLOOKUP("Host",'vInfo (Imported)'!$1:$5000,M4289,FALSE)</f>
        <v>0</v>
      </c>
      <c r="R4289">
        <f>HLOOKUP("CPUs",'vInfo (Imported)'!$1:$5000,M4289,FALSE)</f>
        <v>0</v>
      </c>
      <c r="S4289">
        <f>HLOOKUP("Memory",'vInfo (Imported)'!$1:$5000,M4289,FALSE)</f>
        <v>0</v>
      </c>
      <c r="T4289">
        <f>HLOOKUP("Provisioned MiB",'vInfo (Imported)'!$1:$5000,M4289,FALSE)</f>
        <v>0</v>
      </c>
      <c r="U4289">
        <f t="shared" si="199"/>
        <v>0</v>
      </c>
      <c r="V4289">
        <f>HLOOKUP("In Use MiB",'vInfo (Imported)'!$1:$5000,M4289,FALSE)</f>
        <v>0</v>
      </c>
    </row>
    <row r="4290" spans="1:22" ht="13" x14ac:dyDescent="0.3">
      <c r="A4290" s="46">
        <f>'vHosts (Imported)'!A4290</f>
        <v>0</v>
      </c>
      <c r="B4290" s="51">
        <f t="shared" si="201"/>
        <v>4968</v>
      </c>
      <c r="C4290" s="49">
        <f>HLOOKUP("# Cores",'vHosts (Imported)'!$1:$5000,M4290,FALSE)</f>
        <v>0</v>
      </c>
      <c r="D4290" s="52">
        <f>HLOOKUP("# Memory",'vHosts (Imported)'!$1:$5000,M4290,FALSE)</f>
        <v>0</v>
      </c>
      <c r="M4290" s="45">
        <f t="shared" si="200"/>
        <v>4290</v>
      </c>
      <c r="N4290" s="38">
        <f>HLOOKUP("Host",'vInfo (Imported)'!$1:$5000,M4290,FALSE)</f>
        <v>0</v>
      </c>
      <c r="R4290">
        <f>HLOOKUP("CPUs",'vInfo (Imported)'!$1:$5000,M4290,FALSE)</f>
        <v>0</v>
      </c>
      <c r="S4290">
        <f>HLOOKUP("Memory",'vInfo (Imported)'!$1:$5000,M4290,FALSE)</f>
        <v>0</v>
      </c>
      <c r="T4290">
        <f>HLOOKUP("Provisioned MiB",'vInfo (Imported)'!$1:$5000,M4290,FALSE)</f>
        <v>0</v>
      </c>
      <c r="U4290">
        <f t="shared" si="199"/>
        <v>0</v>
      </c>
      <c r="V4290">
        <f>HLOOKUP("In Use MiB",'vInfo (Imported)'!$1:$5000,M4290,FALSE)</f>
        <v>0</v>
      </c>
    </row>
    <row r="4291" spans="1:22" ht="13" x14ac:dyDescent="0.3">
      <c r="A4291" s="46">
        <f>'vHosts (Imported)'!A4291</f>
        <v>0</v>
      </c>
      <c r="B4291" s="51">
        <f t="shared" si="201"/>
        <v>4968</v>
      </c>
      <c r="C4291" s="49">
        <f>HLOOKUP("# Cores",'vHosts (Imported)'!$1:$5000,M4291,FALSE)</f>
        <v>0</v>
      </c>
      <c r="D4291" s="52">
        <f>HLOOKUP("# Memory",'vHosts (Imported)'!$1:$5000,M4291,FALSE)</f>
        <v>0</v>
      </c>
      <c r="M4291" s="45">
        <f t="shared" si="200"/>
        <v>4291</v>
      </c>
      <c r="N4291" s="38">
        <f>HLOOKUP("Host",'vInfo (Imported)'!$1:$5000,M4291,FALSE)</f>
        <v>0</v>
      </c>
      <c r="R4291">
        <f>HLOOKUP("CPUs",'vInfo (Imported)'!$1:$5000,M4291,FALSE)</f>
        <v>0</v>
      </c>
      <c r="S4291">
        <f>HLOOKUP("Memory",'vInfo (Imported)'!$1:$5000,M4291,FALSE)</f>
        <v>0</v>
      </c>
      <c r="T4291">
        <f>HLOOKUP("Provisioned MiB",'vInfo (Imported)'!$1:$5000,M4291,FALSE)</f>
        <v>0</v>
      </c>
      <c r="U4291">
        <f t="shared" ref="U4291:U4354" si="202">T4291-V4291</f>
        <v>0</v>
      </c>
      <c r="V4291">
        <f>HLOOKUP("In Use MiB",'vInfo (Imported)'!$1:$5000,M4291,FALSE)</f>
        <v>0</v>
      </c>
    </row>
    <row r="4292" spans="1:22" ht="13" x14ac:dyDescent="0.3">
      <c r="A4292" s="46">
        <f>'vHosts (Imported)'!A4292</f>
        <v>0</v>
      </c>
      <c r="B4292" s="51">
        <f t="shared" si="201"/>
        <v>4968</v>
      </c>
      <c r="C4292" s="49">
        <f>HLOOKUP("# Cores",'vHosts (Imported)'!$1:$5000,M4292,FALSE)</f>
        <v>0</v>
      </c>
      <c r="D4292" s="52">
        <f>HLOOKUP("# Memory",'vHosts (Imported)'!$1:$5000,M4292,FALSE)</f>
        <v>0</v>
      </c>
      <c r="M4292" s="45">
        <f t="shared" ref="M4292:M4355" si="203">M4291+1</f>
        <v>4292</v>
      </c>
      <c r="N4292" s="38">
        <f>HLOOKUP("Host",'vInfo (Imported)'!$1:$5000,M4292,FALSE)</f>
        <v>0</v>
      </c>
      <c r="R4292">
        <f>HLOOKUP("CPUs",'vInfo (Imported)'!$1:$5000,M4292,FALSE)</f>
        <v>0</v>
      </c>
      <c r="S4292">
        <f>HLOOKUP("Memory",'vInfo (Imported)'!$1:$5000,M4292,FALSE)</f>
        <v>0</v>
      </c>
      <c r="T4292">
        <f>HLOOKUP("Provisioned MiB",'vInfo (Imported)'!$1:$5000,M4292,FALSE)</f>
        <v>0</v>
      </c>
      <c r="U4292">
        <f t="shared" si="202"/>
        <v>0</v>
      </c>
      <c r="V4292">
        <f>HLOOKUP("In Use MiB",'vInfo (Imported)'!$1:$5000,M4292,FALSE)</f>
        <v>0</v>
      </c>
    </row>
    <row r="4293" spans="1:22" ht="13" x14ac:dyDescent="0.3">
      <c r="A4293" s="46">
        <f>'vHosts (Imported)'!A4293</f>
        <v>0</v>
      </c>
      <c r="B4293" s="51">
        <f t="shared" si="201"/>
        <v>4968</v>
      </c>
      <c r="C4293" s="49">
        <f>HLOOKUP("# Cores",'vHosts (Imported)'!$1:$5000,M4293,FALSE)</f>
        <v>0</v>
      </c>
      <c r="D4293" s="52">
        <f>HLOOKUP("# Memory",'vHosts (Imported)'!$1:$5000,M4293,FALSE)</f>
        <v>0</v>
      </c>
      <c r="M4293" s="45">
        <f t="shared" si="203"/>
        <v>4293</v>
      </c>
      <c r="N4293" s="38">
        <f>HLOOKUP("Host",'vInfo (Imported)'!$1:$5000,M4293,FALSE)</f>
        <v>0</v>
      </c>
      <c r="R4293">
        <f>HLOOKUP("CPUs",'vInfo (Imported)'!$1:$5000,M4293,FALSE)</f>
        <v>0</v>
      </c>
      <c r="S4293">
        <f>HLOOKUP("Memory",'vInfo (Imported)'!$1:$5000,M4293,FALSE)</f>
        <v>0</v>
      </c>
      <c r="T4293">
        <f>HLOOKUP("Provisioned MiB",'vInfo (Imported)'!$1:$5000,M4293,FALSE)</f>
        <v>0</v>
      </c>
      <c r="U4293">
        <f t="shared" si="202"/>
        <v>0</v>
      </c>
      <c r="V4293">
        <f>HLOOKUP("In Use MiB",'vInfo (Imported)'!$1:$5000,M4293,FALSE)</f>
        <v>0</v>
      </c>
    </row>
    <row r="4294" spans="1:22" ht="13" x14ac:dyDescent="0.3">
      <c r="A4294" s="46">
        <f>'vHosts (Imported)'!A4294</f>
        <v>0</v>
      </c>
      <c r="B4294" s="51">
        <f t="shared" si="201"/>
        <v>4968</v>
      </c>
      <c r="C4294" s="49">
        <f>HLOOKUP("# Cores",'vHosts (Imported)'!$1:$5000,M4294,FALSE)</f>
        <v>0</v>
      </c>
      <c r="D4294" s="52">
        <f>HLOOKUP("# Memory",'vHosts (Imported)'!$1:$5000,M4294,FALSE)</f>
        <v>0</v>
      </c>
      <c r="M4294" s="45">
        <f t="shared" si="203"/>
        <v>4294</v>
      </c>
      <c r="N4294" s="38">
        <f>HLOOKUP("Host",'vInfo (Imported)'!$1:$5000,M4294,FALSE)</f>
        <v>0</v>
      </c>
      <c r="R4294">
        <f>HLOOKUP("CPUs",'vInfo (Imported)'!$1:$5000,M4294,FALSE)</f>
        <v>0</v>
      </c>
      <c r="S4294">
        <f>HLOOKUP("Memory",'vInfo (Imported)'!$1:$5000,M4294,FALSE)</f>
        <v>0</v>
      </c>
      <c r="T4294">
        <f>HLOOKUP("Provisioned MiB",'vInfo (Imported)'!$1:$5000,M4294,FALSE)</f>
        <v>0</v>
      </c>
      <c r="U4294">
        <f t="shared" si="202"/>
        <v>0</v>
      </c>
      <c r="V4294">
        <f>HLOOKUP("In Use MiB",'vInfo (Imported)'!$1:$5000,M4294,FALSE)</f>
        <v>0</v>
      </c>
    </row>
    <row r="4295" spans="1:22" ht="13" x14ac:dyDescent="0.3">
      <c r="A4295" s="46">
        <f>'vHosts (Imported)'!A4295</f>
        <v>0</v>
      </c>
      <c r="B4295" s="51">
        <f t="shared" si="201"/>
        <v>4968</v>
      </c>
      <c r="C4295" s="49">
        <f>HLOOKUP("# Cores",'vHosts (Imported)'!$1:$5000,M4295,FALSE)</f>
        <v>0</v>
      </c>
      <c r="D4295" s="52">
        <f>HLOOKUP("# Memory",'vHosts (Imported)'!$1:$5000,M4295,FALSE)</f>
        <v>0</v>
      </c>
      <c r="M4295" s="45">
        <f t="shared" si="203"/>
        <v>4295</v>
      </c>
      <c r="N4295" s="38">
        <f>HLOOKUP("Host",'vInfo (Imported)'!$1:$5000,M4295,FALSE)</f>
        <v>0</v>
      </c>
      <c r="R4295">
        <f>HLOOKUP("CPUs",'vInfo (Imported)'!$1:$5000,M4295,FALSE)</f>
        <v>0</v>
      </c>
      <c r="S4295">
        <f>HLOOKUP("Memory",'vInfo (Imported)'!$1:$5000,M4295,FALSE)</f>
        <v>0</v>
      </c>
      <c r="T4295">
        <f>HLOOKUP("Provisioned MiB",'vInfo (Imported)'!$1:$5000,M4295,FALSE)</f>
        <v>0</v>
      </c>
      <c r="U4295">
        <f t="shared" si="202"/>
        <v>0</v>
      </c>
      <c r="V4295">
        <f>HLOOKUP("In Use MiB",'vInfo (Imported)'!$1:$5000,M4295,FALSE)</f>
        <v>0</v>
      </c>
    </row>
    <row r="4296" spans="1:22" ht="13" x14ac:dyDescent="0.3">
      <c r="A4296" s="46">
        <f>'vHosts (Imported)'!A4296</f>
        <v>0</v>
      </c>
      <c r="B4296" s="51">
        <f t="shared" si="201"/>
        <v>4968</v>
      </c>
      <c r="C4296" s="49">
        <f>HLOOKUP("# Cores",'vHosts (Imported)'!$1:$5000,M4296,FALSE)</f>
        <v>0</v>
      </c>
      <c r="D4296" s="52">
        <f>HLOOKUP("# Memory",'vHosts (Imported)'!$1:$5000,M4296,FALSE)</f>
        <v>0</v>
      </c>
      <c r="M4296" s="45">
        <f t="shared" si="203"/>
        <v>4296</v>
      </c>
      <c r="N4296" s="38">
        <f>HLOOKUP("Host",'vInfo (Imported)'!$1:$5000,M4296,FALSE)</f>
        <v>0</v>
      </c>
      <c r="R4296">
        <f>HLOOKUP("CPUs",'vInfo (Imported)'!$1:$5000,M4296,FALSE)</f>
        <v>0</v>
      </c>
      <c r="S4296">
        <f>HLOOKUP("Memory",'vInfo (Imported)'!$1:$5000,M4296,FALSE)</f>
        <v>0</v>
      </c>
      <c r="T4296">
        <f>HLOOKUP("Provisioned MiB",'vInfo (Imported)'!$1:$5000,M4296,FALSE)</f>
        <v>0</v>
      </c>
      <c r="U4296">
        <f t="shared" si="202"/>
        <v>0</v>
      </c>
      <c r="V4296">
        <f>HLOOKUP("In Use MiB",'vInfo (Imported)'!$1:$5000,M4296,FALSE)</f>
        <v>0</v>
      </c>
    </row>
    <row r="4297" spans="1:22" ht="13" x14ac:dyDescent="0.3">
      <c r="A4297" s="46">
        <f>'vHosts (Imported)'!A4297</f>
        <v>0</v>
      </c>
      <c r="B4297" s="51">
        <f t="shared" si="201"/>
        <v>4968</v>
      </c>
      <c r="C4297" s="49">
        <f>HLOOKUP("# Cores",'vHosts (Imported)'!$1:$5000,M4297,FALSE)</f>
        <v>0</v>
      </c>
      <c r="D4297" s="52">
        <f>HLOOKUP("# Memory",'vHosts (Imported)'!$1:$5000,M4297,FALSE)</f>
        <v>0</v>
      </c>
      <c r="M4297" s="45">
        <f t="shared" si="203"/>
        <v>4297</v>
      </c>
      <c r="N4297" s="38">
        <f>HLOOKUP("Host",'vInfo (Imported)'!$1:$5000,M4297,FALSE)</f>
        <v>0</v>
      </c>
      <c r="R4297">
        <f>HLOOKUP("CPUs",'vInfo (Imported)'!$1:$5000,M4297,FALSE)</f>
        <v>0</v>
      </c>
      <c r="S4297">
        <f>HLOOKUP("Memory",'vInfo (Imported)'!$1:$5000,M4297,FALSE)</f>
        <v>0</v>
      </c>
      <c r="T4297">
        <f>HLOOKUP("Provisioned MiB",'vInfo (Imported)'!$1:$5000,M4297,FALSE)</f>
        <v>0</v>
      </c>
      <c r="U4297">
        <f t="shared" si="202"/>
        <v>0</v>
      </c>
      <c r="V4297">
        <f>HLOOKUP("In Use MiB",'vInfo (Imported)'!$1:$5000,M4297,FALSE)</f>
        <v>0</v>
      </c>
    </row>
    <row r="4298" spans="1:22" ht="13" x14ac:dyDescent="0.3">
      <c r="A4298" s="46">
        <f>'vHosts (Imported)'!A4298</f>
        <v>0</v>
      </c>
      <c r="B4298" s="51">
        <f t="shared" si="201"/>
        <v>4968</v>
      </c>
      <c r="C4298" s="49">
        <f>HLOOKUP("# Cores",'vHosts (Imported)'!$1:$5000,M4298,FALSE)</f>
        <v>0</v>
      </c>
      <c r="D4298" s="52">
        <f>HLOOKUP("# Memory",'vHosts (Imported)'!$1:$5000,M4298,FALSE)</f>
        <v>0</v>
      </c>
      <c r="M4298" s="45">
        <f t="shared" si="203"/>
        <v>4298</v>
      </c>
      <c r="N4298" s="38">
        <f>HLOOKUP("Host",'vInfo (Imported)'!$1:$5000,M4298,FALSE)</f>
        <v>0</v>
      </c>
      <c r="R4298">
        <f>HLOOKUP("CPUs",'vInfo (Imported)'!$1:$5000,M4298,FALSE)</f>
        <v>0</v>
      </c>
      <c r="S4298">
        <f>HLOOKUP("Memory",'vInfo (Imported)'!$1:$5000,M4298,FALSE)</f>
        <v>0</v>
      </c>
      <c r="T4298">
        <f>HLOOKUP("Provisioned MiB",'vInfo (Imported)'!$1:$5000,M4298,FALSE)</f>
        <v>0</v>
      </c>
      <c r="U4298">
        <f t="shared" si="202"/>
        <v>0</v>
      </c>
      <c r="V4298">
        <f>HLOOKUP("In Use MiB",'vInfo (Imported)'!$1:$5000,M4298,FALSE)</f>
        <v>0</v>
      </c>
    </row>
    <row r="4299" spans="1:22" ht="13" x14ac:dyDescent="0.3">
      <c r="A4299" s="46">
        <f>'vHosts (Imported)'!A4299</f>
        <v>0</v>
      </c>
      <c r="B4299" s="51">
        <f t="shared" si="201"/>
        <v>4968</v>
      </c>
      <c r="C4299" s="49">
        <f>HLOOKUP("# Cores",'vHosts (Imported)'!$1:$5000,M4299,FALSE)</f>
        <v>0</v>
      </c>
      <c r="D4299" s="52">
        <f>HLOOKUP("# Memory",'vHosts (Imported)'!$1:$5000,M4299,FALSE)</f>
        <v>0</v>
      </c>
      <c r="M4299" s="45">
        <f t="shared" si="203"/>
        <v>4299</v>
      </c>
      <c r="N4299" s="38">
        <f>HLOOKUP("Host",'vInfo (Imported)'!$1:$5000,M4299,FALSE)</f>
        <v>0</v>
      </c>
      <c r="R4299">
        <f>HLOOKUP("CPUs",'vInfo (Imported)'!$1:$5000,M4299,FALSE)</f>
        <v>0</v>
      </c>
      <c r="S4299">
        <f>HLOOKUP("Memory",'vInfo (Imported)'!$1:$5000,M4299,FALSE)</f>
        <v>0</v>
      </c>
      <c r="T4299">
        <f>HLOOKUP("Provisioned MiB",'vInfo (Imported)'!$1:$5000,M4299,FALSE)</f>
        <v>0</v>
      </c>
      <c r="U4299">
        <f t="shared" si="202"/>
        <v>0</v>
      </c>
      <c r="V4299">
        <f>HLOOKUP("In Use MiB",'vInfo (Imported)'!$1:$5000,M4299,FALSE)</f>
        <v>0</v>
      </c>
    </row>
    <row r="4300" spans="1:22" ht="13" x14ac:dyDescent="0.3">
      <c r="A4300" s="46">
        <f>'vHosts (Imported)'!A4300</f>
        <v>0</v>
      </c>
      <c r="B4300" s="51">
        <f t="shared" si="201"/>
        <v>4968</v>
      </c>
      <c r="C4300" s="49">
        <f>HLOOKUP("# Cores",'vHosts (Imported)'!$1:$5000,M4300,FALSE)</f>
        <v>0</v>
      </c>
      <c r="D4300" s="52">
        <f>HLOOKUP("# Memory",'vHosts (Imported)'!$1:$5000,M4300,FALSE)</f>
        <v>0</v>
      </c>
      <c r="M4300" s="45">
        <f t="shared" si="203"/>
        <v>4300</v>
      </c>
      <c r="N4300" s="38">
        <f>HLOOKUP("Host",'vInfo (Imported)'!$1:$5000,M4300,FALSE)</f>
        <v>0</v>
      </c>
      <c r="R4300">
        <f>HLOOKUP("CPUs",'vInfo (Imported)'!$1:$5000,M4300,FALSE)</f>
        <v>0</v>
      </c>
      <c r="S4300">
        <f>HLOOKUP("Memory",'vInfo (Imported)'!$1:$5000,M4300,FALSE)</f>
        <v>0</v>
      </c>
      <c r="T4300">
        <f>HLOOKUP("Provisioned MiB",'vInfo (Imported)'!$1:$5000,M4300,FALSE)</f>
        <v>0</v>
      </c>
      <c r="U4300">
        <f t="shared" si="202"/>
        <v>0</v>
      </c>
      <c r="V4300">
        <f>HLOOKUP("In Use MiB",'vInfo (Imported)'!$1:$5000,M4300,FALSE)</f>
        <v>0</v>
      </c>
    </row>
    <row r="4301" spans="1:22" ht="13" x14ac:dyDescent="0.3">
      <c r="A4301" s="46">
        <f>'vHosts (Imported)'!A4301</f>
        <v>0</v>
      </c>
      <c r="B4301" s="51">
        <f t="shared" si="201"/>
        <v>4968</v>
      </c>
      <c r="C4301" s="49">
        <f>HLOOKUP("# Cores",'vHosts (Imported)'!$1:$5000,M4301,FALSE)</f>
        <v>0</v>
      </c>
      <c r="D4301" s="52">
        <f>HLOOKUP("# Memory",'vHosts (Imported)'!$1:$5000,M4301,FALSE)</f>
        <v>0</v>
      </c>
      <c r="M4301" s="45">
        <f t="shared" si="203"/>
        <v>4301</v>
      </c>
      <c r="N4301" s="38">
        <f>HLOOKUP("Host",'vInfo (Imported)'!$1:$5000,M4301,FALSE)</f>
        <v>0</v>
      </c>
      <c r="R4301">
        <f>HLOOKUP("CPUs",'vInfo (Imported)'!$1:$5000,M4301,FALSE)</f>
        <v>0</v>
      </c>
      <c r="S4301">
        <f>HLOOKUP("Memory",'vInfo (Imported)'!$1:$5000,M4301,FALSE)</f>
        <v>0</v>
      </c>
      <c r="T4301">
        <f>HLOOKUP("Provisioned MiB",'vInfo (Imported)'!$1:$5000,M4301,FALSE)</f>
        <v>0</v>
      </c>
      <c r="U4301">
        <f t="shared" si="202"/>
        <v>0</v>
      </c>
      <c r="V4301">
        <f>HLOOKUP("In Use MiB",'vInfo (Imported)'!$1:$5000,M4301,FALSE)</f>
        <v>0</v>
      </c>
    </row>
    <row r="4302" spans="1:22" ht="13" x14ac:dyDescent="0.3">
      <c r="A4302" s="46">
        <f>'vHosts (Imported)'!A4302</f>
        <v>0</v>
      </c>
      <c r="B4302" s="51">
        <f t="shared" si="201"/>
        <v>4968</v>
      </c>
      <c r="C4302" s="49">
        <f>HLOOKUP("# Cores",'vHosts (Imported)'!$1:$5000,M4302,FALSE)</f>
        <v>0</v>
      </c>
      <c r="D4302" s="52">
        <f>HLOOKUP("# Memory",'vHosts (Imported)'!$1:$5000,M4302,FALSE)</f>
        <v>0</v>
      </c>
      <c r="M4302" s="45">
        <f t="shared" si="203"/>
        <v>4302</v>
      </c>
      <c r="N4302" s="38">
        <f>HLOOKUP("Host",'vInfo (Imported)'!$1:$5000,M4302,FALSE)</f>
        <v>0</v>
      </c>
      <c r="R4302">
        <f>HLOOKUP("CPUs",'vInfo (Imported)'!$1:$5000,M4302,FALSE)</f>
        <v>0</v>
      </c>
      <c r="S4302">
        <f>HLOOKUP("Memory",'vInfo (Imported)'!$1:$5000,M4302,FALSE)</f>
        <v>0</v>
      </c>
      <c r="T4302">
        <f>HLOOKUP("Provisioned MiB",'vInfo (Imported)'!$1:$5000,M4302,FALSE)</f>
        <v>0</v>
      </c>
      <c r="U4302">
        <f t="shared" si="202"/>
        <v>0</v>
      </c>
      <c r="V4302">
        <f>HLOOKUP("In Use MiB",'vInfo (Imported)'!$1:$5000,M4302,FALSE)</f>
        <v>0</v>
      </c>
    </row>
    <row r="4303" spans="1:22" ht="13" x14ac:dyDescent="0.3">
      <c r="A4303" s="46">
        <f>'vHosts (Imported)'!A4303</f>
        <v>0</v>
      </c>
      <c r="B4303" s="51">
        <f t="shared" si="201"/>
        <v>4968</v>
      </c>
      <c r="C4303" s="49">
        <f>HLOOKUP("# Cores",'vHosts (Imported)'!$1:$5000,M4303,FALSE)</f>
        <v>0</v>
      </c>
      <c r="D4303" s="52">
        <f>HLOOKUP("# Memory",'vHosts (Imported)'!$1:$5000,M4303,FALSE)</f>
        <v>0</v>
      </c>
      <c r="M4303" s="45">
        <f t="shared" si="203"/>
        <v>4303</v>
      </c>
      <c r="N4303" s="38">
        <f>HLOOKUP("Host",'vInfo (Imported)'!$1:$5000,M4303,FALSE)</f>
        <v>0</v>
      </c>
      <c r="R4303">
        <f>HLOOKUP("CPUs",'vInfo (Imported)'!$1:$5000,M4303,FALSE)</f>
        <v>0</v>
      </c>
      <c r="S4303">
        <f>HLOOKUP("Memory",'vInfo (Imported)'!$1:$5000,M4303,FALSE)</f>
        <v>0</v>
      </c>
      <c r="T4303">
        <f>HLOOKUP("Provisioned MiB",'vInfo (Imported)'!$1:$5000,M4303,FALSE)</f>
        <v>0</v>
      </c>
      <c r="U4303">
        <f t="shared" si="202"/>
        <v>0</v>
      </c>
      <c r="V4303">
        <f>HLOOKUP("In Use MiB",'vInfo (Imported)'!$1:$5000,M4303,FALSE)</f>
        <v>0</v>
      </c>
    </row>
    <row r="4304" spans="1:22" ht="13" x14ac:dyDescent="0.3">
      <c r="A4304" s="46">
        <f>'vHosts (Imported)'!A4304</f>
        <v>0</v>
      </c>
      <c r="B4304" s="51">
        <f t="shared" si="201"/>
        <v>4968</v>
      </c>
      <c r="C4304" s="49">
        <f>HLOOKUP("# Cores",'vHosts (Imported)'!$1:$5000,M4304,FALSE)</f>
        <v>0</v>
      </c>
      <c r="D4304" s="52">
        <f>HLOOKUP("# Memory",'vHosts (Imported)'!$1:$5000,M4304,FALSE)</f>
        <v>0</v>
      </c>
      <c r="M4304" s="45">
        <f t="shared" si="203"/>
        <v>4304</v>
      </c>
      <c r="N4304" s="38">
        <f>HLOOKUP("Host",'vInfo (Imported)'!$1:$5000,M4304,FALSE)</f>
        <v>0</v>
      </c>
      <c r="R4304">
        <f>HLOOKUP("CPUs",'vInfo (Imported)'!$1:$5000,M4304,FALSE)</f>
        <v>0</v>
      </c>
      <c r="S4304">
        <f>HLOOKUP("Memory",'vInfo (Imported)'!$1:$5000,M4304,FALSE)</f>
        <v>0</v>
      </c>
      <c r="T4304">
        <f>HLOOKUP("Provisioned MiB",'vInfo (Imported)'!$1:$5000,M4304,FALSE)</f>
        <v>0</v>
      </c>
      <c r="U4304">
        <f t="shared" si="202"/>
        <v>0</v>
      </c>
      <c r="V4304">
        <f>HLOOKUP("In Use MiB",'vInfo (Imported)'!$1:$5000,M4304,FALSE)</f>
        <v>0</v>
      </c>
    </row>
    <row r="4305" spans="1:22" ht="13" x14ac:dyDescent="0.3">
      <c r="A4305" s="46">
        <f>'vHosts (Imported)'!A4305</f>
        <v>0</v>
      </c>
      <c r="B4305" s="51">
        <f t="shared" si="201"/>
        <v>4968</v>
      </c>
      <c r="C4305" s="49">
        <f>HLOOKUP("# Cores",'vHosts (Imported)'!$1:$5000,M4305,FALSE)</f>
        <v>0</v>
      </c>
      <c r="D4305" s="52">
        <f>HLOOKUP("# Memory",'vHosts (Imported)'!$1:$5000,M4305,FALSE)</f>
        <v>0</v>
      </c>
      <c r="M4305" s="45">
        <f t="shared" si="203"/>
        <v>4305</v>
      </c>
      <c r="N4305" s="38">
        <f>HLOOKUP("Host",'vInfo (Imported)'!$1:$5000,M4305,FALSE)</f>
        <v>0</v>
      </c>
      <c r="R4305">
        <f>HLOOKUP("CPUs",'vInfo (Imported)'!$1:$5000,M4305,FALSE)</f>
        <v>0</v>
      </c>
      <c r="S4305">
        <f>HLOOKUP("Memory",'vInfo (Imported)'!$1:$5000,M4305,FALSE)</f>
        <v>0</v>
      </c>
      <c r="T4305">
        <f>HLOOKUP("Provisioned MiB",'vInfo (Imported)'!$1:$5000,M4305,FALSE)</f>
        <v>0</v>
      </c>
      <c r="U4305">
        <f t="shared" si="202"/>
        <v>0</v>
      </c>
      <c r="V4305">
        <f>HLOOKUP("In Use MiB",'vInfo (Imported)'!$1:$5000,M4305,FALSE)</f>
        <v>0</v>
      </c>
    </row>
    <row r="4306" spans="1:22" ht="13" x14ac:dyDescent="0.3">
      <c r="A4306" s="46">
        <f>'vHosts (Imported)'!A4306</f>
        <v>0</v>
      </c>
      <c r="B4306" s="51">
        <f t="shared" si="201"/>
        <v>4968</v>
      </c>
      <c r="C4306" s="49">
        <f>HLOOKUP("# Cores",'vHosts (Imported)'!$1:$5000,M4306,FALSE)</f>
        <v>0</v>
      </c>
      <c r="D4306" s="52">
        <f>HLOOKUP("# Memory",'vHosts (Imported)'!$1:$5000,M4306,FALSE)</f>
        <v>0</v>
      </c>
      <c r="M4306" s="45">
        <f t="shared" si="203"/>
        <v>4306</v>
      </c>
      <c r="N4306" s="38">
        <f>HLOOKUP("Host",'vInfo (Imported)'!$1:$5000,M4306,FALSE)</f>
        <v>0</v>
      </c>
      <c r="R4306">
        <f>HLOOKUP("CPUs",'vInfo (Imported)'!$1:$5000,M4306,FALSE)</f>
        <v>0</v>
      </c>
      <c r="S4306">
        <f>HLOOKUP("Memory",'vInfo (Imported)'!$1:$5000,M4306,FALSE)</f>
        <v>0</v>
      </c>
      <c r="T4306">
        <f>HLOOKUP("Provisioned MiB",'vInfo (Imported)'!$1:$5000,M4306,FALSE)</f>
        <v>0</v>
      </c>
      <c r="U4306">
        <f t="shared" si="202"/>
        <v>0</v>
      </c>
      <c r="V4306">
        <f>HLOOKUP("In Use MiB",'vInfo (Imported)'!$1:$5000,M4306,FALSE)</f>
        <v>0</v>
      </c>
    </row>
    <row r="4307" spans="1:22" ht="13" x14ac:dyDescent="0.3">
      <c r="A4307" s="46">
        <f>'vHosts (Imported)'!A4307</f>
        <v>0</v>
      </c>
      <c r="B4307" s="51">
        <f t="shared" si="201"/>
        <v>4968</v>
      </c>
      <c r="C4307" s="49">
        <f>HLOOKUP("# Cores",'vHosts (Imported)'!$1:$5000,M4307,FALSE)</f>
        <v>0</v>
      </c>
      <c r="D4307" s="52">
        <f>HLOOKUP("# Memory",'vHosts (Imported)'!$1:$5000,M4307,FALSE)</f>
        <v>0</v>
      </c>
      <c r="M4307" s="45">
        <f t="shared" si="203"/>
        <v>4307</v>
      </c>
      <c r="N4307" s="38">
        <f>HLOOKUP("Host",'vInfo (Imported)'!$1:$5000,M4307,FALSE)</f>
        <v>0</v>
      </c>
      <c r="R4307">
        <f>HLOOKUP("CPUs",'vInfo (Imported)'!$1:$5000,M4307,FALSE)</f>
        <v>0</v>
      </c>
      <c r="S4307">
        <f>HLOOKUP("Memory",'vInfo (Imported)'!$1:$5000,M4307,FALSE)</f>
        <v>0</v>
      </c>
      <c r="T4307">
        <f>HLOOKUP("Provisioned MiB",'vInfo (Imported)'!$1:$5000,M4307,FALSE)</f>
        <v>0</v>
      </c>
      <c r="U4307">
        <f t="shared" si="202"/>
        <v>0</v>
      </c>
      <c r="V4307">
        <f>HLOOKUP("In Use MiB",'vInfo (Imported)'!$1:$5000,M4307,FALSE)</f>
        <v>0</v>
      </c>
    </row>
    <row r="4308" spans="1:22" ht="13" x14ac:dyDescent="0.3">
      <c r="A4308" s="46">
        <f>'vHosts (Imported)'!A4308</f>
        <v>0</v>
      </c>
      <c r="B4308" s="51">
        <f t="shared" si="201"/>
        <v>4968</v>
      </c>
      <c r="C4308" s="49">
        <f>HLOOKUP("# Cores",'vHosts (Imported)'!$1:$5000,M4308,FALSE)</f>
        <v>0</v>
      </c>
      <c r="D4308" s="52">
        <f>HLOOKUP("# Memory",'vHosts (Imported)'!$1:$5000,M4308,FALSE)</f>
        <v>0</v>
      </c>
      <c r="M4308" s="45">
        <f t="shared" si="203"/>
        <v>4308</v>
      </c>
      <c r="N4308" s="38">
        <f>HLOOKUP("Host",'vInfo (Imported)'!$1:$5000,M4308,FALSE)</f>
        <v>0</v>
      </c>
      <c r="R4308">
        <f>HLOOKUP("CPUs",'vInfo (Imported)'!$1:$5000,M4308,FALSE)</f>
        <v>0</v>
      </c>
      <c r="S4308">
        <f>HLOOKUP("Memory",'vInfo (Imported)'!$1:$5000,M4308,FALSE)</f>
        <v>0</v>
      </c>
      <c r="T4308">
        <f>HLOOKUP("Provisioned MiB",'vInfo (Imported)'!$1:$5000,M4308,FALSE)</f>
        <v>0</v>
      </c>
      <c r="U4308">
        <f t="shared" si="202"/>
        <v>0</v>
      </c>
      <c r="V4308">
        <f>HLOOKUP("In Use MiB",'vInfo (Imported)'!$1:$5000,M4308,FALSE)</f>
        <v>0</v>
      </c>
    </row>
    <row r="4309" spans="1:22" ht="13" x14ac:dyDescent="0.3">
      <c r="A4309" s="46">
        <f>'vHosts (Imported)'!A4309</f>
        <v>0</v>
      </c>
      <c r="B4309" s="51">
        <f t="shared" si="201"/>
        <v>4968</v>
      </c>
      <c r="C4309" s="49">
        <f>HLOOKUP("# Cores",'vHosts (Imported)'!$1:$5000,M4309,FALSE)</f>
        <v>0</v>
      </c>
      <c r="D4309" s="52">
        <f>HLOOKUP("# Memory",'vHosts (Imported)'!$1:$5000,M4309,FALSE)</f>
        <v>0</v>
      </c>
      <c r="M4309" s="45">
        <f t="shared" si="203"/>
        <v>4309</v>
      </c>
      <c r="N4309" s="38">
        <f>HLOOKUP("Host",'vInfo (Imported)'!$1:$5000,M4309,FALSE)</f>
        <v>0</v>
      </c>
      <c r="R4309">
        <f>HLOOKUP("CPUs",'vInfo (Imported)'!$1:$5000,M4309,FALSE)</f>
        <v>0</v>
      </c>
      <c r="S4309">
        <f>HLOOKUP("Memory",'vInfo (Imported)'!$1:$5000,M4309,FALSE)</f>
        <v>0</v>
      </c>
      <c r="T4309">
        <f>HLOOKUP("Provisioned MiB",'vInfo (Imported)'!$1:$5000,M4309,FALSE)</f>
        <v>0</v>
      </c>
      <c r="U4309">
        <f t="shared" si="202"/>
        <v>0</v>
      </c>
      <c r="V4309">
        <f>HLOOKUP("In Use MiB",'vInfo (Imported)'!$1:$5000,M4309,FALSE)</f>
        <v>0</v>
      </c>
    </row>
    <row r="4310" spans="1:22" ht="13" x14ac:dyDescent="0.3">
      <c r="A4310" s="46">
        <f>'vHosts (Imported)'!A4310</f>
        <v>0</v>
      </c>
      <c r="B4310" s="51">
        <f t="shared" si="201"/>
        <v>4968</v>
      </c>
      <c r="C4310" s="49">
        <f>HLOOKUP("# Cores",'vHosts (Imported)'!$1:$5000,M4310,FALSE)</f>
        <v>0</v>
      </c>
      <c r="D4310" s="52">
        <f>HLOOKUP("# Memory",'vHosts (Imported)'!$1:$5000,M4310,FALSE)</f>
        <v>0</v>
      </c>
      <c r="M4310" s="45">
        <f t="shared" si="203"/>
        <v>4310</v>
      </c>
      <c r="N4310" s="38">
        <f>HLOOKUP("Host",'vInfo (Imported)'!$1:$5000,M4310,FALSE)</f>
        <v>0</v>
      </c>
      <c r="R4310">
        <f>HLOOKUP("CPUs",'vInfo (Imported)'!$1:$5000,M4310,FALSE)</f>
        <v>0</v>
      </c>
      <c r="S4310">
        <f>HLOOKUP("Memory",'vInfo (Imported)'!$1:$5000,M4310,FALSE)</f>
        <v>0</v>
      </c>
      <c r="T4310">
        <f>HLOOKUP("Provisioned MiB",'vInfo (Imported)'!$1:$5000,M4310,FALSE)</f>
        <v>0</v>
      </c>
      <c r="U4310">
        <f t="shared" si="202"/>
        <v>0</v>
      </c>
      <c r="V4310">
        <f>HLOOKUP("In Use MiB",'vInfo (Imported)'!$1:$5000,M4310,FALSE)</f>
        <v>0</v>
      </c>
    </row>
    <row r="4311" spans="1:22" ht="13" x14ac:dyDescent="0.3">
      <c r="A4311" s="46">
        <f>'vHosts (Imported)'!A4311</f>
        <v>0</v>
      </c>
      <c r="B4311" s="51">
        <f t="shared" si="201"/>
        <v>4968</v>
      </c>
      <c r="C4311" s="49">
        <f>HLOOKUP("# Cores",'vHosts (Imported)'!$1:$5000,M4311,FALSE)</f>
        <v>0</v>
      </c>
      <c r="D4311" s="52">
        <f>HLOOKUP("# Memory",'vHosts (Imported)'!$1:$5000,M4311,FALSE)</f>
        <v>0</v>
      </c>
      <c r="M4311" s="45">
        <f t="shared" si="203"/>
        <v>4311</v>
      </c>
      <c r="N4311" s="38">
        <f>HLOOKUP("Host",'vInfo (Imported)'!$1:$5000,M4311,FALSE)</f>
        <v>0</v>
      </c>
      <c r="R4311">
        <f>HLOOKUP("CPUs",'vInfo (Imported)'!$1:$5000,M4311,FALSE)</f>
        <v>0</v>
      </c>
      <c r="S4311">
        <f>HLOOKUP("Memory",'vInfo (Imported)'!$1:$5000,M4311,FALSE)</f>
        <v>0</v>
      </c>
      <c r="T4311">
        <f>HLOOKUP("Provisioned MiB",'vInfo (Imported)'!$1:$5000,M4311,FALSE)</f>
        <v>0</v>
      </c>
      <c r="U4311">
        <f t="shared" si="202"/>
        <v>0</v>
      </c>
      <c r="V4311">
        <f>HLOOKUP("In Use MiB",'vInfo (Imported)'!$1:$5000,M4311,FALSE)</f>
        <v>0</v>
      </c>
    </row>
    <row r="4312" spans="1:22" ht="13" x14ac:dyDescent="0.3">
      <c r="A4312" s="46">
        <f>'vHosts (Imported)'!A4312</f>
        <v>0</v>
      </c>
      <c r="B4312" s="51">
        <f t="shared" si="201"/>
        <v>4968</v>
      </c>
      <c r="C4312" s="49">
        <f>HLOOKUP("# Cores",'vHosts (Imported)'!$1:$5000,M4312,FALSE)</f>
        <v>0</v>
      </c>
      <c r="D4312" s="52">
        <f>HLOOKUP("# Memory",'vHosts (Imported)'!$1:$5000,M4312,FALSE)</f>
        <v>0</v>
      </c>
      <c r="M4312" s="45">
        <f t="shared" si="203"/>
        <v>4312</v>
      </c>
      <c r="N4312" s="38">
        <f>HLOOKUP("Host",'vInfo (Imported)'!$1:$5000,M4312,FALSE)</f>
        <v>0</v>
      </c>
      <c r="R4312">
        <f>HLOOKUP("CPUs",'vInfo (Imported)'!$1:$5000,M4312,FALSE)</f>
        <v>0</v>
      </c>
      <c r="S4312">
        <f>HLOOKUP("Memory",'vInfo (Imported)'!$1:$5000,M4312,FALSE)</f>
        <v>0</v>
      </c>
      <c r="T4312">
        <f>HLOOKUP("Provisioned MiB",'vInfo (Imported)'!$1:$5000,M4312,FALSE)</f>
        <v>0</v>
      </c>
      <c r="U4312">
        <f t="shared" si="202"/>
        <v>0</v>
      </c>
      <c r="V4312">
        <f>HLOOKUP("In Use MiB",'vInfo (Imported)'!$1:$5000,M4312,FALSE)</f>
        <v>0</v>
      </c>
    </row>
    <row r="4313" spans="1:22" ht="13" x14ac:dyDescent="0.3">
      <c r="A4313" s="46">
        <f>'vHosts (Imported)'!A4313</f>
        <v>0</v>
      </c>
      <c r="B4313" s="51">
        <f t="shared" si="201"/>
        <v>4968</v>
      </c>
      <c r="C4313" s="49">
        <f>HLOOKUP("# Cores",'vHosts (Imported)'!$1:$5000,M4313,FALSE)</f>
        <v>0</v>
      </c>
      <c r="D4313" s="52">
        <f>HLOOKUP("# Memory",'vHosts (Imported)'!$1:$5000,M4313,FALSE)</f>
        <v>0</v>
      </c>
      <c r="M4313" s="45">
        <f t="shared" si="203"/>
        <v>4313</v>
      </c>
      <c r="N4313" s="38">
        <f>HLOOKUP("Host",'vInfo (Imported)'!$1:$5000,M4313,FALSE)</f>
        <v>0</v>
      </c>
      <c r="R4313">
        <f>HLOOKUP("CPUs",'vInfo (Imported)'!$1:$5000,M4313,FALSE)</f>
        <v>0</v>
      </c>
      <c r="S4313">
        <f>HLOOKUP("Memory",'vInfo (Imported)'!$1:$5000,M4313,FALSE)</f>
        <v>0</v>
      </c>
      <c r="T4313">
        <f>HLOOKUP("Provisioned MiB",'vInfo (Imported)'!$1:$5000,M4313,FALSE)</f>
        <v>0</v>
      </c>
      <c r="U4313">
        <f t="shared" si="202"/>
        <v>0</v>
      </c>
      <c r="V4313">
        <f>HLOOKUP("In Use MiB",'vInfo (Imported)'!$1:$5000,M4313,FALSE)</f>
        <v>0</v>
      </c>
    </row>
    <row r="4314" spans="1:22" ht="13" x14ac:dyDescent="0.3">
      <c r="A4314" s="46">
        <f>'vHosts (Imported)'!A4314</f>
        <v>0</v>
      </c>
      <c r="B4314" s="51">
        <f t="shared" si="201"/>
        <v>4968</v>
      </c>
      <c r="C4314" s="49">
        <f>HLOOKUP("# Cores",'vHosts (Imported)'!$1:$5000,M4314,FALSE)</f>
        <v>0</v>
      </c>
      <c r="D4314" s="52">
        <f>HLOOKUP("# Memory",'vHosts (Imported)'!$1:$5000,M4314,FALSE)</f>
        <v>0</v>
      </c>
      <c r="M4314" s="45">
        <f t="shared" si="203"/>
        <v>4314</v>
      </c>
      <c r="N4314" s="38">
        <f>HLOOKUP("Host",'vInfo (Imported)'!$1:$5000,M4314,FALSE)</f>
        <v>0</v>
      </c>
      <c r="R4314">
        <f>HLOOKUP("CPUs",'vInfo (Imported)'!$1:$5000,M4314,FALSE)</f>
        <v>0</v>
      </c>
      <c r="S4314">
        <f>HLOOKUP("Memory",'vInfo (Imported)'!$1:$5000,M4314,FALSE)</f>
        <v>0</v>
      </c>
      <c r="T4314">
        <f>HLOOKUP("Provisioned MiB",'vInfo (Imported)'!$1:$5000,M4314,FALSE)</f>
        <v>0</v>
      </c>
      <c r="U4314">
        <f t="shared" si="202"/>
        <v>0</v>
      </c>
      <c r="V4314">
        <f>HLOOKUP("In Use MiB",'vInfo (Imported)'!$1:$5000,M4314,FALSE)</f>
        <v>0</v>
      </c>
    </row>
    <row r="4315" spans="1:22" ht="13" x14ac:dyDescent="0.3">
      <c r="A4315" s="46">
        <f>'vHosts (Imported)'!A4315</f>
        <v>0</v>
      </c>
      <c r="B4315" s="51">
        <f t="shared" si="201"/>
        <v>4968</v>
      </c>
      <c r="C4315" s="49">
        <f>HLOOKUP("# Cores",'vHosts (Imported)'!$1:$5000,M4315,FALSE)</f>
        <v>0</v>
      </c>
      <c r="D4315" s="52">
        <f>HLOOKUP("# Memory",'vHosts (Imported)'!$1:$5000,M4315,FALSE)</f>
        <v>0</v>
      </c>
      <c r="M4315" s="45">
        <f t="shared" si="203"/>
        <v>4315</v>
      </c>
      <c r="N4315" s="38">
        <f>HLOOKUP("Host",'vInfo (Imported)'!$1:$5000,M4315,FALSE)</f>
        <v>0</v>
      </c>
      <c r="R4315">
        <f>HLOOKUP("CPUs",'vInfo (Imported)'!$1:$5000,M4315,FALSE)</f>
        <v>0</v>
      </c>
      <c r="S4315">
        <f>HLOOKUP("Memory",'vInfo (Imported)'!$1:$5000,M4315,FALSE)</f>
        <v>0</v>
      </c>
      <c r="T4315">
        <f>HLOOKUP("Provisioned MiB",'vInfo (Imported)'!$1:$5000,M4315,FALSE)</f>
        <v>0</v>
      </c>
      <c r="U4315">
        <f t="shared" si="202"/>
        <v>0</v>
      </c>
      <c r="V4315">
        <f>HLOOKUP("In Use MiB",'vInfo (Imported)'!$1:$5000,M4315,FALSE)</f>
        <v>0</v>
      </c>
    </row>
    <row r="4316" spans="1:22" ht="13" x14ac:dyDescent="0.3">
      <c r="A4316" s="46">
        <f>'vHosts (Imported)'!A4316</f>
        <v>0</v>
      </c>
      <c r="B4316" s="51">
        <f t="shared" si="201"/>
        <v>4968</v>
      </c>
      <c r="C4316" s="49">
        <f>HLOOKUP("# Cores",'vHosts (Imported)'!$1:$5000,M4316,FALSE)</f>
        <v>0</v>
      </c>
      <c r="D4316" s="52">
        <f>HLOOKUP("# Memory",'vHosts (Imported)'!$1:$5000,M4316,FALSE)</f>
        <v>0</v>
      </c>
      <c r="M4316" s="45">
        <f t="shared" si="203"/>
        <v>4316</v>
      </c>
      <c r="N4316" s="38">
        <f>HLOOKUP("Host",'vInfo (Imported)'!$1:$5000,M4316,FALSE)</f>
        <v>0</v>
      </c>
      <c r="R4316">
        <f>HLOOKUP("CPUs",'vInfo (Imported)'!$1:$5000,M4316,FALSE)</f>
        <v>0</v>
      </c>
      <c r="S4316">
        <f>HLOOKUP("Memory",'vInfo (Imported)'!$1:$5000,M4316,FALSE)</f>
        <v>0</v>
      </c>
      <c r="T4316">
        <f>HLOOKUP("Provisioned MiB",'vInfo (Imported)'!$1:$5000,M4316,FALSE)</f>
        <v>0</v>
      </c>
      <c r="U4316">
        <f t="shared" si="202"/>
        <v>0</v>
      </c>
      <c r="V4316">
        <f>HLOOKUP("In Use MiB",'vInfo (Imported)'!$1:$5000,M4316,FALSE)</f>
        <v>0</v>
      </c>
    </row>
    <row r="4317" spans="1:22" ht="13" x14ac:dyDescent="0.3">
      <c r="A4317" s="46">
        <f>'vHosts (Imported)'!A4317</f>
        <v>0</v>
      </c>
      <c r="B4317" s="51">
        <f t="shared" si="201"/>
        <v>4968</v>
      </c>
      <c r="C4317" s="49">
        <f>HLOOKUP("# Cores",'vHosts (Imported)'!$1:$5000,M4317,FALSE)</f>
        <v>0</v>
      </c>
      <c r="D4317" s="52">
        <f>HLOOKUP("# Memory",'vHosts (Imported)'!$1:$5000,M4317,FALSE)</f>
        <v>0</v>
      </c>
      <c r="M4317" s="45">
        <f t="shared" si="203"/>
        <v>4317</v>
      </c>
      <c r="N4317" s="38">
        <f>HLOOKUP("Host",'vInfo (Imported)'!$1:$5000,M4317,FALSE)</f>
        <v>0</v>
      </c>
      <c r="R4317">
        <f>HLOOKUP("CPUs",'vInfo (Imported)'!$1:$5000,M4317,FALSE)</f>
        <v>0</v>
      </c>
      <c r="S4317">
        <f>HLOOKUP("Memory",'vInfo (Imported)'!$1:$5000,M4317,FALSE)</f>
        <v>0</v>
      </c>
      <c r="T4317">
        <f>HLOOKUP("Provisioned MiB",'vInfo (Imported)'!$1:$5000,M4317,FALSE)</f>
        <v>0</v>
      </c>
      <c r="U4317">
        <f t="shared" si="202"/>
        <v>0</v>
      </c>
      <c r="V4317">
        <f>HLOOKUP("In Use MiB",'vInfo (Imported)'!$1:$5000,M4317,FALSE)</f>
        <v>0</v>
      </c>
    </row>
    <row r="4318" spans="1:22" ht="13" x14ac:dyDescent="0.3">
      <c r="A4318" s="46">
        <f>'vHosts (Imported)'!A4318</f>
        <v>0</v>
      </c>
      <c r="B4318" s="51">
        <f t="shared" si="201"/>
        <v>4968</v>
      </c>
      <c r="C4318" s="49">
        <f>HLOOKUP("# Cores",'vHosts (Imported)'!$1:$5000,M4318,FALSE)</f>
        <v>0</v>
      </c>
      <c r="D4318" s="52">
        <f>HLOOKUP("# Memory",'vHosts (Imported)'!$1:$5000,M4318,FALSE)</f>
        <v>0</v>
      </c>
      <c r="M4318" s="45">
        <f t="shared" si="203"/>
        <v>4318</v>
      </c>
      <c r="N4318" s="38">
        <f>HLOOKUP("Host",'vInfo (Imported)'!$1:$5000,M4318,FALSE)</f>
        <v>0</v>
      </c>
      <c r="R4318">
        <f>HLOOKUP("CPUs",'vInfo (Imported)'!$1:$5000,M4318,FALSE)</f>
        <v>0</v>
      </c>
      <c r="S4318">
        <f>HLOOKUP("Memory",'vInfo (Imported)'!$1:$5000,M4318,FALSE)</f>
        <v>0</v>
      </c>
      <c r="T4318">
        <f>HLOOKUP("Provisioned MiB",'vInfo (Imported)'!$1:$5000,M4318,FALSE)</f>
        <v>0</v>
      </c>
      <c r="U4318">
        <f t="shared" si="202"/>
        <v>0</v>
      </c>
      <c r="V4318">
        <f>HLOOKUP("In Use MiB",'vInfo (Imported)'!$1:$5000,M4318,FALSE)</f>
        <v>0</v>
      </c>
    </row>
    <row r="4319" spans="1:22" ht="13" x14ac:dyDescent="0.3">
      <c r="A4319" s="46">
        <f>'vHosts (Imported)'!A4319</f>
        <v>0</v>
      </c>
      <c r="B4319" s="51">
        <f t="shared" si="201"/>
        <v>4968</v>
      </c>
      <c r="C4319" s="49">
        <f>HLOOKUP("# Cores",'vHosts (Imported)'!$1:$5000,M4319,FALSE)</f>
        <v>0</v>
      </c>
      <c r="D4319" s="52">
        <f>HLOOKUP("# Memory",'vHosts (Imported)'!$1:$5000,M4319,FALSE)</f>
        <v>0</v>
      </c>
      <c r="M4319" s="45">
        <f t="shared" si="203"/>
        <v>4319</v>
      </c>
      <c r="N4319" s="38">
        <f>HLOOKUP("Host",'vInfo (Imported)'!$1:$5000,M4319,FALSE)</f>
        <v>0</v>
      </c>
      <c r="R4319">
        <f>HLOOKUP("CPUs",'vInfo (Imported)'!$1:$5000,M4319,FALSE)</f>
        <v>0</v>
      </c>
      <c r="S4319">
        <f>HLOOKUP("Memory",'vInfo (Imported)'!$1:$5000,M4319,FALSE)</f>
        <v>0</v>
      </c>
      <c r="T4319">
        <f>HLOOKUP("Provisioned MiB",'vInfo (Imported)'!$1:$5000,M4319,FALSE)</f>
        <v>0</v>
      </c>
      <c r="U4319">
        <f t="shared" si="202"/>
        <v>0</v>
      </c>
      <c r="V4319">
        <f>HLOOKUP("In Use MiB",'vInfo (Imported)'!$1:$5000,M4319,FALSE)</f>
        <v>0</v>
      </c>
    </row>
    <row r="4320" spans="1:22" ht="13" x14ac:dyDescent="0.3">
      <c r="A4320" s="46">
        <f>'vHosts (Imported)'!A4320</f>
        <v>0</v>
      </c>
      <c r="B4320" s="51">
        <f t="shared" si="201"/>
        <v>4968</v>
      </c>
      <c r="C4320" s="49">
        <f>HLOOKUP("# Cores",'vHosts (Imported)'!$1:$5000,M4320,FALSE)</f>
        <v>0</v>
      </c>
      <c r="D4320" s="52">
        <f>HLOOKUP("# Memory",'vHosts (Imported)'!$1:$5000,M4320,FALSE)</f>
        <v>0</v>
      </c>
      <c r="M4320" s="45">
        <f t="shared" si="203"/>
        <v>4320</v>
      </c>
      <c r="N4320" s="38">
        <f>HLOOKUP("Host",'vInfo (Imported)'!$1:$5000,M4320,FALSE)</f>
        <v>0</v>
      </c>
      <c r="R4320">
        <f>HLOOKUP("CPUs",'vInfo (Imported)'!$1:$5000,M4320,FALSE)</f>
        <v>0</v>
      </c>
      <c r="S4320">
        <f>HLOOKUP("Memory",'vInfo (Imported)'!$1:$5000,M4320,FALSE)</f>
        <v>0</v>
      </c>
      <c r="T4320">
        <f>HLOOKUP("Provisioned MiB",'vInfo (Imported)'!$1:$5000,M4320,FALSE)</f>
        <v>0</v>
      </c>
      <c r="U4320">
        <f t="shared" si="202"/>
        <v>0</v>
      </c>
      <c r="V4320">
        <f>HLOOKUP("In Use MiB",'vInfo (Imported)'!$1:$5000,M4320,FALSE)</f>
        <v>0</v>
      </c>
    </row>
    <row r="4321" spans="1:22" ht="13" x14ac:dyDescent="0.3">
      <c r="A4321" s="46">
        <f>'vHosts (Imported)'!A4321</f>
        <v>0</v>
      </c>
      <c r="B4321" s="51">
        <f t="shared" si="201"/>
        <v>4968</v>
      </c>
      <c r="C4321" s="49">
        <f>HLOOKUP("# Cores",'vHosts (Imported)'!$1:$5000,M4321,FALSE)</f>
        <v>0</v>
      </c>
      <c r="D4321" s="52">
        <f>HLOOKUP("# Memory",'vHosts (Imported)'!$1:$5000,M4321,FALSE)</f>
        <v>0</v>
      </c>
      <c r="M4321" s="45">
        <f t="shared" si="203"/>
        <v>4321</v>
      </c>
      <c r="N4321" s="38">
        <f>HLOOKUP("Host",'vInfo (Imported)'!$1:$5000,M4321,FALSE)</f>
        <v>0</v>
      </c>
      <c r="R4321">
        <f>HLOOKUP("CPUs",'vInfo (Imported)'!$1:$5000,M4321,FALSE)</f>
        <v>0</v>
      </c>
      <c r="S4321">
        <f>HLOOKUP("Memory",'vInfo (Imported)'!$1:$5000,M4321,FALSE)</f>
        <v>0</v>
      </c>
      <c r="T4321">
        <f>HLOOKUP("Provisioned MiB",'vInfo (Imported)'!$1:$5000,M4321,FALSE)</f>
        <v>0</v>
      </c>
      <c r="U4321">
        <f t="shared" si="202"/>
        <v>0</v>
      </c>
      <c r="V4321">
        <f>HLOOKUP("In Use MiB",'vInfo (Imported)'!$1:$5000,M4321,FALSE)</f>
        <v>0</v>
      </c>
    </row>
    <row r="4322" spans="1:22" ht="13" x14ac:dyDescent="0.3">
      <c r="A4322" s="46">
        <f>'vHosts (Imported)'!A4322</f>
        <v>0</v>
      </c>
      <c r="B4322" s="51">
        <f t="shared" si="201"/>
        <v>4968</v>
      </c>
      <c r="C4322" s="49">
        <f>HLOOKUP("# Cores",'vHosts (Imported)'!$1:$5000,M4322,FALSE)</f>
        <v>0</v>
      </c>
      <c r="D4322" s="52">
        <f>HLOOKUP("# Memory",'vHosts (Imported)'!$1:$5000,M4322,FALSE)</f>
        <v>0</v>
      </c>
      <c r="M4322" s="45">
        <f t="shared" si="203"/>
        <v>4322</v>
      </c>
      <c r="N4322" s="38">
        <f>HLOOKUP("Host",'vInfo (Imported)'!$1:$5000,M4322,FALSE)</f>
        <v>0</v>
      </c>
      <c r="R4322">
        <f>HLOOKUP("CPUs",'vInfo (Imported)'!$1:$5000,M4322,FALSE)</f>
        <v>0</v>
      </c>
      <c r="S4322">
        <f>HLOOKUP("Memory",'vInfo (Imported)'!$1:$5000,M4322,FALSE)</f>
        <v>0</v>
      </c>
      <c r="T4322">
        <f>HLOOKUP("Provisioned MiB",'vInfo (Imported)'!$1:$5000,M4322,FALSE)</f>
        <v>0</v>
      </c>
      <c r="U4322">
        <f t="shared" si="202"/>
        <v>0</v>
      </c>
      <c r="V4322">
        <f>HLOOKUP("In Use MiB",'vInfo (Imported)'!$1:$5000,M4322,FALSE)</f>
        <v>0</v>
      </c>
    </row>
    <row r="4323" spans="1:22" ht="13" x14ac:dyDescent="0.3">
      <c r="A4323" s="46">
        <f>'vHosts (Imported)'!A4323</f>
        <v>0</v>
      </c>
      <c r="B4323" s="51">
        <f t="shared" si="201"/>
        <v>4968</v>
      </c>
      <c r="C4323" s="49">
        <f>HLOOKUP("# Cores",'vHosts (Imported)'!$1:$5000,M4323,FALSE)</f>
        <v>0</v>
      </c>
      <c r="D4323" s="52">
        <f>HLOOKUP("# Memory",'vHosts (Imported)'!$1:$5000,M4323,FALSE)</f>
        <v>0</v>
      </c>
      <c r="M4323" s="45">
        <f t="shared" si="203"/>
        <v>4323</v>
      </c>
      <c r="N4323" s="38">
        <f>HLOOKUP("Host",'vInfo (Imported)'!$1:$5000,M4323,FALSE)</f>
        <v>0</v>
      </c>
      <c r="R4323">
        <f>HLOOKUP("CPUs",'vInfo (Imported)'!$1:$5000,M4323,FALSE)</f>
        <v>0</v>
      </c>
      <c r="S4323">
        <f>HLOOKUP("Memory",'vInfo (Imported)'!$1:$5000,M4323,FALSE)</f>
        <v>0</v>
      </c>
      <c r="T4323">
        <f>HLOOKUP("Provisioned MiB",'vInfo (Imported)'!$1:$5000,M4323,FALSE)</f>
        <v>0</v>
      </c>
      <c r="U4323">
        <f t="shared" si="202"/>
        <v>0</v>
      </c>
      <c r="V4323">
        <f>HLOOKUP("In Use MiB",'vInfo (Imported)'!$1:$5000,M4323,FALSE)</f>
        <v>0</v>
      </c>
    </row>
    <row r="4324" spans="1:22" ht="13" x14ac:dyDescent="0.3">
      <c r="A4324" s="46">
        <f>'vHosts (Imported)'!A4324</f>
        <v>0</v>
      </c>
      <c r="B4324" s="51">
        <f t="shared" si="201"/>
        <v>4968</v>
      </c>
      <c r="C4324" s="49">
        <f>HLOOKUP("# Cores",'vHosts (Imported)'!$1:$5000,M4324,FALSE)</f>
        <v>0</v>
      </c>
      <c r="D4324" s="52">
        <f>HLOOKUP("# Memory",'vHosts (Imported)'!$1:$5000,M4324,FALSE)</f>
        <v>0</v>
      </c>
      <c r="M4324" s="45">
        <f t="shared" si="203"/>
        <v>4324</v>
      </c>
      <c r="N4324" s="38">
        <f>HLOOKUP("Host",'vInfo (Imported)'!$1:$5000,M4324,FALSE)</f>
        <v>0</v>
      </c>
      <c r="R4324">
        <f>HLOOKUP("CPUs",'vInfo (Imported)'!$1:$5000,M4324,FALSE)</f>
        <v>0</v>
      </c>
      <c r="S4324">
        <f>HLOOKUP("Memory",'vInfo (Imported)'!$1:$5000,M4324,FALSE)</f>
        <v>0</v>
      </c>
      <c r="T4324">
        <f>HLOOKUP("Provisioned MiB",'vInfo (Imported)'!$1:$5000,M4324,FALSE)</f>
        <v>0</v>
      </c>
      <c r="U4324">
        <f t="shared" si="202"/>
        <v>0</v>
      </c>
      <c r="V4324">
        <f>HLOOKUP("In Use MiB",'vInfo (Imported)'!$1:$5000,M4324,FALSE)</f>
        <v>0</v>
      </c>
    </row>
    <row r="4325" spans="1:22" ht="13" x14ac:dyDescent="0.3">
      <c r="A4325" s="46">
        <f>'vHosts (Imported)'!A4325</f>
        <v>0</v>
      </c>
      <c r="B4325" s="51">
        <f t="shared" si="201"/>
        <v>4968</v>
      </c>
      <c r="C4325" s="49">
        <f>HLOOKUP("# Cores",'vHosts (Imported)'!$1:$5000,M4325,FALSE)</f>
        <v>0</v>
      </c>
      <c r="D4325" s="52">
        <f>HLOOKUP("# Memory",'vHosts (Imported)'!$1:$5000,M4325,FALSE)</f>
        <v>0</v>
      </c>
      <c r="M4325" s="45">
        <f t="shared" si="203"/>
        <v>4325</v>
      </c>
      <c r="N4325" s="38">
        <f>HLOOKUP("Host",'vInfo (Imported)'!$1:$5000,M4325,FALSE)</f>
        <v>0</v>
      </c>
      <c r="R4325">
        <f>HLOOKUP("CPUs",'vInfo (Imported)'!$1:$5000,M4325,FALSE)</f>
        <v>0</v>
      </c>
      <c r="S4325">
        <f>HLOOKUP("Memory",'vInfo (Imported)'!$1:$5000,M4325,FALSE)</f>
        <v>0</v>
      </c>
      <c r="T4325">
        <f>HLOOKUP("Provisioned MiB",'vInfo (Imported)'!$1:$5000,M4325,FALSE)</f>
        <v>0</v>
      </c>
      <c r="U4325">
        <f t="shared" si="202"/>
        <v>0</v>
      </c>
      <c r="V4325">
        <f>HLOOKUP("In Use MiB",'vInfo (Imported)'!$1:$5000,M4325,FALSE)</f>
        <v>0</v>
      </c>
    </row>
    <row r="4326" spans="1:22" ht="13" x14ac:dyDescent="0.3">
      <c r="A4326" s="46">
        <f>'vHosts (Imported)'!A4326</f>
        <v>0</v>
      </c>
      <c r="B4326" s="51">
        <f t="shared" si="201"/>
        <v>4968</v>
      </c>
      <c r="C4326" s="49">
        <f>HLOOKUP("# Cores",'vHosts (Imported)'!$1:$5000,M4326,FALSE)</f>
        <v>0</v>
      </c>
      <c r="D4326" s="52">
        <f>HLOOKUP("# Memory",'vHosts (Imported)'!$1:$5000,M4326,FALSE)</f>
        <v>0</v>
      </c>
      <c r="M4326" s="45">
        <f t="shared" si="203"/>
        <v>4326</v>
      </c>
      <c r="N4326" s="38">
        <f>HLOOKUP("Host",'vInfo (Imported)'!$1:$5000,M4326,FALSE)</f>
        <v>0</v>
      </c>
      <c r="R4326">
        <f>HLOOKUP("CPUs",'vInfo (Imported)'!$1:$5000,M4326,FALSE)</f>
        <v>0</v>
      </c>
      <c r="S4326">
        <f>HLOOKUP("Memory",'vInfo (Imported)'!$1:$5000,M4326,FALSE)</f>
        <v>0</v>
      </c>
      <c r="T4326">
        <f>HLOOKUP("Provisioned MiB",'vInfo (Imported)'!$1:$5000,M4326,FALSE)</f>
        <v>0</v>
      </c>
      <c r="U4326">
        <f t="shared" si="202"/>
        <v>0</v>
      </c>
      <c r="V4326">
        <f>HLOOKUP("In Use MiB",'vInfo (Imported)'!$1:$5000,M4326,FALSE)</f>
        <v>0</v>
      </c>
    </row>
    <row r="4327" spans="1:22" ht="13" x14ac:dyDescent="0.3">
      <c r="A4327" s="46">
        <f>'vHosts (Imported)'!A4327</f>
        <v>0</v>
      </c>
      <c r="B4327" s="51">
        <f t="shared" si="201"/>
        <v>4968</v>
      </c>
      <c r="C4327" s="49">
        <f>HLOOKUP("# Cores",'vHosts (Imported)'!$1:$5000,M4327,FALSE)</f>
        <v>0</v>
      </c>
      <c r="D4327" s="52">
        <f>HLOOKUP("# Memory",'vHosts (Imported)'!$1:$5000,M4327,FALSE)</f>
        <v>0</v>
      </c>
      <c r="M4327" s="45">
        <f t="shared" si="203"/>
        <v>4327</v>
      </c>
      <c r="N4327" s="38">
        <f>HLOOKUP("Host",'vInfo (Imported)'!$1:$5000,M4327,FALSE)</f>
        <v>0</v>
      </c>
      <c r="R4327">
        <f>HLOOKUP("CPUs",'vInfo (Imported)'!$1:$5000,M4327,FALSE)</f>
        <v>0</v>
      </c>
      <c r="S4327">
        <f>HLOOKUP("Memory",'vInfo (Imported)'!$1:$5000,M4327,FALSE)</f>
        <v>0</v>
      </c>
      <c r="T4327">
        <f>HLOOKUP("Provisioned MiB",'vInfo (Imported)'!$1:$5000,M4327,FALSE)</f>
        <v>0</v>
      </c>
      <c r="U4327">
        <f t="shared" si="202"/>
        <v>0</v>
      </c>
      <c r="V4327">
        <f>HLOOKUP("In Use MiB",'vInfo (Imported)'!$1:$5000,M4327,FALSE)</f>
        <v>0</v>
      </c>
    </row>
    <row r="4328" spans="1:22" ht="13" x14ac:dyDescent="0.3">
      <c r="A4328" s="46">
        <f>'vHosts (Imported)'!A4328</f>
        <v>0</v>
      </c>
      <c r="B4328" s="51">
        <f t="shared" ref="B4328:B4391" si="204">COUNTIF(N:N,A4328)</f>
        <v>4968</v>
      </c>
      <c r="C4328" s="49">
        <f>HLOOKUP("# Cores",'vHosts (Imported)'!$1:$5000,M4328,FALSE)</f>
        <v>0</v>
      </c>
      <c r="D4328" s="52">
        <f>HLOOKUP("# Memory",'vHosts (Imported)'!$1:$5000,M4328,FALSE)</f>
        <v>0</v>
      </c>
      <c r="M4328" s="45">
        <f t="shared" si="203"/>
        <v>4328</v>
      </c>
      <c r="N4328" s="38">
        <f>HLOOKUP("Host",'vInfo (Imported)'!$1:$5000,M4328,FALSE)</f>
        <v>0</v>
      </c>
      <c r="R4328">
        <f>HLOOKUP("CPUs",'vInfo (Imported)'!$1:$5000,M4328,FALSE)</f>
        <v>0</v>
      </c>
      <c r="S4328">
        <f>HLOOKUP("Memory",'vInfo (Imported)'!$1:$5000,M4328,FALSE)</f>
        <v>0</v>
      </c>
      <c r="T4328">
        <f>HLOOKUP("Provisioned MiB",'vInfo (Imported)'!$1:$5000,M4328,FALSE)</f>
        <v>0</v>
      </c>
      <c r="U4328">
        <f t="shared" si="202"/>
        <v>0</v>
      </c>
      <c r="V4328">
        <f>HLOOKUP("In Use MiB",'vInfo (Imported)'!$1:$5000,M4328,FALSE)</f>
        <v>0</v>
      </c>
    </row>
    <row r="4329" spans="1:22" ht="13" x14ac:dyDescent="0.3">
      <c r="A4329" s="46">
        <f>'vHosts (Imported)'!A4329</f>
        <v>0</v>
      </c>
      <c r="B4329" s="51">
        <f t="shared" si="204"/>
        <v>4968</v>
      </c>
      <c r="C4329" s="49">
        <f>HLOOKUP("# Cores",'vHosts (Imported)'!$1:$5000,M4329,FALSE)</f>
        <v>0</v>
      </c>
      <c r="D4329" s="52">
        <f>HLOOKUP("# Memory",'vHosts (Imported)'!$1:$5000,M4329,FALSE)</f>
        <v>0</v>
      </c>
      <c r="M4329" s="45">
        <f t="shared" si="203"/>
        <v>4329</v>
      </c>
      <c r="N4329" s="38">
        <f>HLOOKUP("Host",'vInfo (Imported)'!$1:$5000,M4329,FALSE)</f>
        <v>0</v>
      </c>
      <c r="R4329">
        <f>HLOOKUP("CPUs",'vInfo (Imported)'!$1:$5000,M4329,FALSE)</f>
        <v>0</v>
      </c>
      <c r="S4329">
        <f>HLOOKUP("Memory",'vInfo (Imported)'!$1:$5000,M4329,FALSE)</f>
        <v>0</v>
      </c>
      <c r="T4329">
        <f>HLOOKUP("Provisioned MiB",'vInfo (Imported)'!$1:$5000,M4329,FALSE)</f>
        <v>0</v>
      </c>
      <c r="U4329">
        <f t="shared" si="202"/>
        <v>0</v>
      </c>
      <c r="V4329">
        <f>HLOOKUP("In Use MiB",'vInfo (Imported)'!$1:$5000,M4329,FALSE)</f>
        <v>0</v>
      </c>
    </row>
    <row r="4330" spans="1:22" ht="13" x14ac:dyDescent="0.3">
      <c r="A4330" s="46">
        <f>'vHosts (Imported)'!A4330</f>
        <v>0</v>
      </c>
      <c r="B4330" s="51">
        <f t="shared" si="204"/>
        <v>4968</v>
      </c>
      <c r="C4330" s="49">
        <f>HLOOKUP("# Cores",'vHosts (Imported)'!$1:$5000,M4330,FALSE)</f>
        <v>0</v>
      </c>
      <c r="D4330" s="52">
        <f>HLOOKUP("# Memory",'vHosts (Imported)'!$1:$5000,M4330,FALSE)</f>
        <v>0</v>
      </c>
      <c r="M4330" s="45">
        <f t="shared" si="203"/>
        <v>4330</v>
      </c>
      <c r="N4330" s="38">
        <f>HLOOKUP("Host",'vInfo (Imported)'!$1:$5000,M4330,FALSE)</f>
        <v>0</v>
      </c>
      <c r="R4330">
        <f>HLOOKUP("CPUs",'vInfo (Imported)'!$1:$5000,M4330,FALSE)</f>
        <v>0</v>
      </c>
      <c r="S4330">
        <f>HLOOKUP("Memory",'vInfo (Imported)'!$1:$5000,M4330,FALSE)</f>
        <v>0</v>
      </c>
      <c r="T4330">
        <f>HLOOKUP("Provisioned MiB",'vInfo (Imported)'!$1:$5000,M4330,FALSE)</f>
        <v>0</v>
      </c>
      <c r="U4330">
        <f t="shared" si="202"/>
        <v>0</v>
      </c>
      <c r="V4330">
        <f>HLOOKUP("In Use MiB",'vInfo (Imported)'!$1:$5000,M4330,FALSE)</f>
        <v>0</v>
      </c>
    </row>
    <row r="4331" spans="1:22" ht="13" x14ac:dyDescent="0.3">
      <c r="A4331" s="46">
        <f>'vHosts (Imported)'!A4331</f>
        <v>0</v>
      </c>
      <c r="B4331" s="51">
        <f t="shared" si="204"/>
        <v>4968</v>
      </c>
      <c r="C4331" s="49">
        <f>HLOOKUP("# Cores",'vHosts (Imported)'!$1:$5000,M4331,FALSE)</f>
        <v>0</v>
      </c>
      <c r="D4331" s="52">
        <f>HLOOKUP("# Memory",'vHosts (Imported)'!$1:$5000,M4331,FALSE)</f>
        <v>0</v>
      </c>
      <c r="M4331" s="45">
        <f t="shared" si="203"/>
        <v>4331</v>
      </c>
      <c r="N4331" s="38">
        <f>HLOOKUP("Host",'vInfo (Imported)'!$1:$5000,M4331,FALSE)</f>
        <v>0</v>
      </c>
      <c r="R4331">
        <f>HLOOKUP("CPUs",'vInfo (Imported)'!$1:$5000,M4331,FALSE)</f>
        <v>0</v>
      </c>
      <c r="S4331">
        <f>HLOOKUP("Memory",'vInfo (Imported)'!$1:$5000,M4331,FALSE)</f>
        <v>0</v>
      </c>
      <c r="T4331">
        <f>HLOOKUP("Provisioned MiB",'vInfo (Imported)'!$1:$5000,M4331,FALSE)</f>
        <v>0</v>
      </c>
      <c r="U4331">
        <f t="shared" si="202"/>
        <v>0</v>
      </c>
      <c r="V4331">
        <f>HLOOKUP("In Use MiB",'vInfo (Imported)'!$1:$5000,M4331,FALSE)</f>
        <v>0</v>
      </c>
    </row>
    <row r="4332" spans="1:22" ht="13" x14ac:dyDescent="0.3">
      <c r="A4332" s="46">
        <f>'vHosts (Imported)'!A4332</f>
        <v>0</v>
      </c>
      <c r="B4332" s="51">
        <f t="shared" si="204"/>
        <v>4968</v>
      </c>
      <c r="C4332" s="49">
        <f>HLOOKUP("# Cores",'vHosts (Imported)'!$1:$5000,M4332,FALSE)</f>
        <v>0</v>
      </c>
      <c r="D4332" s="52">
        <f>HLOOKUP("# Memory",'vHosts (Imported)'!$1:$5000,M4332,FALSE)</f>
        <v>0</v>
      </c>
      <c r="M4332" s="45">
        <f t="shared" si="203"/>
        <v>4332</v>
      </c>
      <c r="N4332" s="38">
        <f>HLOOKUP("Host",'vInfo (Imported)'!$1:$5000,M4332,FALSE)</f>
        <v>0</v>
      </c>
      <c r="R4332">
        <f>HLOOKUP("CPUs",'vInfo (Imported)'!$1:$5000,M4332,FALSE)</f>
        <v>0</v>
      </c>
      <c r="S4332">
        <f>HLOOKUP("Memory",'vInfo (Imported)'!$1:$5000,M4332,FALSE)</f>
        <v>0</v>
      </c>
      <c r="T4332">
        <f>HLOOKUP("Provisioned MiB",'vInfo (Imported)'!$1:$5000,M4332,FALSE)</f>
        <v>0</v>
      </c>
      <c r="U4332">
        <f t="shared" si="202"/>
        <v>0</v>
      </c>
      <c r="V4332">
        <f>HLOOKUP("In Use MiB",'vInfo (Imported)'!$1:$5000,M4332,FALSE)</f>
        <v>0</v>
      </c>
    </row>
    <row r="4333" spans="1:22" ht="13" x14ac:dyDescent="0.3">
      <c r="A4333" s="46">
        <f>'vHosts (Imported)'!A4333</f>
        <v>0</v>
      </c>
      <c r="B4333" s="51">
        <f t="shared" si="204"/>
        <v>4968</v>
      </c>
      <c r="C4333" s="49">
        <f>HLOOKUP("# Cores",'vHosts (Imported)'!$1:$5000,M4333,FALSE)</f>
        <v>0</v>
      </c>
      <c r="D4333" s="52">
        <f>HLOOKUP("# Memory",'vHosts (Imported)'!$1:$5000,M4333,FALSE)</f>
        <v>0</v>
      </c>
      <c r="M4333" s="45">
        <f t="shared" si="203"/>
        <v>4333</v>
      </c>
      <c r="N4333" s="38">
        <f>HLOOKUP("Host",'vInfo (Imported)'!$1:$5000,M4333,FALSE)</f>
        <v>0</v>
      </c>
      <c r="R4333">
        <f>HLOOKUP("CPUs",'vInfo (Imported)'!$1:$5000,M4333,FALSE)</f>
        <v>0</v>
      </c>
      <c r="S4333">
        <f>HLOOKUP("Memory",'vInfo (Imported)'!$1:$5000,M4333,FALSE)</f>
        <v>0</v>
      </c>
      <c r="T4333">
        <f>HLOOKUP("Provisioned MiB",'vInfo (Imported)'!$1:$5000,M4333,FALSE)</f>
        <v>0</v>
      </c>
      <c r="U4333">
        <f t="shared" si="202"/>
        <v>0</v>
      </c>
      <c r="V4333">
        <f>HLOOKUP("In Use MiB",'vInfo (Imported)'!$1:$5000,M4333,FALSE)</f>
        <v>0</v>
      </c>
    </row>
    <row r="4334" spans="1:22" ht="13" x14ac:dyDescent="0.3">
      <c r="A4334" s="46">
        <f>'vHosts (Imported)'!A4334</f>
        <v>0</v>
      </c>
      <c r="B4334" s="51">
        <f t="shared" si="204"/>
        <v>4968</v>
      </c>
      <c r="C4334" s="49">
        <f>HLOOKUP("# Cores",'vHosts (Imported)'!$1:$5000,M4334,FALSE)</f>
        <v>0</v>
      </c>
      <c r="D4334" s="52">
        <f>HLOOKUP("# Memory",'vHosts (Imported)'!$1:$5000,M4334,FALSE)</f>
        <v>0</v>
      </c>
      <c r="M4334" s="45">
        <f t="shared" si="203"/>
        <v>4334</v>
      </c>
      <c r="N4334" s="38">
        <f>HLOOKUP("Host",'vInfo (Imported)'!$1:$5000,M4334,FALSE)</f>
        <v>0</v>
      </c>
      <c r="R4334">
        <f>HLOOKUP("CPUs",'vInfo (Imported)'!$1:$5000,M4334,FALSE)</f>
        <v>0</v>
      </c>
      <c r="S4334">
        <f>HLOOKUP("Memory",'vInfo (Imported)'!$1:$5000,M4334,FALSE)</f>
        <v>0</v>
      </c>
      <c r="T4334">
        <f>HLOOKUP("Provisioned MiB",'vInfo (Imported)'!$1:$5000,M4334,FALSE)</f>
        <v>0</v>
      </c>
      <c r="U4334">
        <f t="shared" si="202"/>
        <v>0</v>
      </c>
      <c r="V4334">
        <f>HLOOKUP("In Use MiB",'vInfo (Imported)'!$1:$5000,M4334,FALSE)</f>
        <v>0</v>
      </c>
    </row>
    <row r="4335" spans="1:22" ht="13" x14ac:dyDescent="0.3">
      <c r="A4335" s="46">
        <f>'vHosts (Imported)'!A4335</f>
        <v>0</v>
      </c>
      <c r="B4335" s="51">
        <f t="shared" si="204"/>
        <v>4968</v>
      </c>
      <c r="C4335" s="49">
        <f>HLOOKUP("# Cores",'vHosts (Imported)'!$1:$5000,M4335,FALSE)</f>
        <v>0</v>
      </c>
      <c r="D4335" s="52">
        <f>HLOOKUP("# Memory",'vHosts (Imported)'!$1:$5000,M4335,FALSE)</f>
        <v>0</v>
      </c>
      <c r="M4335" s="45">
        <f t="shared" si="203"/>
        <v>4335</v>
      </c>
      <c r="N4335" s="38">
        <f>HLOOKUP("Host",'vInfo (Imported)'!$1:$5000,M4335,FALSE)</f>
        <v>0</v>
      </c>
      <c r="R4335">
        <f>HLOOKUP("CPUs",'vInfo (Imported)'!$1:$5000,M4335,FALSE)</f>
        <v>0</v>
      </c>
      <c r="S4335">
        <f>HLOOKUP("Memory",'vInfo (Imported)'!$1:$5000,M4335,FALSE)</f>
        <v>0</v>
      </c>
      <c r="T4335">
        <f>HLOOKUP("Provisioned MiB",'vInfo (Imported)'!$1:$5000,M4335,FALSE)</f>
        <v>0</v>
      </c>
      <c r="U4335">
        <f t="shared" si="202"/>
        <v>0</v>
      </c>
      <c r="V4335">
        <f>HLOOKUP("In Use MiB",'vInfo (Imported)'!$1:$5000,M4335,FALSE)</f>
        <v>0</v>
      </c>
    </row>
    <row r="4336" spans="1:22" ht="13" x14ac:dyDescent="0.3">
      <c r="A4336" s="46">
        <f>'vHosts (Imported)'!A4336</f>
        <v>0</v>
      </c>
      <c r="B4336" s="51">
        <f t="shared" si="204"/>
        <v>4968</v>
      </c>
      <c r="C4336" s="49">
        <f>HLOOKUP("# Cores",'vHosts (Imported)'!$1:$5000,M4336,FALSE)</f>
        <v>0</v>
      </c>
      <c r="D4336" s="52">
        <f>HLOOKUP("# Memory",'vHosts (Imported)'!$1:$5000,M4336,FALSE)</f>
        <v>0</v>
      </c>
      <c r="M4336" s="45">
        <f t="shared" si="203"/>
        <v>4336</v>
      </c>
      <c r="N4336" s="38">
        <f>HLOOKUP("Host",'vInfo (Imported)'!$1:$5000,M4336,FALSE)</f>
        <v>0</v>
      </c>
      <c r="R4336">
        <f>HLOOKUP("CPUs",'vInfo (Imported)'!$1:$5000,M4336,FALSE)</f>
        <v>0</v>
      </c>
      <c r="S4336">
        <f>HLOOKUP("Memory",'vInfo (Imported)'!$1:$5000,M4336,FALSE)</f>
        <v>0</v>
      </c>
      <c r="T4336">
        <f>HLOOKUP("Provisioned MiB",'vInfo (Imported)'!$1:$5000,M4336,FALSE)</f>
        <v>0</v>
      </c>
      <c r="U4336">
        <f t="shared" si="202"/>
        <v>0</v>
      </c>
      <c r="V4336">
        <f>HLOOKUP("In Use MiB",'vInfo (Imported)'!$1:$5000,M4336,FALSE)</f>
        <v>0</v>
      </c>
    </row>
    <row r="4337" spans="1:22" ht="13" x14ac:dyDescent="0.3">
      <c r="A4337" s="46">
        <f>'vHosts (Imported)'!A4337</f>
        <v>0</v>
      </c>
      <c r="B4337" s="51">
        <f t="shared" si="204"/>
        <v>4968</v>
      </c>
      <c r="C4337" s="49">
        <f>HLOOKUP("# Cores",'vHosts (Imported)'!$1:$5000,M4337,FALSE)</f>
        <v>0</v>
      </c>
      <c r="D4337" s="52">
        <f>HLOOKUP("# Memory",'vHosts (Imported)'!$1:$5000,M4337,FALSE)</f>
        <v>0</v>
      </c>
      <c r="M4337" s="45">
        <f t="shared" si="203"/>
        <v>4337</v>
      </c>
      <c r="N4337" s="38">
        <f>HLOOKUP("Host",'vInfo (Imported)'!$1:$5000,M4337,FALSE)</f>
        <v>0</v>
      </c>
      <c r="R4337">
        <f>HLOOKUP("CPUs",'vInfo (Imported)'!$1:$5000,M4337,FALSE)</f>
        <v>0</v>
      </c>
      <c r="S4337">
        <f>HLOOKUP("Memory",'vInfo (Imported)'!$1:$5000,M4337,FALSE)</f>
        <v>0</v>
      </c>
      <c r="T4337">
        <f>HLOOKUP("Provisioned MiB",'vInfo (Imported)'!$1:$5000,M4337,FALSE)</f>
        <v>0</v>
      </c>
      <c r="U4337">
        <f t="shared" si="202"/>
        <v>0</v>
      </c>
      <c r="V4337">
        <f>HLOOKUP("In Use MiB",'vInfo (Imported)'!$1:$5000,M4337,FALSE)</f>
        <v>0</v>
      </c>
    </row>
    <row r="4338" spans="1:22" ht="13" x14ac:dyDescent="0.3">
      <c r="A4338" s="46">
        <f>'vHosts (Imported)'!A4338</f>
        <v>0</v>
      </c>
      <c r="B4338" s="51">
        <f t="shared" si="204"/>
        <v>4968</v>
      </c>
      <c r="C4338" s="49">
        <f>HLOOKUP("# Cores",'vHosts (Imported)'!$1:$5000,M4338,FALSE)</f>
        <v>0</v>
      </c>
      <c r="D4338" s="52">
        <f>HLOOKUP("# Memory",'vHosts (Imported)'!$1:$5000,M4338,FALSE)</f>
        <v>0</v>
      </c>
      <c r="M4338" s="45">
        <f t="shared" si="203"/>
        <v>4338</v>
      </c>
      <c r="N4338" s="38">
        <f>HLOOKUP("Host",'vInfo (Imported)'!$1:$5000,M4338,FALSE)</f>
        <v>0</v>
      </c>
      <c r="R4338">
        <f>HLOOKUP("CPUs",'vInfo (Imported)'!$1:$5000,M4338,FALSE)</f>
        <v>0</v>
      </c>
      <c r="S4338">
        <f>HLOOKUP("Memory",'vInfo (Imported)'!$1:$5000,M4338,FALSE)</f>
        <v>0</v>
      </c>
      <c r="T4338">
        <f>HLOOKUP("Provisioned MiB",'vInfo (Imported)'!$1:$5000,M4338,FALSE)</f>
        <v>0</v>
      </c>
      <c r="U4338">
        <f t="shared" si="202"/>
        <v>0</v>
      </c>
      <c r="V4338">
        <f>HLOOKUP("In Use MiB",'vInfo (Imported)'!$1:$5000,M4338,FALSE)</f>
        <v>0</v>
      </c>
    </row>
    <row r="4339" spans="1:22" ht="13" x14ac:dyDescent="0.3">
      <c r="A4339" s="46">
        <f>'vHosts (Imported)'!A4339</f>
        <v>0</v>
      </c>
      <c r="B4339" s="51">
        <f t="shared" si="204"/>
        <v>4968</v>
      </c>
      <c r="C4339" s="49">
        <f>HLOOKUP("# Cores",'vHosts (Imported)'!$1:$5000,M4339,FALSE)</f>
        <v>0</v>
      </c>
      <c r="D4339" s="52">
        <f>HLOOKUP("# Memory",'vHosts (Imported)'!$1:$5000,M4339,FALSE)</f>
        <v>0</v>
      </c>
      <c r="M4339" s="45">
        <f t="shared" si="203"/>
        <v>4339</v>
      </c>
      <c r="N4339" s="38">
        <f>HLOOKUP("Host",'vInfo (Imported)'!$1:$5000,M4339,FALSE)</f>
        <v>0</v>
      </c>
      <c r="R4339">
        <f>HLOOKUP("CPUs",'vInfo (Imported)'!$1:$5000,M4339,FALSE)</f>
        <v>0</v>
      </c>
      <c r="S4339">
        <f>HLOOKUP("Memory",'vInfo (Imported)'!$1:$5000,M4339,FALSE)</f>
        <v>0</v>
      </c>
      <c r="T4339">
        <f>HLOOKUP("Provisioned MiB",'vInfo (Imported)'!$1:$5000,M4339,FALSE)</f>
        <v>0</v>
      </c>
      <c r="U4339">
        <f t="shared" si="202"/>
        <v>0</v>
      </c>
      <c r="V4339">
        <f>HLOOKUP("In Use MiB",'vInfo (Imported)'!$1:$5000,M4339,FALSE)</f>
        <v>0</v>
      </c>
    </row>
    <row r="4340" spans="1:22" ht="13" x14ac:dyDescent="0.3">
      <c r="A4340" s="46">
        <f>'vHosts (Imported)'!A4340</f>
        <v>0</v>
      </c>
      <c r="B4340" s="51">
        <f t="shared" si="204"/>
        <v>4968</v>
      </c>
      <c r="C4340" s="49">
        <f>HLOOKUP("# Cores",'vHosts (Imported)'!$1:$5000,M4340,FALSE)</f>
        <v>0</v>
      </c>
      <c r="D4340" s="52">
        <f>HLOOKUP("# Memory",'vHosts (Imported)'!$1:$5000,M4340,FALSE)</f>
        <v>0</v>
      </c>
      <c r="M4340" s="45">
        <f t="shared" si="203"/>
        <v>4340</v>
      </c>
      <c r="N4340" s="38">
        <f>HLOOKUP("Host",'vInfo (Imported)'!$1:$5000,M4340,FALSE)</f>
        <v>0</v>
      </c>
      <c r="R4340">
        <f>HLOOKUP("CPUs",'vInfo (Imported)'!$1:$5000,M4340,FALSE)</f>
        <v>0</v>
      </c>
      <c r="S4340">
        <f>HLOOKUP("Memory",'vInfo (Imported)'!$1:$5000,M4340,FALSE)</f>
        <v>0</v>
      </c>
      <c r="T4340">
        <f>HLOOKUP("Provisioned MiB",'vInfo (Imported)'!$1:$5000,M4340,FALSE)</f>
        <v>0</v>
      </c>
      <c r="U4340">
        <f t="shared" si="202"/>
        <v>0</v>
      </c>
      <c r="V4340">
        <f>HLOOKUP("In Use MiB",'vInfo (Imported)'!$1:$5000,M4340,FALSE)</f>
        <v>0</v>
      </c>
    </row>
    <row r="4341" spans="1:22" ht="13" x14ac:dyDescent="0.3">
      <c r="A4341" s="46">
        <f>'vHosts (Imported)'!A4341</f>
        <v>0</v>
      </c>
      <c r="B4341" s="51">
        <f t="shared" si="204"/>
        <v>4968</v>
      </c>
      <c r="C4341" s="49">
        <f>HLOOKUP("# Cores",'vHosts (Imported)'!$1:$5000,M4341,FALSE)</f>
        <v>0</v>
      </c>
      <c r="D4341" s="52">
        <f>HLOOKUP("# Memory",'vHosts (Imported)'!$1:$5000,M4341,FALSE)</f>
        <v>0</v>
      </c>
      <c r="M4341" s="45">
        <f t="shared" si="203"/>
        <v>4341</v>
      </c>
      <c r="N4341" s="38">
        <f>HLOOKUP("Host",'vInfo (Imported)'!$1:$5000,M4341,FALSE)</f>
        <v>0</v>
      </c>
      <c r="R4341">
        <f>HLOOKUP("CPUs",'vInfo (Imported)'!$1:$5000,M4341,FALSE)</f>
        <v>0</v>
      </c>
      <c r="S4341">
        <f>HLOOKUP("Memory",'vInfo (Imported)'!$1:$5000,M4341,FALSE)</f>
        <v>0</v>
      </c>
      <c r="T4341">
        <f>HLOOKUP("Provisioned MiB",'vInfo (Imported)'!$1:$5000,M4341,FALSE)</f>
        <v>0</v>
      </c>
      <c r="U4341">
        <f t="shared" si="202"/>
        <v>0</v>
      </c>
      <c r="V4341">
        <f>HLOOKUP("In Use MiB",'vInfo (Imported)'!$1:$5000,M4341,FALSE)</f>
        <v>0</v>
      </c>
    </row>
    <row r="4342" spans="1:22" ht="13" x14ac:dyDescent="0.3">
      <c r="A4342" s="46">
        <f>'vHosts (Imported)'!A4342</f>
        <v>0</v>
      </c>
      <c r="B4342" s="51">
        <f t="shared" si="204"/>
        <v>4968</v>
      </c>
      <c r="C4342" s="49">
        <f>HLOOKUP("# Cores",'vHosts (Imported)'!$1:$5000,M4342,FALSE)</f>
        <v>0</v>
      </c>
      <c r="D4342" s="52">
        <f>HLOOKUP("# Memory",'vHosts (Imported)'!$1:$5000,M4342,FALSE)</f>
        <v>0</v>
      </c>
      <c r="M4342" s="45">
        <f t="shared" si="203"/>
        <v>4342</v>
      </c>
      <c r="N4342" s="38">
        <f>HLOOKUP("Host",'vInfo (Imported)'!$1:$5000,M4342,FALSE)</f>
        <v>0</v>
      </c>
      <c r="R4342">
        <f>HLOOKUP("CPUs",'vInfo (Imported)'!$1:$5000,M4342,FALSE)</f>
        <v>0</v>
      </c>
      <c r="S4342">
        <f>HLOOKUP("Memory",'vInfo (Imported)'!$1:$5000,M4342,FALSE)</f>
        <v>0</v>
      </c>
      <c r="T4342">
        <f>HLOOKUP("Provisioned MiB",'vInfo (Imported)'!$1:$5000,M4342,FALSE)</f>
        <v>0</v>
      </c>
      <c r="U4342">
        <f t="shared" si="202"/>
        <v>0</v>
      </c>
      <c r="V4342">
        <f>HLOOKUP("In Use MiB",'vInfo (Imported)'!$1:$5000,M4342,FALSE)</f>
        <v>0</v>
      </c>
    </row>
    <row r="4343" spans="1:22" ht="13" x14ac:dyDescent="0.3">
      <c r="A4343" s="46">
        <f>'vHosts (Imported)'!A4343</f>
        <v>0</v>
      </c>
      <c r="B4343" s="51">
        <f t="shared" si="204"/>
        <v>4968</v>
      </c>
      <c r="C4343" s="49">
        <f>HLOOKUP("# Cores",'vHosts (Imported)'!$1:$5000,M4343,FALSE)</f>
        <v>0</v>
      </c>
      <c r="D4343" s="52">
        <f>HLOOKUP("# Memory",'vHosts (Imported)'!$1:$5000,M4343,FALSE)</f>
        <v>0</v>
      </c>
      <c r="M4343" s="45">
        <f t="shared" si="203"/>
        <v>4343</v>
      </c>
      <c r="N4343" s="38">
        <f>HLOOKUP("Host",'vInfo (Imported)'!$1:$5000,M4343,FALSE)</f>
        <v>0</v>
      </c>
      <c r="R4343">
        <f>HLOOKUP("CPUs",'vInfo (Imported)'!$1:$5000,M4343,FALSE)</f>
        <v>0</v>
      </c>
      <c r="S4343">
        <f>HLOOKUP("Memory",'vInfo (Imported)'!$1:$5000,M4343,FALSE)</f>
        <v>0</v>
      </c>
      <c r="T4343">
        <f>HLOOKUP("Provisioned MiB",'vInfo (Imported)'!$1:$5000,M4343,FALSE)</f>
        <v>0</v>
      </c>
      <c r="U4343">
        <f t="shared" si="202"/>
        <v>0</v>
      </c>
      <c r="V4343">
        <f>HLOOKUP("In Use MiB",'vInfo (Imported)'!$1:$5000,M4343,FALSE)</f>
        <v>0</v>
      </c>
    </row>
    <row r="4344" spans="1:22" ht="13" x14ac:dyDescent="0.3">
      <c r="A4344" s="46">
        <f>'vHosts (Imported)'!A4344</f>
        <v>0</v>
      </c>
      <c r="B4344" s="51">
        <f t="shared" si="204"/>
        <v>4968</v>
      </c>
      <c r="C4344" s="49">
        <f>HLOOKUP("# Cores",'vHosts (Imported)'!$1:$5000,M4344,FALSE)</f>
        <v>0</v>
      </c>
      <c r="D4344" s="52">
        <f>HLOOKUP("# Memory",'vHosts (Imported)'!$1:$5000,M4344,FALSE)</f>
        <v>0</v>
      </c>
      <c r="M4344" s="45">
        <f t="shared" si="203"/>
        <v>4344</v>
      </c>
      <c r="N4344" s="38">
        <f>HLOOKUP("Host",'vInfo (Imported)'!$1:$5000,M4344,FALSE)</f>
        <v>0</v>
      </c>
      <c r="R4344">
        <f>HLOOKUP("CPUs",'vInfo (Imported)'!$1:$5000,M4344,FALSE)</f>
        <v>0</v>
      </c>
      <c r="S4344">
        <f>HLOOKUP("Memory",'vInfo (Imported)'!$1:$5000,M4344,FALSE)</f>
        <v>0</v>
      </c>
      <c r="T4344">
        <f>HLOOKUP("Provisioned MiB",'vInfo (Imported)'!$1:$5000,M4344,FALSE)</f>
        <v>0</v>
      </c>
      <c r="U4344">
        <f t="shared" si="202"/>
        <v>0</v>
      </c>
      <c r="V4344">
        <f>HLOOKUP("In Use MiB",'vInfo (Imported)'!$1:$5000,M4344,FALSE)</f>
        <v>0</v>
      </c>
    </row>
    <row r="4345" spans="1:22" ht="13" x14ac:dyDescent="0.3">
      <c r="A4345" s="46">
        <f>'vHosts (Imported)'!A4345</f>
        <v>0</v>
      </c>
      <c r="B4345" s="51">
        <f t="shared" si="204"/>
        <v>4968</v>
      </c>
      <c r="C4345" s="49">
        <f>HLOOKUP("# Cores",'vHosts (Imported)'!$1:$5000,M4345,FALSE)</f>
        <v>0</v>
      </c>
      <c r="D4345" s="52">
        <f>HLOOKUP("# Memory",'vHosts (Imported)'!$1:$5000,M4345,FALSE)</f>
        <v>0</v>
      </c>
      <c r="M4345" s="45">
        <f t="shared" si="203"/>
        <v>4345</v>
      </c>
      <c r="N4345" s="38">
        <f>HLOOKUP("Host",'vInfo (Imported)'!$1:$5000,M4345,FALSE)</f>
        <v>0</v>
      </c>
      <c r="R4345">
        <f>HLOOKUP("CPUs",'vInfo (Imported)'!$1:$5000,M4345,FALSE)</f>
        <v>0</v>
      </c>
      <c r="S4345">
        <f>HLOOKUP("Memory",'vInfo (Imported)'!$1:$5000,M4345,FALSE)</f>
        <v>0</v>
      </c>
      <c r="T4345">
        <f>HLOOKUP("Provisioned MiB",'vInfo (Imported)'!$1:$5000,M4345,FALSE)</f>
        <v>0</v>
      </c>
      <c r="U4345">
        <f t="shared" si="202"/>
        <v>0</v>
      </c>
      <c r="V4345">
        <f>HLOOKUP("In Use MiB",'vInfo (Imported)'!$1:$5000,M4345,FALSE)</f>
        <v>0</v>
      </c>
    </row>
    <row r="4346" spans="1:22" ht="13" x14ac:dyDescent="0.3">
      <c r="A4346" s="46">
        <f>'vHosts (Imported)'!A4346</f>
        <v>0</v>
      </c>
      <c r="B4346" s="51">
        <f t="shared" si="204"/>
        <v>4968</v>
      </c>
      <c r="C4346" s="49">
        <f>HLOOKUP("# Cores",'vHosts (Imported)'!$1:$5000,M4346,FALSE)</f>
        <v>0</v>
      </c>
      <c r="D4346" s="52">
        <f>HLOOKUP("# Memory",'vHosts (Imported)'!$1:$5000,M4346,FALSE)</f>
        <v>0</v>
      </c>
      <c r="M4346" s="45">
        <f t="shared" si="203"/>
        <v>4346</v>
      </c>
      <c r="N4346" s="38">
        <f>HLOOKUP("Host",'vInfo (Imported)'!$1:$5000,M4346,FALSE)</f>
        <v>0</v>
      </c>
      <c r="R4346">
        <f>HLOOKUP("CPUs",'vInfo (Imported)'!$1:$5000,M4346,FALSE)</f>
        <v>0</v>
      </c>
      <c r="S4346">
        <f>HLOOKUP("Memory",'vInfo (Imported)'!$1:$5000,M4346,FALSE)</f>
        <v>0</v>
      </c>
      <c r="T4346">
        <f>HLOOKUP("Provisioned MiB",'vInfo (Imported)'!$1:$5000,M4346,FALSE)</f>
        <v>0</v>
      </c>
      <c r="U4346">
        <f t="shared" si="202"/>
        <v>0</v>
      </c>
      <c r="V4346">
        <f>HLOOKUP("In Use MiB",'vInfo (Imported)'!$1:$5000,M4346,FALSE)</f>
        <v>0</v>
      </c>
    </row>
    <row r="4347" spans="1:22" ht="13" x14ac:dyDescent="0.3">
      <c r="A4347" s="46">
        <f>'vHosts (Imported)'!A4347</f>
        <v>0</v>
      </c>
      <c r="B4347" s="51">
        <f t="shared" si="204"/>
        <v>4968</v>
      </c>
      <c r="C4347" s="49">
        <f>HLOOKUP("# Cores",'vHosts (Imported)'!$1:$5000,M4347,FALSE)</f>
        <v>0</v>
      </c>
      <c r="D4347" s="52">
        <f>HLOOKUP("# Memory",'vHosts (Imported)'!$1:$5000,M4347,FALSE)</f>
        <v>0</v>
      </c>
      <c r="M4347" s="45">
        <f t="shared" si="203"/>
        <v>4347</v>
      </c>
      <c r="N4347" s="38">
        <f>HLOOKUP("Host",'vInfo (Imported)'!$1:$5000,M4347,FALSE)</f>
        <v>0</v>
      </c>
      <c r="R4347">
        <f>HLOOKUP("CPUs",'vInfo (Imported)'!$1:$5000,M4347,FALSE)</f>
        <v>0</v>
      </c>
      <c r="S4347">
        <f>HLOOKUP("Memory",'vInfo (Imported)'!$1:$5000,M4347,FALSE)</f>
        <v>0</v>
      </c>
      <c r="T4347">
        <f>HLOOKUP("Provisioned MiB",'vInfo (Imported)'!$1:$5000,M4347,FALSE)</f>
        <v>0</v>
      </c>
      <c r="U4347">
        <f t="shared" si="202"/>
        <v>0</v>
      </c>
      <c r="V4347">
        <f>HLOOKUP("In Use MiB",'vInfo (Imported)'!$1:$5000,M4347,FALSE)</f>
        <v>0</v>
      </c>
    </row>
    <row r="4348" spans="1:22" ht="13" x14ac:dyDescent="0.3">
      <c r="A4348" s="46">
        <f>'vHosts (Imported)'!A4348</f>
        <v>0</v>
      </c>
      <c r="B4348" s="51">
        <f t="shared" si="204"/>
        <v>4968</v>
      </c>
      <c r="C4348" s="49">
        <f>HLOOKUP("# Cores",'vHosts (Imported)'!$1:$5000,M4348,FALSE)</f>
        <v>0</v>
      </c>
      <c r="D4348" s="52">
        <f>HLOOKUP("# Memory",'vHosts (Imported)'!$1:$5000,M4348,FALSE)</f>
        <v>0</v>
      </c>
      <c r="M4348" s="45">
        <f t="shared" si="203"/>
        <v>4348</v>
      </c>
      <c r="N4348" s="38">
        <f>HLOOKUP("Host",'vInfo (Imported)'!$1:$5000,M4348,FALSE)</f>
        <v>0</v>
      </c>
      <c r="R4348">
        <f>HLOOKUP("CPUs",'vInfo (Imported)'!$1:$5000,M4348,FALSE)</f>
        <v>0</v>
      </c>
      <c r="S4348">
        <f>HLOOKUP("Memory",'vInfo (Imported)'!$1:$5000,M4348,FALSE)</f>
        <v>0</v>
      </c>
      <c r="T4348">
        <f>HLOOKUP("Provisioned MiB",'vInfo (Imported)'!$1:$5000,M4348,FALSE)</f>
        <v>0</v>
      </c>
      <c r="U4348">
        <f t="shared" si="202"/>
        <v>0</v>
      </c>
      <c r="V4348">
        <f>HLOOKUP("In Use MiB",'vInfo (Imported)'!$1:$5000,M4348,FALSE)</f>
        <v>0</v>
      </c>
    </row>
    <row r="4349" spans="1:22" ht="13" x14ac:dyDescent="0.3">
      <c r="A4349" s="46">
        <f>'vHosts (Imported)'!A4349</f>
        <v>0</v>
      </c>
      <c r="B4349" s="51">
        <f t="shared" si="204"/>
        <v>4968</v>
      </c>
      <c r="C4349" s="49">
        <f>HLOOKUP("# Cores",'vHosts (Imported)'!$1:$5000,M4349,FALSE)</f>
        <v>0</v>
      </c>
      <c r="D4349" s="52">
        <f>HLOOKUP("# Memory",'vHosts (Imported)'!$1:$5000,M4349,FALSE)</f>
        <v>0</v>
      </c>
      <c r="M4349" s="45">
        <f t="shared" si="203"/>
        <v>4349</v>
      </c>
      <c r="N4349" s="38">
        <f>HLOOKUP("Host",'vInfo (Imported)'!$1:$5000,M4349,FALSE)</f>
        <v>0</v>
      </c>
      <c r="R4349">
        <f>HLOOKUP("CPUs",'vInfo (Imported)'!$1:$5000,M4349,FALSE)</f>
        <v>0</v>
      </c>
      <c r="S4349">
        <f>HLOOKUP("Memory",'vInfo (Imported)'!$1:$5000,M4349,FALSE)</f>
        <v>0</v>
      </c>
      <c r="T4349">
        <f>HLOOKUP("Provisioned MiB",'vInfo (Imported)'!$1:$5000,M4349,FALSE)</f>
        <v>0</v>
      </c>
      <c r="U4349">
        <f t="shared" si="202"/>
        <v>0</v>
      </c>
      <c r="V4349">
        <f>HLOOKUP("In Use MiB",'vInfo (Imported)'!$1:$5000,M4349,FALSE)</f>
        <v>0</v>
      </c>
    </row>
    <row r="4350" spans="1:22" ht="13" x14ac:dyDescent="0.3">
      <c r="A4350" s="46">
        <f>'vHosts (Imported)'!A4350</f>
        <v>0</v>
      </c>
      <c r="B4350" s="51">
        <f t="shared" si="204"/>
        <v>4968</v>
      </c>
      <c r="C4350" s="49">
        <f>HLOOKUP("# Cores",'vHosts (Imported)'!$1:$5000,M4350,FALSE)</f>
        <v>0</v>
      </c>
      <c r="D4350" s="52">
        <f>HLOOKUP("# Memory",'vHosts (Imported)'!$1:$5000,M4350,FALSE)</f>
        <v>0</v>
      </c>
      <c r="M4350" s="45">
        <f t="shared" si="203"/>
        <v>4350</v>
      </c>
      <c r="N4350" s="38">
        <f>HLOOKUP("Host",'vInfo (Imported)'!$1:$5000,M4350,FALSE)</f>
        <v>0</v>
      </c>
      <c r="R4350">
        <f>HLOOKUP("CPUs",'vInfo (Imported)'!$1:$5000,M4350,FALSE)</f>
        <v>0</v>
      </c>
      <c r="S4350">
        <f>HLOOKUP("Memory",'vInfo (Imported)'!$1:$5000,M4350,FALSE)</f>
        <v>0</v>
      </c>
      <c r="T4350">
        <f>HLOOKUP("Provisioned MiB",'vInfo (Imported)'!$1:$5000,M4350,FALSE)</f>
        <v>0</v>
      </c>
      <c r="U4350">
        <f t="shared" si="202"/>
        <v>0</v>
      </c>
      <c r="V4350">
        <f>HLOOKUP("In Use MiB",'vInfo (Imported)'!$1:$5000,M4350,FALSE)</f>
        <v>0</v>
      </c>
    </row>
    <row r="4351" spans="1:22" ht="13" x14ac:dyDescent="0.3">
      <c r="A4351" s="46">
        <f>'vHosts (Imported)'!A4351</f>
        <v>0</v>
      </c>
      <c r="B4351" s="51">
        <f t="shared" si="204"/>
        <v>4968</v>
      </c>
      <c r="C4351" s="49">
        <f>HLOOKUP("# Cores",'vHosts (Imported)'!$1:$5000,M4351,FALSE)</f>
        <v>0</v>
      </c>
      <c r="D4351" s="52">
        <f>HLOOKUP("# Memory",'vHosts (Imported)'!$1:$5000,M4351,FALSE)</f>
        <v>0</v>
      </c>
      <c r="M4351" s="45">
        <f t="shared" si="203"/>
        <v>4351</v>
      </c>
      <c r="N4351" s="38">
        <f>HLOOKUP("Host",'vInfo (Imported)'!$1:$5000,M4351,FALSE)</f>
        <v>0</v>
      </c>
      <c r="R4351">
        <f>HLOOKUP("CPUs",'vInfo (Imported)'!$1:$5000,M4351,FALSE)</f>
        <v>0</v>
      </c>
      <c r="S4351">
        <f>HLOOKUP("Memory",'vInfo (Imported)'!$1:$5000,M4351,FALSE)</f>
        <v>0</v>
      </c>
      <c r="T4351">
        <f>HLOOKUP("Provisioned MiB",'vInfo (Imported)'!$1:$5000,M4351,FALSE)</f>
        <v>0</v>
      </c>
      <c r="U4351">
        <f t="shared" si="202"/>
        <v>0</v>
      </c>
      <c r="V4351">
        <f>HLOOKUP("In Use MiB",'vInfo (Imported)'!$1:$5000,M4351,FALSE)</f>
        <v>0</v>
      </c>
    </row>
    <row r="4352" spans="1:22" ht="13" x14ac:dyDescent="0.3">
      <c r="A4352" s="46">
        <f>'vHosts (Imported)'!A4352</f>
        <v>0</v>
      </c>
      <c r="B4352" s="51">
        <f t="shared" si="204"/>
        <v>4968</v>
      </c>
      <c r="C4352" s="49">
        <f>HLOOKUP("# Cores",'vHosts (Imported)'!$1:$5000,M4352,FALSE)</f>
        <v>0</v>
      </c>
      <c r="D4352" s="52">
        <f>HLOOKUP("# Memory",'vHosts (Imported)'!$1:$5000,M4352,FALSE)</f>
        <v>0</v>
      </c>
      <c r="M4352" s="45">
        <f t="shared" si="203"/>
        <v>4352</v>
      </c>
      <c r="N4352" s="38">
        <f>HLOOKUP("Host",'vInfo (Imported)'!$1:$5000,M4352,FALSE)</f>
        <v>0</v>
      </c>
      <c r="R4352">
        <f>HLOOKUP("CPUs",'vInfo (Imported)'!$1:$5000,M4352,FALSE)</f>
        <v>0</v>
      </c>
      <c r="S4352">
        <f>HLOOKUP("Memory",'vInfo (Imported)'!$1:$5000,M4352,FALSE)</f>
        <v>0</v>
      </c>
      <c r="T4352">
        <f>HLOOKUP("Provisioned MiB",'vInfo (Imported)'!$1:$5000,M4352,FALSE)</f>
        <v>0</v>
      </c>
      <c r="U4352">
        <f t="shared" si="202"/>
        <v>0</v>
      </c>
      <c r="V4352">
        <f>HLOOKUP("In Use MiB",'vInfo (Imported)'!$1:$5000,M4352,FALSE)</f>
        <v>0</v>
      </c>
    </row>
    <row r="4353" spans="1:22" ht="13" x14ac:dyDescent="0.3">
      <c r="A4353" s="46">
        <f>'vHosts (Imported)'!A4353</f>
        <v>0</v>
      </c>
      <c r="B4353" s="51">
        <f t="shared" si="204"/>
        <v>4968</v>
      </c>
      <c r="C4353" s="49">
        <f>HLOOKUP("# Cores",'vHosts (Imported)'!$1:$5000,M4353,FALSE)</f>
        <v>0</v>
      </c>
      <c r="D4353" s="52">
        <f>HLOOKUP("# Memory",'vHosts (Imported)'!$1:$5000,M4353,FALSE)</f>
        <v>0</v>
      </c>
      <c r="M4353" s="45">
        <f t="shared" si="203"/>
        <v>4353</v>
      </c>
      <c r="N4353" s="38">
        <f>HLOOKUP("Host",'vInfo (Imported)'!$1:$5000,M4353,FALSE)</f>
        <v>0</v>
      </c>
      <c r="R4353">
        <f>HLOOKUP("CPUs",'vInfo (Imported)'!$1:$5000,M4353,FALSE)</f>
        <v>0</v>
      </c>
      <c r="S4353">
        <f>HLOOKUP("Memory",'vInfo (Imported)'!$1:$5000,M4353,FALSE)</f>
        <v>0</v>
      </c>
      <c r="T4353">
        <f>HLOOKUP("Provisioned MiB",'vInfo (Imported)'!$1:$5000,M4353,FALSE)</f>
        <v>0</v>
      </c>
      <c r="U4353">
        <f t="shared" si="202"/>
        <v>0</v>
      </c>
      <c r="V4353">
        <f>HLOOKUP("In Use MiB",'vInfo (Imported)'!$1:$5000,M4353,FALSE)</f>
        <v>0</v>
      </c>
    </row>
    <row r="4354" spans="1:22" ht="13" x14ac:dyDescent="0.3">
      <c r="A4354" s="46">
        <f>'vHosts (Imported)'!A4354</f>
        <v>0</v>
      </c>
      <c r="B4354" s="51">
        <f t="shared" si="204"/>
        <v>4968</v>
      </c>
      <c r="C4354" s="49">
        <f>HLOOKUP("# Cores",'vHosts (Imported)'!$1:$5000,M4354,FALSE)</f>
        <v>0</v>
      </c>
      <c r="D4354" s="52">
        <f>HLOOKUP("# Memory",'vHosts (Imported)'!$1:$5000,M4354,FALSE)</f>
        <v>0</v>
      </c>
      <c r="M4354" s="45">
        <f t="shared" si="203"/>
        <v>4354</v>
      </c>
      <c r="N4354" s="38">
        <f>HLOOKUP("Host",'vInfo (Imported)'!$1:$5000,M4354,FALSE)</f>
        <v>0</v>
      </c>
      <c r="R4354">
        <f>HLOOKUP("CPUs",'vInfo (Imported)'!$1:$5000,M4354,FALSE)</f>
        <v>0</v>
      </c>
      <c r="S4354">
        <f>HLOOKUP("Memory",'vInfo (Imported)'!$1:$5000,M4354,FALSE)</f>
        <v>0</v>
      </c>
      <c r="T4354">
        <f>HLOOKUP("Provisioned MiB",'vInfo (Imported)'!$1:$5000,M4354,FALSE)</f>
        <v>0</v>
      </c>
      <c r="U4354">
        <f t="shared" si="202"/>
        <v>0</v>
      </c>
      <c r="V4354">
        <f>HLOOKUP("In Use MiB",'vInfo (Imported)'!$1:$5000,M4354,FALSE)</f>
        <v>0</v>
      </c>
    </row>
    <row r="4355" spans="1:22" ht="13" x14ac:dyDescent="0.3">
      <c r="A4355" s="46">
        <f>'vHosts (Imported)'!A4355</f>
        <v>0</v>
      </c>
      <c r="B4355" s="51">
        <f t="shared" si="204"/>
        <v>4968</v>
      </c>
      <c r="C4355" s="49">
        <f>HLOOKUP("# Cores",'vHosts (Imported)'!$1:$5000,M4355,FALSE)</f>
        <v>0</v>
      </c>
      <c r="D4355" s="52">
        <f>HLOOKUP("# Memory",'vHosts (Imported)'!$1:$5000,M4355,FALSE)</f>
        <v>0</v>
      </c>
      <c r="M4355" s="45">
        <f t="shared" si="203"/>
        <v>4355</v>
      </c>
      <c r="N4355" s="38">
        <f>HLOOKUP("Host",'vInfo (Imported)'!$1:$5000,M4355,FALSE)</f>
        <v>0</v>
      </c>
      <c r="R4355">
        <f>HLOOKUP("CPUs",'vInfo (Imported)'!$1:$5000,M4355,FALSE)</f>
        <v>0</v>
      </c>
      <c r="S4355">
        <f>HLOOKUP("Memory",'vInfo (Imported)'!$1:$5000,M4355,FALSE)</f>
        <v>0</v>
      </c>
      <c r="T4355">
        <f>HLOOKUP("Provisioned MiB",'vInfo (Imported)'!$1:$5000,M4355,FALSE)</f>
        <v>0</v>
      </c>
      <c r="U4355">
        <f t="shared" ref="U4355:U4418" si="205">T4355-V4355</f>
        <v>0</v>
      </c>
      <c r="V4355">
        <f>HLOOKUP("In Use MiB",'vInfo (Imported)'!$1:$5000,M4355,FALSE)</f>
        <v>0</v>
      </c>
    </row>
    <row r="4356" spans="1:22" ht="13" x14ac:dyDescent="0.3">
      <c r="A4356" s="46">
        <f>'vHosts (Imported)'!A4356</f>
        <v>0</v>
      </c>
      <c r="B4356" s="51">
        <f t="shared" si="204"/>
        <v>4968</v>
      </c>
      <c r="C4356" s="49">
        <f>HLOOKUP("# Cores",'vHosts (Imported)'!$1:$5000,M4356,FALSE)</f>
        <v>0</v>
      </c>
      <c r="D4356" s="52">
        <f>HLOOKUP("# Memory",'vHosts (Imported)'!$1:$5000,M4356,FALSE)</f>
        <v>0</v>
      </c>
      <c r="M4356" s="45">
        <f t="shared" ref="M4356:M4419" si="206">M4355+1</f>
        <v>4356</v>
      </c>
      <c r="N4356" s="38">
        <f>HLOOKUP("Host",'vInfo (Imported)'!$1:$5000,M4356,FALSE)</f>
        <v>0</v>
      </c>
      <c r="R4356">
        <f>HLOOKUP("CPUs",'vInfo (Imported)'!$1:$5000,M4356,FALSE)</f>
        <v>0</v>
      </c>
      <c r="S4356">
        <f>HLOOKUP("Memory",'vInfo (Imported)'!$1:$5000,M4356,FALSE)</f>
        <v>0</v>
      </c>
      <c r="T4356">
        <f>HLOOKUP("Provisioned MiB",'vInfo (Imported)'!$1:$5000,M4356,FALSE)</f>
        <v>0</v>
      </c>
      <c r="U4356">
        <f t="shared" si="205"/>
        <v>0</v>
      </c>
      <c r="V4356">
        <f>HLOOKUP("In Use MiB",'vInfo (Imported)'!$1:$5000,M4356,FALSE)</f>
        <v>0</v>
      </c>
    </row>
    <row r="4357" spans="1:22" ht="13" x14ac:dyDescent="0.3">
      <c r="A4357" s="46">
        <f>'vHosts (Imported)'!A4357</f>
        <v>0</v>
      </c>
      <c r="B4357" s="51">
        <f t="shared" si="204"/>
        <v>4968</v>
      </c>
      <c r="C4357" s="49">
        <f>HLOOKUP("# Cores",'vHosts (Imported)'!$1:$5000,M4357,FALSE)</f>
        <v>0</v>
      </c>
      <c r="D4357" s="52">
        <f>HLOOKUP("# Memory",'vHosts (Imported)'!$1:$5000,M4357,FALSE)</f>
        <v>0</v>
      </c>
      <c r="M4357" s="45">
        <f t="shared" si="206"/>
        <v>4357</v>
      </c>
      <c r="N4357" s="38">
        <f>HLOOKUP("Host",'vInfo (Imported)'!$1:$5000,M4357,FALSE)</f>
        <v>0</v>
      </c>
      <c r="R4357">
        <f>HLOOKUP("CPUs",'vInfo (Imported)'!$1:$5000,M4357,FALSE)</f>
        <v>0</v>
      </c>
      <c r="S4357">
        <f>HLOOKUP("Memory",'vInfo (Imported)'!$1:$5000,M4357,FALSE)</f>
        <v>0</v>
      </c>
      <c r="T4357">
        <f>HLOOKUP("Provisioned MiB",'vInfo (Imported)'!$1:$5000,M4357,FALSE)</f>
        <v>0</v>
      </c>
      <c r="U4357">
        <f t="shared" si="205"/>
        <v>0</v>
      </c>
      <c r="V4357">
        <f>HLOOKUP("In Use MiB",'vInfo (Imported)'!$1:$5000,M4357,FALSE)</f>
        <v>0</v>
      </c>
    </row>
    <row r="4358" spans="1:22" ht="13" x14ac:dyDescent="0.3">
      <c r="A4358" s="46">
        <f>'vHosts (Imported)'!A4358</f>
        <v>0</v>
      </c>
      <c r="B4358" s="51">
        <f t="shared" si="204"/>
        <v>4968</v>
      </c>
      <c r="C4358" s="49">
        <f>HLOOKUP("# Cores",'vHosts (Imported)'!$1:$5000,M4358,FALSE)</f>
        <v>0</v>
      </c>
      <c r="D4358" s="52">
        <f>HLOOKUP("# Memory",'vHosts (Imported)'!$1:$5000,M4358,FALSE)</f>
        <v>0</v>
      </c>
      <c r="M4358" s="45">
        <f t="shared" si="206"/>
        <v>4358</v>
      </c>
      <c r="N4358" s="38">
        <f>HLOOKUP("Host",'vInfo (Imported)'!$1:$5000,M4358,FALSE)</f>
        <v>0</v>
      </c>
      <c r="R4358">
        <f>HLOOKUP("CPUs",'vInfo (Imported)'!$1:$5000,M4358,FALSE)</f>
        <v>0</v>
      </c>
      <c r="S4358">
        <f>HLOOKUP("Memory",'vInfo (Imported)'!$1:$5000,M4358,FALSE)</f>
        <v>0</v>
      </c>
      <c r="T4358">
        <f>HLOOKUP("Provisioned MiB",'vInfo (Imported)'!$1:$5000,M4358,FALSE)</f>
        <v>0</v>
      </c>
      <c r="U4358">
        <f t="shared" si="205"/>
        <v>0</v>
      </c>
      <c r="V4358">
        <f>HLOOKUP("In Use MiB",'vInfo (Imported)'!$1:$5000,M4358,FALSE)</f>
        <v>0</v>
      </c>
    </row>
    <row r="4359" spans="1:22" ht="13" x14ac:dyDescent="0.3">
      <c r="A4359" s="46">
        <f>'vHosts (Imported)'!A4359</f>
        <v>0</v>
      </c>
      <c r="B4359" s="51">
        <f t="shared" si="204"/>
        <v>4968</v>
      </c>
      <c r="C4359" s="49">
        <f>HLOOKUP("# Cores",'vHosts (Imported)'!$1:$5000,M4359,FALSE)</f>
        <v>0</v>
      </c>
      <c r="D4359" s="52">
        <f>HLOOKUP("# Memory",'vHosts (Imported)'!$1:$5000,M4359,FALSE)</f>
        <v>0</v>
      </c>
      <c r="M4359" s="45">
        <f t="shared" si="206"/>
        <v>4359</v>
      </c>
      <c r="N4359" s="38">
        <f>HLOOKUP("Host",'vInfo (Imported)'!$1:$5000,M4359,FALSE)</f>
        <v>0</v>
      </c>
      <c r="R4359">
        <f>HLOOKUP("CPUs",'vInfo (Imported)'!$1:$5000,M4359,FALSE)</f>
        <v>0</v>
      </c>
      <c r="S4359">
        <f>HLOOKUP("Memory",'vInfo (Imported)'!$1:$5000,M4359,FALSE)</f>
        <v>0</v>
      </c>
      <c r="T4359">
        <f>HLOOKUP("Provisioned MiB",'vInfo (Imported)'!$1:$5000,M4359,FALSE)</f>
        <v>0</v>
      </c>
      <c r="U4359">
        <f t="shared" si="205"/>
        <v>0</v>
      </c>
      <c r="V4359">
        <f>HLOOKUP("In Use MiB",'vInfo (Imported)'!$1:$5000,M4359,FALSE)</f>
        <v>0</v>
      </c>
    </row>
    <row r="4360" spans="1:22" ht="13" x14ac:dyDescent="0.3">
      <c r="A4360" s="46">
        <f>'vHosts (Imported)'!A4360</f>
        <v>0</v>
      </c>
      <c r="B4360" s="51">
        <f t="shared" si="204"/>
        <v>4968</v>
      </c>
      <c r="C4360" s="49">
        <f>HLOOKUP("# Cores",'vHosts (Imported)'!$1:$5000,M4360,FALSE)</f>
        <v>0</v>
      </c>
      <c r="D4360" s="52">
        <f>HLOOKUP("# Memory",'vHosts (Imported)'!$1:$5000,M4360,FALSE)</f>
        <v>0</v>
      </c>
      <c r="M4360" s="45">
        <f t="shared" si="206"/>
        <v>4360</v>
      </c>
      <c r="N4360" s="38">
        <f>HLOOKUP("Host",'vInfo (Imported)'!$1:$5000,M4360,FALSE)</f>
        <v>0</v>
      </c>
      <c r="R4360">
        <f>HLOOKUP("CPUs",'vInfo (Imported)'!$1:$5000,M4360,FALSE)</f>
        <v>0</v>
      </c>
      <c r="S4360">
        <f>HLOOKUP("Memory",'vInfo (Imported)'!$1:$5000,M4360,FALSE)</f>
        <v>0</v>
      </c>
      <c r="T4360">
        <f>HLOOKUP("Provisioned MiB",'vInfo (Imported)'!$1:$5000,M4360,FALSE)</f>
        <v>0</v>
      </c>
      <c r="U4360">
        <f t="shared" si="205"/>
        <v>0</v>
      </c>
      <c r="V4360">
        <f>HLOOKUP("In Use MiB",'vInfo (Imported)'!$1:$5000,M4360,FALSE)</f>
        <v>0</v>
      </c>
    </row>
    <row r="4361" spans="1:22" ht="13" x14ac:dyDescent="0.3">
      <c r="A4361" s="46">
        <f>'vHosts (Imported)'!A4361</f>
        <v>0</v>
      </c>
      <c r="B4361" s="51">
        <f t="shared" si="204"/>
        <v>4968</v>
      </c>
      <c r="C4361" s="49">
        <f>HLOOKUP("# Cores",'vHosts (Imported)'!$1:$5000,M4361,FALSE)</f>
        <v>0</v>
      </c>
      <c r="D4361" s="52">
        <f>HLOOKUP("# Memory",'vHosts (Imported)'!$1:$5000,M4361,FALSE)</f>
        <v>0</v>
      </c>
      <c r="M4361" s="45">
        <f t="shared" si="206"/>
        <v>4361</v>
      </c>
      <c r="N4361" s="38">
        <f>HLOOKUP("Host",'vInfo (Imported)'!$1:$5000,M4361,FALSE)</f>
        <v>0</v>
      </c>
      <c r="R4361">
        <f>HLOOKUP("CPUs",'vInfo (Imported)'!$1:$5000,M4361,FALSE)</f>
        <v>0</v>
      </c>
      <c r="S4361">
        <f>HLOOKUP("Memory",'vInfo (Imported)'!$1:$5000,M4361,FALSE)</f>
        <v>0</v>
      </c>
      <c r="T4361">
        <f>HLOOKUP("Provisioned MiB",'vInfo (Imported)'!$1:$5000,M4361,FALSE)</f>
        <v>0</v>
      </c>
      <c r="U4361">
        <f t="shared" si="205"/>
        <v>0</v>
      </c>
      <c r="V4361">
        <f>HLOOKUP("In Use MiB",'vInfo (Imported)'!$1:$5000,M4361,FALSE)</f>
        <v>0</v>
      </c>
    </row>
    <row r="4362" spans="1:22" ht="13" x14ac:dyDescent="0.3">
      <c r="A4362" s="46">
        <f>'vHosts (Imported)'!A4362</f>
        <v>0</v>
      </c>
      <c r="B4362" s="51">
        <f t="shared" si="204"/>
        <v>4968</v>
      </c>
      <c r="C4362" s="49">
        <f>HLOOKUP("# Cores",'vHosts (Imported)'!$1:$5000,M4362,FALSE)</f>
        <v>0</v>
      </c>
      <c r="D4362" s="52">
        <f>HLOOKUP("# Memory",'vHosts (Imported)'!$1:$5000,M4362,FALSE)</f>
        <v>0</v>
      </c>
      <c r="M4362" s="45">
        <f t="shared" si="206"/>
        <v>4362</v>
      </c>
      <c r="N4362" s="38">
        <f>HLOOKUP("Host",'vInfo (Imported)'!$1:$5000,M4362,FALSE)</f>
        <v>0</v>
      </c>
      <c r="R4362">
        <f>HLOOKUP("CPUs",'vInfo (Imported)'!$1:$5000,M4362,FALSE)</f>
        <v>0</v>
      </c>
      <c r="S4362">
        <f>HLOOKUP("Memory",'vInfo (Imported)'!$1:$5000,M4362,FALSE)</f>
        <v>0</v>
      </c>
      <c r="T4362">
        <f>HLOOKUP("Provisioned MiB",'vInfo (Imported)'!$1:$5000,M4362,FALSE)</f>
        <v>0</v>
      </c>
      <c r="U4362">
        <f t="shared" si="205"/>
        <v>0</v>
      </c>
      <c r="V4362">
        <f>HLOOKUP("In Use MiB",'vInfo (Imported)'!$1:$5000,M4362,FALSE)</f>
        <v>0</v>
      </c>
    </row>
    <row r="4363" spans="1:22" ht="13" x14ac:dyDescent="0.3">
      <c r="A4363" s="46">
        <f>'vHosts (Imported)'!A4363</f>
        <v>0</v>
      </c>
      <c r="B4363" s="51">
        <f t="shared" si="204"/>
        <v>4968</v>
      </c>
      <c r="C4363" s="49">
        <f>HLOOKUP("# Cores",'vHosts (Imported)'!$1:$5000,M4363,FALSE)</f>
        <v>0</v>
      </c>
      <c r="D4363" s="52">
        <f>HLOOKUP("# Memory",'vHosts (Imported)'!$1:$5000,M4363,FALSE)</f>
        <v>0</v>
      </c>
      <c r="M4363" s="45">
        <f t="shared" si="206"/>
        <v>4363</v>
      </c>
      <c r="N4363" s="38">
        <f>HLOOKUP("Host",'vInfo (Imported)'!$1:$5000,M4363,FALSE)</f>
        <v>0</v>
      </c>
      <c r="R4363">
        <f>HLOOKUP("CPUs",'vInfo (Imported)'!$1:$5000,M4363,FALSE)</f>
        <v>0</v>
      </c>
      <c r="S4363">
        <f>HLOOKUP("Memory",'vInfo (Imported)'!$1:$5000,M4363,FALSE)</f>
        <v>0</v>
      </c>
      <c r="T4363">
        <f>HLOOKUP("Provisioned MiB",'vInfo (Imported)'!$1:$5000,M4363,FALSE)</f>
        <v>0</v>
      </c>
      <c r="U4363">
        <f t="shared" si="205"/>
        <v>0</v>
      </c>
      <c r="V4363">
        <f>HLOOKUP("In Use MiB",'vInfo (Imported)'!$1:$5000,M4363,FALSE)</f>
        <v>0</v>
      </c>
    </row>
    <row r="4364" spans="1:22" ht="13" x14ac:dyDescent="0.3">
      <c r="A4364" s="46">
        <f>'vHosts (Imported)'!A4364</f>
        <v>0</v>
      </c>
      <c r="B4364" s="51">
        <f t="shared" si="204"/>
        <v>4968</v>
      </c>
      <c r="C4364" s="49">
        <f>HLOOKUP("# Cores",'vHosts (Imported)'!$1:$5000,M4364,FALSE)</f>
        <v>0</v>
      </c>
      <c r="D4364" s="52">
        <f>HLOOKUP("# Memory",'vHosts (Imported)'!$1:$5000,M4364,FALSE)</f>
        <v>0</v>
      </c>
      <c r="M4364" s="45">
        <f t="shared" si="206"/>
        <v>4364</v>
      </c>
      <c r="N4364" s="38">
        <f>HLOOKUP("Host",'vInfo (Imported)'!$1:$5000,M4364,FALSE)</f>
        <v>0</v>
      </c>
      <c r="R4364">
        <f>HLOOKUP("CPUs",'vInfo (Imported)'!$1:$5000,M4364,FALSE)</f>
        <v>0</v>
      </c>
      <c r="S4364">
        <f>HLOOKUP("Memory",'vInfo (Imported)'!$1:$5000,M4364,FALSE)</f>
        <v>0</v>
      </c>
      <c r="T4364">
        <f>HLOOKUP("Provisioned MiB",'vInfo (Imported)'!$1:$5000,M4364,FALSE)</f>
        <v>0</v>
      </c>
      <c r="U4364">
        <f t="shared" si="205"/>
        <v>0</v>
      </c>
      <c r="V4364">
        <f>HLOOKUP("In Use MiB",'vInfo (Imported)'!$1:$5000,M4364,FALSE)</f>
        <v>0</v>
      </c>
    </row>
    <row r="4365" spans="1:22" ht="13" x14ac:dyDescent="0.3">
      <c r="A4365" s="46">
        <f>'vHosts (Imported)'!A4365</f>
        <v>0</v>
      </c>
      <c r="B4365" s="51">
        <f t="shared" si="204"/>
        <v>4968</v>
      </c>
      <c r="C4365" s="49">
        <f>HLOOKUP("# Cores",'vHosts (Imported)'!$1:$5000,M4365,FALSE)</f>
        <v>0</v>
      </c>
      <c r="D4365" s="52">
        <f>HLOOKUP("# Memory",'vHosts (Imported)'!$1:$5000,M4365,FALSE)</f>
        <v>0</v>
      </c>
      <c r="M4365" s="45">
        <f t="shared" si="206"/>
        <v>4365</v>
      </c>
      <c r="N4365" s="38">
        <f>HLOOKUP("Host",'vInfo (Imported)'!$1:$5000,M4365,FALSE)</f>
        <v>0</v>
      </c>
      <c r="R4365">
        <f>HLOOKUP("CPUs",'vInfo (Imported)'!$1:$5000,M4365,FALSE)</f>
        <v>0</v>
      </c>
      <c r="S4365">
        <f>HLOOKUP("Memory",'vInfo (Imported)'!$1:$5000,M4365,FALSE)</f>
        <v>0</v>
      </c>
      <c r="T4365">
        <f>HLOOKUP("Provisioned MiB",'vInfo (Imported)'!$1:$5000,M4365,FALSE)</f>
        <v>0</v>
      </c>
      <c r="U4365">
        <f t="shared" si="205"/>
        <v>0</v>
      </c>
      <c r="V4365">
        <f>HLOOKUP("In Use MiB",'vInfo (Imported)'!$1:$5000,M4365,FALSE)</f>
        <v>0</v>
      </c>
    </row>
    <row r="4366" spans="1:22" ht="13" x14ac:dyDescent="0.3">
      <c r="A4366" s="46">
        <f>'vHosts (Imported)'!A4366</f>
        <v>0</v>
      </c>
      <c r="B4366" s="51">
        <f t="shared" si="204"/>
        <v>4968</v>
      </c>
      <c r="C4366" s="49">
        <f>HLOOKUP("# Cores",'vHosts (Imported)'!$1:$5000,M4366,FALSE)</f>
        <v>0</v>
      </c>
      <c r="D4366" s="52">
        <f>HLOOKUP("# Memory",'vHosts (Imported)'!$1:$5000,M4366,FALSE)</f>
        <v>0</v>
      </c>
      <c r="M4366" s="45">
        <f t="shared" si="206"/>
        <v>4366</v>
      </c>
      <c r="N4366" s="38">
        <f>HLOOKUP("Host",'vInfo (Imported)'!$1:$5000,M4366,FALSE)</f>
        <v>0</v>
      </c>
      <c r="R4366">
        <f>HLOOKUP("CPUs",'vInfo (Imported)'!$1:$5000,M4366,FALSE)</f>
        <v>0</v>
      </c>
      <c r="S4366">
        <f>HLOOKUP("Memory",'vInfo (Imported)'!$1:$5000,M4366,FALSE)</f>
        <v>0</v>
      </c>
      <c r="T4366">
        <f>HLOOKUP("Provisioned MiB",'vInfo (Imported)'!$1:$5000,M4366,FALSE)</f>
        <v>0</v>
      </c>
      <c r="U4366">
        <f t="shared" si="205"/>
        <v>0</v>
      </c>
      <c r="V4366">
        <f>HLOOKUP("In Use MiB",'vInfo (Imported)'!$1:$5000,M4366,FALSE)</f>
        <v>0</v>
      </c>
    </row>
    <row r="4367" spans="1:22" ht="13" x14ac:dyDescent="0.3">
      <c r="A4367" s="46">
        <f>'vHosts (Imported)'!A4367</f>
        <v>0</v>
      </c>
      <c r="B4367" s="51">
        <f t="shared" si="204"/>
        <v>4968</v>
      </c>
      <c r="C4367" s="49">
        <f>HLOOKUP("# Cores",'vHosts (Imported)'!$1:$5000,M4367,FALSE)</f>
        <v>0</v>
      </c>
      <c r="D4367" s="52">
        <f>HLOOKUP("# Memory",'vHosts (Imported)'!$1:$5000,M4367,FALSE)</f>
        <v>0</v>
      </c>
      <c r="M4367" s="45">
        <f t="shared" si="206"/>
        <v>4367</v>
      </c>
      <c r="N4367" s="38">
        <f>HLOOKUP("Host",'vInfo (Imported)'!$1:$5000,M4367,FALSE)</f>
        <v>0</v>
      </c>
      <c r="R4367">
        <f>HLOOKUP("CPUs",'vInfo (Imported)'!$1:$5000,M4367,FALSE)</f>
        <v>0</v>
      </c>
      <c r="S4367">
        <f>HLOOKUP("Memory",'vInfo (Imported)'!$1:$5000,M4367,FALSE)</f>
        <v>0</v>
      </c>
      <c r="T4367">
        <f>HLOOKUP("Provisioned MiB",'vInfo (Imported)'!$1:$5000,M4367,FALSE)</f>
        <v>0</v>
      </c>
      <c r="U4367">
        <f t="shared" si="205"/>
        <v>0</v>
      </c>
      <c r="V4367">
        <f>HLOOKUP("In Use MiB",'vInfo (Imported)'!$1:$5000,M4367,FALSE)</f>
        <v>0</v>
      </c>
    </row>
    <row r="4368" spans="1:22" ht="13" x14ac:dyDescent="0.3">
      <c r="A4368" s="46">
        <f>'vHosts (Imported)'!A4368</f>
        <v>0</v>
      </c>
      <c r="B4368" s="51">
        <f t="shared" si="204"/>
        <v>4968</v>
      </c>
      <c r="C4368" s="49">
        <f>HLOOKUP("# Cores",'vHosts (Imported)'!$1:$5000,M4368,FALSE)</f>
        <v>0</v>
      </c>
      <c r="D4368" s="52">
        <f>HLOOKUP("# Memory",'vHosts (Imported)'!$1:$5000,M4368,FALSE)</f>
        <v>0</v>
      </c>
      <c r="M4368" s="45">
        <f t="shared" si="206"/>
        <v>4368</v>
      </c>
      <c r="N4368" s="38">
        <f>HLOOKUP("Host",'vInfo (Imported)'!$1:$5000,M4368,FALSE)</f>
        <v>0</v>
      </c>
      <c r="R4368">
        <f>HLOOKUP("CPUs",'vInfo (Imported)'!$1:$5000,M4368,FALSE)</f>
        <v>0</v>
      </c>
      <c r="S4368">
        <f>HLOOKUP("Memory",'vInfo (Imported)'!$1:$5000,M4368,FALSE)</f>
        <v>0</v>
      </c>
      <c r="T4368">
        <f>HLOOKUP("Provisioned MiB",'vInfo (Imported)'!$1:$5000,M4368,FALSE)</f>
        <v>0</v>
      </c>
      <c r="U4368">
        <f t="shared" si="205"/>
        <v>0</v>
      </c>
      <c r="V4368">
        <f>HLOOKUP("In Use MiB",'vInfo (Imported)'!$1:$5000,M4368,FALSE)</f>
        <v>0</v>
      </c>
    </row>
    <row r="4369" spans="1:22" ht="13" x14ac:dyDescent="0.3">
      <c r="A4369" s="46">
        <f>'vHosts (Imported)'!A4369</f>
        <v>0</v>
      </c>
      <c r="B4369" s="51">
        <f t="shared" si="204"/>
        <v>4968</v>
      </c>
      <c r="C4369" s="49">
        <f>HLOOKUP("# Cores",'vHosts (Imported)'!$1:$5000,M4369,FALSE)</f>
        <v>0</v>
      </c>
      <c r="D4369" s="52">
        <f>HLOOKUP("# Memory",'vHosts (Imported)'!$1:$5000,M4369,FALSE)</f>
        <v>0</v>
      </c>
      <c r="M4369" s="45">
        <f t="shared" si="206"/>
        <v>4369</v>
      </c>
      <c r="N4369" s="38">
        <f>HLOOKUP("Host",'vInfo (Imported)'!$1:$5000,M4369,FALSE)</f>
        <v>0</v>
      </c>
      <c r="R4369">
        <f>HLOOKUP("CPUs",'vInfo (Imported)'!$1:$5000,M4369,FALSE)</f>
        <v>0</v>
      </c>
      <c r="S4369">
        <f>HLOOKUP("Memory",'vInfo (Imported)'!$1:$5000,M4369,FALSE)</f>
        <v>0</v>
      </c>
      <c r="T4369">
        <f>HLOOKUP("Provisioned MiB",'vInfo (Imported)'!$1:$5000,M4369,FALSE)</f>
        <v>0</v>
      </c>
      <c r="U4369">
        <f t="shared" si="205"/>
        <v>0</v>
      </c>
      <c r="V4369">
        <f>HLOOKUP("In Use MiB",'vInfo (Imported)'!$1:$5000,M4369,FALSE)</f>
        <v>0</v>
      </c>
    </row>
    <row r="4370" spans="1:22" ht="13" x14ac:dyDescent="0.3">
      <c r="A4370" s="46">
        <f>'vHosts (Imported)'!A4370</f>
        <v>0</v>
      </c>
      <c r="B4370" s="51">
        <f t="shared" si="204"/>
        <v>4968</v>
      </c>
      <c r="C4370" s="49">
        <f>HLOOKUP("# Cores",'vHosts (Imported)'!$1:$5000,M4370,FALSE)</f>
        <v>0</v>
      </c>
      <c r="D4370" s="52">
        <f>HLOOKUP("# Memory",'vHosts (Imported)'!$1:$5000,M4370,FALSE)</f>
        <v>0</v>
      </c>
      <c r="M4370" s="45">
        <f t="shared" si="206"/>
        <v>4370</v>
      </c>
      <c r="N4370" s="38">
        <f>HLOOKUP("Host",'vInfo (Imported)'!$1:$5000,M4370,FALSE)</f>
        <v>0</v>
      </c>
      <c r="R4370">
        <f>HLOOKUP("CPUs",'vInfo (Imported)'!$1:$5000,M4370,FALSE)</f>
        <v>0</v>
      </c>
      <c r="S4370">
        <f>HLOOKUP("Memory",'vInfo (Imported)'!$1:$5000,M4370,FALSE)</f>
        <v>0</v>
      </c>
      <c r="T4370">
        <f>HLOOKUP("Provisioned MiB",'vInfo (Imported)'!$1:$5000,M4370,FALSE)</f>
        <v>0</v>
      </c>
      <c r="U4370">
        <f t="shared" si="205"/>
        <v>0</v>
      </c>
      <c r="V4370">
        <f>HLOOKUP("In Use MiB",'vInfo (Imported)'!$1:$5000,M4370,FALSE)</f>
        <v>0</v>
      </c>
    </row>
    <row r="4371" spans="1:22" ht="13" x14ac:dyDescent="0.3">
      <c r="A4371" s="46">
        <f>'vHosts (Imported)'!A4371</f>
        <v>0</v>
      </c>
      <c r="B4371" s="51">
        <f t="shared" si="204"/>
        <v>4968</v>
      </c>
      <c r="C4371" s="49">
        <f>HLOOKUP("# Cores",'vHosts (Imported)'!$1:$5000,M4371,FALSE)</f>
        <v>0</v>
      </c>
      <c r="D4371" s="52">
        <f>HLOOKUP("# Memory",'vHosts (Imported)'!$1:$5000,M4371,FALSE)</f>
        <v>0</v>
      </c>
      <c r="M4371" s="45">
        <f t="shared" si="206"/>
        <v>4371</v>
      </c>
      <c r="N4371" s="38">
        <f>HLOOKUP("Host",'vInfo (Imported)'!$1:$5000,M4371,FALSE)</f>
        <v>0</v>
      </c>
      <c r="R4371">
        <f>HLOOKUP("CPUs",'vInfo (Imported)'!$1:$5000,M4371,FALSE)</f>
        <v>0</v>
      </c>
      <c r="S4371">
        <f>HLOOKUP("Memory",'vInfo (Imported)'!$1:$5000,M4371,FALSE)</f>
        <v>0</v>
      </c>
      <c r="T4371">
        <f>HLOOKUP("Provisioned MiB",'vInfo (Imported)'!$1:$5000,M4371,FALSE)</f>
        <v>0</v>
      </c>
      <c r="U4371">
        <f t="shared" si="205"/>
        <v>0</v>
      </c>
      <c r="V4371">
        <f>HLOOKUP("In Use MiB",'vInfo (Imported)'!$1:$5000,M4371,FALSE)</f>
        <v>0</v>
      </c>
    </row>
    <row r="4372" spans="1:22" ht="13" x14ac:dyDescent="0.3">
      <c r="A4372" s="46">
        <f>'vHosts (Imported)'!A4372</f>
        <v>0</v>
      </c>
      <c r="B4372" s="51">
        <f t="shared" si="204"/>
        <v>4968</v>
      </c>
      <c r="C4372" s="49">
        <f>HLOOKUP("# Cores",'vHosts (Imported)'!$1:$5000,M4372,FALSE)</f>
        <v>0</v>
      </c>
      <c r="D4372" s="52">
        <f>HLOOKUP("# Memory",'vHosts (Imported)'!$1:$5000,M4372,FALSE)</f>
        <v>0</v>
      </c>
      <c r="M4372" s="45">
        <f t="shared" si="206"/>
        <v>4372</v>
      </c>
      <c r="N4372" s="38">
        <f>HLOOKUP("Host",'vInfo (Imported)'!$1:$5000,M4372,FALSE)</f>
        <v>0</v>
      </c>
      <c r="R4372">
        <f>HLOOKUP("CPUs",'vInfo (Imported)'!$1:$5000,M4372,FALSE)</f>
        <v>0</v>
      </c>
      <c r="S4372">
        <f>HLOOKUP("Memory",'vInfo (Imported)'!$1:$5000,M4372,FALSE)</f>
        <v>0</v>
      </c>
      <c r="T4372">
        <f>HLOOKUP("Provisioned MiB",'vInfo (Imported)'!$1:$5000,M4372,FALSE)</f>
        <v>0</v>
      </c>
      <c r="U4372">
        <f t="shared" si="205"/>
        <v>0</v>
      </c>
      <c r="V4372">
        <f>HLOOKUP("In Use MiB",'vInfo (Imported)'!$1:$5000,M4372,FALSE)</f>
        <v>0</v>
      </c>
    </row>
    <row r="4373" spans="1:22" ht="13" x14ac:dyDescent="0.3">
      <c r="A4373" s="46">
        <f>'vHosts (Imported)'!A4373</f>
        <v>0</v>
      </c>
      <c r="B4373" s="51">
        <f t="shared" si="204"/>
        <v>4968</v>
      </c>
      <c r="C4373" s="49">
        <f>HLOOKUP("# Cores",'vHosts (Imported)'!$1:$5000,M4373,FALSE)</f>
        <v>0</v>
      </c>
      <c r="D4373" s="52">
        <f>HLOOKUP("# Memory",'vHosts (Imported)'!$1:$5000,M4373,FALSE)</f>
        <v>0</v>
      </c>
      <c r="M4373" s="45">
        <f t="shared" si="206"/>
        <v>4373</v>
      </c>
      <c r="N4373" s="38">
        <f>HLOOKUP("Host",'vInfo (Imported)'!$1:$5000,M4373,FALSE)</f>
        <v>0</v>
      </c>
      <c r="R4373">
        <f>HLOOKUP("CPUs",'vInfo (Imported)'!$1:$5000,M4373,FALSE)</f>
        <v>0</v>
      </c>
      <c r="S4373">
        <f>HLOOKUP("Memory",'vInfo (Imported)'!$1:$5000,M4373,FALSE)</f>
        <v>0</v>
      </c>
      <c r="T4373">
        <f>HLOOKUP("Provisioned MiB",'vInfo (Imported)'!$1:$5000,M4373,FALSE)</f>
        <v>0</v>
      </c>
      <c r="U4373">
        <f t="shared" si="205"/>
        <v>0</v>
      </c>
      <c r="V4373">
        <f>HLOOKUP("In Use MiB",'vInfo (Imported)'!$1:$5000,M4373,FALSE)</f>
        <v>0</v>
      </c>
    </row>
    <row r="4374" spans="1:22" ht="13" x14ac:dyDescent="0.3">
      <c r="A4374" s="46">
        <f>'vHosts (Imported)'!A4374</f>
        <v>0</v>
      </c>
      <c r="B4374" s="51">
        <f t="shared" si="204"/>
        <v>4968</v>
      </c>
      <c r="C4374" s="49">
        <f>HLOOKUP("# Cores",'vHosts (Imported)'!$1:$5000,M4374,FALSE)</f>
        <v>0</v>
      </c>
      <c r="D4374" s="52">
        <f>HLOOKUP("# Memory",'vHosts (Imported)'!$1:$5000,M4374,FALSE)</f>
        <v>0</v>
      </c>
      <c r="M4374" s="45">
        <f t="shared" si="206"/>
        <v>4374</v>
      </c>
      <c r="N4374" s="38">
        <f>HLOOKUP("Host",'vInfo (Imported)'!$1:$5000,M4374,FALSE)</f>
        <v>0</v>
      </c>
      <c r="R4374">
        <f>HLOOKUP("CPUs",'vInfo (Imported)'!$1:$5000,M4374,FALSE)</f>
        <v>0</v>
      </c>
      <c r="S4374">
        <f>HLOOKUP("Memory",'vInfo (Imported)'!$1:$5000,M4374,FALSE)</f>
        <v>0</v>
      </c>
      <c r="T4374">
        <f>HLOOKUP("Provisioned MiB",'vInfo (Imported)'!$1:$5000,M4374,FALSE)</f>
        <v>0</v>
      </c>
      <c r="U4374">
        <f t="shared" si="205"/>
        <v>0</v>
      </c>
      <c r="V4374">
        <f>HLOOKUP("In Use MiB",'vInfo (Imported)'!$1:$5000,M4374,FALSE)</f>
        <v>0</v>
      </c>
    </row>
    <row r="4375" spans="1:22" ht="13" x14ac:dyDescent="0.3">
      <c r="A4375" s="46">
        <f>'vHosts (Imported)'!A4375</f>
        <v>0</v>
      </c>
      <c r="B4375" s="51">
        <f t="shared" si="204"/>
        <v>4968</v>
      </c>
      <c r="C4375" s="49">
        <f>HLOOKUP("# Cores",'vHosts (Imported)'!$1:$5000,M4375,FALSE)</f>
        <v>0</v>
      </c>
      <c r="D4375" s="52">
        <f>HLOOKUP("# Memory",'vHosts (Imported)'!$1:$5000,M4375,FALSE)</f>
        <v>0</v>
      </c>
      <c r="M4375" s="45">
        <f t="shared" si="206"/>
        <v>4375</v>
      </c>
      <c r="N4375" s="38">
        <f>HLOOKUP("Host",'vInfo (Imported)'!$1:$5000,M4375,FALSE)</f>
        <v>0</v>
      </c>
      <c r="R4375">
        <f>HLOOKUP("CPUs",'vInfo (Imported)'!$1:$5000,M4375,FALSE)</f>
        <v>0</v>
      </c>
      <c r="S4375">
        <f>HLOOKUP("Memory",'vInfo (Imported)'!$1:$5000,M4375,FALSE)</f>
        <v>0</v>
      </c>
      <c r="T4375">
        <f>HLOOKUP("Provisioned MiB",'vInfo (Imported)'!$1:$5000,M4375,FALSE)</f>
        <v>0</v>
      </c>
      <c r="U4375">
        <f t="shared" si="205"/>
        <v>0</v>
      </c>
      <c r="V4375">
        <f>HLOOKUP("In Use MiB",'vInfo (Imported)'!$1:$5000,M4375,FALSE)</f>
        <v>0</v>
      </c>
    </row>
    <row r="4376" spans="1:22" ht="13" x14ac:dyDescent="0.3">
      <c r="A4376" s="46">
        <f>'vHosts (Imported)'!A4376</f>
        <v>0</v>
      </c>
      <c r="B4376" s="51">
        <f t="shared" si="204"/>
        <v>4968</v>
      </c>
      <c r="C4376" s="49">
        <f>HLOOKUP("# Cores",'vHosts (Imported)'!$1:$5000,M4376,FALSE)</f>
        <v>0</v>
      </c>
      <c r="D4376" s="52">
        <f>HLOOKUP("# Memory",'vHosts (Imported)'!$1:$5000,M4376,FALSE)</f>
        <v>0</v>
      </c>
      <c r="M4376" s="45">
        <f t="shared" si="206"/>
        <v>4376</v>
      </c>
      <c r="N4376" s="38">
        <f>HLOOKUP("Host",'vInfo (Imported)'!$1:$5000,M4376,FALSE)</f>
        <v>0</v>
      </c>
      <c r="R4376">
        <f>HLOOKUP("CPUs",'vInfo (Imported)'!$1:$5000,M4376,FALSE)</f>
        <v>0</v>
      </c>
      <c r="S4376">
        <f>HLOOKUP("Memory",'vInfo (Imported)'!$1:$5000,M4376,FALSE)</f>
        <v>0</v>
      </c>
      <c r="T4376">
        <f>HLOOKUP("Provisioned MiB",'vInfo (Imported)'!$1:$5000,M4376,FALSE)</f>
        <v>0</v>
      </c>
      <c r="U4376">
        <f t="shared" si="205"/>
        <v>0</v>
      </c>
      <c r="V4376">
        <f>HLOOKUP("In Use MiB",'vInfo (Imported)'!$1:$5000,M4376,FALSE)</f>
        <v>0</v>
      </c>
    </row>
    <row r="4377" spans="1:22" ht="13" x14ac:dyDescent="0.3">
      <c r="A4377" s="46">
        <f>'vHosts (Imported)'!A4377</f>
        <v>0</v>
      </c>
      <c r="B4377" s="51">
        <f t="shared" si="204"/>
        <v>4968</v>
      </c>
      <c r="C4377" s="49">
        <f>HLOOKUP("# Cores",'vHosts (Imported)'!$1:$5000,M4377,FALSE)</f>
        <v>0</v>
      </c>
      <c r="D4377" s="52">
        <f>HLOOKUP("# Memory",'vHosts (Imported)'!$1:$5000,M4377,FALSE)</f>
        <v>0</v>
      </c>
      <c r="M4377" s="45">
        <f t="shared" si="206"/>
        <v>4377</v>
      </c>
      <c r="N4377" s="38">
        <f>HLOOKUP("Host",'vInfo (Imported)'!$1:$5000,M4377,FALSE)</f>
        <v>0</v>
      </c>
      <c r="R4377">
        <f>HLOOKUP("CPUs",'vInfo (Imported)'!$1:$5000,M4377,FALSE)</f>
        <v>0</v>
      </c>
      <c r="S4377">
        <f>HLOOKUP("Memory",'vInfo (Imported)'!$1:$5000,M4377,FALSE)</f>
        <v>0</v>
      </c>
      <c r="T4377">
        <f>HLOOKUP("Provisioned MiB",'vInfo (Imported)'!$1:$5000,M4377,FALSE)</f>
        <v>0</v>
      </c>
      <c r="U4377">
        <f t="shared" si="205"/>
        <v>0</v>
      </c>
      <c r="V4377">
        <f>HLOOKUP("In Use MiB",'vInfo (Imported)'!$1:$5000,M4377,FALSE)</f>
        <v>0</v>
      </c>
    </row>
    <row r="4378" spans="1:22" ht="13" x14ac:dyDescent="0.3">
      <c r="A4378" s="46">
        <f>'vHosts (Imported)'!A4378</f>
        <v>0</v>
      </c>
      <c r="B4378" s="51">
        <f t="shared" si="204"/>
        <v>4968</v>
      </c>
      <c r="C4378" s="49">
        <f>HLOOKUP("# Cores",'vHosts (Imported)'!$1:$5000,M4378,FALSE)</f>
        <v>0</v>
      </c>
      <c r="D4378" s="52">
        <f>HLOOKUP("# Memory",'vHosts (Imported)'!$1:$5000,M4378,FALSE)</f>
        <v>0</v>
      </c>
      <c r="M4378" s="45">
        <f t="shared" si="206"/>
        <v>4378</v>
      </c>
      <c r="N4378" s="38">
        <f>HLOOKUP("Host",'vInfo (Imported)'!$1:$5000,M4378,FALSE)</f>
        <v>0</v>
      </c>
      <c r="R4378">
        <f>HLOOKUP("CPUs",'vInfo (Imported)'!$1:$5000,M4378,FALSE)</f>
        <v>0</v>
      </c>
      <c r="S4378">
        <f>HLOOKUP("Memory",'vInfo (Imported)'!$1:$5000,M4378,FALSE)</f>
        <v>0</v>
      </c>
      <c r="T4378">
        <f>HLOOKUP("Provisioned MiB",'vInfo (Imported)'!$1:$5000,M4378,FALSE)</f>
        <v>0</v>
      </c>
      <c r="U4378">
        <f t="shared" si="205"/>
        <v>0</v>
      </c>
      <c r="V4378">
        <f>HLOOKUP("In Use MiB",'vInfo (Imported)'!$1:$5000,M4378,FALSE)</f>
        <v>0</v>
      </c>
    </row>
    <row r="4379" spans="1:22" ht="13" x14ac:dyDescent="0.3">
      <c r="A4379" s="46">
        <f>'vHosts (Imported)'!A4379</f>
        <v>0</v>
      </c>
      <c r="B4379" s="51">
        <f t="shared" si="204"/>
        <v>4968</v>
      </c>
      <c r="C4379" s="49">
        <f>HLOOKUP("# Cores",'vHosts (Imported)'!$1:$5000,M4379,FALSE)</f>
        <v>0</v>
      </c>
      <c r="D4379" s="52">
        <f>HLOOKUP("# Memory",'vHosts (Imported)'!$1:$5000,M4379,FALSE)</f>
        <v>0</v>
      </c>
      <c r="M4379" s="45">
        <f t="shared" si="206"/>
        <v>4379</v>
      </c>
      <c r="N4379" s="38">
        <f>HLOOKUP("Host",'vInfo (Imported)'!$1:$5000,M4379,FALSE)</f>
        <v>0</v>
      </c>
      <c r="R4379">
        <f>HLOOKUP("CPUs",'vInfo (Imported)'!$1:$5000,M4379,FALSE)</f>
        <v>0</v>
      </c>
      <c r="S4379">
        <f>HLOOKUP("Memory",'vInfo (Imported)'!$1:$5000,M4379,FALSE)</f>
        <v>0</v>
      </c>
      <c r="T4379">
        <f>HLOOKUP("Provisioned MiB",'vInfo (Imported)'!$1:$5000,M4379,FALSE)</f>
        <v>0</v>
      </c>
      <c r="U4379">
        <f t="shared" si="205"/>
        <v>0</v>
      </c>
      <c r="V4379">
        <f>HLOOKUP("In Use MiB",'vInfo (Imported)'!$1:$5000,M4379,FALSE)</f>
        <v>0</v>
      </c>
    </row>
    <row r="4380" spans="1:22" ht="13" x14ac:dyDescent="0.3">
      <c r="A4380" s="46">
        <f>'vHosts (Imported)'!A4380</f>
        <v>0</v>
      </c>
      <c r="B4380" s="51">
        <f t="shared" si="204"/>
        <v>4968</v>
      </c>
      <c r="C4380" s="49">
        <f>HLOOKUP("# Cores",'vHosts (Imported)'!$1:$5000,M4380,FALSE)</f>
        <v>0</v>
      </c>
      <c r="D4380" s="52">
        <f>HLOOKUP("# Memory",'vHosts (Imported)'!$1:$5000,M4380,FALSE)</f>
        <v>0</v>
      </c>
      <c r="M4380" s="45">
        <f t="shared" si="206"/>
        <v>4380</v>
      </c>
      <c r="N4380" s="38">
        <f>HLOOKUP("Host",'vInfo (Imported)'!$1:$5000,M4380,FALSE)</f>
        <v>0</v>
      </c>
      <c r="R4380">
        <f>HLOOKUP("CPUs",'vInfo (Imported)'!$1:$5000,M4380,FALSE)</f>
        <v>0</v>
      </c>
      <c r="S4380">
        <f>HLOOKUP("Memory",'vInfo (Imported)'!$1:$5000,M4380,FALSE)</f>
        <v>0</v>
      </c>
      <c r="T4380">
        <f>HLOOKUP("Provisioned MiB",'vInfo (Imported)'!$1:$5000,M4380,FALSE)</f>
        <v>0</v>
      </c>
      <c r="U4380">
        <f t="shared" si="205"/>
        <v>0</v>
      </c>
      <c r="V4380">
        <f>HLOOKUP("In Use MiB",'vInfo (Imported)'!$1:$5000,M4380,FALSE)</f>
        <v>0</v>
      </c>
    </row>
    <row r="4381" spans="1:22" ht="13" x14ac:dyDescent="0.3">
      <c r="A4381" s="46">
        <f>'vHosts (Imported)'!A4381</f>
        <v>0</v>
      </c>
      <c r="B4381" s="51">
        <f t="shared" si="204"/>
        <v>4968</v>
      </c>
      <c r="C4381" s="49">
        <f>HLOOKUP("# Cores",'vHosts (Imported)'!$1:$5000,M4381,FALSE)</f>
        <v>0</v>
      </c>
      <c r="D4381" s="52">
        <f>HLOOKUP("# Memory",'vHosts (Imported)'!$1:$5000,M4381,FALSE)</f>
        <v>0</v>
      </c>
      <c r="M4381" s="45">
        <f t="shared" si="206"/>
        <v>4381</v>
      </c>
      <c r="N4381" s="38">
        <f>HLOOKUP("Host",'vInfo (Imported)'!$1:$5000,M4381,FALSE)</f>
        <v>0</v>
      </c>
      <c r="R4381">
        <f>HLOOKUP("CPUs",'vInfo (Imported)'!$1:$5000,M4381,FALSE)</f>
        <v>0</v>
      </c>
      <c r="S4381">
        <f>HLOOKUP("Memory",'vInfo (Imported)'!$1:$5000,M4381,FALSE)</f>
        <v>0</v>
      </c>
      <c r="T4381">
        <f>HLOOKUP("Provisioned MiB",'vInfo (Imported)'!$1:$5000,M4381,FALSE)</f>
        <v>0</v>
      </c>
      <c r="U4381">
        <f t="shared" si="205"/>
        <v>0</v>
      </c>
      <c r="V4381">
        <f>HLOOKUP("In Use MiB",'vInfo (Imported)'!$1:$5000,M4381,FALSE)</f>
        <v>0</v>
      </c>
    </row>
    <row r="4382" spans="1:22" ht="13" x14ac:dyDescent="0.3">
      <c r="A4382" s="46">
        <f>'vHosts (Imported)'!A4382</f>
        <v>0</v>
      </c>
      <c r="B4382" s="51">
        <f t="shared" si="204"/>
        <v>4968</v>
      </c>
      <c r="C4382" s="49">
        <f>HLOOKUP("# Cores",'vHosts (Imported)'!$1:$5000,M4382,FALSE)</f>
        <v>0</v>
      </c>
      <c r="D4382" s="52">
        <f>HLOOKUP("# Memory",'vHosts (Imported)'!$1:$5000,M4382,FALSE)</f>
        <v>0</v>
      </c>
      <c r="M4382" s="45">
        <f t="shared" si="206"/>
        <v>4382</v>
      </c>
      <c r="N4382" s="38">
        <f>HLOOKUP("Host",'vInfo (Imported)'!$1:$5000,M4382,FALSE)</f>
        <v>0</v>
      </c>
      <c r="R4382">
        <f>HLOOKUP("CPUs",'vInfo (Imported)'!$1:$5000,M4382,FALSE)</f>
        <v>0</v>
      </c>
      <c r="S4382">
        <f>HLOOKUP("Memory",'vInfo (Imported)'!$1:$5000,M4382,FALSE)</f>
        <v>0</v>
      </c>
      <c r="T4382">
        <f>HLOOKUP("Provisioned MiB",'vInfo (Imported)'!$1:$5000,M4382,FALSE)</f>
        <v>0</v>
      </c>
      <c r="U4382">
        <f t="shared" si="205"/>
        <v>0</v>
      </c>
      <c r="V4382">
        <f>HLOOKUP("In Use MiB",'vInfo (Imported)'!$1:$5000,M4382,FALSE)</f>
        <v>0</v>
      </c>
    </row>
    <row r="4383" spans="1:22" ht="13" x14ac:dyDescent="0.3">
      <c r="A4383" s="46">
        <f>'vHosts (Imported)'!A4383</f>
        <v>0</v>
      </c>
      <c r="B4383" s="51">
        <f t="shared" si="204"/>
        <v>4968</v>
      </c>
      <c r="C4383" s="49">
        <f>HLOOKUP("# Cores",'vHosts (Imported)'!$1:$5000,M4383,FALSE)</f>
        <v>0</v>
      </c>
      <c r="D4383" s="52">
        <f>HLOOKUP("# Memory",'vHosts (Imported)'!$1:$5000,M4383,FALSE)</f>
        <v>0</v>
      </c>
      <c r="M4383" s="45">
        <f t="shared" si="206"/>
        <v>4383</v>
      </c>
      <c r="N4383" s="38">
        <f>HLOOKUP("Host",'vInfo (Imported)'!$1:$5000,M4383,FALSE)</f>
        <v>0</v>
      </c>
      <c r="R4383">
        <f>HLOOKUP("CPUs",'vInfo (Imported)'!$1:$5000,M4383,FALSE)</f>
        <v>0</v>
      </c>
      <c r="S4383">
        <f>HLOOKUP("Memory",'vInfo (Imported)'!$1:$5000,M4383,FALSE)</f>
        <v>0</v>
      </c>
      <c r="T4383">
        <f>HLOOKUP("Provisioned MiB",'vInfo (Imported)'!$1:$5000,M4383,FALSE)</f>
        <v>0</v>
      </c>
      <c r="U4383">
        <f t="shared" si="205"/>
        <v>0</v>
      </c>
      <c r="V4383">
        <f>HLOOKUP("In Use MiB",'vInfo (Imported)'!$1:$5000,M4383,FALSE)</f>
        <v>0</v>
      </c>
    </row>
    <row r="4384" spans="1:22" ht="13" x14ac:dyDescent="0.3">
      <c r="A4384" s="46">
        <f>'vHosts (Imported)'!A4384</f>
        <v>0</v>
      </c>
      <c r="B4384" s="51">
        <f t="shared" si="204"/>
        <v>4968</v>
      </c>
      <c r="C4384" s="49">
        <f>HLOOKUP("# Cores",'vHosts (Imported)'!$1:$5000,M4384,FALSE)</f>
        <v>0</v>
      </c>
      <c r="D4384" s="52">
        <f>HLOOKUP("# Memory",'vHosts (Imported)'!$1:$5000,M4384,FALSE)</f>
        <v>0</v>
      </c>
      <c r="M4384" s="45">
        <f t="shared" si="206"/>
        <v>4384</v>
      </c>
      <c r="N4384" s="38">
        <f>HLOOKUP("Host",'vInfo (Imported)'!$1:$5000,M4384,FALSE)</f>
        <v>0</v>
      </c>
      <c r="R4384">
        <f>HLOOKUP("CPUs",'vInfo (Imported)'!$1:$5000,M4384,FALSE)</f>
        <v>0</v>
      </c>
      <c r="S4384">
        <f>HLOOKUP("Memory",'vInfo (Imported)'!$1:$5000,M4384,FALSE)</f>
        <v>0</v>
      </c>
      <c r="T4384">
        <f>HLOOKUP("Provisioned MiB",'vInfo (Imported)'!$1:$5000,M4384,FALSE)</f>
        <v>0</v>
      </c>
      <c r="U4384">
        <f t="shared" si="205"/>
        <v>0</v>
      </c>
      <c r="V4384">
        <f>HLOOKUP("In Use MiB",'vInfo (Imported)'!$1:$5000,M4384,FALSE)</f>
        <v>0</v>
      </c>
    </row>
    <row r="4385" spans="1:22" ht="13" x14ac:dyDescent="0.3">
      <c r="A4385" s="46">
        <f>'vHosts (Imported)'!A4385</f>
        <v>0</v>
      </c>
      <c r="B4385" s="51">
        <f t="shared" si="204"/>
        <v>4968</v>
      </c>
      <c r="C4385" s="49">
        <f>HLOOKUP("# Cores",'vHosts (Imported)'!$1:$5000,M4385,FALSE)</f>
        <v>0</v>
      </c>
      <c r="D4385" s="52">
        <f>HLOOKUP("# Memory",'vHosts (Imported)'!$1:$5000,M4385,FALSE)</f>
        <v>0</v>
      </c>
      <c r="M4385" s="45">
        <f t="shared" si="206"/>
        <v>4385</v>
      </c>
      <c r="N4385" s="38">
        <f>HLOOKUP("Host",'vInfo (Imported)'!$1:$5000,M4385,FALSE)</f>
        <v>0</v>
      </c>
      <c r="R4385">
        <f>HLOOKUP("CPUs",'vInfo (Imported)'!$1:$5000,M4385,FALSE)</f>
        <v>0</v>
      </c>
      <c r="S4385">
        <f>HLOOKUP("Memory",'vInfo (Imported)'!$1:$5000,M4385,FALSE)</f>
        <v>0</v>
      </c>
      <c r="T4385">
        <f>HLOOKUP("Provisioned MiB",'vInfo (Imported)'!$1:$5000,M4385,FALSE)</f>
        <v>0</v>
      </c>
      <c r="U4385">
        <f t="shared" si="205"/>
        <v>0</v>
      </c>
      <c r="V4385">
        <f>HLOOKUP("In Use MiB",'vInfo (Imported)'!$1:$5000,M4385,FALSE)</f>
        <v>0</v>
      </c>
    </row>
    <row r="4386" spans="1:22" ht="13" x14ac:dyDescent="0.3">
      <c r="A4386" s="46">
        <f>'vHosts (Imported)'!A4386</f>
        <v>0</v>
      </c>
      <c r="B4386" s="51">
        <f t="shared" si="204"/>
        <v>4968</v>
      </c>
      <c r="C4386" s="49">
        <f>HLOOKUP("# Cores",'vHosts (Imported)'!$1:$5000,M4386,FALSE)</f>
        <v>0</v>
      </c>
      <c r="D4386" s="52">
        <f>HLOOKUP("# Memory",'vHosts (Imported)'!$1:$5000,M4386,FALSE)</f>
        <v>0</v>
      </c>
      <c r="M4386" s="45">
        <f t="shared" si="206"/>
        <v>4386</v>
      </c>
      <c r="N4386" s="38">
        <f>HLOOKUP("Host",'vInfo (Imported)'!$1:$5000,M4386,FALSE)</f>
        <v>0</v>
      </c>
      <c r="R4386">
        <f>HLOOKUP("CPUs",'vInfo (Imported)'!$1:$5000,M4386,FALSE)</f>
        <v>0</v>
      </c>
      <c r="S4386">
        <f>HLOOKUP("Memory",'vInfo (Imported)'!$1:$5000,M4386,FALSE)</f>
        <v>0</v>
      </c>
      <c r="T4386">
        <f>HLOOKUP("Provisioned MiB",'vInfo (Imported)'!$1:$5000,M4386,FALSE)</f>
        <v>0</v>
      </c>
      <c r="U4386">
        <f t="shared" si="205"/>
        <v>0</v>
      </c>
      <c r="V4386">
        <f>HLOOKUP("In Use MiB",'vInfo (Imported)'!$1:$5000,M4386,FALSE)</f>
        <v>0</v>
      </c>
    </row>
    <row r="4387" spans="1:22" ht="13" x14ac:dyDescent="0.3">
      <c r="A4387" s="46">
        <f>'vHosts (Imported)'!A4387</f>
        <v>0</v>
      </c>
      <c r="B4387" s="51">
        <f t="shared" si="204"/>
        <v>4968</v>
      </c>
      <c r="C4387" s="49">
        <f>HLOOKUP("# Cores",'vHosts (Imported)'!$1:$5000,M4387,FALSE)</f>
        <v>0</v>
      </c>
      <c r="D4387" s="52">
        <f>HLOOKUP("# Memory",'vHosts (Imported)'!$1:$5000,M4387,FALSE)</f>
        <v>0</v>
      </c>
      <c r="M4387" s="45">
        <f t="shared" si="206"/>
        <v>4387</v>
      </c>
      <c r="N4387" s="38">
        <f>HLOOKUP("Host",'vInfo (Imported)'!$1:$5000,M4387,FALSE)</f>
        <v>0</v>
      </c>
      <c r="R4387">
        <f>HLOOKUP("CPUs",'vInfo (Imported)'!$1:$5000,M4387,FALSE)</f>
        <v>0</v>
      </c>
      <c r="S4387">
        <f>HLOOKUP("Memory",'vInfo (Imported)'!$1:$5000,M4387,FALSE)</f>
        <v>0</v>
      </c>
      <c r="T4387">
        <f>HLOOKUP("Provisioned MiB",'vInfo (Imported)'!$1:$5000,M4387,FALSE)</f>
        <v>0</v>
      </c>
      <c r="U4387">
        <f t="shared" si="205"/>
        <v>0</v>
      </c>
      <c r="V4387">
        <f>HLOOKUP("In Use MiB",'vInfo (Imported)'!$1:$5000,M4387,FALSE)</f>
        <v>0</v>
      </c>
    </row>
    <row r="4388" spans="1:22" ht="13" x14ac:dyDescent="0.3">
      <c r="A4388" s="46">
        <f>'vHosts (Imported)'!A4388</f>
        <v>0</v>
      </c>
      <c r="B4388" s="51">
        <f t="shared" si="204"/>
        <v>4968</v>
      </c>
      <c r="C4388" s="49">
        <f>HLOOKUP("# Cores",'vHosts (Imported)'!$1:$5000,M4388,FALSE)</f>
        <v>0</v>
      </c>
      <c r="D4388" s="52">
        <f>HLOOKUP("# Memory",'vHosts (Imported)'!$1:$5000,M4388,FALSE)</f>
        <v>0</v>
      </c>
      <c r="M4388" s="45">
        <f t="shared" si="206"/>
        <v>4388</v>
      </c>
      <c r="N4388" s="38">
        <f>HLOOKUP("Host",'vInfo (Imported)'!$1:$5000,M4388,FALSE)</f>
        <v>0</v>
      </c>
      <c r="R4388">
        <f>HLOOKUP("CPUs",'vInfo (Imported)'!$1:$5000,M4388,FALSE)</f>
        <v>0</v>
      </c>
      <c r="S4388">
        <f>HLOOKUP("Memory",'vInfo (Imported)'!$1:$5000,M4388,FALSE)</f>
        <v>0</v>
      </c>
      <c r="T4388">
        <f>HLOOKUP("Provisioned MiB",'vInfo (Imported)'!$1:$5000,M4388,FALSE)</f>
        <v>0</v>
      </c>
      <c r="U4388">
        <f t="shared" si="205"/>
        <v>0</v>
      </c>
      <c r="V4388">
        <f>HLOOKUP("In Use MiB",'vInfo (Imported)'!$1:$5000,M4388,FALSE)</f>
        <v>0</v>
      </c>
    </row>
    <row r="4389" spans="1:22" ht="13" x14ac:dyDescent="0.3">
      <c r="A4389" s="46">
        <f>'vHosts (Imported)'!A4389</f>
        <v>0</v>
      </c>
      <c r="B4389" s="51">
        <f t="shared" si="204"/>
        <v>4968</v>
      </c>
      <c r="C4389" s="49">
        <f>HLOOKUP("# Cores",'vHosts (Imported)'!$1:$5000,M4389,FALSE)</f>
        <v>0</v>
      </c>
      <c r="D4389" s="52">
        <f>HLOOKUP("# Memory",'vHosts (Imported)'!$1:$5000,M4389,FALSE)</f>
        <v>0</v>
      </c>
      <c r="M4389" s="45">
        <f t="shared" si="206"/>
        <v>4389</v>
      </c>
      <c r="N4389" s="38">
        <f>HLOOKUP("Host",'vInfo (Imported)'!$1:$5000,M4389,FALSE)</f>
        <v>0</v>
      </c>
      <c r="R4389">
        <f>HLOOKUP("CPUs",'vInfo (Imported)'!$1:$5000,M4389,FALSE)</f>
        <v>0</v>
      </c>
      <c r="S4389">
        <f>HLOOKUP("Memory",'vInfo (Imported)'!$1:$5000,M4389,FALSE)</f>
        <v>0</v>
      </c>
      <c r="T4389">
        <f>HLOOKUP("Provisioned MiB",'vInfo (Imported)'!$1:$5000,M4389,FALSE)</f>
        <v>0</v>
      </c>
      <c r="U4389">
        <f t="shared" si="205"/>
        <v>0</v>
      </c>
      <c r="V4389">
        <f>HLOOKUP("In Use MiB",'vInfo (Imported)'!$1:$5000,M4389,FALSE)</f>
        <v>0</v>
      </c>
    </row>
    <row r="4390" spans="1:22" ht="13" x14ac:dyDescent="0.3">
      <c r="A4390" s="46">
        <f>'vHosts (Imported)'!A4390</f>
        <v>0</v>
      </c>
      <c r="B4390" s="51">
        <f t="shared" si="204"/>
        <v>4968</v>
      </c>
      <c r="C4390" s="49">
        <f>HLOOKUP("# Cores",'vHosts (Imported)'!$1:$5000,M4390,FALSE)</f>
        <v>0</v>
      </c>
      <c r="D4390" s="52">
        <f>HLOOKUP("# Memory",'vHosts (Imported)'!$1:$5000,M4390,FALSE)</f>
        <v>0</v>
      </c>
      <c r="M4390" s="45">
        <f t="shared" si="206"/>
        <v>4390</v>
      </c>
      <c r="N4390" s="38">
        <f>HLOOKUP("Host",'vInfo (Imported)'!$1:$5000,M4390,FALSE)</f>
        <v>0</v>
      </c>
      <c r="R4390">
        <f>HLOOKUP("CPUs",'vInfo (Imported)'!$1:$5000,M4390,FALSE)</f>
        <v>0</v>
      </c>
      <c r="S4390">
        <f>HLOOKUP("Memory",'vInfo (Imported)'!$1:$5000,M4390,FALSE)</f>
        <v>0</v>
      </c>
      <c r="T4390">
        <f>HLOOKUP("Provisioned MiB",'vInfo (Imported)'!$1:$5000,M4390,FALSE)</f>
        <v>0</v>
      </c>
      <c r="U4390">
        <f t="shared" si="205"/>
        <v>0</v>
      </c>
      <c r="V4390">
        <f>HLOOKUP("In Use MiB",'vInfo (Imported)'!$1:$5000,M4390,FALSE)</f>
        <v>0</v>
      </c>
    </row>
    <row r="4391" spans="1:22" ht="13" x14ac:dyDescent="0.3">
      <c r="A4391" s="46">
        <f>'vHosts (Imported)'!A4391</f>
        <v>0</v>
      </c>
      <c r="B4391" s="51">
        <f t="shared" si="204"/>
        <v>4968</v>
      </c>
      <c r="C4391" s="49">
        <f>HLOOKUP("# Cores",'vHosts (Imported)'!$1:$5000,M4391,FALSE)</f>
        <v>0</v>
      </c>
      <c r="D4391" s="52">
        <f>HLOOKUP("# Memory",'vHosts (Imported)'!$1:$5000,M4391,FALSE)</f>
        <v>0</v>
      </c>
      <c r="M4391" s="45">
        <f t="shared" si="206"/>
        <v>4391</v>
      </c>
      <c r="N4391" s="38">
        <f>HLOOKUP("Host",'vInfo (Imported)'!$1:$5000,M4391,FALSE)</f>
        <v>0</v>
      </c>
      <c r="R4391">
        <f>HLOOKUP("CPUs",'vInfo (Imported)'!$1:$5000,M4391,FALSE)</f>
        <v>0</v>
      </c>
      <c r="S4391">
        <f>HLOOKUP("Memory",'vInfo (Imported)'!$1:$5000,M4391,FALSE)</f>
        <v>0</v>
      </c>
      <c r="T4391">
        <f>HLOOKUP("Provisioned MiB",'vInfo (Imported)'!$1:$5000,M4391,FALSE)</f>
        <v>0</v>
      </c>
      <c r="U4391">
        <f t="shared" si="205"/>
        <v>0</v>
      </c>
      <c r="V4391">
        <f>HLOOKUP("In Use MiB",'vInfo (Imported)'!$1:$5000,M4391,FALSE)</f>
        <v>0</v>
      </c>
    </row>
    <row r="4392" spans="1:22" ht="13" x14ac:dyDescent="0.3">
      <c r="A4392" s="46">
        <f>'vHosts (Imported)'!A4392</f>
        <v>0</v>
      </c>
      <c r="B4392" s="51">
        <f t="shared" ref="B4392:B4455" si="207">COUNTIF(N:N,A4392)</f>
        <v>4968</v>
      </c>
      <c r="C4392" s="49">
        <f>HLOOKUP("# Cores",'vHosts (Imported)'!$1:$5000,M4392,FALSE)</f>
        <v>0</v>
      </c>
      <c r="D4392" s="52">
        <f>HLOOKUP("# Memory",'vHosts (Imported)'!$1:$5000,M4392,FALSE)</f>
        <v>0</v>
      </c>
      <c r="M4392" s="45">
        <f t="shared" si="206"/>
        <v>4392</v>
      </c>
      <c r="N4392" s="38">
        <f>HLOOKUP("Host",'vInfo (Imported)'!$1:$5000,M4392,FALSE)</f>
        <v>0</v>
      </c>
      <c r="R4392">
        <f>HLOOKUP("CPUs",'vInfo (Imported)'!$1:$5000,M4392,FALSE)</f>
        <v>0</v>
      </c>
      <c r="S4392">
        <f>HLOOKUP("Memory",'vInfo (Imported)'!$1:$5000,M4392,FALSE)</f>
        <v>0</v>
      </c>
      <c r="T4392">
        <f>HLOOKUP("Provisioned MiB",'vInfo (Imported)'!$1:$5000,M4392,FALSE)</f>
        <v>0</v>
      </c>
      <c r="U4392">
        <f t="shared" si="205"/>
        <v>0</v>
      </c>
      <c r="V4392">
        <f>HLOOKUP("In Use MiB",'vInfo (Imported)'!$1:$5000,M4392,FALSE)</f>
        <v>0</v>
      </c>
    </row>
    <row r="4393" spans="1:22" ht="13" x14ac:dyDescent="0.3">
      <c r="A4393" s="46">
        <f>'vHosts (Imported)'!A4393</f>
        <v>0</v>
      </c>
      <c r="B4393" s="51">
        <f t="shared" si="207"/>
        <v>4968</v>
      </c>
      <c r="C4393" s="49">
        <f>HLOOKUP("# Cores",'vHosts (Imported)'!$1:$5000,M4393,FALSE)</f>
        <v>0</v>
      </c>
      <c r="D4393" s="52">
        <f>HLOOKUP("# Memory",'vHosts (Imported)'!$1:$5000,M4393,FALSE)</f>
        <v>0</v>
      </c>
      <c r="M4393" s="45">
        <f t="shared" si="206"/>
        <v>4393</v>
      </c>
      <c r="N4393" s="38">
        <f>HLOOKUP("Host",'vInfo (Imported)'!$1:$5000,M4393,FALSE)</f>
        <v>0</v>
      </c>
      <c r="R4393">
        <f>HLOOKUP("CPUs",'vInfo (Imported)'!$1:$5000,M4393,FALSE)</f>
        <v>0</v>
      </c>
      <c r="S4393">
        <f>HLOOKUP("Memory",'vInfo (Imported)'!$1:$5000,M4393,FALSE)</f>
        <v>0</v>
      </c>
      <c r="T4393">
        <f>HLOOKUP("Provisioned MiB",'vInfo (Imported)'!$1:$5000,M4393,FALSE)</f>
        <v>0</v>
      </c>
      <c r="U4393">
        <f t="shared" si="205"/>
        <v>0</v>
      </c>
      <c r="V4393">
        <f>HLOOKUP("In Use MiB",'vInfo (Imported)'!$1:$5000,M4393,FALSE)</f>
        <v>0</v>
      </c>
    </row>
    <row r="4394" spans="1:22" ht="13" x14ac:dyDescent="0.3">
      <c r="A4394" s="46">
        <f>'vHosts (Imported)'!A4394</f>
        <v>0</v>
      </c>
      <c r="B4394" s="51">
        <f t="shared" si="207"/>
        <v>4968</v>
      </c>
      <c r="C4394" s="49">
        <f>HLOOKUP("# Cores",'vHosts (Imported)'!$1:$5000,M4394,FALSE)</f>
        <v>0</v>
      </c>
      <c r="D4394" s="52">
        <f>HLOOKUP("# Memory",'vHosts (Imported)'!$1:$5000,M4394,FALSE)</f>
        <v>0</v>
      </c>
      <c r="M4394" s="45">
        <f t="shared" si="206"/>
        <v>4394</v>
      </c>
      <c r="N4394" s="38">
        <f>HLOOKUP("Host",'vInfo (Imported)'!$1:$5000,M4394,FALSE)</f>
        <v>0</v>
      </c>
      <c r="R4394">
        <f>HLOOKUP("CPUs",'vInfo (Imported)'!$1:$5000,M4394,FALSE)</f>
        <v>0</v>
      </c>
      <c r="S4394">
        <f>HLOOKUP("Memory",'vInfo (Imported)'!$1:$5000,M4394,FALSE)</f>
        <v>0</v>
      </c>
      <c r="T4394">
        <f>HLOOKUP("Provisioned MiB",'vInfo (Imported)'!$1:$5000,M4394,FALSE)</f>
        <v>0</v>
      </c>
      <c r="U4394">
        <f t="shared" si="205"/>
        <v>0</v>
      </c>
      <c r="V4394">
        <f>HLOOKUP("In Use MiB",'vInfo (Imported)'!$1:$5000,M4394,FALSE)</f>
        <v>0</v>
      </c>
    </row>
    <row r="4395" spans="1:22" ht="13" x14ac:dyDescent="0.3">
      <c r="A4395" s="46">
        <f>'vHosts (Imported)'!A4395</f>
        <v>0</v>
      </c>
      <c r="B4395" s="51">
        <f t="shared" si="207"/>
        <v>4968</v>
      </c>
      <c r="C4395" s="49">
        <f>HLOOKUP("# Cores",'vHosts (Imported)'!$1:$5000,M4395,FALSE)</f>
        <v>0</v>
      </c>
      <c r="D4395" s="52">
        <f>HLOOKUP("# Memory",'vHosts (Imported)'!$1:$5000,M4395,FALSE)</f>
        <v>0</v>
      </c>
      <c r="M4395" s="45">
        <f t="shared" si="206"/>
        <v>4395</v>
      </c>
      <c r="N4395" s="38">
        <f>HLOOKUP("Host",'vInfo (Imported)'!$1:$5000,M4395,FALSE)</f>
        <v>0</v>
      </c>
      <c r="R4395">
        <f>HLOOKUP("CPUs",'vInfo (Imported)'!$1:$5000,M4395,FALSE)</f>
        <v>0</v>
      </c>
      <c r="S4395">
        <f>HLOOKUP("Memory",'vInfo (Imported)'!$1:$5000,M4395,FALSE)</f>
        <v>0</v>
      </c>
      <c r="T4395">
        <f>HLOOKUP("Provisioned MiB",'vInfo (Imported)'!$1:$5000,M4395,FALSE)</f>
        <v>0</v>
      </c>
      <c r="U4395">
        <f t="shared" si="205"/>
        <v>0</v>
      </c>
      <c r="V4395">
        <f>HLOOKUP("In Use MiB",'vInfo (Imported)'!$1:$5000,M4395,FALSE)</f>
        <v>0</v>
      </c>
    </row>
    <row r="4396" spans="1:22" ht="13" x14ac:dyDescent="0.3">
      <c r="A4396" s="46">
        <f>'vHosts (Imported)'!A4396</f>
        <v>0</v>
      </c>
      <c r="B4396" s="51">
        <f t="shared" si="207"/>
        <v>4968</v>
      </c>
      <c r="C4396" s="49">
        <f>HLOOKUP("# Cores",'vHosts (Imported)'!$1:$5000,M4396,FALSE)</f>
        <v>0</v>
      </c>
      <c r="D4396" s="52">
        <f>HLOOKUP("# Memory",'vHosts (Imported)'!$1:$5000,M4396,FALSE)</f>
        <v>0</v>
      </c>
      <c r="M4396" s="45">
        <f t="shared" si="206"/>
        <v>4396</v>
      </c>
      <c r="N4396" s="38">
        <f>HLOOKUP("Host",'vInfo (Imported)'!$1:$5000,M4396,FALSE)</f>
        <v>0</v>
      </c>
      <c r="R4396">
        <f>HLOOKUP("CPUs",'vInfo (Imported)'!$1:$5000,M4396,FALSE)</f>
        <v>0</v>
      </c>
      <c r="S4396">
        <f>HLOOKUP("Memory",'vInfo (Imported)'!$1:$5000,M4396,FALSE)</f>
        <v>0</v>
      </c>
      <c r="T4396">
        <f>HLOOKUP("Provisioned MiB",'vInfo (Imported)'!$1:$5000,M4396,FALSE)</f>
        <v>0</v>
      </c>
      <c r="U4396">
        <f t="shared" si="205"/>
        <v>0</v>
      </c>
      <c r="V4396">
        <f>HLOOKUP("In Use MiB",'vInfo (Imported)'!$1:$5000,M4396,FALSE)</f>
        <v>0</v>
      </c>
    </row>
    <row r="4397" spans="1:22" ht="13" x14ac:dyDescent="0.3">
      <c r="A4397" s="46">
        <f>'vHosts (Imported)'!A4397</f>
        <v>0</v>
      </c>
      <c r="B4397" s="51">
        <f t="shared" si="207"/>
        <v>4968</v>
      </c>
      <c r="C4397" s="49">
        <f>HLOOKUP("# Cores",'vHosts (Imported)'!$1:$5000,M4397,FALSE)</f>
        <v>0</v>
      </c>
      <c r="D4397" s="52">
        <f>HLOOKUP("# Memory",'vHosts (Imported)'!$1:$5000,M4397,FALSE)</f>
        <v>0</v>
      </c>
      <c r="M4397" s="45">
        <f t="shared" si="206"/>
        <v>4397</v>
      </c>
      <c r="N4397" s="38">
        <f>HLOOKUP("Host",'vInfo (Imported)'!$1:$5000,M4397,FALSE)</f>
        <v>0</v>
      </c>
      <c r="R4397">
        <f>HLOOKUP("CPUs",'vInfo (Imported)'!$1:$5000,M4397,FALSE)</f>
        <v>0</v>
      </c>
      <c r="S4397">
        <f>HLOOKUP("Memory",'vInfo (Imported)'!$1:$5000,M4397,FALSE)</f>
        <v>0</v>
      </c>
      <c r="T4397">
        <f>HLOOKUP("Provisioned MiB",'vInfo (Imported)'!$1:$5000,M4397,FALSE)</f>
        <v>0</v>
      </c>
      <c r="U4397">
        <f t="shared" si="205"/>
        <v>0</v>
      </c>
      <c r="V4397">
        <f>HLOOKUP("In Use MiB",'vInfo (Imported)'!$1:$5000,M4397,FALSE)</f>
        <v>0</v>
      </c>
    </row>
    <row r="4398" spans="1:22" ht="13" x14ac:dyDescent="0.3">
      <c r="A4398" s="46">
        <f>'vHosts (Imported)'!A4398</f>
        <v>0</v>
      </c>
      <c r="B4398" s="51">
        <f t="shared" si="207"/>
        <v>4968</v>
      </c>
      <c r="C4398" s="49">
        <f>HLOOKUP("# Cores",'vHosts (Imported)'!$1:$5000,M4398,FALSE)</f>
        <v>0</v>
      </c>
      <c r="D4398" s="52">
        <f>HLOOKUP("# Memory",'vHosts (Imported)'!$1:$5000,M4398,FALSE)</f>
        <v>0</v>
      </c>
      <c r="M4398" s="45">
        <f t="shared" si="206"/>
        <v>4398</v>
      </c>
      <c r="N4398" s="38">
        <f>HLOOKUP("Host",'vInfo (Imported)'!$1:$5000,M4398,FALSE)</f>
        <v>0</v>
      </c>
      <c r="R4398">
        <f>HLOOKUP("CPUs",'vInfo (Imported)'!$1:$5000,M4398,FALSE)</f>
        <v>0</v>
      </c>
      <c r="S4398">
        <f>HLOOKUP("Memory",'vInfo (Imported)'!$1:$5000,M4398,FALSE)</f>
        <v>0</v>
      </c>
      <c r="T4398">
        <f>HLOOKUP("Provisioned MiB",'vInfo (Imported)'!$1:$5000,M4398,FALSE)</f>
        <v>0</v>
      </c>
      <c r="U4398">
        <f t="shared" si="205"/>
        <v>0</v>
      </c>
      <c r="V4398">
        <f>HLOOKUP("In Use MiB",'vInfo (Imported)'!$1:$5000,M4398,FALSE)</f>
        <v>0</v>
      </c>
    </row>
    <row r="4399" spans="1:22" ht="13" x14ac:dyDescent="0.3">
      <c r="A4399" s="46">
        <f>'vHosts (Imported)'!A4399</f>
        <v>0</v>
      </c>
      <c r="B4399" s="51">
        <f t="shared" si="207"/>
        <v>4968</v>
      </c>
      <c r="C4399" s="49">
        <f>HLOOKUP("# Cores",'vHosts (Imported)'!$1:$5000,M4399,FALSE)</f>
        <v>0</v>
      </c>
      <c r="D4399" s="52">
        <f>HLOOKUP("# Memory",'vHosts (Imported)'!$1:$5000,M4399,FALSE)</f>
        <v>0</v>
      </c>
      <c r="M4399" s="45">
        <f t="shared" si="206"/>
        <v>4399</v>
      </c>
      <c r="N4399" s="38">
        <f>HLOOKUP("Host",'vInfo (Imported)'!$1:$5000,M4399,FALSE)</f>
        <v>0</v>
      </c>
      <c r="R4399">
        <f>HLOOKUP("CPUs",'vInfo (Imported)'!$1:$5000,M4399,FALSE)</f>
        <v>0</v>
      </c>
      <c r="S4399">
        <f>HLOOKUP("Memory",'vInfo (Imported)'!$1:$5000,M4399,FALSE)</f>
        <v>0</v>
      </c>
      <c r="T4399">
        <f>HLOOKUP("Provisioned MiB",'vInfo (Imported)'!$1:$5000,M4399,FALSE)</f>
        <v>0</v>
      </c>
      <c r="U4399">
        <f t="shared" si="205"/>
        <v>0</v>
      </c>
      <c r="V4399">
        <f>HLOOKUP("In Use MiB",'vInfo (Imported)'!$1:$5000,M4399,FALSE)</f>
        <v>0</v>
      </c>
    </row>
    <row r="4400" spans="1:22" ht="13" x14ac:dyDescent="0.3">
      <c r="A4400" s="46">
        <f>'vHosts (Imported)'!A4400</f>
        <v>0</v>
      </c>
      <c r="B4400" s="51">
        <f t="shared" si="207"/>
        <v>4968</v>
      </c>
      <c r="C4400" s="49">
        <f>HLOOKUP("# Cores",'vHosts (Imported)'!$1:$5000,M4400,FALSE)</f>
        <v>0</v>
      </c>
      <c r="D4400" s="52">
        <f>HLOOKUP("# Memory",'vHosts (Imported)'!$1:$5000,M4400,FALSE)</f>
        <v>0</v>
      </c>
      <c r="M4400" s="45">
        <f t="shared" si="206"/>
        <v>4400</v>
      </c>
      <c r="N4400" s="38">
        <f>HLOOKUP("Host",'vInfo (Imported)'!$1:$5000,M4400,FALSE)</f>
        <v>0</v>
      </c>
      <c r="R4400">
        <f>HLOOKUP("CPUs",'vInfo (Imported)'!$1:$5000,M4400,FALSE)</f>
        <v>0</v>
      </c>
      <c r="S4400">
        <f>HLOOKUP("Memory",'vInfo (Imported)'!$1:$5000,M4400,FALSE)</f>
        <v>0</v>
      </c>
      <c r="T4400">
        <f>HLOOKUP("Provisioned MiB",'vInfo (Imported)'!$1:$5000,M4400,FALSE)</f>
        <v>0</v>
      </c>
      <c r="U4400">
        <f t="shared" si="205"/>
        <v>0</v>
      </c>
      <c r="V4400">
        <f>HLOOKUP("In Use MiB",'vInfo (Imported)'!$1:$5000,M4400,FALSE)</f>
        <v>0</v>
      </c>
    </row>
    <row r="4401" spans="1:22" ht="13" x14ac:dyDescent="0.3">
      <c r="A4401" s="46">
        <f>'vHosts (Imported)'!A4401</f>
        <v>0</v>
      </c>
      <c r="B4401" s="51">
        <f t="shared" si="207"/>
        <v>4968</v>
      </c>
      <c r="C4401" s="49">
        <f>HLOOKUP("# Cores",'vHosts (Imported)'!$1:$5000,M4401,FALSE)</f>
        <v>0</v>
      </c>
      <c r="D4401" s="52">
        <f>HLOOKUP("# Memory",'vHosts (Imported)'!$1:$5000,M4401,FALSE)</f>
        <v>0</v>
      </c>
      <c r="M4401" s="45">
        <f t="shared" si="206"/>
        <v>4401</v>
      </c>
      <c r="N4401" s="38">
        <f>HLOOKUP("Host",'vInfo (Imported)'!$1:$5000,M4401,FALSE)</f>
        <v>0</v>
      </c>
      <c r="R4401">
        <f>HLOOKUP("CPUs",'vInfo (Imported)'!$1:$5000,M4401,FALSE)</f>
        <v>0</v>
      </c>
      <c r="S4401">
        <f>HLOOKUP("Memory",'vInfo (Imported)'!$1:$5000,M4401,FALSE)</f>
        <v>0</v>
      </c>
      <c r="T4401">
        <f>HLOOKUP("Provisioned MiB",'vInfo (Imported)'!$1:$5000,M4401,FALSE)</f>
        <v>0</v>
      </c>
      <c r="U4401">
        <f t="shared" si="205"/>
        <v>0</v>
      </c>
      <c r="V4401">
        <f>HLOOKUP("In Use MiB",'vInfo (Imported)'!$1:$5000,M4401,FALSE)</f>
        <v>0</v>
      </c>
    </row>
    <row r="4402" spans="1:22" ht="13" x14ac:dyDescent="0.3">
      <c r="A4402" s="46">
        <f>'vHosts (Imported)'!A4402</f>
        <v>0</v>
      </c>
      <c r="B4402" s="51">
        <f t="shared" si="207"/>
        <v>4968</v>
      </c>
      <c r="C4402" s="49">
        <f>HLOOKUP("# Cores",'vHosts (Imported)'!$1:$5000,M4402,FALSE)</f>
        <v>0</v>
      </c>
      <c r="D4402" s="52">
        <f>HLOOKUP("# Memory",'vHosts (Imported)'!$1:$5000,M4402,FALSE)</f>
        <v>0</v>
      </c>
      <c r="M4402" s="45">
        <f t="shared" si="206"/>
        <v>4402</v>
      </c>
      <c r="N4402" s="38">
        <f>HLOOKUP("Host",'vInfo (Imported)'!$1:$5000,M4402,FALSE)</f>
        <v>0</v>
      </c>
      <c r="R4402">
        <f>HLOOKUP("CPUs",'vInfo (Imported)'!$1:$5000,M4402,FALSE)</f>
        <v>0</v>
      </c>
      <c r="S4402">
        <f>HLOOKUP("Memory",'vInfo (Imported)'!$1:$5000,M4402,FALSE)</f>
        <v>0</v>
      </c>
      <c r="T4402">
        <f>HLOOKUP("Provisioned MiB",'vInfo (Imported)'!$1:$5000,M4402,FALSE)</f>
        <v>0</v>
      </c>
      <c r="U4402">
        <f t="shared" si="205"/>
        <v>0</v>
      </c>
      <c r="V4402">
        <f>HLOOKUP("In Use MiB",'vInfo (Imported)'!$1:$5000,M4402,FALSE)</f>
        <v>0</v>
      </c>
    </row>
    <row r="4403" spans="1:22" ht="13" x14ac:dyDescent="0.3">
      <c r="A4403" s="46">
        <f>'vHosts (Imported)'!A4403</f>
        <v>0</v>
      </c>
      <c r="B4403" s="51">
        <f t="shared" si="207"/>
        <v>4968</v>
      </c>
      <c r="C4403" s="49">
        <f>HLOOKUP("# Cores",'vHosts (Imported)'!$1:$5000,M4403,FALSE)</f>
        <v>0</v>
      </c>
      <c r="D4403" s="52">
        <f>HLOOKUP("# Memory",'vHosts (Imported)'!$1:$5000,M4403,FALSE)</f>
        <v>0</v>
      </c>
      <c r="M4403" s="45">
        <f t="shared" si="206"/>
        <v>4403</v>
      </c>
      <c r="N4403" s="38">
        <f>HLOOKUP("Host",'vInfo (Imported)'!$1:$5000,M4403,FALSE)</f>
        <v>0</v>
      </c>
      <c r="R4403">
        <f>HLOOKUP("CPUs",'vInfo (Imported)'!$1:$5000,M4403,FALSE)</f>
        <v>0</v>
      </c>
      <c r="S4403">
        <f>HLOOKUP("Memory",'vInfo (Imported)'!$1:$5000,M4403,FALSE)</f>
        <v>0</v>
      </c>
      <c r="T4403">
        <f>HLOOKUP("Provisioned MiB",'vInfo (Imported)'!$1:$5000,M4403,FALSE)</f>
        <v>0</v>
      </c>
      <c r="U4403">
        <f t="shared" si="205"/>
        <v>0</v>
      </c>
      <c r="V4403">
        <f>HLOOKUP("In Use MiB",'vInfo (Imported)'!$1:$5000,M4403,FALSE)</f>
        <v>0</v>
      </c>
    </row>
    <row r="4404" spans="1:22" ht="13" x14ac:dyDescent="0.3">
      <c r="A4404" s="46">
        <f>'vHosts (Imported)'!A4404</f>
        <v>0</v>
      </c>
      <c r="B4404" s="51">
        <f t="shared" si="207"/>
        <v>4968</v>
      </c>
      <c r="C4404" s="49">
        <f>HLOOKUP("# Cores",'vHosts (Imported)'!$1:$5000,M4404,FALSE)</f>
        <v>0</v>
      </c>
      <c r="D4404" s="52">
        <f>HLOOKUP("# Memory",'vHosts (Imported)'!$1:$5000,M4404,FALSE)</f>
        <v>0</v>
      </c>
      <c r="M4404" s="45">
        <f t="shared" si="206"/>
        <v>4404</v>
      </c>
      <c r="N4404" s="38">
        <f>HLOOKUP("Host",'vInfo (Imported)'!$1:$5000,M4404,FALSE)</f>
        <v>0</v>
      </c>
      <c r="R4404">
        <f>HLOOKUP("CPUs",'vInfo (Imported)'!$1:$5000,M4404,FALSE)</f>
        <v>0</v>
      </c>
      <c r="S4404">
        <f>HLOOKUP("Memory",'vInfo (Imported)'!$1:$5000,M4404,FALSE)</f>
        <v>0</v>
      </c>
      <c r="T4404">
        <f>HLOOKUP("Provisioned MiB",'vInfo (Imported)'!$1:$5000,M4404,FALSE)</f>
        <v>0</v>
      </c>
      <c r="U4404">
        <f t="shared" si="205"/>
        <v>0</v>
      </c>
      <c r="V4404">
        <f>HLOOKUP("In Use MiB",'vInfo (Imported)'!$1:$5000,M4404,FALSE)</f>
        <v>0</v>
      </c>
    </row>
    <row r="4405" spans="1:22" ht="13" x14ac:dyDescent="0.3">
      <c r="A4405" s="46">
        <f>'vHosts (Imported)'!A4405</f>
        <v>0</v>
      </c>
      <c r="B4405" s="51">
        <f t="shared" si="207"/>
        <v>4968</v>
      </c>
      <c r="C4405" s="49">
        <f>HLOOKUP("# Cores",'vHosts (Imported)'!$1:$5000,M4405,FALSE)</f>
        <v>0</v>
      </c>
      <c r="D4405" s="52">
        <f>HLOOKUP("# Memory",'vHosts (Imported)'!$1:$5000,M4405,FALSE)</f>
        <v>0</v>
      </c>
      <c r="M4405" s="45">
        <f t="shared" si="206"/>
        <v>4405</v>
      </c>
      <c r="N4405" s="38">
        <f>HLOOKUP("Host",'vInfo (Imported)'!$1:$5000,M4405,FALSE)</f>
        <v>0</v>
      </c>
      <c r="R4405">
        <f>HLOOKUP("CPUs",'vInfo (Imported)'!$1:$5000,M4405,FALSE)</f>
        <v>0</v>
      </c>
      <c r="S4405">
        <f>HLOOKUP("Memory",'vInfo (Imported)'!$1:$5000,M4405,FALSE)</f>
        <v>0</v>
      </c>
      <c r="T4405">
        <f>HLOOKUP("Provisioned MiB",'vInfo (Imported)'!$1:$5000,M4405,FALSE)</f>
        <v>0</v>
      </c>
      <c r="U4405">
        <f t="shared" si="205"/>
        <v>0</v>
      </c>
      <c r="V4405">
        <f>HLOOKUP("In Use MiB",'vInfo (Imported)'!$1:$5000,M4405,FALSE)</f>
        <v>0</v>
      </c>
    </row>
    <row r="4406" spans="1:22" ht="13" x14ac:dyDescent="0.3">
      <c r="A4406" s="46">
        <f>'vHosts (Imported)'!A4406</f>
        <v>0</v>
      </c>
      <c r="B4406" s="51">
        <f t="shared" si="207"/>
        <v>4968</v>
      </c>
      <c r="C4406" s="49">
        <f>HLOOKUP("# Cores",'vHosts (Imported)'!$1:$5000,M4406,FALSE)</f>
        <v>0</v>
      </c>
      <c r="D4406" s="52">
        <f>HLOOKUP("# Memory",'vHosts (Imported)'!$1:$5000,M4406,FALSE)</f>
        <v>0</v>
      </c>
      <c r="M4406" s="45">
        <f t="shared" si="206"/>
        <v>4406</v>
      </c>
      <c r="N4406" s="38">
        <f>HLOOKUP("Host",'vInfo (Imported)'!$1:$5000,M4406,FALSE)</f>
        <v>0</v>
      </c>
      <c r="R4406">
        <f>HLOOKUP("CPUs",'vInfo (Imported)'!$1:$5000,M4406,FALSE)</f>
        <v>0</v>
      </c>
      <c r="S4406">
        <f>HLOOKUP("Memory",'vInfo (Imported)'!$1:$5000,M4406,FALSE)</f>
        <v>0</v>
      </c>
      <c r="T4406">
        <f>HLOOKUP("Provisioned MiB",'vInfo (Imported)'!$1:$5000,M4406,FALSE)</f>
        <v>0</v>
      </c>
      <c r="U4406">
        <f t="shared" si="205"/>
        <v>0</v>
      </c>
      <c r="V4406">
        <f>HLOOKUP("In Use MiB",'vInfo (Imported)'!$1:$5000,M4406,FALSE)</f>
        <v>0</v>
      </c>
    </row>
    <row r="4407" spans="1:22" ht="13" x14ac:dyDescent="0.3">
      <c r="A4407" s="46">
        <f>'vHosts (Imported)'!A4407</f>
        <v>0</v>
      </c>
      <c r="B4407" s="51">
        <f t="shared" si="207"/>
        <v>4968</v>
      </c>
      <c r="C4407" s="49">
        <f>HLOOKUP("# Cores",'vHosts (Imported)'!$1:$5000,M4407,FALSE)</f>
        <v>0</v>
      </c>
      <c r="D4407" s="52">
        <f>HLOOKUP("# Memory",'vHosts (Imported)'!$1:$5000,M4407,FALSE)</f>
        <v>0</v>
      </c>
      <c r="M4407" s="45">
        <f t="shared" si="206"/>
        <v>4407</v>
      </c>
      <c r="N4407" s="38">
        <f>HLOOKUP("Host",'vInfo (Imported)'!$1:$5000,M4407,FALSE)</f>
        <v>0</v>
      </c>
      <c r="R4407">
        <f>HLOOKUP("CPUs",'vInfo (Imported)'!$1:$5000,M4407,FALSE)</f>
        <v>0</v>
      </c>
      <c r="S4407">
        <f>HLOOKUP("Memory",'vInfo (Imported)'!$1:$5000,M4407,FALSE)</f>
        <v>0</v>
      </c>
      <c r="T4407">
        <f>HLOOKUP("Provisioned MiB",'vInfo (Imported)'!$1:$5000,M4407,FALSE)</f>
        <v>0</v>
      </c>
      <c r="U4407">
        <f t="shared" si="205"/>
        <v>0</v>
      </c>
      <c r="V4407">
        <f>HLOOKUP("In Use MiB",'vInfo (Imported)'!$1:$5000,M4407,FALSE)</f>
        <v>0</v>
      </c>
    </row>
    <row r="4408" spans="1:22" ht="13" x14ac:dyDescent="0.3">
      <c r="A4408" s="46">
        <f>'vHosts (Imported)'!A4408</f>
        <v>0</v>
      </c>
      <c r="B4408" s="51">
        <f t="shared" si="207"/>
        <v>4968</v>
      </c>
      <c r="C4408" s="49">
        <f>HLOOKUP("# Cores",'vHosts (Imported)'!$1:$5000,M4408,FALSE)</f>
        <v>0</v>
      </c>
      <c r="D4408" s="52">
        <f>HLOOKUP("# Memory",'vHosts (Imported)'!$1:$5000,M4408,FALSE)</f>
        <v>0</v>
      </c>
      <c r="M4408" s="45">
        <f t="shared" si="206"/>
        <v>4408</v>
      </c>
      <c r="N4408" s="38">
        <f>HLOOKUP("Host",'vInfo (Imported)'!$1:$5000,M4408,FALSE)</f>
        <v>0</v>
      </c>
      <c r="R4408">
        <f>HLOOKUP("CPUs",'vInfo (Imported)'!$1:$5000,M4408,FALSE)</f>
        <v>0</v>
      </c>
      <c r="S4408">
        <f>HLOOKUP("Memory",'vInfo (Imported)'!$1:$5000,M4408,FALSE)</f>
        <v>0</v>
      </c>
      <c r="T4408">
        <f>HLOOKUP("Provisioned MiB",'vInfo (Imported)'!$1:$5000,M4408,FALSE)</f>
        <v>0</v>
      </c>
      <c r="U4408">
        <f t="shared" si="205"/>
        <v>0</v>
      </c>
      <c r="V4408">
        <f>HLOOKUP("In Use MiB",'vInfo (Imported)'!$1:$5000,M4408,FALSE)</f>
        <v>0</v>
      </c>
    </row>
    <row r="4409" spans="1:22" ht="13" x14ac:dyDescent="0.3">
      <c r="A4409" s="46">
        <f>'vHosts (Imported)'!A4409</f>
        <v>0</v>
      </c>
      <c r="B4409" s="51">
        <f t="shared" si="207"/>
        <v>4968</v>
      </c>
      <c r="C4409" s="49">
        <f>HLOOKUP("# Cores",'vHosts (Imported)'!$1:$5000,M4409,FALSE)</f>
        <v>0</v>
      </c>
      <c r="D4409" s="52">
        <f>HLOOKUP("# Memory",'vHosts (Imported)'!$1:$5000,M4409,FALSE)</f>
        <v>0</v>
      </c>
      <c r="M4409" s="45">
        <f t="shared" si="206"/>
        <v>4409</v>
      </c>
      <c r="N4409" s="38">
        <f>HLOOKUP("Host",'vInfo (Imported)'!$1:$5000,M4409,FALSE)</f>
        <v>0</v>
      </c>
      <c r="R4409">
        <f>HLOOKUP("CPUs",'vInfo (Imported)'!$1:$5000,M4409,FALSE)</f>
        <v>0</v>
      </c>
      <c r="S4409">
        <f>HLOOKUP("Memory",'vInfo (Imported)'!$1:$5000,M4409,FALSE)</f>
        <v>0</v>
      </c>
      <c r="T4409">
        <f>HLOOKUP("Provisioned MiB",'vInfo (Imported)'!$1:$5000,M4409,FALSE)</f>
        <v>0</v>
      </c>
      <c r="U4409">
        <f t="shared" si="205"/>
        <v>0</v>
      </c>
      <c r="V4409">
        <f>HLOOKUP("In Use MiB",'vInfo (Imported)'!$1:$5000,M4409,FALSE)</f>
        <v>0</v>
      </c>
    </row>
    <row r="4410" spans="1:22" ht="13" x14ac:dyDescent="0.3">
      <c r="A4410" s="46">
        <f>'vHosts (Imported)'!A4410</f>
        <v>0</v>
      </c>
      <c r="B4410" s="51">
        <f t="shared" si="207"/>
        <v>4968</v>
      </c>
      <c r="C4410" s="49">
        <f>HLOOKUP("# Cores",'vHosts (Imported)'!$1:$5000,M4410,FALSE)</f>
        <v>0</v>
      </c>
      <c r="D4410" s="52">
        <f>HLOOKUP("# Memory",'vHosts (Imported)'!$1:$5000,M4410,FALSE)</f>
        <v>0</v>
      </c>
      <c r="M4410" s="45">
        <f t="shared" si="206"/>
        <v>4410</v>
      </c>
      <c r="N4410" s="38">
        <f>HLOOKUP("Host",'vInfo (Imported)'!$1:$5000,M4410,FALSE)</f>
        <v>0</v>
      </c>
      <c r="R4410">
        <f>HLOOKUP("CPUs",'vInfo (Imported)'!$1:$5000,M4410,FALSE)</f>
        <v>0</v>
      </c>
      <c r="S4410">
        <f>HLOOKUP("Memory",'vInfo (Imported)'!$1:$5000,M4410,FALSE)</f>
        <v>0</v>
      </c>
      <c r="T4410">
        <f>HLOOKUP("Provisioned MiB",'vInfo (Imported)'!$1:$5000,M4410,FALSE)</f>
        <v>0</v>
      </c>
      <c r="U4410">
        <f t="shared" si="205"/>
        <v>0</v>
      </c>
      <c r="V4410">
        <f>HLOOKUP("In Use MiB",'vInfo (Imported)'!$1:$5000,M4410,FALSE)</f>
        <v>0</v>
      </c>
    </row>
    <row r="4411" spans="1:22" ht="13" x14ac:dyDescent="0.3">
      <c r="A4411" s="46">
        <f>'vHosts (Imported)'!A4411</f>
        <v>0</v>
      </c>
      <c r="B4411" s="51">
        <f t="shared" si="207"/>
        <v>4968</v>
      </c>
      <c r="C4411" s="49">
        <f>HLOOKUP("# Cores",'vHosts (Imported)'!$1:$5000,M4411,FALSE)</f>
        <v>0</v>
      </c>
      <c r="D4411" s="52">
        <f>HLOOKUP("# Memory",'vHosts (Imported)'!$1:$5000,M4411,FALSE)</f>
        <v>0</v>
      </c>
      <c r="M4411" s="45">
        <f t="shared" si="206"/>
        <v>4411</v>
      </c>
      <c r="N4411" s="38">
        <f>HLOOKUP("Host",'vInfo (Imported)'!$1:$5000,M4411,FALSE)</f>
        <v>0</v>
      </c>
      <c r="R4411">
        <f>HLOOKUP("CPUs",'vInfo (Imported)'!$1:$5000,M4411,FALSE)</f>
        <v>0</v>
      </c>
      <c r="S4411">
        <f>HLOOKUP("Memory",'vInfo (Imported)'!$1:$5000,M4411,FALSE)</f>
        <v>0</v>
      </c>
      <c r="T4411">
        <f>HLOOKUP("Provisioned MiB",'vInfo (Imported)'!$1:$5000,M4411,FALSE)</f>
        <v>0</v>
      </c>
      <c r="U4411">
        <f t="shared" si="205"/>
        <v>0</v>
      </c>
      <c r="V4411">
        <f>HLOOKUP("In Use MiB",'vInfo (Imported)'!$1:$5000,M4411,FALSE)</f>
        <v>0</v>
      </c>
    </row>
    <row r="4412" spans="1:22" ht="13" x14ac:dyDescent="0.3">
      <c r="A4412" s="46">
        <f>'vHosts (Imported)'!A4412</f>
        <v>0</v>
      </c>
      <c r="B4412" s="51">
        <f t="shared" si="207"/>
        <v>4968</v>
      </c>
      <c r="C4412" s="49">
        <f>HLOOKUP("# Cores",'vHosts (Imported)'!$1:$5000,M4412,FALSE)</f>
        <v>0</v>
      </c>
      <c r="D4412" s="52">
        <f>HLOOKUP("# Memory",'vHosts (Imported)'!$1:$5000,M4412,FALSE)</f>
        <v>0</v>
      </c>
      <c r="M4412" s="45">
        <f t="shared" si="206"/>
        <v>4412</v>
      </c>
      <c r="N4412" s="38">
        <f>HLOOKUP("Host",'vInfo (Imported)'!$1:$5000,M4412,FALSE)</f>
        <v>0</v>
      </c>
      <c r="R4412">
        <f>HLOOKUP("CPUs",'vInfo (Imported)'!$1:$5000,M4412,FALSE)</f>
        <v>0</v>
      </c>
      <c r="S4412">
        <f>HLOOKUP("Memory",'vInfo (Imported)'!$1:$5000,M4412,FALSE)</f>
        <v>0</v>
      </c>
      <c r="T4412">
        <f>HLOOKUP("Provisioned MiB",'vInfo (Imported)'!$1:$5000,M4412,FALSE)</f>
        <v>0</v>
      </c>
      <c r="U4412">
        <f t="shared" si="205"/>
        <v>0</v>
      </c>
      <c r="V4412">
        <f>HLOOKUP("In Use MiB",'vInfo (Imported)'!$1:$5000,M4412,FALSE)</f>
        <v>0</v>
      </c>
    </row>
    <row r="4413" spans="1:22" ht="13" x14ac:dyDescent="0.3">
      <c r="A4413" s="46">
        <f>'vHosts (Imported)'!A4413</f>
        <v>0</v>
      </c>
      <c r="B4413" s="51">
        <f t="shared" si="207"/>
        <v>4968</v>
      </c>
      <c r="C4413" s="49">
        <f>HLOOKUP("# Cores",'vHosts (Imported)'!$1:$5000,M4413,FALSE)</f>
        <v>0</v>
      </c>
      <c r="D4413" s="52">
        <f>HLOOKUP("# Memory",'vHosts (Imported)'!$1:$5000,M4413,FALSE)</f>
        <v>0</v>
      </c>
      <c r="M4413" s="45">
        <f t="shared" si="206"/>
        <v>4413</v>
      </c>
      <c r="N4413" s="38">
        <f>HLOOKUP("Host",'vInfo (Imported)'!$1:$5000,M4413,FALSE)</f>
        <v>0</v>
      </c>
      <c r="R4413">
        <f>HLOOKUP("CPUs",'vInfo (Imported)'!$1:$5000,M4413,FALSE)</f>
        <v>0</v>
      </c>
      <c r="S4413">
        <f>HLOOKUP("Memory",'vInfo (Imported)'!$1:$5000,M4413,FALSE)</f>
        <v>0</v>
      </c>
      <c r="T4413">
        <f>HLOOKUP("Provisioned MiB",'vInfo (Imported)'!$1:$5000,M4413,FALSE)</f>
        <v>0</v>
      </c>
      <c r="U4413">
        <f t="shared" si="205"/>
        <v>0</v>
      </c>
      <c r="V4413">
        <f>HLOOKUP("In Use MiB",'vInfo (Imported)'!$1:$5000,M4413,FALSE)</f>
        <v>0</v>
      </c>
    </row>
    <row r="4414" spans="1:22" ht="13" x14ac:dyDescent="0.3">
      <c r="A4414" s="46">
        <f>'vHosts (Imported)'!A4414</f>
        <v>0</v>
      </c>
      <c r="B4414" s="51">
        <f t="shared" si="207"/>
        <v>4968</v>
      </c>
      <c r="C4414" s="49">
        <f>HLOOKUP("# Cores",'vHosts (Imported)'!$1:$5000,M4414,FALSE)</f>
        <v>0</v>
      </c>
      <c r="D4414" s="52">
        <f>HLOOKUP("# Memory",'vHosts (Imported)'!$1:$5000,M4414,FALSE)</f>
        <v>0</v>
      </c>
      <c r="M4414" s="45">
        <f t="shared" si="206"/>
        <v>4414</v>
      </c>
      <c r="N4414" s="38">
        <f>HLOOKUP("Host",'vInfo (Imported)'!$1:$5000,M4414,FALSE)</f>
        <v>0</v>
      </c>
      <c r="R4414">
        <f>HLOOKUP("CPUs",'vInfo (Imported)'!$1:$5000,M4414,FALSE)</f>
        <v>0</v>
      </c>
      <c r="S4414">
        <f>HLOOKUP("Memory",'vInfo (Imported)'!$1:$5000,M4414,FALSE)</f>
        <v>0</v>
      </c>
      <c r="T4414">
        <f>HLOOKUP("Provisioned MiB",'vInfo (Imported)'!$1:$5000,M4414,FALSE)</f>
        <v>0</v>
      </c>
      <c r="U4414">
        <f t="shared" si="205"/>
        <v>0</v>
      </c>
      <c r="V4414">
        <f>HLOOKUP("In Use MiB",'vInfo (Imported)'!$1:$5000,M4414,FALSE)</f>
        <v>0</v>
      </c>
    </row>
    <row r="4415" spans="1:22" ht="13" x14ac:dyDescent="0.3">
      <c r="A4415" s="46">
        <f>'vHosts (Imported)'!A4415</f>
        <v>0</v>
      </c>
      <c r="B4415" s="51">
        <f t="shared" si="207"/>
        <v>4968</v>
      </c>
      <c r="C4415" s="49">
        <f>HLOOKUP("# Cores",'vHosts (Imported)'!$1:$5000,M4415,FALSE)</f>
        <v>0</v>
      </c>
      <c r="D4415" s="52">
        <f>HLOOKUP("# Memory",'vHosts (Imported)'!$1:$5000,M4415,FALSE)</f>
        <v>0</v>
      </c>
      <c r="M4415" s="45">
        <f t="shared" si="206"/>
        <v>4415</v>
      </c>
      <c r="N4415" s="38">
        <f>HLOOKUP("Host",'vInfo (Imported)'!$1:$5000,M4415,FALSE)</f>
        <v>0</v>
      </c>
      <c r="R4415">
        <f>HLOOKUP("CPUs",'vInfo (Imported)'!$1:$5000,M4415,FALSE)</f>
        <v>0</v>
      </c>
      <c r="S4415">
        <f>HLOOKUP("Memory",'vInfo (Imported)'!$1:$5000,M4415,FALSE)</f>
        <v>0</v>
      </c>
      <c r="T4415">
        <f>HLOOKUP("Provisioned MiB",'vInfo (Imported)'!$1:$5000,M4415,FALSE)</f>
        <v>0</v>
      </c>
      <c r="U4415">
        <f t="shared" si="205"/>
        <v>0</v>
      </c>
      <c r="V4415">
        <f>HLOOKUP("In Use MiB",'vInfo (Imported)'!$1:$5000,M4415,FALSE)</f>
        <v>0</v>
      </c>
    </row>
    <row r="4416" spans="1:22" ht="13" x14ac:dyDescent="0.3">
      <c r="A4416" s="46">
        <f>'vHosts (Imported)'!A4416</f>
        <v>0</v>
      </c>
      <c r="B4416" s="51">
        <f t="shared" si="207"/>
        <v>4968</v>
      </c>
      <c r="C4416" s="49">
        <f>HLOOKUP("# Cores",'vHosts (Imported)'!$1:$5000,M4416,FALSE)</f>
        <v>0</v>
      </c>
      <c r="D4416" s="52">
        <f>HLOOKUP("# Memory",'vHosts (Imported)'!$1:$5000,M4416,FALSE)</f>
        <v>0</v>
      </c>
      <c r="M4416" s="45">
        <f t="shared" si="206"/>
        <v>4416</v>
      </c>
      <c r="N4416" s="38">
        <f>HLOOKUP("Host",'vInfo (Imported)'!$1:$5000,M4416,FALSE)</f>
        <v>0</v>
      </c>
      <c r="R4416">
        <f>HLOOKUP("CPUs",'vInfo (Imported)'!$1:$5000,M4416,FALSE)</f>
        <v>0</v>
      </c>
      <c r="S4416">
        <f>HLOOKUP("Memory",'vInfo (Imported)'!$1:$5000,M4416,FALSE)</f>
        <v>0</v>
      </c>
      <c r="T4416">
        <f>HLOOKUP("Provisioned MiB",'vInfo (Imported)'!$1:$5000,M4416,FALSE)</f>
        <v>0</v>
      </c>
      <c r="U4416">
        <f t="shared" si="205"/>
        <v>0</v>
      </c>
      <c r="V4416">
        <f>HLOOKUP("In Use MiB",'vInfo (Imported)'!$1:$5000,M4416,FALSE)</f>
        <v>0</v>
      </c>
    </row>
    <row r="4417" spans="1:22" ht="13" x14ac:dyDescent="0.3">
      <c r="A4417" s="46">
        <f>'vHosts (Imported)'!A4417</f>
        <v>0</v>
      </c>
      <c r="B4417" s="51">
        <f t="shared" si="207"/>
        <v>4968</v>
      </c>
      <c r="C4417" s="49">
        <f>HLOOKUP("# Cores",'vHosts (Imported)'!$1:$5000,M4417,FALSE)</f>
        <v>0</v>
      </c>
      <c r="D4417" s="52">
        <f>HLOOKUP("# Memory",'vHosts (Imported)'!$1:$5000,M4417,FALSE)</f>
        <v>0</v>
      </c>
      <c r="M4417" s="45">
        <f t="shared" si="206"/>
        <v>4417</v>
      </c>
      <c r="N4417" s="38">
        <f>HLOOKUP("Host",'vInfo (Imported)'!$1:$5000,M4417,FALSE)</f>
        <v>0</v>
      </c>
      <c r="R4417">
        <f>HLOOKUP("CPUs",'vInfo (Imported)'!$1:$5000,M4417,FALSE)</f>
        <v>0</v>
      </c>
      <c r="S4417">
        <f>HLOOKUP("Memory",'vInfo (Imported)'!$1:$5000,M4417,FALSE)</f>
        <v>0</v>
      </c>
      <c r="T4417">
        <f>HLOOKUP("Provisioned MiB",'vInfo (Imported)'!$1:$5000,M4417,FALSE)</f>
        <v>0</v>
      </c>
      <c r="U4417">
        <f t="shared" si="205"/>
        <v>0</v>
      </c>
      <c r="V4417">
        <f>HLOOKUP("In Use MiB",'vInfo (Imported)'!$1:$5000,M4417,FALSE)</f>
        <v>0</v>
      </c>
    </row>
    <row r="4418" spans="1:22" ht="13" x14ac:dyDescent="0.3">
      <c r="A4418" s="46">
        <f>'vHosts (Imported)'!A4418</f>
        <v>0</v>
      </c>
      <c r="B4418" s="51">
        <f t="shared" si="207"/>
        <v>4968</v>
      </c>
      <c r="C4418" s="49">
        <f>HLOOKUP("# Cores",'vHosts (Imported)'!$1:$5000,M4418,FALSE)</f>
        <v>0</v>
      </c>
      <c r="D4418" s="52">
        <f>HLOOKUP("# Memory",'vHosts (Imported)'!$1:$5000,M4418,FALSE)</f>
        <v>0</v>
      </c>
      <c r="M4418" s="45">
        <f t="shared" si="206"/>
        <v>4418</v>
      </c>
      <c r="N4418" s="38">
        <f>HLOOKUP("Host",'vInfo (Imported)'!$1:$5000,M4418,FALSE)</f>
        <v>0</v>
      </c>
      <c r="R4418">
        <f>HLOOKUP("CPUs",'vInfo (Imported)'!$1:$5000,M4418,FALSE)</f>
        <v>0</v>
      </c>
      <c r="S4418">
        <f>HLOOKUP("Memory",'vInfo (Imported)'!$1:$5000,M4418,FALSE)</f>
        <v>0</v>
      </c>
      <c r="T4418">
        <f>HLOOKUP("Provisioned MiB",'vInfo (Imported)'!$1:$5000,M4418,FALSE)</f>
        <v>0</v>
      </c>
      <c r="U4418">
        <f t="shared" si="205"/>
        <v>0</v>
      </c>
      <c r="V4418">
        <f>HLOOKUP("In Use MiB",'vInfo (Imported)'!$1:$5000,M4418,FALSE)</f>
        <v>0</v>
      </c>
    </row>
    <row r="4419" spans="1:22" ht="13" x14ac:dyDescent="0.3">
      <c r="A4419" s="46">
        <f>'vHosts (Imported)'!A4419</f>
        <v>0</v>
      </c>
      <c r="B4419" s="51">
        <f t="shared" si="207"/>
        <v>4968</v>
      </c>
      <c r="C4419" s="49">
        <f>HLOOKUP("# Cores",'vHosts (Imported)'!$1:$5000,M4419,FALSE)</f>
        <v>0</v>
      </c>
      <c r="D4419" s="52">
        <f>HLOOKUP("# Memory",'vHosts (Imported)'!$1:$5000,M4419,FALSE)</f>
        <v>0</v>
      </c>
      <c r="M4419" s="45">
        <f t="shared" si="206"/>
        <v>4419</v>
      </c>
      <c r="N4419" s="38">
        <f>HLOOKUP("Host",'vInfo (Imported)'!$1:$5000,M4419,FALSE)</f>
        <v>0</v>
      </c>
      <c r="R4419">
        <f>HLOOKUP("CPUs",'vInfo (Imported)'!$1:$5000,M4419,FALSE)</f>
        <v>0</v>
      </c>
      <c r="S4419">
        <f>HLOOKUP("Memory",'vInfo (Imported)'!$1:$5000,M4419,FALSE)</f>
        <v>0</v>
      </c>
      <c r="T4419">
        <f>HLOOKUP("Provisioned MiB",'vInfo (Imported)'!$1:$5000,M4419,FALSE)</f>
        <v>0</v>
      </c>
      <c r="U4419">
        <f t="shared" ref="U4419:U4482" si="208">T4419-V4419</f>
        <v>0</v>
      </c>
      <c r="V4419">
        <f>HLOOKUP("In Use MiB",'vInfo (Imported)'!$1:$5000,M4419,FALSE)</f>
        <v>0</v>
      </c>
    </row>
    <row r="4420" spans="1:22" ht="13" x14ac:dyDescent="0.3">
      <c r="A4420" s="46">
        <f>'vHosts (Imported)'!A4420</f>
        <v>0</v>
      </c>
      <c r="B4420" s="51">
        <f t="shared" si="207"/>
        <v>4968</v>
      </c>
      <c r="C4420" s="49">
        <f>HLOOKUP("# Cores",'vHosts (Imported)'!$1:$5000,M4420,FALSE)</f>
        <v>0</v>
      </c>
      <c r="D4420" s="52">
        <f>HLOOKUP("# Memory",'vHosts (Imported)'!$1:$5000,M4420,FALSE)</f>
        <v>0</v>
      </c>
      <c r="M4420" s="45">
        <f t="shared" ref="M4420:M4483" si="209">M4419+1</f>
        <v>4420</v>
      </c>
      <c r="N4420" s="38">
        <f>HLOOKUP("Host",'vInfo (Imported)'!$1:$5000,M4420,FALSE)</f>
        <v>0</v>
      </c>
      <c r="R4420">
        <f>HLOOKUP("CPUs",'vInfo (Imported)'!$1:$5000,M4420,FALSE)</f>
        <v>0</v>
      </c>
      <c r="S4420">
        <f>HLOOKUP("Memory",'vInfo (Imported)'!$1:$5000,M4420,FALSE)</f>
        <v>0</v>
      </c>
      <c r="T4420">
        <f>HLOOKUP("Provisioned MiB",'vInfo (Imported)'!$1:$5000,M4420,FALSE)</f>
        <v>0</v>
      </c>
      <c r="U4420">
        <f t="shared" si="208"/>
        <v>0</v>
      </c>
      <c r="V4420">
        <f>HLOOKUP("In Use MiB",'vInfo (Imported)'!$1:$5000,M4420,FALSE)</f>
        <v>0</v>
      </c>
    </row>
    <row r="4421" spans="1:22" ht="13" x14ac:dyDescent="0.3">
      <c r="A4421" s="46">
        <f>'vHosts (Imported)'!A4421</f>
        <v>0</v>
      </c>
      <c r="B4421" s="51">
        <f t="shared" si="207"/>
        <v>4968</v>
      </c>
      <c r="C4421" s="49">
        <f>HLOOKUP("# Cores",'vHosts (Imported)'!$1:$5000,M4421,FALSE)</f>
        <v>0</v>
      </c>
      <c r="D4421" s="52">
        <f>HLOOKUP("# Memory",'vHosts (Imported)'!$1:$5000,M4421,FALSE)</f>
        <v>0</v>
      </c>
      <c r="M4421" s="45">
        <f t="shared" si="209"/>
        <v>4421</v>
      </c>
      <c r="N4421" s="38">
        <f>HLOOKUP("Host",'vInfo (Imported)'!$1:$5000,M4421,FALSE)</f>
        <v>0</v>
      </c>
      <c r="R4421">
        <f>HLOOKUP("CPUs",'vInfo (Imported)'!$1:$5000,M4421,FALSE)</f>
        <v>0</v>
      </c>
      <c r="S4421">
        <f>HLOOKUP("Memory",'vInfo (Imported)'!$1:$5000,M4421,FALSE)</f>
        <v>0</v>
      </c>
      <c r="T4421">
        <f>HLOOKUP("Provisioned MiB",'vInfo (Imported)'!$1:$5000,M4421,FALSE)</f>
        <v>0</v>
      </c>
      <c r="U4421">
        <f t="shared" si="208"/>
        <v>0</v>
      </c>
      <c r="V4421">
        <f>HLOOKUP("In Use MiB",'vInfo (Imported)'!$1:$5000,M4421,FALSE)</f>
        <v>0</v>
      </c>
    </row>
    <row r="4422" spans="1:22" ht="13" x14ac:dyDescent="0.3">
      <c r="A4422" s="46">
        <f>'vHosts (Imported)'!A4422</f>
        <v>0</v>
      </c>
      <c r="B4422" s="51">
        <f t="shared" si="207"/>
        <v>4968</v>
      </c>
      <c r="C4422" s="49">
        <f>HLOOKUP("# Cores",'vHosts (Imported)'!$1:$5000,M4422,FALSE)</f>
        <v>0</v>
      </c>
      <c r="D4422" s="52">
        <f>HLOOKUP("# Memory",'vHosts (Imported)'!$1:$5000,M4422,FALSE)</f>
        <v>0</v>
      </c>
      <c r="M4422" s="45">
        <f t="shared" si="209"/>
        <v>4422</v>
      </c>
      <c r="N4422" s="38">
        <f>HLOOKUP("Host",'vInfo (Imported)'!$1:$5000,M4422,FALSE)</f>
        <v>0</v>
      </c>
      <c r="R4422">
        <f>HLOOKUP("CPUs",'vInfo (Imported)'!$1:$5000,M4422,FALSE)</f>
        <v>0</v>
      </c>
      <c r="S4422">
        <f>HLOOKUP("Memory",'vInfo (Imported)'!$1:$5000,M4422,FALSE)</f>
        <v>0</v>
      </c>
      <c r="T4422">
        <f>HLOOKUP("Provisioned MiB",'vInfo (Imported)'!$1:$5000,M4422,FALSE)</f>
        <v>0</v>
      </c>
      <c r="U4422">
        <f t="shared" si="208"/>
        <v>0</v>
      </c>
      <c r="V4422">
        <f>HLOOKUP("In Use MiB",'vInfo (Imported)'!$1:$5000,M4422,FALSE)</f>
        <v>0</v>
      </c>
    </row>
    <row r="4423" spans="1:22" ht="13" x14ac:dyDescent="0.3">
      <c r="A4423" s="46">
        <f>'vHosts (Imported)'!A4423</f>
        <v>0</v>
      </c>
      <c r="B4423" s="51">
        <f t="shared" si="207"/>
        <v>4968</v>
      </c>
      <c r="C4423" s="49">
        <f>HLOOKUP("# Cores",'vHosts (Imported)'!$1:$5000,M4423,FALSE)</f>
        <v>0</v>
      </c>
      <c r="D4423" s="52">
        <f>HLOOKUP("# Memory",'vHosts (Imported)'!$1:$5000,M4423,FALSE)</f>
        <v>0</v>
      </c>
      <c r="M4423" s="45">
        <f t="shared" si="209"/>
        <v>4423</v>
      </c>
      <c r="N4423" s="38">
        <f>HLOOKUP("Host",'vInfo (Imported)'!$1:$5000,M4423,FALSE)</f>
        <v>0</v>
      </c>
      <c r="R4423">
        <f>HLOOKUP("CPUs",'vInfo (Imported)'!$1:$5000,M4423,FALSE)</f>
        <v>0</v>
      </c>
      <c r="S4423">
        <f>HLOOKUP("Memory",'vInfo (Imported)'!$1:$5000,M4423,FALSE)</f>
        <v>0</v>
      </c>
      <c r="T4423">
        <f>HLOOKUP("Provisioned MiB",'vInfo (Imported)'!$1:$5000,M4423,FALSE)</f>
        <v>0</v>
      </c>
      <c r="U4423">
        <f t="shared" si="208"/>
        <v>0</v>
      </c>
      <c r="V4423">
        <f>HLOOKUP("In Use MiB",'vInfo (Imported)'!$1:$5000,M4423,FALSE)</f>
        <v>0</v>
      </c>
    </row>
    <row r="4424" spans="1:22" ht="13" x14ac:dyDescent="0.3">
      <c r="A4424" s="46">
        <f>'vHosts (Imported)'!A4424</f>
        <v>0</v>
      </c>
      <c r="B4424" s="51">
        <f t="shared" si="207"/>
        <v>4968</v>
      </c>
      <c r="C4424" s="49">
        <f>HLOOKUP("# Cores",'vHosts (Imported)'!$1:$5000,M4424,FALSE)</f>
        <v>0</v>
      </c>
      <c r="D4424" s="52">
        <f>HLOOKUP("# Memory",'vHosts (Imported)'!$1:$5000,M4424,FALSE)</f>
        <v>0</v>
      </c>
      <c r="M4424" s="45">
        <f t="shared" si="209"/>
        <v>4424</v>
      </c>
      <c r="N4424" s="38">
        <f>HLOOKUP("Host",'vInfo (Imported)'!$1:$5000,M4424,FALSE)</f>
        <v>0</v>
      </c>
      <c r="R4424">
        <f>HLOOKUP("CPUs",'vInfo (Imported)'!$1:$5000,M4424,FALSE)</f>
        <v>0</v>
      </c>
      <c r="S4424">
        <f>HLOOKUP("Memory",'vInfo (Imported)'!$1:$5000,M4424,FALSE)</f>
        <v>0</v>
      </c>
      <c r="T4424">
        <f>HLOOKUP("Provisioned MiB",'vInfo (Imported)'!$1:$5000,M4424,FALSE)</f>
        <v>0</v>
      </c>
      <c r="U4424">
        <f t="shared" si="208"/>
        <v>0</v>
      </c>
      <c r="V4424">
        <f>HLOOKUP("In Use MiB",'vInfo (Imported)'!$1:$5000,M4424,FALSE)</f>
        <v>0</v>
      </c>
    </row>
    <row r="4425" spans="1:22" ht="13" x14ac:dyDescent="0.3">
      <c r="A4425" s="46">
        <f>'vHosts (Imported)'!A4425</f>
        <v>0</v>
      </c>
      <c r="B4425" s="51">
        <f t="shared" si="207"/>
        <v>4968</v>
      </c>
      <c r="C4425" s="49">
        <f>HLOOKUP("# Cores",'vHosts (Imported)'!$1:$5000,M4425,FALSE)</f>
        <v>0</v>
      </c>
      <c r="D4425" s="52">
        <f>HLOOKUP("# Memory",'vHosts (Imported)'!$1:$5000,M4425,FALSE)</f>
        <v>0</v>
      </c>
      <c r="M4425" s="45">
        <f t="shared" si="209"/>
        <v>4425</v>
      </c>
      <c r="N4425" s="38">
        <f>HLOOKUP("Host",'vInfo (Imported)'!$1:$5000,M4425,FALSE)</f>
        <v>0</v>
      </c>
      <c r="R4425">
        <f>HLOOKUP("CPUs",'vInfo (Imported)'!$1:$5000,M4425,FALSE)</f>
        <v>0</v>
      </c>
      <c r="S4425">
        <f>HLOOKUP("Memory",'vInfo (Imported)'!$1:$5000,M4425,FALSE)</f>
        <v>0</v>
      </c>
      <c r="T4425">
        <f>HLOOKUP("Provisioned MiB",'vInfo (Imported)'!$1:$5000,M4425,FALSE)</f>
        <v>0</v>
      </c>
      <c r="U4425">
        <f t="shared" si="208"/>
        <v>0</v>
      </c>
      <c r="V4425">
        <f>HLOOKUP("In Use MiB",'vInfo (Imported)'!$1:$5000,M4425,FALSE)</f>
        <v>0</v>
      </c>
    </row>
    <row r="4426" spans="1:22" ht="13" x14ac:dyDescent="0.3">
      <c r="A4426" s="46">
        <f>'vHosts (Imported)'!A4426</f>
        <v>0</v>
      </c>
      <c r="B4426" s="51">
        <f t="shared" si="207"/>
        <v>4968</v>
      </c>
      <c r="C4426" s="49">
        <f>HLOOKUP("# Cores",'vHosts (Imported)'!$1:$5000,M4426,FALSE)</f>
        <v>0</v>
      </c>
      <c r="D4426" s="52">
        <f>HLOOKUP("# Memory",'vHosts (Imported)'!$1:$5000,M4426,FALSE)</f>
        <v>0</v>
      </c>
      <c r="M4426" s="45">
        <f t="shared" si="209"/>
        <v>4426</v>
      </c>
      <c r="N4426" s="38">
        <f>HLOOKUP("Host",'vInfo (Imported)'!$1:$5000,M4426,FALSE)</f>
        <v>0</v>
      </c>
      <c r="R4426">
        <f>HLOOKUP("CPUs",'vInfo (Imported)'!$1:$5000,M4426,FALSE)</f>
        <v>0</v>
      </c>
      <c r="S4426">
        <f>HLOOKUP("Memory",'vInfo (Imported)'!$1:$5000,M4426,FALSE)</f>
        <v>0</v>
      </c>
      <c r="T4426">
        <f>HLOOKUP("Provisioned MiB",'vInfo (Imported)'!$1:$5000,M4426,FALSE)</f>
        <v>0</v>
      </c>
      <c r="U4426">
        <f t="shared" si="208"/>
        <v>0</v>
      </c>
      <c r="V4426">
        <f>HLOOKUP("In Use MiB",'vInfo (Imported)'!$1:$5000,M4426,FALSE)</f>
        <v>0</v>
      </c>
    </row>
    <row r="4427" spans="1:22" ht="13" x14ac:dyDescent="0.3">
      <c r="A4427" s="46">
        <f>'vHosts (Imported)'!A4427</f>
        <v>0</v>
      </c>
      <c r="B4427" s="51">
        <f t="shared" si="207"/>
        <v>4968</v>
      </c>
      <c r="C4427" s="49">
        <f>HLOOKUP("# Cores",'vHosts (Imported)'!$1:$5000,M4427,FALSE)</f>
        <v>0</v>
      </c>
      <c r="D4427" s="52">
        <f>HLOOKUP("# Memory",'vHosts (Imported)'!$1:$5000,M4427,FALSE)</f>
        <v>0</v>
      </c>
      <c r="M4427" s="45">
        <f t="shared" si="209"/>
        <v>4427</v>
      </c>
      <c r="N4427" s="38">
        <f>HLOOKUP("Host",'vInfo (Imported)'!$1:$5000,M4427,FALSE)</f>
        <v>0</v>
      </c>
      <c r="R4427">
        <f>HLOOKUP("CPUs",'vInfo (Imported)'!$1:$5000,M4427,FALSE)</f>
        <v>0</v>
      </c>
      <c r="S4427">
        <f>HLOOKUP("Memory",'vInfo (Imported)'!$1:$5000,M4427,FALSE)</f>
        <v>0</v>
      </c>
      <c r="T4427">
        <f>HLOOKUP("Provisioned MiB",'vInfo (Imported)'!$1:$5000,M4427,FALSE)</f>
        <v>0</v>
      </c>
      <c r="U4427">
        <f t="shared" si="208"/>
        <v>0</v>
      </c>
      <c r="V4427">
        <f>HLOOKUP("In Use MiB",'vInfo (Imported)'!$1:$5000,M4427,FALSE)</f>
        <v>0</v>
      </c>
    </row>
    <row r="4428" spans="1:22" ht="13" x14ac:dyDescent="0.3">
      <c r="A4428" s="46">
        <f>'vHosts (Imported)'!A4428</f>
        <v>0</v>
      </c>
      <c r="B4428" s="51">
        <f t="shared" si="207"/>
        <v>4968</v>
      </c>
      <c r="C4428" s="49">
        <f>HLOOKUP("# Cores",'vHosts (Imported)'!$1:$5000,M4428,FALSE)</f>
        <v>0</v>
      </c>
      <c r="D4428" s="52">
        <f>HLOOKUP("# Memory",'vHosts (Imported)'!$1:$5000,M4428,FALSE)</f>
        <v>0</v>
      </c>
      <c r="M4428" s="45">
        <f t="shared" si="209"/>
        <v>4428</v>
      </c>
      <c r="N4428" s="38">
        <f>HLOOKUP("Host",'vInfo (Imported)'!$1:$5000,M4428,FALSE)</f>
        <v>0</v>
      </c>
      <c r="R4428">
        <f>HLOOKUP("CPUs",'vInfo (Imported)'!$1:$5000,M4428,FALSE)</f>
        <v>0</v>
      </c>
      <c r="S4428">
        <f>HLOOKUP("Memory",'vInfo (Imported)'!$1:$5000,M4428,FALSE)</f>
        <v>0</v>
      </c>
      <c r="T4428">
        <f>HLOOKUP("Provisioned MiB",'vInfo (Imported)'!$1:$5000,M4428,FALSE)</f>
        <v>0</v>
      </c>
      <c r="U4428">
        <f t="shared" si="208"/>
        <v>0</v>
      </c>
      <c r="V4428">
        <f>HLOOKUP("In Use MiB",'vInfo (Imported)'!$1:$5000,M4428,FALSE)</f>
        <v>0</v>
      </c>
    </row>
    <row r="4429" spans="1:22" ht="13" x14ac:dyDescent="0.3">
      <c r="A4429" s="46">
        <f>'vHosts (Imported)'!A4429</f>
        <v>0</v>
      </c>
      <c r="B4429" s="51">
        <f t="shared" si="207"/>
        <v>4968</v>
      </c>
      <c r="C4429" s="49">
        <f>HLOOKUP("# Cores",'vHosts (Imported)'!$1:$5000,M4429,FALSE)</f>
        <v>0</v>
      </c>
      <c r="D4429" s="52">
        <f>HLOOKUP("# Memory",'vHosts (Imported)'!$1:$5000,M4429,FALSE)</f>
        <v>0</v>
      </c>
      <c r="M4429" s="45">
        <f t="shared" si="209"/>
        <v>4429</v>
      </c>
      <c r="N4429" s="38">
        <f>HLOOKUP("Host",'vInfo (Imported)'!$1:$5000,M4429,FALSE)</f>
        <v>0</v>
      </c>
      <c r="R4429">
        <f>HLOOKUP("CPUs",'vInfo (Imported)'!$1:$5000,M4429,FALSE)</f>
        <v>0</v>
      </c>
      <c r="S4429">
        <f>HLOOKUP("Memory",'vInfo (Imported)'!$1:$5000,M4429,FALSE)</f>
        <v>0</v>
      </c>
      <c r="T4429">
        <f>HLOOKUP("Provisioned MiB",'vInfo (Imported)'!$1:$5000,M4429,FALSE)</f>
        <v>0</v>
      </c>
      <c r="U4429">
        <f t="shared" si="208"/>
        <v>0</v>
      </c>
      <c r="V4429">
        <f>HLOOKUP("In Use MiB",'vInfo (Imported)'!$1:$5000,M4429,FALSE)</f>
        <v>0</v>
      </c>
    </row>
    <row r="4430" spans="1:22" ht="13" x14ac:dyDescent="0.3">
      <c r="A4430" s="46">
        <f>'vHosts (Imported)'!A4430</f>
        <v>0</v>
      </c>
      <c r="B4430" s="51">
        <f t="shared" si="207"/>
        <v>4968</v>
      </c>
      <c r="C4430" s="49">
        <f>HLOOKUP("# Cores",'vHosts (Imported)'!$1:$5000,M4430,FALSE)</f>
        <v>0</v>
      </c>
      <c r="D4430" s="52">
        <f>HLOOKUP("# Memory",'vHosts (Imported)'!$1:$5000,M4430,FALSE)</f>
        <v>0</v>
      </c>
      <c r="M4430" s="45">
        <f t="shared" si="209"/>
        <v>4430</v>
      </c>
      <c r="N4430" s="38">
        <f>HLOOKUP("Host",'vInfo (Imported)'!$1:$5000,M4430,FALSE)</f>
        <v>0</v>
      </c>
      <c r="R4430">
        <f>HLOOKUP("CPUs",'vInfo (Imported)'!$1:$5000,M4430,FALSE)</f>
        <v>0</v>
      </c>
      <c r="S4430">
        <f>HLOOKUP("Memory",'vInfo (Imported)'!$1:$5000,M4430,FALSE)</f>
        <v>0</v>
      </c>
      <c r="T4430">
        <f>HLOOKUP("Provisioned MiB",'vInfo (Imported)'!$1:$5000,M4430,FALSE)</f>
        <v>0</v>
      </c>
      <c r="U4430">
        <f t="shared" si="208"/>
        <v>0</v>
      </c>
      <c r="V4430">
        <f>HLOOKUP("In Use MiB",'vInfo (Imported)'!$1:$5000,M4430,FALSE)</f>
        <v>0</v>
      </c>
    </row>
    <row r="4431" spans="1:22" ht="13" x14ac:dyDescent="0.3">
      <c r="A4431" s="46">
        <f>'vHosts (Imported)'!A4431</f>
        <v>0</v>
      </c>
      <c r="B4431" s="51">
        <f t="shared" si="207"/>
        <v>4968</v>
      </c>
      <c r="C4431" s="49">
        <f>HLOOKUP("# Cores",'vHosts (Imported)'!$1:$5000,M4431,FALSE)</f>
        <v>0</v>
      </c>
      <c r="D4431" s="52">
        <f>HLOOKUP("# Memory",'vHosts (Imported)'!$1:$5000,M4431,FALSE)</f>
        <v>0</v>
      </c>
      <c r="M4431" s="45">
        <f t="shared" si="209"/>
        <v>4431</v>
      </c>
      <c r="N4431" s="38">
        <f>HLOOKUP("Host",'vInfo (Imported)'!$1:$5000,M4431,FALSE)</f>
        <v>0</v>
      </c>
      <c r="R4431">
        <f>HLOOKUP("CPUs",'vInfo (Imported)'!$1:$5000,M4431,FALSE)</f>
        <v>0</v>
      </c>
      <c r="S4431">
        <f>HLOOKUP("Memory",'vInfo (Imported)'!$1:$5000,M4431,FALSE)</f>
        <v>0</v>
      </c>
      <c r="T4431">
        <f>HLOOKUP("Provisioned MiB",'vInfo (Imported)'!$1:$5000,M4431,FALSE)</f>
        <v>0</v>
      </c>
      <c r="U4431">
        <f t="shared" si="208"/>
        <v>0</v>
      </c>
      <c r="V4431">
        <f>HLOOKUP("In Use MiB",'vInfo (Imported)'!$1:$5000,M4431,FALSE)</f>
        <v>0</v>
      </c>
    </row>
    <row r="4432" spans="1:22" ht="13" x14ac:dyDescent="0.3">
      <c r="A4432" s="46">
        <f>'vHosts (Imported)'!A4432</f>
        <v>0</v>
      </c>
      <c r="B4432" s="51">
        <f t="shared" si="207"/>
        <v>4968</v>
      </c>
      <c r="C4432" s="49">
        <f>HLOOKUP("# Cores",'vHosts (Imported)'!$1:$5000,M4432,FALSE)</f>
        <v>0</v>
      </c>
      <c r="D4432" s="52">
        <f>HLOOKUP("# Memory",'vHosts (Imported)'!$1:$5000,M4432,FALSE)</f>
        <v>0</v>
      </c>
      <c r="M4432" s="45">
        <f t="shared" si="209"/>
        <v>4432</v>
      </c>
      <c r="N4432" s="38">
        <f>HLOOKUP("Host",'vInfo (Imported)'!$1:$5000,M4432,FALSE)</f>
        <v>0</v>
      </c>
      <c r="R4432">
        <f>HLOOKUP("CPUs",'vInfo (Imported)'!$1:$5000,M4432,FALSE)</f>
        <v>0</v>
      </c>
      <c r="S4432">
        <f>HLOOKUP("Memory",'vInfo (Imported)'!$1:$5000,M4432,FALSE)</f>
        <v>0</v>
      </c>
      <c r="T4432">
        <f>HLOOKUP("Provisioned MiB",'vInfo (Imported)'!$1:$5000,M4432,FALSE)</f>
        <v>0</v>
      </c>
      <c r="U4432">
        <f t="shared" si="208"/>
        <v>0</v>
      </c>
      <c r="V4432">
        <f>HLOOKUP("In Use MiB",'vInfo (Imported)'!$1:$5000,M4432,FALSE)</f>
        <v>0</v>
      </c>
    </row>
    <row r="4433" spans="1:22" ht="13" x14ac:dyDescent="0.3">
      <c r="A4433" s="46">
        <f>'vHosts (Imported)'!A4433</f>
        <v>0</v>
      </c>
      <c r="B4433" s="51">
        <f t="shared" si="207"/>
        <v>4968</v>
      </c>
      <c r="C4433" s="49">
        <f>HLOOKUP("# Cores",'vHosts (Imported)'!$1:$5000,M4433,FALSE)</f>
        <v>0</v>
      </c>
      <c r="D4433" s="52">
        <f>HLOOKUP("# Memory",'vHosts (Imported)'!$1:$5000,M4433,FALSE)</f>
        <v>0</v>
      </c>
      <c r="M4433" s="45">
        <f t="shared" si="209"/>
        <v>4433</v>
      </c>
      <c r="N4433" s="38">
        <f>HLOOKUP("Host",'vInfo (Imported)'!$1:$5000,M4433,FALSE)</f>
        <v>0</v>
      </c>
      <c r="R4433">
        <f>HLOOKUP("CPUs",'vInfo (Imported)'!$1:$5000,M4433,FALSE)</f>
        <v>0</v>
      </c>
      <c r="S4433">
        <f>HLOOKUP("Memory",'vInfo (Imported)'!$1:$5000,M4433,FALSE)</f>
        <v>0</v>
      </c>
      <c r="T4433">
        <f>HLOOKUP("Provisioned MiB",'vInfo (Imported)'!$1:$5000,M4433,FALSE)</f>
        <v>0</v>
      </c>
      <c r="U4433">
        <f t="shared" si="208"/>
        <v>0</v>
      </c>
      <c r="V4433">
        <f>HLOOKUP("In Use MiB",'vInfo (Imported)'!$1:$5000,M4433,FALSE)</f>
        <v>0</v>
      </c>
    </row>
    <row r="4434" spans="1:22" ht="13" x14ac:dyDescent="0.3">
      <c r="A4434" s="46">
        <f>'vHosts (Imported)'!A4434</f>
        <v>0</v>
      </c>
      <c r="B4434" s="51">
        <f t="shared" si="207"/>
        <v>4968</v>
      </c>
      <c r="C4434" s="49">
        <f>HLOOKUP("# Cores",'vHosts (Imported)'!$1:$5000,M4434,FALSE)</f>
        <v>0</v>
      </c>
      <c r="D4434" s="52">
        <f>HLOOKUP("# Memory",'vHosts (Imported)'!$1:$5000,M4434,FALSE)</f>
        <v>0</v>
      </c>
      <c r="M4434" s="45">
        <f t="shared" si="209"/>
        <v>4434</v>
      </c>
      <c r="N4434" s="38">
        <f>HLOOKUP("Host",'vInfo (Imported)'!$1:$5000,M4434,FALSE)</f>
        <v>0</v>
      </c>
      <c r="R4434">
        <f>HLOOKUP("CPUs",'vInfo (Imported)'!$1:$5000,M4434,FALSE)</f>
        <v>0</v>
      </c>
      <c r="S4434">
        <f>HLOOKUP("Memory",'vInfo (Imported)'!$1:$5000,M4434,FALSE)</f>
        <v>0</v>
      </c>
      <c r="T4434">
        <f>HLOOKUP("Provisioned MiB",'vInfo (Imported)'!$1:$5000,M4434,FALSE)</f>
        <v>0</v>
      </c>
      <c r="U4434">
        <f t="shared" si="208"/>
        <v>0</v>
      </c>
      <c r="V4434">
        <f>HLOOKUP("In Use MiB",'vInfo (Imported)'!$1:$5000,M4434,FALSE)</f>
        <v>0</v>
      </c>
    </row>
    <row r="4435" spans="1:22" ht="13" x14ac:dyDescent="0.3">
      <c r="A4435" s="46">
        <f>'vHosts (Imported)'!A4435</f>
        <v>0</v>
      </c>
      <c r="B4435" s="51">
        <f t="shared" si="207"/>
        <v>4968</v>
      </c>
      <c r="C4435" s="49">
        <f>HLOOKUP("# Cores",'vHosts (Imported)'!$1:$5000,M4435,FALSE)</f>
        <v>0</v>
      </c>
      <c r="D4435" s="52">
        <f>HLOOKUP("# Memory",'vHosts (Imported)'!$1:$5000,M4435,FALSE)</f>
        <v>0</v>
      </c>
      <c r="M4435" s="45">
        <f t="shared" si="209"/>
        <v>4435</v>
      </c>
      <c r="N4435" s="38">
        <f>HLOOKUP("Host",'vInfo (Imported)'!$1:$5000,M4435,FALSE)</f>
        <v>0</v>
      </c>
      <c r="R4435">
        <f>HLOOKUP("CPUs",'vInfo (Imported)'!$1:$5000,M4435,FALSE)</f>
        <v>0</v>
      </c>
      <c r="S4435">
        <f>HLOOKUP("Memory",'vInfo (Imported)'!$1:$5000,M4435,FALSE)</f>
        <v>0</v>
      </c>
      <c r="T4435">
        <f>HLOOKUP("Provisioned MiB",'vInfo (Imported)'!$1:$5000,M4435,FALSE)</f>
        <v>0</v>
      </c>
      <c r="U4435">
        <f t="shared" si="208"/>
        <v>0</v>
      </c>
      <c r="V4435">
        <f>HLOOKUP("In Use MiB",'vInfo (Imported)'!$1:$5000,M4435,FALSE)</f>
        <v>0</v>
      </c>
    </row>
    <row r="4436" spans="1:22" ht="13" x14ac:dyDescent="0.3">
      <c r="A4436" s="46">
        <f>'vHosts (Imported)'!A4436</f>
        <v>0</v>
      </c>
      <c r="B4436" s="51">
        <f t="shared" si="207"/>
        <v>4968</v>
      </c>
      <c r="C4436" s="49">
        <f>HLOOKUP("# Cores",'vHosts (Imported)'!$1:$5000,M4436,FALSE)</f>
        <v>0</v>
      </c>
      <c r="D4436" s="52">
        <f>HLOOKUP("# Memory",'vHosts (Imported)'!$1:$5000,M4436,FALSE)</f>
        <v>0</v>
      </c>
      <c r="M4436" s="45">
        <f t="shared" si="209"/>
        <v>4436</v>
      </c>
      <c r="N4436" s="38">
        <f>HLOOKUP("Host",'vInfo (Imported)'!$1:$5000,M4436,FALSE)</f>
        <v>0</v>
      </c>
      <c r="R4436">
        <f>HLOOKUP("CPUs",'vInfo (Imported)'!$1:$5000,M4436,FALSE)</f>
        <v>0</v>
      </c>
      <c r="S4436">
        <f>HLOOKUP("Memory",'vInfo (Imported)'!$1:$5000,M4436,FALSE)</f>
        <v>0</v>
      </c>
      <c r="T4436">
        <f>HLOOKUP("Provisioned MiB",'vInfo (Imported)'!$1:$5000,M4436,FALSE)</f>
        <v>0</v>
      </c>
      <c r="U4436">
        <f t="shared" si="208"/>
        <v>0</v>
      </c>
      <c r="V4436">
        <f>HLOOKUP("In Use MiB",'vInfo (Imported)'!$1:$5000,M4436,FALSE)</f>
        <v>0</v>
      </c>
    </row>
    <row r="4437" spans="1:22" ht="13" x14ac:dyDescent="0.3">
      <c r="A4437" s="46">
        <f>'vHosts (Imported)'!A4437</f>
        <v>0</v>
      </c>
      <c r="B4437" s="51">
        <f t="shared" si="207"/>
        <v>4968</v>
      </c>
      <c r="C4437" s="49">
        <f>HLOOKUP("# Cores",'vHosts (Imported)'!$1:$5000,M4437,FALSE)</f>
        <v>0</v>
      </c>
      <c r="D4437" s="52">
        <f>HLOOKUP("# Memory",'vHosts (Imported)'!$1:$5000,M4437,FALSE)</f>
        <v>0</v>
      </c>
      <c r="M4437" s="45">
        <f t="shared" si="209"/>
        <v>4437</v>
      </c>
      <c r="N4437" s="38">
        <f>HLOOKUP("Host",'vInfo (Imported)'!$1:$5000,M4437,FALSE)</f>
        <v>0</v>
      </c>
      <c r="R4437">
        <f>HLOOKUP("CPUs",'vInfo (Imported)'!$1:$5000,M4437,FALSE)</f>
        <v>0</v>
      </c>
      <c r="S4437">
        <f>HLOOKUP("Memory",'vInfo (Imported)'!$1:$5000,M4437,FALSE)</f>
        <v>0</v>
      </c>
      <c r="T4437">
        <f>HLOOKUP("Provisioned MiB",'vInfo (Imported)'!$1:$5000,M4437,FALSE)</f>
        <v>0</v>
      </c>
      <c r="U4437">
        <f t="shared" si="208"/>
        <v>0</v>
      </c>
      <c r="V4437">
        <f>HLOOKUP("In Use MiB",'vInfo (Imported)'!$1:$5000,M4437,FALSE)</f>
        <v>0</v>
      </c>
    </row>
    <row r="4438" spans="1:22" ht="13" x14ac:dyDescent="0.3">
      <c r="A4438" s="46">
        <f>'vHosts (Imported)'!A4438</f>
        <v>0</v>
      </c>
      <c r="B4438" s="51">
        <f t="shared" si="207"/>
        <v>4968</v>
      </c>
      <c r="C4438" s="49">
        <f>HLOOKUP("# Cores",'vHosts (Imported)'!$1:$5000,M4438,FALSE)</f>
        <v>0</v>
      </c>
      <c r="D4438" s="52">
        <f>HLOOKUP("# Memory",'vHosts (Imported)'!$1:$5000,M4438,FALSE)</f>
        <v>0</v>
      </c>
      <c r="M4438" s="45">
        <f t="shared" si="209"/>
        <v>4438</v>
      </c>
      <c r="N4438" s="38">
        <f>HLOOKUP("Host",'vInfo (Imported)'!$1:$5000,M4438,FALSE)</f>
        <v>0</v>
      </c>
      <c r="R4438">
        <f>HLOOKUP("CPUs",'vInfo (Imported)'!$1:$5000,M4438,FALSE)</f>
        <v>0</v>
      </c>
      <c r="S4438">
        <f>HLOOKUP("Memory",'vInfo (Imported)'!$1:$5000,M4438,FALSE)</f>
        <v>0</v>
      </c>
      <c r="T4438">
        <f>HLOOKUP("Provisioned MiB",'vInfo (Imported)'!$1:$5000,M4438,FALSE)</f>
        <v>0</v>
      </c>
      <c r="U4438">
        <f t="shared" si="208"/>
        <v>0</v>
      </c>
      <c r="V4438">
        <f>HLOOKUP("In Use MiB",'vInfo (Imported)'!$1:$5000,M4438,FALSE)</f>
        <v>0</v>
      </c>
    </row>
    <row r="4439" spans="1:22" ht="13" x14ac:dyDescent="0.3">
      <c r="A4439" s="46">
        <f>'vHosts (Imported)'!A4439</f>
        <v>0</v>
      </c>
      <c r="B4439" s="51">
        <f t="shared" si="207"/>
        <v>4968</v>
      </c>
      <c r="C4439" s="49">
        <f>HLOOKUP("# Cores",'vHosts (Imported)'!$1:$5000,M4439,FALSE)</f>
        <v>0</v>
      </c>
      <c r="D4439" s="52">
        <f>HLOOKUP("# Memory",'vHosts (Imported)'!$1:$5000,M4439,FALSE)</f>
        <v>0</v>
      </c>
      <c r="M4439" s="45">
        <f t="shared" si="209"/>
        <v>4439</v>
      </c>
      <c r="N4439" s="38">
        <f>HLOOKUP("Host",'vInfo (Imported)'!$1:$5000,M4439,FALSE)</f>
        <v>0</v>
      </c>
      <c r="R4439">
        <f>HLOOKUP("CPUs",'vInfo (Imported)'!$1:$5000,M4439,FALSE)</f>
        <v>0</v>
      </c>
      <c r="S4439">
        <f>HLOOKUP("Memory",'vInfo (Imported)'!$1:$5000,M4439,FALSE)</f>
        <v>0</v>
      </c>
      <c r="T4439">
        <f>HLOOKUP("Provisioned MiB",'vInfo (Imported)'!$1:$5000,M4439,FALSE)</f>
        <v>0</v>
      </c>
      <c r="U4439">
        <f t="shared" si="208"/>
        <v>0</v>
      </c>
      <c r="V4439">
        <f>HLOOKUP("In Use MiB",'vInfo (Imported)'!$1:$5000,M4439,FALSE)</f>
        <v>0</v>
      </c>
    </row>
    <row r="4440" spans="1:22" ht="13" x14ac:dyDescent="0.3">
      <c r="A4440" s="46">
        <f>'vHosts (Imported)'!A4440</f>
        <v>0</v>
      </c>
      <c r="B4440" s="51">
        <f t="shared" si="207"/>
        <v>4968</v>
      </c>
      <c r="C4440" s="49">
        <f>HLOOKUP("# Cores",'vHosts (Imported)'!$1:$5000,M4440,FALSE)</f>
        <v>0</v>
      </c>
      <c r="D4440" s="52">
        <f>HLOOKUP("# Memory",'vHosts (Imported)'!$1:$5000,M4440,FALSE)</f>
        <v>0</v>
      </c>
      <c r="M4440" s="45">
        <f t="shared" si="209"/>
        <v>4440</v>
      </c>
      <c r="N4440" s="38">
        <f>HLOOKUP("Host",'vInfo (Imported)'!$1:$5000,M4440,FALSE)</f>
        <v>0</v>
      </c>
      <c r="R4440">
        <f>HLOOKUP("CPUs",'vInfo (Imported)'!$1:$5000,M4440,FALSE)</f>
        <v>0</v>
      </c>
      <c r="S4440">
        <f>HLOOKUP("Memory",'vInfo (Imported)'!$1:$5000,M4440,FALSE)</f>
        <v>0</v>
      </c>
      <c r="T4440">
        <f>HLOOKUP("Provisioned MiB",'vInfo (Imported)'!$1:$5000,M4440,FALSE)</f>
        <v>0</v>
      </c>
      <c r="U4440">
        <f t="shared" si="208"/>
        <v>0</v>
      </c>
      <c r="V4440">
        <f>HLOOKUP("In Use MiB",'vInfo (Imported)'!$1:$5000,M4440,FALSE)</f>
        <v>0</v>
      </c>
    </row>
    <row r="4441" spans="1:22" ht="13" x14ac:dyDescent="0.3">
      <c r="A4441" s="46">
        <f>'vHosts (Imported)'!A4441</f>
        <v>0</v>
      </c>
      <c r="B4441" s="51">
        <f t="shared" si="207"/>
        <v>4968</v>
      </c>
      <c r="C4441" s="49">
        <f>HLOOKUP("# Cores",'vHosts (Imported)'!$1:$5000,M4441,FALSE)</f>
        <v>0</v>
      </c>
      <c r="D4441" s="52">
        <f>HLOOKUP("# Memory",'vHosts (Imported)'!$1:$5000,M4441,FALSE)</f>
        <v>0</v>
      </c>
      <c r="M4441" s="45">
        <f t="shared" si="209"/>
        <v>4441</v>
      </c>
      <c r="N4441" s="38">
        <f>HLOOKUP("Host",'vInfo (Imported)'!$1:$5000,M4441,FALSE)</f>
        <v>0</v>
      </c>
      <c r="R4441">
        <f>HLOOKUP("CPUs",'vInfo (Imported)'!$1:$5000,M4441,FALSE)</f>
        <v>0</v>
      </c>
      <c r="S4441">
        <f>HLOOKUP("Memory",'vInfo (Imported)'!$1:$5000,M4441,FALSE)</f>
        <v>0</v>
      </c>
      <c r="T4441">
        <f>HLOOKUP("Provisioned MiB",'vInfo (Imported)'!$1:$5000,M4441,FALSE)</f>
        <v>0</v>
      </c>
      <c r="U4441">
        <f t="shared" si="208"/>
        <v>0</v>
      </c>
      <c r="V4441">
        <f>HLOOKUP("In Use MiB",'vInfo (Imported)'!$1:$5000,M4441,FALSE)</f>
        <v>0</v>
      </c>
    </row>
    <row r="4442" spans="1:22" ht="13" x14ac:dyDescent="0.3">
      <c r="A4442" s="46">
        <f>'vHosts (Imported)'!A4442</f>
        <v>0</v>
      </c>
      <c r="B4442" s="51">
        <f t="shared" si="207"/>
        <v>4968</v>
      </c>
      <c r="C4442" s="49">
        <f>HLOOKUP("# Cores",'vHosts (Imported)'!$1:$5000,M4442,FALSE)</f>
        <v>0</v>
      </c>
      <c r="D4442" s="52">
        <f>HLOOKUP("# Memory",'vHosts (Imported)'!$1:$5000,M4442,FALSE)</f>
        <v>0</v>
      </c>
      <c r="M4442" s="45">
        <f t="shared" si="209"/>
        <v>4442</v>
      </c>
      <c r="N4442" s="38">
        <f>HLOOKUP("Host",'vInfo (Imported)'!$1:$5000,M4442,FALSE)</f>
        <v>0</v>
      </c>
      <c r="R4442">
        <f>HLOOKUP("CPUs",'vInfo (Imported)'!$1:$5000,M4442,FALSE)</f>
        <v>0</v>
      </c>
      <c r="S4442">
        <f>HLOOKUP("Memory",'vInfo (Imported)'!$1:$5000,M4442,FALSE)</f>
        <v>0</v>
      </c>
      <c r="T4442">
        <f>HLOOKUP("Provisioned MiB",'vInfo (Imported)'!$1:$5000,M4442,FALSE)</f>
        <v>0</v>
      </c>
      <c r="U4442">
        <f t="shared" si="208"/>
        <v>0</v>
      </c>
      <c r="V4442">
        <f>HLOOKUP("In Use MiB",'vInfo (Imported)'!$1:$5000,M4442,FALSE)</f>
        <v>0</v>
      </c>
    </row>
    <row r="4443" spans="1:22" ht="13" x14ac:dyDescent="0.3">
      <c r="A4443" s="46">
        <f>'vHosts (Imported)'!A4443</f>
        <v>0</v>
      </c>
      <c r="B4443" s="51">
        <f t="shared" si="207"/>
        <v>4968</v>
      </c>
      <c r="C4443" s="49">
        <f>HLOOKUP("# Cores",'vHosts (Imported)'!$1:$5000,M4443,FALSE)</f>
        <v>0</v>
      </c>
      <c r="D4443" s="52">
        <f>HLOOKUP("# Memory",'vHosts (Imported)'!$1:$5000,M4443,FALSE)</f>
        <v>0</v>
      </c>
      <c r="M4443" s="45">
        <f t="shared" si="209"/>
        <v>4443</v>
      </c>
      <c r="N4443" s="38">
        <f>HLOOKUP("Host",'vInfo (Imported)'!$1:$5000,M4443,FALSE)</f>
        <v>0</v>
      </c>
      <c r="R4443">
        <f>HLOOKUP("CPUs",'vInfo (Imported)'!$1:$5000,M4443,FALSE)</f>
        <v>0</v>
      </c>
      <c r="S4443">
        <f>HLOOKUP("Memory",'vInfo (Imported)'!$1:$5000,M4443,FALSE)</f>
        <v>0</v>
      </c>
      <c r="T4443">
        <f>HLOOKUP("Provisioned MiB",'vInfo (Imported)'!$1:$5000,M4443,FALSE)</f>
        <v>0</v>
      </c>
      <c r="U4443">
        <f t="shared" si="208"/>
        <v>0</v>
      </c>
      <c r="V4443">
        <f>HLOOKUP("In Use MiB",'vInfo (Imported)'!$1:$5000,M4443,FALSE)</f>
        <v>0</v>
      </c>
    </row>
    <row r="4444" spans="1:22" ht="13" x14ac:dyDescent="0.3">
      <c r="A4444" s="46">
        <f>'vHosts (Imported)'!A4444</f>
        <v>0</v>
      </c>
      <c r="B4444" s="51">
        <f t="shared" si="207"/>
        <v>4968</v>
      </c>
      <c r="C4444" s="49">
        <f>HLOOKUP("# Cores",'vHosts (Imported)'!$1:$5000,M4444,FALSE)</f>
        <v>0</v>
      </c>
      <c r="D4444" s="52">
        <f>HLOOKUP("# Memory",'vHosts (Imported)'!$1:$5000,M4444,FALSE)</f>
        <v>0</v>
      </c>
      <c r="M4444" s="45">
        <f t="shared" si="209"/>
        <v>4444</v>
      </c>
      <c r="N4444" s="38">
        <f>HLOOKUP("Host",'vInfo (Imported)'!$1:$5000,M4444,FALSE)</f>
        <v>0</v>
      </c>
      <c r="R4444">
        <f>HLOOKUP("CPUs",'vInfo (Imported)'!$1:$5000,M4444,FALSE)</f>
        <v>0</v>
      </c>
      <c r="S4444">
        <f>HLOOKUP("Memory",'vInfo (Imported)'!$1:$5000,M4444,FALSE)</f>
        <v>0</v>
      </c>
      <c r="T4444">
        <f>HLOOKUP("Provisioned MiB",'vInfo (Imported)'!$1:$5000,M4444,FALSE)</f>
        <v>0</v>
      </c>
      <c r="U4444">
        <f t="shared" si="208"/>
        <v>0</v>
      </c>
      <c r="V4444">
        <f>HLOOKUP("In Use MiB",'vInfo (Imported)'!$1:$5000,M4444,FALSE)</f>
        <v>0</v>
      </c>
    </row>
    <row r="4445" spans="1:22" ht="13" x14ac:dyDescent="0.3">
      <c r="A4445" s="46">
        <f>'vHosts (Imported)'!A4445</f>
        <v>0</v>
      </c>
      <c r="B4445" s="51">
        <f t="shared" si="207"/>
        <v>4968</v>
      </c>
      <c r="C4445" s="49">
        <f>HLOOKUP("# Cores",'vHosts (Imported)'!$1:$5000,M4445,FALSE)</f>
        <v>0</v>
      </c>
      <c r="D4445" s="52">
        <f>HLOOKUP("# Memory",'vHosts (Imported)'!$1:$5000,M4445,FALSE)</f>
        <v>0</v>
      </c>
      <c r="M4445" s="45">
        <f t="shared" si="209"/>
        <v>4445</v>
      </c>
      <c r="N4445" s="38">
        <f>HLOOKUP("Host",'vInfo (Imported)'!$1:$5000,M4445,FALSE)</f>
        <v>0</v>
      </c>
      <c r="R4445">
        <f>HLOOKUP("CPUs",'vInfo (Imported)'!$1:$5000,M4445,FALSE)</f>
        <v>0</v>
      </c>
      <c r="S4445">
        <f>HLOOKUP("Memory",'vInfo (Imported)'!$1:$5000,M4445,FALSE)</f>
        <v>0</v>
      </c>
      <c r="T4445">
        <f>HLOOKUP("Provisioned MiB",'vInfo (Imported)'!$1:$5000,M4445,FALSE)</f>
        <v>0</v>
      </c>
      <c r="U4445">
        <f t="shared" si="208"/>
        <v>0</v>
      </c>
      <c r="V4445">
        <f>HLOOKUP("In Use MiB",'vInfo (Imported)'!$1:$5000,M4445,FALSE)</f>
        <v>0</v>
      </c>
    </row>
    <row r="4446" spans="1:22" ht="13" x14ac:dyDescent="0.3">
      <c r="A4446" s="46">
        <f>'vHosts (Imported)'!A4446</f>
        <v>0</v>
      </c>
      <c r="B4446" s="51">
        <f t="shared" si="207"/>
        <v>4968</v>
      </c>
      <c r="C4446" s="49">
        <f>HLOOKUP("# Cores",'vHosts (Imported)'!$1:$5000,M4446,FALSE)</f>
        <v>0</v>
      </c>
      <c r="D4446" s="52">
        <f>HLOOKUP("# Memory",'vHosts (Imported)'!$1:$5000,M4446,FALSE)</f>
        <v>0</v>
      </c>
      <c r="M4446" s="45">
        <f t="shared" si="209"/>
        <v>4446</v>
      </c>
      <c r="N4446" s="38">
        <f>HLOOKUP("Host",'vInfo (Imported)'!$1:$5000,M4446,FALSE)</f>
        <v>0</v>
      </c>
      <c r="R4446">
        <f>HLOOKUP("CPUs",'vInfo (Imported)'!$1:$5000,M4446,FALSE)</f>
        <v>0</v>
      </c>
      <c r="S4446">
        <f>HLOOKUP("Memory",'vInfo (Imported)'!$1:$5000,M4446,FALSE)</f>
        <v>0</v>
      </c>
      <c r="T4446">
        <f>HLOOKUP("Provisioned MiB",'vInfo (Imported)'!$1:$5000,M4446,FALSE)</f>
        <v>0</v>
      </c>
      <c r="U4446">
        <f t="shared" si="208"/>
        <v>0</v>
      </c>
      <c r="V4446">
        <f>HLOOKUP("In Use MiB",'vInfo (Imported)'!$1:$5000,M4446,FALSE)</f>
        <v>0</v>
      </c>
    </row>
    <row r="4447" spans="1:22" ht="13" x14ac:dyDescent="0.3">
      <c r="A4447" s="46">
        <f>'vHosts (Imported)'!A4447</f>
        <v>0</v>
      </c>
      <c r="B4447" s="51">
        <f t="shared" si="207"/>
        <v>4968</v>
      </c>
      <c r="C4447" s="49">
        <f>HLOOKUP("# Cores",'vHosts (Imported)'!$1:$5000,M4447,FALSE)</f>
        <v>0</v>
      </c>
      <c r="D4447" s="52">
        <f>HLOOKUP("# Memory",'vHosts (Imported)'!$1:$5000,M4447,FALSE)</f>
        <v>0</v>
      </c>
      <c r="M4447" s="45">
        <f t="shared" si="209"/>
        <v>4447</v>
      </c>
      <c r="N4447" s="38">
        <f>HLOOKUP("Host",'vInfo (Imported)'!$1:$5000,M4447,FALSE)</f>
        <v>0</v>
      </c>
      <c r="R4447">
        <f>HLOOKUP("CPUs",'vInfo (Imported)'!$1:$5000,M4447,FALSE)</f>
        <v>0</v>
      </c>
      <c r="S4447">
        <f>HLOOKUP("Memory",'vInfo (Imported)'!$1:$5000,M4447,FALSE)</f>
        <v>0</v>
      </c>
      <c r="T4447">
        <f>HLOOKUP("Provisioned MiB",'vInfo (Imported)'!$1:$5000,M4447,FALSE)</f>
        <v>0</v>
      </c>
      <c r="U4447">
        <f t="shared" si="208"/>
        <v>0</v>
      </c>
      <c r="V4447">
        <f>HLOOKUP("In Use MiB",'vInfo (Imported)'!$1:$5000,M4447,FALSE)</f>
        <v>0</v>
      </c>
    </row>
    <row r="4448" spans="1:22" ht="13" x14ac:dyDescent="0.3">
      <c r="A4448" s="46">
        <f>'vHosts (Imported)'!A4448</f>
        <v>0</v>
      </c>
      <c r="B4448" s="51">
        <f t="shared" si="207"/>
        <v>4968</v>
      </c>
      <c r="C4448" s="49">
        <f>HLOOKUP("# Cores",'vHosts (Imported)'!$1:$5000,M4448,FALSE)</f>
        <v>0</v>
      </c>
      <c r="D4448" s="52">
        <f>HLOOKUP("# Memory",'vHosts (Imported)'!$1:$5000,M4448,FALSE)</f>
        <v>0</v>
      </c>
      <c r="M4448" s="45">
        <f t="shared" si="209"/>
        <v>4448</v>
      </c>
      <c r="N4448" s="38">
        <f>HLOOKUP("Host",'vInfo (Imported)'!$1:$5000,M4448,FALSE)</f>
        <v>0</v>
      </c>
      <c r="R4448">
        <f>HLOOKUP("CPUs",'vInfo (Imported)'!$1:$5000,M4448,FALSE)</f>
        <v>0</v>
      </c>
      <c r="S4448">
        <f>HLOOKUP("Memory",'vInfo (Imported)'!$1:$5000,M4448,FALSE)</f>
        <v>0</v>
      </c>
      <c r="T4448">
        <f>HLOOKUP("Provisioned MiB",'vInfo (Imported)'!$1:$5000,M4448,FALSE)</f>
        <v>0</v>
      </c>
      <c r="U4448">
        <f t="shared" si="208"/>
        <v>0</v>
      </c>
      <c r="V4448">
        <f>HLOOKUP("In Use MiB",'vInfo (Imported)'!$1:$5000,M4448,FALSE)</f>
        <v>0</v>
      </c>
    </row>
    <row r="4449" spans="1:22" ht="13" x14ac:dyDescent="0.3">
      <c r="A4449" s="46">
        <f>'vHosts (Imported)'!A4449</f>
        <v>0</v>
      </c>
      <c r="B4449" s="51">
        <f t="shared" si="207"/>
        <v>4968</v>
      </c>
      <c r="C4449" s="49">
        <f>HLOOKUP("# Cores",'vHosts (Imported)'!$1:$5000,M4449,FALSE)</f>
        <v>0</v>
      </c>
      <c r="D4449" s="52">
        <f>HLOOKUP("# Memory",'vHosts (Imported)'!$1:$5000,M4449,FALSE)</f>
        <v>0</v>
      </c>
      <c r="M4449" s="45">
        <f t="shared" si="209"/>
        <v>4449</v>
      </c>
      <c r="N4449" s="38">
        <f>HLOOKUP("Host",'vInfo (Imported)'!$1:$5000,M4449,FALSE)</f>
        <v>0</v>
      </c>
      <c r="R4449">
        <f>HLOOKUP("CPUs",'vInfo (Imported)'!$1:$5000,M4449,FALSE)</f>
        <v>0</v>
      </c>
      <c r="S4449">
        <f>HLOOKUP("Memory",'vInfo (Imported)'!$1:$5000,M4449,FALSE)</f>
        <v>0</v>
      </c>
      <c r="T4449">
        <f>HLOOKUP("Provisioned MiB",'vInfo (Imported)'!$1:$5000,M4449,FALSE)</f>
        <v>0</v>
      </c>
      <c r="U4449">
        <f t="shared" si="208"/>
        <v>0</v>
      </c>
      <c r="V4449">
        <f>HLOOKUP("In Use MiB",'vInfo (Imported)'!$1:$5000,M4449,FALSE)</f>
        <v>0</v>
      </c>
    </row>
    <row r="4450" spans="1:22" ht="13" x14ac:dyDescent="0.3">
      <c r="A4450" s="46">
        <f>'vHosts (Imported)'!A4450</f>
        <v>0</v>
      </c>
      <c r="B4450" s="51">
        <f t="shared" si="207"/>
        <v>4968</v>
      </c>
      <c r="C4450" s="49">
        <f>HLOOKUP("# Cores",'vHosts (Imported)'!$1:$5000,M4450,FALSE)</f>
        <v>0</v>
      </c>
      <c r="D4450" s="52">
        <f>HLOOKUP("# Memory",'vHosts (Imported)'!$1:$5000,M4450,FALSE)</f>
        <v>0</v>
      </c>
      <c r="M4450" s="45">
        <f t="shared" si="209"/>
        <v>4450</v>
      </c>
      <c r="N4450" s="38">
        <f>HLOOKUP("Host",'vInfo (Imported)'!$1:$5000,M4450,FALSE)</f>
        <v>0</v>
      </c>
      <c r="R4450">
        <f>HLOOKUP("CPUs",'vInfo (Imported)'!$1:$5000,M4450,FALSE)</f>
        <v>0</v>
      </c>
      <c r="S4450">
        <f>HLOOKUP("Memory",'vInfo (Imported)'!$1:$5000,M4450,FALSE)</f>
        <v>0</v>
      </c>
      <c r="T4450">
        <f>HLOOKUP("Provisioned MiB",'vInfo (Imported)'!$1:$5000,M4450,FALSE)</f>
        <v>0</v>
      </c>
      <c r="U4450">
        <f t="shared" si="208"/>
        <v>0</v>
      </c>
      <c r="V4450">
        <f>HLOOKUP("In Use MiB",'vInfo (Imported)'!$1:$5000,M4450,FALSE)</f>
        <v>0</v>
      </c>
    </row>
    <row r="4451" spans="1:22" ht="13" x14ac:dyDescent="0.3">
      <c r="A4451" s="46">
        <f>'vHosts (Imported)'!A4451</f>
        <v>0</v>
      </c>
      <c r="B4451" s="51">
        <f t="shared" si="207"/>
        <v>4968</v>
      </c>
      <c r="C4451" s="49">
        <f>HLOOKUP("# Cores",'vHosts (Imported)'!$1:$5000,M4451,FALSE)</f>
        <v>0</v>
      </c>
      <c r="D4451" s="52">
        <f>HLOOKUP("# Memory",'vHosts (Imported)'!$1:$5000,M4451,FALSE)</f>
        <v>0</v>
      </c>
      <c r="M4451" s="45">
        <f t="shared" si="209"/>
        <v>4451</v>
      </c>
      <c r="N4451" s="38">
        <f>HLOOKUP("Host",'vInfo (Imported)'!$1:$5000,M4451,FALSE)</f>
        <v>0</v>
      </c>
      <c r="R4451">
        <f>HLOOKUP("CPUs",'vInfo (Imported)'!$1:$5000,M4451,FALSE)</f>
        <v>0</v>
      </c>
      <c r="S4451">
        <f>HLOOKUP("Memory",'vInfo (Imported)'!$1:$5000,M4451,FALSE)</f>
        <v>0</v>
      </c>
      <c r="T4451">
        <f>HLOOKUP("Provisioned MiB",'vInfo (Imported)'!$1:$5000,M4451,FALSE)</f>
        <v>0</v>
      </c>
      <c r="U4451">
        <f t="shared" si="208"/>
        <v>0</v>
      </c>
      <c r="V4451">
        <f>HLOOKUP("In Use MiB",'vInfo (Imported)'!$1:$5000,M4451,FALSE)</f>
        <v>0</v>
      </c>
    </row>
    <row r="4452" spans="1:22" ht="13" x14ac:dyDescent="0.3">
      <c r="A4452" s="46">
        <f>'vHosts (Imported)'!A4452</f>
        <v>0</v>
      </c>
      <c r="B4452" s="51">
        <f t="shared" si="207"/>
        <v>4968</v>
      </c>
      <c r="C4452" s="49">
        <f>HLOOKUP("# Cores",'vHosts (Imported)'!$1:$5000,M4452,FALSE)</f>
        <v>0</v>
      </c>
      <c r="D4452" s="52">
        <f>HLOOKUP("# Memory",'vHosts (Imported)'!$1:$5000,M4452,FALSE)</f>
        <v>0</v>
      </c>
      <c r="M4452" s="45">
        <f t="shared" si="209"/>
        <v>4452</v>
      </c>
      <c r="N4452" s="38">
        <f>HLOOKUP("Host",'vInfo (Imported)'!$1:$5000,M4452,FALSE)</f>
        <v>0</v>
      </c>
      <c r="R4452">
        <f>HLOOKUP("CPUs",'vInfo (Imported)'!$1:$5000,M4452,FALSE)</f>
        <v>0</v>
      </c>
      <c r="S4452">
        <f>HLOOKUP("Memory",'vInfo (Imported)'!$1:$5000,M4452,FALSE)</f>
        <v>0</v>
      </c>
      <c r="T4452">
        <f>HLOOKUP("Provisioned MiB",'vInfo (Imported)'!$1:$5000,M4452,FALSE)</f>
        <v>0</v>
      </c>
      <c r="U4452">
        <f t="shared" si="208"/>
        <v>0</v>
      </c>
      <c r="V4452">
        <f>HLOOKUP("In Use MiB",'vInfo (Imported)'!$1:$5000,M4452,FALSE)</f>
        <v>0</v>
      </c>
    </row>
    <row r="4453" spans="1:22" ht="13" x14ac:dyDescent="0.3">
      <c r="A4453" s="46">
        <f>'vHosts (Imported)'!A4453</f>
        <v>0</v>
      </c>
      <c r="B4453" s="51">
        <f t="shared" si="207"/>
        <v>4968</v>
      </c>
      <c r="C4453" s="49">
        <f>HLOOKUP("# Cores",'vHosts (Imported)'!$1:$5000,M4453,FALSE)</f>
        <v>0</v>
      </c>
      <c r="D4453" s="52">
        <f>HLOOKUP("# Memory",'vHosts (Imported)'!$1:$5000,M4453,FALSE)</f>
        <v>0</v>
      </c>
      <c r="M4453" s="45">
        <f t="shared" si="209"/>
        <v>4453</v>
      </c>
      <c r="N4453" s="38">
        <f>HLOOKUP("Host",'vInfo (Imported)'!$1:$5000,M4453,FALSE)</f>
        <v>0</v>
      </c>
      <c r="R4453">
        <f>HLOOKUP("CPUs",'vInfo (Imported)'!$1:$5000,M4453,FALSE)</f>
        <v>0</v>
      </c>
      <c r="S4453">
        <f>HLOOKUP("Memory",'vInfo (Imported)'!$1:$5000,M4453,FALSE)</f>
        <v>0</v>
      </c>
      <c r="T4453">
        <f>HLOOKUP("Provisioned MiB",'vInfo (Imported)'!$1:$5000,M4453,FALSE)</f>
        <v>0</v>
      </c>
      <c r="U4453">
        <f t="shared" si="208"/>
        <v>0</v>
      </c>
      <c r="V4453">
        <f>HLOOKUP("In Use MiB",'vInfo (Imported)'!$1:$5000,M4453,FALSE)</f>
        <v>0</v>
      </c>
    </row>
    <row r="4454" spans="1:22" ht="13" x14ac:dyDescent="0.3">
      <c r="A4454" s="46">
        <f>'vHosts (Imported)'!A4454</f>
        <v>0</v>
      </c>
      <c r="B4454" s="51">
        <f t="shared" si="207"/>
        <v>4968</v>
      </c>
      <c r="C4454" s="49">
        <f>HLOOKUP("# Cores",'vHosts (Imported)'!$1:$5000,M4454,FALSE)</f>
        <v>0</v>
      </c>
      <c r="D4454" s="52">
        <f>HLOOKUP("# Memory",'vHosts (Imported)'!$1:$5000,M4454,FALSE)</f>
        <v>0</v>
      </c>
      <c r="M4454" s="45">
        <f t="shared" si="209"/>
        <v>4454</v>
      </c>
      <c r="N4454" s="38">
        <f>HLOOKUP("Host",'vInfo (Imported)'!$1:$5000,M4454,FALSE)</f>
        <v>0</v>
      </c>
      <c r="R4454">
        <f>HLOOKUP("CPUs",'vInfo (Imported)'!$1:$5000,M4454,FALSE)</f>
        <v>0</v>
      </c>
      <c r="S4454">
        <f>HLOOKUP("Memory",'vInfo (Imported)'!$1:$5000,M4454,FALSE)</f>
        <v>0</v>
      </c>
      <c r="T4454">
        <f>HLOOKUP("Provisioned MiB",'vInfo (Imported)'!$1:$5000,M4454,FALSE)</f>
        <v>0</v>
      </c>
      <c r="U4454">
        <f t="shared" si="208"/>
        <v>0</v>
      </c>
      <c r="V4454">
        <f>HLOOKUP("In Use MiB",'vInfo (Imported)'!$1:$5000,M4454,FALSE)</f>
        <v>0</v>
      </c>
    </row>
    <row r="4455" spans="1:22" ht="13" x14ac:dyDescent="0.3">
      <c r="A4455" s="46">
        <f>'vHosts (Imported)'!A4455</f>
        <v>0</v>
      </c>
      <c r="B4455" s="51">
        <f t="shared" si="207"/>
        <v>4968</v>
      </c>
      <c r="C4455" s="49">
        <f>HLOOKUP("# Cores",'vHosts (Imported)'!$1:$5000,M4455,FALSE)</f>
        <v>0</v>
      </c>
      <c r="D4455" s="52">
        <f>HLOOKUP("# Memory",'vHosts (Imported)'!$1:$5000,M4455,FALSE)</f>
        <v>0</v>
      </c>
      <c r="M4455" s="45">
        <f t="shared" si="209"/>
        <v>4455</v>
      </c>
      <c r="N4455" s="38">
        <f>HLOOKUP("Host",'vInfo (Imported)'!$1:$5000,M4455,FALSE)</f>
        <v>0</v>
      </c>
      <c r="R4455">
        <f>HLOOKUP("CPUs",'vInfo (Imported)'!$1:$5000,M4455,FALSE)</f>
        <v>0</v>
      </c>
      <c r="S4455">
        <f>HLOOKUP("Memory",'vInfo (Imported)'!$1:$5000,M4455,FALSE)</f>
        <v>0</v>
      </c>
      <c r="T4455">
        <f>HLOOKUP("Provisioned MiB",'vInfo (Imported)'!$1:$5000,M4455,FALSE)</f>
        <v>0</v>
      </c>
      <c r="U4455">
        <f t="shared" si="208"/>
        <v>0</v>
      </c>
      <c r="V4455">
        <f>HLOOKUP("In Use MiB",'vInfo (Imported)'!$1:$5000,M4455,FALSE)</f>
        <v>0</v>
      </c>
    </row>
    <row r="4456" spans="1:22" ht="13" x14ac:dyDescent="0.3">
      <c r="A4456" s="46">
        <f>'vHosts (Imported)'!A4456</f>
        <v>0</v>
      </c>
      <c r="B4456" s="51">
        <f t="shared" ref="B4456:B4519" si="210">COUNTIF(N:N,A4456)</f>
        <v>4968</v>
      </c>
      <c r="C4456" s="49">
        <f>HLOOKUP("# Cores",'vHosts (Imported)'!$1:$5000,M4456,FALSE)</f>
        <v>0</v>
      </c>
      <c r="D4456" s="52">
        <f>HLOOKUP("# Memory",'vHosts (Imported)'!$1:$5000,M4456,FALSE)</f>
        <v>0</v>
      </c>
      <c r="M4456" s="45">
        <f t="shared" si="209"/>
        <v>4456</v>
      </c>
      <c r="N4456" s="38">
        <f>HLOOKUP("Host",'vInfo (Imported)'!$1:$5000,M4456,FALSE)</f>
        <v>0</v>
      </c>
      <c r="R4456">
        <f>HLOOKUP("CPUs",'vInfo (Imported)'!$1:$5000,M4456,FALSE)</f>
        <v>0</v>
      </c>
      <c r="S4456">
        <f>HLOOKUP("Memory",'vInfo (Imported)'!$1:$5000,M4456,FALSE)</f>
        <v>0</v>
      </c>
      <c r="T4456">
        <f>HLOOKUP("Provisioned MiB",'vInfo (Imported)'!$1:$5000,M4456,FALSE)</f>
        <v>0</v>
      </c>
      <c r="U4456">
        <f t="shared" si="208"/>
        <v>0</v>
      </c>
      <c r="V4456">
        <f>HLOOKUP("In Use MiB",'vInfo (Imported)'!$1:$5000,M4456,FALSE)</f>
        <v>0</v>
      </c>
    </row>
    <row r="4457" spans="1:22" ht="13" x14ac:dyDescent="0.3">
      <c r="A4457" s="46">
        <f>'vHosts (Imported)'!A4457</f>
        <v>0</v>
      </c>
      <c r="B4457" s="51">
        <f t="shared" si="210"/>
        <v>4968</v>
      </c>
      <c r="C4457" s="49">
        <f>HLOOKUP("# Cores",'vHosts (Imported)'!$1:$5000,M4457,FALSE)</f>
        <v>0</v>
      </c>
      <c r="D4457" s="52">
        <f>HLOOKUP("# Memory",'vHosts (Imported)'!$1:$5000,M4457,FALSE)</f>
        <v>0</v>
      </c>
      <c r="M4457" s="45">
        <f t="shared" si="209"/>
        <v>4457</v>
      </c>
      <c r="N4457" s="38">
        <f>HLOOKUP("Host",'vInfo (Imported)'!$1:$5000,M4457,FALSE)</f>
        <v>0</v>
      </c>
      <c r="R4457">
        <f>HLOOKUP("CPUs",'vInfo (Imported)'!$1:$5000,M4457,FALSE)</f>
        <v>0</v>
      </c>
      <c r="S4457">
        <f>HLOOKUP("Memory",'vInfo (Imported)'!$1:$5000,M4457,FALSE)</f>
        <v>0</v>
      </c>
      <c r="T4457">
        <f>HLOOKUP("Provisioned MiB",'vInfo (Imported)'!$1:$5000,M4457,FALSE)</f>
        <v>0</v>
      </c>
      <c r="U4457">
        <f t="shared" si="208"/>
        <v>0</v>
      </c>
      <c r="V4457">
        <f>HLOOKUP("In Use MiB",'vInfo (Imported)'!$1:$5000,M4457,FALSE)</f>
        <v>0</v>
      </c>
    </row>
    <row r="4458" spans="1:22" ht="13" x14ac:dyDescent="0.3">
      <c r="A4458" s="46">
        <f>'vHosts (Imported)'!A4458</f>
        <v>0</v>
      </c>
      <c r="B4458" s="51">
        <f t="shared" si="210"/>
        <v>4968</v>
      </c>
      <c r="C4458" s="49">
        <f>HLOOKUP("# Cores",'vHosts (Imported)'!$1:$5000,M4458,FALSE)</f>
        <v>0</v>
      </c>
      <c r="D4458" s="52">
        <f>HLOOKUP("# Memory",'vHosts (Imported)'!$1:$5000,M4458,FALSE)</f>
        <v>0</v>
      </c>
      <c r="M4458" s="45">
        <f t="shared" si="209"/>
        <v>4458</v>
      </c>
      <c r="N4458" s="38">
        <f>HLOOKUP("Host",'vInfo (Imported)'!$1:$5000,M4458,FALSE)</f>
        <v>0</v>
      </c>
      <c r="R4458">
        <f>HLOOKUP("CPUs",'vInfo (Imported)'!$1:$5000,M4458,FALSE)</f>
        <v>0</v>
      </c>
      <c r="S4458">
        <f>HLOOKUP("Memory",'vInfo (Imported)'!$1:$5000,M4458,FALSE)</f>
        <v>0</v>
      </c>
      <c r="T4458">
        <f>HLOOKUP("Provisioned MiB",'vInfo (Imported)'!$1:$5000,M4458,FALSE)</f>
        <v>0</v>
      </c>
      <c r="U4458">
        <f t="shared" si="208"/>
        <v>0</v>
      </c>
      <c r="V4458">
        <f>HLOOKUP("In Use MiB",'vInfo (Imported)'!$1:$5000,M4458,FALSE)</f>
        <v>0</v>
      </c>
    </row>
    <row r="4459" spans="1:22" ht="13" x14ac:dyDescent="0.3">
      <c r="A4459" s="46">
        <f>'vHosts (Imported)'!A4459</f>
        <v>0</v>
      </c>
      <c r="B4459" s="51">
        <f t="shared" si="210"/>
        <v>4968</v>
      </c>
      <c r="C4459" s="49">
        <f>HLOOKUP("# Cores",'vHosts (Imported)'!$1:$5000,M4459,FALSE)</f>
        <v>0</v>
      </c>
      <c r="D4459" s="52">
        <f>HLOOKUP("# Memory",'vHosts (Imported)'!$1:$5000,M4459,FALSE)</f>
        <v>0</v>
      </c>
      <c r="M4459" s="45">
        <f t="shared" si="209"/>
        <v>4459</v>
      </c>
      <c r="N4459" s="38">
        <f>HLOOKUP("Host",'vInfo (Imported)'!$1:$5000,M4459,FALSE)</f>
        <v>0</v>
      </c>
      <c r="R4459">
        <f>HLOOKUP("CPUs",'vInfo (Imported)'!$1:$5000,M4459,FALSE)</f>
        <v>0</v>
      </c>
      <c r="S4459">
        <f>HLOOKUP("Memory",'vInfo (Imported)'!$1:$5000,M4459,FALSE)</f>
        <v>0</v>
      </c>
      <c r="T4459">
        <f>HLOOKUP("Provisioned MiB",'vInfo (Imported)'!$1:$5000,M4459,FALSE)</f>
        <v>0</v>
      </c>
      <c r="U4459">
        <f t="shared" si="208"/>
        <v>0</v>
      </c>
      <c r="V4459">
        <f>HLOOKUP("In Use MiB",'vInfo (Imported)'!$1:$5000,M4459,FALSE)</f>
        <v>0</v>
      </c>
    </row>
    <row r="4460" spans="1:22" ht="13" x14ac:dyDescent="0.3">
      <c r="A4460" s="46">
        <f>'vHosts (Imported)'!A4460</f>
        <v>0</v>
      </c>
      <c r="B4460" s="51">
        <f t="shared" si="210"/>
        <v>4968</v>
      </c>
      <c r="C4460" s="49">
        <f>HLOOKUP("# Cores",'vHosts (Imported)'!$1:$5000,M4460,FALSE)</f>
        <v>0</v>
      </c>
      <c r="D4460" s="52">
        <f>HLOOKUP("# Memory",'vHosts (Imported)'!$1:$5000,M4460,FALSE)</f>
        <v>0</v>
      </c>
      <c r="M4460" s="45">
        <f t="shared" si="209"/>
        <v>4460</v>
      </c>
      <c r="N4460" s="38">
        <f>HLOOKUP("Host",'vInfo (Imported)'!$1:$5000,M4460,FALSE)</f>
        <v>0</v>
      </c>
      <c r="R4460">
        <f>HLOOKUP("CPUs",'vInfo (Imported)'!$1:$5000,M4460,FALSE)</f>
        <v>0</v>
      </c>
      <c r="S4460">
        <f>HLOOKUP("Memory",'vInfo (Imported)'!$1:$5000,M4460,FALSE)</f>
        <v>0</v>
      </c>
      <c r="T4460">
        <f>HLOOKUP("Provisioned MiB",'vInfo (Imported)'!$1:$5000,M4460,FALSE)</f>
        <v>0</v>
      </c>
      <c r="U4460">
        <f t="shared" si="208"/>
        <v>0</v>
      </c>
      <c r="V4460">
        <f>HLOOKUP("In Use MiB",'vInfo (Imported)'!$1:$5000,M4460,FALSE)</f>
        <v>0</v>
      </c>
    </row>
    <row r="4461" spans="1:22" ht="13" x14ac:dyDescent="0.3">
      <c r="A4461" s="46">
        <f>'vHosts (Imported)'!A4461</f>
        <v>0</v>
      </c>
      <c r="B4461" s="51">
        <f t="shared" si="210"/>
        <v>4968</v>
      </c>
      <c r="C4461" s="49">
        <f>HLOOKUP("# Cores",'vHosts (Imported)'!$1:$5000,M4461,FALSE)</f>
        <v>0</v>
      </c>
      <c r="D4461" s="52">
        <f>HLOOKUP("# Memory",'vHosts (Imported)'!$1:$5000,M4461,FALSE)</f>
        <v>0</v>
      </c>
      <c r="M4461" s="45">
        <f t="shared" si="209"/>
        <v>4461</v>
      </c>
      <c r="N4461" s="38">
        <f>HLOOKUP("Host",'vInfo (Imported)'!$1:$5000,M4461,FALSE)</f>
        <v>0</v>
      </c>
      <c r="R4461">
        <f>HLOOKUP("CPUs",'vInfo (Imported)'!$1:$5000,M4461,FALSE)</f>
        <v>0</v>
      </c>
      <c r="S4461">
        <f>HLOOKUP("Memory",'vInfo (Imported)'!$1:$5000,M4461,FALSE)</f>
        <v>0</v>
      </c>
      <c r="T4461">
        <f>HLOOKUP("Provisioned MiB",'vInfo (Imported)'!$1:$5000,M4461,FALSE)</f>
        <v>0</v>
      </c>
      <c r="U4461">
        <f t="shared" si="208"/>
        <v>0</v>
      </c>
      <c r="V4461">
        <f>HLOOKUP("In Use MiB",'vInfo (Imported)'!$1:$5000,M4461,FALSE)</f>
        <v>0</v>
      </c>
    </row>
    <row r="4462" spans="1:22" ht="13" x14ac:dyDescent="0.3">
      <c r="A4462" s="46">
        <f>'vHosts (Imported)'!A4462</f>
        <v>0</v>
      </c>
      <c r="B4462" s="51">
        <f t="shared" si="210"/>
        <v>4968</v>
      </c>
      <c r="C4462" s="49">
        <f>HLOOKUP("# Cores",'vHosts (Imported)'!$1:$5000,M4462,FALSE)</f>
        <v>0</v>
      </c>
      <c r="D4462" s="52">
        <f>HLOOKUP("# Memory",'vHosts (Imported)'!$1:$5000,M4462,FALSE)</f>
        <v>0</v>
      </c>
      <c r="M4462" s="45">
        <f t="shared" si="209"/>
        <v>4462</v>
      </c>
      <c r="N4462" s="38">
        <f>HLOOKUP("Host",'vInfo (Imported)'!$1:$5000,M4462,FALSE)</f>
        <v>0</v>
      </c>
      <c r="R4462">
        <f>HLOOKUP("CPUs",'vInfo (Imported)'!$1:$5000,M4462,FALSE)</f>
        <v>0</v>
      </c>
      <c r="S4462">
        <f>HLOOKUP("Memory",'vInfo (Imported)'!$1:$5000,M4462,FALSE)</f>
        <v>0</v>
      </c>
      <c r="T4462">
        <f>HLOOKUP("Provisioned MiB",'vInfo (Imported)'!$1:$5000,M4462,FALSE)</f>
        <v>0</v>
      </c>
      <c r="U4462">
        <f t="shared" si="208"/>
        <v>0</v>
      </c>
      <c r="V4462">
        <f>HLOOKUP("In Use MiB",'vInfo (Imported)'!$1:$5000,M4462,FALSE)</f>
        <v>0</v>
      </c>
    </row>
    <row r="4463" spans="1:22" ht="13" x14ac:dyDescent="0.3">
      <c r="A4463" s="46">
        <f>'vHosts (Imported)'!A4463</f>
        <v>0</v>
      </c>
      <c r="B4463" s="51">
        <f t="shared" si="210"/>
        <v>4968</v>
      </c>
      <c r="C4463" s="49">
        <f>HLOOKUP("# Cores",'vHosts (Imported)'!$1:$5000,M4463,FALSE)</f>
        <v>0</v>
      </c>
      <c r="D4463" s="52">
        <f>HLOOKUP("# Memory",'vHosts (Imported)'!$1:$5000,M4463,FALSE)</f>
        <v>0</v>
      </c>
      <c r="M4463" s="45">
        <f t="shared" si="209"/>
        <v>4463</v>
      </c>
      <c r="N4463" s="38">
        <f>HLOOKUP("Host",'vInfo (Imported)'!$1:$5000,M4463,FALSE)</f>
        <v>0</v>
      </c>
      <c r="R4463">
        <f>HLOOKUP("CPUs",'vInfo (Imported)'!$1:$5000,M4463,FALSE)</f>
        <v>0</v>
      </c>
      <c r="S4463">
        <f>HLOOKUP("Memory",'vInfo (Imported)'!$1:$5000,M4463,FALSE)</f>
        <v>0</v>
      </c>
      <c r="T4463">
        <f>HLOOKUP("Provisioned MiB",'vInfo (Imported)'!$1:$5000,M4463,FALSE)</f>
        <v>0</v>
      </c>
      <c r="U4463">
        <f t="shared" si="208"/>
        <v>0</v>
      </c>
      <c r="V4463">
        <f>HLOOKUP("In Use MiB",'vInfo (Imported)'!$1:$5000,M4463,FALSE)</f>
        <v>0</v>
      </c>
    </row>
    <row r="4464" spans="1:22" ht="13" x14ac:dyDescent="0.3">
      <c r="A4464" s="46">
        <f>'vHosts (Imported)'!A4464</f>
        <v>0</v>
      </c>
      <c r="B4464" s="51">
        <f t="shared" si="210"/>
        <v>4968</v>
      </c>
      <c r="C4464" s="49">
        <f>HLOOKUP("# Cores",'vHosts (Imported)'!$1:$5000,M4464,FALSE)</f>
        <v>0</v>
      </c>
      <c r="D4464" s="52">
        <f>HLOOKUP("# Memory",'vHosts (Imported)'!$1:$5000,M4464,FALSE)</f>
        <v>0</v>
      </c>
      <c r="M4464" s="45">
        <f t="shared" si="209"/>
        <v>4464</v>
      </c>
      <c r="N4464" s="38">
        <f>HLOOKUP("Host",'vInfo (Imported)'!$1:$5000,M4464,FALSE)</f>
        <v>0</v>
      </c>
      <c r="R4464">
        <f>HLOOKUP("CPUs",'vInfo (Imported)'!$1:$5000,M4464,FALSE)</f>
        <v>0</v>
      </c>
      <c r="S4464">
        <f>HLOOKUP("Memory",'vInfo (Imported)'!$1:$5000,M4464,FALSE)</f>
        <v>0</v>
      </c>
      <c r="T4464">
        <f>HLOOKUP("Provisioned MiB",'vInfo (Imported)'!$1:$5000,M4464,FALSE)</f>
        <v>0</v>
      </c>
      <c r="U4464">
        <f t="shared" si="208"/>
        <v>0</v>
      </c>
      <c r="V4464">
        <f>HLOOKUP("In Use MiB",'vInfo (Imported)'!$1:$5000,M4464,FALSE)</f>
        <v>0</v>
      </c>
    </row>
    <row r="4465" spans="1:22" ht="13" x14ac:dyDescent="0.3">
      <c r="A4465" s="46">
        <f>'vHosts (Imported)'!A4465</f>
        <v>0</v>
      </c>
      <c r="B4465" s="51">
        <f t="shared" si="210"/>
        <v>4968</v>
      </c>
      <c r="C4465" s="49">
        <f>HLOOKUP("# Cores",'vHosts (Imported)'!$1:$5000,M4465,FALSE)</f>
        <v>0</v>
      </c>
      <c r="D4465" s="52">
        <f>HLOOKUP("# Memory",'vHosts (Imported)'!$1:$5000,M4465,FALSE)</f>
        <v>0</v>
      </c>
      <c r="M4465" s="45">
        <f t="shared" si="209"/>
        <v>4465</v>
      </c>
      <c r="N4465" s="38">
        <f>HLOOKUP("Host",'vInfo (Imported)'!$1:$5000,M4465,FALSE)</f>
        <v>0</v>
      </c>
      <c r="R4465">
        <f>HLOOKUP("CPUs",'vInfo (Imported)'!$1:$5000,M4465,FALSE)</f>
        <v>0</v>
      </c>
      <c r="S4465">
        <f>HLOOKUP("Memory",'vInfo (Imported)'!$1:$5000,M4465,FALSE)</f>
        <v>0</v>
      </c>
      <c r="T4465">
        <f>HLOOKUP("Provisioned MiB",'vInfo (Imported)'!$1:$5000,M4465,FALSE)</f>
        <v>0</v>
      </c>
      <c r="U4465">
        <f t="shared" si="208"/>
        <v>0</v>
      </c>
      <c r="V4465">
        <f>HLOOKUP("In Use MiB",'vInfo (Imported)'!$1:$5000,M4465,FALSE)</f>
        <v>0</v>
      </c>
    </row>
    <row r="4466" spans="1:22" ht="13" x14ac:dyDescent="0.3">
      <c r="A4466" s="46">
        <f>'vHosts (Imported)'!A4466</f>
        <v>0</v>
      </c>
      <c r="B4466" s="51">
        <f t="shared" si="210"/>
        <v>4968</v>
      </c>
      <c r="C4466" s="49">
        <f>HLOOKUP("# Cores",'vHosts (Imported)'!$1:$5000,M4466,FALSE)</f>
        <v>0</v>
      </c>
      <c r="D4466" s="52">
        <f>HLOOKUP("# Memory",'vHosts (Imported)'!$1:$5000,M4466,FALSE)</f>
        <v>0</v>
      </c>
      <c r="M4466" s="45">
        <f t="shared" si="209"/>
        <v>4466</v>
      </c>
      <c r="N4466" s="38">
        <f>HLOOKUP("Host",'vInfo (Imported)'!$1:$5000,M4466,FALSE)</f>
        <v>0</v>
      </c>
      <c r="R4466">
        <f>HLOOKUP("CPUs",'vInfo (Imported)'!$1:$5000,M4466,FALSE)</f>
        <v>0</v>
      </c>
      <c r="S4466">
        <f>HLOOKUP("Memory",'vInfo (Imported)'!$1:$5000,M4466,FALSE)</f>
        <v>0</v>
      </c>
      <c r="T4466">
        <f>HLOOKUP("Provisioned MiB",'vInfo (Imported)'!$1:$5000,M4466,FALSE)</f>
        <v>0</v>
      </c>
      <c r="U4466">
        <f t="shared" si="208"/>
        <v>0</v>
      </c>
      <c r="V4466">
        <f>HLOOKUP("In Use MiB",'vInfo (Imported)'!$1:$5000,M4466,FALSE)</f>
        <v>0</v>
      </c>
    </row>
    <row r="4467" spans="1:22" ht="13" x14ac:dyDescent="0.3">
      <c r="A4467" s="46">
        <f>'vHosts (Imported)'!A4467</f>
        <v>0</v>
      </c>
      <c r="B4467" s="51">
        <f t="shared" si="210"/>
        <v>4968</v>
      </c>
      <c r="C4467" s="49">
        <f>HLOOKUP("# Cores",'vHosts (Imported)'!$1:$5000,M4467,FALSE)</f>
        <v>0</v>
      </c>
      <c r="D4467" s="52">
        <f>HLOOKUP("# Memory",'vHosts (Imported)'!$1:$5000,M4467,FALSE)</f>
        <v>0</v>
      </c>
      <c r="M4467" s="45">
        <f t="shared" si="209"/>
        <v>4467</v>
      </c>
      <c r="N4467" s="38">
        <f>HLOOKUP("Host",'vInfo (Imported)'!$1:$5000,M4467,FALSE)</f>
        <v>0</v>
      </c>
      <c r="R4467">
        <f>HLOOKUP("CPUs",'vInfo (Imported)'!$1:$5000,M4467,FALSE)</f>
        <v>0</v>
      </c>
      <c r="S4467">
        <f>HLOOKUP("Memory",'vInfo (Imported)'!$1:$5000,M4467,FALSE)</f>
        <v>0</v>
      </c>
      <c r="T4467">
        <f>HLOOKUP("Provisioned MiB",'vInfo (Imported)'!$1:$5000,M4467,FALSE)</f>
        <v>0</v>
      </c>
      <c r="U4467">
        <f t="shared" si="208"/>
        <v>0</v>
      </c>
      <c r="V4467">
        <f>HLOOKUP("In Use MiB",'vInfo (Imported)'!$1:$5000,M4467,FALSE)</f>
        <v>0</v>
      </c>
    </row>
    <row r="4468" spans="1:22" ht="13" x14ac:dyDescent="0.3">
      <c r="A4468" s="46">
        <f>'vHosts (Imported)'!A4468</f>
        <v>0</v>
      </c>
      <c r="B4468" s="51">
        <f t="shared" si="210"/>
        <v>4968</v>
      </c>
      <c r="C4468" s="49">
        <f>HLOOKUP("# Cores",'vHosts (Imported)'!$1:$5000,M4468,FALSE)</f>
        <v>0</v>
      </c>
      <c r="D4468" s="52">
        <f>HLOOKUP("# Memory",'vHosts (Imported)'!$1:$5000,M4468,FALSE)</f>
        <v>0</v>
      </c>
      <c r="M4468" s="45">
        <f t="shared" si="209"/>
        <v>4468</v>
      </c>
      <c r="N4468" s="38">
        <f>HLOOKUP("Host",'vInfo (Imported)'!$1:$5000,M4468,FALSE)</f>
        <v>0</v>
      </c>
      <c r="R4468">
        <f>HLOOKUP("CPUs",'vInfo (Imported)'!$1:$5000,M4468,FALSE)</f>
        <v>0</v>
      </c>
      <c r="S4468">
        <f>HLOOKUP("Memory",'vInfo (Imported)'!$1:$5000,M4468,FALSE)</f>
        <v>0</v>
      </c>
      <c r="T4468">
        <f>HLOOKUP("Provisioned MiB",'vInfo (Imported)'!$1:$5000,M4468,FALSE)</f>
        <v>0</v>
      </c>
      <c r="U4468">
        <f t="shared" si="208"/>
        <v>0</v>
      </c>
      <c r="V4468">
        <f>HLOOKUP("In Use MiB",'vInfo (Imported)'!$1:$5000,M4468,FALSE)</f>
        <v>0</v>
      </c>
    </row>
    <row r="4469" spans="1:22" ht="13" x14ac:dyDescent="0.3">
      <c r="A4469" s="46">
        <f>'vHosts (Imported)'!A4469</f>
        <v>0</v>
      </c>
      <c r="B4469" s="51">
        <f t="shared" si="210"/>
        <v>4968</v>
      </c>
      <c r="C4469" s="49">
        <f>HLOOKUP("# Cores",'vHosts (Imported)'!$1:$5000,M4469,FALSE)</f>
        <v>0</v>
      </c>
      <c r="D4469" s="52">
        <f>HLOOKUP("# Memory",'vHosts (Imported)'!$1:$5000,M4469,FALSE)</f>
        <v>0</v>
      </c>
      <c r="M4469" s="45">
        <f t="shared" si="209"/>
        <v>4469</v>
      </c>
      <c r="N4469" s="38">
        <f>HLOOKUP("Host",'vInfo (Imported)'!$1:$5000,M4469,FALSE)</f>
        <v>0</v>
      </c>
      <c r="R4469">
        <f>HLOOKUP("CPUs",'vInfo (Imported)'!$1:$5000,M4469,FALSE)</f>
        <v>0</v>
      </c>
      <c r="S4469">
        <f>HLOOKUP("Memory",'vInfo (Imported)'!$1:$5000,M4469,FALSE)</f>
        <v>0</v>
      </c>
      <c r="T4469">
        <f>HLOOKUP("Provisioned MiB",'vInfo (Imported)'!$1:$5000,M4469,FALSE)</f>
        <v>0</v>
      </c>
      <c r="U4469">
        <f t="shared" si="208"/>
        <v>0</v>
      </c>
      <c r="V4469">
        <f>HLOOKUP("In Use MiB",'vInfo (Imported)'!$1:$5000,M4469,FALSE)</f>
        <v>0</v>
      </c>
    </row>
    <row r="4470" spans="1:22" ht="13" x14ac:dyDescent="0.3">
      <c r="A4470" s="46">
        <f>'vHosts (Imported)'!A4470</f>
        <v>0</v>
      </c>
      <c r="B4470" s="51">
        <f t="shared" si="210"/>
        <v>4968</v>
      </c>
      <c r="C4470" s="49">
        <f>HLOOKUP("# Cores",'vHosts (Imported)'!$1:$5000,M4470,FALSE)</f>
        <v>0</v>
      </c>
      <c r="D4470" s="52">
        <f>HLOOKUP("# Memory",'vHosts (Imported)'!$1:$5000,M4470,FALSE)</f>
        <v>0</v>
      </c>
      <c r="M4470" s="45">
        <f t="shared" si="209"/>
        <v>4470</v>
      </c>
      <c r="N4470" s="38">
        <f>HLOOKUP("Host",'vInfo (Imported)'!$1:$5000,M4470,FALSE)</f>
        <v>0</v>
      </c>
      <c r="R4470">
        <f>HLOOKUP("CPUs",'vInfo (Imported)'!$1:$5000,M4470,FALSE)</f>
        <v>0</v>
      </c>
      <c r="S4470">
        <f>HLOOKUP("Memory",'vInfo (Imported)'!$1:$5000,M4470,FALSE)</f>
        <v>0</v>
      </c>
      <c r="T4470">
        <f>HLOOKUP("Provisioned MiB",'vInfo (Imported)'!$1:$5000,M4470,FALSE)</f>
        <v>0</v>
      </c>
      <c r="U4470">
        <f t="shared" si="208"/>
        <v>0</v>
      </c>
      <c r="V4470">
        <f>HLOOKUP("In Use MiB",'vInfo (Imported)'!$1:$5000,M4470,FALSE)</f>
        <v>0</v>
      </c>
    </row>
    <row r="4471" spans="1:22" ht="13" x14ac:dyDescent="0.3">
      <c r="A4471" s="46">
        <f>'vHosts (Imported)'!A4471</f>
        <v>0</v>
      </c>
      <c r="B4471" s="51">
        <f t="shared" si="210"/>
        <v>4968</v>
      </c>
      <c r="C4471" s="49">
        <f>HLOOKUP("# Cores",'vHosts (Imported)'!$1:$5000,M4471,FALSE)</f>
        <v>0</v>
      </c>
      <c r="D4471" s="52">
        <f>HLOOKUP("# Memory",'vHosts (Imported)'!$1:$5000,M4471,FALSE)</f>
        <v>0</v>
      </c>
      <c r="M4471" s="45">
        <f t="shared" si="209"/>
        <v>4471</v>
      </c>
      <c r="N4471" s="38">
        <f>HLOOKUP("Host",'vInfo (Imported)'!$1:$5000,M4471,FALSE)</f>
        <v>0</v>
      </c>
      <c r="R4471">
        <f>HLOOKUP("CPUs",'vInfo (Imported)'!$1:$5000,M4471,FALSE)</f>
        <v>0</v>
      </c>
      <c r="S4471">
        <f>HLOOKUP("Memory",'vInfo (Imported)'!$1:$5000,M4471,FALSE)</f>
        <v>0</v>
      </c>
      <c r="T4471">
        <f>HLOOKUP("Provisioned MiB",'vInfo (Imported)'!$1:$5000,M4471,FALSE)</f>
        <v>0</v>
      </c>
      <c r="U4471">
        <f t="shared" si="208"/>
        <v>0</v>
      </c>
      <c r="V4471">
        <f>HLOOKUP("In Use MiB",'vInfo (Imported)'!$1:$5000,M4471,FALSE)</f>
        <v>0</v>
      </c>
    </row>
    <row r="4472" spans="1:22" ht="13" x14ac:dyDescent="0.3">
      <c r="A4472" s="46">
        <f>'vHosts (Imported)'!A4472</f>
        <v>0</v>
      </c>
      <c r="B4472" s="51">
        <f t="shared" si="210"/>
        <v>4968</v>
      </c>
      <c r="C4472" s="49">
        <f>HLOOKUP("# Cores",'vHosts (Imported)'!$1:$5000,M4472,FALSE)</f>
        <v>0</v>
      </c>
      <c r="D4472" s="52">
        <f>HLOOKUP("# Memory",'vHosts (Imported)'!$1:$5000,M4472,FALSE)</f>
        <v>0</v>
      </c>
      <c r="M4472" s="45">
        <f t="shared" si="209"/>
        <v>4472</v>
      </c>
      <c r="N4472" s="38">
        <f>HLOOKUP("Host",'vInfo (Imported)'!$1:$5000,M4472,FALSE)</f>
        <v>0</v>
      </c>
      <c r="R4472">
        <f>HLOOKUP("CPUs",'vInfo (Imported)'!$1:$5000,M4472,FALSE)</f>
        <v>0</v>
      </c>
      <c r="S4472">
        <f>HLOOKUP("Memory",'vInfo (Imported)'!$1:$5000,M4472,FALSE)</f>
        <v>0</v>
      </c>
      <c r="T4472">
        <f>HLOOKUP("Provisioned MiB",'vInfo (Imported)'!$1:$5000,M4472,FALSE)</f>
        <v>0</v>
      </c>
      <c r="U4472">
        <f t="shared" si="208"/>
        <v>0</v>
      </c>
      <c r="V4472">
        <f>HLOOKUP("In Use MiB",'vInfo (Imported)'!$1:$5000,M4472,FALSE)</f>
        <v>0</v>
      </c>
    </row>
    <row r="4473" spans="1:22" ht="13" x14ac:dyDescent="0.3">
      <c r="A4473" s="46">
        <f>'vHosts (Imported)'!A4473</f>
        <v>0</v>
      </c>
      <c r="B4473" s="51">
        <f t="shared" si="210"/>
        <v>4968</v>
      </c>
      <c r="C4473" s="49">
        <f>HLOOKUP("# Cores",'vHosts (Imported)'!$1:$5000,M4473,FALSE)</f>
        <v>0</v>
      </c>
      <c r="D4473" s="52">
        <f>HLOOKUP("# Memory",'vHosts (Imported)'!$1:$5000,M4473,FALSE)</f>
        <v>0</v>
      </c>
      <c r="M4473" s="45">
        <f t="shared" si="209"/>
        <v>4473</v>
      </c>
      <c r="N4473" s="38">
        <f>HLOOKUP("Host",'vInfo (Imported)'!$1:$5000,M4473,FALSE)</f>
        <v>0</v>
      </c>
      <c r="R4473">
        <f>HLOOKUP("CPUs",'vInfo (Imported)'!$1:$5000,M4473,FALSE)</f>
        <v>0</v>
      </c>
      <c r="S4473">
        <f>HLOOKUP("Memory",'vInfo (Imported)'!$1:$5000,M4473,FALSE)</f>
        <v>0</v>
      </c>
      <c r="T4473">
        <f>HLOOKUP("Provisioned MiB",'vInfo (Imported)'!$1:$5000,M4473,FALSE)</f>
        <v>0</v>
      </c>
      <c r="U4473">
        <f t="shared" si="208"/>
        <v>0</v>
      </c>
      <c r="V4473">
        <f>HLOOKUP("In Use MiB",'vInfo (Imported)'!$1:$5000,M4473,FALSE)</f>
        <v>0</v>
      </c>
    </row>
    <row r="4474" spans="1:22" ht="13" x14ac:dyDescent="0.3">
      <c r="A4474" s="46">
        <f>'vHosts (Imported)'!A4474</f>
        <v>0</v>
      </c>
      <c r="B4474" s="51">
        <f t="shared" si="210"/>
        <v>4968</v>
      </c>
      <c r="C4474" s="49">
        <f>HLOOKUP("# Cores",'vHosts (Imported)'!$1:$5000,M4474,FALSE)</f>
        <v>0</v>
      </c>
      <c r="D4474" s="52">
        <f>HLOOKUP("# Memory",'vHosts (Imported)'!$1:$5000,M4474,FALSE)</f>
        <v>0</v>
      </c>
      <c r="M4474" s="45">
        <f t="shared" si="209"/>
        <v>4474</v>
      </c>
      <c r="N4474" s="38">
        <f>HLOOKUP("Host",'vInfo (Imported)'!$1:$5000,M4474,FALSE)</f>
        <v>0</v>
      </c>
      <c r="R4474">
        <f>HLOOKUP("CPUs",'vInfo (Imported)'!$1:$5000,M4474,FALSE)</f>
        <v>0</v>
      </c>
      <c r="S4474">
        <f>HLOOKUP("Memory",'vInfo (Imported)'!$1:$5000,M4474,FALSE)</f>
        <v>0</v>
      </c>
      <c r="T4474">
        <f>HLOOKUP("Provisioned MiB",'vInfo (Imported)'!$1:$5000,M4474,FALSE)</f>
        <v>0</v>
      </c>
      <c r="U4474">
        <f t="shared" si="208"/>
        <v>0</v>
      </c>
      <c r="V4474">
        <f>HLOOKUP("In Use MiB",'vInfo (Imported)'!$1:$5000,M4474,FALSE)</f>
        <v>0</v>
      </c>
    </row>
    <row r="4475" spans="1:22" ht="13" x14ac:dyDescent="0.3">
      <c r="A4475" s="46">
        <f>'vHosts (Imported)'!A4475</f>
        <v>0</v>
      </c>
      <c r="B4475" s="51">
        <f t="shared" si="210"/>
        <v>4968</v>
      </c>
      <c r="C4475" s="49">
        <f>HLOOKUP("# Cores",'vHosts (Imported)'!$1:$5000,M4475,FALSE)</f>
        <v>0</v>
      </c>
      <c r="D4475" s="52">
        <f>HLOOKUP("# Memory",'vHosts (Imported)'!$1:$5000,M4475,FALSE)</f>
        <v>0</v>
      </c>
      <c r="M4475" s="45">
        <f t="shared" si="209"/>
        <v>4475</v>
      </c>
      <c r="N4475" s="38">
        <f>HLOOKUP("Host",'vInfo (Imported)'!$1:$5000,M4475,FALSE)</f>
        <v>0</v>
      </c>
      <c r="R4475">
        <f>HLOOKUP("CPUs",'vInfo (Imported)'!$1:$5000,M4475,FALSE)</f>
        <v>0</v>
      </c>
      <c r="S4475">
        <f>HLOOKUP("Memory",'vInfo (Imported)'!$1:$5000,M4475,FALSE)</f>
        <v>0</v>
      </c>
      <c r="T4475">
        <f>HLOOKUP("Provisioned MiB",'vInfo (Imported)'!$1:$5000,M4475,FALSE)</f>
        <v>0</v>
      </c>
      <c r="U4475">
        <f t="shared" si="208"/>
        <v>0</v>
      </c>
      <c r="V4475">
        <f>HLOOKUP("In Use MiB",'vInfo (Imported)'!$1:$5000,M4475,FALSE)</f>
        <v>0</v>
      </c>
    </row>
    <row r="4476" spans="1:22" ht="13" x14ac:dyDescent="0.3">
      <c r="A4476" s="46">
        <f>'vHosts (Imported)'!A4476</f>
        <v>0</v>
      </c>
      <c r="B4476" s="51">
        <f t="shared" si="210"/>
        <v>4968</v>
      </c>
      <c r="C4476" s="49">
        <f>HLOOKUP("# Cores",'vHosts (Imported)'!$1:$5000,M4476,FALSE)</f>
        <v>0</v>
      </c>
      <c r="D4476" s="52">
        <f>HLOOKUP("# Memory",'vHosts (Imported)'!$1:$5000,M4476,FALSE)</f>
        <v>0</v>
      </c>
      <c r="M4476" s="45">
        <f t="shared" si="209"/>
        <v>4476</v>
      </c>
      <c r="N4476" s="38">
        <f>HLOOKUP("Host",'vInfo (Imported)'!$1:$5000,M4476,FALSE)</f>
        <v>0</v>
      </c>
      <c r="R4476">
        <f>HLOOKUP("CPUs",'vInfo (Imported)'!$1:$5000,M4476,FALSE)</f>
        <v>0</v>
      </c>
      <c r="S4476">
        <f>HLOOKUP("Memory",'vInfo (Imported)'!$1:$5000,M4476,FALSE)</f>
        <v>0</v>
      </c>
      <c r="T4476">
        <f>HLOOKUP("Provisioned MiB",'vInfo (Imported)'!$1:$5000,M4476,FALSE)</f>
        <v>0</v>
      </c>
      <c r="U4476">
        <f t="shared" si="208"/>
        <v>0</v>
      </c>
      <c r="V4476">
        <f>HLOOKUP("In Use MiB",'vInfo (Imported)'!$1:$5000,M4476,FALSE)</f>
        <v>0</v>
      </c>
    </row>
    <row r="4477" spans="1:22" ht="13" x14ac:dyDescent="0.3">
      <c r="A4477" s="46">
        <f>'vHosts (Imported)'!A4477</f>
        <v>0</v>
      </c>
      <c r="B4477" s="51">
        <f t="shared" si="210"/>
        <v>4968</v>
      </c>
      <c r="C4477" s="49">
        <f>HLOOKUP("# Cores",'vHosts (Imported)'!$1:$5000,M4477,FALSE)</f>
        <v>0</v>
      </c>
      <c r="D4477" s="52">
        <f>HLOOKUP("# Memory",'vHosts (Imported)'!$1:$5000,M4477,FALSE)</f>
        <v>0</v>
      </c>
      <c r="M4477" s="45">
        <f t="shared" si="209"/>
        <v>4477</v>
      </c>
      <c r="N4477" s="38">
        <f>HLOOKUP("Host",'vInfo (Imported)'!$1:$5000,M4477,FALSE)</f>
        <v>0</v>
      </c>
      <c r="R4477">
        <f>HLOOKUP("CPUs",'vInfo (Imported)'!$1:$5000,M4477,FALSE)</f>
        <v>0</v>
      </c>
      <c r="S4477">
        <f>HLOOKUP("Memory",'vInfo (Imported)'!$1:$5000,M4477,FALSE)</f>
        <v>0</v>
      </c>
      <c r="T4477">
        <f>HLOOKUP("Provisioned MiB",'vInfo (Imported)'!$1:$5000,M4477,FALSE)</f>
        <v>0</v>
      </c>
      <c r="U4477">
        <f t="shared" si="208"/>
        <v>0</v>
      </c>
      <c r="V4477">
        <f>HLOOKUP("In Use MiB",'vInfo (Imported)'!$1:$5000,M4477,FALSE)</f>
        <v>0</v>
      </c>
    </row>
    <row r="4478" spans="1:22" ht="13" x14ac:dyDescent="0.3">
      <c r="A4478" s="46">
        <f>'vHosts (Imported)'!A4478</f>
        <v>0</v>
      </c>
      <c r="B4478" s="51">
        <f t="shared" si="210"/>
        <v>4968</v>
      </c>
      <c r="C4478" s="49">
        <f>HLOOKUP("# Cores",'vHosts (Imported)'!$1:$5000,M4478,FALSE)</f>
        <v>0</v>
      </c>
      <c r="D4478" s="52">
        <f>HLOOKUP("# Memory",'vHosts (Imported)'!$1:$5000,M4478,FALSE)</f>
        <v>0</v>
      </c>
      <c r="M4478" s="45">
        <f t="shared" si="209"/>
        <v>4478</v>
      </c>
      <c r="N4478" s="38">
        <f>HLOOKUP("Host",'vInfo (Imported)'!$1:$5000,M4478,FALSE)</f>
        <v>0</v>
      </c>
      <c r="R4478">
        <f>HLOOKUP("CPUs",'vInfo (Imported)'!$1:$5000,M4478,FALSE)</f>
        <v>0</v>
      </c>
      <c r="S4478">
        <f>HLOOKUP("Memory",'vInfo (Imported)'!$1:$5000,M4478,FALSE)</f>
        <v>0</v>
      </c>
      <c r="T4478">
        <f>HLOOKUP("Provisioned MiB",'vInfo (Imported)'!$1:$5000,M4478,FALSE)</f>
        <v>0</v>
      </c>
      <c r="U4478">
        <f t="shared" si="208"/>
        <v>0</v>
      </c>
      <c r="V4478">
        <f>HLOOKUP("In Use MiB",'vInfo (Imported)'!$1:$5000,M4478,FALSE)</f>
        <v>0</v>
      </c>
    </row>
    <row r="4479" spans="1:22" ht="13" x14ac:dyDescent="0.3">
      <c r="A4479" s="46">
        <f>'vHosts (Imported)'!A4479</f>
        <v>0</v>
      </c>
      <c r="B4479" s="51">
        <f t="shared" si="210"/>
        <v>4968</v>
      </c>
      <c r="C4479" s="49">
        <f>HLOOKUP("# Cores",'vHosts (Imported)'!$1:$5000,M4479,FALSE)</f>
        <v>0</v>
      </c>
      <c r="D4479" s="52">
        <f>HLOOKUP("# Memory",'vHosts (Imported)'!$1:$5000,M4479,FALSE)</f>
        <v>0</v>
      </c>
      <c r="M4479" s="45">
        <f t="shared" si="209"/>
        <v>4479</v>
      </c>
      <c r="N4479" s="38">
        <f>HLOOKUP("Host",'vInfo (Imported)'!$1:$5000,M4479,FALSE)</f>
        <v>0</v>
      </c>
      <c r="R4479">
        <f>HLOOKUP("CPUs",'vInfo (Imported)'!$1:$5000,M4479,FALSE)</f>
        <v>0</v>
      </c>
      <c r="S4479">
        <f>HLOOKUP("Memory",'vInfo (Imported)'!$1:$5000,M4479,FALSE)</f>
        <v>0</v>
      </c>
      <c r="T4479">
        <f>HLOOKUP("Provisioned MiB",'vInfo (Imported)'!$1:$5000,M4479,FALSE)</f>
        <v>0</v>
      </c>
      <c r="U4479">
        <f t="shared" si="208"/>
        <v>0</v>
      </c>
      <c r="V4479">
        <f>HLOOKUP("In Use MiB",'vInfo (Imported)'!$1:$5000,M4479,FALSE)</f>
        <v>0</v>
      </c>
    </row>
    <row r="4480" spans="1:22" ht="13" x14ac:dyDescent="0.3">
      <c r="A4480" s="46">
        <f>'vHosts (Imported)'!A4480</f>
        <v>0</v>
      </c>
      <c r="B4480" s="51">
        <f t="shared" si="210"/>
        <v>4968</v>
      </c>
      <c r="C4480" s="49">
        <f>HLOOKUP("# Cores",'vHosts (Imported)'!$1:$5000,M4480,FALSE)</f>
        <v>0</v>
      </c>
      <c r="D4480" s="52">
        <f>HLOOKUP("# Memory",'vHosts (Imported)'!$1:$5000,M4480,FALSE)</f>
        <v>0</v>
      </c>
      <c r="M4480" s="45">
        <f t="shared" si="209"/>
        <v>4480</v>
      </c>
      <c r="N4480" s="38">
        <f>HLOOKUP("Host",'vInfo (Imported)'!$1:$5000,M4480,FALSE)</f>
        <v>0</v>
      </c>
      <c r="R4480">
        <f>HLOOKUP("CPUs",'vInfo (Imported)'!$1:$5000,M4480,FALSE)</f>
        <v>0</v>
      </c>
      <c r="S4480">
        <f>HLOOKUP("Memory",'vInfo (Imported)'!$1:$5000,M4480,FALSE)</f>
        <v>0</v>
      </c>
      <c r="T4480">
        <f>HLOOKUP("Provisioned MiB",'vInfo (Imported)'!$1:$5000,M4480,FALSE)</f>
        <v>0</v>
      </c>
      <c r="U4480">
        <f t="shared" si="208"/>
        <v>0</v>
      </c>
      <c r="V4480">
        <f>HLOOKUP("In Use MiB",'vInfo (Imported)'!$1:$5000,M4480,FALSE)</f>
        <v>0</v>
      </c>
    </row>
    <row r="4481" spans="1:22" ht="13" x14ac:dyDescent="0.3">
      <c r="A4481" s="46">
        <f>'vHosts (Imported)'!A4481</f>
        <v>0</v>
      </c>
      <c r="B4481" s="51">
        <f t="shared" si="210"/>
        <v>4968</v>
      </c>
      <c r="C4481" s="49">
        <f>HLOOKUP("# Cores",'vHosts (Imported)'!$1:$5000,M4481,FALSE)</f>
        <v>0</v>
      </c>
      <c r="D4481" s="52">
        <f>HLOOKUP("# Memory",'vHosts (Imported)'!$1:$5000,M4481,FALSE)</f>
        <v>0</v>
      </c>
      <c r="M4481" s="45">
        <f t="shared" si="209"/>
        <v>4481</v>
      </c>
      <c r="N4481" s="38">
        <f>HLOOKUP("Host",'vInfo (Imported)'!$1:$5000,M4481,FALSE)</f>
        <v>0</v>
      </c>
      <c r="R4481">
        <f>HLOOKUP("CPUs",'vInfo (Imported)'!$1:$5000,M4481,FALSE)</f>
        <v>0</v>
      </c>
      <c r="S4481">
        <f>HLOOKUP("Memory",'vInfo (Imported)'!$1:$5000,M4481,FALSE)</f>
        <v>0</v>
      </c>
      <c r="T4481">
        <f>HLOOKUP("Provisioned MiB",'vInfo (Imported)'!$1:$5000,M4481,FALSE)</f>
        <v>0</v>
      </c>
      <c r="U4481">
        <f t="shared" si="208"/>
        <v>0</v>
      </c>
      <c r="V4481">
        <f>HLOOKUP("In Use MiB",'vInfo (Imported)'!$1:$5000,M4481,FALSE)</f>
        <v>0</v>
      </c>
    </row>
    <row r="4482" spans="1:22" ht="13" x14ac:dyDescent="0.3">
      <c r="A4482" s="46">
        <f>'vHosts (Imported)'!A4482</f>
        <v>0</v>
      </c>
      <c r="B4482" s="51">
        <f t="shared" si="210"/>
        <v>4968</v>
      </c>
      <c r="C4482" s="49">
        <f>HLOOKUP("# Cores",'vHosts (Imported)'!$1:$5000,M4482,FALSE)</f>
        <v>0</v>
      </c>
      <c r="D4482" s="52">
        <f>HLOOKUP("# Memory",'vHosts (Imported)'!$1:$5000,M4482,FALSE)</f>
        <v>0</v>
      </c>
      <c r="M4482" s="45">
        <f t="shared" si="209"/>
        <v>4482</v>
      </c>
      <c r="N4482" s="38">
        <f>HLOOKUP("Host",'vInfo (Imported)'!$1:$5000,M4482,FALSE)</f>
        <v>0</v>
      </c>
      <c r="R4482">
        <f>HLOOKUP("CPUs",'vInfo (Imported)'!$1:$5000,M4482,FALSE)</f>
        <v>0</v>
      </c>
      <c r="S4482">
        <f>HLOOKUP("Memory",'vInfo (Imported)'!$1:$5000,M4482,FALSE)</f>
        <v>0</v>
      </c>
      <c r="T4482">
        <f>HLOOKUP("Provisioned MiB",'vInfo (Imported)'!$1:$5000,M4482,FALSE)</f>
        <v>0</v>
      </c>
      <c r="U4482">
        <f t="shared" si="208"/>
        <v>0</v>
      </c>
      <c r="V4482">
        <f>HLOOKUP("In Use MiB",'vInfo (Imported)'!$1:$5000,M4482,FALSE)</f>
        <v>0</v>
      </c>
    </row>
    <row r="4483" spans="1:22" ht="13" x14ac:dyDescent="0.3">
      <c r="A4483" s="46">
        <f>'vHosts (Imported)'!A4483</f>
        <v>0</v>
      </c>
      <c r="B4483" s="51">
        <f t="shared" si="210"/>
        <v>4968</v>
      </c>
      <c r="C4483" s="49">
        <f>HLOOKUP("# Cores",'vHosts (Imported)'!$1:$5000,M4483,FALSE)</f>
        <v>0</v>
      </c>
      <c r="D4483" s="52">
        <f>HLOOKUP("# Memory",'vHosts (Imported)'!$1:$5000,M4483,FALSE)</f>
        <v>0</v>
      </c>
      <c r="M4483" s="45">
        <f t="shared" si="209"/>
        <v>4483</v>
      </c>
      <c r="N4483" s="38">
        <f>HLOOKUP("Host",'vInfo (Imported)'!$1:$5000,M4483,FALSE)</f>
        <v>0</v>
      </c>
      <c r="R4483">
        <f>HLOOKUP("CPUs",'vInfo (Imported)'!$1:$5000,M4483,FALSE)</f>
        <v>0</v>
      </c>
      <c r="S4483">
        <f>HLOOKUP("Memory",'vInfo (Imported)'!$1:$5000,M4483,FALSE)</f>
        <v>0</v>
      </c>
      <c r="T4483">
        <f>HLOOKUP("Provisioned MiB",'vInfo (Imported)'!$1:$5000,M4483,FALSE)</f>
        <v>0</v>
      </c>
      <c r="U4483">
        <f t="shared" ref="U4483:U4546" si="211">T4483-V4483</f>
        <v>0</v>
      </c>
      <c r="V4483">
        <f>HLOOKUP("In Use MiB",'vInfo (Imported)'!$1:$5000,M4483,FALSE)</f>
        <v>0</v>
      </c>
    </row>
    <row r="4484" spans="1:22" ht="13" x14ac:dyDescent="0.3">
      <c r="A4484" s="46">
        <f>'vHosts (Imported)'!A4484</f>
        <v>0</v>
      </c>
      <c r="B4484" s="51">
        <f t="shared" si="210"/>
        <v>4968</v>
      </c>
      <c r="C4484" s="49">
        <f>HLOOKUP("# Cores",'vHosts (Imported)'!$1:$5000,M4484,FALSE)</f>
        <v>0</v>
      </c>
      <c r="D4484" s="52">
        <f>HLOOKUP("# Memory",'vHosts (Imported)'!$1:$5000,M4484,FALSE)</f>
        <v>0</v>
      </c>
      <c r="M4484" s="45">
        <f t="shared" ref="M4484:M4547" si="212">M4483+1</f>
        <v>4484</v>
      </c>
      <c r="N4484" s="38">
        <f>HLOOKUP("Host",'vInfo (Imported)'!$1:$5000,M4484,FALSE)</f>
        <v>0</v>
      </c>
      <c r="R4484">
        <f>HLOOKUP("CPUs",'vInfo (Imported)'!$1:$5000,M4484,FALSE)</f>
        <v>0</v>
      </c>
      <c r="S4484">
        <f>HLOOKUP("Memory",'vInfo (Imported)'!$1:$5000,M4484,FALSE)</f>
        <v>0</v>
      </c>
      <c r="T4484">
        <f>HLOOKUP("Provisioned MiB",'vInfo (Imported)'!$1:$5000,M4484,FALSE)</f>
        <v>0</v>
      </c>
      <c r="U4484">
        <f t="shared" si="211"/>
        <v>0</v>
      </c>
      <c r="V4484">
        <f>HLOOKUP("In Use MiB",'vInfo (Imported)'!$1:$5000,M4484,FALSE)</f>
        <v>0</v>
      </c>
    </row>
    <row r="4485" spans="1:22" ht="13" x14ac:dyDescent="0.3">
      <c r="A4485" s="46">
        <f>'vHosts (Imported)'!A4485</f>
        <v>0</v>
      </c>
      <c r="B4485" s="51">
        <f t="shared" si="210"/>
        <v>4968</v>
      </c>
      <c r="C4485" s="49">
        <f>HLOOKUP("# Cores",'vHosts (Imported)'!$1:$5000,M4485,FALSE)</f>
        <v>0</v>
      </c>
      <c r="D4485" s="52">
        <f>HLOOKUP("# Memory",'vHosts (Imported)'!$1:$5000,M4485,FALSE)</f>
        <v>0</v>
      </c>
      <c r="M4485" s="45">
        <f t="shared" si="212"/>
        <v>4485</v>
      </c>
      <c r="N4485" s="38">
        <f>HLOOKUP("Host",'vInfo (Imported)'!$1:$5000,M4485,FALSE)</f>
        <v>0</v>
      </c>
      <c r="R4485">
        <f>HLOOKUP("CPUs",'vInfo (Imported)'!$1:$5000,M4485,FALSE)</f>
        <v>0</v>
      </c>
      <c r="S4485">
        <f>HLOOKUP("Memory",'vInfo (Imported)'!$1:$5000,M4485,FALSE)</f>
        <v>0</v>
      </c>
      <c r="T4485">
        <f>HLOOKUP("Provisioned MiB",'vInfo (Imported)'!$1:$5000,M4485,FALSE)</f>
        <v>0</v>
      </c>
      <c r="U4485">
        <f t="shared" si="211"/>
        <v>0</v>
      </c>
      <c r="V4485">
        <f>HLOOKUP("In Use MiB",'vInfo (Imported)'!$1:$5000,M4485,FALSE)</f>
        <v>0</v>
      </c>
    </row>
    <row r="4486" spans="1:22" ht="13" x14ac:dyDescent="0.3">
      <c r="A4486" s="46">
        <f>'vHosts (Imported)'!A4486</f>
        <v>0</v>
      </c>
      <c r="B4486" s="51">
        <f t="shared" si="210"/>
        <v>4968</v>
      </c>
      <c r="C4486" s="49">
        <f>HLOOKUP("# Cores",'vHosts (Imported)'!$1:$5000,M4486,FALSE)</f>
        <v>0</v>
      </c>
      <c r="D4486" s="52">
        <f>HLOOKUP("# Memory",'vHosts (Imported)'!$1:$5000,M4486,FALSE)</f>
        <v>0</v>
      </c>
      <c r="M4486" s="45">
        <f t="shared" si="212"/>
        <v>4486</v>
      </c>
      <c r="N4486" s="38">
        <f>HLOOKUP("Host",'vInfo (Imported)'!$1:$5000,M4486,FALSE)</f>
        <v>0</v>
      </c>
      <c r="R4486">
        <f>HLOOKUP("CPUs",'vInfo (Imported)'!$1:$5000,M4486,FALSE)</f>
        <v>0</v>
      </c>
      <c r="S4486">
        <f>HLOOKUP("Memory",'vInfo (Imported)'!$1:$5000,M4486,FALSE)</f>
        <v>0</v>
      </c>
      <c r="T4486">
        <f>HLOOKUP("Provisioned MiB",'vInfo (Imported)'!$1:$5000,M4486,FALSE)</f>
        <v>0</v>
      </c>
      <c r="U4486">
        <f t="shared" si="211"/>
        <v>0</v>
      </c>
      <c r="V4486">
        <f>HLOOKUP("In Use MiB",'vInfo (Imported)'!$1:$5000,M4486,FALSE)</f>
        <v>0</v>
      </c>
    </row>
    <row r="4487" spans="1:22" ht="13" x14ac:dyDescent="0.3">
      <c r="A4487" s="46">
        <f>'vHosts (Imported)'!A4487</f>
        <v>0</v>
      </c>
      <c r="B4487" s="51">
        <f t="shared" si="210"/>
        <v>4968</v>
      </c>
      <c r="C4487" s="49">
        <f>HLOOKUP("# Cores",'vHosts (Imported)'!$1:$5000,M4487,FALSE)</f>
        <v>0</v>
      </c>
      <c r="D4487" s="52">
        <f>HLOOKUP("# Memory",'vHosts (Imported)'!$1:$5000,M4487,FALSE)</f>
        <v>0</v>
      </c>
      <c r="M4487" s="45">
        <f t="shared" si="212"/>
        <v>4487</v>
      </c>
      <c r="N4487" s="38">
        <f>HLOOKUP("Host",'vInfo (Imported)'!$1:$5000,M4487,FALSE)</f>
        <v>0</v>
      </c>
      <c r="R4487">
        <f>HLOOKUP("CPUs",'vInfo (Imported)'!$1:$5000,M4487,FALSE)</f>
        <v>0</v>
      </c>
      <c r="S4487">
        <f>HLOOKUP("Memory",'vInfo (Imported)'!$1:$5000,M4487,FALSE)</f>
        <v>0</v>
      </c>
      <c r="T4487">
        <f>HLOOKUP("Provisioned MiB",'vInfo (Imported)'!$1:$5000,M4487,FALSE)</f>
        <v>0</v>
      </c>
      <c r="U4487">
        <f t="shared" si="211"/>
        <v>0</v>
      </c>
      <c r="V4487">
        <f>HLOOKUP("In Use MiB",'vInfo (Imported)'!$1:$5000,M4487,FALSE)</f>
        <v>0</v>
      </c>
    </row>
    <row r="4488" spans="1:22" ht="13" x14ac:dyDescent="0.3">
      <c r="A4488" s="46">
        <f>'vHosts (Imported)'!A4488</f>
        <v>0</v>
      </c>
      <c r="B4488" s="51">
        <f t="shared" si="210"/>
        <v>4968</v>
      </c>
      <c r="C4488" s="49">
        <f>HLOOKUP("# Cores",'vHosts (Imported)'!$1:$5000,M4488,FALSE)</f>
        <v>0</v>
      </c>
      <c r="D4488" s="52">
        <f>HLOOKUP("# Memory",'vHosts (Imported)'!$1:$5000,M4488,FALSE)</f>
        <v>0</v>
      </c>
      <c r="M4488" s="45">
        <f t="shared" si="212"/>
        <v>4488</v>
      </c>
      <c r="N4488" s="38">
        <f>HLOOKUP("Host",'vInfo (Imported)'!$1:$5000,M4488,FALSE)</f>
        <v>0</v>
      </c>
      <c r="R4488">
        <f>HLOOKUP("CPUs",'vInfo (Imported)'!$1:$5000,M4488,FALSE)</f>
        <v>0</v>
      </c>
      <c r="S4488">
        <f>HLOOKUP("Memory",'vInfo (Imported)'!$1:$5000,M4488,FALSE)</f>
        <v>0</v>
      </c>
      <c r="T4488">
        <f>HLOOKUP("Provisioned MiB",'vInfo (Imported)'!$1:$5000,M4488,FALSE)</f>
        <v>0</v>
      </c>
      <c r="U4488">
        <f t="shared" si="211"/>
        <v>0</v>
      </c>
      <c r="V4488">
        <f>HLOOKUP("In Use MiB",'vInfo (Imported)'!$1:$5000,M4488,FALSE)</f>
        <v>0</v>
      </c>
    </row>
    <row r="4489" spans="1:22" ht="13" x14ac:dyDescent="0.3">
      <c r="A4489" s="46">
        <f>'vHosts (Imported)'!A4489</f>
        <v>0</v>
      </c>
      <c r="B4489" s="51">
        <f t="shared" si="210"/>
        <v>4968</v>
      </c>
      <c r="C4489" s="49">
        <f>HLOOKUP("# Cores",'vHosts (Imported)'!$1:$5000,M4489,FALSE)</f>
        <v>0</v>
      </c>
      <c r="D4489" s="52">
        <f>HLOOKUP("# Memory",'vHosts (Imported)'!$1:$5000,M4489,FALSE)</f>
        <v>0</v>
      </c>
      <c r="M4489" s="45">
        <f t="shared" si="212"/>
        <v>4489</v>
      </c>
      <c r="N4489" s="38">
        <f>HLOOKUP("Host",'vInfo (Imported)'!$1:$5000,M4489,FALSE)</f>
        <v>0</v>
      </c>
      <c r="R4489">
        <f>HLOOKUP("CPUs",'vInfo (Imported)'!$1:$5000,M4489,FALSE)</f>
        <v>0</v>
      </c>
      <c r="S4489">
        <f>HLOOKUP("Memory",'vInfo (Imported)'!$1:$5000,M4489,FALSE)</f>
        <v>0</v>
      </c>
      <c r="T4489">
        <f>HLOOKUP("Provisioned MiB",'vInfo (Imported)'!$1:$5000,M4489,FALSE)</f>
        <v>0</v>
      </c>
      <c r="U4489">
        <f t="shared" si="211"/>
        <v>0</v>
      </c>
      <c r="V4489">
        <f>HLOOKUP("In Use MiB",'vInfo (Imported)'!$1:$5000,M4489,FALSE)</f>
        <v>0</v>
      </c>
    </row>
    <row r="4490" spans="1:22" ht="13" x14ac:dyDescent="0.3">
      <c r="A4490" s="46">
        <f>'vHosts (Imported)'!A4490</f>
        <v>0</v>
      </c>
      <c r="B4490" s="51">
        <f t="shared" si="210"/>
        <v>4968</v>
      </c>
      <c r="C4490" s="49">
        <f>HLOOKUP("# Cores",'vHosts (Imported)'!$1:$5000,M4490,FALSE)</f>
        <v>0</v>
      </c>
      <c r="D4490" s="52">
        <f>HLOOKUP("# Memory",'vHosts (Imported)'!$1:$5000,M4490,FALSE)</f>
        <v>0</v>
      </c>
      <c r="M4490" s="45">
        <f t="shared" si="212"/>
        <v>4490</v>
      </c>
      <c r="N4490" s="38">
        <f>HLOOKUP("Host",'vInfo (Imported)'!$1:$5000,M4490,FALSE)</f>
        <v>0</v>
      </c>
      <c r="R4490">
        <f>HLOOKUP("CPUs",'vInfo (Imported)'!$1:$5000,M4490,FALSE)</f>
        <v>0</v>
      </c>
      <c r="S4490">
        <f>HLOOKUP("Memory",'vInfo (Imported)'!$1:$5000,M4490,FALSE)</f>
        <v>0</v>
      </c>
      <c r="T4490">
        <f>HLOOKUP("Provisioned MiB",'vInfo (Imported)'!$1:$5000,M4490,FALSE)</f>
        <v>0</v>
      </c>
      <c r="U4490">
        <f t="shared" si="211"/>
        <v>0</v>
      </c>
      <c r="V4490">
        <f>HLOOKUP("In Use MiB",'vInfo (Imported)'!$1:$5000,M4490,FALSE)</f>
        <v>0</v>
      </c>
    </row>
    <row r="4491" spans="1:22" ht="13" x14ac:dyDescent="0.3">
      <c r="A4491" s="46">
        <f>'vHosts (Imported)'!A4491</f>
        <v>0</v>
      </c>
      <c r="B4491" s="51">
        <f t="shared" si="210"/>
        <v>4968</v>
      </c>
      <c r="C4491" s="49">
        <f>HLOOKUP("# Cores",'vHosts (Imported)'!$1:$5000,M4491,FALSE)</f>
        <v>0</v>
      </c>
      <c r="D4491" s="52">
        <f>HLOOKUP("# Memory",'vHosts (Imported)'!$1:$5000,M4491,FALSE)</f>
        <v>0</v>
      </c>
      <c r="M4491" s="45">
        <f t="shared" si="212"/>
        <v>4491</v>
      </c>
      <c r="N4491" s="38">
        <f>HLOOKUP("Host",'vInfo (Imported)'!$1:$5000,M4491,FALSE)</f>
        <v>0</v>
      </c>
      <c r="R4491">
        <f>HLOOKUP("CPUs",'vInfo (Imported)'!$1:$5000,M4491,FALSE)</f>
        <v>0</v>
      </c>
      <c r="S4491">
        <f>HLOOKUP("Memory",'vInfo (Imported)'!$1:$5000,M4491,FALSE)</f>
        <v>0</v>
      </c>
      <c r="T4491">
        <f>HLOOKUP("Provisioned MiB",'vInfo (Imported)'!$1:$5000,M4491,FALSE)</f>
        <v>0</v>
      </c>
      <c r="U4491">
        <f t="shared" si="211"/>
        <v>0</v>
      </c>
      <c r="V4491">
        <f>HLOOKUP("In Use MiB",'vInfo (Imported)'!$1:$5000,M4491,FALSE)</f>
        <v>0</v>
      </c>
    </row>
    <row r="4492" spans="1:22" ht="13" x14ac:dyDescent="0.3">
      <c r="A4492" s="46">
        <f>'vHosts (Imported)'!A4492</f>
        <v>0</v>
      </c>
      <c r="B4492" s="51">
        <f t="shared" si="210"/>
        <v>4968</v>
      </c>
      <c r="C4492" s="49">
        <f>HLOOKUP("# Cores",'vHosts (Imported)'!$1:$5000,M4492,FALSE)</f>
        <v>0</v>
      </c>
      <c r="D4492" s="52">
        <f>HLOOKUP("# Memory",'vHosts (Imported)'!$1:$5000,M4492,FALSE)</f>
        <v>0</v>
      </c>
      <c r="M4492" s="45">
        <f t="shared" si="212"/>
        <v>4492</v>
      </c>
      <c r="N4492" s="38">
        <f>HLOOKUP("Host",'vInfo (Imported)'!$1:$5000,M4492,FALSE)</f>
        <v>0</v>
      </c>
      <c r="R4492">
        <f>HLOOKUP("CPUs",'vInfo (Imported)'!$1:$5000,M4492,FALSE)</f>
        <v>0</v>
      </c>
      <c r="S4492">
        <f>HLOOKUP("Memory",'vInfo (Imported)'!$1:$5000,M4492,FALSE)</f>
        <v>0</v>
      </c>
      <c r="T4492">
        <f>HLOOKUP("Provisioned MiB",'vInfo (Imported)'!$1:$5000,M4492,FALSE)</f>
        <v>0</v>
      </c>
      <c r="U4492">
        <f t="shared" si="211"/>
        <v>0</v>
      </c>
      <c r="V4492">
        <f>HLOOKUP("In Use MiB",'vInfo (Imported)'!$1:$5000,M4492,FALSE)</f>
        <v>0</v>
      </c>
    </row>
    <row r="4493" spans="1:22" ht="13" x14ac:dyDescent="0.3">
      <c r="A4493" s="46">
        <f>'vHosts (Imported)'!A4493</f>
        <v>0</v>
      </c>
      <c r="B4493" s="51">
        <f t="shared" si="210"/>
        <v>4968</v>
      </c>
      <c r="C4493" s="49">
        <f>HLOOKUP("# Cores",'vHosts (Imported)'!$1:$5000,M4493,FALSE)</f>
        <v>0</v>
      </c>
      <c r="D4493" s="52">
        <f>HLOOKUP("# Memory",'vHosts (Imported)'!$1:$5000,M4493,FALSE)</f>
        <v>0</v>
      </c>
      <c r="M4493" s="45">
        <f t="shared" si="212"/>
        <v>4493</v>
      </c>
      <c r="N4493" s="38">
        <f>HLOOKUP("Host",'vInfo (Imported)'!$1:$5000,M4493,FALSE)</f>
        <v>0</v>
      </c>
      <c r="R4493">
        <f>HLOOKUP("CPUs",'vInfo (Imported)'!$1:$5000,M4493,FALSE)</f>
        <v>0</v>
      </c>
      <c r="S4493">
        <f>HLOOKUP("Memory",'vInfo (Imported)'!$1:$5000,M4493,FALSE)</f>
        <v>0</v>
      </c>
      <c r="T4493">
        <f>HLOOKUP("Provisioned MiB",'vInfo (Imported)'!$1:$5000,M4493,FALSE)</f>
        <v>0</v>
      </c>
      <c r="U4493">
        <f t="shared" si="211"/>
        <v>0</v>
      </c>
      <c r="V4493">
        <f>HLOOKUP("In Use MiB",'vInfo (Imported)'!$1:$5000,M4493,FALSE)</f>
        <v>0</v>
      </c>
    </row>
    <row r="4494" spans="1:22" ht="13" x14ac:dyDescent="0.3">
      <c r="A4494" s="46">
        <f>'vHosts (Imported)'!A4494</f>
        <v>0</v>
      </c>
      <c r="B4494" s="51">
        <f t="shared" si="210"/>
        <v>4968</v>
      </c>
      <c r="C4494" s="49">
        <f>HLOOKUP("# Cores",'vHosts (Imported)'!$1:$5000,M4494,FALSE)</f>
        <v>0</v>
      </c>
      <c r="D4494" s="52">
        <f>HLOOKUP("# Memory",'vHosts (Imported)'!$1:$5000,M4494,FALSE)</f>
        <v>0</v>
      </c>
      <c r="M4494" s="45">
        <f t="shared" si="212"/>
        <v>4494</v>
      </c>
      <c r="N4494" s="38">
        <f>HLOOKUP("Host",'vInfo (Imported)'!$1:$5000,M4494,FALSE)</f>
        <v>0</v>
      </c>
      <c r="R4494">
        <f>HLOOKUP("CPUs",'vInfo (Imported)'!$1:$5000,M4494,FALSE)</f>
        <v>0</v>
      </c>
      <c r="S4494">
        <f>HLOOKUP("Memory",'vInfo (Imported)'!$1:$5000,M4494,FALSE)</f>
        <v>0</v>
      </c>
      <c r="T4494">
        <f>HLOOKUP("Provisioned MiB",'vInfo (Imported)'!$1:$5000,M4494,FALSE)</f>
        <v>0</v>
      </c>
      <c r="U4494">
        <f t="shared" si="211"/>
        <v>0</v>
      </c>
      <c r="V4494">
        <f>HLOOKUP("In Use MiB",'vInfo (Imported)'!$1:$5000,M4494,FALSE)</f>
        <v>0</v>
      </c>
    </row>
    <row r="4495" spans="1:22" ht="13" x14ac:dyDescent="0.3">
      <c r="A4495" s="46">
        <f>'vHosts (Imported)'!A4495</f>
        <v>0</v>
      </c>
      <c r="B4495" s="51">
        <f t="shared" si="210"/>
        <v>4968</v>
      </c>
      <c r="C4495" s="49">
        <f>HLOOKUP("# Cores",'vHosts (Imported)'!$1:$5000,M4495,FALSE)</f>
        <v>0</v>
      </c>
      <c r="D4495" s="52">
        <f>HLOOKUP("# Memory",'vHosts (Imported)'!$1:$5000,M4495,FALSE)</f>
        <v>0</v>
      </c>
      <c r="M4495" s="45">
        <f t="shared" si="212"/>
        <v>4495</v>
      </c>
      <c r="N4495" s="38">
        <f>HLOOKUP("Host",'vInfo (Imported)'!$1:$5000,M4495,FALSE)</f>
        <v>0</v>
      </c>
      <c r="R4495">
        <f>HLOOKUP("CPUs",'vInfo (Imported)'!$1:$5000,M4495,FALSE)</f>
        <v>0</v>
      </c>
      <c r="S4495">
        <f>HLOOKUP("Memory",'vInfo (Imported)'!$1:$5000,M4495,FALSE)</f>
        <v>0</v>
      </c>
      <c r="T4495">
        <f>HLOOKUP("Provisioned MiB",'vInfo (Imported)'!$1:$5000,M4495,FALSE)</f>
        <v>0</v>
      </c>
      <c r="U4495">
        <f t="shared" si="211"/>
        <v>0</v>
      </c>
      <c r="V4495">
        <f>HLOOKUP("In Use MiB",'vInfo (Imported)'!$1:$5000,M4495,FALSE)</f>
        <v>0</v>
      </c>
    </row>
    <row r="4496" spans="1:22" ht="13" x14ac:dyDescent="0.3">
      <c r="A4496" s="46">
        <f>'vHosts (Imported)'!A4496</f>
        <v>0</v>
      </c>
      <c r="B4496" s="51">
        <f t="shared" si="210"/>
        <v>4968</v>
      </c>
      <c r="C4496" s="49">
        <f>HLOOKUP("# Cores",'vHosts (Imported)'!$1:$5000,M4496,FALSE)</f>
        <v>0</v>
      </c>
      <c r="D4496" s="52">
        <f>HLOOKUP("# Memory",'vHosts (Imported)'!$1:$5000,M4496,FALSE)</f>
        <v>0</v>
      </c>
      <c r="M4496" s="45">
        <f t="shared" si="212"/>
        <v>4496</v>
      </c>
      <c r="N4496" s="38">
        <f>HLOOKUP("Host",'vInfo (Imported)'!$1:$5000,M4496,FALSE)</f>
        <v>0</v>
      </c>
      <c r="R4496">
        <f>HLOOKUP("CPUs",'vInfo (Imported)'!$1:$5000,M4496,FALSE)</f>
        <v>0</v>
      </c>
      <c r="S4496">
        <f>HLOOKUP("Memory",'vInfo (Imported)'!$1:$5000,M4496,FALSE)</f>
        <v>0</v>
      </c>
      <c r="T4496">
        <f>HLOOKUP("Provisioned MiB",'vInfo (Imported)'!$1:$5000,M4496,FALSE)</f>
        <v>0</v>
      </c>
      <c r="U4496">
        <f t="shared" si="211"/>
        <v>0</v>
      </c>
      <c r="V4496">
        <f>HLOOKUP("In Use MiB",'vInfo (Imported)'!$1:$5000,M4496,FALSE)</f>
        <v>0</v>
      </c>
    </row>
    <row r="4497" spans="1:22" ht="13" x14ac:dyDescent="0.3">
      <c r="A4497" s="46">
        <f>'vHosts (Imported)'!A4497</f>
        <v>0</v>
      </c>
      <c r="B4497" s="51">
        <f t="shared" si="210"/>
        <v>4968</v>
      </c>
      <c r="C4497" s="49">
        <f>HLOOKUP("# Cores",'vHosts (Imported)'!$1:$5000,M4497,FALSE)</f>
        <v>0</v>
      </c>
      <c r="D4497" s="52">
        <f>HLOOKUP("# Memory",'vHosts (Imported)'!$1:$5000,M4497,FALSE)</f>
        <v>0</v>
      </c>
      <c r="M4497" s="45">
        <f t="shared" si="212"/>
        <v>4497</v>
      </c>
      <c r="N4497" s="38">
        <f>HLOOKUP("Host",'vInfo (Imported)'!$1:$5000,M4497,FALSE)</f>
        <v>0</v>
      </c>
      <c r="R4497">
        <f>HLOOKUP("CPUs",'vInfo (Imported)'!$1:$5000,M4497,FALSE)</f>
        <v>0</v>
      </c>
      <c r="S4497">
        <f>HLOOKUP("Memory",'vInfo (Imported)'!$1:$5000,M4497,FALSE)</f>
        <v>0</v>
      </c>
      <c r="T4497">
        <f>HLOOKUP("Provisioned MiB",'vInfo (Imported)'!$1:$5000,M4497,FALSE)</f>
        <v>0</v>
      </c>
      <c r="U4497">
        <f t="shared" si="211"/>
        <v>0</v>
      </c>
      <c r="V4497">
        <f>HLOOKUP("In Use MiB",'vInfo (Imported)'!$1:$5000,M4497,FALSE)</f>
        <v>0</v>
      </c>
    </row>
    <row r="4498" spans="1:22" ht="13" x14ac:dyDescent="0.3">
      <c r="A4498" s="46">
        <f>'vHosts (Imported)'!A4498</f>
        <v>0</v>
      </c>
      <c r="B4498" s="51">
        <f t="shared" si="210"/>
        <v>4968</v>
      </c>
      <c r="C4498" s="49">
        <f>HLOOKUP("# Cores",'vHosts (Imported)'!$1:$5000,M4498,FALSE)</f>
        <v>0</v>
      </c>
      <c r="D4498" s="52">
        <f>HLOOKUP("# Memory",'vHosts (Imported)'!$1:$5000,M4498,FALSE)</f>
        <v>0</v>
      </c>
      <c r="M4498" s="45">
        <f t="shared" si="212"/>
        <v>4498</v>
      </c>
      <c r="N4498" s="38">
        <f>HLOOKUP("Host",'vInfo (Imported)'!$1:$5000,M4498,FALSE)</f>
        <v>0</v>
      </c>
      <c r="R4498">
        <f>HLOOKUP("CPUs",'vInfo (Imported)'!$1:$5000,M4498,FALSE)</f>
        <v>0</v>
      </c>
      <c r="S4498">
        <f>HLOOKUP("Memory",'vInfo (Imported)'!$1:$5000,M4498,FALSE)</f>
        <v>0</v>
      </c>
      <c r="T4498">
        <f>HLOOKUP("Provisioned MiB",'vInfo (Imported)'!$1:$5000,M4498,FALSE)</f>
        <v>0</v>
      </c>
      <c r="U4498">
        <f t="shared" si="211"/>
        <v>0</v>
      </c>
      <c r="V4498">
        <f>HLOOKUP("In Use MiB",'vInfo (Imported)'!$1:$5000,M4498,FALSE)</f>
        <v>0</v>
      </c>
    </row>
    <row r="4499" spans="1:22" ht="13" x14ac:dyDescent="0.3">
      <c r="A4499" s="46">
        <f>'vHosts (Imported)'!A4499</f>
        <v>0</v>
      </c>
      <c r="B4499" s="51">
        <f t="shared" si="210"/>
        <v>4968</v>
      </c>
      <c r="C4499" s="49">
        <f>HLOOKUP("# Cores",'vHosts (Imported)'!$1:$5000,M4499,FALSE)</f>
        <v>0</v>
      </c>
      <c r="D4499" s="52">
        <f>HLOOKUP("# Memory",'vHosts (Imported)'!$1:$5000,M4499,FALSE)</f>
        <v>0</v>
      </c>
      <c r="M4499" s="45">
        <f t="shared" si="212"/>
        <v>4499</v>
      </c>
      <c r="N4499" s="38">
        <f>HLOOKUP("Host",'vInfo (Imported)'!$1:$5000,M4499,FALSE)</f>
        <v>0</v>
      </c>
      <c r="R4499">
        <f>HLOOKUP("CPUs",'vInfo (Imported)'!$1:$5000,M4499,FALSE)</f>
        <v>0</v>
      </c>
      <c r="S4499">
        <f>HLOOKUP("Memory",'vInfo (Imported)'!$1:$5000,M4499,FALSE)</f>
        <v>0</v>
      </c>
      <c r="T4499">
        <f>HLOOKUP("Provisioned MiB",'vInfo (Imported)'!$1:$5000,M4499,FALSE)</f>
        <v>0</v>
      </c>
      <c r="U4499">
        <f t="shared" si="211"/>
        <v>0</v>
      </c>
      <c r="V4499">
        <f>HLOOKUP("In Use MiB",'vInfo (Imported)'!$1:$5000,M4499,FALSE)</f>
        <v>0</v>
      </c>
    </row>
    <row r="4500" spans="1:22" ht="13" x14ac:dyDescent="0.3">
      <c r="A4500" s="46">
        <f>'vHosts (Imported)'!A4500</f>
        <v>0</v>
      </c>
      <c r="B4500" s="51">
        <f t="shared" si="210"/>
        <v>4968</v>
      </c>
      <c r="C4500" s="49">
        <f>HLOOKUP("# Cores",'vHosts (Imported)'!$1:$5000,M4500,FALSE)</f>
        <v>0</v>
      </c>
      <c r="D4500" s="52">
        <f>HLOOKUP("# Memory",'vHosts (Imported)'!$1:$5000,M4500,FALSE)</f>
        <v>0</v>
      </c>
      <c r="M4500" s="45">
        <f t="shared" si="212"/>
        <v>4500</v>
      </c>
      <c r="N4500" s="38">
        <f>HLOOKUP("Host",'vInfo (Imported)'!$1:$5000,M4500,FALSE)</f>
        <v>0</v>
      </c>
      <c r="R4500">
        <f>HLOOKUP("CPUs",'vInfo (Imported)'!$1:$5000,M4500,FALSE)</f>
        <v>0</v>
      </c>
      <c r="S4500">
        <f>HLOOKUP("Memory",'vInfo (Imported)'!$1:$5000,M4500,FALSE)</f>
        <v>0</v>
      </c>
      <c r="T4500">
        <f>HLOOKUP("Provisioned MiB",'vInfo (Imported)'!$1:$5000,M4500,FALSE)</f>
        <v>0</v>
      </c>
      <c r="U4500">
        <f t="shared" si="211"/>
        <v>0</v>
      </c>
      <c r="V4500">
        <f>HLOOKUP("In Use MiB",'vInfo (Imported)'!$1:$5000,M4500,FALSE)</f>
        <v>0</v>
      </c>
    </row>
    <row r="4501" spans="1:22" ht="13" x14ac:dyDescent="0.3">
      <c r="A4501" s="46">
        <f>'vHosts (Imported)'!A4501</f>
        <v>0</v>
      </c>
      <c r="B4501" s="51">
        <f t="shared" si="210"/>
        <v>4968</v>
      </c>
      <c r="C4501" s="49">
        <f>HLOOKUP("# Cores",'vHosts (Imported)'!$1:$5000,M4501,FALSE)</f>
        <v>0</v>
      </c>
      <c r="D4501" s="52">
        <f>HLOOKUP("# Memory",'vHosts (Imported)'!$1:$5000,M4501,FALSE)</f>
        <v>0</v>
      </c>
      <c r="M4501" s="45">
        <f t="shared" si="212"/>
        <v>4501</v>
      </c>
      <c r="N4501" s="38">
        <f>HLOOKUP("Host",'vInfo (Imported)'!$1:$5000,M4501,FALSE)</f>
        <v>0</v>
      </c>
      <c r="R4501">
        <f>HLOOKUP("CPUs",'vInfo (Imported)'!$1:$5000,M4501,FALSE)</f>
        <v>0</v>
      </c>
      <c r="S4501">
        <f>HLOOKUP("Memory",'vInfo (Imported)'!$1:$5000,M4501,FALSE)</f>
        <v>0</v>
      </c>
      <c r="T4501">
        <f>HLOOKUP("Provisioned MiB",'vInfo (Imported)'!$1:$5000,M4501,FALSE)</f>
        <v>0</v>
      </c>
      <c r="U4501">
        <f t="shared" si="211"/>
        <v>0</v>
      </c>
      <c r="V4501">
        <f>HLOOKUP("In Use MiB",'vInfo (Imported)'!$1:$5000,M4501,FALSE)</f>
        <v>0</v>
      </c>
    </row>
    <row r="4502" spans="1:22" ht="13" x14ac:dyDescent="0.3">
      <c r="A4502" s="46">
        <f>'vHosts (Imported)'!A4502</f>
        <v>0</v>
      </c>
      <c r="B4502" s="51">
        <f t="shared" si="210"/>
        <v>4968</v>
      </c>
      <c r="C4502" s="49">
        <f>HLOOKUP("# Cores",'vHosts (Imported)'!$1:$5000,M4502,FALSE)</f>
        <v>0</v>
      </c>
      <c r="D4502" s="52">
        <f>HLOOKUP("# Memory",'vHosts (Imported)'!$1:$5000,M4502,FALSE)</f>
        <v>0</v>
      </c>
      <c r="M4502" s="45">
        <f t="shared" si="212"/>
        <v>4502</v>
      </c>
      <c r="N4502" s="38">
        <f>HLOOKUP("Host",'vInfo (Imported)'!$1:$5000,M4502,FALSE)</f>
        <v>0</v>
      </c>
      <c r="R4502">
        <f>HLOOKUP("CPUs",'vInfo (Imported)'!$1:$5000,M4502,FALSE)</f>
        <v>0</v>
      </c>
      <c r="S4502">
        <f>HLOOKUP("Memory",'vInfo (Imported)'!$1:$5000,M4502,FALSE)</f>
        <v>0</v>
      </c>
      <c r="T4502">
        <f>HLOOKUP("Provisioned MiB",'vInfo (Imported)'!$1:$5000,M4502,FALSE)</f>
        <v>0</v>
      </c>
      <c r="U4502">
        <f t="shared" si="211"/>
        <v>0</v>
      </c>
      <c r="V4502">
        <f>HLOOKUP("In Use MiB",'vInfo (Imported)'!$1:$5000,M4502,FALSE)</f>
        <v>0</v>
      </c>
    </row>
    <row r="4503" spans="1:22" ht="13" x14ac:dyDescent="0.3">
      <c r="A4503" s="46">
        <f>'vHosts (Imported)'!A4503</f>
        <v>0</v>
      </c>
      <c r="B4503" s="51">
        <f t="shared" si="210"/>
        <v>4968</v>
      </c>
      <c r="C4503" s="49">
        <f>HLOOKUP("# Cores",'vHosts (Imported)'!$1:$5000,M4503,FALSE)</f>
        <v>0</v>
      </c>
      <c r="D4503" s="52">
        <f>HLOOKUP("# Memory",'vHosts (Imported)'!$1:$5000,M4503,FALSE)</f>
        <v>0</v>
      </c>
      <c r="M4503" s="45">
        <f t="shared" si="212"/>
        <v>4503</v>
      </c>
      <c r="N4503" s="38">
        <f>HLOOKUP("Host",'vInfo (Imported)'!$1:$5000,M4503,FALSE)</f>
        <v>0</v>
      </c>
      <c r="R4503">
        <f>HLOOKUP("CPUs",'vInfo (Imported)'!$1:$5000,M4503,FALSE)</f>
        <v>0</v>
      </c>
      <c r="S4503">
        <f>HLOOKUP("Memory",'vInfo (Imported)'!$1:$5000,M4503,FALSE)</f>
        <v>0</v>
      </c>
      <c r="T4503">
        <f>HLOOKUP("Provisioned MiB",'vInfo (Imported)'!$1:$5000,M4503,FALSE)</f>
        <v>0</v>
      </c>
      <c r="U4503">
        <f t="shared" si="211"/>
        <v>0</v>
      </c>
      <c r="V4503">
        <f>HLOOKUP("In Use MiB",'vInfo (Imported)'!$1:$5000,M4503,FALSE)</f>
        <v>0</v>
      </c>
    </row>
    <row r="4504" spans="1:22" ht="13" x14ac:dyDescent="0.3">
      <c r="A4504" s="46">
        <f>'vHosts (Imported)'!A4504</f>
        <v>0</v>
      </c>
      <c r="B4504" s="51">
        <f t="shared" si="210"/>
        <v>4968</v>
      </c>
      <c r="C4504" s="49">
        <f>HLOOKUP("# Cores",'vHosts (Imported)'!$1:$5000,M4504,FALSE)</f>
        <v>0</v>
      </c>
      <c r="D4504" s="52">
        <f>HLOOKUP("# Memory",'vHosts (Imported)'!$1:$5000,M4504,FALSE)</f>
        <v>0</v>
      </c>
      <c r="M4504" s="45">
        <f t="shared" si="212"/>
        <v>4504</v>
      </c>
      <c r="N4504" s="38">
        <f>HLOOKUP("Host",'vInfo (Imported)'!$1:$5000,M4504,FALSE)</f>
        <v>0</v>
      </c>
      <c r="R4504">
        <f>HLOOKUP("CPUs",'vInfo (Imported)'!$1:$5000,M4504,FALSE)</f>
        <v>0</v>
      </c>
      <c r="S4504">
        <f>HLOOKUP("Memory",'vInfo (Imported)'!$1:$5000,M4504,FALSE)</f>
        <v>0</v>
      </c>
      <c r="T4504">
        <f>HLOOKUP("Provisioned MiB",'vInfo (Imported)'!$1:$5000,M4504,FALSE)</f>
        <v>0</v>
      </c>
      <c r="U4504">
        <f t="shared" si="211"/>
        <v>0</v>
      </c>
      <c r="V4504">
        <f>HLOOKUP("In Use MiB",'vInfo (Imported)'!$1:$5000,M4504,FALSE)</f>
        <v>0</v>
      </c>
    </row>
    <row r="4505" spans="1:22" ht="13" x14ac:dyDescent="0.3">
      <c r="A4505" s="46">
        <f>'vHosts (Imported)'!A4505</f>
        <v>0</v>
      </c>
      <c r="B4505" s="51">
        <f t="shared" si="210"/>
        <v>4968</v>
      </c>
      <c r="C4505" s="49">
        <f>HLOOKUP("# Cores",'vHosts (Imported)'!$1:$5000,M4505,FALSE)</f>
        <v>0</v>
      </c>
      <c r="D4505" s="52">
        <f>HLOOKUP("# Memory",'vHosts (Imported)'!$1:$5000,M4505,FALSE)</f>
        <v>0</v>
      </c>
      <c r="M4505" s="45">
        <f t="shared" si="212"/>
        <v>4505</v>
      </c>
      <c r="N4505" s="38">
        <f>HLOOKUP("Host",'vInfo (Imported)'!$1:$5000,M4505,FALSE)</f>
        <v>0</v>
      </c>
      <c r="R4505">
        <f>HLOOKUP("CPUs",'vInfo (Imported)'!$1:$5000,M4505,FALSE)</f>
        <v>0</v>
      </c>
      <c r="S4505">
        <f>HLOOKUP("Memory",'vInfo (Imported)'!$1:$5000,M4505,FALSE)</f>
        <v>0</v>
      </c>
      <c r="T4505">
        <f>HLOOKUP("Provisioned MiB",'vInfo (Imported)'!$1:$5000,M4505,FALSE)</f>
        <v>0</v>
      </c>
      <c r="U4505">
        <f t="shared" si="211"/>
        <v>0</v>
      </c>
      <c r="V4505">
        <f>HLOOKUP("In Use MiB",'vInfo (Imported)'!$1:$5000,M4505,FALSE)</f>
        <v>0</v>
      </c>
    </row>
    <row r="4506" spans="1:22" ht="13" x14ac:dyDescent="0.3">
      <c r="A4506" s="46">
        <f>'vHosts (Imported)'!A4506</f>
        <v>0</v>
      </c>
      <c r="B4506" s="51">
        <f t="shared" si="210"/>
        <v>4968</v>
      </c>
      <c r="C4506" s="49">
        <f>HLOOKUP("# Cores",'vHosts (Imported)'!$1:$5000,M4506,FALSE)</f>
        <v>0</v>
      </c>
      <c r="D4506" s="52">
        <f>HLOOKUP("# Memory",'vHosts (Imported)'!$1:$5000,M4506,FALSE)</f>
        <v>0</v>
      </c>
      <c r="M4506" s="45">
        <f t="shared" si="212"/>
        <v>4506</v>
      </c>
      <c r="N4506" s="38">
        <f>HLOOKUP("Host",'vInfo (Imported)'!$1:$5000,M4506,FALSE)</f>
        <v>0</v>
      </c>
      <c r="R4506">
        <f>HLOOKUP("CPUs",'vInfo (Imported)'!$1:$5000,M4506,FALSE)</f>
        <v>0</v>
      </c>
      <c r="S4506">
        <f>HLOOKUP("Memory",'vInfo (Imported)'!$1:$5000,M4506,FALSE)</f>
        <v>0</v>
      </c>
      <c r="T4506">
        <f>HLOOKUP("Provisioned MiB",'vInfo (Imported)'!$1:$5000,M4506,FALSE)</f>
        <v>0</v>
      </c>
      <c r="U4506">
        <f t="shared" si="211"/>
        <v>0</v>
      </c>
      <c r="V4506">
        <f>HLOOKUP("In Use MiB",'vInfo (Imported)'!$1:$5000,M4506,FALSE)</f>
        <v>0</v>
      </c>
    </row>
    <row r="4507" spans="1:22" ht="13" x14ac:dyDescent="0.3">
      <c r="A4507" s="46">
        <f>'vHosts (Imported)'!A4507</f>
        <v>0</v>
      </c>
      <c r="B4507" s="51">
        <f t="shared" si="210"/>
        <v>4968</v>
      </c>
      <c r="C4507" s="49">
        <f>HLOOKUP("# Cores",'vHosts (Imported)'!$1:$5000,M4507,FALSE)</f>
        <v>0</v>
      </c>
      <c r="D4507" s="52">
        <f>HLOOKUP("# Memory",'vHosts (Imported)'!$1:$5000,M4507,FALSE)</f>
        <v>0</v>
      </c>
      <c r="M4507" s="45">
        <f t="shared" si="212"/>
        <v>4507</v>
      </c>
      <c r="N4507" s="38">
        <f>HLOOKUP("Host",'vInfo (Imported)'!$1:$5000,M4507,FALSE)</f>
        <v>0</v>
      </c>
      <c r="R4507">
        <f>HLOOKUP("CPUs",'vInfo (Imported)'!$1:$5000,M4507,FALSE)</f>
        <v>0</v>
      </c>
      <c r="S4507">
        <f>HLOOKUP("Memory",'vInfo (Imported)'!$1:$5000,M4507,FALSE)</f>
        <v>0</v>
      </c>
      <c r="T4507">
        <f>HLOOKUP("Provisioned MiB",'vInfo (Imported)'!$1:$5000,M4507,FALSE)</f>
        <v>0</v>
      </c>
      <c r="U4507">
        <f t="shared" si="211"/>
        <v>0</v>
      </c>
      <c r="V4507">
        <f>HLOOKUP("In Use MiB",'vInfo (Imported)'!$1:$5000,M4507,FALSE)</f>
        <v>0</v>
      </c>
    </row>
    <row r="4508" spans="1:22" ht="13" x14ac:dyDescent="0.3">
      <c r="A4508" s="46">
        <f>'vHosts (Imported)'!A4508</f>
        <v>0</v>
      </c>
      <c r="B4508" s="51">
        <f t="shared" si="210"/>
        <v>4968</v>
      </c>
      <c r="C4508" s="49">
        <f>HLOOKUP("# Cores",'vHosts (Imported)'!$1:$5000,M4508,FALSE)</f>
        <v>0</v>
      </c>
      <c r="D4508" s="52">
        <f>HLOOKUP("# Memory",'vHosts (Imported)'!$1:$5000,M4508,FALSE)</f>
        <v>0</v>
      </c>
      <c r="M4508" s="45">
        <f t="shared" si="212"/>
        <v>4508</v>
      </c>
      <c r="N4508" s="38">
        <f>HLOOKUP("Host",'vInfo (Imported)'!$1:$5000,M4508,FALSE)</f>
        <v>0</v>
      </c>
      <c r="R4508">
        <f>HLOOKUP("CPUs",'vInfo (Imported)'!$1:$5000,M4508,FALSE)</f>
        <v>0</v>
      </c>
      <c r="S4508">
        <f>HLOOKUP("Memory",'vInfo (Imported)'!$1:$5000,M4508,FALSE)</f>
        <v>0</v>
      </c>
      <c r="T4508">
        <f>HLOOKUP("Provisioned MiB",'vInfo (Imported)'!$1:$5000,M4508,FALSE)</f>
        <v>0</v>
      </c>
      <c r="U4508">
        <f t="shared" si="211"/>
        <v>0</v>
      </c>
      <c r="V4508">
        <f>HLOOKUP("In Use MiB",'vInfo (Imported)'!$1:$5000,M4508,FALSE)</f>
        <v>0</v>
      </c>
    </row>
    <row r="4509" spans="1:22" ht="13" x14ac:dyDescent="0.3">
      <c r="A4509" s="46">
        <f>'vHosts (Imported)'!A4509</f>
        <v>0</v>
      </c>
      <c r="B4509" s="51">
        <f t="shared" si="210"/>
        <v>4968</v>
      </c>
      <c r="C4509" s="49">
        <f>HLOOKUP("# Cores",'vHosts (Imported)'!$1:$5000,M4509,FALSE)</f>
        <v>0</v>
      </c>
      <c r="D4509" s="52">
        <f>HLOOKUP("# Memory",'vHosts (Imported)'!$1:$5000,M4509,FALSE)</f>
        <v>0</v>
      </c>
      <c r="M4509" s="45">
        <f t="shared" si="212"/>
        <v>4509</v>
      </c>
      <c r="N4509" s="38">
        <f>HLOOKUP("Host",'vInfo (Imported)'!$1:$5000,M4509,FALSE)</f>
        <v>0</v>
      </c>
      <c r="R4509">
        <f>HLOOKUP("CPUs",'vInfo (Imported)'!$1:$5000,M4509,FALSE)</f>
        <v>0</v>
      </c>
      <c r="S4509">
        <f>HLOOKUP("Memory",'vInfo (Imported)'!$1:$5000,M4509,FALSE)</f>
        <v>0</v>
      </c>
      <c r="T4509">
        <f>HLOOKUP("Provisioned MiB",'vInfo (Imported)'!$1:$5000,M4509,FALSE)</f>
        <v>0</v>
      </c>
      <c r="U4509">
        <f t="shared" si="211"/>
        <v>0</v>
      </c>
      <c r="V4509">
        <f>HLOOKUP("In Use MiB",'vInfo (Imported)'!$1:$5000,M4509,FALSE)</f>
        <v>0</v>
      </c>
    </row>
    <row r="4510" spans="1:22" ht="13" x14ac:dyDescent="0.3">
      <c r="A4510" s="46">
        <f>'vHosts (Imported)'!A4510</f>
        <v>0</v>
      </c>
      <c r="B4510" s="51">
        <f t="shared" si="210"/>
        <v>4968</v>
      </c>
      <c r="C4510" s="49">
        <f>HLOOKUP("# Cores",'vHosts (Imported)'!$1:$5000,M4510,FALSE)</f>
        <v>0</v>
      </c>
      <c r="D4510" s="52">
        <f>HLOOKUP("# Memory",'vHosts (Imported)'!$1:$5000,M4510,FALSE)</f>
        <v>0</v>
      </c>
      <c r="M4510" s="45">
        <f t="shared" si="212"/>
        <v>4510</v>
      </c>
      <c r="N4510" s="38">
        <f>HLOOKUP("Host",'vInfo (Imported)'!$1:$5000,M4510,FALSE)</f>
        <v>0</v>
      </c>
      <c r="R4510">
        <f>HLOOKUP("CPUs",'vInfo (Imported)'!$1:$5000,M4510,FALSE)</f>
        <v>0</v>
      </c>
      <c r="S4510">
        <f>HLOOKUP("Memory",'vInfo (Imported)'!$1:$5000,M4510,FALSE)</f>
        <v>0</v>
      </c>
      <c r="T4510">
        <f>HLOOKUP("Provisioned MiB",'vInfo (Imported)'!$1:$5000,M4510,FALSE)</f>
        <v>0</v>
      </c>
      <c r="U4510">
        <f t="shared" si="211"/>
        <v>0</v>
      </c>
      <c r="V4510">
        <f>HLOOKUP("In Use MiB",'vInfo (Imported)'!$1:$5000,M4510,FALSE)</f>
        <v>0</v>
      </c>
    </row>
    <row r="4511" spans="1:22" ht="13" x14ac:dyDescent="0.3">
      <c r="A4511" s="46">
        <f>'vHosts (Imported)'!A4511</f>
        <v>0</v>
      </c>
      <c r="B4511" s="51">
        <f t="shared" si="210"/>
        <v>4968</v>
      </c>
      <c r="C4511" s="49">
        <f>HLOOKUP("# Cores",'vHosts (Imported)'!$1:$5000,M4511,FALSE)</f>
        <v>0</v>
      </c>
      <c r="D4511" s="52">
        <f>HLOOKUP("# Memory",'vHosts (Imported)'!$1:$5000,M4511,FALSE)</f>
        <v>0</v>
      </c>
      <c r="M4511" s="45">
        <f t="shared" si="212"/>
        <v>4511</v>
      </c>
      <c r="N4511" s="38">
        <f>HLOOKUP("Host",'vInfo (Imported)'!$1:$5000,M4511,FALSE)</f>
        <v>0</v>
      </c>
      <c r="R4511">
        <f>HLOOKUP("CPUs",'vInfo (Imported)'!$1:$5000,M4511,FALSE)</f>
        <v>0</v>
      </c>
      <c r="S4511">
        <f>HLOOKUP("Memory",'vInfo (Imported)'!$1:$5000,M4511,FALSE)</f>
        <v>0</v>
      </c>
      <c r="T4511">
        <f>HLOOKUP("Provisioned MiB",'vInfo (Imported)'!$1:$5000,M4511,FALSE)</f>
        <v>0</v>
      </c>
      <c r="U4511">
        <f t="shared" si="211"/>
        <v>0</v>
      </c>
      <c r="V4511">
        <f>HLOOKUP("In Use MiB",'vInfo (Imported)'!$1:$5000,M4511,FALSE)</f>
        <v>0</v>
      </c>
    </row>
    <row r="4512" spans="1:22" ht="13" x14ac:dyDescent="0.3">
      <c r="A4512" s="46">
        <f>'vHosts (Imported)'!A4512</f>
        <v>0</v>
      </c>
      <c r="B4512" s="51">
        <f t="shared" si="210"/>
        <v>4968</v>
      </c>
      <c r="C4512" s="49">
        <f>HLOOKUP("# Cores",'vHosts (Imported)'!$1:$5000,M4512,FALSE)</f>
        <v>0</v>
      </c>
      <c r="D4512" s="52">
        <f>HLOOKUP("# Memory",'vHosts (Imported)'!$1:$5000,M4512,FALSE)</f>
        <v>0</v>
      </c>
      <c r="M4512" s="45">
        <f t="shared" si="212"/>
        <v>4512</v>
      </c>
      <c r="N4512" s="38">
        <f>HLOOKUP("Host",'vInfo (Imported)'!$1:$5000,M4512,FALSE)</f>
        <v>0</v>
      </c>
      <c r="R4512">
        <f>HLOOKUP("CPUs",'vInfo (Imported)'!$1:$5000,M4512,FALSE)</f>
        <v>0</v>
      </c>
      <c r="S4512">
        <f>HLOOKUP("Memory",'vInfo (Imported)'!$1:$5000,M4512,FALSE)</f>
        <v>0</v>
      </c>
      <c r="T4512">
        <f>HLOOKUP("Provisioned MiB",'vInfo (Imported)'!$1:$5000,M4512,FALSE)</f>
        <v>0</v>
      </c>
      <c r="U4512">
        <f t="shared" si="211"/>
        <v>0</v>
      </c>
      <c r="V4512">
        <f>HLOOKUP("In Use MiB",'vInfo (Imported)'!$1:$5000,M4512,FALSE)</f>
        <v>0</v>
      </c>
    </row>
    <row r="4513" spans="1:22" ht="13" x14ac:dyDescent="0.3">
      <c r="A4513" s="46">
        <f>'vHosts (Imported)'!A4513</f>
        <v>0</v>
      </c>
      <c r="B4513" s="51">
        <f t="shared" si="210"/>
        <v>4968</v>
      </c>
      <c r="C4513" s="49">
        <f>HLOOKUP("# Cores",'vHosts (Imported)'!$1:$5000,M4513,FALSE)</f>
        <v>0</v>
      </c>
      <c r="D4513" s="52">
        <f>HLOOKUP("# Memory",'vHosts (Imported)'!$1:$5000,M4513,FALSE)</f>
        <v>0</v>
      </c>
      <c r="M4513" s="45">
        <f t="shared" si="212"/>
        <v>4513</v>
      </c>
      <c r="N4513" s="38">
        <f>HLOOKUP("Host",'vInfo (Imported)'!$1:$5000,M4513,FALSE)</f>
        <v>0</v>
      </c>
      <c r="R4513">
        <f>HLOOKUP("CPUs",'vInfo (Imported)'!$1:$5000,M4513,FALSE)</f>
        <v>0</v>
      </c>
      <c r="S4513">
        <f>HLOOKUP("Memory",'vInfo (Imported)'!$1:$5000,M4513,FALSE)</f>
        <v>0</v>
      </c>
      <c r="T4513">
        <f>HLOOKUP("Provisioned MiB",'vInfo (Imported)'!$1:$5000,M4513,FALSE)</f>
        <v>0</v>
      </c>
      <c r="U4513">
        <f t="shared" si="211"/>
        <v>0</v>
      </c>
      <c r="V4513">
        <f>HLOOKUP("In Use MiB",'vInfo (Imported)'!$1:$5000,M4513,FALSE)</f>
        <v>0</v>
      </c>
    </row>
    <row r="4514" spans="1:22" ht="13" x14ac:dyDescent="0.3">
      <c r="A4514" s="46">
        <f>'vHosts (Imported)'!A4514</f>
        <v>0</v>
      </c>
      <c r="B4514" s="51">
        <f t="shared" si="210"/>
        <v>4968</v>
      </c>
      <c r="C4514" s="49">
        <f>HLOOKUP("# Cores",'vHosts (Imported)'!$1:$5000,M4514,FALSE)</f>
        <v>0</v>
      </c>
      <c r="D4514" s="52">
        <f>HLOOKUP("# Memory",'vHosts (Imported)'!$1:$5000,M4514,FALSE)</f>
        <v>0</v>
      </c>
      <c r="M4514" s="45">
        <f t="shared" si="212"/>
        <v>4514</v>
      </c>
      <c r="N4514" s="38">
        <f>HLOOKUP("Host",'vInfo (Imported)'!$1:$5000,M4514,FALSE)</f>
        <v>0</v>
      </c>
      <c r="R4514">
        <f>HLOOKUP("CPUs",'vInfo (Imported)'!$1:$5000,M4514,FALSE)</f>
        <v>0</v>
      </c>
      <c r="S4514">
        <f>HLOOKUP("Memory",'vInfo (Imported)'!$1:$5000,M4514,FALSE)</f>
        <v>0</v>
      </c>
      <c r="T4514">
        <f>HLOOKUP("Provisioned MiB",'vInfo (Imported)'!$1:$5000,M4514,FALSE)</f>
        <v>0</v>
      </c>
      <c r="U4514">
        <f t="shared" si="211"/>
        <v>0</v>
      </c>
      <c r="V4514">
        <f>HLOOKUP("In Use MiB",'vInfo (Imported)'!$1:$5000,M4514,FALSE)</f>
        <v>0</v>
      </c>
    </row>
    <row r="4515" spans="1:22" ht="13" x14ac:dyDescent="0.3">
      <c r="A4515" s="46">
        <f>'vHosts (Imported)'!A4515</f>
        <v>0</v>
      </c>
      <c r="B4515" s="51">
        <f t="shared" si="210"/>
        <v>4968</v>
      </c>
      <c r="C4515" s="49">
        <f>HLOOKUP("# Cores",'vHosts (Imported)'!$1:$5000,M4515,FALSE)</f>
        <v>0</v>
      </c>
      <c r="D4515" s="52">
        <f>HLOOKUP("# Memory",'vHosts (Imported)'!$1:$5000,M4515,FALSE)</f>
        <v>0</v>
      </c>
      <c r="M4515" s="45">
        <f t="shared" si="212"/>
        <v>4515</v>
      </c>
      <c r="N4515" s="38">
        <f>HLOOKUP("Host",'vInfo (Imported)'!$1:$5000,M4515,FALSE)</f>
        <v>0</v>
      </c>
      <c r="R4515">
        <f>HLOOKUP("CPUs",'vInfo (Imported)'!$1:$5000,M4515,FALSE)</f>
        <v>0</v>
      </c>
      <c r="S4515">
        <f>HLOOKUP("Memory",'vInfo (Imported)'!$1:$5000,M4515,FALSE)</f>
        <v>0</v>
      </c>
      <c r="T4515">
        <f>HLOOKUP("Provisioned MiB",'vInfo (Imported)'!$1:$5000,M4515,FALSE)</f>
        <v>0</v>
      </c>
      <c r="U4515">
        <f t="shared" si="211"/>
        <v>0</v>
      </c>
      <c r="V4515">
        <f>HLOOKUP("In Use MiB",'vInfo (Imported)'!$1:$5000,M4515,FALSE)</f>
        <v>0</v>
      </c>
    </row>
    <row r="4516" spans="1:22" ht="13" x14ac:dyDescent="0.3">
      <c r="A4516" s="46">
        <f>'vHosts (Imported)'!A4516</f>
        <v>0</v>
      </c>
      <c r="B4516" s="51">
        <f t="shared" si="210"/>
        <v>4968</v>
      </c>
      <c r="C4516" s="49">
        <f>HLOOKUP("# Cores",'vHosts (Imported)'!$1:$5000,M4516,FALSE)</f>
        <v>0</v>
      </c>
      <c r="D4516" s="52">
        <f>HLOOKUP("# Memory",'vHosts (Imported)'!$1:$5000,M4516,FALSE)</f>
        <v>0</v>
      </c>
      <c r="M4516" s="45">
        <f t="shared" si="212"/>
        <v>4516</v>
      </c>
      <c r="N4516" s="38">
        <f>HLOOKUP("Host",'vInfo (Imported)'!$1:$5000,M4516,FALSE)</f>
        <v>0</v>
      </c>
      <c r="R4516">
        <f>HLOOKUP("CPUs",'vInfo (Imported)'!$1:$5000,M4516,FALSE)</f>
        <v>0</v>
      </c>
      <c r="S4516">
        <f>HLOOKUP("Memory",'vInfo (Imported)'!$1:$5000,M4516,FALSE)</f>
        <v>0</v>
      </c>
      <c r="T4516">
        <f>HLOOKUP("Provisioned MiB",'vInfo (Imported)'!$1:$5000,M4516,FALSE)</f>
        <v>0</v>
      </c>
      <c r="U4516">
        <f t="shared" si="211"/>
        <v>0</v>
      </c>
      <c r="V4516">
        <f>HLOOKUP("In Use MiB",'vInfo (Imported)'!$1:$5000,M4516,FALSE)</f>
        <v>0</v>
      </c>
    </row>
    <row r="4517" spans="1:22" ht="13" x14ac:dyDescent="0.3">
      <c r="A4517" s="46">
        <f>'vHosts (Imported)'!A4517</f>
        <v>0</v>
      </c>
      <c r="B4517" s="51">
        <f t="shared" si="210"/>
        <v>4968</v>
      </c>
      <c r="C4517" s="49">
        <f>HLOOKUP("# Cores",'vHosts (Imported)'!$1:$5000,M4517,FALSE)</f>
        <v>0</v>
      </c>
      <c r="D4517" s="52">
        <f>HLOOKUP("# Memory",'vHosts (Imported)'!$1:$5000,M4517,FALSE)</f>
        <v>0</v>
      </c>
      <c r="M4517" s="45">
        <f t="shared" si="212"/>
        <v>4517</v>
      </c>
      <c r="N4517" s="38">
        <f>HLOOKUP("Host",'vInfo (Imported)'!$1:$5000,M4517,FALSE)</f>
        <v>0</v>
      </c>
      <c r="R4517">
        <f>HLOOKUP("CPUs",'vInfo (Imported)'!$1:$5000,M4517,FALSE)</f>
        <v>0</v>
      </c>
      <c r="S4517">
        <f>HLOOKUP("Memory",'vInfo (Imported)'!$1:$5000,M4517,FALSE)</f>
        <v>0</v>
      </c>
      <c r="T4517">
        <f>HLOOKUP("Provisioned MiB",'vInfo (Imported)'!$1:$5000,M4517,FALSE)</f>
        <v>0</v>
      </c>
      <c r="U4517">
        <f t="shared" si="211"/>
        <v>0</v>
      </c>
      <c r="V4517">
        <f>HLOOKUP("In Use MiB",'vInfo (Imported)'!$1:$5000,M4517,FALSE)</f>
        <v>0</v>
      </c>
    </row>
    <row r="4518" spans="1:22" ht="13" x14ac:dyDescent="0.3">
      <c r="A4518" s="46">
        <f>'vHosts (Imported)'!A4518</f>
        <v>0</v>
      </c>
      <c r="B4518" s="51">
        <f t="shared" si="210"/>
        <v>4968</v>
      </c>
      <c r="C4518" s="49">
        <f>HLOOKUP("# Cores",'vHosts (Imported)'!$1:$5000,M4518,FALSE)</f>
        <v>0</v>
      </c>
      <c r="D4518" s="52">
        <f>HLOOKUP("# Memory",'vHosts (Imported)'!$1:$5000,M4518,FALSE)</f>
        <v>0</v>
      </c>
      <c r="M4518" s="45">
        <f t="shared" si="212"/>
        <v>4518</v>
      </c>
      <c r="N4518" s="38">
        <f>HLOOKUP("Host",'vInfo (Imported)'!$1:$5000,M4518,FALSE)</f>
        <v>0</v>
      </c>
      <c r="R4518">
        <f>HLOOKUP("CPUs",'vInfo (Imported)'!$1:$5000,M4518,FALSE)</f>
        <v>0</v>
      </c>
      <c r="S4518">
        <f>HLOOKUP("Memory",'vInfo (Imported)'!$1:$5000,M4518,FALSE)</f>
        <v>0</v>
      </c>
      <c r="T4518">
        <f>HLOOKUP("Provisioned MiB",'vInfo (Imported)'!$1:$5000,M4518,FALSE)</f>
        <v>0</v>
      </c>
      <c r="U4518">
        <f t="shared" si="211"/>
        <v>0</v>
      </c>
      <c r="V4518">
        <f>HLOOKUP("In Use MiB",'vInfo (Imported)'!$1:$5000,M4518,FALSE)</f>
        <v>0</v>
      </c>
    </row>
    <row r="4519" spans="1:22" ht="13" x14ac:dyDescent="0.3">
      <c r="A4519" s="46">
        <f>'vHosts (Imported)'!A4519</f>
        <v>0</v>
      </c>
      <c r="B4519" s="51">
        <f t="shared" si="210"/>
        <v>4968</v>
      </c>
      <c r="C4519" s="49">
        <f>HLOOKUP("# Cores",'vHosts (Imported)'!$1:$5000,M4519,FALSE)</f>
        <v>0</v>
      </c>
      <c r="D4519" s="52">
        <f>HLOOKUP("# Memory",'vHosts (Imported)'!$1:$5000,M4519,FALSE)</f>
        <v>0</v>
      </c>
      <c r="M4519" s="45">
        <f t="shared" si="212"/>
        <v>4519</v>
      </c>
      <c r="N4519" s="38">
        <f>HLOOKUP("Host",'vInfo (Imported)'!$1:$5000,M4519,FALSE)</f>
        <v>0</v>
      </c>
      <c r="R4519">
        <f>HLOOKUP("CPUs",'vInfo (Imported)'!$1:$5000,M4519,FALSE)</f>
        <v>0</v>
      </c>
      <c r="S4519">
        <f>HLOOKUP("Memory",'vInfo (Imported)'!$1:$5000,M4519,FALSE)</f>
        <v>0</v>
      </c>
      <c r="T4519">
        <f>HLOOKUP("Provisioned MiB",'vInfo (Imported)'!$1:$5000,M4519,FALSE)</f>
        <v>0</v>
      </c>
      <c r="U4519">
        <f t="shared" si="211"/>
        <v>0</v>
      </c>
      <c r="V4519">
        <f>HLOOKUP("In Use MiB",'vInfo (Imported)'!$1:$5000,M4519,FALSE)</f>
        <v>0</v>
      </c>
    </row>
    <row r="4520" spans="1:22" ht="13" x14ac:dyDescent="0.3">
      <c r="A4520" s="46">
        <f>'vHosts (Imported)'!A4520</f>
        <v>0</v>
      </c>
      <c r="B4520" s="51">
        <f t="shared" ref="B4520:B4583" si="213">COUNTIF(N:N,A4520)</f>
        <v>4968</v>
      </c>
      <c r="C4520" s="49">
        <f>HLOOKUP("# Cores",'vHosts (Imported)'!$1:$5000,M4520,FALSE)</f>
        <v>0</v>
      </c>
      <c r="D4520" s="52">
        <f>HLOOKUP("# Memory",'vHosts (Imported)'!$1:$5000,M4520,FALSE)</f>
        <v>0</v>
      </c>
      <c r="M4520" s="45">
        <f t="shared" si="212"/>
        <v>4520</v>
      </c>
      <c r="N4520" s="38">
        <f>HLOOKUP("Host",'vInfo (Imported)'!$1:$5000,M4520,FALSE)</f>
        <v>0</v>
      </c>
      <c r="R4520">
        <f>HLOOKUP("CPUs",'vInfo (Imported)'!$1:$5000,M4520,FALSE)</f>
        <v>0</v>
      </c>
      <c r="S4520">
        <f>HLOOKUP("Memory",'vInfo (Imported)'!$1:$5000,M4520,FALSE)</f>
        <v>0</v>
      </c>
      <c r="T4520">
        <f>HLOOKUP("Provisioned MiB",'vInfo (Imported)'!$1:$5000,M4520,FALSE)</f>
        <v>0</v>
      </c>
      <c r="U4520">
        <f t="shared" si="211"/>
        <v>0</v>
      </c>
      <c r="V4520">
        <f>HLOOKUP("In Use MiB",'vInfo (Imported)'!$1:$5000,M4520,FALSE)</f>
        <v>0</v>
      </c>
    </row>
    <row r="4521" spans="1:22" ht="13" x14ac:dyDescent="0.3">
      <c r="A4521" s="46">
        <f>'vHosts (Imported)'!A4521</f>
        <v>0</v>
      </c>
      <c r="B4521" s="51">
        <f t="shared" si="213"/>
        <v>4968</v>
      </c>
      <c r="C4521" s="49">
        <f>HLOOKUP("# Cores",'vHosts (Imported)'!$1:$5000,M4521,FALSE)</f>
        <v>0</v>
      </c>
      <c r="D4521" s="52">
        <f>HLOOKUP("# Memory",'vHosts (Imported)'!$1:$5000,M4521,FALSE)</f>
        <v>0</v>
      </c>
      <c r="M4521" s="45">
        <f t="shared" si="212"/>
        <v>4521</v>
      </c>
      <c r="N4521" s="38">
        <f>HLOOKUP("Host",'vInfo (Imported)'!$1:$5000,M4521,FALSE)</f>
        <v>0</v>
      </c>
      <c r="R4521">
        <f>HLOOKUP("CPUs",'vInfo (Imported)'!$1:$5000,M4521,FALSE)</f>
        <v>0</v>
      </c>
      <c r="S4521">
        <f>HLOOKUP("Memory",'vInfo (Imported)'!$1:$5000,M4521,FALSE)</f>
        <v>0</v>
      </c>
      <c r="T4521">
        <f>HLOOKUP("Provisioned MiB",'vInfo (Imported)'!$1:$5000,M4521,FALSE)</f>
        <v>0</v>
      </c>
      <c r="U4521">
        <f t="shared" si="211"/>
        <v>0</v>
      </c>
      <c r="V4521">
        <f>HLOOKUP("In Use MiB",'vInfo (Imported)'!$1:$5000,M4521,FALSE)</f>
        <v>0</v>
      </c>
    </row>
    <row r="4522" spans="1:22" ht="13" x14ac:dyDescent="0.3">
      <c r="A4522" s="46">
        <f>'vHosts (Imported)'!A4522</f>
        <v>0</v>
      </c>
      <c r="B4522" s="51">
        <f t="shared" si="213"/>
        <v>4968</v>
      </c>
      <c r="C4522" s="49">
        <f>HLOOKUP("# Cores",'vHosts (Imported)'!$1:$5000,M4522,FALSE)</f>
        <v>0</v>
      </c>
      <c r="D4522" s="52">
        <f>HLOOKUP("# Memory",'vHosts (Imported)'!$1:$5000,M4522,FALSE)</f>
        <v>0</v>
      </c>
      <c r="M4522" s="45">
        <f t="shared" si="212"/>
        <v>4522</v>
      </c>
      <c r="N4522" s="38">
        <f>HLOOKUP("Host",'vInfo (Imported)'!$1:$5000,M4522,FALSE)</f>
        <v>0</v>
      </c>
      <c r="R4522">
        <f>HLOOKUP("CPUs",'vInfo (Imported)'!$1:$5000,M4522,FALSE)</f>
        <v>0</v>
      </c>
      <c r="S4522">
        <f>HLOOKUP("Memory",'vInfo (Imported)'!$1:$5000,M4522,FALSE)</f>
        <v>0</v>
      </c>
      <c r="T4522">
        <f>HLOOKUP("Provisioned MiB",'vInfo (Imported)'!$1:$5000,M4522,FALSE)</f>
        <v>0</v>
      </c>
      <c r="U4522">
        <f t="shared" si="211"/>
        <v>0</v>
      </c>
      <c r="V4522">
        <f>HLOOKUP("In Use MiB",'vInfo (Imported)'!$1:$5000,M4522,FALSE)</f>
        <v>0</v>
      </c>
    </row>
    <row r="4523" spans="1:22" ht="13" x14ac:dyDescent="0.3">
      <c r="A4523" s="46">
        <f>'vHosts (Imported)'!A4523</f>
        <v>0</v>
      </c>
      <c r="B4523" s="51">
        <f t="shared" si="213"/>
        <v>4968</v>
      </c>
      <c r="C4523" s="49">
        <f>HLOOKUP("# Cores",'vHosts (Imported)'!$1:$5000,M4523,FALSE)</f>
        <v>0</v>
      </c>
      <c r="D4523" s="52">
        <f>HLOOKUP("# Memory",'vHosts (Imported)'!$1:$5000,M4523,FALSE)</f>
        <v>0</v>
      </c>
      <c r="M4523" s="45">
        <f t="shared" si="212"/>
        <v>4523</v>
      </c>
      <c r="N4523" s="38">
        <f>HLOOKUP("Host",'vInfo (Imported)'!$1:$5000,M4523,FALSE)</f>
        <v>0</v>
      </c>
      <c r="R4523">
        <f>HLOOKUP("CPUs",'vInfo (Imported)'!$1:$5000,M4523,FALSE)</f>
        <v>0</v>
      </c>
      <c r="S4523">
        <f>HLOOKUP("Memory",'vInfo (Imported)'!$1:$5000,M4523,FALSE)</f>
        <v>0</v>
      </c>
      <c r="T4523">
        <f>HLOOKUP("Provisioned MiB",'vInfo (Imported)'!$1:$5000,M4523,FALSE)</f>
        <v>0</v>
      </c>
      <c r="U4523">
        <f t="shared" si="211"/>
        <v>0</v>
      </c>
      <c r="V4523">
        <f>HLOOKUP("In Use MiB",'vInfo (Imported)'!$1:$5000,M4523,FALSE)</f>
        <v>0</v>
      </c>
    </row>
    <row r="4524" spans="1:22" ht="13" x14ac:dyDescent="0.3">
      <c r="A4524" s="46">
        <f>'vHosts (Imported)'!A4524</f>
        <v>0</v>
      </c>
      <c r="B4524" s="51">
        <f t="shared" si="213"/>
        <v>4968</v>
      </c>
      <c r="C4524" s="49">
        <f>HLOOKUP("# Cores",'vHosts (Imported)'!$1:$5000,M4524,FALSE)</f>
        <v>0</v>
      </c>
      <c r="D4524" s="52">
        <f>HLOOKUP("# Memory",'vHosts (Imported)'!$1:$5000,M4524,FALSE)</f>
        <v>0</v>
      </c>
      <c r="M4524" s="45">
        <f t="shared" si="212"/>
        <v>4524</v>
      </c>
      <c r="N4524" s="38">
        <f>HLOOKUP("Host",'vInfo (Imported)'!$1:$5000,M4524,FALSE)</f>
        <v>0</v>
      </c>
      <c r="R4524">
        <f>HLOOKUP("CPUs",'vInfo (Imported)'!$1:$5000,M4524,FALSE)</f>
        <v>0</v>
      </c>
      <c r="S4524">
        <f>HLOOKUP("Memory",'vInfo (Imported)'!$1:$5000,M4524,FALSE)</f>
        <v>0</v>
      </c>
      <c r="T4524">
        <f>HLOOKUP("Provisioned MiB",'vInfo (Imported)'!$1:$5000,M4524,FALSE)</f>
        <v>0</v>
      </c>
      <c r="U4524">
        <f t="shared" si="211"/>
        <v>0</v>
      </c>
      <c r="V4524">
        <f>HLOOKUP("In Use MiB",'vInfo (Imported)'!$1:$5000,M4524,FALSE)</f>
        <v>0</v>
      </c>
    </row>
    <row r="4525" spans="1:22" ht="13" x14ac:dyDescent="0.3">
      <c r="A4525" s="46">
        <f>'vHosts (Imported)'!A4525</f>
        <v>0</v>
      </c>
      <c r="B4525" s="51">
        <f t="shared" si="213"/>
        <v>4968</v>
      </c>
      <c r="C4525" s="49">
        <f>HLOOKUP("# Cores",'vHosts (Imported)'!$1:$5000,M4525,FALSE)</f>
        <v>0</v>
      </c>
      <c r="D4525" s="52">
        <f>HLOOKUP("# Memory",'vHosts (Imported)'!$1:$5000,M4525,FALSE)</f>
        <v>0</v>
      </c>
      <c r="M4525" s="45">
        <f t="shared" si="212"/>
        <v>4525</v>
      </c>
      <c r="N4525" s="38">
        <f>HLOOKUP("Host",'vInfo (Imported)'!$1:$5000,M4525,FALSE)</f>
        <v>0</v>
      </c>
      <c r="R4525">
        <f>HLOOKUP("CPUs",'vInfo (Imported)'!$1:$5000,M4525,FALSE)</f>
        <v>0</v>
      </c>
      <c r="S4525">
        <f>HLOOKUP("Memory",'vInfo (Imported)'!$1:$5000,M4525,FALSE)</f>
        <v>0</v>
      </c>
      <c r="T4525">
        <f>HLOOKUP("Provisioned MiB",'vInfo (Imported)'!$1:$5000,M4525,FALSE)</f>
        <v>0</v>
      </c>
      <c r="U4525">
        <f t="shared" si="211"/>
        <v>0</v>
      </c>
      <c r="V4525">
        <f>HLOOKUP("In Use MiB",'vInfo (Imported)'!$1:$5000,M4525,FALSE)</f>
        <v>0</v>
      </c>
    </row>
    <row r="4526" spans="1:22" ht="13" x14ac:dyDescent="0.3">
      <c r="A4526" s="46">
        <f>'vHosts (Imported)'!A4526</f>
        <v>0</v>
      </c>
      <c r="B4526" s="51">
        <f t="shared" si="213"/>
        <v>4968</v>
      </c>
      <c r="C4526" s="49">
        <f>HLOOKUP("# Cores",'vHosts (Imported)'!$1:$5000,M4526,FALSE)</f>
        <v>0</v>
      </c>
      <c r="D4526" s="52">
        <f>HLOOKUP("# Memory",'vHosts (Imported)'!$1:$5000,M4526,FALSE)</f>
        <v>0</v>
      </c>
      <c r="M4526" s="45">
        <f t="shared" si="212"/>
        <v>4526</v>
      </c>
      <c r="N4526" s="38">
        <f>HLOOKUP("Host",'vInfo (Imported)'!$1:$5000,M4526,FALSE)</f>
        <v>0</v>
      </c>
      <c r="R4526">
        <f>HLOOKUP("CPUs",'vInfo (Imported)'!$1:$5000,M4526,FALSE)</f>
        <v>0</v>
      </c>
      <c r="S4526">
        <f>HLOOKUP("Memory",'vInfo (Imported)'!$1:$5000,M4526,FALSE)</f>
        <v>0</v>
      </c>
      <c r="T4526">
        <f>HLOOKUP("Provisioned MiB",'vInfo (Imported)'!$1:$5000,M4526,FALSE)</f>
        <v>0</v>
      </c>
      <c r="U4526">
        <f t="shared" si="211"/>
        <v>0</v>
      </c>
      <c r="V4526">
        <f>HLOOKUP("In Use MiB",'vInfo (Imported)'!$1:$5000,M4526,FALSE)</f>
        <v>0</v>
      </c>
    </row>
    <row r="4527" spans="1:22" ht="13" x14ac:dyDescent="0.3">
      <c r="A4527" s="46">
        <f>'vHosts (Imported)'!A4527</f>
        <v>0</v>
      </c>
      <c r="B4527" s="51">
        <f t="shared" si="213"/>
        <v>4968</v>
      </c>
      <c r="C4527" s="49">
        <f>HLOOKUP("# Cores",'vHosts (Imported)'!$1:$5000,M4527,FALSE)</f>
        <v>0</v>
      </c>
      <c r="D4527" s="52">
        <f>HLOOKUP("# Memory",'vHosts (Imported)'!$1:$5000,M4527,FALSE)</f>
        <v>0</v>
      </c>
      <c r="M4527" s="45">
        <f t="shared" si="212"/>
        <v>4527</v>
      </c>
      <c r="N4527" s="38">
        <f>HLOOKUP("Host",'vInfo (Imported)'!$1:$5000,M4527,FALSE)</f>
        <v>0</v>
      </c>
      <c r="R4527">
        <f>HLOOKUP("CPUs",'vInfo (Imported)'!$1:$5000,M4527,FALSE)</f>
        <v>0</v>
      </c>
      <c r="S4527">
        <f>HLOOKUP("Memory",'vInfo (Imported)'!$1:$5000,M4527,FALSE)</f>
        <v>0</v>
      </c>
      <c r="T4527">
        <f>HLOOKUP("Provisioned MiB",'vInfo (Imported)'!$1:$5000,M4527,FALSE)</f>
        <v>0</v>
      </c>
      <c r="U4527">
        <f t="shared" si="211"/>
        <v>0</v>
      </c>
      <c r="V4527">
        <f>HLOOKUP("In Use MiB",'vInfo (Imported)'!$1:$5000,M4527,FALSE)</f>
        <v>0</v>
      </c>
    </row>
    <row r="4528" spans="1:22" ht="13" x14ac:dyDescent="0.3">
      <c r="A4528" s="46">
        <f>'vHosts (Imported)'!A4528</f>
        <v>0</v>
      </c>
      <c r="B4528" s="51">
        <f t="shared" si="213"/>
        <v>4968</v>
      </c>
      <c r="C4528" s="49">
        <f>HLOOKUP("# Cores",'vHosts (Imported)'!$1:$5000,M4528,FALSE)</f>
        <v>0</v>
      </c>
      <c r="D4528" s="52">
        <f>HLOOKUP("# Memory",'vHosts (Imported)'!$1:$5000,M4528,FALSE)</f>
        <v>0</v>
      </c>
      <c r="M4528" s="45">
        <f t="shared" si="212"/>
        <v>4528</v>
      </c>
      <c r="N4528" s="38">
        <f>HLOOKUP("Host",'vInfo (Imported)'!$1:$5000,M4528,FALSE)</f>
        <v>0</v>
      </c>
      <c r="R4528">
        <f>HLOOKUP("CPUs",'vInfo (Imported)'!$1:$5000,M4528,FALSE)</f>
        <v>0</v>
      </c>
      <c r="S4528">
        <f>HLOOKUP("Memory",'vInfo (Imported)'!$1:$5000,M4528,FALSE)</f>
        <v>0</v>
      </c>
      <c r="T4528">
        <f>HLOOKUP("Provisioned MiB",'vInfo (Imported)'!$1:$5000,M4528,FALSE)</f>
        <v>0</v>
      </c>
      <c r="U4528">
        <f t="shared" si="211"/>
        <v>0</v>
      </c>
      <c r="V4528">
        <f>HLOOKUP("In Use MiB",'vInfo (Imported)'!$1:$5000,M4528,FALSE)</f>
        <v>0</v>
      </c>
    </row>
    <row r="4529" spans="1:22" ht="13" x14ac:dyDescent="0.3">
      <c r="A4529" s="46">
        <f>'vHosts (Imported)'!A4529</f>
        <v>0</v>
      </c>
      <c r="B4529" s="51">
        <f t="shared" si="213"/>
        <v>4968</v>
      </c>
      <c r="C4529" s="49">
        <f>HLOOKUP("# Cores",'vHosts (Imported)'!$1:$5000,M4529,FALSE)</f>
        <v>0</v>
      </c>
      <c r="D4529" s="52">
        <f>HLOOKUP("# Memory",'vHosts (Imported)'!$1:$5000,M4529,FALSE)</f>
        <v>0</v>
      </c>
      <c r="M4529" s="45">
        <f t="shared" si="212"/>
        <v>4529</v>
      </c>
      <c r="N4529" s="38">
        <f>HLOOKUP("Host",'vInfo (Imported)'!$1:$5000,M4529,FALSE)</f>
        <v>0</v>
      </c>
      <c r="R4529">
        <f>HLOOKUP("CPUs",'vInfo (Imported)'!$1:$5000,M4529,FALSE)</f>
        <v>0</v>
      </c>
      <c r="S4529">
        <f>HLOOKUP("Memory",'vInfo (Imported)'!$1:$5000,M4529,FALSE)</f>
        <v>0</v>
      </c>
      <c r="T4529">
        <f>HLOOKUP("Provisioned MiB",'vInfo (Imported)'!$1:$5000,M4529,FALSE)</f>
        <v>0</v>
      </c>
      <c r="U4529">
        <f t="shared" si="211"/>
        <v>0</v>
      </c>
      <c r="V4529">
        <f>HLOOKUP("In Use MiB",'vInfo (Imported)'!$1:$5000,M4529,FALSE)</f>
        <v>0</v>
      </c>
    </row>
    <row r="4530" spans="1:22" ht="13" x14ac:dyDescent="0.3">
      <c r="A4530" s="46">
        <f>'vHosts (Imported)'!A4530</f>
        <v>0</v>
      </c>
      <c r="B4530" s="51">
        <f t="shared" si="213"/>
        <v>4968</v>
      </c>
      <c r="C4530" s="49">
        <f>HLOOKUP("# Cores",'vHosts (Imported)'!$1:$5000,M4530,FALSE)</f>
        <v>0</v>
      </c>
      <c r="D4530" s="52">
        <f>HLOOKUP("# Memory",'vHosts (Imported)'!$1:$5000,M4530,FALSE)</f>
        <v>0</v>
      </c>
      <c r="M4530" s="45">
        <f t="shared" si="212"/>
        <v>4530</v>
      </c>
      <c r="N4530" s="38">
        <f>HLOOKUP("Host",'vInfo (Imported)'!$1:$5000,M4530,FALSE)</f>
        <v>0</v>
      </c>
      <c r="R4530">
        <f>HLOOKUP("CPUs",'vInfo (Imported)'!$1:$5000,M4530,FALSE)</f>
        <v>0</v>
      </c>
      <c r="S4530">
        <f>HLOOKUP("Memory",'vInfo (Imported)'!$1:$5000,M4530,FALSE)</f>
        <v>0</v>
      </c>
      <c r="T4530">
        <f>HLOOKUP("Provisioned MiB",'vInfo (Imported)'!$1:$5000,M4530,FALSE)</f>
        <v>0</v>
      </c>
      <c r="U4530">
        <f t="shared" si="211"/>
        <v>0</v>
      </c>
      <c r="V4530">
        <f>HLOOKUP("In Use MiB",'vInfo (Imported)'!$1:$5000,M4530,FALSE)</f>
        <v>0</v>
      </c>
    </row>
    <row r="4531" spans="1:22" ht="13" x14ac:dyDescent="0.3">
      <c r="A4531" s="46">
        <f>'vHosts (Imported)'!A4531</f>
        <v>0</v>
      </c>
      <c r="B4531" s="51">
        <f t="shared" si="213"/>
        <v>4968</v>
      </c>
      <c r="C4531" s="49">
        <f>HLOOKUP("# Cores",'vHosts (Imported)'!$1:$5000,M4531,FALSE)</f>
        <v>0</v>
      </c>
      <c r="D4531" s="52">
        <f>HLOOKUP("# Memory",'vHosts (Imported)'!$1:$5000,M4531,FALSE)</f>
        <v>0</v>
      </c>
      <c r="M4531" s="45">
        <f t="shared" si="212"/>
        <v>4531</v>
      </c>
      <c r="N4531" s="38">
        <f>HLOOKUP("Host",'vInfo (Imported)'!$1:$5000,M4531,FALSE)</f>
        <v>0</v>
      </c>
      <c r="R4531">
        <f>HLOOKUP("CPUs",'vInfo (Imported)'!$1:$5000,M4531,FALSE)</f>
        <v>0</v>
      </c>
      <c r="S4531">
        <f>HLOOKUP("Memory",'vInfo (Imported)'!$1:$5000,M4531,FALSE)</f>
        <v>0</v>
      </c>
      <c r="T4531">
        <f>HLOOKUP("Provisioned MiB",'vInfo (Imported)'!$1:$5000,M4531,FALSE)</f>
        <v>0</v>
      </c>
      <c r="U4531">
        <f t="shared" si="211"/>
        <v>0</v>
      </c>
      <c r="V4531">
        <f>HLOOKUP("In Use MiB",'vInfo (Imported)'!$1:$5000,M4531,FALSE)</f>
        <v>0</v>
      </c>
    </row>
    <row r="4532" spans="1:22" ht="13" x14ac:dyDescent="0.3">
      <c r="A4532" s="46">
        <f>'vHosts (Imported)'!A4532</f>
        <v>0</v>
      </c>
      <c r="B4532" s="51">
        <f t="shared" si="213"/>
        <v>4968</v>
      </c>
      <c r="C4532" s="49">
        <f>HLOOKUP("# Cores",'vHosts (Imported)'!$1:$5000,M4532,FALSE)</f>
        <v>0</v>
      </c>
      <c r="D4532" s="52">
        <f>HLOOKUP("# Memory",'vHosts (Imported)'!$1:$5000,M4532,FALSE)</f>
        <v>0</v>
      </c>
      <c r="M4532" s="45">
        <f t="shared" si="212"/>
        <v>4532</v>
      </c>
      <c r="N4532" s="38">
        <f>HLOOKUP("Host",'vInfo (Imported)'!$1:$5000,M4532,FALSE)</f>
        <v>0</v>
      </c>
      <c r="R4532">
        <f>HLOOKUP("CPUs",'vInfo (Imported)'!$1:$5000,M4532,FALSE)</f>
        <v>0</v>
      </c>
      <c r="S4532">
        <f>HLOOKUP("Memory",'vInfo (Imported)'!$1:$5000,M4532,FALSE)</f>
        <v>0</v>
      </c>
      <c r="T4532">
        <f>HLOOKUP("Provisioned MiB",'vInfo (Imported)'!$1:$5000,M4532,FALSE)</f>
        <v>0</v>
      </c>
      <c r="U4532">
        <f t="shared" si="211"/>
        <v>0</v>
      </c>
      <c r="V4532">
        <f>HLOOKUP("In Use MiB",'vInfo (Imported)'!$1:$5000,M4532,FALSE)</f>
        <v>0</v>
      </c>
    </row>
    <row r="4533" spans="1:22" ht="13" x14ac:dyDescent="0.3">
      <c r="A4533" s="46">
        <f>'vHosts (Imported)'!A4533</f>
        <v>0</v>
      </c>
      <c r="B4533" s="51">
        <f t="shared" si="213"/>
        <v>4968</v>
      </c>
      <c r="C4533" s="49">
        <f>HLOOKUP("# Cores",'vHosts (Imported)'!$1:$5000,M4533,FALSE)</f>
        <v>0</v>
      </c>
      <c r="D4533" s="52">
        <f>HLOOKUP("# Memory",'vHosts (Imported)'!$1:$5000,M4533,FALSE)</f>
        <v>0</v>
      </c>
      <c r="M4533" s="45">
        <f t="shared" si="212"/>
        <v>4533</v>
      </c>
      <c r="N4533" s="38">
        <f>HLOOKUP("Host",'vInfo (Imported)'!$1:$5000,M4533,FALSE)</f>
        <v>0</v>
      </c>
      <c r="R4533">
        <f>HLOOKUP("CPUs",'vInfo (Imported)'!$1:$5000,M4533,FALSE)</f>
        <v>0</v>
      </c>
      <c r="S4533">
        <f>HLOOKUP("Memory",'vInfo (Imported)'!$1:$5000,M4533,FALSE)</f>
        <v>0</v>
      </c>
      <c r="T4533">
        <f>HLOOKUP("Provisioned MiB",'vInfo (Imported)'!$1:$5000,M4533,FALSE)</f>
        <v>0</v>
      </c>
      <c r="U4533">
        <f t="shared" si="211"/>
        <v>0</v>
      </c>
      <c r="V4533">
        <f>HLOOKUP("In Use MiB",'vInfo (Imported)'!$1:$5000,M4533,FALSE)</f>
        <v>0</v>
      </c>
    </row>
    <row r="4534" spans="1:22" ht="13" x14ac:dyDescent="0.3">
      <c r="A4534" s="46">
        <f>'vHosts (Imported)'!A4534</f>
        <v>0</v>
      </c>
      <c r="B4534" s="51">
        <f t="shared" si="213"/>
        <v>4968</v>
      </c>
      <c r="C4534" s="49">
        <f>HLOOKUP("# Cores",'vHosts (Imported)'!$1:$5000,M4534,FALSE)</f>
        <v>0</v>
      </c>
      <c r="D4534" s="52">
        <f>HLOOKUP("# Memory",'vHosts (Imported)'!$1:$5000,M4534,FALSE)</f>
        <v>0</v>
      </c>
      <c r="M4534" s="45">
        <f t="shared" si="212"/>
        <v>4534</v>
      </c>
      <c r="N4534" s="38">
        <f>HLOOKUP("Host",'vInfo (Imported)'!$1:$5000,M4534,FALSE)</f>
        <v>0</v>
      </c>
      <c r="R4534">
        <f>HLOOKUP("CPUs",'vInfo (Imported)'!$1:$5000,M4534,FALSE)</f>
        <v>0</v>
      </c>
      <c r="S4534">
        <f>HLOOKUP("Memory",'vInfo (Imported)'!$1:$5000,M4534,FALSE)</f>
        <v>0</v>
      </c>
      <c r="T4534">
        <f>HLOOKUP("Provisioned MiB",'vInfo (Imported)'!$1:$5000,M4534,FALSE)</f>
        <v>0</v>
      </c>
      <c r="U4534">
        <f t="shared" si="211"/>
        <v>0</v>
      </c>
      <c r="V4534">
        <f>HLOOKUP("In Use MiB",'vInfo (Imported)'!$1:$5000,M4534,FALSE)</f>
        <v>0</v>
      </c>
    </row>
    <row r="4535" spans="1:22" ht="13" x14ac:dyDescent="0.3">
      <c r="A4535" s="46">
        <f>'vHosts (Imported)'!A4535</f>
        <v>0</v>
      </c>
      <c r="B4535" s="51">
        <f t="shared" si="213"/>
        <v>4968</v>
      </c>
      <c r="C4535" s="49">
        <f>HLOOKUP("# Cores",'vHosts (Imported)'!$1:$5000,M4535,FALSE)</f>
        <v>0</v>
      </c>
      <c r="D4535" s="52">
        <f>HLOOKUP("# Memory",'vHosts (Imported)'!$1:$5000,M4535,FALSE)</f>
        <v>0</v>
      </c>
      <c r="M4535" s="45">
        <f t="shared" si="212"/>
        <v>4535</v>
      </c>
      <c r="N4535" s="38">
        <f>HLOOKUP("Host",'vInfo (Imported)'!$1:$5000,M4535,FALSE)</f>
        <v>0</v>
      </c>
      <c r="R4535">
        <f>HLOOKUP("CPUs",'vInfo (Imported)'!$1:$5000,M4535,FALSE)</f>
        <v>0</v>
      </c>
      <c r="S4535">
        <f>HLOOKUP("Memory",'vInfo (Imported)'!$1:$5000,M4535,FALSE)</f>
        <v>0</v>
      </c>
      <c r="T4535">
        <f>HLOOKUP("Provisioned MiB",'vInfo (Imported)'!$1:$5000,M4535,FALSE)</f>
        <v>0</v>
      </c>
      <c r="U4535">
        <f t="shared" si="211"/>
        <v>0</v>
      </c>
      <c r="V4535">
        <f>HLOOKUP("In Use MiB",'vInfo (Imported)'!$1:$5000,M4535,FALSE)</f>
        <v>0</v>
      </c>
    </row>
    <row r="4536" spans="1:22" ht="13" x14ac:dyDescent="0.3">
      <c r="A4536" s="46">
        <f>'vHosts (Imported)'!A4536</f>
        <v>0</v>
      </c>
      <c r="B4536" s="51">
        <f t="shared" si="213"/>
        <v>4968</v>
      </c>
      <c r="C4536" s="49">
        <f>HLOOKUP("# Cores",'vHosts (Imported)'!$1:$5000,M4536,FALSE)</f>
        <v>0</v>
      </c>
      <c r="D4536" s="52">
        <f>HLOOKUP("# Memory",'vHosts (Imported)'!$1:$5000,M4536,FALSE)</f>
        <v>0</v>
      </c>
      <c r="M4536" s="45">
        <f t="shared" si="212"/>
        <v>4536</v>
      </c>
      <c r="N4536" s="38">
        <f>HLOOKUP("Host",'vInfo (Imported)'!$1:$5000,M4536,FALSE)</f>
        <v>0</v>
      </c>
      <c r="R4536">
        <f>HLOOKUP("CPUs",'vInfo (Imported)'!$1:$5000,M4536,FALSE)</f>
        <v>0</v>
      </c>
      <c r="S4536">
        <f>HLOOKUP("Memory",'vInfo (Imported)'!$1:$5000,M4536,FALSE)</f>
        <v>0</v>
      </c>
      <c r="T4536">
        <f>HLOOKUP("Provisioned MiB",'vInfo (Imported)'!$1:$5000,M4536,FALSE)</f>
        <v>0</v>
      </c>
      <c r="U4536">
        <f t="shared" si="211"/>
        <v>0</v>
      </c>
      <c r="V4536">
        <f>HLOOKUP("In Use MiB",'vInfo (Imported)'!$1:$5000,M4536,FALSE)</f>
        <v>0</v>
      </c>
    </row>
    <row r="4537" spans="1:22" ht="13" x14ac:dyDescent="0.3">
      <c r="A4537" s="46">
        <f>'vHosts (Imported)'!A4537</f>
        <v>0</v>
      </c>
      <c r="B4537" s="51">
        <f t="shared" si="213"/>
        <v>4968</v>
      </c>
      <c r="C4537" s="49">
        <f>HLOOKUP("# Cores",'vHosts (Imported)'!$1:$5000,M4537,FALSE)</f>
        <v>0</v>
      </c>
      <c r="D4537" s="52">
        <f>HLOOKUP("# Memory",'vHosts (Imported)'!$1:$5000,M4537,FALSE)</f>
        <v>0</v>
      </c>
      <c r="M4537" s="45">
        <f t="shared" si="212"/>
        <v>4537</v>
      </c>
      <c r="N4537" s="38">
        <f>HLOOKUP("Host",'vInfo (Imported)'!$1:$5000,M4537,FALSE)</f>
        <v>0</v>
      </c>
      <c r="R4537">
        <f>HLOOKUP("CPUs",'vInfo (Imported)'!$1:$5000,M4537,FALSE)</f>
        <v>0</v>
      </c>
      <c r="S4537">
        <f>HLOOKUP("Memory",'vInfo (Imported)'!$1:$5000,M4537,FALSE)</f>
        <v>0</v>
      </c>
      <c r="T4537">
        <f>HLOOKUP("Provisioned MiB",'vInfo (Imported)'!$1:$5000,M4537,FALSE)</f>
        <v>0</v>
      </c>
      <c r="U4537">
        <f t="shared" si="211"/>
        <v>0</v>
      </c>
      <c r="V4537">
        <f>HLOOKUP("In Use MiB",'vInfo (Imported)'!$1:$5000,M4537,FALSE)</f>
        <v>0</v>
      </c>
    </row>
    <row r="4538" spans="1:22" ht="13" x14ac:dyDescent="0.3">
      <c r="A4538" s="46">
        <f>'vHosts (Imported)'!A4538</f>
        <v>0</v>
      </c>
      <c r="B4538" s="51">
        <f t="shared" si="213"/>
        <v>4968</v>
      </c>
      <c r="C4538" s="49">
        <f>HLOOKUP("# Cores",'vHosts (Imported)'!$1:$5000,M4538,FALSE)</f>
        <v>0</v>
      </c>
      <c r="D4538" s="52">
        <f>HLOOKUP("# Memory",'vHosts (Imported)'!$1:$5000,M4538,FALSE)</f>
        <v>0</v>
      </c>
      <c r="M4538" s="45">
        <f t="shared" si="212"/>
        <v>4538</v>
      </c>
      <c r="N4538" s="38">
        <f>HLOOKUP("Host",'vInfo (Imported)'!$1:$5000,M4538,FALSE)</f>
        <v>0</v>
      </c>
      <c r="R4538">
        <f>HLOOKUP("CPUs",'vInfo (Imported)'!$1:$5000,M4538,FALSE)</f>
        <v>0</v>
      </c>
      <c r="S4538">
        <f>HLOOKUP("Memory",'vInfo (Imported)'!$1:$5000,M4538,FALSE)</f>
        <v>0</v>
      </c>
      <c r="T4538">
        <f>HLOOKUP("Provisioned MiB",'vInfo (Imported)'!$1:$5000,M4538,FALSE)</f>
        <v>0</v>
      </c>
      <c r="U4538">
        <f t="shared" si="211"/>
        <v>0</v>
      </c>
      <c r="V4538">
        <f>HLOOKUP("In Use MiB",'vInfo (Imported)'!$1:$5000,M4538,FALSE)</f>
        <v>0</v>
      </c>
    </row>
    <row r="4539" spans="1:22" ht="13" x14ac:dyDescent="0.3">
      <c r="A4539" s="46">
        <f>'vHosts (Imported)'!A4539</f>
        <v>0</v>
      </c>
      <c r="B4539" s="51">
        <f t="shared" si="213"/>
        <v>4968</v>
      </c>
      <c r="C4539" s="49">
        <f>HLOOKUP("# Cores",'vHosts (Imported)'!$1:$5000,M4539,FALSE)</f>
        <v>0</v>
      </c>
      <c r="D4539" s="52">
        <f>HLOOKUP("# Memory",'vHosts (Imported)'!$1:$5000,M4539,FALSE)</f>
        <v>0</v>
      </c>
      <c r="M4539" s="45">
        <f t="shared" si="212"/>
        <v>4539</v>
      </c>
      <c r="N4539" s="38">
        <f>HLOOKUP("Host",'vInfo (Imported)'!$1:$5000,M4539,FALSE)</f>
        <v>0</v>
      </c>
      <c r="R4539">
        <f>HLOOKUP("CPUs",'vInfo (Imported)'!$1:$5000,M4539,FALSE)</f>
        <v>0</v>
      </c>
      <c r="S4539">
        <f>HLOOKUP("Memory",'vInfo (Imported)'!$1:$5000,M4539,FALSE)</f>
        <v>0</v>
      </c>
      <c r="T4539">
        <f>HLOOKUP("Provisioned MiB",'vInfo (Imported)'!$1:$5000,M4539,FALSE)</f>
        <v>0</v>
      </c>
      <c r="U4539">
        <f t="shared" si="211"/>
        <v>0</v>
      </c>
      <c r="V4539">
        <f>HLOOKUP("In Use MiB",'vInfo (Imported)'!$1:$5000,M4539,FALSE)</f>
        <v>0</v>
      </c>
    </row>
    <row r="4540" spans="1:22" ht="13" x14ac:dyDescent="0.3">
      <c r="A4540" s="46">
        <f>'vHosts (Imported)'!A4540</f>
        <v>0</v>
      </c>
      <c r="B4540" s="51">
        <f t="shared" si="213"/>
        <v>4968</v>
      </c>
      <c r="C4540" s="49">
        <f>HLOOKUP("# Cores",'vHosts (Imported)'!$1:$5000,M4540,FALSE)</f>
        <v>0</v>
      </c>
      <c r="D4540" s="52">
        <f>HLOOKUP("# Memory",'vHosts (Imported)'!$1:$5000,M4540,FALSE)</f>
        <v>0</v>
      </c>
      <c r="M4540" s="45">
        <f t="shared" si="212"/>
        <v>4540</v>
      </c>
      <c r="N4540" s="38">
        <f>HLOOKUP("Host",'vInfo (Imported)'!$1:$5000,M4540,FALSE)</f>
        <v>0</v>
      </c>
      <c r="R4540">
        <f>HLOOKUP("CPUs",'vInfo (Imported)'!$1:$5000,M4540,FALSE)</f>
        <v>0</v>
      </c>
      <c r="S4540">
        <f>HLOOKUP("Memory",'vInfo (Imported)'!$1:$5000,M4540,FALSE)</f>
        <v>0</v>
      </c>
      <c r="T4540">
        <f>HLOOKUP("Provisioned MiB",'vInfo (Imported)'!$1:$5000,M4540,FALSE)</f>
        <v>0</v>
      </c>
      <c r="U4540">
        <f t="shared" si="211"/>
        <v>0</v>
      </c>
      <c r="V4540">
        <f>HLOOKUP("In Use MiB",'vInfo (Imported)'!$1:$5000,M4540,FALSE)</f>
        <v>0</v>
      </c>
    </row>
    <row r="4541" spans="1:22" ht="13" x14ac:dyDescent="0.3">
      <c r="A4541" s="46">
        <f>'vHosts (Imported)'!A4541</f>
        <v>0</v>
      </c>
      <c r="B4541" s="51">
        <f t="shared" si="213"/>
        <v>4968</v>
      </c>
      <c r="C4541" s="49">
        <f>HLOOKUP("# Cores",'vHosts (Imported)'!$1:$5000,M4541,FALSE)</f>
        <v>0</v>
      </c>
      <c r="D4541" s="52">
        <f>HLOOKUP("# Memory",'vHosts (Imported)'!$1:$5000,M4541,FALSE)</f>
        <v>0</v>
      </c>
      <c r="M4541" s="45">
        <f t="shared" si="212"/>
        <v>4541</v>
      </c>
      <c r="N4541" s="38">
        <f>HLOOKUP("Host",'vInfo (Imported)'!$1:$5000,M4541,FALSE)</f>
        <v>0</v>
      </c>
      <c r="R4541">
        <f>HLOOKUP("CPUs",'vInfo (Imported)'!$1:$5000,M4541,FALSE)</f>
        <v>0</v>
      </c>
      <c r="S4541">
        <f>HLOOKUP("Memory",'vInfo (Imported)'!$1:$5000,M4541,FALSE)</f>
        <v>0</v>
      </c>
      <c r="T4541">
        <f>HLOOKUP("Provisioned MiB",'vInfo (Imported)'!$1:$5000,M4541,FALSE)</f>
        <v>0</v>
      </c>
      <c r="U4541">
        <f t="shared" si="211"/>
        <v>0</v>
      </c>
      <c r="V4541">
        <f>HLOOKUP("In Use MiB",'vInfo (Imported)'!$1:$5000,M4541,FALSE)</f>
        <v>0</v>
      </c>
    </row>
    <row r="4542" spans="1:22" ht="13" x14ac:dyDescent="0.3">
      <c r="A4542" s="46">
        <f>'vHosts (Imported)'!A4542</f>
        <v>0</v>
      </c>
      <c r="B4542" s="51">
        <f t="shared" si="213"/>
        <v>4968</v>
      </c>
      <c r="C4542" s="49">
        <f>HLOOKUP("# Cores",'vHosts (Imported)'!$1:$5000,M4542,FALSE)</f>
        <v>0</v>
      </c>
      <c r="D4542" s="52">
        <f>HLOOKUP("# Memory",'vHosts (Imported)'!$1:$5000,M4542,FALSE)</f>
        <v>0</v>
      </c>
      <c r="M4542" s="45">
        <f t="shared" si="212"/>
        <v>4542</v>
      </c>
      <c r="N4542" s="38">
        <f>HLOOKUP("Host",'vInfo (Imported)'!$1:$5000,M4542,FALSE)</f>
        <v>0</v>
      </c>
      <c r="R4542">
        <f>HLOOKUP("CPUs",'vInfo (Imported)'!$1:$5000,M4542,FALSE)</f>
        <v>0</v>
      </c>
      <c r="S4542">
        <f>HLOOKUP("Memory",'vInfo (Imported)'!$1:$5000,M4542,FALSE)</f>
        <v>0</v>
      </c>
      <c r="T4542">
        <f>HLOOKUP("Provisioned MiB",'vInfo (Imported)'!$1:$5000,M4542,FALSE)</f>
        <v>0</v>
      </c>
      <c r="U4542">
        <f t="shared" si="211"/>
        <v>0</v>
      </c>
      <c r="V4542">
        <f>HLOOKUP("In Use MiB",'vInfo (Imported)'!$1:$5000,M4542,FALSE)</f>
        <v>0</v>
      </c>
    </row>
    <row r="4543" spans="1:22" ht="13" x14ac:dyDescent="0.3">
      <c r="A4543" s="46">
        <f>'vHosts (Imported)'!A4543</f>
        <v>0</v>
      </c>
      <c r="B4543" s="51">
        <f t="shared" si="213"/>
        <v>4968</v>
      </c>
      <c r="C4543" s="49">
        <f>HLOOKUP("# Cores",'vHosts (Imported)'!$1:$5000,M4543,FALSE)</f>
        <v>0</v>
      </c>
      <c r="D4543" s="52">
        <f>HLOOKUP("# Memory",'vHosts (Imported)'!$1:$5000,M4543,FALSE)</f>
        <v>0</v>
      </c>
      <c r="M4543" s="45">
        <f t="shared" si="212"/>
        <v>4543</v>
      </c>
      <c r="N4543" s="38">
        <f>HLOOKUP("Host",'vInfo (Imported)'!$1:$5000,M4543,FALSE)</f>
        <v>0</v>
      </c>
      <c r="R4543">
        <f>HLOOKUP("CPUs",'vInfo (Imported)'!$1:$5000,M4543,FALSE)</f>
        <v>0</v>
      </c>
      <c r="S4543">
        <f>HLOOKUP("Memory",'vInfo (Imported)'!$1:$5000,M4543,FALSE)</f>
        <v>0</v>
      </c>
      <c r="T4543">
        <f>HLOOKUP("Provisioned MiB",'vInfo (Imported)'!$1:$5000,M4543,FALSE)</f>
        <v>0</v>
      </c>
      <c r="U4543">
        <f t="shared" si="211"/>
        <v>0</v>
      </c>
      <c r="V4543">
        <f>HLOOKUP("In Use MiB",'vInfo (Imported)'!$1:$5000,M4543,FALSE)</f>
        <v>0</v>
      </c>
    </row>
    <row r="4544" spans="1:22" ht="13" x14ac:dyDescent="0.3">
      <c r="A4544" s="46">
        <f>'vHosts (Imported)'!A4544</f>
        <v>0</v>
      </c>
      <c r="B4544" s="51">
        <f t="shared" si="213"/>
        <v>4968</v>
      </c>
      <c r="C4544" s="49">
        <f>HLOOKUP("# Cores",'vHosts (Imported)'!$1:$5000,M4544,FALSE)</f>
        <v>0</v>
      </c>
      <c r="D4544" s="52">
        <f>HLOOKUP("# Memory",'vHosts (Imported)'!$1:$5000,M4544,FALSE)</f>
        <v>0</v>
      </c>
      <c r="M4544" s="45">
        <f t="shared" si="212"/>
        <v>4544</v>
      </c>
      <c r="N4544" s="38">
        <f>HLOOKUP("Host",'vInfo (Imported)'!$1:$5000,M4544,FALSE)</f>
        <v>0</v>
      </c>
      <c r="R4544">
        <f>HLOOKUP("CPUs",'vInfo (Imported)'!$1:$5000,M4544,FALSE)</f>
        <v>0</v>
      </c>
      <c r="S4544">
        <f>HLOOKUP("Memory",'vInfo (Imported)'!$1:$5000,M4544,FALSE)</f>
        <v>0</v>
      </c>
      <c r="T4544">
        <f>HLOOKUP("Provisioned MiB",'vInfo (Imported)'!$1:$5000,M4544,FALSE)</f>
        <v>0</v>
      </c>
      <c r="U4544">
        <f t="shared" si="211"/>
        <v>0</v>
      </c>
      <c r="V4544">
        <f>HLOOKUP("In Use MiB",'vInfo (Imported)'!$1:$5000,M4544,FALSE)</f>
        <v>0</v>
      </c>
    </row>
    <row r="4545" spans="1:22" ht="13" x14ac:dyDescent="0.3">
      <c r="A4545" s="46">
        <f>'vHosts (Imported)'!A4545</f>
        <v>0</v>
      </c>
      <c r="B4545" s="51">
        <f t="shared" si="213"/>
        <v>4968</v>
      </c>
      <c r="C4545" s="49">
        <f>HLOOKUP("# Cores",'vHosts (Imported)'!$1:$5000,M4545,FALSE)</f>
        <v>0</v>
      </c>
      <c r="D4545" s="52">
        <f>HLOOKUP("# Memory",'vHosts (Imported)'!$1:$5000,M4545,FALSE)</f>
        <v>0</v>
      </c>
      <c r="M4545" s="45">
        <f t="shared" si="212"/>
        <v>4545</v>
      </c>
      <c r="N4545" s="38">
        <f>HLOOKUP("Host",'vInfo (Imported)'!$1:$5000,M4545,FALSE)</f>
        <v>0</v>
      </c>
      <c r="R4545">
        <f>HLOOKUP("CPUs",'vInfo (Imported)'!$1:$5000,M4545,FALSE)</f>
        <v>0</v>
      </c>
      <c r="S4545">
        <f>HLOOKUP("Memory",'vInfo (Imported)'!$1:$5000,M4545,FALSE)</f>
        <v>0</v>
      </c>
      <c r="T4545">
        <f>HLOOKUP("Provisioned MiB",'vInfo (Imported)'!$1:$5000,M4545,FALSE)</f>
        <v>0</v>
      </c>
      <c r="U4545">
        <f t="shared" si="211"/>
        <v>0</v>
      </c>
      <c r="V4545">
        <f>HLOOKUP("In Use MiB",'vInfo (Imported)'!$1:$5000,M4545,FALSE)</f>
        <v>0</v>
      </c>
    </row>
    <row r="4546" spans="1:22" ht="13" x14ac:dyDescent="0.3">
      <c r="A4546" s="46">
        <f>'vHosts (Imported)'!A4546</f>
        <v>0</v>
      </c>
      <c r="B4546" s="51">
        <f t="shared" si="213"/>
        <v>4968</v>
      </c>
      <c r="C4546" s="49">
        <f>HLOOKUP("# Cores",'vHosts (Imported)'!$1:$5000,M4546,FALSE)</f>
        <v>0</v>
      </c>
      <c r="D4546" s="52">
        <f>HLOOKUP("# Memory",'vHosts (Imported)'!$1:$5000,M4546,FALSE)</f>
        <v>0</v>
      </c>
      <c r="M4546" s="45">
        <f t="shared" si="212"/>
        <v>4546</v>
      </c>
      <c r="N4546" s="38">
        <f>HLOOKUP("Host",'vInfo (Imported)'!$1:$5000,M4546,FALSE)</f>
        <v>0</v>
      </c>
      <c r="R4546">
        <f>HLOOKUP("CPUs",'vInfo (Imported)'!$1:$5000,M4546,FALSE)</f>
        <v>0</v>
      </c>
      <c r="S4546">
        <f>HLOOKUP("Memory",'vInfo (Imported)'!$1:$5000,M4546,FALSE)</f>
        <v>0</v>
      </c>
      <c r="T4546">
        <f>HLOOKUP("Provisioned MiB",'vInfo (Imported)'!$1:$5000,M4546,FALSE)</f>
        <v>0</v>
      </c>
      <c r="U4546">
        <f t="shared" si="211"/>
        <v>0</v>
      </c>
      <c r="V4546">
        <f>HLOOKUP("In Use MiB",'vInfo (Imported)'!$1:$5000,M4546,FALSE)</f>
        <v>0</v>
      </c>
    </row>
    <row r="4547" spans="1:22" ht="13" x14ac:dyDescent="0.3">
      <c r="A4547" s="46">
        <f>'vHosts (Imported)'!A4547</f>
        <v>0</v>
      </c>
      <c r="B4547" s="51">
        <f t="shared" si="213"/>
        <v>4968</v>
      </c>
      <c r="C4547" s="49">
        <f>HLOOKUP("# Cores",'vHosts (Imported)'!$1:$5000,M4547,FALSE)</f>
        <v>0</v>
      </c>
      <c r="D4547" s="52">
        <f>HLOOKUP("# Memory",'vHosts (Imported)'!$1:$5000,M4547,FALSE)</f>
        <v>0</v>
      </c>
      <c r="M4547" s="45">
        <f t="shared" si="212"/>
        <v>4547</v>
      </c>
      <c r="N4547" s="38">
        <f>HLOOKUP("Host",'vInfo (Imported)'!$1:$5000,M4547,FALSE)</f>
        <v>0</v>
      </c>
      <c r="R4547">
        <f>HLOOKUP("CPUs",'vInfo (Imported)'!$1:$5000,M4547,FALSE)</f>
        <v>0</v>
      </c>
      <c r="S4547">
        <f>HLOOKUP("Memory",'vInfo (Imported)'!$1:$5000,M4547,FALSE)</f>
        <v>0</v>
      </c>
      <c r="T4547">
        <f>HLOOKUP("Provisioned MiB",'vInfo (Imported)'!$1:$5000,M4547,FALSE)</f>
        <v>0</v>
      </c>
      <c r="U4547">
        <f t="shared" ref="U4547:U4610" si="214">T4547-V4547</f>
        <v>0</v>
      </c>
      <c r="V4547">
        <f>HLOOKUP("In Use MiB",'vInfo (Imported)'!$1:$5000,M4547,FALSE)</f>
        <v>0</v>
      </c>
    </row>
    <row r="4548" spans="1:22" ht="13" x14ac:dyDescent="0.3">
      <c r="A4548" s="46">
        <f>'vHosts (Imported)'!A4548</f>
        <v>0</v>
      </c>
      <c r="B4548" s="51">
        <f t="shared" si="213"/>
        <v>4968</v>
      </c>
      <c r="C4548" s="49">
        <f>HLOOKUP("# Cores",'vHosts (Imported)'!$1:$5000,M4548,FALSE)</f>
        <v>0</v>
      </c>
      <c r="D4548" s="52">
        <f>HLOOKUP("# Memory",'vHosts (Imported)'!$1:$5000,M4548,FALSE)</f>
        <v>0</v>
      </c>
      <c r="M4548" s="45">
        <f t="shared" ref="M4548:M4611" si="215">M4547+1</f>
        <v>4548</v>
      </c>
      <c r="N4548" s="38">
        <f>HLOOKUP("Host",'vInfo (Imported)'!$1:$5000,M4548,FALSE)</f>
        <v>0</v>
      </c>
      <c r="R4548">
        <f>HLOOKUP("CPUs",'vInfo (Imported)'!$1:$5000,M4548,FALSE)</f>
        <v>0</v>
      </c>
      <c r="S4548">
        <f>HLOOKUP("Memory",'vInfo (Imported)'!$1:$5000,M4548,FALSE)</f>
        <v>0</v>
      </c>
      <c r="T4548">
        <f>HLOOKUP("Provisioned MiB",'vInfo (Imported)'!$1:$5000,M4548,FALSE)</f>
        <v>0</v>
      </c>
      <c r="U4548">
        <f t="shared" si="214"/>
        <v>0</v>
      </c>
      <c r="V4548">
        <f>HLOOKUP("In Use MiB",'vInfo (Imported)'!$1:$5000,M4548,FALSE)</f>
        <v>0</v>
      </c>
    </row>
    <row r="4549" spans="1:22" ht="13" x14ac:dyDescent="0.3">
      <c r="A4549" s="46">
        <f>'vHosts (Imported)'!A4549</f>
        <v>0</v>
      </c>
      <c r="B4549" s="51">
        <f t="shared" si="213"/>
        <v>4968</v>
      </c>
      <c r="C4549" s="49">
        <f>HLOOKUP("# Cores",'vHosts (Imported)'!$1:$5000,M4549,FALSE)</f>
        <v>0</v>
      </c>
      <c r="D4549" s="52">
        <f>HLOOKUP("# Memory",'vHosts (Imported)'!$1:$5000,M4549,FALSE)</f>
        <v>0</v>
      </c>
      <c r="M4549" s="45">
        <f t="shared" si="215"/>
        <v>4549</v>
      </c>
      <c r="N4549" s="38">
        <f>HLOOKUP("Host",'vInfo (Imported)'!$1:$5000,M4549,FALSE)</f>
        <v>0</v>
      </c>
      <c r="R4549">
        <f>HLOOKUP("CPUs",'vInfo (Imported)'!$1:$5000,M4549,FALSE)</f>
        <v>0</v>
      </c>
      <c r="S4549">
        <f>HLOOKUP("Memory",'vInfo (Imported)'!$1:$5000,M4549,FALSE)</f>
        <v>0</v>
      </c>
      <c r="T4549">
        <f>HLOOKUP("Provisioned MiB",'vInfo (Imported)'!$1:$5000,M4549,FALSE)</f>
        <v>0</v>
      </c>
      <c r="U4549">
        <f t="shared" si="214"/>
        <v>0</v>
      </c>
      <c r="V4549">
        <f>HLOOKUP("In Use MiB",'vInfo (Imported)'!$1:$5000,M4549,FALSE)</f>
        <v>0</v>
      </c>
    </row>
    <row r="4550" spans="1:22" ht="13" x14ac:dyDescent="0.3">
      <c r="A4550" s="46">
        <f>'vHosts (Imported)'!A4550</f>
        <v>0</v>
      </c>
      <c r="B4550" s="51">
        <f t="shared" si="213"/>
        <v>4968</v>
      </c>
      <c r="C4550" s="49">
        <f>HLOOKUP("# Cores",'vHosts (Imported)'!$1:$5000,M4550,FALSE)</f>
        <v>0</v>
      </c>
      <c r="D4550" s="52">
        <f>HLOOKUP("# Memory",'vHosts (Imported)'!$1:$5000,M4550,FALSE)</f>
        <v>0</v>
      </c>
      <c r="M4550" s="45">
        <f t="shared" si="215"/>
        <v>4550</v>
      </c>
      <c r="N4550" s="38">
        <f>HLOOKUP("Host",'vInfo (Imported)'!$1:$5000,M4550,FALSE)</f>
        <v>0</v>
      </c>
      <c r="R4550">
        <f>HLOOKUP("CPUs",'vInfo (Imported)'!$1:$5000,M4550,FALSE)</f>
        <v>0</v>
      </c>
      <c r="S4550">
        <f>HLOOKUP("Memory",'vInfo (Imported)'!$1:$5000,M4550,FALSE)</f>
        <v>0</v>
      </c>
      <c r="T4550">
        <f>HLOOKUP("Provisioned MiB",'vInfo (Imported)'!$1:$5000,M4550,FALSE)</f>
        <v>0</v>
      </c>
      <c r="U4550">
        <f t="shared" si="214"/>
        <v>0</v>
      </c>
      <c r="V4550">
        <f>HLOOKUP("In Use MiB",'vInfo (Imported)'!$1:$5000,M4550,FALSE)</f>
        <v>0</v>
      </c>
    </row>
    <row r="4551" spans="1:22" ht="13" x14ac:dyDescent="0.3">
      <c r="A4551" s="46">
        <f>'vHosts (Imported)'!A4551</f>
        <v>0</v>
      </c>
      <c r="B4551" s="51">
        <f t="shared" si="213"/>
        <v>4968</v>
      </c>
      <c r="C4551" s="49">
        <f>HLOOKUP("# Cores",'vHosts (Imported)'!$1:$5000,M4551,FALSE)</f>
        <v>0</v>
      </c>
      <c r="D4551" s="52">
        <f>HLOOKUP("# Memory",'vHosts (Imported)'!$1:$5000,M4551,FALSE)</f>
        <v>0</v>
      </c>
      <c r="M4551" s="45">
        <f t="shared" si="215"/>
        <v>4551</v>
      </c>
      <c r="N4551" s="38">
        <f>HLOOKUP("Host",'vInfo (Imported)'!$1:$5000,M4551,FALSE)</f>
        <v>0</v>
      </c>
      <c r="R4551">
        <f>HLOOKUP("CPUs",'vInfo (Imported)'!$1:$5000,M4551,FALSE)</f>
        <v>0</v>
      </c>
      <c r="S4551">
        <f>HLOOKUP("Memory",'vInfo (Imported)'!$1:$5000,M4551,FALSE)</f>
        <v>0</v>
      </c>
      <c r="T4551">
        <f>HLOOKUP("Provisioned MiB",'vInfo (Imported)'!$1:$5000,M4551,FALSE)</f>
        <v>0</v>
      </c>
      <c r="U4551">
        <f t="shared" si="214"/>
        <v>0</v>
      </c>
      <c r="V4551">
        <f>HLOOKUP("In Use MiB",'vInfo (Imported)'!$1:$5000,M4551,FALSE)</f>
        <v>0</v>
      </c>
    </row>
    <row r="4552" spans="1:22" ht="13" x14ac:dyDescent="0.3">
      <c r="A4552" s="46">
        <f>'vHosts (Imported)'!A4552</f>
        <v>0</v>
      </c>
      <c r="B4552" s="51">
        <f t="shared" si="213"/>
        <v>4968</v>
      </c>
      <c r="C4552" s="49">
        <f>HLOOKUP("# Cores",'vHosts (Imported)'!$1:$5000,M4552,FALSE)</f>
        <v>0</v>
      </c>
      <c r="D4552" s="52">
        <f>HLOOKUP("# Memory",'vHosts (Imported)'!$1:$5000,M4552,FALSE)</f>
        <v>0</v>
      </c>
      <c r="M4552" s="45">
        <f t="shared" si="215"/>
        <v>4552</v>
      </c>
      <c r="N4552" s="38">
        <f>HLOOKUP("Host",'vInfo (Imported)'!$1:$5000,M4552,FALSE)</f>
        <v>0</v>
      </c>
      <c r="R4552">
        <f>HLOOKUP("CPUs",'vInfo (Imported)'!$1:$5000,M4552,FALSE)</f>
        <v>0</v>
      </c>
      <c r="S4552">
        <f>HLOOKUP("Memory",'vInfo (Imported)'!$1:$5000,M4552,FALSE)</f>
        <v>0</v>
      </c>
      <c r="T4552">
        <f>HLOOKUP("Provisioned MiB",'vInfo (Imported)'!$1:$5000,M4552,FALSE)</f>
        <v>0</v>
      </c>
      <c r="U4552">
        <f t="shared" si="214"/>
        <v>0</v>
      </c>
      <c r="V4552">
        <f>HLOOKUP("In Use MiB",'vInfo (Imported)'!$1:$5000,M4552,FALSE)</f>
        <v>0</v>
      </c>
    </row>
    <row r="4553" spans="1:22" ht="13" x14ac:dyDescent="0.3">
      <c r="A4553" s="46">
        <f>'vHosts (Imported)'!A4553</f>
        <v>0</v>
      </c>
      <c r="B4553" s="51">
        <f t="shared" si="213"/>
        <v>4968</v>
      </c>
      <c r="C4553" s="49">
        <f>HLOOKUP("# Cores",'vHosts (Imported)'!$1:$5000,M4553,FALSE)</f>
        <v>0</v>
      </c>
      <c r="D4553" s="52">
        <f>HLOOKUP("# Memory",'vHosts (Imported)'!$1:$5000,M4553,FALSE)</f>
        <v>0</v>
      </c>
      <c r="M4553" s="45">
        <f t="shared" si="215"/>
        <v>4553</v>
      </c>
      <c r="N4553" s="38">
        <f>HLOOKUP("Host",'vInfo (Imported)'!$1:$5000,M4553,FALSE)</f>
        <v>0</v>
      </c>
      <c r="R4553">
        <f>HLOOKUP("CPUs",'vInfo (Imported)'!$1:$5000,M4553,FALSE)</f>
        <v>0</v>
      </c>
      <c r="S4553">
        <f>HLOOKUP("Memory",'vInfo (Imported)'!$1:$5000,M4553,FALSE)</f>
        <v>0</v>
      </c>
      <c r="T4553">
        <f>HLOOKUP("Provisioned MiB",'vInfo (Imported)'!$1:$5000,M4553,FALSE)</f>
        <v>0</v>
      </c>
      <c r="U4553">
        <f t="shared" si="214"/>
        <v>0</v>
      </c>
      <c r="V4553">
        <f>HLOOKUP("In Use MiB",'vInfo (Imported)'!$1:$5000,M4553,FALSE)</f>
        <v>0</v>
      </c>
    </row>
    <row r="4554" spans="1:22" ht="13" x14ac:dyDescent="0.3">
      <c r="A4554" s="46">
        <f>'vHosts (Imported)'!A4554</f>
        <v>0</v>
      </c>
      <c r="B4554" s="51">
        <f t="shared" si="213"/>
        <v>4968</v>
      </c>
      <c r="C4554" s="49">
        <f>HLOOKUP("# Cores",'vHosts (Imported)'!$1:$5000,M4554,FALSE)</f>
        <v>0</v>
      </c>
      <c r="D4554" s="52">
        <f>HLOOKUP("# Memory",'vHosts (Imported)'!$1:$5000,M4554,FALSE)</f>
        <v>0</v>
      </c>
      <c r="M4554" s="45">
        <f t="shared" si="215"/>
        <v>4554</v>
      </c>
      <c r="N4554" s="38">
        <f>HLOOKUP("Host",'vInfo (Imported)'!$1:$5000,M4554,FALSE)</f>
        <v>0</v>
      </c>
      <c r="R4554">
        <f>HLOOKUP("CPUs",'vInfo (Imported)'!$1:$5000,M4554,FALSE)</f>
        <v>0</v>
      </c>
      <c r="S4554">
        <f>HLOOKUP("Memory",'vInfo (Imported)'!$1:$5000,M4554,FALSE)</f>
        <v>0</v>
      </c>
      <c r="T4554">
        <f>HLOOKUP("Provisioned MiB",'vInfo (Imported)'!$1:$5000,M4554,FALSE)</f>
        <v>0</v>
      </c>
      <c r="U4554">
        <f t="shared" si="214"/>
        <v>0</v>
      </c>
      <c r="V4554">
        <f>HLOOKUP("In Use MiB",'vInfo (Imported)'!$1:$5000,M4554,FALSE)</f>
        <v>0</v>
      </c>
    </row>
    <row r="4555" spans="1:22" ht="13" x14ac:dyDescent="0.3">
      <c r="A4555" s="46">
        <f>'vHosts (Imported)'!A4555</f>
        <v>0</v>
      </c>
      <c r="B4555" s="51">
        <f t="shared" si="213"/>
        <v>4968</v>
      </c>
      <c r="C4555" s="49">
        <f>HLOOKUP("# Cores",'vHosts (Imported)'!$1:$5000,M4555,FALSE)</f>
        <v>0</v>
      </c>
      <c r="D4555" s="52">
        <f>HLOOKUP("# Memory",'vHosts (Imported)'!$1:$5000,M4555,FALSE)</f>
        <v>0</v>
      </c>
      <c r="M4555" s="45">
        <f t="shared" si="215"/>
        <v>4555</v>
      </c>
      <c r="N4555" s="38">
        <f>HLOOKUP("Host",'vInfo (Imported)'!$1:$5000,M4555,FALSE)</f>
        <v>0</v>
      </c>
      <c r="R4555">
        <f>HLOOKUP("CPUs",'vInfo (Imported)'!$1:$5000,M4555,FALSE)</f>
        <v>0</v>
      </c>
      <c r="S4555">
        <f>HLOOKUP("Memory",'vInfo (Imported)'!$1:$5000,M4555,FALSE)</f>
        <v>0</v>
      </c>
      <c r="T4555">
        <f>HLOOKUP("Provisioned MiB",'vInfo (Imported)'!$1:$5000,M4555,FALSE)</f>
        <v>0</v>
      </c>
      <c r="U4555">
        <f t="shared" si="214"/>
        <v>0</v>
      </c>
      <c r="V4555">
        <f>HLOOKUP("In Use MiB",'vInfo (Imported)'!$1:$5000,M4555,FALSE)</f>
        <v>0</v>
      </c>
    </row>
    <row r="4556" spans="1:22" ht="13" x14ac:dyDescent="0.3">
      <c r="A4556" s="46">
        <f>'vHosts (Imported)'!A4556</f>
        <v>0</v>
      </c>
      <c r="B4556" s="51">
        <f t="shared" si="213"/>
        <v>4968</v>
      </c>
      <c r="C4556" s="49">
        <f>HLOOKUP("# Cores",'vHosts (Imported)'!$1:$5000,M4556,FALSE)</f>
        <v>0</v>
      </c>
      <c r="D4556" s="52">
        <f>HLOOKUP("# Memory",'vHosts (Imported)'!$1:$5000,M4556,FALSE)</f>
        <v>0</v>
      </c>
      <c r="M4556" s="45">
        <f t="shared" si="215"/>
        <v>4556</v>
      </c>
      <c r="N4556" s="38">
        <f>HLOOKUP("Host",'vInfo (Imported)'!$1:$5000,M4556,FALSE)</f>
        <v>0</v>
      </c>
      <c r="R4556">
        <f>HLOOKUP("CPUs",'vInfo (Imported)'!$1:$5000,M4556,FALSE)</f>
        <v>0</v>
      </c>
      <c r="S4556">
        <f>HLOOKUP("Memory",'vInfo (Imported)'!$1:$5000,M4556,FALSE)</f>
        <v>0</v>
      </c>
      <c r="T4556">
        <f>HLOOKUP("Provisioned MiB",'vInfo (Imported)'!$1:$5000,M4556,FALSE)</f>
        <v>0</v>
      </c>
      <c r="U4556">
        <f t="shared" si="214"/>
        <v>0</v>
      </c>
      <c r="V4556">
        <f>HLOOKUP("In Use MiB",'vInfo (Imported)'!$1:$5000,M4556,FALSE)</f>
        <v>0</v>
      </c>
    </row>
    <row r="4557" spans="1:22" ht="13" x14ac:dyDescent="0.3">
      <c r="A4557" s="46">
        <f>'vHosts (Imported)'!A4557</f>
        <v>0</v>
      </c>
      <c r="B4557" s="51">
        <f t="shared" si="213"/>
        <v>4968</v>
      </c>
      <c r="C4557" s="49">
        <f>HLOOKUP("# Cores",'vHosts (Imported)'!$1:$5000,M4557,FALSE)</f>
        <v>0</v>
      </c>
      <c r="D4557" s="52">
        <f>HLOOKUP("# Memory",'vHosts (Imported)'!$1:$5000,M4557,FALSE)</f>
        <v>0</v>
      </c>
      <c r="M4557" s="45">
        <f t="shared" si="215"/>
        <v>4557</v>
      </c>
      <c r="N4557" s="38">
        <f>HLOOKUP("Host",'vInfo (Imported)'!$1:$5000,M4557,FALSE)</f>
        <v>0</v>
      </c>
      <c r="R4557">
        <f>HLOOKUP("CPUs",'vInfo (Imported)'!$1:$5000,M4557,FALSE)</f>
        <v>0</v>
      </c>
      <c r="S4557">
        <f>HLOOKUP("Memory",'vInfo (Imported)'!$1:$5000,M4557,FALSE)</f>
        <v>0</v>
      </c>
      <c r="T4557">
        <f>HLOOKUP("Provisioned MiB",'vInfo (Imported)'!$1:$5000,M4557,FALSE)</f>
        <v>0</v>
      </c>
      <c r="U4557">
        <f t="shared" si="214"/>
        <v>0</v>
      </c>
      <c r="V4557">
        <f>HLOOKUP("In Use MiB",'vInfo (Imported)'!$1:$5000,M4557,FALSE)</f>
        <v>0</v>
      </c>
    </row>
    <row r="4558" spans="1:22" ht="13" x14ac:dyDescent="0.3">
      <c r="A4558" s="46">
        <f>'vHosts (Imported)'!A4558</f>
        <v>0</v>
      </c>
      <c r="B4558" s="51">
        <f t="shared" si="213"/>
        <v>4968</v>
      </c>
      <c r="C4558" s="49">
        <f>HLOOKUP("# Cores",'vHosts (Imported)'!$1:$5000,M4558,FALSE)</f>
        <v>0</v>
      </c>
      <c r="D4558" s="52">
        <f>HLOOKUP("# Memory",'vHosts (Imported)'!$1:$5000,M4558,FALSE)</f>
        <v>0</v>
      </c>
      <c r="M4558" s="45">
        <f t="shared" si="215"/>
        <v>4558</v>
      </c>
      <c r="N4558" s="38">
        <f>HLOOKUP("Host",'vInfo (Imported)'!$1:$5000,M4558,FALSE)</f>
        <v>0</v>
      </c>
      <c r="R4558">
        <f>HLOOKUP("CPUs",'vInfo (Imported)'!$1:$5000,M4558,FALSE)</f>
        <v>0</v>
      </c>
      <c r="S4558">
        <f>HLOOKUP("Memory",'vInfo (Imported)'!$1:$5000,M4558,FALSE)</f>
        <v>0</v>
      </c>
      <c r="T4558">
        <f>HLOOKUP("Provisioned MiB",'vInfo (Imported)'!$1:$5000,M4558,FALSE)</f>
        <v>0</v>
      </c>
      <c r="U4558">
        <f t="shared" si="214"/>
        <v>0</v>
      </c>
      <c r="V4558">
        <f>HLOOKUP("In Use MiB",'vInfo (Imported)'!$1:$5000,M4558,FALSE)</f>
        <v>0</v>
      </c>
    </row>
    <row r="4559" spans="1:22" ht="13" x14ac:dyDescent="0.3">
      <c r="A4559" s="46">
        <f>'vHosts (Imported)'!A4559</f>
        <v>0</v>
      </c>
      <c r="B4559" s="51">
        <f t="shared" si="213"/>
        <v>4968</v>
      </c>
      <c r="C4559" s="49">
        <f>HLOOKUP("# Cores",'vHosts (Imported)'!$1:$5000,M4559,FALSE)</f>
        <v>0</v>
      </c>
      <c r="D4559" s="52">
        <f>HLOOKUP("# Memory",'vHosts (Imported)'!$1:$5000,M4559,FALSE)</f>
        <v>0</v>
      </c>
      <c r="M4559" s="45">
        <f t="shared" si="215"/>
        <v>4559</v>
      </c>
      <c r="N4559" s="38">
        <f>HLOOKUP("Host",'vInfo (Imported)'!$1:$5000,M4559,FALSE)</f>
        <v>0</v>
      </c>
      <c r="R4559">
        <f>HLOOKUP("CPUs",'vInfo (Imported)'!$1:$5000,M4559,FALSE)</f>
        <v>0</v>
      </c>
      <c r="S4559">
        <f>HLOOKUP("Memory",'vInfo (Imported)'!$1:$5000,M4559,FALSE)</f>
        <v>0</v>
      </c>
      <c r="T4559">
        <f>HLOOKUP("Provisioned MiB",'vInfo (Imported)'!$1:$5000,M4559,FALSE)</f>
        <v>0</v>
      </c>
      <c r="U4559">
        <f t="shared" si="214"/>
        <v>0</v>
      </c>
      <c r="V4559">
        <f>HLOOKUP("In Use MiB",'vInfo (Imported)'!$1:$5000,M4559,FALSE)</f>
        <v>0</v>
      </c>
    </row>
    <row r="4560" spans="1:22" ht="13" x14ac:dyDescent="0.3">
      <c r="A4560" s="46">
        <f>'vHosts (Imported)'!A4560</f>
        <v>0</v>
      </c>
      <c r="B4560" s="51">
        <f t="shared" si="213"/>
        <v>4968</v>
      </c>
      <c r="C4560" s="49">
        <f>HLOOKUP("# Cores",'vHosts (Imported)'!$1:$5000,M4560,FALSE)</f>
        <v>0</v>
      </c>
      <c r="D4560" s="52">
        <f>HLOOKUP("# Memory",'vHosts (Imported)'!$1:$5000,M4560,FALSE)</f>
        <v>0</v>
      </c>
      <c r="M4560" s="45">
        <f t="shared" si="215"/>
        <v>4560</v>
      </c>
      <c r="N4560" s="38">
        <f>HLOOKUP("Host",'vInfo (Imported)'!$1:$5000,M4560,FALSE)</f>
        <v>0</v>
      </c>
      <c r="R4560">
        <f>HLOOKUP("CPUs",'vInfo (Imported)'!$1:$5000,M4560,FALSE)</f>
        <v>0</v>
      </c>
      <c r="S4560">
        <f>HLOOKUP("Memory",'vInfo (Imported)'!$1:$5000,M4560,FALSE)</f>
        <v>0</v>
      </c>
      <c r="T4560">
        <f>HLOOKUP("Provisioned MiB",'vInfo (Imported)'!$1:$5000,M4560,FALSE)</f>
        <v>0</v>
      </c>
      <c r="U4560">
        <f t="shared" si="214"/>
        <v>0</v>
      </c>
      <c r="V4560">
        <f>HLOOKUP("In Use MiB",'vInfo (Imported)'!$1:$5000,M4560,FALSE)</f>
        <v>0</v>
      </c>
    </row>
    <row r="4561" spans="1:22" ht="13" x14ac:dyDescent="0.3">
      <c r="A4561" s="46">
        <f>'vHosts (Imported)'!A4561</f>
        <v>0</v>
      </c>
      <c r="B4561" s="51">
        <f t="shared" si="213"/>
        <v>4968</v>
      </c>
      <c r="C4561" s="49">
        <f>HLOOKUP("# Cores",'vHosts (Imported)'!$1:$5000,M4561,FALSE)</f>
        <v>0</v>
      </c>
      <c r="D4561" s="52">
        <f>HLOOKUP("# Memory",'vHosts (Imported)'!$1:$5000,M4561,FALSE)</f>
        <v>0</v>
      </c>
      <c r="M4561" s="45">
        <f t="shared" si="215"/>
        <v>4561</v>
      </c>
      <c r="N4561" s="38">
        <f>HLOOKUP("Host",'vInfo (Imported)'!$1:$5000,M4561,FALSE)</f>
        <v>0</v>
      </c>
      <c r="R4561">
        <f>HLOOKUP("CPUs",'vInfo (Imported)'!$1:$5000,M4561,FALSE)</f>
        <v>0</v>
      </c>
      <c r="S4561">
        <f>HLOOKUP("Memory",'vInfo (Imported)'!$1:$5000,M4561,FALSE)</f>
        <v>0</v>
      </c>
      <c r="T4561">
        <f>HLOOKUP("Provisioned MiB",'vInfo (Imported)'!$1:$5000,M4561,FALSE)</f>
        <v>0</v>
      </c>
      <c r="U4561">
        <f t="shared" si="214"/>
        <v>0</v>
      </c>
      <c r="V4561">
        <f>HLOOKUP("In Use MiB",'vInfo (Imported)'!$1:$5000,M4561,FALSE)</f>
        <v>0</v>
      </c>
    </row>
    <row r="4562" spans="1:22" ht="13" x14ac:dyDescent="0.3">
      <c r="A4562" s="46">
        <f>'vHosts (Imported)'!A4562</f>
        <v>0</v>
      </c>
      <c r="B4562" s="51">
        <f t="shared" si="213"/>
        <v>4968</v>
      </c>
      <c r="C4562" s="49">
        <f>HLOOKUP("# Cores",'vHosts (Imported)'!$1:$5000,M4562,FALSE)</f>
        <v>0</v>
      </c>
      <c r="D4562" s="52">
        <f>HLOOKUP("# Memory",'vHosts (Imported)'!$1:$5000,M4562,FALSE)</f>
        <v>0</v>
      </c>
      <c r="M4562" s="45">
        <f t="shared" si="215"/>
        <v>4562</v>
      </c>
      <c r="N4562" s="38">
        <f>HLOOKUP("Host",'vInfo (Imported)'!$1:$5000,M4562,FALSE)</f>
        <v>0</v>
      </c>
      <c r="R4562">
        <f>HLOOKUP("CPUs",'vInfo (Imported)'!$1:$5000,M4562,FALSE)</f>
        <v>0</v>
      </c>
      <c r="S4562">
        <f>HLOOKUP("Memory",'vInfo (Imported)'!$1:$5000,M4562,FALSE)</f>
        <v>0</v>
      </c>
      <c r="T4562">
        <f>HLOOKUP("Provisioned MiB",'vInfo (Imported)'!$1:$5000,M4562,FALSE)</f>
        <v>0</v>
      </c>
      <c r="U4562">
        <f t="shared" si="214"/>
        <v>0</v>
      </c>
      <c r="V4562">
        <f>HLOOKUP("In Use MiB",'vInfo (Imported)'!$1:$5000,M4562,FALSE)</f>
        <v>0</v>
      </c>
    </row>
    <row r="4563" spans="1:22" ht="13" x14ac:dyDescent="0.3">
      <c r="A4563" s="46">
        <f>'vHosts (Imported)'!A4563</f>
        <v>0</v>
      </c>
      <c r="B4563" s="51">
        <f t="shared" si="213"/>
        <v>4968</v>
      </c>
      <c r="C4563" s="49">
        <f>HLOOKUP("# Cores",'vHosts (Imported)'!$1:$5000,M4563,FALSE)</f>
        <v>0</v>
      </c>
      <c r="D4563" s="52">
        <f>HLOOKUP("# Memory",'vHosts (Imported)'!$1:$5000,M4563,FALSE)</f>
        <v>0</v>
      </c>
      <c r="M4563" s="45">
        <f t="shared" si="215"/>
        <v>4563</v>
      </c>
      <c r="N4563" s="38">
        <f>HLOOKUP("Host",'vInfo (Imported)'!$1:$5000,M4563,FALSE)</f>
        <v>0</v>
      </c>
      <c r="R4563">
        <f>HLOOKUP("CPUs",'vInfo (Imported)'!$1:$5000,M4563,FALSE)</f>
        <v>0</v>
      </c>
      <c r="S4563">
        <f>HLOOKUP("Memory",'vInfo (Imported)'!$1:$5000,M4563,FALSE)</f>
        <v>0</v>
      </c>
      <c r="T4563">
        <f>HLOOKUP("Provisioned MiB",'vInfo (Imported)'!$1:$5000,M4563,FALSE)</f>
        <v>0</v>
      </c>
      <c r="U4563">
        <f t="shared" si="214"/>
        <v>0</v>
      </c>
      <c r="V4563">
        <f>HLOOKUP("In Use MiB",'vInfo (Imported)'!$1:$5000,M4563,FALSE)</f>
        <v>0</v>
      </c>
    </row>
    <row r="4564" spans="1:22" ht="13" x14ac:dyDescent="0.3">
      <c r="A4564" s="46">
        <f>'vHosts (Imported)'!A4564</f>
        <v>0</v>
      </c>
      <c r="B4564" s="51">
        <f t="shared" si="213"/>
        <v>4968</v>
      </c>
      <c r="C4564" s="49">
        <f>HLOOKUP("# Cores",'vHosts (Imported)'!$1:$5000,M4564,FALSE)</f>
        <v>0</v>
      </c>
      <c r="D4564" s="52">
        <f>HLOOKUP("# Memory",'vHosts (Imported)'!$1:$5000,M4564,FALSE)</f>
        <v>0</v>
      </c>
      <c r="M4564" s="45">
        <f t="shared" si="215"/>
        <v>4564</v>
      </c>
      <c r="N4564" s="38">
        <f>HLOOKUP("Host",'vInfo (Imported)'!$1:$5000,M4564,FALSE)</f>
        <v>0</v>
      </c>
      <c r="R4564">
        <f>HLOOKUP("CPUs",'vInfo (Imported)'!$1:$5000,M4564,FALSE)</f>
        <v>0</v>
      </c>
      <c r="S4564">
        <f>HLOOKUP("Memory",'vInfo (Imported)'!$1:$5000,M4564,FALSE)</f>
        <v>0</v>
      </c>
      <c r="T4564">
        <f>HLOOKUP("Provisioned MiB",'vInfo (Imported)'!$1:$5000,M4564,FALSE)</f>
        <v>0</v>
      </c>
      <c r="U4564">
        <f t="shared" si="214"/>
        <v>0</v>
      </c>
      <c r="V4564">
        <f>HLOOKUP("In Use MiB",'vInfo (Imported)'!$1:$5000,M4564,FALSE)</f>
        <v>0</v>
      </c>
    </row>
    <row r="4565" spans="1:22" ht="13" x14ac:dyDescent="0.3">
      <c r="A4565" s="46">
        <f>'vHosts (Imported)'!A4565</f>
        <v>0</v>
      </c>
      <c r="B4565" s="51">
        <f t="shared" si="213"/>
        <v>4968</v>
      </c>
      <c r="C4565" s="49">
        <f>HLOOKUP("# Cores",'vHosts (Imported)'!$1:$5000,M4565,FALSE)</f>
        <v>0</v>
      </c>
      <c r="D4565" s="52">
        <f>HLOOKUP("# Memory",'vHosts (Imported)'!$1:$5000,M4565,FALSE)</f>
        <v>0</v>
      </c>
      <c r="M4565" s="45">
        <f t="shared" si="215"/>
        <v>4565</v>
      </c>
      <c r="N4565" s="38">
        <f>HLOOKUP("Host",'vInfo (Imported)'!$1:$5000,M4565,FALSE)</f>
        <v>0</v>
      </c>
      <c r="R4565">
        <f>HLOOKUP("CPUs",'vInfo (Imported)'!$1:$5000,M4565,FALSE)</f>
        <v>0</v>
      </c>
      <c r="S4565">
        <f>HLOOKUP("Memory",'vInfo (Imported)'!$1:$5000,M4565,FALSE)</f>
        <v>0</v>
      </c>
      <c r="T4565">
        <f>HLOOKUP("Provisioned MiB",'vInfo (Imported)'!$1:$5000,M4565,FALSE)</f>
        <v>0</v>
      </c>
      <c r="U4565">
        <f t="shared" si="214"/>
        <v>0</v>
      </c>
      <c r="V4565">
        <f>HLOOKUP("In Use MiB",'vInfo (Imported)'!$1:$5000,M4565,FALSE)</f>
        <v>0</v>
      </c>
    </row>
    <row r="4566" spans="1:22" ht="13" x14ac:dyDescent="0.3">
      <c r="A4566" s="46">
        <f>'vHosts (Imported)'!A4566</f>
        <v>0</v>
      </c>
      <c r="B4566" s="51">
        <f t="shared" si="213"/>
        <v>4968</v>
      </c>
      <c r="C4566" s="49">
        <f>HLOOKUP("# Cores",'vHosts (Imported)'!$1:$5000,M4566,FALSE)</f>
        <v>0</v>
      </c>
      <c r="D4566" s="52">
        <f>HLOOKUP("# Memory",'vHosts (Imported)'!$1:$5000,M4566,FALSE)</f>
        <v>0</v>
      </c>
      <c r="M4566" s="45">
        <f t="shared" si="215"/>
        <v>4566</v>
      </c>
      <c r="N4566" s="38">
        <f>HLOOKUP("Host",'vInfo (Imported)'!$1:$5000,M4566,FALSE)</f>
        <v>0</v>
      </c>
      <c r="R4566">
        <f>HLOOKUP("CPUs",'vInfo (Imported)'!$1:$5000,M4566,FALSE)</f>
        <v>0</v>
      </c>
      <c r="S4566">
        <f>HLOOKUP("Memory",'vInfo (Imported)'!$1:$5000,M4566,FALSE)</f>
        <v>0</v>
      </c>
      <c r="T4566">
        <f>HLOOKUP("Provisioned MiB",'vInfo (Imported)'!$1:$5000,M4566,FALSE)</f>
        <v>0</v>
      </c>
      <c r="U4566">
        <f t="shared" si="214"/>
        <v>0</v>
      </c>
      <c r="V4566">
        <f>HLOOKUP("In Use MiB",'vInfo (Imported)'!$1:$5000,M4566,FALSE)</f>
        <v>0</v>
      </c>
    </row>
    <row r="4567" spans="1:22" ht="13" x14ac:dyDescent="0.3">
      <c r="A4567" s="46">
        <f>'vHosts (Imported)'!A4567</f>
        <v>0</v>
      </c>
      <c r="B4567" s="51">
        <f t="shared" si="213"/>
        <v>4968</v>
      </c>
      <c r="C4567" s="49">
        <f>HLOOKUP("# Cores",'vHosts (Imported)'!$1:$5000,M4567,FALSE)</f>
        <v>0</v>
      </c>
      <c r="D4567" s="52">
        <f>HLOOKUP("# Memory",'vHosts (Imported)'!$1:$5000,M4567,FALSE)</f>
        <v>0</v>
      </c>
      <c r="M4567" s="45">
        <f t="shared" si="215"/>
        <v>4567</v>
      </c>
      <c r="N4567" s="38">
        <f>HLOOKUP("Host",'vInfo (Imported)'!$1:$5000,M4567,FALSE)</f>
        <v>0</v>
      </c>
      <c r="R4567">
        <f>HLOOKUP("CPUs",'vInfo (Imported)'!$1:$5000,M4567,FALSE)</f>
        <v>0</v>
      </c>
      <c r="S4567">
        <f>HLOOKUP("Memory",'vInfo (Imported)'!$1:$5000,M4567,FALSE)</f>
        <v>0</v>
      </c>
      <c r="T4567">
        <f>HLOOKUP("Provisioned MiB",'vInfo (Imported)'!$1:$5000,M4567,FALSE)</f>
        <v>0</v>
      </c>
      <c r="U4567">
        <f t="shared" si="214"/>
        <v>0</v>
      </c>
      <c r="V4567">
        <f>HLOOKUP("In Use MiB",'vInfo (Imported)'!$1:$5000,M4567,FALSE)</f>
        <v>0</v>
      </c>
    </row>
    <row r="4568" spans="1:22" ht="13" x14ac:dyDescent="0.3">
      <c r="A4568" s="46">
        <f>'vHosts (Imported)'!A4568</f>
        <v>0</v>
      </c>
      <c r="B4568" s="51">
        <f t="shared" si="213"/>
        <v>4968</v>
      </c>
      <c r="C4568" s="49">
        <f>HLOOKUP("# Cores",'vHosts (Imported)'!$1:$5000,M4568,FALSE)</f>
        <v>0</v>
      </c>
      <c r="D4568" s="52">
        <f>HLOOKUP("# Memory",'vHosts (Imported)'!$1:$5000,M4568,FALSE)</f>
        <v>0</v>
      </c>
      <c r="M4568" s="45">
        <f t="shared" si="215"/>
        <v>4568</v>
      </c>
      <c r="N4568" s="38">
        <f>HLOOKUP("Host",'vInfo (Imported)'!$1:$5000,M4568,FALSE)</f>
        <v>0</v>
      </c>
      <c r="R4568">
        <f>HLOOKUP("CPUs",'vInfo (Imported)'!$1:$5000,M4568,FALSE)</f>
        <v>0</v>
      </c>
      <c r="S4568">
        <f>HLOOKUP("Memory",'vInfo (Imported)'!$1:$5000,M4568,FALSE)</f>
        <v>0</v>
      </c>
      <c r="T4568">
        <f>HLOOKUP("Provisioned MiB",'vInfo (Imported)'!$1:$5000,M4568,FALSE)</f>
        <v>0</v>
      </c>
      <c r="U4568">
        <f t="shared" si="214"/>
        <v>0</v>
      </c>
      <c r="V4568">
        <f>HLOOKUP("In Use MiB",'vInfo (Imported)'!$1:$5000,M4568,FALSE)</f>
        <v>0</v>
      </c>
    </row>
    <row r="4569" spans="1:22" ht="13" x14ac:dyDescent="0.3">
      <c r="A4569" s="46">
        <f>'vHosts (Imported)'!A4569</f>
        <v>0</v>
      </c>
      <c r="B4569" s="51">
        <f t="shared" si="213"/>
        <v>4968</v>
      </c>
      <c r="C4569" s="49">
        <f>HLOOKUP("# Cores",'vHosts (Imported)'!$1:$5000,M4569,FALSE)</f>
        <v>0</v>
      </c>
      <c r="D4569" s="52">
        <f>HLOOKUP("# Memory",'vHosts (Imported)'!$1:$5000,M4569,FALSE)</f>
        <v>0</v>
      </c>
      <c r="M4569" s="45">
        <f t="shared" si="215"/>
        <v>4569</v>
      </c>
      <c r="N4569" s="38">
        <f>HLOOKUP("Host",'vInfo (Imported)'!$1:$5000,M4569,FALSE)</f>
        <v>0</v>
      </c>
      <c r="R4569">
        <f>HLOOKUP("CPUs",'vInfo (Imported)'!$1:$5000,M4569,FALSE)</f>
        <v>0</v>
      </c>
      <c r="S4569">
        <f>HLOOKUP("Memory",'vInfo (Imported)'!$1:$5000,M4569,FALSE)</f>
        <v>0</v>
      </c>
      <c r="T4569">
        <f>HLOOKUP("Provisioned MiB",'vInfo (Imported)'!$1:$5000,M4569,FALSE)</f>
        <v>0</v>
      </c>
      <c r="U4569">
        <f t="shared" si="214"/>
        <v>0</v>
      </c>
      <c r="V4569">
        <f>HLOOKUP("In Use MiB",'vInfo (Imported)'!$1:$5000,M4569,FALSE)</f>
        <v>0</v>
      </c>
    </row>
    <row r="4570" spans="1:22" ht="13" x14ac:dyDescent="0.3">
      <c r="A4570" s="46">
        <f>'vHosts (Imported)'!A4570</f>
        <v>0</v>
      </c>
      <c r="B4570" s="51">
        <f t="shared" si="213"/>
        <v>4968</v>
      </c>
      <c r="C4570" s="49">
        <f>HLOOKUP("# Cores",'vHosts (Imported)'!$1:$5000,M4570,FALSE)</f>
        <v>0</v>
      </c>
      <c r="D4570" s="52">
        <f>HLOOKUP("# Memory",'vHosts (Imported)'!$1:$5000,M4570,FALSE)</f>
        <v>0</v>
      </c>
      <c r="M4570" s="45">
        <f t="shared" si="215"/>
        <v>4570</v>
      </c>
      <c r="N4570" s="38">
        <f>HLOOKUP("Host",'vInfo (Imported)'!$1:$5000,M4570,FALSE)</f>
        <v>0</v>
      </c>
      <c r="R4570">
        <f>HLOOKUP("CPUs",'vInfo (Imported)'!$1:$5000,M4570,FALSE)</f>
        <v>0</v>
      </c>
      <c r="S4570">
        <f>HLOOKUP("Memory",'vInfo (Imported)'!$1:$5000,M4570,FALSE)</f>
        <v>0</v>
      </c>
      <c r="T4570">
        <f>HLOOKUP("Provisioned MiB",'vInfo (Imported)'!$1:$5000,M4570,FALSE)</f>
        <v>0</v>
      </c>
      <c r="U4570">
        <f t="shared" si="214"/>
        <v>0</v>
      </c>
      <c r="V4570">
        <f>HLOOKUP("In Use MiB",'vInfo (Imported)'!$1:$5000,M4570,FALSE)</f>
        <v>0</v>
      </c>
    </row>
    <row r="4571" spans="1:22" ht="13" x14ac:dyDescent="0.3">
      <c r="A4571" s="46">
        <f>'vHosts (Imported)'!A4571</f>
        <v>0</v>
      </c>
      <c r="B4571" s="51">
        <f t="shared" si="213"/>
        <v>4968</v>
      </c>
      <c r="C4571" s="49">
        <f>HLOOKUP("# Cores",'vHosts (Imported)'!$1:$5000,M4571,FALSE)</f>
        <v>0</v>
      </c>
      <c r="D4571" s="52">
        <f>HLOOKUP("# Memory",'vHosts (Imported)'!$1:$5000,M4571,FALSE)</f>
        <v>0</v>
      </c>
      <c r="M4571" s="45">
        <f t="shared" si="215"/>
        <v>4571</v>
      </c>
      <c r="N4571" s="38">
        <f>HLOOKUP("Host",'vInfo (Imported)'!$1:$5000,M4571,FALSE)</f>
        <v>0</v>
      </c>
      <c r="R4571">
        <f>HLOOKUP("CPUs",'vInfo (Imported)'!$1:$5000,M4571,FALSE)</f>
        <v>0</v>
      </c>
      <c r="S4571">
        <f>HLOOKUP("Memory",'vInfo (Imported)'!$1:$5000,M4571,FALSE)</f>
        <v>0</v>
      </c>
      <c r="T4571">
        <f>HLOOKUP("Provisioned MiB",'vInfo (Imported)'!$1:$5000,M4571,FALSE)</f>
        <v>0</v>
      </c>
      <c r="U4571">
        <f t="shared" si="214"/>
        <v>0</v>
      </c>
      <c r="V4571">
        <f>HLOOKUP("In Use MiB",'vInfo (Imported)'!$1:$5000,M4571,FALSE)</f>
        <v>0</v>
      </c>
    </row>
    <row r="4572" spans="1:22" ht="13" x14ac:dyDescent="0.3">
      <c r="A4572" s="46">
        <f>'vHosts (Imported)'!A4572</f>
        <v>0</v>
      </c>
      <c r="B4572" s="51">
        <f t="shared" si="213"/>
        <v>4968</v>
      </c>
      <c r="C4572" s="49">
        <f>HLOOKUP("# Cores",'vHosts (Imported)'!$1:$5000,M4572,FALSE)</f>
        <v>0</v>
      </c>
      <c r="D4572" s="52">
        <f>HLOOKUP("# Memory",'vHosts (Imported)'!$1:$5000,M4572,FALSE)</f>
        <v>0</v>
      </c>
      <c r="M4572" s="45">
        <f t="shared" si="215"/>
        <v>4572</v>
      </c>
      <c r="N4572" s="38">
        <f>HLOOKUP("Host",'vInfo (Imported)'!$1:$5000,M4572,FALSE)</f>
        <v>0</v>
      </c>
      <c r="R4572">
        <f>HLOOKUP("CPUs",'vInfo (Imported)'!$1:$5000,M4572,FALSE)</f>
        <v>0</v>
      </c>
      <c r="S4572">
        <f>HLOOKUP("Memory",'vInfo (Imported)'!$1:$5000,M4572,FALSE)</f>
        <v>0</v>
      </c>
      <c r="T4572">
        <f>HLOOKUP("Provisioned MiB",'vInfo (Imported)'!$1:$5000,M4572,FALSE)</f>
        <v>0</v>
      </c>
      <c r="U4572">
        <f t="shared" si="214"/>
        <v>0</v>
      </c>
      <c r="V4572">
        <f>HLOOKUP("In Use MiB",'vInfo (Imported)'!$1:$5000,M4572,FALSE)</f>
        <v>0</v>
      </c>
    </row>
    <row r="4573" spans="1:22" ht="13" x14ac:dyDescent="0.3">
      <c r="A4573" s="46">
        <f>'vHosts (Imported)'!A4573</f>
        <v>0</v>
      </c>
      <c r="B4573" s="51">
        <f t="shared" si="213"/>
        <v>4968</v>
      </c>
      <c r="C4573" s="49">
        <f>HLOOKUP("# Cores",'vHosts (Imported)'!$1:$5000,M4573,FALSE)</f>
        <v>0</v>
      </c>
      <c r="D4573" s="52">
        <f>HLOOKUP("# Memory",'vHosts (Imported)'!$1:$5000,M4573,FALSE)</f>
        <v>0</v>
      </c>
      <c r="M4573" s="45">
        <f t="shared" si="215"/>
        <v>4573</v>
      </c>
      <c r="N4573" s="38">
        <f>HLOOKUP("Host",'vInfo (Imported)'!$1:$5000,M4573,FALSE)</f>
        <v>0</v>
      </c>
      <c r="R4573">
        <f>HLOOKUP("CPUs",'vInfo (Imported)'!$1:$5000,M4573,FALSE)</f>
        <v>0</v>
      </c>
      <c r="S4573">
        <f>HLOOKUP("Memory",'vInfo (Imported)'!$1:$5000,M4573,FALSE)</f>
        <v>0</v>
      </c>
      <c r="T4573">
        <f>HLOOKUP("Provisioned MiB",'vInfo (Imported)'!$1:$5000,M4573,FALSE)</f>
        <v>0</v>
      </c>
      <c r="U4573">
        <f t="shared" si="214"/>
        <v>0</v>
      </c>
      <c r="V4573">
        <f>HLOOKUP("In Use MiB",'vInfo (Imported)'!$1:$5000,M4573,FALSE)</f>
        <v>0</v>
      </c>
    </row>
    <row r="4574" spans="1:22" ht="13" x14ac:dyDescent="0.3">
      <c r="A4574" s="46">
        <f>'vHosts (Imported)'!A4574</f>
        <v>0</v>
      </c>
      <c r="B4574" s="51">
        <f t="shared" si="213"/>
        <v>4968</v>
      </c>
      <c r="C4574" s="49">
        <f>HLOOKUP("# Cores",'vHosts (Imported)'!$1:$5000,M4574,FALSE)</f>
        <v>0</v>
      </c>
      <c r="D4574" s="52">
        <f>HLOOKUP("# Memory",'vHosts (Imported)'!$1:$5000,M4574,FALSE)</f>
        <v>0</v>
      </c>
      <c r="M4574" s="45">
        <f t="shared" si="215"/>
        <v>4574</v>
      </c>
      <c r="N4574" s="38">
        <f>HLOOKUP("Host",'vInfo (Imported)'!$1:$5000,M4574,FALSE)</f>
        <v>0</v>
      </c>
      <c r="R4574">
        <f>HLOOKUP("CPUs",'vInfo (Imported)'!$1:$5000,M4574,FALSE)</f>
        <v>0</v>
      </c>
      <c r="S4574">
        <f>HLOOKUP("Memory",'vInfo (Imported)'!$1:$5000,M4574,FALSE)</f>
        <v>0</v>
      </c>
      <c r="T4574">
        <f>HLOOKUP("Provisioned MiB",'vInfo (Imported)'!$1:$5000,M4574,FALSE)</f>
        <v>0</v>
      </c>
      <c r="U4574">
        <f t="shared" si="214"/>
        <v>0</v>
      </c>
      <c r="V4574">
        <f>HLOOKUP("In Use MiB",'vInfo (Imported)'!$1:$5000,M4574,FALSE)</f>
        <v>0</v>
      </c>
    </row>
    <row r="4575" spans="1:22" ht="13" x14ac:dyDescent="0.3">
      <c r="A4575" s="46">
        <f>'vHosts (Imported)'!A4575</f>
        <v>0</v>
      </c>
      <c r="B4575" s="51">
        <f t="shared" si="213"/>
        <v>4968</v>
      </c>
      <c r="C4575" s="49">
        <f>HLOOKUP("# Cores",'vHosts (Imported)'!$1:$5000,M4575,FALSE)</f>
        <v>0</v>
      </c>
      <c r="D4575" s="52">
        <f>HLOOKUP("# Memory",'vHosts (Imported)'!$1:$5000,M4575,FALSE)</f>
        <v>0</v>
      </c>
      <c r="M4575" s="45">
        <f t="shared" si="215"/>
        <v>4575</v>
      </c>
      <c r="N4575" s="38">
        <f>HLOOKUP("Host",'vInfo (Imported)'!$1:$5000,M4575,FALSE)</f>
        <v>0</v>
      </c>
      <c r="R4575">
        <f>HLOOKUP("CPUs",'vInfo (Imported)'!$1:$5000,M4575,FALSE)</f>
        <v>0</v>
      </c>
      <c r="S4575">
        <f>HLOOKUP("Memory",'vInfo (Imported)'!$1:$5000,M4575,FALSE)</f>
        <v>0</v>
      </c>
      <c r="T4575">
        <f>HLOOKUP("Provisioned MiB",'vInfo (Imported)'!$1:$5000,M4575,FALSE)</f>
        <v>0</v>
      </c>
      <c r="U4575">
        <f t="shared" si="214"/>
        <v>0</v>
      </c>
      <c r="V4575">
        <f>HLOOKUP("In Use MiB",'vInfo (Imported)'!$1:$5000,M4575,FALSE)</f>
        <v>0</v>
      </c>
    </row>
    <row r="4576" spans="1:22" ht="13" x14ac:dyDescent="0.3">
      <c r="A4576" s="46">
        <f>'vHosts (Imported)'!A4576</f>
        <v>0</v>
      </c>
      <c r="B4576" s="51">
        <f t="shared" si="213"/>
        <v>4968</v>
      </c>
      <c r="C4576" s="49">
        <f>HLOOKUP("# Cores",'vHosts (Imported)'!$1:$5000,M4576,FALSE)</f>
        <v>0</v>
      </c>
      <c r="D4576" s="52">
        <f>HLOOKUP("# Memory",'vHosts (Imported)'!$1:$5000,M4576,FALSE)</f>
        <v>0</v>
      </c>
      <c r="M4576" s="45">
        <f t="shared" si="215"/>
        <v>4576</v>
      </c>
      <c r="N4576" s="38">
        <f>HLOOKUP("Host",'vInfo (Imported)'!$1:$5000,M4576,FALSE)</f>
        <v>0</v>
      </c>
      <c r="R4576">
        <f>HLOOKUP("CPUs",'vInfo (Imported)'!$1:$5000,M4576,FALSE)</f>
        <v>0</v>
      </c>
      <c r="S4576">
        <f>HLOOKUP("Memory",'vInfo (Imported)'!$1:$5000,M4576,FALSE)</f>
        <v>0</v>
      </c>
      <c r="T4576">
        <f>HLOOKUP("Provisioned MiB",'vInfo (Imported)'!$1:$5000,M4576,FALSE)</f>
        <v>0</v>
      </c>
      <c r="U4576">
        <f t="shared" si="214"/>
        <v>0</v>
      </c>
      <c r="V4576">
        <f>HLOOKUP("In Use MiB",'vInfo (Imported)'!$1:$5000,M4576,FALSE)</f>
        <v>0</v>
      </c>
    </row>
    <row r="4577" spans="1:22" ht="13" x14ac:dyDescent="0.3">
      <c r="A4577" s="46">
        <f>'vHosts (Imported)'!A4577</f>
        <v>0</v>
      </c>
      <c r="B4577" s="51">
        <f t="shared" si="213"/>
        <v>4968</v>
      </c>
      <c r="C4577" s="49">
        <f>HLOOKUP("# Cores",'vHosts (Imported)'!$1:$5000,M4577,FALSE)</f>
        <v>0</v>
      </c>
      <c r="D4577" s="52">
        <f>HLOOKUP("# Memory",'vHosts (Imported)'!$1:$5000,M4577,FALSE)</f>
        <v>0</v>
      </c>
      <c r="M4577" s="45">
        <f t="shared" si="215"/>
        <v>4577</v>
      </c>
      <c r="N4577" s="38">
        <f>HLOOKUP("Host",'vInfo (Imported)'!$1:$5000,M4577,FALSE)</f>
        <v>0</v>
      </c>
      <c r="R4577">
        <f>HLOOKUP("CPUs",'vInfo (Imported)'!$1:$5000,M4577,FALSE)</f>
        <v>0</v>
      </c>
      <c r="S4577">
        <f>HLOOKUP("Memory",'vInfo (Imported)'!$1:$5000,M4577,FALSE)</f>
        <v>0</v>
      </c>
      <c r="T4577">
        <f>HLOOKUP("Provisioned MiB",'vInfo (Imported)'!$1:$5000,M4577,FALSE)</f>
        <v>0</v>
      </c>
      <c r="U4577">
        <f t="shared" si="214"/>
        <v>0</v>
      </c>
      <c r="V4577">
        <f>HLOOKUP("In Use MiB",'vInfo (Imported)'!$1:$5000,M4577,FALSE)</f>
        <v>0</v>
      </c>
    </row>
    <row r="4578" spans="1:22" ht="13" x14ac:dyDescent="0.3">
      <c r="A4578" s="46">
        <f>'vHosts (Imported)'!A4578</f>
        <v>0</v>
      </c>
      <c r="B4578" s="51">
        <f t="shared" si="213"/>
        <v>4968</v>
      </c>
      <c r="C4578" s="49">
        <f>HLOOKUP("# Cores",'vHosts (Imported)'!$1:$5000,M4578,FALSE)</f>
        <v>0</v>
      </c>
      <c r="D4578" s="52">
        <f>HLOOKUP("# Memory",'vHosts (Imported)'!$1:$5000,M4578,FALSE)</f>
        <v>0</v>
      </c>
      <c r="M4578" s="45">
        <f t="shared" si="215"/>
        <v>4578</v>
      </c>
      <c r="N4578" s="38">
        <f>HLOOKUP("Host",'vInfo (Imported)'!$1:$5000,M4578,FALSE)</f>
        <v>0</v>
      </c>
      <c r="R4578">
        <f>HLOOKUP("CPUs",'vInfo (Imported)'!$1:$5000,M4578,FALSE)</f>
        <v>0</v>
      </c>
      <c r="S4578">
        <f>HLOOKUP("Memory",'vInfo (Imported)'!$1:$5000,M4578,FALSE)</f>
        <v>0</v>
      </c>
      <c r="T4578">
        <f>HLOOKUP("Provisioned MiB",'vInfo (Imported)'!$1:$5000,M4578,FALSE)</f>
        <v>0</v>
      </c>
      <c r="U4578">
        <f t="shared" si="214"/>
        <v>0</v>
      </c>
      <c r="V4578">
        <f>HLOOKUP("In Use MiB",'vInfo (Imported)'!$1:$5000,M4578,FALSE)</f>
        <v>0</v>
      </c>
    </row>
    <row r="4579" spans="1:22" ht="13" x14ac:dyDescent="0.3">
      <c r="A4579" s="46">
        <f>'vHosts (Imported)'!A4579</f>
        <v>0</v>
      </c>
      <c r="B4579" s="51">
        <f t="shared" si="213"/>
        <v>4968</v>
      </c>
      <c r="C4579" s="49">
        <f>HLOOKUP("# Cores",'vHosts (Imported)'!$1:$5000,M4579,FALSE)</f>
        <v>0</v>
      </c>
      <c r="D4579" s="52">
        <f>HLOOKUP("# Memory",'vHosts (Imported)'!$1:$5000,M4579,FALSE)</f>
        <v>0</v>
      </c>
      <c r="M4579" s="45">
        <f t="shared" si="215"/>
        <v>4579</v>
      </c>
      <c r="N4579" s="38">
        <f>HLOOKUP("Host",'vInfo (Imported)'!$1:$5000,M4579,FALSE)</f>
        <v>0</v>
      </c>
      <c r="R4579">
        <f>HLOOKUP("CPUs",'vInfo (Imported)'!$1:$5000,M4579,FALSE)</f>
        <v>0</v>
      </c>
      <c r="S4579">
        <f>HLOOKUP("Memory",'vInfo (Imported)'!$1:$5000,M4579,FALSE)</f>
        <v>0</v>
      </c>
      <c r="T4579">
        <f>HLOOKUP("Provisioned MiB",'vInfo (Imported)'!$1:$5000,M4579,FALSE)</f>
        <v>0</v>
      </c>
      <c r="U4579">
        <f t="shared" si="214"/>
        <v>0</v>
      </c>
      <c r="V4579">
        <f>HLOOKUP("In Use MiB",'vInfo (Imported)'!$1:$5000,M4579,FALSE)</f>
        <v>0</v>
      </c>
    </row>
    <row r="4580" spans="1:22" ht="13" x14ac:dyDescent="0.3">
      <c r="A4580" s="46">
        <f>'vHosts (Imported)'!A4580</f>
        <v>0</v>
      </c>
      <c r="B4580" s="51">
        <f t="shared" si="213"/>
        <v>4968</v>
      </c>
      <c r="C4580" s="49">
        <f>HLOOKUP("# Cores",'vHosts (Imported)'!$1:$5000,M4580,FALSE)</f>
        <v>0</v>
      </c>
      <c r="D4580" s="52">
        <f>HLOOKUP("# Memory",'vHosts (Imported)'!$1:$5000,M4580,FALSE)</f>
        <v>0</v>
      </c>
      <c r="M4580" s="45">
        <f t="shared" si="215"/>
        <v>4580</v>
      </c>
      <c r="N4580" s="38">
        <f>HLOOKUP("Host",'vInfo (Imported)'!$1:$5000,M4580,FALSE)</f>
        <v>0</v>
      </c>
      <c r="R4580">
        <f>HLOOKUP("CPUs",'vInfo (Imported)'!$1:$5000,M4580,FALSE)</f>
        <v>0</v>
      </c>
      <c r="S4580">
        <f>HLOOKUP("Memory",'vInfo (Imported)'!$1:$5000,M4580,FALSE)</f>
        <v>0</v>
      </c>
      <c r="T4580">
        <f>HLOOKUP("Provisioned MiB",'vInfo (Imported)'!$1:$5000,M4580,FALSE)</f>
        <v>0</v>
      </c>
      <c r="U4580">
        <f t="shared" si="214"/>
        <v>0</v>
      </c>
      <c r="V4580">
        <f>HLOOKUP("In Use MiB",'vInfo (Imported)'!$1:$5000,M4580,FALSE)</f>
        <v>0</v>
      </c>
    </row>
    <row r="4581" spans="1:22" ht="13" x14ac:dyDescent="0.3">
      <c r="A4581" s="46">
        <f>'vHosts (Imported)'!A4581</f>
        <v>0</v>
      </c>
      <c r="B4581" s="51">
        <f t="shared" si="213"/>
        <v>4968</v>
      </c>
      <c r="C4581" s="49">
        <f>HLOOKUP("# Cores",'vHosts (Imported)'!$1:$5000,M4581,FALSE)</f>
        <v>0</v>
      </c>
      <c r="D4581" s="52">
        <f>HLOOKUP("# Memory",'vHosts (Imported)'!$1:$5000,M4581,FALSE)</f>
        <v>0</v>
      </c>
      <c r="M4581" s="45">
        <f t="shared" si="215"/>
        <v>4581</v>
      </c>
      <c r="N4581" s="38">
        <f>HLOOKUP("Host",'vInfo (Imported)'!$1:$5000,M4581,FALSE)</f>
        <v>0</v>
      </c>
      <c r="R4581">
        <f>HLOOKUP("CPUs",'vInfo (Imported)'!$1:$5000,M4581,FALSE)</f>
        <v>0</v>
      </c>
      <c r="S4581">
        <f>HLOOKUP("Memory",'vInfo (Imported)'!$1:$5000,M4581,FALSE)</f>
        <v>0</v>
      </c>
      <c r="T4581">
        <f>HLOOKUP("Provisioned MiB",'vInfo (Imported)'!$1:$5000,M4581,FALSE)</f>
        <v>0</v>
      </c>
      <c r="U4581">
        <f t="shared" si="214"/>
        <v>0</v>
      </c>
      <c r="V4581">
        <f>HLOOKUP("In Use MiB",'vInfo (Imported)'!$1:$5000,M4581,FALSE)</f>
        <v>0</v>
      </c>
    </row>
    <row r="4582" spans="1:22" ht="13" x14ac:dyDescent="0.3">
      <c r="A4582" s="46">
        <f>'vHosts (Imported)'!A4582</f>
        <v>0</v>
      </c>
      <c r="B4582" s="51">
        <f t="shared" si="213"/>
        <v>4968</v>
      </c>
      <c r="C4582" s="49">
        <f>HLOOKUP("# Cores",'vHosts (Imported)'!$1:$5000,M4582,FALSE)</f>
        <v>0</v>
      </c>
      <c r="D4582" s="52">
        <f>HLOOKUP("# Memory",'vHosts (Imported)'!$1:$5000,M4582,FALSE)</f>
        <v>0</v>
      </c>
      <c r="M4582" s="45">
        <f t="shared" si="215"/>
        <v>4582</v>
      </c>
      <c r="N4582" s="38">
        <f>HLOOKUP("Host",'vInfo (Imported)'!$1:$5000,M4582,FALSE)</f>
        <v>0</v>
      </c>
      <c r="R4582">
        <f>HLOOKUP("CPUs",'vInfo (Imported)'!$1:$5000,M4582,FALSE)</f>
        <v>0</v>
      </c>
      <c r="S4582">
        <f>HLOOKUP("Memory",'vInfo (Imported)'!$1:$5000,M4582,FALSE)</f>
        <v>0</v>
      </c>
      <c r="T4582">
        <f>HLOOKUP("Provisioned MiB",'vInfo (Imported)'!$1:$5000,M4582,FALSE)</f>
        <v>0</v>
      </c>
      <c r="U4582">
        <f t="shared" si="214"/>
        <v>0</v>
      </c>
      <c r="V4582">
        <f>HLOOKUP("In Use MiB",'vInfo (Imported)'!$1:$5000,M4582,FALSE)</f>
        <v>0</v>
      </c>
    </row>
    <row r="4583" spans="1:22" ht="13" x14ac:dyDescent="0.3">
      <c r="A4583" s="46">
        <f>'vHosts (Imported)'!A4583</f>
        <v>0</v>
      </c>
      <c r="B4583" s="51">
        <f t="shared" si="213"/>
        <v>4968</v>
      </c>
      <c r="C4583" s="49">
        <f>HLOOKUP("# Cores",'vHosts (Imported)'!$1:$5000,M4583,FALSE)</f>
        <v>0</v>
      </c>
      <c r="D4583" s="52">
        <f>HLOOKUP("# Memory",'vHosts (Imported)'!$1:$5000,M4583,FALSE)</f>
        <v>0</v>
      </c>
      <c r="M4583" s="45">
        <f t="shared" si="215"/>
        <v>4583</v>
      </c>
      <c r="N4583" s="38">
        <f>HLOOKUP("Host",'vInfo (Imported)'!$1:$5000,M4583,FALSE)</f>
        <v>0</v>
      </c>
      <c r="R4583">
        <f>HLOOKUP("CPUs",'vInfo (Imported)'!$1:$5000,M4583,FALSE)</f>
        <v>0</v>
      </c>
      <c r="S4583">
        <f>HLOOKUP("Memory",'vInfo (Imported)'!$1:$5000,M4583,FALSE)</f>
        <v>0</v>
      </c>
      <c r="T4583">
        <f>HLOOKUP("Provisioned MiB",'vInfo (Imported)'!$1:$5000,M4583,FALSE)</f>
        <v>0</v>
      </c>
      <c r="U4583">
        <f t="shared" si="214"/>
        <v>0</v>
      </c>
      <c r="V4583">
        <f>HLOOKUP("In Use MiB",'vInfo (Imported)'!$1:$5000,M4583,FALSE)</f>
        <v>0</v>
      </c>
    </row>
    <row r="4584" spans="1:22" ht="13" x14ac:dyDescent="0.3">
      <c r="A4584" s="46">
        <f>'vHosts (Imported)'!A4584</f>
        <v>0</v>
      </c>
      <c r="B4584" s="51">
        <f t="shared" ref="B4584:B4647" si="216">COUNTIF(N:N,A4584)</f>
        <v>4968</v>
      </c>
      <c r="C4584" s="49">
        <f>HLOOKUP("# Cores",'vHosts (Imported)'!$1:$5000,M4584,FALSE)</f>
        <v>0</v>
      </c>
      <c r="D4584" s="52">
        <f>HLOOKUP("# Memory",'vHosts (Imported)'!$1:$5000,M4584,FALSE)</f>
        <v>0</v>
      </c>
      <c r="M4584" s="45">
        <f t="shared" si="215"/>
        <v>4584</v>
      </c>
      <c r="N4584" s="38">
        <f>HLOOKUP("Host",'vInfo (Imported)'!$1:$5000,M4584,FALSE)</f>
        <v>0</v>
      </c>
      <c r="R4584">
        <f>HLOOKUP("CPUs",'vInfo (Imported)'!$1:$5000,M4584,FALSE)</f>
        <v>0</v>
      </c>
      <c r="S4584">
        <f>HLOOKUP("Memory",'vInfo (Imported)'!$1:$5000,M4584,FALSE)</f>
        <v>0</v>
      </c>
      <c r="T4584">
        <f>HLOOKUP("Provisioned MiB",'vInfo (Imported)'!$1:$5000,M4584,FALSE)</f>
        <v>0</v>
      </c>
      <c r="U4584">
        <f t="shared" si="214"/>
        <v>0</v>
      </c>
      <c r="V4584">
        <f>HLOOKUP("In Use MiB",'vInfo (Imported)'!$1:$5000,M4584,FALSE)</f>
        <v>0</v>
      </c>
    </row>
    <row r="4585" spans="1:22" ht="13" x14ac:dyDescent="0.3">
      <c r="A4585" s="46">
        <f>'vHosts (Imported)'!A4585</f>
        <v>0</v>
      </c>
      <c r="B4585" s="51">
        <f t="shared" si="216"/>
        <v>4968</v>
      </c>
      <c r="C4585" s="49">
        <f>HLOOKUP("# Cores",'vHosts (Imported)'!$1:$5000,M4585,FALSE)</f>
        <v>0</v>
      </c>
      <c r="D4585" s="52">
        <f>HLOOKUP("# Memory",'vHosts (Imported)'!$1:$5000,M4585,FALSE)</f>
        <v>0</v>
      </c>
      <c r="M4585" s="45">
        <f t="shared" si="215"/>
        <v>4585</v>
      </c>
      <c r="N4585" s="38">
        <f>HLOOKUP("Host",'vInfo (Imported)'!$1:$5000,M4585,FALSE)</f>
        <v>0</v>
      </c>
      <c r="R4585">
        <f>HLOOKUP("CPUs",'vInfo (Imported)'!$1:$5000,M4585,FALSE)</f>
        <v>0</v>
      </c>
      <c r="S4585">
        <f>HLOOKUP("Memory",'vInfo (Imported)'!$1:$5000,M4585,FALSE)</f>
        <v>0</v>
      </c>
      <c r="T4585">
        <f>HLOOKUP("Provisioned MiB",'vInfo (Imported)'!$1:$5000,M4585,FALSE)</f>
        <v>0</v>
      </c>
      <c r="U4585">
        <f t="shared" si="214"/>
        <v>0</v>
      </c>
      <c r="V4585">
        <f>HLOOKUP("In Use MiB",'vInfo (Imported)'!$1:$5000,M4585,FALSE)</f>
        <v>0</v>
      </c>
    </row>
    <row r="4586" spans="1:22" ht="13" x14ac:dyDescent="0.3">
      <c r="A4586" s="46">
        <f>'vHosts (Imported)'!A4586</f>
        <v>0</v>
      </c>
      <c r="B4586" s="51">
        <f t="shared" si="216"/>
        <v>4968</v>
      </c>
      <c r="C4586" s="49">
        <f>HLOOKUP("# Cores",'vHosts (Imported)'!$1:$5000,M4586,FALSE)</f>
        <v>0</v>
      </c>
      <c r="D4586" s="52">
        <f>HLOOKUP("# Memory",'vHosts (Imported)'!$1:$5000,M4586,FALSE)</f>
        <v>0</v>
      </c>
      <c r="M4586" s="45">
        <f t="shared" si="215"/>
        <v>4586</v>
      </c>
      <c r="N4586" s="38">
        <f>HLOOKUP("Host",'vInfo (Imported)'!$1:$5000,M4586,FALSE)</f>
        <v>0</v>
      </c>
      <c r="R4586">
        <f>HLOOKUP("CPUs",'vInfo (Imported)'!$1:$5000,M4586,FALSE)</f>
        <v>0</v>
      </c>
      <c r="S4586">
        <f>HLOOKUP("Memory",'vInfo (Imported)'!$1:$5000,M4586,FALSE)</f>
        <v>0</v>
      </c>
      <c r="T4586">
        <f>HLOOKUP("Provisioned MiB",'vInfo (Imported)'!$1:$5000,M4586,FALSE)</f>
        <v>0</v>
      </c>
      <c r="U4586">
        <f t="shared" si="214"/>
        <v>0</v>
      </c>
      <c r="V4586">
        <f>HLOOKUP("In Use MiB",'vInfo (Imported)'!$1:$5000,M4586,FALSE)</f>
        <v>0</v>
      </c>
    </row>
    <row r="4587" spans="1:22" ht="13" x14ac:dyDescent="0.3">
      <c r="A4587" s="46">
        <f>'vHosts (Imported)'!A4587</f>
        <v>0</v>
      </c>
      <c r="B4587" s="51">
        <f t="shared" si="216"/>
        <v>4968</v>
      </c>
      <c r="C4587" s="49">
        <f>HLOOKUP("# Cores",'vHosts (Imported)'!$1:$5000,M4587,FALSE)</f>
        <v>0</v>
      </c>
      <c r="D4587" s="52">
        <f>HLOOKUP("# Memory",'vHosts (Imported)'!$1:$5000,M4587,FALSE)</f>
        <v>0</v>
      </c>
      <c r="M4587" s="45">
        <f t="shared" si="215"/>
        <v>4587</v>
      </c>
      <c r="N4587" s="38">
        <f>HLOOKUP("Host",'vInfo (Imported)'!$1:$5000,M4587,FALSE)</f>
        <v>0</v>
      </c>
      <c r="R4587">
        <f>HLOOKUP("CPUs",'vInfo (Imported)'!$1:$5000,M4587,FALSE)</f>
        <v>0</v>
      </c>
      <c r="S4587">
        <f>HLOOKUP("Memory",'vInfo (Imported)'!$1:$5000,M4587,FALSE)</f>
        <v>0</v>
      </c>
      <c r="T4587">
        <f>HLOOKUP("Provisioned MiB",'vInfo (Imported)'!$1:$5000,M4587,FALSE)</f>
        <v>0</v>
      </c>
      <c r="U4587">
        <f t="shared" si="214"/>
        <v>0</v>
      </c>
      <c r="V4587">
        <f>HLOOKUP("In Use MiB",'vInfo (Imported)'!$1:$5000,M4587,FALSE)</f>
        <v>0</v>
      </c>
    </row>
    <row r="4588" spans="1:22" ht="13" x14ac:dyDescent="0.3">
      <c r="A4588" s="46">
        <f>'vHosts (Imported)'!A4588</f>
        <v>0</v>
      </c>
      <c r="B4588" s="51">
        <f t="shared" si="216"/>
        <v>4968</v>
      </c>
      <c r="C4588" s="49">
        <f>HLOOKUP("# Cores",'vHosts (Imported)'!$1:$5000,M4588,FALSE)</f>
        <v>0</v>
      </c>
      <c r="D4588" s="52">
        <f>HLOOKUP("# Memory",'vHosts (Imported)'!$1:$5000,M4588,FALSE)</f>
        <v>0</v>
      </c>
      <c r="M4588" s="45">
        <f t="shared" si="215"/>
        <v>4588</v>
      </c>
      <c r="N4588" s="38">
        <f>HLOOKUP("Host",'vInfo (Imported)'!$1:$5000,M4588,FALSE)</f>
        <v>0</v>
      </c>
      <c r="R4588">
        <f>HLOOKUP("CPUs",'vInfo (Imported)'!$1:$5000,M4588,FALSE)</f>
        <v>0</v>
      </c>
      <c r="S4588">
        <f>HLOOKUP("Memory",'vInfo (Imported)'!$1:$5000,M4588,FALSE)</f>
        <v>0</v>
      </c>
      <c r="T4588">
        <f>HLOOKUP("Provisioned MiB",'vInfo (Imported)'!$1:$5000,M4588,FALSE)</f>
        <v>0</v>
      </c>
      <c r="U4588">
        <f t="shared" si="214"/>
        <v>0</v>
      </c>
      <c r="V4588">
        <f>HLOOKUP("In Use MiB",'vInfo (Imported)'!$1:$5000,M4588,FALSE)</f>
        <v>0</v>
      </c>
    </row>
    <row r="4589" spans="1:22" ht="13" x14ac:dyDescent="0.3">
      <c r="A4589" s="46">
        <f>'vHosts (Imported)'!A4589</f>
        <v>0</v>
      </c>
      <c r="B4589" s="51">
        <f t="shared" si="216"/>
        <v>4968</v>
      </c>
      <c r="C4589" s="49">
        <f>HLOOKUP("# Cores",'vHosts (Imported)'!$1:$5000,M4589,FALSE)</f>
        <v>0</v>
      </c>
      <c r="D4589" s="52">
        <f>HLOOKUP("# Memory",'vHosts (Imported)'!$1:$5000,M4589,FALSE)</f>
        <v>0</v>
      </c>
      <c r="M4589" s="45">
        <f t="shared" si="215"/>
        <v>4589</v>
      </c>
      <c r="N4589" s="38">
        <f>HLOOKUP("Host",'vInfo (Imported)'!$1:$5000,M4589,FALSE)</f>
        <v>0</v>
      </c>
      <c r="R4589">
        <f>HLOOKUP("CPUs",'vInfo (Imported)'!$1:$5000,M4589,FALSE)</f>
        <v>0</v>
      </c>
      <c r="S4589">
        <f>HLOOKUP("Memory",'vInfo (Imported)'!$1:$5000,M4589,FALSE)</f>
        <v>0</v>
      </c>
      <c r="T4589">
        <f>HLOOKUP("Provisioned MiB",'vInfo (Imported)'!$1:$5000,M4589,FALSE)</f>
        <v>0</v>
      </c>
      <c r="U4589">
        <f t="shared" si="214"/>
        <v>0</v>
      </c>
      <c r="V4589">
        <f>HLOOKUP("In Use MiB",'vInfo (Imported)'!$1:$5000,M4589,FALSE)</f>
        <v>0</v>
      </c>
    </row>
    <row r="4590" spans="1:22" ht="13" x14ac:dyDescent="0.3">
      <c r="A4590" s="46">
        <f>'vHosts (Imported)'!A4590</f>
        <v>0</v>
      </c>
      <c r="B4590" s="51">
        <f t="shared" si="216"/>
        <v>4968</v>
      </c>
      <c r="C4590" s="49">
        <f>HLOOKUP("# Cores",'vHosts (Imported)'!$1:$5000,M4590,FALSE)</f>
        <v>0</v>
      </c>
      <c r="D4590" s="52">
        <f>HLOOKUP("# Memory",'vHosts (Imported)'!$1:$5000,M4590,FALSE)</f>
        <v>0</v>
      </c>
      <c r="M4590" s="45">
        <f t="shared" si="215"/>
        <v>4590</v>
      </c>
      <c r="N4590" s="38">
        <f>HLOOKUP("Host",'vInfo (Imported)'!$1:$5000,M4590,FALSE)</f>
        <v>0</v>
      </c>
      <c r="R4590">
        <f>HLOOKUP("CPUs",'vInfo (Imported)'!$1:$5000,M4590,FALSE)</f>
        <v>0</v>
      </c>
      <c r="S4590">
        <f>HLOOKUP("Memory",'vInfo (Imported)'!$1:$5000,M4590,FALSE)</f>
        <v>0</v>
      </c>
      <c r="T4590">
        <f>HLOOKUP("Provisioned MiB",'vInfo (Imported)'!$1:$5000,M4590,FALSE)</f>
        <v>0</v>
      </c>
      <c r="U4590">
        <f t="shared" si="214"/>
        <v>0</v>
      </c>
      <c r="V4590">
        <f>HLOOKUP("In Use MiB",'vInfo (Imported)'!$1:$5000,M4590,FALSE)</f>
        <v>0</v>
      </c>
    </row>
    <row r="4591" spans="1:22" ht="13" x14ac:dyDescent="0.3">
      <c r="A4591" s="46">
        <f>'vHosts (Imported)'!A4591</f>
        <v>0</v>
      </c>
      <c r="B4591" s="51">
        <f t="shared" si="216"/>
        <v>4968</v>
      </c>
      <c r="C4591" s="49">
        <f>HLOOKUP("# Cores",'vHosts (Imported)'!$1:$5000,M4591,FALSE)</f>
        <v>0</v>
      </c>
      <c r="D4591" s="52">
        <f>HLOOKUP("# Memory",'vHosts (Imported)'!$1:$5000,M4591,FALSE)</f>
        <v>0</v>
      </c>
      <c r="M4591" s="45">
        <f t="shared" si="215"/>
        <v>4591</v>
      </c>
      <c r="N4591" s="38">
        <f>HLOOKUP("Host",'vInfo (Imported)'!$1:$5000,M4591,FALSE)</f>
        <v>0</v>
      </c>
      <c r="R4591">
        <f>HLOOKUP("CPUs",'vInfo (Imported)'!$1:$5000,M4591,FALSE)</f>
        <v>0</v>
      </c>
      <c r="S4591">
        <f>HLOOKUP("Memory",'vInfo (Imported)'!$1:$5000,M4591,FALSE)</f>
        <v>0</v>
      </c>
      <c r="T4591">
        <f>HLOOKUP("Provisioned MiB",'vInfo (Imported)'!$1:$5000,M4591,FALSE)</f>
        <v>0</v>
      </c>
      <c r="U4591">
        <f t="shared" si="214"/>
        <v>0</v>
      </c>
      <c r="V4591">
        <f>HLOOKUP("In Use MiB",'vInfo (Imported)'!$1:$5000,M4591,FALSE)</f>
        <v>0</v>
      </c>
    </row>
    <row r="4592" spans="1:22" ht="13" x14ac:dyDescent="0.3">
      <c r="A4592" s="46">
        <f>'vHosts (Imported)'!A4592</f>
        <v>0</v>
      </c>
      <c r="B4592" s="51">
        <f t="shared" si="216"/>
        <v>4968</v>
      </c>
      <c r="C4592" s="49">
        <f>HLOOKUP("# Cores",'vHosts (Imported)'!$1:$5000,M4592,FALSE)</f>
        <v>0</v>
      </c>
      <c r="D4592" s="52">
        <f>HLOOKUP("# Memory",'vHosts (Imported)'!$1:$5000,M4592,FALSE)</f>
        <v>0</v>
      </c>
      <c r="M4592" s="45">
        <f t="shared" si="215"/>
        <v>4592</v>
      </c>
      <c r="N4592" s="38">
        <f>HLOOKUP("Host",'vInfo (Imported)'!$1:$5000,M4592,FALSE)</f>
        <v>0</v>
      </c>
      <c r="R4592">
        <f>HLOOKUP("CPUs",'vInfo (Imported)'!$1:$5000,M4592,FALSE)</f>
        <v>0</v>
      </c>
      <c r="S4592">
        <f>HLOOKUP("Memory",'vInfo (Imported)'!$1:$5000,M4592,FALSE)</f>
        <v>0</v>
      </c>
      <c r="T4592">
        <f>HLOOKUP("Provisioned MiB",'vInfo (Imported)'!$1:$5000,M4592,FALSE)</f>
        <v>0</v>
      </c>
      <c r="U4592">
        <f t="shared" si="214"/>
        <v>0</v>
      </c>
      <c r="V4592">
        <f>HLOOKUP("In Use MiB",'vInfo (Imported)'!$1:$5000,M4592,FALSE)</f>
        <v>0</v>
      </c>
    </row>
    <row r="4593" spans="1:22" ht="13" x14ac:dyDescent="0.3">
      <c r="A4593" s="46">
        <f>'vHosts (Imported)'!A4593</f>
        <v>0</v>
      </c>
      <c r="B4593" s="51">
        <f t="shared" si="216"/>
        <v>4968</v>
      </c>
      <c r="C4593" s="49">
        <f>HLOOKUP("# Cores",'vHosts (Imported)'!$1:$5000,M4593,FALSE)</f>
        <v>0</v>
      </c>
      <c r="D4593" s="52">
        <f>HLOOKUP("# Memory",'vHosts (Imported)'!$1:$5000,M4593,FALSE)</f>
        <v>0</v>
      </c>
      <c r="M4593" s="45">
        <f t="shared" si="215"/>
        <v>4593</v>
      </c>
      <c r="N4593" s="38">
        <f>HLOOKUP("Host",'vInfo (Imported)'!$1:$5000,M4593,FALSE)</f>
        <v>0</v>
      </c>
      <c r="R4593">
        <f>HLOOKUP("CPUs",'vInfo (Imported)'!$1:$5000,M4593,FALSE)</f>
        <v>0</v>
      </c>
      <c r="S4593">
        <f>HLOOKUP("Memory",'vInfo (Imported)'!$1:$5000,M4593,FALSE)</f>
        <v>0</v>
      </c>
      <c r="T4593">
        <f>HLOOKUP("Provisioned MiB",'vInfo (Imported)'!$1:$5000,M4593,FALSE)</f>
        <v>0</v>
      </c>
      <c r="U4593">
        <f t="shared" si="214"/>
        <v>0</v>
      </c>
      <c r="V4593">
        <f>HLOOKUP("In Use MiB",'vInfo (Imported)'!$1:$5000,M4593,FALSE)</f>
        <v>0</v>
      </c>
    </row>
    <row r="4594" spans="1:22" ht="13" x14ac:dyDescent="0.3">
      <c r="A4594" s="46">
        <f>'vHosts (Imported)'!A4594</f>
        <v>0</v>
      </c>
      <c r="B4594" s="51">
        <f t="shared" si="216"/>
        <v>4968</v>
      </c>
      <c r="C4594" s="49">
        <f>HLOOKUP("# Cores",'vHosts (Imported)'!$1:$5000,M4594,FALSE)</f>
        <v>0</v>
      </c>
      <c r="D4594" s="52">
        <f>HLOOKUP("# Memory",'vHosts (Imported)'!$1:$5000,M4594,FALSE)</f>
        <v>0</v>
      </c>
      <c r="M4594" s="45">
        <f t="shared" si="215"/>
        <v>4594</v>
      </c>
      <c r="N4594" s="38">
        <f>HLOOKUP("Host",'vInfo (Imported)'!$1:$5000,M4594,FALSE)</f>
        <v>0</v>
      </c>
      <c r="R4594">
        <f>HLOOKUP("CPUs",'vInfo (Imported)'!$1:$5000,M4594,FALSE)</f>
        <v>0</v>
      </c>
      <c r="S4594">
        <f>HLOOKUP("Memory",'vInfo (Imported)'!$1:$5000,M4594,FALSE)</f>
        <v>0</v>
      </c>
      <c r="T4594">
        <f>HLOOKUP("Provisioned MiB",'vInfo (Imported)'!$1:$5000,M4594,FALSE)</f>
        <v>0</v>
      </c>
      <c r="U4594">
        <f t="shared" si="214"/>
        <v>0</v>
      </c>
      <c r="V4594">
        <f>HLOOKUP("In Use MiB",'vInfo (Imported)'!$1:$5000,M4594,FALSE)</f>
        <v>0</v>
      </c>
    </row>
    <row r="4595" spans="1:22" ht="13" x14ac:dyDescent="0.3">
      <c r="A4595" s="46">
        <f>'vHosts (Imported)'!A4595</f>
        <v>0</v>
      </c>
      <c r="B4595" s="51">
        <f t="shared" si="216"/>
        <v>4968</v>
      </c>
      <c r="C4595" s="49">
        <f>HLOOKUP("# Cores",'vHosts (Imported)'!$1:$5000,M4595,FALSE)</f>
        <v>0</v>
      </c>
      <c r="D4595" s="52">
        <f>HLOOKUP("# Memory",'vHosts (Imported)'!$1:$5000,M4595,FALSE)</f>
        <v>0</v>
      </c>
      <c r="M4595" s="45">
        <f t="shared" si="215"/>
        <v>4595</v>
      </c>
      <c r="N4595" s="38">
        <f>HLOOKUP("Host",'vInfo (Imported)'!$1:$5000,M4595,FALSE)</f>
        <v>0</v>
      </c>
      <c r="R4595">
        <f>HLOOKUP("CPUs",'vInfo (Imported)'!$1:$5000,M4595,FALSE)</f>
        <v>0</v>
      </c>
      <c r="S4595">
        <f>HLOOKUP("Memory",'vInfo (Imported)'!$1:$5000,M4595,FALSE)</f>
        <v>0</v>
      </c>
      <c r="T4595">
        <f>HLOOKUP("Provisioned MiB",'vInfo (Imported)'!$1:$5000,M4595,FALSE)</f>
        <v>0</v>
      </c>
      <c r="U4595">
        <f t="shared" si="214"/>
        <v>0</v>
      </c>
      <c r="V4595">
        <f>HLOOKUP("In Use MiB",'vInfo (Imported)'!$1:$5000,M4595,FALSE)</f>
        <v>0</v>
      </c>
    </row>
    <row r="4596" spans="1:22" ht="13" x14ac:dyDescent="0.3">
      <c r="A4596" s="46">
        <f>'vHosts (Imported)'!A4596</f>
        <v>0</v>
      </c>
      <c r="B4596" s="51">
        <f t="shared" si="216"/>
        <v>4968</v>
      </c>
      <c r="C4596" s="49">
        <f>HLOOKUP("# Cores",'vHosts (Imported)'!$1:$5000,M4596,FALSE)</f>
        <v>0</v>
      </c>
      <c r="D4596" s="52">
        <f>HLOOKUP("# Memory",'vHosts (Imported)'!$1:$5000,M4596,FALSE)</f>
        <v>0</v>
      </c>
      <c r="M4596" s="45">
        <f t="shared" si="215"/>
        <v>4596</v>
      </c>
      <c r="N4596" s="38">
        <f>HLOOKUP("Host",'vInfo (Imported)'!$1:$5000,M4596,FALSE)</f>
        <v>0</v>
      </c>
      <c r="R4596">
        <f>HLOOKUP("CPUs",'vInfo (Imported)'!$1:$5000,M4596,FALSE)</f>
        <v>0</v>
      </c>
      <c r="S4596">
        <f>HLOOKUP("Memory",'vInfo (Imported)'!$1:$5000,M4596,FALSE)</f>
        <v>0</v>
      </c>
      <c r="T4596">
        <f>HLOOKUP("Provisioned MiB",'vInfo (Imported)'!$1:$5000,M4596,FALSE)</f>
        <v>0</v>
      </c>
      <c r="U4596">
        <f t="shared" si="214"/>
        <v>0</v>
      </c>
      <c r="V4596">
        <f>HLOOKUP("In Use MiB",'vInfo (Imported)'!$1:$5000,M4596,FALSE)</f>
        <v>0</v>
      </c>
    </row>
    <row r="4597" spans="1:22" ht="13" x14ac:dyDescent="0.3">
      <c r="A4597" s="46">
        <f>'vHosts (Imported)'!A4597</f>
        <v>0</v>
      </c>
      <c r="B4597" s="51">
        <f t="shared" si="216"/>
        <v>4968</v>
      </c>
      <c r="C4597" s="49">
        <f>HLOOKUP("# Cores",'vHosts (Imported)'!$1:$5000,M4597,FALSE)</f>
        <v>0</v>
      </c>
      <c r="D4597" s="52">
        <f>HLOOKUP("# Memory",'vHosts (Imported)'!$1:$5000,M4597,FALSE)</f>
        <v>0</v>
      </c>
      <c r="M4597" s="45">
        <f t="shared" si="215"/>
        <v>4597</v>
      </c>
      <c r="N4597" s="38">
        <f>HLOOKUP("Host",'vInfo (Imported)'!$1:$5000,M4597,FALSE)</f>
        <v>0</v>
      </c>
      <c r="R4597">
        <f>HLOOKUP("CPUs",'vInfo (Imported)'!$1:$5000,M4597,FALSE)</f>
        <v>0</v>
      </c>
      <c r="S4597">
        <f>HLOOKUP("Memory",'vInfo (Imported)'!$1:$5000,M4597,FALSE)</f>
        <v>0</v>
      </c>
      <c r="T4597">
        <f>HLOOKUP("Provisioned MiB",'vInfo (Imported)'!$1:$5000,M4597,FALSE)</f>
        <v>0</v>
      </c>
      <c r="U4597">
        <f t="shared" si="214"/>
        <v>0</v>
      </c>
      <c r="V4597">
        <f>HLOOKUP("In Use MiB",'vInfo (Imported)'!$1:$5000,M4597,FALSE)</f>
        <v>0</v>
      </c>
    </row>
    <row r="4598" spans="1:22" ht="13" x14ac:dyDescent="0.3">
      <c r="A4598" s="46">
        <f>'vHosts (Imported)'!A4598</f>
        <v>0</v>
      </c>
      <c r="B4598" s="51">
        <f t="shared" si="216"/>
        <v>4968</v>
      </c>
      <c r="C4598" s="49">
        <f>HLOOKUP("# Cores",'vHosts (Imported)'!$1:$5000,M4598,FALSE)</f>
        <v>0</v>
      </c>
      <c r="D4598" s="52">
        <f>HLOOKUP("# Memory",'vHosts (Imported)'!$1:$5000,M4598,FALSE)</f>
        <v>0</v>
      </c>
      <c r="M4598" s="45">
        <f t="shared" si="215"/>
        <v>4598</v>
      </c>
      <c r="N4598" s="38">
        <f>HLOOKUP("Host",'vInfo (Imported)'!$1:$5000,M4598,FALSE)</f>
        <v>0</v>
      </c>
      <c r="R4598">
        <f>HLOOKUP("CPUs",'vInfo (Imported)'!$1:$5000,M4598,FALSE)</f>
        <v>0</v>
      </c>
      <c r="S4598">
        <f>HLOOKUP("Memory",'vInfo (Imported)'!$1:$5000,M4598,FALSE)</f>
        <v>0</v>
      </c>
      <c r="T4598">
        <f>HLOOKUP("Provisioned MiB",'vInfo (Imported)'!$1:$5000,M4598,FALSE)</f>
        <v>0</v>
      </c>
      <c r="U4598">
        <f t="shared" si="214"/>
        <v>0</v>
      </c>
      <c r="V4598">
        <f>HLOOKUP("In Use MiB",'vInfo (Imported)'!$1:$5000,M4598,FALSE)</f>
        <v>0</v>
      </c>
    </row>
    <row r="4599" spans="1:22" ht="13" x14ac:dyDescent="0.3">
      <c r="A4599" s="46">
        <f>'vHosts (Imported)'!A4599</f>
        <v>0</v>
      </c>
      <c r="B4599" s="51">
        <f t="shared" si="216"/>
        <v>4968</v>
      </c>
      <c r="C4599" s="49">
        <f>HLOOKUP("# Cores",'vHosts (Imported)'!$1:$5000,M4599,FALSE)</f>
        <v>0</v>
      </c>
      <c r="D4599" s="52">
        <f>HLOOKUP("# Memory",'vHosts (Imported)'!$1:$5000,M4599,FALSE)</f>
        <v>0</v>
      </c>
      <c r="M4599" s="45">
        <f t="shared" si="215"/>
        <v>4599</v>
      </c>
      <c r="N4599" s="38">
        <f>HLOOKUP("Host",'vInfo (Imported)'!$1:$5000,M4599,FALSE)</f>
        <v>0</v>
      </c>
      <c r="R4599">
        <f>HLOOKUP("CPUs",'vInfo (Imported)'!$1:$5000,M4599,FALSE)</f>
        <v>0</v>
      </c>
      <c r="S4599">
        <f>HLOOKUP("Memory",'vInfo (Imported)'!$1:$5000,M4599,FALSE)</f>
        <v>0</v>
      </c>
      <c r="T4599">
        <f>HLOOKUP("Provisioned MiB",'vInfo (Imported)'!$1:$5000,M4599,FALSE)</f>
        <v>0</v>
      </c>
      <c r="U4599">
        <f t="shared" si="214"/>
        <v>0</v>
      </c>
      <c r="V4599">
        <f>HLOOKUP("In Use MiB",'vInfo (Imported)'!$1:$5000,M4599,FALSE)</f>
        <v>0</v>
      </c>
    </row>
    <row r="4600" spans="1:22" ht="13" x14ac:dyDescent="0.3">
      <c r="A4600" s="46">
        <f>'vHosts (Imported)'!A4600</f>
        <v>0</v>
      </c>
      <c r="B4600" s="51">
        <f t="shared" si="216"/>
        <v>4968</v>
      </c>
      <c r="C4600" s="49">
        <f>HLOOKUP("# Cores",'vHosts (Imported)'!$1:$5000,M4600,FALSE)</f>
        <v>0</v>
      </c>
      <c r="D4600" s="52">
        <f>HLOOKUP("# Memory",'vHosts (Imported)'!$1:$5000,M4600,FALSE)</f>
        <v>0</v>
      </c>
      <c r="M4600" s="45">
        <f t="shared" si="215"/>
        <v>4600</v>
      </c>
      <c r="N4600" s="38">
        <f>HLOOKUP("Host",'vInfo (Imported)'!$1:$5000,M4600,FALSE)</f>
        <v>0</v>
      </c>
      <c r="R4600">
        <f>HLOOKUP("CPUs",'vInfo (Imported)'!$1:$5000,M4600,FALSE)</f>
        <v>0</v>
      </c>
      <c r="S4600">
        <f>HLOOKUP("Memory",'vInfo (Imported)'!$1:$5000,M4600,FALSE)</f>
        <v>0</v>
      </c>
      <c r="T4600">
        <f>HLOOKUP("Provisioned MiB",'vInfo (Imported)'!$1:$5000,M4600,FALSE)</f>
        <v>0</v>
      </c>
      <c r="U4600">
        <f t="shared" si="214"/>
        <v>0</v>
      </c>
      <c r="V4600">
        <f>HLOOKUP("In Use MiB",'vInfo (Imported)'!$1:$5000,M4600,FALSE)</f>
        <v>0</v>
      </c>
    </row>
    <row r="4601" spans="1:22" ht="13" x14ac:dyDescent="0.3">
      <c r="A4601" s="46">
        <f>'vHosts (Imported)'!A4601</f>
        <v>0</v>
      </c>
      <c r="B4601" s="51">
        <f t="shared" si="216"/>
        <v>4968</v>
      </c>
      <c r="C4601" s="49">
        <f>HLOOKUP("# Cores",'vHosts (Imported)'!$1:$5000,M4601,FALSE)</f>
        <v>0</v>
      </c>
      <c r="D4601" s="52">
        <f>HLOOKUP("# Memory",'vHosts (Imported)'!$1:$5000,M4601,FALSE)</f>
        <v>0</v>
      </c>
      <c r="M4601" s="45">
        <f t="shared" si="215"/>
        <v>4601</v>
      </c>
      <c r="N4601" s="38">
        <f>HLOOKUP("Host",'vInfo (Imported)'!$1:$5000,M4601,FALSE)</f>
        <v>0</v>
      </c>
      <c r="R4601">
        <f>HLOOKUP("CPUs",'vInfo (Imported)'!$1:$5000,M4601,FALSE)</f>
        <v>0</v>
      </c>
      <c r="S4601">
        <f>HLOOKUP("Memory",'vInfo (Imported)'!$1:$5000,M4601,FALSE)</f>
        <v>0</v>
      </c>
      <c r="T4601">
        <f>HLOOKUP("Provisioned MiB",'vInfo (Imported)'!$1:$5000,M4601,FALSE)</f>
        <v>0</v>
      </c>
      <c r="U4601">
        <f t="shared" si="214"/>
        <v>0</v>
      </c>
      <c r="V4601">
        <f>HLOOKUP("In Use MiB",'vInfo (Imported)'!$1:$5000,M4601,FALSE)</f>
        <v>0</v>
      </c>
    </row>
    <row r="4602" spans="1:22" ht="13" x14ac:dyDescent="0.3">
      <c r="A4602" s="46">
        <f>'vHosts (Imported)'!A4602</f>
        <v>0</v>
      </c>
      <c r="B4602" s="51">
        <f t="shared" si="216"/>
        <v>4968</v>
      </c>
      <c r="C4602" s="49">
        <f>HLOOKUP("# Cores",'vHosts (Imported)'!$1:$5000,M4602,FALSE)</f>
        <v>0</v>
      </c>
      <c r="D4602" s="52">
        <f>HLOOKUP("# Memory",'vHosts (Imported)'!$1:$5000,M4602,FALSE)</f>
        <v>0</v>
      </c>
      <c r="M4602" s="45">
        <f t="shared" si="215"/>
        <v>4602</v>
      </c>
      <c r="N4602" s="38">
        <f>HLOOKUP("Host",'vInfo (Imported)'!$1:$5000,M4602,FALSE)</f>
        <v>0</v>
      </c>
      <c r="R4602">
        <f>HLOOKUP("CPUs",'vInfo (Imported)'!$1:$5000,M4602,FALSE)</f>
        <v>0</v>
      </c>
      <c r="S4602">
        <f>HLOOKUP("Memory",'vInfo (Imported)'!$1:$5000,M4602,FALSE)</f>
        <v>0</v>
      </c>
      <c r="T4602">
        <f>HLOOKUP("Provisioned MiB",'vInfo (Imported)'!$1:$5000,M4602,FALSE)</f>
        <v>0</v>
      </c>
      <c r="U4602">
        <f t="shared" si="214"/>
        <v>0</v>
      </c>
      <c r="V4602">
        <f>HLOOKUP("In Use MiB",'vInfo (Imported)'!$1:$5000,M4602,FALSE)</f>
        <v>0</v>
      </c>
    </row>
    <row r="4603" spans="1:22" ht="13" x14ac:dyDescent="0.3">
      <c r="A4603" s="46">
        <f>'vHosts (Imported)'!A4603</f>
        <v>0</v>
      </c>
      <c r="B4603" s="51">
        <f t="shared" si="216"/>
        <v>4968</v>
      </c>
      <c r="C4603" s="49">
        <f>HLOOKUP("# Cores",'vHosts (Imported)'!$1:$5000,M4603,FALSE)</f>
        <v>0</v>
      </c>
      <c r="D4603" s="52">
        <f>HLOOKUP("# Memory",'vHosts (Imported)'!$1:$5000,M4603,FALSE)</f>
        <v>0</v>
      </c>
      <c r="M4603" s="45">
        <f t="shared" si="215"/>
        <v>4603</v>
      </c>
      <c r="N4603" s="38">
        <f>HLOOKUP("Host",'vInfo (Imported)'!$1:$5000,M4603,FALSE)</f>
        <v>0</v>
      </c>
      <c r="R4603">
        <f>HLOOKUP("CPUs",'vInfo (Imported)'!$1:$5000,M4603,FALSE)</f>
        <v>0</v>
      </c>
      <c r="S4603">
        <f>HLOOKUP("Memory",'vInfo (Imported)'!$1:$5000,M4603,FALSE)</f>
        <v>0</v>
      </c>
      <c r="T4603">
        <f>HLOOKUP("Provisioned MiB",'vInfo (Imported)'!$1:$5000,M4603,FALSE)</f>
        <v>0</v>
      </c>
      <c r="U4603">
        <f t="shared" si="214"/>
        <v>0</v>
      </c>
      <c r="V4603">
        <f>HLOOKUP("In Use MiB",'vInfo (Imported)'!$1:$5000,M4603,FALSE)</f>
        <v>0</v>
      </c>
    </row>
    <row r="4604" spans="1:22" ht="13" x14ac:dyDescent="0.3">
      <c r="A4604" s="46">
        <f>'vHosts (Imported)'!A4604</f>
        <v>0</v>
      </c>
      <c r="B4604" s="51">
        <f t="shared" si="216"/>
        <v>4968</v>
      </c>
      <c r="C4604" s="49">
        <f>HLOOKUP("# Cores",'vHosts (Imported)'!$1:$5000,M4604,FALSE)</f>
        <v>0</v>
      </c>
      <c r="D4604" s="52">
        <f>HLOOKUP("# Memory",'vHosts (Imported)'!$1:$5000,M4604,FALSE)</f>
        <v>0</v>
      </c>
      <c r="M4604" s="45">
        <f t="shared" si="215"/>
        <v>4604</v>
      </c>
      <c r="N4604" s="38">
        <f>HLOOKUP("Host",'vInfo (Imported)'!$1:$5000,M4604,FALSE)</f>
        <v>0</v>
      </c>
      <c r="R4604">
        <f>HLOOKUP("CPUs",'vInfo (Imported)'!$1:$5000,M4604,FALSE)</f>
        <v>0</v>
      </c>
      <c r="S4604">
        <f>HLOOKUP("Memory",'vInfo (Imported)'!$1:$5000,M4604,FALSE)</f>
        <v>0</v>
      </c>
      <c r="T4604">
        <f>HLOOKUP("Provisioned MiB",'vInfo (Imported)'!$1:$5000,M4604,FALSE)</f>
        <v>0</v>
      </c>
      <c r="U4604">
        <f t="shared" si="214"/>
        <v>0</v>
      </c>
      <c r="V4604">
        <f>HLOOKUP("In Use MiB",'vInfo (Imported)'!$1:$5000,M4604,FALSE)</f>
        <v>0</v>
      </c>
    </row>
    <row r="4605" spans="1:22" ht="13" x14ac:dyDescent="0.3">
      <c r="A4605" s="46">
        <f>'vHosts (Imported)'!A4605</f>
        <v>0</v>
      </c>
      <c r="B4605" s="51">
        <f t="shared" si="216"/>
        <v>4968</v>
      </c>
      <c r="C4605" s="49">
        <f>HLOOKUP("# Cores",'vHosts (Imported)'!$1:$5000,M4605,FALSE)</f>
        <v>0</v>
      </c>
      <c r="D4605" s="52">
        <f>HLOOKUP("# Memory",'vHosts (Imported)'!$1:$5000,M4605,FALSE)</f>
        <v>0</v>
      </c>
      <c r="M4605" s="45">
        <f t="shared" si="215"/>
        <v>4605</v>
      </c>
      <c r="N4605" s="38">
        <f>HLOOKUP("Host",'vInfo (Imported)'!$1:$5000,M4605,FALSE)</f>
        <v>0</v>
      </c>
      <c r="R4605">
        <f>HLOOKUP("CPUs",'vInfo (Imported)'!$1:$5000,M4605,FALSE)</f>
        <v>0</v>
      </c>
      <c r="S4605">
        <f>HLOOKUP("Memory",'vInfo (Imported)'!$1:$5000,M4605,FALSE)</f>
        <v>0</v>
      </c>
      <c r="T4605">
        <f>HLOOKUP("Provisioned MiB",'vInfo (Imported)'!$1:$5000,M4605,FALSE)</f>
        <v>0</v>
      </c>
      <c r="U4605">
        <f t="shared" si="214"/>
        <v>0</v>
      </c>
      <c r="V4605">
        <f>HLOOKUP("In Use MiB",'vInfo (Imported)'!$1:$5000,M4605,FALSE)</f>
        <v>0</v>
      </c>
    </row>
    <row r="4606" spans="1:22" ht="13" x14ac:dyDescent="0.3">
      <c r="A4606" s="46">
        <f>'vHosts (Imported)'!A4606</f>
        <v>0</v>
      </c>
      <c r="B4606" s="51">
        <f t="shared" si="216"/>
        <v>4968</v>
      </c>
      <c r="C4606" s="49">
        <f>HLOOKUP("# Cores",'vHosts (Imported)'!$1:$5000,M4606,FALSE)</f>
        <v>0</v>
      </c>
      <c r="D4606" s="52">
        <f>HLOOKUP("# Memory",'vHosts (Imported)'!$1:$5000,M4606,FALSE)</f>
        <v>0</v>
      </c>
      <c r="M4606" s="45">
        <f t="shared" si="215"/>
        <v>4606</v>
      </c>
      <c r="N4606" s="38">
        <f>HLOOKUP("Host",'vInfo (Imported)'!$1:$5000,M4606,FALSE)</f>
        <v>0</v>
      </c>
      <c r="R4606">
        <f>HLOOKUP("CPUs",'vInfo (Imported)'!$1:$5000,M4606,FALSE)</f>
        <v>0</v>
      </c>
      <c r="S4606">
        <f>HLOOKUP("Memory",'vInfo (Imported)'!$1:$5000,M4606,FALSE)</f>
        <v>0</v>
      </c>
      <c r="T4606">
        <f>HLOOKUP("Provisioned MiB",'vInfo (Imported)'!$1:$5000,M4606,FALSE)</f>
        <v>0</v>
      </c>
      <c r="U4606">
        <f t="shared" si="214"/>
        <v>0</v>
      </c>
      <c r="V4606">
        <f>HLOOKUP("In Use MiB",'vInfo (Imported)'!$1:$5000,M4606,FALSE)</f>
        <v>0</v>
      </c>
    </row>
    <row r="4607" spans="1:22" ht="13" x14ac:dyDescent="0.3">
      <c r="A4607" s="46">
        <f>'vHosts (Imported)'!A4607</f>
        <v>0</v>
      </c>
      <c r="B4607" s="51">
        <f t="shared" si="216"/>
        <v>4968</v>
      </c>
      <c r="C4607" s="49">
        <f>HLOOKUP("# Cores",'vHosts (Imported)'!$1:$5000,M4607,FALSE)</f>
        <v>0</v>
      </c>
      <c r="D4607" s="52">
        <f>HLOOKUP("# Memory",'vHosts (Imported)'!$1:$5000,M4607,FALSE)</f>
        <v>0</v>
      </c>
      <c r="M4607" s="45">
        <f t="shared" si="215"/>
        <v>4607</v>
      </c>
      <c r="N4607" s="38">
        <f>HLOOKUP("Host",'vInfo (Imported)'!$1:$5000,M4607,FALSE)</f>
        <v>0</v>
      </c>
      <c r="R4607">
        <f>HLOOKUP("CPUs",'vInfo (Imported)'!$1:$5000,M4607,FALSE)</f>
        <v>0</v>
      </c>
      <c r="S4607">
        <f>HLOOKUP("Memory",'vInfo (Imported)'!$1:$5000,M4607,FALSE)</f>
        <v>0</v>
      </c>
      <c r="T4607">
        <f>HLOOKUP("Provisioned MiB",'vInfo (Imported)'!$1:$5000,M4607,FALSE)</f>
        <v>0</v>
      </c>
      <c r="U4607">
        <f t="shared" si="214"/>
        <v>0</v>
      </c>
      <c r="V4607">
        <f>HLOOKUP("In Use MiB",'vInfo (Imported)'!$1:$5000,M4607,FALSE)</f>
        <v>0</v>
      </c>
    </row>
    <row r="4608" spans="1:22" ht="13" x14ac:dyDescent="0.3">
      <c r="A4608" s="46">
        <f>'vHosts (Imported)'!A4608</f>
        <v>0</v>
      </c>
      <c r="B4608" s="51">
        <f t="shared" si="216"/>
        <v>4968</v>
      </c>
      <c r="C4608" s="49">
        <f>HLOOKUP("# Cores",'vHosts (Imported)'!$1:$5000,M4608,FALSE)</f>
        <v>0</v>
      </c>
      <c r="D4608" s="52">
        <f>HLOOKUP("# Memory",'vHosts (Imported)'!$1:$5000,M4608,FALSE)</f>
        <v>0</v>
      </c>
      <c r="M4608" s="45">
        <f t="shared" si="215"/>
        <v>4608</v>
      </c>
      <c r="N4608" s="38">
        <f>HLOOKUP("Host",'vInfo (Imported)'!$1:$5000,M4608,FALSE)</f>
        <v>0</v>
      </c>
      <c r="R4608">
        <f>HLOOKUP("CPUs",'vInfo (Imported)'!$1:$5000,M4608,FALSE)</f>
        <v>0</v>
      </c>
      <c r="S4608">
        <f>HLOOKUP("Memory",'vInfo (Imported)'!$1:$5000,M4608,FALSE)</f>
        <v>0</v>
      </c>
      <c r="T4608">
        <f>HLOOKUP("Provisioned MiB",'vInfo (Imported)'!$1:$5000,M4608,FALSE)</f>
        <v>0</v>
      </c>
      <c r="U4608">
        <f t="shared" si="214"/>
        <v>0</v>
      </c>
      <c r="V4608">
        <f>HLOOKUP("In Use MiB",'vInfo (Imported)'!$1:$5000,M4608,FALSE)</f>
        <v>0</v>
      </c>
    </row>
    <row r="4609" spans="1:22" ht="13" x14ac:dyDescent="0.3">
      <c r="A4609" s="46">
        <f>'vHosts (Imported)'!A4609</f>
        <v>0</v>
      </c>
      <c r="B4609" s="51">
        <f t="shared" si="216"/>
        <v>4968</v>
      </c>
      <c r="C4609" s="49">
        <f>HLOOKUP("# Cores",'vHosts (Imported)'!$1:$5000,M4609,FALSE)</f>
        <v>0</v>
      </c>
      <c r="D4609" s="52">
        <f>HLOOKUP("# Memory",'vHosts (Imported)'!$1:$5000,M4609,FALSE)</f>
        <v>0</v>
      </c>
      <c r="M4609" s="45">
        <f t="shared" si="215"/>
        <v>4609</v>
      </c>
      <c r="N4609" s="38">
        <f>HLOOKUP("Host",'vInfo (Imported)'!$1:$5000,M4609,FALSE)</f>
        <v>0</v>
      </c>
      <c r="R4609">
        <f>HLOOKUP("CPUs",'vInfo (Imported)'!$1:$5000,M4609,FALSE)</f>
        <v>0</v>
      </c>
      <c r="S4609">
        <f>HLOOKUP("Memory",'vInfo (Imported)'!$1:$5000,M4609,FALSE)</f>
        <v>0</v>
      </c>
      <c r="T4609">
        <f>HLOOKUP("Provisioned MiB",'vInfo (Imported)'!$1:$5000,M4609,FALSE)</f>
        <v>0</v>
      </c>
      <c r="U4609">
        <f t="shared" si="214"/>
        <v>0</v>
      </c>
      <c r="V4609">
        <f>HLOOKUP("In Use MiB",'vInfo (Imported)'!$1:$5000,M4609,FALSE)</f>
        <v>0</v>
      </c>
    </row>
    <row r="4610" spans="1:22" ht="13" x14ac:dyDescent="0.3">
      <c r="A4610" s="46">
        <f>'vHosts (Imported)'!A4610</f>
        <v>0</v>
      </c>
      <c r="B4610" s="51">
        <f t="shared" si="216"/>
        <v>4968</v>
      </c>
      <c r="C4610" s="49">
        <f>HLOOKUP("# Cores",'vHosts (Imported)'!$1:$5000,M4610,FALSE)</f>
        <v>0</v>
      </c>
      <c r="D4610" s="52">
        <f>HLOOKUP("# Memory",'vHosts (Imported)'!$1:$5000,M4610,FALSE)</f>
        <v>0</v>
      </c>
      <c r="M4610" s="45">
        <f t="shared" si="215"/>
        <v>4610</v>
      </c>
      <c r="N4610" s="38">
        <f>HLOOKUP("Host",'vInfo (Imported)'!$1:$5000,M4610,FALSE)</f>
        <v>0</v>
      </c>
      <c r="R4610">
        <f>HLOOKUP("CPUs",'vInfo (Imported)'!$1:$5000,M4610,FALSE)</f>
        <v>0</v>
      </c>
      <c r="S4610">
        <f>HLOOKUP("Memory",'vInfo (Imported)'!$1:$5000,M4610,FALSE)</f>
        <v>0</v>
      </c>
      <c r="T4610">
        <f>HLOOKUP("Provisioned MiB",'vInfo (Imported)'!$1:$5000,M4610,FALSE)</f>
        <v>0</v>
      </c>
      <c r="U4610">
        <f t="shared" si="214"/>
        <v>0</v>
      </c>
      <c r="V4610">
        <f>HLOOKUP("In Use MiB",'vInfo (Imported)'!$1:$5000,M4610,FALSE)</f>
        <v>0</v>
      </c>
    </row>
    <row r="4611" spans="1:22" ht="13" x14ac:dyDescent="0.3">
      <c r="A4611" s="46">
        <f>'vHosts (Imported)'!A4611</f>
        <v>0</v>
      </c>
      <c r="B4611" s="51">
        <f t="shared" si="216"/>
        <v>4968</v>
      </c>
      <c r="C4611" s="49">
        <f>HLOOKUP("# Cores",'vHosts (Imported)'!$1:$5000,M4611,FALSE)</f>
        <v>0</v>
      </c>
      <c r="D4611" s="52">
        <f>HLOOKUP("# Memory",'vHosts (Imported)'!$1:$5000,M4611,FALSE)</f>
        <v>0</v>
      </c>
      <c r="M4611" s="45">
        <f t="shared" si="215"/>
        <v>4611</v>
      </c>
      <c r="N4611" s="38">
        <f>HLOOKUP("Host",'vInfo (Imported)'!$1:$5000,M4611,FALSE)</f>
        <v>0</v>
      </c>
      <c r="R4611">
        <f>HLOOKUP("CPUs",'vInfo (Imported)'!$1:$5000,M4611,FALSE)</f>
        <v>0</v>
      </c>
      <c r="S4611">
        <f>HLOOKUP("Memory",'vInfo (Imported)'!$1:$5000,M4611,FALSE)</f>
        <v>0</v>
      </c>
      <c r="T4611">
        <f>HLOOKUP("Provisioned MiB",'vInfo (Imported)'!$1:$5000,M4611,FALSE)</f>
        <v>0</v>
      </c>
      <c r="U4611">
        <f t="shared" ref="U4611:U4674" si="217">T4611-V4611</f>
        <v>0</v>
      </c>
      <c r="V4611">
        <f>HLOOKUP("In Use MiB",'vInfo (Imported)'!$1:$5000,M4611,FALSE)</f>
        <v>0</v>
      </c>
    </row>
    <row r="4612" spans="1:22" ht="13" x14ac:dyDescent="0.3">
      <c r="A4612" s="46">
        <f>'vHosts (Imported)'!A4612</f>
        <v>0</v>
      </c>
      <c r="B4612" s="51">
        <f t="shared" si="216"/>
        <v>4968</v>
      </c>
      <c r="C4612" s="49">
        <f>HLOOKUP("# Cores",'vHosts (Imported)'!$1:$5000,M4612,FALSE)</f>
        <v>0</v>
      </c>
      <c r="D4612" s="52">
        <f>HLOOKUP("# Memory",'vHosts (Imported)'!$1:$5000,M4612,FALSE)</f>
        <v>0</v>
      </c>
      <c r="M4612" s="45">
        <f t="shared" ref="M4612:M4675" si="218">M4611+1</f>
        <v>4612</v>
      </c>
      <c r="N4612" s="38">
        <f>HLOOKUP("Host",'vInfo (Imported)'!$1:$5000,M4612,FALSE)</f>
        <v>0</v>
      </c>
      <c r="R4612">
        <f>HLOOKUP("CPUs",'vInfo (Imported)'!$1:$5000,M4612,FALSE)</f>
        <v>0</v>
      </c>
      <c r="S4612">
        <f>HLOOKUP("Memory",'vInfo (Imported)'!$1:$5000,M4612,FALSE)</f>
        <v>0</v>
      </c>
      <c r="T4612">
        <f>HLOOKUP("Provisioned MiB",'vInfo (Imported)'!$1:$5000,M4612,FALSE)</f>
        <v>0</v>
      </c>
      <c r="U4612">
        <f t="shared" si="217"/>
        <v>0</v>
      </c>
      <c r="V4612">
        <f>HLOOKUP("In Use MiB",'vInfo (Imported)'!$1:$5000,M4612,FALSE)</f>
        <v>0</v>
      </c>
    </row>
    <row r="4613" spans="1:22" ht="13" x14ac:dyDescent="0.3">
      <c r="A4613" s="46">
        <f>'vHosts (Imported)'!A4613</f>
        <v>0</v>
      </c>
      <c r="B4613" s="51">
        <f t="shared" si="216"/>
        <v>4968</v>
      </c>
      <c r="C4613" s="49">
        <f>HLOOKUP("# Cores",'vHosts (Imported)'!$1:$5000,M4613,FALSE)</f>
        <v>0</v>
      </c>
      <c r="D4613" s="52">
        <f>HLOOKUP("# Memory",'vHosts (Imported)'!$1:$5000,M4613,FALSE)</f>
        <v>0</v>
      </c>
      <c r="M4613" s="45">
        <f t="shared" si="218"/>
        <v>4613</v>
      </c>
      <c r="N4613" s="38">
        <f>HLOOKUP("Host",'vInfo (Imported)'!$1:$5000,M4613,FALSE)</f>
        <v>0</v>
      </c>
      <c r="R4613">
        <f>HLOOKUP("CPUs",'vInfo (Imported)'!$1:$5000,M4613,FALSE)</f>
        <v>0</v>
      </c>
      <c r="S4613">
        <f>HLOOKUP("Memory",'vInfo (Imported)'!$1:$5000,M4613,FALSE)</f>
        <v>0</v>
      </c>
      <c r="T4613">
        <f>HLOOKUP("Provisioned MiB",'vInfo (Imported)'!$1:$5000,M4613,FALSE)</f>
        <v>0</v>
      </c>
      <c r="U4613">
        <f t="shared" si="217"/>
        <v>0</v>
      </c>
      <c r="V4613">
        <f>HLOOKUP("In Use MiB",'vInfo (Imported)'!$1:$5000,M4613,FALSE)</f>
        <v>0</v>
      </c>
    </row>
    <row r="4614" spans="1:22" ht="13" x14ac:dyDescent="0.3">
      <c r="A4614" s="46">
        <f>'vHosts (Imported)'!A4614</f>
        <v>0</v>
      </c>
      <c r="B4614" s="51">
        <f t="shared" si="216"/>
        <v>4968</v>
      </c>
      <c r="C4614" s="49">
        <f>HLOOKUP("# Cores",'vHosts (Imported)'!$1:$5000,M4614,FALSE)</f>
        <v>0</v>
      </c>
      <c r="D4614" s="52">
        <f>HLOOKUP("# Memory",'vHosts (Imported)'!$1:$5000,M4614,FALSE)</f>
        <v>0</v>
      </c>
      <c r="M4614" s="45">
        <f t="shared" si="218"/>
        <v>4614</v>
      </c>
      <c r="N4614" s="38">
        <f>HLOOKUP("Host",'vInfo (Imported)'!$1:$5000,M4614,FALSE)</f>
        <v>0</v>
      </c>
      <c r="R4614">
        <f>HLOOKUP("CPUs",'vInfo (Imported)'!$1:$5000,M4614,FALSE)</f>
        <v>0</v>
      </c>
      <c r="S4614">
        <f>HLOOKUP("Memory",'vInfo (Imported)'!$1:$5000,M4614,FALSE)</f>
        <v>0</v>
      </c>
      <c r="T4614">
        <f>HLOOKUP("Provisioned MiB",'vInfo (Imported)'!$1:$5000,M4614,FALSE)</f>
        <v>0</v>
      </c>
      <c r="U4614">
        <f t="shared" si="217"/>
        <v>0</v>
      </c>
      <c r="V4614">
        <f>HLOOKUP("In Use MiB",'vInfo (Imported)'!$1:$5000,M4614,FALSE)</f>
        <v>0</v>
      </c>
    </row>
    <row r="4615" spans="1:22" ht="13" x14ac:dyDescent="0.3">
      <c r="A4615" s="46">
        <f>'vHosts (Imported)'!A4615</f>
        <v>0</v>
      </c>
      <c r="B4615" s="51">
        <f t="shared" si="216"/>
        <v>4968</v>
      </c>
      <c r="C4615" s="49">
        <f>HLOOKUP("# Cores",'vHosts (Imported)'!$1:$5000,M4615,FALSE)</f>
        <v>0</v>
      </c>
      <c r="D4615" s="52">
        <f>HLOOKUP("# Memory",'vHosts (Imported)'!$1:$5000,M4615,FALSE)</f>
        <v>0</v>
      </c>
      <c r="M4615" s="45">
        <f t="shared" si="218"/>
        <v>4615</v>
      </c>
      <c r="N4615" s="38">
        <f>HLOOKUP("Host",'vInfo (Imported)'!$1:$5000,M4615,FALSE)</f>
        <v>0</v>
      </c>
      <c r="R4615">
        <f>HLOOKUP("CPUs",'vInfo (Imported)'!$1:$5000,M4615,FALSE)</f>
        <v>0</v>
      </c>
      <c r="S4615">
        <f>HLOOKUP("Memory",'vInfo (Imported)'!$1:$5000,M4615,FALSE)</f>
        <v>0</v>
      </c>
      <c r="T4615">
        <f>HLOOKUP("Provisioned MiB",'vInfo (Imported)'!$1:$5000,M4615,FALSE)</f>
        <v>0</v>
      </c>
      <c r="U4615">
        <f t="shared" si="217"/>
        <v>0</v>
      </c>
      <c r="V4615">
        <f>HLOOKUP("In Use MiB",'vInfo (Imported)'!$1:$5000,M4615,FALSE)</f>
        <v>0</v>
      </c>
    </row>
    <row r="4616" spans="1:22" ht="13" x14ac:dyDescent="0.3">
      <c r="A4616" s="46">
        <f>'vHosts (Imported)'!A4616</f>
        <v>0</v>
      </c>
      <c r="B4616" s="51">
        <f t="shared" si="216"/>
        <v>4968</v>
      </c>
      <c r="C4616" s="49">
        <f>HLOOKUP("# Cores",'vHosts (Imported)'!$1:$5000,M4616,FALSE)</f>
        <v>0</v>
      </c>
      <c r="D4616" s="52">
        <f>HLOOKUP("# Memory",'vHosts (Imported)'!$1:$5000,M4616,FALSE)</f>
        <v>0</v>
      </c>
      <c r="M4616" s="45">
        <f t="shared" si="218"/>
        <v>4616</v>
      </c>
      <c r="N4616" s="38">
        <f>HLOOKUP("Host",'vInfo (Imported)'!$1:$5000,M4616,FALSE)</f>
        <v>0</v>
      </c>
      <c r="R4616">
        <f>HLOOKUP("CPUs",'vInfo (Imported)'!$1:$5000,M4616,FALSE)</f>
        <v>0</v>
      </c>
      <c r="S4616">
        <f>HLOOKUP("Memory",'vInfo (Imported)'!$1:$5000,M4616,FALSE)</f>
        <v>0</v>
      </c>
      <c r="T4616">
        <f>HLOOKUP("Provisioned MiB",'vInfo (Imported)'!$1:$5000,M4616,FALSE)</f>
        <v>0</v>
      </c>
      <c r="U4616">
        <f t="shared" si="217"/>
        <v>0</v>
      </c>
      <c r="V4616">
        <f>HLOOKUP("In Use MiB",'vInfo (Imported)'!$1:$5000,M4616,FALSE)</f>
        <v>0</v>
      </c>
    </row>
    <row r="4617" spans="1:22" ht="13" x14ac:dyDescent="0.3">
      <c r="A4617" s="46">
        <f>'vHosts (Imported)'!A4617</f>
        <v>0</v>
      </c>
      <c r="B4617" s="51">
        <f t="shared" si="216"/>
        <v>4968</v>
      </c>
      <c r="C4617" s="49">
        <f>HLOOKUP("# Cores",'vHosts (Imported)'!$1:$5000,M4617,FALSE)</f>
        <v>0</v>
      </c>
      <c r="D4617" s="52">
        <f>HLOOKUP("# Memory",'vHosts (Imported)'!$1:$5000,M4617,FALSE)</f>
        <v>0</v>
      </c>
      <c r="M4617" s="45">
        <f t="shared" si="218"/>
        <v>4617</v>
      </c>
      <c r="N4617" s="38">
        <f>HLOOKUP("Host",'vInfo (Imported)'!$1:$5000,M4617,FALSE)</f>
        <v>0</v>
      </c>
      <c r="R4617">
        <f>HLOOKUP("CPUs",'vInfo (Imported)'!$1:$5000,M4617,FALSE)</f>
        <v>0</v>
      </c>
      <c r="S4617">
        <f>HLOOKUP("Memory",'vInfo (Imported)'!$1:$5000,M4617,FALSE)</f>
        <v>0</v>
      </c>
      <c r="T4617">
        <f>HLOOKUP("Provisioned MiB",'vInfo (Imported)'!$1:$5000,M4617,FALSE)</f>
        <v>0</v>
      </c>
      <c r="U4617">
        <f t="shared" si="217"/>
        <v>0</v>
      </c>
      <c r="V4617">
        <f>HLOOKUP("In Use MiB",'vInfo (Imported)'!$1:$5000,M4617,FALSE)</f>
        <v>0</v>
      </c>
    </row>
    <row r="4618" spans="1:22" ht="13" x14ac:dyDescent="0.3">
      <c r="A4618" s="46">
        <f>'vHosts (Imported)'!A4618</f>
        <v>0</v>
      </c>
      <c r="B4618" s="51">
        <f t="shared" si="216"/>
        <v>4968</v>
      </c>
      <c r="C4618" s="49">
        <f>HLOOKUP("# Cores",'vHosts (Imported)'!$1:$5000,M4618,FALSE)</f>
        <v>0</v>
      </c>
      <c r="D4618" s="52">
        <f>HLOOKUP("# Memory",'vHosts (Imported)'!$1:$5000,M4618,FALSE)</f>
        <v>0</v>
      </c>
      <c r="M4618" s="45">
        <f t="shared" si="218"/>
        <v>4618</v>
      </c>
      <c r="N4618" s="38">
        <f>HLOOKUP("Host",'vInfo (Imported)'!$1:$5000,M4618,FALSE)</f>
        <v>0</v>
      </c>
      <c r="R4618">
        <f>HLOOKUP("CPUs",'vInfo (Imported)'!$1:$5000,M4618,FALSE)</f>
        <v>0</v>
      </c>
      <c r="S4618">
        <f>HLOOKUP("Memory",'vInfo (Imported)'!$1:$5000,M4618,FALSE)</f>
        <v>0</v>
      </c>
      <c r="T4618">
        <f>HLOOKUP("Provisioned MiB",'vInfo (Imported)'!$1:$5000,M4618,FALSE)</f>
        <v>0</v>
      </c>
      <c r="U4618">
        <f t="shared" si="217"/>
        <v>0</v>
      </c>
      <c r="V4618">
        <f>HLOOKUP("In Use MiB",'vInfo (Imported)'!$1:$5000,M4618,FALSE)</f>
        <v>0</v>
      </c>
    </row>
    <row r="4619" spans="1:22" ht="13" x14ac:dyDescent="0.3">
      <c r="A4619" s="46">
        <f>'vHosts (Imported)'!A4619</f>
        <v>0</v>
      </c>
      <c r="B4619" s="51">
        <f t="shared" si="216"/>
        <v>4968</v>
      </c>
      <c r="C4619" s="49">
        <f>HLOOKUP("# Cores",'vHosts (Imported)'!$1:$5000,M4619,FALSE)</f>
        <v>0</v>
      </c>
      <c r="D4619" s="52">
        <f>HLOOKUP("# Memory",'vHosts (Imported)'!$1:$5000,M4619,FALSE)</f>
        <v>0</v>
      </c>
      <c r="M4619" s="45">
        <f t="shared" si="218"/>
        <v>4619</v>
      </c>
      <c r="N4619" s="38">
        <f>HLOOKUP("Host",'vInfo (Imported)'!$1:$5000,M4619,FALSE)</f>
        <v>0</v>
      </c>
      <c r="R4619">
        <f>HLOOKUP("CPUs",'vInfo (Imported)'!$1:$5000,M4619,FALSE)</f>
        <v>0</v>
      </c>
      <c r="S4619">
        <f>HLOOKUP("Memory",'vInfo (Imported)'!$1:$5000,M4619,FALSE)</f>
        <v>0</v>
      </c>
      <c r="T4619">
        <f>HLOOKUP("Provisioned MiB",'vInfo (Imported)'!$1:$5000,M4619,FALSE)</f>
        <v>0</v>
      </c>
      <c r="U4619">
        <f t="shared" si="217"/>
        <v>0</v>
      </c>
      <c r="V4619">
        <f>HLOOKUP("In Use MiB",'vInfo (Imported)'!$1:$5000,M4619,FALSE)</f>
        <v>0</v>
      </c>
    </row>
    <row r="4620" spans="1:22" ht="13" x14ac:dyDescent="0.3">
      <c r="A4620" s="46">
        <f>'vHosts (Imported)'!A4620</f>
        <v>0</v>
      </c>
      <c r="B4620" s="51">
        <f t="shared" si="216"/>
        <v>4968</v>
      </c>
      <c r="C4620" s="49">
        <f>HLOOKUP("# Cores",'vHosts (Imported)'!$1:$5000,M4620,FALSE)</f>
        <v>0</v>
      </c>
      <c r="D4620" s="52">
        <f>HLOOKUP("# Memory",'vHosts (Imported)'!$1:$5000,M4620,FALSE)</f>
        <v>0</v>
      </c>
      <c r="M4620" s="45">
        <f t="shared" si="218"/>
        <v>4620</v>
      </c>
      <c r="N4620" s="38">
        <f>HLOOKUP("Host",'vInfo (Imported)'!$1:$5000,M4620,FALSE)</f>
        <v>0</v>
      </c>
      <c r="R4620">
        <f>HLOOKUP("CPUs",'vInfo (Imported)'!$1:$5000,M4620,FALSE)</f>
        <v>0</v>
      </c>
      <c r="S4620">
        <f>HLOOKUP("Memory",'vInfo (Imported)'!$1:$5000,M4620,FALSE)</f>
        <v>0</v>
      </c>
      <c r="T4620">
        <f>HLOOKUP("Provisioned MiB",'vInfo (Imported)'!$1:$5000,M4620,FALSE)</f>
        <v>0</v>
      </c>
      <c r="U4620">
        <f t="shared" si="217"/>
        <v>0</v>
      </c>
      <c r="V4620">
        <f>HLOOKUP("In Use MiB",'vInfo (Imported)'!$1:$5000,M4620,FALSE)</f>
        <v>0</v>
      </c>
    </row>
    <row r="4621" spans="1:22" ht="13" x14ac:dyDescent="0.3">
      <c r="A4621" s="46">
        <f>'vHosts (Imported)'!A4621</f>
        <v>0</v>
      </c>
      <c r="B4621" s="51">
        <f t="shared" si="216"/>
        <v>4968</v>
      </c>
      <c r="C4621" s="49">
        <f>HLOOKUP("# Cores",'vHosts (Imported)'!$1:$5000,M4621,FALSE)</f>
        <v>0</v>
      </c>
      <c r="D4621" s="52">
        <f>HLOOKUP("# Memory",'vHosts (Imported)'!$1:$5000,M4621,FALSE)</f>
        <v>0</v>
      </c>
      <c r="M4621" s="45">
        <f t="shared" si="218"/>
        <v>4621</v>
      </c>
      <c r="N4621" s="38">
        <f>HLOOKUP("Host",'vInfo (Imported)'!$1:$5000,M4621,FALSE)</f>
        <v>0</v>
      </c>
      <c r="R4621">
        <f>HLOOKUP("CPUs",'vInfo (Imported)'!$1:$5000,M4621,FALSE)</f>
        <v>0</v>
      </c>
      <c r="S4621">
        <f>HLOOKUP("Memory",'vInfo (Imported)'!$1:$5000,M4621,FALSE)</f>
        <v>0</v>
      </c>
      <c r="T4621">
        <f>HLOOKUP("Provisioned MiB",'vInfo (Imported)'!$1:$5000,M4621,FALSE)</f>
        <v>0</v>
      </c>
      <c r="U4621">
        <f t="shared" si="217"/>
        <v>0</v>
      </c>
      <c r="V4621">
        <f>HLOOKUP("In Use MiB",'vInfo (Imported)'!$1:$5000,M4621,FALSE)</f>
        <v>0</v>
      </c>
    </row>
    <row r="4622" spans="1:22" ht="13" x14ac:dyDescent="0.3">
      <c r="A4622" s="46">
        <f>'vHosts (Imported)'!A4622</f>
        <v>0</v>
      </c>
      <c r="B4622" s="51">
        <f t="shared" si="216"/>
        <v>4968</v>
      </c>
      <c r="C4622" s="49">
        <f>HLOOKUP("# Cores",'vHosts (Imported)'!$1:$5000,M4622,FALSE)</f>
        <v>0</v>
      </c>
      <c r="D4622" s="52">
        <f>HLOOKUP("# Memory",'vHosts (Imported)'!$1:$5000,M4622,FALSE)</f>
        <v>0</v>
      </c>
      <c r="M4622" s="45">
        <f t="shared" si="218"/>
        <v>4622</v>
      </c>
      <c r="N4622" s="38">
        <f>HLOOKUP("Host",'vInfo (Imported)'!$1:$5000,M4622,FALSE)</f>
        <v>0</v>
      </c>
      <c r="R4622">
        <f>HLOOKUP("CPUs",'vInfo (Imported)'!$1:$5000,M4622,FALSE)</f>
        <v>0</v>
      </c>
      <c r="S4622">
        <f>HLOOKUP("Memory",'vInfo (Imported)'!$1:$5000,M4622,FALSE)</f>
        <v>0</v>
      </c>
      <c r="T4622">
        <f>HLOOKUP("Provisioned MiB",'vInfo (Imported)'!$1:$5000,M4622,FALSE)</f>
        <v>0</v>
      </c>
      <c r="U4622">
        <f t="shared" si="217"/>
        <v>0</v>
      </c>
      <c r="V4622">
        <f>HLOOKUP("In Use MiB",'vInfo (Imported)'!$1:$5000,M4622,FALSE)</f>
        <v>0</v>
      </c>
    </row>
    <row r="4623" spans="1:22" ht="13" x14ac:dyDescent="0.3">
      <c r="A4623" s="46">
        <f>'vHosts (Imported)'!A4623</f>
        <v>0</v>
      </c>
      <c r="B4623" s="51">
        <f t="shared" si="216"/>
        <v>4968</v>
      </c>
      <c r="C4623" s="49">
        <f>HLOOKUP("# Cores",'vHosts (Imported)'!$1:$5000,M4623,FALSE)</f>
        <v>0</v>
      </c>
      <c r="D4623" s="52">
        <f>HLOOKUP("# Memory",'vHosts (Imported)'!$1:$5000,M4623,FALSE)</f>
        <v>0</v>
      </c>
      <c r="M4623" s="45">
        <f t="shared" si="218"/>
        <v>4623</v>
      </c>
      <c r="N4623" s="38">
        <f>HLOOKUP("Host",'vInfo (Imported)'!$1:$5000,M4623,FALSE)</f>
        <v>0</v>
      </c>
      <c r="R4623">
        <f>HLOOKUP("CPUs",'vInfo (Imported)'!$1:$5000,M4623,FALSE)</f>
        <v>0</v>
      </c>
      <c r="S4623">
        <f>HLOOKUP("Memory",'vInfo (Imported)'!$1:$5000,M4623,FALSE)</f>
        <v>0</v>
      </c>
      <c r="T4623">
        <f>HLOOKUP("Provisioned MiB",'vInfo (Imported)'!$1:$5000,M4623,FALSE)</f>
        <v>0</v>
      </c>
      <c r="U4623">
        <f t="shared" si="217"/>
        <v>0</v>
      </c>
      <c r="V4623">
        <f>HLOOKUP("In Use MiB",'vInfo (Imported)'!$1:$5000,M4623,FALSE)</f>
        <v>0</v>
      </c>
    </row>
    <row r="4624" spans="1:22" ht="13" x14ac:dyDescent="0.3">
      <c r="A4624" s="46">
        <f>'vHosts (Imported)'!A4624</f>
        <v>0</v>
      </c>
      <c r="B4624" s="51">
        <f t="shared" si="216"/>
        <v>4968</v>
      </c>
      <c r="C4624" s="49">
        <f>HLOOKUP("# Cores",'vHosts (Imported)'!$1:$5000,M4624,FALSE)</f>
        <v>0</v>
      </c>
      <c r="D4624" s="52">
        <f>HLOOKUP("# Memory",'vHosts (Imported)'!$1:$5000,M4624,FALSE)</f>
        <v>0</v>
      </c>
      <c r="M4624" s="45">
        <f t="shared" si="218"/>
        <v>4624</v>
      </c>
      <c r="N4624" s="38">
        <f>HLOOKUP("Host",'vInfo (Imported)'!$1:$5000,M4624,FALSE)</f>
        <v>0</v>
      </c>
      <c r="R4624">
        <f>HLOOKUP("CPUs",'vInfo (Imported)'!$1:$5000,M4624,FALSE)</f>
        <v>0</v>
      </c>
      <c r="S4624">
        <f>HLOOKUP("Memory",'vInfo (Imported)'!$1:$5000,M4624,FALSE)</f>
        <v>0</v>
      </c>
      <c r="T4624">
        <f>HLOOKUP("Provisioned MiB",'vInfo (Imported)'!$1:$5000,M4624,FALSE)</f>
        <v>0</v>
      </c>
      <c r="U4624">
        <f t="shared" si="217"/>
        <v>0</v>
      </c>
      <c r="V4624">
        <f>HLOOKUP("In Use MiB",'vInfo (Imported)'!$1:$5000,M4624,FALSE)</f>
        <v>0</v>
      </c>
    </row>
    <row r="4625" spans="1:22" ht="13" x14ac:dyDescent="0.3">
      <c r="A4625" s="46">
        <f>'vHosts (Imported)'!A4625</f>
        <v>0</v>
      </c>
      <c r="B4625" s="51">
        <f t="shared" si="216"/>
        <v>4968</v>
      </c>
      <c r="C4625" s="49">
        <f>HLOOKUP("# Cores",'vHosts (Imported)'!$1:$5000,M4625,FALSE)</f>
        <v>0</v>
      </c>
      <c r="D4625" s="52">
        <f>HLOOKUP("# Memory",'vHosts (Imported)'!$1:$5000,M4625,FALSE)</f>
        <v>0</v>
      </c>
      <c r="M4625" s="45">
        <f t="shared" si="218"/>
        <v>4625</v>
      </c>
      <c r="N4625" s="38">
        <f>HLOOKUP("Host",'vInfo (Imported)'!$1:$5000,M4625,FALSE)</f>
        <v>0</v>
      </c>
      <c r="R4625">
        <f>HLOOKUP("CPUs",'vInfo (Imported)'!$1:$5000,M4625,FALSE)</f>
        <v>0</v>
      </c>
      <c r="S4625">
        <f>HLOOKUP("Memory",'vInfo (Imported)'!$1:$5000,M4625,FALSE)</f>
        <v>0</v>
      </c>
      <c r="T4625">
        <f>HLOOKUP("Provisioned MiB",'vInfo (Imported)'!$1:$5000,M4625,FALSE)</f>
        <v>0</v>
      </c>
      <c r="U4625">
        <f t="shared" si="217"/>
        <v>0</v>
      </c>
      <c r="V4625">
        <f>HLOOKUP("In Use MiB",'vInfo (Imported)'!$1:$5000,M4625,FALSE)</f>
        <v>0</v>
      </c>
    </row>
    <row r="4626" spans="1:22" ht="13" x14ac:dyDescent="0.3">
      <c r="A4626" s="46">
        <f>'vHosts (Imported)'!A4626</f>
        <v>0</v>
      </c>
      <c r="B4626" s="51">
        <f t="shared" si="216"/>
        <v>4968</v>
      </c>
      <c r="C4626" s="49">
        <f>HLOOKUP("# Cores",'vHosts (Imported)'!$1:$5000,M4626,FALSE)</f>
        <v>0</v>
      </c>
      <c r="D4626" s="52">
        <f>HLOOKUP("# Memory",'vHosts (Imported)'!$1:$5000,M4626,FALSE)</f>
        <v>0</v>
      </c>
      <c r="M4626" s="45">
        <f t="shared" si="218"/>
        <v>4626</v>
      </c>
      <c r="N4626" s="38">
        <f>HLOOKUP("Host",'vInfo (Imported)'!$1:$5000,M4626,FALSE)</f>
        <v>0</v>
      </c>
      <c r="R4626">
        <f>HLOOKUP("CPUs",'vInfo (Imported)'!$1:$5000,M4626,FALSE)</f>
        <v>0</v>
      </c>
      <c r="S4626">
        <f>HLOOKUP("Memory",'vInfo (Imported)'!$1:$5000,M4626,FALSE)</f>
        <v>0</v>
      </c>
      <c r="T4626">
        <f>HLOOKUP("Provisioned MiB",'vInfo (Imported)'!$1:$5000,M4626,FALSE)</f>
        <v>0</v>
      </c>
      <c r="U4626">
        <f t="shared" si="217"/>
        <v>0</v>
      </c>
      <c r="V4626">
        <f>HLOOKUP("In Use MiB",'vInfo (Imported)'!$1:$5000,M4626,FALSE)</f>
        <v>0</v>
      </c>
    </row>
    <row r="4627" spans="1:22" ht="13" x14ac:dyDescent="0.3">
      <c r="A4627" s="46">
        <f>'vHosts (Imported)'!A4627</f>
        <v>0</v>
      </c>
      <c r="B4627" s="51">
        <f t="shared" si="216"/>
        <v>4968</v>
      </c>
      <c r="C4627" s="49">
        <f>HLOOKUP("# Cores",'vHosts (Imported)'!$1:$5000,M4627,FALSE)</f>
        <v>0</v>
      </c>
      <c r="D4627" s="52">
        <f>HLOOKUP("# Memory",'vHosts (Imported)'!$1:$5000,M4627,FALSE)</f>
        <v>0</v>
      </c>
      <c r="M4627" s="45">
        <f t="shared" si="218"/>
        <v>4627</v>
      </c>
      <c r="N4627" s="38">
        <f>HLOOKUP("Host",'vInfo (Imported)'!$1:$5000,M4627,FALSE)</f>
        <v>0</v>
      </c>
      <c r="R4627">
        <f>HLOOKUP("CPUs",'vInfo (Imported)'!$1:$5000,M4627,FALSE)</f>
        <v>0</v>
      </c>
      <c r="S4627">
        <f>HLOOKUP("Memory",'vInfo (Imported)'!$1:$5000,M4627,FALSE)</f>
        <v>0</v>
      </c>
      <c r="T4627">
        <f>HLOOKUP("Provisioned MiB",'vInfo (Imported)'!$1:$5000,M4627,FALSE)</f>
        <v>0</v>
      </c>
      <c r="U4627">
        <f t="shared" si="217"/>
        <v>0</v>
      </c>
      <c r="V4627">
        <f>HLOOKUP("In Use MiB",'vInfo (Imported)'!$1:$5000,M4627,FALSE)</f>
        <v>0</v>
      </c>
    </row>
    <row r="4628" spans="1:22" ht="13" x14ac:dyDescent="0.3">
      <c r="A4628" s="46">
        <f>'vHosts (Imported)'!A4628</f>
        <v>0</v>
      </c>
      <c r="B4628" s="51">
        <f t="shared" si="216"/>
        <v>4968</v>
      </c>
      <c r="C4628" s="49">
        <f>HLOOKUP("# Cores",'vHosts (Imported)'!$1:$5000,M4628,FALSE)</f>
        <v>0</v>
      </c>
      <c r="D4628" s="52">
        <f>HLOOKUP("# Memory",'vHosts (Imported)'!$1:$5000,M4628,FALSE)</f>
        <v>0</v>
      </c>
      <c r="M4628" s="45">
        <f t="shared" si="218"/>
        <v>4628</v>
      </c>
      <c r="N4628" s="38">
        <f>HLOOKUP("Host",'vInfo (Imported)'!$1:$5000,M4628,FALSE)</f>
        <v>0</v>
      </c>
      <c r="R4628">
        <f>HLOOKUP("CPUs",'vInfo (Imported)'!$1:$5000,M4628,FALSE)</f>
        <v>0</v>
      </c>
      <c r="S4628">
        <f>HLOOKUP("Memory",'vInfo (Imported)'!$1:$5000,M4628,FALSE)</f>
        <v>0</v>
      </c>
      <c r="T4628">
        <f>HLOOKUP("Provisioned MiB",'vInfo (Imported)'!$1:$5000,M4628,FALSE)</f>
        <v>0</v>
      </c>
      <c r="U4628">
        <f t="shared" si="217"/>
        <v>0</v>
      </c>
      <c r="V4628">
        <f>HLOOKUP("In Use MiB",'vInfo (Imported)'!$1:$5000,M4628,FALSE)</f>
        <v>0</v>
      </c>
    </row>
    <row r="4629" spans="1:22" ht="13" x14ac:dyDescent="0.3">
      <c r="A4629" s="46">
        <f>'vHosts (Imported)'!A4629</f>
        <v>0</v>
      </c>
      <c r="B4629" s="51">
        <f t="shared" si="216"/>
        <v>4968</v>
      </c>
      <c r="C4629" s="49">
        <f>HLOOKUP("# Cores",'vHosts (Imported)'!$1:$5000,M4629,FALSE)</f>
        <v>0</v>
      </c>
      <c r="D4629" s="52">
        <f>HLOOKUP("# Memory",'vHosts (Imported)'!$1:$5000,M4629,FALSE)</f>
        <v>0</v>
      </c>
      <c r="M4629" s="45">
        <f t="shared" si="218"/>
        <v>4629</v>
      </c>
      <c r="N4629" s="38">
        <f>HLOOKUP("Host",'vInfo (Imported)'!$1:$5000,M4629,FALSE)</f>
        <v>0</v>
      </c>
      <c r="R4629">
        <f>HLOOKUP("CPUs",'vInfo (Imported)'!$1:$5000,M4629,FALSE)</f>
        <v>0</v>
      </c>
      <c r="S4629">
        <f>HLOOKUP("Memory",'vInfo (Imported)'!$1:$5000,M4629,FALSE)</f>
        <v>0</v>
      </c>
      <c r="T4629">
        <f>HLOOKUP("Provisioned MiB",'vInfo (Imported)'!$1:$5000,M4629,FALSE)</f>
        <v>0</v>
      </c>
      <c r="U4629">
        <f t="shared" si="217"/>
        <v>0</v>
      </c>
      <c r="V4629">
        <f>HLOOKUP("In Use MiB",'vInfo (Imported)'!$1:$5000,M4629,FALSE)</f>
        <v>0</v>
      </c>
    </row>
    <row r="4630" spans="1:22" ht="13" x14ac:dyDescent="0.3">
      <c r="A4630" s="46">
        <f>'vHosts (Imported)'!A4630</f>
        <v>0</v>
      </c>
      <c r="B4630" s="51">
        <f t="shared" si="216"/>
        <v>4968</v>
      </c>
      <c r="C4630" s="49">
        <f>HLOOKUP("# Cores",'vHosts (Imported)'!$1:$5000,M4630,FALSE)</f>
        <v>0</v>
      </c>
      <c r="D4630" s="52">
        <f>HLOOKUP("# Memory",'vHosts (Imported)'!$1:$5000,M4630,FALSE)</f>
        <v>0</v>
      </c>
      <c r="M4630" s="45">
        <f t="shared" si="218"/>
        <v>4630</v>
      </c>
      <c r="N4630" s="38">
        <f>HLOOKUP("Host",'vInfo (Imported)'!$1:$5000,M4630,FALSE)</f>
        <v>0</v>
      </c>
      <c r="R4630">
        <f>HLOOKUP("CPUs",'vInfo (Imported)'!$1:$5000,M4630,FALSE)</f>
        <v>0</v>
      </c>
      <c r="S4630">
        <f>HLOOKUP("Memory",'vInfo (Imported)'!$1:$5000,M4630,FALSE)</f>
        <v>0</v>
      </c>
      <c r="T4630">
        <f>HLOOKUP("Provisioned MiB",'vInfo (Imported)'!$1:$5000,M4630,FALSE)</f>
        <v>0</v>
      </c>
      <c r="U4630">
        <f t="shared" si="217"/>
        <v>0</v>
      </c>
      <c r="V4630">
        <f>HLOOKUP("In Use MiB",'vInfo (Imported)'!$1:$5000,M4630,FALSE)</f>
        <v>0</v>
      </c>
    </row>
    <row r="4631" spans="1:22" ht="13" x14ac:dyDescent="0.3">
      <c r="A4631" s="46">
        <f>'vHosts (Imported)'!A4631</f>
        <v>0</v>
      </c>
      <c r="B4631" s="51">
        <f t="shared" si="216"/>
        <v>4968</v>
      </c>
      <c r="C4631" s="49">
        <f>HLOOKUP("# Cores",'vHosts (Imported)'!$1:$5000,M4631,FALSE)</f>
        <v>0</v>
      </c>
      <c r="D4631" s="52">
        <f>HLOOKUP("# Memory",'vHosts (Imported)'!$1:$5000,M4631,FALSE)</f>
        <v>0</v>
      </c>
      <c r="M4631" s="45">
        <f t="shared" si="218"/>
        <v>4631</v>
      </c>
      <c r="N4631" s="38">
        <f>HLOOKUP("Host",'vInfo (Imported)'!$1:$5000,M4631,FALSE)</f>
        <v>0</v>
      </c>
      <c r="R4631">
        <f>HLOOKUP("CPUs",'vInfo (Imported)'!$1:$5000,M4631,FALSE)</f>
        <v>0</v>
      </c>
      <c r="S4631">
        <f>HLOOKUP("Memory",'vInfo (Imported)'!$1:$5000,M4631,FALSE)</f>
        <v>0</v>
      </c>
      <c r="T4631">
        <f>HLOOKUP("Provisioned MiB",'vInfo (Imported)'!$1:$5000,M4631,FALSE)</f>
        <v>0</v>
      </c>
      <c r="U4631">
        <f t="shared" si="217"/>
        <v>0</v>
      </c>
      <c r="V4631">
        <f>HLOOKUP("In Use MiB",'vInfo (Imported)'!$1:$5000,M4631,FALSE)</f>
        <v>0</v>
      </c>
    </row>
    <row r="4632" spans="1:22" ht="13" x14ac:dyDescent="0.3">
      <c r="A4632" s="46">
        <f>'vHosts (Imported)'!A4632</f>
        <v>0</v>
      </c>
      <c r="B4632" s="51">
        <f t="shared" si="216"/>
        <v>4968</v>
      </c>
      <c r="C4632" s="49">
        <f>HLOOKUP("# Cores",'vHosts (Imported)'!$1:$5000,M4632,FALSE)</f>
        <v>0</v>
      </c>
      <c r="D4632" s="52">
        <f>HLOOKUP("# Memory",'vHosts (Imported)'!$1:$5000,M4632,FALSE)</f>
        <v>0</v>
      </c>
      <c r="M4632" s="45">
        <f t="shared" si="218"/>
        <v>4632</v>
      </c>
      <c r="N4632" s="38">
        <f>HLOOKUP("Host",'vInfo (Imported)'!$1:$5000,M4632,FALSE)</f>
        <v>0</v>
      </c>
      <c r="R4632">
        <f>HLOOKUP("CPUs",'vInfo (Imported)'!$1:$5000,M4632,FALSE)</f>
        <v>0</v>
      </c>
      <c r="S4632">
        <f>HLOOKUP("Memory",'vInfo (Imported)'!$1:$5000,M4632,FALSE)</f>
        <v>0</v>
      </c>
      <c r="T4632">
        <f>HLOOKUP("Provisioned MiB",'vInfo (Imported)'!$1:$5000,M4632,FALSE)</f>
        <v>0</v>
      </c>
      <c r="U4632">
        <f t="shared" si="217"/>
        <v>0</v>
      </c>
      <c r="V4632">
        <f>HLOOKUP("In Use MiB",'vInfo (Imported)'!$1:$5000,M4632,FALSE)</f>
        <v>0</v>
      </c>
    </row>
    <row r="4633" spans="1:22" ht="13" x14ac:dyDescent="0.3">
      <c r="A4633" s="46">
        <f>'vHosts (Imported)'!A4633</f>
        <v>0</v>
      </c>
      <c r="B4633" s="51">
        <f t="shared" si="216"/>
        <v>4968</v>
      </c>
      <c r="C4633" s="49">
        <f>HLOOKUP("# Cores",'vHosts (Imported)'!$1:$5000,M4633,FALSE)</f>
        <v>0</v>
      </c>
      <c r="D4633" s="52">
        <f>HLOOKUP("# Memory",'vHosts (Imported)'!$1:$5000,M4633,FALSE)</f>
        <v>0</v>
      </c>
      <c r="M4633" s="45">
        <f t="shared" si="218"/>
        <v>4633</v>
      </c>
      <c r="N4633" s="38">
        <f>HLOOKUP("Host",'vInfo (Imported)'!$1:$5000,M4633,FALSE)</f>
        <v>0</v>
      </c>
      <c r="R4633">
        <f>HLOOKUP("CPUs",'vInfo (Imported)'!$1:$5000,M4633,FALSE)</f>
        <v>0</v>
      </c>
      <c r="S4633">
        <f>HLOOKUP("Memory",'vInfo (Imported)'!$1:$5000,M4633,FALSE)</f>
        <v>0</v>
      </c>
      <c r="T4633">
        <f>HLOOKUP("Provisioned MiB",'vInfo (Imported)'!$1:$5000,M4633,FALSE)</f>
        <v>0</v>
      </c>
      <c r="U4633">
        <f t="shared" si="217"/>
        <v>0</v>
      </c>
      <c r="V4633">
        <f>HLOOKUP("In Use MiB",'vInfo (Imported)'!$1:$5000,M4633,FALSE)</f>
        <v>0</v>
      </c>
    </row>
    <row r="4634" spans="1:22" ht="13" x14ac:dyDescent="0.3">
      <c r="A4634" s="46">
        <f>'vHosts (Imported)'!A4634</f>
        <v>0</v>
      </c>
      <c r="B4634" s="51">
        <f t="shared" si="216"/>
        <v>4968</v>
      </c>
      <c r="C4634" s="49">
        <f>HLOOKUP("# Cores",'vHosts (Imported)'!$1:$5000,M4634,FALSE)</f>
        <v>0</v>
      </c>
      <c r="D4634" s="52">
        <f>HLOOKUP("# Memory",'vHosts (Imported)'!$1:$5000,M4634,FALSE)</f>
        <v>0</v>
      </c>
      <c r="M4634" s="45">
        <f t="shared" si="218"/>
        <v>4634</v>
      </c>
      <c r="N4634" s="38">
        <f>HLOOKUP("Host",'vInfo (Imported)'!$1:$5000,M4634,FALSE)</f>
        <v>0</v>
      </c>
      <c r="R4634">
        <f>HLOOKUP("CPUs",'vInfo (Imported)'!$1:$5000,M4634,FALSE)</f>
        <v>0</v>
      </c>
      <c r="S4634">
        <f>HLOOKUP("Memory",'vInfo (Imported)'!$1:$5000,M4634,FALSE)</f>
        <v>0</v>
      </c>
      <c r="T4634">
        <f>HLOOKUP("Provisioned MiB",'vInfo (Imported)'!$1:$5000,M4634,FALSE)</f>
        <v>0</v>
      </c>
      <c r="U4634">
        <f t="shared" si="217"/>
        <v>0</v>
      </c>
      <c r="V4634">
        <f>HLOOKUP("In Use MiB",'vInfo (Imported)'!$1:$5000,M4634,FALSE)</f>
        <v>0</v>
      </c>
    </row>
    <row r="4635" spans="1:22" ht="13" x14ac:dyDescent="0.3">
      <c r="A4635" s="46">
        <f>'vHosts (Imported)'!A4635</f>
        <v>0</v>
      </c>
      <c r="B4635" s="51">
        <f t="shared" si="216"/>
        <v>4968</v>
      </c>
      <c r="C4635" s="49">
        <f>HLOOKUP("# Cores",'vHosts (Imported)'!$1:$5000,M4635,FALSE)</f>
        <v>0</v>
      </c>
      <c r="D4635" s="52">
        <f>HLOOKUP("# Memory",'vHosts (Imported)'!$1:$5000,M4635,FALSE)</f>
        <v>0</v>
      </c>
      <c r="M4635" s="45">
        <f t="shared" si="218"/>
        <v>4635</v>
      </c>
      <c r="N4635" s="38">
        <f>HLOOKUP("Host",'vInfo (Imported)'!$1:$5000,M4635,FALSE)</f>
        <v>0</v>
      </c>
      <c r="R4635">
        <f>HLOOKUP("CPUs",'vInfo (Imported)'!$1:$5000,M4635,FALSE)</f>
        <v>0</v>
      </c>
      <c r="S4635">
        <f>HLOOKUP("Memory",'vInfo (Imported)'!$1:$5000,M4635,FALSE)</f>
        <v>0</v>
      </c>
      <c r="T4635">
        <f>HLOOKUP("Provisioned MiB",'vInfo (Imported)'!$1:$5000,M4635,FALSE)</f>
        <v>0</v>
      </c>
      <c r="U4635">
        <f t="shared" si="217"/>
        <v>0</v>
      </c>
      <c r="V4635">
        <f>HLOOKUP("In Use MiB",'vInfo (Imported)'!$1:$5000,M4635,FALSE)</f>
        <v>0</v>
      </c>
    </row>
    <row r="4636" spans="1:22" ht="13" x14ac:dyDescent="0.3">
      <c r="A4636" s="46">
        <f>'vHosts (Imported)'!A4636</f>
        <v>0</v>
      </c>
      <c r="B4636" s="51">
        <f t="shared" si="216"/>
        <v>4968</v>
      </c>
      <c r="C4636" s="49">
        <f>HLOOKUP("# Cores",'vHosts (Imported)'!$1:$5000,M4636,FALSE)</f>
        <v>0</v>
      </c>
      <c r="D4636" s="52">
        <f>HLOOKUP("# Memory",'vHosts (Imported)'!$1:$5000,M4636,FALSE)</f>
        <v>0</v>
      </c>
      <c r="M4636" s="45">
        <f t="shared" si="218"/>
        <v>4636</v>
      </c>
      <c r="N4636" s="38">
        <f>HLOOKUP("Host",'vInfo (Imported)'!$1:$5000,M4636,FALSE)</f>
        <v>0</v>
      </c>
      <c r="R4636">
        <f>HLOOKUP("CPUs",'vInfo (Imported)'!$1:$5000,M4636,FALSE)</f>
        <v>0</v>
      </c>
      <c r="S4636">
        <f>HLOOKUP("Memory",'vInfo (Imported)'!$1:$5000,M4636,FALSE)</f>
        <v>0</v>
      </c>
      <c r="T4636">
        <f>HLOOKUP("Provisioned MiB",'vInfo (Imported)'!$1:$5000,M4636,FALSE)</f>
        <v>0</v>
      </c>
      <c r="U4636">
        <f t="shared" si="217"/>
        <v>0</v>
      </c>
      <c r="V4636">
        <f>HLOOKUP("In Use MiB",'vInfo (Imported)'!$1:$5000,M4636,FALSE)</f>
        <v>0</v>
      </c>
    </row>
    <row r="4637" spans="1:22" ht="13" x14ac:dyDescent="0.3">
      <c r="A4637" s="46">
        <f>'vHosts (Imported)'!A4637</f>
        <v>0</v>
      </c>
      <c r="B4637" s="51">
        <f t="shared" si="216"/>
        <v>4968</v>
      </c>
      <c r="C4637" s="49">
        <f>HLOOKUP("# Cores",'vHosts (Imported)'!$1:$5000,M4637,FALSE)</f>
        <v>0</v>
      </c>
      <c r="D4637" s="52">
        <f>HLOOKUP("# Memory",'vHosts (Imported)'!$1:$5000,M4637,FALSE)</f>
        <v>0</v>
      </c>
      <c r="M4637" s="45">
        <f t="shared" si="218"/>
        <v>4637</v>
      </c>
      <c r="N4637" s="38">
        <f>HLOOKUP("Host",'vInfo (Imported)'!$1:$5000,M4637,FALSE)</f>
        <v>0</v>
      </c>
      <c r="R4637">
        <f>HLOOKUP("CPUs",'vInfo (Imported)'!$1:$5000,M4637,FALSE)</f>
        <v>0</v>
      </c>
      <c r="S4637">
        <f>HLOOKUP("Memory",'vInfo (Imported)'!$1:$5000,M4637,FALSE)</f>
        <v>0</v>
      </c>
      <c r="T4637">
        <f>HLOOKUP("Provisioned MiB",'vInfo (Imported)'!$1:$5000,M4637,FALSE)</f>
        <v>0</v>
      </c>
      <c r="U4637">
        <f t="shared" si="217"/>
        <v>0</v>
      </c>
      <c r="V4637">
        <f>HLOOKUP("In Use MiB",'vInfo (Imported)'!$1:$5000,M4637,FALSE)</f>
        <v>0</v>
      </c>
    </row>
    <row r="4638" spans="1:22" ht="13" x14ac:dyDescent="0.3">
      <c r="A4638" s="46">
        <f>'vHosts (Imported)'!A4638</f>
        <v>0</v>
      </c>
      <c r="B4638" s="51">
        <f t="shared" si="216"/>
        <v>4968</v>
      </c>
      <c r="C4638" s="49">
        <f>HLOOKUP("# Cores",'vHosts (Imported)'!$1:$5000,M4638,FALSE)</f>
        <v>0</v>
      </c>
      <c r="D4638" s="52">
        <f>HLOOKUP("# Memory",'vHosts (Imported)'!$1:$5000,M4638,FALSE)</f>
        <v>0</v>
      </c>
      <c r="M4638" s="45">
        <f t="shared" si="218"/>
        <v>4638</v>
      </c>
      <c r="N4638" s="38">
        <f>HLOOKUP("Host",'vInfo (Imported)'!$1:$5000,M4638,FALSE)</f>
        <v>0</v>
      </c>
      <c r="R4638">
        <f>HLOOKUP("CPUs",'vInfo (Imported)'!$1:$5000,M4638,FALSE)</f>
        <v>0</v>
      </c>
      <c r="S4638">
        <f>HLOOKUP("Memory",'vInfo (Imported)'!$1:$5000,M4638,FALSE)</f>
        <v>0</v>
      </c>
      <c r="T4638">
        <f>HLOOKUP("Provisioned MiB",'vInfo (Imported)'!$1:$5000,M4638,FALSE)</f>
        <v>0</v>
      </c>
      <c r="U4638">
        <f t="shared" si="217"/>
        <v>0</v>
      </c>
      <c r="V4638">
        <f>HLOOKUP("In Use MiB",'vInfo (Imported)'!$1:$5000,M4638,FALSE)</f>
        <v>0</v>
      </c>
    </row>
    <row r="4639" spans="1:22" ht="13" x14ac:dyDescent="0.3">
      <c r="A4639" s="46">
        <f>'vHosts (Imported)'!A4639</f>
        <v>0</v>
      </c>
      <c r="B4639" s="51">
        <f t="shared" si="216"/>
        <v>4968</v>
      </c>
      <c r="C4639" s="49">
        <f>HLOOKUP("# Cores",'vHosts (Imported)'!$1:$5000,M4639,FALSE)</f>
        <v>0</v>
      </c>
      <c r="D4639" s="52">
        <f>HLOOKUP("# Memory",'vHosts (Imported)'!$1:$5000,M4639,FALSE)</f>
        <v>0</v>
      </c>
      <c r="M4639" s="45">
        <f t="shared" si="218"/>
        <v>4639</v>
      </c>
      <c r="N4639" s="38">
        <f>HLOOKUP("Host",'vInfo (Imported)'!$1:$5000,M4639,FALSE)</f>
        <v>0</v>
      </c>
      <c r="R4639">
        <f>HLOOKUP("CPUs",'vInfo (Imported)'!$1:$5000,M4639,FALSE)</f>
        <v>0</v>
      </c>
      <c r="S4639">
        <f>HLOOKUP("Memory",'vInfo (Imported)'!$1:$5000,M4639,FALSE)</f>
        <v>0</v>
      </c>
      <c r="T4639">
        <f>HLOOKUP("Provisioned MiB",'vInfo (Imported)'!$1:$5000,M4639,FALSE)</f>
        <v>0</v>
      </c>
      <c r="U4639">
        <f t="shared" si="217"/>
        <v>0</v>
      </c>
      <c r="V4639">
        <f>HLOOKUP("In Use MiB",'vInfo (Imported)'!$1:$5000,M4639,FALSE)</f>
        <v>0</v>
      </c>
    </row>
    <row r="4640" spans="1:22" ht="13" x14ac:dyDescent="0.3">
      <c r="A4640" s="46">
        <f>'vHosts (Imported)'!A4640</f>
        <v>0</v>
      </c>
      <c r="B4640" s="51">
        <f t="shared" si="216"/>
        <v>4968</v>
      </c>
      <c r="C4640" s="49">
        <f>HLOOKUP("# Cores",'vHosts (Imported)'!$1:$5000,M4640,FALSE)</f>
        <v>0</v>
      </c>
      <c r="D4640" s="52">
        <f>HLOOKUP("# Memory",'vHosts (Imported)'!$1:$5000,M4640,FALSE)</f>
        <v>0</v>
      </c>
      <c r="M4640" s="45">
        <f t="shared" si="218"/>
        <v>4640</v>
      </c>
      <c r="N4640" s="38">
        <f>HLOOKUP("Host",'vInfo (Imported)'!$1:$5000,M4640,FALSE)</f>
        <v>0</v>
      </c>
      <c r="R4640">
        <f>HLOOKUP("CPUs",'vInfo (Imported)'!$1:$5000,M4640,FALSE)</f>
        <v>0</v>
      </c>
      <c r="S4640">
        <f>HLOOKUP("Memory",'vInfo (Imported)'!$1:$5000,M4640,FALSE)</f>
        <v>0</v>
      </c>
      <c r="T4640">
        <f>HLOOKUP("Provisioned MiB",'vInfo (Imported)'!$1:$5000,M4640,FALSE)</f>
        <v>0</v>
      </c>
      <c r="U4640">
        <f t="shared" si="217"/>
        <v>0</v>
      </c>
      <c r="V4640">
        <f>HLOOKUP("In Use MiB",'vInfo (Imported)'!$1:$5000,M4640,FALSE)</f>
        <v>0</v>
      </c>
    </row>
    <row r="4641" spans="1:22" ht="13" x14ac:dyDescent="0.3">
      <c r="A4641" s="46">
        <f>'vHosts (Imported)'!A4641</f>
        <v>0</v>
      </c>
      <c r="B4641" s="51">
        <f t="shared" si="216"/>
        <v>4968</v>
      </c>
      <c r="C4641" s="49">
        <f>HLOOKUP("# Cores",'vHosts (Imported)'!$1:$5000,M4641,FALSE)</f>
        <v>0</v>
      </c>
      <c r="D4641" s="52">
        <f>HLOOKUP("# Memory",'vHosts (Imported)'!$1:$5000,M4641,FALSE)</f>
        <v>0</v>
      </c>
      <c r="M4641" s="45">
        <f t="shared" si="218"/>
        <v>4641</v>
      </c>
      <c r="N4641" s="38">
        <f>HLOOKUP("Host",'vInfo (Imported)'!$1:$5000,M4641,FALSE)</f>
        <v>0</v>
      </c>
      <c r="R4641">
        <f>HLOOKUP("CPUs",'vInfo (Imported)'!$1:$5000,M4641,FALSE)</f>
        <v>0</v>
      </c>
      <c r="S4641">
        <f>HLOOKUP("Memory",'vInfo (Imported)'!$1:$5000,M4641,FALSE)</f>
        <v>0</v>
      </c>
      <c r="T4641">
        <f>HLOOKUP("Provisioned MiB",'vInfo (Imported)'!$1:$5000,M4641,FALSE)</f>
        <v>0</v>
      </c>
      <c r="U4641">
        <f t="shared" si="217"/>
        <v>0</v>
      </c>
      <c r="V4641">
        <f>HLOOKUP("In Use MiB",'vInfo (Imported)'!$1:$5000,M4641,FALSE)</f>
        <v>0</v>
      </c>
    </row>
    <row r="4642" spans="1:22" ht="13" x14ac:dyDescent="0.3">
      <c r="A4642" s="46">
        <f>'vHosts (Imported)'!A4642</f>
        <v>0</v>
      </c>
      <c r="B4642" s="51">
        <f t="shared" si="216"/>
        <v>4968</v>
      </c>
      <c r="C4642" s="49">
        <f>HLOOKUP("# Cores",'vHosts (Imported)'!$1:$5000,M4642,FALSE)</f>
        <v>0</v>
      </c>
      <c r="D4642" s="52">
        <f>HLOOKUP("# Memory",'vHosts (Imported)'!$1:$5000,M4642,FALSE)</f>
        <v>0</v>
      </c>
      <c r="M4642" s="45">
        <f t="shared" si="218"/>
        <v>4642</v>
      </c>
      <c r="N4642" s="38">
        <f>HLOOKUP("Host",'vInfo (Imported)'!$1:$5000,M4642,FALSE)</f>
        <v>0</v>
      </c>
      <c r="R4642">
        <f>HLOOKUP("CPUs",'vInfo (Imported)'!$1:$5000,M4642,FALSE)</f>
        <v>0</v>
      </c>
      <c r="S4642">
        <f>HLOOKUP("Memory",'vInfo (Imported)'!$1:$5000,M4642,FALSE)</f>
        <v>0</v>
      </c>
      <c r="T4642">
        <f>HLOOKUP("Provisioned MiB",'vInfo (Imported)'!$1:$5000,M4642,FALSE)</f>
        <v>0</v>
      </c>
      <c r="U4642">
        <f t="shared" si="217"/>
        <v>0</v>
      </c>
      <c r="V4642">
        <f>HLOOKUP("In Use MiB",'vInfo (Imported)'!$1:$5000,M4642,FALSE)</f>
        <v>0</v>
      </c>
    </row>
    <row r="4643" spans="1:22" ht="13" x14ac:dyDescent="0.3">
      <c r="A4643" s="46">
        <f>'vHosts (Imported)'!A4643</f>
        <v>0</v>
      </c>
      <c r="B4643" s="51">
        <f t="shared" si="216"/>
        <v>4968</v>
      </c>
      <c r="C4643" s="49">
        <f>HLOOKUP("# Cores",'vHosts (Imported)'!$1:$5000,M4643,FALSE)</f>
        <v>0</v>
      </c>
      <c r="D4643" s="52">
        <f>HLOOKUP("# Memory",'vHosts (Imported)'!$1:$5000,M4643,FALSE)</f>
        <v>0</v>
      </c>
      <c r="M4643" s="45">
        <f t="shared" si="218"/>
        <v>4643</v>
      </c>
      <c r="N4643" s="38">
        <f>HLOOKUP("Host",'vInfo (Imported)'!$1:$5000,M4643,FALSE)</f>
        <v>0</v>
      </c>
      <c r="R4643">
        <f>HLOOKUP("CPUs",'vInfo (Imported)'!$1:$5000,M4643,FALSE)</f>
        <v>0</v>
      </c>
      <c r="S4643">
        <f>HLOOKUP("Memory",'vInfo (Imported)'!$1:$5000,M4643,FALSE)</f>
        <v>0</v>
      </c>
      <c r="T4643">
        <f>HLOOKUP("Provisioned MiB",'vInfo (Imported)'!$1:$5000,M4643,FALSE)</f>
        <v>0</v>
      </c>
      <c r="U4643">
        <f t="shared" si="217"/>
        <v>0</v>
      </c>
      <c r="V4643">
        <f>HLOOKUP("In Use MiB",'vInfo (Imported)'!$1:$5000,M4643,FALSE)</f>
        <v>0</v>
      </c>
    </row>
    <row r="4644" spans="1:22" ht="13" x14ac:dyDescent="0.3">
      <c r="A4644" s="46">
        <f>'vHosts (Imported)'!A4644</f>
        <v>0</v>
      </c>
      <c r="B4644" s="51">
        <f t="shared" si="216"/>
        <v>4968</v>
      </c>
      <c r="C4644" s="49">
        <f>HLOOKUP("# Cores",'vHosts (Imported)'!$1:$5000,M4644,FALSE)</f>
        <v>0</v>
      </c>
      <c r="D4644" s="52">
        <f>HLOOKUP("# Memory",'vHosts (Imported)'!$1:$5000,M4644,FALSE)</f>
        <v>0</v>
      </c>
      <c r="M4644" s="45">
        <f t="shared" si="218"/>
        <v>4644</v>
      </c>
      <c r="N4644" s="38">
        <f>HLOOKUP("Host",'vInfo (Imported)'!$1:$5000,M4644,FALSE)</f>
        <v>0</v>
      </c>
      <c r="R4644">
        <f>HLOOKUP("CPUs",'vInfo (Imported)'!$1:$5000,M4644,FALSE)</f>
        <v>0</v>
      </c>
      <c r="S4644">
        <f>HLOOKUP("Memory",'vInfo (Imported)'!$1:$5000,M4644,FALSE)</f>
        <v>0</v>
      </c>
      <c r="T4644">
        <f>HLOOKUP("Provisioned MiB",'vInfo (Imported)'!$1:$5000,M4644,FALSE)</f>
        <v>0</v>
      </c>
      <c r="U4644">
        <f t="shared" si="217"/>
        <v>0</v>
      </c>
      <c r="V4644">
        <f>HLOOKUP("In Use MiB",'vInfo (Imported)'!$1:$5000,M4644,FALSE)</f>
        <v>0</v>
      </c>
    </row>
    <row r="4645" spans="1:22" ht="13" x14ac:dyDescent="0.3">
      <c r="A4645" s="46">
        <f>'vHosts (Imported)'!A4645</f>
        <v>0</v>
      </c>
      <c r="B4645" s="51">
        <f t="shared" si="216"/>
        <v>4968</v>
      </c>
      <c r="C4645" s="49">
        <f>HLOOKUP("# Cores",'vHosts (Imported)'!$1:$5000,M4645,FALSE)</f>
        <v>0</v>
      </c>
      <c r="D4645" s="52">
        <f>HLOOKUP("# Memory",'vHosts (Imported)'!$1:$5000,M4645,FALSE)</f>
        <v>0</v>
      </c>
      <c r="M4645" s="45">
        <f t="shared" si="218"/>
        <v>4645</v>
      </c>
      <c r="N4645" s="38">
        <f>HLOOKUP("Host",'vInfo (Imported)'!$1:$5000,M4645,FALSE)</f>
        <v>0</v>
      </c>
      <c r="R4645">
        <f>HLOOKUP("CPUs",'vInfo (Imported)'!$1:$5000,M4645,FALSE)</f>
        <v>0</v>
      </c>
      <c r="S4645">
        <f>HLOOKUP("Memory",'vInfo (Imported)'!$1:$5000,M4645,FALSE)</f>
        <v>0</v>
      </c>
      <c r="T4645">
        <f>HLOOKUP("Provisioned MiB",'vInfo (Imported)'!$1:$5000,M4645,FALSE)</f>
        <v>0</v>
      </c>
      <c r="U4645">
        <f t="shared" si="217"/>
        <v>0</v>
      </c>
      <c r="V4645">
        <f>HLOOKUP("In Use MiB",'vInfo (Imported)'!$1:$5000,M4645,FALSE)</f>
        <v>0</v>
      </c>
    </row>
    <row r="4646" spans="1:22" ht="13" x14ac:dyDescent="0.3">
      <c r="A4646" s="46">
        <f>'vHosts (Imported)'!A4646</f>
        <v>0</v>
      </c>
      <c r="B4646" s="51">
        <f t="shared" si="216"/>
        <v>4968</v>
      </c>
      <c r="C4646" s="49">
        <f>HLOOKUP("# Cores",'vHosts (Imported)'!$1:$5000,M4646,FALSE)</f>
        <v>0</v>
      </c>
      <c r="D4646" s="52">
        <f>HLOOKUP("# Memory",'vHosts (Imported)'!$1:$5000,M4646,FALSE)</f>
        <v>0</v>
      </c>
      <c r="M4646" s="45">
        <f t="shared" si="218"/>
        <v>4646</v>
      </c>
      <c r="N4646" s="38">
        <f>HLOOKUP("Host",'vInfo (Imported)'!$1:$5000,M4646,FALSE)</f>
        <v>0</v>
      </c>
      <c r="R4646">
        <f>HLOOKUP("CPUs",'vInfo (Imported)'!$1:$5000,M4646,FALSE)</f>
        <v>0</v>
      </c>
      <c r="S4646">
        <f>HLOOKUP("Memory",'vInfo (Imported)'!$1:$5000,M4646,FALSE)</f>
        <v>0</v>
      </c>
      <c r="T4646">
        <f>HLOOKUP("Provisioned MiB",'vInfo (Imported)'!$1:$5000,M4646,FALSE)</f>
        <v>0</v>
      </c>
      <c r="U4646">
        <f t="shared" si="217"/>
        <v>0</v>
      </c>
      <c r="V4646">
        <f>HLOOKUP("In Use MiB",'vInfo (Imported)'!$1:$5000,M4646,FALSE)</f>
        <v>0</v>
      </c>
    </row>
    <row r="4647" spans="1:22" ht="13" x14ac:dyDescent="0.3">
      <c r="A4647" s="46">
        <f>'vHosts (Imported)'!A4647</f>
        <v>0</v>
      </c>
      <c r="B4647" s="51">
        <f t="shared" si="216"/>
        <v>4968</v>
      </c>
      <c r="C4647" s="49">
        <f>HLOOKUP("# Cores",'vHosts (Imported)'!$1:$5000,M4647,FALSE)</f>
        <v>0</v>
      </c>
      <c r="D4647" s="52">
        <f>HLOOKUP("# Memory",'vHosts (Imported)'!$1:$5000,M4647,FALSE)</f>
        <v>0</v>
      </c>
      <c r="M4647" s="45">
        <f t="shared" si="218"/>
        <v>4647</v>
      </c>
      <c r="N4647" s="38">
        <f>HLOOKUP("Host",'vInfo (Imported)'!$1:$5000,M4647,FALSE)</f>
        <v>0</v>
      </c>
      <c r="R4647">
        <f>HLOOKUP("CPUs",'vInfo (Imported)'!$1:$5000,M4647,FALSE)</f>
        <v>0</v>
      </c>
      <c r="S4647">
        <f>HLOOKUP("Memory",'vInfo (Imported)'!$1:$5000,M4647,FALSE)</f>
        <v>0</v>
      </c>
      <c r="T4647">
        <f>HLOOKUP("Provisioned MiB",'vInfo (Imported)'!$1:$5000,M4647,FALSE)</f>
        <v>0</v>
      </c>
      <c r="U4647">
        <f t="shared" si="217"/>
        <v>0</v>
      </c>
      <c r="V4647">
        <f>HLOOKUP("In Use MiB",'vInfo (Imported)'!$1:$5000,M4647,FALSE)</f>
        <v>0</v>
      </c>
    </row>
    <row r="4648" spans="1:22" ht="13" x14ac:dyDescent="0.3">
      <c r="A4648" s="46">
        <f>'vHosts (Imported)'!A4648</f>
        <v>0</v>
      </c>
      <c r="B4648" s="51">
        <f t="shared" ref="B4648:B4711" si="219">COUNTIF(N:N,A4648)</f>
        <v>4968</v>
      </c>
      <c r="C4648" s="49">
        <f>HLOOKUP("# Cores",'vHosts (Imported)'!$1:$5000,M4648,FALSE)</f>
        <v>0</v>
      </c>
      <c r="D4648" s="52">
        <f>HLOOKUP("# Memory",'vHosts (Imported)'!$1:$5000,M4648,FALSE)</f>
        <v>0</v>
      </c>
      <c r="M4648" s="45">
        <f t="shared" si="218"/>
        <v>4648</v>
      </c>
      <c r="N4648" s="38">
        <f>HLOOKUP("Host",'vInfo (Imported)'!$1:$5000,M4648,FALSE)</f>
        <v>0</v>
      </c>
      <c r="R4648">
        <f>HLOOKUP("CPUs",'vInfo (Imported)'!$1:$5000,M4648,FALSE)</f>
        <v>0</v>
      </c>
      <c r="S4648">
        <f>HLOOKUP("Memory",'vInfo (Imported)'!$1:$5000,M4648,FALSE)</f>
        <v>0</v>
      </c>
      <c r="T4648">
        <f>HLOOKUP("Provisioned MiB",'vInfo (Imported)'!$1:$5000,M4648,FALSE)</f>
        <v>0</v>
      </c>
      <c r="U4648">
        <f t="shared" si="217"/>
        <v>0</v>
      </c>
      <c r="V4648">
        <f>HLOOKUP("In Use MiB",'vInfo (Imported)'!$1:$5000,M4648,FALSE)</f>
        <v>0</v>
      </c>
    </row>
    <row r="4649" spans="1:22" ht="13" x14ac:dyDescent="0.3">
      <c r="A4649" s="46">
        <f>'vHosts (Imported)'!A4649</f>
        <v>0</v>
      </c>
      <c r="B4649" s="51">
        <f t="shared" si="219"/>
        <v>4968</v>
      </c>
      <c r="C4649" s="49">
        <f>HLOOKUP("# Cores",'vHosts (Imported)'!$1:$5000,M4649,FALSE)</f>
        <v>0</v>
      </c>
      <c r="D4649" s="52">
        <f>HLOOKUP("# Memory",'vHosts (Imported)'!$1:$5000,M4649,FALSE)</f>
        <v>0</v>
      </c>
      <c r="M4649" s="45">
        <f t="shared" si="218"/>
        <v>4649</v>
      </c>
      <c r="N4649" s="38">
        <f>HLOOKUP("Host",'vInfo (Imported)'!$1:$5000,M4649,FALSE)</f>
        <v>0</v>
      </c>
      <c r="R4649">
        <f>HLOOKUP("CPUs",'vInfo (Imported)'!$1:$5000,M4649,FALSE)</f>
        <v>0</v>
      </c>
      <c r="S4649">
        <f>HLOOKUP("Memory",'vInfo (Imported)'!$1:$5000,M4649,FALSE)</f>
        <v>0</v>
      </c>
      <c r="T4649">
        <f>HLOOKUP("Provisioned MiB",'vInfo (Imported)'!$1:$5000,M4649,FALSE)</f>
        <v>0</v>
      </c>
      <c r="U4649">
        <f t="shared" si="217"/>
        <v>0</v>
      </c>
      <c r="V4649">
        <f>HLOOKUP("In Use MiB",'vInfo (Imported)'!$1:$5000,M4649,FALSE)</f>
        <v>0</v>
      </c>
    </row>
    <row r="4650" spans="1:22" ht="13" x14ac:dyDescent="0.3">
      <c r="A4650" s="46">
        <f>'vHosts (Imported)'!A4650</f>
        <v>0</v>
      </c>
      <c r="B4650" s="51">
        <f t="shared" si="219"/>
        <v>4968</v>
      </c>
      <c r="C4650" s="49">
        <f>HLOOKUP("# Cores",'vHosts (Imported)'!$1:$5000,M4650,FALSE)</f>
        <v>0</v>
      </c>
      <c r="D4650" s="52">
        <f>HLOOKUP("# Memory",'vHosts (Imported)'!$1:$5000,M4650,FALSE)</f>
        <v>0</v>
      </c>
      <c r="M4650" s="45">
        <f t="shared" si="218"/>
        <v>4650</v>
      </c>
      <c r="N4650" s="38">
        <f>HLOOKUP("Host",'vInfo (Imported)'!$1:$5000,M4650,FALSE)</f>
        <v>0</v>
      </c>
      <c r="R4650">
        <f>HLOOKUP("CPUs",'vInfo (Imported)'!$1:$5000,M4650,FALSE)</f>
        <v>0</v>
      </c>
      <c r="S4650">
        <f>HLOOKUP("Memory",'vInfo (Imported)'!$1:$5000,M4650,FALSE)</f>
        <v>0</v>
      </c>
      <c r="T4650">
        <f>HLOOKUP("Provisioned MiB",'vInfo (Imported)'!$1:$5000,M4650,FALSE)</f>
        <v>0</v>
      </c>
      <c r="U4650">
        <f t="shared" si="217"/>
        <v>0</v>
      </c>
      <c r="V4650">
        <f>HLOOKUP("In Use MiB",'vInfo (Imported)'!$1:$5000,M4650,FALSE)</f>
        <v>0</v>
      </c>
    </row>
    <row r="4651" spans="1:22" ht="13" x14ac:dyDescent="0.3">
      <c r="A4651" s="46">
        <f>'vHosts (Imported)'!A4651</f>
        <v>0</v>
      </c>
      <c r="B4651" s="51">
        <f t="shared" si="219"/>
        <v>4968</v>
      </c>
      <c r="C4651" s="49">
        <f>HLOOKUP("# Cores",'vHosts (Imported)'!$1:$5000,M4651,FALSE)</f>
        <v>0</v>
      </c>
      <c r="D4651" s="52">
        <f>HLOOKUP("# Memory",'vHosts (Imported)'!$1:$5000,M4651,FALSE)</f>
        <v>0</v>
      </c>
      <c r="M4651" s="45">
        <f t="shared" si="218"/>
        <v>4651</v>
      </c>
      <c r="N4651" s="38">
        <f>HLOOKUP("Host",'vInfo (Imported)'!$1:$5000,M4651,FALSE)</f>
        <v>0</v>
      </c>
      <c r="R4651">
        <f>HLOOKUP("CPUs",'vInfo (Imported)'!$1:$5000,M4651,FALSE)</f>
        <v>0</v>
      </c>
      <c r="S4651">
        <f>HLOOKUP("Memory",'vInfo (Imported)'!$1:$5000,M4651,FALSE)</f>
        <v>0</v>
      </c>
      <c r="T4651">
        <f>HLOOKUP("Provisioned MiB",'vInfo (Imported)'!$1:$5000,M4651,FALSE)</f>
        <v>0</v>
      </c>
      <c r="U4651">
        <f t="shared" si="217"/>
        <v>0</v>
      </c>
      <c r="V4651">
        <f>HLOOKUP("In Use MiB",'vInfo (Imported)'!$1:$5000,M4651,FALSE)</f>
        <v>0</v>
      </c>
    </row>
    <row r="4652" spans="1:22" ht="13" x14ac:dyDescent="0.3">
      <c r="A4652" s="46">
        <f>'vHosts (Imported)'!A4652</f>
        <v>0</v>
      </c>
      <c r="B4652" s="51">
        <f t="shared" si="219"/>
        <v>4968</v>
      </c>
      <c r="C4652" s="49">
        <f>HLOOKUP("# Cores",'vHosts (Imported)'!$1:$5000,M4652,FALSE)</f>
        <v>0</v>
      </c>
      <c r="D4652" s="52">
        <f>HLOOKUP("# Memory",'vHosts (Imported)'!$1:$5000,M4652,FALSE)</f>
        <v>0</v>
      </c>
      <c r="M4652" s="45">
        <f t="shared" si="218"/>
        <v>4652</v>
      </c>
      <c r="N4652" s="38">
        <f>HLOOKUP("Host",'vInfo (Imported)'!$1:$5000,M4652,FALSE)</f>
        <v>0</v>
      </c>
      <c r="R4652">
        <f>HLOOKUP("CPUs",'vInfo (Imported)'!$1:$5000,M4652,FALSE)</f>
        <v>0</v>
      </c>
      <c r="S4652">
        <f>HLOOKUP("Memory",'vInfo (Imported)'!$1:$5000,M4652,FALSE)</f>
        <v>0</v>
      </c>
      <c r="T4652">
        <f>HLOOKUP("Provisioned MiB",'vInfo (Imported)'!$1:$5000,M4652,FALSE)</f>
        <v>0</v>
      </c>
      <c r="U4652">
        <f t="shared" si="217"/>
        <v>0</v>
      </c>
      <c r="V4652">
        <f>HLOOKUP("In Use MiB",'vInfo (Imported)'!$1:$5000,M4652,FALSE)</f>
        <v>0</v>
      </c>
    </row>
    <row r="4653" spans="1:22" ht="13" x14ac:dyDescent="0.3">
      <c r="A4653" s="46">
        <f>'vHosts (Imported)'!A4653</f>
        <v>0</v>
      </c>
      <c r="B4653" s="51">
        <f t="shared" si="219"/>
        <v>4968</v>
      </c>
      <c r="C4653" s="49">
        <f>HLOOKUP("# Cores",'vHosts (Imported)'!$1:$5000,M4653,FALSE)</f>
        <v>0</v>
      </c>
      <c r="D4653" s="52">
        <f>HLOOKUP("# Memory",'vHosts (Imported)'!$1:$5000,M4653,FALSE)</f>
        <v>0</v>
      </c>
      <c r="M4653" s="45">
        <f t="shared" si="218"/>
        <v>4653</v>
      </c>
      <c r="N4653" s="38">
        <f>HLOOKUP("Host",'vInfo (Imported)'!$1:$5000,M4653,FALSE)</f>
        <v>0</v>
      </c>
      <c r="R4653">
        <f>HLOOKUP("CPUs",'vInfo (Imported)'!$1:$5000,M4653,FALSE)</f>
        <v>0</v>
      </c>
      <c r="S4653">
        <f>HLOOKUP("Memory",'vInfo (Imported)'!$1:$5000,M4653,FALSE)</f>
        <v>0</v>
      </c>
      <c r="T4653">
        <f>HLOOKUP("Provisioned MiB",'vInfo (Imported)'!$1:$5000,M4653,FALSE)</f>
        <v>0</v>
      </c>
      <c r="U4653">
        <f t="shared" si="217"/>
        <v>0</v>
      </c>
      <c r="V4653">
        <f>HLOOKUP("In Use MiB",'vInfo (Imported)'!$1:$5000,M4653,FALSE)</f>
        <v>0</v>
      </c>
    </row>
    <row r="4654" spans="1:22" ht="13" x14ac:dyDescent="0.3">
      <c r="A4654" s="46">
        <f>'vHosts (Imported)'!A4654</f>
        <v>0</v>
      </c>
      <c r="B4654" s="51">
        <f t="shared" si="219"/>
        <v>4968</v>
      </c>
      <c r="C4654" s="49">
        <f>HLOOKUP("# Cores",'vHosts (Imported)'!$1:$5000,M4654,FALSE)</f>
        <v>0</v>
      </c>
      <c r="D4654" s="52">
        <f>HLOOKUP("# Memory",'vHosts (Imported)'!$1:$5000,M4654,FALSE)</f>
        <v>0</v>
      </c>
      <c r="M4654" s="45">
        <f t="shared" si="218"/>
        <v>4654</v>
      </c>
      <c r="N4654" s="38">
        <f>HLOOKUP("Host",'vInfo (Imported)'!$1:$5000,M4654,FALSE)</f>
        <v>0</v>
      </c>
      <c r="R4654">
        <f>HLOOKUP("CPUs",'vInfo (Imported)'!$1:$5000,M4654,FALSE)</f>
        <v>0</v>
      </c>
      <c r="S4654">
        <f>HLOOKUP("Memory",'vInfo (Imported)'!$1:$5000,M4654,FALSE)</f>
        <v>0</v>
      </c>
      <c r="T4654">
        <f>HLOOKUP("Provisioned MiB",'vInfo (Imported)'!$1:$5000,M4654,FALSE)</f>
        <v>0</v>
      </c>
      <c r="U4654">
        <f t="shared" si="217"/>
        <v>0</v>
      </c>
      <c r="V4654">
        <f>HLOOKUP("In Use MiB",'vInfo (Imported)'!$1:$5000,M4654,FALSE)</f>
        <v>0</v>
      </c>
    </row>
    <row r="4655" spans="1:22" ht="13" x14ac:dyDescent="0.3">
      <c r="A4655" s="46">
        <f>'vHosts (Imported)'!A4655</f>
        <v>0</v>
      </c>
      <c r="B4655" s="51">
        <f t="shared" si="219"/>
        <v>4968</v>
      </c>
      <c r="C4655" s="49">
        <f>HLOOKUP("# Cores",'vHosts (Imported)'!$1:$5000,M4655,FALSE)</f>
        <v>0</v>
      </c>
      <c r="D4655" s="52">
        <f>HLOOKUP("# Memory",'vHosts (Imported)'!$1:$5000,M4655,FALSE)</f>
        <v>0</v>
      </c>
      <c r="M4655" s="45">
        <f t="shared" si="218"/>
        <v>4655</v>
      </c>
      <c r="N4655" s="38">
        <f>HLOOKUP("Host",'vInfo (Imported)'!$1:$5000,M4655,FALSE)</f>
        <v>0</v>
      </c>
      <c r="R4655">
        <f>HLOOKUP("CPUs",'vInfo (Imported)'!$1:$5000,M4655,FALSE)</f>
        <v>0</v>
      </c>
      <c r="S4655">
        <f>HLOOKUP("Memory",'vInfo (Imported)'!$1:$5000,M4655,FALSE)</f>
        <v>0</v>
      </c>
      <c r="T4655">
        <f>HLOOKUP("Provisioned MiB",'vInfo (Imported)'!$1:$5000,M4655,FALSE)</f>
        <v>0</v>
      </c>
      <c r="U4655">
        <f t="shared" si="217"/>
        <v>0</v>
      </c>
      <c r="V4655">
        <f>HLOOKUP("In Use MiB",'vInfo (Imported)'!$1:$5000,M4655,FALSE)</f>
        <v>0</v>
      </c>
    </row>
    <row r="4656" spans="1:22" ht="13" x14ac:dyDescent="0.3">
      <c r="A4656" s="46">
        <f>'vHosts (Imported)'!A4656</f>
        <v>0</v>
      </c>
      <c r="B4656" s="51">
        <f t="shared" si="219"/>
        <v>4968</v>
      </c>
      <c r="C4656" s="49">
        <f>HLOOKUP("# Cores",'vHosts (Imported)'!$1:$5000,M4656,FALSE)</f>
        <v>0</v>
      </c>
      <c r="D4656" s="52">
        <f>HLOOKUP("# Memory",'vHosts (Imported)'!$1:$5000,M4656,FALSE)</f>
        <v>0</v>
      </c>
      <c r="M4656" s="45">
        <f t="shared" si="218"/>
        <v>4656</v>
      </c>
      <c r="N4656" s="38">
        <f>HLOOKUP("Host",'vInfo (Imported)'!$1:$5000,M4656,FALSE)</f>
        <v>0</v>
      </c>
      <c r="R4656">
        <f>HLOOKUP("CPUs",'vInfo (Imported)'!$1:$5000,M4656,FALSE)</f>
        <v>0</v>
      </c>
      <c r="S4656">
        <f>HLOOKUP("Memory",'vInfo (Imported)'!$1:$5000,M4656,FALSE)</f>
        <v>0</v>
      </c>
      <c r="T4656">
        <f>HLOOKUP("Provisioned MiB",'vInfo (Imported)'!$1:$5000,M4656,FALSE)</f>
        <v>0</v>
      </c>
      <c r="U4656">
        <f t="shared" si="217"/>
        <v>0</v>
      </c>
      <c r="V4656">
        <f>HLOOKUP("In Use MiB",'vInfo (Imported)'!$1:$5000,M4656,FALSE)</f>
        <v>0</v>
      </c>
    </row>
    <row r="4657" spans="1:22" ht="13" x14ac:dyDescent="0.3">
      <c r="A4657" s="46">
        <f>'vHosts (Imported)'!A4657</f>
        <v>0</v>
      </c>
      <c r="B4657" s="51">
        <f t="shared" si="219"/>
        <v>4968</v>
      </c>
      <c r="C4657" s="49">
        <f>HLOOKUP("# Cores",'vHosts (Imported)'!$1:$5000,M4657,FALSE)</f>
        <v>0</v>
      </c>
      <c r="D4657" s="52">
        <f>HLOOKUP("# Memory",'vHosts (Imported)'!$1:$5000,M4657,FALSE)</f>
        <v>0</v>
      </c>
      <c r="M4657" s="45">
        <f t="shared" si="218"/>
        <v>4657</v>
      </c>
      <c r="N4657" s="38">
        <f>HLOOKUP("Host",'vInfo (Imported)'!$1:$5000,M4657,FALSE)</f>
        <v>0</v>
      </c>
      <c r="R4657">
        <f>HLOOKUP("CPUs",'vInfo (Imported)'!$1:$5000,M4657,FALSE)</f>
        <v>0</v>
      </c>
      <c r="S4657">
        <f>HLOOKUP("Memory",'vInfo (Imported)'!$1:$5000,M4657,FALSE)</f>
        <v>0</v>
      </c>
      <c r="T4657">
        <f>HLOOKUP("Provisioned MiB",'vInfo (Imported)'!$1:$5000,M4657,FALSE)</f>
        <v>0</v>
      </c>
      <c r="U4657">
        <f t="shared" si="217"/>
        <v>0</v>
      </c>
      <c r="V4657">
        <f>HLOOKUP("In Use MiB",'vInfo (Imported)'!$1:$5000,M4657,FALSE)</f>
        <v>0</v>
      </c>
    </row>
    <row r="4658" spans="1:22" ht="13" x14ac:dyDescent="0.3">
      <c r="A4658" s="46">
        <f>'vHosts (Imported)'!A4658</f>
        <v>0</v>
      </c>
      <c r="B4658" s="51">
        <f t="shared" si="219"/>
        <v>4968</v>
      </c>
      <c r="C4658" s="49">
        <f>HLOOKUP("# Cores",'vHosts (Imported)'!$1:$5000,M4658,FALSE)</f>
        <v>0</v>
      </c>
      <c r="D4658" s="52">
        <f>HLOOKUP("# Memory",'vHosts (Imported)'!$1:$5000,M4658,FALSE)</f>
        <v>0</v>
      </c>
      <c r="M4658" s="45">
        <f t="shared" si="218"/>
        <v>4658</v>
      </c>
      <c r="N4658" s="38">
        <f>HLOOKUP("Host",'vInfo (Imported)'!$1:$5000,M4658,FALSE)</f>
        <v>0</v>
      </c>
      <c r="R4658">
        <f>HLOOKUP("CPUs",'vInfo (Imported)'!$1:$5000,M4658,FALSE)</f>
        <v>0</v>
      </c>
      <c r="S4658">
        <f>HLOOKUP("Memory",'vInfo (Imported)'!$1:$5000,M4658,FALSE)</f>
        <v>0</v>
      </c>
      <c r="T4658">
        <f>HLOOKUP("Provisioned MiB",'vInfo (Imported)'!$1:$5000,M4658,FALSE)</f>
        <v>0</v>
      </c>
      <c r="U4658">
        <f t="shared" si="217"/>
        <v>0</v>
      </c>
      <c r="V4658">
        <f>HLOOKUP("In Use MiB",'vInfo (Imported)'!$1:$5000,M4658,FALSE)</f>
        <v>0</v>
      </c>
    </row>
    <row r="4659" spans="1:22" ht="13" x14ac:dyDescent="0.3">
      <c r="A4659" s="46">
        <f>'vHosts (Imported)'!A4659</f>
        <v>0</v>
      </c>
      <c r="B4659" s="51">
        <f t="shared" si="219"/>
        <v>4968</v>
      </c>
      <c r="C4659" s="49">
        <f>HLOOKUP("# Cores",'vHosts (Imported)'!$1:$5000,M4659,FALSE)</f>
        <v>0</v>
      </c>
      <c r="D4659" s="52">
        <f>HLOOKUP("# Memory",'vHosts (Imported)'!$1:$5000,M4659,FALSE)</f>
        <v>0</v>
      </c>
      <c r="M4659" s="45">
        <f t="shared" si="218"/>
        <v>4659</v>
      </c>
      <c r="N4659" s="38">
        <f>HLOOKUP("Host",'vInfo (Imported)'!$1:$5000,M4659,FALSE)</f>
        <v>0</v>
      </c>
      <c r="R4659">
        <f>HLOOKUP("CPUs",'vInfo (Imported)'!$1:$5000,M4659,FALSE)</f>
        <v>0</v>
      </c>
      <c r="S4659">
        <f>HLOOKUP("Memory",'vInfo (Imported)'!$1:$5000,M4659,FALSE)</f>
        <v>0</v>
      </c>
      <c r="T4659">
        <f>HLOOKUP("Provisioned MiB",'vInfo (Imported)'!$1:$5000,M4659,FALSE)</f>
        <v>0</v>
      </c>
      <c r="U4659">
        <f t="shared" si="217"/>
        <v>0</v>
      </c>
      <c r="V4659">
        <f>HLOOKUP("In Use MiB",'vInfo (Imported)'!$1:$5000,M4659,FALSE)</f>
        <v>0</v>
      </c>
    </row>
    <row r="4660" spans="1:22" ht="13" x14ac:dyDescent="0.3">
      <c r="A4660" s="46">
        <f>'vHosts (Imported)'!A4660</f>
        <v>0</v>
      </c>
      <c r="B4660" s="51">
        <f t="shared" si="219"/>
        <v>4968</v>
      </c>
      <c r="C4660" s="49">
        <f>HLOOKUP("# Cores",'vHosts (Imported)'!$1:$5000,M4660,FALSE)</f>
        <v>0</v>
      </c>
      <c r="D4660" s="52">
        <f>HLOOKUP("# Memory",'vHosts (Imported)'!$1:$5000,M4660,FALSE)</f>
        <v>0</v>
      </c>
      <c r="M4660" s="45">
        <f t="shared" si="218"/>
        <v>4660</v>
      </c>
      <c r="N4660" s="38">
        <f>HLOOKUP("Host",'vInfo (Imported)'!$1:$5000,M4660,FALSE)</f>
        <v>0</v>
      </c>
      <c r="R4660">
        <f>HLOOKUP("CPUs",'vInfo (Imported)'!$1:$5000,M4660,FALSE)</f>
        <v>0</v>
      </c>
      <c r="S4660">
        <f>HLOOKUP("Memory",'vInfo (Imported)'!$1:$5000,M4660,FALSE)</f>
        <v>0</v>
      </c>
      <c r="T4660">
        <f>HLOOKUP("Provisioned MiB",'vInfo (Imported)'!$1:$5000,M4660,FALSE)</f>
        <v>0</v>
      </c>
      <c r="U4660">
        <f t="shared" si="217"/>
        <v>0</v>
      </c>
      <c r="V4660">
        <f>HLOOKUP("In Use MiB",'vInfo (Imported)'!$1:$5000,M4660,FALSE)</f>
        <v>0</v>
      </c>
    </row>
    <row r="4661" spans="1:22" ht="13" x14ac:dyDescent="0.3">
      <c r="A4661" s="46">
        <f>'vHosts (Imported)'!A4661</f>
        <v>0</v>
      </c>
      <c r="B4661" s="51">
        <f t="shared" si="219"/>
        <v>4968</v>
      </c>
      <c r="C4661" s="49">
        <f>HLOOKUP("# Cores",'vHosts (Imported)'!$1:$5000,M4661,FALSE)</f>
        <v>0</v>
      </c>
      <c r="D4661" s="52">
        <f>HLOOKUP("# Memory",'vHosts (Imported)'!$1:$5000,M4661,FALSE)</f>
        <v>0</v>
      </c>
      <c r="M4661" s="45">
        <f t="shared" si="218"/>
        <v>4661</v>
      </c>
      <c r="N4661" s="38">
        <f>HLOOKUP("Host",'vInfo (Imported)'!$1:$5000,M4661,FALSE)</f>
        <v>0</v>
      </c>
      <c r="R4661">
        <f>HLOOKUP("CPUs",'vInfo (Imported)'!$1:$5000,M4661,FALSE)</f>
        <v>0</v>
      </c>
      <c r="S4661">
        <f>HLOOKUP("Memory",'vInfo (Imported)'!$1:$5000,M4661,FALSE)</f>
        <v>0</v>
      </c>
      <c r="T4661">
        <f>HLOOKUP("Provisioned MiB",'vInfo (Imported)'!$1:$5000,M4661,FALSE)</f>
        <v>0</v>
      </c>
      <c r="U4661">
        <f t="shared" si="217"/>
        <v>0</v>
      </c>
      <c r="V4661">
        <f>HLOOKUP("In Use MiB",'vInfo (Imported)'!$1:$5000,M4661,FALSE)</f>
        <v>0</v>
      </c>
    </row>
    <row r="4662" spans="1:22" ht="13" x14ac:dyDescent="0.3">
      <c r="A4662" s="46">
        <f>'vHosts (Imported)'!A4662</f>
        <v>0</v>
      </c>
      <c r="B4662" s="51">
        <f t="shared" si="219"/>
        <v>4968</v>
      </c>
      <c r="C4662" s="49">
        <f>HLOOKUP("# Cores",'vHosts (Imported)'!$1:$5000,M4662,FALSE)</f>
        <v>0</v>
      </c>
      <c r="D4662" s="52">
        <f>HLOOKUP("# Memory",'vHosts (Imported)'!$1:$5000,M4662,FALSE)</f>
        <v>0</v>
      </c>
      <c r="M4662" s="45">
        <f t="shared" si="218"/>
        <v>4662</v>
      </c>
      <c r="N4662" s="38">
        <f>HLOOKUP("Host",'vInfo (Imported)'!$1:$5000,M4662,FALSE)</f>
        <v>0</v>
      </c>
      <c r="R4662">
        <f>HLOOKUP("CPUs",'vInfo (Imported)'!$1:$5000,M4662,FALSE)</f>
        <v>0</v>
      </c>
      <c r="S4662">
        <f>HLOOKUP("Memory",'vInfo (Imported)'!$1:$5000,M4662,FALSE)</f>
        <v>0</v>
      </c>
      <c r="T4662">
        <f>HLOOKUP("Provisioned MiB",'vInfo (Imported)'!$1:$5000,M4662,FALSE)</f>
        <v>0</v>
      </c>
      <c r="U4662">
        <f t="shared" si="217"/>
        <v>0</v>
      </c>
      <c r="V4662">
        <f>HLOOKUP("In Use MiB",'vInfo (Imported)'!$1:$5000,M4662,FALSE)</f>
        <v>0</v>
      </c>
    </row>
    <row r="4663" spans="1:22" ht="13" x14ac:dyDescent="0.3">
      <c r="A4663" s="46">
        <f>'vHosts (Imported)'!A4663</f>
        <v>0</v>
      </c>
      <c r="B4663" s="51">
        <f t="shared" si="219"/>
        <v>4968</v>
      </c>
      <c r="C4663" s="49">
        <f>HLOOKUP("# Cores",'vHosts (Imported)'!$1:$5000,M4663,FALSE)</f>
        <v>0</v>
      </c>
      <c r="D4663" s="52">
        <f>HLOOKUP("# Memory",'vHosts (Imported)'!$1:$5000,M4663,FALSE)</f>
        <v>0</v>
      </c>
      <c r="M4663" s="45">
        <f t="shared" si="218"/>
        <v>4663</v>
      </c>
      <c r="N4663" s="38">
        <f>HLOOKUP("Host",'vInfo (Imported)'!$1:$5000,M4663,FALSE)</f>
        <v>0</v>
      </c>
      <c r="R4663">
        <f>HLOOKUP("CPUs",'vInfo (Imported)'!$1:$5000,M4663,FALSE)</f>
        <v>0</v>
      </c>
      <c r="S4663">
        <f>HLOOKUP("Memory",'vInfo (Imported)'!$1:$5000,M4663,FALSE)</f>
        <v>0</v>
      </c>
      <c r="T4663">
        <f>HLOOKUP("Provisioned MiB",'vInfo (Imported)'!$1:$5000,M4663,FALSE)</f>
        <v>0</v>
      </c>
      <c r="U4663">
        <f t="shared" si="217"/>
        <v>0</v>
      </c>
      <c r="V4663">
        <f>HLOOKUP("In Use MiB",'vInfo (Imported)'!$1:$5000,M4663,FALSE)</f>
        <v>0</v>
      </c>
    </row>
    <row r="4664" spans="1:22" ht="13" x14ac:dyDescent="0.3">
      <c r="A4664" s="46">
        <f>'vHosts (Imported)'!A4664</f>
        <v>0</v>
      </c>
      <c r="B4664" s="51">
        <f t="shared" si="219"/>
        <v>4968</v>
      </c>
      <c r="C4664" s="49">
        <f>HLOOKUP("# Cores",'vHosts (Imported)'!$1:$5000,M4664,FALSE)</f>
        <v>0</v>
      </c>
      <c r="D4664" s="52">
        <f>HLOOKUP("# Memory",'vHosts (Imported)'!$1:$5000,M4664,FALSE)</f>
        <v>0</v>
      </c>
      <c r="M4664" s="45">
        <f t="shared" si="218"/>
        <v>4664</v>
      </c>
      <c r="N4664" s="38">
        <f>HLOOKUP("Host",'vInfo (Imported)'!$1:$5000,M4664,FALSE)</f>
        <v>0</v>
      </c>
      <c r="R4664">
        <f>HLOOKUP("CPUs",'vInfo (Imported)'!$1:$5000,M4664,FALSE)</f>
        <v>0</v>
      </c>
      <c r="S4664">
        <f>HLOOKUP("Memory",'vInfo (Imported)'!$1:$5000,M4664,FALSE)</f>
        <v>0</v>
      </c>
      <c r="T4664">
        <f>HLOOKUP("Provisioned MiB",'vInfo (Imported)'!$1:$5000,M4664,FALSE)</f>
        <v>0</v>
      </c>
      <c r="U4664">
        <f t="shared" si="217"/>
        <v>0</v>
      </c>
      <c r="V4664">
        <f>HLOOKUP("In Use MiB",'vInfo (Imported)'!$1:$5000,M4664,FALSE)</f>
        <v>0</v>
      </c>
    </row>
    <row r="4665" spans="1:22" ht="13" x14ac:dyDescent="0.3">
      <c r="A4665" s="46">
        <f>'vHosts (Imported)'!A4665</f>
        <v>0</v>
      </c>
      <c r="B4665" s="51">
        <f t="shared" si="219"/>
        <v>4968</v>
      </c>
      <c r="C4665" s="49">
        <f>HLOOKUP("# Cores",'vHosts (Imported)'!$1:$5000,M4665,FALSE)</f>
        <v>0</v>
      </c>
      <c r="D4665" s="52">
        <f>HLOOKUP("# Memory",'vHosts (Imported)'!$1:$5000,M4665,FALSE)</f>
        <v>0</v>
      </c>
      <c r="M4665" s="45">
        <f t="shared" si="218"/>
        <v>4665</v>
      </c>
      <c r="N4665" s="38">
        <f>HLOOKUP("Host",'vInfo (Imported)'!$1:$5000,M4665,FALSE)</f>
        <v>0</v>
      </c>
      <c r="R4665">
        <f>HLOOKUP("CPUs",'vInfo (Imported)'!$1:$5000,M4665,FALSE)</f>
        <v>0</v>
      </c>
      <c r="S4665">
        <f>HLOOKUP("Memory",'vInfo (Imported)'!$1:$5000,M4665,FALSE)</f>
        <v>0</v>
      </c>
      <c r="T4665">
        <f>HLOOKUP("Provisioned MiB",'vInfo (Imported)'!$1:$5000,M4665,FALSE)</f>
        <v>0</v>
      </c>
      <c r="U4665">
        <f t="shared" si="217"/>
        <v>0</v>
      </c>
      <c r="V4665">
        <f>HLOOKUP("In Use MiB",'vInfo (Imported)'!$1:$5000,M4665,FALSE)</f>
        <v>0</v>
      </c>
    </row>
    <row r="4666" spans="1:22" ht="13" x14ac:dyDescent="0.3">
      <c r="A4666" s="46">
        <f>'vHosts (Imported)'!A4666</f>
        <v>0</v>
      </c>
      <c r="B4666" s="51">
        <f t="shared" si="219"/>
        <v>4968</v>
      </c>
      <c r="C4666" s="49">
        <f>HLOOKUP("# Cores",'vHosts (Imported)'!$1:$5000,M4666,FALSE)</f>
        <v>0</v>
      </c>
      <c r="D4666" s="52">
        <f>HLOOKUP("# Memory",'vHosts (Imported)'!$1:$5000,M4666,FALSE)</f>
        <v>0</v>
      </c>
      <c r="M4666" s="45">
        <f t="shared" si="218"/>
        <v>4666</v>
      </c>
      <c r="N4666" s="38">
        <f>HLOOKUP("Host",'vInfo (Imported)'!$1:$5000,M4666,FALSE)</f>
        <v>0</v>
      </c>
      <c r="R4666">
        <f>HLOOKUP("CPUs",'vInfo (Imported)'!$1:$5000,M4666,FALSE)</f>
        <v>0</v>
      </c>
      <c r="S4666">
        <f>HLOOKUP("Memory",'vInfo (Imported)'!$1:$5000,M4666,FALSE)</f>
        <v>0</v>
      </c>
      <c r="T4666">
        <f>HLOOKUP("Provisioned MiB",'vInfo (Imported)'!$1:$5000,M4666,FALSE)</f>
        <v>0</v>
      </c>
      <c r="U4666">
        <f t="shared" si="217"/>
        <v>0</v>
      </c>
      <c r="V4666">
        <f>HLOOKUP("In Use MiB",'vInfo (Imported)'!$1:$5000,M4666,FALSE)</f>
        <v>0</v>
      </c>
    </row>
    <row r="4667" spans="1:22" ht="13" x14ac:dyDescent="0.3">
      <c r="A4667" s="46">
        <f>'vHosts (Imported)'!A4667</f>
        <v>0</v>
      </c>
      <c r="B4667" s="51">
        <f t="shared" si="219"/>
        <v>4968</v>
      </c>
      <c r="C4667" s="49">
        <f>HLOOKUP("# Cores",'vHosts (Imported)'!$1:$5000,M4667,FALSE)</f>
        <v>0</v>
      </c>
      <c r="D4667" s="52">
        <f>HLOOKUP("# Memory",'vHosts (Imported)'!$1:$5000,M4667,FALSE)</f>
        <v>0</v>
      </c>
      <c r="M4667" s="45">
        <f t="shared" si="218"/>
        <v>4667</v>
      </c>
      <c r="N4667" s="38">
        <f>HLOOKUP("Host",'vInfo (Imported)'!$1:$5000,M4667,FALSE)</f>
        <v>0</v>
      </c>
      <c r="R4667">
        <f>HLOOKUP("CPUs",'vInfo (Imported)'!$1:$5000,M4667,FALSE)</f>
        <v>0</v>
      </c>
      <c r="S4667">
        <f>HLOOKUP("Memory",'vInfo (Imported)'!$1:$5000,M4667,FALSE)</f>
        <v>0</v>
      </c>
      <c r="T4667">
        <f>HLOOKUP("Provisioned MiB",'vInfo (Imported)'!$1:$5000,M4667,FALSE)</f>
        <v>0</v>
      </c>
      <c r="U4667">
        <f t="shared" si="217"/>
        <v>0</v>
      </c>
      <c r="V4667">
        <f>HLOOKUP("In Use MiB",'vInfo (Imported)'!$1:$5000,M4667,FALSE)</f>
        <v>0</v>
      </c>
    </row>
    <row r="4668" spans="1:22" ht="13" x14ac:dyDescent="0.3">
      <c r="A4668" s="46">
        <f>'vHosts (Imported)'!A4668</f>
        <v>0</v>
      </c>
      <c r="B4668" s="51">
        <f t="shared" si="219"/>
        <v>4968</v>
      </c>
      <c r="C4668" s="49">
        <f>HLOOKUP("# Cores",'vHosts (Imported)'!$1:$5000,M4668,FALSE)</f>
        <v>0</v>
      </c>
      <c r="D4668" s="52">
        <f>HLOOKUP("# Memory",'vHosts (Imported)'!$1:$5000,M4668,FALSE)</f>
        <v>0</v>
      </c>
      <c r="M4668" s="45">
        <f t="shared" si="218"/>
        <v>4668</v>
      </c>
      <c r="N4668" s="38">
        <f>HLOOKUP("Host",'vInfo (Imported)'!$1:$5000,M4668,FALSE)</f>
        <v>0</v>
      </c>
      <c r="R4668">
        <f>HLOOKUP("CPUs",'vInfo (Imported)'!$1:$5000,M4668,FALSE)</f>
        <v>0</v>
      </c>
      <c r="S4668">
        <f>HLOOKUP("Memory",'vInfo (Imported)'!$1:$5000,M4668,FALSE)</f>
        <v>0</v>
      </c>
      <c r="T4668">
        <f>HLOOKUP("Provisioned MiB",'vInfo (Imported)'!$1:$5000,M4668,FALSE)</f>
        <v>0</v>
      </c>
      <c r="U4668">
        <f t="shared" si="217"/>
        <v>0</v>
      </c>
      <c r="V4668">
        <f>HLOOKUP("In Use MiB",'vInfo (Imported)'!$1:$5000,M4668,FALSE)</f>
        <v>0</v>
      </c>
    </row>
    <row r="4669" spans="1:22" ht="13" x14ac:dyDescent="0.3">
      <c r="A4669" s="46">
        <f>'vHosts (Imported)'!A4669</f>
        <v>0</v>
      </c>
      <c r="B4669" s="51">
        <f t="shared" si="219"/>
        <v>4968</v>
      </c>
      <c r="C4669" s="49">
        <f>HLOOKUP("# Cores",'vHosts (Imported)'!$1:$5000,M4669,FALSE)</f>
        <v>0</v>
      </c>
      <c r="D4669" s="52">
        <f>HLOOKUP("# Memory",'vHosts (Imported)'!$1:$5000,M4669,FALSE)</f>
        <v>0</v>
      </c>
      <c r="M4669" s="45">
        <f t="shared" si="218"/>
        <v>4669</v>
      </c>
      <c r="N4669" s="38">
        <f>HLOOKUP("Host",'vInfo (Imported)'!$1:$5000,M4669,FALSE)</f>
        <v>0</v>
      </c>
      <c r="R4669">
        <f>HLOOKUP("CPUs",'vInfo (Imported)'!$1:$5000,M4669,FALSE)</f>
        <v>0</v>
      </c>
      <c r="S4669">
        <f>HLOOKUP("Memory",'vInfo (Imported)'!$1:$5000,M4669,FALSE)</f>
        <v>0</v>
      </c>
      <c r="T4669">
        <f>HLOOKUP("Provisioned MiB",'vInfo (Imported)'!$1:$5000,M4669,FALSE)</f>
        <v>0</v>
      </c>
      <c r="U4669">
        <f t="shared" si="217"/>
        <v>0</v>
      </c>
      <c r="V4669">
        <f>HLOOKUP("In Use MiB",'vInfo (Imported)'!$1:$5000,M4669,FALSE)</f>
        <v>0</v>
      </c>
    </row>
    <row r="4670" spans="1:22" ht="13" x14ac:dyDescent="0.3">
      <c r="A4670" s="46">
        <f>'vHosts (Imported)'!A4670</f>
        <v>0</v>
      </c>
      <c r="B4670" s="51">
        <f t="shared" si="219"/>
        <v>4968</v>
      </c>
      <c r="C4670" s="49">
        <f>HLOOKUP("# Cores",'vHosts (Imported)'!$1:$5000,M4670,FALSE)</f>
        <v>0</v>
      </c>
      <c r="D4670" s="52">
        <f>HLOOKUP("# Memory",'vHosts (Imported)'!$1:$5000,M4670,FALSE)</f>
        <v>0</v>
      </c>
      <c r="M4670" s="45">
        <f t="shared" si="218"/>
        <v>4670</v>
      </c>
      <c r="N4670" s="38">
        <f>HLOOKUP("Host",'vInfo (Imported)'!$1:$5000,M4670,FALSE)</f>
        <v>0</v>
      </c>
      <c r="R4670">
        <f>HLOOKUP("CPUs",'vInfo (Imported)'!$1:$5000,M4670,FALSE)</f>
        <v>0</v>
      </c>
      <c r="S4670">
        <f>HLOOKUP("Memory",'vInfo (Imported)'!$1:$5000,M4670,FALSE)</f>
        <v>0</v>
      </c>
      <c r="T4670">
        <f>HLOOKUP("Provisioned MiB",'vInfo (Imported)'!$1:$5000,M4670,FALSE)</f>
        <v>0</v>
      </c>
      <c r="U4670">
        <f t="shared" si="217"/>
        <v>0</v>
      </c>
      <c r="V4670">
        <f>HLOOKUP("In Use MiB",'vInfo (Imported)'!$1:$5000,M4670,FALSE)</f>
        <v>0</v>
      </c>
    </row>
    <row r="4671" spans="1:22" ht="13" x14ac:dyDescent="0.3">
      <c r="A4671" s="46">
        <f>'vHosts (Imported)'!A4671</f>
        <v>0</v>
      </c>
      <c r="B4671" s="51">
        <f t="shared" si="219"/>
        <v>4968</v>
      </c>
      <c r="C4671" s="49">
        <f>HLOOKUP("# Cores",'vHosts (Imported)'!$1:$5000,M4671,FALSE)</f>
        <v>0</v>
      </c>
      <c r="D4671" s="52">
        <f>HLOOKUP("# Memory",'vHosts (Imported)'!$1:$5000,M4671,FALSE)</f>
        <v>0</v>
      </c>
      <c r="M4671" s="45">
        <f t="shared" si="218"/>
        <v>4671</v>
      </c>
      <c r="N4671" s="38">
        <f>HLOOKUP("Host",'vInfo (Imported)'!$1:$5000,M4671,FALSE)</f>
        <v>0</v>
      </c>
      <c r="R4671">
        <f>HLOOKUP("CPUs",'vInfo (Imported)'!$1:$5000,M4671,FALSE)</f>
        <v>0</v>
      </c>
      <c r="S4671">
        <f>HLOOKUP("Memory",'vInfo (Imported)'!$1:$5000,M4671,FALSE)</f>
        <v>0</v>
      </c>
      <c r="T4671">
        <f>HLOOKUP("Provisioned MiB",'vInfo (Imported)'!$1:$5000,M4671,FALSE)</f>
        <v>0</v>
      </c>
      <c r="U4671">
        <f t="shared" si="217"/>
        <v>0</v>
      </c>
      <c r="V4671">
        <f>HLOOKUP("In Use MiB",'vInfo (Imported)'!$1:$5000,M4671,FALSE)</f>
        <v>0</v>
      </c>
    </row>
    <row r="4672" spans="1:22" ht="13" x14ac:dyDescent="0.3">
      <c r="A4672" s="46">
        <f>'vHosts (Imported)'!A4672</f>
        <v>0</v>
      </c>
      <c r="B4672" s="51">
        <f t="shared" si="219"/>
        <v>4968</v>
      </c>
      <c r="C4672" s="49">
        <f>HLOOKUP("# Cores",'vHosts (Imported)'!$1:$5000,M4672,FALSE)</f>
        <v>0</v>
      </c>
      <c r="D4672" s="52">
        <f>HLOOKUP("# Memory",'vHosts (Imported)'!$1:$5000,M4672,FALSE)</f>
        <v>0</v>
      </c>
      <c r="M4672" s="45">
        <f t="shared" si="218"/>
        <v>4672</v>
      </c>
      <c r="N4672" s="38">
        <f>HLOOKUP("Host",'vInfo (Imported)'!$1:$5000,M4672,FALSE)</f>
        <v>0</v>
      </c>
      <c r="R4672">
        <f>HLOOKUP("CPUs",'vInfo (Imported)'!$1:$5000,M4672,FALSE)</f>
        <v>0</v>
      </c>
      <c r="S4672">
        <f>HLOOKUP("Memory",'vInfo (Imported)'!$1:$5000,M4672,FALSE)</f>
        <v>0</v>
      </c>
      <c r="T4672">
        <f>HLOOKUP("Provisioned MiB",'vInfo (Imported)'!$1:$5000,M4672,FALSE)</f>
        <v>0</v>
      </c>
      <c r="U4672">
        <f t="shared" si="217"/>
        <v>0</v>
      </c>
      <c r="V4672">
        <f>HLOOKUP("In Use MiB",'vInfo (Imported)'!$1:$5000,M4672,FALSE)</f>
        <v>0</v>
      </c>
    </row>
    <row r="4673" spans="1:22" ht="13" x14ac:dyDescent="0.3">
      <c r="A4673" s="46">
        <f>'vHosts (Imported)'!A4673</f>
        <v>0</v>
      </c>
      <c r="B4673" s="51">
        <f t="shared" si="219"/>
        <v>4968</v>
      </c>
      <c r="C4673" s="49">
        <f>HLOOKUP("# Cores",'vHosts (Imported)'!$1:$5000,M4673,FALSE)</f>
        <v>0</v>
      </c>
      <c r="D4673" s="52">
        <f>HLOOKUP("# Memory",'vHosts (Imported)'!$1:$5000,M4673,FALSE)</f>
        <v>0</v>
      </c>
      <c r="M4673" s="45">
        <f t="shared" si="218"/>
        <v>4673</v>
      </c>
      <c r="N4673" s="38">
        <f>HLOOKUP("Host",'vInfo (Imported)'!$1:$5000,M4673,FALSE)</f>
        <v>0</v>
      </c>
      <c r="R4673">
        <f>HLOOKUP("CPUs",'vInfo (Imported)'!$1:$5000,M4673,FALSE)</f>
        <v>0</v>
      </c>
      <c r="S4673">
        <f>HLOOKUP("Memory",'vInfo (Imported)'!$1:$5000,M4673,FALSE)</f>
        <v>0</v>
      </c>
      <c r="T4673">
        <f>HLOOKUP("Provisioned MiB",'vInfo (Imported)'!$1:$5000,M4673,FALSE)</f>
        <v>0</v>
      </c>
      <c r="U4673">
        <f t="shared" si="217"/>
        <v>0</v>
      </c>
      <c r="V4673">
        <f>HLOOKUP("In Use MiB",'vInfo (Imported)'!$1:$5000,M4673,FALSE)</f>
        <v>0</v>
      </c>
    </row>
    <row r="4674" spans="1:22" ht="13" x14ac:dyDescent="0.3">
      <c r="A4674" s="46">
        <f>'vHosts (Imported)'!A4674</f>
        <v>0</v>
      </c>
      <c r="B4674" s="51">
        <f t="shared" si="219"/>
        <v>4968</v>
      </c>
      <c r="C4674" s="49">
        <f>HLOOKUP("# Cores",'vHosts (Imported)'!$1:$5000,M4674,FALSE)</f>
        <v>0</v>
      </c>
      <c r="D4674" s="52">
        <f>HLOOKUP("# Memory",'vHosts (Imported)'!$1:$5000,M4674,FALSE)</f>
        <v>0</v>
      </c>
      <c r="M4674" s="45">
        <f t="shared" si="218"/>
        <v>4674</v>
      </c>
      <c r="N4674" s="38">
        <f>HLOOKUP("Host",'vInfo (Imported)'!$1:$5000,M4674,FALSE)</f>
        <v>0</v>
      </c>
      <c r="R4674">
        <f>HLOOKUP("CPUs",'vInfo (Imported)'!$1:$5000,M4674,FALSE)</f>
        <v>0</v>
      </c>
      <c r="S4674">
        <f>HLOOKUP("Memory",'vInfo (Imported)'!$1:$5000,M4674,FALSE)</f>
        <v>0</v>
      </c>
      <c r="T4674">
        <f>HLOOKUP("Provisioned MiB",'vInfo (Imported)'!$1:$5000,M4674,FALSE)</f>
        <v>0</v>
      </c>
      <c r="U4674">
        <f t="shared" si="217"/>
        <v>0</v>
      </c>
      <c r="V4674">
        <f>HLOOKUP("In Use MiB",'vInfo (Imported)'!$1:$5000,M4674,FALSE)</f>
        <v>0</v>
      </c>
    </row>
    <row r="4675" spans="1:22" ht="13" x14ac:dyDescent="0.3">
      <c r="A4675" s="46">
        <f>'vHosts (Imported)'!A4675</f>
        <v>0</v>
      </c>
      <c r="B4675" s="51">
        <f t="shared" si="219"/>
        <v>4968</v>
      </c>
      <c r="C4675" s="49">
        <f>HLOOKUP("# Cores",'vHosts (Imported)'!$1:$5000,M4675,FALSE)</f>
        <v>0</v>
      </c>
      <c r="D4675" s="52">
        <f>HLOOKUP("# Memory",'vHosts (Imported)'!$1:$5000,M4675,FALSE)</f>
        <v>0</v>
      </c>
      <c r="M4675" s="45">
        <f t="shared" si="218"/>
        <v>4675</v>
      </c>
      <c r="N4675" s="38">
        <f>HLOOKUP("Host",'vInfo (Imported)'!$1:$5000,M4675,FALSE)</f>
        <v>0</v>
      </c>
      <c r="R4675">
        <f>HLOOKUP("CPUs",'vInfo (Imported)'!$1:$5000,M4675,FALSE)</f>
        <v>0</v>
      </c>
      <c r="S4675">
        <f>HLOOKUP("Memory",'vInfo (Imported)'!$1:$5000,M4675,FALSE)</f>
        <v>0</v>
      </c>
      <c r="T4675">
        <f>HLOOKUP("Provisioned MiB",'vInfo (Imported)'!$1:$5000,M4675,FALSE)</f>
        <v>0</v>
      </c>
      <c r="U4675">
        <f t="shared" ref="U4675:U4738" si="220">T4675-V4675</f>
        <v>0</v>
      </c>
      <c r="V4675">
        <f>HLOOKUP("In Use MiB",'vInfo (Imported)'!$1:$5000,M4675,FALSE)</f>
        <v>0</v>
      </c>
    </row>
    <row r="4676" spans="1:22" ht="13" x14ac:dyDescent="0.3">
      <c r="A4676" s="46">
        <f>'vHosts (Imported)'!A4676</f>
        <v>0</v>
      </c>
      <c r="B4676" s="51">
        <f t="shared" si="219"/>
        <v>4968</v>
      </c>
      <c r="C4676" s="49">
        <f>HLOOKUP("# Cores",'vHosts (Imported)'!$1:$5000,M4676,FALSE)</f>
        <v>0</v>
      </c>
      <c r="D4676" s="52">
        <f>HLOOKUP("# Memory",'vHosts (Imported)'!$1:$5000,M4676,FALSE)</f>
        <v>0</v>
      </c>
      <c r="M4676" s="45">
        <f t="shared" ref="M4676:M4739" si="221">M4675+1</f>
        <v>4676</v>
      </c>
      <c r="N4676" s="38">
        <f>HLOOKUP("Host",'vInfo (Imported)'!$1:$5000,M4676,FALSE)</f>
        <v>0</v>
      </c>
      <c r="R4676">
        <f>HLOOKUP("CPUs",'vInfo (Imported)'!$1:$5000,M4676,FALSE)</f>
        <v>0</v>
      </c>
      <c r="S4676">
        <f>HLOOKUP("Memory",'vInfo (Imported)'!$1:$5000,M4676,FALSE)</f>
        <v>0</v>
      </c>
      <c r="T4676">
        <f>HLOOKUP("Provisioned MiB",'vInfo (Imported)'!$1:$5000,M4676,FALSE)</f>
        <v>0</v>
      </c>
      <c r="U4676">
        <f t="shared" si="220"/>
        <v>0</v>
      </c>
      <c r="V4676">
        <f>HLOOKUP("In Use MiB",'vInfo (Imported)'!$1:$5000,M4676,FALSE)</f>
        <v>0</v>
      </c>
    </row>
    <row r="4677" spans="1:22" ht="13" x14ac:dyDescent="0.3">
      <c r="A4677" s="46">
        <f>'vHosts (Imported)'!A4677</f>
        <v>0</v>
      </c>
      <c r="B4677" s="51">
        <f t="shared" si="219"/>
        <v>4968</v>
      </c>
      <c r="C4677" s="49">
        <f>HLOOKUP("# Cores",'vHosts (Imported)'!$1:$5000,M4677,FALSE)</f>
        <v>0</v>
      </c>
      <c r="D4677" s="52">
        <f>HLOOKUP("# Memory",'vHosts (Imported)'!$1:$5000,M4677,FALSE)</f>
        <v>0</v>
      </c>
      <c r="M4677" s="45">
        <f t="shared" si="221"/>
        <v>4677</v>
      </c>
      <c r="N4677" s="38">
        <f>HLOOKUP("Host",'vInfo (Imported)'!$1:$5000,M4677,FALSE)</f>
        <v>0</v>
      </c>
      <c r="R4677">
        <f>HLOOKUP("CPUs",'vInfo (Imported)'!$1:$5000,M4677,FALSE)</f>
        <v>0</v>
      </c>
      <c r="S4677">
        <f>HLOOKUP("Memory",'vInfo (Imported)'!$1:$5000,M4677,FALSE)</f>
        <v>0</v>
      </c>
      <c r="T4677">
        <f>HLOOKUP("Provisioned MiB",'vInfo (Imported)'!$1:$5000,M4677,FALSE)</f>
        <v>0</v>
      </c>
      <c r="U4677">
        <f t="shared" si="220"/>
        <v>0</v>
      </c>
      <c r="V4677">
        <f>HLOOKUP("In Use MiB",'vInfo (Imported)'!$1:$5000,M4677,FALSE)</f>
        <v>0</v>
      </c>
    </row>
    <row r="4678" spans="1:22" ht="13" x14ac:dyDescent="0.3">
      <c r="A4678" s="46">
        <f>'vHosts (Imported)'!A4678</f>
        <v>0</v>
      </c>
      <c r="B4678" s="51">
        <f t="shared" si="219"/>
        <v>4968</v>
      </c>
      <c r="C4678" s="49">
        <f>HLOOKUP("# Cores",'vHosts (Imported)'!$1:$5000,M4678,FALSE)</f>
        <v>0</v>
      </c>
      <c r="D4678" s="52">
        <f>HLOOKUP("# Memory",'vHosts (Imported)'!$1:$5000,M4678,FALSE)</f>
        <v>0</v>
      </c>
      <c r="M4678" s="45">
        <f t="shared" si="221"/>
        <v>4678</v>
      </c>
      <c r="N4678" s="38">
        <f>HLOOKUP("Host",'vInfo (Imported)'!$1:$5000,M4678,FALSE)</f>
        <v>0</v>
      </c>
      <c r="R4678">
        <f>HLOOKUP("CPUs",'vInfo (Imported)'!$1:$5000,M4678,FALSE)</f>
        <v>0</v>
      </c>
      <c r="S4678">
        <f>HLOOKUP("Memory",'vInfo (Imported)'!$1:$5000,M4678,FALSE)</f>
        <v>0</v>
      </c>
      <c r="T4678">
        <f>HLOOKUP("Provisioned MiB",'vInfo (Imported)'!$1:$5000,M4678,FALSE)</f>
        <v>0</v>
      </c>
      <c r="U4678">
        <f t="shared" si="220"/>
        <v>0</v>
      </c>
      <c r="V4678">
        <f>HLOOKUP("In Use MiB",'vInfo (Imported)'!$1:$5000,M4678,FALSE)</f>
        <v>0</v>
      </c>
    </row>
    <row r="4679" spans="1:22" ht="13" x14ac:dyDescent="0.3">
      <c r="A4679" s="46">
        <f>'vHosts (Imported)'!A4679</f>
        <v>0</v>
      </c>
      <c r="B4679" s="51">
        <f t="shared" si="219"/>
        <v>4968</v>
      </c>
      <c r="C4679" s="49">
        <f>HLOOKUP("# Cores",'vHosts (Imported)'!$1:$5000,M4679,FALSE)</f>
        <v>0</v>
      </c>
      <c r="D4679" s="52">
        <f>HLOOKUP("# Memory",'vHosts (Imported)'!$1:$5000,M4679,FALSE)</f>
        <v>0</v>
      </c>
      <c r="M4679" s="45">
        <f t="shared" si="221"/>
        <v>4679</v>
      </c>
      <c r="N4679" s="38">
        <f>HLOOKUP("Host",'vInfo (Imported)'!$1:$5000,M4679,FALSE)</f>
        <v>0</v>
      </c>
      <c r="R4679">
        <f>HLOOKUP("CPUs",'vInfo (Imported)'!$1:$5000,M4679,FALSE)</f>
        <v>0</v>
      </c>
      <c r="S4679">
        <f>HLOOKUP("Memory",'vInfo (Imported)'!$1:$5000,M4679,FALSE)</f>
        <v>0</v>
      </c>
      <c r="T4679">
        <f>HLOOKUP("Provisioned MiB",'vInfo (Imported)'!$1:$5000,M4679,FALSE)</f>
        <v>0</v>
      </c>
      <c r="U4679">
        <f t="shared" si="220"/>
        <v>0</v>
      </c>
      <c r="V4679">
        <f>HLOOKUP("In Use MiB",'vInfo (Imported)'!$1:$5000,M4679,FALSE)</f>
        <v>0</v>
      </c>
    </row>
    <row r="4680" spans="1:22" ht="13" x14ac:dyDescent="0.3">
      <c r="A4680" s="46">
        <f>'vHosts (Imported)'!A4680</f>
        <v>0</v>
      </c>
      <c r="B4680" s="51">
        <f t="shared" si="219"/>
        <v>4968</v>
      </c>
      <c r="C4680" s="49">
        <f>HLOOKUP("# Cores",'vHosts (Imported)'!$1:$5000,M4680,FALSE)</f>
        <v>0</v>
      </c>
      <c r="D4680" s="52">
        <f>HLOOKUP("# Memory",'vHosts (Imported)'!$1:$5000,M4680,FALSE)</f>
        <v>0</v>
      </c>
      <c r="M4680" s="45">
        <f t="shared" si="221"/>
        <v>4680</v>
      </c>
      <c r="N4680" s="38">
        <f>HLOOKUP("Host",'vInfo (Imported)'!$1:$5000,M4680,FALSE)</f>
        <v>0</v>
      </c>
      <c r="R4680">
        <f>HLOOKUP("CPUs",'vInfo (Imported)'!$1:$5000,M4680,FALSE)</f>
        <v>0</v>
      </c>
      <c r="S4680">
        <f>HLOOKUP("Memory",'vInfo (Imported)'!$1:$5000,M4680,FALSE)</f>
        <v>0</v>
      </c>
      <c r="T4680">
        <f>HLOOKUP("Provisioned MiB",'vInfo (Imported)'!$1:$5000,M4680,FALSE)</f>
        <v>0</v>
      </c>
      <c r="U4680">
        <f t="shared" si="220"/>
        <v>0</v>
      </c>
      <c r="V4680">
        <f>HLOOKUP("In Use MiB",'vInfo (Imported)'!$1:$5000,M4680,FALSE)</f>
        <v>0</v>
      </c>
    </row>
    <row r="4681" spans="1:22" ht="13" x14ac:dyDescent="0.3">
      <c r="A4681" s="46">
        <f>'vHosts (Imported)'!A4681</f>
        <v>0</v>
      </c>
      <c r="B4681" s="51">
        <f t="shared" si="219"/>
        <v>4968</v>
      </c>
      <c r="C4681" s="49">
        <f>HLOOKUP("# Cores",'vHosts (Imported)'!$1:$5000,M4681,FALSE)</f>
        <v>0</v>
      </c>
      <c r="D4681" s="52">
        <f>HLOOKUP("# Memory",'vHosts (Imported)'!$1:$5000,M4681,FALSE)</f>
        <v>0</v>
      </c>
      <c r="M4681" s="45">
        <f t="shared" si="221"/>
        <v>4681</v>
      </c>
      <c r="N4681" s="38">
        <f>HLOOKUP("Host",'vInfo (Imported)'!$1:$5000,M4681,FALSE)</f>
        <v>0</v>
      </c>
      <c r="R4681">
        <f>HLOOKUP("CPUs",'vInfo (Imported)'!$1:$5000,M4681,FALSE)</f>
        <v>0</v>
      </c>
      <c r="S4681">
        <f>HLOOKUP("Memory",'vInfo (Imported)'!$1:$5000,M4681,FALSE)</f>
        <v>0</v>
      </c>
      <c r="T4681">
        <f>HLOOKUP("Provisioned MiB",'vInfo (Imported)'!$1:$5000,M4681,FALSE)</f>
        <v>0</v>
      </c>
      <c r="U4681">
        <f t="shared" si="220"/>
        <v>0</v>
      </c>
      <c r="V4681">
        <f>HLOOKUP("In Use MiB",'vInfo (Imported)'!$1:$5000,M4681,FALSE)</f>
        <v>0</v>
      </c>
    </row>
    <row r="4682" spans="1:22" ht="13" x14ac:dyDescent="0.3">
      <c r="A4682" s="46">
        <f>'vHosts (Imported)'!A4682</f>
        <v>0</v>
      </c>
      <c r="B4682" s="51">
        <f t="shared" si="219"/>
        <v>4968</v>
      </c>
      <c r="C4682" s="49">
        <f>HLOOKUP("# Cores",'vHosts (Imported)'!$1:$5000,M4682,FALSE)</f>
        <v>0</v>
      </c>
      <c r="D4682" s="52">
        <f>HLOOKUP("# Memory",'vHosts (Imported)'!$1:$5000,M4682,FALSE)</f>
        <v>0</v>
      </c>
      <c r="M4682" s="45">
        <f t="shared" si="221"/>
        <v>4682</v>
      </c>
      <c r="N4682" s="38">
        <f>HLOOKUP("Host",'vInfo (Imported)'!$1:$5000,M4682,FALSE)</f>
        <v>0</v>
      </c>
      <c r="R4682">
        <f>HLOOKUP("CPUs",'vInfo (Imported)'!$1:$5000,M4682,FALSE)</f>
        <v>0</v>
      </c>
      <c r="S4682">
        <f>HLOOKUP("Memory",'vInfo (Imported)'!$1:$5000,M4682,FALSE)</f>
        <v>0</v>
      </c>
      <c r="T4682">
        <f>HLOOKUP("Provisioned MiB",'vInfo (Imported)'!$1:$5000,M4682,FALSE)</f>
        <v>0</v>
      </c>
      <c r="U4682">
        <f t="shared" si="220"/>
        <v>0</v>
      </c>
      <c r="V4682">
        <f>HLOOKUP("In Use MiB",'vInfo (Imported)'!$1:$5000,M4682,FALSE)</f>
        <v>0</v>
      </c>
    </row>
    <row r="4683" spans="1:22" ht="13" x14ac:dyDescent="0.3">
      <c r="A4683" s="46">
        <f>'vHosts (Imported)'!A4683</f>
        <v>0</v>
      </c>
      <c r="B4683" s="51">
        <f t="shared" si="219"/>
        <v>4968</v>
      </c>
      <c r="C4683" s="49">
        <f>HLOOKUP("# Cores",'vHosts (Imported)'!$1:$5000,M4683,FALSE)</f>
        <v>0</v>
      </c>
      <c r="D4683" s="52">
        <f>HLOOKUP("# Memory",'vHosts (Imported)'!$1:$5000,M4683,FALSE)</f>
        <v>0</v>
      </c>
      <c r="M4683" s="45">
        <f t="shared" si="221"/>
        <v>4683</v>
      </c>
      <c r="N4683" s="38">
        <f>HLOOKUP("Host",'vInfo (Imported)'!$1:$5000,M4683,FALSE)</f>
        <v>0</v>
      </c>
      <c r="R4683">
        <f>HLOOKUP("CPUs",'vInfo (Imported)'!$1:$5000,M4683,FALSE)</f>
        <v>0</v>
      </c>
      <c r="S4683">
        <f>HLOOKUP("Memory",'vInfo (Imported)'!$1:$5000,M4683,FALSE)</f>
        <v>0</v>
      </c>
      <c r="T4683">
        <f>HLOOKUP("Provisioned MiB",'vInfo (Imported)'!$1:$5000,M4683,FALSE)</f>
        <v>0</v>
      </c>
      <c r="U4683">
        <f t="shared" si="220"/>
        <v>0</v>
      </c>
      <c r="V4683">
        <f>HLOOKUP("In Use MiB",'vInfo (Imported)'!$1:$5000,M4683,FALSE)</f>
        <v>0</v>
      </c>
    </row>
    <row r="4684" spans="1:22" ht="13" x14ac:dyDescent="0.3">
      <c r="A4684" s="46">
        <f>'vHosts (Imported)'!A4684</f>
        <v>0</v>
      </c>
      <c r="B4684" s="51">
        <f t="shared" si="219"/>
        <v>4968</v>
      </c>
      <c r="C4684" s="49">
        <f>HLOOKUP("# Cores",'vHosts (Imported)'!$1:$5000,M4684,FALSE)</f>
        <v>0</v>
      </c>
      <c r="D4684" s="52">
        <f>HLOOKUP("# Memory",'vHosts (Imported)'!$1:$5000,M4684,FALSE)</f>
        <v>0</v>
      </c>
      <c r="M4684" s="45">
        <f t="shared" si="221"/>
        <v>4684</v>
      </c>
      <c r="N4684" s="38">
        <f>HLOOKUP("Host",'vInfo (Imported)'!$1:$5000,M4684,FALSE)</f>
        <v>0</v>
      </c>
      <c r="R4684">
        <f>HLOOKUP("CPUs",'vInfo (Imported)'!$1:$5000,M4684,FALSE)</f>
        <v>0</v>
      </c>
      <c r="S4684">
        <f>HLOOKUP("Memory",'vInfo (Imported)'!$1:$5000,M4684,FALSE)</f>
        <v>0</v>
      </c>
      <c r="T4684">
        <f>HLOOKUP("Provisioned MiB",'vInfo (Imported)'!$1:$5000,M4684,FALSE)</f>
        <v>0</v>
      </c>
      <c r="U4684">
        <f t="shared" si="220"/>
        <v>0</v>
      </c>
      <c r="V4684">
        <f>HLOOKUP("In Use MiB",'vInfo (Imported)'!$1:$5000,M4684,FALSE)</f>
        <v>0</v>
      </c>
    </row>
    <row r="4685" spans="1:22" ht="13" x14ac:dyDescent="0.3">
      <c r="A4685" s="46">
        <f>'vHosts (Imported)'!A4685</f>
        <v>0</v>
      </c>
      <c r="B4685" s="51">
        <f t="shared" si="219"/>
        <v>4968</v>
      </c>
      <c r="C4685" s="49">
        <f>HLOOKUP("# Cores",'vHosts (Imported)'!$1:$5000,M4685,FALSE)</f>
        <v>0</v>
      </c>
      <c r="D4685" s="52">
        <f>HLOOKUP("# Memory",'vHosts (Imported)'!$1:$5000,M4685,FALSE)</f>
        <v>0</v>
      </c>
      <c r="M4685" s="45">
        <f t="shared" si="221"/>
        <v>4685</v>
      </c>
      <c r="N4685" s="38">
        <f>HLOOKUP("Host",'vInfo (Imported)'!$1:$5000,M4685,FALSE)</f>
        <v>0</v>
      </c>
      <c r="R4685">
        <f>HLOOKUP("CPUs",'vInfo (Imported)'!$1:$5000,M4685,FALSE)</f>
        <v>0</v>
      </c>
      <c r="S4685">
        <f>HLOOKUP("Memory",'vInfo (Imported)'!$1:$5000,M4685,FALSE)</f>
        <v>0</v>
      </c>
      <c r="T4685">
        <f>HLOOKUP("Provisioned MiB",'vInfo (Imported)'!$1:$5000,M4685,FALSE)</f>
        <v>0</v>
      </c>
      <c r="U4685">
        <f t="shared" si="220"/>
        <v>0</v>
      </c>
      <c r="V4685">
        <f>HLOOKUP("In Use MiB",'vInfo (Imported)'!$1:$5000,M4685,FALSE)</f>
        <v>0</v>
      </c>
    </row>
    <row r="4686" spans="1:22" ht="13" x14ac:dyDescent="0.3">
      <c r="A4686" s="46">
        <f>'vHosts (Imported)'!A4686</f>
        <v>0</v>
      </c>
      <c r="B4686" s="51">
        <f t="shared" si="219"/>
        <v>4968</v>
      </c>
      <c r="C4686" s="49">
        <f>HLOOKUP("# Cores",'vHosts (Imported)'!$1:$5000,M4686,FALSE)</f>
        <v>0</v>
      </c>
      <c r="D4686" s="52">
        <f>HLOOKUP("# Memory",'vHosts (Imported)'!$1:$5000,M4686,FALSE)</f>
        <v>0</v>
      </c>
      <c r="M4686" s="45">
        <f t="shared" si="221"/>
        <v>4686</v>
      </c>
      <c r="N4686" s="38">
        <f>HLOOKUP("Host",'vInfo (Imported)'!$1:$5000,M4686,FALSE)</f>
        <v>0</v>
      </c>
      <c r="R4686">
        <f>HLOOKUP("CPUs",'vInfo (Imported)'!$1:$5000,M4686,FALSE)</f>
        <v>0</v>
      </c>
      <c r="S4686">
        <f>HLOOKUP("Memory",'vInfo (Imported)'!$1:$5000,M4686,FALSE)</f>
        <v>0</v>
      </c>
      <c r="T4686">
        <f>HLOOKUP("Provisioned MiB",'vInfo (Imported)'!$1:$5000,M4686,FALSE)</f>
        <v>0</v>
      </c>
      <c r="U4686">
        <f t="shared" si="220"/>
        <v>0</v>
      </c>
      <c r="V4686">
        <f>HLOOKUP("In Use MiB",'vInfo (Imported)'!$1:$5000,M4686,FALSE)</f>
        <v>0</v>
      </c>
    </row>
    <row r="4687" spans="1:22" ht="13" x14ac:dyDescent="0.3">
      <c r="A4687" s="46">
        <f>'vHosts (Imported)'!A4687</f>
        <v>0</v>
      </c>
      <c r="B4687" s="51">
        <f t="shared" si="219"/>
        <v>4968</v>
      </c>
      <c r="C4687" s="49">
        <f>HLOOKUP("# Cores",'vHosts (Imported)'!$1:$5000,M4687,FALSE)</f>
        <v>0</v>
      </c>
      <c r="D4687" s="52">
        <f>HLOOKUP("# Memory",'vHosts (Imported)'!$1:$5000,M4687,FALSE)</f>
        <v>0</v>
      </c>
      <c r="M4687" s="45">
        <f t="shared" si="221"/>
        <v>4687</v>
      </c>
      <c r="N4687" s="38">
        <f>HLOOKUP("Host",'vInfo (Imported)'!$1:$5000,M4687,FALSE)</f>
        <v>0</v>
      </c>
      <c r="R4687">
        <f>HLOOKUP("CPUs",'vInfo (Imported)'!$1:$5000,M4687,FALSE)</f>
        <v>0</v>
      </c>
      <c r="S4687">
        <f>HLOOKUP("Memory",'vInfo (Imported)'!$1:$5000,M4687,FALSE)</f>
        <v>0</v>
      </c>
      <c r="T4687">
        <f>HLOOKUP("Provisioned MiB",'vInfo (Imported)'!$1:$5000,M4687,FALSE)</f>
        <v>0</v>
      </c>
      <c r="U4687">
        <f t="shared" si="220"/>
        <v>0</v>
      </c>
      <c r="V4687">
        <f>HLOOKUP("In Use MiB",'vInfo (Imported)'!$1:$5000,M4687,FALSE)</f>
        <v>0</v>
      </c>
    </row>
    <row r="4688" spans="1:22" ht="13" x14ac:dyDescent="0.3">
      <c r="A4688" s="46">
        <f>'vHosts (Imported)'!A4688</f>
        <v>0</v>
      </c>
      <c r="B4688" s="51">
        <f t="shared" si="219"/>
        <v>4968</v>
      </c>
      <c r="C4688" s="49">
        <f>HLOOKUP("# Cores",'vHosts (Imported)'!$1:$5000,M4688,FALSE)</f>
        <v>0</v>
      </c>
      <c r="D4688" s="52">
        <f>HLOOKUP("# Memory",'vHosts (Imported)'!$1:$5000,M4688,FALSE)</f>
        <v>0</v>
      </c>
      <c r="M4688" s="45">
        <f t="shared" si="221"/>
        <v>4688</v>
      </c>
      <c r="N4688" s="38">
        <f>HLOOKUP("Host",'vInfo (Imported)'!$1:$5000,M4688,FALSE)</f>
        <v>0</v>
      </c>
      <c r="R4688">
        <f>HLOOKUP("CPUs",'vInfo (Imported)'!$1:$5000,M4688,FALSE)</f>
        <v>0</v>
      </c>
      <c r="S4688">
        <f>HLOOKUP("Memory",'vInfo (Imported)'!$1:$5000,M4688,FALSE)</f>
        <v>0</v>
      </c>
      <c r="T4688">
        <f>HLOOKUP("Provisioned MiB",'vInfo (Imported)'!$1:$5000,M4688,FALSE)</f>
        <v>0</v>
      </c>
      <c r="U4688">
        <f t="shared" si="220"/>
        <v>0</v>
      </c>
      <c r="V4688">
        <f>HLOOKUP("In Use MiB",'vInfo (Imported)'!$1:$5000,M4688,FALSE)</f>
        <v>0</v>
      </c>
    </row>
    <row r="4689" spans="1:22" ht="13" x14ac:dyDescent="0.3">
      <c r="A4689" s="46">
        <f>'vHosts (Imported)'!A4689</f>
        <v>0</v>
      </c>
      <c r="B4689" s="51">
        <f t="shared" si="219"/>
        <v>4968</v>
      </c>
      <c r="C4689" s="49">
        <f>HLOOKUP("# Cores",'vHosts (Imported)'!$1:$5000,M4689,FALSE)</f>
        <v>0</v>
      </c>
      <c r="D4689" s="52">
        <f>HLOOKUP("# Memory",'vHosts (Imported)'!$1:$5000,M4689,FALSE)</f>
        <v>0</v>
      </c>
      <c r="M4689" s="45">
        <f t="shared" si="221"/>
        <v>4689</v>
      </c>
      <c r="N4689" s="38">
        <f>HLOOKUP("Host",'vInfo (Imported)'!$1:$5000,M4689,FALSE)</f>
        <v>0</v>
      </c>
      <c r="R4689">
        <f>HLOOKUP("CPUs",'vInfo (Imported)'!$1:$5000,M4689,FALSE)</f>
        <v>0</v>
      </c>
      <c r="S4689">
        <f>HLOOKUP("Memory",'vInfo (Imported)'!$1:$5000,M4689,FALSE)</f>
        <v>0</v>
      </c>
      <c r="T4689">
        <f>HLOOKUP("Provisioned MiB",'vInfo (Imported)'!$1:$5000,M4689,FALSE)</f>
        <v>0</v>
      </c>
      <c r="U4689">
        <f t="shared" si="220"/>
        <v>0</v>
      </c>
      <c r="V4689">
        <f>HLOOKUP("In Use MiB",'vInfo (Imported)'!$1:$5000,M4689,FALSE)</f>
        <v>0</v>
      </c>
    </row>
    <row r="4690" spans="1:22" ht="13" x14ac:dyDescent="0.3">
      <c r="A4690" s="46">
        <f>'vHosts (Imported)'!A4690</f>
        <v>0</v>
      </c>
      <c r="B4690" s="51">
        <f t="shared" si="219"/>
        <v>4968</v>
      </c>
      <c r="C4690" s="49">
        <f>HLOOKUP("# Cores",'vHosts (Imported)'!$1:$5000,M4690,FALSE)</f>
        <v>0</v>
      </c>
      <c r="D4690" s="52">
        <f>HLOOKUP("# Memory",'vHosts (Imported)'!$1:$5000,M4690,FALSE)</f>
        <v>0</v>
      </c>
      <c r="M4690" s="45">
        <f t="shared" si="221"/>
        <v>4690</v>
      </c>
      <c r="N4690" s="38">
        <f>HLOOKUP("Host",'vInfo (Imported)'!$1:$5000,M4690,FALSE)</f>
        <v>0</v>
      </c>
      <c r="R4690">
        <f>HLOOKUP("CPUs",'vInfo (Imported)'!$1:$5000,M4690,FALSE)</f>
        <v>0</v>
      </c>
      <c r="S4690">
        <f>HLOOKUP("Memory",'vInfo (Imported)'!$1:$5000,M4690,FALSE)</f>
        <v>0</v>
      </c>
      <c r="T4690">
        <f>HLOOKUP("Provisioned MiB",'vInfo (Imported)'!$1:$5000,M4690,FALSE)</f>
        <v>0</v>
      </c>
      <c r="U4690">
        <f t="shared" si="220"/>
        <v>0</v>
      </c>
      <c r="V4690">
        <f>HLOOKUP("In Use MiB",'vInfo (Imported)'!$1:$5000,M4690,FALSE)</f>
        <v>0</v>
      </c>
    </row>
    <row r="4691" spans="1:22" ht="13" x14ac:dyDescent="0.3">
      <c r="A4691" s="46">
        <f>'vHosts (Imported)'!A4691</f>
        <v>0</v>
      </c>
      <c r="B4691" s="51">
        <f t="shared" si="219"/>
        <v>4968</v>
      </c>
      <c r="C4691" s="49">
        <f>HLOOKUP("# Cores",'vHosts (Imported)'!$1:$5000,M4691,FALSE)</f>
        <v>0</v>
      </c>
      <c r="D4691" s="52">
        <f>HLOOKUP("# Memory",'vHosts (Imported)'!$1:$5000,M4691,FALSE)</f>
        <v>0</v>
      </c>
      <c r="M4691" s="45">
        <f t="shared" si="221"/>
        <v>4691</v>
      </c>
      <c r="N4691" s="38">
        <f>HLOOKUP("Host",'vInfo (Imported)'!$1:$5000,M4691,FALSE)</f>
        <v>0</v>
      </c>
      <c r="R4691">
        <f>HLOOKUP("CPUs",'vInfo (Imported)'!$1:$5000,M4691,FALSE)</f>
        <v>0</v>
      </c>
      <c r="S4691">
        <f>HLOOKUP("Memory",'vInfo (Imported)'!$1:$5000,M4691,FALSE)</f>
        <v>0</v>
      </c>
      <c r="T4691">
        <f>HLOOKUP("Provisioned MiB",'vInfo (Imported)'!$1:$5000,M4691,FALSE)</f>
        <v>0</v>
      </c>
      <c r="U4691">
        <f t="shared" si="220"/>
        <v>0</v>
      </c>
      <c r="V4691">
        <f>HLOOKUP("In Use MiB",'vInfo (Imported)'!$1:$5000,M4691,FALSE)</f>
        <v>0</v>
      </c>
    </row>
    <row r="4692" spans="1:22" ht="13" x14ac:dyDescent="0.3">
      <c r="A4692" s="46">
        <f>'vHosts (Imported)'!A4692</f>
        <v>0</v>
      </c>
      <c r="B4692" s="51">
        <f t="shared" si="219"/>
        <v>4968</v>
      </c>
      <c r="C4692" s="49">
        <f>HLOOKUP("# Cores",'vHosts (Imported)'!$1:$5000,M4692,FALSE)</f>
        <v>0</v>
      </c>
      <c r="D4692" s="52">
        <f>HLOOKUP("# Memory",'vHosts (Imported)'!$1:$5000,M4692,FALSE)</f>
        <v>0</v>
      </c>
      <c r="M4692" s="45">
        <f t="shared" si="221"/>
        <v>4692</v>
      </c>
      <c r="N4692" s="38">
        <f>HLOOKUP("Host",'vInfo (Imported)'!$1:$5000,M4692,FALSE)</f>
        <v>0</v>
      </c>
      <c r="R4692">
        <f>HLOOKUP("CPUs",'vInfo (Imported)'!$1:$5000,M4692,FALSE)</f>
        <v>0</v>
      </c>
      <c r="S4692">
        <f>HLOOKUP("Memory",'vInfo (Imported)'!$1:$5000,M4692,FALSE)</f>
        <v>0</v>
      </c>
      <c r="T4692">
        <f>HLOOKUP("Provisioned MiB",'vInfo (Imported)'!$1:$5000,M4692,FALSE)</f>
        <v>0</v>
      </c>
      <c r="U4692">
        <f t="shared" si="220"/>
        <v>0</v>
      </c>
      <c r="V4692">
        <f>HLOOKUP("In Use MiB",'vInfo (Imported)'!$1:$5000,M4692,FALSE)</f>
        <v>0</v>
      </c>
    </row>
    <row r="4693" spans="1:22" ht="13" x14ac:dyDescent="0.3">
      <c r="A4693" s="46">
        <f>'vHosts (Imported)'!A4693</f>
        <v>0</v>
      </c>
      <c r="B4693" s="51">
        <f t="shared" si="219"/>
        <v>4968</v>
      </c>
      <c r="C4693" s="49">
        <f>HLOOKUP("# Cores",'vHosts (Imported)'!$1:$5000,M4693,FALSE)</f>
        <v>0</v>
      </c>
      <c r="D4693" s="52">
        <f>HLOOKUP("# Memory",'vHosts (Imported)'!$1:$5000,M4693,FALSE)</f>
        <v>0</v>
      </c>
      <c r="M4693" s="45">
        <f t="shared" si="221"/>
        <v>4693</v>
      </c>
      <c r="N4693" s="38">
        <f>HLOOKUP("Host",'vInfo (Imported)'!$1:$5000,M4693,FALSE)</f>
        <v>0</v>
      </c>
      <c r="R4693">
        <f>HLOOKUP("CPUs",'vInfo (Imported)'!$1:$5000,M4693,FALSE)</f>
        <v>0</v>
      </c>
      <c r="S4693">
        <f>HLOOKUP("Memory",'vInfo (Imported)'!$1:$5000,M4693,FALSE)</f>
        <v>0</v>
      </c>
      <c r="T4693">
        <f>HLOOKUP("Provisioned MiB",'vInfo (Imported)'!$1:$5000,M4693,FALSE)</f>
        <v>0</v>
      </c>
      <c r="U4693">
        <f t="shared" si="220"/>
        <v>0</v>
      </c>
      <c r="V4693">
        <f>HLOOKUP("In Use MiB",'vInfo (Imported)'!$1:$5000,M4693,FALSE)</f>
        <v>0</v>
      </c>
    </row>
    <row r="4694" spans="1:22" ht="13" x14ac:dyDescent="0.3">
      <c r="A4694" s="46">
        <f>'vHosts (Imported)'!A4694</f>
        <v>0</v>
      </c>
      <c r="B4694" s="51">
        <f t="shared" si="219"/>
        <v>4968</v>
      </c>
      <c r="C4694" s="49">
        <f>HLOOKUP("# Cores",'vHosts (Imported)'!$1:$5000,M4694,FALSE)</f>
        <v>0</v>
      </c>
      <c r="D4694" s="52">
        <f>HLOOKUP("# Memory",'vHosts (Imported)'!$1:$5000,M4694,FALSE)</f>
        <v>0</v>
      </c>
      <c r="M4694" s="45">
        <f t="shared" si="221"/>
        <v>4694</v>
      </c>
      <c r="N4694" s="38">
        <f>HLOOKUP("Host",'vInfo (Imported)'!$1:$5000,M4694,FALSE)</f>
        <v>0</v>
      </c>
      <c r="R4694">
        <f>HLOOKUP("CPUs",'vInfo (Imported)'!$1:$5000,M4694,FALSE)</f>
        <v>0</v>
      </c>
      <c r="S4694">
        <f>HLOOKUP("Memory",'vInfo (Imported)'!$1:$5000,M4694,FALSE)</f>
        <v>0</v>
      </c>
      <c r="T4694">
        <f>HLOOKUP("Provisioned MiB",'vInfo (Imported)'!$1:$5000,M4694,FALSE)</f>
        <v>0</v>
      </c>
      <c r="U4694">
        <f t="shared" si="220"/>
        <v>0</v>
      </c>
      <c r="V4694">
        <f>HLOOKUP("In Use MiB",'vInfo (Imported)'!$1:$5000,M4694,FALSE)</f>
        <v>0</v>
      </c>
    </row>
    <row r="4695" spans="1:22" ht="13" x14ac:dyDescent="0.3">
      <c r="A4695" s="46">
        <f>'vHosts (Imported)'!A4695</f>
        <v>0</v>
      </c>
      <c r="B4695" s="51">
        <f t="shared" si="219"/>
        <v>4968</v>
      </c>
      <c r="C4695" s="49">
        <f>HLOOKUP("# Cores",'vHosts (Imported)'!$1:$5000,M4695,FALSE)</f>
        <v>0</v>
      </c>
      <c r="D4695" s="52">
        <f>HLOOKUP("# Memory",'vHosts (Imported)'!$1:$5000,M4695,FALSE)</f>
        <v>0</v>
      </c>
      <c r="M4695" s="45">
        <f t="shared" si="221"/>
        <v>4695</v>
      </c>
      <c r="N4695" s="38">
        <f>HLOOKUP("Host",'vInfo (Imported)'!$1:$5000,M4695,FALSE)</f>
        <v>0</v>
      </c>
      <c r="R4695">
        <f>HLOOKUP("CPUs",'vInfo (Imported)'!$1:$5000,M4695,FALSE)</f>
        <v>0</v>
      </c>
      <c r="S4695">
        <f>HLOOKUP("Memory",'vInfo (Imported)'!$1:$5000,M4695,FALSE)</f>
        <v>0</v>
      </c>
      <c r="T4695">
        <f>HLOOKUP("Provisioned MiB",'vInfo (Imported)'!$1:$5000,M4695,FALSE)</f>
        <v>0</v>
      </c>
      <c r="U4695">
        <f t="shared" si="220"/>
        <v>0</v>
      </c>
      <c r="V4695">
        <f>HLOOKUP("In Use MiB",'vInfo (Imported)'!$1:$5000,M4695,FALSE)</f>
        <v>0</v>
      </c>
    </row>
    <row r="4696" spans="1:22" ht="13" x14ac:dyDescent="0.3">
      <c r="A4696" s="46">
        <f>'vHosts (Imported)'!A4696</f>
        <v>0</v>
      </c>
      <c r="B4696" s="51">
        <f t="shared" si="219"/>
        <v>4968</v>
      </c>
      <c r="C4696" s="49">
        <f>HLOOKUP("# Cores",'vHosts (Imported)'!$1:$5000,M4696,FALSE)</f>
        <v>0</v>
      </c>
      <c r="D4696" s="52">
        <f>HLOOKUP("# Memory",'vHosts (Imported)'!$1:$5000,M4696,FALSE)</f>
        <v>0</v>
      </c>
      <c r="M4696" s="45">
        <f t="shared" si="221"/>
        <v>4696</v>
      </c>
      <c r="N4696" s="38">
        <f>HLOOKUP("Host",'vInfo (Imported)'!$1:$5000,M4696,FALSE)</f>
        <v>0</v>
      </c>
      <c r="R4696">
        <f>HLOOKUP("CPUs",'vInfo (Imported)'!$1:$5000,M4696,FALSE)</f>
        <v>0</v>
      </c>
      <c r="S4696">
        <f>HLOOKUP("Memory",'vInfo (Imported)'!$1:$5000,M4696,FALSE)</f>
        <v>0</v>
      </c>
      <c r="T4696">
        <f>HLOOKUP("Provisioned MiB",'vInfo (Imported)'!$1:$5000,M4696,FALSE)</f>
        <v>0</v>
      </c>
      <c r="U4696">
        <f t="shared" si="220"/>
        <v>0</v>
      </c>
      <c r="V4696">
        <f>HLOOKUP("In Use MiB",'vInfo (Imported)'!$1:$5000,M4696,FALSE)</f>
        <v>0</v>
      </c>
    </row>
    <row r="4697" spans="1:22" ht="13" x14ac:dyDescent="0.3">
      <c r="A4697" s="46">
        <f>'vHosts (Imported)'!A4697</f>
        <v>0</v>
      </c>
      <c r="B4697" s="51">
        <f t="shared" si="219"/>
        <v>4968</v>
      </c>
      <c r="C4697" s="49">
        <f>HLOOKUP("# Cores",'vHosts (Imported)'!$1:$5000,M4697,FALSE)</f>
        <v>0</v>
      </c>
      <c r="D4697" s="52">
        <f>HLOOKUP("# Memory",'vHosts (Imported)'!$1:$5000,M4697,FALSE)</f>
        <v>0</v>
      </c>
      <c r="M4697" s="45">
        <f t="shared" si="221"/>
        <v>4697</v>
      </c>
      <c r="N4697" s="38">
        <f>HLOOKUP("Host",'vInfo (Imported)'!$1:$5000,M4697,FALSE)</f>
        <v>0</v>
      </c>
      <c r="R4697">
        <f>HLOOKUP("CPUs",'vInfo (Imported)'!$1:$5000,M4697,FALSE)</f>
        <v>0</v>
      </c>
      <c r="S4697">
        <f>HLOOKUP("Memory",'vInfo (Imported)'!$1:$5000,M4697,FALSE)</f>
        <v>0</v>
      </c>
      <c r="T4697">
        <f>HLOOKUP("Provisioned MiB",'vInfo (Imported)'!$1:$5000,M4697,FALSE)</f>
        <v>0</v>
      </c>
      <c r="U4697">
        <f t="shared" si="220"/>
        <v>0</v>
      </c>
      <c r="V4697">
        <f>HLOOKUP("In Use MiB",'vInfo (Imported)'!$1:$5000,M4697,FALSE)</f>
        <v>0</v>
      </c>
    </row>
    <row r="4698" spans="1:22" ht="13" x14ac:dyDescent="0.3">
      <c r="A4698" s="46">
        <f>'vHosts (Imported)'!A4698</f>
        <v>0</v>
      </c>
      <c r="B4698" s="51">
        <f t="shared" si="219"/>
        <v>4968</v>
      </c>
      <c r="C4698" s="49">
        <f>HLOOKUP("# Cores",'vHosts (Imported)'!$1:$5000,M4698,FALSE)</f>
        <v>0</v>
      </c>
      <c r="D4698" s="52">
        <f>HLOOKUP("# Memory",'vHosts (Imported)'!$1:$5000,M4698,FALSE)</f>
        <v>0</v>
      </c>
      <c r="M4698" s="45">
        <f t="shared" si="221"/>
        <v>4698</v>
      </c>
      <c r="N4698" s="38">
        <f>HLOOKUP("Host",'vInfo (Imported)'!$1:$5000,M4698,FALSE)</f>
        <v>0</v>
      </c>
      <c r="R4698">
        <f>HLOOKUP("CPUs",'vInfo (Imported)'!$1:$5000,M4698,FALSE)</f>
        <v>0</v>
      </c>
      <c r="S4698">
        <f>HLOOKUP("Memory",'vInfo (Imported)'!$1:$5000,M4698,FALSE)</f>
        <v>0</v>
      </c>
      <c r="T4698">
        <f>HLOOKUP("Provisioned MiB",'vInfo (Imported)'!$1:$5000,M4698,FALSE)</f>
        <v>0</v>
      </c>
      <c r="U4698">
        <f t="shared" si="220"/>
        <v>0</v>
      </c>
      <c r="V4698">
        <f>HLOOKUP("In Use MiB",'vInfo (Imported)'!$1:$5000,M4698,FALSE)</f>
        <v>0</v>
      </c>
    </row>
    <row r="4699" spans="1:22" ht="13" x14ac:dyDescent="0.3">
      <c r="A4699" s="46">
        <f>'vHosts (Imported)'!A4699</f>
        <v>0</v>
      </c>
      <c r="B4699" s="51">
        <f t="shared" si="219"/>
        <v>4968</v>
      </c>
      <c r="C4699" s="49">
        <f>HLOOKUP("# Cores",'vHosts (Imported)'!$1:$5000,M4699,FALSE)</f>
        <v>0</v>
      </c>
      <c r="D4699" s="52">
        <f>HLOOKUP("# Memory",'vHosts (Imported)'!$1:$5000,M4699,FALSE)</f>
        <v>0</v>
      </c>
      <c r="M4699" s="45">
        <f t="shared" si="221"/>
        <v>4699</v>
      </c>
      <c r="N4699" s="38">
        <f>HLOOKUP("Host",'vInfo (Imported)'!$1:$5000,M4699,FALSE)</f>
        <v>0</v>
      </c>
      <c r="R4699">
        <f>HLOOKUP("CPUs",'vInfo (Imported)'!$1:$5000,M4699,FALSE)</f>
        <v>0</v>
      </c>
      <c r="S4699">
        <f>HLOOKUP("Memory",'vInfo (Imported)'!$1:$5000,M4699,FALSE)</f>
        <v>0</v>
      </c>
      <c r="T4699">
        <f>HLOOKUP("Provisioned MiB",'vInfo (Imported)'!$1:$5000,M4699,FALSE)</f>
        <v>0</v>
      </c>
      <c r="U4699">
        <f t="shared" si="220"/>
        <v>0</v>
      </c>
      <c r="V4699">
        <f>HLOOKUP("In Use MiB",'vInfo (Imported)'!$1:$5000,M4699,FALSE)</f>
        <v>0</v>
      </c>
    </row>
    <row r="4700" spans="1:22" ht="13" x14ac:dyDescent="0.3">
      <c r="A4700" s="46">
        <f>'vHosts (Imported)'!A4700</f>
        <v>0</v>
      </c>
      <c r="B4700" s="51">
        <f t="shared" si="219"/>
        <v>4968</v>
      </c>
      <c r="C4700" s="49">
        <f>HLOOKUP("# Cores",'vHosts (Imported)'!$1:$5000,M4700,FALSE)</f>
        <v>0</v>
      </c>
      <c r="D4700" s="52">
        <f>HLOOKUP("# Memory",'vHosts (Imported)'!$1:$5000,M4700,FALSE)</f>
        <v>0</v>
      </c>
      <c r="M4700" s="45">
        <f t="shared" si="221"/>
        <v>4700</v>
      </c>
      <c r="N4700" s="38">
        <f>HLOOKUP("Host",'vInfo (Imported)'!$1:$5000,M4700,FALSE)</f>
        <v>0</v>
      </c>
      <c r="R4700">
        <f>HLOOKUP("CPUs",'vInfo (Imported)'!$1:$5000,M4700,FALSE)</f>
        <v>0</v>
      </c>
      <c r="S4700">
        <f>HLOOKUP("Memory",'vInfo (Imported)'!$1:$5000,M4700,FALSE)</f>
        <v>0</v>
      </c>
      <c r="T4700">
        <f>HLOOKUP("Provisioned MiB",'vInfo (Imported)'!$1:$5000,M4700,FALSE)</f>
        <v>0</v>
      </c>
      <c r="U4700">
        <f t="shared" si="220"/>
        <v>0</v>
      </c>
      <c r="V4700">
        <f>HLOOKUP("In Use MiB",'vInfo (Imported)'!$1:$5000,M4700,FALSE)</f>
        <v>0</v>
      </c>
    </row>
    <row r="4701" spans="1:22" ht="13" x14ac:dyDescent="0.3">
      <c r="A4701" s="46">
        <f>'vHosts (Imported)'!A4701</f>
        <v>0</v>
      </c>
      <c r="B4701" s="51">
        <f t="shared" si="219"/>
        <v>4968</v>
      </c>
      <c r="C4701" s="49">
        <f>HLOOKUP("# Cores",'vHosts (Imported)'!$1:$5000,M4701,FALSE)</f>
        <v>0</v>
      </c>
      <c r="D4701" s="52">
        <f>HLOOKUP("# Memory",'vHosts (Imported)'!$1:$5000,M4701,FALSE)</f>
        <v>0</v>
      </c>
      <c r="M4701" s="45">
        <f t="shared" si="221"/>
        <v>4701</v>
      </c>
      <c r="N4701" s="38">
        <f>HLOOKUP("Host",'vInfo (Imported)'!$1:$5000,M4701,FALSE)</f>
        <v>0</v>
      </c>
      <c r="R4701">
        <f>HLOOKUP("CPUs",'vInfo (Imported)'!$1:$5000,M4701,FALSE)</f>
        <v>0</v>
      </c>
      <c r="S4701">
        <f>HLOOKUP("Memory",'vInfo (Imported)'!$1:$5000,M4701,FALSE)</f>
        <v>0</v>
      </c>
      <c r="T4701">
        <f>HLOOKUP("Provisioned MiB",'vInfo (Imported)'!$1:$5000,M4701,FALSE)</f>
        <v>0</v>
      </c>
      <c r="U4701">
        <f t="shared" si="220"/>
        <v>0</v>
      </c>
      <c r="V4701">
        <f>HLOOKUP("In Use MiB",'vInfo (Imported)'!$1:$5000,M4701,FALSE)</f>
        <v>0</v>
      </c>
    </row>
    <row r="4702" spans="1:22" ht="13" x14ac:dyDescent="0.3">
      <c r="A4702" s="46">
        <f>'vHosts (Imported)'!A4702</f>
        <v>0</v>
      </c>
      <c r="B4702" s="51">
        <f t="shared" si="219"/>
        <v>4968</v>
      </c>
      <c r="C4702" s="49">
        <f>HLOOKUP("# Cores",'vHosts (Imported)'!$1:$5000,M4702,FALSE)</f>
        <v>0</v>
      </c>
      <c r="D4702" s="52">
        <f>HLOOKUP("# Memory",'vHosts (Imported)'!$1:$5000,M4702,FALSE)</f>
        <v>0</v>
      </c>
      <c r="M4702" s="45">
        <f t="shared" si="221"/>
        <v>4702</v>
      </c>
      <c r="N4702" s="38">
        <f>HLOOKUP("Host",'vInfo (Imported)'!$1:$5000,M4702,FALSE)</f>
        <v>0</v>
      </c>
      <c r="R4702">
        <f>HLOOKUP("CPUs",'vInfo (Imported)'!$1:$5000,M4702,FALSE)</f>
        <v>0</v>
      </c>
      <c r="S4702">
        <f>HLOOKUP("Memory",'vInfo (Imported)'!$1:$5000,M4702,FALSE)</f>
        <v>0</v>
      </c>
      <c r="T4702">
        <f>HLOOKUP("Provisioned MiB",'vInfo (Imported)'!$1:$5000,M4702,FALSE)</f>
        <v>0</v>
      </c>
      <c r="U4702">
        <f t="shared" si="220"/>
        <v>0</v>
      </c>
      <c r="V4702">
        <f>HLOOKUP("In Use MiB",'vInfo (Imported)'!$1:$5000,M4702,FALSE)</f>
        <v>0</v>
      </c>
    </row>
    <row r="4703" spans="1:22" ht="13" x14ac:dyDescent="0.3">
      <c r="A4703" s="46">
        <f>'vHosts (Imported)'!A4703</f>
        <v>0</v>
      </c>
      <c r="B4703" s="51">
        <f t="shared" si="219"/>
        <v>4968</v>
      </c>
      <c r="C4703" s="49">
        <f>HLOOKUP("# Cores",'vHosts (Imported)'!$1:$5000,M4703,FALSE)</f>
        <v>0</v>
      </c>
      <c r="D4703" s="52">
        <f>HLOOKUP("# Memory",'vHosts (Imported)'!$1:$5000,M4703,FALSE)</f>
        <v>0</v>
      </c>
      <c r="M4703" s="45">
        <f t="shared" si="221"/>
        <v>4703</v>
      </c>
      <c r="N4703" s="38">
        <f>HLOOKUP("Host",'vInfo (Imported)'!$1:$5000,M4703,FALSE)</f>
        <v>0</v>
      </c>
      <c r="R4703">
        <f>HLOOKUP("CPUs",'vInfo (Imported)'!$1:$5000,M4703,FALSE)</f>
        <v>0</v>
      </c>
      <c r="S4703">
        <f>HLOOKUP("Memory",'vInfo (Imported)'!$1:$5000,M4703,FALSE)</f>
        <v>0</v>
      </c>
      <c r="T4703">
        <f>HLOOKUP("Provisioned MiB",'vInfo (Imported)'!$1:$5000,M4703,FALSE)</f>
        <v>0</v>
      </c>
      <c r="U4703">
        <f t="shared" si="220"/>
        <v>0</v>
      </c>
      <c r="V4703">
        <f>HLOOKUP("In Use MiB",'vInfo (Imported)'!$1:$5000,M4703,FALSE)</f>
        <v>0</v>
      </c>
    </row>
    <row r="4704" spans="1:22" ht="13" x14ac:dyDescent="0.3">
      <c r="A4704" s="46">
        <f>'vHosts (Imported)'!A4704</f>
        <v>0</v>
      </c>
      <c r="B4704" s="51">
        <f t="shared" si="219"/>
        <v>4968</v>
      </c>
      <c r="C4704" s="49">
        <f>HLOOKUP("# Cores",'vHosts (Imported)'!$1:$5000,M4704,FALSE)</f>
        <v>0</v>
      </c>
      <c r="D4704" s="52">
        <f>HLOOKUP("# Memory",'vHosts (Imported)'!$1:$5000,M4704,FALSE)</f>
        <v>0</v>
      </c>
      <c r="M4704" s="45">
        <f t="shared" si="221"/>
        <v>4704</v>
      </c>
      <c r="N4704" s="38">
        <f>HLOOKUP("Host",'vInfo (Imported)'!$1:$5000,M4704,FALSE)</f>
        <v>0</v>
      </c>
      <c r="R4704">
        <f>HLOOKUP("CPUs",'vInfo (Imported)'!$1:$5000,M4704,FALSE)</f>
        <v>0</v>
      </c>
      <c r="S4704">
        <f>HLOOKUP("Memory",'vInfo (Imported)'!$1:$5000,M4704,FALSE)</f>
        <v>0</v>
      </c>
      <c r="T4704">
        <f>HLOOKUP("Provisioned MiB",'vInfo (Imported)'!$1:$5000,M4704,FALSE)</f>
        <v>0</v>
      </c>
      <c r="U4704">
        <f t="shared" si="220"/>
        <v>0</v>
      </c>
      <c r="V4704">
        <f>HLOOKUP("In Use MiB",'vInfo (Imported)'!$1:$5000,M4704,FALSE)</f>
        <v>0</v>
      </c>
    </row>
    <row r="4705" spans="1:22" ht="13" x14ac:dyDescent="0.3">
      <c r="A4705" s="46">
        <f>'vHosts (Imported)'!A4705</f>
        <v>0</v>
      </c>
      <c r="B4705" s="51">
        <f t="shared" si="219"/>
        <v>4968</v>
      </c>
      <c r="C4705" s="49">
        <f>HLOOKUP("# Cores",'vHosts (Imported)'!$1:$5000,M4705,FALSE)</f>
        <v>0</v>
      </c>
      <c r="D4705" s="52">
        <f>HLOOKUP("# Memory",'vHosts (Imported)'!$1:$5000,M4705,FALSE)</f>
        <v>0</v>
      </c>
      <c r="M4705" s="45">
        <f t="shared" si="221"/>
        <v>4705</v>
      </c>
      <c r="N4705" s="38">
        <f>HLOOKUP("Host",'vInfo (Imported)'!$1:$5000,M4705,FALSE)</f>
        <v>0</v>
      </c>
      <c r="R4705">
        <f>HLOOKUP("CPUs",'vInfo (Imported)'!$1:$5000,M4705,FALSE)</f>
        <v>0</v>
      </c>
      <c r="S4705">
        <f>HLOOKUP("Memory",'vInfo (Imported)'!$1:$5000,M4705,FALSE)</f>
        <v>0</v>
      </c>
      <c r="T4705">
        <f>HLOOKUP("Provisioned MiB",'vInfo (Imported)'!$1:$5000,M4705,FALSE)</f>
        <v>0</v>
      </c>
      <c r="U4705">
        <f t="shared" si="220"/>
        <v>0</v>
      </c>
      <c r="V4705">
        <f>HLOOKUP("In Use MiB",'vInfo (Imported)'!$1:$5000,M4705,FALSE)</f>
        <v>0</v>
      </c>
    </row>
    <row r="4706" spans="1:22" ht="13" x14ac:dyDescent="0.3">
      <c r="A4706" s="46">
        <f>'vHosts (Imported)'!A4706</f>
        <v>0</v>
      </c>
      <c r="B4706" s="51">
        <f t="shared" si="219"/>
        <v>4968</v>
      </c>
      <c r="C4706" s="49">
        <f>HLOOKUP("# Cores",'vHosts (Imported)'!$1:$5000,M4706,FALSE)</f>
        <v>0</v>
      </c>
      <c r="D4706" s="52">
        <f>HLOOKUP("# Memory",'vHosts (Imported)'!$1:$5000,M4706,FALSE)</f>
        <v>0</v>
      </c>
      <c r="M4706" s="45">
        <f t="shared" si="221"/>
        <v>4706</v>
      </c>
      <c r="N4706" s="38">
        <f>HLOOKUP("Host",'vInfo (Imported)'!$1:$5000,M4706,FALSE)</f>
        <v>0</v>
      </c>
      <c r="R4706">
        <f>HLOOKUP("CPUs",'vInfo (Imported)'!$1:$5000,M4706,FALSE)</f>
        <v>0</v>
      </c>
      <c r="S4706">
        <f>HLOOKUP("Memory",'vInfo (Imported)'!$1:$5000,M4706,FALSE)</f>
        <v>0</v>
      </c>
      <c r="T4706">
        <f>HLOOKUP("Provisioned MiB",'vInfo (Imported)'!$1:$5000,M4706,FALSE)</f>
        <v>0</v>
      </c>
      <c r="U4706">
        <f t="shared" si="220"/>
        <v>0</v>
      </c>
      <c r="V4706">
        <f>HLOOKUP("In Use MiB",'vInfo (Imported)'!$1:$5000,M4706,FALSE)</f>
        <v>0</v>
      </c>
    </row>
    <row r="4707" spans="1:22" ht="13" x14ac:dyDescent="0.3">
      <c r="A4707" s="46">
        <f>'vHosts (Imported)'!A4707</f>
        <v>0</v>
      </c>
      <c r="B4707" s="51">
        <f t="shared" si="219"/>
        <v>4968</v>
      </c>
      <c r="C4707" s="49">
        <f>HLOOKUP("# Cores",'vHosts (Imported)'!$1:$5000,M4707,FALSE)</f>
        <v>0</v>
      </c>
      <c r="D4707" s="52">
        <f>HLOOKUP("# Memory",'vHosts (Imported)'!$1:$5000,M4707,FALSE)</f>
        <v>0</v>
      </c>
      <c r="M4707" s="45">
        <f t="shared" si="221"/>
        <v>4707</v>
      </c>
      <c r="N4707" s="38">
        <f>HLOOKUP("Host",'vInfo (Imported)'!$1:$5000,M4707,FALSE)</f>
        <v>0</v>
      </c>
      <c r="R4707">
        <f>HLOOKUP("CPUs",'vInfo (Imported)'!$1:$5000,M4707,FALSE)</f>
        <v>0</v>
      </c>
      <c r="S4707">
        <f>HLOOKUP("Memory",'vInfo (Imported)'!$1:$5000,M4707,FALSE)</f>
        <v>0</v>
      </c>
      <c r="T4707">
        <f>HLOOKUP("Provisioned MiB",'vInfo (Imported)'!$1:$5000,M4707,FALSE)</f>
        <v>0</v>
      </c>
      <c r="U4707">
        <f t="shared" si="220"/>
        <v>0</v>
      </c>
      <c r="V4707">
        <f>HLOOKUP("In Use MiB",'vInfo (Imported)'!$1:$5000,M4707,FALSE)</f>
        <v>0</v>
      </c>
    </row>
    <row r="4708" spans="1:22" ht="13" x14ac:dyDescent="0.3">
      <c r="A4708" s="46">
        <f>'vHosts (Imported)'!A4708</f>
        <v>0</v>
      </c>
      <c r="B4708" s="51">
        <f t="shared" si="219"/>
        <v>4968</v>
      </c>
      <c r="C4708" s="49">
        <f>HLOOKUP("# Cores",'vHosts (Imported)'!$1:$5000,M4708,FALSE)</f>
        <v>0</v>
      </c>
      <c r="D4708" s="52">
        <f>HLOOKUP("# Memory",'vHosts (Imported)'!$1:$5000,M4708,FALSE)</f>
        <v>0</v>
      </c>
      <c r="M4708" s="45">
        <f t="shared" si="221"/>
        <v>4708</v>
      </c>
      <c r="N4708" s="38">
        <f>HLOOKUP("Host",'vInfo (Imported)'!$1:$5000,M4708,FALSE)</f>
        <v>0</v>
      </c>
      <c r="R4708">
        <f>HLOOKUP("CPUs",'vInfo (Imported)'!$1:$5000,M4708,FALSE)</f>
        <v>0</v>
      </c>
      <c r="S4708">
        <f>HLOOKUP("Memory",'vInfo (Imported)'!$1:$5000,M4708,FALSE)</f>
        <v>0</v>
      </c>
      <c r="T4708">
        <f>HLOOKUP("Provisioned MiB",'vInfo (Imported)'!$1:$5000,M4708,FALSE)</f>
        <v>0</v>
      </c>
      <c r="U4708">
        <f t="shared" si="220"/>
        <v>0</v>
      </c>
      <c r="V4708">
        <f>HLOOKUP("In Use MiB",'vInfo (Imported)'!$1:$5000,M4708,FALSE)</f>
        <v>0</v>
      </c>
    </row>
    <row r="4709" spans="1:22" ht="13" x14ac:dyDescent="0.3">
      <c r="A4709" s="46">
        <f>'vHosts (Imported)'!A4709</f>
        <v>0</v>
      </c>
      <c r="B4709" s="51">
        <f t="shared" si="219"/>
        <v>4968</v>
      </c>
      <c r="C4709" s="49">
        <f>HLOOKUP("# Cores",'vHosts (Imported)'!$1:$5000,M4709,FALSE)</f>
        <v>0</v>
      </c>
      <c r="D4709" s="52">
        <f>HLOOKUP("# Memory",'vHosts (Imported)'!$1:$5000,M4709,FALSE)</f>
        <v>0</v>
      </c>
      <c r="M4709" s="45">
        <f t="shared" si="221"/>
        <v>4709</v>
      </c>
      <c r="N4709" s="38">
        <f>HLOOKUP("Host",'vInfo (Imported)'!$1:$5000,M4709,FALSE)</f>
        <v>0</v>
      </c>
      <c r="R4709">
        <f>HLOOKUP("CPUs",'vInfo (Imported)'!$1:$5000,M4709,FALSE)</f>
        <v>0</v>
      </c>
      <c r="S4709">
        <f>HLOOKUP("Memory",'vInfo (Imported)'!$1:$5000,M4709,FALSE)</f>
        <v>0</v>
      </c>
      <c r="T4709">
        <f>HLOOKUP("Provisioned MiB",'vInfo (Imported)'!$1:$5000,M4709,FALSE)</f>
        <v>0</v>
      </c>
      <c r="U4709">
        <f t="shared" si="220"/>
        <v>0</v>
      </c>
      <c r="V4709">
        <f>HLOOKUP("In Use MiB",'vInfo (Imported)'!$1:$5000,M4709,FALSE)</f>
        <v>0</v>
      </c>
    </row>
    <row r="4710" spans="1:22" ht="13" x14ac:dyDescent="0.3">
      <c r="A4710" s="46">
        <f>'vHosts (Imported)'!A4710</f>
        <v>0</v>
      </c>
      <c r="B4710" s="51">
        <f t="shared" si="219"/>
        <v>4968</v>
      </c>
      <c r="C4710" s="49">
        <f>HLOOKUP("# Cores",'vHosts (Imported)'!$1:$5000,M4710,FALSE)</f>
        <v>0</v>
      </c>
      <c r="D4710" s="52">
        <f>HLOOKUP("# Memory",'vHosts (Imported)'!$1:$5000,M4710,FALSE)</f>
        <v>0</v>
      </c>
      <c r="M4710" s="45">
        <f t="shared" si="221"/>
        <v>4710</v>
      </c>
      <c r="N4710" s="38">
        <f>HLOOKUP("Host",'vInfo (Imported)'!$1:$5000,M4710,FALSE)</f>
        <v>0</v>
      </c>
      <c r="R4710">
        <f>HLOOKUP("CPUs",'vInfo (Imported)'!$1:$5000,M4710,FALSE)</f>
        <v>0</v>
      </c>
      <c r="S4710">
        <f>HLOOKUP("Memory",'vInfo (Imported)'!$1:$5000,M4710,FALSE)</f>
        <v>0</v>
      </c>
      <c r="T4710">
        <f>HLOOKUP("Provisioned MiB",'vInfo (Imported)'!$1:$5000,M4710,FALSE)</f>
        <v>0</v>
      </c>
      <c r="U4710">
        <f t="shared" si="220"/>
        <v>0</v>
      </c>
      <c r="V4710">
        <f>HLOOKUP("In Use MiB",'vInfo (Imported)'!$1:$5000,M4710,FALSE)</f>
        <v>0</v>
      </c>
    </row>
    <row r="4711" spans="1:22" ht="13" x14ac:dyDescent="0.3">
      <c r="A4711" s="46">
        <f>'vHosts (Imported)'!A4711</f>
        <v>0</v>
      </c>
      <c r="B4711" s="51">
        <f t="shared" si="219"/>
        <v>4968</v>
      </c>
      <c r="C4711" s="49">
        <f>HLOOKUP("# Cores",'vHosts (Imported)'!$1:$5000,M4711,FALSE)</f>
        <v>0</v>
      </c>
      <c r="D4711" s="52">
        <f>HLOOKUP("# Memory",'vHosts (Imported)'!$1:$5000,M4711,FALSE)</f>
        <v>0</v>
      </c>
      <c r="M4711" s="45">
        <f t="shared" si="221"/>
        <v>4711</v>
      </c>
      <c r="N4711" s="38">
        <f>HLOOKUP("Host",'vInfo (Imported)'!$1:$5000,M4711,FALSE)</f>
        <v>0</v>
      </c>
      <c r="R4711">
        <f>HLOOKUP("CPUs",'vInfo (Imported)'!$1:$5000,M4711,FALSE)</f>
        <v>0</v>
      </c>
      <c r="S4711">
        <f>HLOOKUP("Memory",'vInfo (Imported)'!$1:$5000,M4711,FALSE)</f>
        <v>0</v>
      </c>
      <c r="T4711">
        <f>HLOOKUP("Provisioned MiB",'vInfo (Imported)'!$1:$5000,M4711,FALSE)</f>
        <v>0</v>
      </c>
      <c r="U4711">
        <f t="shared" si="220"/>
        <v>0</v>
      </c>
      <c r="V4711">
        <f>HLOOKUP("In Use MiB",'vInfo (Imported)'!$1:$5000,M4711,FALSE)</f>
        <v>0</v>
      </c>
    </row>
    <row r="4712" spans="1:22" ht="13" x14ac:dyDescent="0.3">
      <c r="A4712" s="46">
        <f>'vHosts (Imported)'!A4712</f>
        <v>0</v>
      </c>
      <c r="B4712" s="51">
        <f t="shared" ref="B4712:B4775" si="222">COUNTIF(N:N,A4712)</f>
        <v>4968</v>
      </c>
      <c r="C4712" s="49">
        <f>HLOOKUP("# Cores",'vHosts (Imported)'!$1:$5000,M4712,FALSE)</f>
        <v>0</v>
      </c>
      <c r="D4712" s="52">
        <f>HLOOKUP("# Memory",'vHosts (Imported)'!$1:$5000,M4712,FALSE)</f>
        <v>0</v>
      </c>
      <c r="M4712" s="45">
        <f t="shared" si="221"/>
        <v>4712</v>
      </c>
      <c r="N4712" s="38">
        <f>HLOOKUP("Host",'vInfo (Imported)'!$1:$5000,M4712,FALSE)</f>
        <v>0</v>
      </c>
      <c r="R4712">
        <f>HLOOKUP("CPUs",'vInfo (Imported)'!$1:$5000,M4712,FALSE)</f>
        <v>0</v>
      </c>
      <c r="S4712">
        <f>HLOOKUP("Memory",'vInfo (Imported)'!$1:$5000,M4712,FALSE)</f>
        <v>0</v>
      </c>
      <c r="T4712">
        <f>HLOOKUP("Provisioned MiB",'vInfo (Imported)'!$1:$5000,M4712,FALSE)</f>
        <v>0</v>
      </c>
      <c r="U4712">
        <f t="shared" si="220"/>
        <v>0</v>
      </c>
      <c r="V4712">
        <f>HLOOKUP("In Use MiB",'vInfo (Imported)'!$1:$5000,M4712,FALSE)</f>
        <v>0</v>
      </c>
    </row>
    <row r="4713" spans="1:22" ht="13" x14ac:dyDescent="0.3">
      <c r="A4713" s="46">
        <f>'vHosts (Imported)'!A4713</f>
        <v>0</v>
      </c>
      <c r="B4713" s="51">
        <f t="shared" si="222"/>
        <v>4968</v>
      </c>
      <c r="C4713" s="49">
        <f>HLOOKUP("# Cores",'vHosts (Imported)'!$1:$5000,M4713,FALSE)</f>
        <v>0</v>
      </c>
      <c r="D4713" s="52">
        <f>HLOOKUP("# Memory",'vHosts (Imported)'!$1:$5000,M4713,FALSE)</f>
        <v>0</v>
      </c>
      <c r="M4713" s="45">
        <f t="shared" si="221"/>
        <v>4713</v>
      </c>
      <c r="N4713" s="38">
        <f>HLOOKUP("Host",'vInfo (Imported)'!$1:$5000,M4713,FALSE)</f>
        <v>0</v>
      </c>
      <c r="R4713">
        <f>HLOOKUP("CPUs",'vInfo (Imported)'!$1:$5000,M4713,FALSE)</f>
        <v>0</v>
      </c>
      <c r="S4713">
        <f>HLOOKUP("Memory",'vInfo (Imported)'!$1:$5000,M4713,FALSE)</f>
        <v>0</v>
      </c>
      <c r="T4713">
        <f>HLOOKUP("Provisioned MiB",'vInfo (Imported)'!$1:$5000,M4713,FALSE)</f>
        <v>0</v>
      </c>
      <c r="U4713">
        <f t="shared" si="220"/>
        <v>0</v>
      </c>
      <c r="V4713">
        <f>HLOOKUP("In Use MiB",'vInfo (Imported)'!$1:$5000,M4713,FALSE)</f>
        <v>0</v>
      </c>
    </row>
    <row r="4714" spans="1:22" ht="13" x14ac:dyDescent="0.3">
      <c r="A4714" s="46">
        <f>'vHosts (Imported)'!A4714</f>
        <v>0</v>
      </c>
      <c r="B4714" s="51">
        <f t="shared" si="222"/>
        <v>4968</v>
      </c>
      <c r="C4714" s="49">
        <f>HLOOKUP("# Cores",'vHosts (Imported)'!$1:$5000,M4714,FALSE)</f>
        <v>0</v>
      </c>
      <c r="D4714" s="52">
        <f>HLOOKUP("# Memory",'vHosts (Imported)'!$1:$5000,M4714,FALSE)</f>
        <v>0</v>
      </c>
      <c r="M4714" s="45">
        <f t="shared" si="221"/>
        <v>4714</v>
      </c>
      <c r="N4714" s="38">
        <f>HLOOKUP("Host",'vInfo (Imported)'!$1:$5000,M4714,FALSE)</f>
        <v>0</v>
      </c>
      <c r="R4714">
        <f>HLOOKUP("CPUs",'vInfo (Imported)'!$1:$5000,M4714,FALSE)</f>
        <v>0</v>
      </c>
      <c r="S4714">
        <f>HLOOKUP("Memory",'vInfo (Imported)'!$1:$5000,M4714,FALSE)</f>
        <v>0</v>
      </c>
      <c r="T4714">
        <f>HLOOKUP("Provisioned MiB",'vInfo (Imported)'!$1:$5000,M4714,FALSE)</f>
        <v>0</v>
      </c>
      <c r="U4714">
        <f t="shared" si="220"/>
        <v>0</v>
      </c>
      <c r="V4714">
        <f>HLOOKUP("In Use MiB",'vInfo (Imported)'!$1:$5000,M4714,FALSE)</f>
        <v>0</v>
      </c>
    </row>
    <row r="4715" spans="1:22" ht="13" x14ac:dyDescent="0.3">
      <c r="A4715" s="46">
        <f>'vHosts (Imported)'!A4715</f>
        <v>0</v>
      </c>
      <c r="B4715" s="51">
        <f t="shared" si="222"/>
        <v>4968</v>
      </c>
      <c r="C4715" s="49">
        <f>HLOOKUP("# Cores",'vHosts (Imported)'!$1:$5000,M4715,FALSE)</f>
        <v>0</v>
      </c>
      <c r="D4715" s="52">
        <f>HLOOKUP("# Memory",'vHosts (Imported)'!$1:$5000,M4715,FALSE)</f>
        <v>0</v>
      </c>
      <c r="M4715" s="45">
        <f t="shared" si="221"/>
        <v>4715</v>
      </c>
      <c r="N4715" s="38">
        <f>HLOOKUP("Host",'vInfo (Imported)'!$1:$5000,M4715,FALSE)</f>
        <v>0</v>
      </c>
      <c r="R4715">
        <f>HLOOKUP("CPUs",'vInfo (Imported)'!$1:$5000,M4715,FALSE)</f>
        <v>0</v>
      </c>
      <c r="S4715">
        <f>HLOOKUP("Memory",'vInfo (Imported)'!$1:$5000,M4715,FALSE)</f>
        <v>0</v>
      </c>
      <c r="T4715">
        <f>HLOOKUP("Provisioned MiB",'vInfo (Imported)'!$1:$5000,M4715,FALSE)</f>
        <v>0</v>
      </c>
      <c r="U4715">
        <f t="shared" si="220"/>
        <v>0</v>
      </c>
      <c r="V4715">
        <f>HLOOKUP("In Use MiB",'vInfo (Imported)'!$1:$5000,M4715,FALSE)</f>
        <v>0</v>
      </c>
    </row>
    <row r="4716" spans="1:22" ht="13" x14ac:dyDescent="0.3">
      <c r="A4716" s="46">
        <f>'vHosts (Imported)'!A4716</f>
        <v>0</v>
      </c>
      <c r="B4716" s="51">
        <f t="shared" si="222"/>
        <v>4968</v>
      </c>
      <c r="C4716" s="49">
        <f>HLOOKUP("# Cores",'vHosts (Imported)'!$1:$5000,M4716,FALSE)</f>
        <v>0</v>
      </c>
      <c r="D4716" s="52">
        <f>HLOOKUP("# Memory",'vHosts (Imported)'!$1:$5000,M4716,FALSE)</f>
        <v>0</v>
      </c>
      <c r="M4716" s="45">
        <f t="shared" si="221"/>
        <v>4716</v>
      </c>
      <c r="N4716" s="38">
        <f>HLOOKUP("Host",'vInfo (Imported)'!$1:$5000,M4716,FALSE)</f>
        <v>0</v>
      </c>
      <c r="R4716">
        <f>HLOOKUP("CPUs",'vInfo (Imported)'!$1:$5000,M4716,FALSE)</f>
        <v>0</v>
      </c>
      <c r="S4716">
        <f>HLOOKUP("Memory",'vInfo (Imported)'!$1:$5000,M4716,FALSE)</f>
        <v>0</v>
      </c>
      <c r="T4716">
        <f>HLOOKUP("Provisioned MiB",'vInfo (Imported)'!$1:$5000,M4716,FALSE)</f>
        <v>0</v>
      </c>
      <c r="U4716">
        <f t="shared" si="220"/>
        <v>0</v>
      </c>
      <c r="V4716">
        <f>HLOOKUP("In Use MiB",'vInfo (Imported)'!$1:$5000,M4716,FALSE)</f>
        <v>0</v>
      </c>
    </row>
    <row r="4717" spans="1:22" ht="13" x14ac:dyDescent="0.3">
      <c r="A4717" s="46">
        <f>'vHosts (Imported)'!A4717</f>
        <v>0</v>
      </c>
      <c r="B4717" s="51">
        <f t="shared" si="222"/>
        <v>4968</v>
      </c>
      <c r="C4717" s="49">
        <f>HLOOKUP("# Cores",'vHosts (Imported)'!$1:$5000,M4717,FALSE)</f>
        <v>0</v>
      </c>
      <c r="D4717" s="52">
        <f>HLOOKUP("# Memory",'vHosts (Imported)'!$1:$5000,M4717,FALSE)</f>
        <v>0</v>
      </c>
      <c r="M4717" s="45">
        <f t="shared" si="221"/>
        <v>4717</v>
      </c>
      <c r="N4717" s="38">
        <f>HLOOKUP("Host",'vInfo (Imported)'!$1:$5000,M4717,FALSE)</f>
        <v>0</v>
      </c>
      <c r="R4717">
        <f>HLOOKUP("CPUs",'vInfo (Imported)'!$1:$5000,M4717,FALSE)</f>
        <v>0</v>
      </c>
      <c r="S4717">
        <f>HLOOKUP("Memory",'vInfo (Imported)'!$1:$5000,M4717,FALSE)</f>
        <v>0</v>
      </c>
      <c r="T4717">
        <f>HLOOKUP("Provisioned MiB",'vInfo (Imported)'!$1:$5000,M4717,FALSE)</f>
        <v>0</v>
      </c>
      <c r="U4717">
        <f t="shared" si="220"/>
        <v>0</v>
      </c>
      <c r="V4717">
        <f>HLOOKUP("In Use MiB",'vInfo (Imported)'!$1:$5000,M4717,FALSE)</f>
        <v>0</v>
      </c>
    </row>
    <row r="4718" spans="1:22" ht="13" x14ac:dyDescent="0.3">
      <c r="A4718" s="46">
        <f>'vHosts (Imported)'!A4718</f>
        <v>0</v>
      </c>
      <c r="B4718" s="51">
        <f t="shared" si="222"/>
        <v>4968</v>
      </c>
      <c r="C4718" s="49">
        <f>HLOOKUP("# Cores",'vHosts (Imported)'!$1:$5000,M4718,FALSE)</f>
        <v>0</v>
      </c>
      <c r="D4718" s="52">
        <f>HLOOKUP("# Memory",'vHosts (Imported)'!$1:$5000,M4718,FALSE)</f>
        <v>0</v>
      </c>
      <c r="M4718" s="45">
        <f t="shared" si="221"/>
        <v>4718</v>
      </c>
      <c r="N4718" s="38">
        <f>HLOOKUP("Host",'vInfo (Imported)'!$1:$5000,M4718,FALSE)</f>
        <v>0</v>
      </c>
      <c r="R4718">
        <f>HLOOKUP("CPUs",'vInfo (Imported)'!$1:$5000,M4718,FALSE)</f>
        <v>0</v>
      </c>
      <c r="S4718">
        <f>HLOOKUP("Memory",'vInfo (Imported)'!$1:$5000,M4718,FALSE)</f>
        <v>0</v>
      </c>
      <c r="T4718">
        <f>HLOOKUP("Provisioned MiB",'vInfo (Imported)'!$1:$5000,M4718,FALSE)</f>
        <v>0</v>
      </c>
      <c r="U4718">
        <f t="shared" si="220"/>
        <v>0</v>
      </c>
      <c r="V4718">
        <f>HLOOKUP("In Use MiB",'vInfo (Imported)'!$1:$5000,M4718,FALSE)</f>
        <v>0</v>
      </c>
    </row>
    <row r="4719" spans="1:22" ht="13" x14ac:dyDescent="0.3">
      <c r="A4719" s="46">
        <f>'vHosts (Imported)'!A4719</f>
        <v>0</v>
      </c>
      <c r="B4719" s="51">
        <f t="shared" si="222"/>
        <v>4968</v>
      </c>
      <c r="C4719" s="49">
        <f>HLOOKUP("# Cores",'vHosts (Imported)'!$1:$5000,M4719,FALSE)</f>
        <v>0</v>
      </c>
      <c r="D4719" s="52">
        <f>HLOOKUP("# Memory",'vHosts (Imported)'!$1:$5000,M4719,FALSE)</f>
        <v>0</v>
      </c>
      <c r="M4719" s="45">
        <f t="shared" si="221"/>
        <v>4719</v>
      </c>
      <c r="N4719" s="38">
        <f>HLOOKUP("Host",'vInfo (Imported)'!$1:$5000,M4719,FALSE)</f>
        <v>0</v>
      </c>
      <c r="R4719">
        <f>HLOOKUP("CPUs",'vInfo (Imported)'!$1:$5000,M4719,FALSE)</f>
        <v>0</v>
      </c>
      <c r="S4719">
        <f>HLOOKUP("Memory",'vInfo (Imported)'!$1:$5000,M4719,FALSE)</f>
        <v>0</v>
      </c>
      <c r="T4719">
        <f>HLOOKUP("Provisioned MiB",'vInfo (Imported)'!$1:$5000,M4719,FALSE)</f>
        <v>0</v>
      </c>
      <c r="U4719">
        <f t="shared" si="220"/>
        <v>0</v>
      </c>
      <c r="V4719">
        <f>HLOOKUP("In Use MiB",'vInfo (Imported)'!$1:$5000,M4719,FALSE)</f>
        <v>0</v>
      </c>
    </row>
    <row r="4720" spans="1:22" ht="13" x14ac:dyDescent="0.3">
      <c r="A4720" s="46">
        <f>'vHosts (Imported)'!A4720</f>
        <v>0</v>
      </c>
      <c r="B4720" s="51">
        <f t="shared" si="222"/>
        <v>4968</v>
      </c>
      <c r="C4720" s="49">
        <f>HLOOKUP("# Cores",'vHosts (Imported)'!$1:$5000,M4720,FALSE)</f>
        <v>0</v>
      </c>
      <c r="D4720" s="52">
        <f>HLOOKUP("# Memory",'vHosts (Imported)'!$1:$5000,M4720,FALSE)</f>
        <v>0</v>
      </c>
      <c r="M4720" s="45">
        <f t="shared" si="221"/>
        <v>4720</v>
      </c>
      <c r="N4720" s="38">
        <f>HLOOKUP("Host",'vInfo (Imported)'!$1:$5000,M4720,FALSE)</f>
        <v>0</v>
      </c>
      <c r="R4720">
        <f>HLOOKUP("CPUs",'vInfo (Imported)'!$1:$5000,M4720,FALSE)</f>
        <v>0</v>
      </c>
      <c r="S4720">
        <f>HLOOKUP("Memory",'vInfo (Imported)'!$1:$5000,M4720,FALSE)</f>
        <v>0</v>
      </c>
      <c r="T4720">
        <f>HLOOKUP("Provisioned MiB",'vInfo (Imported)'!$1:$5000,M4720,FALSE)</f>
        <v>0</v>
      </c>
      <c r="U4720">
        <f t="shared" si="220"/>
        <v>0</v>
      </c>
      <c r="V4720">
        <f>HLOOKUP("In Use MiB",'vInfo (Imported)'!$1:$5000,M4720,FALSE)</f>
        <v>0</v>
      </c>
    </row>
    <row r="4721" spans="1:22" ht="13" x14ac:dyDescent="0.3">
      <c r="A4721" s="46">
        <f>'vHosts (Imported)'!A4721</f>
        <v>0</v>
      </c>
      <c r="B4721" s="51">
        <f t="shared" si="222"/>
        <v>4968</v>
      </c>
      <c r="C4721" s="49">
        <f>HLOOKUP("# Cores",'vHosts (Imported)'!$1:$5000,M4721,FALSE)</f>
        <v>0</v>
      </c>
      <c r="D4721" s="52">
        <f>HLOOKUP("# Memory",'vHosts (Imported)'!$1:$5000,M4721,FALSE)</f>
        <v>0</v>
      </c>
      <c r="M4721" s="45">
        <f t="shared" si="221"/>
        <v>4721</v>
      </c>
      <c r="N4721" s="38">
        <f>HLOOKUP("Host",'vInfo (Imported)'!$1:$5000,M4721,FALSE)</f>
        <v>0</v>
      </c>
      <c r="R4721">
        <f>HLOOKUP("CPUs",'vInfo (Imported)'!$1:$5000,M4721,FALSE)</f>
        <v>0</v>
      </c>
      <c r="S4721">
        <f>HLOOKUP("Memory",'vInfo (Imported)'!$1:$5000,M4721,FALSE)</f>
        <v>0</v>
      </c>
      <c r="T4721">
        <f>HLOOKUP("Provisioned MiB",'vInfo (Imported)'!$1:$5000,M4721,FALSE)</f>
        <v>0</v>
      </c>
      <c r="U4721">
        <f t="shared" si="220"/>
        <v>0</v>
      </c>
      <c r="V4721">
        <f>HLOOKUP("In Use MiB",'vInfo (Imported)'!$1:$5000,M4721,FALSE)</f>
        <v>0</v>
      </c>
    </row>
    <row r="4722" spans="1:22" ht="13" x14ac:dyDescent="0.3">
      <c r="A4722" s="46">
        <f>'vHosts (Imported)'!A4722</f>
        <v>0</v>
      </c>
      <c r="B4722" s="51">
        <f t="shared" si="222"/>
        <v>4968</v>
      </c>
      <c r="C4722" s="49">
        <f>HLOOKUP("# Cores",'vHosts (Imported)'!$1:$5000,M4722,FALSE)</f>
        <v>0</v>
      </c>
      <c r="D4722" s="52">
        <f>HLOOKUP("# Memory",'vHosts (Imported)'!$1:$5000,M4722,FALSE)</f>
        <v>0</v>
      </c>
      <c r="M4722" s="45">
        <f t="shared" si="221"/>
        <v>4722</v>
      </c>
      <c r="N4722" s="38">
        <f>HLOOKUP("Host",'vInfo (Imported)'!$1:$5000,M4722,FALSE)</f>
        <v>0</v>
      </c>
      <c r="R4722">
        <f>HLOOKUP("CPUs",'vInfo (Imported)'!$1:$5000,M4722,FALSE)</f>
        <v>0</v>
      </c>
      <c r="S4722">
        <f>HLOOKUP("Memory",'vInfo (Imported)'!$1:$5000,M4722,FALSE)</f>
        <v>0</v>
      </c>
      <c r="T4722">
        <f>HLOOKUP("Provisioned MiB",'vInfo (Imported)'!$1:$5000,M4722,FALSE)</f>
        <v>0</v>
      </c>
      <c r="U4722">
        <f t="shared" si="220"/>
        <v>0</v>
      </c>
      <c r="V4722">
        <f>HLOOKUP("In Use MiB",'vInfo (Imported)'!$1:$5000,M4722,FALSE)</f>
        <v>0</v>
      </c>
    </row>
    <row r="4723" spans="1:22" ht="13" x14ac:dyDescent="0.3">
      <c r="A4723" s="46">
        <f>'vHosts (Imported)'!A4723</f>
        <v>0</v>
      </c>
      <c r="B4723" s="51">
        <f t="shared" si="222"/>
        <v>4968</v>
      </c>
      <c r="C4723" s="49">
        <f>HLOOKUP("# Cores",'vHosts (Imported)'!$1:$5000,M4723,FALSE)</f>
        <v>0</v>
      </c>
      <c r="D4723" s="52">
        <f>HLOOKUP("# Memory",'vHosts (Imported)'!$1:$5000,M4723,FALSE)</f>
        <v>0</v>
      </c>
      <c r="M4723" s="45">
        <f t="shared" si="221"/>
        <v>4723</v>
      </c>
      <c r="N4723" s="38">
        <f>HLOOKUP("Host",'vInfo (Imported)'!$1:$5000,M4723,FALSE)</f>
        <v>0</v>
      </c>
      <c r="R4723">
        <f>HLOOKUP("CPUs",'vInfo (Imported)'!$1:$5000,M4723,FALSE)</f>
        <v>0</v>
      </c>
      <c r="S4723">
        <f>HLOOKUP("Memory",'vInfo (Imported)'!$1:$5000,M4723,FALSE)</f>
        <v>0</v>
      </c>
      <c r="T4723">
        <f>HLOOKUP("Provisioned MiB",'vInfo (Imported)'!$1:$5000,M4723,FALSE)</f>
        <v>0</v>
      </c>
      <c r="U4723">
        <f t="shared" si="220"/>
        <v>0</v>
      </c>
      <c r="V4723">
        <f>HLOOKUP("In Use MiB",'vInfo (Imported)'!$1:$5000,M4723,FALSE)</f>
        <v>0</v>
      </c>
    </row>
    <row r="4724" spans="1:22" ht="13" x14ac:dyDescent="0.3">
      <c r="A4724" s="46">
        <f>'vHosts (Imported)'!A4724</f>
        <v>0</v>
      </c>
      <c r="B4724" s="51">
        <f t="shared" si="222"/>
        <v>4968</v>
      </c>
      <c r="C4724" s="49">
        <f>HLOOKUP("# Cores",'vHosts (Imported)'!$1:$5000,M4724,FALSE)</f>
        <v>0</v>
      </c>
      <c r="D4724" s="52">
        <f>HLOOKUP("# Memory",'vHosts (Imported)'!$1:$5000,M4724,FALSE)</f>
        <v>0</v>
      </c>
      <c r="M4724" s="45">
        <f t="shared" si="221"/>
        <v>4724</v>
      </c>
      <c r="N4724" s="38">
        <f>HLOOKUP("Host",'vInfo (Imported)'!$1:$5000,M4724,FALSE)</f>
        <v>0</v>
      </c>
      <c r="R4724">
        <f>HLOOKUP("CPUs",'vInfo (Imported)'!$1:$5000,M4724,FALSE)</f>
        <v>0</v>
      </c>
      <c r="S4724">
        <f>HLOOKUP("Memory",'vInfo (Imported)'!$1:$5000,M4724,FALSE)</f>
        <v>0</v>
      </c>
      <c r="T4724">
        <f>HLOOKUP("Provisioned MiB",'vInfo (Imported)'!$1:$5000,M4724,FALSE)</f>
        <v>0</v>
      </c>
      <c r="U4724">
        <f t="shared" si="220"/>
        <v>0</v>
      </c>
      <c r="V4724">
        <f>HLOOKUP("In Use MiB",'vInfo (Imported)'!$1:$5000,M4724,FALSE)</f>
        <v>0</v>
      </c>
    </row>
    <row r="4725" spans="1:22" ht="13" x14ac:dyDescent="0.3">
      <c r="A4725" s="46">
        <f>'vHosts (Imported)'!A4725</f>
        <v>0</v>
      </c>
      <c r="B4725" s="51">
        <f t="shared" si="222"/>
        <v>4968</v>
      </c>
      <c r="C4725" s="49">
        <f>HLOOKUP("# Cores",'vHosts (Imported)'!$1:$5000,M4725,FALSE)</f>
        <v>0</v>
      </c>
      <c r="D4725" s="52">
        <f>HLOOKUP("# Memory",'vHosts (Imported)'!$1:$5000,M4725,FALSE)</f>
        <v>0</v>
      </c>
      <c r="M4725" s="45">
        <f t="shared" si="221"/>
        <v>4725</v>
      </c>
      <c r="N4725" s="38">
        <f>HLOOKUP("Host",'vInfo (Imported)'!$1:$5000,M4725,FALSE)</f>
        <v>0</v>
      </c>
      <c r="R4725">
        <f>HLOOKUP("CPUs",'vInfo (Imported)'!$1:$5000,M4725,FALSE)</f>
        <v>0</v>
      </c>
      <c r="S4725">
        <f>HLOOKUP("Memory",'vInfo (Imported)'!$1:$5000,M4725,FALSE)</f>
        <v>0</v>
      </c>
      <c r="T4725">
        <f>HLOOKUP("Provisioned MiB",'vInfo (Imported)'!$1:$5000,M4725,FALSE)</f>
        <v>0</v>
      </c>
      <c r="U4725">
        <f t="shared" si="220"/>
        <v>0</v>
      </c>
      <c r="V4725">
        <f>HLOOKUP("In Use MiB",'vInfo (Imported)'!$1:$5000,M4725,FALSE)</f>
        <v>0</v>
      </c>
    </row>
    <row r="4726" spans="1:22" ht="13" x14ac:dyDescent="0.3">
      <c r="A4726" s="46">
        <f>'vHosts (Imported)'!A4726</f>
        <v>0</v>
      </c>
      <c r="B4726" s="51">
        <f t="shared" si="222"/>
        <v>4968</v>
      </c>
      <c r="C4726" s="49">
        <f>HLOOKUP("# Cores",'vHosts (Imported)'!$1:$5000,M4726,FALSE)</f>
        <v>0</v>
      </c>
      <c r="D4726" s="52">
        <f>HLOOKUP("# Memory",'vHosts (Imported)'!$1:$5000,M4726,FALSE)</f>
        <v>0</v>
      </c>
      <c r="M4726" s="45">
        <f t="shared" si="221"/>
        <v>4726</v>
      </c>
      <c r="N4726" s="38">
        <f>HLOOKUP("Host",'vInfo (Imported)'!$1:$5000,M4726,FALSE)</f>
        <v>0</v>
      </c>
      <c r="R4726">
        <f>HLOOKUP("CPUs",'vInfo (Imported)'!$1:$5000,M4726,FALSE)</f>
        <v>0</v>
      </c>
      <c r="S4726">
        <f>HLOOKUP("Memory",'vInfo (Imported)'!$1:$5000,M4726,FALSE)</f>
        <v>0</v>
      </c>
      <c r="T4726">
        <f>HLOOKUP("Provisioned MiB",'vInfo (Imported)'!$1:$5000,M4726,FALSE)</f>
        <v>0</v>
      </c>
      <c r="U4726">
        <f t="shared" si="220"/>
        <v>0</v>
      </c>
      <c r="V4726">
        <f>HLOOKUP("In Use MiB",'vInfo (Imported)'!$1:$5000,M4726,FALSE)</f>
        <v>0</v>
      </c>
    </row>
    <row r="4727" spans="1:22" ht="13" x14ac:dyDescent="0.3">
      <c r="A4727" s="46">
        <f>'vHosts (Imported)'!A4727</f>
        <v>0</v>
      </c>
      <c r="B4727" s="51">
        <f t="shared" si="222"/>
        <v>4968</v>
      </c>
      <c r="C4727" s="49">
        <f>HLOOKUP("# Cores",'vHosts (Imported)'!$1:$5000,M4727,FALSE)</f>
        <v>0</v>
      </c>
      <c r="D4727" s="52">
        <f>HLOOKUP("# Memory",'vHosts (Imported)'!$1:$5000,M4727,FALSE)</f>
        <v>0</v>
      </c>
      <c r="M4727" s="45">
        <f t="shared" si="221"/>
        <v>4727</v>
      </c>
      <c r="N4727" s="38">
        <f>HLOOKUP("Host",'vInfo (Imported)'!$1:$5000,M4727,FALSE)</f>
        <v>0</v>
      </c>
      <c r="R4727">
        <f>HLOOKUP("CPUs",'vInfo (Imported)'!$1:$5000,M4727,FALSE)</f>
        <v>0</v>
      </c>
      <c r="S4727">
        <f>HLOOKUP("Memory",'vInfo (Imported)'!$1:$5000,M4727,FALSE)</f>
        <v>0</v>
      </c>
      <c r="T4727">
        <f>HLOOKUP("Provisioned MiB",'vInfo (Imported)'!$1:$5000,M4727,FALSE)</f>
        <v>0</v>
      </c>
      <c r="U4727">
        <f t="shared" si="220"/>
        <v>0</v>
      </c>
      <c r="V4727">
        <f>HLOOKUP("In Use MiB",'vInfo (Imported)'!$1:$5000,M4727,FALSE)</f>
        <v>0</v>
      </c>
    </row>
    <row r="4728" spans="1:22" ht="13" x14ac:dyDescent="0.3">
      <c r="A4728" s="46">
        <f>'vHosts (Imported)'!A4728</f>
        <v>0</v>
      </c>
      <c r="B4728" s="51">
        <f t="shared" si="222"/>
        <v>4968</v>
      </c>
      <c r="C4728" s="49">
        <f>HLOOKUP("# Cores",'vHosts (Imported)'!$1:$5000,M4728,FALSE)</f>
        <v>0</v>
      </c>
      <c r="D4728" s="52">
        <f>HLOOKUP("# Memory",'vHosts (Imported)'!$1:$5000,M4728,FALSE)</f>
        <v>0</v>
      </c>
      <c r="M4728" s="45">
        <f t="shared" si="221"/>
        <v>4728</v>
      </c>
      <c r="N4728" s="38">
        <f>HLOOKUP("Host",'vInfo (Imported)'!$1:$5000,M4728,FALSE)</f>
        <v>0</v>
      </c>
      <c r="R4728">
        <f>HLOOKUP("CPUs",'vInfo (Imported)'!$1:$5000,M4728,FALSE)</f>
        <v>0</v>
      </c>
      <c r="S4728">
        <f>HLOOKUP("Memory",'vInfo (Imported)'!$1:$5000,M4728,FALSE)</f>
        <v>0</v>
      </c>
      <c r="T4728">
        <f>HLOOKUP("Provisioned MiB",'vInfo (Imported)'!$1:$5000,M4728,FALSE)</f>
        <v>0</v>
      </c>
      <c r="U4728">
        <f t="shared" si="220"/>
        <v>0</v>
      </c>
      <c r="V4728">
        <f>HLOOKUP("In Use MiB",'vInfo (Imported)'!$1:$5000,M4728,FALSE)</f>
        <v>0</v>
      </c>
    </row>
    <row r="4729" spans="1:22" ht="13" x14ac:dyDescent="0.3">
      <c r="A4729" s="46">
        <f>'vHosts (Imported)'!A4729</f>
        <v>0</v>
      </c>
      <c r="B4729" s="51">
        <f t="shared" si="222"/>
        <v>4968</v>
      </c>
      <c r="C4729" s="49">
        <f>HLOOKUP("# Cores",'vHosts (Imported)'!$1:$5000,M4729,FALSE)</f>
        <v>0</v>
      </c>
      <c r="D4729" s="52">
        <f>HLOOKUP("# Memory",'vHosts (Imported)'!$1:$5000,M4729,FALSE)</f>
        <v>0</v>
      </c>
      <c r="M4729" s="45">
        <f t="shared" si="221"/>
        <v>4729</v>
      </c>
      <c r="N4729" s="38">
        <f>HLOOKUP("Host",'vInfo (Imported)'!$1:$5000,M4729,FALSE)</f>
        <v>0</v>
      </c>
      <c r="R4729">
        <f>HLOOKUP("CPUs",'vInfo (Imported)'!$1:$5000,M4729,FALSE)</f>
        <v>0</v>
      </c>
      <c r="S4729">
        <f>HLOOKUP("Memory",'vInfo (Imported)'!$1:$5000,M4729,FALSE)</f>
        <v>0</v>
      </c>
      <c r="T4729">
        <f>HLOOKUP("Provisioned MiB",'vInfo (Imported)'!$1:$5000,M4729,FALSE)</f>
        <v>0</v>
      </c>
      <c r="U4729">
        <f t="shared" si="220"/>
        <v>0</v>
      </c>
      <c r="V4729">
        <f>HLOOKUP("In Use MiB",'vInfo (Imported)'!$1:$5000,M4729,FALSE)</f>
        <v>0</v>
      </c>
    </row>
    <row r="4730" spans="1:22" ht="13" x14ac:dyDescent="0.3">
      <c r="A4730" s="46">
        <f>'vHosts (Imported)'!A4730</f>
        <v>0</v>
      </c>
      <c r="B4730" s="51">
        <f t="shared" si="222"/>
        <v>4968</v>
      </c>
      <c r="C4730" s="49">
        <f>HLOOKUP("# Cores",'vHosts (Imported)'!$1:$5000,M4730,FALSE)</f>
        <v>0</v>
      </c>
      <c r="D4730" s="52">
        <f>HLOOKUP("# Memory",'vHosts (Imported)'!$1:$5000,M4730,FALSE)</f>
        <v>0</v>
      </c>
      <c r="M4730" s="45">
        <f t="shared" si="221"/>
        <v>4730</v>
      </c>
      <c r="N4730" s="38">
        <f>HLOOKUP("Host",'vInfo (Imported)'!$1:$5000,M4730,FALSE)</f>
        <v>0</v>
      </c>
      <c r="R4730">
        <f>HLOOKUP("CPUs",'vInfo (Imported)'!$1:$5000,M4730,FALSE)</f>
        <v>0</v>
      </c>
      <c r="S4730">
        <f>HLOOKUP("Memory",'vInfo (Imported)'!$1:$5000,M4730,FALSE)</f>
        <v>0</v>
      </c>
      <c r="T4730">
        <f>HLOOKUP("Provisioned MiB",'vInfo (Imported)'!$1:$5000,M4730,FALSE)</f>
        <v>0</v>
      </c>
      <c r="U4730">
        <f t="shared" si="220"/>
        <v>0</v>
      </c>
      <c r="V4730">
        <f>HLOOKUP("In Use MiB",'vInfo (Imported)'!$1:$5000,M4730,FALSE)</f>
        <v>0</v>
      </c>
    </row>
    <row r="4731" spans="1:22" ht="13" x14ac:dyDescent="0.3">
      <c r="A4731" s="46">
        <f>'vHosts (Imported)'!A4731</f>
        <v>0</v>
      </c>
      <c r="B4731" s="51">
        <f t="shared" si="222"/>
        <v>4968</v>
      </c>
      <c r="C4731" s="49">
        <f>HLOOKUP("# Cores",'vHosts (Imported)'!$1:$5000,M4731,FALSE)</f>
        <v>0</v>
      </c>
      <c r="D4731" s="52">
        <f>HLOOKUP("# Memory",'vHosts (Imported)'!$1:$5000,M4731,FALSE)</f>
        <v>0</v>
      </c>
      <c r="M4731" s="45">
        <f t="shared" si="221"/>
        <v>4731</v>
      </c>
      <c r="N4731" s="38">
        <f>HLOOKUP("Host",'vInfo (Imported)'!$1:$5000,M4731,FALSE)</f>
        <v>0</v>
      </c>
      <c r="R4731">
        <f>HLOOKUP("CPUs",'vInfo (Imported)'!$1:$5000,M4731,FALSE)</f>
        <v>0</v>
      </c>
      <c r="S4731">
        <f>HLOOKUP("Memory",'vInfo (Imported)'!$1:$5000,M4731,FALSE)</f>
        <v>0</v>
      </c>
      <c r="T4731">
        <f>HLOOKUP("Provisioned MiB",'vInfo (Imported)'!$1:$5000,M4731,FALSE)</f>
        <v>0</v>
      </c>
      <c r="U4731">
        <f t="shared" si="220"/>
        <v>0</v>
      </c>
      <c r="V4731">
        <f>HLOOKUP("In Use MiB",'vInfo (Imported)'!$1:$5000,M4731,FALSE)</f>
        <v>0</v>
      </c>
    </row>
    <row r="4732" spans="1:22" ht="13" x14ac:dyDescent="0.3">
      <c r="A4732" s="46">
        <f>'vHosts (Imported)'!A4732</f>
        <v>0</v>
      </c>
      <c r="B4732" s="51">
        <f t="shared" si="222"/>
        <v>4968</v>
      </c>
      <c r="C4732" s="49">
        <f>HLOOKUP("# Cores",'vHosts (Imported)'!$1:$5000,M4732,FALSE)</f>
        <v>0</v>
      </c>
      <c r="D4732" s="52">
        <f>HLOOKUP("# Memory",'vHosts (Imported)'!$1:$5000,M4732,FALSE)</f>
        <v>0</v>
      </c>
      <c r="M4732" s="45">
        <f t="shared" si="221"/>
        <v>4732</v>
      </c>
      <c r="N4732" s="38">
        <f>HLOOKUP("Host",'vInfo (Imported)'!$1:$5000,M4732,FALSE)</f>
        <v>0</v>
      </c>
      <c r="R4732">
        <f>HLOOKUP("CPUs",'vInfo (Imported)'!$1:$5000,M4732,FALSE)</f>
        <v>0</v>
      </c>
      <c r="S4732">
        <f>HLOOKUP("Memory",'vInfo (Imported)'!$1:$5000,M4732,FALSE)</f>
        <v>0</v>
      </c>
      <c r="T4732">
        <f>HLOOKUP("Provisioned MiB",'vInfo (Imported)'!$1:$5000,M4732,FALSE)</f>
        <v>0</v>
      </c>
      <c r="U4732">
        <f t="shared" si="220"/>
        <v>0</v>
      </c>
      <c r="V4732">
        <f>HLOOKUP("In Use MiB",'vInfo (Imported)'!$1:$5000,M4732,FALSE)</f>
        <v>0</v>
      </c>
    </row>
    <row r="4733" spans="1:22" ht="13" x14ac:dyDescent="0.3">
      <c r="A4733" s="46">
        <f>'vHosts (Imported)'!A4733</f>
        <v>0</v>
      </c>
      <c r="B4733" s="51">
        <f t="shared" si="222"/>
        <v>4968</v>
      </c>
      <c r="C4733" s="49">
        <f>HLOOKUP("# Cores",'vHosts (Imported)'!$1:$5000,M4733,FALSE)</f>
        <v>0</v>
      </c>
      <c r="D4733" s="52">
        <f>HLOOKUP("# Memory",'vHosts (Imported)'!$1:$5000,M4733,FALSE)</f>
        <v>0</v>
      </c>
      <c r="M4733" s="45">
        <f t="shared" si="221"/>
        <v>4733</v>
      </c>
      <c r="N4733" s="38">
        <f>HLOOKUP("Host",'vInfo (Imported)'!$1:$5000,M4733,FALSE)</f>
        <v>0</v>
      </c>
      <c r="R4733">
        <f>HLOOKUP("CPUs",'vInfo (Imported)'!$1:$5000,M4733,FALSE)</f>
        <v>0</v>
      </c>
      <c r="S4733">
        <f>HLOOKUP("Memory",'vInfo (Imported)'!$1:$5000,M4733,FALSE)</f>
        <v>0</v>
      </c>
      <c r="T4733">
        <f>HLOOKUP("Provisioned MiB",'vInfo (Imported)'!$1:$5000,M4733,FALSE)</f>
        <v>0</v>
      </c>
      <c r="U4733">
        <f t="shared" si="220"/>
        <v>0</v>
      </c>
      <c r="V4733">
        <f>HLOOKUP("In Use MiB",'vInfo (Imported)'!$1:$5000,M4733,FALSE)</f>
        <v>0</v>
      </c>
    </row>
    <row r="4734" spans="1:22" ht="13" x14ac:dyDescent="0.3">
      <c r="A4734" s="46">
        <f>'vHosts (Imported)'!A4734</f>
        <v>0</v>
      </c>
      <c r="B4734" s="51">
        <f t="shared" si="222"/>
        <v>4968</v>
      </c>
      <c r="C4734" s="49">
        <f>HLOOKUP("# Cores",'vHosts (Imported)'!$1:$5000,M4734,FALSE)</f>
        <v>0</v>
      </c>
      <c r="D4734" s="52">
        <f>HLOOKUP("# Memory",'vHosts (Imported)'!$1:$5000,M4734,FALSE)</f>
        <v>0</v>
      </c>
      <c r="M4734" s="45">
        <f t="shared" si="221"/>
        <v>4734</v>
      </c>
      <c r="N4734" s="38">
        <f>HLOOKUP("Host",'vInfo (Imported)'!$1:$5000,M4734,FALSE)</f>
        <v>0</v>
      </c>
      <c r="R4734">
        <f>HLOOKUP("CPUs",'vInfo (Imported)'!$1:$5000,M4734,FALSE)</f>
        <v>0</v>
      </c>
      <c r="S4734">
        <f>HLOOKUP("Memory",'vInfo (Imported)'!$1:$5000,M4734,FALSE)</f>
        <v>0</v>
      </c>
      <c r="T4734">
        <f>HLOOKUP("Provisioned MiB",'vInfo (Imported)'!$1:$5000,M4734,FALSE)</f>
        <v>0</v>
      </c>
      <c r="U4734">
        <f t="shared" si="220"/>
        <v>0</v>
      </c>
      <c r="V4734">
        <f>HLOOKUP("In Use MiB",'vInfo (Imported)'!$1:$5000,M4734,FALSE)</f>
        <v>0</v>
      </c>
    </row>
    <row r="4735" spans="1:22" ht="13" x14ac:dyDescent="0.3">
      <c r="A4735" s="46">
        <f>'vHosts (Imported)'!A4735</f>
        <v>0</v>
      </c>
      <c r="B4735" s="51">
        <f t="shared" si="222"/>
        <v>4968</v>
      </c>
      <c r="C4735" s="49">
        <f>HLOOKUP("# Cores",'vHosts (Imported)'!$1:$5000,M4735,FALSE)</f>
        <v>0</v>
      </c>
      <c r="D4735" s="52">
        <f>HLOOKUP("# Memory",'vHosts (Imported)'!$1:$5000,M4735,FALSE)</f>
        <v>0</v>
      </c>
      <c r="M4735" s="45">
        <f t="shared" si="221"/>
        <v>4735</v>
      </c>
      <c r="N4735" s="38">
        <f>HLOOKUP("Host",'vInfo (Imported)'!$1:$5000,M4735,FALSE)</f>
        <v>0</v>
      </c>
      <c r="R4735">
        <f>HLOOKUP("CPUs",'vInfo (Imported)'!$1:$5000,M4735,FALSE)</f>
        <v>0</v>
      </c>
      <c r="S4735">
        <f>HLOOKUP("Memory",'vInfo (Imported)'!$1:$5000,M4735,FALSE)</f>
        <v>0</v>
      </c>
      <c r="T4735">
        <f>HLOOKUP("Provisioned MiB",'vInfo (Imported)'!$1:$5000,M4735,FALSE)</f>
        <v>0</v>
      </c>
      <c r="U4735">
        <f t="shared" si="220"/>
        <v>0</v>
      </c>
      <c r="V4735">
        <f>HLOOKUP("In Use MiB",'vInfo (Imported)'!$1:$5000,M4735,FALSE)</f>
        <v>0</v>
      </c>
    </row>
    <row r="4736" spans="1:22" ht="13" x14ac:dyDescent="0.3">
      <c r="A4736" s="46">
        <f>'vHosts (Imported)'!A4736</f>
        <v>0</v>
      </c>
      <c r="B4736" s="51">
        <f t="shared" si="222"/>
        <v>4968</v>
      </c>
      <c r="C4736" s="49">
        <f>HLOOKUP("# Cores",'vHosts (Imported)'!$1:$5000,M4736,FALSE)</f>
        <v>0</v>
      </c>
      <c r="D4736" s="52">
        <f>HLOOKUP("# Memory",'vHosts (Imported)'!$1:$5000,M4736,FALSE)</f>
        <v>0</v>
      </c>
      <c r="M4736" s="45">
        <f t="shared" si="221"/>
        <v>4736</v>
      </c>
      <c r="N4736" s="38">
        <f>HLOOKUP("Host",'vInfo (Imported)'!$1:$5000,M4736,FALSE)</f>
        <v>0</v>
      </c>
      <c r="R4736">
        <f>HLOOKUP("CPUs",'vInfo (Imported)'!$1:$5000,M4736,FALSE)</f>
        <v>0</v>
      </c>
      <c r="S4736">
        <f>HLOOKUP("Memory",'vInfo (Imported)'!$1:$5000,M4736,FALSE)</f>
        <v>0</v>
      </c>
      <c r="T4736">
        <f>HLOOKUP("Provisioned MiB",'vInfo (Imported)'!$1:$5000,M4736,FALSE)</f>
        <v>0</v>
      </c>
      <c r="U4736">
        <f t="shared" si="220"/>
        <v>0</v>
      </c>
      <c r="V4736">
        <f>HLOOKUP("In Use MiB",'vInfo (Imported)'!$1:$5000,M4736,FALSE)</f>
        <v>0</v>
      </c>
    </row>
    <row r="4737" spans="1:22" ht="13" x14ac:dyDescent="0.3">
      <c r="A4737" s="46">
        <f>'vHosts (Imported)'!A4737</f>
        <v>0</v>
      </c>
      <c r="B4737" s="51">
        <f t="shared" si="222"/>
        <v>4968</v>
      </c>
      <c r="C4737" s="49">
        <f>HLOOKUP("# Cores",'vHosts (Imported)'!$1:$5000,M4737,FALSE)</f>
        <v>0</v>
      </c>
      <c r="D4737" s="52">
        <f>HLOOKUP("# Memory",'vHosts (Imported)'!$1:$5000,M4737,FALSE)</f>
        <v>0</v>
      </c>
      <c r="M4737" s="45">
        <f t="shared" si="221"/>
        <v>4737</v>
      </c>
      <c r="N4737" s="38">
        <f>HLOOKUP("Host",'vInfo (Imported)'!$1:$5000,M4737,FALSE)</f>
        <v>0</v>
      </c>
      <c r="R4737">
        <f>HLOOKUP("CPUs",'vInfo (Imported)'!$1:$5000,M4737,FALSE)</f>
        <v>0</v>
      </c>
      <c r="S4737">
        <f>HLOOKUP("Memory",'vInfo (Imported)'!$1:$5000,M4737,FALSE)</f>
        <v>0</v>
      </c>
      <c r="T4737">
        <f>HLOOKUP("Provisioned MiB",'vInfo (Imported)'!$1:$5000,M4737,FALSE)</f>
        <v>0</v>
      </c>
      <c r="U4737">
        <f t="shared" si="220"/>
        <v>0</v>
      </c>
      <c r="V4737">
        <f>HLOOKUP("In Use MiB",'vInfo (Imported)'!$1:$5000,M4737,FALSE)</f>
        <v>0</v>
      </c>
    </row>
    <row r="4738" spans="1:22" ht="13" x14ac:dyDescent="0.3">
      <c r="A4738" s="46">
        <f>'vHosts (Imported)'!A4738</f>
        <v>0</v>
      </c>
      <c r="B4738" s="51">
        <f t="shared" si="222"/>
        <v>4968</v>
      </c>
      <c r="C4738" s="49">
        <f>HLOOKUP("# Cores",'vHosts (Imported)'!$1:$5000,M4738,FALSE)</f>
        <v>0</v>
      </c>
      <c r="D4738" s="52">
        <f>HLOOKUP("# Memory",'vHosts (Imported)'!$1:$5000,M4738,FALSE)</f>
        <v>0</v>
      </c>
      <c r="M4738" s="45">
        <f t="shared" si="221"/>
        <v>4738</v>
      </c>
      <c r="N4738" s="38">
        <f>HLOOKUP("Host",'vInfo (Imported)'!$1:$5000,M4738,FALSE)</f>
        <v>0</v>
      </c>
      <c r="R4738">
        <f>HLOOKUP("CPUs",'vInfo (Imported)'!$1:$5000,M4738,FALSE)</f>
        <v>0</v>
      </c>
      <c r="S4738">
        <f>HLOOKUP("Memory",'vInfo (Imported)'!$1:$5000,M4738,FALSE)</f>
        <v>0</v>
      </c>
      <c r="T4738">
        <f>HLOOKUP("Provisioned MiB",'vInfo (Imported)'!$1:$5000,M4738,FALSE)</f>
        <v>0</v>
      </c>
      <c r="U4738">
        <f t="shared" si="220"/>
        <v>0</v>
      </c>
      <c r="V4738">
        <f>HLOOKUP("In Use MiB",'vInfo (Imported)'!$1:$5000,M4738,FALSE)</f>
        <v>0</v>
      </c>
    </row>
    <row r="4739" spans="1:22" ht="13" x14ac:dyDescent="0.3">
      <c r="A4739" s="46">
        <f>'vHosts (Imported)'!A4739</f>
        <v>0</v>
      </c>
      <c r="B4739" s="51">
        <f t="shared" si="222"/>
        <v>4968</v>
      </c>
      <c r="C4739" s="49">
        <f>HLOOKUP("# Cores",'vHosts (Imported)'!$1:$5000,M4739,FALSE)</f>
        <v>0</v>
      </c>
      <c r="D4739" s="52">
        <f>HLOOKUP("# Memory",'vHosts (Imported)'!$1:$5000,M4739,FALSE)</f>
        <v>0</v>
      </c>
      <c r="M4739" s="45">
        <f t="shared" si="221"/>
        <v>4739</v>
      </c>
      <c r="N4739" s="38">
        <f>HLOOKUP("Host",'vInfo (Imported)'!$1:$5000,M4739,FALSE)</f>
        <v>0</v>
      </c>
      <c r="R4739">
        <f>HLOOKUP("CPUs",'vInfo (Imported)'!$1:$5000,M4739,FALSE)</f>
        <v>0</v>
      </c>
      <c r="S4739">
        <f>HLOOKUP("Memory",'vInfo (Imported)'!$1:$5000,M4739,FALSE)</f>
        <v>0</v>
      </c>
      <c r="T4739">
        <f>HLOOKUP("Provisioned MiB",'vInfo (Imported)'!$1:$5000,M4739,FALSE)</f>
        <v>0</v>
      </c>
      <c r="U4739">
        <f t="shared" ref="U4739:U4802" si="223">T4739-V4739</f>
        <v>0</v>
      </c>
      <c r="V4739">
        <f>HLOOKUP("In Use MiB",'vInfo (Imported)'!$1:$5000,M4739,FALSE)</f>
        <v>0</v>
      </c>
    </row>
    <row r="4740" spans="1:22" ht="13" x14ac:dyDescent="0.3">
      <c r="A4740" s="46">
        <f>'vHosts (Imported)'!A4740</f>
        <v>0</v>
      </c>
      <c r="B4740" s="51">
        <f t="shared" si="222"/>
        <v>4968</v>
      </c>
      <c r="C4740" s="49">
        <f>HLOOKUP("# Cores",'vHosts (Imported)'!$1:$5000,M4740,FALSE)</f>
        <v>0</v>
      </c>
      <c r="D4740" s="52">
        <f>HLOOKUP("# Memory",'vHosts (Imported)'!$1:$5000,M4740,FALSE)</f>
        <v>0</v>
      </c>
      <c r="M4740" s="45">
        <f t="shared" ref="M4740:M4803" si="224">M4739+1</f>
        <v>4740</v>
      </c>
      <c r="N4740" s="38">
        <f>HLOOKUP("Host",'vInfo (Imported)'!$1:$5000,M4740,FALSE)</f>
        <v>0</v>
      </c>
      <c r="R4740">
        <f>HLOOKUP("CPUs",'vInfo (Imported)'!$1:$5000,M4740,FALSE)</f>
        <v>0</v>
      </c>
      <c r="S4740">
        <f>HLOOKUP("Memory",'vInfo (Imported)'!$1:$5000,M4740,FALSE)</f>
        <v>0</v>
      </c>
      <c r="T4740">
        <f>HLOOKUP("Provisioned MiB",'vInfo (Imported)'!$1:$5000,M4740,FALSE)</f>
        <v>0</v>
      </c>
      <c r="U4740">
        <f t="shared" si="223"/>
        <v>0</v>
      </c>
      <c r="V4740">
        <f>HLOOKUP("In Use MiB",'vInfo (Imported)'!$1:$5000,M4740,FALSE)</f>
        <v>0</v>
      </c>
    </row>
    <row r="4741" spans="1:22" ht="13" x14ac:dyDescent="0.3">
      <c r="A4741" s="46">
        <f>'vHosts (Imported)'!A4741</f>
        <v>0</v>
      </c>
      <c r="B4741" s="51">
        <f t="shared" si="222"/>
        <v>4968</v>
      </c>
      <c r="C4741" s="49">
        <f>HLOOKUP("# Cores",'vHosts (Imported)'!$1:$5000,M4741,FALSE)</f>
        <v>0</v>
      </c>
      <c r="D4741" s="52">
        <f>HLOOKUP("# Memory",'vHosts (Imported)'!$1:$5000,M4741,FALSE)</f>
        <v>0</v>
      </c>
      <c r="M4741" s="45">
        <f t="shared" si="224"/>
        <v>4741</v>
      </c>
      <c r="N4741" s="38">
        <f>HLOOKUP("Host",'vInfo (Imported)'!$1:$5000,M4741,FALSE)</f>
        <v>0</v>
      </c>
      <c r="R4741">
        <f>HLOOKUP("CPUs",'vInfo (Imported)'!$1:$5000,M4741,FALSE)</f>
        <v>0</v>
      </c>
      <c r="S4741">
        <f>HLOOKUP("Memory",'vInfo (Imported)'!$1:$5000,M4741,FALSE)</f>
        <v>0</v>
      </c>
      <c r="T4741">
        <f>HLOOKUP("Provisioned MiB",'vInfo (Imported)'!$1:$5000,M4741,FALSE)</f>
        <v>0</v>
      </c>
      <c r="U4741">
        <f t="shared" si="223"/>
        <v>0</v>
      </c>
      <c r="V4741">
        <f>HLOOKUP("In Use MiB",'vInfo (Imported)'!$1:$5000,M4741,FALSE)</f>
        <v>0</v>
      </c>
    </row>
    <row r="4742" spans="1:22" ht="13" x14ac:dyDescent="0.3">
      <c r="A4742" s="46">
        <f>'vHosts (Imported)'!A4742</f>
        <v>0</v>
      </c>
      <c r="B4742" s="51">
        <f t="shared" si="222"/>
        <v>4968</v>
      </c>
      <c r="C4742" s="49">
        <f>HLOOKUP("# Cores",'vHosts (Imported)'!$1:$5000,M4742,FALSE)</f>
        <v>0</v>
      </c>
      <c r="D4742" s="52">
        <f>HLOOKUP("# Memory",'vHosts (Imported)'!$1:$5000,M4742,FALSE)</f>
        <v>0</v>
      </c>
      <c r="M4742" s="45">
        <f t="shared" si="224"/>
        <v>4742</v>
      </c>
      <c r="N4742" s="38">
        <f>HLOOKUP("Host",'vInfo (Imported)'!$1:$5000,M4742,FALSE)</f>
        <v>0</v>
      </c>
      <c r="R4742">
        <f>HLOOKUP("CPUs",'vInfo (Imported)'!$1:$5000,M4742,FALSE)</f>
        <v>0</v>
      </c>
      <c r="S4742">
        <f>HLOOKUP("Memory",'vInfo (Imported)'!$1:$5000,M4742,FALSE)</f>
        <v>0</v>
      </c>
      <c r="T4742">
        <f>HLOOKUP("Provisioned MiB",'vInfo (Imported)'!$1:$5000,M4742,FALSE)</f>
        <v>0</v>
      </c>
      <c r="U4742">
        <f t="shared" si="223"/>
        <v>0</v>
      </c>
      <c r="V4742">
        <f>HLOOKUP("In Use MiB",'vInfo (Imported)'!$1:$5000,M4742,FALSE)</f>
        <v>0</v>
      </c>
    </row>
    <row r="4743" spans="1:22" ht="13" x14ac:dyDescent="0.3">
      <c r="A4743" s="46">
        <f>'vHosts (Imported)'!A4743</f>
        <v>0</v>
      </c>
      <c r="B4743" s="51">
        <f t="shared" si="222"/>
        <v>4968</v>
      </c>
      <c r="C4743" s="49">
        <f>HLOOKUP("# Cores",'vHosts (Imported)'!$1:$5000,M4743,FALSE)</f>
        <v>0</v>
      </c>
      <c r="D4743" s="52">
        <f>HLOOKUP("# Memory",'vHosts (Imported)'!$1:$5000,M4743,FALSE)</f>
        <v>0</v>
      </c>
      <c r="M4743" s="45">
        <f t="shared" si="224"/>
        <v>4743</v>
      </c>
      <c r="N4743" s="38">
        <f>HLOOKUP("Host",'vInfo (Imported)'!$1:$5000,M4743,FALSE)</f>
        <v>0</v>
      </c>
      <c r="R4743">
        <f>HLOOKUP("CPUs",'vInfo (Imported)'!$1:$5000,M4743,FALSE)</f>
        <v>0</v>
      </c>
      <c r="S4743">
        <f>HLOOKUP("Memory",'vInfo (Imported)'!$1:$5000,M4743,FALSE)</f>
        <v>0</v>
      </c>
      <c r="T4743">
        <f>HLOOKUP("Provisioned MiB",'vInfo (Imported)'!$1:$5000,M4743,FALSE)</f>
        <v>0</v>
      </c>
      <c r="U4743">
        <f t="shared" si="223"/>
        <v>0</v>
      </c>
      <c r="V4743">
        <f>HLOOKUP("In Use MiB",'vInfo (Imported)'!$1:$5000,M4743,FALSE)</f>
        <v>0</v>
      </c>
    </row>
    <row r="4744" spans="1:22" ht="13" x14ac:dyDescent="0.3">
      <c r="A4744" s="46">
        <f>'vHosts (Imported)'!A4744</f>
        <v>0</v>
      </c>
      <c r="B4744" s="51">
        <f t="shared" si="222"/>
        <v>4968</v>
      </c>
      <c r="C4744" s="49">
        <f>HLOOKUP("# Cores",'vHosts (Imported)'!$1:$5000,M4744,FALSE)</f>
        <v>0</v>
      </c>
      <c r="D4744" s="52">
        <f>HLOOKUP("# Memory",'vHosts (Imported)'!$1:$5000,M4744,FALSE)</f>
        <v>0</v>
      </c>
      <c r="M4744" s="45">
        <f t="shared" si="224"/>
        <v>4744</v>
      </c>
      <c r="N4744" s="38">
        <f>HLOOKUP("Host",'vInfo (Imported)'!$1:$5000,M4744,FALSE)</f>
        <v>0</v>
      </c>
      <c r="R4744">
        <f>HLOOKUP("CPUs",'vInfo (Imported)'!$1:$5000,M4744,FALSE)</f>
        <v>0</v>
      </c>
      <c r="S4744">
        <f>HLOOKUP("Memory",'vInfo (Imported)'!$1:$5000,M4744,FALSE)</f>
        <v>0</v>
      </c>
      <c r="T4744">
        <f>HLOOKUP("Provisioned MiB",'vInfo (Imported)'!$1:$5000,M4744,FALSE)</f>
        <v>0</v>
      </c>
      <c r="U4744">
        <f t="shared" si="223"/>
        <v>0</v>
      </c>
      <c r="V4744">
        <f>HLOOKUP("In Use MiB",'vInfo (Imported)'!$1:$5000,M4744,FALSE)</f>
        <v>0</v>
      </c>
    </row>
    <row r="4745" spans="1:22" ht="13" x14ac:dyDescent="0.3">
      <c r="A4745" s="46">
        <f>'vHosts (Imported)'!A4745</f>
        <v>0</v>
      </c>
      <c r="B4745" s="51">
        <f t="shared" si="222"/>
        <v>4968</v>
      </c>
      <c r="C4745" s="49">
        <f>HLOOKUP("# Cores",'vHosts (Imported)'!$1:$5000,M4745,FALSE)</f>
        <v>0</v>
      </c>
      <c r="D4745" s="52">
        <f>HLOOKUP("# Memory",'vHosts (Imported)'!$1:$5000,M4745,FALSE)</f>
        <v>0</v>
      </c>
      <c r="M4745" s="45">
        <f t="shared" si="224"/>
        <v>4745</v>
      </c>
      <c r="N4745" s="38">
        <f>HLOOKUP("Host",'vInfo (Imported)'!$1:$5000,M4745,FALSE)</f>
        <v>0</v>
      </c>
      <c r="R4745">
        <f>HLOOKUP("CPUs",'vInfo (Imported)'!$1:$5000,M4745,FALSE)</f>
        <v>0</v>
      </c>
      <c r="S4745">
        <f>HLOOKUP("Memory",'vInfo (Imported)'!$1:$5000,M4745,FALSE)</f>
        <v>0</v>
      </c>
      <c r="T4745">
        <f>HLOOKUP("Provisioned MiB",'vInfo (Imported)'!$1:$5000,M4745,FALSE)</f>
        <v>0</v>
      </c>
      <c r="U4745">
        <f t="shared" si="223"/>
        <v>0</v>
      </c>
      <c r="V4745">
        <f>HLOOKUP("In Use MiB",'vInfo (Imported)'!$1:$5000,M4745,FALSE)</f>
        <v>0</v>
      </c>
    </row>
    <row r="4746" spans="1:22" ht="13" x14ac:dyDescent="0.3">
      <c r="A4746" s="46">
        <f>'vHosts (Imported)'!A4746</f>
        <v>0</v>
      </c>
      <c r="B4746" s="51">
        <f t="shared" si="222"/>
        <v>4968</v>
      </c>
      <c r="C4746" s="49">
        <f>HLOOKUP("# Cores",'vHosts (Imported)'!$1:$5000,M4746,FALSE)</f>
        <v>0</v>
      </c>
      <c r="D4746" s="52">
        <f>HLOOKUP("# Memory",'vHosts (Imported)'!$1:$5000,M4746,FALSE)</f>
        <v>0</v>
      </c>
      <c r="M4746" s="45">
        <f t="shared" si="224"/>
        <v>4746</v>
      </c>
      <c r="N4746" s="38">
        <f>HLOOKUP("Host",'vInfo (Imported)'!$1:$5000,M4746,FALSE)</f>
        <v>0</v>
      </c>
      <c r="R4746">
        <f>HLOOKUP("CPUs",'vInfo (Imported)'!$1:$5000,M4746,FALSE)</f>
        <v>0</v>
      </c>
      <c r="S4746">
        <f>HLOOKUP("Memory",'vInfo (Imported)'!$1:$5000,M4746,FALSE)</f>
        <v>0</v>
      </c>
      <c r="T4746">
        <f>HLOOKUP("Provisioned MiB",'vInfo (Imported)'!$1:$5000,M4746,FALSE)</f>
        <v>0</v>
      </c>
      <c r="U4746">
        <f t="shared" si="223"/>
        <v>0</v>
      </c>
      <c r="V4746">
        <f>HLOOKUP("In Use MiB",'vInfo (Imported)'!$1:$5000,M4746,FALSE)</f>
        <v>0</v>
      </c>
    </row>
    <row r="4747" spans="1:22" ht="13" x14ac:dyDescent="0.3">
      <c r="A4747" s="46">
        <f>'vHosts (Imported)'!A4747</f>
        <v>0</v>
      </c>
      <c r="B4747" s="51">
        <f t="shared" si="222"/>
        <v>4968</v>
      </c>
      <c r="C4747" s="49">
        <f>HLOOKUP("# Cores",'vHosts (Imported)'!$1:$5000,M4747,FALSE)</f>
        <v>0</v>
      </c>
      <c r="D4747" s="52">
        <f>HLOOKUP("# Memory",'vHosts (Imported)'!$1:$5000,M4747,FALSE)</f>
        <v>0</v>
      </c>
      <c r="M4747" s="45">
        <f t="shared" si="224"/>
        <v>4747</v>
      </c>
      <c r="N4747" s="38">
        <f>HLOOKUP("Host",'vInfo (Imported)'!$1:$5000,M4747,FALSE)</f>
        <v>0</v>
      </c>
      <c r="R4747">
        <f>HLOOKUP("CPUs",'vInfo (Imported)'!$1:$5000,M4747,FALSE)</f>
        <v>0</v>
      </c>
      <c r="S4747">
        <f>HLOOKUP("Memory",'vInfo (Imported)'!$1:$5000,M4747,FALSE)</f>
        <v>0</v>
      </c>
      <c r="T4747">
        <f>HLOOKUP("Provisioned MiB",'vInfo (Imported)'!$1:$5000,M4747,FALSE)</f>
        <v>0</v>
      </c>
      <c r="U4747">
        <f t="shared" si="223"/>
        <v>0</v>
      </c>
      <c r="V4747">
        <f>HLOOKUP("In Use MiB",'vInfo (Imported)'!$1:$5000,M4747,FALSE)</f>
        <v>0</v>
      </c>
    </row>
    <row r="4748" spans="1:22" ht="13" x14ac:dyDescent="0.3">
      <c r="A4748" s="46">
        <f>'vHosts (Imported)'!A4748</f>
        <v>0</v>
      </c>
      <c r="B4748" s="51">
        <f t="shared" si="222"/>
        <v>4968</v>
      </c>
      <c r="C4748" s="49">
        <f>HLOOKUP("# Cores",'vHosts (Imported)'!$1:$5000,M4748,FALSE)</f>
        <v>0</v>
      </c>
      <c r="D4748" s="52">
        <f>HLOOKUP("# Memory",'vHosts (Imported)'!$1:$5000,M4748,FALSE)</f>
        <v>0</v>
      </c>
      <c r="M4748" s="45">
        <f t="shared" si="224"/>
        <v>4748</v>
      </c>
      <c r="N4748" s="38">
        <f>HLOOKUP("Host",'vInfo (Imported)'!$1:$5000,M4748,FALSE)</f>
        <v>0</v>
      </c>
      <c r="R4748">
        <f>HLOOKUP("CPUs",'vInfo (Imported)'!$1:$5000,M4748,FALSE)</f>
        <v>0</v>
      </c>
      <c r="S4748">
        <f>HLOOKUP("Memory",'vInfo (Imported)'!$1:$5000,M4748,FALSE)</f>
        <v>0</v>
      </c>
      <c r="T4748">
        <f>HLOOKUP("Provisioned MiB",'vInfo (Imported)'!$1:$5000,M4748,FALSE)</f>
        <v>0</v>
      </c>
      <c r="U4748">
        <f t="shared" si="223"/>
        <v>0</v>
      </c>
      <c r="V4748">
        <f>HLOOKUP("In Use MiB",'vInfo (Imported)'!$1:$5000,M4748,FALSE)</f>
        <v>0</v>
      </c>
    </row>
    <row r="4749" spans="1:22" ht="13" x14ac:dyDescent="0.3">
      <c r="A4749" s="46">
        <f>'vHosts (Imported)'!A4749</f>
        <v>0</v>
      </c>
      <c r="B4749" s="51">
        <f t="shared" si="222"/>
        <v>4968</v>
      </c>
      <c r="C4749" s="49">
        <f>HLOOKUP("# Cores",'vHosts (Imported)'!$1:$5000,M4749,FALSE)</f>
        <v>0</v>
      </c>
      <c r="D4749" s="52">
        <f>HLOOKUP("# Memory",'vHosts (Imported)'!$1:$5000,M4749,FALSE)</f>
        <v>0</v>
      </c>
      <c r="M4749" s="45">
        <f t="shared" si="224"/>
        <v>4749</v>
      </c>
      <c r="N4749" s="38">
        <f>HLOOKUP("Host",'vInfo (Imported)'!$1:$5000,M4749,FALSE)</f>
        <v>0</v>
      </c>
      <c r="R4749">
        <f>HLOOKUP("CPUs",'vInfo (Imported)'!$1:$5000,M4749,FALSE)</f>
        <v>0</v>
      </c>
      <c r="S4749">
        <f>HLOOKUP("Memory",'vInfo (Imported)'!$1:$5000,M4749,FALSE)</f>
        <v>0</v>
      </c>
      <c r="T4749">
        <f>HLOOKUP("Provisioned MiB",'vInfo (Imported)'!$1:$5000,M4749,FALSE)</f>
        <v>0</v>
      </c>
      <c r="U4749">
        <f t="shared" si="223"/>
        <v>0</v>
      </c>
      <c r="V4749">
        <f>HLOOKUP("In Use MiB",'vInfo (Imported)'!$1:$5000,M4749,FALSE)</f>
        <v>0</v>
      </c>
    </row>
    <row r="4750" spans="1:22" ht="13" x14ac:dyDescent="0.3">
      <c r="A4750" s="46">
        <f>'vHosts (Imported)'!A4750</f>
        <v>0</v>
      </c>
      <c r="B4750" s="51">
        <f t="shared" si="222"/>
        <v>4968</v>
      </c>
      <c r="C4750" s="49">
        <f>HLOOKUP("# Cores",'vHosts (Imported)'!$1:$5000,M4750,FALSE)</f>
        <v>0</v>
      </c>
      <c r="D4750" s="52">
        <f>HLOOKUP("# Memory",'vHosts (Imported)'!$1:$5000,M4750,FALSE)</f>
        <v>0</v>
      </c>
      <c r="M4750" s="45">
        <f t="shared" si="224"/>
        <v>4750</v>
      </c>
      <c r="N4750" s="38">
        <f>HLOOKUP("Host",'vInfo (Imported)'!$1:$5000,M4750,FALSE)</f>
        <v>0</v>
      </c>
      <c r="R4750">
        <f>HLOOKUP("CPUs",'vInfo (Imported)'!$1:$5000,M4750,FALSE)</f>
        <v>0</v>
      </c>
      <c r="S4750">
        <f>HLOOKUP("Memory",'vInfo (Imported)'!$1:$5000,M4750,FALSE)</f>
        <v>0</v>
      </c>
      <c r="T4750">
        <f>HLOOKUP("Provisioned MiB",'vInfo (Imported)'!$1:$5000,M4750,FALSE)</f>
        <v>0</v>
      </c>
      <c r="U4750">
        <f t="shared" si="223"/>
        <v>0</v>
      </c>
      <c r="V4750">
        <f>HLOOKUP("In Use MiB",'vInfo (Imported)'!$1:$5000,M4750,FALSE)</f>
        <v>0</v>
      </c>
    </row>
    <row r="4751" spans="1:22" ht="13" x14ac:dyDescent="0.3">
      <c r="A4751" s="46">
        <f>'vHosts (Imported)'!A4751</f>
        <v>0</v>
      </c>
      <c r="B4751" s="51">
        <f t="shared" si="222"/>
        <v>4968</v>
      </c>
      <c r="C4751" s="49">
        <f>HLOOKUP("# Cores",'vHosts (Imported)'!$1:$5000,M4751,FALSE)</f>
        <v>0</v>
      </c>
      <c r="D4751" s="52">
        <f>HLOOKUP("# Memory",'vHosts (Imported)'!$1:$5000,M4751,FALSE)</f>
        <v>0</v>
      </c>
      <c r="M4751" s="45">
        <f t="shared" si="224"/>
        <v>4751</v>
      </c>
      <c r="N4751" s="38">
        <f>HLOOKUP("Host",'vInfo (Imported)'!$1:$5000,M4751,FALSE)</f>
        <v>0</v>
      </c>
      <c r="R4751">
        <f>HLOOKUP("CPUs",'vInfo (Imported)'!$1:$5000,M4751,FALSE)</f>
        <v>0</v>
      </c>
      <c r="S4751">
        <f>HLOOKUP("Memory",'vInfo (Imported)'!$1:$5000,M4751,FALSE)</f>
        <v>0</v>
      </c>
      <c r="T4751">
        <f>HLOOKUP("Provisioned MiB",'vInfo (Imported)'!$1:$5000,M4751,FALSE)</f>
        <v>0</v>
      </c>
      <c r="U4751">
        <f t="shared" si="223"/>
        <v>0</v>
      </c>
      <c r="V4751">
        <f>HLOOKUP("In Use MiB",'vInfo (Imported)'!$1:$5000,M4751,FALSE)</f>
        <v>0</v>
      </c>
    </row>
    <row r="4752" spans="1:22" ht="13" x14ac:dyDescent="0.3">
      <c r="A4752" s="46">
        <f>'vHosts (Imported)'!A4752</f>
        <v>0</v>
      </c>
      <c r="B4752" s="51">
        <f t="shared" si="222"/>
        <v>4968</v>
      </c>
      <c r="C4752" s="49">
        <f>HLOOKUP("# Cores",'vHosts (Imported)'!$1:$5000,M4752,FALSE)</f>
        <v>0</v>
      </c>
      <c r="D4752" s="52">
        <f>HLOOKUP("# Memory",'vHosts (Imported)'!$1:$5000,M4752,FALSE)</f>
        <v>0</v>
      </c>
      <c r="M4752" s="45">
        <f t="shared" si="224"/>
        <v>4752</v>
      </c>
      <c r="N4752" s="38">
        <f>HLOOKUP("Host",'vInfo (Imported)'!$1:$5000,M4752,FALSE)</f>
        <v>0</v>
      </c>
      <c r="R4752">
        <f>HLOOKUP("CPUs",'vInfo (Imported)'!$1:$5000,M4752,FALSE)</f>
        <v>0</v>
      </c>
      <c r="S4752">
        <f>HLOOKUP("Memory",'vInfo (Imported)'!$1:$5000,M4752,FALSE)</f>
        <v>0</v>
      </c>
      <c r="T4752">
        <f>HLOOKUP("Provisioned MiB",'vInfo (Imported)'!$1:$5000,M4752,FALSE)</f>
        <v>0</v>
      </c>
      <c r="U4752">
        <f t="shared" si="223"/>
        <v>0</v>
      </c>
      <c r="V4752">
        <f>HLOOKUP("In Use MiB",'vInfo (Imported)'!$1:$5000,M4752,FALSE)</f>
        <v>0</v>
      </c>
    </row>
    <row r="4753" spans="1:22" ht="13" x14ac:dyDescent="0.3">
      <c r="A4753" s="46">
        <f>'vHosts (Imported)'!A4753</f>
        <v>0</v>
      </c>
      <c r="B4753" s="51">
        <f t="shared" si="222"/>
        <v>4968</v>
      </c>
      <c r="C4753" s="49">
        <f>HLOOKUP("# Cores",'vHosts (Imported)'!$1:$5000,M4753,FALSE)</f>
        <v>0</v>
      </c>
      <c r="D4753" s="52">
        <f>HLOOKUP("# Memory",'vHosts (Imported)'!$1:$5000,M4753,FALSE)</f>
        <v>0</v>
      </c>
      <c r="M4753" s="45">
        <f t="shared" si="224"/>
        <v>4753</v>
      </c>
      <c r="N4753" s="38">
        <f>HLOOKUP("Host",'vInfo (Imported)'!$1:$5000,M4753,FALSE)</f>
        <v>0</v>
      </c>
      <c r="R4753">
        <f>HLOOKUP("CPUs",'vInfo (Imported)'!$1:$5000,M4753,FALSE)</f>
        <v>0</v>
      </c>
      <c r="S4753">
        <f>HLOOKUP("Memory",'vInfo (Imported)'!$1:$5000,M4753,FALSE)</f>
        <v>0</v>
      </c>
      <c r="T4753">
        <f>HLOOKUP("Provisioned MiB",'vInfo (Imported)'!$1:$5000,M4753,FALSE)</f>
        <v>0</v>
      </c>
      <c r="U4753">
        <f t="shared" si="223"/>
        <v>0</v>
      </c>
      <c r="V4753">
        <f>HLOOKUP("In Use MiB",'vInfo (Imported)'!$1:$5000,M4753,FALSE)</f>
        <v>0</v>
      </c>
    </row>
    <row r="4754" spans="1:22" ht="13" x14ac:dyDescent="0.3">
      <c r="A4754" s="46">
        <f>'vHosts (Imported)'!A4754</f>
        <v>0</v>
      </c>
      <c r="B4754" s="51">
        <f t="shared" si="222"/>
        <v>4968</v>
      </c>
      <c r="C4754" s="49">
        <f>HLOOKUP("# Cores",'vHosts (Imported)'!$1:$5000,M4754,FALSE)</f>
        <v>0</v>
      </c>
      <c r="D4754" s="52">
        <f>HLOOKUP("# Memory",'vHosts (Imported)'!$1:$5000,M4754,FALSE)</f>
        <v>0</v>
      </c>
      <c r="M4754" s="45">
        <f t="shared" si="224"/>
        <v>4754</v>
      </c>
      <c r="N4754" s="38">
        <f>HLOOKUP("Host",'vInfo (Imported)'!$1:$5000,M4754,FALSE)</f>
        <v>0</v>
      </c>
      <c r="R4754">
        <f>HLOOKUP("CPUs",'vInfo (Imported)'!$1:$5000,M4754,FALSE)</f>
        <v>0</v>
      </c>
      <c r="S4754">
        <f>HLOOKUP("Memory",'vInfo (Imported)'!$1:$5000,M4754,FALSE)</f>
        <v>0</v>
      </c>
      <c r="T4754">
        <f>HLOOKUP("Provisioned MiB",'vInfo (Imported)'!$1:$5000,M4754,FALSE)</f>
        <v>0</v>
      </c>
      <c r="U4754">
        <f t="shared" si="223"/>
        <v>0</v>
      </c>
      <c r="V4754">
        <f>HLOOKUP("In Use MiB",'vInfo (Imported)'!$1:$5000,M4754,FALSE)</f>
        <v>0</v>
      </c>
    </row>
    <row r="4755" spans="1:22" ht="13" x14ac:dyDescent="0.3">
      <c r="A4755" s="46">
        <f>'vHosts (Imported)'!A4755</f>
        <v>0</v>
      </c>
      <c r="B4755" s="51">
        <f t="shared" si="222"/>
        <v>4968</v>
      </c>
      <c r="C4755" s="49">
        <f>HLOOKUP("# Cores",'vHosts (Imported)'!$1:$5000,M4755,FALSE)</f>
        <v>0</v>
      </c>
      <c r="D4755" s="52">
        <f>HLOOKUP("# Memory",'vHosts (Imported)'!$1:$5000,M4755,FALSE)</f>
        <v>0</v>
      </c>
      <c r="M4755" s="45">
        <f t="shared" si="224"/>
        <v>4755</v>
      </c>
      <c r="N4755" s="38">
        <f>HLOOKUP("Host",'vInfo (Imported)'!$1:$5000,M4755,FALSE)</f>
        <v>0</v>
      </c>
      <c r="R4755">
        <f>HLOOKUP("CPUs",'vInfo (Imported)'!$1:$5000,M4755,FALSE)</f>
        <v>0</v>
      </c>
      <c r="S4755">
        <f>HLOOKUP("Memory",'vInfo (Imported)'!$1:$5000,M4755,FALSE)</f>
        <v>0</v>
      </c>
      <c r="T4755">
        <f>HLOOKUP("Provisioned MiB",'vInfo (Imported)'!$1:$5000,M4755,FALSE)</f>
        <v>0</v>
      </c>
      <c r="U4755">
        <f t="shared" si="223"/>
        <v>0</v>
      </c>
      <c r="V4755">
        <f>HLOOKUP("In Use MiB",'vInfo (Imported)'!$1:$5000,M4755,FALSE)</f>
        <v>0</v>
      </c>
    </row>
    <row r="4756" spans="1:22" ht="13" x14ac:dyDescent="0.3">
      <c r="A4756" s="46">
        <f>'vHosts (Imported)'!A4756</f>
        <v>0</v>
      </c>
      <c r="B4756" s="51">
        <f t="shared" si="222"/>
        <v>4968</v>
      </c>
      <c r="C4756" s="49">
        <f>HLOOKUP("# Cores",'vHosts (Imported)'!$1:$5000,M4756,FALSE)</f>
        <v>0</v>
      </c>
      <c r="D4756" s="52">
        <f>HLOOKUP("# Memory",'vHosts (Imported)'!$1:$5000,M4756,FALSE)</f>
        <v>0</v>
      </c>
      <c r="M4756" s="45">
        <f t="shared" si="224"/>
        <v>4756</v>
      </c>
      <c r="N4756" s="38">
        <f>HLOOKUP("Host",'vInfo (Imported)'!$1:$5000,M4756,FALSE)</f>
        <v>0</v>
      </c>
      <c r="R4756">
        <f>HLOOKUP("CPUs",'vInfo (Imported)'!$1:$5000,M4756,FALSE)</f>
        <v>0</v>
      </c>
      <c r="S4756">
        <f>HLOOKUP("Memory",'vInfo (Imported)'!$1:$5000,M4756,FALSE)</f>
        <v>0</v>
      </c>
      <c r="T4756">
        <f>HLOOKUP("Provisioned MiB",'vInfo (Imported)'!$1:$5000,M4756,FALSE)</f>
        <v>0</v>
      </c>
      <c r="U4756">
        <f t="shared" si="223"/>
        <v>0</v>
      </c>
      <c r="V4756">
        <f>HLOOKUP("In Use MiB",'vInfo (Imported)'!$1:$5000,M4756,FALSE)</f>
        <v>0</v>
      </c>
    </row>
    <row r="4757" spans="1:22" ht="13" x14ac:dyDescent="0.3">
      <c r="A4757" s="46">
        <f>'vHosts (Imported)'!A4757</f>
        <v>0</v>
      </c>
      <c r="B4757" s="51">
        <f t="shared" si="222"/>
        <v>4968</v>
      </c>
      <c r="C4757" s="49">
        <f>HLOOKUP("# Cores",'vHosts (Imported)'!$1:$5000,M4757,FALSE)</f>
        <v>0</v>
      </c>
      <c r="D4757" s="52">
        <f>HLOOKUP("# Memory",'vHosts (Imported)'!$1:$5000,M4757,FALSE)</f>
        <v>0</v>
      </c>
      <c r="M4757" s="45">
        <f t="shared" si="224"/>
        <v>4757</v>
      </c>
      <c r="N4757" s="38">
        <f>HLOOKUP("Host",'vInfo (Imported)'!$1:$5000,M4757,FALSE)</f>
        <v>0</v>
      </c>
      <c r="R4757">
        <f>HLOOKUP("CPUs",'vInfo (Imported)'!$1:$5000,M4757,FALSE)</f>
        <v>0</v>
      </c>
      <c r="S4757">
        <f>HLOOKUP("Memory",'vInfo (Imported)'!$1:$5000,M4757,FALSE)</f>
        <v>0</v>
      </c>
      <c r="T4757">
        <f>HLOOKUP("Provisioned MiB",'vInfo (Imported)'!$1:$5000,M4757,FALSE)</f>
        <v>0</v>
      </c>
      <c r="U4757">
        <f t="shared" si="223"/>
        <v>0</v>
      </c>
      <c r="V4757">
        <f>HLOOKUP("In Use MiB",'vInfo (Imported)'!$1:$5000,M4757,FALSE)</f>
        <v>0</v>
      </c>
    </row>
    <row r="4758" spans="1:22" ht="13" x14ac:dyDescent="0.3">
      <c r="A4758" s="46">
        <f>'vHosts (Imported)'!A4758</f>
        <v>0</v>
      </c>
      <c r="B4758" s="51">
        <f t="shared" si="222"/>
        <v>4968</v>
      </c>
      <c r="C4758" s="49">
        <f>HLOOKUP("# Cores",'vHosts (Imported)'!$1:$5000,M4758,FALSE)</f>
        <v>0</v>
      </c>
      <c r="D4758" s="52">
        <f>HLOOKUP("# Memory",'vHosts (Imported)'!$1:$5000,M4758,FALSE)</f>
        <v>0</v>
      </c>
      <c r="M4758" s="45">
        <f t="shared" si="224"/>
        <v>4758</v>
      </c>
      <c r="N4758" s="38">
        <f>HLOOKUP("Host",'vInfo (Imported)'!$1:$5000,M4758,FALSE)</f>
        <v>0</v>
      </c>
      <c r="R4758">
        <f>HLOOKUP("CPUs",'vInfo (Imported)'!$1:$5000,M4758,FALSE)</f>
        <v>0</v>
      </c>
      <c r="S4758">
        <f>HLOOKUP("Memory",'vInfo (Imported)'!$1:$5000,M4758,FALSE)</f>
        <v>0</v>
      </c>
      <c r="T4758">
        <f>HLOOKUP("Provisioned MiB",'vInfo (Imported)'!$1:$5000,M4758,FALSE)</f>
        <v>0</v>
      </c>
      <c r="U4758">
        <f t="shared" si="223"/>
        <v>0</v>
      </c>
      <c r="V4758">
        <f>HLOOKUP("In Use MiB",'vInfo (Imported)'!$1:$5000,M4758,FALSE)</f>
        <v>0</v>
      </c>
    </row>
    <row r="4759" spans="1:22" ht="13" x14ac:dyDescent="0.3">
      <c r="A4759" s="46">
        <f>'vHosts (Imported)'!A4759</f>
        <v>0</v>
      </c>
      <c r="B4759" s="51">
        <f t="shared" si="222"/>
        <v>4968</v>
      </c>
      <c r="C4759" s="49">
        <f>HLOOKUP("# Cores",'vHosts (Imported)'!$1:$5000,M4759,FALSE)</f>
        <v>0</v>
      </c>
      <c r="D4759" s="52">
        <f>HLOOKUP("# Memory",'vHosts (Imported)'!$1:$5000,M4759,FALSE)</f>
        <v>0</v>
      </c>
      <c r="M4759" s="45">
        <f t="shared" si="224"/>
        <v>4759</v>
      </c>
      <c r="N4759" s="38">
        <f>HLOOKUP("Host",'vInfo (Imported)'!$1:$5000,M4759,FALSE)</f>
        <v>0</v>
      </c>
      <c r="R4759">
        <f>HLOOKUP("CPUs",'vInfo (Imported)'!$1:$5000,M4759,FALSE)</f>
        <v>0</v>
      </c>
      <c r="S4759">
        <f>HLOOKUP("Memory",'vInfo (Imported)'!$1:$5000,M4759,FALSE)</f>
        <v>0</v>
      </c>
      <c r="T4759">
        <f>HLOOKUP("Provisioned MiB",'vInfo (Imported)'!$1:$5000,M4759,FALSE)</f>
        <v>0</v>
      </c>
      <c r="U4759">
        <f t="shared" si="223"/>
        <v>0</v>
      </c>
      <c r="V4759">
        <f>HLOOKUP("In Use MiB",'vInfo (Imported)'!$1:$5000,M4759,FALSE)</f>
        <v>0</v>
      </c>
    </row>
    <row r="4760" spans="1:22" ht="13" x14ac:dyDescent="0.3">
      <c r="A4760" s="46">
        <f>'vHosts (Imported)'!A4760</f>
        <v>0</v>
      </c>
      <c r="B4760" s="51">
        <f t="shared" si="222"/>
        <v>4968</v>
      </c>
      <c r="C4760" s="49">
        <f>HLOOKUP("# Cores",'vHosts (Imported)'!$1:$5000,M4760,FALSE)</f>
        <v>0</v>
      </c>
      <c r="D4760" s="52">
        <f>HLOOKUP("# Memory",'vHosts (Imported)'!$1:$5000,M4760,FALSE)</f>
        <v>0</v>
      </c>
      <c r="M4760" s="45">
        <f t="shared" si="224"/>
        <v>4760</v>
      </c>
      <c r="N4760" s="38">
        <f>HLOOKUP("Host",'vInfo (Imported)'!$1:$5000,M4760,FALSE)</f>
        <v>0</v>
      </c>
      <c r="R4760">
        <f>HLOOKUP("CPUs",'vInfo (Imported)'!$1:$5000,M4760,FALSE)</f>
        <v>0</v>
      </c>
      <c r="S4760">
        <f>HLOOKUP("Memory",'vInfo (Imported)'!$1:$5000,M4760,FALSE)</f>
        <v>0</v>
      </c>
      <c r="T4760">
        <f>HLOOKUP("Provisioned MiB",'vInfo (Imported)'!$1:$5000,M4760,FALSE)</f>
        <v>0</v>
      </c>
      <c r="U4760">
        <f t="shared" si="223"/>
        <v>0</v>
      </c>
      <c r="V4760">
        <f>HLOOKUP("In Use MiB",'vInfo (Imported)'!$1:$5000,M4760,FALSE)</f>
        <v>0</v>
      </c>
    </row>
    <row r="4761" spans="1:22" ht="13" x14ac:dyDescent="0.3">
      <c r="A4761" s="46">
        <f>'vHosts (Imported)'!A4761</f>
        <v>0</v>
      </c>
      <c r="B4761" s="51">
        <f t="shared" si="222"/>
        <v>4968</v>
      </c>
      <c r="C4761" s="49">
        <f>HLOOKUP("# Cores",'vHosts (Imported)'!$1:$5000,M4761,FALSE)</f>
        <v>0</v>
      </c>
      <c r="D4761" s="52">
        <f>HLOOKUP("# Memory",'vHosts (Imported)'!$1:$5000,M4761,FALSE)</f>
        <v>0</v>
      </c>
      <c r="M4761" s="45">
        <f t="shared" si="224"/>
        <v>4761</v>
      </c>
      <c r="N4761" s="38">
        <f>HLOOKUP("Host",'vInfo (Imported)'!$1:$5000,M4761,FALSE)</f>
        <v>0</v>
      </c>
      <c r="R4761">
        <f>HLOOKUP("CPUs",'vInfo (Imported)'!$1:$5000,M4761,FALSE)</f>
        <v>0</v>
      </c>
      <c r="S4761">
        <f>HLOOKUP("Memory",'vInfo (Imported)'!$1:$5000,M4761,FALSE)</f>
        <v>0</v>
      </c>
      <c r="T4761">
        <f>HLOOKUP("Provisioned MiB",'vInfo (Imported)'!$1:$5000,M4761,FALSE)</f>
        <v>0</v>
      </c>
      <c r="U4761">
        <f t="shared" si="223"/>
        <v>0</v>
      </c>
      <c r="V4761">
        <f>HLOOKUP("In Use MiB",'vInfo (Imported)'!$1:$5000,M4761,FALSE)</f>
        <v>0</v>
      </c>
    </row>
    <row r="4762" spans="1:22" ht="13" x14ac:dyDescent="0.3">
      <c r="A4762" s="46">
        <f>'vHosts (Imported)'!A4762</f>
        <v>0</v>
      </c>
      <c r="B4762" s="51">
        <f t="shared" si="222"/>
        <v>4968</v>
      </c>
      <c r="C4762" s="49">
        <f>HLOOKUP("# Cores",'vHosts (Imported)'!$1:$5000,M4762,FALSE)</f>
        <v>0</v>
      </c>
      <c r="D4762" s="52">
        <f>HLOOKUP("# Memory",'vHosts (Imported)'!$1:$5000,M4762,FALSE)</f>
        <v>0</v>
      </c>
      <c r="M4762" s="45">
        <f t="shared" si="224"/>
        <v>4762</v>
      </c>
      <c r="N4762" s="38">
        <f>HLOOKUP("Host",'vInfo (Imported)'!$1:$5000,M4762,FALSE)</f>
        <v>0</v>
      </c>
      <c r="R4762">
        <f>HLOOKUP("CPUs",'vInfo (Imported)'!$1:$5000,M4762,FALSE)</f>
        <v>0</v>
      </c>
      <c r="S4762">
        <f>HLOOKUP("Memory",'vInfo (Imported)'!$1:$5000,M4762,FALSE)</f>
        <v>0</v>
      </c>
      <c r="T4762">
        <f>HLOOKUP("Provisioned MiB",'vInfo (Imported)'!$1:$5000,M4762,FALSE)</f>
        <v>0</v>
      </c>
      <c r="U4762">
        <f t="shared" si="223"/>
        <v>0</v>
      </c>
      <c r="V4762">
        <f>HLOOKUP("In Use MiB",'vInfo (Imported)'!$1:$5000,M4762,FALSE)</f>
        <v>0</v>
      </c>
    </row>
    <row r="4763" spans="1:22" ht="13" x14ac:dyDescent="0.3">
      <c r="A4763" s="46">
        <f>'vHosts (Imported)'!A4763</f>
        <v>0</v>
      </c>
      <c r="B4763" s="51">
        <f t="shared" si="222"/>
        <v>4968</v>
      </c>
      <c r="C4763" s="49">
        <f>HLOOKUP("# Cores",'vHosts (Imported)'!$1:$5000,M4763,FALSE)</f>
        <v>0</v>
      </c>
      <c r="D4763" s="52">
        <f>HLOOKUP("# Memory",'vHosts (Imported)'!$1:$5000,M4763,FALSE)</f>
        <v>0</v>
      </c>
      <c r="M4763" s="45">
        <f t="shared" si="224"/>
        <v>4763</v>
      </c>
      <c r="N4763" s="38">
        <f>HLOOKUP("Host",'vInfo (Imported)'!$1:$5000,M4763,FALSE)</f>
        <v>0</v>
      </c>
      <c r="R4763">
        <f>HLOOKUP("CPUs",'vInfo (Imported)'!$1:$5000,M4763,FALSE)</f>
        <v>0</v>
      </c>
      <c r="S4763">
        <f>HLOOKUP("Memory",'vInfo (Imported)'!$1:$5000,M4763,FALSE)</f>
        <v>0</v>
      </c>
      <c r="T4763">
        <f>HLOOKUP("Provisioned MiB",'vInfo (Imported)'!$1:$5000,M4763,FALSE)</f>
        <v>0</v>
      </c>
      <c r="U4763">
        <f t="shared" si="223"/>
        <v>0</v>
      </c>
      <c r="V4763">
        <f>HLOOKUP("In Use MiB",'vInfo (Imported)'!$1:$5000,M4763,FALSE)</f>
        <v>0</v>
      </c>
    </row>
    <row r="4764" spans="1:22" ht="13" x14ac:dyDescent="0.3">
      <c r="A4764" s="46">
        <f>'vHosts (Imported)'!A4764</f>
        <v>0</v>
      </c>
      <c r="B4764" s="51">
        <f t="shared" si="222"/>
        <v>4968</v>
      </c>
      <c r="C4764" s="49">
        <f>HLOOKUP("# Cores",'vHosts (Imported)'!$1:$5000,M4764,FALSE)</f>
        <v>0</v>
      </c>
      <c r="D4764" s="52">
        <f>HLOOKUP("# Memory",'vHosts (Imported)'!$1:$5000,M4764,FALSE)</f>
        <v>0</v>
      </c>
      <c r="M4764" s="45">
        <f t="shared" si="224"/>
        <v>4764</v>
      </c>
      <c r="N4764" s="38">
        <f>HLOOKUP("Host",'vInfo (Imported)'!$1:$5000,M4764,FALSE)</f>
        <v>0</v>
      </c>
      <c r="R4764">
        <f>HLOOKUP("CPUs",'vInfo (Imported)'!$1:$5000,M4764,FALSE)</f>
        <v>0</v>
      </c>
      <c r="S4764">
        <f>HLOOKUP("Memory",'vInfo (Imported)'!$1:$5000,M4764,FALSE)</f>
        <v>0</v>
      </c>
      <c r="T4764">
        <f>HLOOKUP("Provisioned MiB",'vInfo (Imported)'!$1:$5000,M4764,FALSE)</f>
        <v>0</v>
      </c>
      <c r="U4764">
        <f t="shared" si="223"/>
        <v>0</v>
      </c>
      <c r="V4764">
        <f>HLOOKUP("In Use MiB",'vInfo (Imported)'!$1:$5000,M4764,FALSE)</f>
        <v>0</v>
      </c>
    </row>
    <row r="4765" spans="1:22" ht="13" x14ac:dyDescent="0.3">
      <c r="A4765" s="46">
        <f>'vHosts (Imported)'!A4765</f>
        <v>0</v>
      </c>
      <c r="B4765" s="51">
        <f t="shared" si="222"/>
        <v>4968</v>
      </c>
      <c r="C4765" s="49">
        <f>HLOOKUP("# Cores",'vHosts (Imported)'!$1:$5000,M4765,FALSE)</f>
        <v>0</v>
      </c>
      <c r="D4765" s="52">
        <f>HLOOKUP("# Memory",'vHosts (Imported)'!$1:$5000,M4765,FALSE)</f>
        <v>0</v>
      </c>
      <c r="M4765" s="45">
        <f t="shared" si="224"/>
        <v>4765</v>
      </c>
      <c r="N4765" s="38">
        <f>HLOOKUP("Host",'vInfo (Imported)'!$1:$5000,M4765,FALSE)</f>
        <v>0</v>
      </c>
      <c r="R4765">
        <f>HLOOKUP("CPUs",'vInfo (Imported)'!$1:$5000,M4765,FALSE)</f>
        <v>0</v>
      </c>
      <c r="S4765">
        <f>HLOOKUP("Memory",'vInfo (Imported)'!$1:$5000,M4765,FALSE)</f>
        <v>0</v>
      </c>
      <c r="T4765">
        <f>HLOOKUP("Provisioned MiB",'vInfo (Imported)'!$1:$5000,M4765,FALSE)</f>
        <v>0</v>
      </c>
      <c r="U4765">
        <f t="shared" si="223"/>
        <v>0</v>
      </c>
      <c r="V4765">
        <f>HLOOKUP("In Use MiB",'vInfo (Imported)'!$1:$5000,M4765,FALSE)</f>
        <v>0</v>
      </c>
    </row>
    <row r="4766" spans="1:22" ht="13" x14ac:dyDescent="0.3">
      <c r="A4766" s="46">
        <f>'vHosts (Imported)'!A4766</f>
        <v>0</v>
      </c>
      <c r="B4766" s="51">
        <f t="shared" si="222"/>
        <v>4968</v>
      </c>
      <c r="C4766" s="49">
        <f>HLOOKUP("# Cores",'vHosts (Imported)'!$1:$5000,M4766,FALSE)</f>
        <v>0</v>
      </c>
      <c r="D4766" s="52">
        <f>HLOOKUP("# Memory",'vHosts (Imported)'!$1:$5000,M4766,FALSE)</f>
        <v>0</v>
      </c>
      <c r="M4766" s="45">
        <f t="shared" si="224"/>
        <v>4766</v>
      </c>
      <c r="N4766" s="38">
        <f>HLOOKUP("Host",'vInfo (Imported)'!$1:$5000,M4766,FALSE)</f>
        <v>0</v>
      </c>
      <c r="R4766">
        <f>HLOOKUP("CPUs",'vInfo (Imported)'!$1:$5000,M4766,FALSE)</f>
        <v>0</v>
      </c>
      <c r="S4766">
        <f>HLOOKUP("Memory",'vInfo (Imported)'!$1:$5000,M4766,FALSE)</f>
        <v>0</v>
      </c>
      <c r="T4766">
        <f>HLOOKUP("Provisioned MiB",'vInfo (Imported)'!$1:$5000,M4766,FALSE)</f>
        <v>0</v>
      </c>
      <c r="U4766">
        <f t="shared" si="223"/>
        <v>0</v>
      </c>
      <c r="V4766">
        <f>HLOOKUP("In Use MiB",'vInfo (Imported)'!$1:$5000,M4766,FALSE)</f>
        <v>0</v>
      </c>
    </row>
    <row r="4767" spans="1:22" ht="13" x14ac:dyDescent="0.3">
      <c r="A4767" s="46">
        <f>'vHosts (Imported)'!A4767</f>
        <v>0</v>
      </c>
      <c r="B4767" s="51">
        <f t="shared" si="222"/>
        <v>4968</v>
      </c>
      <c r="C4767" s="49">
        <f>HLOOKUP("# Cores",'vHosts (Imported)'!$1:$5000,M4767,FALSE)</f>
        <v>0</v>
      </c>
      <c r="D4767" s="52">
        <f>HLOOKUP("# Memory",'vHosts (Imported)'!$1:$5000,M4767,FALSE)</f>
        <v>0</v>
      </c>
      <c r="M4767" s="45">
        <f t="shared" si="224"/>
        <v>4767</v>
      </c>
      <c r="N4767" s="38">
        <f>HLOOKUP("Host",'vInfo (Imported)'!$1:$5000,M4767,FALSE)</f>
        <v>0</v>
      </c>
      <c r="R4767">
        <f>HLOOKUP("CPUs",'vInfo (Imported)'!$1:$5000,M4767,FALSE)</f>
        <v>0</v>
      </c>
      <c r="S4767">
        <f>HLOOKUP("Memory",'vInfo (Imported)'!$1:$5000,M4767,FALSE)</f>
        <v>0</v>
      </c>
      <c r="T4767">
        <f>HLOOKUP("Provisioned MiB",'vInfo (Imported)'!$1:$5000,M4767,FALSE)</f>
        <v>0</v>
      </c>
      <c r="U4767">
        <f t="shared" si="223"/>
        <v>0</v>
      </c>
      <c r="V4767">
        <f>HLOOKUP("In Use MiB",'vInfo (Imported)'!$1:$5000,M4767,FALSE)</f>
        <v>0</v>
      </c>
    </row>
    <row r="4768" spans="1:22" ht="13" x14ac:dyDescent="0.3">
      <c r="A4768" s="46">
        <f>'vHosts (Imported)'!A4768</f>
        <v>0</v>
      </c>
      <c r="B4768" s="51">
        <f t="shared" si="222"/>
        <v>4968</v>
      </c>
      <c r="C4768" s="49">
        <f>HLOOKUP("# Cores",'vHosts (Imported)'!$1:$5000,M4768,FALSE)</f>
        <v>0</v>
      </c>
      <c r="D4768" s="52">
        <f>HLOOKUP("# Memory",'vHosts (Imported)'!$1:$5000,M4768,FALSE)</f>
        <v>0</v>
      </c>
      <c r="M4768" s="45">
        <f t="shared" si="224"/>
        <v>4768</v>
      </c>
      <c r="N4768" s="38">
        <f>HLOOKUP("Host",'vInfo (Imported)'!$1:$5000,M4768,FALSE)</f>
        <v>0</v>
      </c>
      <c r="R4768">
        <f>HLOOKUP("CPUs",'vInfo (Imported)'!$1:$5000,M4768,FALSE)</f>
        <v>0</v>
      </c>
      <c r="S4768">
        <f>HLOOKUP("Memory",'vInfo (Imported)'!$1:$5000,M4768,FALSE)</f>
        <v>0</v>
      </c>
      <c r="T4768">
        <f>HLOOKUP("Provisioned MiB",'vInfo (Imported)'!$1:$5000,M4768,FALSE)</f>
        <v>0</v>
      </c>
      <c r="U4768">
        <f t="shared" si="223"/>
        <v>0</v>
      </c>
      <c r="V4768">
        <f>HLOOKUP("In Use MiB",'vInfo (Imported)'!$1:$5000,M4768,FALSE)</f>
        <v>0</v>
      </c>
    </row>
    <row r="4769" spans="1:22" ht="13" x14ac:dyDescent="0.3">
      <c r="A4769" s="46">
        <f>'vHosts (Imported)'!A4769</f>
        <v>0</v>
      </c>
      <c r="B4769" s="51">
        <f t="shared" si="222"/>
        <v>4968</v>
      </c>
      <c r="C4769" s="49">
        <f>HLOOKUP("# Cores",'vHosts (Imported)'!$1:$5000,M4769,FALSE)</f>
        <v>0</v>
      </c>
      <c r="D4769" s="52">
        <f>HLOOKUP("# Memory",'vHosts (Imported)'!$1:$5000,M4769,FALSE)</f>
        <v>0</v>
      </c>
      <c r="M4769" s="45">
        <f t="shared" si="224"/>
        <v>4769</v>
      </c>
      <c r="N4769" s="38">
        <f>HLOOKUP("Host",'vInfo (Imported)'!$1:$5000,M4769,FALSE)</f>
        <v>0</v>
      </c>
      <c r="R4769">
        <f>HLOOKUP("CPUs",'vInfo (Imported)'!$1:$5000,M4769,FALSE)</f>
        <v>0</v>
      </c>
      <c r="S4769">
        <f>HLOOKUP("Memory",'vInfo (Imported)'!$1:$5000,M4769,FALSE)</f>
        <v>0</v>
      </c>
      <c r="T4769">
        <f>HLOOKUP("Provisioned MiB",'vInfo (Imported)'!$1:$5000,M4769,FALSE)</f>
        <v>0</v>
      </c>
      <c r="U4769">
        <f t="shared" si="223"/>
        <v>0</v>
      </c>
      <c r="V4769">
        <f>HLOOKUP("In Use MiB",'vInfo (Imported)'!$1:$5000,M4769,FALSE)</f>
        <v>0</v>
      </c>
    </row>
    <row r="4770" spans="1:22" ht="13" x14ac:dyDescent="0.3">
      <c r="A4770" s="46">
        <f>'vHosts (Imported)'!A4770</f>
        <v>0</v>
      </c>
      <c r="B4770" s="51">
        <f t="shared" si="222"/>
        <v>4968</v>
      </c>
      <c r="C4770" s="49">
        <f>HLOOKUP("# Cores",'vHosts (Imported)'!$1:$5000,M4770,FALSE)</f>
        <v>0</v>
      </c>
      <c r="D4770" s="52">
        <f>HLOOKUP("# Memory",'vHosts (Imported)'!$1:$5000,M4770,FALSE)</f>
        <v>0</v>
      </c>
      <c r="M4770" s="45">
        <f t="shared" si="224"/>
        <v>4770</v>
      </c>
      <c r="N4770" s="38">
        <f>HLOOKUP("Host",'vInfo (Imported)'!$1:$5000,M4770,FALSE)</f>
        <v>0</v>
      </c>
      <c r="R4770">
        <f>HLOOKUP("CPUs",'vInfo (Imported)'!$1:$5000,M4770,FALSE)</f>
        <v>0</v>
      </c>
      <c r="S4770">
        <f>HLOOKUP("Memory",'vInfo (Imported)'!$1:$5000,M4770,FALSE)</f>
        <v>0</v>
      </c>
      <c r="T4770">
        <f>HLOOKUP("Provisioned MiB",'vInfo (Imported)'!$1:$5000,M4770,FALSE)</f>
        <v>0</v>
      </c>
      <c r="U4770">
        <f t="shared" si="223"/>
        <v>0</v>
      </c>
      <c r="V4770">
        <f>HLOOKUP("In Use MiB",'vInfo (Imported)'!$1:$5000,M4770,FALSE)</f>
        <v>0</v>
      </c>
    </row>
    <row r="4771" spans="1:22" ht="13" x14ac:dyDescent="0.3">
      <c r="A4771" s="46">
        <f>'vHosts (Imported)'!A4771</f>
        <v>0</v>
      </c>
      <c r="B4771" s="51">
        <f t="shared" si="222"/>
        <v>4968</v>
      </c>
      <c r="C4771" s="49">
        <f>HLOOKUP("# Cores",'vHosts (Imported)'!$1:$5000,M4771,FALSE)</f>
        <v>0</v>
      </c>
      <c r="D4771" s="52">
        <f>HLOOKUP("# Memory",'vHosts (Imported)'!$1:$5000,M4771,FALSE)</f>
        <v>0</v>
      </c>
      <c r="M4771" s="45">
        <f t="shared" si="224"/>
        <v>4771</v>
      </c>
      <c r="N4771" s="38">
        <f>HLOOKUP("Host",'vInfo (Imported)'!$1:$5000,M4771,FALSE)</f>
        <v>0</v>
      </c>
      <c r="R4771">
        <f>HLOOKUP("CPUs",'vInfo (Imported)'!$1:$5000,M4771,FALSE)</f>
        <v>0</v>
      </c>
      <c r="S4771">
        <f>HLOOKUP("Memory",'vInfo (Imported)'!$1:$5000,M4771,FALSE)</f>
        <v>0</v>
      </c>
      <c r="T4771">
        <f>HLOOKUP("Provisioned MiB",'vInfo (Imported)'!$1:$5000,M4771,FALSE)</f>
        <v>0</v>
      </c>
      <c r="U4771">
        <f t="shared" si="223"/>
        <v>0</v>
      </c>
      <c r="V4771">
        <f>HLOOKUP("In Use MiB",'vInfo (Imported)'!$1:$5000,M4771,FALSE)</f>
        <v>0</v>
      </c>
    </row>
    <row r="4772" spans="1:22" ht="13" x14ac:dyDescent="0.3">
      <c r="A4772" s="46">
        <f>'vHosts (Imported)'!A4772</f>
        <v>0</v>
      </c>
      <c r="B4772" s="51">
        <f t="shared" si="222"/>
        <v>4968</v>
      </c>
      <c r="C4772" s="49">
        <f>HLOOKUP("# Cores",'vHosts (Imported)'!$1:$5000,M4772,FALSE)</f>
        <v>0</v>
      </c>
      <c r="D4772" s="52">
        <f>HLOOKUP("# Memory",'vHosts (Imported)'!$1:$5000,M4772,FALSE)</f>
        <v>0</v>
      </c>
      <c r="M4772" s="45">
        <f t="shared" si="224"/>
        <v>4772</v>
      </c>
      <c r="N4772" s="38">
        <f>HLOOKUP("Host",'vInfo (Imported)'!$1:$5000,M4772,FALSE)</f>
        <v>0</v>
      </c>
      <c r="R4772">
        <f>HLOOKUP("CPUs",'vInfo (Imported)'!$1:$5000,M4772,FALSE)</f>
        <v>0</v>
      </c>
      <c r="S4772">
        <f>HLOOKUP("Memory",'vInfo (Imported)'!$1:$5000,M4772,FALSE)</f>
        <v>0</v>
      </c>
      <c r="T4772">
        <f>HLOOKUP("Provisioned MiB",'vInfo (Imported)'!$1:$5000,M4772,FALSE)</f>
        <v>0</v>
      </c>
      <c r="U4772">
        <f t="shared" si="223"/>
        <v>0</v>
      </c>
      <c r="V4772">
        <f>HLOOKUP("In Use MiB",'vInfo (Imported)'!$1:$5000,M4772,FALSE)</f>
        <v>0</v>
      </c>
    </row>
    <row r="4773" spans="1:22" ht="13" x14ac:dyDescent="0.3">
      <c r="A4773" s="46">
        <f>'vHosts (Imported)'!A4773</f>
        <v>0</v>
      </c>
      <c r="B4773" s="51">
        <f t="shared" si="222"/>
        <v>4968</v>
      </c>
      <c r="C4773" s="49">
        <f>HLOOKUP("# Cores",'vHosts (Imported)'!$1:$5000,M4773,FALSE)</f>
        <v>0</v>
      </c>
      <c r="D4773" s="52">
        <f>HLOOKUP("# Memory",'vHosts (Imported)'!$1:$5000,M4773,FALSE)</f>
        <v>0</v>
      </c>
      <c r="M4773" s="45">
        <f t="shared" si="224"/>
        <v>4773</v>
      </c>
      <c r="N4773" s="38">
        <f>HLOOKUP("Host",'vInfo (Imported)'!$1:$5000,M4773,FALSE)</f>
        <v>0</v>
      </c>
      <c r="R4773">
        <f>HLOOKUP("CPUs",'vInfo (Imported)'!$1:$5000,M4773,FALSE)</f>
        <v>0</v>
      </c>
      <c r="S4773">
        <f>HLOOKUP("Memory",'vInfo (Imported)'!$1:$5000,M4773,FALSE)</f>
        <v>0</v>
      </c>
      <c r="T4773">
        <f>HLOOKUP("Provisioned MiB",'vInfo (Imported)'!$1:$5000,M4773,FALSE)</f>
        <v>0</v>
      </c>
      <c r="U4773">
        <f t="shared" si="223"/>
        <v>0</v>
      </c>
      <c r="V4773">
        <f>HLOOKUP("In Use MiB",'vInfo (Imported)'!$1:$5000,M4773,FALSE)</f>
        <v>0</v>
      </c>
    </row>
    <row r="4774" spans="1:22" ht="13" x14ac:dyDescent="0.3">
      <c r="A4774" s="46">
        <f>'vHosts (Imported)'!A4774</f>
        <v>0</v>
      </c>
      <c r="B4774" s="51">
        <f t="shared" si="222"/>
        <v>4968</v>
      </c>
      <c r="C4774" s="49">
        <f>HLOOKUP("# Cores",'vHosts (Imported)'!$1:$5000,M4774,FALSE)</f>
        <v>0</v>
      </c>
      <c r="D4774" s="52">
        <f>HLOOKUP("# Memory",'vHosts (Imported)'!$1:$5000,M4774,FALSE)</f>
        <v>0</v>
      </c>
      <c r="M4774" s="45">
        <f t="shared" si="224"/>
        <v>4774</v>
      </c>
      <c r="N4774" s="38">
        <f>HLOOKUP("Host",'vInfo (Imported)'!$1:$5000,M4774,FALSE)</f>
        <v>0</v>
      </c>
      <c r="R4774">
        <f>HLOOKUP("CPUs",'vInfo (Imported)'!$1:$5000,M4774,FALSE)</f>
        <v>0</v>
      </c>
      <c r="S4774">
        <f>HLOOKUP("Memory",'vInfo (Imported)'!$1:$5000,M4774,FALSE)</f>
        <v>0</v>
      </c>
      <c r="T4774">
        <f>HLOOKUP("Provisioned MiB",'vInfo (Imported)'!$1:$5000,M4774,FALSE)</f>
        <v>0</v>
      </c>
      <c r="U4774">
        <f t="shared" si="223"/>
        <v>0</v>
      </c>
      <c r="V4774">
        <f>HLOOKUP("In Use MiB",'vInfo (Imported)'!$1:$5000,M4774,FALSE)</f>
        <v>0</v>
      </c>
    </row>
    <row r="4775" spans="1:22" ht="13" x14ac:dyDescent="0.3">
      <c r="A4775" s="46">
        <f>'vHosts (Imported)'!A4775</f>
        <v>0</v>
      </c>
      <c r="B4775" s="51">
        <f t="shared" si="222"/>
        <v>4968</v>
      </c>
      <c r="C4775" s="49">
        <f>HLOOKUP("# Cores",'vHosts (Imported)'!$1:$5000,M4775,FALSE)</f>
        <v>0</v>
      </c>
      <c r="D4775" s="52">
        <f>HLOOKUP("# Memory",'vHosts (Imported)'!$1:$5000,M4775,FALSE)</f>
        <v>0</v>
      </c>
      <c r="M4775" s="45">
        <f t="shared" si="224"/>
        <v>4775</v>
      </c>
      <c r="N4775" s="38">
        <f>HLOOKUP("Host",'vInfo (Imported)'!$1:$5000,M4775,FALSE)</f>
        <v>0</v>
      </c>
      <c r="R4775">
        <f>HLOOKUP("CPUs",'vInfo (Imported)'!$1:$5000,M4775,FALSE)</f>
        <v>0</v>
      </c>
      <c r="S4775">
        <f>HLOOKUP("Memory",'vInfo (Imported)'!$1:$5000,M4775,FALSE)</f>
        <v>0</v>
      </c>
      <c r="T4775">
        <f>HLOOKUP("Provisioned MiB",'vInfo (Imported)'!$1:$5000,M4775,FALSE)</f>
        <v>0</v>
      </c>
      <c r="U4775">
        <f t="shared" si="223"/>
        <v>0</v>
      </c>
      <c r="V4775">
        <f>HLOOKUP("In Use MiB",'vInfo (Imported)'!$1:$5000,M4775,FALSE)</f>
        <v>0</v>
      </c>
    </row>
    <row r="4776" spans="1:22" ht="13" x14ac:dyDescent="0.3">
      <c r="A4776" s="46">
        <f>'vHosts (Imported)'!A4776</f>
        <v>0</v>
      </c>
      <c r="B4776" s="51">
        <f t="shared" ref="B4776:B4839" si="225">COUNTIF(N:N,A4776)</f>
        <v>4968</v>
      </c>
      <c r="C4776" s="49">
        <f>HLOOKUP("# Cores",'vHosts (Imported)'!$1:$5000,M4776,FALSE)</f>
        <v>0</v>
      </c>
      <c r="D4776" s="52">
        <f>HLOOKUP("# Memory",'vHosts (Imported)'!$1:$5000,M4776,FALSE)</f>
        <v>0</v>
      </c>
      <c r="M4776" s="45">
        <f t="shared" si="224"/>
        <v>4776</v>
      </c>
      <c r="N4776" s="38">
        <f>HLOOKUP("Host",'vInfo (Imported)'!$1:$5000,M4776,FALSE)</f>
        <v>0</v>
      </c>
      <c r="R4776">
        <f>HLOOKUP("CPUs",'vInfo (Imported)'!$1:$5000,M4776,FALSE)</f>
        <v>0</v>
      </c>
      <c r="S4776">
        <f>HLOOKUP("Memory",'vInfo (Imported)'!$1:$5000,M4776,FALSE)</f>
        <v>0</v>
      </c>
      <c r="T4776">
        <f>HLOOKUP("Provisioned MiB",'vInfo (Imported)'!$1:$5000,M4776,FALSE)</f>
        <v>0</v>
      </c>
      <c r="U4776">
        <f t="shared" si="223"/>
        <v>0</v>
      </c>
      <c r="V4776">
        <f>HLOOKUP("In Use MiB",'vInfo (Imported)'!$1:$5000,M4776,FALSE)</f>
        <v>0</v>
      </c>
    </row>
    <row r="4777" spans="1:22" ht="13" x14ac:dyDescent="0.3">
      <c r="A4777" s="46">
        <f>'vHosts (Imported)'!A4777</f>
        <v>0</v>
      </c>
      <c r="B4777" s="51">
        <f t="shared" si="225"/>
        <v>4968</v>
      </c>
      <c r="C4777" s="49">
        <f>HLOOKUP("# Cores",'vHosts (Imported)'!$1:$5000,M4777,FALSE)</f>
        <v>0</v>
      </c>
      <c r="D4777" s="52">
        <f>HLOOKUP("# Memory",'vHosts (Imported)'!$1:$5000,M4777,FALSE)</f>
        <v>0</v>
      </c>
      <c r="M4777" s="45">
        <f t="shared" si="224"/>
        <v>4777</v>
      </c>
      <c r="N4777" s="38">
        <f>HLOOKUP("Host",'vInfo (Imported)'!$1:$5000,M4777,FALSE)</f>
        <v>0</v>
      </c>
      <c r="R4777">
        <f>HLOOKUP("CPUs",'vInfo (Imported)'!$1:$5000,M4777,FALSE)</f>
        <v>0</v>
      </c>
      <c r="S4777">
        <f>HLOOKUP("Memory",'vInfo (Imported)'!$1:$5000,M4777,FALSE)</f>
        <v>0</v>
      </c>
      <c r="T4777">
        <f>HLOOKUP("Provisioned MiB",'vInfo (Imported)'!$1:$5000,M4777,FALSE)</f>
        <v>0</v>
      </c>
      <c r="U4777">
        <f t="shared" si="223"/>
        <v>0</v>
      </c>
      <c r="V4777">
        <f>HLOOKUP("In Use MiB",'vInfo (Imported)'!$1:$5000,M4777,FALSE)</f>
        <v>0</v>
      </c>
    </row>
    <row r="4778" spans="1:22" ht="13" x14ac:dyDescent="0.3">
      <c r="A4778" s="46">
        <f>'vHosts (Imported)'!A4778</f>
        <v>0</v>
      </c>
      <c r="B4778" s="51">
        <f t="shared" si="225"/>
        <v>4968</v>
      </c>
      <c r="C4778" s="49">
        <f>HLOOKUP("# Cores",'vHosts (Imported)'!$1:$5000,M4778,FALSE)</f>
        <v>0</v>
      </c>
      <c r="D4778" s="52">
        <f>HLOOKUP("# Memory",'vHosts (Imported)'!$1:$5000,M4778,FALSE)</f>
        <v>0</v>
      </c>
      <c r="M4778" s="45">
        <f t="shared" si="224"/>
        <v>4778</v>
      </c>
      <c r="N4778" s="38">
        <f>HLOOKUP("Host",'vInfo (Imported)'!$1:$5000,M4778,FALSE)</f>
        <v>0</v>
      </c>
      <c r="R4778">
        <f>HLOOKUP("CPUs",'vInfo (Imported)'!$1:$5000,M4778,FALSE)</f>
        <v>0</v>
      </c>
      <c r="S4778">
        <f>HLOOKUP("Memory",'vInfo (Imported)'!$1:$5000,M4778,FALSE)</f>
        <v>0</v>
      </c>
      <c r="T4778">
        <f>HLOOKUP("Provisioned MiB",'vInfo (Imported)'!$1:$5000,M4778,FALSE)</f>
        <v>0</v>
      </c>
      <c r="U4778">
        <f t="shared" si="223"/>
        <v>0</v>
      </c>
      <c r="V4778">
        <f>HLOOKUP("In Use MiB",'vInfo (Imported)'!$1:$5000,M4778,FALSE)</f>
        <v>0</v>
      </c>
    </row>
    <row r="4779" spans="1:22" ht="13" x14ac:dyDescent="0.3">
      <c r="A4779" s="46">
        <f>'vHosts (Imported)'!A4779</f>
        <v>0</v>
      </c>
      <c r="B4779" s="51">
        <f t="shared" si="225"/>
        <v>4968</v>
      </c>
      <c r="C4779" s="49">
        <f>HLOOKUP("# Cores",'vHosts (Imported)'!$1:$5000,M4779,FALSE)</f>
        <v>0</v>
      </c>
      <c r="D4779" s="52">
        <f>HLOOKUP("# Memory",'vHosts (Imported)'!$1:$5000,M4779,FALSE)</f>
        <v>0</v>
      </c>
      <c r="M4779" s="45">
        <f t="shared" si="224"/>
        <v>4779</v>
      </c>
      <c r="N4779" s="38">
        <f>HLOOKUP("Host",'vInfo (Imported)'!$1:$5000,M4779,FALSE)</f>
        <v>0</v>
      </c>
      <c r="R4779">
        <f>HLOOKUP("CPUs",'vInfo (Imported)'!$1:$5000,M4779,FALSE)</f>
        <v>0</v>
      </c>
      <c r="S4779">
        <f>HLOOKUP("Memory",'vInfo (Imported)'!$1:$5000,M4779,FALSE)</f>
        <v>0</v>
      </c>
      <c r="T4779">
        <f>HLOOKUP("Provisioned MiB",'vInfo (Imported)'!$1:$5000,M4779,FALSE)</f>
        <v>0</v>
      </c>
      <c r="U4779">
        <f t="shared" si="223"/>
        <v>0</v>
      </c>
      <c r="V4779">
        <f>HLOOKUP("In Use MiB",'vInfo (Imported)'!$1:$5000,M4779,FALSE)</f>
        <v>0</v>
      </c>
    </row>
    <row r="4780" spans="1:22" ht="13" x14ac:dyDescent="0.3">
      <c r="A4780" s="46">
        <f>'vHosts (Imported)'!A4780</f>
        <v>0</v>
      </c>
      <c r="B4780" s="51">
        <f t="shared" si="225"/>
        <v>4968</v>
      </c>
      <c r="C4780" s="49">
        <f>HLOOKUP("# Cores",'vHosts (Imported)'!$1:$5000,M4780,FALSE)</f>
        <v>0</v>
      </c>
      <c r="D4780" s="52">
        <f>HLOOKUP("# Memory",'vHosts (Imported)'!$1:$5000,M4780,FALSE)</f>
        <v>0</v>
      </c>
      <c r="M4780" s="45">
        <f t="shared" si="224"/>
        <v>4780</v>
      </c>
      <c r="N4780" s="38">
        <f>HLOOKUP("Host",'vInfo (Imported)'!$1:$5000,M4780,FALSE)</f>
        <v>0</v>
      </c>
      <c r="R4780">
        <f>HLOOKUP("CPUs",'vInfo (Imported)'!$1:$5000,M4780,FALSE)</f>
        <v>0</v>
      </c>
      <c r="S4780">
        <f>HLOOKUP("Memory",'vInfo (Imported)'!$1:$5000,M4780,FALSE)</f>
        <v>0</v>
      </c>
      <c r="T4780">
        <f>HLOOKUP("Provisioned MiB",'vInfo (Imported)'!$1:$5000,M4780,FALSE)</f>
        <v>0</v>
      </c>
      <c r="U4780">
        <f t="shared" si="223"/>
        <v>0</v>
      </c>
      <c r="V4780">
        <f>HLOOKUP("In Use MiB",'vInfo (Imported)'!$1:$5000,M4780,FALSE)</f>
        <v>0</v>
      </c>
    </row>
    <row r="4781" spans="1:22" ht="13" x14ac:dyDescent="0.3">
      <c r="A4781" s="46">
        <f>'vHosts (Imported)'!A4781</f>
        <v>0</v>
      </c>
      <c r="B4781" s="51">
        <f t="shared" si="225"/>
        <v>4968</v>
      </c>
      <c r="C4781" s="49">
        <f>HLOOKUP("# Cores",'vHosts (Imported)'!$1:$5000,M4781,FALSE)</f>
        <v>0</v>
      </c>
      <c r="D4781" s="52">
        <f>HLOOKUP("# Memory",'vHosts (Imported)'!$1:$5000,M4781,FALSE)</f>
        <v>0</v>
      </c>
      <c r="M4781" s="45">
        <f t="shared" si="224"/>
        <v>4781</v>
      </c>
      <c r="N4781" s="38">
        <f>HLOOKUP("Host",'vInfo (Imported)'!$1:$5000,M4781,FALSE)</f>
        <v>0</v>
      </c>
      <c r="R4781">
        <f>HLOOKUP("CPUs",'vInfo (Imported)'!$1:$5000,M4781,FALSE)</f>
        <v>0</v>
      </c>
      <c r="S4781">
        <f>HLOOKUP("Memory",'vInfo (Imported)'!$1:$5000,M4781,FALSE)</f>
        <v>0</v>
      </c>
      <c r="T4781">
        <f>HLOOKUP("Provisioned MiB",'vInfo (Imported)'!$1:$5000,M4781,FALSE)</f>
        <v>0</v>
      </c>
      <c r="U4781">
        <f t="shared" si="223"/>
        <v>0</v>
      </c>
      <c r="V4781">
        <f>HLOOKUP("In Use MiB",'vInfo (Imported)'!$1:$5000,M4781,FALSE)</f>
        <v>0</v>
      </c>
    </row>
    <row r="4782" spans="1:22" ht="13" x14ac:dyDescent="0.3">
      <c r="A4782" s="46">
        <f>'vHosts (Imported)'!A4782</f>
        <v>0</v>
      </c>
      <c r="B4782" s="51">
        <f t="shared" si="225"/>
        <v>4968</v>
      </c>
      <c r="C4782" s="49">
        <f>HLOOKUP("# Cores",'vHosts (Imported)'!$1:$5000,M4782,FALSE)</f>
        <v>0</v>
      </c>
      <c r="D4782" s="52">
        <f>HLOOKUP("# Memory",'vHosts (Imported)'!$1:$5000,M4782,FALSE)</f>
        <v>0</v>
      </c>
      <c r="M4782" s="45">
        <f t="shared" si="224"/>
        <v>4782</v>
      </c>
      <c r="N4782" s="38">
        <f>HLOOKUP("Host",'vInfo (Imported)'!$1:$5000,M4782,FALSE)</f>
        <v>0</v>
      </c>
      <c r="R4782">
        <f>HLOOKUP("CPUs",'vInfo (Imported)'!$1:$5000,M4782,FALSE)</f>
        <v>0</v>
      </c>
      <c r="S4782">
        <f>HLOOKUP("Memory",'vInfo (Imported)'!$1:$5000,M4782,FALSE)</f>
        <v>0</v>
      </c>
      <c r="T4782">
        <f>HLOOKUP("Provisioned MiB",'vInfo (Imported)'!$1:$5000,M4782,FALSE)</f>
        <v>0</v>
      </c>
      <c r="U4782">
        <f t="shared" si="223"/>
        <v>0</v>
      </c>
      <c r="V4782">
        <f>HLOOKUP("In Use MiB",'vInfo (Imported)'!$1:$5000,M4782,FALSE)</f>
        <v>0</v>
      </c>
    </row>
    <row r="4783" spans="1:22" ht="13" x14ac:dyDescent="0.3">
      <c r="A4783" s="46">
        <f>'vHosts (Imported)'!A4783</f>
        <v>0</v>
      </c>
      <c r="B4783" s="51">
        <f t="shared" si="225"/>
        <v>4968</v>
      </c>
      <c r="C4783" s="49">
        <f>HLOOKUP("# Cores",'vHosts (Imported)'!$1:$5000,M4783,FALSE)</f>
        <v>0</v>
      </c>
      <c r="D4783" s="52">
        <f>HLOOKUP("# Memory",'vHosts (Imported)'!$1:$5000,M4783,FALSE)</f>
        <v>0</v>
      </c>
      <c r="M4783" s="45">
        <f t="shared" si="224"/>
        <v>4783</v>
      </c>
      <c r="N4783" s="38">
        <f>HLOOKUP("Host",'vInfo (Imported)'!$1:$5000,M4783,FALSE)</f>
        <v>0</v>
      </c>
      <c r="R4783">
        <f>HLOOKUP("CPUs",'vInfo (Imported)'!$1:$5000,M4783,FALSE)</f>
        <v>0</v>
      </c>
      <c r="S4783">
        <f>HLOOKUP("Memory",'vInfo (Imported)'!$1:$5000,M4783,FALSE)</f>
        <v>0</v>
      </c>
      <c r="T4783">
        <f>HLOOKUP("Provisioned MiB",'vInfo (Imported)'!$1:$5000,M4783,FALSE)</f>
        <v>0</v>
      </c>
      <c r="U4783">
        <f t="shared" si="223"/>
        <v>0</v>
      </c>
      <c r="V4783">
        <f>HLOOKUP("In Use MiB",'vInfo (Imported)'!$1:$5000,M4783,FALSE)</f>
        <v>0</v>
      </c>
    </row>
    <row r="4784" spans="1:22" ht="13" x14ac:dyDescent="0.3">
      <c r="A4784" s="46">
        <f>'vHosts (Imported)'!A4784</f>
        <v>0</v>
      </c>
      <c r="B4784" s="51">
        <f t="shared" si="225"/>
        <v>4968</v>
      </c>
      <c r="C4784" s="49">
        <f>HLOOKUP("# Cores",'vHosts (Imported)'!$1:$5000,M4784,FALSE)</f>
        <v>0</v>
      </c>
      <c r="D4784" s="52">
        <f>HLOOKUP("# Memory",'vHosts (Imported)'!$1:$5000,M4784,FALSE)</f>
        <v>0</v>
      </c>
      <c r="M4784" s="45">
        <f t="shared" si="224"/>
        <v>4784</v>
      </c>
      <c r="N4784" s="38">
        <f>HLOOKUP("Host",'vInfo (Imported)'!$1:$5000,M4784,FALSE)</f>
        <v>0</v>
      </c>
      <c r="R4784">
        <f>HLOOKUP("CPUs",'vInfo (Imported)'!$1:$5000,M4784,FALSE)</f>
        <v>0</v>
      </c>
      <c r="S4784">
        <f>HLOOKUP("Memory",'vInfo (Imported)'!$1:$5000,M4784,FALSE)</f>
        <v>0</v>
      </c>
      <c r="T4784">
        <f>HLOOKUP("Provisioned MiB",'vInfo (Imported)'!$1:$5000,M4784,FALSE)</f>
        <v>0</v>
      </c>
      <c r="U4784">
        <f t="shared" si="223"/>
        <v>0</v>
      </c>
      <c r="V4784">
        <f>HLOOKUP("In Use MiB",'vInfo (Imported)'!$1:$5000,M4784,FALSE)</f>
        <v>0</v>
      </c>
    </row>
    <row r="4785" spans="1:22" ht="13" x14ac:dyDescent="0.3">
      <c r="A4785" s="46">
        <f>'vHosts (Imported)'!A4785</f>
        <v>0</v>
      </c>
      <c r="B4785" s="51">
        <f t="shared" si="225"/>
        <v>4968</v>
      </c>
      <c r="C4785" s="49">
        <f>HLOOKUP("# Cores",'vHosts (Imported)'!$1:$5000,M4785,FALSE)</f>
        <v>0</v>
      </c>
      <c r="D4785" s="52">
        <f>HLOOKUP("# Memory",'vHosts (Imported)'!$1:$5000,M4785,FALSE)</f>
        <v>0</v>
      </c>
      <c r="M4785" s="45">
        <f t="shared" si="224"/>
        <v>4785</v>
      </c>
      <c r="N4785" s="38">
        <f>HLOOKUP("Host",'vInfo (Imported)'!$1:$5000,M4785,FALSE)</f>
        <v>0</v>
      </c>
      <c r="R4785">
        <f>HLOOKUP("CPUs",'vInfo (Imported)'!$1:$5000,M4785,FALSE)</f>
        <v>0</v>
      </c>
      <c r="S4785">
        <f>HLOOKUP("Memory",'vInfo (Imported)'!$1:$5000,M4785,FALSE)</f>
        <v>0</v>
      </c>
      <c r="T4785">
        <f>HLOOKUP("Provisioned MiB",'vInfo (Imported)'!$1:$5000,M4785,FALSE)</f>
        <v>0</v>
      </c>
      <c r="U4785">
        <f t="shared" si="223"/>
        <v>0</v>
      </c>
      <c r="V4785">
        <f>HLOOKUP("In Use MiB",'vInfo (Imported)'!$1:$5000,M4785,FALSE)</f>
        <v>0</v>
      </c>
    </row>
    <row r="4786" spans="1:22" ht="13" x14ac:dyDescent="0.3">
      <c r="A4786" s="46">
        <f>'vHosts (Imported)'!A4786</f>
        <v>0</v>
      </c>
      <c r="B4786" s="51">
        <f t="shared" si="225"/>
        <v>4968</v>
      </c>
      <c r="C4786" s="49">
        <f>HLOOKUP("# Cores",'vHosts (Imported)'!$1:$5000,M4786,FALSE)</f>
        <v>0</v>
      </c>
      <c r="D4786" s="52">
        <f>HLOOKUP("# Memory",'vHosts (Imported)'!$1:$5000,M4786,FALSE)</f>
        <v>0</v>
      </c>
      <c r="M4786" s="45">
        <f t="shared" si="224"/>
        <v>4786</v>
      </c>
      <c r="N4786" s="38">
        <f>HLOOKUP("Host",'vInfo (Imported)'!$1:$5000,M4786,FALSE)</f>
        <v>0</v>
      </c>
      <c r="R4786">
        <f>HLOOKUP("CPUs",'vInfo (Imported)'!$1:$5000,M4786,FALSE)</f>
        <v>0</v>
      </c>
      <c r="S4786">
        <f>HLOOKUP("Memory",'vInfo (Imported)'!$1:$5000,M4786,FALSE)</f>
        <v>0</v>
      </c>
      <c r="T4786">
        <f>HLOOKUP("Provisioned MiB",'vInfo (Imported)'!$1:$5000,M4786,FALSE)</f>
        <v>0</v>
      </c>
      <c r="U4786">
        <f t="shared" si="223"/>
        <v>0</v>
      </c>
      <c r="V4786">
        <f>HLOOKUP("In Use MiB",'vInfo (Imported)'!$1:$5000,M4786,FALSE)</f>
        <v>0</v>
      </c>
    </row>
    <row r="4787" spans="1:22" ht="13" x14ac:dyDescent="0.3">
      <c r="A4787" s="46">
        <f>'vHosts (Imported)'!A4787</f>
        <v>0</v>
      </c>
      <c r="B4787" s="51">
        <f t="shared" si="225"/>
        <v>4968</v>
      </c>
      <c r="C4787" s="49">
        <f>HLOOKUP("# Cores",'vHosts (Imported)'!$1:$5000,M4787,FALSE)</f>
        <v>0</v>
      </c>
      <c r="D4787" s="52">
        <f>HLOOKUP("# Memory",'vHosts (Imported)'!$1:$5000,M4787,FALSE)</f>
        <v>0</v>
      </c>
      <c r="M4787" s="45">
        <f t="shared" si="224"/>
        <v>4787</v>
      </c>
      <c r="N4787" s="38">
        <f>HLOOKUP("Host",'vInfo (Imported)'!$1:$5000,M4787,FALSE)</f>
        <v>0</v>
      </c>
      <c r="R4787">
        <f>HLOOKUP("CPUs",'vInfo (Imported)'!$1:$5000,M4787,FALSE)</f>
        <v>0</v>
      </c>
      <c r="S4787">
        <f>HLOOKUP("Memory",'vInfo (Imported)'!$1:$5000,M4787,FALSE)</f>
        <v>0</v>
      </c>
      <c r="T4787">
        <f>HLOOKUP("Provisioned MiB",'vInfo (Imported)'!$1:$5000,M4787,FALSE)</f>
        <v>0</v>
      </c>
      <c r="U4787">
        <f t="shared" si="223"/>
        <v>0</v>
      </c>
      <c r="V4787">
        <f>HLOOKUP("In Use MiB",'vInfo (Imported)'!$1:$5000,M4787,FALSE)</f>
        <v>0</v>
      </c>
    </row>
    <row r="4788" spans="1:22" ht="13" x14ac:dyDescent="0.3">
      <c r="A4788" s="46">
        <f>'vHosts (Imported)'!A4788</f>
        <v>0</v>
      </c>
      <c r="B4788" s="51">
        <f t="shared" si="225"/>
        <v>4968</v>
      </c>
      <c r="C4788" s="49">
        <f>HLOOKUP("# Cores",'vHosts (Imported)'!$1:$5000,M4788,FALSE)</f>
        <v>0</v>
      </c>
      <c r="D4788" s="52">
        <f>HLOOKUP("# Memory",'vHosts (Imported)'!$1:$5000,M4788,FALSE)</f>
        <v>0</v>
      </c>
      <c r="M4788" s="45">
        <f t="shared" si="224"/>
        <v>4788</v>
      </c>
      <c r="N4788" s="38">
        <f>HLOOKUP("Host",'vInfo (Imported)'!$1:$5000,M4788,FALSE)</f>
        <v>0</v>
      </c>
      <c r="R4788">
        <f>HLOOKUP("CPUs",'vInfo (Imported)'!$1:$5000,M4788,FALSE)</f>
        <v>0</v>
      </c>
      <c r="S4788">
        <f>HLOOKUP("Memory",'vInfo (Imported)'!$1:$5000,M4788,FALSE)</f>
        <v>0</v>
      </c>
      <c r="T4788">
        <f>HLOOKUP("Provisioned MiB",'vInfo (Imported)'!$1:$5000,M4788,FALSE)</f>
        <v>0</v>
      </c>
      <c r="U4788">
        <f t="shared" si="223"/>
        <v>0</v>
      </c>
      <c r="V4788">
        <f>HLOOKUP("In Use MiB",'vInfo (Imported)'!$1:$5000,M4788,FALSE)</f>
        <v>0</v>
      </c>
    </row>
    <row r="4789" spans="1:22" ht="13" x14ac:dyDescent="0.3">
      <c r="A4789" s="46">
        <f>'vHosts (Imported)'!A4789</f>
        <v>0</v>
      </c>
      <c r="B4789" s="51">
        <f t="shared" si="225"/>
        <v>4968</v>
      </c>
      <c r="C4789" s="49">
        <f>HLOOKUP("# Cores",'vHosts (Imported)'!$1:$5000,M4789,FALSE)</f>
        <v>0</v>
      </c>
      <c r="D4789" s="52">
        <f>HLOOKUP("# Memory",'vHosts (Imported)'!$1:$5000,M4789,FALSE)</f>
        <v>0</v>
      </c>
      <c r="M4789" s="45">
        <f t="shared" si="224"/>
        <v>4789</v>
      </c>
      <c r="N4789" s="38">
        <f>HLOOKUP("Host",'vInfo (Imported)'!$1:$5000,M4789,FALSE)</f>
        <v>0</v>
      </c>
      <c r="R4789">
        <f>HLOOKUP("CPUs",'vInfo (Imported)'!$1:$5000,M4789,FALSE)</f>
        <v>0</v>
      </c>
      <c r="S4789">
        <f>HLOOKUP("Memory",'vInfo (Imported)'!$1:$5000,M4789,FALSE)</f>
        <v>0</v>
      </c>
      <c r="T4789">
        <f>HLOOKUP("Provisioned MiB",'vInfo (Imported)'!$1:$5000,M4789,FALSE)</f>
        <v>0</v>
      </c>
      <c r="U4789">
        <f t="shared" si="223"/>
        <v>0</v>
      </c>
      <c r="V4789">
        <f>HLOOKUP("In Use MiB",'vInfo (Imported)'!$1:$5000,M4789,FALSE)</f>
        <v>0</v>
      </c>
    </row>
    <row r="4790" spans="1:22" ht="13" x14ac:dyDescent="0.3">
      <c r="A4790" s="46">
        <f>'vHosts (Imported)'!A4790</f>
        <v>0</v>
      </c>
      <c r="B4790" s="51">
        <f t="shared" si="225"/>
        <v>4968</v>
      </c>
      <c r="C4790" s="49">
        <f>HLOOKUP("# Cores",'vHosts (Imported)'!$1:$5000,M4790,FALSE)</f>
        <v>0</v>
      </c>
      <c r="D4790" s="52">
        <f>HLOOKUP("# Memory",'vHosts (Imported)'!$1:$5000,M4790,FALSE)</f>
        <v>0</v>
      </c>
      <c r="M4790" s="45">
        <f t="shared" si="224"/>
        <v>4790</v>
      </c>
      <c r="N4790" s="38">
        <f>HLOOKUP("Host",'vInfo (Imported)'!$1:$5000,M4790,FALSE)</f>
        <v>0</v>
      </c>
      <c r="R4790">
        <f>HLOOKUP("CPUs",'vInfo (Imported)'!$1:$5000,M4790,FALSE)</f>
        <v>0</v>
      </c>
      <c r="S4790">
        <f>HLOOKUP("Memory",'vInfo (Imported)'!$1:$5000,M4790,FALSE)</f>
        <v>0</v>
      </c>
      <c r="T4790">
        <f>HLOOKUP("Provisioned MiB",'vInfo (Imported)'!$1:$5000,M4790,FALSE)</f>
        <v>0</v>
      </c>
      <c r="U4790">
        <f t="shared" si="223"/>
        <v>0</v>
      </c>
      <c r="V4790">
        <f>HLOOKUP("In Use MiB",'vInfo (Imported)'!$1:$5000,M4790,FALSE)</f>
        <v>0</v>
      </c>
    </row>
    <row r="4791" spans="1:22" ht="13" x14ac:dyDescent="0.3">
      <c r="A4791" s="46">
        <f>'vHosts (Imported)'!A4791</f>
        <v>0</v>
      </c>
      <c r="B4791" s="51">
        <f t="shared" si="225"/>
        <v>4968</v>
      </c>
      <c r="C4791" s="49">
        <f>HLOOKUP("# Cores",'vHosts (Imported)'!$1:$5000,M4791,FALSE)</f>
        <v>0</v>
      </c>
      <c r="D4791" s="52">
        <f>HLOOKUP("# Memory",'vHosts (Imported)'!$1:$5000,M4791,FALSE)</f>
        <v>0</v>
      </c>
      <c r="M4791" s="45">
        <f t="shared" si="224"/>
        <v>4791</v>
      </c>
      <c r="N4791" s="38">
        <f>HLOOKUP("Host",'vInfo (Imported)'!$1:$5000,M4791,FALSE)</f>
        <v>0</v>
      </c>
      <c r="R4791">
        <f>HLOOKUP("CPUs",'vInfo (Imported)'!$1:$5000,M4791,FALSE)</f>
        <v>0</v>
      </c>
      <c r="S4791">
        <f>HLOOKUP("Memory",'vInfo (Imported)'!$1:$5000,M4791,FALSE)</f>
        <v>0</v>
      </c>
      <c r="T4791">
        <f>HLOOKUP("Provisioned MiB",'vInfo (Imported)'!$1:$5000,M4791,FALSE)</f>
        <v>0</v>
      </c>
      <c r="U4791">
        <f t="shared" si="223"/>
        <v>0</v>
      </c>
      <c r="V4791">
        <f>HLOOKUP("In Use MiB",'vInfo (Imported)'!$1:$5000,M4791,FALSE)</f>
        <v>0</v>
      </c>
    </row>
    <row r="4792" spans="1:22" ht="13" x14ac:dyDescent="0.3">
      <c r="A4792" s="46">
        <f>'vHosts (Imported)'!A4792</f>
        <v>0</v>
      </c>
      <c r="B4792" s="51">
        <f t="shared" si="225"/>
        <v>4968</v>
      </c>
      <c r="C4792" s="49">
        <f>HLOOKUP("# Cores",'vHosts (Imported)'!$1:$5000,M4792,FALSE)</f>
        <v>0</v>
      </c>
      <c r="D4792" s="52">
        <f>HLOOKUP("# Memory",'vHosts (Imported)'!$1:$5000,M4792,FALSE)</f>
        <v>0</v>
      </c>
      <c r="M4792" s="45">
        <f t="shared" si="224"/>
        <v>4792</v>
      </c>
      <c r="N4792" s="38">
        <f>HLOOKUP("Host",'vInfo (Imported)'!$1:$5000,M4792,FALSE)</f>
        <v>0</v>
      </c>
      <c r="R4792">
        <f>HLOOKUP("CPUs",'vInfo (Imported)'!$1:$5000,M4792,FALSE)</f>
        <v>0</v>
      </c>
      <c r="S4792">
        <f>HLOOKUP("Memory",'vInfo (Imported)'!$1:$5000,M4792,FALSE)</f>
        <v>0</v>
      </c>
      <c r="T4792">
        <f>HLOOKUP("Provisioned MiB",'vInfo (Imported)'!$1:$5000,M4792,FALSE)</f>
        <v>0</v>
      </c>
      <c r="U4792">
        <f t="shared" si="223"/>
        <v>0</v>
      </c>
      <c r="V4792">
        <f>HLOOKUP("In Use MiB",'vInfo (Imported)'!$1:$5000,M4792,FALSE)</f>
        <v>0</v>
      </c>
    </row>
    <row r="4793" spans="1:22" ht="13" x14ac:dyDescent="0.3">
      <c r="A4793" s="46">
        <f>'vHosts (Imported)'!A4793</f>
        <v>0</v>
      </c>
      <c r="B4793" s="51">
        <f t="shared" si="225"/>
        <v>4968</v>
      </c>
      <c r="C4793" s="49">
        <f>HLOOKUP("# Cores",'vHosts (Imported)'!$1:$5000,M4793,FALSE)</f>
        <v>0</v>
      </c>
      <c r="D4793" s="52">
        <f>HLOOKUP("# Memory",'vHosts (Imported)'!$1:$5000,M4793,FALSE)</f>
        <v>0</v>
      </c>
      <c r="M4793" s="45">
        <f t="shared" si="224"/>
        <v>4793</v>
      </c>
      <c r="N4793" s="38">
        <f>HLOOKUP("Host",'vInfo (Imported)'!$1:$5000,M4793,FALSE)</f>
        <v>0</v>
      </c>
      <c r="R4793">
        <f>HLOOKUP("CPUs",'vInfo (Imported)'!$1:$5000,M4793,FALSE)</f>
        <v>0</v>
      </c>
      <c r="S4793">
        <f>HLOOKUP("Memory",'vInfo (Imported)'!$1:$5000,M4793,FALSE)</f>
        <v>0</v>
      </c>
      <c r="T4793">
        <f>HLOOKUP("Provisioned MiB",'vInfo (Imported)'!$1:$5000,M4793,FALSE)</f>
        <v>0</v>
      </c>
      <c r="U4793">
        <f t="shared" si="223"/>
        <v>0</v>
      </c>
      <c r="V4793">
        <f>HLOOKUP("In Use MiB",'vInfo (Imported)'!$1:$5000,M4793,FALSE)</f>
        <v>0</v>
      </c>
    </row>
    <row r="4794" spans="1:22" ht="13" x14ac:dyDescent="0.3">
      <c r="A4794" s="46">
        <f>'vHosts (Imported)'!A4794</f>
        <v>0</v>
      </c>
      <c r="B4794" s="51">
        <f t="shared" si="225"/>
        <v>4968</v>
      </c>
      <c r="C4794" s="49">
        <f>HLOOKUP("# Cores",'vHosts (Imported)'!$1:$5000,M4794,FALSE)</f>
        <v>0</v>
      </c>
      <c r="D4794" s="52">
        <f>HLOOKUP("# Memory",'vHosts (Imported)'!$1:$5000,M4794,FALSE)</f>
        <v>0</v>
      </c>
      <c r="M4794" s="45">
        <f t="shared" si="224"/>
        <v>4794</v>
      </c>
      <c r="N4794" s="38">
        <f>HLOOKUP("Host",'vInfo (Imported)'!$1:$5000,M4794,FALSE)</f>
        <v>0</v>
      </c>
      <c r="R4794">
        <f>HLOOKUP("CPUs",'vInfo (Imported)'!$1:$5000,M4794,FALSE)</f>
        <v>0</v>
      </c>
      <c r="S4794">
        <f>HLOOKUP("Memory",'vInfo (Imported)'!$1:$5000,M4794,FALSE)</f>
        <v>0</v>
      </c>
      <c r="T4794">
        <f>HLOOKUP("Provisioned MiB",'vInfo (Imported)'!$1:$5000,M4794,FALSE)</f>
        <v>0</v>
      </c>
      <c r="U4794">
        <f t="shared" si="223"/>
        <v>0</v>
      </c>
      <c r="V4794">
        <f>HLOOKUP("In Use MiB",'vInfo (Imported)'!$1:$5000,M4794,FALSE)</f>
        <v>0</v>
      </c>
    </row>
    <row r="4795" spans="1:22" ht="13" x14ac:dyDescent="0.3">
      <c r="A4795" s="46">
        <f>'vHosts (Imported)'!A4795</f>
        <v>0</v>
      </c>
      <c r="B4795" s="51">
        <f t="shared" si="225"/>
        <v>4968</v>
      </c>
      <c r="C4795" s="49">
        <f>HLOOKUP("# Cores",'vHosts (Imported)'!$1:$5000,M4795,FALSE)</f>
        <v>0</v>
      </c>
      <c r="D4795" s="52">
        <f>HLOOKUP("# Memory",'vHosts (Imported)'!$1:$5000,M4795,FALSE)</f>
        <v>0</v>
      </c>
      <c r="M4795" s="45">
        <f t="shared" si="224"/>
        <v>4795</v>
      </c>
      <c r="N4795" s="38">
        <f>HLOOKUP("Host",'vInfo (Imported)'!$1:$5000,M4795,FALSE)</f>
        <v>0</v>
      </c>
      <c r="R4795">
        <f>HLOOKUP("CPUs",'vInfo (Imported)'!$1:$5000,M4795,FALSE)</f>
        <v>0</v>
      </c>
      <c r="S4795">
        <f>HLOOKUP("Memory",'vInfo (Imported)'!$1:$5000,M4795,FALSE)</f>
        <v>0</v>
      </c>
      <c r="T4795">
        <f>HLOOKUP("Provisioned MiB",'vInfo (Imported)'!$1:$5000,M4795,FALSE)</f>
        <v>0</v>
      </c>
      <c r="U4795">
        <f t="shared" si="223"/>
        <v>0</v>
      </c>
      <c r="V4795">
        <f>HLOOKUP("In Use MiB",'vInfo (Imported)'!$1:$5000,M4795,FALSE)</f>
        <v>0</v>
      </c>
    </row>
    <row r="4796" spans="1:22" ht="13" x14ac:dyDescent="0.3">
      <c r="A4796" s="46">
        <f>'vHosts (Imported)'!A4796</f>
        <v>0</v>
      </c>
      <c r="B4796" s="51">
        <f t="shared" si="225"/>
        <v>4968</v>
      </c>
      <c r="C4796" s="49">
        <f>HLOOKUP("# Cores",'vHosts (Imported)'!$1:$5000,M4796,FALSE)</f>
        <v>0</v>
      </c>
      <c r="D4796" s="52">
        <f>HLOOKUP("# Memory",'vHosts (Imported)'!$1:$5000,M4796,FALSE)</f>
        <v>0</v>
      </c>
      <c r="M4796" s="45">
        <f t="shared" si="224"/>
        <v>4796</v>
      </c>
      <c r="N4796" s="38">
        <f>HLOOKUP("Host",'vInfo (Imported)'!$1:$5000,M4796,FALSE)</f>
        <v>0</v>
      </c>
      <c r="R4796">
        <f>HLOOKUP("CPUs",'vInfo (Imported)'!$1:$5000,M4796,FALSE)</f>
        <v>0</v>
      </c>
      <c r="S4796">
        <f>HLOOKUP("Memory",'vInfo (Imported)'!$1:$5000,M4796,FALSE)</f>
        <v>0</v>
      </c>
      <c r="T4796">
        <f>HLOOKUP("Provisioned MiB",'vInfo (Imported)'!$1:$5000,M4796,FALSE)</f>
        <v>0</v>
      </c>
      <c r="U4796">
        <f t="shared" si="223"/>
        <v>0</v>
      </c>
      <c r="V4796">
        <f>HLOOKUP("In Use MiB",'vInfo (Imported)'!$1:$5000,M4796,FALSE)</f>
        <v>0</v>
      </c>
    </row>
    <row r="4797" spans="1:22" ht="13" x14ac:dyDescent="0.3">
      <c r="A4797" s="46">
        <f>'vHosts (Imported)'!A4797</f>
        <v>0</v>
      </c>
      <c r="B4797" s="51">
        <f t="shared" si="225"/>
        <v>4968</v>
      </c>
      <c r="C4797" s="49">
        <f>HLOOKUP("# Cores",'vHosts (Imported)'!$1:$5000,M4797,FALSE)</f>
        <v>0</v>
      </c>
      <c r="D4797" s="52">
        <f>HLOOKUP("# Memory",'vHosts (Imported)'!$1:$5000,M4797,FALSE)</f>
        <v>0</v>
      </c>
      <c r="M4797" s="45">
        <f t="shared" si="224"/>
        <v>4797</v>
      </c>
      <c r="N4797" s="38">
        <f>HLOOKUP("Host",'vInfo (Imported)'!$1:$5000,M4797,FALSE)</f>
        <v>0</v>
      </c>
      <c r="R4797">
        <f>HLOOKUP("CPUs",'vInfo (Imported)'!$1:$5000,M4797,FALSE)</f>
        <v>0</v>
      </c>
      <c r="S4797">
        <f>HLOOKUP("Memory",'vInfo (Imported)'!$1:$5000,M4797,FALSE)</f>
        <v>0</v>
      </c>
      <c r="T4797">
        <f>HLOOKUP("Provisioned MiB",'vInfo (Imported)'!$1:$5000,M4797,FALSE)</f>
        <v>0</v>
      </c>
      <c r="U4797">
        <f t="shared" si="223"/>
        <v>0</v>
      </c>
      <c r="V4797">
        <f>HLOOKUP("In Use MiB",'vInfo (Imported)'!$1:$5000,M4797,FALSE)</f>
        <v>0</v>
      </c>
    </row>
    <row r="4798" spans="1:22" ht="13" x14ac:dyDescent="0.3">
      <c r="A4798" s="46">
        <f>'vHosts (Imported)'!A4798</f>
        <v>0</v>
      </c>
      <c r="B4798" s="51">
        <f t="shared" si="225"/>
        <v>4968</v>
      </c>
      <c r="C4798" s="49">
        <f>HLOOKUP("# Cores",'vHosts (Imported)'!$1:$5000,M4798,FALSE)</f>
        <v>0</v>
      </c>
      <c r="D4798" s="52">
        <f>HLOOKUP("# Memory",'vHosts (Imported)'!$1:$5000,M4798,FALSE)</f>
        <v>0</v>
      </c>
      <c r="M4798" s="45">
        <f t="shared" si="224"/>
        <v>4798</v>
      </c>
      <c r="N4798" s="38">
        <f>HLOOKUP("Host",'vInfo (Imported)'!$1:$5000,M4798,FALSE)</f>
        <v>0</v>
      </c>
      <c r="R4798">
        <f>HLOOKUP("CPUs",'vInfo (Imported)'!$1:$5000,M4798,FALSE)</f>
        <v>0</v>
      </c>
      <c r="S4798">
        <f>HLOOKUP("Memory",'vInfo (Imported)'!$1:$5000,M4798,FALSE)</f>
        <v>0</v>
      </c>
      <c r="T4798">
        <f>HLOOKUP("Provisioned MiB",'vInfo (Imported)'!$1:$5000,M4798,FALSE)</f>
        <v>0</v>
      </c>
      <c r="U4798">
        <f t="shared" si="223"/>
        <v>0</v>
      </c>
      <c r="V4798">
        <f>HLOOKUP("In Use MiB",'vInfo (Imported)'!$1:$5000,M4798,FALSE)</f>
        <v>0</v>
      </c>
    </row>
    <row r="4799" spans="1:22" ht="13" x14ac:dyDescent="0.3">
      <c r="A4799" s="46">
        <f>'vHosts (Imported)'!A4799</f>
        <v>0</v>
      </c>
      <c r="B4799" s="51">
        <f t="shared" si="225"/>
        <v>4968</v>
      </c>
      <c r="C4799" s="49">
        <f>HLOOKUP("# Cores",'vHosts (Imported)'!$1:$5000,M4799,FALSE)</f>
        <v>0</v>
      </c>
      <c r="D4799" s="52">
        <f>HLOOKUP("# Memory",'vHosts (Imported)'!$1:$5000,M4799,FALSE)</f>
        <v>0</v>
      </c>
      <c r="M4799" s="45">
        <f t="shared" si="224"/>
        <v>4799</v>
      </c>
      <c r="N4799" s="38">
        <f>HLOOKUP("Host",'vInfo (Imported)'!$1:$5000,M4799,FALSE)</f>
        <v>0</v>
      </c>
      <c r="R4799">
        <f>HLOOKUP("CPUs",'vInfo (Imported)'!$1:$5000,M4799,FALSE)</f>
        <v>0</v>
      </c>
      <c r="S4799">
        <f>HLOOKUP("Memory",'vInfo (Imported)'!$1:$5000,M4799,FALSE)</f>
        <v>0</v>
      </c>
      <c r="T4799">
        <f>HLOOKUP("Provisioned MiB",'vInfo (Imported)'!$1:$5000,M4799,FALSE)</f>
        <v>0</v>
      </c>
      <c r="U4799">
        <f t="shared" si="223"/>
        <v>0</v>
      </c>
      <c r="V4799">
        <f>HLOOKUP("In Use MiB",'vInfo (Imported)'!$1:$5000,M4799,FALSE)</f>
        <v>0</v>
      </c>
    </row>
    <row r="4800" spans="1:22" ht="13" x14ac:dyDescent="0.3">
      <c r="A4800" s="46">
        <f>'vHosts (Imported)'!A4800</f>
        <v>0</v>
      </c>
      <c r="B4800" s="51">
        <f t="shared" si="225"/>
        <v>4968</v>
      </c>
      <c r="C4800" s="49">
        <f>HLOOKUP("# Cores",'vHosts (Imported)'!$1:$5000,M4800,FALSE)</f>
        <v>0</v>
      </c>
      <c r="D4800" s="52">
        <f>HLOOKUP("# Memory",'vHosts (Imported)'!$1:$5000,M4800,FALSE)</f>
        <v>0</v>
      </c>
      <c r="M4800" s="45">
        <f t="shared" si="224"/>
        <v>4800</v>
      </c>
      <c r="N4800" s="38">
        <f>HLOOKUP("Host",'vInfo (Imported)'!$1:$5000,M4800,FALSE)</f>
        <v>0</v>
      </c>
      <c r="R4800">
        <f>HLOOKUP("CPUs",'vInfo (Imported)'!$1:$5000,M4800,FALSE)</f>
        <v>0</v>
      </c>
      <c r="S4800">
        <f>HLOOKUP("Memory",'vInfo (Imported)'!$1:$5000,M4800,FALSE)</f>
        <v>0</v>
      </c>
      <c r="T4800">
        <f>HLOOKUP("Provisioned MiB",'vInfo (Imported)'!$1:$5000,M4800,FALSE)</f>
        <v>0</v>
      </c>
      <c r="U4800">
        <f t="shared" si="223"/>
        <v>0</v>
      </c>
      <c r="V4800">
        <f>HLOOKUP("In Use MiB",'vInfo (Imported)'!$1:$5000,M4800,FALSE)</f>
        <v>0</v>
      </c>
    </row>
    <row r="4801" spans="1:22" ht="13" x14ac:dyDescent="0.3">
      <c r="A4801" s="46">
        <f>'vHosts (Imported)'!A4801</f>
        <v>0</v>
      </c>
      <c r="B4801" s="51">
        <f t="shared" si="225"/>
        <v>4968</v>
      </c>
      <c r="C4801" s="49">
        <f>HLOOKUP("# Cores",'vHosts (Imported)'!$1:$5000,M4801,FALSE)</f>
        <v>0</v>
      </c>
      <c r="D4801" s="52">
        <f>HLOOKUP("# Memory",'vHosts (Imported)'!$1:$5000,M4801,FALSE)</f>
        <v>0</v>
      </c>
      <c r="M4801" s="45">
        <f t="shared" si="224"/>
        <v>4801</v>
      </c>
      <c r="N4801" s="38">
        <f>HLOOKUP("Host",'vInfo (Imported)'!$1:$5000,M4801,FALSE)</f>
        <v>0</v>
      </c>
      <c r="R4801">
        <f>HLOOKUP("CPUs",'vInfo (Imported)'!$1:$5000,M4801,FALSE)</f>
        <v>0</v>
      </c>
      <c r="S4801">
        <f>HLOOKUP("Memory",'vInfo (Imported)'!$1:$5000,M4801,FALSE)</f>
        <v>0</v>
      </c>
      <c r="T4801">
        <f>HLOOKUP("Provisioned MiB",'vInfo (Imported)'!$1:$5000,M4801,FALSE)</f>
        <v>0</v>
      </c>
      <c r="U4801">
        <f t="shared" si="223"/>
        <v>0</v>
      </c>
      <c r="V4801">
        <f>HLOOKUP("In Use MiB",'vInfo (Imported)'!$1:$5000,M4801,FALSE)</f>
        <v>0</v>
      </c>
    </row>
    <row r="4802" spans="1:22" ht="13" x14ac:dyDescent="0.3">
      <c r="A4802" s="46">
        <f>'vHosts (Imported)'!A4802</f>
        <v>0</v>
      </c>
      <c r="B4802" s="51">
        <f t="shared" si="225"/>
        <v>4968</v>
      </c>
      <c r="C4802" s="49">
        <f>HLOOKUP("# Cores",'vHosts (Imported)'!$1:$5000,M4802,FALSE)</f>
        <v>0</v>
      </c>
      <c r="D4802" s="52">
        <f>HLOOKUP("# Memory",'vHosts (Imported)'!$1:$5000,M4802,FALSE)</f>
        <v>0</v>
      </c>
      <c r="M4802" s="45">
        <f t="shared" si="224"/>
        <v>4802</v>
      </c>
      <c r="N4802" s="38">
        <f>HLOOKUP("Host",'vInfo (Imported)'!$1:$5000,M4802,FALSE)</f>
        <v>0</v>
      </c>
      <c r="R4802">
        <f>HLOOKUP("CPUs",'vInfo (Imported)'!$1:$5000,M4802,FALSE)</f>
        <v>0</v>
      </c>
      <c r="S4802">
        <f>HLOOKUP("Memory",'vInfo (Imported)'!$1:$5000,M4802,FALSE)</f>
        <v>0</v>
      </c>
      <c r="T4802">
        <f>HLOOKUP("Provisioned MiB",'vInfo (Imported)'!$1:$5000,M4802,FALSE)</f>
        <v>0</v>
      </c>
      <c r="U4802">
        <f t="shared" si="223"/>
        <v>0</v>
      </c>
      <c r="V4802">
        <f>HLOOKUP("In Use MiB",'vInfo (Imported)'!$1:$5000,M4802,FALSE)</f>
        <v>0</v>
      </c>
    </row>
    <row r="4803" spans="1:22" ht="13" x14ac:dyDescent="0.3">
      <c r="A4803" s="46">
        <f>'vHosts (Imported)'!A4803</f>
        <v>0</v>
      </c>
      <c r="B4803" s="51">
        <f t="shared" si="225"/>
        <v>4968</v>
      </c>
      <c r="C4803" s="49">
        <f>HLOOKUP("# Cores",'vHosts (Imported)'!$1:$5000,M4803,FALSE)</f>
        <v>0</v>
      </c>
      <c r="D4803" s="52">
        <f>HLOOKUP("# Memory",'vHosts (Imported)'!$1:$5000,M4803,FALSE)</f>
        <v>0</v>
      </c>
      <c r="M4803" s="45">
        <f t="shared" si="224"/>
        <v>4803</v>
      </c>
      <c r="N4803" s="38">
        <f>HLOOKUP("Host",'vInfo (Imported)'!$1:$5000,M4803,FALSE)</f>
        <v>0</v>
      </c>
      <c r="R4803">
        <f>HLOOKUP("CPUs",'vInfo (Imported)'!$1:$5000,M4803,FALSE)</f>
        <v>0</v>
      </c>
      <c r="S4803">
        <f>HLOOKUP("Memory",'vInfo (Imported)'!$1:$5000,M4803,FALSE)</f>
        <v>0</v>
      </c>
      <c r="T4803">
        <f>HLOOKUP("Provisioned MiB",'vInfo (Imported)'!$1:$5000,M4803,FALSE)</f>
        <v>0</v>
      </c>
      <c r="U4803">
        <f t="shared" ref="U4803:U4866" si="226">T4803-V4803</f>
        <v>0</v>
      </c>
      <c r="V4803">
        <f>HLOOKUP("In Use MiB",'vInfo (Imported)'!$1:$5000,M4803,FALSE)</f>
        <v>0</v>
      </c>
    </row>
    <row r="4804" spans="1:22" ht="13" x14ac:dyDescent="0.3">
      <c r="A4804" s="46">
        <f>'vHosts (Imported)'!A4804</f>
        <v>0</v>
      </c>
      <c r="B4804" s="51">
        <f t="shared" si="225"/>
        <v>4968</v>
      </c>
      <c r="C4804" s="49">
        <f>HLOOKUP("# Cores",'vHosts (Imported)'!$1:$5000,M4804,FALSE)</f>
        <v>0</v>
      </c>
      <c r="D4804" s="52">
        <f>HLOOKUP("# Memory",'vHosts (Imported)'!$1:$5000,M4804,FALSE)</f>
        <v>0</v>
      </c>
      <c r="M4804" s="45">
        <f t="shared" ref="M4804:M4867" si="227">M4803+1</f>
        <v>4804</v>
      </c>
      <c r="N4804" s="38">
        <f>HLOOKUP("Host",'vInfo (Imported)'!$1:$5000,M4804,FALSE)</f>
        <v>0</v>
      </c>
      <c r="R4804">
        <f>HLOOKUP("CPUs",'vInfo (Imported)'!$1:$5000,M4804,FALSE)</f>
        <v>0</v>
      </c>
      <c r="S4804">
        <f>HLOOKUP("Memory",'vInfo (Imported)'!$1:$5000,M4804,FALSE)</f>
        <v>0</v>
      </c>
      <c r="T4804">
        <f>HLOOKUP("Provisioned MiB",'vInfo (Imported)'!$1:$5000,M4804,FALSE)</f>
        <v>0</v>
      </c>
      <c r="U4804">
        <f t="shared" si="226"/>
        <v>0</v>
      </c>
      <c r="V4804">
        <f>HLOOKUP("In Use MiB",'vInfo (Imported)'!$1:$5000,M4804,FALSE)</f>
        <v>0</v>
      </c>
    </row>
    <row r="4805" spans="1:22" ht="13" x14ac:dyDescent="0.3">
      <c r="A4805" s="46">
        <f>'vHosts (Imported)'!A4805</f>
        <v>0</v>
      </c>
      <c r="B4805" s="51">
        <f t="shared" si="225"/>
        <v>4968</v>
      </c>
      <c r="C4805" s="49">
        <f>HLOOKUP("# Cores",'vHosts (Imported)'!$1:$5000,M4805,FALSE)</f>
        <v>0</v>
      </c>
      <c r="D4805" s="52">
        <f>HLOOKUP("# Memory",'vHosts (Imported)'!$1:$5000,M4805,FALSE)</f>
        <v>0</v>
      </c>
      <c r="M4805" s="45">
        <f t="shared" si="227"/>
        <v>4805</v>
      </c>
      <c r="N4805" s="38">
        <f>HLOOKUP("Host",'vInfo (Imported)'!$1:$5000,M4805,FALSE)</f>
        <v>0</v>
      </c>
      <c r="R4805">
        <f>HLOOKUP("CPUs",'vInfo (Imported)'!$1:$5000,M4805,FALSE)</f>
        <v>0</v>
      </c>
      <c r="S4805">
        <f>HLOOKUP("Memory",'vInfo (Imported)'!$1:$5000,M4805,FALSE)</f>
        <v>0</v>
      </c>
      <c r="T4805">
        <f>HLOOKUP("Provisioned MiB",'vInfo (Imported)'!$1:$5000,M4805,FALSE)</f>
        <v>0</v>
      </c>
      <c r="U4805">
        <f t="shared" si="226"/>
        <v>0</v>
      </c>
      <c r="V4805">
        <f>HLOOKUP("In Use MiB",'vInfo (Imported)'!$1:$5000,M4805,FALSE)</f>
        <v>0</v>
      </c>
    </row>
    <row r="4806" spans="1:22" ht="13" x14ac:dyDescent="0.3">
      <c r="A4806" s="46">
        <f>'vHosts (Imported)'!A4806</f>
        <v>0</v>
      </c>
      <c r="B4806" s="51">
        <f t="shared" si="225"/>
        <v>4968</v>
      </c>
      <c r="C4806" s="49">
        <f>HLOOKUP("# Cores",'vHosts (Imported)'!$1:$5000,M4806,FALSE)</f>
        <v>0</v>
      </c>
      <c r="D4806" s="52">
        <f>HLOOKUP("# Memory",'vHosts (Imported)'!$1:$5000,M4806,FALSE)</f>
        <v>0</v>
      </c>
      <c r="M4806" s="45">
        <f t="shared" si="227"/>
        <v>4806</v>
      </c>
      <c r="N4806" s="38">
        <f>HLOOKUP("Host",'vInfo (Imported)'!$1:$5000,M4806,FALSE)</f>
        <v>0</v>
      </c>
      <c r="R4806">
        <f>HLOOKUP("CPUs",'vInfo (Imported)'!$1:$5000,M4806,FALSE)</f>
        <v>0</v>
      </c>
      <c r="S4806">
        <f>HLOOKUP("Memory",'vInfo (Imported)'!$1:$5000,M4806,FALSE)</f>
        <v>0</v>
      </c>
      <c r="T4806">
        <f>HLOOKUP("Provisioned MiB",'vInfo (Imported)'!$1:$5000,M4806,FALSE)</f>
        <v>0</v>
      </c>
      <c r="U4806">
        <f t="shared" si="226"/>
        <v>0</v>
      </c>
      <c r="V4806">
        <f>HLOOKUP("In Use MiB",'vInfo (Imported)'!$1:$5000,M4806,FALSE)</f>
        <v>0</v>
      </c>
    </row>
    <row r="4807" spans="1:22" ht="13" x14ac:dyDescent="0.3">
      <c r="A4807" s="46">
        <f>'vHosts (Imported)'!A4807</f>
        <v>0</v>
      </c>
      <c r="B4807" s="51">
        <f t="shared" si="225"/>
        <v>4968</v>
      </c>
      <c r="C4807" s="49">
        <f>HLOOKUP("# Cores",'vHosts (Imported)'!$1:$5000,M4807,FALSE)</f>
        <v>0</v>
      </c>
      <c r="D4807" s="52">
        <f>HLOOKUP("# Memory",'vHosts (Imported)'!$1:$5000,M4807,FALSE)</f>
        <v>0</v>
      </c>
      <c r="M4807" s="45">
        <f t="shared" si="227"/>
        <v>4807</v>
      </c>
      <c r="N4807" s="38">
        <f>HLOOKUP("Host",'vInfo (Imported)'!$1:$5000,M4807,FALSE)</f>
        <v>0</v>
      </c>
      <c r="R4807">
        <f>HLOOKUP("CPUs",'vInfo (Imported)'!$1:$5000,M4807,FALSE)</f>
        <v>0</v>
      </c>
      <c r="S4807">
        <f>HLOOKUP("Memory",'vInfo (Imported)'!$1:$5000,M4807,FALSE)</f>
        <v>0</v>
      </c>
      <c r="T4807">
        <f>HLOOKUP("Provisioned MiB",'vInfo (Imported)'!$1:$5000,M4807,FALSE)</f>
        <v>0</v>
      </c>
      <c r="U4807">
        <f t="shared" si="226"/>
        <v>0</v>
      </c>
      <c r="V4807">
        <f>HLOOKUP("In Use MiB",'vInfo (Imported)'!$1:$5000,M4807,FALSE)</f>
        <v>0</v>
      </c>
    </row>
    <row r="4808" spans="1:22" ht="13" x14ac:dyDescent="0.3">
      <c r="A4808" s="46">
        <f>'vHosts (Imported)'!A4808</f>
        <v>0</v>
      </c>
      <c r="B4808" s="51">
        <f t="shared" si="225"/>
        <v>4968</v>
      </c>
      <c r="C4808" s="49">
        <f>HLOOKUP("# Cores",'vHosts (Imported)'!$1:$5000,M4808,FALSE)</f>
        <v>0</v>
      </c>
      <c r="D4808" s="52">
        <f>HLOOKUP("# Memory",'vHosts (Imported)'!$1:$5000,M4808,FALSE)</f>
        <v>0</v>
      </c>
      <c r="M4808" s="45">
        <f t="shared" si="227"/>
        <v>4808</v>
      </c>
      <c r="N4808" s="38">
        <f>HLOOKUP("Host",'vInfo (Imported)'!$1:$5000,M4808,FALSE)</f>
        <v>0</v>
      </c>
      <c r="R4808">
        <f>HLOOKUP("CPUs",'vInfo (Imported)'!$1:$5000,M4808,FALSE)</f>
        <v>0</v>
      </c>
      <c r="S4808">
        <f>HLOOKUP("Memory",'vInfo (Imported)'!$1:$5000,M4808,FALSE)</f>
        <v>0</v>
      </c>
      <c r="T4808">
        <f>HLOOKUP("Provisioned MiB",'vInfo (Imported)'!$1:$5000,M4808,FALSE)</f>
        <v>0</v>
      </c>
      <c r="U4808">
        <f t="shared" si="226"/>
        <v>0</v>
      </c>
      <c r="V4808">
        <f>HLOOKUP("In Use MiB",'vInfo (Imported)'!$1:$5000,M4808,FALSE)</f>
        <v>0</v>
      </c>
    </row>
    <row r="4809" spans="1:22" ht="13" x14ac:dyDescent="0.3">
      <c r="A4809" s="46">
        <f>'vHosts (Imported)'!A4809</f>
        <v>0</v>
      </c>
      <c r="B4809" s="51">
        <f t="shared" si="225"/>
        <v>4968</v>
      </c>
      <c r="C4809" s="49">
        <f>HLOOKUP("# Cores",'vHosts (Imported)'!$1:$5000,M4809,FALSE)</f>
        <v>0</v>
      </c>
      <c r="D4809" s="52">
        <f>HLOOKUP("# Memory",'vHosts (Imported)'!$1:$5000,M4809,FALSE)</f>
        <v>0</v>
      </c>
      <c r="M4809" s="45">
        <f t="shared" si="227"/>
        <v>4809</v>
      </c>
      <c r="N4809" s="38">
        <f>HLOOKUP("Host",'vInfo (Imported)'!$1:$5000,M4809,FALSE)</f>
        <v>0</v>
      </c>
      <c r="R4809">
        <f>HLOOKUP("CPUs",'vInfo (Imported)'!$1:$5000,M4809,FALSE)</f>
        <v>0</v>
      </c>
      <c r="S4809">
        <f>HLOOKUP("Memory",'vInfo (Imported)'!$1:$5000,M4809,FALSE)</f>
        <v>0</v>
      </c>
      <c r="T4809">
        <f>HLOOKUP("Provisioned MiB",'vInfo (Imported)'!$1:$5000,M4809,FALSE)</f>
        <v>0</v>
      </c>
      <c r="U4809">
        <f t="shared" si="226"/>
        <v>0</v>
      </c>
      <c r="V4809">
        <f>HLOOKUP("In Use MiB",'vInfo (Imported)'!$1:$5000,M4809,FALSE)</f>
        <v>0</v>
      </c>
    </row>
    <row r="4810" spans="1:22" ht="13" x14ac:dyDescent="0.3">
      <c r="A4810" s="46">
        <f>'vHosts (Imported)'!A4810</f>
        <v>0</v>
      </c>
      <c r="B4810" s="51">
        <f t="shared" si="225"/>
        <v>4968</v>
      </c>
      <c r="C4810" s="49">
        <f>HLOOKUP("# Cores",'vHosts (Imported)'!$1:$5000,M4810,FALSE)</f>
        <v>0</v>
      </c>
      <c r="D4810" s="52">
        <f>HLOOKUP("# Memory",'vHosts (Imported)'!$1:$5000,M4810,FALSE)</f>
        <v>0</v>
      </c>
      <c r="M4810" s="45">
        <f t="shared" si="227"/>
        <v>4810</v>
      </c>
      <c r="N4810" s="38">
        <f>HLOOKUP("Host",'vInfo (Imported)'!$1:$5000,M4810,FALSE)</f>
        <v>0</v>
      </c>
      <c r="R4810">
        <f>HLOOKUP("CPUs",'vInfo (Imported)'!$1:$5000,M4810,FALSE)</f>
        <v>0</v>
      </c>
      <c r="S4810">
        <f>HLOOKUP("Memory",'vInfo (Imported)'!$1:$5000,M4810,FALSE)</f>
        <v>0</v>
      </c>
      <c r="T4810">
        <f>HLOOKUP("Provisioned MiB",'vInfo (Imported)'!$1:$5000,M4810,FALSE)</f>
        <v>0</v>
      </c>
      <c r="U4810">
        <f t="shared" si="226"/>
        <v>0</v>
      </c>
      <c r="V4810">
        <f>HLOOKUP("In Use MiB",'vInfo (Imported)'!$1:$5000,M4810,FALSE)</f>
        <v>0</v>
      </c>
    </row>
    <row r="4811" spans="1:22" ht="13" x14ac:dyDescent="0.3">
      <c r="A4811" s="46">
        <f>'vHosts (Imported)'!A4811</f>
        <v>0</v>
      </c>
      <c r="B4811" s="51">
        <f t="shared" si="225"/>
        <v>4968</v>
      </c>
      <c r="C4811" s="49">
        <f>HLOOKUP("# Cores",'vHosts (Imported)'!$1:$5000,M4811,FALSE)</f>
        <v>0</v>
      </c>
      <c r="D4811" s="52">
        <f>HLOOKUP("# Memory",'vHosts (Imported)'!$1:$5000,M4811,FALSE)</f>
        <v>0</v>
      </c>
      <c r="M4811" s="45">
        <f t="shared" si="227"/>
        <v>4811</v>
      </c>
      <c r="N4811" s="38">
        <f>HLOOKUP("Host",'vInfo (Imported)'!$1:$5000,M4811,FALSE)</f>
        <v>0</v>
      </c>
      <c r="R4811">
        <f>HLOOKUP("CPUs",'vInfo (Imported)'!$1:$5000,M4811,FALSE)</f>
        <v>0</v>
      </c>
      <c r="S4811">
        <f>HLOOKUP("Memory",'vInfo (Imported)'!$1:$5000,M4811,FALSE)</f>
        <v>0</v>
      </c>
      <c r="T4811">
        <f>HLOOKUP("Provisioned MiB",'vInfo (Imported)'!$1:$5000,M4811,FALSE)</f>
        <v>0</v>
      </c>
      <c r="U4811">
        <f t="shared" si="226"/>
        <v>0</v>
      </c>
      <c r="V4811">
        <f>HLOOKUP("In Use MiB",'vInfo (Imported)'!$1:$5000,M4811,FALSE)</f>
        <v>0</v>
      </c>
    </row>
    <row r="4812" spans="1:22" ht="13" x14ac:dyDescent="0.3">
      <c r="A4812" s="46">
        <f>'vHosts (Imported)'!A4812</f>
        <v>0</v>
      </c>
      <c r="B4812" s="51">
        <f t="shared" si="225"/>
        <v>4968</v>
      </c>
      <c r="C4812" s="49">
        <f>HLOOKUP("# Cores",'vHosts (Imported)'!$1:$5000,M4812,FALSE)</f>
        <v>0</v>
      </c>
      <c r="D4812" s="52">
        <f>HLOOKUP("# Memory",'vHosts (Imported)'!$1:$5000,M4812,FALSE)</f>
        <v>0</v>
      </c>
      <c r="M4812" s="45">
        <f t="shared" si="227"/>
        <v>4812</v>
      </c>
      <c r="N4812" s="38">
        <f>HLOOKUP("Host",'vInfo (Imported)'!$1:$5000,M4812,FALSE)</f>
        <v>0</v>
      </c>
      <c r="R4812">
        <f>HLOOKUP("CPUs",'vInfo (Imported)'!$1:$5000,M4812,FALSE)</f>
        <v>0</v>
      </c>
      <c r="S4812">
        <f>HLOOKUP("Memory",'vInfo (Imported)'!$1:$5000,M4812,FALSE)</f>
        <v>0</v>
      </c>
      <c r="T4812">
        <f>HLOOKUP("Provisioned MiB",'vInfo (Imported)'!$1:$5000,M4812,FALSE)</f>
        <v>0</v>
      </c>
      <c r="U4812">
        <f t="shared" si="226"/>
        <v>0</v>
      </c>
      <c r="V4812">
        <f>HLOOKUP("In Use MiB",'vInfo (Imported)'!$1:$5000,M4812,FALSE)</f>
        <v>0</v>
      </c>
    </row>
    <row r="4813" spans="1:22" ht="13" x14ac:dyDescent="0.3">
      <c r="A4813" s="46">
        <f>'vHosts (Imported)'!A4813</f>
        <v>0</v>
      </c>
      <c r="B4813" s="51">
        <f t="shared" si="225"/>
        <v>4968</v>
      </c>
      <c r="C4813" s="49">
        <f>HLOOKUP("# Cores",'vHosts (Imported)'!$1:$5000,M4813,FALSE)</f>
        <v>0</v>
      </c>
      <c r="D4813" s="52">
        <f>HLOOKUP("# Memory",'vHosts (Imported)'!$1:$5000,M4813,FALSE)</f>
        <v>0</v>
      </c>
      <c r="M4813" s="45">
        <f t="shared" si="227"/>
        <v>4813</v>
      </c>
      <c r="N4813" s="38">
        <f>HLOOKUP("Host",'vInfo (Imported)'!$1:$5000,M4813,FALSE)</f>
        <v>0</v>
      </c>
      <c r="R4813">
        <f>HLOOKUP("CPUs",'vInfo (Imported)'!$1:$5000,M4813,FALSE)</f>
        <v>0</v>
      </c>
      <c r="S4813">
        <f>HLOOKUP("Memory",'vInfo (Imported)'!$1:$5000,M4813,FALSE)</f>
        <v>0</v>
      </c>
      <c r="T4813">
        <f>HLOOKUP("Provisioned MiB",'vInfo (Imported)'!$1:$5000,M4813,FALSE)</f>
        <v>0</v>
      </c>
      <c r="U4813">
        <f t="shared" si="226"/>
        <v>0</v>
      </c>
      <c r="V4813">
        <f>HLOOKUP("In Use MiB",'vInfo (Imported)'!$1:$5000,M4813,FALSE)</f>
        <v>0</v>
      </c>
    </row>
    <row r="4814" spans="1:22" ht="13" x14ac:dyDescent="0.3">
      <c r="A4814" s="46">
        <f>'vHosts (Imported)'!A4814</f>
        <v>0</v>
      </c>
      <c r="B4814" s="51">
        <f t="shared" si="225"/>
        <v>4968</v>
      </c>
      <c r="C4814" s="49">
        <f>HLOOKUP("# Cores",'vHosts (Imported)'!$1:$5000,M4814,FALSE)</f>
        <v>0</v>
      </c>
      <c r="D4814" s="52">
        <f>HLOOKUP("# Memory",'vHosts (Imported)'!$1:$5000,M4814,FALSE)</f>
        <v>0</v>
      </c>
      <c r="M4814" s="45">
        <f t="shared" si="227"/>
        <v>4814</v>
      </c>
      <c r="N4814" s="38">
        <f>HLOOKUP("Host",'vInfo (Imported)'!$1:$5000,M4814,FALSE)</f>
        <v>0</v>
      </c>
      <c r="R4814">
        <f>HLOOKUP("CPUs",'vInfo (Imported)'!$1:$5000,M4814,FALSE)</f>
        <v>0</v>
      </c>
      <c r="S4814">
        <f>HLOOKUP("Memory",'vInfo (Imported)'!$1:$5000,M4814,FALSE)</f>
        <v>0</v>
      </c>
      <c r="T4814">
        <f>HLOOKUP("Provisioned MiB",'vInfo (Imported)'!$1:$5000,M4814,FALSE)</f>
        <v>0</v>
      </c>
      <c r="U4814">
        <f t="shared" si="226"/>
        <v>0</v>
      </c>
      <c r="V4814">
        <f>HLOOKUP("In Use MiB",'vInfo (Imported)'!$1:$5000,M4814,FALSE)</f>
        <v>0</v>
      </c>
    </row>
    <row r="4815" spans="1:22" ht="13" x14ac:dyDescent="0.3">
      <c r="A4815" s="46">
        <f>'vHosts (Imported)'!A4815</f>
        <v>0</v>
      </c>
      <c r="B4815" s="51">
        <f t="shared" si="225"/>
        <v>4968</v>
      </c>
      <c r="C4815" s="49">
        <f>HLOOKUP("# Cores",'vHosts (Imported)'!$1:$5000,M4815,FALSE)</f>
        <v>0</v>
      </c>
      <c r="D4815" s="52">
        <f>HLOOKUP("# Memory",'vHosts (Imported)'!$1:$5000,M4815,FALSE)</f>
        <v>0</v>
      </c>
      <c r="M4815" s="45">
        <f t="shared" si="227"/>
        <v>4815</v>
      </c>
      <c r="N4815" s="38">
        <f>HLOOKUP("Host",'vInfo (Imported)'!$1:$5000,M4815,FALSE)</f>
        <v>0</v>
      </c>
      <c r="R4815">
        <f>HLOOKUP("CPUs",'vInfo (Imported)'!$1:$5000,M4815,FALSE)</f>
        <v>0</v>
      </c>
      <c r="S4815">
        <f>HLOOKUP("Memory",'vInfo (Imported)'!$1:$5000,M4815,FALSE)</f>
        <v>0</v>
      </c>
      <c r="T4815">
        <f>HLOOKUP("Provisioned MiB",'vInfo (Imported)'!$1:$5000,M4815,FALSE)</f>
        <v>0</v>
      </c>
      <c r="U4815">
        <f t="shared" si="226"/>
        <v>0</v>
      </c>
      <c r="V4815">
        <f>HLOOKUP("In Use MiB",'vInfo (Imported)'!$1:$5000,M4815,FALSE)</f>
        <v>0</v>
      </c>
    </row>
    <row r="4816" spans="1:22" ht="13" x14ac:dyDescent="0.3">
      <c r="A4816" s="46">
        <f>'vHosts (Imported)'!A4816</f>
        <v>0</v>
      </c>
      <c r="B4816" s="51">
        <f t="shared" si="225"/>
        <v>4968</v>
      </c>
      <c r="C4816" s="49">
        <f>HLOOKUP("# Cores",'vHosts (Imported)'!$1:$5000,M4816,FALSE)</f>
        <v>0</v>
      </c>
      <c r="D4816" s="52">
        <f>HLOOKUP("# Memory",'vHosts (Imported)'!$1:$5000,M4816,FALSE)</f>
        <v>0</v>
      </c>
      <c r="M4816" s="45">
        <f t="shared" si="227"/>
        <v>4816</v>
      </c>
      <c r="N4816" s="38">
        <f>HLOOKUP("Host",'vInfo (Imported)'!$1:$5000,M4816,FALSE)</f>
        <v>0</v>
      </c>
      <c r="R4816">
        <f>HLOOKUP("CPUs",'vInfo (Imported)'!$1:$5000,M4816,FALSE)</f>
        <v>0</v>
      </c>
      <c r="S4816">
        <f>HLOOKUP("Memory",'vInfo (Imported)'!$1:$5000,M4816,FALSE)</f>
        <v>0</v>
      </c>
      <c r="T4816">
        <f>HLOOKUP("Provisioned MiB",'vInfo (Imported)'!$1:$5000,M4816,FALSE)</f>
        <v>0</v>
      </c>
      <c r="U4816">
        <f t="shared" si="226"/>
        <v>0</v>
      </c>
      <c r="V4816">
        <f>HLOOKUP("In Use MiB",'vInfo (Imported)'!$1:$5000,M4816,FALSE)</f>
        <v>0</v>
      </c>
    </row>
    <row r="4817" spans="1:22" ht="13" x14ac:dyDescent="0.3">
      <c r="A4817" s="46">
        <f>'vHosts (Imported)'!A4817</f>
        <v>0</v>
      </c>
      <c r="B4817" s="51">
        <f t="shared" si="225"/>
        <v>4968</v>
      </c>
      <c r="C4817" s="49">
        <f>HLOOKUP("# Cores",'vHosts (Imported)'!$1:$5000,M4817,FALSE)</f>
        <v>0</v>
      </c>
      <c r="D4817" s="52">
        <f>HLOOKUP("# Memory",'vHosts (Imported)'!$1:$5000,M4817,FALSE)</f>
        <v>0</v>
      </c>
      <c r="M4817" s="45">
        <f t="shared" si="227"/>
        <v>4817</v>
      </c>
      <c r="N4817" s="38">
        <f>HLOOKUP("Host",'vInfo (Imported)'!$1:$5000,M4817,FALSE)</f>
        <v>0</v>
      </c>
      <c r="R4817">
        <f>HLOOKUP("CPUs",'vInfo (Imported)'!$1:$5000,M4817,FALSE)</f>
        <v>0</v>
      </c>
      <c r="S4817">
        <f>HLOOKUP("Memory",'vInfo (Imported)'!$1:$5000,M4817,FALSE)</f>
        <v>0</v>
      </c>
      <c r="T4817">
        <f>HLOOKUP("Provisioned MiB",'vInfo (Imported)'!$1:$5000,M4817,FALSE)</f>
        <v>0</v>
      </c>
      <c r="U4817">
        <f t="shared" si="226"/>
        <v>0</v>
      </c>
      <c r="V4817">
        <f>HLOOKUP("In Use MiB",'vInfo (Imported)'!$1:$5000,M4817,FALSE)</f>
        <v>0</v>
      </c>
    </row>
    <row r="4818" spans="1:22" ht="13" x14ac:dyDescent="0.3">
      <c r="A4818" s="46">
        <f>'vHosts (Imported)'!A4818</f>
        <v>0</v>
      </c>
      <c r="B4818" s="51">
        <f t="shared" si="225"/>
        <v>4968</v>
      </c>
      <c r="C4818" s="49">
        <f>HLOOKUP("# Cores",'vHosts (Imported)'!$1:$5000,M4818,FALSE)</f>
        <v>0</v>
      </c>
      <c r="D4818" s="52">
        <f>HLOOKUP("# Memory",'vHosts (Imported)'!$1:$5000,M4818,FALSE)</f>
        <v>0</v>
      </c>
      <c r="M4818" s="45">
        <f t="shared" si="227"/>
        <v>4818</v>
      </c>
      <c r="N4818" s="38">
        <f>HLOOKUP("Host",'vInfo (Imported)'!$1:$5000,M4818,FALSE)</f>
        <v>0</v>
      </c>
      <c r="R4818">
        <f>HLOOKUP("CPUs",'vInfo (Imported)'!$1:$5000,M4818,FALSE)</f>
        <v>0</v>
      </c>
      <c r="S4818">
        <f>HLOOKUP("Memory",'vInfo (Imported)'!$1:$5000,M4818,FALSE)</f>
        <v>0</v>
      </c>
      <c r="T4818">
        <f>HLOOKUP("Provisioned MiB",'vInfo (Imported)'!$1:$5000,M4818,FALSE)</f>
        <v>0</v>
      </c>
      <c r="U4818">
        <f t="shared" si="226"/>
        <v>0</v>
      </c>
      <c r="V4818">
        <f>HLOOKUP("In Use MiB",'vInfo (Imported)'!$1:$5000,M4818,FALSE)</f>
        <v>0</v>
      </c>
    </row>
    <row r="4819" spans="1:22" ht="13" x14ac:dyDescent="0.3">
      <c r="A4819" s="46">
        <f>'vHosts (Imported)'!A4819</f>
        <v>0</v>
      </c>
      <c r="B4819" s="51">
        <f t="shared" si="225"/>
        <v>4968</v>
      </c>
      <c r="C4819" s="49">
        <f>HLOOKUP("# Cores",'vHosts (Imported)'!$1:$5000,M4819,FALSE)</f>
        <v>0</v>
      </c>
      <c r="D4819" s="52">
        <f>HLOOKUP("# Memory",'vHosts (Imported)'!$1:$5000,M4819,FALSE)</f>
        <v>0</v>
      </c>
      <c r="M4819" s="45">
        <f t="shared" si="227"/>
        <v>4819</v>
      </c>
      <c r="N4819" s="38">
        <f>HLOOKUP("Host",'vInfo (Imported)'!$1:$5000,M4819,FALSE)</f>
        <v>0</v>
      </c>
      <c r="R4819">
        <f>HLOOKUP("CPUs",'vInfo (Imported)'!$1:$5000,M4819,FALSE)</f>
        <v>0</v>
      </c>
      <c r="S4819">
        <f>HLOOKUP("Memory",'vInfo (Imported)'!$1:$5000,M4819,FALSE)</f>
        <v>0</v>
      </c>
      <c r="T4819">
        <f>HLOOKUP("Provisioned MiB",'vInfo (Imported)'!$1:$5000,M4819,FALSE)</f>
        <v>0</v>
      </c>
      <c r="U4819">
        <f t="shared" si="226"/>
        <v>0</v>
      </c>
      <c r="V4819">
        <f>HLOOKUP("In Use MiB",'vInfo (Imported)'!$1:$5000,M4819,FALSE)</f>
        <v>0</v>
      </c>
    </row>
    <row r="4820" spans="1:22" ht="13" x14ac:dyDescent="0.3">
      <c r="A4820" s="46">
        <f>'vHosts (Imported)'!A4820</f>
        <v>0</v>
      </c>
      <c r="B4820" s="51">
        <f t="shared" si="225"/>
        <v>4968</v>
      </c>
      <c r="C4820" s="49">
        <f>HLOOKUP("# Cores",'vHosts (Imported)'!$1:$5000,M4820,FALSE)</f>
        <v>0</v>
      </c>
      <c r="D4820" s="52">
        <f>HLOOKUP("# Memory",'vHosts (Imported)'!$1:$5000,M4820,FALSE)</f>
        <v>0</v>
      </c>
      <c r="M4820" s="45">
        <f t="shared" si="227"/>
        <v>4820</v>
      </c>
      <c r="N4820" s="38">
        <f>HLOOKUP("Host",'vInfo (Imported)'!$1:$5000,M4820,FALSE)</f>
        <v>0</v>
      </c>
      <c r="R4820">
        <f>HLOOKUP("CPUs",'vInfo (Imported)'!$1:$5000,M4820,FALSE)</f>
        <v>0</v>
      </c>
      <c r="S4820">
        <f>HLOOKUP("Memory",'vInfo (Imported)'!$1:$5000,M4820,FALSE)</f>
        <v>0</v>
      </c>
      <c r="T4820">
        <f>HLOOKUP("Provisioned MiB",'vInfo (Imported)'!$1:$5000,M4820,FALSE)</f>
        <v>0</v>
      </c>
      <c r="U4820">
        <f t="shared" si="226"/>
        <v>0</v>
      </c>
      <c r="V4820">
        <f>HLOOKUP("In Use MiB",'vInfo (Imported)'!$1:$5000,M4820,FALSE)</f>
        <v>0</v>
      </c>
    </row>
    <row r="4821" spans="1:22" ht="13" x14ac:dyDescent="0.3">
      <c r="A4821" s="46">
        <f>'vHosts (Imported)'!A4821</f>
        <v>0</v>
      </c>
      <c r="B4821" s="51">
        <f t="shared" si="225"/>
        <v>4968</v>
      </c>
      <c r="C4821" s="49">
        <f>HLOOKUP("# Cores",'vHosts (Imported)'!$1:$5000,M4821,FALSE)</f>
        <v>0</v>
      </c>
      <c r="D4821" s="52">
        <f>HLOOKUP("# Memory",'vHosts (Imported)'!$1:$5000,M4821,FALSE)</f>
        <v>0</v>
      </c>
      <c r="M4821" s="45">
        <f t="shared" si="227"/>
        <v>4821</v>
      </c>
      <c r="N4821" s="38">
        <f>HLOOKUP("Host",'vInfo (Imported)'!$1:$5000,M4821,FALSE)</f>
        <v>0</v>
      </c>
      <c r="R4821">
        <f>HLOOKUP("CPUs",'vInfo (Imported)'!$1:$5000,M4821,FALSE)</f>
        <v>0</v>
      </c>
      <c r="S4821">
        <f>HLOOKUP("Memory",'vInfo (Imported)'!$1:$5000,M4821,FALSE)</f>
        <v>0</v>
      </c>
      <c r="T4821">
        <f>HLOOKUP("Provisioned MiB",'vInfo (Imported)'!$1:$5000,M4821,FALSE)</f>
        <v>0</v>
      </c>
      <c r="U4821">
        <f t="shared" si="226"/>
        <v>0</v>
      </c>
      <c r="V4821">
        <f>HLOOKUP("In Use MiB",'vInfo (Imported)'!$1:$5000,M4821,FALSE)</f>
        <v>0</v>
      </c>
    </row>
    <row r="4822" spans="1:22" ht="13" x14ac:dyDescent="0.3">
      <c r="A4822" s="46">
        <f>'vHosts (Imported)'!A4822</f>
        <v>0</v>
      </c>
      <c r="B4822" s="51">
        <f t="shared" si="225"/>
        <v>4968</v>
      </c>
      <c r="C4822" s="49">
        <f>HLOOKUP("# Cores",'vHosts (Imported)'!$1:$5000,M4822,FALSE)</f>
        <v>0</v>
      </c>
      <c r="D4822" s="52">
        <f>HLOOKUP("# Memory",'vHosts (Imported)'!$1:$5000,M4822,FALSE)</f>
        <v>0</v>
      </c>
      <c r="M4822" s="45">
        <f t="shared" si="227"/>
        <v>4822</v>
      </c>
      <c r="N4822" s="38">
        <f>HLOOKUP("Host",'vInfo (Imported)'!$1:$5000,M4822,FALSE)</f>
        <v>0</v>
      </c>
      <c r="R4822">
        <f>HLOOKUP("CPUs",'vInfo (Imported)'!$1:$5000,M4822,FALSE)</f>
        <v>0</v>
      </c>
      <c r="S4822">
        <f>HLOOKUP("Memory",'vInfo (Imported)'!$1:$5000,M4822,FALSE)</f>
        <v>0</v>
      </c>
      <c r="T4822">
        <f>HLOOKUP("Provisioned MiB",'vInfo (Imported)'!$1:$5000,M4822,FALSE)</f>
        <v>0</v>
      </c>
      <c r="U4822">
        <f t="shared" si="226"/>
        <v>0</v>
      </c>
      <c r="V4822">
        <f>HLOOKUP("In Use MiB",'vInfo (Imported)'!$1:$5000,M4822,FALSE)</f>
        <v>0</v>
      </c>
    </row>
    <row r="4823" spans="1:22" ht="13" x14ac:dyDescent="0.3">
      <c r="A4823" s="46">
        <f>'vHosts (Imported)'!A4823</f>
        <v>0</v>
      </c>
      <c r="B4823" s="51">
        <f t="shared" si="225"/>
        <v>4968</v>
      </c>
      <c r="C4823" s="49">
        <f>HLOOKUP("# Cores",'vHosts (Imported)'!$1:$5000,M4823,FALSE)</f>
        <v>0</v>
      </c>
      <c r="D4823" s="52">
        <f>HLOOKUP("# Memory",'vHosts (Imported)'!$1:$5000,M4823,FALSE)</f>
        <v>0</v>
      </c>
      <c r="M4823" s="45">
        <f t="shared" si="227"/>
        <v>4823</v>
      </c>
      <c r="N4823" s="38">
        <f>HLOOKUP("Host",'vInfo (Imported)'!$1:$5000,M4823,FALSE)</f>
        <v>0</v>
      </c>
      <c r="R4823">
        <f>HLOOKUP("CPUs",'vInfo (Imported)'!$1:$5000,M4823,FALSE)</f>
        <v>0</v>
      </c>
      <c r="S4823">
        <f>HLOOKUP("Memory",'vInfo (Imported)'!$1:$5000,M4823,FALSE)</f>
        <v>0</v>
      </c>
      <c r="T4823">
        <f>HLOOKUP("Provisioned MiB",'vInfo (Imported)'!$1:$5000,M4823,FALSE)</f>
        <v>0</v>
      </c>
      <c r="U4823">
        <f t="shared" si="226"/>
        <v>0</v>
      </c>
      <c r="V4823">
        <f>HLOOKUP("In Use MiB",'vInfo (Imported)'!$1:$5000,M4823,FALSE)</f>
        <v>0</v>
      </c>
    </row>
    <row r="4824" spans="1:22" ht="13" x14ac:dyDescent="0.3">
      <c r="A4824" s="46">
        <f>'vHosts (Imported)'!A4824</f>
        <v>0</v>
      </c>
      <c r="B4824" s="51">
        <f t="shared" si="225"/>
        <v>4968</v>
      </c>
      <c r="C4824" s="49">
        <f>HLOOKUP("# Cores",'vHosts (Imported)'!$1:$5000,M4824,FALSE)</f>
        <v>0</v>
      </c>
      <c r="D4824" s="52">
        <f>HLOOKUP("# Memory",'vHosts (Imported)'!$1:$5000,M4824,FALSE)</f>
        <v>0</v>
      </c>
      <c r="M4824" s="45">
        <f t="shared" si="227"/>
        <v>4824</v>
      </c>
      <c r="N4824" s="38">
        <f>HLOOKUP("Host",'vInfo (Imported)'!$1:$5000,M4824,FALSE)</f>
        <v>0</v>
      </c>
      <c r="R4824">
        <f>HLOOKUP("CPUs",'vInfo (Imported)'!$1:$5000,M4824,FALSE)</f>
        <v>0</v>
      </c>
      <c r="S4824">
        <f>HLOOKUP("Memory",'vInfo (Imported)'!$1:$5000,M4824,FALSE)</f>
        <v>0</v>
      </c>
      <c r="T4824">
        <f>HLOOKUP("Provisioned MiB",'vInfo (Imported)'!$1:$5000,M4824,FALSE)</f>
        <v>0</v>
      </c>
      <c r="U4824">
        <f t="shared" si="226"/>
        <v>0</v>
      </c>
      <c r="V4824">
        <f>HLOOKUP("In Use MiB",'vInfo (Imported)'!$1:$5000,M4824,FALSE)</f>
        <v>0</v>
      </c>
    </row>
    <row r="4825" spans="1:22" ht="13" x14ac:dyDescent="0.3">
      <c r="A4825" s="46">
        <f>'vHosts (Imported)'!A4825</f>
        <v>0</v>
      </c>
      <c r="B4825" s="51">
        <f t="shared" si="225"/>
        <v>4968</v>
      </c>
      <c r="C4825" s="49">
        <f>HLOOKUP("# Cores",'vHosts (Imported)'!$1:$5000,M4825,FALSE)</f>
        <v>0</v>
      </c>
      <c r="D4825" s="52">
        <f>HLOOKUP("# Memory",'vHosts (Imported)'!$1:$5000,M4825,FALSE)</f>
        <v>0</v>
      </c>
      <c r="M4825" s="45">
        <f t="shared" si="227"/>
        <v>4825</v>
      </c>
      <c r="N4825" s="38">
        <f>HLOOKUP("Host",'vInfo (Imported)'!$1:$5000,M4825,FALSE)</f>
        <v>0</v>
      </c>
      <c r="R4825">
        <f>HLOOKUP("CPUs",'vInfo (Imported)'!$1:$5000,M4825,FALSE)</f>
        <v>0</v>
      </c>
      <c r="S4825">
        <f>HLOOKUP("Memory",'vInfo (Imported)'!$1:$5000,M4825,FALSE)</f>
        <v>0</v>
      </c>
      <c r="T4825">
        <f>HLOOKUP("Provisioned MiB",'vInfo (Imported)'!$1:$5000,M4825,FALSE)</f>
        <v>0</v>
      </c>
      <c r="U4825">
        <f t="shared" si="226"/>
        <v>0</v>
      </c>
      <c r="V4825">
        <f>HLOOKUP("In Use MiB",'vInfo (Imported)'!$1:$5000,M4825,FALSE)</f>
        <v>0</v>
      </c>
    </row>
    <row r="4826" spans="1:22" ht="13" x14ac:dyDescent="0.3">
      <c r="A4826" s="46">
        <f>'vHosts (Imported)'!A4826</f>
        <v>0</v>
      </c>
      <c r="B4826" s="51">
        <f t="shared" si="225"/>
        <v>4968</v>
      </c>
      <c r="C4826" s="49">
        <f>HLOOKUP("# Cores",'vHosts (Imported)'!$1:$5000,M4826,FALSE)</f>
        <v>0</v>
      </c>
      <c r="D4826" s="52">
        <f>HLOOKUP("# Memory",'vHosts (Imported)'!$1:$5000,M4826,FALSE)</f>
        <v>0</v>
      </c>
      <c r="M4826" s="45">
        <f t="shared" si="227"/>
        <v>4826</v>
      </c>
      <c r="N4826" s="38">
        <f>HLOOKUP("Host",'vInfo (Imported)'!$1:$5000,M4826,FALSE)</f>
        <v>0</v>
      </c>
      <c r="R4826">
        <f>HLOOKUP("CPUs",'vInfo (Imported)'!$1:$5000,M4826,FALSE)</f>
        <v>0</v>
      </c>
      <c r="S4826">
        <f>HLOOKUP("Memory",'vInfo (Imported)'!$1:$5000,M4826,FALSE)</f>
        <v>0</v>
      </c>
      <c r="T4826">
        <f>HLOOKUP("Provisioned MiB",'vInfo (Imported)'!$1:$5000,M4826,FALSE)</f>
        <v>0</v>
      </c>
      <c r="U4826">
        <f t="shared" si="226"/>
        <v>0</v>
      </c>
      <c r="V4826">
        <f>HLOOKUP("In Use MiB",'vInfo (Imported)'!$1:$5000,M4826,FALSE)</f>
        <v>0</v>
      </c>
    </row>
    <row r="4827" spans="1:22" ht="13" x14ac:dyDescent="0.3">
      <c r="A4827" s="46">
        <f>'vHosts (Imported)'!A4827</f>
        <v>0</v>
      </c>
      <c r="B4827" s="51">
        <f t="shared" si="225"/>
        <v>4968</v>
      </c>
      <c r="C4827" s="49">
        <f>HLOOKUP("# Cores",'vHosts (Imported)'!$1:$5000,M4827,FALSE)</f>
        <v>0</v>
      </c>
      <c r="D4827" s="52">
        <f>HLOOKUP("# Memory",'vHosts (Imported)'!$1:$5000,M4827,FALSE)</f>
        <v>0</v>
      </c>
      <c r="M4827" s="45">
        <f t="shared" si="227"/>
        <v>4827</v>
      </c>
      <c r="N4827" s="38">
        <f>HLOOKUP("Host",'vInfo (Imported)'!$1:$5000,M4827,FALSE)</f>
        <v>0</v>
      </c>
      <c r="R4827">
        <f>HLOOKUP("CPUs",'vInfo (Imported)'!$1:$5000,M4827,FALSE)</f>
        <v>0</v>
      </c>
      <c r="S4827">
        <f>HLOOKUP("Memory",'vInfo (Imported)'!$1:$5000,M4827,FALSE)</f>
        <v>0</v>
      </c>
      <c r="T4827">
        <f>HLOOKUP("Provisioned MiB",'vInfo (Imported)'!$1:$5000,M4827,FALSE)</f>
        <v>0</v>
      </c>
      <c r="U4827">
        <f t="shared" si="226"/>
        <v>0</v>
      </c>
      <c r="V4827">
        <f>HLOOKUP("In Use MiB",'vInfo (Imported)'!$1:$5000,M4827,FALSE)</f>
        <v>0</v>
      </c>
    </row>
    <row r="4828" spans="1:22" ht="13" x14ac:dyDescent="0.3">
      <c r="A4828" s="46">
        <f>'vHosts (Imported)'!A4828</f>
        <v>0</v>
      </c>
      <c r="B4828" s="51">
        <f t="shared" si="225"/>
        <v>4968</v>
      </c>
      <c r="C4828" s="49">
        <f>HLOOKUP("# Cores",'vHosts (Imported)'!$1:$5000,M4828,FALSE)</f>
        <v>0</v>
      </c>
      <c r="D4828" s="52">
        <f>HLOOKUP("# Memory",'vHosts (Imported)'!$1:$5000,M4828,FALSE)</f>
        <v>0</v>
      </c>
      <c r="M4828" s="45">
        <f t="shared" si="227"/>
        <v>4828</v>
      </c>
      <c r="N4828" s="38">
        <f>HLOOKUP("Host",'vInfo (Imported)'!$1:$5000,M4828,FALSE)</f>
        <v>0</v>
      </c>
      <c r="R4828">
        <f>HLOOKUP("CPUs",'vInfo (Imported)'!$1:$5000,M4828,FALSE)</f>
        <v>0</v>
      </c>
      <c r="S4828">
        <f>HLOOKUP("Memory",'vInfo (Imported)'!$1:$5000,M4828,FALSE)</f>
        <v>0</v>
      </c>
      <c r="T4828">
        <f>HLOOKUP("Provisioned MiB",'vInfo (Imported)'!$1:$5000,M4828,FALSE)</f>
        <v>0</v>
      </c>
      <c r="U4828">
        <f t="shared" si="226"/>
        <v>0</v>
      </c>
      <c r="V4828">
        <f>HLOOKUP("In Use MiB",'vInfo (Imported)'!$1:$5000,M4828,FALSE)</f>
        <v>0</v>
      </c>
    </row>
    <row r="4829" spans="1:22" ht="13" x14ac:dyDescent="0.3">
      <c r="A4829" s="46">
        <f>'vHosts (Imported)'!A4829</f>
        <v>0</v>
      </c>
      <c r="B4829" s="51">
        <f t="shared" si="225"/>
        <v>4968</v>
      </c>
      <c r="C4829" s="49">
        <f>HLOOKUP("# Cores",'vHosts (Imported)'!$1:$5000,M4829,FALSE)</f>
        <v>0</v>
      </c>
      <c r="D4829" s="52">
        <f>HLOOKUP("# Memory",'vHosts (Imported)'!$1:$5000,M4829,FALSE)</f>
        <v>0</v>
      </c>
      <c r="M4829" s="45">
        <f t="shared" si="227"/>
        <v>4829</v>
      </c>
      <c r="N4829" s="38">
        <f>HLOOKUP("Host",'vInfo (Imported)'!$1:$5000,M4829,FALSE)</f>
        <v>0</v>
      </c>
      <c r="R4829">
        <f>HLOOKUP("CPUs",'vInfo (Imported)'!$1:$5000,M4829,FALSE)</f>
        <v>0</v>
      </c>
      <c r="S4829">
        <f>HLOOKUP("Memory",'vInfo (Imported)'!$1:$5000,M4829,FALSE)</f>
        <v>0</v>
      </c>
      <c r="T4829">
        <f>HLOOKUP("Provisioned MiB",'vInfo (Imported)'!$1:$5000,M4829,FALSE)</f>
        <v>0</v>
      </c>
      <c r="U4829">
        <f t="shared" si="226"/>
        <v>0</v>
      </c>
      <c r="V4829">
        <f>HLOOKUP("In Use MiB",'vInfo (Imported)'!$1:$5000,M4829,FALSE)</f>
        <v>0</v>
      </c>
    </row>
    <row r="4830" spans="1:22" ht="13" x14ac:dyDescent="0.3">
      <c r="A4830" s="46">
        <f>'vHosts (Imported)'!A4830</f>
        <v>0</v>
      </c>
      <c r="B4830" s="51">
        <f t="shared" si="225"/>
        <v>4968</v>
      </c>
      <c r="C4830" s="49">
        <f>HLOOKUP("# Cores",'vHosts (Imported)'!$1:$5000,M4830,FALSE)</f>
        <v>0</v>
      </c>
      <c r="D4830" s="52">
        <f>HLOOKUP("# Memory",'vHosts (Imported)'!$1:$5000,M4830,FALSE)</f>
        <v>0</v>
      </c>
      <c r="M4830" s="45">
        <f t="shared" si="227"/>
        <v>4830</v>
      </c>
      <c r="N4830" s="38">
        <f>HLOOKUP("Host",'vInfo (Imported)'!$1:$5000,M4830,FALSE)</f>
        <v>0</v>
      </c>
      <c r="R4830">
        <f>HLOOKUP("CPUs",'vInfo (Imported)'!$1:$5000,M4830,FALSE)</f>
        <v>0</v>
      </c>
      <c r="S4830">
        <f>HLOOKUP("Memory",'vInfo (Imported)'!$1:$5000,M4830,FALSE)</f>
        <v>0</v>
      </c>
      <c r="T4830">
        <f>HLOOKUP("Provisioned MiB",'vInfo (Imported)'!$1:$5000,M4830,FALSE)</f>
        <v>0</v>
      </c>
      <c r="U4830">
        <f t="shared" si="226"/>
        <v>0</v>
      </c>
      <c r="V4830">
        <f>HLOOKUP("In Use MiB",'vInfo (Imported)'!$1:$5000,M4830,FALSE)</f>
        <v>0</v>
      </c>
    </row>
    <row r="4831" spans="1:22" ht="13" x14ac:dyDescent="0.3">
      <c r="A4831" s="46">
        <f>'vHosts (Imported)'!A4831</f>
        <v>0</v>
      </c>
      <c r="B4831" s="51">
        <f t="shared" si="225"/>
        <v>4968</v>
      </c>
      <c r="C4831" s="49">
        <f>HLOOKUP("# Cores",'vHosts (Imported)'!$1:$5000,M4831,FALSE)</f>
        <v>0</v>
      </c>
      <c r="D4831" s="52">
        <f>HLOOKUP("# Memory",'vHosts (Imported)'!$1:$5000,M4831,FALSE)</f>
        <v>0</v>
      </c>
      <c r="M4831" s="45">
        <f t="shared" si="227"/>
        <v>4831</v>
      </c>
      <c r="N4831" s="38">
        <f>HLOOKUP("Host",'vInfo (Imported)'!$1:$5000,M4831,FALSE)</f>
        <v>0</v>
      </c>
      <c r="R4831">
        <f>HLOOKUP("CPUs",'vInfo (Imported)'!$1:$5000,M4831,FALSE)</f>
        <v>0</v>
      </c>
      <c r="S4831">
        <f>HLOOKUP("Memory",'vInfo (Imported)'!$1:$5000,M4831,FALSE)</f>
        <v>0</v>
      </c>
      <c r="T4831">
        <f>HLOOKUP("Provisioned MiB",'vInfo (Imported)'!$1:$5000,M4831,FALSE)</f>
        <v>0</v>
      </c>
      <c r="U4831">
        <f t="shared" si="226"/>
        <v>0</v>
      </c>
      <c r="V4831">
        <f>HLOOKUP("In Use MiB",'vInfo (Imported)'!$1:$5000,M4831,FALSE)</f>
        <v>0</v>
      </c>
    </row>
    <row r="4832" spans="1:22" ht="13" x14ac:dyDescent="0.3">
      <c r="A4832" s="46">
        <f>'vHosts (Imported)'!A4832</f>
        <v>0</v>
      </c>
      <c r="B4832" s="51">
        <f t="shared" si="225"/>
        <v>4968</v>
      </c>
      <c r="C4832" s="49">
        <f>HLOOKUP("# Cores",'vHosts (Imported)'!$1:$5000,M4832,FALSE)</f>
        <v>0</v>
      </c>
      <c r="D4832" s="52">
        <f>HLOOKUP("# Memory",'vHosts (Imported)'!$1:$5000,M4832,FALSE)</f>
        <v>0</v>
      </c>
      <c r="M4832" s="45">
        <f t="shared" si="227"/>
        <v>4832</v>
      </c>
      <c r="N4832" s="38">
        <f>HLOOKUP("Host",'vInfo (Imported)'!$1:$5000,M4832,FALSE)</f>
        <v>0</v>
      </c>
      <c r="R4832">
        <f>HLOOKUP("CPUs",'vInfo (Imported)'!$1:$5000,M4832,FALSE)</f>
        <v>0</v>
      </c>
      <c r="S4832">
        <f>HLOOKUP("Memory",'vInfo (Imported)'!$1:$5000,M4832,FALSE)</f>
        <v>0</v>
      </c>
      <c r="T4832">
        <f>HLOOKUP("Provisioned MiB",'vInfo (Imported)'!$1:$5000,M4832,FALSE)</f>
        <v>0</v>
      </c>
      <c r="U4832">
        <f t="shared" si="226"/>
        <v>0</v>
      </c>
      <c r="V4832">
        <f>HLOOKUP("In Use MiB",'vInfo (Imported)'!$1:$5000,M4832,FALSE)</f>
        <v>0</v>
      </c>
    </row>
    <row r="4833" spans="1:22" ht="13" x14ac:dyDescent="0.3">
      <c r="A4833" s="46">
        <f>'vHosts (Imported)'!A4833</f>
        <v>0</v>
      </c>
      <c r="B4833" s="51">
        <f t="shared" si="225"/>
        <v>4968</v>
      </c>
      <c r="C4833" s="49">
        <f>HLOOKUP("# Cores",'vHosts (Imported)'!$1:$5000,M4833,FALSE)</f>
        <v>0</v>
      </c>
      <c r="D4833" s="52">
        <f>HLOOKUP("# Memory",'vHosts (Imported)'!$1:$5000,M4833,FALSE)</f>
        <v>0</v>
      </c>
      <c r="M4833" s="45">
        <f t="shared" si="227"/>
        <v>4833</v>
      </c>
      <c r="N4833" s="38">
        <f>HLOOKUP("Host",'vInfo (Imported)'!$1:$5000,M4833,FALSE)</f>
        <v>0</v>
      </c>
      <c r="R4833">
        <f>HLOOKUP("CPUs",'vInfo (Imported)'!$1:$5000,M4833,FALSE)</f>
        <v>0</v>
      </c>
      <c r="S4833">
        <f>HLOOKUP("Memory",'vInfo (Imported)'!$1:$5000,M4833,FALSE)</f>
        <v>0</v>
      </c>
      <c r="T4833">
        <f>HLOOKUP("Provisioned MiB",'vInfo (Imported)'!$1:$5000,M4833,FALSE)</f>
        <v>0</v>
      </c>
      <c r="U4833">
        <f t="shared" si="226"/>
        <v>0</v>
      </c>
      <c r="V4833">
        <f>HLOOKUP("In Use MiB",'vInfo (Imported)'!$1:$5000,M4833,FALSE)</f>
        <v>0</v>
      </c>
    </row>
    <row r="4834" spans="1:22" ht="13" x14ac:dyDescent="0.3">
      <c r="A4834" s="46">
        <f>'vHosts (Imported)'!A4834</f>
        <v>0</v>
      </c>
      <c r="B4834" s="51">
        <f t="shared" si="225"/>
        <v>4968</v>
      </c>
      <c r="C4834" s="49">
        <f>HLOOKUP("# Cores",'vHosts (Imported)'!$1:$5000,M4834,FALSE)</f>
        <v>0</v>
      </c>
      <c r="D4834" s="52">
        <f>HLOOKUP("# Memory",'vHosts (Imported)'!$1:$5000,M4834,FALSE)</f>
        <v>0</v>
      </c>
      <c r="M4834" s="45">
        <f t="shared" si="227"/>
        <v>4834</v>
      </c>
      <c r="N4834" s="38">
        <f>HLOOKUP("Host",'vInfo (Imported)'!$1:$5000,M4834,FALSE)</f>
        <v>0</v>
      </c>
      <c r="R4834">
        <f>HLOOKUP("CPUs",'vInfo (Imported)'!$1:$5000,M4834,FALSE)</f>
        <v>0</v>
      </c>
      <c r="S4834">
        <f>HLOOKUP("Memory",'vInfo (Imported)'!$1:$5000,M4834,FALSE)</f>
        <v>0</v>
      </c>
      <c r="T4834">
        <f>HLOOKUP("Provisioned MiB",'vInfo (Imported)'!$1:$5000,M4834,FALSE)</f>
        <v>0</v>
      </c>
      <c r="U4834">
        <f t="shared" si="226"/>
        <v>0</v>
      </c>
      <c r="V4834">
        <f>HLOOKUP("In Use MiB",'vInfo (Imported)'!$1:$5000,M4834,FALSE)</f>
        <v>0</v>
      </c>
    </row>
    <row r="4835" spans="1:22" ht="13" x14ac:dyDescent="0.3">
      <c r="A4835" s="46">
        <f>'vHosts (Imported)'!A4835</f>
        <v>0</v>
      </c>
      <c r="B4835" s="51">
        <f t="shared" si="225"/>
        <v>4968</v>
      </c>
      <c r="C4835" s="49">
        <f>HLOOKUP("# Cores",'vHosts (Imported)'!$1:$5000,M4835,FALSE)</f>
        <v>0</v>
      </c>
      <c r="D4835" s="52">
        <f>HLOOKUP("# Memory",'vHosts (Imported)'!$1:$5000,M4835,FALSE)</f>
        <v>0</v>
      </c>
      <c r="M4835" s="45">
        <f t="shared" si="227"/>
        <v>4835</v>
      </c>
      <c r="N4835" s="38">
        <f>HLOOKUP("Host",'vInfo (Imported)'!$1:$5000,M4835,FALSE)</f>
        <v>0</v>
      </c>
      <c r="R4835">
        <f>HLOOKUP("CPUs",'vInfo (Imported)'!$1:$5000,M4835,FALSE)</f>
        <v>0</v>
      </c>
      <c r="S4835">
        <f>HLOOKUP("Memory",'vInfo (Imported)'!$1:$5000,M4835,FALSE)</f>
        <v>0</v>
      </c>
      <c r="T4835">
        <f>HLOOKUP("Provisioned MiB",'vInfo (Imported)'!$1:$5000,M4835,FALSE)</f>
        <v>0</v>
      </c>
      <c r="U4835">
        <f t="shared" si="226"/>
        <v>0</v>
      </c>
      <c r="V4835">
        <f>HLOOKUP("In Use MiB",'vInfo (Imported)'!$1:$5000,M4835,FALSE)</f>
        <v>0</v>
      </c>
    </row>
    <row r="4836" spans="1:22" ht="13" x14ac:dyDescent="0.3">
      <c r="A4836" s="46">
        <f>'vHosts (Imported)'!A4836</f>
        <v>0</v>
      </c>
      <c r="B4836" s="51">
        <f t="shared" si="225"/>
        <v>4968</v>
      </c>
      <c r="C4836" s="49">
        <f>HLOOKUP("# Cores",'vHosts (Imported)'!$1:$5000,M4836,FALSE)</f>
        <v>0</v>
      </c>
      <c r="D4836" s="52">
        <f>HLOOKUP("# Memory",'vHosts (Imported)'!$1:$5000,M4836,FALSE)</f>
        <v>0</v>
      </c>
      <c r="M4836" s="45">
        <f t="shared" si="227"/>
        <v>4836</v>
      </c>
      <c r="N4836" s="38">
        <f>HLOOKUP("Host",'vInfo (Imported)'!$1:$5000,M4836,FALSE)</f>
        <v>0</v>
      </c>
      <c r="R4836">
        <f>HLOOKUP("CPUs",'vInfo (Imported)'!$1:$5000,M4836,FALSE)</f>
        <v>0</v>
      </c>
      <c r="S4836">
        <f>HLOOKUP("Memory",'vInfo (Imported)'!$1:$5000,M4836,FALSE)</f>
        <v>0</v>
      </c>
      <c r="T4836">
        <f>HLOOKUP("Provisioned MiB",'vInfo (Imported)'!$1:$5000,M4836,FALSE)</f>
        <v>0</v>
      </c>
      <c r="U4836">
        <f t="shared" si="226"/>
        <v>0</v>
      </c>
      <c r="V4836">
        <f>HLOOKUP("In Use MiB",'vInfo (Imported)'!$1:$5000,M4836,FALSE)</f>
        <v>0</v>
      </c>
    </row>
    <row r="4837" spans="1:22" ht="13" x14ac:dyDescent="0.3">
      <c r="A4837" s="46">
        <f>'vHosts (Imported)'!A4837</f>
        <v>0</v>
      </c>
      <c r="B4837" s="51">
        <f t="shared" si="225"/>
        <v>4968</v>
      </c>
      <c r="C4837" s="49">
        <f>HLOOKUP("# Cores",'vHosts (Imported)'!$1:$5000,M4837,FALSE)</f>
        <v>0</v>
      </c>
      <c r="D4837" s="52">
        <f>HLOOKUP("# Memory",'vHosts (Imported)'!$1:$5000,M4837,FALSE)</f>
        <v>0</v>
      </c>
      <c r="M4837" s="45">
        <f t="shared" si="227"/>
        <v>4837</v>
      </c>
      <c r="N4837" s="38">
        <f>HLOOKUP("Host",'vInfo (Imported)'!$1:$5000,M4837,FALSE)</f>
        <v>0</v>
      </c>
      <c r="R4837">
        <f>HLOOKUP("CPUs",'vInfo (Imported)'!$1:$5000,M4837,FALSE)</f>
        <v>0</v>
      </c>
      <c r="S4837">
        <f>HLOOKUP("Memory",'vInfo (Imported)'!$1:$5000,M4837,FALSE)</f>
        <v>0</v>
      </c>
      <c r="T4837">
        <f>HLOOKUP("Provisioned MiB",'vInfo (Imported)'!$1:$5000,M4837,FALSE)</f>
        <v>0</v>
      </c>
      <c r="U4837">
        <f t="shared" si="226"/>
        <v>0</v>
      </c>
      <c r="V4837">
        <f>HLOOKUP("In Use MiB",'vInfo (Imported)'!$1:$5000,M4837,FALSE)</f>
        <v>0</v>
      </c>
    </row>
    <row r="4838" spans="1:22" ht="13" x14ac:dyDescent="0.3">
      <c r="A4838" s="46">
        <f>'vHosts (Imported)'!A4838</f>
        <v>0</v>
      </c>
      <c r="B4838" s="51">
        <f t="shared" si="225"/>
        <v>4968</v>
      </c>
      <c r="C4838" s="49">
        <f>HLOOKUP("# Cores",'vHosts (Imported)'!$1:$5000,M4838,FALSE)</f>
        <v>0</v>
      </c>
      <c r="D4838" s="52">
        <f>HLOOKUP("# Memory",'vHosts (Imported)'!$1:$5000,M4838,FALSE)</f>
        <v>0</v>
      </c>
      <c r="M4838" s="45">
        <f t="shared" si="227"/>
        <v>4838</v>
      </c>
      <c r="N4838" s="38">
        <f>HLOOKUP("Host",'vInfo (Imported)'!$1:$5000,M4838,FALSE)</f>
        <v>0</v>
      </c>
      <c r="R4838">
        <f>HLOOKUP("CPUs",'vInfo (Imported)'!$1:$5000,M4838,FALSE)</f>
        <v>0</v>
      </c>
      <c r="S4838">
        <f>HLOOKUP("Memory",'vInfo (Imported)'!$1:$5000,M4838,FALSE)</f>
        <v>0</v>
      </c>
      <c r="T4838">
        <f>HLOOKUP("Provisioned MiB",'vInfo (Imported)'!$1:$5000,M4838,FALSE)</f>
        <v>0</v>
      </c>
      <c r="U4838">
        <f t="shared" si="226"/>
        <v>0</v>
      </c>
      <c r="V4838">
        <f>HLOOKUP("In Use MiB",'vInfo (Imported)'!$1:$5000,M4838,FALSE)</f>
        <v>0</v>
      </c>
    </row>
    <row r="4839" spans="1:22" ht="13" x14ac:dyDescent="0.3">
      <c r="A4839" s="46">
        <f>'vHosts (Imported)'!A4839</f>
        <v>0</v>
      </c>
      <c r="B4839" s="51">
        <f t="shared" si="225"/>
        <v>4968</v>
      </c>
      <c r="C4839" s="49">
        <f>HLOOKUP("# Cores",'vHosts (Imported)'!$1:$5000,M4839,FALSE)</f>
        <v>0</v>
      </c>
      <c r="D4839" s="52">
        <f>HLOOKUP("# Memory",'vHosts (Imported)'!$1:$5000,M4839,FALSE)</f>
        <v>0</v>
      </c>
      <c r="M4839" s="45">
        <f t="shared" si="227"/>
        <v>4839</v>
      </c>
      <c r="N4839" s="38">
        <f>HLOOKUP("Host",'vInfo (Imported)'!$1:$5000,M4839,FALSE)</f>
        <v>0</v>
      </c>
      <c r="R4839">
        <f>HLOOKUP("CPUs",'vInfo (Imported)'!$1:$5000,M4839,FALSE)</f>
        <v>0</v>
      </c>
      <c r="S4839">
        <f>HLOOKUP("Memory",'vInfo (Imported)'!$1:$5000,M4839,FALSE)</f>
        <v>0</v>
      </c>
      <c r="T4839">
        <f>HLOOKUP("Provisioned MiB",'vInfo (Imported)'!$1:$5000,M4839,FALSE)</f>
        <v>0</v>
      </c>
      <c r="U4839">
        <f t="shared" si="226"/>
        <v>0</v>
      </c>
      <c r="V4839">
        <f>HLOOKUP("In Use MiB",'vInfo (Imported)'!$1:$5000,M4839,FALSE)</f>
        <v>0</v>
      </c>
    </row>
    <row r="4840" spans="1:22" ht="13" x14ac:dyDescent="0.3">
      <c r="A4840" s="46">
        <f>'vHosts (Imported)'!A4840</f>
        <v>0</v>
      </c>
      <c r="B4840" s="51">
        <f t="shared" ref="B4840:B4903" si="228">COUNTIF(N:N,A4840)</f>
        <v>4968</v>
      </c>
      <c r="C4840" s="49">
        <f>HLOOKUP("# Cores",'vHosts (Imported)'!$1:$5000,M4840,FALSE)</f>
        <v>0</v>
      </c>
      <c r="D4840" s="52">
        <f>HLOOKUP("# Memory",'vHosts (Imported)'!$1:$5000,M4840,FALSE)</f>
        <v>0</v>
      </c>
      <c r="M4840" s="45">
        <f t="shared" si="227"/>
        <v>4840</v>
      </c>
      <c r="N4840" s="38">
        <f>HLOOKUP("Host",'vInfo (Imported)'!$1:$5000,M4840,FALSE)</f>
        <v>0</v>
      </c>
      <c r="R4840">
        <f>HLOOKUP("CPUs",'vInfo (Imported)'!$1:$5000,M4840,FALSE)</f>
        <v>0</v>
      </c>
      <c r="S4840">
        <f>HLOOKUP("Memory",'vInfo (Imported)'!$1:$5000,M4840,FALSE)</f>
        <v>0</v>
      </c>
      <c r="T4840">
        <f>HLOOKUP("Provisioned MiB",'vInfo (Imported)'!$1:$5000,M4840,FALSE)</f>
        <v>0</v>
      </c>
      <c r="U4840">
        <f t="shared" si="226"/>
        <v>0</v>
      </c>
      <c r="V4840">
        <f>HLOOKUP("In Use MiB",'vInfo (Imported)'!$1:$5000,M4840,FALSE)</f>
        <v>0</v>
      </c>
    </row>
    <row r="4841" spans="1:22" ht="13" x14ac:dyDescent="0.3">
      <c r="A4841" s="46">
        <f>'vHosts (Imported)'!A4841</f>
        <v>0</v>
      </c>
      <c r="B4841" s="51">
        <f t="shared" si="228"/>
        <v>4968</v>
      </c>
      <c r="C4841" s="49">
        <f>HLOOKUP("# Cores",'vHosts (Imported)'!$1:$5000,M4841,FALSE)</f>
        <v>0</v>
      </c>
      <c r="D4841" s="52">
        <f>HLOOKUP("# Memory",'vHosts (Imported)'!$1:$5000,M4841,FALSE)</f>
        <v>0</v>
      </c>
      <c r="M4841" s="45">
        <f t="shared" si="227"/>
        <v>4841</v>
      </c>
      <c r="N4841" s="38">
        <f>HLOOKUP("Host",'vInfo (Imported)'!$1:$5000,M4841,FALSE)</f>
        <v>0</v>
      </c>
      <c r="R4841">
        <f>HLOOKUP("CPUs",'vInfo (Imported)'!$1:$5000,M4841,FALSE)</f>
        <v>0</v>
      </c>
      <c r="S4841">
        <f>HLOOKUP("Memory",'vInfo (Imported)'!$1:$5000,M4841,FALSE)</f>
        <v>0</v>
      </c>
      <c r="T4841">
        <f>HLOOKUP("Provisioned MiB",'vInfo (Imported)'!$1:$5000,M4841,FALSE)</f>
        <v>0</v>
      </c>
      <c r="U4841">
        <f t="shared" si="226"/>
        <v>0</v>
      </c>
      <c r="V4841">
        <f>HLOOKUP("In Use MiB",'vInfo (Imported)'!$1:$5000,M4841,FALSE)</f>
        <v>0</v>
      </c>
    </row>
    <row r="4842" spans="1:22" ht="13" x14ac:dyDescent="0.3">
      <c r="A4842" s="46">
        <f>'vHosts (Imported)'!A4842</f>
        <v>0</v>
      </c>
      <c r="B4842" s="51">
        <f t="shared" si="228"/>
        <v>4968</v>
      </c>
      <c r="C4842" s="49">
        <f>HLOOKUP("# Cores",'vHosts (Imported)'!$1:$5000,M4842,FALSE)</f>
        <v>0</v>
      </c>
      <c r="D4842" s="52">
        <f>HLOOKUP("# Memory",'vHosts (Imported)'!$1:$5000,M4842,FALSE)</f>
        <v>0</v>
      </c>
      <c r="M4842" s="45">
        <f t="shared" si="227"/>
        <v>4842</v>
      </c>
      <c r="N4842" s="38">
        <f>HLOOKUP("Host",'vInfo (Imported)'!$1:$5000,M4842,FALSE)</f>
        <v>0</v>
      </c>
      <c r="R4842">
        <f>HLOOKUP("CPUs",'vInfo (Imported)'!$1:$5000,M4842,FALSE)</f>
        <v>0</v>
      </c>
      <c r="S4842">
        <f>HLOOKUP("Memory",'vInfo (Imported)'!$1:$5000,M4842,FALSE)</f>
        <v>0</v>
      </c>
      <c r="T4842">
        <f>HLOOKUP("Provisioned MiB",'vInfo (Imported)'!$1:$5000,M4842,FALSE)</f>
        <v>0</v>
      </c>
      <c r="U4842">
        <f t="shared" si="226"/>
        <v>0</v>
      </c>
      <c r="V4842">
        <f>HLOOKUP("In Use MiB",'vInfo (Imported)'!$1:$5000,M4842,FALSE)</f>
        <v>0</v>
      </c>
    </row>
    <row r="4843" spans="1:22" ht="13" x14ac:dyDescent="0.3">
      <c r="A4843" s="46">
        <f>'vHosts (Imported)'!A4843</f>
        <v>0</v>
      </c>
      <c r="B4843" s="51">
        <f t="shared" si="228"/>
        <v>4968</v>
      </c>
      <c r="C4843" s="49">
        <f>HLOOKUP("# Cores",'vHosts (Imported)'!$1:$5000,M4843,FALSE)</f>
        <v>0</v>
      </c>
      <c r="D4843" s="52">
        <f>HLOOKUP("# Memory",'vHosts (Imported)'!$1:$5000,M4843,FALSE)</f>
        <v>0</v>
      </c>
      <c r="M4843" s="45">
        <f t="shared" si="227"/>
        <v>4843</v>
      </c>
      <c r="N4843" s="38">
        <f>HLOOKUP("Host",'vInfo (Imported)'!$1:$5000,M4843,FALSE)</f>
        <v>0</v>
      </c>
      <c r="R4843">
        <f>HLOOKUP("CPUs",'vInfo (Imported)'!$1:$5000,M4843,FALSE)</f>
        <v>0</v>
      </c>
      <c r="S4843">
        <f>HLOOKUP("Memory",'vInfo (Imported)'!$1:$5000,M4843,FALSE)</f>
        <v>0</v>
      </c>
      <c r="T4843">
        <f>HLOOKUP("Provisioned MiB",'vInfo (Imported)'!$1:$5000,M4843,FALSE)</f>
        <v>0</v>
      </c>
      <c r="U4843">
        <f t="shared" si="226"/>
        <v>0</v>
      </c>
      <c r="V4843">
        <f>HLOOKUP("In Use MiB",'vInfo (Imported)'!$1:$5000,M4843,FALSE)</f>
        <v>0</v>
      </c>
    </row>
    <row r="4844" spans="1:22" ht="13" x14ac:dyDescent="0.3">
      <c r="A4844" s="46">
        <f>'vHosts (Imported)'!A4844</f>
        <v>0</v>
      </c>
      <c r="B4844" s="51">
        <f t="shared" si="228"/>
        <v>4968</v>
      </c>
      <c r="C4844" s="49">
        <f>HLOOKUP("# Cores",'vHosts (Imported)'!$1:$5000,M4844,FALSE)</f>
        <v>0</v>
      </c>
      <c r="D4844" s="52">
        <f>HLOOKUP("# Memory",'vHosts (Imported)'!$1:$5000,M4844,FALSE)</f>
        <v>0</v>
      </c>
      <c r="M4844" s="45">
        <f t="shared" si="227"/>
        <v>4844</v>
      </c>
      <c r="N4844" s="38">
        <f>HLOOKUP("Host",'vInfo (Imported)'!$1:$5000,M4844,FALSE)</f>
        <v>0</v>
      </c>
      <c r="R4844">
        <f>HLOOKUP("CPUs",'vInfo (Imported)'!$1:$5000,M4844,FALSE)</f>
        <v>0</v>
      </c>
      <c r="S4844">
        <f>HLOOKUP("Memory",'vInfo (Imported)'!$1:$5000,M4844,FALSE)</f>
        <v>0</v>
      </c>
      <c r="T4844">
        <f>HLOOKUP("Provisioned MiB",'vInfo (Imported)'!$1:$5000,M4844,FALSE)</f>
        <v>0</v>
      </c>
      <c r="U4844">
        <f t="shared" si="226"/>
        <v>0</v>
      </c>
      <c r="V4844">
        <f>HLOOKUP("In Use MiB",'vInfo (Imported)'!$1:$5000,M4844,FALSE)</f>
        <v>0</v>
      </c>
    </row>
    <row r="4845" spans="1:22" ht="13" x14ac:dyDescent="0.3">
      <c r="A4845" s="46">
        <f>'vHosts (Imported)'!A4845</f>
        <v>0</v>
      </c>
      <c r="B4845" s="51">
        <f t="shared" si="228"/>
        <v>4968</v>
      </c>
      <c r="C4845" s="49">
        <f>HLOOKUP("# Cores",'vHosts (Imported)'!$1:$5000,M4845,FALSE)</f>
        <v>0</v>
      </c>
      <c r="D4845" s="52">
        <f>HLOOKUP("# Memory",'vHosts (Imported)'!$1:$5000,M4845,FALSE)</f>
        <v>0</v>
      </c>
      <c r="M4845" s="45">
        <f t="shared" si="227"/>
        <v>4845</v>
      </c>
      <c r="N4845" s="38">
        <f>HLOOKUP("Host",'vInfo (Imported)'!$1:$5000,M4845,FALSE)</f>
        <v>0</v>
      </c>
      <c r="R4845">
        <f>HLOOKUP("CPUs",'vInfo (Imported)'!$1:$5000,M4845,FALSE)</f>
        <v>0</v>
      </c>
      <c r="S4845">
        <f>HLOOKUP("Memory",'vInfo (Imported)'!$1:$5000,M4845,FALSE)</f>
        <v>0</v>
      </c>
      <c r="T4845">
        <f>HLOOKUP("Provisioned MiB",'vInfo (Imported)'!$1:$5000,M4845,FALSE)</f>
        <v>0</v>
      </c>
      <c r="U4845">
        <f t="shared" si="226"/>
        <v>0</v>
      </c>
      <c r="V4845">
        <f>HLOOKUP("In Use MiB",'vInfo (Imported)'!$1:$5000,M4845,FALSE)</f>
        <v>0</v>
      </c>
    </row>
    <row r="4846" spans="1:22" ht="13" x14ac:dyDescent="0.3">
      <c r="A4846" s="46">
        <f>'vHosts (Imported)'!A4846</f>
        <v>0</v>
      </c>
      <c r="B4846" s="51">
        <f t="shared" si="228"/>
        <v>4968</v>
      </c>
      <c r="C4846" s="49">
        <f>HLOOKUP("# Cores",'vHosts (Imported)'!$1:$5000,M4846,FALSE)</f>
        <v>0</v>
      </c>
      <c r="D4846" s="52">
        <f>HLOOKUP("# Memory",'vHosts (Imported)'!$1:$5000,M4846,FALSE)</f>
        <v>0</v>
      </c>
      <c r="M4846" s="45">
        <f t="shared" si="227"/>
        <v>4846</v>
      </c>
      <c r="N4846" s="38">
        <f>HLOOKUP("Host",'vInfo (Imported)'!$1:$5000,M4846,FALSE)</f>
        <v>0</v>
      </c>
      <c r="R4846">
        <f>HLOOKUP("CPUs",'vInfo (Imported)'!$1:$5000,M4846,FALSE)</f>
        <v>0</v>
      </c>
      <c r="S4846">
        <f>HLOOKUP("Memory",'vInfo (Imported)'!$1:$5000,M4846,FALSE)</f>
        <v>0</v>
      </c>
      <c r="T4846">
        <f>HLOOKUP("Provisioned MiB",'vInfo (Imported)'!$1:$5000,M4846,FALSE)</f>
        <v>0</v>
      </c>
      <c r="U4846">
        <f t="shared" si="226"/>
        <v>0</v>
      </c>
      <c r="V4846">
        <f>HLOOKUP("In Use MiB",'vInfo (Imported)'!$1:$5000,M4846,FALSE)</f>
        <v>0</v>
      </c>
    </row>
    <row r="4847" spans="1:22" ht="13" x14ac:dyDescent="0.3">
      <c r="A4847" s="46">
        <f>'vHosts (Imported)'!A4847</f>
        <v>0</v>
      </c>
      <c r="B4847" s="51">
        <f t="shared" si="228"/>
        <v>4968</v>
      </c>
      <c r="C4847" s="49">
        <f>HLOOKUP("# Cores",'vHosts (Imported)'!$1:$5000,M4847,FALSE)</f>
        <v>0</v>
      </c>
      <c r="D4847" s="52">
        <f>HLOOKUP("# Memory",'vHosts (Imported)'!$1:$5000,M4847,FALSE)</f>
        <v>0</v>
      </c>
      <c r="M4847" s="45">
        <f t="shared" si="227"/>
        <v>4847</v>
      </c>
      <c r="N4847" s="38">
        <f>HLOOKUP("Host",'vInfo (Imported)'!$1:$5000,M4847,FALSE)</f>
        <v>0</v>
      </c>
      <c r="R4847">
        <f>HLOOKUP("CPUs",'vInfo (Imported)'!$1:$5000,M4847,FALSE)</f>
        <v>0</v>
      </c>
      <c r="S4847">
        <f>HLOOKUP("Memory",'vInfo (Imported)'!$1:$5000,M4847,FALSE)</f>
        <v>0</v>
      </c>
      <c r="T4847">
        <f>HLOOKUP("Provisioned MiB",'vInfo (Imported)'!$1:$5000,M4847,FALSE)</f>
        <v>0</v>
      </c>
      <c r="U4847">
        <f t="shared" si="226"/>
        <v>0</v>
      </c>
      <c r="V4847">
        <f>HLOOKUP("In Use MiB",'vInfo (Imported)'!$1:$5000,M4847,FALSE)</f>
        <v>0</v>
      </c>
    </row>
    <row r="4848" spans="1:22" ht="13" x14ac:dyDescent="0.3">
      <c r="A4848" s="46">
        <f>'vHosts (Imported)'!A4848</f>
        <v>0</v>
      </c>
      <c r="B4848" s="51">
        <f t="shared" si="228"/>
        <v>4968</v>
      </c>
      <c r="C4848" s="49">
        <f>HLOOKUP("# Cores",'vHosts (Imported)'!$1:$5000,M4848,FALSE)</f>
        <v>0</v>
      </c>
      <c r="D4848" s="52">
        <f>HLOOKUP("# Memory",'vHosts (Imported)'!$1:$5000,M4848,FALSE)</f>
        <v>0</v>
      </c>
      <c r="M4848" s="45">
        <f t="shared" si="227"/>
        <v>4848</v>
      </c>
      <c r="N4848" s="38">
        <f>HLOOKUP("Host",'vInfo (Imported)'!$1:$5000,M4848,FALSE)</f>
        <v>0</v>
      </c>
      <c r="R4848">
        <f>HLOOKUP("CPUs",'vInfo (Imported)'!$1:$5000,M4848,FALSE)</f>
        <v>0</v>
      </c>
      <c r="S4848">
        <f>HLOOKUP("Memory",'vInfo (Imported)'!$1:$5000,M4848,FALSE)</f>
        <v>0</v>
      </c>
      <c r="T4848">
        <f>HLOOKUP("Provisioned MiB",'vInfo (Imported)'!$1:$5000,M4848,FALSE)</f>
        <v>0</v>
      </c>
      <c r="U4848">
        <f t="shared" si="226"/>
        <v>0</v>
      </c>
      <c r="V4848">
        <f>HLOOKUP("In Use MiB",'vInfo (Imported)'!$1:$5000,M4848,FALSE)</f>
        <v>0</v>
      </c>
    </row>
    <row r="4849" spans="1:22" ht="13" x14ac:dyDescent="0.3">
      <c r="A4849" s="46">
        <f>'vHosts (Imported)'!A4849</f>
        <v>0</v>
      </c>
      <c r="B4849" s="51">
        <f t="shared" si="228"/>
        <v>4968</v>
      </c>
      <c r="C4849" s="49">
        <f>HLOOKUP("# Cores",'vHosts (Imported)'!$1:$5000,M4849,FALSE)</f>
        <v>0</v>
      </c>
      <c r="D4849" s="52">
        <f>HLOOKUP("# Memory",'vHosts (Imported)'!$1:$5000,M4849,FALSE)</f>
        <v>0</v>
      </c>
      <c r="M4849" s="45">
        <f t="shared" si="227"/>
        <v>4849</v>
      </c>
      <c r="N4849" s="38">
        <f>HLOOKUP("Host",'vInfo (Imported)'!$1:$5000,M4849,FALSE)</f>
        <v>0</v>
      </c>
      <c r="R4849">
        <f>HLOOKUP("CPUs",'vInfo (Imported)'!$1:$5000,M4849,FALSE)</f>
        <v>0</v>
      </c>
      <c r="S4849">
        <f>HLOOKUP("Memory",'vInfo (Imported)'!$1:$5000,M4849,FALSE)</f>
        <v>0</v>
      </c>
      <c r="T4849">
        <f>HLOOKUP("Provisioned MiB",'vInfo (Imported)'!$1:$5000,M4849,FALSE)</f>
        <v>0</v>
      </c>
      <c r="U4849">
        <f t="shared" si="226"/>
        <v>0</v>
      </c>
      <c r="V4849">
        <f>HLOOKUP("In Use MiB",'vInfo (Imported)'!$1:$5000,M4849,FALSE)</f>
        <v>0</v>
      </c>
    </row>
    <row r="4850" spans="1:22" ht="13" x14ac:dyDescent="0.3">
      <c r="A4850" s="46">
        <f>'vHosts (Imported)'!A4850</f>
        <v>0</v>
      </c>
      <c r="B4850" s="51">
        <f t="shared" si="228"/>
        <v>4968</v>
      </c>
      <c r="C4850" s="49">
        <f>HLOOKUP("# Cores",'vHosts (Imported)'!$1:$5000,M4850,FALSE)</f>
        <v>0</v>
      </c>
      <c r="D4850" s="52">
        <f>HLOOKUP("# Memory",'vHosts (Imported)'!$1:$5000,M4850,FALSE)</f>
        <v>0</v>
      </c>
      <c r="M4850" s="45">
        <f t="shared" si="227"/>
        <v>4850</v>
      </c>
      <c r="N4850" s="38">
        <f>HLOOKUP("Host",'vInfo (Imported)'!$1:$5000,M4850,FALSE)</f>
        <v>0</v>
      </c>
      <c r="R4850">
        <f>HLOOKUP("CPUs",'vInfo (Imported)'!$1:$5000,M4850,FALSE)</f>
        <v>0</v>
      </c>
      <c r="S4850">
        <f>HLOOKUP("Memory",'vInfo (Imported)'!$1:$5000,M4850,FALSE)</f>
        <v>0</v>
      </c>
      <c r="T4850">
        <f>HLOOKUP("Provisioned MiB",'vInfo (Imported)'!$1:$5000,M4850,FALSE)</f>
        <v>0</v>
      </c>
      <c r="U4850">
        <f t="shared" si="226"/>
        <v>0</v>
      </c>
      <c r="V4850">
        <f>HLOOKUP("In Use MiB",'vInfo (Imported)'!$1:$5000,M4850,FALSE)</f>
        <v>0</v>
      </c>
    </row>
    <row r="4851" spans="1:22" ht="13" x14ac:dyDescent="0.3">
      <c r="A4851" s="46">
        <f>'vHosts (Imported)'!A4851</f>
        <v>0</v>
      </c>
      <c r="B4851" s="51">
        <f t="shared" si="228"/>
        <v>4968</v>
      </c>
      <c r="C4851" s="49">
        <f>HLOOKUP("# Cores",'vHosts (Imported)'!$1:$5000,M4851,FALSE)</f>
        <v>0</v>
      </c>
      <c r="D4851" s="52">
        <f>HLOOKUP("# Memory",'vHosts (Imported)'!$1:$5000,M4851,FALSE)</f>
        <v>0</v>
      </c>
      <c r="M4851" s="45">
        <f t="shared" si="227"/>
        <v>4851</v>
      </c>
      <c r="N4851" s="38">
        <f>HLOOKUP("Host",'vInfo (Imported)'!$1:$5000,M4851,FALSE)</f>
        <v>0</v>
      </c>
      <c r="R4851">
        <f>HLOOKUP("CPUs",'vInfo (Imported)'!$1:$5000,M4851,FALSE)</f>
        <v>0</v>
      </c>
      <c r="S4851">
        <f>HLOOKUP("Memory",'vInfo (Imported)'!$1:$5000,M4851,FALSE)</f>
        <v>0</v>
      </c>
      <c r="T4851">
        <f>HLOOKUP("Provisioned MiB",'vInfo (Imported)'!$1:$5000,M4851,FALSE)</f>
        <v>0</v>
      </c>
      <c r="U4851">
        <f t="shared" si="226"/>
        <v>0</v>
      </c>
      <c r="V4851">
        <f>HLOOKUP("In Use MiB",'vInfo (Imported)'!$1:$5000,M4851,FALSE)</f>
        <v>0</v>
      </c>
    </row>
    <row r="4852" spans="1:22" ht="13" x14ac:dyDescent="0.3">
      <c r="A4852" s="46">
        <f>'vHosts (Imported)'!A4852</f>
        <v>0</v>
      </c>
      <c r="B4852" s="51">
        <f t="shared" si="228"/>
        <v>4968</v>
      </c>
      <c r="C4852" s="49">
        <f>HLOOKUP("# Cores",'vHosts (Imported)'!$1:$5000,M4852,FALSE)</f>
        <v>0</v>
      </c>
      <c r="D4852" s="52">
        <f>HLOOKUP("# Memory",'vHosts (Imported)'!$1:$5000,M4852,FALSE)</f>
        <v>0</v>
      </c>
      <c r="M4852" s="45">
        <f t="shared" si="227"/>
        <v>4852</v>
      </c>
      <c r="N4852" s="38">
        <f>HLOOKUP("Host",'vInfo (Imported)'!$1:$5000,M4852,FALSE)</f>
        <v>0</v>
      </c>
      <c r="R4852">
        <f>HLOOKUP("CPUs",'vInfo (Imported)'!$1:$5000,M4852,FALSE)</f>
        <v>0</v>
      </c>
      <c r="S4852">
        <f>HLOOKUP("Memory",'vInfo (Imported)'!$1:$5000,M4852,FALSE)</f>
        <v>0</v>
      </c>
      <c r="T4852">
        <f>HLOOKUP("Provisioned MiB",'vInfo (Imported)'!$1:$5000,M4852,FALSE)</f>
        <v>0</v>
      </c>
      <c r="U4852">
        <f t="shared" si="226"/>
        <v>0</v>
      </c>
      <c r="V4852">
        <f>HLOOKUP("In Use MiB",'vInfo (Imported)'!$1:$5000,M4852,FALSE)</f>
        <v>0</v>
      </c>
    </row>
    <row r="4853" spans="1:22" ht="13" x14ac:dyDescent="0.3">
      <c r="A4853" s="46">
        <f>'vHosts (Imported)'!A4853</f>
        <v>0</v>
      </c>
      <c r="B4853" s="51">
        <f t="shared" si="228"/>
        <v>4968</v>
      </c>
      <c r="C4853" s="49">
        <f>HLOOKUP("# Cores",'vHosts (Imported)'!$1:$5000,M4853,FALSE)</f>
        <v>0</v>
      </c>
      <c r="D4853" s="52">
        <f>HLOOKUP("# Memory",'vHosts (Imported)'!$1:$5000,M4853,FALSE)</f>
        <v>0</v>
      </c>
      <c r="M4853" s="45">
        <f t="shared" si="227"/>
        <v>4853</v>
      </c>
      <c r="N4853" s="38">
        <f>HLOOKUP("Host",'vInfo (Imported)'!$1:$5000,M4853,FALSE)</f>
        <v>0</v>
      </c>
      <c r="R4853">
        <f>HLOOKUP("CPUs",'vInfo (Imported)'!$1:$5000,M4853,FALSE)</f>
        <v>0</v>
      </c>
      <c r="S4853">
        <f>HLOOKUP("Memory",'vInfo (Imported)'!$1:$5000,M4853,FALSE)</f>
        <v>0</v>
      </c>
      <c r="T4853">
        <f>HLOOKUP("Provisioned MiB",'vInfo (Imported)'!$1:$5000,M4853,FALSE)</f>
        <v>0</v>
      </c>
      <c r="U4853">
        <f t="shared" si="226"/>
        <v>0</v>
      </c>
      <c r="V4853">
        <f>HLOOKUP("In Use MiB",'vInfo (Imported)'!$1:$5000,M4853,FALSE)</f>
        <v>0</v>
      </c>
    </row>
    <row r="4854" spans="1:22" ht="13" x14ac:dyDescent="0.3">
      <c r="A4854" s="46">
        <f>'vHosts (Imported)'!A4854</f>
        <v>0</v>
      </c>
      <c r="B4854" s="51">
        <f t="shared" si="228"/>
        <v>4968</v>
      </c>
      <c r="C4854" s="49">
        <f>HLOOKUP("# Cores",'vHosts (Imported)'!$1:$5000,M4854,FALSE)</f>
        <v>0</v>
      </c>
      <c r="D4854" s="52">
        <f>HLOOKUP("# Memory",'vHosts (Imported)'!$1:$5000,M4854,FALSE)</f>
        <v>0</v>
      </c>
      <c r="M4854" s="45">
        <f t="shared" si="227"/>
        <v>4854</v>
      </c>
      <c r="N4854" s="38">
        <f>HLOOKUP("Host",'vInfo (Imported)'!$1:$5000,M4854,FALSE)</f>
        <v>0</v>
      </c>
      <c r="R4854">
        <f>HLOOKUP("CPUs",'vInfo (Imported)'!$1:$5000,M4854,FALSE)</f>
        <v>0</v>
      </c>
      <c r="S4854">
        <f>HLOOKUP("Memory",'vInfo (Imported)'!$1:$5000,M4854,FALSE)</f>
        <v>0</v>
      </c>
      <c r="T4854">
        <f>HLOOKUP("Provisioned MiB",'vInfo (Imported)'!$1:$5000,M4854,FALSE)</f>
        <v>0</v>
      </c>
      <c r="U4854">
        <f t="shared" si="226"/>
        <v>0</v>
      </c>
      <c r="V4854">
        <f>HLOOKUP("In Use MiB",'vInfo (Imported)'!$1:$5000,M4854,FALSE)</f>
        <v>0</v>
      </c>
    </row>
    <row r="4855" spans="1:22" ht="13" x14ac:dyDescent="0.3">
      <c r="A4855" s="46">
        <f>'vHosts (Imported)'!A4855</f>
        <v>0</v>
      </c>
      <c r="B4855" s="51">
        <f t="shared" si="228"/>
        <v>4968</v>
      </c>
      <c r="C4855" s="49">
        <f>HLOOKUP("# Cores",'vHosts (Imported)'!$1:$5000,M4855,FALSE)</f>
        <v>0</v>
      </c>
      <c r="D4855" s="52">
        <f>HLOOKUP("# Memory",'vHosts (Imported)'!$1:$5000,M4855,FALSE)</f>
        <v>0</v>
      </c>
      <c r="M4855" s="45">
        <f t="shared" si="227"/>
        <v>4855</v>
      </c>
      <c r="N4855" s="38">
        <f>HLOOKUP("Host",'vInfo (Imported)'!$1:$5000,M4855,FALSE)</f>
        <v>0</v>
      </c>
      <c r="R4855">
        <f>HLOOKUP("CPUs",'vInfo (Imported)'!$1:$5000,M4855,FALSE)</f>
        <v>0</v>
      </c>
      <c r="S4855">
        <f>HLOOKUP("Memory",'vInfo (Imported)'!$1:$5000,M4855,FALSE)</f>
        <v>0</v>
      </c>
      <c r="T4855">
        <f>HLOOKUP("Provisioned MiB",'vInfo (Imported)'!$1:$5000,M4855,FALSE)</f>
        <v>0</v>
      </c>
      <c r="U4855">
        <f t="shared" si="226"/>
        <v>0</v>
      </c>
      <c r="V4855">
        <f>HLOOKUP("In Use MiB",'vInfo (Imported)'!$1:$5000,M4855,FALSE)</f>
        <v>0</v>
      </c>
    </row>
    <row r="4856" spans="1:22" ht="13" x14ac:dyDescent="0.3">
      <c r="A4856" s="46">
        <f>'vHosts (Imported)'!A4856</f>
        <v>0</v>
      </c>
      <c r="B4856" s="51">
        <f t="shared" si="228"/>
        <v>4968</v>
      </c>
      <c r="C4856" s="49">
        <f>HLOOKUP("# Cores",'vHosts (Imported)'!$1:$5000,M4856,FALSE)</f>
        <v>0</v>
      </c>
      <c r="D4856" s="52">
        <f>HLOOKUP("# Memory",'vHosts (Imported)'!$1:$5000,M4856,FALSE)</f>
        <v>0</v>
      </c>
      <c r="M4856" s="45">
        <f t="shared" si="227"/>
        <v>4856</v>
      </c>
      <c r="N4856" s="38">
        <f>HLOOKUP("Host",'vInfo (Imported)'!$1:$5000,M4856,FALSE)</f>
        <v>0</v>
      </c>
      <c r="R4856">
        <f>HLOOKUP("CPUs",'vInfo (Imported)'!$1:$5000,M4856,FALSE)</f>
        <v>0</v>
      </c>
      <c r="S4856">
        <f>HLOOKUP("Memory",'vInfo (Imported)'!$1:$5000,M4856,FALSE)</f>
        <v>0</v>
      </c>
      <c r="T4856">
        <f>HLOOKUP("Provisioned MiB",'vInfo (Imported)'!$1:$5000,M4856,FALSE)</f>
        <v>0</v>
      </c>
      <c r="U4856">
        <f t="shared" si="226"/>
        <v>0</v>
      </c>
      <c r="V4856">
        <f>HLOOKUP("In Use MiB",'vInfo (Imported)'!$1:$5000,M4856,FALSE)</f>
        <v>0</v>
      </c>
    </row>
    <row r="4857" spans="1:22" ht="13" x14ac:dyDescent="0.3">
      <c r="A4857" s="46">
        <f>'vHosts (Imported)'!A4857</f>
        <v>0</v>
      </c>
      <c r="B4857" s="51">
        <f t="shared" si="228"/>
        <v>4968</v>
      </c>
      <c r="C4857" s="49">
        <f>HLOOKUP("# Cores",'vHosts (Imported)'!$1:$5000,M4857,FALSE)</f>
        <v>0</v>
      </c>
      <c r="D4857" s="52">
        <f>HLOOKUP("# Memory",'vHosts (Imported)'!$1:$5000,M4857,FALSE)</f>
        <v>0</v>
      </c>
      <c r="M4857" s="45">
        <f t="shared" si="227"/>
        <v>4857</v>
      </c>
      <c r="N4857" s="38">
        <f>HLOOKUP("Host",'vInfo (Imported)'!$1:$5000,M4857,FALSE)</f>
        <v>0</v>
      </c>
      <c r="R4857">
        <f>HLOOKUP("CPUs",'vInfo (Imported)'!$1:$5000,M4857,FALSE)</f>
        <v>0</v>
      </c>
      <c r="S4857">
        <f>HLOOKUP("Memory",'vInfo (Imported)'!$1:$5000,M4857,FALSE)</f>
        <v>0</v>
      </c>
      <c r="T4857">
        <f>HLOOKUP("Provisioned MiB",'vInfo (Imported)'!$1:$5000,M4857,FALSE)</f>
        <v>0</v>
      </c>
      <c r="U4857">
        <f t="shared" si="226"/>
        <v>0</v>
      </c>
      <c r="V4857">
        <f>HLOOKUP("In Use MiB",'vInfo (Imported)'!$1:$5000,M4857,FALSE)</f>
        <v>0</v>
      </c>
    </row>
    <row r="4858" spans="1:22" ht="13" x14ac:dyDescent="0.3">
      <c r="A4858" s="46">
        <f>'vHosts (Imported)'!A4858</f>
        <v>0</v>
      </c>
      <c r="B4858" s="51">
        <f t="shared" si="228"/>
        <v>4968</v>
      </c>
      <c r="C4858" s="49">
        <f>HLOOKUP("# Cores",'vHosts (Imported)'!$1:$5000,M4858,FALSE)</f>
        <v>0</v>
      </c>
      <c r="D4858" s="52">
        <f>HLOOKUP("# Memory",'vHosts (Imported)'!$1:$5000,M4858,FALSE)</f>
        <v>0</v>
      </c>
      <c r="M4858" s="45">
        <f t="shared" si="227"/>
        <v>4858</v>
      </c>
      <c r="N4858" s="38">
        <f>HLOOKUP("Host",'vInfo (Imported)'!$1:$5000,M4858,FALSE)</f>
        <v>0</v>
      </c>
      <c r="R4858">
        <f>HLOOKUP("CPUs",'vInfo (Imported)'!$1:$5000,M4858,FALSE)</f>
        <v>0</v>
      </c>
      <c r="S4858">
        <f>HLOOKUP("Memory",'vInfo (Imported)'!$1:$5000,M4858,FALSE)</f>
        <v>0</v>
      </c>
      <c r="T4858">
        <f>HLOOKUP("Provisioned MiB",'vInfo (Imported)'!$1:$5000,M4858,FALSE)</f>
        <v>0</v>
      </c>
      <c r="U4858">
        <f t="shared" si="226"/>
        <v>0</v>
      </c>
      <c r="V4858">
        <f>HLOOKUP("In Use MiB",'vInfo (Imported)'!$1:$5000,M4858,FALSE)</f>
        <v>0</v>
      </c>
    </row>
    <row r="4859" spans="1:22" ht="13" x14ac:dyDescent="0.3">
      <c r="A4859" s="46">
        <f>'vHosts (Imported)'!A4859</f>
        <v>0</v>
      </c>
      <c r="B4859" s="51">
        <f t="shared" si="228"/>
        <v>4968</v>
      </c>
      <c r="C4859" s="49">
        <f>HLOOKUP("# Cores",'vHosts (Imported)'!$1:$5000,M4859,FALSE)</f>
        <v>0</v>
      </c>
      <c r="D4859" s="52">
        <f>HLOOKUP("# Memory",'vHosts (Imported)'!$1:$5000,M4859,FALSE)</f>
        <v>0</v>
      </c>
      <c r="M4859" s="45">
        <f t="shared" si="227"/>
        <v>4859</v>
      </c>
      <c r="N4859" s="38">
        <f>HLOOKUP("Host",'vInfo (Imported)'!$1:$5000,M4859,FALSE)</f>
        <v>0</v>
      </c>
      <c r="R4859">
        <f>HLOOKUP("CPUs",'vInfo (Imported)'!$1:$5000,M4859,FALSE)</f>
        <v>0</v>
      </c>
      <c r="S4859">
        <f>HLOOKUP("Memory",'vInfo (Imported)'!$1:$5000,M4859,FALSE)</f>
        <v>0</v>
      </c>
      <c r="T4859">
        <f>HLOOKUP("Provisioned MiB",'vInfo (Imported)'!$1:$5000,M4859,FALSE)</f>
        <v>0</v>
      </c>
      <c r="U4859">
        <f t="shared" si="226"/>
        <v>0</v>
      </c>
      <c r="V4859">
        <f>HLOOKUP("In Use MiB",'vInfo (Imported)'!$1:$5000,M4859,FALSE)</f>
        <v>0</v>
      </c>
    </row>
    <row r="4860" spans="1:22" ht="13" x14ac:dyDescent="0.3">
      <c r="A4860" s="46">
        <f>'vHosts (Imported)'!A4860</f>
        <v>0</v>
      </c>
      <c r="B4860" s="51">
        <f t="shared" si="228"/>
        <v>4968</v>
      </c>
      <c r="C4860" s="49">
        <f>HLOOKUP("# Cores",'vHosts (Imported)'!$1:$5000,M4860,FALSE)</f>
        <v>0</v>
      </c>
      <c r="D4860" s="52">
        <f>HLOOKUP("# Memory",'vHosts (Imported)'!$1:$5000,M4860,FALSE)</f>
        <v>0</v>
      </c>
      <c r="M4860" s="45">
        <f t="shared" si="227"/>
        <v>4860</v>
      </c>
      <c r="N4860" s="38">
        <f>HLOOKUP("Host",'vInfo (Imported)'!$1:$5000,M4860,FALSE)</f>
        <v>0</v>
      </c>
      <c r="R4860">
        <f>HLOOKUP("CPUs",'vInfo (Imported)'!$1:$5000,M4860,FALSE)</f>
        <v>0</v>
      </c>
      <c r="S4860">
        <f>HLOOKUP("Memory",'vInfo (Imported)'!$1:$5000,M4860,FALSE)</f>
        <v>0</v>
      </c>
      <c r="T4860">
        <f>HLOOKUP("Provisioned MiB",'vInfo (Imported)'!$1:$5000,M4860,FALSE)</f>
        <v>0</v>
      </c>
      <c r="U4860">
        <f t="shared" si="226"/>
        <v>0</v>
      </c>
      <c r="V4860">
        <f>HLOOKUP("In Use MiB",'vInfo (Imported)'!$1:$5000,M4860,FALSE)</f>
        <v>0</v>
      </c>
    </row>
    <row r="4861" spans="1:22" ht="13" x14ac:dyDescent="0.3">
      <c r="A4861" s="46">
        <f>'vHosts (Imported)'!A4861</f>
        <v>0</v>
      </c>
      <c r="B4861" s="51">
        <f t="shared" si="228"/>
        <v>4968</v>
      </c>
      <c r="C4861" s="49">
        <f>HLOOKUP("# Cores",'vHosts (Imported)'!$1:$5000,M4861,FALSE)</f>
        <v>0</v>
      </c>
      <c r="D4861" s="52">
        <f>HLOOKUP("# Memory",'vHosts (Imported)'!$1:$5000,M4861,FALSE)</f>
        <v>0</v>
      </c>
      <c r="M4861" s="45">
        <f t="shared" si="227"/>
        <v>4861</v>
      </c>
      <c r="N4861" s="38">
        <f>HLOOKUP("Host",'vInfo (Imported)'!$1:$5000,M4861,FALSE)</f>
        <v>0</v>
      </c>
      <c r="R4861">
        <f>HLOOKUP("CPUs",'vInfo (Imported)'!$1:$5000,M4861,FALSE)</f>
        <v>0</v>
      </c>
      <c r="S4861">
        <f>HLOOKUP("Memory",'vInfo (Imported)'!$1:$5000,M4861,FALSE)</f>
        <v>0</v>
      </c>
      <c r="T4861">
        <f>HLOOKUP("Provisioned MiB",'vInfo (Imported)'!$1:$5000,M4861,FALSE)</f>
        <v>0</v>
      </c>
      <c r="U4861">
        <f t="shared" si="226"/>
        <v>0</v>
      </c>
      <c r="V4861">
        <f>HLOOKUP("In Use MiB",'vInfo (Imported)'!$1:$5000,M4861,FALSE)</f>
        <v>0</v>
      </c>
    </row>
    <row r="4862" spans="1:22" ht="13" x14ac:dyDescent="0.3">
      <c r="A4862" s="46">
        <f>'vHosts (Imported)'!A4862</f>
        <v>0</v>
      </c>
      <c r="B4862" s="51">
        <f t="shared" si="228"/>
        <v>4968</v>
      </c>
      <c r="C4862" s="49">
        <f>HLOOKUP("# Cores",'vHosts (Imported)'!$1:$5000,M4862,FALSE)</f>
        <v>0</v>
      </c>
      <c r="D4862" s="52">
        <f>HLOOKUP("# Memory",'vHosts (Imported)'!$1:$5000,M4862,FALSE)</f>
        <v>0</v>
      </c>
      <c r="M4862" s="45">
        <f t="shared" si="227"/>
        <v>4862</v>
      </c>
      <c r="N4862" s="38">
        <f>HLOOKUP("Host",'vInfo (Imported)'!$1:$5000,M4862,FALSE)</f>
        <v>0</v>
      </c>
      <c r="R4862">
        <f>HLOOKUP("CPUs",'vInfo (Imported)'!$1:$5000,M4862,FALSE)</f>
        <v>0</v>
      </c>
      <c r="S4862">
        <f>HLOOKUP("Memory",'vInfo (Imported)'!$1:$5000,M4862,FALSE)</f>
        <v>0</v>
      </c>
      <c r="T4862">
        <f>HLOOKUP("Provisioned MiB",'vInfo (Imported)'!$1:$5000,M4862,FALSE)</f>
        <v>0</v>
      </c>
      <c r="U4862">
        <f t="shared" si="226"/>
        <v>0</v>
      </c>
      <c r="V4862">
        <f>HLOOKUP("In Use MiB",'vInfo (Imported)'!$1:$5000,M4862,FALSE)</f>
        <v>0</v>
      </c>
    </row>
    <row r="4863" spans="1:22" ht="13" x14ac:dyDescent="0.3">
      <c r="A4863" s="46">
        <f>'vHosts (Imported)'!A4863</f>
        <v>0</v>
      </c>
      <c r="B4863" s="51">
        <f t="shared" si="228"/>
        <v>4968</v>
      </c>
      <c r="C4863" s="49">
        <f>HLOOKUP("# Cores",'vHosts (Imported)'!$1:$5000,M4863,FALSE)</f>
        <v>0</v>
      </c>
      <c r="D4863" s="52">
        <f>HLOOKUP("# Memory",'vHosts (Imported)'!$1:$5000,M4863,FALSE)</f>
        <v>0</v>
      </c>
      <c r="M4863" s="45">
        <f t="shared" si="227"/>
        <v>4863</v>
      </c>
      <c r="N4863" s="38">
        <f>HLOOKUP("Host",'vInfo (Imported)'!$1:$5000,M4863,FALSE)</f>
        <v>0</v>
      </c>
      <c r="R4863">
        <f>HLOOKUP("CPUs",'vInfo (Imported)'!$1:$5000,M4863,FALSE)</f>
        <v>0</v>
      </c>
      <c r="S4863">
        <f>HLOOKUP("Memory",'vInfo (Imported)'!$1:$5000,M4863,FALSE)</f>
        <v>0</v>
      </c>
      <c r="T4863">
        <f>HLOOKUP("Provisioned MiB",'vInfo (Imported)'!$1:$5000,M4863,FALSE)</f>
        <v>0</v>
      </c>
      <c r="U4863">
        <f t="shared" si="226"/>
        <v>0</v>
      </c>
      <c r="V4863">
        <f>HLOOKUP("In Use MiB",'vInfo (Imported)'!$1:$5000,M4863,FALSE)</f>
        <v>0</v>
      </c>
    </row>
    <row r="4864" spans="1:22" ht="13" x14ac:dyDescent="0.3">
      <c r="A4864" s="46">
        <f>'vHosts (Imported)'!A4864</f>
        <v>0</v>
      </c>
      <c r="B4864" s="51">
        <f t="shared" si="228"/>
        <v>4968</v>
      </c>
      <c r="C4864" s="49">
        <f>HLOOKUP("# Cores",'vHosts (Imported)'!$1:$5000,M4864,FALSE)</f>
        <v>0</v>
      </c>
      <c r="D4864" s="52">
        <f>HLOOKUP("# Memory",'vHosts (Imported)'!$1:$5000,M4864,FALSE)</f>
        <v>0</v>
      </c>
      <c r="M4864" s="45">
        <f t="shared" si="227"/>
        <v>4864</v>
      </c>
      <c r="N4864" s="38">
        <f>HLOOKUP("Host",'vInfo (Imported)'!$1:$5000,M4864,FALSE)</f>
        <v>0</v>
      </c>
      <c r="R4864">
        <f>HLOOKUP("CPUs",'vInfo (Imported)'!$1:$5000,M4864,FALSE)</f>
        <v>0</v>
      </c>
      <c r="S4864">
        <f>HLOOKUP("Memory",'vInfo (Imported)'!$1:$5000,M4864,FALSE)</f>
        <v>0</v>
      </c>
      <c r="T4864">
        <f>HLOOKUP("Provisioned MiB",'vInfo (Imported)'!$1:$5000,M4864,FALSE)</f>
        <v>0</v>
      </c>
      <c r="U4864">
        <f t="shared" si="226"/>
        <v>0</v>
      </c>
      <c r="V4864">
        <f>HLOOKUP("In Use MiB",'vInfo (Imported)'!$1:$5000,M4864,FALSE)</f>
        <v>0</v>
      </c>
    </row>
    <row r="4865" spans="1:22" ht="13" x14ac:dyDescent="0.3">
      <c r="A4865" s="46">
        <f>'vHosts (Imported)'!A4865</f>
        <v>0</v>
      </c>
      <c r="B4865" s="51">
        <f t="shared" si="228"/>
        <v>4968</v>
      </c>
      <c r="C4865" s="49">
        <f>HLOOKUP("# Cores",'vHosts (Imported)'!$1:$5000,M4865,FALSE)</f>
        <v>0</v>
      </c>
      <c r="D4865" s="52">
        <f>HLOOKUP("# Memory",'vHosts (Imported)'!$1:$5000,M4865,FALSE)</f>
        <v>0</v>
      </c>
      <c r="M4865" s="45">
        <f t="shared" si="227"/>
        <v>4865</v>
      </c>
      <c r="N4865" s="38">
        <f>HLOOKUP("Host",'vInfo (Imported)'!$1:$5000,M4865,FALSE)</f>
        <v>0</v>
      </c>
      <c r="R4865">
        <f>HLOOKUP("CPUs",'vInfo (Imported)'!$1:$5000,M4865,FALSE)</f>
        <v>0</v>
      </c>
      <c r="S4865">
        <f>HLOOKUP("Memory",'vInfo (Imported)'!$1:$5000,M4865,FALSE)</f>
        <v>0</v>
      </c>
      <c r="T4865">
        <f>HLOOKUP("Provisioned MiB",'vInfo (Imported)'!$1:$5000,M4865,FALSE)</f>
        <v>0</v>
      </c>
      <c r="U4865">
        <f t="shared" si="226"/>
        <v>0</v>
      </c>
      <c r="V4865">
        <f>HLOOKUP("In Use MiB",'vInfo (Imported)'!$1:$5000,M4865,FALSE)</f>
        <v>0</v>
      </c>
    </row>
    <row r="4866" spans="1:22" ht="13" x14ac:dyDescent="0.3">
      <c r="A4866" s="46">
        <f>'vHosts (Imported)'!A4866</f>
        <v>0</v>
      </c>
      <c r="B4866" s="51">
        <f t="shared" si="228"/>
        <v>4968</v>
      </c>
      <c r="C4866" s="49">
        <f>HLOOKUP("# Cores",'vHosts (Imported)'!$1:$5000,M4866,FALSE)</f>
        <v>0</v>
      </c>
      <c r="D4866" s="52">
        <f>HLOOKUP("# Memory",'vHosts (Imported)'!$1:$5000,M4866,FALSE)</f>
        <v>0</v>
      </c>
      <c r="M4866" s="45">
        <f t="shared" si="227"/>
        <v>4866</v>
      </c>
      <c r="N4866" s="38">
        <f>HLOOKUP("Host",'vInfo (Imported)'!$1:$5000,M4866,FALSE)</f>
        <v>0</v>
      </c>
      <c r="R4866">
        <f>HLOOKUP("CPUs",'vInfo (Imported)'!$1:$5000,M4866,FALSE)</f>
        <v>0</v>
      </c>
      <c r="S4866">
        <f>HLOOKUP("Memory",'vInfo (Imported)'!$1:$5000,M4866,FALSE)</f>
        <v>0</v>
      </c>
      <c r="T4866">
        <f>HLOOKUP("Provisioned MiB",'vInfo (Imported)'!$1:$5000,M4866,FALSE)</f>
        <v>0</v>
      </c>
      <c r="U4866">
        <f t="shared" si="226"/>
        <v>0</v>
      </c>
      <c r="V4866">
        <f>HLOOKUP("In Use MiB",'vInfo (Imported)'!$1:$5000,M4866,FALSE)</f>
        <v>0</v>
      </c>
    </row>
    <row r="4867" spans="1:22" ht="13" x14ac:dyDescent="0.3">
      <c r="A4867" s="46">
        <f>'vHosts (Imported)'!A4867</f>
        <v>0</v>
      </c>
      <c r="B4867" s="51">
        <f t="shared" si="228"/>
        <v>4968</v>
      </c>
      <c r="C4867" s="49">
        <f>HLOOKUP("# Cores",'vHosts (Imported)'!$1:$5000,M4867,FALSE)</f>
        <v>0</v>
      </c>
      <c r="D4867" s="52">
        <f>HLOOKUP("# Memory",'vHosts (Imported)'!$1:$5000,M4867,FALSE)</f>
        <v>0</v>
      </c>
      <c r="M4867" s="45">
        <f t="shared" si="227"/>
        <v>4867</v>
      </c>
      <c r="N4867" s="38">
        <f>HLOOKUP("Host",'vInfo (Imported)'!$1:$5000,M4867,FALSE)</f>
        <v>0</v>
      </c>
      <c r="R4867">
        <f>HLOOKUP("CPUs",'vInfo (Imported)'!$1:$5000,M4867,FALSE)</f>
        <v>0</v>
      </c>
      <c r="S4867">
        <f>HLOOKUP("Memory",'vInfo (Imported)'!$1:$5000,M4867,FALSE)</f>
        <v>0</v>
      </c>
      <c r="T4867">
        <f>HLOOKUP("Provisioned MiB",'vInfo (Imported)'!$1:$5000,M4867,FALSE)</f>
        <v>0</v>
      </c>
      <c r="U4867">
        <f t="shared" ref="U4867:U4930" si="229">T4867-V4867</f>
        <v>0</v>
      </c>
      <c r="V4867">
        <f>HLOOKUP("In Use MiB",'vInfo (Imported)'!$1:$5000,M4867,FALSE)</f>
        <v>0</v>
      </c>
    </row>
    <row r="4868" spans="1:22" ht="13" x14ac:dyDescent="0.3">
      <c r="A4868" s="46">
        <f>'vHosts (Imported)'!A4868</f>
        <v>0</v>
      </c>
      <c r="B4868" s="51">
        <f t="shared" si="228"/>
        <v>4968</v>
      </c>
      <c r="C4868" s="49">
        <f>HLOOKUP("# Cores",'vHosts (Imported)'!$1:$5000,M4868,FALSE)</f>
        <v>0</v>
      </c>
      <c r="D4868" s="52">
        <f>HLOOKUP("# Memory",'vHosts (Imported)'!$1:$5000,M4868,FALSE)</f>
        <v>0</v>
      </c>
      <c r="M4868" s="45">
        <f t="shared" ref="M4868:M4931" si="230">M4867+1</f>
        <v>4868</v>
      </c>
      <c r="N4868" s="38">
        <f>HLOOKUP("Host",'vInfo (Imported)'!$1:$5000,M4868,FALSE)</f>
        <v>0</v>
      </c>
      <c r="R4868">
        <f>HLOOKUP("CPUs",'vInfo (Imported)'!$1:$5000,M4868,FALSE)</f>
        <v>0</v>
      </c>
      <c r="S4868">
        <f>HLOOKUP("Memory",'vInfo (Imported)'!$1:$5000,M4868,FALSE)</f>
        <v>0</v>
      </c>
      <c r="T4868">
        <f>HLOOKUP("Provisioned MiB",'vInfo (Imported)'!$1:$5000,M4868,FALSE)</f>
        <v>0</v>
      </c>
      <c r="U4868">
        <f t="shared" si="229"/>
        <v>0</v>
      </c>
      <c r="V4868">
        <f>HLOOKUP("In Use MiB",'vInfo (Imported)'!$1:$5000,M4868,FALSE)</f>
        <v>0</v>
      </c>
    </row>
    <row r="4869" spans="1:22" ht="13" x14ac:dyDescent="0.3">
      <c r="A4869" s="46">
        <f>'vHosts (Imported)'!A4869</f>
        <v>0</v>
      </c>
      <c r="B4869" s="51">
        <f t="shared" si="228"/>
        <v>4968</v>
      </c>
      <c r="C4869" s="49">
        <f>HLOOKUP("# Cores",'vHosts (Imported)'!$1:$5000,M4869,FALSE)</f>
        <v>0</v>
      </c>
      <c r="D4869" s="52">
        <f>HLOOKUP("# Memory",'vHosts (Imported)'!$1:$5000,M4869,FALSE)</f>
        <v>0</v>
      </c>
      <c r="M4869" s="45">
        <f t="shared" si="230"/>
        <v>4869</v>
      </c>
      <c r="N4869" s="38">
        <f>HLOOKUP("Host",'vInfo (Imported)'!$1:$5000,M4869,FALSE)</f>
        <v>0</v>
      </c>
      <c r="R4869">
        <f>HLOOKUP("CPUs",'vInfo (Imported)'!$1:$5000,M4869,FALSE)</f>
        <v>0</v>
      </c>
      <c r="S4869">
        <f>HLOOKUP("Memory",'vInfo (Imported)'!$1:$5000,M4869,FALSE)</f>
        <v>0</v>
      </c>
      <c r="T4869">
        <f>HLOOKUP("Provisioned MiB",'vInfo (Imported)'!$1:$5000,M4869,FALSE)</f>
        <v>0</v>
      </c>
      <c r="U4869">
        <f t="shared" si="229"/>
        <v>0</v>
      </c>
      <c r="V4869">
        <f>HLOOKUP("In Use MiB",'vInfo (Imported)'!$1:$5000,M4869,FALSE)</f>
        <v>0</v>
      </c>
    </row>
    <row r="4870" spans="1:22" ht="13" x14ac:dyDescent="0.3">
      <c r="A4870" s="46">
        <f>'vHosts (Imported)'!A4870</f>
        <v>0</v>
      </c>
      <c r="B4870" s="51">
        <f t="shared" si="228"/>
        <v>4968</v>
      </c>
      <c r="C4870" s="49">
        <f>HLOOKUP("# Cores",'vHosts (Imported)'!$1:$5000,M4870,FALSE)</f>
        <v>0</v>
      </c>
      <c r="D4870" s="52">
        <f>HLOOKUP("# Memory",'vHosts (Imported)'!$1:$5000,M4870,FALSE)</f>
        <v>0</v>
      </c>
      <c r="M4870" s="45">
        <f t="shared" si="230"/>
        <v>4870</v>
      </c>
      <c r="N4870" s="38">
        <f>HLOOKUP("Host",'vInfo (Imported)'!$1:$5000,M4870,FALSE)</f>
        <v>0</v>
      </c>
      <c r="R4870">
        <f>HLOOKUP("CPUs",'vInfo (Imported)'!$1:$5000,M4870,FALSE)</f>
        <v>0</v>
      </c>
      <c r="S4870">
        <f>HLOOKUP("Memory",'vInfo (Imported)'!$1:$5000,M4870,FALSE)</f>
        <v>0</v>
      </c>
      <c r="T4870">
        <f>HLOOKUP("Provisioned MiB",'vInfo (Imported)'!$1:$5000,M4870,FALSE)</f>
        <v>0</v>
      </c>
      <c r="U4870">
        <f t="shared" si="229"/>
        <v>0</v>
      </c>
      <c r="V4870">
        <f>HLOOKUP("In Use MiB",'vInfo (Imported)'!$1:$5000,M4870,FALSE)</f>
        <v>0</v>
      </c>
    </row>
    <row r="4871" spans="1:22" ht="13" x14ac:dyDescent="0.3">
      <c r="A4871" s="46">
        <f>'vHosts (Imported)'!A4871</f>
        <v>0</v>
      </c>
      <c r="B4871" s="51">
        <f t="shared" si="228"/>
        <v>4968</v>
      </c>
      <c r="C4871" s="49">
        <f>HLOOKUP("# Cores",'vHosts (Imported)'!$1:$5000,M4871,FALSE)</f>
        <v>0</v>
      </c>
      <c r="D4871" s="52">
        <f>HLOOKUP("# Memory",'vHosts (Imported)'!$1:$5000,M4871,FALSE)</f>
        <v>0</v>
      </c>
      <c r="M4871" s="45">
        <f t="shared" si="230"/>
        <v>4871</v>
      </c>
      <c r="N4871" s="38">
        <f>HLOOKUP("Host",'vInfo (Imported)'!$1:$5000,M4871,FALSE)</f>
        <v>0</v>
      </c>
      <c r="R4871">
        <f>HLOOKUP("CPUs",'vInfo (Imported)'!$1:$5000,M4871,FALSE)</f>
        <v>0</v>
      </c>
      <c r="S4871">
        <f>HLOOKUP("Memory",'vInfo (Imported)'!$1:$5000,M4871,FALSE)</f>
        <v>0</v>
      </c>
      <c r="T4871">
        <f>HLOOKUP("Provisioned MiB",'vInfo (Imported)'!$1:$5000,M4871,FALSE)</f>
        <v>0</v>
      </c>
      <c r="U4871">
        <f t="shared" si="229"/>
        <v>0</v>
      </c>
      <c r="V4871">
        <f>HLOOKUP("In Use MiB",'vInfo (Imported)'!$1:$5000,M4871,FALSE)</f>
        <v>0</v>
      </c>
    </row>
    <row r="4872" spans="1:22" ht="13" x14ac:dyDescent="0.3">
      <c r="A4872" s="46">
        <f>'vHosts (Imported)'!A4872</f>
        <v>0</v>
      </c>
      <c r="B4872" s="51">
        <f t="shared" si="228"/>
        <v>4968</v>
      </c>
      <c r="C4872" s="49">
        <f>HLOOKUP("# Cores",'vHosts (Imported)'!$1:$5000,M4872,FALSE)</f>
        <v>0</v>
      </c>
      <c r="D4872" s="52">
        <f>HLOOKUP("# Memory",'vHosts (Imported)'!$1:$5000,M4872,FALSE)</f>
        <v>0</v>
      </c>
      <c r="M4872" s="45">
        <f t="shared" si="230"/>
        <v>4872</v>
      </c>
      <c r="N4872" s="38">
        <f>HLOOKUP("Host",'vInfo (Imported)'!$1:$5000,M4872,FALSE)</f>
        <v>0</v>
      </c>
      <c r="R4872">
        <f>HLOOKUP("CPUs",'vInfo (Imported)'!$1:$5000,M4872,FALSE)</f>
        <v>0</v>
      </c>
      <c r="S4872">
        <f>HLOOKUP("Memory",'vInfo (Imported)'!$1:$5000,M4872,FALSE)</f>
        <v>0</v>
      </c>
      <c r="T4872">
        <f>HLOOKUP("Provisioned MiB",'vInfo (Imported)'!$1:$5000,M4872,FALSE)</f>
        <v>0</v>
      </c>
      <c r="U4872">
        <f t="shared" si="229"/>
        <v>0</v>
      </c>
      <c r="V4872">
        <f>HLOOKUP("In Use MiB",'vInfo (Imported)'!$1:$5000,M4872,FALSE)</f>
        <v>0</v>
      </c>
    </row>
    <row r="4873" spans="1:22" ht="13" x14ac:dyDescent="0.3">
      <c r="A4873" s="46">
        <f>'vHosts (Imported)'!A4873</f>
        <v>0</v>
      </c>
      <c r="B4873" s="51">
        <f t="shared" si="228"/>
        <v>4968</v>
      </c>
      <c r="C4873" s="49">
        <f>HLOOKUP("# Cores",'vHosts (Imported)'!$1:$5000,M4873,FALSE)</f>
        <v>0</v>
      </c>
      <c r="D4873" s="52">
        <f>HLOOKUP("# Memory",'vHosts (Imported)'!$1:$5000,M4873,FALSE)</f>
        <v>0</v>
      </c>
      <c r="M4873" s="45">
        <f t="shared" si="230"/>
        <v>4873</v>
      </c>
      <c r="N4873" s="38">
        <f>HLOOKUP("Host",'vInfo (Imported)'!$1:$5000,M4873,FALSE)</f>
        <v>0</v>
      </c>
      <c r="R4873">
        <f>HLOOKUP("CPUs",'vInfo (Imported)'!$1:$5000,M4873,FALSE)</f>
        <v>0</v>
      </c>
      <c r="S4873">
        <f>HLOOKUP("Memory",'vInfo (Imported)'!$1:$5000,M4873,FALSE)</f>
        <v>0</v>
      </c>
      <c r="T4873">
        <f>HLOOKUP("Provisioned MiB",'vInfo (Imported)'!$1:$5000,M4873,FALSE)</f>
        <v>0</v>
      </c>
      <c r="U4873">
        <f t="shared" si="229"/>
        <v>0</v>
      </c>
      <c r="V4873">
        <f>HLOOKUP("In Use MiB",'vInfo (Imported)'!$1:$5000,M4873,FALSE)</f>
        <v>0</v>
      </c>
    </row>
    <row r="4874" spans="1:22" ht="13" x14ac:dyDescent="0.3">
      <c r="A4874" s="46">
        <f>'vHosts (Imported)'!A4874</f>
        <v>0</v>
      </c>
      <c r="B4874" s="51">
        <f t="shared" si="228"/>
        <v>4968</v>
      </c>
      <c r="C4874" s="49">
        <f>HLOOKUP("# Cores",'vHosts (Imported)'!$1:$5000,M4874,FALSE)</f>
        <v>0</v>
      </c>
      <c r="D4874" s="52">
        <f>HLOOKUP("# Memory",'vHosts (Imported)'!$1:$5000,M4874,FALSE)</f>
        <v>0</v>
      </c>
      <c r="M4874" s="45">
        <f t="shared" si="230"/>
        <v>4874</v>
      </c>
      <c r="N4874" s="38">
        <f>HLOOKUP("Host",'vInfo (Imported)'!$1:$5000,M4874,FALSE)</f>
        <v>0</v>
      </c>
      <c r="R4874">
        <f>HLOOKUP("CPUs",'vInfo (Imported)'!$1:$5000,M4874,FALSE)</f>
        <v>0</v>
      </c>
      <c r="S4874">
        <f>HLOOKUP("Memory",'vInfo (Imported)'!$1:$5000,M4874,FALSE)</f>
        <v>0</v>
      </c>
      <c r="T4874">
        <f>HLOOKUP("Provisioned MiB",'vInfo (Imported)'!$1:$5000,M4874,FALSE)</f>
        <v>0</v>
      </c>
      <c r="U4874">
        <f t="shared" si="229"/>
        <v>0</v>
      </c>
      <c r="V4874">
        <f>HLOOKUP("In Use MiB",'vInfo (Imported)'!$1:$5000,M4874,FALSE)</f>
        <v>0</v>
      </c>
    </row>
    <row r="4875" spans="1:22" ht="13" x14ac:dyDescent="0.3">
      <c r="A4875" s="46">
        <f>'vHosts (Imported)'!A4875</f>
        <v>0</v>
      </c>
      <c r="B4875" s="51">
        <f t="shared" si="228"/>
        <v>4968</v>
      </c>
      <c r="C4875" s="49">
        <f>HLOOKUP("# Cores",'vHosts (Imported)'!$1:$5000,M4875,FALSE)</f>
        <v>0</v>
      </c>
      <c r="D4875" s="52">
        <f>HLOOKUP("# Memory",'vHosts (Imported)'!$1:$5000,M4875,FALSE)</f>
        <v>0</v>
      </c>
      <c r="M4875" s="45">
        <f t="shared" si="230"/>
        <v>4875</v>
      </c>
      <c r="N4875" s="38">
        <f>HLOOKUP("Host",'vInfo (Imported)'!$1:$5000,M4875,FALSE)</f>
        <v>0</v>
      </c>
      <c r="R4875">
        <f>HLOOKUP("CPUs",'vInfo (Imported)'!$1:$5000,M4875,FALSE)</f>
        <v>0</v>
      </c>
      <c r="S4875">
        <f>HLOOKUP("Memory",'vInfo (Imported)'!$1:$5000,M4875,FALSE)</f>
        <v>0</v>
      </c>
      <c r="T4875">
        <f>HLOOKUP("Provisioned MiB",'vInfo (Imported)'!$1:$5000,M4875,FALSE)</f>
        <v>0</v>
      </c>
      <c r="U4875">
        <f t="shared" si="229"/>
        <v>0</v>
      </c>
      <c r="V4875">
        <f>HLOOKUP("In Use MiB",'vInfo (Imported)'!$1:$5000,M4875,FALSE)</f>
        <v>0</v>
      </c>
    </row>
    <row r="4876" spans="1:22" ht="13" x14ac:dyDescent="0.3">
      <c r="A4876" s="46">
        <f>'vHosts (Imported)'!A4876</f>
        <v>0</v>
      </c>
      <c r="B4876" s="51">
        <f t="shared" si="228"/>
        <v>4968</v>
      </c>
      <c r="C4876" s="49">
        <f>HLOOKUP("# Cores",'vHosts (Imported)'!$1:$5000,M4876,FALSE)</f>
        <v>0</v>
      </c>
      <c r="D4876" s="52">
        <f>HLOOKUP("# Memory",'vHosts (Imported)'!$1:$5000,M4876,FALSE)</f>
        <v>0</v>
      </c>
      <c r="M4876" s="45">
        <f t="shared" si="230"/>
        <v>4876</v>
      </c>
      <c r="N4876" s="38">
        <f>HLOOKUP("Host",'vInfo (Imported)'!$1:$5000,M4876,FALSE)</f>
        <v>0</v>
      </c>
      <c r="R4876">
        <f>HLOOKUP("CPUs",'vInfo (Imported)'!$1:$5000,M4876,FALSE)</f>
        <v>0</v>
      </c>
      <c r="S4876">
        <f>HLOOKUP("Memory",'vInfo (Imported)'!$1:$5000,M4876,FALSE)</f>
        <v>0</v>
      </c>
      <c r="T4876">
        <f>HLOOKUP("Provisioned MiB",'vInfo (Imported)'!$1:$5000,M4876,FALSE)</f>
        <v>0</v>
      </c>
      <c r="U4876">
        <f t="shared" si="229"/>
        <v>0</v>
      </c>
      <c r="V4876">
        <f>HLOOKUP("In Use MiB",'vInfo (Imported)'!$1:$5000,M4876,FALSE)</f>
        <v>0</v>
      </c>
    </row>
    <row r="4877" spans="1:22" ht="13" x14ac:dyDescent="0.3">
      <c r="A4877" s="46">
        <f>'vHosts (Imported)'!A4877</f>
        <v>0</v>
      </c>
      <c r="B4877" s="51">
        <f t="shared" si="228"/>
        <v>4968</v>
      </c>
      <c r="C4877" s="49">
        <f>HLOOKUP("# Cores",'vHosts (Imported)'!$1:$5000,M4877,FALSE)</f>
        <v>0</v>
      </c>
      <c r="D4877" s="52">
        <f>HLOOKUP("# Memory",'vHosts (Imported)'!$1:$5000,M4877,FALSE)</f>
        <v>0</v>
      </c>
      <c r="M4877" s="45">
        <f t="shared" si="230"/>
        <v>4877</v>
      </c>
      <c r="N4877" s="38">
        <f>HLOOKUP("Host",'vInfo (Imported)'!$1:$5000,M4877,FALSE)</f>
        <v>0</v>
      </c>
      <c r="R4877">
        <f>HLOOKUP("CPUs",'vInfo (Imported)'!$1:$5000,M4877,FALSE)</f>
        <v>0</v>
      </c>
      <c r="S4877">
        <f>HLOOKUP("Memory",'vInfo (Imported)'!$1:$5000,M4877,FALSE)</f>
        <v>0</v>
      </c>
      <c r="T4877">
        <f>HLOOKUP("Provisioned MiB",'vInfo (Imported)'!$1:$5000,M4877,FALSE)</f>
        <v>0</v>
      </c>
      <c r="U4877">
        <f t="shared" si="229"/>
        <v>0</v>
      </c>
      <c r="V4877">
        <f>HLOOKUP("In Use MiB",'vInfo (Imported)'!$1:$5000,M4877,FALSE)</f>
        <v>0</v>
      </c>
    </row>
    <row r="4878" spans="1:22" ht="13" x14ac:dyDescent="0.3">
      <c r="A4878" s="46">
        <f>'vHosts (Imported)'!A4878</f>
        <v>0</v>
      </c>
      <c r="B4878" s="51">
        <f t="shared" si="228"/>
        <v>4968</v>
      </c>
      <c r="C4878" s="49">
        <f>HLOOKUP("# Cores",'vHosts (Imported)'!$1:$5000,M4878,FALSE)</f>
        <v>0</v>
      </c>
      <c r="D4878" s="52">
        <f>HLOOKUP("# Memory",'vHosts (Imported)'!$1:$5000,M4878,FALSE)</f>
        <v>0</v>
      </c>
      <c r="M4878" s="45">
        <f t="shared" si="230"/>
        <v>4878</v>
      </c>
      <c r="N4878" s="38">
        <f>HLOOKUP("Host",'vInfo (Imported)'!$1:$5000,M4878,FALSE)</f>
        <v>0</v>
      </c>
      <c r="R4878">
        <f>HLOOKUP("CPUs",'vInfo (Imported)'!$1:$5000,M4878,FALSE)</f>
        <v>0</v>
      </c>
      <c r="S4878">
        <f>HLOOKUP("Memory",'vInfo (Imported)'!$1:$5000,M4878,FALSE)</f>
        <v>0</v>
      </c>
      <c r="T4878">
        <f>HLOOKUP("Provisioned MiB",'vInfo (Imported)'!$1:$5000,M4878,FALSE)</f>
        <v>0</v>
      </c>
      <c r="U4878">
        <f t="shared" si="229"/>
        <v>0</v>
      </c>
      <c r="V4878">
        <f>HLOOKUP("In Use MiB",'vInfo (Imported)'!$1:$5000,M4878,FALSE)</f>
        <v>0</v>
      </c>
    </row>
    <row r="4879" spans="1:22" ht="13" x14ac:dyDescent="0.3">
      <c r="A4879" s="46">
        <f>'vHosts (Imported)'!A4879</f>
        <v>0</v>
      </c>
      <c r="B4879" s="51">
        <f t="shared" si="228"/>
        <v>4968</v>
      </c>
      <c r="C4879" s="49">
        <f>HLOOKUP("# Cores",'vHosts (Imported)'!$1:$5000,M4879,FALSE)</f>
        <v>0</v>
      </c>
      <c r="D4879" s="52">
        <f>HLOOKUP("# Memory",'vHosts (Imported)'!$1:$5000,M4879,FALSE)</f>
        <v>0</v>
      </c>
      <c r="M4879" s="45">
        <f t="shared" si="230"/>
        <v>4879</v>
      </c>
      <c r="N4879" s="38">
        <f>HLOOKUP("Host",'vInfo (Imported)'!$1:$5000,M4879,FALSE)</f>
        <v>0</v>
      </c>
      <c r="R4879">
        <f>HLOOKUP("CPUs",'vInfo (Imported)'!$1:$5000,M4879,FALSE)</f>
        <v>0</v>
      </c>
      <c r="S4879">
        <f>HLOOKUP("Memory",'vInfo (Imported)'!$1:$5000,M4879,FALSE)</f>
        <v>0</v>
      </c>
      <c r="T4879">
        <f>HLOOKUP("Provisioned MiB",'vInfo (Imported)'!$1:$5000,M4879,FALSE)</f>
        <v>0</v>
      </c>
      <c r="U4879">
        <f t="shared" si="229"/>
        <v>0</v>
      </c>
      <c r="V4879">
        <f>HLOOKUP("In Use MiB",'vInfo (Imported)'!$1:$5000,M4879,FALSE)</f>
        <v>0</v>
      </c>
    </row>
    <row r="4880" spans="1:22" ht="13" x14ac:dyDescent="0.3">
      <c r="A4880" s="46">
        <f>'vHosts (Imported)'!A4880</f>
        <v>0</v>
      </c>
      <c r="B4880" s="51">
        <f t="shared" si="228"/>
        <v>4968</v>
      </c>
      <c r="C4880" s="49">
        <f>HLOOKUP("# Cores",'vHosts (Imported)'!$1:$5000,M4880,FALSE)</f>
        <v>0</v>
      </c>
      <c r="D4880" s="52">
        <f>HLOOKUP("# Memory",'vHosts (Imported)'!$1:$5000,M4880,FALSE)</f>
        <v>0</v>
      </c>
      <c r="M4880" s="45">
        <f t="shared" si="230"/>
        <v>4880</v>
      </c>
      <c r="N4880" s="38">
        <f>HLOOKUP("Host",'vInfo (Imported)'!$1:$5000,M4880,FALSE)</f>
        <v>0</v>
      </c>
      <c r="R4880">
        <f>HLOOKUP("CPUs",'vInfo (Imported)'!$1:$5000,M4880,FALSE)</f>
        <v>0</v>
      </c>
      <c r="S4880">
        <f>HLOOKUP("Memory",'vInfo (Imported)'!$1:$5000,M4880,FALSE)</f>
        <v>0</v>
      </c>
      <c r="T4880">
        <f>HLOOKUP("Provisioned MiB",'vInfo (Imported)'!$1:$5000,M4880,FALSE)</f>
        <v>0</v>
      </c>
      <c r="U4880">
        <f t="shared" si="229"/>
        <v>0</v>
      </c>
      <c r="V4880">
        <f>HLOOKUP("In Use MiB",'vInfo (Imported)'!$1:$5000,M4880,FALSE)</f>
        <v>0</v>
      </c>
    </row>
    <row r="4881" spans="1:22" ht="13" x14ac:dyDescent="0.3">
      <c r="A4881" s="46">
        <f>'vHosts (Imported)'!A4881</f>
        <v>0</v>
      </c>
      <c r="B4881" s="51">
        <f t="shared" si="228"/>
        <v>4968</v>
      </c>
      <c r="C4881" s="49">
        <f>HLOOKUP("# Cores",'vHosts (Imported)'!$1:$5000,M4881,FALSE)</f>
        <v>0</v>
      </c>
      <c r="D4881" s="52">
        <f>HLOOKUP("# Memory",'vHosts (Imported)'!$1:$5000,M4881,FALSE)</f>
        <v>0</v>
      </c>
      <c r="M4881" s="45">
        <f t="shared" si="230"/>
        <v>4881</v>
      </c>
      <c r="N4881" s="38">
        <f>HLOOKUP("Host",'vInfo (Imported)'!$1:$5000,M4881,FALSE)</f>
        <v>0</v>
      </c>
      <c r="R4881">
        <f>HLOOKUP("CPUs",'vInfo (Imported)'!$1:$5000,M4881,FALSE)</f>
        <v>0</v>
      </c>
      <c r="S4881">
        <f>HLOOKUP("Memory",'vInfo (Imported)'!$1:$5000,M4881,FALSE)</f>
        <v>0</v>
      </c>
      <c r="T4881">
        <f>HLOOKUP("Provisioned MiB",'vInfo (Imported)'!$1:$5000,M4881,FALSE)</f>
        <v>0</v>
      </c>
      <c r="U4881">
        <f t="shared" si="229"/>
        <v>0</v>
      </c>
      <c r="V4881">
        <f>HLOOKUP("In Use MiB",'vInfo (Imported)'!$1:$5000,M4881,FALSE)</f>
        <v>0</v>
      </c>
    </row>
    <row r="4882" spans="1:22" ht="13" x14ac:dyDescent="0.3">
      <c r="A4882" s="46">
        <f>'vHosts (Imported)'!A4882</f>
        <v>0</v>
      </c>
      <c r="B4882" s="51">
        <f t="shared" si="228"/>
        <v>4968</v>
      </c>
      <c r="C4882" s="49">
        <f>HLOOKUP("# Cores",'vHosts (Imported)'!$1:$5000,M4882,FALSE)</f>
        <v>0</v>
      </c>
      <c r="D4882" s="52">
        <f>HLOOKUP("# Memory",'vHosts (Imported)'!$1:$5000,M4882,FALSE)</f>
        <v>0</v>
      </c>
      <c r="M4882" s="45">
        <f t="shared" si="230"/>
        <v>4882</v>
      </c>
      <c r="N4882" s="38">
        <f>HLOOKUP("Host",'vInfo (Imported)'!$1:$5000,M4882,FALSE)</f>
        <v>0</v>
      </c>
      <c r="R4882">
        <f>HLOOKUP("CPUs",'vInfo (Imported)'!$1:$5000,M4882,FALSE)</f>
        <v>0</v>
      </c>
      <c r="S4882">
        <f>HLOOKUP("Memory",'vInfo (Imported)'!$1:$5000,M4882,FALSE)</f>
        <v>0</v>
      </c>
      <c r="T4882">
        <f>HLOOKUP("Provisioned MiB",'vInfo (Imported)'!$1:$5000,M4882,FALSE)</f>
        <v>0</v>
      </c>
      <c r="U4882">
        <f t="shared" si="229"/>
        <v>0</v>
      </c>
      <c r="V4882">
        <f>HLOOKUP("In Use MiB",'vInfo (Imported)'!$1:$5000,M4882,FALSE)</f>
        <v>0</v>
      </c>
    </row>
    <row r="4883" spans="1:22" ht="13" x14ac:dyDescent="0.3">
      <c r="A4883" s="46">
        <f>'vHosts (Imported)'!A4883</f>
        <v>0</v>
      </c>
      <c r="B4883" s="51">
        <f t="shared" si="228"/>
        <v>4968</v>
      </c>
      <c r="C4883" s="49">
        <f>HLOOKUP("# Cores",'vHosts (Imported)'!$1:$5000,M4883,FALSE)</f>
        <v>0</v>
      </c>
      <c r="D4883" s="52">
        <f>HLOOKUP("# Memory",'vHosts (Imported)'!$1:$5000,M4883,FALSE)</f>
        <v>0</v>
      </c>
      <c r="M4883" s="45">
        <f t="shared" si="230"/>
        <v>4883</v>
      </c>
      <c r="N4883" s="38">
        <f>HLOOKUP("Host",'vInfo (Imported)'!$1:$5000,M4883,FALSE)</f>
        <v>0</v>
      </c>
      <c r="R4883">
        <f>HLOOKUP("CPUs",'vInfo (Imported)'!$1:$5000,M4883,FALSE)</f>
        <v>0</v>
      </c>
      <c r="S4883">
        <f>HLOOKUP("Memory",'vInfo (Imported)'!$1:$5000,M4883,FALSE)</f>
        <v>0</v>
      </c>
      <c r="T4883">
        <f>HLOOKUP("Provisioned MiB",'vInfo (Imported)'!$1:$5000,M4883,FALSE)</f>
        <v>0</v>
      </c>
      <c r="U4883">
        <f t="shared" si="229"/>
        <v>0</v>
      </c>
      <c r="V4883">
        <f>HLOOKUP("In Use MiB",'vInfo (Imported)'!$1:$5000,M4883,FALSE)</f>
        <v>0</v>
      </c>
    </row>
    <row r="4884" spans="1:22" ht="13" x14ac:dyDescent="0.3">
      <c r="A4884" s="46">
        <f>'vHosts (Imported)'!A4884</f>
        <v>0</v>
      </c>
      <c r="B4884" s="51">
        <f t="shared" si="228"/>
        <v>4968</v>
      </c>
      <c r="C4884" s="49">
        <f>HLOOKUP("# Cores",'vHosts (Imported)'!$1:$5000,M4884,FALSE)</f>
        <v>0</v>
      </c>
      <c r="D4884" s="52">
        <f>HLOOKUP("# Memory",'vHosts (Imported)'!$1:$5000,M4884,FALSE)</f>
        <v>0</v>
      </c>
      <c r="M4884" s="45">
        <f t="shared" si="230"/>
        <v>4884</v>
      </c>
      <c r="N4884" s="38">
        <f>HLOOKUP("Host",'vInfo (Imported)'!$1:$5000,M4884,FALSE)</f>
        <v>0</v>
      </c>
      <c r="R4884">
        <f>HLOOKUP("CPUs",'vInfo (Imported)'!$1:$5000,M4884,FALSE)</f>
        <v>0</v>
      </c>
      <c r="S4884">
        <f>HLOOKUP("Memory",'vInfo (Imported)'!$1:$5000,M4884,FALSE)</f>
        <v>0</v>
      </c>
      <c r="T4884">
        <f>HLOOKUP("Provisioned MiB",'vInfo (Imported)'!$1:$5000,M4884,FALSE)</f>
        <v>0</v>
      </c>
      <c r="U4884">
        <f t="shared" si="229"/>
        <v>0</v>
      </c>
      <c r="V4884">
        <f>HLOOKUP("In Use MiB",'vInfo (Imported)'!$1:$5000,M4884,FALSE)</f>
        <v>0</v>
      </c>
    </row>
    <row r="4885" spans="1:22" ht="13" x14ac:dyDescent="0.3">
      <c r="A4885" s="46">
        <f>'vHosts (Imported)'!A4885</f>
        <v>0</v>
      </c>
      <c r="B4885" s="51">
        <f t="shared" si="228"/>
        <v>4968</v>
      </c>
      <c r="C4885" s="49">
        <f>HLOOKUP("# Cores",'vHosts (Imported)'!$1:$5000,M4885,FALSE)</f>
        <v>0</v>
      </c>
      <c r="D4885" s="52">
        <f>HLOOKUP("# Memory",'vHosts (Imported)'!$1:$5000,M4885,FALSE)</f>
        <v>0</v>
      </c>
      <c r="M4885" s="45">
        <f t="shared" si="230"/>
        <v>4885</v>
      </c>
      <c r="N4885" s="38">
        <f>HLOOKUP("Host",'vInfo (Imported)'!$1:$5000,M4885,FALSE)</f>
        <v>0</v>
      </c>
      <c r="R4885">
        <f>HLOOKUP("CPUs",'vInfo (Imported)'!$1:$5000,M4885,FALSE)</f>
        <v>0</v>
      </c>
      <c r="S4885">
        <f>HLOOKUP("Memory",'vInfo (Imported)'!$1:$5000,M4885,FALSE)</f>
        <v>0</v>
      </c>
      <c r="T4885">
        <f>HLOOKUP("Provisioned MiB",'vInfo (Imported)'!$1:$5000,M4885,FALSE)</f>
        <v>0</v>
      </c>
      <c r="U4885">
        <f t="shared" si="229"/>
        <v>0</v>
      </c>
      <c r="V4885">
        <f>HLOOKUP("In Use MiB",'vInfo (Imported)'!$1:$5000,M4885,FALSE)</f>
        <v>0</v>
      </c>
    </row>
    <row r="4886" spans="1:22" ht="13" x14ac:dyDescent="0.3">
      <c r="A4886" s="46">
        <f>'vHosts (Imported)'!A4886</f>
        <v>0</v>
      </c>
      <c r="B4886" s="51">
        <f t="shared" si="228"/>
        <v>4968</v>
      </c>
      <c r="C4886" s="49">
        <f>HLOOKUP("# Cores",'vHosts (Imported)'!$1:$5000,M4886,FALSE)</f>
        <v>0</v>
      </c>
      <c r="D4886" s="52">
        <f>HLOOKUP("# Memory",'vHosts (Imported)'!$1:$5000,M4886,FALSE)</f>
        <v>0</v>
      </c>
      <c r="M4886" s="45">
        <f t="shared" si="230"/>
        <v>4886</v>
      </c>
      <c r="N4886" s="38">
        <f>HLOOKUP("Host",'vInfo (Imported)'!$1:$5000,M4886,FALSE)</f>
        <v>0</v>
      </c>
      <c r="R4886">
        <f>HLOOKUP("CPUs",'vInfo (Imported)'!$1:$5000,M4886,FALSE)</f>
        <v>0</v>
      </c>
      <c r="S4886">
        <f>HLOOKUP("Memory",'vInfo (Imported)'!$1:$5000,M4886,FALSE)</f>
        <v>0</v>
      </c>
      <c r="T4886">
        <f>HLOOKUP("Provisioned MiB",'vInfo (Imported)'!$1:$5000,M4886,FALSE)</f>
        <v>0</v>
      </c>
      <c r="U4886">
        <f t="shared" si="229"/>
        <v>0</v>
      </c>
      <c r="V4886">
        <f>HLOOKUP("In Use MiB",'vInfo (Imported)'!$1:$5000,M4886,FALSE)</f>
        <v>0</v>
      </c>
    </row>
    <row r="4887" spans="1:22" ht="13" x14ac:dyDescent="0.3">
      <c r="A4887" s="46">
        <f>'vHosts (Imported)'!A4887</f>
        <v>0</v>
      </c>
      <c r="B4887" s="51">
        <f t="shared" si="228"/>
        <v>4968</v>
      </c>
      <c r="C4887" s="49">
        <f>HLOOKUP("# Cores",'vHosts (Imported)'!$1:$5000,M4887,FALSE)</f>
        <v>0</v>
      </c>
      <c r="D4887" s="52">
        <f>HLOOKUP("# Memory",'vHosts (Imported)'!$1:$5000,M4887,FALSE)</f>
        <v>0</v>
      </c>
      <c r="M4887" s="45">
        <f t="shared" si="230"/>
        <v>4887</v>
      </c>
      <c r="N4887" s="38">
        <f>HLOOKUP("Host",'vInfo (Imported)'!$1:$5000,M4887,FALSE)</f>
        <v>0</v>
      </c>
      <c r="R4887">
        <f>HLOOKUP("CPUs",'vInfo (Imported)'!$1:$5000,M4887,FALSE)</f>
        <v>0</v>
      </c>
      <c r="S4887">
        <f>HLOOKUP("Memory",'vInfo (Imported)'!$1:$5000,M4887,FALSE)</f>
        <v>0</v>
      </c>
      <c r="T4887">
        <f>HLOOKUP("Provisioned MiB",'vInfo (Imported)'!$1:$5000,M4887,FALSE)</f>
        <v>0</v>
      </c>
      <c r="U4887">
        <f t="shared" si="229"/>
        <v>0</v>
      </c>
      <c r="V4887">
        <f>HLOOKUP("In Use MiB",'vInfo (Imported)'!$1:$5000,M4887,FALSE)</f>
        <v>0</v>
      </c>
    </row>
    <row r="4888" spans="1:22" ht="13" x14ac:dyDescent="0.3">
      <c r="A4888" s="46">
        <f>'vHosts (Imported)'!A4888</f>
        <v>0</v>
      </c>
      <c r="B4888" s="51">
        <f t="shared" si="228"/>
        <v>4968</v>
      </c>
      <c r="C4888" s="49">
        <f>HLOOKUP("# Cores",'vHosts (Imported)'!$1:$5000,M4888,FALSE)</f>
        <v>0</v>
      </c>
      <c r="D4888" s="52">
        <f>HLOOKUP("# Memory",'vHosts (Imported)'!$1:$5000,M4888,FALSE)</f>
        <v>0</v>
      </c>
      <c r="M4888" s="45">
        <f t="shared" si="230"/>
        <v>4888</v>
      </c>
      <c r="N4888" s="38">
        <f>HLOOKUP("Host",'vInfo (Imported)'!$1:$5000,M4888,FALSE)</f>
        <v>0</v>
      </c>
      <c r="R4888">
        <f>HLOOKUP("CPUs",'vInfo (Imported)'!$1:$5000,M4888,FALSE)</f>
        <v>0</v>
      </c>
      <c r="S4888">
        <f>HLOOKUP("Memory",'vInfo (Imported)'!$1:$5000,M4888,FALSE)</f>
        <v>0</v>
      </c>
      <c r="T4888">
        <f>HLOOKUP("Provisioned MiB",'vInfo (Imported)'!$1:$5000,M4888,FALSE)</f>
        <v>0</v>
      </c>
      <c r="U4888">
        <f t="shared" si="229"/>
        <v>0</v>
      </c>
      <c r="V4888">
        <f>HLOOKUP("In Use MiB",'vInfo (Imported)'!$1:$5000,M4888,FALSE)</f>
        <v>0</v>
      </c>
    </row>
    <row r="4889" spans="1:22" ht="13" x14ac:dyDescent="0.3">
      <c r="A4889" s="46">
        <f>'vHosts (Imported)'!A4889</f>
        <v>0</v>
      </c>
      <c r="B4889" s="51">
        <f t="shared" si="228"/>
        <v>4968</v>
      </c>
      <c r="C4889" s="49">
        <f>HLOOKUP("# Cores",'vHosts (Imported)'!$1:$5000,M4889,FALSE)</f>
        <v>0</v>
      </c>
      <c r="D4889" s="52">
        <f>HLOOKUP("# Memory",'vHosts (Imported)'!$1:$5000,M4889,FALSE)</f>
        <v>0</v>
      </c>
      <c r="M4889" s="45">
        <f t="shared" si="230"/>
        <v>4889</v>
      </c>
      <c r="N4889" s="38">
        <f>HLOOKUP("Host",'vInfo (Imported)'!$1:$5000,M4889,FALSE)</f>
        <v>0</v>
      </c>
      <c r="R4889">
        <f>HLOOKUP("CPUs",'vInfo (Imported)'!$1:$5000,M4889,FALSE)</f>
        <v>0</v>
      </c>
      <c r="S4889">
        <f>HLOOKUP("Memory",'vInfo (Imported)'!$1:$5000,M4889,FALSE)</f>
        <v>0</v>
      </c>
      <c r="T4889">
        <f>HLOOKUP("Provisioned MiB",'vInfo (Imported)'!$1:$5000,M4889,FALSE)</f>
        <v>0</v>
      </c>
      <c r="U4889">
        <f t="shared" si="229"/>
        <v>0</v>
      </c>
      <c r="V4889">
        <f>HLOOKUP("In Use MiB",'vInfo (Imported)'!$1:$5000,M4889,FALSE)</f>
        <v>0</v>
      </c>
    </row>
    <row r="4890" spans="1:22" ht="13" x14ac:dyDescent="0.3">
      <c r="A4890" s="46">
        <f>'vHosts (Imported)'!A4890</f>
        <v>0</v>
      </c>
      <c r="B4890" s="51">
        <f t="shared" si="228"/>
        <v>4968</v>
      </c>
      <c r="C4890" s="49">
        <f>HLOOKUP("# Cores",'vHosts (Imported)'!$1:$5000,M4890,FALSE)</f>
        <v>0</v>
      </c>
      <c r="D4890" s="52">
        <f>HLOOKUP("# Memory",'vHosts (Imported)'!$1:$5000,M4890,FALSE)</f>
        <v>0</v>
      </c>
      <c r="M4890" s="45">
        <f t="shared" si="230"/>
        <v>4890</v>
      </c>
      <c r="N4890" s="38">
        <f>HLOOKUP("Host",'vInfo (Imported)'!$1:$5000,M4890,FALSE)</f>
        <v>0</v>
      </c>
      <c r="R4890">
        <f>HLOOKUP("CPUs",'vInfo (Imported)'!$1:$5000,M4890,FALSE)</f>
        <v>0</v>
      </c>
      <c r="S4890">
        <f>HLOOKUP("Memory",'vInfo (Imported)'!$1:$5000,M4890,FALSE)</f>
        <v>0</v>
      </c>
      <c r="T4890">
        <f>HLOOKUP("Provisioned MiB",'vInfo (Imported)'!$1:$5000,M4890,FALSE)</f>
        <v>0</v>
      </c>
      <c r="U4890">
        <f t="shared" si="229"/>
        <v>0</v>
      </c>
      <c r="V4890">
        <f>HLOOKUP("In Use MiB",'vInfo (Imported)'!$1:$5000,M4890,FALSE)</f>
        <v>0</v>
      </c>
    </row>
    <row r="4891" spans="1:22" ht="13" x14ac:dyDescent="0.3">
      <c r="A4891" s="46">
        <f>'vHosts (Imported)'!A4891</f>
        <v>0</v>
      </c>
      <c r="B4891" s="51">
        <f t="shared" si="228"/>
        <v>4968</v>
      </c>
      <c r="C4891" s="49">
        <f>HLOOKUP("# Cores",'vHosts (Imported)'!$1:$5000,M4891,FALSE)</f>
        <v>0</v>
      </c>
      <c r="D4891" s="52">
        <f>HLOOKUP("# Memory",'vHosts (Imported)'!$1:$5000,M4891,FALSE)</f>
        <v>0</v>
      </c>
      <c r="M4891" s="45">
        <f t="shared" si="230"/>
        <v>4891</v>
      </c>
      <c r="N4891" s="38">
        <f>HLOOKUP("Host",'vInfo (Imported)'!$1:$5000,M4891,FALSE)</f>
        <v>0</v>
      </c>
      <c r="R4891">
        <f>HLOOKUP("CPUs",'vInfo (Imported)'!$1:$5000,M4891,FALSE)</f>
        <v>0</v>
      </c>
      <c r="S4891">
        <f>HLOOKUP("Memory",'vInfo (Imported)'!$1:$5000,M4891,FALSE)</f>
        <v>0</v>
      </c>
      <c r="T4891">
        <f>HLOOKUP("Provisioned MiB",'vInfo (Imported)'!$1:$5000,M4891,FALSE)</f>
        <v>0</v>
      </c>
      <c r="U4891">
        <f t="shared" si="229"/>
        <v>0</v>
      </c>
      <c r="V4891">
        <f>HLOOKUP("In Use MiB",'vInfo (Imported)'!$1:$5000,M4891,FALSE)</f>
        <v>0</v>
      </c>
    </row>
    <row r="4892" spans="1:22" ht="13" x14ac:dyDescent="0.3">
      <c r="A4892" s="46">
        <f>'vHosts (Imported)'!A4892</f>
        <v>0</v>
      </c>
      <c r="B4892" s="51">
        <f t="shared" si="228"/>
        <v>4968</v>
      </c>
      <c r="C4892" s="49">
        <f>HLOOKUP("# Cores",'vHosts (Imported)'!$1:$5000,M4892,FALSE)</f>
        <v>0</v>
      </c>
      <c r="D4892" s="52">
        <f>HLOOKUP("# Memory",'vHosts (Imported)'!$1:$5000,M4892,FALSE)</f>
        <v>0</v>
      </c>
      <c r="M4892" s="45">
        <f t="shared" si="230"/>
        <v>4892</v>
      </c>
      <c r="N4892" s="38">
        <f>HLOOKUP("Host",'vInfo (Imported)'!$1:$5000,M4892,FALSE)</f>
        <v>0</v>
      </c>
      <c r="R4892">
        <f>HLOOKUP("CPUs",'vInfo (Imported)'!$1:$5000,M4892,FALSE)</f>
        <v>0</v>
      </c>
      <c r="S4892">
        <f>HLOOKUP("Memory",'vInfo (Imported)'!$1:$5000,M4892,FALSE)</f>
        <v>0</v>
      </c>
      <c r="T4892">
        <f>HLOOKUP("Provisioned MiB",'vInfo (Imported)'!$1:$5000,M4892,FALSE)</f>
        <v>0</v>
      </c>
      <c r="U4892">
        <f t="shared" si="229"/>
        <v>0</v>
      </c>
      <c r="V4892">
        <f>HLOOKUP("In Use MiB",'vInfo (Imported)'!$1:$5000,M4892,FALSE)</f>
        <v>0</v>
      </c>
    </row>
    <row r="4893" spans="1:22" ht="13" x14ac:dyDescent="0.3">
      <c r="A4893" s="46">
        <f>'vHosts (Imported)'!A4893</f>
        <v>0</v>
      </c>
      <c r="B4893" s="51">
        <f t="shared" si="228"/>
        <v>4968</v>
      </c>
      <c r="C4893" s="49">
        <f>HLOOKUP("# Cores",'vHosts (Imported)'!$1:$5000,M4893,FALSE)</f>
        <v>0</v>
      </c>
      <c r="D4893" s="52">
        <f>HLOOKUP("# Memory",'vHosts (Imported)'!$1:$5000,M4893,FALSE)</f>
        <v>0</v>
      </c>
      <c r="M4893" s="45">
        <f t="shared" si="230"/>
        <v>4893</v>
      </c>
      <c r="N4893" s="38">
        <f>HLOOKUP("Host",'vInfo (Imported)'!$1:$5000,M4893,FALSE)</f>
        <v>0</v>
      </c>
      <c r="R4893">
        <f>HLOOKUP("CPUs",'vInfo (Imported)'!$1:$5000,M4893,FALSE)</f>
        <v>0</v>
      </c>
      <c r="S4893">
        <f>HLOOKUP("Memory",'vInfo (Imported)'!$1:$5000,M4893,FALSE)</f>
        <v>0</v>
      </c>
      <c r="T4893">
        <f>HLOOKUP("Provisioned MiB",'vInfo (Imported)'!$1:$5000,M4893,FALSE)</f>
        <v>0</v>
      </c>
      <c r="U4893">
        <f t="shared" si="229"/>
        <v>0</v>
      </c>
      <c r="V4893">
        <f>HLOOKUP("In Use MiB",'vInfo (Imported)'!$1:$5000,M4893,FALSE)</f>
        <v>0</v>
      </c>
    </row>
    <row r="4894" spans="1:22" ht="13" x14ac:dyDescent="0.3">
      <c r="A4894" s="46">
        <f>'vHosts (Imported)'!A4894</f>
        <v>0</v>
      </c>
      <c r="B4894" s="51">
        <f t="shared" si="228"/>
        <v>4968</v>
      </c>
      <c r="C4894" s="49">
        <f>HLOOKUP("# Cores",'vHosts (Imported)'!$1:$5000,M4894,FALSE)</f>
        <v>0</v>
      </c>
      <c r="D4894" s="52">
        <f>HLOOKUP("# Memory",'vHosts (Imported)'!$1:$5000,M4894,FALSE)</f>
        <v>0</v>
      </c>
      <c r="M4894" s="45">
        <f t="shared" si="230"/>
        <v>4894</v>
      </c>
      <c r="N4894" s="38">
        <f>HLOOKUP("Host",'vInfo (Imported)'!$1:$5000,M4894,FALSE)</f>
        <v>0</v>
      </c>
      <c r="R4894">
        <f>HLOOKUP("CPUs",'vInfo (Imported)'!$1:$5000,M4894,FALSE)</f>
        <v>0</v>
      </c>
      <c r="S4894">
        <f>HLOOKUP("Memory",'vInfo (Imported)'!$1:$5000,M4894,FALSE)</f>
        <v>0</v>
      </c>
      <c r="T4894">
        <f>HLOOKUP("Provisioned MiB",'vInfo (Imported)'!$1:$5000,M4894,FALSE)</f>
        <v>0</v>
      </c>
      <c r="U4894">
        <f t="shared" si="229"/>
        <v>0</v>
      </c>
      <c r="V4894">
        <f>HLOOKUP("In Use MiB",'vInfo (Imported)'!$1:$5000,M4894,FALSE)</f>
        <v>0</v>
      </c>
    </row>
    <row r="4895" spans="1:22" ht="13" x14ac:dyDescent="0.3">
      <c r="A4895" s="46">
        <f>'vHosts (Imported)'!A4895</f>
        <v>0</v>
      </c>
      <c r="B4895" s="51">
        <f t="shared" si="228"/>
        <v>4968</v>
      </c>
      <c r="C4895" s="49">
        <f>HLOOKUP("# Cores",'vHosts (Imported)'!$1:$5000,M4895,FALSE)</f>
        <v>0</v>
      </c>
      <c r="D4895" s="52">
        <f>HLOOKUP("# Memory",'vHosts (Imported)'!$1:$5000,M4895,FALSE)</f>
        <v>0</v>
      </c>
      <c r="M4895" s="45">
        <f t="shared" si="230"/>
        <v>4895</v>
      </c>
      <c r="N4895" s="38">
        <f>HLOOKUP("Host",'vInfo (Imported)'!$1:$5000,M4895,FALSE)</f>
        <v>0</v>
      </c>
      <c r="R4895">
        <f>HLOOKUP("CPUs",'vInfo (Imported)'!$1:$5000,M4895,FALSE)</f>
        <v>0</v>
      </c>
      <c r="S4895">
        <f>HLOOKUP("Memory",'vInfo (Imported)'!$1:$5000,M4895,FALSE)</f>
        <v>0</v>
      </c>
      <c r="T4895">
        <f>HLOOKUP("Provisioned MiB",'vInfo (Imported)'!$1:$5000,M4895,FALSE)</f>
        <v>0</v>
      </c>
      <c r="U4895">
        <f t="shared" si="229"/>
        <v>0</v>
      </c>
      <c r="V4895">
        <f>HLOOKUP("In Use MiB",'vInfo (Imported)'!$1:$5000,M4895,FALSE)</f>
        <v>0</v>
      </c>
    </row>
    <row r="4896" spans="1:22" ht="13" x14ac:dyDescent="0.3">
      <c r="A4896" s="46">
        <f>'vHosts (Imported)'!A4896</f>
        <v>0</v>
      </c>
      <c r="B4896" s="51">
        <f t="shared" si="228"/>
        <v>4968</v>
      </c>
      <c r="C4896" s="49">
        <f>HLOOKUP("# Cores",'vHosts (Imported)'!$1:$5000,M4896,FALSE)</f>
        <v>0</v>
      </c>
      <c r="D4896" s="52">
        <f>HLOOKUP("# Memory",'vHosts (Imported)'!$1:$5000,M4896,FALSE)</f>
        <v>0</v>
      </c>
      <c r="M4896" s="45">
        <f t="shared" si="230"/>
        <v>4896</v>
      </c>
      <c r="N4896" s="38">
        <f>HLOOKUP("Host",'vInfo (Imported)'!$1:$5000,M4896,FALSE)</f>
        <v>0</v>
      </c>
      <c r="R4896">
        <f>HLOOKUP("CPUs",'vInfo (Imported)'!$1:$5000,M4896,FALSE)</f>
        <v>0</v>
      </c>
      <c r="S4896">
        <f>HLOOKUP("Memory",'vInfo (Imported)'!$1:$5000,M4896,FALSE)</f>
        <v>0</v>
      </c>
      <c r="T4896">
        <f>HLOOKUP("Provisioned MiB",'vInfo (Imported)'!$1:$5000,M4896,FALSE)</f>
        <v>0</v>
      </c>
      <c r="U4896">
        <f t="shared" si="229"/>
        <v>0</v>
      </c>
      <c r="V4896">
        <f>HLOOKUP("In Use MiB",'vInfo (Imported)'!$1:$5000,M4896,FALSE)</f>
        <v>0</v>
      </c>
    </row>
    <row r="4897" spans="1:22" ht="13" x14ac:dyDescent="0.3">
      <c r="A4897" s="46">
        <f>'vHosts (Imported)'!A4897</f>
        <v>0</v>
      </c>
      <c r="B4897" s="51">
        <f t="shared" si="228"/>
        <v>4968</v>
      </c>
      <c r="C4897" s="49">
        <f>HLOOKUP("# Cores",'vHosts (Imported)'!$1:$5000,M4897,FALSE)</f>
        <v>0</v>
      </c>
      <c r="D4897" s="52">
        <f>HLOOKUP("# Memory",'vHosts (Imported)'!$1:$5000,M4897,FALSE)</f>
        <v>0</v>
      </c>
      <c r="M4897" s="45">
        <f t="shared" si="230"/>
        <v>4897</v>
      </c>
      <c r="N4897" s="38">
        <f>HLOOKUP("Host",'vInfo (Imported)'!$1:$5000,M4897,FALSE)</f>
        <v>0</v>
      </c>
      <c r="R4897">
        <f>HLOOKUP("CPUs",'vInfo (Imported)'!$1:$5000,M4897,FALSE)</f>
        <v>0</v>
      </c>
      <c r="S4897">
        <f>HLOOKUP("Memory",'vInfo (Imported)'!$1:$5000,M4897,FALSE)</f>
        <v>0</v>
      </c>
      <c r="T4897">
        <f>HLOOKUP("Provisioned MiB",'vInfo (Imported)'!$1:$5000,M4897,FALSE)</f>
        <v>0</v>
      </c>
      <c r="U4897">
        <f t="shared" si="229"/>
        <v>0</v>
      </c>
      <c r="V4897">
        <f>HLOOKUP("In Use MiB",'vInfo (Imported)'!$1:$5000,M4897,FALSE)</f>
        <v>0</v>
      </c>
    </row>
    <row r="4898" spans="1:22" ht="13" x14ac:dyDescent="0.3">
      <c r="A4898" s="46">
        <f>'vHosts (Imported)'!A4898</f>
        <v>0</v>
      </c>
      <c r="B4898" s="51">
        <f t="shared" si="228"/>
        <v>4968</v>
      </c>
      <c r="C4898" s="49">
        <f>HLOOKUP("# Cores",'vHosts (Imported)'!$1:$5000,M4898,FALSE)</f>
        <v>0</v>
      </c>
      <c r="D4898" s="52">
        <f>HLOOKUP("# Memory",'vHosts (Imported)'!$1:$5000,M4898,FALSE)</f>
        <v>0</v>
      </c>
      <c r="M4898" s="45">
        <f t="shared" si="230"/>
        <v>4898</v>
      </c>
      <c r="N4898" s="38">
        <f>HLOOKUP("Host",'vInfo (Imported)'!$1:$5000,M4898,FALSE)</f>
        <v>0</v>
      </c>
      <c r="R4898">
        <f>HLOOKUP("CPUs",'vInfo (Imported)'!$1:$5000,M4898,FALSE)</f>
        <v>0</v>
      </c>
      <c r="S4898">
        <f>HLOOKUP("Memory",'vInfo (Imported)'!$1:$5000,M4898,FALSE)</f>
        <v>0</v>
      </c>
      <c r="T4898">
        <f>HLOOKUP("Provisioned MiB",'vInfo (Imported)'!$1:$5000,M4898,FALSE)</f>
        <v>0</v>
      </c>
      <c r="U4898">
        <f t="shared" si="229"/>
        <v>0</v>
      </c>
      <c r="V4898">
        <f>HLOOKUP("In Use MiB",'vInfo (Imported)'!$1:$5000,M4898,FALSE)</f>
        <v>0</v>
      </c>
    </row>
    <row r="4899" spans="1:22" ht="13" x14ac:dyDescent="0.3">
      <c r="A4899" s="46">
        <f>'vHosts (Imported)'!A4899</f>
        <v>0</v>
      </c>
      <c r="B4899" s="51">
        <f t="shared" si="228"/>
        <v>4968</v>
      </c>
      <c r="C4899" s="49">
        <f>HLOOKUP("# Cores",'vHosts (Imported)'!$1:$5000,M4899,FALSE)</f>
        <v>0</v>
      </c>
      <c r="D4899" s="52">
        <f>HLOOKUP("# Memory",'vHosts (Imported)'!$1:$5000,M4899,FALSE)</f>
        <v>0</v>
      </c>
      <c r="M4899" s="45">
        <f t="shared" si="230"/>
        <v>4899</v>
      </c>
      <c r="N4899" s="38">
        <f>HLOOKUP("Host",'vInfo (Imported)'!$1:$5000,M4899,FALSE)</f>
        <v>0</v>
      </c>
      <c r="R4899">
        <f>HLOOKUP("CPUs",'vInfo (Imported)'!$1:$5000,M4899,FALSE)</f>
        <v>0</v>
      </c>
      <c r="S4899">
        <f>HLOOKUP("Memory",'vInfo (Imported)'!$1:$5000,M4899,FALSE)</f>
        <v>0</v>
      </c>
      <c r="T4899">
        <f>HLOOKUP("Provisioned MiB",'vInfo (Imported)'!$1:$5000,M4899,FALSE)</f>
        <v>0</v>
      </c>
      <c r="U4899">
        <f t="shared" si="229"/>
        <v>0</v>
      </c>
      <c r="V4899">
        <f>HLOOKUP("In Use MiB",'vInfo (Imported)'!$1:$5000,M4899,FALSE)</f>
        <v>0</v>
      </c>
    </row>
    <row r="4900" spans="1:22" ht="13" x14ac:dyDescent="0.3">
      <c r="A4900" s="46">
        <f>'vHosts (Imported)'!A4900</f>
        <v>0</v>
      </c>
      <c r="B4900" s="51">
        <f t="shared" si="228"/>
        <v>4968</v>
      </c>
      <c r="C4900" s="49">
        <f>HLOOKUP("# Cores",'vHosts (Imported)'!$1:$5000,M4900,FALSE)</f>
        <v>0</v>
      </c>
      <c r="D4900" s="52">
        <f>HLOOKUP("# Memory",'vHosts (Imported)'!$1:$5000,M4900,FALSE)</f>
        <v>0</v>
      </c>
      <c r="M4900" s="45">
        <f t="shared" si="230"/>
        <v>4900</v>
      </c>
      <c r="N4900" s="38">
        <f>HLOOKUP("Host",'vInfo (Imported)'!$1:$5000,M4900,FALSE)</f>
        <v>0</v>
      </c>
      <c r="R4900">
        <f>HLOOKUP("CPUs",'vInfo (Imported)'!$1:$5000,M4900,FALSE)</f>
        <v>0</v>
      </c>
      <c r="S4900">
        <f>HLOOKUP("Memory",'vInfo (Imported)'!$1:$5000,M4900,FALSE)</f>
        <v>0</v>
      </c>
      <c r="T4900">
        <f>HLOOKUP("Provisioned MiB",'vInfo (Imported)'!$1:$5000,M4900,FALSE)</f>
        <v>0</v>
      </c>
      <c r="U4900">
        <f t="shared" si="229"/>
        <v>0</v>
      </c>
      <c r="V4900">
        <f>HLOOKUP("In Use MiB",'vInfo (Imported)'!$1:$5000,M4900,FALSE)</f>
        <v>0</v>
      </c>
    </row>
    <row r="4901" spans="1:22" ht="13" x14ac:dyDescent="0.3">
      <c r="A4901" s="46">
        <f>'vHosts (Imported)'!A4901</f>
        <v>0</v>
      </c>
      <c r="B4901" s="51">
        <f t="shared" si="228"/>
        <v>4968</v>
      </c>
      <c r="C4901" s="49">
        <f>HLOOKUP("# Cores",'vHosts (Imported)'!$1:$5000,M4901,FALSE)</f>
        <v>0</v>
      </c>
      <c r="D4901" s="52">
        <f>HLOOKUP("# Memory",'vHosts (Imported)'!$1:$5000,M4901,FALSE)</f>
        <v>0</v>
      </c>
      <c r="M4901" s="45">
        <f t="shared" si="230"/>
        <v>4901</v>
      </c>
      <c r="N4901" s="38">
        <f>HLOOKUP("Host",'vInfo (Imported)'!$1:$5000,M4901,FALSE)</f>
        <v>0</v>
      </c>
      <c r="R4901">
        <f>HLOOKUP("CPUs",'vInfo (Imported)'!$1:$5000,M4901,FALSE)</f>
        <v>0</v>
      </c>
      <c r="S4901">
        <f>HLOOKUP("Memory",'vInfo (Imported)'!$1:$5000,M4901,FALSE)</f>
        <v>0</v>
      </c>
      <c r="T4901">
        <f>HLOOKUP("Provisioned MiB",'vInfo (Imported)'!$1:$5000,M4901,FALSE)</f>
        <v>0</v>
      </c>
      <c r="U4901">
        <f t="shared" si="229"/>
        <v>0</v>
      </c>
      <c r="V4901">
        <f>HLOOKUP("In Use MiB",'vInfo (Imported)'!$1:$5000,M4901,FALSE)</f>
        <v>0</v>
      </c>
    </row>
    <row r="4902" spans="1:22" ht="13" x14ac:dyDescent="0.3">
      <c r="A4902" s="46">
        <f>'vHosts (Imported)'!A4902</f>
        <v>0</v>
      </c>
      <c r="B4902" s="51">
        <f t="shared" si="228"/>
        <v>4968</v>
      </c>
      <c r="C4902" s="49">
        <f>HLOOKUP("# Cores",'vHosts (Imported)'!$1:$5000,M4902,FALSE)</f>
        <v>0</v>
      </c>
      <c r="D4902" s="52">
        <f>HLOOKUP("# Memory",'vHosts (Imported)'!$1:$5000,M4902,FALSE)</f>
        <v>0</v>
      </c>
      <c r="M4902" s="45">
        <f t="shared" si="230"/>
        <v>4902</v>
      </c>
      <c r="N4902" s="38">
        <f>HLOOKUP("Host",'vInfo (Imported)'!$1:$5000,M4902,FALSE)</f>
        <v>0</v>
      </c>
      <c r="R4902">
        <f>HLOOKUP("CPUs",'vInfo (Imported)'!$1:$5000,M4902,FALSE)</f>
        <v>0</v>
      </c>
      <c r="S4902">
        <f>HLOOKUP("Memory",'vInfo (Imported)'!$1:$5000,M4902,FALSE)</f>
        <v>0</v>
      </c>
      <c r="T4902">
        <f>HLOOKUP("Provisioned MiB",'vInfo (Imported)'!$1:$5000,M4902,FALSE)</f>
        <v>0</v>
      </c>
      <c r="U4902">
        <f t="shared" si="229"/>
        <v>0</v>
      </c>
      <c r="V4902">
        <f>HLOOKUP("In Use MiB",'vInfo (Imported)'!$1:$5000,M4902,FALSE)</f>
        <v>0</v>
      </c>
    </row>
    <row r="4903" spans="1:22" ht="13" x14ac:dyDescent="0.3">
      <c r="A4903" s="46">
        <f>'vHosts (Imported)'!A4903</f>
        <v>0</v>
      </c>
      <c r="B4903" s="51">
        <f t="shared" si="228"/>
        <v>4968</v>
      </c>
      <c r="C4903" s="49">
        <f>HLOOKUP("# Cores",'vHosts (Imported)'!$1:$5000,M4903,FALSE)</f>
        <v>0</v>
      </c>
      <c r="D4903" s="52">
        <f>HLOOKUP("# Memory",'vHosts (Imported)'!$1:$5000,M4903,FALSE)</f>
        <v>0</v>
      </c>
      <c r="M4903" s="45">
        <f t="shared" si="230"/>
        <v>4903</v>
      </c>
      <c r="N4903" s="38">
        <f>HLOOKUP("Host",'vInfo (Imported)'!$1:$5000,M4903,FALSE)</f>
        <v>0</v>
      </c>
      <c r="R4903">
        <f>HLOOKUP("CPUs",'vInfo (Imported)'!$1:$5000,M4903,FALSE)</f>
        <v>0</v>
      </c>
      <c r="S4903">
        <f>HLOOKUP("Memory",'vInfo (Imported)'!$1:$5000,M4903,FALSE)</f>
        <v>0</v>
      </c>
      <c r="T4903">
        <f>HLOOKUP("Provisioned MiB",'vInfo (Imported)'!$1:$5000,M4903,FALSE)</f>
        <v>0</v>
      </c>
      <c r="U4903">
        <f t="shared" si="229"/>
        <v>0</v>
      </c>
      <c r="V4903">
        <f>HLOOKUP("In Use MiB",'vInfo (Imported)'!$1:$5000,M4903,FALSE)</f>
        <v>0</v>
      </c>
    </row>
    <row r="4904" spans="1:22" ht="13" x14ac:dyDescent="0.3">
      <c r="A4904" s="46">
        <f>'vHosts (Imported)'!A4904</f>
        <v>0</v>
      </c>
      <c r="B4904" s="51">
        <f t="shared" ref="B4904:B4967" si="231">COUNTIF(N:N,A4904)</f>
        <v>4968</v>
      </c>
      <c r="C4904" s="49">
        <f>HLOOKUP("# Cores",'vHosts (Imported)'!$1:$5000,M4904,FALSE)</f>
        <v>0</v>
      </c>
      <c r="D4904" s="52">
        <f>HLOOKUP("# Memory",'vHosts (Imported)'!$1:$5000,M4904,FALSE)</f>
        <v>0</v>
      </c>
      <c r="M4904" s="45">
        <f t="shared" si="230"/>
        <v>4904</v>
      </c>
      <c r="N4904" s="38">
        <f>HLOOKUP("Host",'vInfo (Imported)'!$1:$5000,M4904,FALSE)</f>
        <v>0</v>
      </c>
      <c r="R4904">
        <f>HLOOKUP("CPUs",'vInfo (Imported)'!$1:$5000,M4904,FALSE)</f>
        <v>0</v>
      </c>
      <c r="S4904">
        <f>HLOOKUP("Memory",'vInfo (Imported)'!$1:$5000,M4904,FALSE)</f>
        <v>0</v>
      </c>
      <c r="T4904">
        <f>HLOOKUP("Provisioned MiB",'vInfo (Imported)'!$1:$5000,M4904,FALSE)</f>
        <v>0</v>
      </c>
      <c r="U4904">
        <f t="shared" si="229"/>
        <v>0</v>
      </c>
      <c r="V4904">
        <f>HLOOKUP("In Use MiB",'vInfo (Imported)'!$1:$5000,M4904,FALSE)</f>
        <v>0</v>
      </c>
    </row>
    <row r="4905" spans="1:22" ht="13" x14ac:dyDescent="0.3">
      <c r="A4905" s="46">
        <f>'vHosts (Imported)'!A4905</f>
        <v>0</v>
      </c>
      <c r="B4905" s="51">
        <f t="shared" si="231"/>
        <v>4968</v>
      </c>
      <c r="C4905" s="49">
        <f>HLOOKUP("# Cores",'vHosts (Imported)'!$1:$5000,M4905,FALSE)</f>
        <v>0</v>
      </c>
      <c r="D4905" s="52">
        <f>HLOOKUP("# Memory",'vHosts (Imported)'!$1:$5000,M4905,FALSE)</f>
        <v>0</v>
      </c>
      <c r="M4905" s="45">
        <f t="shared" si="230"/>
        <v>4905</v>
      </c>
      <c r="N4905" s="38">
        <f>HLOOKUP("Host",'vInfo (Imported)'!$1:$5000,M4905,FALSE)</f>
        <v>0</v>
      </c>
      <c r="R4905">
        <f>HLOOKUP("CPUs",'vInfo (Imported)'!$1:$5000,M4905,FALSE)</f>
        <v>0</v>
      </c>
      <c r="S4905">
        <f>HLOOKUP("Memory",'vInfo (Imported)'!$1:$5000,M4905,FALSE)</f>
        <v>0</v>
      </c>
      <c r="T4905">
        <f>HLOOKUP("Provisioned MiB",'vInfo (Imported)'!$1:$5000,M4905,FALSE)</f>
        <v>0</v>
      </c>
      <c r="U4905">
        <f t="shared" si="229"/>
        <v>0</v>
      </c>
      <c r="V4905">
        <f>HLOOKUP("In Use MiB",'vInfo (Imported)'!$1:$5000,M4905,FALSE)</f>
        <v>0</v>
      </c>
    </row>
    <row r="4906" spans="1:22" ht="13" x14ac:dyDescent="0.3">
      <c r="A4906" s="46">
        <f>'vHosts (Imported)'!A4906</f>
        <v>0</v>
      </c>
      <c r="B4906" s="51">
        <f t="shared" si="231"/>
        <v>4968</v>
      </c>
      <c r="C4906" s="49">
        <f>HLOOKUP("# Cores",'vHosts (Imported)'!$1:$5000,M4906,FALSE)</f>
        <v>0</v>
      </c>
      <c r="D4906" s="52">
        <f>HLOOKUP("# Memory",'vHosts (Imported)'!$1:$5000,M4906,FALSE)</f>
        <v>0</v>
      </c>
      <c r="M4906" s="45">
        <f t="shared" si="230"/>
        <v>4906</v>
      </c>
      <c r="N4906" s="38">
        <f>HLOOKUP("Host",'vInfo (Imported)'!$1:$5000,M4906,FALSE)</f>
        <v>0</v>
      </c>
      <c r="R4906">
        <f>HLOOKUP("CPUs",'vInfo (Imported)'!$1:$5000,M4906,FALSE)</f>
        <v>0</v>
      </c>
      <c r="S4906">
        <f>HLOOKUP("Memory",'vInfo (Imported)'!$1:$5000,M4906,FALSE)</f>
        <v>0</v>
      </c>
      <c r="T4906">
        <f>HLOOKUP("Provisioned MiB",'vInfo (Imported)'!$1:$5000,M4906,FALSE)</f>
        <v>0</v>
      </c>
      <c r="U4906">
        <f t="shared" si="229"/>
        <v>0</v>
      </c>
      <c r="V4906">
        <f>HLOOKUP("In Use MiB",'vInfo (Imported)'!$1:$5000,M4906,FALSE)</f>
        <v>0</v>
      </c>
    </row>
    <row r="4907" spans="1:22" ht="13" x14ac:dyDescent="0.3">
      <c r="A4907" s="46">
        <f>'vHosts (Imported)'!A4907</f>
        <v>0</v>
      </c>
      <c r="B4907" s="51">
        <f t="shared" si="231"/>
        <v>4968</v>
      </c>
      <c r="C4907" s="49">
        <f>HLOOKUP("# Cores",'vHosts (Imported)'!$1:$5000,M4907,FALSE)</f>
        <v>0</v>
      </c>
      <c r="D4907" s="52">
        <f>HLOOKUP("# Memory",'vHosts (Imported)'!$1:$5000,M4907,FALSE)</f>
        <v>0</v>
      </c>
      <c r="M4907" s="45">
        <f t="shared" si="230"/>
        <v>4907</v>
      </c>
      <c r="N4907" s="38">
        <f>HLOOKUP("Host",'vInfo (Imported)'!$1:$5000,M4907,FALSE)</f>
        <v>0</v>
      </c>
      <c r="R4907">
        <f>HLOOKUP("CPUs",'vInfo (Imported)'!$1:$5000,M4907,FALSE)</f>
        <v>0</v>
      </c>
      <c r="S4907">
        <f>HLOOKUP("Memory",'vInfo (Imported)'!$1:$5000,M4907,FALSE)</f>
        <v>0</v>
      </c>
      <c r="T4907">
        <f>HLOOKUP("Provisioned MiB",'vInfo (Imported)'!$1:$5000,M4907,FALSE)</f>
        <v>0</v>
      </c>
      <c r="U4907">
        <f t="shared" si="229"/>
        <v>0</v>
      </c>
      <c r="V4907">
        <f>HLOOKUP("In Use MiB",'vInfo (Imported)'!$1:$5000,M4907,FALSE)</f>
        <v>0</v>
      </c>
    </row>
    <row r="4908" spans="1:22" ht="13" x14ac:dyDescent="0.3">
      <c r="A4908" s="46">
        <f>'vHosts (Imported)'!A4908</f>
        <v>0</v>
      </c>
      <c r="B4908" s="51">
        <f t="shared" si="231"/>
        <v>4968</v>
      </c>
      <c r="C4908" s="49">
        <f>HLOOKUP("# Cores",'vHosts (Imported)'!$1:$5000,M4908,FALSE)</f>
        <v>0</v>
      </c>
      <c r="D4908" s="52">
        <f>HLOOKUP("# Memory",'vHosts (Imported)'!$1:$5000,M4908,FALSE)</f>
        <v>0</v>
      </c>
      <c r="M4908" s="45">
        <f t="shared" si="230"/>
        <v>4908</v>
      </c>
      <c r="N4908" s="38">
        <f>HLOOKUP("Host",'vInfo (Imported)'!$1:$5000,M4908,FALSE)</f>
        <v>0</v>
      </c>
      <c r="R4908">
        <f>HLOOKUP("CPUs",'vInfo (Imported)'!$1:$5000,M4908,FALSE)</f>
        <v>0</v>
      </c>
      <c r="S4908">
        <f>HLOOKUP("Memory",'vInfo (Imported)'!$1:$5000,M4908,FALSE)</f>
        <v>0</v>
      </c>
      <c r="T4908">
        <f>HLOOKUP("Provisioned MiB",'vInfo (Imported)'!$1:$5000,M4908,FALSE)</f>
        <v>0</v>
      </c>
      <c r="U4908">
        <f t="shared" si="229"/>
        <v>0</v>
      </c>
      <c r="V4908">
        <f>HLOOKUP("In Use MiB",'vInfo (Imported)'!$1:$5000,M4908,FALSE)</f>
        <v>0</v>
      </c>
    </row>
    <row r="4909" spans="1:22" ht="13" x14ac:dyDescent="0.3">
      <c r="A4909" s="46">
        <f>'vHosts (Imported)'!A4909</f>
        <v>0</v>
      </c>
      <c r="B4909" s="51">
        <f t="shared" si="231"/>
        <v>4968</v>
      </c>
      <c r="C4909" s="49">
        <f>HLOOKUP("# Cores",'vHosts (Imported)'!$1:$5000,M4909,FALSE)</f>
        <v>0</v>
      </c>
      <c r="D4909" s="52">
        <f>HLOOKUP("# Memory",'vHosts (Imported)'!$1:$5000,M4909,FALSE)</f>
        <v>0</v>
      </c>
      <c r="M4909" s="45">
        <f t="shared" si="230"/>
        <v>4909</v>
      </c>
      <c r="N4909" s="38">
        <f>HLOOKUP("Host",'vInfo (Imported)'!$1:$5000,M4909,FALSE)</f>
        <v>0</v>
      </c>
      <c r="R4909">
        <f>HLOOKUP("CPUs",'vInfo (Imported)'!$1:$5000,M4909,FALSE)</f>
        <v>0</v>
      </c>
      <c r="S4909">
        <f>HLOOKUP("Memory",'vInfo (Imported)'!$1:$5000,M4909,FALSE)</f>
        <v>0</v>
      </c>
      <c r="T4909">
        <f>HLOOKUP("Provisioned MiB",'vInfo (Imported)'!$1:$5000,M4909,FALSE)</f>
        <v>0</v>
      </c>
      <c r="U4909">
        <f t="shared" si="229"/>
        <v>0</v>
      </c>
      <c r="V4909">
        <f>HLOOKUP("In Use MiB",'vInfo (Imported)'!$1:$5000,M4909,FALSE)</f>
        <v>0</v>
      </c>
    </row>
    <row r="4910" spans="1:22" ht="13" x14ac:dyDescent="0.3">
      <c r="A4910" s="46">
        <f>'vHosts (Imported)'!A4910</f>
        <v>0</v>
      </c>
      <c r="B4910" s="51">
        <f t="shared" si="231"/>
        <v>4968</v>
      </c>
      <c r="C4910" s="49">
        <f>HLOOKUP("# Cores",'vHosts (Imported)'!$1:$5000,M4910,FALSE)</f>
        <v>0</v>
      </c>
      <c r="D4910" s="52">
        <f>HLOOKUP("# Memory",'vHosts (Imported)'!$1:$5000,M4910,FALSE)</f>
        <v>0</v>
      </c>
      <c r="M4910" s="45">
        <f t="shared" si="230"/>
        <v>4910</v>
      </c>
      <c r="N4910" s="38">
        <f>HLOOKUP("Host",'vInfo (Imported)'!$1:$5000,M4910,FALSE)</f>
        <v>0</v>
      </c>
      <c r="R4910">
        <f>HLOOKUP("CPUs",'vInfo (Imported)'!$1:$5000,M4910,FALSE)</f>
        <v>0</v>
      </c>
      <c r="S4910">
        <f>HLOOKUP("Memory",'vInfo (Imported)'!$1:$5000,M4910,FALSE)</f>
        <v>0</v>
      </c>
      <c r="T4910">
        <f>HLOOKUP("Provisioned MiB",'vInfo (Imported)'!$1:$5000,M4910,FALSE)</f>
        <v>0</v>
      </c>
      <c r="U4910">
        <f t="shared" si="229"/>
        <v>0</v>
      </c>
      <c r="V4910">
        <f>HLOOKUP("In Use MiB",'vInfo (Imported)'!$1:$5000,M4910,FALSE)</f>
        <v>0</v>
      </c>
    </row>
    <row r="4911" spans="1:22" ht="13" x14ac:dyDescent="0.3">
      <c r="A4911" s="46">
        <f>'vHosts (Imported)'!A4911</f>
        <v>0</v>
      </c>
      <c r="B4911" s="51">
        <f t="shared" si="231"/>
        <v>4968</v>
      </c>
      <c r="C4911" s="49">
        <f>HLOOKUP("# Cores",'vHosts (Imported)'!$1:$5000,M4911,FALSE)</f>
        <v>0</v>
      </c>
      <c r="D4911" s="52">
        <f>HLOOKUP("# Memory",'vHosts (Imported)'!$1:$5000,M4911,FALSE)</f>
        <v>0</v>
      </c>
      <c r="M4911" s="45">
        <f t="shared" si="230"/>
        <v>4911</v>
      </c>
      <c r="N4911" s="38">
        <f>HLOOKUP("Host",'vInfo (Imported)'!$1:$5000,M4911,FALSE)</f>
        <v>0</v>
      </c>
      <c r="R4911">
        <f>HLOOKUP("CPUs",'vInfo (Imported)'!$1:$5000,M4911,FALSE)</f>
        <v>0</v>
      </c>
      <c r="S4911">
        <f>HLOOKUP("Memory",'vInfo (Imported)'!$1:$5000,M4911,FALSE)</f>
        <v>0</v>
      </c>
      <c r="T4911">
        <f>HLOOKUP("Provisioned MiB",'vInfo (Imported)'!$1:$5000,M4911,FALSE)</f>
        <v>0</v>
      </c>
      <c r="U4911">
        <f t="shared" si="229"/>
        <v>0</v>
      </c>
      <c r="V4911">
        <f>HLOOKUP("In Use MiB",'vInfo (Imported)'!$1:$5000,M4911,FALSE)</f>
        <v>0</v>
      </c>
    </row>
    <row r="4912" spans="1:22" ht="13" x14ac:dyDescent="0.3">
      <c r="A4912" s="46">
        <f>'vHosts (Imported)'!A4912</f>
        <v>0</v>
      </c>
      <c r="B4912" s="51">
        <f t="shared" si="231"/>
        <v>4968</v>
      </c>
      <c r="C4912" s="49">
        <f>HLOOKUP("# Cores",'vHosts (Imported)'!$1:$5000,M4912,FALSE)</f>
        <v>0</v>
      </c>
      <c r="D4912" s="52">
        <f>HLOOKUP("# Memory",'vHosts (Imported)'!$1:$5000,M4912,FALSE)</f>
        <v>0</v>
      </c>
      <c r="M4912" s="45">
        <f t="shared" si="230"/>
        <v>4912</v>
      </c>
      <c r="N4912" s="38">
        <f>HLOOKUP("Host",'vInfo (Imported)'!$1:$5000,M4912,FALSE)</f>
        <v>0</v>
      </c>
      <c r="R4912">
        <f>HLOOKUP("CPUs",'vInfo (Imported)'!$1:$5000,M4912,FALSE)</f>
        <v>0</v>
      </c>
      <c r="S4912">
        <f>HLOOKUP("Memory",'vInfo (Imported)'!$1:$5000,M4912,FALSE)</f>
        <v>0</v>
      </c>
      <c r="T4912">
        <f>HLOOKUP("Provisioned MiB",'vInfo (Imported)'!$1:$5000,M4912,FALSE)</f>
        <v>0</v>
      </c>
      <c r="U4912">
        <f t="shared" si="229"/>
        <v>0</v>
      </c>
      <c r="V4912">
        <f>HLOOKUP("In Use MiB",'vInfo (Imported)'!$1:$5000,M4912,FALSE)</f>
        <v>0</v>
      </c>
    </row>
    <row r="4913" spans="1:22" ht="13" x14ac:dyDescent="0.3">
      <c r="A4913" s="46">
        <f>'vHosts (Imported)'!A4913</f>
        <v>0</v>
      </c>
      <c r="B4913" s="51">
        <f t="shared" si="231"/>
        <v>4968</v>
      </c>
      <c r="C4913" s="49">
        <f>HLOOKUP("# Cores",'vHosts (Imported)'!$1:$5000,M4913,FALSE)</f>
        <v>0</v>
      </c>
      <c r="D4913" s="52">
        <f>HLOOKUP("# Memory",'vHosts (Imported)'!$1:$5000,M4913,FALSE)</f>
        <v>0</v>
      </c>
      <c r="M4913" s="45">
        <f t="shared" si="230"/>
        <v>4913</v>
      </c>
      <c r="N4913" s="38">
        <f>HLOOKUP("Host",'vInfo (Imported)'!$1:$5000,M4913,FALSE)</f>
        <v>0</v>
      </c>
      <c r="R4913">
        <f>HLOOKUP("CPUs",'vInfo (Imported)'!$1:$5000,M4913,FALSE)</f>
        <v>0</v>
      </c>
      <c r="S4913">
        <f>HLOOKUP("Memory",'vInfo (Imported)'!$1:$5000,M4913,FALSE)</f>
        <v>0</v>
      </c>
      <c r="T4913">
        <f>HLOOKUP("Provisioned MiB",'vInfo (Imported)'!$1:$5000,M4913,FALSE)</f>
        <v>0</v>
      </c>
      <c r="U4913">
        <f t="shared" si="229"/>
        <v>0</v>
      </c>
      <c r="V4913">
        <f>HLOOKUP("In Use MiB",'vInfo (Imported)'!$1:$5000,M4913,FALSE)</f>
        <v>0</v>
      </c>
    </row>
    <row r="4914" spans="1:22" ht="13" x14ac:dyDescent="0.3">
      <c r="A4914" s="46">
        <f>'vHosts (Imported)'!A4914</f>
        <v>0</v>
      </c>
      <c r="B4914" s="51">
        <f t="shared" si="231"/>
        <v>4968</v>
      </c>
      <c r="C4914" s="49">
        <f>HLOOKUP("# Cores",'vHosts (Imported)'!$1:$5000,M4914,FALSE)</f>
        <v>0</v>
      </c>
      <c r="D4914" s="52">
        <f>HLOOKUP("# Memory",'vHosts (Imported)'!$1:$5000,M4914,FALSE)</f>
        <v>0</v>
      </c>
      <c r="M4914" s="45">
        <f t="shared" si="230"/>
        <v>4914</v>
      </c>
      <c r="N4914" s="38">
        <f>HLOOKUP("Host",'vInfo (Imported)'!$1:$5000,M4914,FALSE)</f>
        <v>0</v>
      </c>
      <c r="R4914">
        <f>HLOOKUP("CPUs",'vInfo (Imported)'!$1:$5000,M4914,FALSE)</f>
        <v>0</v>
      </c>
      <c r="S4914">
        <f>HLOOKUP("Memory",'vInfo (Imported)'!$1:$5000,M4914,FALSE)</f>
        <v>0</v>
      </c>
      <c r="T4914">
        <f>HLOOKUP("Provisioned MiB",'vInfo (Imported)'!$1:$5000,M4914,FALSE)</f>
        <v>0</v>
      </c>
      <c r="U4914">
        <f t="shared" si="229"/>
        <v>0</v>
      </c>
      <c r="V4914">
        <f>HLOOKUP("In Use MiB",'vInfo (Imported)'!$1:$5000,M4914,FALSE)</f>
        <v>0</v>
      </c>
    </row>
    <row r="4915" spans="1:22" ht="13" x14ac:dyDescent="0.3">
      <c r="A4915" s="46">
        <f>'vHosts (Imported)'!A4915</f>
        <v>0</v>
      </c>
      <c r="B4915" s="51">
        <f t="shared" si="231"/>
        <v>4968</v>
      </c>
      <c r="C4915" s="49">
        <f>HLOOKUP("# Cores",'vHosts (Imported)'!$1:$5000,M4915,FALSE)</f>
        <v>0</v>
      </c>
      <c r="D4915" s="52">
        <f>HLOOKUP("# Memory",'vHosts (Imported)'!$1:$5000,M4915,FALSE)</f>
        <v>0</v>
      </c>
      <c r="M4915" s="45">
        <f t="shared" si="230"/>
        <v>4915</v>
      </c>
      <c r="N4915" s="38">
        <f>HLOOKUP("Host",'vInfo (Imported)'!$1:$5000,M4915,FALSE)</f>
        <v>0</v>
      </c>
      <c r="R4915">
        <f>HLOOKUP("CPUs",'vInfo (Imported)'!$1:$5000,M4915,FALSE)</f>
        <v>0</v>
      </c>
      <c r="S4915">
        <f>HLOOKUP("Memory",'vInfo (Imported)'!$1:$5000,M4915,FALSE)</f>
        <v>0</v>
      </c>
      <c r="T4915">
        <f>HLOOKUP("Provisioned MiB",'vInfo (Imported)'!$1:$5000,M4915,FALSE)</f>
        <v>0</v>
      </c>
      <c r="U4915">
        <f t="shared" si="229"/>
        <v>0</v>
      </c>
      <c r="V4915">
        <f>HLOOKUP("In Use MiB",'vInfo (Imported)'!$1:$5000,M4915,FALSE)</f>
        <v>0</v>
      </c>
    </row>
    <row r="4916" spans="1:22" ht="13" x14ac:dyDescent="0.3">
      <c r="A4916" s="46">
        <f>'vHosts (Imported)'!A4916</f>
        <v>0</v>
      </c>
      <c r="B4916" s="51">
        <f t="shared" si="231"/>
        <v>4968</v>
      </c>
      <c r="C4916" s="49">
        <f>HLOOKUP("# Cores",'vHosts (Imported)'!$1:$5000,M4916,FALSE)</f>
        <v>0</v>
      </c>
      <c r="D4916" s="52">
        <f>HLOOKUP("# Memory",'vHosts (Imported)'!$1:$5000,M4916,FALSE)</f>
        <v>0</v>
      </c>
      <c r="M4916" s="45">
        <f t="shared" si="230"/>
        <v>4916</v>
      </c>
      <c r="N4916" s="38">
        <f>HLOOKUP("Host",'vInfo (Imported)'!$1:$5000,M4916,FALSE)</f>
        <v>0</v>
      </c>
      <c r="R4916">
        <f>HLOOKUP("CPUs",'vInfo (Imported)'!$1:$5000,M4916,FALSE)</f>
        <v>0</v>
      </c>
      <c r="S4916">
        <f>HLOOKUP("Memory",'vInfo (Imported)'!$1:$5000,M4916,FALSE)</f>
        <v>0</v>
      </c>
      <c r="T4916">
        <f>HLOOKUP("Provisioned MiB",'vInfo (Imported)'!$1:$5000,M4916,FALSE)</f>
        <v>0</v>
      </c>
      <c r="U4916">
        <f t="shared" si="229"/>
        <v>0</v>
      </c>
      <c r="V4916">
        <f>HLOOKUP("In Use MiB",'vInfo (Imported)'!$1:$5000,M4916,FALSE)</f>
        <v>0</v>
      </c>
    </row>
    <row r="4917" spans="1:22" ht="13" x14ac:dyDescent="0.3">
      <c r="A4917" s="46">
        <f>'vHosts (Imported)'!A4917</f>
        <v>0</v>
      </c>
      <c r="B4917" s="51">
        <f t="shared" si="231"/>
        <v>4968</v>
      </c>
      <c r="C4917" s="49">
        <f>HLOOKUP("# Cores",'vHosts (Imported)'!$1:$5000,M4917,FALSE)</f>
        <v>0</v>
      </c>
      <c r="D4917" s="52">
        <f>HLOOKUP("# Memory",'vHosts (Imported)'!$1:$5000,M4917,FALSE)</f>
        <v>0</v>
      </c>
      <c r="M4917" s="45">
        <f t="shared" si="230"/>
        <v>4917</v>
      </c>
      <c r="N4917" s="38">
        <f>HLOOKUP("Host",'vInfo (Imported)'!$1:$5000,M4917,FALSE)</f>
        <v>0</v>
      </c>
      <c r="R4917">
        <f>HLOOKUP("CPUs",'vInfo (Imported)'!$1:$5000,M4917,FALSE)</f>
        <v>0</v>
      </c>
      <c r="S4917">
        <f>HLOOKUP("Memory",'vInfo (Imported)'!$1:$5000,M4917,FALSE)</f>
        <v>0</v>
      </c>
      <c r="T4917">
        <f>HLOOKUP("Provisioned MiB",'vInfo (Imported)'!$1:$5000,M4917,FALSE)</f>
        <v>0</v>
      </c>
      <c r="U4917">
        <f t="shared" si="229"/>
        <v>0</v>
      </c>
      <c r="V4917">
        <f>HLOOKUP("In Use MiB",'vInfo (Imported)'!$1:$5000,M4917,FALSE)</f>
        <v>0</v>
      </c>
    </row>
    <row r="4918" spans="1:22" ht="13" x14ac:dyDescent="0.3">
      <c r="A4918" s="46">
        <f>'vHosts (Imported)'!A4918</f>
        <v>0</v>
      </c>
      <c r="B4918" s="51">
        <f t="shared" si="231"/>
        <v>4968</v>
      </c>
      <c r="C4918" s="49">
        <f>HLOOKUP("# Cores",'vHosts (Imported)'!$1:$5000,M4918,FALSE)</f>
        <v>0</v>
      </c>
      <c r="D4918" s="52">
        <f>HLOOKUP("# Memory",'vHosts (Imported)'!$1:$5000,M4918,FALSE)</f>
        <v>0</v>
      </c>
      <c r="M4918" s="45">
        <f t="shared" si="230"/>
        <v>4918</v>
      </c>
      <c r="N4918" s="38">
        <f>HLOOKUP("Host",'vInfo (Imported)'!$1:$5000,M4918,FALSE)</f>
        <v>0</v>
      </c>
      <c r="R4918">
        <f>HLOOKUP("CPUs",'vInfo (Imported)'!$1:$5000,M4918,FALSE)</f>
        <v>0</v>
      </c>
      <c r="S4918">
        <f>HLOOKUP("Memory",'vInfo (Imported)'!$1:$5000,M4918,FALSE)</f>
        <v>0</v>
      </c>
      <c r="T4918">
        <f>HLOOKUP("Provisioned MiB",'vInfo (Imported)'!$1:$5000,M4918,FALSE)</f>
        <v>0</v>
      </c>
      <c r="U4918">
        <f t="shared" si="229"/>
        <v>0</v>
      </c>
      <c r="V4918">
        <f>HLOOKUP("In Use MiB",'vInfo (Imported)'!$1:$5000,M4918,FALSE)</f>
        <v>0</v>
      </c>
    </row>
    <row r="4919" spans="1:22" ht="13" x14ac:dyDescent="0.3">
      <c r="A4919" s="46">
        <f>'vHosts (Imported)'!A4919</f>
        <v>0</v>
      </c>
      <c r="B4919" s="51">
        <f t="shared" si="231"/>
        <v>4968</v>
      </c>
      <c r="C4919" s="49">
        <f>HLOOKUP("# Cores",'vHosts (Imported)'!$1:$5000,M4919,FALSE)</f>
        <v>0</v>
      </c>
      <c r="D4919" s="52">
        <f>HLOOKUP("# Memory",'vHosts (Imported)'!$1:$5000,M4919,FALSE)</f>
        <v>0</v>
      </c>
      <c r="M4919" s="45">
        <f t="shared" si="230"/>
        <v>4919</v>
      </c>
      <c r="N4919" s="38">
        <f>HLOOKUP("Host",'vInfo (Imported)'!$1:$5000,M4919,FALSE)</f>
        <v>0</v>
      </c>
      <c r="R4919">
        <f>HLOOKUP("CPUs",'vInfo (Imported)'!$1:$5000,M4919,FALSE)</f>
        <v>0</v>
      </c>
      <c r="S4919">
        <f>HLOOKUP("Memory",'vInfo (Imported)'!$1:$5000,M4919,FALSE)</f>
        <v>0</v>
      </c>
      <c r="T4919">
        <f>HLOOKUP("Provisioned MiB",'vInfo (Imported)'!$1:$5000,M4919,FALSE)</f>
        <v>0</v>
      </c>
      <c r="U4919">
        <f t="shared" si="229"/>
        <v>0</v>
      </c>
      <c r="V4919">
        <f>HLOOKUP("In Use MiB",'vInfo (Imported)'!$1:$5000,M4919,FALSE)</f>
        <v>0</v>
      </c>
    </row>
    <row r="4920" spans="1:22" ht="13" x14ac:dyDescent="0.3">
      <c r="A4920" s="46">
        <f>'vHosts (Imported)'!A4920</f>
        <v>0</v>
      </c>
      <c r="B4920" s="51">
        <f t="shared" si="231"/>
        <v>4968</v>
      </c>
      <c r="C4920" s="49">
        <f>HLOOKUP("# Cores",'vHosts (Imported)'!$1:$5000,M4920,FALSE)</f>
        <v>0</v>
      </c>
      <c r="D4920" s="52">
        <f>HLOOKUP("# Memory",'vHosts (Imported)'!$1:$5000,M4920,FALSE)</f>
        <v>0</v>
      </c>
      <c r="M4920" s="45">
        <f t="shared" si="230"/>
        <v>4920</v>
      </c>
      <c r="N4920" s="38">
        <f>HLOOKUP("Host",'vInfo (Imported)'!$1:$5000,M4920,FALSE)</f>
        <v>0</v>
      </c>
      <c r="R4920">
        <f>HLOOKUP("CPUs",'vInfo (Imported)'!$1:$5000,M4920,FALSE)</f>
        <v>0</v>
      </c>
      <c r="S4920">
        <f>HLOOKUP("Memory",'vInfo (Imported)'!$1:$5000,M4920,FALSE)</f>
        <v>0</v>
      </c>
      <c r="T4920">
        <f>HLOOKUP("Provisioned MiB",'vInfo (Imported)'!$1:$5000,M4920,FALSE)</f>
        <v>0</v>
      </c>
      <c r="U4920">
        <f t="shared" si="229"/>
        <v>0</v>
      </c>
      <c r="V4920">
        <f>HLOOKUP("In Use MiB",'vInfo (Imported)'!$1:$5000,M4920,FALSE)</f>
        <v>0</v>
      </c>
    </row>
    <row r="4921" spans="1:22" ht="13" x14ac:dyDescent="0.3">
      <c r="A4921" s="46">
        <f>'vHosts (Imported)'!A4921</f>
        <v>0</v>
      </c>
      <c r="B4921" s="51">
        <f t="shared" si="231"/>
        <v>4968</v>
      </c>
      <c r="C4921" s="49">
        <f>HLOOKUP("# Cores",'vHosts (Imported)'!$1:$5000,M4921,FALSE)</f>
        <v>0</v>
      </c>
      <c r="D4921" s="52">
        <f>HLOOKUP("# Memory",'vHosts (Imported)'!$1:$5000,M4921,FALSE)</f>
        <v>0</v>
      </c>
      <c r="M4921" s="45">
        <f t="shared" si="230"/>
        <v>4921</v>
      </c>
      <c r="N4921" s="38">
        <f>HLOOKUP("Host",'vInfo (Imported)'!$1:$5000,M4921,FALSE)</f>
        <v>0</v>
      </c>
      <c r="R4921">
        <f>HLOOKUP("CPUs",'vInfo (Imported)'!$1:$5000,M4921,FALSE)</f>
        <v>0</v>
      </c>
      <c r="S4921">
        <f>HLOOKUP("Memory",'vInfo (Imported)'!$1:$5000,M4921,FALSE)</f>
        <v>0</v>
      </c>
      <c r="T4921">
        <f>HLOOKUP("Provisioned MiB",'vInfo (Imported)'!$1:$5000,M4921,FALSE)</f>
        <v>0</v>
      </c>
      <c r="U4921">
        <f t="shared" si="229"/>
        <v>0</v>
      </c>
      <c r="V4921">
        <f>HLOOKUP("In Use MiB",'vInfo (Imported)'!$1:$5000,M4921,FALSE)</f>
        <v>0</v>
      </c>
    </row>
    <row r="4922" spans="1:22" ht="13" x14ac:dyDescent="0.3">
      <c r="A4922" s="46">
        <f>'vHosts (Imported)'!A4922</f>
        <v>0</v>
      </c>
      <c r="B4922" s="51">
        <f t="shared" si="231"/>
        <v>4968</v>
      </c>
      <c r="C4922" s="49">
        <f>HLOOKUP("# Cores",'vHosts (Imported)'!$1:$5000,M4922,FALSE)</f>
        <v>0</v>
      </c>
      <c r="D4922" s="52">
        <f>HLOOKUP("# Memory",'vHosts (Imported)'!$1:$5000,M4922,FALSE)</f>
        <v>0</v>
      </c>
      <c r="M4922" s="45">
        <f t="shared" si="230"/>
        <v>4922</v>
      </c>
      <c r="N4922" s="38">
        <f>HLOOKUP("Host",'vInfo (Imported)'!$1:$5000,M4922,FALSE)</f>
        <v>0</v>
      </c>
      <c r="R4922">
        <f>HLOOKUP("CPUs",'vInfo (Imported)'!$1:$5000,M4922,FALSE)</f>
        <v>0</v>
      </c>
      <c r="S4922">
        <f>HLOOKUP("Memory",'vInfo (Imported)'!$1:$5000,M4922,FALSE)</f>
        <v>0</v>
      </c>
      <c r="T4922">
        <f>HLOOKUP("Provisioned MiB",'vInfo (Imported)'!$1:$5000,M4922,FALSE)</f>
        <v>0</v>
      </c>
      <c r="U4922">
        <f t="shared" si="229"/>
        <v>0</v>
      </c>
      <c r="V4922">
        <f>HLOOKUP("In Use MiB",'vInfo (Imported)'!$1:$5000,M4922,FALSE)</f>
        <v>0</v>
      </c>
    </row>
    <row r="4923" spans="1:22" ht="13" x14ac:dyDescent="0.3">
      <c r="A4923" s="46">
        <f>'vHosts (Imported)'!A4923</f>
        <v>0</v>
      </c>
      <c r="B4923" s="51">
        <f t="shared" si="231"/>
        <v>4968</v>
      </c>
      <c r="C4923" s="49">
        <f>HLOOKUP("# Cores",'vHosts (Imported)'!$1:$5000,M4923,FALSE)</f>
        <v>0</v>
      </c>
      <c r="D4923" s="52">
        <f>HLOOKUP("# Memory",'vHosts (Imported)'!$1:$5000,M4923,FALSE)</f>
        <v>0</v>
      </c>
      <c r="M4923" s="45">
        <f t="shared" si="230"/>
        <v>4923</v>
      </c>
      <c r="N4923" s="38">
        <f>HLOOKUP("Host",'vInfo (Imported)'!$1:$5000,M4923,FALSE)</f>
        <v>0</v>
      </c>
      <c r="R4923">
        <f>HLOOKUP("CPUs",'vInfo (Imported)'!$1:$5000,M4923,FALSE)</f>
        <v>0</v>
      </c>
      <c r="S4923">
        <f>HLOOKUP("Memory",'vInfo (Imported)'!$1:$5000,M4923,FALSE)</f>
        <v>0</v>
      </c>
      <c r="T4923">
        <f>HLOOKUP("Provisioned MiB",'vInfo (Imported)'!$1:$5000,M4923,FALSE)</f>
        <v>0</v>
      </c>
      <c r="U4923">
        <f t="shared" si="229"/>
        <v>0</v>
      </c>
      <c r="V4923">
        <f>HLOOKUP("In Use MiB",'vInfo (Imported)'!$1:$5000,M4923,FALSE)</f>
        <v>0</v>
      </c>
    </row>
    <row r="4924" spans="1:22" ht="13" x14ac:dyDescent="0.3">
      <c r="A4924" s="46">
        <f>'vHosts (Imported)'!A4924</f>
        <v>0</v>
      </c>
      <c r="B4924" s="51">
        <f t="shared" si="231"/>
        <v>4968</v>
      </c>
      <c r="C4924" s="49">
        <f>HLOOKUP("# Cores",'vHosts (Imported)'!$1:$5000,M4924,FALSE)</f>
        <v>0</v>
      </c>
      <c r="D4924" s="52">
        <f>HLOOKUP("# Memory",'vHosts (Imported)'!$1:$5000,M4924,FALSE)</f>
        <v>0</v>
      </c>
      <c r="M4924" s="45">
        <f t="shared" si="230"/>
        <v>4924</v>
      </c>
      <c r="N4924" s="38">
        <f>HLOOKUP("Host",'vInfo (Imported)'!$1:$5000,M4924,FALSE)</f>
        <v>0</v>
      </c>
      <c r="R4924">
        <f>HLOOKUP("CPUs",'vInfo (Imported)'!$1:$5000,M4924,FALSE)</f>
        <v>0</v>
      </c>
      <c r="S4924">
        <f>HLOOKUP("Memory",'vInfo (Imported)'!$1:$5000,M4924,FALSE)</f>
        <v>0</v>
      </c>
      <c r="T4924">
        <f>HLOOKUP("Provisioned MiB",'vInfo (Imported)'!$1:$5000,M4924,FALSE)</f>
        <v>0</v>
      </c>
      <c r="U4924">
        <f t="shared" si="229"/>
        <v>0</v>
      </c>
      <c r="V4924">
        <f>HLOOKUP("In Use MiB",'vInfo (Imported)'!$1:$5000,M4924,FALSE)</f>
        <v>0</v>
      </c>
    </row>
    <row r="4925" spans="1:22" ht="13" x14ac:dyDescent="0.3">
      <c r="A4925" s="46">
        <f>'vHosts (Imported)'!A4925</f>
        <v>0</v>
      </c>
      <c r="B4925" s="51">
        <f t="shared" si="231"/>
        <v>4968</v>
      </c>
      <c r="C4925" s="49">
        <f>HLOOKUP("# Cores",'vHosts (Imported)'!$1:$5000,M4925,FALSE)</f>
        <v>0</v>
      </c>
      <c r="D4925" s="52">
        <f>HLOOKUP("# Memory",'vHosts (Imported)'!$1:$5000,M4925,FALSE)</f>
        <v>0</v>
      </c>
      <c r="M4925" s="45">
        <f t="shared" si="230"/>
        <v>4925</v>
      </c>
      <c r="N4925" s="38">
        <f>HLOOKUP("Host",'vInfo (Imported)'!$1:$5000,M4925,FALSE)</f>
        <v>0</v>
      </c>
      <c r="R4925">
        <f>HLOOKUP("CPUs",'vInfo (Imported)'!$1:$5000,M4925,FALSE)</f>
        <v>0</v>
      </c>
      <c r="S4925">
        <f>HLOOKUP("Memory",'vInfo (Imported)'!$1:$5000,M4925,FALSE)</f>
        <v>0</v>
      </c>
      <c r="T4925">
        <f>HLOOKUP("Provisioned MiB",'vInfo (Imported)'!$1:$5000,M4925,FALSE)</f>
        <v>0</v>
      </c>
      <c r="U4925">
        <f t="shared" si="229"/>
        <v>0</v>
      </c>
      <c r="V4925">
        <f>HLOOKUP("In Use MiB",'vInfo (Imported)'!$1:$5000,M4925,FALSE)</f>
        <v>0</v>
      </c>
    </row>
    <row r="4926" spans="1:22" ht="13" x14ac:dyDescent="0.3">
      <c r="A4926" s="46">
        <f>'vHosts (Imported)'!A4926</f>
        <v>0</v>
      </c>
      <c r="B4926" s="51">
        <f t="shared" si="231"/>
        <v>4968</v>
      </c>
      <c r="C4926" s="49">
        <f>HLOOKUP("# Cores",'vHosts (Imported)'!$1:$5000,M4926,FALSE)</f>
        <v>0</v>
      </c>
      <c r="D4926" s="52">
        <f>HLOOKUP("# Memory",'vHosts (Imported)'!$1:$5000,M4926,FALSE)</f>
        <v>0</v>
      </c>
      <c r="M4926" s="45">
        <f t="shared" si="230"/>
        <v>4926</v>
      </c>
      <c r="N4926" s="38">
        <f>HLOOKUP("Host",'vInfo (Imported)'!$1:$5000,M4926,FALSE)</f>
        <v>0</v>
      </c>
      <c r="R4926">
        <f>HLOOKUP("CPUs",'vInfo (Imported)'!$1:$5000,M4926,FALSE)</f>
        <v>0</v>
      </c>
      <c r="S4926">
        <f>HLOOKUP("Memory",'vInfo (Imported)'!$1:$5000,M4926,FALSE)</f>
        <v>0</v>
      </c>
      <c r="T4926">
        <f>HLOOKUP("Provisioned MiB",'vInfo (Imported)'!$1:$5000,M4926,FALSE)</f>
        <v>0</v>
      </c>
      <c r="U4926">
        <f t="shared" si="229"/>
        <v>0</v>
      </c>
      <c r="V4926">
        <f>HLOOKUP("In Use MiB",'vInfo (Imported)'!$1:$5000,M4926,FALSE)</f>
        <v>0</v>
      </c>
    </row>
    <row r="4927" spans="1:22" ht="13" x14ac:dyDescent="0.3">
      <c r="A4927" s="46">
        <f>'vHosts (Imported)'!A4927</f>
        <v>0</v>
      </c>
      <c r="B4927" s="51">
        <f t="shared" si="231"/>
        <v>4968</v>
      </c>
      <c r="C4927" s="49">
        <f>HLOOKUP("# Cores",'vHosts (Imported)'!$1:$5000,M4927,FALSE)</f>
        <v>0</v>
      </c>
      <c r="D4927" s="52">
        <f>HLOOKUP("# Memory",'vHosts (Imported)'!$1:$5000,M4927,FALSE)</f>
        <v>0</v>
      </c>
      <c r="M4927" s="45">
        <f t="shared" si="230"/>
        <v>4927</v>
      </c>
      <c r="N4927" s="38">
        <f>HLOOKUP("Host",'vInfo (Imported)'!$1:$5000,M4927,FALSE)</f>
        <v>0</v>
      </c>
      <c r="R4927">
        <f>HLOOKUP("CPUs",'vInfo (Imported)'!$1:$5000,M4927,FALSE)</f>
        <v>0</v>
      </c>
      <c r="S4927">
        <f>HLOOKUP("Memory",'vInfo (Imported)'!$1:$5000,M4927,FALSE)</f>
        <v>0</v>
      </c>
      <c r="T4927">
        <f>HLOOKUP("Provisioned MiB",'vInfo (Imported)'!$1:$5000,M4927,FALSE)</f>
        <v>0</v>
      </c>
      <c r="U4927">
        <f t="shared" si="229"/>
        <v>0</v>
      </c>
      <c r="V4927">
        <f>HLOOKUP("In Use MiB",'vInfo (Imported)'!$1:$5000,M4927,FALSE)</f>
        <v>0</v>
      </c>
    </row>
    <row r="4928" spans="1:22" ht="13" x14ac:dyDescent="0.3">
      <c r="A4928" s="46">
        <f>'vHosts (Imported)'!A4928</f>
        <v>0</v>
      </c>
      <c r="B4928" s="51">
        <f t="shared" si="231"/>
        <v>4968</v>
      </c>
      <c r="C4928" s="49">
        <f>HLOOKUP("# Cores",'vHosts (Imported)'!$1:$5000,M4928,FALSE)</f>
        <v>0</v>
      </c>
      <c r="D4928" s="52">
        <f>HLOOKUP("# Memory",'vHosts (Imported)'!$1:$5000,M4928,FALSE)</f>
        <v>0</v>
      </c>
      <c r="M4928" s="45">
        <f t="shared" si="230"/>
        <v>4928</v>
      </c>
      <c r="N4928" s="38">
        <f>HLOOKUP("Host",'vInfo (Imported)'!$1:$5000,M4928,FALSE)</f>
        <v>0</v>
      </c>
      <c r="R4928">
        <f>HLOOKUP("CPUs",'vInfo (Imported)'!$1:$5000,M4928,FALSE)</f>
        <v>0</v>
      </c>
      <c r="S4928">
        <f>HLOOKUP("Memory",'vInfo (Imported)'!$1:$5000,M4928,FALSE)</f>
        <v>0</v>
      </c>
      <c r="T4928">
        <f>HLOOKUP("Provisioned MiB",'vInfo (Imported)'!$1:$5000,M4928,FALSE)</f>
        <v>0</v>
      </c>
      <c r="U4928">
        <f t="shared" si="229"/>
        <v>0</v>
      </c>
      <c r="V4928">
        <f>HLOOKUP("In Use MiB",'vInfo (Imported)'!$1:$5000,M4928,FALSE)</f>
        <v>0</v>
      </c>
    </row>
    <row r="4929" spans="1:22" ht="13" x14ac:dyDescent="0.3">
      <c r="A4929" s="46">
        <f>'vHosts (Imported)'!A4929</f>
        <v>0</v>
      </c>
      <c r="B4929" s="51">
        <f t="shared" si="231"/>
        <v>4968</v>
      </c>
      <c r="C4929" s="49">
        <f>HLOOKUP("# Cores",'vHosts (Imported)'!$1:$5000,M4929,FALSE)</f>
        <v>0</v>
      </c>
      <c r="D4929" s="52">
        <f>HLOOKUP("# Memory",'vHosts (Imported)'!$1:$5000,M4929,FALSE)</f>
        <v>0</v>
      </c>
      <c r="M4929" s="45">
        <f t="shared" si="230"/>
        <v>4929</v>
      </c>
      <c r="N4929" s="38">
        <f>HLOOKUP("Host",'vInfo (Imported)'!$1:$5000,M4929,FALSE)</f>
        <v>0</v>
      </c>
      <c r="R4929">
        <f>HLOOKUP("CPUs",'vInfo (Imported)'!$1:$5000,M4929,FALSE)</f>
        <v>0</v>
      </c>
      <c r="S4929">
        <f>HLOOKUP("Memory",'vInfo (Imported)'!$1:$5000,M4929,FALSE)</f>
        <v>0</v>
      </c>
      <c r="T4929">
        <f>HLOOKUP("Provisioned MiB",'vInfo (Imported)'!$1:$5000,M4929,FALSE)</f>
        <v>0</v>
      </c>
      <c r="U4929">
        <f t="shared" si="229"/>
        <v>0</v>
      </c>
      <c r="V4929">
        <f>HLOOKUP("In Use MiB",'vInfo (Imported)'!$1:$5000,M4929,FALSE)</f>
        <v>0</v>
      </c>
    </row>
    <row r="4930" spans="1:22" ht="13" x14ac:dyDescent="0.3">
      <c r="A4930" s="46">
        <f>'vHosts (Imported)'!A4930</f>
        <v>0</v>
      </c>
      <c r="B4930" s="51">
        <f t="shared" si="231"/>
        <v>4968</v>
      </c>
      <c r="C4930" s="49">
        <f>HLOOKUP("# Cores",'vHosts (Imported)'!$1:$5000,M4930,FALSE)</f>
        <v>0</v>
      </c>
      <c r="D4930" s="52">
        <f>HLOOKUP("# Memory",'vHosts (Imported)'!$1:$5000,M4930,FALSE)</f>
        <v>0</v>
      </c>
      <c r="M4930" s="45">
        <f t="shared" si="230"/>
        <v>4930</v>
      </c>
      <c r="N4930" s="38">
        <f>HLOOKUP("Host",'vInfo (Imported)'!$1:$5000,M4930,FALSE)</f>
        <v>0</v>
      </c>
      <c r="R4930">
        <f>HLOOKUP("CPUs",'vInfo (Imported)'!$1:$5000,M4930,FALSE)</f>
        <v>0</v>
      </c>
      <c r="S4930">
        <f>HLOOKUP("Memory",'vInfo (Imported)'!$1:$5000,M4930,FALSE)</f>
        <v>0</v>
      </c>
      <c r="T4930">
        <f>HLOOKUP("Provisioned MiB",'vInfo (Imported)'!$1:$5000,M4930,FALSE)</f>
        <v>0</v>
      </c>
      <c r="U4930">
        <f t="shared" si="229"/>
        <v>0</v>
      </c>
      <c r="V4930">
        <f>HLOOKUP("In Use MiB",'vInfo (Imported)'!$1:$5000,M4930,FALSE)</f>
        <v>0</v>
      </c>
    </row>
    <row r="4931" spans="1:22" ht="13" x14ac:dyDescent="0.3">
      <c r="A4931" s="46">
        <f>'vHosts (Imported)'!A4931</f>
        <v>0</v>
      </c>
      <c r="B4931" s="51">
        <f t="shared" si="231"/>
        <v>4968</v>
      </c>
      <c r="C4931" s="49">
        <f>HLOOKUP("# Cores",'vHosts (Imported)'!$1:$5000,M4931,FALSE)</f>
        <v>0</v>
      </c>
      <c r="D4931" s="52">
        <f>HLOOKUP("# Memory",'vHosts (Imported)'!$1:$5000,M4931,FALSE)</f>
        <v>0</v>
      </c>
      <c r="M4931" s="45">
        <f t="shared" si="230"/>
        <v>4931</v>
      </c>
      <c r="N4931" s="38">
        <f>HLOOKUP("Host",'vInfo (Imported)'!$1:$5000,M4931,FALSE)</f>
        <v>0</v>
      </c>
      <c r="R4931">
        <f>HLOOKUP("CPUs",'vInfo (Imported)'!$1:$5000,M4931,FALSE)</f>
        <v>0</v>
      </c>
      <c r="S4931">
        <f>HLOOKUP("Memory",'vInfo (Imported)'!$1:$5000,M4931,FALSE)</f>
        <v>0</v>
      </c>
      <c r="T4931">
        <f>HLOOKUP("Provisioned MiB",'vInfo (Imported)'!$1:$5000,M4931,FALSE)</f>
        <v>0</v>
      </c>
      <c r="U4931">
        <f t="shared" ref="U4931:U4994" si="232">T4931-V4931</f>
        <v>0</v>
      </c>
      <c r="V4931">
        <f>HLOOKUP("In Use MiB",'vInfo (Imported)'!$1:$5000,M4931,FALSE)</f>
        <v>0</v>
      </c>
    </row>
    <row r="4932" spans="1:22" ht="13" x14ac:dyDescent="0.3">
      <c r="A4932" s="46">
        <f>'vHosts (Imported)'!A4932</f>
        <v>0</v>
      </c>
      <c r="B4932" s="51">
        <f t="shared" si="231"/>
        <v>4968</v>
      </c>
      <c r="C4932" s="49">
        <f>HLOOKUP("# Cores",'vHosts (Imported)'!$1:$5000,M4932,FALSE)</f>
        <v>0</v>
      </c>
      <c r="D4932" s="52">
        <f>HLOOKUP("# Memory",'vHosts (Imported)'!$1:$5000,M4932,FALSE)</f>
        <v>0</v>
      </c>
      <c r="M4932" s="45">
        <f t="shared" ref="M4932:M4995" si="233">M4931+1</f>
        <v>4932</v>
      </c>
      <c r="N4932" s="38">
        <f>HLOOKUP("Host",'vInfo (Imported)'!$1:$5000,M4932,FALSE)</f>
        <v>0</v>
      </c>
      <c r="R4932">
        <f>HLOOKUP("CPUs",'vInfo (Imported)'!$1:$5000,M4932,FALSE)</f>
        <v>0</v>
      </c>
      <c r="S4932">
        <f>HLOOKUP("Memory",'vInfo (Imported)'!$1:$5000,M4932,FALSE)</f>
        <v>0</v>
      </c>
      <c r="T4932">
        <f>HLOOKUP("Provisioned MiB",'vInfo (Imported)'!$1:$5000,M4932,FALSE)</f>
        <v>0</v>
      </c>
      <c r="U4932">
        <f t="shared" si="232"/>
        <v>0</v>
      </c>
      <c r="V4932">
        <f>HLOOKUP("In Use MiB",'vInfo (Imported)'!$1:$5000,M4932,FALSE)</f>
        <v>0</v>
      </c>
    </row>
    <row r="4933" spans="1:22" ht="13" x14ac:dyDescent="0.3">
      <c r="A4933" s="46">
        <f>'vHosts (Imported)'!A4933</f>
        <v>0</v>
      </c>
      <c r="B4933" s="51">
        <f t="shared" si="231"/>
        <v>4968</v>
      </c>
      <c r="C4933" s="49">
        <f>HLOOKUP("# Cores",'vHosts (Imported)'!$1:$5000,M4933,FALSE)</f>
        <v>0</v>
      </c>
      <c r="D4933" s="52">
        <f>HLOOKUP("# Memory",'vHosts (Imported)'!$1:$5000,M4933,FALSE)</f>
        <v>0</v>
      </c>
      <c r="M4933" s="45">
        <f t="shared" si="233"/>
        <v>4933</v>
      </c>
      <c r="N4933" s="38">
        <f>HLOOKUP("Host",'vInfo (Imported)'!$1:$5000,M4933,FALSE)</f>
        <v>0</v>
      </c>
      <c r="R4933">
        <f>HLOOKUP("CPUs",'vInfo (Imported)'!$1:$5000,M4933,FALSE)</f>
        <v>0</v>
      </c>
      <c r="S4933">
        <f>HLOOKUP("Memory",'vInfo (Imported)'!$1:$5000,M4933,FALSE)</f>
        <v>0</v>
      </c>
      <c r="T4933">
        <f>HLOOKUP("Provisioned MiB",'vInfo (Imported)'!$1:$5000,M4933,FALSE)</f>
        <v>0</v>
      </c>
      <c r="U4933">
        <f t="shared" si="232"/>
        <v>0</v>
      </c>
      <c r="V4933">
        <f>HLOOKUP("In Use MiB",'vInfo (Imported)'!$1:$5000,M4933,FALSE)</f>
        <v>0</v>
      </c>
    </row>
    <row r="4934" spans="1:22" ht="13" x14ac:dyDescent="0.3">
      <c r="A4934" s="46">
        <f>'vHosts (Imported)'!A4934</f>
        <v>0</v>
      </c>
      <c r="B4934" s="51">
        <f t="shared" si="231"/>
        <v>4968</v>
      </c>
      <c r="C4934" s="49">
        <f>HLOOKUP("# Cores",'vHosts (Imported)'!$1:$5000,M4934,FALSE)</f>
        <v>0</v>
      </c>
      <c r="D4934" s="52">
        <f>HLOOKUP("# Memory",'vHosts (Imported)'!$1:$5000,M4934,FALSE)</f>
        <v>0</v>
      </c>
      <c r="M4934" s="45">
        <f t="shared" si="233"/>
        <v>4934</v>
      </c>
      <c r="N4934" s="38">
        <f>HLOOKUP("Host",'vInfo (Imported)'!$1:$5000,M4934,FALSE)</f>
        <v>0</v>
      </c>
      <c r="R4934">
        <f>HLOOKUP("CPUs",'vInfo (Imported)'!$1:$5000,M4934,FALSE)</f>
        <v>0</v>
      </c>
      <c r="S4934">
        <f>HLOOKUP("Memory",'vInfo (Imported)'!$1:$5000,M4934,FALSE)</f>
        <v>0</v>
      </c>
      <c r="T4934">
        <f>HLOOKUP("Provisioned MiB",'vInfo (Imported)'!$1:$5000,M4934,FALSE)</f>
        <v>0</v>
      </c>
      <c r="U4934">
        <f t="shared" si="232"/>
        <v>0</v>
      </c>
      <c r="V4934">
        <f>HLOOKUP("In Use MiB",'vInfo (Imported)'!$1:$5000,M4934,FALSE)</f>
        <v>0</v>
      </c>
    </row>
    <row r="4935" spans="1:22" ht="13" x14ac:dyDescent="0.3">
      <c r="A4935" s="46">
        <f>'vHosts (Imported)'!A4935</f>
        <v>0</v>
      </c>
      <c r="B4935" s="51">
        <f t="shared" si="231"/>
        <v>4968</v>
      </c>
      <c r="C4935" s="49">
        <f>HLOOKUP("# Cores",'vHosts (Imported)'!$1:$5000,M4935,FALSE)</f>
        <v>0</v>
      </c>
      <c r="D4935" s="52">
        <f>HLOOKUP("# Memory",'vHosts (Imported)'!$1:$5000,M4935,FALSE)</f>
        <v>0</v>
      </c>
      <c r="M4935" s="45">
        <f t="shared" si="233"/>
        <v>4935</v>
      </c>
      <c r="N4935" s="38">
        <f>HLOOKUP("Host",'vInfo (Imported)'!$1:$5000,M4935,FALSE)</f>
        <v>0</v>
      </c>
      <c r="R4935">
        <f>HLOOKUP("CPUs",'vInfo (Imported)'!$1:$5000,M4935,FALSE)</f>
        <v>0</v>
      </c>
      <c r="S4935">
        <f>HLOOKUP("Memory",'vInfo (Imported)'!$1:$5000,M4935,FALSE)</f>
        <v>0</v>
      </c>
      <c r="T4935">
        <f>HLOOKUP("Provisioned MiB",'vInfo (Imported)'!$1:$5000,M4935,FALSE)</f>
        <v>0</v>
      </c>
      <c r="U4935">
        <f t="shared" si="232"/>
        <v>0</v>
      </c>
      <c r="V4935">
        <f>HLOOKUP("In Use MiB",'vInfo (Imported)'!$1:$5000,M4935,FALSE)</f>
        <v>0</v>
      </c>
    </row>
    <row r="4936" spans="1:22" ht="13" x14ac:dyDescent="0.3">
      <c r="A4936" s="46">
        <f>'vHosts (Imported)'!A4936</f>
        <v>0</v>
      </c>
      <c r="B4936" s="51">
        <f t="shared" si="231"/>
        <v>4968</v>
      </c>
      <c r="C4936" s="49">
        <f>HLOOKUP("# Cores",'vHosts (Imported)'!$1:$5000,M4936,FALSE)</f>
        <v>0</v>
      </c>
      <c r="D4936" s="52">
        <f>HLOOKUP("# Memory",'vHosts (Imported)'!$1:$5000,M4936,FALSE)</f>
        <v>0</v>
      </c>
      <c r="M4936" s="45">
        <f t="shared" si="233"/>
        <v>4936</v>
      </c>
      <c r="N4936" s="38">
        <f>HLOOKUP("Host",'vInfo (Imported)'!$1:$5000,M4936,FALSE)</f>
        <v>0</v>
      </c>
      <c r="R4936">
        <f>HLOOKUP("CPUs",'vInfo (Imported)'!$1:$5000,M4936,FALSE)</f>
        <v>0</v>
      </c>
      <c r="S4936">
        <f>HLOOKUP("Memory",'vInfo (Imported)'!$1:$5000,M4936,FALSE)</f>
        <v>0</v>
      </c>
      <c r="T4936">
        <f>HLOOKUP("Provisioned MiB",'vInfo (Imported)'!$1:$5000,M4936,FALSE)</f>
        <v>0</v>
      </c>
      <c r="U4936">
        <f t="shared" si="232"/>
        <v>0</v>
      </c>
      <c r="V4936">
        <f>HLOOKUP("In Use MiB",'vInfo (Imported)'!$1:$5000,M4936,FALSE)</f>
        <v>0</v>
      </c>
    </row>
    <row r="4937" spans="1:22" ht="13" x14ac:dyDescent="0.3">
      <c r="A4937" s="46">
        <f>'vHosts (Imported)'!A4937</f>
        <v>0</v>
      </c>
      <c r="B4937" s="51">
        <f t="shared" si="231"/>
        <v>4968</v>
      </c>
      <c r="C4937" s="49">
        <f>HLOOKUP("# Cores",'vHosts (Imported)'!$1:$5000,M4937,FALSE)</f>
        <v>0</v>
      </c>
      <c r="D4937" s="52">
        <f>HLOOKUP("# Memory",'vHosts (Imported)'!$1:$5000,M4937,FALSE)</f>
        <v>0</v>
      </c>
      <c r="M4937" s="45">
        <f t="shared" si="233"/>
        <v>4937</v>
      </c>
      <c r="N4937" s="38">
        <f>HLOOKUP("Host",'vInfo (Imported)'!$1:$5000,M4937,FALSE)</f>
        <v>0</v>
      </c>
      <c r="R4937">
        <f>HLOOKUP("CPUs",'vInfo (Imported)'!$1:$5000,M4937,FALSE)</f>
        <v>0</v>
      </c>
      <c r="S4937">
        <f>HLOOKUP("Memory",'vInfo (Imported)'!$1:$5000,M4937,FALSE)</f>
        <v>0</v>
      </c>
      <c r="T4937">
        <f>HLOOKUP("Provisioned MiB",'vInfo (Imported)'!$1:$5000,M4937,FALSE)</f>
        <v>0</v>
      </c>
      <c r="U4937">
        <f t="shared" si="232"/>
        <v>0</v>
      </c>
      <c r="V4937">
        <f>HLOOKUP("In Use MiB",'vInfo (Imported)'!$1:$5000,M4937,FALSE)</f>
        <v>0</v>
      </c>
    </row>
    <row r="4938" spans="1:22" ht="13" x14ac:dyDescent="0.3">
      <c r="A4938" s="46">
        <f>'vHosts (Imported)'!A4938</f>
        <v>0</v>
      </c>
      <c r="B4938" s="51">
        <f t="shared" si="231"/>
        <v>4968</v>
      </c>
      <c r="C4938" s="49">
        <f>HLOOKUP("# Cores",'vHosts (Imported)'!$1:$5000,M4938,FALSE)</f>
        <v>0</v>
      </c>
      <c r="D4938" s="52">
        <f>HLOOKUP("# Memory",'vHosts (Imported)'!$1:$5000,M4938,FALSE)</f>
        <v>0</v>
      </c>
      <c r="M4938" s="45">
        <f t="shared" si="233"/>
        <v>4938</v>
      </c>
      <c r="N4938" s="38">
        <f>HLOOKUP("Host",'vInfo (Imported)'!$1:$5000,M4938,FALSE)</f>
        <v>0</v>
      </c>
      <c r="R4938">
        <f>HLOOKUP("CPUs",'vInfo (Imported)'!$1:$5000,M4938,FALSE)</f>
        <v>0</v>
      </c>
      <c r="S4938">
        <f>HLOOKUP("Memory",'vInfo (Imported)'!$1:$5000,M4938,FALSE)</f>
        <v>0</v>
      </c>
      <c r="T4938">
        <f>HLOOKUP("Provisioned MiB",'vInfo (Imported)'!$1:$5000,M4938,FALSE)</f>
        <v>0</v>
      </c>
      <c r="U4938">
        <f t="shared" si="232"/>
        <v>0</v>
      </c>
      <c r="V4938">
        <f>HLOOKUP("In Use MiB",'vInfo (Imported)'!$1:$5000,M4938,FALSE)</f>
        <v>0</v>
      </c>
    </row>
    <row r="4939" spans="1:22" ht="13" x14ac:dyDescent="0.3">
      <c r="A4939" s="46">
        <f>'vHosts (Imported)'!A4939</f>
        <v>0</v>
      </c>
      <c r="B4939" s="51">
        <f t="shared" si="231"/>
        <v>4968</v>
      </c>
      <c r="C4939" s="49">
        <f>HLOOKUP("# Cores",'vHosts (Imported)'!$1:$5000,M4939,FALSE)</f>
        <v>0</v>
      </c>
      <c r="D4939" s="52">
        <f>HLOOKUP("# Memory",'vHosts (Imported)'!$1:$5000,M4939,FALSE)</f>
        <v>0</v>
      </c>
      <c r="M4939" s="45">
        <f t="shared" si="233"/>
        <v>4939</v>
      </c>
      <c r="N4939" s="38">
        <f>HLOOKUP("Host",'vInfo (Imported)'!$1:$5000,M4939,FALSE)</f>
        <v>0</v>
      </c>
      <c r="R4939">
        <f>HLOOKUP("CPUs",'vInfo (Imported)'!$1:$5000,M4939,FALSE)</f>
        <v>0</v>
      </c>
      <c r="S4939">
        <f>HLOOKUP("Memory",'vInfo (Imported)'!$1:$5000,M4939,FALSE)</f>
        <v>0</v>
      </c>
      <c r="T4939">
        <f>HLOOKUP("Provisioned MiB",'vInfo (Imported)'!$1:$5000,M4939,FALSE)</f>
        <v>0</v>
      </c>
      <c r="U4939">
        <f t="shared" si="232"/>
        <v>0</v>
      </c>
      <c r="V4939">
        <f>HLOOKUP("In Use MiB",'vInfo (Imported)'!$1:$5000,M4939,FALSE)</f>
        <v>0</v>
      </c>
    </row>
    <row r="4940" spans="1:22" ht="13" x14ac:dyDescent="0.3">
      <c r="A4940" s="46">
        <f>'vHosts (Imported)'!A4940</f>
        <v>0</v>
      </c>
      <c r="B4940" s="51">
        <f t="shared" si="231"/>
        <v>4968</v>
      </c>
      <c r="C4940" s="49">
        <f>HLOOKUP("# Cores",'vHosts (Imported)'!$1:$5000,M4940,FALSE)</f>
        <v>0</v>
      </c>
      <c r="D4940" s="52">
        <f>HLOOKUP("# Memory",'vHosts (Imported)'!$1:$5000,M4940,FALSE)</f>
        <v>0</v>
      </c>
      <c r="M4940" s="45">
        <f t="shared" si="233"/>
        <v>4940</v>
      </c>
      <c r="N4940" s="38">
        <f>HLOOKUP("Host",'vInfo (Imported)'!$1:$5000,M4940,FALSE)</f>
        <v>0</v>
      </c>
      <c r="R4940">
        <f>HLOOKUP("CPUs",'vInfo (Imported)'!$1:$5000,M4940,FALSE)</f>
        <v>0</v>
      </c>
      <c r="S4940">
        <f>HLOOKUP("Memory",'vInfo (Imported)'!$1:$5000,M4940,FALSE)</f>
        <v>0</v>
      </c>
      <c r="T4940">
        <f>HLOOKUP("Provisioned MiB",'vInfo (Imported)'!$1:$5000,M4940,FALSE)</f>
        <v>0</v>
      </c>
      <c r="U4940">
        <f t="shared" si="232"/>
        <v>0</v>
      </c>
      <c r="V4940">
        <f>HLOOKUP("In Use MiB",'vInfo (Imported)'!$1:$5000,M4940,FALSE)</f>
        <v>0</v>
      </c>
    </row>
    <row r="4941" spans="1:22" ht="13" x14ac:dyDescent="0.3">
      <c r="A4941" s="46">
        <f>'vHosts (Imported)'!A4941</f>
        <v>0</v>
      </c>
      <c r="B4941" s="51">
        <f t="shared" si="231"/>
        <v>4968</v>
      </c>
      <c r="C4941" s="49">
        <f>HLOOKUP("# Cores",'vHosts (Imported)'!$1:$5000,M4941,FALSE)</f>
        <v>0</v>
      </c>
      <c r="D4941" s="52">
        <f>HLOOKUP("# Memory",'vHosts (Imported)'!$1:$5000,M4941,FALSE)</f>
        <v>0</v>
      </c>
      <c r="M4941" s="45">
        <f t="shared" si="233"/>
        <v>4941</v>
      </c>
      <c r="N4941" s="38">
        <f>HLOOKUP("Host",'vInfo (Imported)'!$1:$5000,M4941,FALSE)</f>
        <v>0</v>
      </c>
      <c r="R4941">
        <f>HLOOKUP("CPUs",'vInfo (Imported)'!$1:$5000,M4941,FALSE)</f>
        <v>0</v>
      </c>
      <c r="S4941">
        <f>HLOOKUP("Memory",'vInfo (Imported)'!$1:$5000,M4941,FALSE)</f>
        <v>0</v>
      </c>
      <c r="T4941">
        <f>HLOOKUP("Provisioned MiB",'vInfo (Imported)'!$1:$5000,M4941,FALSE)</f>
        <v>0</v>
      </c>
      <c r="U4941">
        <f t="shared" si="232"/>
        <v>0</v>
      </c>
      <c r="V4941">
        <f>HLOOKUP("In Use MiB",'vInfo (Imported)'!$1:$5000,M4941,FALSE)</f>
        <v>0</v>
      </c>
    </row>
    <row r="4942" spans="1:22" ht="13" x14ac:dyDescent="0.3">
      <c r="A4942" s="46">
        <f>'vHosts (Imported)'!A4942</f>
        <v>0</v>
      </c>
      <c r="B4942" s="51">
        <f t="shared" si="231"/>
        <v>4968</v>
      </c>
      <c r="C4942" s="49">
        <f>HLOOKUP("# Cores",'vHosts (Imported)'!$1:$5000,M4942,FALSE)</f>
        <v>0</v>
      </c>
      <c r="D4942" s="52">
        <f>HLOOKUP("# Memory",'vHosts (Imported)'!$1:$5000,M4942,FALSE)</f>
        <v>0</v>
      </c>
      <c r="M4942" s="45">
        <f t="shared" si="233"/>
        <v>4942</v>
      </c>
      <c r="N4942" s="38">
        <f>HLOOKUP("Host",'vInfo (Imported)'!$1:$5000,M4942,FALSE)</f>
        <v>0</v>
      </c>
      <c r="R4942">
        <f>HLOOKUP("CPUs",'vInfo (Imported)'!$1:$5000,M4942,FALSE)</f>
        <v>0</v>
      </c>
      <c r="S4942">
        <f>HLOOKUP("Memory",'vInfo (Imported)'!$1:$5000,M4942,FALSE)</f>
        <v>0</v>
      </c>
      <c r="T4942">
        <f>HLOOKUP("Provisioned MiB",'vInfo (Imported)'!$1:$5000,M4942,FALSE)</f>
        <v>0</v>
      </c>
      <c r="U4942">
        <f t="shared" si="232"/>
        <v>0</v>
      </c>
      <c r="V4942">
        <f>HLOOKUP("In Use MiB",'vInfo (Imported)'!$1:$5000,M4942,FALSE)</f>
        <v>0</v>
      </c>
    </row>
    <row r="4943" spans="1:22" ht="13" x14ac:dyDescent="0.3">
      <c r="A4943" s="46">
        <f>'vHosts (Imported)'!A4943</f>
        <v>0</v>
      </c>
      <c r="B4943" s="51">
        <f t="shared" si="231"/>
        <v>4968</v>
      </c>
      <c r="C4943" s="49">
        <f>HLOOKUP("# Cores",'vHosts (Imported)'!$1:$5000,M4943,FALSE)</f>
        <v>0</v>
      </c>
      <c r="D4943" s="52">
        <f>HLOOKUP("# Memory",'vHosts (Imported)'!$1:$5000,M4943,FALSE)</f>
        <v>0</v>
      </c>
      <c r="M4943" s="45">
        <f t="shared" si="233"/>
        <v>4943</v>
      </c>
      <c r="N4943" s="38">
        <f>HLOOKUP("Host",'vInfo (Imported)'!$1:$5000,M4943,FALSE)</f>
        <v>0</v>
      </c>
      <c r="R4943">
        <f>HLOOKUP("CPUs",'vInfo (Imported)'!$1:$5000,M4943,FALSE)</f>
        <v>0</v>
      </c>
      <c r="S4943">
        <f>HLOOKUP("Memory",'vInfo (Imported)'!$1:$5000,M4943,FALSE)</f>
        <v>0</v>
      </c>
      <c r="T4943">
        <f>HLOOKUP("Provisioned MiB",'vInfo (Imported)'!$1:$5000,M4943,FALSE)</f>
        <v>0</v>
      </c>
      <c r="U4943">
        <f t="shared" si="232"/>
        <v>0</v>
      </c>
      <c r="V4943">
        <f>HLOOKUP("In Use MiB",'vInfo (Imported)'!$1:$5000,M4943,FALSE)</f>
        <v>0</v>
      </c>
    </row>
    <row r="4944" spans="1:22" ht="13" x14ac:dyDescent="0.3">
      <c r="A4944" s="46">
        <f>'vHosts (Imported)'!A4944</f>
        <v>0</v>
      </c>
      <c r="B4944" s="51">
        <f t="shared" si="231"/>
        <v>4968</v>
      </c>
      <c r="C4944" s="49">
        <f>HLOOKUP("# Cores",'vHosts (Imported)'!$1:$5000,M4944,FALSE)</f>
        <v>0</v>
      </c>
      <c r="D4944" s="52">
        <f>HLOOKUP("# Memory",'vHosts (Imported)'!$1:$5000,M4944,FALSE)</f>
        <v>0</v>
      </c>
      <c r="M4944" s="45">
        <f t="shared" si="233"/>
        <v>4944</v>
      </c>
      <c r="N4944" s="38">
        <f>HLOOKUP("Host",'vInfo (Imported)'!$1:$5000,M4944,FALSE)</f>
        <v>0</v>
      </c>
      <c r="R4944">
        <f>HLOOKUP("CPUs",'vInfo (Imported)'!$1:$5000,M4944,FALSE)</f>
        <v>0</v>
      </c>
      <c r="S4944">
        <f>HLOOKUP("Memory",'vInfo (Imported)'!$1:$5000,M4944,FALSE)</f>
        <v>0</v>
      </c>
      <c r="T4944">
        <f>HLOOKUP("Provisioned MiB",'vInfo (Imported)'!$1:$5000,M4944,FALSE)</f>
        <v>0</v>
      </c>
      <c r="U4944">
        <f t="shared" si="232"/>
        <v>0</v>
      </c>
      <c r="V4944">
        <f>HLOOKUP("In Use MiB",'vInfo (Imported)'!$1:$5000,M4944,FALSE)</f>
        <v>0</v>
      </c>
    </row>
    <row r="4945" spans="1:22" ht="13" x14ac:dyDescent="0.3">
      <c r="A4945" s="46">
        <f>'vHosts (Imported)'!A4945</f>
        <v>0</v>
      </c>
      <c r="B4945" s="51">
        <f t="shared" si="231"/>
        <v>4968</v>
      </c>
      <c r="C4945" s="49">
        <f>HLOOKUP("# Cores",'vHosts (Imported)'!$1:$5000,M4945,FALSE)</f>
        <v>0</v>
      </c>
      <c r="D4945" s="52">
        <f>HLOOKUP("# Memory",'vHosts (Imported)'!$1:$5000,M4945,FALSE)</f>
        <v>0</v>
      </c>
      <c r="M4945" s="45">
        <f t="shared" si="233"/>
        <v>4945</v>
      </c>
      <c r="N4945" s="38">
        <f>HLOOKUP("Host",'vInfo (Imported)'!$1:$5000,M4945,FALSE)</f>
        <v>0</v>
      </c>
      <c r="R4945">
        <f>HLOOKUP("CPUs",'vInfo (Imported)'!$1:$5000,M4945,FALSE)</f>
        <v>0</v>
      </c>
      <c r="S4945">
        <f>HLOOKUP("Memory",'vInfo (Imported)'!$1:$5000,M4945,FALSE)</f>
        <v>0</v>
      </c>
      <c r="T4945">
        <f>HLOOKUP("Provisioned MiB",'vInfo (Imported)'!$1:$5000,M4945,FALSE)</f>
        <v>0</v>
      </c>
      <c r="U4945">
        <f t="shared" si="232"/>
        <v>0</v>
      </c>
      <c r="V4945">
        <f>HLOOKUP("In Use MiB",'vInfo (Imported)'!$1:$5000,M4945,FALSE)</f>
        <v>0</v>
      </c>
    </row>
    <row r="4946" spans="1:22" ht="13" x14ac:dyDescent="0.3">
      <c r="A4946" s="46">
        <f>'vHosts (Imported)'!A4946</f>
        <v>0</v>
      </c>
      <c r="B4946" s="51">
        <f t="shared" si="231"/>
        <v>4968</v>
      </c>
      <c r="C4946" s="49">
        <f>HLOOKUP("# Cores",'vHosts (Imported)'!$1:$5000,M4946,FALSE)</f>
        <v>0</v>
      </c>
      <c r="D4946" s="52">
        <f>HLOOKUP("# Memory",'vHosts (Imported)'!$1:$5000,M4946,FALSE)</f>
        <v>0</v>
      </c>
      <c r="M4946" s="45">
        <f t="shared" si="233"/>
        <v>4946</v>
      </c>
      <c r="N4946" s="38">
        <f>HLOOKUP("Host",'vInfo (Imported)'!$1:$5000,M4946,FALSE)</f>
        <v>0</v>
      </c>
      <c r="R4946">
        <f>HLOOKUP("CPUs",'vInfo (Imported)'!$1:$5000,M4946,FALSE)</f>
        <v>0</v>
      </c>
      <c r="S4946">
        <f>HLOOKUP("Memory",'vInfo (Imported)'!$1:$5000,M4946,FALSE)</f>
        <v>0</v>
      </c>
      <c r="T4946">
        <f>HLOOKUP("Provisioned MiB",'vInfo (Imported)'!$1:$5000,M4946,FALSE)</f>
        <v>0</v>
      </c>
      <c r="U4946">
        <f t="shared" si="232"/>
        <v>0</v>
      </c>
      <c r="V4946">
        <f>HLOOKUP("In Use MiB",'vInfo (Imported)'!$1:$5000,M4946,FALSE)</f>
        <v>0</v>
      </c>
    </row>
    <row r="4947" spans="1:22" ht="13" x14ac:dyDescent="0.3">
      <c r="A4947" s="46">
        <f>'vHosts (Imported)'!A4947</f>
        <v>0</v>
      </c>
      <c r="B4947" s="51">
        <f t="shared" si="231"/>
        <v>4968</v>
      </c>
      <c r="C4947" s="49">
        <f>HLOOKUP("# Cores",'vHosts (Imported)'!$1:$5000,M4947,FALSE)</f>
        <v>0</v>
      </c>
      <c r="D4947" s="52">
        <f>HLOOKUP("# Memory",'vHosts (Imported)'!$1:$5000,M4947,FALSE)</f>
        <v>0</v>
      </c>
      <c r="M4947" s="45">
        <f t="shared" si="233"/>
        <v>4947</v>
      </c>
      <c r="N4947" s="38">
        <f>HLOOKUP("Host",'vInfo (Imported)'!$1:$5000,M4947,FALSE)</f>
        <v>0</v>
      </c>
      <c r="R4947">
        <f>HLOOKUP("CPUs",'vInfo (Imported)'!$1:$5000,M4947,FALSE)</f>
        <v>0</v>
      </c>
      <c r="S4947">
        <f>HLOOKUP("Memory",'vInfo (Imported)'!$1:$5000,M4947,FALSE)</f>
        <v>0</v>
      </c>
      <c r="T4947">
        <f>HLOOKUP("Provisioned MiB",'vInfo (Imported)'!$1:$5000,M4947,FALSE)</f>
        <v>0</v>
      </c>
      <c r="U4947">
        <f t="shared" si="232"/>
        <v>0</v>
      </c>
      <c r="V4947">
        <f>HLOOKUP("In Use MiB",'vInfo (Imported)'!$1:$5000,M4947,FALSE)</f>
        <v>0</v>
      </c>
    </row>
    <row r="4948" spans="1:22" ht="13" x14ac:dyDescent="0.3">
      <c r="A4948" s="46">
        <f>'vHosts (Imported)'!A4948</f>
        <v>0</v>
      </c>
      <c r="B4948" s="51">
        <f t="shared" si="231"/>
        <v>4968</v>
      </c>
      <c r="C4948" s="49">
        <f>HLOOKUP("# Cores",'vHosts (Imported)'!$1:$5000,M4948,FALSE)</f>
        <v>0</v>
      </c>
      <c r="D4948" s="52">
        <f>HLOOKUP("# Memory",'vHosts (Imported)'!$1:$5000,M4948,FALSE)</f>
        <v>0</v>
      </c>
      <c r="M4948" s="45">
        <f t="shared" si="233"/>
        <v>4948</v>
      </c>
      <c r="N4948" s="38">
        <f>HLOOKUP("Host",'vInfo (Imported)'!$1:$5000,M4948,FALSE)</f>
        <v>0</v>
      </c>
      <c r="R4948">
        <f>HLOOKUP("CPUs",'vInfo (Imported)'!$1:$5000,M4948,FALSE)</f>
        <v>0</v>
      </c>
      <c r="S4948">
        <f>HLOOKUP("Memory",'vInfo (Imported)'!$1:$5000,M4948,FALSE)</f>
        <v>0</v>
      </c>
      <c r="T4948">
        <f>HLOOKUP("Provisioned MiB",'vInfo (Imported)'!$1:$5000,M4948,FALSE)</f>
        <v>0</v>
      </c>
      <c r="U4948">
        <f t="shared" si="232"/>
        <v>0</v>
      </c>
      <c r="V4948">
        <f>HLOOKUP("In Use MiB",'vInfo (Imported)'!$1:$5000,M4948,FALSE)</f>
        <v>0</v>
      </c>
    </row>
    <row r="4949" spans="1:22" ht="13" x14ac:dyDescent="0.3">
      <c r="A4949" s="46">
        <f>'vHosts (Imported)'!A4949</f>
        <v>0</v>
      </c>
      <c r="B4949" s="51">
        <f t="shared" si="231"/>
        <v>4968</v>
      </c>
      <c r="C4949" s="49">
        <f>HLOOKUP("# Cores",'vHosts (Imported)'!$1:$5000,M4949,FALSE)</f>
        <v>0</v>
      </c>
      <c r="D4949" s="52">
        <f>HLOOKUP("# Memory",'vHosts (Imported)'!$1:$5000,M4949,FALSE)</f>
        <v>0</v>
      </c>
      <c r="M4949" s="45">
        <f t="shared" si="233"/>
        <v>4949</v>
      </c>
      <c r="N4949" s="38">
        <f>HLOOKUP("Host",'vInfo (Imported)'!$1:$5000,M4949,FALSE)</f>
        <v>0</v>
      </c>
      <c r="R4949">
        <f>HLOOKUP("CPUs",'vInfo (Imported)'!$1:$5000,M4949,FALSE)</f>
        <v>0</v>
      </c>
      <c r="S4949">
        <f>HLOOKUP("Memory",'vInfo (Imported)'!$1:$5000,M4949,FALSE)</f>
        <v>0</v>
      </c>
      <c r="T4949">
        <f>HLOOKUP("Provisioned MiB",'vInfo (Imported)'!$1:$5000,M4949,FALSE)</f>
        <v>0</v>
      </c>
      <c r="U4949">
        <f t="shared" si="232"/>
        <v>0</v>
      </c>
      <c r="V4949">
        <f>HLOOKUP("In Use MiB",'vInfo (Imported)'!$1:$5000,M4949,FALSE)</f>
        <v>0</v>
      </c>
    </row>
    <row r="4950" spans="1:22" ht="13" x14ac:dyDescent="0.3">
      <c r="A4950" s="46">
        <f>'vHosts (Imported)'!A4950</f>
        <v>0</v>
      </c>
      <c r="B4950" s="51">
        <f t="shared" si="231"/>
        <v>4968</v>
      </c>
      <c r="C4950" s="49">
        <f>HLOOKUP("# Cores",'vHosts (Imported)'!$1:$5000,M4950,FALSE)</f>
        <v>0</v>
      </c>
      <c r="D4950" s="52">
        <f>HLOOKUP("# Memory",'vHosts (Imported)'!$1:$5000,M4950,FALSE)</f>
        <v>0</v>
      </c>
      <c r="M4950" s="45">
        <f t="shared" si="233"/>
        <v>4950</v>
      </c>
      <c r="N4950" s="38">
        <f>HLOOKUP("Host",'vInfo (Imported)'!$1:$5000,M4950,FALSE)</f>
        <v>0</v>
      </c>
      <c r="R4950">
        <f>HLOOKUP("CPUs",'vInfo (Imported)'!$1:$5000,M4950,FALSE)</f>
        <v>0</v>
      </c>
      <c r="S4950">
        <f>HLOOKUP("Memory",'vInfo (Imported)'!$1:$5000,M4950,FALSE)</f>
        <v>0</v>
      </c>
      <c r="T4950">
        <f>HLOOKUP("Provisioned MiB",'vInfo (Imported)'!$1:$5000,M4950,FALSE)</f>
        <v>0</v>
      </c>
      <c r="U4950">
        <f t="shared" si="232"/>
        <v>0</v>
      </c>
      <c r="V4950">
        <f>HLOOKUP("In Use MiB",'vInfo (Imported)'!$1:$5000,M4950,FALSE)</f>
        <v>0</v>
      </c>
    </row>
    <row r="4951" spans="1:22" ht="13" x14ac:dyDescent="0.3">
      <c r="A4951" s="46">
        <f>'vHosts (Imported)'!A4951</f>
        <v>0</v>
      </c>
      <c r="B4951" s="51">
        <f t="shared" si="231"/>
        <v>4968</v>
      </c>
      <c r="C4951" s="49">
        <f>HLOOKUP("# Cores",'vHosts (Imported)'!$1:$5000,M4951,FALSE)</f>
        <v>0</v>
      </c>
      <c r="D4951" s="52">
        <f>HLOOKUP("# Memory",'vHosts (Imported)'!$1:$5000,M4951,FALSE)</f>
        <v>0</v>
      </c>
      <c r="M4951" s="45">
        <f t="shared" si="233"/>
        <v>4951</v>
      </c>
      <c r="N4951" s="38">
        <f>HLOOKUP("Host",'vInfo (Imported)'!$1:$5000,M4951,FALSE)</f>
        <v>0</v>
      </c>
      <c r="R4951">
        <f>HLOOKUP("CPUs",'vInfo (Imported)'!$1:$5000,M4951,FALSE)</f>
        <v>0</v>
      </c>
      <c r="S4951">
        <f>HLOOKUP("Memory",'vInfo (Imported)'!$1:$5000,M4951,FALSE)</f>
        <v>0</v>
      </c>
      <c r="T4951">
        <f>HLOOKUP("Provisioned MiB",'vInfo (Imported)'!$1:$5000,M4951,FALSE)</f>
        <v>0</v>
      </c>
      <c r="U4951">
        <f t="shared" si="232"/>
        <v>0</v>
      </c>
      <c r="V4951">
        <f>HLOOKUP("In Use MiB",'vInfo (Imported)'!$1:$5000,M4951,FALSE)</f>
        <v>0</v>
      </c>
    </row>
    <row r="4952" spans="1:22" ht="13" x14ac:dyDescent="0.3">
      <c r="A4952" s="46">
        <f>'vHosts (Imported)'!A4952</f>
        <v>0</v>
      </c>
      <c r="B4952" s="51">
        <f t="shared" si="231"/>
        <v>4968</v>
      </c>
      <c r="C4952" s="49">
        <f>HLOOKUP("# Cores",'vHosts (Imported)'!$1:$5000,M4952,FALSE)</f>
        <v>0</v>
      </c>
      <c r="D4952" s="52">
        <f>HLOOKUP("# Memory",'vHosts (Imported)'!$1:$5000,M4952,FALSE)</f>
        <v>0</v>
      </c>
      <c r="M4952" s="45">
        <f t="shared" si="233"/>
        <v>4952</v>
      </c>
      <c r="N4952" s="38">
        <f>HLOOKUP("Host",'vInfo (Imported)'!$1:$5000,M4952,FALSE)</f>
        <v>0</v>
      </c>
      <c r="R4952">
        <f>HLOOKUP("CPUs",'vInfo (Imported)'!$1:$5000,M4952,FALSE)</f>
        <v>0</v>
      </c>
      <c r="S4952">
        <f>HLOOKUP("Memory",'vInfo (Imported)'!$1:$5000,M4952,FALSE)</f>
        <v>0</v>
      </c>
      <c r="T4952">
        <f>HLOOKUP("Provisioned MiB",'vInfo (Imported)'!$1:$5000,M4952,FALSE)</f>
        <v>0</v>
      </c>
      <c r="U4952">
        <f t="shared" si="232"/>
        <v>0</v>
      </c>
      <c r="V4952">
        <f>HLOOKUP("In Use MiB",'vInfo (Imported)'!$1:$5000,M4952,FALSE)</f>
        <v>0</v>
      </c>
    </row>
    <row r="4953" spans="1:22" ht="13" x14ac:dyDescent="0.3">
      <c r="A4953" s="46">
        <f>'vHosts (Imported)'!A4953</f>
        <v>0</v>
      </c>
      <c r="B4953" s="51">
        <f t="shared" si="231"/>
        <v>4968</v>
      </c>
      <c r="C4953" s="49">
        <f>HLOOKUP("# Cores",'vHosts (Imported)'!$1:$5000,M4953,FALSE)</f>
        <v>0</v>
      </c>
      <c r="D4953" s="52">
        <f>HLOOKUP("# Memory",'vHosts (Imported)'!$1:$5000,M4953,FALSE)</f>
        <v>0</v>
      </c>
      <c r="M4953" s="45">
        <f t="shared" si="233"/>
        <v>4953</v>
      </c>
      <c r="N4953" s="38">
        <f>HLOOKUP("Host",'vInfo (Imported)'!$1:$5000,M4953,FALSE)</f>
        <v>0</v>
      </c>
      <c r="R4953">
        <f>HLOOKUP("CPUs",'vInfo (Imported)'!$1:$5000,M4953,FALSE)</f>
        <v>0</v>
      </c>
      <c r="S4953">
        <f>HLOOKUP("Memory",'vInfo (Imported)'!$1:$5000,M4953,FALSE)</f>
        <v>0</v>
      </c>
      <c r="T4953">
        <f>HLOOKUP("Provisioned MiB",'vInfo (Imported)'!$1:$5000,M4953,FALSE)</f>
        <v>0</v>
      </c>
      <c r="U4953">
        <f t="shared" si="232"/>
        <v>0</v>
      </c>
      <c r="V4953">
        <f>HLOOKUP("In Use MiB",'vInfo (Imported)'!$1:$5000,M4953,FALSE)</f>
        <v>0</v>
      </c>
    </row>
    <row r="4954" spans="1:22" ht="13" x14ac:dyDescent="0.3">
      <c r="A4954" s="46">
        <f>'vHosts (Imported)'!A4954</f>
        <v>0</v>
      </c>
      <c r="B4954" s="51">
        <f t="shared" si="231"/>
        <v>4968</v>
      </c>
      <c r="C4954" s="49">
        <f>HLOOKUP("# Cores",'vHosts (Imported)'!$1:$5000,M4954,FALSE)</f>
        <v>0</v>
      </c>
      <c r="D4954" s="52">
        <f>HLOOKUP("# Memory",'vHosts (Imported)'!$1:$5000,M4954,FALSE)</f>
        <v>0</v>
      </c>
      <c r="M4954" s="45">
        <f t="shared" si="233"/>
        <v>4954</v>
      </c>
      <c r="N4954" s="38">
        <f>HLOOKUP("Host",'vInfo (Imported)'!$1:$5000,M4954,FALSE)</f>
        <v>0</v>
      </c>
      <c r="R4954">
        <f>HLOOKUP("CPUs",'vInfo (Imported)'!$1:$5000,M4954,FALSE)</f>
        <v>0</v>
      </c>
      <c r="S4954">
        <f>HLOOKUP("Memory",'vInfo (Imported)'!$1:$5000,M4954,FALSE)</f>
        <v>0</v>
      </c>
      <c r="T4954">
        <f>HLOOKUP("Provisioned MiB",'vInfo (Imported)'!$1:$5000,M4954,FALSE)</f>
        <v>0</v>
      </c>
      <c r="U4954">
        <f t="shared" si="232"/>
        <v>0</v>
      </c>
      <c r="V4954">
        <f>HLOOKUP("In Use MiB",'vInfo (Imported)'!$1:$5000,M4954,FALSE)</f>
        <v>0</v>
      </c>
    </row>
    <row r="4955" spans="1:22" ht="13" x14ac:dyDescent="0.3">
      <c r="A4955" s="46">
        <f>'vHosts (Imported)'!A4955</f>
        <v>0</v>
      </c>
      <c r="B4955" s="51">
        <f t="shared" si="231"/>
        <v>4968</v>
      </c>
      <c r="C4955" s="49">
        <f>HLOOKUP("# Cores",'vHosts (Imported)'!$1:$5000,M4955,FALSE)</f>
        <v>0</v>
      </c>
      <c r="D4955" s="52">
        <f>HLOOKUP("# Memory",'vHosts (Imported)'!$1:$5000,M4955,FALSE)</f>
        <v>0</v>
      </c>
      <c r="M4955" s="45">
        <f t="shared" si="233"/>
        <v>4955</v>
      </c>
      <c r="N4955" s="38">
        <f>HLOOKUP("Host",'vInfo (Imported)'!$1:$5000,M4955,FALSE)</f>
        <v>0</v>
      </c>
      <c r="R4955">
        <f>HLOOKUP("CPUs",'vInfo (Imported)'!$1:$5000,M4955,FALSE)</f>
        <v>0</v>
      </c>
      <c r="S4955">
        <f>HLOOKUP("Memory",'vInfo (Imported)'!$1:$5000,M4955,FALSE)</f>
        <v>0</v>
      </c>
      <c r="T4955">
        <f>HLOOKUP("Provisioned MiB",'vInfo (Imported)'!$1:$5000,M4955,FALSE)</f>
        <v>0</v>
      </c>
      <c r="U4955">
        <f t="shared" si="232"/>
        <v>0</v>
      </c>
      <c r="V4955">
        <f>HLOOKUP("In Use MiB",'vInfo (Imported)'!$1:$5000,M4955,FALSE)</f>
        <v>0</v>
      </c>
    </row>
    <row r="4956" spans="1:22" ht="13" x14ac:dyDescent="0.3">
      <c r="A4956" s="46">
        <f>'vHosts (Imported)'!A4956</f>
        <v>0</v>
      </c>
      <c r="B4956" s="51">
        <f t="shared" si="231"/>
        <v>4968</v>
      </c>
      <c r="C4956" s="49">
        <f>HLOOKUP("# Cores",'vHosts (Imported)'!$1:$5000,M4956,FALSE)</f>
        <v>0</v>
      </c>
      <c r="D4956" s="52">
        <f>HLOOKUP("# Memory",'vHosts (Imported)'!$1:$5000,M4956,FALSE)</f>
        <v>0</v>
      </c>
      <c r="M4956" s="45">
        <f t="shared" si="233"/>
        <v>4956</v>
      </c>
      <c r="N4956" s="38">
        <f>HLOOKUP("Host",'vInfo (Imported)'!$1:$5000,M4956,FALSE)</f>
        <v>0</v>
      </c>
      <c r="R4956">
        <f>HLOOKUP("CPUs",'vInfo (Imported)'!$1:$5000,M4956,FALSE)</f>
        <v>0</v>
      </c>
      <c r="S4956">
        <f>HLOOKUP("Memory",'vInfo (Imported)'!$1:$5000,M4956,FALSE)</f>
        <v>0</v>
      </c>
      <c r="T4956">
        <f>HLOOKUP("Provisioned MiB",'vInfo (Imported)'!$1:$5000,M4956,FALSE)</f>
        <v>0</v>
      </c>
      <c r="U4956">
        <f t="shared" si="232"/>
        <v>0</v>
      </c>
      <c r="V4956">
        <f>HLOOKUP("In Use MiB",'vInfo (Imported)'!$1:$5000,M4956,FALSE)</f>
        <v>0</v>
      </c>
    </row>
    <row r="4957" spans="1:22" ht="13" x14ac:dyDescent="0.3">
      <c r="A4957" s="46">
        <f>'vHosts (Imported)'!A4957</f>
        <v>0</v>
      </c>
      <c r="B4957" s="51">
        <f t="shared" si="231"/>
        <v>4968</v>
      </c>
      <c r="C4957" s="49">
        <f>HLOOKUP("# Cores",'vHosts (Imported)'!$1:$5000,M4957,FALSE)</f>
        <v>0</v>
      </c>
      <c r="D4957" s="52">
        <f>HLOOKUP("# Memory",'vHosts (Imported)'!$1:$5000,M4957,FALSE)</f>
        <v>0</v>
      </c>
      <c r="M4957" s="45">
        <f t="shared" si="233"/>
        <v>4957</v>
      </c>
      <c r="N4957" s="38">
        <f>HLOOKUP("Host",'vInfo (Imported)'!$1:$5000,M4957,FALSE)</f>
        <v>0</v>
      </c>
      <c r="R4957">
        <f>HLOOKUP("CPUs",'vInfo (Imported)'!$1:$5000,M4957,FALSE)</f>
        <v>0</v>
      </c>
      <c r="S4957">
        <f>HLOOKUP("Memory",'vInfo (Imported)'!$1:$5000,M4957,FALSE)</f>
        <v>0</v>
      </c>
      <c r="T4957">
        <f>HLOOKUP("Provisioned MiB",'vInfo (Imported)'!$1:$5000,M4957,FALSE)</f>
        <v>0</v>
      </c>
      <c r="U4957">
        <f t="shared" si="232"/>
        <v>0</v>
      </c>
      <c r="V4957">
        <f>HLOOKUP("In Use MiB",'vInfo (Imported)'!$1:$5000,M4957,FALSE)</f>
        <v>0</v>
      </c>
    </row>
    <row r="4958" spans="1:22" ht="13" x14ac:dyDescent="0.3">
      <c r="A4958" s="46">
        <f>'vHosts (Imported)'!A4958</f>
        <v>0</v>
      </c>
      <c r="B4958" s="51">
        <f t="shared" si="231"/>
        <v>4968</v>
      </c>
      <c r="C4958" s="49">
        <f>HLOOKUP("# Cores",'vHosts (Imported)'!$1:$5000,M4958,FALSE)</f>
        <v>0</v>
      </c>
      <c r="D4958" s="52">
        <f>HLOOKUP("# Memory",'vHosts (Imported)'!$1:$5000,M4958,FALSE)</f>
        <v>0</v>
      </c>
      <c r="M4958" s="45">
        <f t="shared" si="233"/>
        <v>4958</v>
      </c>
      <c r="N4958" s="38">
        <f>HLOOKUP("Host",'vInfo (Imported)'!$1:$5000,M4958,FALSE)</f>
        <v>0</v>
      </c>
      <c r="R4958">
        <f>HLOOKUP("CPUs",'vInfo (Imported)'!$1:$5000,M4958,FALSE)</f>
        <v>0</v>
      </c>
      <c r="S4958">
        <f>HLOOKUP("Memory",'vInfo (Imported)'!$1:$5000,M4958,FALSE)</f>
        <v>0</v>
      </c>
      <c r="T4958">
        <f>HLOOKUP("Provisioned MiB",'vInfo (Imported)'!$1:$5000,M4958,FALSE)</f>
        <v>0</v>
      </c>
      <c r="U4958">
        <f t="shared" si="232"/>
        <v>0</v>
      </c>
      <c r="V4958">
        <f>HLOOKUP("In Use MiB",'vInfo (Imported)'!$1:$5000,M4958,FALSE)</f>
        <v>0</v>
      </c>
    </row>
    <row r="4959" spans="1:22" ht="13" x14ac:dyDescent="0.3">
      <c r="A4959" s="46">
        <f>'vHosts (Imported)'!A4959</f>
        <v>0</v>
      </c>
      <c r="B4959" s="51">
        <f t="shared" si="231"/>
        <v>4968</v>
      </c>
      <c r="C4959" s="49">
        <f>HLOOKUP("# Cores",'vHosts (Imported)'!$1:$5000,M4959,FALSE)</f>
        <v>0</v>
      </c>
      <c r="D4959" s="52">
        <f>HLOOKUP("# Memory",'vHosts (Imported)'!$1:$5000,M4959,FALSE)</f>
        <v>0</v>
      </c>
      <c r="M4959" s="45">
        <f t="shared" si="233"/>
        <v>4959</v>
      </c>
      <c r="N4959" s="38">
        <f>HLOOKUP("Host",'vInfo (Imported)'!$1:$5000,M4959,FALSE)</f>
        <v>0</v>
      </c>
      <c r="R4959">
        <f>HLOOKUP("CPUs",'vInfo (Imported)'!$1:$5000,M4959,FALSE)</f>
        <v>0</v>
      </c>
      <c r="S4959">
        <f>HLOOKUP("Memory",'vInfo (Imported)'!$1:$5000,M4959,FALSE)</f>
        <v>0</v>
      </c>
      <c r="T4959">
        <f>HLOOKUP("Provisioned MiB",'vInfo (Imported)'!$1:$5000,M4959,FALSE)</f>
        <v>0</v>
      </c>
      <c r="U4959">
        <f t="shared" si="232"/>
        <v>0</v>
      </c>
      <c r="V4959">
        <f>HLOOKUP("In Use MiB",'vInfo (Imported)'!$1:$5000,M4959,FALSE)</f>
        <v>0</v>
      </c>
    </row>
    <row r="4960" spans="1:22" ht="13" x14ac:dyDescent="0.3">
      <c r="A4960" s="46">
        <f>'vHosts (Imported)'!A4960</f>
        <v>0</v>
      </c>
      <c r="B4960" s="51">
        <f t="shared" si="231"/>
        <v>4968</v>
      </c>
      <c r="C4960" s="49">
        <f>HLOOKUP("# Cores",'vHosts (Imported)'!$1:$5000,M4960,FALSE)</f>
        <v>0</v>
      </c>
      <c r="D4960" s="52">
        <f>HLOOKUP("# Memory",'vHosts (Imported)'!$1:$5000,M4960,FALSE)</f>
        <v>0</v>
      </c>
      <c r="M4960" s="45">
        <f t="shared" si="233"/>
        <v>4960</v>
      </c>
      <c r="N4960" s="38">
        <f>HLOOKUP("Host",'vInfo (Imported)'!$1:$5000,M4960,FALSE)</f>
        <v>0</v>
      </c>
      <c r="R4960">
        <f>HLOOKUP("CPUs",'vInfo (Imported)'!$1:$5000,M4960,FALSE)</f>
        <v>0</v>
      </c>
      <c r="S4960">
        <f>HLOOKUP("Memory",'vInfo (Imported)'!$1:$5000,M4960,FALSE)</f>
        <v>0</v>
      </c>
      <c r="T4960">
        <f>HLOOKUP("Provisioned MiB",'vInfo (Imported)'!$1:$5000,M4960,FALSE)</f>
        <v>0</v>
      </c>
      <c r="U4960">
        <f t="shared" si="232"/>
        <v>0</v>
      </c>
      <c r="V4960">
        <f>HLOOKUP("In Use MiB",'vInfo (Imported)'!$1:$5000,M4960,FALSE)</f>
        <v>0</v>
      </c>
    </row>
    <row r="4961" spans="1:22" ht="13" x14ac:dyDescent="0.3">
      <c r="A4961" s="46">
        <f>'vHosts (Imported)'!A4961</f>
        <v>0</v>
      </c>
      <c r="B4961" s="51">
        <f t="shared" si="231"/>
        <v>4968</v>
      </c>
      <c r="C4961" s="49">
        <f>HLOOKUP("# Cores",'vHosts (Imported)'!$1:$5000,M4961,FALSE)</f>
        <v>0</v>
      </c>
      <c r="D4961" s="52">
        <f>HLOOKUP("# Memory",'vHosts (Imported)'!$1:$5000,M4961,FALSE)</f>
        <v>0</v>
      </c>
      <c r="M4961" s="45">
        <f t="shared" si="233"/>
        <v>4961</v>
      </c>
      <c r="N4961" s="38">
        <f>HLOOKUP("Host",'vInfo (Imported)'!$1:$5000,M4961,FALSE)</f>
        <v>0</v>
      </c>
      <c r="R4961">
        <f>HLOOKUP("CPUs",'vInfo (Imported)'!$1:$5000,M4961,FALSE)</f>
        <v>0</v>
      </c>
      <c r="S4961">
        <f>HLOOKUP("Memory",'vInfo (Imported)'!$1:$5000,M4961,FALSE)</f>
        <v>0</v>
      </c>
      <c r="T4961">
        <f>HLOOKUP("Provisioned MiB",'vInfo (Imported)'!$1:$5000,M4961,FALSE)</f>
        <v>0</v>
      </c>
      <c r="U4961">
        <f t="shared" si="232"/>
        <v>0</v>
      </c>
      <c r="V4961">
        <f>HLOOKUP("In Use MiB",'vInfo (Imported)'!$1:$5000,M4961,FALSE)</f>
        <v>0</v>
      </c>
    </row>
    <row r="4962" spans="1:22" ht="13" x14ac:dyDescent="0.3">
      <c r="A4962" s="46">
        <f>'vHosts (Imported)'!A4962</f>
        <v>0</v>
      </c>
      <c r="B4962" s="51">
        <f t="shared" si="231"/>
        <v>4968</v>
      </c>
      <c r="C4962" s="49">
        <f>HLOOKUP("# Cores",'vHosts (Imported)'!$1:$5000,M4962,FALSE)</f>
        <v>0</v>
      </c>
      <c r="D4962" s="52">
        <f>HLOOKUP("# Memory",'vHosts (Imported)'!$1:$5000,M4962,FALSE)</f>
        <v>0</v>
      </c>
      <c r="M4962" s="45">
        <f t="shared" si="233"/>
        <v>4962</v>
      </c>
      <c r="N4962" s="38">
        <f>HLOOKUP("Host",'vInfo (Imported)'!$1:$5000,M4962,FALSE)</f>
        <v>0</v>
      </c>
      <c r="R4962">
        <f>HLOOKUP("CPUs",'vInfo (Imported)'!$1:$5000,M4962,FALSE)</f>
        <v>0</v>
      </c>
      <c r="S4962">
        <f>HLOOKUP("Memory",'vInfo (Imported)'!$1:$5000,M4962,FALSE)</f>
        <v>0</v>
      </c>
      <c r="T4962">
        <f>HLOOKUP("Provisioned MiB",'vInfo (Imported)'!$1:$5000,M4962,FALSE)</f>
        <v>0</v>
      </c>
      <c r="U4962">
        <f t="shared" si="232"/>
        <v>0</v>
      </c>
      <c r="V4962">
        <f>HLOOKUP("In Use MiB",'vInfo (Imported)'!$1:$5000,M4962,FALSE)</f>
        <v>0</v>
      </c>
    </row>
    <row r="4963" spans="1:22" ht="13" x14ac:dyDescent="0.3">
      <c r="A4963" s="46">
        <f>'vHosts (Imported)'!A4963</f>
        <v>0</v>
      </c>
      <c r="B4963" s="51">
        <f t="shared" si="231"/>
        <v>4968</v>
      </c>
      <c r="C4963" s="49">
        <f>HLOOKUP("# Cores",'vHosts (Imported)'!$1:$5000,M4963,FALSE)</f>
        <v>0</v>
      </c>
      <c r="D4963" s="52">
        <f>HLOOKUP("# Memory",'vHosts (Imported)'!$1:$5000,M4963,FALSE)</f>
        <v>0</v>
      </c>
      <c r="M4963" s="45">
        <f t="shared" si="233"/>
        <v>4963</v>
      </c>
      <c r="N4963" s="38">
        <f>HLOOKUP("Host",'vInfo (Imported)'!$1:$5000,M4963,FALSE)</f>
        <v>0</v>
      </c>
      <c r="R4963">
        <f>HLOOKUP("CPUs",'vInfo (Imported)'!$1:$5000,M4963,FALSE)</f>
        <v>0</v>
      </c>
      <c r="S4963">
        <f>HLOOKUP("Memory",'vInfo (Imported)'!$1:$5000,M4963,FALSE)</f>
        <v>0</v>
      </c>
      <c r="T4963">
        <f>HLOOKUP("Provisioned MiB",'vInfo (Imported)'!$1:$5000,M4963,FALSE)</f>
        <v>0</v>
      </c>
      <c r="U4963">
        <f t="shared" si="232"/>
        <v>0</v>
      </c>
      <c r="V4963">
        <f>HLOOKUP("In Use MiB",'vInfo (Imported)'!$1:$5000,M4963,FALSE)</f>
        <v>0</v>
      </c>
    </row>
    <row r="4964" spans="1:22" ht="13" x14ac:dyDescent="0.3">
      <c r="A4964" s="46">
        <f>'vHosts (Imported)'!A4964</f>
        <v>0</v>
      </c>
      <c r="B4964" s="51">
        <f t="shared" si="231"/>
        <v>4968</v>
      </c>
      <c r="C4964" s="49">
        <f>HLOOKUP("# Cores",'vHosts (Imported)'!$1:$5000,M4964,FALSE)</f>
        <v>0</v>
      </c>
      <c r="D4964" s="52">
        <f>HLOOKUP("# Memory",'vHosts (Imported)'!$1:$5000,M4964,FALSE)</f>
        <v>0</v>
      </c>
      <c r="M4964" s="45">
        <f t="shared" si="233"/>
        <v>4964</v>
      </c>
      <c r="N4964" s="38">
        <f>HLOOKUP("Host",'vInfo (Imported)'!$1:$5000,M4964,FALSE)</f>
        <v>0</v>
      </c>
      <c r="R4964">
        <f>HLOOKUP("CPUs",'vInfo (Imported)'!$1:$5000,M4964,FALSE)</f>
        <v>0</v>
      </c>
      <c r="S4964">
        <f>HLOOKUP("Memory",'vInfo (Imported)'!$1:$5000,M4964,FALSE)</f>
        <v>0</v>
      </c>
      <c r="T4964">
        <f>HLOOKUP("Provisioned MiB",'vInfo (Imported)'!$1:$5000,M4964,FALSE)</f>
        <v>0</v>
      </c>
      <c r="U4964">
        <f t="shared" si="232"/>
        <v>0</v>
      </c>
      <c r="V4964">
        <f>HLOOKUP("In Use MiB",'vInfo (Imported)'!$1:$5000,M4964,FALSE)</f>
        <v>0</v>
      </c>
    </row>
    <row r="4965" spans="1:22" ht="13" x14ac:dyDescent="0.3">
      <c r="A4965" s="46">
        <f>'vHosts (Imported)'!A4965</f>
        <v>0</v>
      </c>
      <c r="B4965" s="51">
        <f t="shared" si="231"/>
        <v>4968</v>
      </c>
      <c r="C4965" s="49">
        <f>HLOOKUP("# Cores",'vHosts (Imported)'!$1:$5000,M4965,FALSE)</f>
        <v>0</v>
      </c>
      <c r="D4965" s="52">
        <f>HLOOKUP("# Memory",'vHosts (Imported)'!$1:$5000,M4965,FALSE)</f>
        <v>0</v>
      </c>
      <c r="M4965" s="45">
        <f t="shared" si="233"/>
        <v>4965</v>
      </c>
      <c r="N4965" s="38">
        <f>HLOOKUP("Host",'vInfo (Imported)'!$1:$5000,M4965,FALSE)</f>
        <v>0</v>
      </c>
      <c r="R4965">
        <f>HLOOKUP("CPUs",'vInfo (Imported)'!$1:$5000,M4965,FALSE)</f>
        <v>0</v>
      </c>
      <c r="S4965">
        <f>HLOOKUP("Memory",'vInfo (Imported)'!$1:$5000,M4965,FALSE)</f>
        <v>0</v>
      </c>
      <c r="T4965">
        <f>HLOOKUP("Provisioned MiB",'vInfo (Imported)'!$1:$5000,M4965,FALSE)</f>
        <v>0</v>
      </c>
      <c r="U4965">
        <f t="shared" si="232"/>
        <v>0</v>
      </c>
      <c r="V4965">
        <f>HLOOKUP("In Use MiB",'vInfo (Imported)'!$1:$5000,M4965,FALSE)</f>
        <v>0</v>
      </c>
    </row>
    <row r="4966" spans="1:22" ht="13" x14ac:dyDescent="0.3">
      <c r="A4966" s="46">
        <f>'vHosts (Imported)'!A4966</f>
        <v>0</v>
      </c>
      <c r="B4966" s="51">
        <f t="shared" si="231"/>
        <v>4968</v>
      </c>
      <c r="C4966" s="49">
        <f>HLOOKUP("# Cores",'vHosts (Imported)'!$1:$5000,M4966,FALSE)</f>
        <v>0</v>
      </c>
      <c r="D4966" s="52">
        <f>HLOOKUP("# Memory",'vHosts (Imported)'!$1:$5000,M4966,FALSE)</f>
        <v>0</v>
      </c>
      <c r="M4966" s="45">
        <f t="shared" si="233"/>
        <v>4966</v>
      </c>
      <c r="N4966" s="38">
        <f>HLOOKUP("Host",'vInfo (Imported)'!$1:$5000,M4966,FALSE)</f>
        <v>0</v>
      </c>
      <c r="R4966">
        <f>HLOOKUP("CPUs",'vInfo (Imported)'!$1:$5000,M4966,FALSE)</f>
        <v>0</v>
      </c>
      <c r="S4966">
        <f>HLOOKUP("Memory",'vInfo (Imported)'!$1:$5000,M4966,FALSE)</f>
        <v>0</v>
      </c>
      <c r="T4966">
        <f>HLOOKUP("Provisioned MiB",'vInfo (Imported)'!$1:$5000,M4966,FALSE)</f>
        <v>0</v>
      </c>
      <c r="U4966">
        <f t="shared" si="232"/>
        <v>0</v>
      </c>
      <c r="V4966">
        <f>HLOOKUP("In Use MiB",'vInfo (Imported)'!$1:$5000,M4966,FALSE)</f>
        <v>0</v>
      </c>
    </row>
    <row r="4967" spans="1:22" ht="13" x14ac:dyDescent="0.3">
      <c r="A4967" s="46">
        <f>'vHosts (Imported)'!A4967</f>
        <v>0</v>
      </c>
      <c r="B4967" s="51">
        <f t="shared" si="231"/>
        <v>4968</v>
      </c>
      <c r="C4967" s="49">
        <f>HLOOKUP("# Cores",'vHosts (Imported)'!$1:$5000,M4967,FALSE)</f>
        <v>0</v>
      </c>
      <c r="D4967" s="52">
        <f>HLOOKUP("# Memory",'vHosts (Imported)'!$1:$5000,M4967,FALSE)</f>
        <v>0</v>
      </c>
      <c r="M4967" s="45">
        <f t="shared" si="233"/>
        <v>4967</v>
      </c>
      <c r="N4967" s="38">
        <f>HLOOKUP("Host",'vInfo (Imported)'!$1:$5000,M4967,FALSE)</f>
        <v>0</v>
      </c>
      <c r="R4967">
        <f>HLOOKUP("CPUs",'vInfo (Imported)'!$1:$5000,M4967,FALSE)</f>
        <v>0</v>
      </c>
      <c r="S4967">
        <f>HLOOKUP("Memory",'vInfo (Imported)'!$1:$5000,M4967,FALSE)</f>
        <v>0</v>
      </c>
      <c r="T4967">
        <f>HLOOKUP("Provisioned MiB",'vInfo (Imported)'!$1:$5000,M4967,FALSE)</f>
        <v>0</v>
      </c>
      <c r="U4967">
        <f t="shared" si="232"/>
        <v>0</v>
      </c>
      <c r="V4967">
        <f>HLOOKUP("In Use MiB",'vInfo (Imported)'!$1:$5000,M4967,FALSE)</f>
        <v>0</v>
      </c>
    </row>
    <row r="4968" spans="1:22" ht="13" x14ac:dyDescent="0.3">
      <c r="A4968" s="46">
        <f>'vHosts (Imported)'!A4968</f>
        <v>0</v>
      </c>
      <c r="B4968" s="51">
        <f t="shared" ref="B4968:B5000" si="234">COUNTIF(N:N,A4968)</f>
        <v>4968</v>
      </c>
      <c r="C4968" s="49">
        <f>HLOOKUP("# Cores",'vHosts (Imported)'!$1:$5000,M4968,FALSE)</f>
        <v>0</v>
      </c>
      <c r="D4968" s="52">
        <f>HLOOKUP("# Memory",'vHosts (Imported)'!$1:$5000,M4968,FALSE)</f>
        <v>0</v>
      </c>
      <c r="M4968" s="45">
        <f t="shared" si="233"/>
        <v>4968</v>
      </c>
      <c r="N4968" s="38">
        <f>HLOOKUP("Host",'vInfo (Imported)'!$1:$5000,M4968,FALSE)</f>
        <v>0</v>
      </c>
      <c r="R4968">
        <f>HLOOKUP("CPUs",'vInfo (Imported)'!$1:$5000,M4968,FALSE)</f>
        <v>0</v>
      </c>
      <c r="S4968">
        <f>HLOOKUP("Memory",'vInfo (Imported)'!$1:$5000,M4968,FALSE)</f>
        <v>0</v>
      </c>
      <c r="T4968">
        <f>HLOOKUP("Provisioned MiB",'vInfo (Imported)'!$1:$5000,M4968,FALSE)</f>
        <v>0</v>
      </c>
      <c r="U4968">
        <f t="shared" si="232"/>
        <v>0</v>
      </c>
      <c r="V4968">
        <f>HLOOKUP("In Use MiB",'vInfo (Imported)'!$1:$5000,M4968,FALSE)</f>
        <v>0</v>
      </c>
    </row>
    <row r="4969" spans="1:22" ht="13" x14ac:dyDescent="0.3">
      <c r="A4969" s="46">
        <f>'vHosts (Imported)'!A4969</f>
        <v>0</v>
      </c>
      <c r="B4969" s="51">
        <f t="shared" si="234"/>
        <v>4968</v>
      </c>
      <c r="C4969" s="49">
        <f>HLOOKUP("# Cores",'vHosts (Imported)'!$1:$5000,M4969,FALSE)</f>
        <v>0</v>
      </c>
      <c r="D4969" s="52">
        <f>HLOOKUP("# Memory",'vHosts (Imported)'!$1:$5000,M4969,FALSE)</f>
        <v>0</v>
      </c>
      <c r="M4969" s="45">
        <f t="shared" si="233"/>
        <v>4969</v>
      </c>
      <c r="N4969" s="38">
        <f>HLOOKUP("Host",'vInfo (Imported)'!$1:$5000,M4969,FALSE)</f>
        <v>0</v>
      </c>
      <c r="R4969">
        <f>HLOOKUP("CPUs",'vInfo (Imported)'!$1:$5000,M4969,FALSE)</f>
        <v>0</v>
      </c>
      <c r="S4969">
        <f>HLOOKUP("Memory",'vInfo (Imported)'!$1:$5000,M4969,FALSE)</f>
        <v>0</v>
      </c>
      <c r="T4969">
        <f>HLOOKUP("Provisioned MiB",'vInfo (Imported)'!$1:$5000,M4969,FALSE)</f>
        <v>0</v>
      </c>
      <c r="U4969">
        <f t="shared" si="232"/>
        <v>0</v>
      </c>
      <c r="V4969">
        <f>HLOOKUP("In Use MiB",'vInfo (Imported)'!$1:$5000,M4969,FALSE)</f>
        <v>0</v>
      </c>
    </row>
    <row r="4970" spans="1:22" ht="13" x14ac:dyDescent="0.3">
      <c r="A4970" s="46">
        <f>'vHosts (Imported)'!A4970</f>
        <v>0</v>
      </c>
      <c r="B4970" s="51">
        <f t="shared" si="234"/>
        <v>4968</v>
      </c>
      <c r="C4970" s="49">
        <f>HLOOKUP("# Cores",'vHosts (Imported)'!$1:$5000,M4970,FALSE)</f>
        <v>0</v>
      </c>
      <c r="D4970" s="52">
        <f>HLOOKUP("# Memory",'vHosts (Imported)'!$1:$5000,M4970,FALSE)</f>
        <v>0</v>
      </c>
      <c r="M4970" s="45">
        <f t="shared" si="233"/>
        <v>4970</v>
      </c>
      <c r="N4970" s="38">
        <f>HLOOKUP("Host",'vInfo (Imported)'!$1:$5000,M4970,FALSE)</f>
        <v>0</v>
      </c>
      <c r="R4970">
        <f>HLOOKUP("CPUs",'vInfo (Imported)'!$1:$5000,M4970,FALSE)</f>
        <v>0</v>
      </c>
      <c r="S4970">
        <f>HLOOKUP("Memory",'vInfo (Imported)'!$1:$5000,M4970,FALSE)</f>
        <v>0</v>
      </c>
      <c r="T4970">
        <f>HLOOKUP("Provisioned MiB",'vInfo (Imported)'!$1:$5000,M4970,FALSE)</f>
        <v>0</v>
      </c>
      <c r="U4970">
        <f t="shared" si="232"/>
        <v>0</v>
      </c>
      <c r="V4970">
        <f>HLOOKUP("In Use MiB",'vInfo (Imported)'!$1:$5000,M4970,FALSE)</f>
        <v>0</v>
      </c>
    </row>
    <row r="4971" spans="1:22" ht="13" x14ac:dyDescent="0.3">
      <c r="A4971" s="46">
        <f>'vHosts (Imported)'!A4971</f>
        <v>0</v>
      </c>
      <c r="B4971" s="51">
        <f t="shared" si="234"/>
        <v>4968</v>
      </c>
      <c r="C4971" s="49">
        <f>HLOOKUP("# Cores",'vHosts (Imported)'!$1:$5000,M4971,FALSE)</f>
        <v>0</v>
      </c>
      <c r="D4971" s="52">
        <f>HLOOKUP("# Memory",'vHosts (Imported)'!$1:$5000,M4971,FALSE)</f>
        <v>0</v>
      </c>
      <c r="M4971" s="45">
        <f t="shared" si="233"/>
        <v>4971</v>
      </c>
      <c r="N4971" s="38">
        <f>HLOOKUP("Host",'vInfo (Imported)'!$1:$5000,M4971,FALSE)</f>
        <v>0</v>
      </c>
      <c r="R4971">
        <f>HLOOKUP("CPUs",'vInfo (Imported)'!$1:$5000,M4971,FALSE)</f>
        <v>0</v>
      </c>
      <c r="S4971">
        <f>HLOOKUP("Memory",'vInfo (Imported)'!$1:$5000,M4971,FALSE)</f>
        <v>0</v>
      </c>
      <c r="T4971">
        <f>HLOOKUP("Provisioned MiB",'vInfo (Imported)'!$1:$5000,M4971,FALSE)</f>
        <v>0</v>
      </c>
      <c r="U4971">
        <f t="shared" si="232"/>
        <v>0</v>
      </c>
      <c r="V4971">
        <f>HLOOKUP("In Use MiB",'vInfo (Imported)'!$1:$5000,M4971,FALSE)</f>
        <v>0</v>
      </c>
    </row>
    <row r="4972" spans="1:22" ht="13" x14ac:dyDescent="0.3">
      <c r="A4972" s="46">
        <f>'vHosts (Imported)'!A4972</f>
        <v>0</v>
      </c>
      <c r="B4972" s="51">
        <f t="shared" si="234"/>
        <v>4968</v>
      </c>
      <c r="C4972" s="49">
        <f>HLOOKUP("# Cores",'vHosts (Imported)'!$1:$5000,M4972,FALSE)</f>
        <v>0</v>
      </c>
      <c r="D4972" s="52">
        <f>HLOOKUP("# Memory",'vHosts (Imported)'!$1:$5000,M4972,FALSE)</f>
        <v>0</v>
      </c>
      <c r="M4972" s="45">
        <f t="shared" si="233"/>
        <v>4972</v>
      </c>
      <c r="N4972" s="38">
        <f>HLOOKUP("Host",'vInfo (Imported)'!$1:$5000,M4972,FALSE)</f>
        <v>0</v>
      </c>
      <c r="R4972">
        <f>HLOOKUP("CPUs",'vInfo (Imported)'!$1:$5000,M4972,FALSE)</f>
        <v>0</v>
      </c>
      <c r="S4972">
        <f>HLOOKUP("Memory",'vInfo (Imported)'!$1:$5000,M4972,FALSE)</f>
        <v>0</v>
      </c>
      <c r="T4972">
        <f>HLOOKUP("Provisioned MiB",'vInfo (Imported)'!$1:$5000,M4972,FALSE)</f>
        <v>0</v>
      </c>
      <c r="U4972">
        <f t="shared" si="232"/>
        <v>0</v>
      </c>
      <c r="V4972">
        <f>HLOOKUP("In Use MiB",'vInfo (Imported)'!$1:$5000,M4972,FALSE)</f>
        <v>0</v>
      </c>
    </row>
    <row r="4973" spans="1:22" ht="13" x14ac:dyDescent="0.3">
      <c r="A4973" s="46">
        <f>'vHosts (Imported)'!A4973</f>
        <v>0</v>
      </c>
      <c r="B4973" s="51">
        <f t="shared" si="234"/>
        <v>4968</v>
      </c>
      <c r="C4973" s="49">
        <f>HLOOKUP("# Cores",'vHosts (Imported)'!$1:$5000,M4973,FALSE)</f>
        <v>0</v>
      </c>
      <c r="D4973" s="52">
        <f>HLOOKUP("# Memory",'vHosts (Imported)'!$1:$5000,M4973,FALSE)</f>
        <v>0</v>
      </c>
      <c r="M4973" s="45">
        <f t="shared" si="233"/>
        <v>4973</v>
      </c>
      <c r="N4973" s="38">
        <f>HLOOKUP("Host",'vInfo (Imported)'!$1:$5000,M4973,FALSE)</f>
        <v>0</v>
      </c>
      <c r="R4973">
        <f>HLOOKUP("CPUs",'vInfo (Imported)'!$1:$5000,M4973,FALSE)</f>
        <v>0</v>
      </c>
      <c r="S4973">
        <f>HLOOKUP("Memory",'vInfo (Imported)'!$1:$5000,M4973,FALSE)</f>
        <v>0</v>
      </c>
      <c r="T4973">
        <f>HLOOKUP("Provisioned MiB",'vInfo (Imported)'!$1:$5000,M4973,FALSE)</f>
        <v>0</v>
      </c>
      <c r="U4973">
        <f t="shared" si="232"/>
        <v>0</v>
      </c>
      <c r="V4973">
        <f>HLOOKUP("In Use MiB",'vInfo (Imported)'!$1:$5000,M4973,FALSE)</f>
        <v>0</v>
      </c>
    </row>
    <row r="4974" spans="1:22" ht="13" x14ac:dyDescent="0.3">
      <c r="A4974" s="46">
        <f>'vHosts (Imported)'!A4974</f>
        <v>0</v>
      </c>
      <c r="B4974" s="51">
        <f t="shared" si="234"/>
        <v>4968</v>
      </c>
      <c r="C4974" s="49">
        <f>HLOOKUP("# Cores",'vHosts (Imported)'!$1:$5000,M4974,FALSE)</f>
        <v>0</v>
      </c>
      <c r="D4974" s="52">
        <f>HLOOKUP("# Memory",'vHosts (Imported)'!$1:$5000,M4974,FALSE)</f>
        <v>0</v>
      </c>
      <c r="M4974" s="45">
        <f t="shared" si="233"/>
        <v>4974</v>
      </c>
      <c r="N4974" s="38">
        <f>HLOOKUP("Host",'vInfo (Imported)'!$1:$5000,M4974,FALSE)</f>
        <v>0</v>
      </c>
      <c r="R4974">
        <f>HLOOKUP("CPUs",'vInfo (Imported)'!$1:$5000,M4974,FALSE)</f>
        <v>0</v>
      </c>
      <c r="S4974">
        <f>HLOOKUP("Memory",'vInfo (Imported)'!$1:$5000,M4974,FALSE)</f>
        <v>0</v>
      </c>
      <c r="T4974">
        <f>HLOOKUP("Provisioned MiB",'vInfo (Imported)'!$1:$5000,M4974,FALSE)</f>
        <v>0</v>
      </c>
      <c r="U4974">
        <f t="shared" si="232"/>
        <v>0</v>
      </c>
      <c r="V4974">
        <f>HLOOKUP("In Use MiB",'vInfo (Imported)'!$1:$5000,M4974,FALSE)</f>
        <v>0</v>
      </c>
    </row>
    <row r="4975" spans="1:22" ht="13" x14ac:dyDescent="0.3">
      <c r="A4975" s="46">
        <f>'vHosts (Imported)'!A4975</f>
        <v>0</v>
      </c>
      <c r="B4975" s="51">
        <f t="shared" si="234"/>
        <v>4968</v>
      </c>
      <c r="C4975" s="49">
        <f>HLOOKUP("# Cores",'vHosts (Imported)'!$1:$5000,M4975,FALSE)</f>
        <v>0</v>
      </c>
      <c r="D4975" s="52">
        <f>HLOOKUP("# Memory",'vHosts (Imported)'!$1:$5000,M4975,FALSE)</f>
        <v>0</v>
      </c>
      <c r="M4975" s="45">
        <f t="shared" si="233"/>
        <v>4975</v>
      </c>
      <c r="N4975" s="38">
        <f>HLOOKUP("Host",'vInfo (Imported)'!$1:$5000,M4975,FALSE)</f>
        <v>0</v>
      </c>
      <c r="R4975">
        <f>HLOOKUP("CPUs",'vInfo (Imported)'!$1:$5000,M4975,FALSE)</f>
        <v>0</v>
      </c>
      <c r="S4975">
        <f>HLOOKUP("Memory",'vInfo (Imported)'!$1:$5000,M4975,FALSE)</f>
        <v>0</v>
      </c>
      <c r="T4975">
        <f>HLOOKUP("Provisioned MiB",'vInfo (Imported)'!$1:$5000,M4975,FALSE)</f>
        <v>0</v>
      </c>
      <c r="U4975">
        <f t="shared" si="232"/>
        <v>0</v>
      </c>
      <c r="V4975">
        <f>HLOOKUP("In Use MiB",'vInfo (Imported)'!$1:$5000,M4975,FALSE)</f>
        <v>0</v>
      </c>
    </row>
    <row r="4976" spans="1:22" ht="13" x14ac:dyDescent="0.3">
      <c r="A4976" s="46">
        <f>'vHosts (Imported)'!A4976</f>
        <v>0</v>
      </c>
      <c r="B4976" s="51">
        <f t="shared" si="234"/>
        <v>4968</v>
      </c>
      <c r="C4976" s="49">
        <f>HLOOKUP("# Cores",'vHosts (Imported)'!$1:$5000,M4976,FALSE)</f>
        <v>0</v>
      </c>
      <c r="D4976" s="52">
        <f>HLOOKUP("# Memory",'vHosts (Imported)'!$1:$5000,M4976,FALSE)</f>
        <v>0</v>
      </c>
      <c r="M4976" s="45">
        <f t="shared" si="233"/>
        <v>4976</v>
      </c>
      <c r="N4976" s="38">
        <f>HLOOKUP("Host",'vInfo (Imported)'!$1:$5000,M4976,FALSE)</f>
        <v>0</v>
      </c>
      <c r="R4976">
        <f>HLOOKUP("CPUs",'vInfo (Imported)'!$1:$5000,M4976,FALSE)</f>
        <v>0</v>
      </c>
      <c r="S4976">
        <f>HLOOKUP("Memory",'vInfo (Imported)'!$1:$5000,M4976,FALSE)</f>
        <v>0</v>
      </c>
      <c r="T4976">
        <f>HLOOKUP("Provisioned MiB",'vInfo (Imported)'!$1:$5000,M4976,FALSE)</f>
        <v>0</v>
      </c>
      <c r="U4976">
        <f t="shared" si="232"/>
        <v>0</v>
      </c>
      <c r="V4976">
        <f>HLOOKUP("In Use MiB",'vInfo (Imported)'!$1:$5000,M4976,FALSE)</f>
        <v>0</v>
      </c>
    </row>
    <row r="4977" spans="1:22" ht="13" x14ac:dyDescent="0.3">
      <c r="A4977" s="46">
        <f>'vHosts (Imported)'!A4977</f>
        <v>0</v>
      </c>
      <c r="B4977" s="51">
        <f t="shared" si="234"/>
        <v>4968</v>
      </c>
      <c r="C4977" s="49">
        <f>HLOOKUP("# Cores",'vHosts (Imported)'!$1:$5000,M4977,FALSE)</f>
        <v>0</v>
      </c>
      <c r="D4977" s="52">
        <f>HLOOKUP("# Memory",'vHosts (Imported)'!$1:$5000,M4977,FALSE)</f>
        <v>0</v>
      </c>
      <c r="M4977" s="45">
        <f t="shared" si="233"/>
        <v>4977</v>
      </c>
      <c r="N4977" s="38">
        <f>HLOOKUP("Host",'vInfo (Imported)'!$1:$5000,M4977,FALSE)</f>
        <v>0</v>
      </c>
      <c r="R4977">
        <f>HLOOKUP("CPUs",'vInfo (Imported)'!$1:$5000,M4977,FALSE)</f>
        <v>0</v>
      </c>
      <c r="S4977">
        <f>HLOOKUP("Memory",'vInfo (Imported)'!$1:$5000,M4977,FALSE)</f>
        <v>0</v>
      </c>
      <c r="T4977">
        <f>HLOOKUP("Provisioned MiB",'vInfo (Imported)'!$1:$5000,M4977,FALSE)</f>
        <v>0</v>
      </c>
      <c r="U4977">
        <f t="shared" si="232"/>
        <v>0</v>
      </c>
      <c r="V4977">
        <f>HLOOKUP("In Use MiB",'vInfo (Imported)'!$1:$5000,M4977,FALSE)</f>
        <v>0</v>
      </c>
    </row>
    <row r="4978" spans="1:22" ht="13" x14ac:dyDescent="0.3">
      <c r="A4978" s="46">
        <f>'vHosts (Imported)'!A4978</f>
        <v>0</v>
      </c>
      <c r="B4978" s="51">
        <f t="shared" si="234"/>
        <v>4968</v>
      </c>
      <c r="C4978" s="49">
        <f>HLOOKUP("# Cores",'vHosts (Imported)'!$1:$5000,M4978,FALSE)</f>
        <v>0</v>
      </c>
      <c r="D4978" s="52">
        <f>HLOOKUP("# Memory",'vHosts (Imported)'!$1:$5000,M4978,FALSE)</f>
        <v>0</v>
      </c>
      <c r="M4978" s="45">
        <f t="shared" si="233"/>
        <v>4978</v>
      </c>
      <c r="N4978" s="38">
        <f>HLOOKUP("Host",'vInfo (Imported)'!$1:$5000,M4978,FALSE)</f>
        <v>0</v>
      </c>
      <c r="R4978">
        <f>HLOOKUP("CPUs",'vInfo (Imported)'!$1:$5000,M4978,FALSE)</f>
        <v>0</v>
      </c>
      <c r="S4978">
        <f>HLOOKUP("Memory",'vInfo (Imported)'!$1:$5000,M4978,FALSE)</f>
        <v>0</v>
      </c>
      <c r="T4978">
        <f>HLOOKUP("Provisioned MiB",'vInfo (Imported)'!$1:$5000,M4978,FALSE)</f>
        <v>0</v>
      </c>
      <c r="U4978">
        <f t="shared" si="232"/>
        <v>0</v>
      </c>
      <c r="V4978">
        <f>HLOOKUP("In Use MiB",'vInfo (Imported)'!$1:$5000,M4978,FALSE)</f>
        <v>0</v>
      </c>
    </row>
    <row r="4979" spans="1:22" ht="13" x14ac:dyDescent="0.3">
      <c r="A4979" s="46">
        <f>'vHosts (Imported)'!A4979</f>
        <v>0</v>
      </c>
      <c r="B4979" s="51">
        <f t="shared" si="234"/>
        <v>4968</v>
      </c>
      <c r="C4979" s="49">
        <f>HLOOKUP("# Cores",'vHosts (Imported)'!$1:$5000,M4979,FALSE)</f>
        <v>0</v>
      </c>
      <c r="D4979" s="52">
        <f>HLOOKUP("# Memory",'vHosts (Imported)'!$1:$5000,M4979,FALSE)</f>
        <v>0</v>
      </c>
      <c r="M4979" s="45">
        <f t="shared" si="233"/>
        <v>4979</v>
      </c>
      <c r="N4979" s="38">
        <f>HLOOKUP("Host",'vInfo (Imported)'!$1:$5000,M4979,FALSE)</f>
        <v>0</v>
      </c>
      <c r="R4979">
        <f>HLOOKUP("CPUs",'vInfo (Imported)'!$1:$5000,M4979,FALSE)</f>
        <v>0</v>
      </c>
      <c r="S4979">
        <f>HLOOKUP("Memory",'vInfo (Imported)'!$1:$5000,M4979,FALSE)</f>
        <v>0</v>
      </c>
      <c r="T4979">
        <f>HLOOKUP("Provisioned MiB",'vInfo (Imported)'!$1:$5000,M4979,FALSE)</f>
        <v>0</v>
      </c>
      <c r="U4979">
        <f t="shared" si="232"/>
        <v>0</v>
      </c>
      <c r="V4979">
        <f>HLOOKUP("In Use MiB",'vInfo (Imported)'!$1:$5000,M4979,FALSE)</f>
        <v>0</v>
      </c>
    </row>
    <row r="4980" spans="1:22" ht="13" x14ac:dyDescent="0.3">
      <c r="A4980" s="46">
        <f>'vHosts (Imported)'!A4980</f>
        <v>0</v>
      </c>
      <c r="B4980" s="51">
        <f t="shared" si="234"/>
        <v>4968</v>
      </c>
      <c r="C4980" s="49">
        <f>HLOOKUP("# Cores",'vHosts (Imported)'!$1:$5000,M4980,FALSE)</f>
        <v>0</v>
      </c>
      <c r="D4980" s="52">
        <f>HLOOKUP("# Memory",'vHosts (Imported)'!$1:$5000,M4980,FALSE)</f>
        <v>0</v>
      </c>
      <c r="M4980" s="45">
        <f t="shared" si="233"/>
        <v>4980</v>
      </c>
      <c r="N4980" s="38">
        <f>HLOOKUP("Host",'vInfo (Imported)'!$1:$5000,M4980,FALSE)</f>
        <v>0</v>
      </c>
      <c r="R4980">
        <f>HLOOKUP("CPUs",'vInfo (Imported)'!$1:$5000,M4980,FALSE)</f>
        <v>0</v>
      </c>
      <c r="S4980">
        <f>HLOOKUP("Memory",'vInfo (Imported)'!$1:$5000,M4980,FALSE)</f>
        <v>0</v>
      </c>
      <c r="T4980">
        <f>HLOOKUP("Provisioned MiB",'vInfo (Imported)'!$1:$5000,M4980,FALSE)</f>
        <v>0</v>
      </c>
      <c r="U4980">
        <f t="shared" si="232"/>
        <v>0</v>
      </c>
      <c r="V4980">
        <f>HLOOKUP("In Use MiB",'vInfo (Imported)'!$1:$5000,M4980,FALSE)</f>
        <v>0</v>
      </c>
    </row>
    <row r="4981" spans="1:22" ht="13" x14ac:dyDescent="0.3">
      <c r="A4981" s="46">
        <f>'vHosts (Imported)'!A4981</f>
        <v>0</v>
      </c>
      <c r="B4981" s="51">
        <f t="shared" si="234"/>
        <v>4968</v>
      </c>
      <c r="C4981" s="49">
        <f>HLOOKUP("# Cores",'vHosts (Imported)'!$1:$5000,M4981,FALSE)</f>
        <v>0</v>
      </c>
      <c r="D4981" s="52">
        <f>HLOOKUP("# Memory",'vHosts (Imported)'!$1:$5000,M4981,FALSE)</f>
        <v>0</v>
      </c>
      <c r="M4981" s="45">
        <f t="shared" si="233"/>
        <v>4981</v>
      </c>
      <c r="N4981" s="38">
        <f>HLOOKUP("Host",'vInfo (Imported)'!$1:$5000,M4981,FALSE)</f>
        <v>0</v>
      </c>
      <c r="R4981">
        <f>HLOOKUP("CPUs",'vInfo (Imported)'!$1:$5000,M4981,FALSE)</f>
        <v>0</v>
      </c>
      <c r="S4981">
        <f>HLOOKUP("Memory",'vInfo (Imported)'!$1:$5000,M4981,FALSE)</f>
        <v>0</v>
      </c>
      <c r="T4981">
        <f>HLOOKUP("Provisioned MiB",'vInfo (Imported)'!$1:$5000,M4981,FALSE)</f>
        <v>0</v>
      </c>
      <c r="U4981">
        <f t="shared" si="232"/>
        <v>0</v>
      </c>
      <c r="V4981">
        <f>HLOOKUP("In Use MiB",'vInfo (Imported)'!$1:$5000,M4981,FALSE)</f>
        <v>0</v>
      </c>
    </row>
    <row r="4982" spans="1:22" ht="13" x14ac:dyDescent="0.3">
      <c r="A4982" s="46">
        <f>'vHosts (Imported)'!A4982</f>
        <v>0</v>
      </c>
      <c r="B4982" s="51">
        <f t="shared" si="234"/>
        <v>4968</v>
      </c>
      <c r="C4982" s="49">
        <f>HLOOKUP("# Cores",'vHosts (Imported)'!$1:$5000,M4982,FALSE)</f>
        <v>0</v>
      </c>
      <c r="D4982" s="52">
        <f>HLOOKUP("# Memory",'vHosts (Imported)'!$1:$5000,M4982,FALSE)</f>
        <v>0</v>
      </c>
      <c r="M4982" s="45">
        <f t="shared" si="233"/>
        <v>4982</v>
      </c>
      <c r="N4982" s="38">
        <f>HLOOKUP("Host",'vInfo (Imported)'!$1:$5000,M4982,FALSE)</f>
        <v>0</v>
      </c>
      <c r="R4982">
        <f>HLOOKUP("CPUs",'vInfo (Imported)'!$1:$5000,M4982,FALSE)</f>
        <v>0</v>
      </c>
      <c r="S4982">
        <f>HLOOKUP("Memory",'vInfo (Imported)'!$1:$5000,M4982,FALSE)</f>
        <v>0</v>
      </c>
      <c r="T4982">
        <f>HLOOKUP("Provisioned MiB",'vInfo (Imported)'!$1:$5000,M4982,FALSE)</f>
        <v>0</v>
      </c>
      <c r="U4982">
        <f t="shared" si="232"/>
        <v>0</v>
      </c>
      <c r="V4982">
        <f>HLOOKUP("In Use MiB",'vInfo (Imported)'!$1:$5000,M4982,FALSE)</f>
        <v>0</v>
      </c>
    </row>
    <row r="4983" spans="1:22" ht="13" x14ac:dyDescent="0.3">
      <c r="A4983" s="46">
        <f>'vHosts (Imported)'!A4983</f>
        <v>0</v>
      </c>
      <c r="B4983" s="51">
        <f t="shared" si="234"/>
        <v>4968</v>
      </c>
      <c r="C4983" s="49">
        <f>HLOOKUP("# Cores",'vHosts (Imported)'!$1:$5000,M4983,FALSE)</f>
        <v>0</v>
      </c>
      <c r="D4983" s="52">
        <f>HLOOKUP("# Memory",'vHosts (Imported)'!$1:$5000,M4983,FALSE)</f>
        <v>0</v>
      </c>
      <c r="M4983" s="45">
        <f t="shared" si="233"/>
        <v>4983</v>
      </c>
      <c r="N4983" s="38">
        <f>HLOOKUP("Host",'vInfo (Imported)'!$1:$5000,M4983,FALSE)</f>
        <v>0</v>
      </c>
      <c r="R4983">
        <f>HLOOKUP("CPUs",'vInfo (Imported)'!$1:$5000,M4983,FALSE)</f>
        <v>0</v>
      </c>
      <c r="S4983">
        <f>HLOOKUP("Memory",'vInfo (Imported)'!$1:$5000,M4983,FALSE)</f>
        <v>0</v>
      </c>
      <c r="T4983">
        <f>HLOOKUP("Provisioned MiB",'vInfo (Imported)'!$1:$5000,M4983,FALSE)</f>
        <v>0</v>
      </c>
      <c r="U4983">
        <f t="shared" si="232"/>
        <v>0</v>
      </c>
      <c r="V4983">
        <f>HLOOKUP("In Use MiB",'vInfo (Imported)'!$1:$5000,M4983,FALSE)</f>
        <v>0</v>
      </c>
    </row>
    <row r="4984" spans="1:22" ht="13" x14ac:dyDescent="0.3">
      <c r="A4984" s="46">
        <f>'vHosts (Imported)'!A4984</f>
        <v>0</v>
      </c>
      <c r="B4984" s="51">
        <f t="shared" si="234"/>
        <v>4968</v>
      </c>
      <c r="C4984" s="49">
        <f>HLOOKUP("# Cores",'vHosts (Imported)'!$1:$5000,M4984,FALSE)</f>
        <v>0</v>
      </c>
      <c r="D4984" s="52">
        <f>HLOOKUP("# Memory",'vHosts (Imported)'!$1:$5000,M4984,FALSE)</f>
        <v>0</v>
      </c>
      <c r="M4984" s="45">
        <f t="shared" si="233"/>
        <v>4984</v>
      </c>
      <c r="N4984" s="38">
        <f>HLOOKUP("Host",'vInfo (Imported)'!$1:$5000,M4984,FALSE)</f>
        <v>0</v>
      </c>
      <c r="R4984">
        <f>HLOOKUP("CPUs",'vInfo (Imported)'!$1:$5000,M4984,FALSE)</f>
        <v>0</v>
      </c>
      <c r="S4984">
        <f>HLOOKUP("Memory",'vInfo (Imported)'!$1:$5000,M4984,FALSE)</f>
        <v>0</v>
      </c>
      <c r="T4984">
        <f>HLOOKUP("Provisioned MiB",'vInfo (Imported)'!$1:$5000,M4984,FALSE)</f>
        <v>0</v>
      </c>
      <c r="U4984">
        <f t="shared" si="232"/>
        <v>0</v>
      </c>
      <c r="V4984">
        <f>HLOOKUP("In Use MiB",'vInfo (Imported)'!$1:$5000,M4984,FALSE)</f>
        <v>0</v>
      </c>
    </row>
    <row r="4985" spans="1:22" ht="13" x14ac:dyDescent="0.3">
      <c r="A4985" s="46">
        <f>'vHosts (Imported)'!A4985</f>
        <v>0</v>
      </c>
      <c r="B4985" s="51">
        <f t="shared" si="234"/>
        <v>4968</v>
      </c>
      <c r="C4985" s="49">
        <f>HLOOKUP("# Cores",'vHosts (Imported)'!$1:$5000,M4985,FALSE)</f>
        <v>0</v>
      </c>
      <c r="D4985" s="52">
        <f>HLOOKUP("# Memory",'vHosts (Imported)'!$1:$5000,M4985,FALSE)</f>
        <v>0</v>
      </c>
      <c r="M4985" s="45">
        <f t="shared" si="233"/>
        <v>4985</v>
      </c>
      <c r="N4985" s="38">
        <f>HLOOKUP("Host",'vInfo (Imported)'!$1:$5000,M4985,FALSE)</f>
        <v>0</v>
      </c>
      <c r="R4985">
        <f>HLOOKUP("CPUs",'vInfo (Imported)'!$1:$5000,M4985,FALSE)</f>
        <v>0</v>
      </c>
      <c r="S4985">
        <f>HLOOKUP("Memory",'vInfo (Imported)'!$1:$5000,M4985,FALSE)</f>
        <v>0</v>
      </c>
      <c r="T4985">
        <f>HLOOKUP("Provisioned MiB",'vInfo (Imported)'!$1:$5000,M4985,FALSE)</f>
        <v>0</v>
      </c>
      <c r="U4985">
        <f t="shared" si="232"/>
        <v>0</v>
      </c>
      <c r="V4985">
        <f>HLOOKUP("In Use MiB",'vInfo (Imported)'!$1:$5000,M4985,FALSE)</f>
        <v>0</v>
      </c>
    </row>
    <row r="4986" spans="1:22" ht="13" x14ac:dyDescent="0.3">
      <c r="A4986" s="46">
        <f>'vHosts (Imported)'!A4986</f>
        <v>0</v>
      </c>
      <c r="B4986" s="51">
        <f t="shared" si="234"/>
        <v>4968</v>
      </c>
      <c r="C4986" s="49">
        <f>HLOOKUP("# Cores",'vHosts (Imported)'!$1:$5000,M4986,FALSE)</f>
        <v>0</v>
      </c>
      <c r="D4986" s="52">
        <f>HLOOKUP("# Memory",'vHosts (Imported)'!$1:$5000,M4986,FALSE)</f>
        <v>0</v>
      </c>
      <c r="M4986" s="45">
        <f t="shared" si="233"/>
        <v>4986</v>
      </c>
      <c r="N4986" s="38">
        <f>HLOOKUP("Host",'vInfo (Imported)'!$1:$5000,M4986,FALSE)</f>
        <v>0</v>
      </c>
      <c r="R4986">
        <f>HLOOKUP("CPUs",'vInfo (Imported)'!$1:$5000,M4986,FALSE)</f>
        <v>0</v>
      </c>
      <c r="S4986">
        <f>HLOOKUP("Memory",'vInfo (Imported)'!$1:$5000,M4986,FALSE)</f>
        <v>0</v>
      </c>
      <c r="T4986">
        <f>HLOOKUP("Provisioned MiB",'vInfo (Imported)'!$1:$5000,M4986,FALSE)</f>
        <v>0</v>
      </c>
      <c r="U4986">
        <f t="shared" si="232"/>
        <v>0</v>
      </c>
      <c r="V4986">
        <f>HLOOKUP("In Use MiB",'vInfo (Imported)'!$1:$5000,M4986,FALSE)</f>
        <v>0</v>
      </c>
    </row>
    <row r="4987" spans="1:22" ht="13" x14ac:dyDescent="0.3">
      <c r="A4987" s="46">
        <f>'vHosts (Imported)'!A4987</f>
        <v>0</v>
      </c>
      <c r="B4987" s="51">
        <f t="shared" si="234"/>
        <v>4968</v>
      </c>
      <c r="C4987" s="49">
        <f>HLOOKUP("# Cores",'vHosts (Imported)'!$1:$5000,M4987,FALSE)</f>
        <v>0</v>
      </c>
      <c r="D4987" s="52">
        <f>HLOOKUP("# Memory",'vHosts (Imported)'!$1:$5000,M4987,FALSE)</f>
        <v>0</v>
      </c>
      <c r="M4987" s="45">
        <f t="shared" si="233"/>
        <v>4987</v>
      </c>
      <c r="N4987" s="38">
        <f>HLOOKUP("Host",'vInfo (Imported)'!$1:$5000,M4987,FALSE)</f>
        <v>0</v>
      </c>
      <c r="R4987">
        <f>HLOOKUP("CPUs",'vInfo (Imported)'!$1:$5000,M4987,FALSE)</f>
        <v>0</v>
      </c>
      <c r="S4987">
        <f>HLOOKUP("Memory",'vInfo (Imported)'!$1:$5000,M4987,FALSE)</f>
        <v>0</v>
      </c>
      <c r="T4987">
        <f>HLOOKUP("Provisioned MiB",'vInfo (Imported)'!$1:$5000,M4987,FALSE)</f>
        <v>0</v>
      </c>
      <c r="U4987">
        <f t="shared" si="232"/>
        <v>0</v>
      </c>
      <c r="V4987">
        <f>HLOOKUP("In Use MiB",'vInfo (Imported)'!$1:$5000,M4987,FALSE)</f>
        <v>0</v>
      </c>
    </row>
    <row r="4988" spans="1:22" ht="13" x14ac:dyDescent="0.3">
      <c r="A4988" s="46">
        <f>'vHosts (Imported)'!A4988</f>
        <v>0</v>
      </c>
      <c r="B4988" s="51">
        <f t="shared" si="234"/>
        <v>4968</v>
      </c>
      <c r="C4988" s="49">
        <f>HLOOKUP("# Cores",'vHosts (Imported)'!$1:$5000,M4988,FALSE)</f>
        <v>0</v>
      </c>
      <c r="D4988" s="52">
        <f>HLOOKUP("# Memory",'vHosts (Imported)'!$1:$5000,M4988,FALSE)</f>
        <v>0</v>
      </c>
      <c r="M4988" s="45">
        <f t="shared" si="233"/>
        <v>4988</v>
      </c>
      <c r="N4988" s="38">
        <f>HLOOKUP("Host",'vInfo (Imported)'!$1:$5000,M4988,FALSE)</f>
        <v>0</v>
      </c>
      <c r="R4988">
        <f>HLOOKUP("CPUs",'vInfo (Imported)'!$1:$5000,M4988,FALSE)</f>
        <v>0</v>
      </c>
      <c r="S4988">
        <f>HLOOKUP("Memory",'vInfo (Imported)'!$1:$5000,M4988,FALSE)</f>
        <v>0</v>
      </c>
      <c r="T4988">
        <f>HLOOKUP("Provisioned MiB",'vInfo (Imported)'!$1:$5000,M4988,FALSE)</f>
        <v>0</v>
      </c>
      <c r="U4988">
        <f t="shared" si="232"/>
        <v>0</v>
      </c>
      <c r="V4988">
        <f>HLOOKUP("In Use MiB",'vInfo (Imported)'!$1:$5000,M4988,FALSE)</f>
        <v>0</v>
      </c>
    </row>
    <row r="4989" spans="1:22" ht="13" x14ac:dyDescent="0.3">
      <c r="A4989" s="46">
        <f>'vHosts (Imported)'!A4989</f>
        <v>0</v>
      </c>
      <c r="B4989" s="51">
        <f t="shared" si="234"/>
        <v>4968</v>
      </c>
      <c r="C4989" s="49">
        <f>HLOOKUP("# Cores",'vHosts (Imported)'!$1:$5000,M4989,FALSE)</f>
        <v>0</v>
      </c>
      <c r="D4989" s="52">
        <f>HLOOKUP("# Memory",'vHosts (Imported)'!$1:$5000,M4989,FALSE)</f>
        <v>0</v>
      </c>
      <c r="M4989" s="45">
        <f t="shared" si="233"/>
        <v>4989</v>
      </c>
      <c r="N4989" s="38">
        <f>HLOOKUP("Host",'vInfo (Imported)'!$1:$5000,M4989,FALSE)</f>
        <v>0</v>
      </c>
      <c r="R4989">
        <f>HLOOKUP("CPUs",'vInfo (Imported)'!$1:$5000,M4989,FALSE)</f>
        <v>0</v>
      </c>
      <c r="S4989">
        <f>HLOOKUP("Memory",'vInfo (Imported)'!$1:$5000,M4989,FALSE)</f>
        <v>0</v>
      </c>
      <c r="T4989">
        <f>HLOOKUP("Provisioned MiB",'vInfo (Imported)'!$1:$5000,M4989,FALSE)</f>
        <v>0</v>
      </c>
      <c r="U4989">
        <f t="shared" si="232"/>
        <v>0</v>
      </c>
      <c r="V4989">
        <f>HLOOKUP("In Use MiB",'vInfo (Imported)'!$1:$5000,M4989,FALSE)</f>
        <v>0</v>
      </c>
    </row>
    <row r="4990" spans="1:22" ht="13" x14ac:dyDescent="0.3">
      <c r="A4990" s="46">
        <f>'vHosts (Imported)'!A4990</f>
        <v>0</v>
      </c>
      <c r="B4990" s="51">
        <f t="shared" si="234"/>
        <v>4968</v>
      </c>
      <c r="C4990" s="49">
        <f>HLOOKUP("# Cores",'vHosts (Imported)'!$1:$5000,M4990,FALSE)</f>
        <v>0</v>
      </c>
      <c r="D4990" s="52">
        <f>HLOOKUP("# Memory",'vHosts (Imported)'!$1:$5000,M4990,FALSE)</f>
        <v>0</v>
      </c>
      <c r="M4990" s="45">
        <f t="shared" si="233"/>
        <v>4990</v>
      </c>
      <c r="N4990" s="38">
        <f>HLOOKUP("Host",'vInfo (Imported)'!$1:$5000,M4990,FALSE)</f>
        <v>0</v>
      </c>
      <c r="R4990">
        <f>HLOOKUP("CPUs",'vInfo (Imported)'!$1:$5000,M4990,FALSE)</f>
        <v>0</v>
      </c>
      <c r="S4990">
        <f>HLOOKUP("Memory",'vInfo (Imported)'!$1:$5000,M4990,FALSE)</f>
        <v>0</v>
      </c>
      <c r="T4990">
        <f>HLOOKUP("Provisioned MiB",'vInfo (Imported)'!$1:$5000,M4990,FALSE)</f>
        <v>0</v>
      </c>
      <c r="U4990">
        <f t="shared" si="232"/>
        <v>0</v>
      </c>
      <c r="V4990">
        <f>HLOOKUP("In Use MiB",'vInfo (Imported)'!$1:$5000,M4990,FALSE)</f>
        <v>0</v>
      </c>
    </row>
    <row r="4991" spans="1:22" ht="13" x14ac:dyDescent="0.3">
      <c r="A4991" s="46">
        <f>'vHosts (Imported)'!A4991</f>
        <v>0</v>
      </c>
      <c r="B4991" s="51">
        <f t="shared" si="234"/>
        <v>4968</v>
      </c>
      <c r="C4991" s="49">
        <f>HLOOKUP("# Cores",'vHosts (Imported)'!$1:$5000,M4991,FALSE)</f>
        <v>0</v>
      </c>
      <c r="D4991" s="52">
        <f>HLOOKUP("# Memory",'vHosts (Imported)'!$1:$5000,M4991,FALSE)</f>
        <v>0</v>
      </c>
      <c r="M4991" s="45">
        <f t="shared" si="233"/>
        <v>4991</v>
      </c>
      <c r="N4991" s="38">
        <f>HLOOKUP("Host",'vInfo (Imported)'!$1:$5000,M4991,FALSE)</f>
        <v>0</v>
      </c>
      <c r="R4991">
        <f>HLOOKUP("CPUs",'vInfo (Imported)'!$1:$5000,M4991,FALSE)</f>
        <v>0</v>
      </c>
      <c r="S4991">
        <f>HLOOKUP("Memory",'vInfo (Imported)'!$1:$5000,M4991,FALSE)</f>
        <v>0</v>
      </c>
      <c r="T4991">
        <f>HLOOKUP("Provisioned MiB",'vInfo (Imported)'!$1:$5000,M4991,FALSE)</f>
        <v>0</v>
      </c>
      <c r="U4991">
        <f t="shared" si="232"/>
        <v>0</v>
      </c>
      <c r="V4991">
        <f>HLOOKUP("In Use MiB",'vInfo (Imported)'!$1:$5000,M4991,FALSE)</f>
        <v>0</v>
      </c>
    </row>
    <row r="4992" spans="1:22" ht="13" x14ac:dyDescent="0.3">
      <c r="A4992" s="46">
        <f>'vHosts (Imported)'!A4992</f>
        <v>0</v>
      </c>
      <c r="B4992" s="51">
        <f t="shared" si="234"/>
        <v>4968</v>
      </c>
      <c r="C4992" s="49">
        <f>HLOOKUP("# Cores",'vHosts (Imported)'!$1:$5000,M4992,FALSE)</f>
        <v>0</v>
      </c>
      <c r="D4992" s="52">
        <f>HLOOKUP("# Memory",'vHosts (Imported)'!$1:$5000,M4992,FALSE)</f>
        <v>0</v>
      </c>
      <c r="M4992" s="45">
        <f t="shared" si="233"/>
        <v>4992</v>
      </c>
      <c r="N4992" s="38">
        <f>HLOOKUP("Host",'vInfo (Imported)'!$1:$5000,M4992,FALSE)</f>
        <v>0</v>
      </c>
      <c r="R4992">
        <f>HLOOKUP("CPUs",'vInfo (Imported)'!$1:$5000,M4992,FALSE)</f>
        <v>0</v>
      </c>
      <c r="S4992">
        <f>HLOOKUP("Memory",'vInfo (Imported)'!$1:$5000,M4992,FALSE)</f>
        <v>0</v>
      </c>
      <c r="T4992">
        <f>HLOOKUP("Provisioned MiB",'vInfo (Imported)'!$1:$5000,M4992,FALSE)</f>
        <v>0</v>
      </c>
      <c r="U4992">
        <f t="shared" si="232"/>
        <v>0</v>
      </c>
      <c r="V4992">
        <f>HLOOKUP("In Use MiB",'vInfo (Imported)'!$1:$5000,M4992,FALSE)</f>
        <v>0</v>
      </c>
    </row>
    <row r="4993" spans="1:22" ht="13" x14ac:dyDescent="0.3">
      <c r="A4993" s="46">
        <f>'vHosts (Imported)'!A4993</f>
        <v>0</v>
      </c>
      <c r="B4993" s="51">
        <f t="shared" si="234"/>
        <v>4968</v>
      </c>
      <c r="C4993" s="49">
        <f>HLOOKUP("# Cores",'vHosts (Imported)'!$1:$5000,M4993,FALSE)</f>
        <v>0</v>
      </c>
      <c r="D4993" s="52">
        <f>HLOOKUP("# Memory",'vHosts (Imported)'!$1:$5000,M4993,FALSE)</f>
        <v>0</v>
      </c>
      <c r="M4993" s="45">
        <f t="shared" si="233"/>
        <v>4993</v>
      </c>
      <c r="N4993" s="38">
        <f>HLOOKUP("Host",'vInfo (Imported)'!$1:$5000,M4993,FALSE)</f>
        <v>0</v>
      </c>
      <c r="R4993">
        <f>HLOOKUP("CPUs",'vInfo (Imported)'!$1:$5000,M4993,FALSE)</f>
        <v>0</v>
      </c>
      <c r="S4993">
        <f>HLOOKUP("Memory",'vInfo (Imported)'!$1:$5000,M4993,FALSE)</f>
        <v>0</v>
      </c>
      <c r="T4993">
        <f>HLOOKUP("Provisioned MiB",'vInfo (Imported)'!$1:$5000,M4993,FALSE)</f>
        <v>0</v>
      </c>
      <c r="U4993">
        <f t="shared" si="232"/>
        <v>0</v>
      </c>
      <c r="V4993">
        <f>HLOOKUP("In Use MiB",'vInfo (Imported)'!$1:$5000,M4993,FALSE)</f>
        <v>0</v>
      </c>
    </row>
    <row r="4994" spans="1:22" ht="13" x14ac:dyDescent="0.3">
      <c r="A4994" s="46">
        <f>'vHosts (Imported)'!A4994</f>
        <v>0</v>
      </c>
      <c r="B4994" s="51">
        <f t="shared" si="234"/>
        <v>4968</v>
      </c>
      <c r="C4994" s="49">
        <f>HLOOKUP("# Cores",'vHosts (Imported)'!$1:$5000,M4994,FALSE)</f>
        <v>0</v>
      </c>
      <c r="D4994" s="52">
        <f>HLOOKUP("# Memory",'vHosts (Imported)'!$1:$5000,M4994,FALSE)</f>
        <v>0</v>
      </c>
      <c r="M4994" s="45">
        <f t="shared" si="233"/>
        <v>4994</v>
      </c>
      <c r="N4994" s="38">
        <f>HLOOKUP("Host",'vInfo (Imported)'!$1:$5000,M4994,FALSE)</f>
        <v>0</v>
      </c>
      <c r="R4994">
        <f>HLOOKUP("CPUs",'vInfo (Imported)'!$1:$5000,M4994,FALSE)</f>
        <v>0</v>
      </c>
      <c r="S4994">
        <f>HLOOKUP("Memory",'vInfo (Imported)'!$1:$5000,M4994,FALSE)</f>
        <v>0</v>
      </c>
      <c r="T4994">
        <f>HLOOKUP("Provisioned MiB",'vInfo (Imported)'!$1:$5000,M4994,FALSE)</f>
        <v>0</v>
      </c>
      <c r="U4994">
        <f t="shared" si="232"/>
        <v>0</v>
      </c>
      <c r="V4994">
        <f>HLOOKUP("In Use MiB",'vInfo (Imported)'!$1:$5000,M4994,FALSE)</f>
        <v>0</v>
      </c>
    </row>
    <row r="4995" spans="1:22" ht="13" x14ac:dyDescent="0.3">
      <c r="A4995" s="46">
        <f>'vHosts (Imported)'!A4995</f>
        <v>0</v>
      </c>
      <c r="B4995" s="51">
        <f t="shared" si="234"/>
        <v>4968</v>
      </c>
      <c r="C4995" s="49">
        <f>HLOOKUP("# Cores",'vHosts (Imported)'!$1:$5000,M4995,FALSE)</f>
        <v>0</v>
      </c>
      <c r="D4995" s="52">
        <f>HLOOKUP("# Memory",'vHosts (Imported)'!$1:$5000,M4995,FALSE)</f>
        <v>0</v>
      </c>
      <c r="M4995" s="45">
        <f t="shared" si="233"/>
        <v>4995</v>
      </c>
      <c r="N4995" s="38">
        <f>HLOOKUP("Host",'vInfo (Imported)'!$1:$5000,M4995,FALSE)</f>
        <v>0</v>
      </c>
      <c r="R4995">
        <f>HLOOKUP("CPUs",'vInfo (Imported)'!$1:$5000,M4995,FALSE)</f>
        <v>0</v>
      </c>
      <c r="S4995">
        <f>HLOOKUP("Memory",'vInfo (Imported)'!$1:$5000,M4995,FALSE)</f>
        <v>0</v>
      </c>
      <c r="T4995">
        <f>HLOOKUP("Provisioned MiB",'vInfo (Imported)'!$1:$5000,M4995,FALSE)</f>
        <v>0</v>
      </c>
      <c r="U4995">
        <f t="shared" ref="U4995:U5000" si="235">T4995-V4995</f>
        <v>0</v>
      </c>
      <c r="V4995">
        <f>HLOOKUP("In Use MiB",'vInfo (Imported)'!$1:$5000,M4995,FALSE)</f>
        <v>0</v>
      </c>
    </row>
    <row r="4996" spans="1:22" ht="13" x14ac:dyDescent="0.3">
      <c r="A4996" s="46">
        <f>'vHosts (Imported)'!A4996</f>
        <v>0</v>
      </c>
      <c r="B4996" s="51">
        <f t="shared" si="234"/>
        <v>4968</v>
      </c>
      <c r="C4996" s="49">
        <f>HLOOKUP("# Cores",'vHosts (Imported)'!$1:$5000,M4996,FALSE)</f>
        <v>0</v>
      </c>
      <c r="D4996" s="52">
        <f>HLOOKUP("# Memory",'vHosts (Imported)'!$1:$5000,M4996,FALSE)</f>
        <v>0</v>
      </c>
      <c r="M4996" s="45">
        <f t="shared" ref="M4996:M5000" si="236">M4995+1</f>
        <v>4996</v>
      </c>
      <c r="N4996" s="38">
        <f>HLOOKUP("Host",'vInfo (Imported)'!$1:$5000,M4996,FALSE)</f>
        <v>0</v>
      </c>
      <c r="R4996">
        <f>HLOOKUP("CPUs",'vInfo (Imported)'!$1:$5000,M4996,FALSE)</f>
        <v>0</v>
      </c>
      <c r="S4996">
        <f>HLOOKUP("Memory",'vInfo (Imported)'!$1:$5000,M4996,FALSE)</f>
        <v>0</v>
      </c>
      <c r="T4996">
        <f>HLOOKUP("Provisioned MiB",'vInfo (Imported)'!$1:$5000,M4996,FALSE)</f>
        <v>0</v>
      </c>
      <c r="U4996">
        <f t="shared" si="235"/>
        <v>0</v>
      </c>
      <c r="V4996">
        <f>HLOOKUP("In Use MiB",'vInfo (Imported)'!$1:$5000,M4996,FALSE)</f>
        <v>0</v>
      </c>
    </row>
    <row r="4997" spans="1:22" ht="13" x14ac:dyDescent="0.3">
      <c r="A4997" s="46">
        <f>'vHosts (Imported)'!A4997</f>
        <v>0</v>
      </c>
      <c r="B4997" s="51">
        <f t="shared" si="234"/>
        <v>4968</v>
      </c>
      <c r="C4997" s="49">
        <f>HLOOKUP("# Cores",'vHosts (Imported)'!$1:$5000,M4997,FALSE)</f>
        <v>0</v>
      </c>
      <c r="D4997" s="52">
        <f>HLOOKUP("# Memory",'vHosts (Imported)'!$1:$5000,M4997,FALSE)</f>
        <v>0</v>
      </c>
      <c r="M4997" s="45">
        <f t="shared" si="236"/>
        <v>4997</v>
      </c>
      <c r="N4997" s="38">
        <f>HLOOKUP("Host",'vInfo (Imported)'!$1:$5000,M4997,FALSE)</f>
        <v>0</v>
      </c>
      <c r="R4997">
        <f>HLOOKUP("CPUs",'vInfo (Imported)'!$1:$5000,M4997,FALSE)</f>
        <v>0</v>
      </c>
      <c r="S4997">
        <f>HLOOKUP("Memory",'vInfo (Imported)'!$1:$5000,M4997,FALSE)</f>
        <v>0</v>
      </c>
      <c r="T4997">
        <f>HLOOKUP("Provisioned MiB",'vInfo (Imported)'!$1:$5000,M4997,FALSE)</f>
        <v>0</v>
      </c>
      <c r="U4997">
        <f t="shared" si="235"/>
        <v>0</v>
      </c>
      <c r="V4997">
        <f>HLOOKUP("In Use MiB",'vInfo (Imported)'!$1:$5000,M4997,FALSE)</f>
        <v>0</v>
      </c>
    </row>
    <row r="4998" spans="1:22" ht="13" x14ac:dyDescent="0.3">
      <c r="A4998" s="46">
        <f>'vHosts (Imported)'!A4998</f>
        <v>0</v>
      </c>
      <c r="B4998" s="51">
        <f t="shared" si="234"/>
        <v>4968</v>
      </c>
      <c r="C4998" s="49">
        <f>HLOOKUP("# Cores",'vHosts (Imported)'!$1:$5000,M4998,FALSE)</f>
        <v>0</v>
      </c>
      <c r="D4998" s="52">
        <f>HLOOKUP("# Memory",'vHosts (Imported)'!$1:$5000,M4998,FALSE)</f>
        <v>0</v>
      </c>
      <c r="M4998" s="45">
        <f t="shared" si="236"/>
        <v>4998</v>
      </c>
      <c r="N4998" s="38">
        <f>HLOOKUP("Host",'vInfo (Imported)'!$1:$5000,M4998,FALSE)</f>
        <v>0</v>
      </c>
      <c r="R4998">
        <f>HLOOKUP("CPUs",'vInfo (Imported)'!$1:$5000,M4998,FALSE)</f>
        <v>0</v>
      </c>
      <c r="S4998">
        <f>HLOOKUP("Memory",'vInfo (Imported)'!$1:$5000,M4998,FALSE)</f>
        <v>0</v>
      </c>
      <c r="T4998">
        <f>HLOOKUP("Provisioned MiB",'vInfo (Imported)'!$1:$5000,M4998,FALSE)</f>
        <v>0</v>
      </c>
      <c r="U4998">
        <f t="shared" si="235"/>
        <v>0</v>
      </c>
      <c r="V4998">
        <f>HLOOKUP("In Use MiB",'vInfo (Imported)'!$1:$5000,M4998,FALSE)</f>
        <v>0</v>
      </c>
    </row>
    <row r="4999" spans="1:22" ht="13" x14ac:dyDescent="0.3">
      <c r="A4999" s="46">
        <f>'vHosts (Imported)'!A4999</f>
        <v>0</v>
      </c>
      <c r="B4999" s="51">
        <f t="shared" si="234"/>
        <v>4968</v>
      </c>
      <c r="C4999" s="49">
        <f>HLOOKUP("# Cores",'vHosts (Imported)'!$1:$5000,M4999,FALSE)</f>
        <v>0</v>
      </c>
      <c r="D4999" s="52">
        <f>HLOOKUP("# Memory",'vHosts (Imported)'!$1:$5000,M4999,FALSE)</f>
        <v>0</v>
      </c>
      <c r="M4999" s="45">
        <f t="shared" si="236"/>
        <v>4999</v>
      </c>
      <c r="N4999" s="38">
        <f>HLOOKUP("Host",'vInfo (Imported)'!$1:$5000,M4999,FALSE)</f>
        <v>0</v>
      </c>
      <c r="R4999">
        <f>HLOOKUP("CPUs",'vInfo (Imported)'!$1:$5000,M4999,FALSE)</f>
        <v>0</v>
      </c>
      <c r="S4999">
        <f>HLOOKUP("Memory",'vInfo (Imported)'!$1:$5000,M4999,FALSE)</f>
        <v>0</v>
      </c>
      <c r="T4999">
        <f>HLOOKUP("Provisioned MiB",'vInfo (Imported)'!$1:$5000,M4999,FALSE)</f>
        <v>0</v>
      </c>
      <c r="U4999">
        <f t="shared" si="235"/>
        <v>0</v>
      </c>
      <c r="V4999">
        <f>HLOOKUP("In Use MiB",'vInfo (Imported)'!$1:$5000,M4999,FALSE)</f>
        <v>0</v>
      </c>
    </row>
    <row r="5000" spans="1:22" ht="13" x14ac:dyDescent="0.3">
      <c r="A5000" s="46">
        <f>'vHosts (Imported)'!A5000</f>
        <v>0</v>
      </c>
      <c r="B5000" s="51">
        <f t="shared" si="234"/>
        <v>4968</v>
      </c>
      <c r="C5000" s="49">
        <f>HLOOKUP("# Cores",'vHosts (Imported)'!$1:$5000,M5000,FALSE)</f>
        <v>0</v>
      </c>
      <c r="D5000" s="52">
        <f>HLOOKUP("# Memory",'vHosts (Imported)'!$1:$5000,M5000,FALSE)</f>
        <v>0</v>
      </c>
      <c r="M5000" s="45">
        <f t="shared" si="236"/>
        <v>5000</v>
      </c>
      <c r="N5000" s="38">
        <f>HLOOKUP("Host",'vInfo (Imported)'!$1:$5000,M5000,FALSE)</f>
        <v>0</v>
      </c>
      <c r="R5000">
        <f>HLOOKUP("CPUs",'vInfo (Imported)'!$1:$5000,M5000,FALSE)</f>
        <v>0</v>
      </c>
      <c r="S5000">
        <f>HLOOKUP("Memory",'vInfo (Imported)'!$1:$5000,M5000,FALSE)</f>
        <v>0</v>
      </c>
      <c r="T5000">
        <f>HLOOKUP("Provisioned MiB",'vInfo (Imported)'!$1:$5000,M5000,FALSE)</f>
        <v>0</v>
      </c>
      <c r="U5000">
        <f t="shared" si="235"/>
        <v>0</v>
      </c>
      <c r="V5000">
        <f>HLOOKUP("In Use MiB",'vInfo (Imported)'!$1:$5000,M5000,FALSE)</f>
        <v>0</v>
      </c>
    </row>
    <row r="5001" spans="1:22" x14ac:dyDescent="0.25">
      <c r="A5001" s="46">
        <f>'vHosts (Imported)'!A5001</f>
        <v>0</v>
      </c>
      <c r="C5001" s="49"/>
      <c r="N5001" s="38" t="e" vm="1">
        <f>HLOOKUP("Host",'vInfo (Imported)'!$1:$5000,M5001,FALSE)</f>
        <v>#VALUE!</v>
      </c>
      <c r="R5001" t="e" vm="1">
        <f>HLOOKUP("CPUs",'vInfo (Imported)'!$1:$5000,M5001,FALSE)</f>
        <v>#VALUE!</v>
      </c>
      <c r="S5001" t="e" vm="1">
        <f>HLOOKUP("Memory",'vInfo (Imported)'!$1:$5000,M5001,FALSE)</f>
        <v>#VALUE!</v>
      </c>
    </row>
    <row r="5002" spans="1:22" x14ac:dyDescent="0.25">
      <c r="A5002" s="46">
        <f>'vHosts (Imported)'!A5002</f>
        <v>0</v>
      </c>
      <c r="C5002" s="49"/>
    </row>
    <row r="5003" spans="1:22" x14ac:dyDescent="0.25">
      <c r="A5003" s="46">
        <f>'vHosts (Imported)'!A5003</f>
        <v>0</v>
      </c>
      <c r="C5003" s="49"/>
    </row>
    <row r="5004" spans="1:22" x14ac:dyDescent="0.25">
      <c r="A5004" s="46">
        <f>'vHosts (Imported)'!A5004</f>
        <v>0</v>
      </c>
      <c r="C5004" s="49"/>
    </row>
    <row r="5005" spans="1:22" x14ac:dyDescent="0.25">
      <c r="A5005" s="46">
        <f>'vHosts (Imported)'!A5005</f>
        <v>0</v>
      </c>
      <c r="C5005" s="49"/>
    </row>
    <row r="5006" spans="1:22" x14ac:dyDescent="0.25">
      <c r="A5006" s="46">
        <f>'vHosts (Imported)'!A5006</f>
        <v>0</v>
      </c>
      <c r="C5006" s="49"/>
    </row>
    <row r="5007" spans="1:22" x14ac:dyDescent="0.25">
      <c r="A5007" s="46">
        <f>'vHosts (Imported)'!A5007</f>
        <v>0</v>
      </c>
      <c r="C5007" s="49"/>
    </row>
    <row r="5008" spans="1:22" x14ac:dyDescent="0.25">
      <c r="A5008" s="46">
        <f>'vHosts (Imported)'!A5008</f>
        <v>0</v>
      </c>
      <c r="C5008" s="49"/>
    </row>
    <row r="5009" spans="1:3" x14ac:dyDescent="0.25">
      <c r="A5009" s="46">
        <f>'vHosts (Imported)'!A5009</f>
        <v>0</v>
      </c>
      <c r="C5009" s="49"/>
    </row>
    <row r="5010" spans="1:3" x14ac:dyDescent="0.25">
      <c r="A5010" s="46">
        <f>'vHosts (Imported)'!A5010</f>
        <v>0</v>
      </c>
      <c r="C5010" s="49"/>
    </row>
    <row r="5011" spans="1:3" x14ac:dyDescent="0.25">
      <c r="A5011" s="46">
        <f>'vHosts (Imported)'!A5011</f>
        <v>0</v>
      </c>
      <c r="C5011" s="49"/>
    </row>
    <row r="5012" spans="1:3" x14ac:dyDescent="0.25">
      <c r="A5012" s="46">
        <f>'vHosts (Imported)'!A5012</f>
        <v>0</v>
      </c>
      <c r="C5012" s="49"/>
    </row>
    <row r="5013" spans="1:3" x14ac:dyDescent="0.25">
      <c r="A5013" s="46">
        <f>'vHosts (Imported)'!A5013</f>
        <v>0</v>
      </c>
      <c r="C5013" s="49"/>
    </row>
    <row r="5014" spans="1:3" x14ac:dyDescent="0.25">
      <c r="A5014" s="46">
        <f>'vHosts (Imported)'!A5014</f>
        <v>0</v>
      </c>
      <c r="C5014" s="49"/>
    </row>
    <row r="5015" spans="1:3" x14ac:dyDescent="0.25">
      <c r="A5015" s="46">
        <f>'vHosts (Imported)'!A5015</f>
        <v>0</v>
      </c>
      <c r="C5015" s="49"/>
    </row>
    <row r="5016" spans="1:3" x14ac:dyDescent="0.25">
      <c r="A5016" s="46">
        <f>'vHosts (Imported)'!A5016</f>
        <v>0</v>
      </c>
      <c r="C5016" s="49"/>
    </row>
    <row r="5017" spans="1:3" x14ac:dyDescent="0.25">
      <c r="A5017" s="46">
        <f>'vHosts (Imported)'!A5017</f>
        <v>0</v>
      </c>
      <c r="C5017" s="49"/>
    </row>
    <row r="5018" spans="1:3" x14ac:dyDescent="0.25">
      <c r="A5018" s="46">
        <f>'vHosts (Imported)'!A5018</f>
        <v>0</v>
      </c>
      <c r="C5018" s="49"/>
    </row>
    <row r="5019" spans="1:3" x14ac:dyDescent="0.25">
      <c r="A5019" s="46">
        <f>'vHosts (Imported)'!A5019</f>
        <v>0</v>
      </c>
      <c r="C5019" s="49"/>
    </row>
    <row r="5020" spans="1:3" x14ac:dyDescent="0.25">
      <c r="A5020" s="46">
        <f>'vHosts (Imported)'!A5020</f>
        <v>0</v>
      </c>
      <c r="C5020" s="49"/>
    </row>
    <row r="5021" spans="1:3" x14ac:dyDescent="0.25">
      <c r="A5021" s="46">
        <f>'vHosts (Imported)'!A5021</f>
        <v>0</v>
      </c>
      <c r="C5021" s="49"/>
    </row>
    <row r="5022" spans="1:3" x14ac:dyDescent="0.25">
      <c r="A5022" s="46">
        <f>'vHosts (Imported)'!A5022</f>
        <v>0</v>
      </c>
      <c r="C5022" s="49"/>
    </row>
    <row r="5023" spans="1:3" x14ac:dyDescent="0.25">
      <c r="A5023" s="46">
        <f>'vHosts (Imported)'!A5023</f>
        <v>0</v>
      </c>
      <c r="C5023" s="49"/>
    </row>
    <row r="5024" spans="1:3" x14ac:dyDescent="0.25">
      <c r="A5024" s="46">
        <f>'vHosts (Imported)'!A5024</f>
        <v>0</v>
      </c>
      <c r="C5024" s="49"/>
    </row>
    <row r="5025" spans="1:3" x14ac:dyDescent="0.25">
      <c r="A5025" s="46">
        <f>'vHosts (Imported)'!A5025</f>
        <v>0</v>
      </c>
      <c r="C5025" s="49"/>
    </row>
    <row r="5026" spans="1:3" x14ac:dyDescent="0.25">
      <c r="A5026" s="46">
        <f>'vHosts (Imported)'!A5026</f>
        <v>0</v>
      </c>
      <c r="C5026" s="49"/>
    </row>
    <row r="5027" spans="1:3" x14ac:dyDescent="0.25">
      <c r="A5027" s="46">
        <f>'vHosts (Imported)'!A5027</f>
        <v>0</v>
      </c>
      <c r="C5027" s="49"/>
    </row>
    <row r="5028" spans="1:3" x14ac:dyDescent="0.25">
      <c r="A5028" s="46">
        <f>'vHosts (Imported)'!A5028</f>
        <v>0</v>
      </c>
      <c r="C5028" s="49"/>
    </row>
    <row r="5029" spans="1:3" x14ac:dyDescent="0.25">
      <c r="A5029" s="46">
        <f>'vHosts (Imported)'!A5029</f>
        <v>0</v>
      </c>
      <c r="C5029" s="49"/>
    </row>
    <row r="5030" spans="1:3" x14ac:dyDescent="0.25">
      <c r="A5030" s="46">
        <f>'vHosts (Imported)'!A5030</f>
        <v>0</v>
      </c>
      <c r="C5030" s="49"/>
    </row>
    <row r="5031" spans="1:3" x14ac:dyDescent="0.25">
      <c r="A5031" s="46">
        <f>'vHosts (Imported)'!A5031</f>
        <v>0</v>
      </c>
      <c r="C5031" s="49"/>
    </row>
    <row r="5032" spans="1:3" x14ac:dyDescent="0.25">
      <c r="A5032" s="46">
        <f>'vHosts (Imported)'!A5032</f>
        <v>0</v>
      </c>
      <c r="C5032" s="49"/>
    </row>
    <row r="5033" spans="1:3" x14ac:dyDescent="0.25">
      <c r="A5033" s="46">
        <f>'vHosts (Imported)'!A5033</f>
        <v>0</v>
      </c>
      <c r="C5033" s="49"/>
    </row>
    <row r="5034" spans="1:3" x14ac:dyDescent="0.25">
      <c r="A5034" s="46">
        <f>'vHosts (Imported)'!A5034</f>
        <v>0</v>
      </c>
      <c r="C5034" s="49"/>
    </row>
    <row r="5035" spans="1:3" x14ac:dyDescent="0.25">
      <c r="A5035" s="46">
        <f>'vHosts (Imported)'!A5035</f>
        <v>0</v>
      </c>
      <c r="C5035" s="49"/>
    </row>
    <row r="5036" spans="1:3" x14ac:dyDescent="0.25">
      <c r="A5036" s="46">
        <f>'vHosts (Imported)'!A5036</f>
        <v>0</v>
      </c>
      <c r="C5036" s="49"/>
    </row>
    <row r="5037" spans="1:3" x14ac:dyDescent="0.25">
      <c r="A5037" s="46">
        <f>'vHosts (Imported)'!A5037</f>
        <v>0</v>
      </c>
      <c r="C5037" s="49"/>
    </row>
    <row r="5038" spans="1:3" x14ac:dyDescent="0.25">
      <c r="A5038" s="46">
        <f>'vHosts (Imported)'!A5038</f>
        <v>0</v>
      </c>
      <c r="C5038" s="49"/>
    </row>
    <row r="5039" spans="1:3" x14ac:dyDescent="0.25">
      <c r="A5039" s="46">
        <f>'vHosts (Imported)'!A5039</f>
        <v>0</v>
      </c>
      <c r="C5039" s="49"/>
    </row>
    <row r="5040" spans="1:3" x14ac:dyDescent="0.25">
      <c r="A5040" s="46">
        <f>'vHosts (Imported)'!A5040</f>
        <v>0</v>
      </c>
      <c r="C5040" s="49"/>
    </row>
    <row r="5041" spans="1:3" x14ac:dyDescent="0.25">
      <c r="A5041" s="46">
        <f>'vHosts (Imported)'!A5041</f>
        <v>0</v>
      </c>
      <c r="C5041" s="49"/>
    </row>
    <row r="5042" spans="1:3" x14ac:dyDescent="0.25">
      <c r="A5042" s="46">
        <f>'vHosts (Imported)'!A5042</f>
        <v>0</v>
      </c>
      <c r="C5042" s="49"/>
    </row>
    <row r="5043" spans="1:3" x14ac:dyDescent="0.25">
      <c r="A5043" s="46">
        <f>'vHosts (Imported)'!A5043</f>
        <v>0</v>
      </c>
      <c r="C5043" s="49"/>
    </row>
    <row r="5044" spans="1:3" x14ac:dyDescent="0.25">
      <c r="A5044" s="46">
        <f>'vHosts (Imported)'!A5044</f>
        <v>0</v>
      </c>
      <c r="C5044" s="49"/>
    </row>
    <row r="5045" spans="1:3" x14ac:dyDescent="0.25">
      <c r="A5045" s="46">
        <f>'vHosts (Imported)'!A5045</f>
        <v>0</v>
      </c>
      <c r="C5045" s="49"/>
    </row>
    <row r="5046" spans="1:3" x14ac:dyDescent="0.25">
      <c r="A5046" s="46">
        <f>'vHosts (Imported)'!A5046</f>
        <v>0</v>
      </c>
      <c r="C5046" s="49"/>
    </row>
    <row r="5047" spans="1:3" x14ac:dyDescent="0.25">
      <c r="A5047" s="46">
        <f>'vHosts (Imported)'!A5047</f>
        <v>0</v>
      </c>
      <c r="C5047" s="49"/>
    </row>
    <row r="5048" spans="1:3" x14ac:dyDescent="0.25">
      <c r="A5048" s="46">
        <f>'vHosts (Imported)'!A5048</f>
        <v>0</v>
      </c>
      <c r="C5048" s="49"/>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9">
    <tabColor rgb="FFFF0000"/>
  </sheetPr>
  <dimension ref="B2:F22"/>
  <sheetViews>
    <sheetView workbookViewId="0">
      <selection activeCell="C3" sqref="C3"/>
    </sheetView>
  </sheetViews>
  <sheetFormatPr defaultRowHeight="12.5" x14ac:dyDescent="0.25"/>
  <cols>
    <col min="2" max="2" width="29.54296875" bestFit="1" customWidth="1"/>
    <col min="3" max="3" width="10.81640625" bestFit="1" customWidth="1"/>
  </cols>
  <sheetData>
    <row r="2" spans="2:6" ht="18.5" x14ac:dyDescent="0.45">
      <c r="B2" s="37" t="s">
        <v>96</v>
      </c>
      <c r="C2" s="37"/>
    </row>
    <row r="3" spans="2:6" ht="14.5" x14ac:dyDescent="0.35">
      <c r="B3" s="2" t="s">
        <v>97</v>
      </c>
      <c r="C3" s="73">
        <f>IF('START HERE'!A99="manual",'START HERE'!A100,Sheet3!G3)</f>
        <v>32</v>
      </c>
      <c r="F3" s="2"/>
    </row>
    <row r="4" spans="2:6" ht="14.5" x14ac:dyDescent="0.35">
      <c r="B4" s="2" t="s">
        <v>98</v>
      </c>
      <c r="C4" s="74">
        <f>IF('START HERE'!A99="manual",0,COUNTIFS(Sheet3!A2:A5000,"&lt;&gt;0"))</f>
        <v>39</v>
      </c>
    </row>
    <row r="5" spans="2:6" x14ac:dyDescent="0.25">
      <c r="C5" s="75"/>
    </row>
    <row r="6" spans="2:6" ht="14.5" x14ac:dyDescent="0.35">
      <c r="B6" s="3" t="s">
        <v>99</v>
      </c>
      <c r="C6" s="75"/>
    </row>
    <row r="7" spans="2:6" ht="14.5" x14ac:dyDescent="0.35">
      <c r="B7" s="2" t="s">
        <v>100</v>
      </c>
      <c r="C7" s="76">
        <f>IF('START HERE'!A99="manual",'START HERE'!A101,(SUM(C8)/C3))</f>
        <v>3.96875</v>
      </c>
    </row>
    <row r="8" spans="2:6" ht="14.5" x14ac:dyDescent="0.35">
      <c r="B8" s="2" t="s">
        <v>101</v>
      </c>
      <c r="C8" s="77">
        <f>IF('START HERE'!A99="manual",C7*C3,Sheet3!H3)</f>
        <v>127</v>
      </c>
    </row>
    <row r="9" spans="2:6" ht="14.5" x14ac:dyDescent="0.35">
      <c r="B9" s="2" t="s">
        <v>102</v>
      </c>
      <c r="C9" s="77">
        <f>IF('START HERE'!A99="manual",0,SUM(Sheet3!C2:C5000))</f>
        <v>1120</v>
      </c>
      <c r="D9" s="52"/>
    </row>
    <row r="10" spans="2:6" ht="14.5" x14ac:dyDescent="0.35">
      <c r="B10" s="2" t="s">
        <v>103</v>
      </c>
      <c r="C10" s="78">
        <f>IF('START HERE'!A99="manual",0,IF(C9&gt;C8,1,ROUNDUP((C8/C9),1)&amp;" : 1"))</f>
        <v>1</v>
      </c>
    </row>
    <row r="11" spans="2:6" ht="14.5" x14ac:dyDescent="0.35">
      <c r="C11" s="79"/>
    </row>
    <row r="12" spans="2:6" ht="14.5" x14ac:dyDescent="0.35">
      <c r="B12" s="3" t="s">
        <v>104</v>
      </c>
      <c r="C12" s="74"/>
    </row>
    <row r="13" spans="2:6" ht="14.5" x14ac:dyDescent="0.35">
      <c r="B13" s="2" t="s">
        <v>105</v>
      </c>
      <c r="C13" s="76">
        <f>IF('START HERE'!A99="manual",'START HERE'!A102,C14/C3)</f>
        <v>13.976749999999999</v>
      </c>
    </row>
    <row r="14" spans="2:6" ht="14.5" x14ac:dyDescent="0.35">
      <c r="B14" s="2" t="s">
        <v>106</v>
      </c>
      <c r="C14" s="80">
        <f>IF('START HERE'!A99="manual",C13*C3,Sheet3!I3/1000)</f>
        <v>447.25599999999997</v>
      </c>
    </row>
    <row r="15" spans="2:6" ht="14.5" x14ac:dyDescent="0.35">
      <c r="B15" s="2" t="s">
        <v>107</v>
      </c>
      <c r="C15" s="77">
        <f>IF('START HERE'!A99="manual",0,SUM(Sheet3!D:D)/1000)</f>
        <v>14998.981</v>
      </c>
    </row>
    <row r="16" spans="2:6" ht="14.5" x14ac:dyDescent="0.35">
      <c r="B16" s="2" t="s">
        <v>108</v>
      </c>
      <c r="C16" s="78" t="str">
        <f>IF('START HERE'!A99="manual",0,IF(C15&gt;C14,1&amp;" : 1",ROUNDUP((C14/C15),1)&amp;" : 1"))</f>
        <v>1 : 1</v>
      </c>
    </row>
    <row r="17" spans="2:5" ht="14.5" x14ac:dyDescent="0.35">
      <c r="C17" s="74"/>
    </row>
    <row r="18" spans="2:5" ht="14.5" x14ac:dyDescent="0.35">
      <c r="B18" s="3" t="s">
        <v>109</v>
      </c>
      <c r="C18" s="75"/>
      <c r="E18" s="53"/>
    </row>
    <row r="19" spans="2:5" ht="14.5" x14ac:dyDescent="0.35">
      <c r="B19" s="2" t="s">
        <v>110</v>
      </c>
      <c r="C19" s="80">
        <f>IF('START HERE'!A99="manual",0,Sheet3!J3/1000000)</f>
        <v>15.122752999999999</v>
      </c>
    </row>
    <row r="20" spans="2:5" ht="14.5" x14ac:dyDescent="0.35">
      <c r="B20" s="2" t="s">
        <v>111</v>
      </c>
      <c r="C20" s="76">
        <f>IF('START HERE'!A99="manual",(C3*C22)/1000,Sheet3!K3/1000000)</f>
        <v>17.545988999999999</v>
      </c>
    </row>
    <row r="21" spans="2:5" ht="14.5" x14ac:dyDescent="0.35">
      <c r="B21" s="2" t="s">
        <v>112</v>
      </c>
      <c r="C21" s="81">
        <f>IF('START HERE'!A99="manual",0,C19/C20)</f>
        <v>0.86189231054459226</v>
      </c>
    </row>
    <row r="22" spans="2:5" ht="14.5" x14ac:dyDescent="0.35">
      <c r="B22" s="2" t="s">
        <v>113</v>
      </c>
      <c r="C22" s="82">
        <f>IF('START HERE'!A99="manual",'START HERE'!A103/1000,(C20*1000)/C3)</f>
        <v>548.31215624999993</v>
      </c>
    </row>
  </sheetData>
  <sheetProtection algorithmName="SHA-512" hashValue="vL6nQ413kRhXz9vaN6gX1nhEcT6EldZA6YL73Xd7/NHQl2wr7jPjjG6pL11xfK6QoQB4A7ORE9aZMMrb0L7ZcQ==" saltValue="P+qnEvOmGF6/lERXjk3O4g==" spinCount="100000" sheet="1" objects="1" scenarios="1"/>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7">
    <tabColor rgb="FFC00000"/>
  </sheetPr>
  <dimension ref="A1:BZ32"/>
  <sheetViews>
    <sheetView tabSelected="1" workbookViewId="0">
      <selection activeCell="A4" sqref="A4"/>
    </sheetView>
  </sheetViews>
  <sheetFormatPr defaultColWidth="9.1796875" defaultRowHeight="11.5" x14ac:dyDescent="0.25"/>
  <cols>
    <col min="1" max="1" width="53.90625" style="96" customWidth="1"/>
    <col min="2" max="2" width="15.54296875" style="96" customWidth="1"/>
    <col min="3" max="3" width="13.54296875" style="96" customWidth="1"/>
    <col min="4" max="4" width="20.6328125" style="96" customWidth="1"/>
    <col min="5" max="5" width="17.26953125" style="96" customWidth="1"/>
    <col min="6" max="6" width="35.7265625" style="96" customWidth="1"/>
    <col min="7" max="7" width="20.7265625" style="96" customWidth="1"/>
    <col min="8" max="8" width="15.54296875" style="96" customWidth="1"/>
    <col min="9" max="9" width="14.1796875" style="96" customWidth="1"/>
    <col min="10" max="10" width="25.54296875" style="96" customWidth="1"/>
    <col min="11" max="13" width="18.81640625" style="99" customWidth="1"/>
    <col min="14" max="14" width="19.6328125" style="99" customWidth="1"/>
    <col min="15" max="15" width="9.453125" style="97" customWidth="1"/>
    <col min="16" max="16" width="12.26953125" style="97" customWidth="1"/>
    <col min="17" max="17" width="9.1796875" style="97" customWidth="1"/>
    <col min="18" max="18" width="9.7265625" style="97" customWidth="1"/>
    <col min="19" max="19" width="31.6328125" style="96" customWidth="1"/>
    <col min="20" max="20" width="22.81640625" style="96" customWidth="1"/>
    <col min="21" max="21" width="16.1796875" style="96" customWidth="1"/>
    <col min="22" max="22" width="8.26953125" style="96" customWidth="1"/>
    <col min="23" max="23" width="26.453125" style="96" customWidth="1"/>
    <col min="24" max="24" width="17.36328125" style="96" customWidth="1"/>
    <col min="25" max="25" width="18.54296875" style="96" customWidth="1"/>
    <col min="26" max="26" width="23.6328125" style="96" customWidth="1"/>
    <col min="27" max="27" width="21.7265625" style="96" customWidth="1"/>
    <col min="28" max="31" width="16.08984375" style="96" customWidth="1"/>
    <col min="32" max="32" width="18.08984375" style="97" customWidth="1"/>
    <col min="33" max="33" width="18.6328125" style="97" customWidth="1"/>
    <col min="34" max="34" width="48.1796875" style="96" customWidth="1"/>
    <col min="35" max="35" width="39" style="96" customWidth="1"/>
    <col min="36" max="36" width="9.36328125" style="96" customWidth="1"/>
    <col min="37" max="37" width="19" style="96" customWidth="1"/>
    <col min="38" max="38" width="14" style="96" customWidth="1"/>
    <col min="39" max="39" width="14.90625" style="96" customWidth="1"/>
    <col min="40" max="40" width="17.7265625" style="97" customWidth="1"/>
    <col min="41" max="41" width="19.453125" style="97" customWidth="1"/>
    <col min="42" max="42" width="20" style="97" customWidth="1"/>
    <col min="43" max="43" width="14.90625" style="97" customWidth="1"/>
    <col min="44" max="44" width="17.81640625" style="97" customWidth="1"/>
    <col min="45" max="45" width="22.7265625" style="96" customWidth="1"/>
    <col min="46" max="46" width="26.36328125" style="96" customWidth="1"/>
    <col min="47" max="47" width="21.81640625" style="96" customWidth="1"/>
    <col min="48" max="48" width="18.6328125" style="96" customWidth="1"/>
    <col min="49" max="49" width="24.54296875" style="96" customWidth="1"/>
    <col min="50" max="50" width="18.26953125" style="96" customWidth="1"/>
    <col min="51" max="51" width="14.7265625" style="97" customWidth="1"/>
    <col min="52" max="52" width="20.08984375" style="97" customWidth="1"/>
    <col min="53" max="53" width="22.54296875" style="96" customWidth="1"/>
    <col min="54" max="54" width="20.453125" style="96" customWidth="1"/>
    <col min="55" max="55" width="13.7265625" style="96" customWidth="1"/>
    <col min="56" max="56" width="15.6328125" style="97" customWidth="1"/>
    <col min="57" max="57" width="23" style="96" customWidth="1"/>
    <col min="58" max="58" width="22.7265625" style="96" customWidth="1"/>
    <col min="59" max="59" width="14.36328125" style="96" customWidth="1"/>
    <col min="60" max="60" width="136" style="96" customWidth="1"/>
    <col min="61" max="63" width="79.6328125" style="96" customWidth="1"/>
    <col min="64" max="64" width="255" style="96" customWidth="1"/>
    <col min="65" max="65" width="86.90625" style="96" customWidth="1"/>
    <col min="66" max="66" width="19.26953125" style="96" customWidth="1"/>
    <col min="67" max="67" width="21.36328125" style="96" customWidth="1"/>
    <col min="68" max="68" width="28.6328125" style="96" customWidth="1"/>
    <col min="69" max="70" width="44.90625" style="96" customWidth="1"/>
    <col min="71" max="71" width="10.453125" style="96" customWidth="1"/>
    <col min="72" max="72" width="39" style="96" customWidth="1"/>
    <col min="73" max="73" width="41.6328125" style="96" customWidth="1"/>
    <col min="74" max="74" width="23.36328125" style="96" customWidth="1"/>
    <col min="75" max="76" width="26.36328125" style="96" customWidth="1"/>
    <col min="77" max="77" width="9.1796875" style="95" customWidth="1"/>
    <col min="78" max="16384" width="9.1796875" style="95"/>
  </cols>
  <sheetData>
    <row r="1" spans="1:78" x14ac:dyDescent="0.25">
      <c r="A1" s="91" t="s">
        <v>193</v>
      </c>
      <c r="B1" s="91" t="s">
        <v>194</v>
      </c>
      <c r="C1" s="91" t="s">
        <v>195</v>
      </c>
      <c r="D1" s="91" t="s">
        <v>196</v>
      </c>
      <c r="E1" s="91" t="s">
        <v>120</v>
      </c>
      <c r="F1" s="91" t="s">
        <v>197</v>
      </c>
      <c r="G1" s="91" t="s">
        <v>198</v>
      </c>
      <c r="H1" s="91" t="s">
        <v>199</v>
      </c>
      <c r="I1" s="91" t="s">
        <v>200</v>
      </c>
      <c r="J1" s="91" t="s">
        <v>201</v>
      </c>
      <c r="K1" s="94" t="s">
        <v>202</v>
      </c>
      <c r="L1" s="94" t="s">
        <v>203</v>
      </c>
      <c r="M1" s="94" t="s">
        <v>204</v>
      </c>
      <c r="N1" s="94" t="s">
        <v>205</v>
      </c>
      <c r="O1" s="92" t="s">
        <v>206</v>
      </c>
      <c r="P1" s="92" t="s">
        <v>104</v>
      </c>
      <c r="Q1" s="92" t="s">
        <v>207</v>
      </c>
      <c r="R1" s="92" t="s">
        <v>208</v>
      </c>
      <c r="S1" s="91" t="s">
        <v>482</v>
      </c>
      <c r="T1" s="91" t="s">
        <v>209</v>
      </c>
      <c r="U1" s="91" t="s">
        <v>210</v>
      </c>
      <c r="V1" s="91" t="s">
        <v>211</v>
      </c>
      <c r="W1" s="91" t="s">
        <v>212</v>
      </c>
      <c r="X1" s="91" t="s">
        <v>213</v>
      </c>
      <c r="Y1" s="91" t="s">
        <v>214</v>
      </c>
      <c r="Z1" s="91" t="s">
        <v>215</v>
      </c>
      <c r="AA1" s="91" t="s">
        <v>216</v>
      </c>
      <c r="AB1" s="91" t="s">
        <v>217</v>
      </c>
      <c r="AC1" s="91" t="s">
        <v>218</v>
      </c>
      <c r="AD1" s="91" t="s">
        <v>219</v>
      </c>
      <c r="AE1" s="91" t="s">
        <v>220</v>
      </c>
      <c r="AF1" s="92" t="s">
        <v>221</v>
      </c>
      <c r="AG1" s="92" t="s">
        <v>222</v>
      </c>
      <c r="AH1" s="91" t="s">
        <v>223</v>
      </c>
      <c r="AI1" s="91" t="s">
        <v>224</v>
      </c>
      <c r="AJ1" s="91" t="s">
        <v>225</v>
      </c>
      <c r="AK1" s="91" t="s">
        <v>226</v>
      </c>
      <c r="AL1" s="91" t="s">
        <v>227</v>
      </c>
      <c r="AM1" s="91" t="s">
        <v>228</v>
      </c>
      <c r="AN1" s="92" t="s">
        <v>229</v>
      </c>
      <c r="AO1" s="92" t="s">
        <v>230</v>
      </c>
      <c r="AP1" s="92" t="s">
        <v>231</v>
      </c>
      <c r="AQ1" s="92" t="s">
        <v>232</v>
      </c>
      <c r="AR1" s="92" t="s">
        <v>233</v>
      </c>
      <c r="AS1" s="91" t="s">
        <v>234</v>
      </c>
      <c r="AT1" s="91" t="s">
        <v>235</v>
      </c>
      <c r="AU1" s="91" t="s">
        <v>236</v>
      </c>
      <c r="AV1" s="91" t="s">
        <v>237</v>
      </c>
      <c r="AW1" s="91" t="s">
        <v>238</v>
      </c>
      <c r="AX1" s="91" t="s">
        <v>239</v>
      </c>
      <c r="AY1" s="92" t="s">
        <v>240</v>
      </c>
      <c r="AZ1" s="92" t="s">
        <v>241</v>
      </c>
      <c r="BA1" s="91" t="s">
        <v>242</v>
      </c>
      <c r="BB1" s="91" t="s">
        <v>243</v>
      </c>
      <c r="BC1" s="91" t="s">
        <v>244</v>
      </c>
      <c r="BD1" s="92" t="s">
        <v>245</v>
      </c>
      <c r="BE1" s="91" t="s">
        <v>246</v>
      </c>
      <c r="BF1" s="91" t="s">
        <v>247</v>
      </c>
      <c r="BG1" s="91" t="s">
        <v>248</v>
      </c>
      <c r="BH1" s="91" t="s">
        <v>249</v>
      </c>
      <c r="BI1" s="91" t="s">
        <v>250</v>
      </c>
      <c r="BJ1" s="91" t="s">
        <v>251</v>
      </c>
      <c r="BK1" s="91" t="s">
        <v>252</v>
      </c>
      <c r="BL1" s="91" t="s">
        <v>253</v>
      </c>
      <c r="BM1" s="91" t="s">
        <v>483</v>
      </c>
      <c r="BN1" s="91" t="s">
        <v>118</v>
      </c>
      <c r="BO1" s="91" t="s">
        <v>119</v>
      </c>
      <c r="BP1" s="91" t="s">
        <v>117</v>
      </c>
      <c r="BQ1" s="91" t="s">
        <v>254</v>
      </c>
      <c r="BR1" s="91" t="s">
        <v>255</v>
      </c>
      <c r="BS1" s="91" t="s">
        <v>256</v>
      </c>
      <c r="BT1" s="91" t="s">
        <v>257</v>
      </c>
      <c r="BU1" s="91" t="s">
        <v>258</v>
      </c>
      <c r="BV1" s="91" t="s">
        <v>259</v>
      </c>
      <c r="BW1" s="91" t="s">
        <v>176</v>
      </c>
      <c r="BX1" s="91" t="s">
        <v>177</v>
      </c>
      <c r="BY1" s="95" t="s">
        <v>280</v>
      </c>
      <c r="BZ1" s="95" t="s">
        <v>280</v>
      </c>
    </row>
    <row r="2" spans="1:78" x14ac:dyDescent="0.25">
      <c r="A2" s="96" t="s">
        <v>484</v>
      </c>
      <c r="B2" s="96" t="s">
        <v>269</v>
      </c>
      <c r="C2" s="96" t="s">
        <v>180</v>
      </c>
      <c r="D2" s="96" t="s">
        <v>179</v>
      </c>
      <c r="E2" s="96" t="s">
        <v>181</v>
      </c>
      <c r="G2" s="96" t="s">
        <v>261</v>
      </c>
      <c r="H2" s="96" t="s">
        <v>270</v>
      </c>
      <c r="I2" s="96" t="s">
        <v>178</v>
      </c>
      <c r="J2" s="96" t="s">
        <v>179</v>
      </c>
      <c r="M2" s="99">
        <v>25568.791666666701</v>
      </c>
      <c r="N2" s="99">
        <v>44668.911307870403</v>
      </c>
      <c r="O2" s="97">
        <v>2</v>
      </c>
      <c r="P2" s="97">
        <v>2048</v>
      </c>
      <c r="Q2" s="97">
        <v>1</v>
      </c>
      <c r="R2" s="97">
        <v>1</v>
      </c>
      <c r="T2" s="96" t="s">
        <v>263</v>
      </c>
      <c r="X2" s="96" t="s">
        <v>485</v>
      </c>
      <c r="AF2" s="97">
        <v>1</v>
      </c>
      <c r="AI2" s="96" t="s">
        <v>486</v>
      </c>
      <c r="AL2" s="96" t="s">
        <v>264</v>
      </c>
      <c r="AM2" s="96" t="s">
        <v>178</v>
      </c>
      <c r="AN2" s="97">
        <v>-1</v>
      </c>
      <c r="AO2" s="97">
        <v>-1</v>
      </c>
      <c r="AP2" s="97">
        <v>36581</v>
      </c>
      <c r="AQ2" s="97">
        <v>17484</v>
      </c>
      <c r="AR2" s="97">
        <v>17484</v>
      </c>
      <c r="AX2" s="96" t="s">
        <v>179</v>
      </c>
      <c r="AY2" s="97">
        <v>0</v>
      </c>
      <c r="AZ2" s="97">
        <v>10000</v>
      </c>
      <c r="BA2" s="96" t="s">
        <v>179</v>
      </c>
      <c r="BB2" s="96" t="s">
        <v>179</v>
      </c>
      <c r="BC2" s="96" t="s">
        <v>265</v>
      </c>
      <c r="BD2" s="97">
        <v>10</v>
      </c>
      <c r="BE2" s="96" t="s">
        <v>266</v>
      </c>
      <c r="BF2" s="96" t="s">
        <v>267</v>
      </c>
      <c r="BH2" s="96" t="s">
        <v>487</v>
      </c>
      <c r="BI2" s="96" t="s">
        <v>488</v>
      </c>
      <c r="BJ2" s="96" t="s">
        <v>488</v>
      </c>
      <c r="BK2" s="96" t="s">
        <v>488</v>
      </c>
      <c r="BN2" s="96" t="s">
        <v>429</v>
      </c>
      <c r="BO2" s="96" t="s">
        <v>430</v>
      </c>
      <c r="BP2" s="96" t="s">
        <v>428</v>
      </c>
      <c r="BQ2" s="96" t="s">
        <v>489</v>
      </c>
      <c r="BR2" s="96" t="s">
        <v>489</v>
      </c>
      <c r="BS2" s="96" t="s">
        <v>490</v>
      </c>
      <c r="BT2" s="96" t="s">
        <v>491</v>
      </c>
      <c r="BU2" s="96" t="s">
        <v>492</v>
      </c>
      <c r="BW2" s="96" t="s">
        <v>299</v>
      </c>
      <c r="BX2" s="96" t="s">
        <v>299</v>
      </c>
      <c r="BY2" s="95" t="s">
        <v>281</v>
      </c>
      <c r="BZ2" s="95" t="s">
        <v>281</v>
      </c>
    </row>
    <row r="3" spans="1:78" x14ac:dyDescent="0.25">
      <c r="A3" s="96" t="s">
        <v>493</v>
      </c>
      <c r="B3" s="96" t="s">
        <v>269</v>
      </c>
      <c r="C3" s="96" t="s">
        <v>180</v>
      </c>
      <c r="D3" s="96" t="s">
        <v>179</v>
      </c>
      <c r="E3" s="96" t="s">
        <v>181</v>
      </c>
      <c r="G3" s="96" t="s">
        <v>261</v>
      </c>
      <c r="H3" s="96" t="s">
        <v>270</v>
      </c>
      <c r="I3" s="96" t="s">
        <v>178</v>
      </c>
      <c r="J3" s="96" t="s">
        <v>179</v>
      </c>
      <c r="M3" s="99">
        <v>25568.791666666701</v>
      </c>
      <c r="N3" s="99">
        <v>44668.9113194444</v>
      </c>
      <c r="O3" s="97">
        <v>4</v>
      </c>
      <c r="P3" s="97">
        <v>4096</v>
      </c>
      <c r="Q3" s="97">
        <v>1</v>
      </c>
      <c r="R3" s="97">
        <v>1</v>
      </c>
      <c r="T3" s="96" t="s">
        <v>263</v>
      </c>
      <c r="X3" s="96" t="s">
        <v>485</v>
      </c>
      <c r="AF3" s="97">
        <v>1</v>
      </c>
      <c r="AI3" s="96" t="s">
        <v>486</v>
      </c>
      <c r="AL3" s="96" t="s">
        <v>264</v>
      </c>
      <c r="AM3" s="96" t="s">
        <v>178</v>
      </c>
      <c r="AN3" s="97">
        <v>-1</v>
      </c>
      <c r="AO3" s="97">
        <v>-1</v>
      </c>
      <c r="AP3" s="97">
        <v>67315</v>
      </c>
      <c r="AQ3" s="97">
        <v>22992</v>
      </c>
      <c r="AR3" s="97">
        <v>22992</v>
      </c>
      <c r="AX3" s="96" t="s">
        <v>179</v>
      </c>
      <c r="AY3" s="97">
        <v>0</v>
      </c>
      <c r="AZ3" s="97">
        <v>10000</v>
      </c>
      <c r="BA3" s="96" t="s">
        <v>179</v>
      </c>
      <c r="BB3" s="96" t="s">
        <v>179</v>
      </c>
      <c r="BC3" s="96" t="s">
        <v>265</v>
      </c>
      <c r="BD3" s="97">
        <v>11</v>
      </c>
      <c r="BE3" s="96" t="s">
        <v>266</v>
      </c>
      <c r="BF3" s="96" t="s">
        <v>267</v>
      </c>
      <c r="BH3" s="96" t="s">
        <v>494</v>
      </c>
      <c r="BI3" s="96" t="s">
        <v>495</v>
      </c>
      <c r="BJ3" s="96" t="s">
        <v>495</v>
      </c>
      <c r="BK3" s="96" t="s">
        <v>495</v>
      </c>
      <c r="BN3" s="96" t="s">
        <v>429</v>
      </c>
      <c r="BO3" s="96" t="s">
        <v>430</v>
      </c>
      <c r="BP3" s="96" t="s">
        <v>428</v>
      </c>
      <c r="BQ3" s="96" t="s">
        <v>271</v>
      </c>
      <c r="BR3" s="96" t="s">
        <v>271</v>
      </c>
      <c r="BS3" s="96" t="s">
        <v>496</v>
      </c>
      <c r="BT3" s="96" t="s">
        <v>497</v>
      </c>
      <c r="BU3" s="96" t="s">
        <v>492</v>
      </c>
      <c r="BW3" s="96" t="s">
        <v>299</v>
      </c>
      <c r="BX3" s="96" t="s">
        <v>299</v>
      </c>
      <c r="BY3" s="95" t="s">
        <v>281</v>
      </c>
      <c r="BZ3" s="95" t="s">
        <v>281</v>
      </c>
    </row>
    <row r="4" spans="1:78" x14ac:dyDescent="0.25">
      <c r="A4" s="96" t="s">
        <v>498</v>
      </c>
      <c r="B4" s="96" t="s">
        <v>260</v>
      </c>
      <c r="C4" s="96" t="s">
        <v>179</v>
      </c>
      <c r="D4" s="96" t="s">
        <v>179</v>
      </c>
      <c r="E4" s="96" t="s">
        <v>181</v>
      </c>
      <c r="F4" s="96" t="s">
        <v>499</v>
      </c>
      <c r="G4" s="96" t="s">
        <v>261</v>
      </c>
      <c r="H4" s="96" t="s">
        <v>262</v>
      </c>
      <c r="I4" s="96" t="s">
        <v>181</v>
      </c>
      <c r="J4" s="96" t="s">
        <v>179</v>
      </c>
      <c r="K4" s="99">
        <v>44272.803645833301</v>
      </c>
      <c r="M4" s="99">
        <v>25568.791666666701</v>
      </c>
      <c r="N4" s="99">
        <v>44668.8520138889</v>
      </c>
      <c r="O4" s="97">
        <v>4</v>
      </c>
      <c r="P4" s="97">
        <v>4096</v>
      </c>
      <c r="Q4" s="97">
        <v>1</v>
      </c>
      <c r="R4" s="97">
        <v>3</v>
      </c>
      <c r="S4" s="96" t="s">
        <v>182</v>
      </c>
      <c r="T4" s="96" t="s">
        <v>263</v>
      </c>
      <c r="U4" s="96" t="s">
        <v>180</v>
      </c>
      <c r="W4" s="96" t="s">
        <v>500</v>
      </c>
      <c r="X4" s="96" t="s">
        <v>485</v>
      </c>
      <c r="AF4" s="97">
        <v>1</v>
      </c>
      <c r="AH4" s="96" t="s">
        <v>501</v>
      </c>
      <c r="AI4" s="96" t="s">
        <v>486</v>
      </c>
      <c r="AL4" s="96" t="s">
        <v>264</v>
      </c>
      <c r="AM4" s="96" t="s">
        <v>178</v>
      </c>
      <c r="AN4" s="97">
        <v>-1</v>
      </c>
      <c r="AO4" s="97">
        <v>-1</v>
      </c>
      <c r="AP4" s="97">
        <v>157788</v>
      </c>
      <c r="AQ4" s="97">
        <v>157179</v>
      </c>
      <c r="AR4" s="97">
        <v>152991</v>
      </c>
      <c r="AX4" s="96" t="s">
        <v>179</v>
      </c>
      <c r="AY4" s="97">
        <v>0</v>
      </c>
      <c r="AZ4" s="97">
        <v>10000</v>
      </c>
      <c r="BA4" s="96" t="s">
        <v>179</v>
      </c>
      <c r="BB4" s="96" t="s">
        <v>179</v>
      </c>
      <c r="BC4" s="96" t="s">
        <v>265</v>
      </c>
      <c r="BD4" s="97">
        <v>8</v>
      </c>
      <c r="BE4" s="96" t="s">
        <v>266</v>
      </c>
      <c r="BF4" s="96" t="s">
        <v>267</v>
      </c>
      <c r="BH4" s="96" t="s">
        <v>502</v>
      </c>
      <c r="BI4" s="96" t="s">
        <v>503</v>
      </c>
      <c r="BJ4" s="96" t="s">
        <v>503</v>
      </c>
      <c r="BK4" s="96" t="s">
        <v>503</v>
      </c>
      <c r="BL4" s="96" t="s">
        <v>504</v>
      </c>
      <c r="BN4" s="96" t="s">
        <v>429</v>
      </c>
      <c r="BO4" s="96" t="s">
        <v>430</v>
      </c>
      <c r="BP4" s="96" t="s">
        <v>434</v>
      </c>
      <c r="BQ4" s="96" t="s">
        <v>274</v>
      </c>
      <c r="BR4" s="96" t="s">
        <v>274</v>
      </c>
      <c r="BS4" s="96" t="s">
        <v>505</v>
      </c>
      <c r="BT4" s="96" t="s">
        <v>506</v>
      </c>
      <c r="BU4" s="96" t="s">
        <v>492</v>
      </c>
      <c r="BW4" s="96" t="s">
        <v>299</v>
      </c>
      <c r="BX4" s="96" t="s">
        <v>299</v>
      </c>
      <c r="BY4" s="95" t="s">
        <v>281</v>
      </c>
      <c r="BZ4" s="95" t="s">
        <v>281</v>
      </c>
    </row>
    <row r="5" spans="1:78" x14ac:dyDescent="0.25">
      <c r="A5" s="96" t="s">
        <v>507</v>
      </c>
      <c r="B5" s="96" t="s">
        <v>269</v>
      </c>
      <c r="C5" s="96" t="s">
        <v>179</v>
      </c>
      <c r="D5" s="96" t="s">
        <v>179</v>
      </c>
      <c r="E5" s="96" t="s">
        <v>181</v>
      </c>
      <c r="F5" s="96" t="s">
        <v>508</v>
      </c>
      <c r="G5" s="96" t="s">
        <v>261</v>
      </c>
      <c r="H5" s="96" t="s">
        <v>270</v>
      </c>
      <c r="I5" s="96" t="s">
        <v>178</v>
      </c>
      <c r="J5" s="96" t="s">
        <v>179</v>
      </c>
      <c r="M5" s="99">
        <v>25568.791666666701</v>
      </c>
      <c r="N5" s="99">
        <v>44784.959965277798</v>
      </c>
      <c r="O5" s="97">
        <v>1</v>
      </c>
      <c r="P5" s="97">
        <v>6144</v>
      </c>
      <c r="Q5" s="97">
        <v>1</v>
      </c>
      <c r="R5" s="97">
        <v>2</v>
      </c>
      <c r="T5" s="96" t="s">
        <v>279</v>
      </c>
      <c r="X5" s="96" t="s">
        <v>509</v>
      </c>
      <c r="AF5" s="97">
        <v>1</v>
      </c>
      <c r="AH5" s="96" t="s">
        <v>510</v>
      </c>
      <c r="AI5" s="96" t="s">
        <v>486</v>
      </c>
      <c r="AL5" s="96" t="s">
        <v>264</v>
      </c>
      <c r="AM5" s="96" t="s">
        <v>178</v>
      </c>
      <c r="AN5" s="97">
        <v>-1</v>
      </c>
      <c r="AO5" s="97">
        <v>-1</v>
      </c>
      <c r="AP5" s="97">
        <v>56667</v>
      </c>
      <c r="AQ5" s="97">
        <v>33061</v>
      </c>
      <c r="AR5" s="97">
        <v>32959</v>
      </c>
      <c r="AX5" s="96" t="s">
        <v>179</v>
      </c>
      <c r="AY5" s="97">
        <v>0</v>
      </c>
      <c r="AZ5" s="97">
        <v>10000</v>
      </c>
      <c r="BA5" s="96" t="s">
        <v>179</v>
      </c>
      <c r="BB5" s="96" t="s">
        <v>179</v>
      </c>
      <c r="BC5" s="96" t="s">
        <v>265</v>
      </c>
      <c r="BD5" s="97">
        <v>7</v>
      </c>
      <c r="BE5" s="96" t="s">
        <v>266</v>
      </c>
      <c r="BF5" s="96" t="s">
        <v>267</v>
      </c>
      <c r="BH5" s="96" t="s">
        <v>511</v>
      </c>
      <c r="BI5" s="96" t="s">
        <v>512</v>
      </c>
      <c r="BJ5" s="96" t="s">
        <v>512</v>
      </c>
      <c r="BK5" s="96" t="s">
        <v>512</v>
      </c>
      <c r="BN5" s="96" t="s">
        <v>429</v>
      </c>
      <c r="BP5" s="96" t="s">
        <v>445</v>
      </c>
      <c r="BQ5" s="96" t="s">
        <v>513</v>
      </c>
      <c r="BR5" s="96" t="s">
        <v>513</v>
      </c>
      <c r="BS5" s="96" t="s">
        <v>514</v>
      </c>
      <c r="BT5" s="96" t="s">
        <v>515</v>
      </c>
      <c r="BU5" s="96" t="s">
        <v>492</v>
      </c>
      <c r="BW5" s="96" t="s">
        <v>299</v>
      </c>
      <c r="BX5" s="96" t="s">
        <v>299</v>
      </c>
      <c r="BY5" s="95" t="s">
        <v>281</v>
      </c>
      <c r="BZ5" s="95" t="s">
        <v>281</v>
      </c>
    </row>
    <row r="6" spans="1:78" x14ac:dyDescent="0.25">
      <c r="A6" s="96" t="s">
        <v>516</v>
      </c>
      <c r="B6" s="96" t="s">
        <v>260</v>
      </c>
      <c r="C6" s="96" t="s">
        <v>179</v>
      </c>
      <c r="D6" s="96" t="s">
        <v>179</v>
      </c>
      <c r="E6" s="96" t="s">
        <v>181</v>
      </c>
      <c r="F6" s="96" t="s">
        <v>517</v>
      </c>
      <c r="G6" s="96" t="s">
        <v>261</v>
      </c>
      <c r="H6" s="96" t="s">
        <v>262</v>
      </c>
      <c r="I6" s="96" t="s">
        <v>181</v>
      </c>
      <c r="J6" s="96" t="s">
        <v>179</v>
      </c>
      <c r="K6" s="99">
        <v>45011.915405092601</v>
      </c>
      <c r="M6" s="99">
        <v>25568.791666666701</v>
      </c>
      <c r="N6" s="99">
        <v>44784.959976851896</v>
      </c>
      <c r="O6" s="97">
        <v>1</v>
      </c>
      <c r="P6" s="97">
        <v>6144</v>
      </c>
      <c r="Q6" s="97">
        <v>1</v>
      </c>
      <c r="R6" s="97">
        <v>2</v>
      </c>
      <c r="S6" s="96" t="s">
        <v>182</v>
      </c>
      <c r="T6" s="96" t="s">
        <v>279</v>
      </c>
      <c r="W6" s="96" t="s">
        <v>518</v>
      </c>
      <c r="X6" s="96" t="s">
        <v>509</v>
      </c>
      <c r="AF6" s="97">
        <v>1</v>
      </c>
      <c r="AH6" s="96" t="s">
        <v>510</v>
      </c>
      <c r="AI6" s="96" t="s">
        <v>486</v>
      </c>
      <c r="AL6" s="96" t="s">
        <v>264</v>
      </c>
      <c r="AM6" s="96" t="s">
        <v>178</v>
      </c>
      <c r="AN6" s="97">
        <v>-1</v>
      </c>
      <c r="AO6" s="97">
        <v>-1</v>
      </c>
      <c r="AP6" s="97">
        <v>90836</v>
      </c>
      <c r="AQ6" s="97">
        <v>50662</v>
      </c>
      <c r="AR6" s="97">
        <v>42871</v>
      </c>
      <c r="AX6" s="96" t="s">
        <v>179</v>
      </c>
      <c r="AY6" s="97">
        <v>0</v>
      </c>
      <c r="AZ6" s="97">
        <v>10000</v>
      </c>
      <c r="BA6" s="96" t="s">
        <v>179</v>
      </c>
      <c r="BB6" s="96" t="s">
        <v>179</v>
      </c>
      <c r="BC6" s="96" t="s">
        <v>265</v>
      </c>
      <c r="BD6" s="97">
        <v>7</v>
      </c>
      <c r="BE6" s="96" t="s">
        <v>266</v>
      </c>
      <c r="BF6" s="96" t="s">
        <v>267</v>
      </c>
      <c r="BH6" s="96" t="s">
        <v>519</v>
      </c>
      <c r="BI6" s="96" t="s">
        <v>520</v>
      </c>
      <c r="BJ6" s="96" t="s">
        <v>520</v>
      </c>
      <c r="BK6" s="96" t="s">
        <v>520</v>
      </c>
      <c r="BN6" s="96" t="s">
        <v>429</v>
      </c>
      <c r="BP6" s="96" t="s">
        <v>445</v>
      </c>
      <c r="BQ6" s="96" t="s">
        <v>513</v>
      </c>
      <c r="BR6" s="96" t="s">
        <v>513</v>
      </c>
      <c r="BS6" s="96" t="s">
        <v>521</v>
      </c>
      <c r="BT6" s="96" t="s">
        <v>522</v>
      </c>
      <c r="BU6" s="96" t="s">
        <v>492</v>
      </c>
      <c r="BW6" s="96" t="s">
        <v>299</v>
      </c>
      <c r="BX6" s="96" t="s">
        <v>299</v>
      </c>
      <c r="BY6" s="95" t="s">
        <v>281</v>
      </c>
      <c r="BZ6" s="95" t="s">
        <v>281</v>
      </c>
    </row>
    <row r="7" spans="1:78" x14ac:dyDescent="0.25">
      <c r="A7" s="96" t="s">
        <v>523</v>
      </c>
      <c r="B7" s="96" t="s">
        <v>260</v>
      </c>
      <c r="C7" s="96" t="s">
        <v>179</v>
      </c>
      <c r="D7" s="96" t="s">
        <v>179</v>
      </c>
      <c r="E7" s="96" t="s">
        <v>181</v>
      </c>
      <c r="F7" s="96" t="s">
        <v>524</v>
      </c>
      <c r="G7" s="96" t="s">
        <v>261</v>
      </c>
      <c r="H7" s="96" t="s">
        <v>262</v>
      </c>
      <c r="I7" s="96" t="s">
        <v>181</v>
      </c>
      <c r="J7" s="96" t="s">
        <v>179</v>
      </c>
      <c r="K7" s="99">
        <v>45011.923750000002</v>
      </c>
      <c r="M7" s="99">
        <v>25568.791666666701</v>
      </c>
      <c r="N7" s="99">
        <v>44784.959965277798</v>
      </c>
      <c r="O7" s="97">
        <v>1</v>
      </c>
      <c r="P7" s="97">
        <v>4096</v>
      </c>
      <c r="Q7" s="97">
        <v>1</v>
      </c>
      <c r="R7" s="97">
        <v>1</v>
      </c>
      <c r="S7" s="96" t="s">
        <v>182</v>
      </c>
      <c r="T7" s="96" t="s">
        <v>263</v>
      </c>
      <c r="W7" s="96" t="s">
        <v>525</v>
      </c>
      <c r="X7" s="96" t="s">
        <v>509</v>
      </c>
      <c r="AF7" s="97">
        <v>1</v>
      </c>
      <c r="AH7" s="96" t="s">
        <v>510</v>
      </c>
      <c r="AI7" s="96" t="s">
        <v>486</v>
      </c>
      <c r="AL7" s="96" t="s">
        <v>264</v>
      </c>
      <c r="AM7" s="96" t="s">
        <v>178</v>
      </c>
      <c r="AN7" s="97">
        <v>-1</v>
      </c>
      <c r="AO7" s="97">
        <v>-1</v>
      </c>
      <c r="AP7" s="97">
        <v>44684</v>
      </c>
      <c r="AQ7" s="97">
        <v>16901</v>
      </c>
      <c r="AR7" s="97">
        <v>12724</v>
      </c>
      <c r="AX7" s="96" t="s">
        <v>179</v>
      </c>
      <c r="AY7" s="97">
        <v>0</v>
      </c>
      <c r="AZ7" s="97">
        <v>10000</v>
      </c>
      <c r="BA7" s="96" t="s">
        <v>179</v>
      </c>
      <c r="BB7" s="96" t="s">
        <v>179</v>
      </c>
      <c r="BC7" s="96" t="s">
        <v>265</v>
      </c>
      <c r="BD7" s="97">
        <v>7</v>
      </c>
      <c r="BE7" s="96" t="s">
        <v>266</v>
      </c>
      <c r="BF7" s="96" t="s">
        <v>267</v>
      </c>
      <c r="BH7" s="96" t="s">
        <v>526</v>
      </c>
      <c r="BI7" s="96" t="s">
        <v>527</v>
      </c>
      <c r="BJ7" s="96" t="s">
        <v>527</v>
      </c>
      <c r="BK7" s="96" t="s">
        <v>527</v>
      </c>
      <c r="BN7" s="96" t="s">
        <v>429</v>
      </c>
      <c r="BP7" s="96" t="s">
        <v>445</v>
      </c>
      <c r="BQ7" s="96" t="s">
        <v>528</v>
      </c>
      <c r="BR7" s="96" t="s">
        <v>528</v>
      </c>
      <c r="BS7" s="96" t="s">
        <v>529</v>
      </c>
      <c r="BT7" s="96" t="s">
        <v>530</v>
      </c>
      <c r="BU7" s="96" t="s">
        <v>492</v>
      </c>
      <c r="BW7" s="96" t="s">
        <v>299</v>
      </c>
      <c r="BX7" s="96" t="s">
        <v>299</v>
      </c>
      <c r="BY7" s="95" t="s">
        <v>281</v>
      </c>
      <c r="BZ7" s="95" t="s">
        <v>281</v>
      </c>
    </row>
    <row r="8" spans="1:78" x14ac:dyDescent="0.25">
      <c r="A8" s="96" t="s">
        <v>531</v>
      </c>
      <c r="B8" s="96" t="s">
        <v>269</v>
      </c>
      <c r="C8" s="96" t="s">
        <v>179</v>
      </c>
      <c r="D8" s="96" t="s">
        <v>179</v>
      </c>
      <c r="E8" s="96" t="s">
        <v>181</v>
      </c>
      <c r="F8" s="96" t="s">
        <v>532</v>
      </c>
      <c r="G8" s="96" t="s">
        <v>261</v>
      </c>
      <c r="H8" s="96" t="s">
        <v>270</v>
      </c>
      <c r="I8" s="96" t="s">
        <v>178</v>
      </c>
      <c r="J8" s="96" t="s">
        <v>179</v>
      </c>
      <c r="M8" s="99">
        <v>25568.791666666701</v>
      </c>
      <c r="N8" s="99">
        <v>44784.959965277798</v>
      </c>
      <c r="O8" s="97">
        <v>1</v>
      </c>
      <c r="P8" s="97">
        <v>7960</v>
      </c>
      <c r="Q8" s="97">
        <v>1</v>
      </c>
      <c r="R8" s="97">
        <v>2</v>
      </c>
      <c r="T8" s="96" t="s">
        <v>263</v>
      </c>
      <c r="X8" s="96" t="s">
        <v>509</v>
      </c>
      <c r="AF8" s="97">
        <v>1</v>
      </c>
      <c r="AH8" s="96" t="s">
        <v>510</v>
      </c>
      <c r="AI8" s="96" t="s">
        <v>486</v>
      </c>
      <c r="AL8" s="96" t="s">
        <v>264</v>
      </c>
      <c r="AM8" s="96" t="s">
        <v>178</v>
      </c>
      <c r="AN8" s="97">
        <v>-1</v>
      </c>
      <c r="AO8" s="97">
        <v>-1</v>
      </c>
      <c r="AP8" s="97">
        <v>58381</v>
      </c>
      <c r="AQ8" s="97">
        <v>24758</v>
      </c>
      <c r="AR8" s="97">
        <v>24757</v>
      </c>
      <c r="AX8" s="96" t="s">
        <v>179</v>
      </c>
      <c r="AY8" s="97">
        <v>0</v>
      </c>
      <c r="AZ8" s="97">
        <v>10000</v>
      </c>
      <c r="BA8" s="96" t="s">
        <v>179</v>
      </c>
      <c r="BB8" s="96" t="s">
        <v>179</v>
      </c>
      <c r="BC8" s="96" t="s">
        <v>265</v>
      </c>
      <c r="BD8" s="97">
        <v>7</v>
      </c>
      <c r="BE8" s="96" t="s">
        <v>266</v>
      </c>
      <c r="BF8" s="96" t="s">
        <v>267</v>
      </c>
      <c r="BH8" s="96" t="s">
        <v>533</v>
      </c>
      <c r="BI8" s="96" t="s">
        <v>534</v>
      </c>
      <c r="BJ8" s="96" t="s">
        <v>534</v>
      </c>
      <c r="BK8" s="96" t="s">
        <v>534</v>
      </c>
      <c r="BN8" s="96" t="s">
        <v>429</v>
      </c>
      <c r="BP8" s="96" t="s">
        <v>445</v>
      </c>
      <c r="BQ8" s="96" t="s">
        <v>513</v>
      </c>
      <c r="BS8" s="96" t="s">
        <v>535</v>
      </c>
      <c r="BT8" s="96" t="s">
        <v>536</v>
      </c>
      <c r="BU8" s="96" t="s">
        <v>492</v>
      </c>
      <c r="BW8" s="96" t="s">
        <v>299</v>
      </c>
      <c r="BX8" s="96" t="s">
        <v>299</v>
      </c>
      <c r="BY8" s="95" t="s">
        <v>281</v>
      </c>
      <c r="BZ8" s="95" t="s">
        <v>281</v>
      </c>
    </row>
    <row r="9" spans="1:78" x14ac:dyDescent="0.25">
      <c r="A9" s="96" t="s">
        <v>537</v>
      </c>
      <c r="B9" s="96" t="s">
        <v>269</v>
      </c>
      <c r="C9" s="96" t="s">
        <v>179</v>
      </c>
      <c r="D9" s="96" t="s">
        <v>179</v>
      </c>
      <c r="E9" s="96" t="s">
        <v>181</v>
      </c>
      <c r="G9" s="96" t="s">
        <v>261</v>
      </c>
      <c r="H9" s="96" t="s">
        <v>270</v>
      </c>
      <c r="I9" s="96" t="s">
        <v>178</v>
      </c>
      <c r="J9" s="96" t="s">
        <v>179</v>
      </c>
      <c r="M9" s="99">
        <v>44802.478865740697</v>
      </c>
      <c r="N9" s="99">
        <v>44802.478923611103</v>
      </c>
      <c r="O9" s="97">
        <v>2</v>
      </c>
      <c r="P9" s="97">
        <v>6144</v>
      </c>
      <c r="Q9" s="97">
        <v>1</v>
      </c>
      <c r="R9" s="97">
        <v>2</v>
      </c>
      <c r="T9" s="96" t="s">
        <v>279</v>
      </c>
      <c r="X9" s="96" t="s">
        <v>509</v>
      </c>
      <c r="AF9" s="97">
        <v>1</v>
      </c>
      <c r="AH9" s="96" t="s">
        <v>510</v>
      </c>
      <c r="AI9" s="96" t="s">
        <v>486</v>
      </c>
      <c r="AL9" s="96" t="s">
        <v>264</v>
      </c>
      <c r="AM9" s="96" t="s">
        <v>178</v>
      </c>
      <c r="AN9" s="97">
        <v>-1</v>
      </c>
      <c r="AO9" s="97">
        <v>-1</v>
      </c>
      <c r="AP9" s="97">
        <v>56564</v>
      </c>
      <c r="AQ9" s="97">
        <v>32959</v>
      </c>
      <c r="AR9" s="97">
        <v>32959</v>
      </c>
      <c r="AX9" s="96" t="s">
        <v>179</v>
      </c>
      <c r="AY9" s="97">
        <v>0</v>
      </c>
      <c r="AZ9" s="97">
        <v>10000</v>
      </c>
      <c r="BA9" s="96" t="s">
        <v>179</v>
      </c>
      <c r="BB9" s="96" t="s">
        <v>179</v>
      </c>
      <c r="BC9" s="96" t="s">
        <v>265</v>
      </c>
      <c r="BD9" s="97">
        <v>7</v>
      </c>
      <c r="BE9" s="96" t="s">
        <v>266</v>
      </c>
      <c r="BF9" s="96" t="s">
        <v>267</v>
      </c>
      <c r="BH9" s="96" t="s">
        <v>538</v>
      </c>
      <c r="BI9" s="96" t="s">
        <v>539</v>
      </c>
      <c r="BJ9" s="96" t="s">
        <v>539</v>
      </c>
      <c r="BK9" s="96" t="s">
        <v>539</v>
      </c>
      <c r="BN9" s="96" t="s">
        <v>429</v>
      </c>
      <c r="BP9" s="96" t="s">
        <v>445</v>
      </c>
      <c r="BQ9" s="96" t="s">
        <v>513</v>
      </c>
      <c r="BR9" s="96" t="s">
        <v>513</v>
      </c>
      <c r="BS9" s="96" t="s">
        <v>540</v>
      </c>
      <c r="BT9" s="96" t="s">
        <v>541</v>
      </c>
      <c r="BU9" s="96" t="s">
        <v>492</v>
      </c>
      <c r="BW9" s="96" t="s">
        <v>299</v>
      </c>
      <c r="BX9" s="96" t="s">
        <v>299</v>
      </c>
      <c r="BY9" s="95" t="s">
        <v>281</v>
      </c>
      <c r="BZ9" s="95" t="s">
        <v>281</v>
      </c>
    </row>
    <row r="10" spans="1:78" x14ac:dyDescent="0.25">
      <c r="A10" s="96" t="s">
        <v>542</v>
      </c>
      <c r="B10" s="96" t="s">
        <v>269</v>
      </c>
      <c r="C10" s="96" t="s">
        <v>179</v>
      </c>
      <c r="D10" s="96" t="s">
        <v>179</v>
      </c>
      <c r="E10" s="96" t="s">
        <v>181</v>
      </c>
      <c r="F10" s="96" t="s">
        <v>543</v>
      </c>
      <c r="G10" s="96" t="s">
        <v>261</v>
      </c>
      <c r="H10" s="96" t="s">
        <v>270</v>
      </c>
      <c r="I10" s="96" t="s">
        <v>178</v>
      </c>
      <c r="J10" s="96" t="s">
        <v>179</v>
      </c>
      <c r="M10" s="99">
        <v>25568.791666666701</v>
      </c>
      <c r="N10" s="99">
        <v>44784.959965277798</v>
      </c>
      <c r="O10" s="97">
        <v>2</v>
      </c>
      <c r="P10" s="97">
        <v>4096</v>
      </c>
      <c r="Q10" s="97">
        <v>1</v>
      </c>
      <c r="R10" s="97">
        <v>3</v>
      </c>
      <c r="T10" s="96" t="s">
        <v>263</v>
      </c>
      <c r="U10" s="96" t="s">
        <v>180</v>
      </c>
      <c r="X10" s="96" t="s">
        <v>509</v>
      </c>
      <c r="AF10" s="97">
        <v>1</v>
      </c>
      <c r="AH10" s="96" t="s">
        <v>510</v>
      </c>
      <c r="AI10" s="96" t="s">
        <v>486</v>
      </c>
      <c r="AL10" s="96" t="s">
        <v>264</v>
      </c>
      <c r="AM10" s="96" t="s">
        <v>178</v>
      </c>
      <c r="AN10" s="97">
        <v>-1</v>
      </c>
      <c r="AO10" s="97">
        <v>-1</v>
      </c>
      <c r="AP10" s="97">
        <v>76176</v>
      </c>
      <c r="AQ10" s="97">
        <v>31227</v>
      </c>
      <c r="AR10" s="97">
        <v>31168</v>
      </c>
      <c r="AX10" s="96" t="s">
        <v>179</v>
      </c>
      <c r="AY10" s="97">
        <v>0</v>
      </c>
      <c r="AZ10" s="97">
        <v>10000</v>
      </c>
      <c r="BA10" s="96" t="s">
        <v>179</v>
      </c>
      <c r="BB10" s="96" t="s">
        <v>179</v>
      </c>
      <c r="BC10" s="96" t="s">
        <v>265</v>
      </c>
      <c r="BD10" s="97">
        <v>8</v>
      </c>
      <c r="BE10" s="96" t="s">
        <v>266</v>
      </c>
      <c r="BF10" s="96" t="s">
        <v>267</v>
      </c>
      <c r="BH10" s="96" t="s">
        <v>544</v>
      </c>
      <c r="BI10" s="96" t="s">
        <v>545</v>
      </c>
      <c r="BJ10" s="96" t="s">
        <v>545</v>
      </c>
      <c r="BK10" s="96" t="s">
        <v>545</v>
      </c>
      <c r="BN10" s="96" t="s">
        <v>429</v>
      </c>
      <c r="BP10" s="96" t="s">
        <v>445</v>
      </c>
      <c r="BQ10" s="96" t="s">
        <v>274</v>
      </c>
      <c r="BR10" s="96" t="s">
        <v>272</v>
      </c>
      <c r="BS10" s="96" t="s">
        <v>546</v>
      </c>
      <c r="BT10" s="96" t="s">
        <v>547</v>
      </c>
      <c r="BU10" s="96" t="s">
        <v>492</v>
      </c>
      <c r="BW10" s="96" t="s">
        <v>299</v>
      </c>
      <c r="BX10" s="96" t="s">
        <v>299</v>
      </c>
      <c r="BY10" s="95" t="s">
        <v>281</v>
      </c>
      <c r="BZ10" s="95" t="s">
        <v>281</v>
      </c>
    </row>
    <row r="11" spans="1:78" x14ac:dyDescent="0.25">
      <c r="A11" s="96" t="s">
        <v>548</v>
      </c>
      <c r="B11" s="96" t="s">
        <v>269</v>
      </c>
      <c r="C11" s="96" t="s">
        <v>180</v>
      </c>
      <c r="D11" s="96" t="s">
        <v>179</v>
      </c>
      <c r="E11" s="96" t="s">
        <v>181</v>
      </c>
      <c r="G11" s="96" t="s">
        <v>261</v>
      </c>
      <c r="H11" s="96" t="s">
        <v>270</v>
      </c>
      <c r="I11" s="96" t="s">
        <v>178</v>
      </c>
      <c r="J11" s="96" t="s">
        <v>179</v>
      </c>
      <c r="M11" s="99">
        <v>25568.791666666701</v>
      </c>
      <c r="N11" s="99">
        <v>44784.969375000001</v>
      </c>
      <c r="O11" s="97">
        <v>2</v>
      </c>
      <c r="P11" s="97">
        <v>4096</v>
      </c>
      <c r="Q11" s="97">
        <v>1</v>
      </c>
      <c r="R11" s="97">
        <v>3</v>
      </c>
      <c r="T11" s="96" t="s">
        <v>263</v>
      </c>
      <c r="U11" s="96" t="s">
        <v>180</v>
      </c>
      <c r="X11" s="96" t="s">
        <v>485</v>
      </c>
      <c r="AF11" s="97">
        <v>1</v>
      </c>
      <c r="AI11" s="96" t="s">
        <v>486</v>
      </c>
      <c r="AL11" s="96" t="s">
        <v>264</v>
      </c>
      <c r="AM11" s="96" t="s">
        <v>178</v>
      </c>
      <c r="AN11" s="97">
        <v>-1</v>
      </c>
      <c r="AO11" s="97">
        <v>-1</v>
      </c>
      <c r="AP11" s="97">
        <v>76116</v>
      </c>
      <c r="AQ11" s="97">
        <v>29994</v>
      </c>
      <c r="AR11" s="97">
        <v>29994</v>
      </c>
      <c r="AX11" s="96" t="s">
        <v>179</v>
      </c>
      <c r="AY11" s="97">
        <v>0</v>
      </c>
      <c r="AZ11" s="97">
        <v>10000</v>
      </c>
      <c r="BA11" s="96" t="s">
        <v>179</v>
      </c>
      <c r="BB11" s="96" t="s">
        <v>179</v>
      </c>
      <c r="BC11" s="96" t="s">
        <v>265</v>
      </c>
      <c r="BD11" s="97">
        <v>8</v>
      </c>
      <c r="BE11" s="96" t="s">
        <v>266</v>
      </c>
      <c r="BF11" s="96" t="s">
        <v>267</v>
      </c>
      <c r="BH11" s="96" t="s">
        <v>549</v>
      </c>
      <c r="BI11" s="96" t="s">
        <v>550</v>
      </c>
      <c r="BJ11" s="96" t="s">
        <v>550</v>
      </c>
      <c r="BK11" s="96" t="s">
        <v>550</v>
      </c>
      <c r="BN11" s="96" t="s">
        <v>429</v>
      </c>
      <c r="BP11" s="96" t="s">
        <v>445</v>
      </c>
      <c r="BQ11" s="96" t="s">
        <v>274</v>
      </c>
      <c r="BR11" s="96" t="s">
        <v>274</v>
      </c>
      <c r="BS11" s="96" t="s">
        <v>551</v>
      </c>
      <c r="BT11" s="96" t="s">
        <v>552</v>
      </c>
      <c r="BU11" s="96" t="s">
        <v>492</v>
      </c>
      <c r="BW11" s="96" t="s">
        <v>299</v>
      </c>
      <c r="BX11" s="96" t="s">
        <v>299</v>
      </c>
      <c r="BY11" s="95" t="s">
        <v>281</v>
      </c>
      <c r="BZ11" s="95" t="s">
        <v>281</v>
      </c>
    </row>
    <row r="12" spans="1:78" x14ac:dyDescent="0.25">
      <c r="A12" s="96" t="s">
        <v>553</v>
      </c>
      <c r="B12" s="96" t="s">
        <v>260</v>
      </c>
      <c r="C12" s="96" t="s">
        <v>179</v>
      </c>
      <c r="D12" s="96" t="s">
        <v>179</v>
      </c>
      <c r="E12" s="96" t="s">
        <v>181</v>
      </c>
      <c r="F12" s="96" t="s">
        <v>554</v>
      </c>
      <c r="G12" s="96" t="s">
        <v>261</v>
      </c>
      <c r="H12" s="96" t="s">
        <v>262</v>
      </c>
      <c r="I12" s="96" t="s">
        <v>181</v>
      </c>
      <c r="J12" s="96" t="s">
        <v>179</v>
      </c>
      <c r="K12" s="99">
        <v>45029.800717592603</v>
      </c>
      <c r="M12" s="99">
        <v>45029.660868055602</v>
      </c>
      <c r="N12" s="99">
        <v>45030.100474537001</v>
      </c>
      <c r="O12" s="97">
        <v>2</v>
      </c>
      <c r="P12" s="97">
        <v>4096</v>
      </c>
      <c r="Q12" s="97">
        <v>1</v>
      </c>
      <c r="R12" s="97">
        <v>3</v>
      </c>
      <c r="S12" s="96" t="s">
        <v>182</v>
      </c>
      <c r="T12" s="96" t="s">
        <v>263</v>
      </c>
      <c r="U12" s="96" t="s">
        <v>180</v>
      </c>
      <c r="W12" s="96" t="s">
        <v>555</v>
      </c>
      <c r="X12" s="96" t="s">
        <v>485</v>
      </c>
      <c r="AF12" s="97">
        <v>1</v>
      </c>
      <c r="AH12" s="96" t="s">
        <v>501</v>
      </c>
      <c r="AI12" s="96" t="s">
        <v>486</v>
      </c>
      <c r="AL12" s="96" t="s">
        <v>264</v>
      </c>
      <c r="AM12" s="96" t="s">
        <v>178</v>
      </c>
      <c r="AN12" s="97">
        <v>-1</v>
      </c>
      <c r="AO12" s="97">
        <v>-1</v>
      </c>
      <c r="AP12" s="97">
        <v>127058</v>
      </c>
      <c r="AQ12" s="97">
        <v>34516</v>
      </c>
      <c r="AR12" s="97">
        <v>30338</v>
      </c>
      <c r="AX12" s="96" t="s">
        <v>179</v>
      </c>
      <c r="AY12" s="97">
        <v>0</v>
      </c>
      <c r="AZ12" s="97">
        <v>10000</v>
      </c>
      <c r="BA12" s="96" t="s">
        <v>179</v>
      </c>
      <c r="BB12" s="96" t="s">
        <v>179</v>
      </c>
      <c r="BC12" s="96" t="s">
        <v>265</v>
      </c>
      <c r="BD12" s="97">
        <v>8</v>
      </c>
      <c r="BE12" s="96" t="s">
        <v>266</v>
      </c>
      <c r="BF12" s="96" t="s">
        <v>267</v>
      </c>
      <c r="BH12" s="96" t="s">
        <v>556</v>
      </c>
      <c r="BI12" s="96" t="s">
        <v>557</v>
      </c>
      <c r="BJ12" s="96" t="s">
        <v>557</v>
      </c>
      <c r="BK12" s="96" t="s">
        <v>557</v>
      </c>
      <c r="BN12" s="96" t="s">
        <v>429</v>
      </c>
      <c r="BO12" s="96" t="s">
        <v>430</v>
      </c>
      <c r="BP12" s="96" t="s">
        <v>434</v>
      </c>
      <c r="BQ12" s="96" t="s">
        <v>274</v>
      </c>
      <c r="BR12" s="96" t="s">
        <v>558</v>
      </c>
      <c r="BS12" s="96" t="s">
        <v>559</v>
      </c>
      <c r="BT12" s="96" t="s">
        <v>560</v>
      </c>
      <c r="BU12" s="96" t="s">
        <v>492</v>
      </c>
      <c r="BW12" s="96" t="s">
        <v>299</v>
      </c>
      <c r="BX12" s="96" t="s">
        <v>299</v>
      </c>
      <c r="BY12" s="95" t="s">
        <v>281</v>
      </c>
      <c r="BZ12" s="95" t="s">
        <v>281</v>
      </c>
    </row>
    <row r="13" spans="1:78" x14ac:dyDescent="0.25">
      <c r="A13" s="96" t="s">
        <v>561</v>
      </c>
      <c r="B13" s="96" t="s">
        <v>260</v>
      </c>
      <c r="C13" s="96" t="s">
        <v>179</v>
      </c>
      <c r="D13" s="96" t="s">
        <v>179</v>
      </c>
      <c r="E13" s="96" t="s">
        <v>181</v>
      </c>
      <c r="F13" s="96" t="s">
        <v>562</v>
      </c>
      <c r="G13" s="96" t="s">
        <v>261</v>
      </c>
      <c r="H13" s="96" t="s">
        <v>262</v>
      </c>
      <c r="I13" s="96" t="s">
        <v>181</v>
      </c>
      <c r="J13" s="96" t="s">
        <v>179</v>
      </c>
      <c r="K13" s="99">
        <v>45029.057870370401</v>
      </c>
      <c r="M13" s="99">
        <v>45029.307569444398</v>
      </c>
      <c r="N13" s="99">
        <v>45029.3573958333</v>
      </c>
      <c r="O13" s="97">
        <v>2</v>
      </c>
      <c r="P13" s="97">
        <v>12288</v>
      </c>
      <c r="Q13" s="97">
        <v>1</v>
      </c>
      <c r="R13" s="97">
        <v>3</v>
      </c>
      <c r="S13" s="96" t="s">
        <v>182</v>
      </c>
      <c r="T13" s="96" t="s">
        <v>263</v>
      </c>
      <c r="U13" s="96" t="s">
        <v>180</v>
      </c>
      <c r="W13" s="96" t="s">
        <v>563</v>
      </c>
      <c r="X13" s="96" t="s">
        <v>485</v>
      </c>
      <c r="AF13" s="97">
        <v>1</v>
      </c>
      <c r="AH13" s="96" t="s">
        <v>501</v>
      </c>
      <c r="AI13" s="96" t="s">
        <v>564</v>
      </c>
      <c r="AL13" s="96" t="s">
        <v>264</v>
      </c>
      <c r="AM13" s="96" t="s">
        <v>178</v>
      </c>
      <c r="AN13" s="97">
        <v>-1</v>
      </c>
      <c r="AO13" s="97">
        <v>-1</v>
      </c>
      <c r="AP13" s="97">
        <v>196690</v>
      </c>
      <c r="AQ13" s="97">
        <v>42759</v>
      </c>
      <c r="AR13" s="97">
        <v>30389</v>
      </c>
      <c r="AX13" s="96" t="s">
        <v>179</v>
      </c>
      <c r="AY13" s="97">
        <v>0</v>
      </c>
      <c r="AZ13" s="97">
        <v>10000</v>
      </c>
      <c r="BA13" s="96" t="s">
        <v>179</v>
      </c>
      <c r="BB13" s="96" t="s">
        <v>179</v>
      </c>
      <c r="BC13" s="96" t="s">
        <v>265</v>
      </c>
      <c r="BD13" s="97">
        <v>8</v>
      </c>
      <c r="BE13" s="96" t="s">
        <v>266</v>
      </c>
      <c r="BF13" s="96" t="s">
        <v>267</v>
      </c>
      <c r="BH13" s="96" t="s">
        <v>565</v>
      </c>
      <c r="BI13" s="96" t="s">
        <v>566</v>
      </c>
      <c r="BJ13" s="96" t="s">
        <v>566</v>
      </c>
      <c r="BK13" s="96" t="s">
        <v>566</v>
      </c>
      <c r="BN13" s="96" t="s">
        <v>429</v>
      </c>
      <c r="BO13" s="96" t="s">
        <v>430</v>
      </c>
      <c r="BP13" s="96" t="s">
        <v>428</v>
      </c>
      <c r="BQ13" s="96" t="s">
        <v>274</v>
      </c>
      <c r="BR13" s="96" t="s">
        <v>558</v>
      </c>
      <c r="BS13" s="96" t="s">
        <v>567</v>
      </c>
      <c r="BT13" s="96" t="s">
        <v>568</v>
      </c>
      <c r="BU13" s="96" t="s">
        <v>492</v>
      </c>
      <c r="BW13" s="96" t="s">
        <v>299</v>
      </c>
      <c r="BX13" s="96" t="s">
        <v>299</v>
      </c>
      <c r="BY13" s="95" t="s">
        <v>281</v>
      </c>
      <c r="BZ13" s="95" t="s">
        <v>281</v>
      </c>
    </row>
    <row r="14" spans="1:78" x14ac:dyDescent="0.25">
      <c r="A14" s="96" t="s">
        <v>569</v>
      </c>
      <c r="B14" s="96" t="s">
        <v>269</v>
      </c>
      <c r="C14" s="96" t="s">
        <v>179</v>
      </c>
      <c r="D14" s="96" t="s">
        <v>179</v>
      </c>
      <c r="E14" s="96" t="s">
        <v>181</v>
      </c>
      <c r="F14" s="96" t="s">
        <v>570</v>
      </c>
      <c r="G14" s="96" t="s">
        <v>261</v>
      </c>
      <c r="H14" s="96" t="s">
        <v>270</v>
      </c>
      <c r="I14" s="96" t="s">
        <v>178</v>
      </c>
      <c r="J14" s="96" t="s">
        <v>179</v>
      </c>
      <c r="M14" s="99">
        <v>25568.791666666701</v>
      </c>
      <c r="N14" s="99">
        <v>44784.959965277798</v>
      </c>
      <c r="O14" s="97">
        <v>4</v>
      </c>
      <c r="P14" s="97">
        <v>8192</v>
      </c>
      <c r="Q14" s="97">
        <v>1</v>
      </c>
      <c r="R14" s="97">
        <v>3</v>
      </c>
      <c r="T14" s="96" t="s">
        <v>263</v>
      </c>
      <c r="U14" s="96" t="s">
        <v>180</v>
      </c>
      <c r="X14" s="96" t="s">
        <v>509</v>
      </c>
      <c r="AF14" s="97">
        <v>1</v>
      </c>
      <c r="AH14" s="96" t="s">
        <v>510</v>
      </c>
      <c r="AI14" s="96" t="s">
        <v>486</v>
      </c>
      <c r="AL14" s="96" t="s">
        <v>264</v>
      </c>
      <c r="AM14" s="96" t="s">
        <v>178</v>
      </c>
      <c r="AN14" s="97">
        <v>-1</v>
      </c>
      <c r="AO14" s="97">
        <v>-1</v>
      </c>
      <c r="AP14" s="97">
        <v>295257</v>
      </c>
      <c r="AQ14" s="97">
        <v>38825</v>
      </c>
      <c r="AR14" s="97">
        <v>38823</v>
      </c>
      <c r="AX14" s="96" t="s">
        <v>179</v>
      </c>
      <c r="AY14" s="97">
        <v>0</v>
      </c>
      <c r="AZ14" s="97">
        <v>10000</v>
      </c>
      <c r="BA14" s="96" t="s">
        <v>179</v>
      </c>
      <c r="BB14" s="96" t="s">
        <v>179</v>
      </c>
      <c r="BC14" s="96" t="s">
        <v>265</v>
      </c>
      <c r="BD14" s="97">
        <v>8</v>
      </c>
      <c r="BE14" s="96" t="s">
        <v>266</v>
      </c>
      <c r="BF14" s="96" t="s">
        <v>267</v>
      </c>
      <c r="BH14" s="96" t="s">
        <v>571</v>
      </c>
      <c r="BI14" s="96" t="s">
        <v>572</v>
      </c>
      <c r="BJ14" s="96" t="s">
        <v>572</v>
      </c>
      <c r="BK14" s="96" t="s">
        <v>572</v>
      </c>
      <c r="BN14" s="96" t="s">
        <v>429</v>
      </c>
      <c r="BP14" s="96" t="s">
        <v>445</v>
      </c>
      <c r="BQ14" s="96" t="s">
        <v>274</v>
      </c>
      <c r="BS14" s="96" t="s">
        <v>573</v>
      </c>
      <c r="BT14" s="96" t="s">
        <v>574</v>
      </c>
      <c r="BU14" s="96" t="s">
        <v>492</v>
      </c>
      <c r="BW14" s="96" t="s">
        <v>299</v>
      </c>
      <c r="BX14" s="96" t="s">
        <v>299</v>
      </c>
      <c r="BY14" s="95" t="s">
        <v>281</v>
      </c>
      <c r="BZ14" s="95" t="s">
        <v>281</v>
      </c>
    </row>
    <row r="15" spans="1:78" x14ac:dyDescent="0.25">
      <c r="A15" s="96" t="s">
        <v>575</v>
      </c>
      <c r="B15" s="96" t="s">
        <v>260</v>
      </c>
      <c r="C15" s="96" t="s">
        <v>179</v>
      </c>
      <c r="D15" s="96" t="s">
        <v>179</v>
      </c>
      <c r="E15" s="96" t="s">
        <v>181</v>
      </c>
      <c r="F15" s="96" t="s">
        <v>576</v>
      </c>
      <c r="G15" s="96" t="s">
        <v>261</v>
      </c>
      <c r="H15" s="96" t="s">
        <v>262</v>
      </c>
      <c r="I15" s="96" t="s">
        <v>181</v>
      </c>
      <c r="J15" s="96" t="s">
        <v>179</v>
      </c>
      <c r="K15" s="99">
        <v>44976.078449074099</v>
      </c>
      <c r="M15" s="99">
        <v>25568.791666666701</v>
      </c>
      <c r="N15" s="99">
        <v>44976.078344907401</v>
      </c>
      <c r="O15" s="97">
        <v>4</v>
      </c>
      <c r="P15" s="97">
        <v>8192</v>
      </c>
      <c r="Q15" s="97">
        <v>1</v>
      </c>
      <c r="R15" s="97">
        <v>2</v>
      </c>
      <c r="S15" s="96" t="s">
        <v>275</v>
      </c>
      <c r="T15" s="96" t="s">
        <v>263</v>
      </c>
      <c r="U15" s="96" t="s">
        <v>180</v>
      </c>
      <c r="W15" s="96" t="s">
        <v>577</v>
      </c>
      <c r="X15" s="96" t="s">
        <v>578</v>
      </c>
      <c r="AF15" s="97">
        <v>1</v>
      </c>
      <c r="AH15" s="96" t="s">
        <v>579</v>
      </c>
      <c r="AI15" s="96" t="s">
        <v>580</v>
      </c>
      <c r="AK15" s="96" t="s">
        <v>180</v>
      </c>
      <c r="AL15" s="96" t="s">
        <v>264</v>
      </c>
      <c r="AM15" s="96" t="s">
        <v>178</v>
      </c>
      <c r="AN15" s="97">
        <v>-1</v>
      </c>
      <c r="AO15" s="97">
        <v>-1</v>
      </c>
      <c r="AP15" s="97">
        <v>1728997</v>
      </c>
      <c r="AQ15" s="97">
        <v>876277</v>
      </c>
      <c r="AR15" s="97">
        <v>876267</v>
      </c>
      <c r="AX15" s="96" t="s">
        <v>179</v>
      </c>
      <c r="AY15" s="97">
        <v>0</v>
      </c>
      <c r="AZ15" s="97">
        <v>10000</v>
      </c>
      <c r="BA15" s="96" t="s">
        <v>179</v>
      </c>
      <c r="BB15" s="96" t="s">
        <v>179</v>
      </c>
      <c r="BC15" s="96" t="s">
        <v>265</v>
      </c>
      <c r="BD15" s="97">
        <v>9</v>
      </c>
      <c r="BE15" s="96" t="s">
        <v>266</v>
      </c>
      <c r="BF15" s="96" t="s">
        <v>267</v>
      </c>
      <c r="BH15" s="96" t="s">
        <v>581</v>
      </c>
      <c r="BI15" s="96" t="s">
        <v>582</v>
      </c>
      <c r="BJ15" s="96" t="s">
        <v>582</v>
      </c>
      <c r="BK15" s="96" t="s">
        <v>582</v>
      </c>
      <c r="BL15" s="96" t="s">
        <v>583</v>
      </c>
      <c r="BN15" s="96" t="s">
        <v>354</v>
      </c>
      <c r="BO15" s="96" t="s">
        <v>355</v>
      </c>
      <c r="BP15" s="96" t="s">
        <v>364</v>
      </c>
      <c r="BQ15" s="96" t="s">
        <v>274</v>
      </c>
      <c r="BR15" s="96" t="s">
        <v>274</v>
      </c>
      <c r="BS15" s="96" t="s">
        <v>584</v>
      </c>
      <c r="BT15" s="96" t="s">
        <v>585</v>
      </c>
      <c r="BU15" s="96" t="s">
        <v>492</v>
      </c>
      <c r="BW15" s="96" t="s">
        <v>299</v>
      </c>
      <c r="BX15" s="96" t="s">
        <v>299</v>
      </c>
      <c r="BY15" s="95" t="s">
        <v>281</v>
      </c>
      <c r="BZ15" s="95" t="s">
        <v>281</v>
      </c>
    </row>
    <row r="16" spans="1:78" x14ac:dyDescent="0.25">
      <c r="A16" s="96" t="s">
        <v>586</v>
      </c>
      <c r="B16" s="96" t="s">
        <v>269</v>
      </c>
      <c r="C16" s="96" t="s">
        <v>179</v>
      </c>
      <c r="D16" s="96" t="s">
        <v>179</v>
      </c>
      <c r="E16" s="96" t="s">
        <v>181</v>
      </c>
      <c r="G16" s="96" t="s">
        <v>261</v>
      </c>
      <c r="H16" s="96" t="s">
        <v>270</v>
      </c>
      <c r="I16" s="96" t="s">
        <v>178</v>
      </c>
      <c r="J16" s="96" t="s">
        <v>179</v>
      </c>
      <c r="M16" s="99">
        <v>25568.791666666701</v>
      </c>
      <c r="N16" s="99">
        <v>44976.077037037001</v>
      </c>
      <c r="O16" s="97">
        <v>4</v>
      </c>
      <c r="P16" s="97">
        <v>8192</v>
      </c>
      <c r="Q16" s="97">
        <v>1</v>
      </c>
      <c r="R16" s="97">
        <v>2</v>
      </c>
      <c r="T16" s="96" t="s">
        <v>263</v>
      </c>
      <c r="U16" s="96" t="s">
        <v>180</v>
      </c>
      <c r="X16" s="96" t="s">
        <v>578</v>
      </c>
      <c r="AF16" s="97">
        <v>1</v>
      </c>
      <c r="AH16" s="96" t="s">
        <v>579</v>
      </c>
      <c r="AI16" s="96" t="s">
        <v>580</v>
      </c>
      <c r="AL16" s="96" t="s">
        <v>264</v>
      </c>
      <c r="AM16" s="96" t="s">
        <v>178</v>
      </c>
      <c r="AN16" s="97">
        <v>-1</v>
      </c>
      <c r="AO16" s="97">
        <v>-1</v>
      </c>
      <c r="AP16" s="97">
        <v>930137</v>
      </c>
      <c r="AQ16" s="97">
        <v>810466</v>
      </c>
      <c r="AR16" s="97">
        <v>810464</v>
      </c>
      <c r="AX16" s="96" t="s">
        <v>179</v>
      </c>
      <c r="AY16" s="97">
        <v>0</v>
      </c>
      <c r="AZ16" s="97">
        <v>10000</v>
      </c>
      <c r="BA16" s="96" t="s">
        <v>179</v>
      </c>
      <c r="BB16" s="96" t="s">
        <v>179</v>
      </c>
      <c r="BC16" s="96" t="s">
        <v>265</v>
      </c>
      <c r="BD16" s="97">
        <v>9</v>
      </c>
      <c r="BE16" s="96" t="s">
        <v>266</v>
      </c>
      <c r="BF16" s="96" t="s">
        <v>267</v>
      </c>
      <c r="BH16" s="96" t="s">
        <v>587</v>
      </c>
      <c r="BI16" s="96" t="s">
        <v>588</v>
      </c>
      <c r="BJ16" s="96" t="s">
        <v>588</v>
      </c>
      <c r="BK16" s="96" t="s">
        <v>588</v>
      </c>
      <c r="BL16" s="96" t="s">
        <v>583</v>
      </c>
      <c r="BN16" s="96" t="s">
        <v>354</v>
      </c>
      <c r="BO16" s="96" t="s">
        <v>355</v>
      </c>
      <c r="BP16" s="96" t="s">
        <v>353</v>
      </c>
      <c r="BQ16" s="96" t="s">
        <v>274</v>
      </c>
      <c r="BS16" s="96" t="s">
        <v>589</v>
      </c>
      <c r="BT16" s="96" t="s">
        <v>590</v>
      </c>
      <c r="BU16" s="96" t="s">
        <v>492</v>
      </c>
      <c r="BW16" s="96" t="s">
        <v>299</v>
      </c>
      <c r="BX16" s="96" t="s">
        <v>299</v>
      </c>
      <c r="BY16" s="95" t="s">
        <v>281</v>
      </c>
      <c r="BZ16" s="95" t="s">
        <v>281</v>
      </c>
    </row>
    <row r="17" spans="1:78" x14ac:dyDescent="0.25">
      <c r="A17" s="96" t="s">
        <v>591</v>
      </c>
      <c r="B17" s="96" t="s">
        <v>260</v>
      </c>
      <c r="C17" s="96" t="s">
        <v>179</v>
      </c>
      <c r="D17" s="96" t="s">
        <v>179</v>
      </c>
      <c r="E17" s="96" t="s">
        <v>181</v>
      </c>
      <c r="G17" s="96" t="s">
        <v>261</v>
      </c>
      <c r="H17" s="96" t="s">
        <v>270</v>
      </c>
      <c r="I17" s="96" t="s">
        <v>178</v>
      </c>
      <c r="J17" s="96" t="s">
        <v>179</v>
      </c>
      <c r="K17" s="99">
        <v>45015.349953703699</v>
      </c>
      <c r="M17" s="99">
        <v>25568.791666666701</v>
      </c>
      <c r="N17" s="99">
        <v>45015.913831018501</v>
      </c>
      <c r="O17" s="97">
        <v>8</v>
      </c>
      <c r="P17" s="97">
        <v>8192</v>
      </c>
      <c r="Q17" s="97">
        <v>4</v>
      </c>
      <c r="R17" s="97">
        <v>1</v>
      </c>
      <c r="S17" s="96" t="s">
        <v>275</v>
      </c>
      <c r="T17" s="96" t="s">
        <v>263</v>
      </c>
      <c r="X17" s="96" t="s">
        <v>592</v>
      </c>
      <c r="Y17" s="96" t="s">
        <v>592</v>
      </c>
      <c r="Z17" s="96" t="s">
        <v>592</v>
      </c>
      <c r="AA17" s="96" t="s">
        <v>592</v>
      </c>
      <c r="AF17" s="97">
        <v>1</v>
      </c>
      <c r="AH17" s="96" t="s">
        <v>593</v>
      </c>
      <c r="AI17" s="96" t="s">
        <v>594</v>
      </c>
      <c r="AK17" s="96" t="s">
        <v>180</v>
      </c>
      <c r="AL17" s="96" t="s">
        <v>264</v>
      </c>
      <c r="AM17" s="96" t="s">
        <v>178</v>
      </c>
      <c r="AN17" s="97">
        <v>-1</v>
      </c>
      <c r="AO17" s="97">
        <v>-1</v>
      </c>
      <c r="AP17" s="97">
        <v>204800</v>
      </c>
      <c r="AQ17" s="97">
        <v>18406</v>
      </c>
      <c r="AR17" s="97">
        <v>18405</v>
      </c>
      <c r="AX17" s="96" t="s">
        <v>179</v>
      </c>
      <c r="AY17" s="97">
        <v>0</v>
      </c>
      <c r="AZ17" s="97">
        <v>10000</v>
      </c>
      <c r="BA17" s="96" t="s">
        <v>179</v>
      </c>
      <c r="BB17" s="96" t="s">
        <v>179</v>
      </c>
      <c r="BC17" s="96" t="s">
        <v>265</v>
      </c>
      <c r="BD17" s="97">
        <v>8</v>
      </c>
      <c r="BE17" s="96" t="s">
        <v>266</v>
      </c>
      <c r="BF17" s="96" t="s">
        <v>267</v>
      </c>
      <c r="BH17" s="96" t="s">
        <v>595</v>
      </c>
      <c r="BI17" s="96" t="s">
        <v>596</v>
      </c>
      <c r="BJ17" s="96" t="s">
        <v>596</v>
      </c>
      <c r="BK17" s="96" t="s">
        <v>596</v>
      </c>
      <c r="BN17" s="96" t="s">
        <v>404</v>
      </c>
      <c r="BO17" s="96" t="s">
        <v>405</v>
      </c>
      <c r="BP17" s="96" t="s">
        <v>413</v>
      </c>
      <c r="BQ17" s="96" t="s">
        <v>273</v>
      </c>
      <c r="BS17" s="96" t="s">
        <v>597</v>
      </c>
      <c r="BT17" s="96" t="s">
        <v>598</v>
      </c>
      <c r="BU17" s="96" t="s">
        <v>492</v>
      </c>
      <c r="BW17" s="96" t="s">
        <v>299</v>
      </c>
      <c r="BX17" s="96" t="s">
        <v>299</v>
      </c>
      <c r="BY17" s="95" t="s">
        <v>282</v>
      </c>
      <c r="BZ17" s="95" t="s">
        <v>282</v>
      </c>
    </row>
    <row r="18" spans="1:78" x14ac:dyDescent="0.25">
      <c r="A18" s="96" t="s">
        <v>599</v>
      </c>
      <c r="B18" s="96" t="s">
        <v>269</v>
      </c>
      <c r="C18" s="96" t="s">
        <v>179</v>
      </c>
      <c r="D18" s="96" t="s">
        <v>179</v>
      </c>
      <c r="E18" s="96" t="s">
        <v>181</v>
      </c>
      <c r="G18" s="96" t="s">
        <v>261</v>
      </c>
      <c r="H18" s="96" t="s">
        <v>270</v>
      </c>
      <c r="I18" s="96" t="s">
        <v>178</v>
      </c>
      <c r="J18" s="96" t="s">
        <v>179</v>
      </c>
      <c r="M18" s="99">
        <v>25568.791666666701</v>
      </c>
      <c r="N18" s="99">
        <v>44947.338506944398</v>
      </c>
      <c r="O18" s="97">
        <v>1</v>
      </c>
      <c r="P18" s="97">
        <v>1024</v>
      </c>
      <c r="Q18" s="97">
        <v>1</v>
      </c>
      <c r="R18" s="97">
        <v>1</v>
      </c>
      <c r="T18" s="96" t="s">
        <v>263</v>
      </c>
      <c r="X18" s="96" t="s">
        <v>592</v>
      </c>
      <c r="AF18" s="97">
        <v>1</v>
      </c>
      <c r="AH18" s="96" t="s">
        <v>593</v>
      </c>
      <c r="AI18" s="96" t="s">
        <v>594</v>
      </c>
      <c r="AL18" s="96" t="s">
        <v>264</v>
      </c>
      <c r="AM18" s="96" t="s">
        <v>178</v>
      </c>
      <c r="AN18" s="97">
        <v>-1</v>
      </c>
      <c r="AO18" s="97">
        <v>-1</v>
      </c>
      <c r="AP18" s="97">
        <v>104398</v>
      </c>
      <c r="AQ18" s="97">
        <v>0</v>
      </c>
      <c r="AR18" s="97">
        <v>0</v>
      </c>
      <c r="AX18" s="96" t="s">
        <v>179</v>
      </c>
      <c r="AY18" s="97">
        <v>0</v>
      </c>
      <c r="AZ18" s="97">
        <v>10000</v>
      </c>
      <c r="BA18" s="96" t="s">
        <v>179</v>
      </c>
      <c r="BB18" s="96" t="s">
        <v>179</v>
      </c>
      <c r="BC18" s="96" t="s">
        <v>265</v>
      </c>
      <c r="BD18" s="97">
        <v>10</v>
      </c>
      <c r="BE18" s="96" t="s">
        <v>266</v>
      </c>
      <c r="BF18" s="96" t="s">
        <v>267</v>
      </c>
      <c r="BH18" s="96" t="s">
        <v>600</v>
      </c>
      <c r="BI18" s="96" t="s">
        <v>601</v>
      </c>
      <c r="BJ18" s="96" t="s">
        <v>601</v>
      </c>
      <c r="BK18" s="96" t="s">
        <v>601</v>
      </c>
      <c r="BN18" s="96" t="s">
        <v>404</v>
      </c>
      <c r="BO18" s="96" t="s">
        <v>405</v>
      </c>
      <c r="BP18" s="96" t="s">
        <v>410</v>
      </c>
      <c r="BQ18" s="96" t="s">
        <v>602</v>
      </c>
      <c r="BS18" s="96" t="s">
        <v>603</v>
      </c>
      <c r="BT18" s="96" t="s">
        <v>604</v>
      </c>
      <c r="BU18" s="96" t="s">
        <v>492</v>
      </c>
      <c r="BW18" s="96" t="s">
        <v>299</v>
      </c>
      <c r="BX18" s="96" t="s">
        <v>299</v>
      </c>
      <c r="BY18" s="95" t="s">
        <v>281</v>
      </c>
      <c r="BZ18" s="95" t="s">
        <v>281</v>
      </c>
    </row>
    <row r="19" spans="1:78" x14ac:dyDescent="0.25">
      <c r="A19" s="96" t="s">
        <v>605</v>
      </c>
      <c r="B19" s="96" t="s">
        <v>269</v>
      </c>
      <c r="C19" s="96" t="s">
        <v>180</v>
      </c>
      <c r="D19" s="96" t="s">
        <v>179</v>
      </c>
      <c r="E19" s="96" t="s">
        <v>181</v>
      </c>
      <c r="G19" s="96" t="s">
        <v>261</v>
      </c>
      <c r="H19" s="96" t="s">
        <v>270</v>
      </c>
      <c r="I19" s="96" t="s">
        <v>178</v>
      </c>
      <c r="J19" s="96" t="s">
        <v>179</v>
      </c>
      <c r="M19" s="99">
        <v>25568.791666666701</v>
      </c>
      <c r="N19" s="99">
        <v>44668.9113194444</v>
      </c>
      <c r="O19" s="97">
        <v>4</v>
      </c>
      <c r="P19" s="97">
        <v>8192</v>
      </c>
      <c r="Q19" s="97">
        <v>1</v>
      </c>
      <c r="R19" s="97">
        <v>3</v>
      </c>
      <c r="T19" s="96" t="s">
        <v>263</v>
      </c>
      <c r="U19" s="96" t="s">
        <v>180</v>
      </c>
      <c r="X19" s="96" t="s">
        <v>485</v>
      </c>
      <c r="AF19" s="97">
        <v>1</v>
      </c>
      <c r="AI19" s="96" t="s">
        <v>486</v>
      </c>
      <c r="AL19" s="96" t="s">
        <v>264</v>
      </c>
      <c r="AM19" s="96" t="s">
        <v>178</v>
      </c>
      <c r="AN19" s="97">
        <v>-1</v>
      </c>
      <c r="AO19" s="97">
        <v>-1</v>
      </c>
      <c r="AP19" s="97">
        <v>160539</v>
      </c>
      <c r="AQ19" s="97">
        <v>60648</v>
      </c>
      <c r="AR19" s="97">
        <v>60640</v>
      </c>
      <c r="AX19" s="96" t="s">
        <v>179</v>
      </c>
      <c r="AY19" s="97">
        <v>0</v>
      </c>
      <c r="AZ19" s="97">
        <v>10000</v>
      </c>
      <c r="BA19" s="96" t="s">
        <v>179</v>
      </c>
      <c r="BB19" s="96" t="s">
        <v>179</v>
      </c>
      <c r="BC19" s="96" t="s">
        <v>265</v>
      </c>
      <c r="BD19" s="97">
        <v>8</v>
      </c>
      <c r="BE19" s="96" t="s">
        <v>266</v>
      </c>
      <c r="BF19" s="96" t="s">
        <v>267</v>
      </c>
      <c r="BH19" s="96" t="s">
        <v>606</v>
      </c>
      <c r="BI19" s="96" t="s">
        <v>607</v>
      </c>
      <c r="BJ19" s="96" t="s">
        <v>607</v>
      </c>
      <c r="BK19" s="96" t="s">
        <v>607</v>
      </c>
      <c r="BL19" s="96" t="s">
        <v>504</v>
      </c>
      <c r="BN19" s="96" t="s">
        <v>429</v>
      </c>
      <c r="BO19" s="96" t="s">
        <v>430</v>
      </c>
      <c r="BP19" s="96" t="s">
        <v>428</v>
      </c>
      <c r="BQ19" s="96" t="s">
        <v>274</v>
      </c>
      <c r="BR19" s="96" t="s">
        <v>274</v>
      </c>
      <c r="BS19" s="96" t="s">
        <v>608</v>
      </c>
      <c r="BT19" s="96" t="s">
        <v>609</v>
      </c>
      <c r="BU19" s="96" t="s">
        <v>492</v>
      </c>
      <c r="BW19" s="96" t="s">
        <v>299</v>
      </c>
      <c r="BX19" s="96" t="s">
        <v>299</v>
      </c>
      <c r="BY19" s="95" t="s">
        <v>281</v>
      </c>
      <c r="BZ19" s="95" t="s">
        <v>281</v>
      </c>
    </row>
    <row r="20" spans="1:78" x14ac:dyDescent="0.25">
      <c r="A20" s="96" t="s">
        <v>610</v>
      </c>
      <c r="B20" s="96" t="s">
        <v>260</v>
      </c>
      <c r="C20" s="96" t="s">
        <v>179</v>
      </c>
      <c r="D20" s="96" t="s">
        <v>179</v>
      </c>
      <c r="E20" s="96" t="s">
        <v>181</v>
      </c>
      <c r="F20" s="96" t="s">
        <v>611</v>
      </c>
      <c r="G20" s="96" t="s">
        <v>261</v>
      </c>
      <c r="H20" s="96" t="s">
        <v>262</v>
      </c>
      <c r="I20" s="96" t="s">
        <v>181</v>
      </c>
      <c r="J20" s="96" t="s">
        <v>179</v>
      </c>
      <c r="K20" s="99">
        <v>45011.336898148104</v>
      </c>
      <c r="M20" s="99">
        <v>25568.791666666701</v>
      </c>
      <c r="N20" s="99">
        <v>44857.726585648103</v>
      </c>
      <c r="O20" s="97">
        <v>2</v>
      </c>
      <c r="P20" s="97">
        <v>4096</v>
      </c>
      <c r="Q20" s="97">
        <v>1</v>
      </c>
      <c r="R20" s="97">
        <v>2</v>
      </c>
      <c r="S20" s="96" t="s">
        <v>278</v>
      </c>
      <c r="T20" s="96" t="s">
        <v>263</v>
      </c>
      <c r="U20" s="96" t="s">
        <v>180</v>
      </c>
      <c r="V20" s="96" t="s">
        <v>180</v>
      </c>
      <c r="W20" s="96" t="s">
        <v>612</v>
      </c>
      <c r="X20" s="96" t="s">
        <v>613</v>
      </c>
      <c r="AF20" s="97">
        <v>1</v>
      </c>
      <c r="AH20" s="96" t="s">
        <v>614</v>
      </c>
      <c r="AI20" s="96" t="s">
        <v>615</v>
      </c>
      <c r="AK20" s="96" t="s">
        <v>180</v>
      </c>
      <c r="AL20" s="96" t="s">
        <v>264</v>
      </c>
      <c r="AM20" s="96" t="s">
        <v>178</v>
      </c>
      <c r="AN20" s="97">
        <v>-1</v>
      </c>
      <c r="AO20" s="97">
        <v>-1</v>
      </c>
      <c r="AP20" s="97">
        <v>434280</v>
      </c>
      <c r="AQ20" s="97">
        <v>219242</v>
      </c>
      <c r="AR20" s="97">
        <v>215042</v>
      </c>
      <c r="AX20" s="96" t="s">
        <v>179</v>
      </c>
      <c r="AY20" s="97">
        <v>0</v>
      </c>
      <c r="AZ20" s="97">
        <v>10000</v>
      </c>
      <c r="BA20" s="96" t="s">
        <v>179</v>
      </c>
      <c r="BB20" s="96" t="s">
        <v>179</v>
      </c>
      <c r="BC20" s="96" t="s">
        <v>265</v>
      </c>
      <c r="BD20" s="97">
        <v>11</v>
      </c>
      <c r="BE20" s="96" t="s">
        <v>266</v>
      </c>
      <c r="BF20" s="96" t="s">
        <v>267</v>
      </c>
      <c r="BH20" s="96" t="s">
        <v>616</v>
      </c>
      <c r="BI20" s="96" t="s">
        <v>617</v>
      </c>
      <c r="BJ20" s="96" t="s">
        <v>617</v>
      </c>
      <c r="BK20" s="96" t="s">
        <v>617</v>
      </c>
      <c r="BL20" s="96" t="s">
        <v>618</v>
      </c>
      <c r="BM20" s="96" t="s">
        <v>619</v>
      </c>
      <c r="BN20" s="96" t="s">
        <v>286</v>
      </c>
      <c r="BO20" s="96" t="s">
        <v>318</v>
      </c>
      <c r="BP20" s="96" t="s">
        <v>464</v>
      </c>
      <c r="BQ20" s="96" t="s">
        <v>277</v>
      </c>
      <c r="BR20" s="96" t="s">
        <v>277</v>
      </c>
      <c r="BS20" s="96" t="s">
        <v>620</v>
      </c>
      <c r="BT20" s="96" t="s">
        <v>621</v>
      </c>
      <c r="BU20" s="96" t="s">
        <v>492</v>
      </c>
      <c r="BW20" s="96" t="s">
        <v>299</v>
      </c>
      <c r="BX20" s="96" t="s">
        <v>299</v>
      </c>
      <c r="BY20" s="95" t="s">
        <v>281</v>
      </c>
      <c r="BZ20" s="95" t="s">
        <v>281</v>
      </c>
    </row>
    <row r="21" spans="1:78" x14ac:dyDescent="0.25">
      <c r="A21" s="96" t="s">
        <v>622</v>
      </c>
      <c r="B21" s="96" t="s">
        <v>260</v>
      </c>
      <c r="C21" s="96" t="s">
        <v>179</v>
      </c>
      <c r="D21" s="96" t="s">
        <v>179</v>
      </c>
      <c r="E21" s="96" t="s">
        <v>181</v>
      </c>
      <c r="F21" s="96" t="s">
        <v>623</v>
      </c>
      <c r="G21" s="96" t="s">
        <v>261</v>
      </c>
      <c r="H21" s="96" t="s">
        <v>262</v>
      </c>
      <c r="I21" s="96" t="s">
        <v>181</v>
      </c>
      <c r="J21" s="96" t="s">
        <v>179</v>
      </c>
      <c r="K21" s="99">
        <v>45014.287870370397</v>
      </c>
      <c r="M21" s="99">
        <v>25568.791666666701</v>
      </c>
      <c r="N21" s="99">
        <v>44857.417453703703</v>
      </c>
      <c r="O21" s="97">
        <v>32</v>
      </c>
      <c r="P21" s="97">
        <v>143360</v>
      </c>
      <c r="Q21" s="97">
        <v>2</v>
      </c>
      <c r="R21" s="97">
        <v>2</v>
      </c>
      <c r="S21" s="96" t="s">
        <v>278</v>
      </c>
      <c r="T21" s="96" t="s">
        <v>263</v>
      </c>
      <c r="U21" s="96" t="s">
        <v>180</v>
      </c>
      <c r="V21" s="96" t="s">
        <v>180</v>
      </c>
      <c r="W21" s="96" t="s">
        <v>624</v>
      </c>
      <c r="X21" s="96" t="s">
        <v>613</v>
      </c>
      <c r="Y21" s="96" t="s">
        <v>625</v>
      </c>
      <c r="AF21" s="97">
        <v>1</v>
      </c>
      <c r="AH21" s="96" t="s">
        <v>614</v>
      </c>
      <c r="AI21" s="96" t="s">
        <v>615</v>
      </c>
      <c r="AK21" s="96" t="s">
        <v>180</v>
      </c>
      <c r="AL21" s="96" t="s">
        <v>264</v>
      </c>
      <c r="AM21" s="96" t="s">
        <v>178</v>
      </c>
      <c r="AN21" s="97">
        <v>-1</v>
      </c>
      <c r="AO21" s="97">
        <v>-1</v>
      </c>
      <c r="AP21" s="97">
        <v>553095</v>
      </c>
      <c r="AQ21" s="97">
        <v>553095</v>
      </c>
      <c r="AR21" s="97">
        <v>409600</v>
      </c>
      <c r="AX21" s="96" t="s">
        <v>179</v>
      </c>
      <c r="AY21" s="97">
        <v>0</v>
      </c>
      <c r="AZ21" s="97">
        <v>10000</v>
      </c>
      <c r="BA21" s="96" t="s">
        <v>179</v>
      </c>
      <c r="BB21" s="96" t="s">
        <v>179</v>
      </c>
      <c r="BC21" s="96" t="s">
        <v>265</v>
      </c>
      <c r="BD21" s="97">
        <v>11</v>
      </c>
      <c r="BE21" s="96" t="s">
        <v>266</v>
      </c>
      <c r="BF21" s="96" t="s">
        <v>267</v>
      </c>
      <c r="BH21" s="96" t="s">
        <v>626</v>
      </c>
      <c r="BI21" s="96" t="s">
        <v>627</v>
      </c>
      <c r="BJ21" s="96" t="s">
        <v>627</v>
      </c>
      <c r="BK21" s="96" t="s">
        <v>627</v>
      </c>
      <c r="BL21" s="96" t="s">
        <v>628</v>
      </c>
      <c r="BM21" s="96" t="s">
        <v>629</v>
      </c>
      <c r="BN21" s="96" t="s">
        <v>286</v>
      </c>
      <c r="BO21" s="96" t="s">
        <v>318</v>
      </c>
      <c r="BP21" s="96" t="s">
        <v>469</v>
      </c>
      <c r="BQ21" s="96" t="s">
        <v>277</v>
      </c>
      <c r="BR21" s="96" t="s">
        <v>277</v>
      </c>
      <c r="BS21" s="96" t="s">
        <v>630</v>
      </c>
      <c r="BT21" s="96" t="s">
        <v>631</v>
      </c>
      <c r="BU21" s="96" t="s">
        <v>492</v>
      </c>
      <c r="BW21" s="96" t="s">
        <v>299</v>
      </c>
      <c r="BX21" s="96" t="s">
        <v>299</v>
      </c>
      <c r="BY21" s="95" t="s">
        <v>281</v>
      </c>
      <c r="BZ21" s="95" t="s">
        <v>281</v>
      </c>
    </row>
    <row r="22" spans="1:78" x14ac:dyDescent="0.25">
      <c r="A22" s="96" t="s">
        <v>632</v>
      </c>
      <c r="B22" s="96" t="s">
        <v>260</v>
      </c>
      <c r="C22" s="96" t="s">
        <v>179</v>
      </c>
      <c r="D22" s="96" t="s">
        <v>179</v>
      </c>
      <c r="E22" s="96" t="s">
        <v>181</v>
      </c>
      <c r="G22" s="96" t="s">
        <v>261</v>
      </c>
      <c r="H22" s="96" t="s">
        <v>270</v>
      </c>
      <c r="I22" s="96" t="s">
        <v>178</v>
      </c>
      <c r="J22" s="96" t="s">
        <v>179</v>
      </c>
      <c r="K22" s="99">
        <v>45011.336817129602</v>
      </c>
      <c r="M22" s="99">
        <v>25568.791666666701</v>
      </c>
      <c r="N22" s="99">
        <v>44976.820231481499</v>
      </c>
      <c r="O22" s="97">
        <v>2</v>
      </c>
      <c r="P22" s="97">
        <v>4096</v>
      </c>
      <c r="Q22" s="97">
        <v>1</v>
      </c>
      <c r="R22" s="97">
        <v>2</v>
      </c>
      <c r="S22" s="96" t="s">
        <v>278</v>
      </c>
      <c r="T22" s="96" t="s">
        <v>263</v>
      </c>
      <c r="U22" s="96" t="s">
        <v>180</v>
      </c>
      <c r="V22" s="96" t="s">
        <v>180</v>
      </c>
      <c r="X22" s="96" t="s">
        <v>613</v>
      </c>
      <c r="AF22" s="97">
        <v>1</v>
      </c>
      <c r="AH22" s="96" t="s">
        <v>614</v>
      </c>
      <c r="AI22" s="96" t="s">
        <v>615</v>
      </c>
      <c r="AK22" s="96" t="s">
        <v>180</v>
      </c>
      <c r="AL22" s="96" t="s">
        <v>264</v>
      </c>
      <c r="AM22" s="96" t="s">
        <v>178</v>
      </c>
      <c r="AN22" s="97">
        <v>-1</v>
      </c>
      <c r="AO22" s="97">
        <v>-1</v>
      </c>
      <c r="AP22" s="97">
        <v>116840</v>
      </c>
      <c r="AQ22" s="97">
        <v>116840</v>
      </c>
      <c r="AR22" s="97">
        <v>112640</v>
      </c>
      <c r="AX22" s="96" t="s">
        <v>179</v>
      </c>
      <c r="AY22" s="97">
        <v>0</v>
      </c>
      <c r="AZ22" s="97">
        <v>10000</v>
      </c>
      <c r="BA22" s="96" t="s">
        <v>179</v>
      </c>
      <c r="BB22" s="96" t="s">
        <v>179</v>
      </c>
      <c r="BC22" s="96" t="s">
        <v>265</v>
      </c>
      <c r="BD22" s="97">
        <v>11</v>
      </c>
      <c r="BE22" s="96" t="s">
        <v>266</v>
      </c>
      <c r="BF22" s="96" t="s">
        <v>267</v>
      </c>
      <c r="BH22" s="96" t="s">
        <v>633</v>
      </c>
      <c r="BI22" s="96" t="s">
        <v>634</v>
      </c>
      <c r="BJ22" s="96" t="s">
        <v>634</v>
      </c>
      <c r="BK22" s="96" t="s">
        <v>634</v>
      </c>
      <c r="BL22" s="96" t="s">
        <v>635</v>
      </c>
      <c r="BM22" s="96" t="s">
        <v>636</v>
      </c>
      <c r="BN22" s="96" t="s">
        <v>286</v>
      </c>
      <c r="BO22" s="96" t="s">
        <v>318</v>
      </c>
      <c r="BP22" s="96" t="s">
        <v>464</v>
      </c>
      <c r="BQ22" s="96" t="s">
        <v>274</v>
      </c>
      <c r="BS22" s="96" t="s">
        <v>637</v>
      </c>
      <c r="BT22" s="96" t="s">
        <v>638</v>
      </c>
      <c r="BU22" s="96" t="s">
        <v>492</v>
      </c>
      <c r="BW22" s="96" t="s">
        <v>299</v>
      </c>
      <c r="BX22" s="96" t="s">
        <v>299</v>
      </c>
      <c r="BY22" s="95" t="s">
        <v>281</v>
      </c>
      <c r="BZ22" s="95" t="s">
        <v>281</v>
      </c>
    </row>
    <row r="23" spans="1:78" x14ac:dyDescent="0.25">
      <c r="A23" s="96" t="s">
        <v>639</v>
      </c>
      <c r="B23" s="96" t="s">
        <v>260</v>
      </c>
      <c r="C23" s="96" t="s">
        <v>179</v>
      </c>
      <c r="D23" s="96" t="s">
        <v>179</v>
      </c>
      <c r="E23" s="96" t="s">
        <v>181</v>
      </c>
      <c r="F23" s="96" t="s">
        <v>639</v>
      </c>
      <c r="G23" s="96" t="s">
        <v>261</v>
      </c>
      <c r="H23" s="96" t="s">
        <v>262</v>
      </c>
      <c r="I23" s="96" t="s">
        <v>181</v>
      </c>
      <c r="J23" s="96" t="s">
        <v>179</v>
      </c>
      <c r="K23" s="99">
        <v>44857.311053240701</v>
      </c>
      <c r="M23" s="99">
        <v>25568.791666666701</v>
      </c>
      <c r="N23" s="99">
        <v>44857.311053240701</v>
      </c>
      <c r="O23" s="97">
        <v>4</v>
      </c>
      <c r="P23" s="97">
        <v>16384</v>
      </c>
      <c r="Q23" s="97">
        <v>2</v>
      </c>
      <c r="R23" s="97">
        <v>1</v>
      </c>
      <c r="S23" s="96" t="s">
        <v>278</v>
      </c>
      <c r="T23" s="96" t="s">
        <v>263</v>
      </c>
      <c r="V23" s="96" t="s">
        <v>180</v>
      </c>
      <c r="W23" s="96" t="s">
        <v>640</v>
      </c>
      <c r="X23" s="96" t="s">
        <v>613</v>
      </c>
      <c r="Y23" s="96" t="s">
        <v>613</v>
      </c>
      <c r="AF23" s="97">
        <v>1</v>
      </c>
      <c r="AH23" s="96" t="s">
        <v>614</v>
      </c>
      <c r="AI23" s="96" t="s">
        <v>615</v>
      </c>
      <c r="AK23" s="96" t="s">
        <v>180</v>
      </c>
      <c r="AL23" s="96" t="s">
        <v>264</v>
      </c>
      <c r="AM23" s="96" t="s">
        <v>178</v>
      </c>
      <c r="AN23" s="97">
        <v>-1</v>
      </c>
      <c r="AO23" s="97">
        <v>-1</v>
      </c>
      <c r="AP23" s="97">
        <v>1077769</v>
      </c>
      <c r="AQ23" s="97">
        <v>1077769</v>
      </c>
      <c r="AR23" s="97">
        <v>1061287</v>
      </c>
      <c r="AX23" s="96" t="s">
        <v>179</v>
      </c>
      <c r="AY23" s="97">
        <v>0</v>
      </c>
      <c r="AZ23" s="97">
        <v>10000</v>
      </c>
      <c r="BA23" s="96" t="s">
        <v>179</v>
      </c>
      <c r="BB23" s="96" t="s">
        <v>179</v>
      </c>
      <c r="BC23" s="96" t="s">
        <v>265</v>
      </c>
      <c r="BD23" s="97">
        <v>11</v>
      </c>
      <c r="BE23" s="96" t="s">
        <v>266</v>
      </c>
      <c r="BF23" s="96" t="s">
        <v>267</v>
      </c>
      <c r="BH23" s="96" t="s">
        <v>641</v>
      </c>
      <c r="BI23" s="96" t="s">
        <v>642</v>
      </c>
      <c r="BJ23" s="96" t="s">
        <v>642</v>
      </c>
      <c r="BK23" s="96" t="s">
        <v>642</v>
      </c>
      <c r="BL23" s="96" t="s">
        <v>643</v>
      </c>
      <c r="BM23" s="96" t="s">
        <v>644</v>
      </c>
      <c r="BN23" s="96" t="s">
        <v>286</v>
      </c>
      <c r="BO23" s="96" t="s">
        <v>318</v>
      </c>
      <c r="BP23" s="96" t="s">
        <v>329</v>
      </c>
      <c r="BQ23" s="96" t="s">
        <v>645</v>
      </c>
      <c r="BR23" s="96" t="s">
        <v>268</v>
      </c>
      <c r="BS23" s="96" t="s">
        <v>646</v>
      </c>
      <c r="BT23" s="96" t="s">
        <v>647</v>
      </c>
      <c r="BU23" s="96" t="s">
        <v>492</v>
      </c>
      <c r="BW23" s="96" t="s">
        <v>299</v>
      </c>
      <c r="BX23" s="96" t="s">
        <v>299</v>
      </c>
      <c r="BY23" s="95" t="s">
        <v>282</v>
      </c>
      <c r="BZ23" s="95" t="s">
        <v>282</v>
      </c>
    </row>
    <row r="24" spans="1:78" x14ac:dyDescent="0.25">
      <c r="A24" s="96" t="s">
        <v>648</v>
      </c>
      <c r="B24" s="96" t="s">
        <v>260</v>
      </c>
      <c r="C24" s="96" t="s">
        <v>179</v>
      </c>
      <c r="D24" s="96" t="s">
        <v>179</v>
      </c>
      <c r="E24" s="96" t="s">
        <v>181</v>
      </c>
      <c r="F24" s="96" t="s">
        <v>649</v>
      </c>
      <c r="G24" s="96" t="s">
        <v>261</v>
      </c>
      <c r="H24" s="96" t="s">
        <v>262</v>
      </c>
      <c r="I24" s="96" t="s">
        <v>181</v>
      </c>
      <c r="J24" s="96" t="s">
        <v>179</v>
      </c>
      <c r="K24" s="99">
        <v>45011.336562500001</v>
      </c>
      <c r="M24" s="99">
        <v>25568.791666666701</v>
      </c>
      <c r="N24" s="99">
        <v>44857.813599537003</v>
      </c>
      <c r="O24" s="97">
        <v>4</v>
      </c>
      <c r="P24" s="97">
        <v>8192</v>
      </c>
      <c r="Q24" s="97">
        <v>2</v>
      </c>
      <c r="R24" s="97">
        <v>3</v>
      </c>
      <c r="S24" s="96" t="s">
        <v>278</v>
      </c>
      <c r="T24" s="96" t="s">
        <v>279</v>
      </c>
      <c r="U24" s="96" t="s">
        <v>180</v>
      </c>
      <c r="V24" s="96" t="s">
        <v>180</v>
      </c>
      <c r="W24" s="96" t="s">
        <v>650</v>
      </c>
      <c r="X24" s="96" t="s">
        <v>613</v>
      </c>
      <c r="Y24" s="96" t="s">
        <v>625</v>
      </c>
      <c r="AF24" s="97">
        <v>1</v>
      </c>
      <c r="AH24" s="96" t="s">
        <v>614</v>
      </c>
      <c r="AI24" s="96" t="s">
        <v>615</v>
      </c>
      <c r="AK24" s="96" t="s">
        <v>180</v>
      </c>
      <c r="AL24" s="96" t="s">
        <v>264</v>
      </c>
      <c r="AM24" s="96" t="s">
        <v>178</v>
      </c>
      <c r="AN24" s="97">
        <v>-1</v>
      </c>
      <c r="AO24" s="97">
        <v>-1</v>
      </c>
      <c r="AP24" s="97">
        <v>776303</v>
      </c>
      <c r="AQ24" s="97">
        <v>776303</v>
      </c>
      <c r="AR24" s="97">
        <v>768000</v>
      </c>
      <c r="AX24" s="96" t="s">
        <v>179</v>
      </c>
      <c r="AY24" s="97">
        <v>0</v>
      </c>
      <c r="AZ24" s="97">
        <v>10000</v>
      </c>
      <c r="BA24" s="96" t="s">
        <v>179</v>
      </c>
      <c r="BB24" s="96" t="s">
        <v>179</v>
      </c>
      <c r="BC24" s="96" t="s">
        <v>265</v>
      </c>
      <c r="BD24" s="97">
        <v>11</v>
      </c>
      <c r="BE24" s="96" t="s">
        <v>266</v>
      </c>
      <c r="BF24" s="96" t="s">
        <v>267</v>
      </c>
      <c r="BH24" s="96" t="s">
        <v>651</v>
      </c>
      <c r="BI24" s="96" t="s">
        <v>652</v>
      </c>
      <c r="BJ24" s="96" t="s">
        <v>652</v>
      </c>
      <c r="BK24" s="96" t="s">
        <v>652</v>
      </c>
      <c r="BL24" s="96" t="s">
        <v>653</v>
      </c>
      <c r="BM24" s="96" t="s">
        <v>654</v>
      </c>
      <c r="BN24" s="96" t="s">
        <v>286</v>
      </c>
      <c r="BO24" s="96" t="s">
        <v>318</v>
      </c>
      <c r="BP24" s="96" t="s">
        <v>464</v>
      </c>
      <c r="BQ24" s="96" t="s">
        <v>277</v>
      </c>
      <c r="BR24" s="96" t="s">
        <v>277</v>
      </c>
      <c r="BS24" s="96" t="s">
        <v>655</v>
      </c>
      <c r="BT24" s="96" t="s">
        <v>656</v>
      </c>
      <c r="BU24" s="96" t="s">
        <v>492</v>
      </c>
      <c r="BW24" s="96" t="s">
        <v>299</v>
      </c>
      <c r="BX24" s="96" t="s">
        <v>299</v>
      </c>
      <c r="BY24" s="95" t="s">
        <v>281</v>
      </c>
      <c r="BZ24" s="95" t="s">
        <v>721</v>
      </c>
    </row>
    <row r="25" spans="1:78" x14ac:dyDescent="0.25">
      <c r="A25" s="96" t="s">
        <v>657</v>
      </c>
      <c r="B25" s="96" t="s">
        <v>260</v>
      </c>
      <c r="C25" s="96" t="s">
        <v>179</v>
      </c>
      <c r="D25" s="96" t="s">
        <v>179</v>
      </c>
      <c r="E25" s="96" t="s">
        <v>181</v>
      </c>
      <c r="G25" s="96" t="s">
        <v>261</v>
      </c>
      <c r="H25" s="96" t="s">
        <v>270</v>
      </c>
      <c r="I25" s="96" t="s">
        <v>178</v>
      </c>
      <c r="J25" s="96" t="s">
        <v>179</v>
      </c>
      <c r="K25" s="99">
        <v>45011.335775462998</v>
      </c>
      <c r="M25" s="99">
        <v>25568.791666666701</v>
      </c>
      <c r="N25" s="99">
        <v>44918.482268518499</v>
      </c>
      <c r="O25" s="97">
        <v>4</v>
      </c>
      <c r="P25" s="97">
        <v>8192</v>
      </c>
      <c r="Q25" s="97">
        <v>1</v>
      </c>
      <c r="R25" s="97">
        <v>3</v>
      </c>
      <c r="S25" s="96" t="s">
        <v>278</v>
      </c>
      <c r="T25" s="96" t="s">
        <v>279</v>
      </c>
      <c r="U25" s="96" t="s">
        <v>180</v>
      </c>
      <c r="V25" s="96" t="s">
        <v>180</v>
      </c>
      <c r="X25" s="96" t="s">
        <v>613</v>
      </c>
      <c r="AF25" s="97">
        <v>1</v>
      </c>
      <c r="AH25" s="96" t="s">
        <v>614</v>
      </c>
      <c r="AI25" s="96" t="s">
        <v>615</v>
      </c>
      <c r="AK25" s="96" t="s">
        <v>180</v>
      </c>
      <c r="AL25" s="96" t="s">
        <v>264</v>
      </c>
      <c r="AM25" s="96" t="s">
        <v>178</v>
      </c>
      <c r="AN25" s="97">
        <v>-1</v>
      </c>
      <c r="AO25" s="97">
        <v>-1</v>
      </c>
      <c r="AP25" s="97">
        <v>295008</v>
      </c>
      <c r="AQ25" s="97">
        <v>295008</v>
      </c>
      <c r="AR25" s="97">
        <v>286720</v>
      </c>
      <c r="AX25" s="96" t="s">
        <v>179</v>
      </c>
      <c r="AY25" s="97">
        <v>0</v>
      </c>
      <c r="AZ25" s="97">
        <v>10000</v>
      </c>
      <c r="BA25" s="96" t="s">
        <v>179</v>
      </c>
      <c r="BB25" s="96" t="s">
        <v>179</v>
      </c>
      <c r="BC25" s="96" t="s">
        <v>265</v>
      </c>
      <c r="BD25" s="97">
        <v>11</v>
      </c>
      <c r="BE25" s="96" t="s">
        <v>266</v>
      </c>
      <c r="BF25" s="96" t="s">
        <v>267</v>
      </c>
      <c r="BH25" s="96" t="s">
        <v>658</v>
      </c>
      <c r="BI25" s="96" t="s">
        <v>659</v>
      </c>
      <c r="BJ25" s="96" t="s">
        <v>659</v>
      </c>
      <c r="BK25" s="96" t="s">
        <v>659</v>
      </c>
      <c r="BL25" s="96" t="s">
        <v>660</v>
      </c>
      <c r="BM25" s="96" t="s">
        <v>661</v>
      </c>
      <c r="BN25" s="96" t="s">
        <v>286</v>
      </c>
      <c r="BO25" s="96" t="s">
        <v>318</v>
      </c>
      <c r="BP25" s="96" t="s">
        <v>464</v>
      </c>
      <c r="BQ25" s="96" t="s">
        <v>277</v>
      </c>
      <c r="BS25" s="96" t="s">
        <v>662</v>
      </c>
      <c r="BT25" s="96" t="s">
        <v>663</v>
      </c>
      <c r="BU25" s="96" t="s">
        <v>492</v>
      </c>
      <c r="BW25" s="96" t="s">
        <v>299</v>
      </c>
      <c r="BX25" s="96" t="s">
        <v>299</v>
      </c>
      <c r="BY25" s="95" t="s">
        <v>281</v>
      </c>
      <c r="BZ25" s="95" t="s">
        <v>721</v>
      </c>
    </row>
    <row r="26" spans="1:78" x14ac:dyDescent="0.25">
      <c r="A26" s="96" t="s">
        <v>664</v>
      </c>
      <c r="B26" s="96" t="s">
        <v>260</v>
      </c>
      <c r="C26" s="96" t="s">
        <v>179</v>
      </c>
      <c r="D26" s="96" t="s">
        <v>179</v>
      </c>
      <c r="E26" s="96" t="s">
        <v>181</v>
      </c>
      <c r="F26" s="96" t="s">
        <v>665</v>
      </c>
      <c r="G26" s="96" t="s">
        <v>261</v>
      </c>
      <c r="H26" s="96" t="s">
        <v>262</v>
      </c>
      <c r="I26" s="96" t="s">
        <v>181</v>
      </c>
      <c r="J26" s="96" t="s">
        <v>179</v>
      </c>
      <c r="K26" s="99">
        <v>45011.4753009259</v>
      </c>
      <c r="M26" s="99">
        <v>25568.791666666701</v>
      </c>
      <c r="N26" s="99">
        <v>45026.234548611101</v>
      </c>
      <c r="O26" s="97">
        <v>6</v>
      </c>
      <c r="P26" s="97">
        <v>32768</v>
      </c>
      <c r="Q26" s="97">
        <v>1</v>
      </c>
      <c r="R26" s="97">
        <v>4</v>
      </c>
      <c r="S26" s="96" t="s">
        <v>278</v>
      </c>
      <c r="T26" s="96" t="s">
        <v>263</v>
      </c>
      <c r="U26" s="96" t="s">
        <v>180</v>
      </c>
      <c r="V26" s="96" t="s">
        <v>180</v>
      </c>
      <c r="W26" s="96" t="s">
        <v>666</v>
      </c>
      <c r="X26" s="96" t="s">
        <v>613</v>
      </c>
      <c r="AF26" s="97">
        <v>1</v>
      </c>
      <c r="AH26" s="96" t="s">
        <v>614</v>
      </c>
      <c r="AI26" s="96" t="s">
        <v>615</v>
      </c>
      <c r="AK26" s="96" t="s">
        <v>180</v>
      </c>
      <c r="AL26" s="96" t="s">
        <v>264</v>
      </c>
      <c r="AM26" s="96" t="s">
        <v>178</v>
      </c>
      <c r="AN26" s="97">
        <v>-1</v>
      </c>
      <c r="AO26" s="97">
        <v>-1</v>
      </c>
      <c r="AP26" s="97">
        <v>5900007</v>
      </c>
      <c r="AQ26" s="97">
        <v>5861679</v>
      </c>
      <c r="AR26" s="97">
        <v>5828783</v>
      </c>
      <c r="AX26" s="96" t="s">
        <v>179</v>
      </c>
      <c r="AY26" s="97">
        <v>0</v>
      </c>
      <c r="AZ26" s="97">
        <v>10000</v>
      </c>
      <c r="BA26" s="96" t="s">
        <v>179</v>
      </c>
      <c r="BB26" s="96" t="s">
        <v>179</v>
      </c>
      <c r="BC26" s="96" t="s">
        <v>265</v>
      </c>
      <c r="BD26" s="97">
        <v>11</v>
      </c>
      <c r="BE26" s="96" t="s">
        <v>266</v>
      </c>
      <c r="BF26" s="96" t="s">
        <v>267</v>
      </c>
      <c r="BH26" s="96" t="s">
        <v>667</v>
      </c>
      <c r="BI26" s="96" t="s">
        <v>668</v>
      </c>
      <c r="BJ26" s="96" t="s">
        <v>668</v>
      </c>
      <c r="BK26" s="96" t="s">
        <v>668</v>
      </c>
      <c r="BL26" s="96" t="s">
        <v>669</v>
      </c>
      <c r="BM26" s="96" t="s">
        <v>670</v>
      </c>
      <c r="BN26" s="96" t="s">
        <v>286</v>
      </c>
      <c r="BO26" s="96" t="s">
        <v>318</v>
      </c>
      <c r="BP26" s="96" t="s">
        <v>461</v>
      </c>
      <c r="BQ26" s="96" t="s">
        <v>277</v>
      </c>
      <c r="BR26" s="96" t="s">
        <v>277</v>
      </c>
      <c r="BS26" s="96" t="s">
        <v>671</v>
      </c>
      <c r="BT26" s="96" t="s">
        <v>672</v>
      </c>
      <c r="BU26" s="96" t="s">
        <v>492</v>
      </c>
      <c r="BW26" s="96" t="s">
        <v>299</v>
      </c>
      <c r="BX26" s="96" t="s">
        <v>299</v>
      </c>
      <c r="BY26" s="95" t="s">
        <v>281</v>
      </c>
      <c r="BZ26" s="95" t="s">
        <v>721</v>
      </c>
    </row>
    <row r="27" spans="1:78" x14ac:dyDescent="0.25">
      <c r="A27" s="96" t="s">
        <v>673</v>
      </c>
      <c r="B27" s="96" t="s">
        <v>260</v>
      </c>
      <c r="C27" s="96" t="s">
        <v>179</v>
      </c>
      <c r="D27" s="96" t="s">
        <v>179</v>
      </c>
      <c r="E27" s="96" t="s">
        <v>181</v>
      </c>
      <c r="F27" s="96" t="s">
        <v>674</v>
      </c>
      <c r="G27" s="96" t="s">
        <v>261</v>
      </c>
      <c r="H27" s="96" t="s">
        <v>262</v>
      </c>
      <c r="I27" s="96" t="s">
        <v>181</v>
      </c>
      <c r="J27" s="96" t="s">
        <v>179</v>
      </c>
      <c r="K27" s="99">
        <v>45011.335925925901</v>
      </c>
      <c r="M27" s="99">
        <v>25568.791666666701</v>
      </c>
      <c r="N27" s="99">
        <v>44857.327615740702</v>
      </c>
      <c r="O27" s="97">
        <v>4</v>
      </c>
      <c r="P27" s="97">
        <v>32768</v>
      </c>
      <c r="Q27" s="97">
        <v>1</v>
      </c>
      <c r="R27" s="97">
        <v>3</v>
      </c>
      <c r="S27" s="96" t="s">
        <v>278</v>
      </c>
      <c r="T27" s="96" t="s">
        <v>263</v>
      </c>
      <c r="U27" s="96" t="s">
        <v>180</v>
      </c>
      <c r="V27" s="96" t="s">
        <v>180</v>
      </c>
      <c r="W27" s="96" t="s">
        <v>675</v>
      </c>
      <c r="X27" s="96" t="s">
        <v>613</v>
      </c>
      <c r="AF27" s="97">
        <v>1</v>
      </c>
      <c r="AH27" s="96" t="s">
        <v>614</v>
      </c>
      <c r="AI27" s="96" t="s">
        <v>615</v>
      </c>
      <c r="AK27" s="96" t="s">
        <v>180</v>
      </c>
      <c r="AL27" s="96" t="s">
        <v>264</v>
      </c>
      <c r="AM27" s="96" t="s">
        <v>178</v>
      </c>
      <c r="AN27" s="97">
        <v>-1</v>
      </c>
      <c r="AO27" s="97">
        <v>-1</v>
      </c>
      <c r="AP27" s="97">
        <v>2286671</v>
      </c>
      <c r="AQ27" s="97">
        <v>2286671</v>
      </c>
      <c r="AR27" s="97">
        <v>2252800</v>
      </c>
      <c r="AX27" s="96" t="s">
        <v>179</v>
      </c>
      <c r="AY27" s="97">
        <v>0</v>
      </c>
      <c r="AZ27" s="97">
        <v>10000</v>
      </c>
      <c r="BA27" s="96" t="s">
        <v>179</v>
      </c>
      <c r="BB27" s="96" t="s">
        <v>179</v>
      </c>
      <c r="BC27" s="96" t="s">
        <v>265</v>
      </c>
      <c r="BD27" s="97">
        <v>11</v>
      </c>
      <c r="BE27" s="96" t="s">
        <v>266</v>
      </c>
      <c r="BF27" s="96" t="s">
        <v>267</v>
      </c>
      <c r="BH27" s="96" t="s">
        <v>676</v>
      </c>
      <c r="BI27" s="96" t="s">
        <v>677</v>
      </c>
      <c r="BJ27" s="96" t="s">
        <v>677</v>
      </c>
      <c r="BK27" s="96" t="s">
        <v>677</v>
      </c>
      <c r="BL27" s="96" t="s">
        <v>678</v>
      </c>
      <c r="BM27" s="96" t="s">
        <v>679</v>
      </c>
      <c r="BN27" s="96" t="s">
        <v>286</v>
      </c>
      <c r="BO27" s="96" t="s">
        <v>318</v>
      </c>
      <c r="BP27" s="96" t="s">
        <v>329</v>
      </c>
      <c r="BQ27" s="96" t="s">
        <v>277</v>
      </c>
      <c r="BR27" s="96" t="s">
        <v>277</v>
      </c>
      <c r="BS27" s="96" t="s">
        <v>680</v>
      </c>
      <c r="BT27" s="96" t="s">
        <v>681</v>
      </c>
      <c r="BU27" s="96" t="s">
        <v>492</v>
      </c>
      <c r="BW27" s="96" t="s">
        <v>299</v>
      </c>
      <c r="BX27" s="96" t="s">
        <v>299</v>
      </c>
      <c r="BY27" s="95" t="s">
        <v>281</v>
      </c>
      <c r="BZ27" s="95" t="s">
        <v>721</v>
      </c>
    </row>
    <row r="28" spans="1:78" x14ac:dyDescent="0.25">
      <c r="A28" s="96" t="s">
        <v>682</v>
      </c>
      <c r="B28" s="96" t="s">
        <v>260</v>
      </c>
      <c r="C28" s="96" t="s">
        <v>179</v>
      </c>
      <c r="D28" s="96" t="s">
        <v>179</v>
      </c>
      <c r="E28" s="96" t="s">
        <v>181</v>
      </c>
      <c r="F28" s="96" t="s">
        <v>683</v>
      </c>
      <c r="G28" s="96" t="s">
        <v>261</v>
      </c>
      <c r="H28" s="96" t="s">
        <v>262</v>
      </c>
      <c r="I28" s="96" t="s">
        <v>181</v>
      </c>
      <c r="J28" s="96" t="s">
        <v>179</v>
      </c>
      <c r="K28" s="99">
        <v>45011.337835648097</v>
      </c>
      <c r="M28" s="99">
        <v>25568.791666666701</v>
      </c>
      <c r="N28" s="99">
        <v>44954.152210648099</v>
      </c>
      <c r="O28" s="97">
        <v>4</v>
      </c>
      <c r="P28" s="97">
        <v>24576</v>
      </c>
      <c r="Q28" s="97">
        <v>1</v>
      </c>
      <c r="R28" s="97">
        <v>3</v>
      </c>
      <c r="S28" s="96" t="s">
        <v>278</v>
      </c>
      <c r="T28" s="96" t="s">
        <v>263</v>
      </c>
      <c r="U28" s="96" t="s">
        <v>180</v>
      </c>
      <c r="V28" s="96" t="s">
        <v>180</v>
      </c>
      <c r="W28" s="96" t="s">
        <v>684</v>
      </c>
      <c r="X28" s="96" t="s">
        <v>613</v>
      </c>
      <c r="AF28" s="97">
        <v>1</v>
      </c>
      <c r="AH28" s="96" t="s">
        <v>614</v>
      </c>
      <c r="AI28" s="96" t="s">
        <v>615</v>
      </c>
      <c r="AK28" s="96" t="s">
        <v>180</v>
      </c>
      <c r="AL28" s="96" t="s">
        <v>264</v>
      </c>
      <c r="AM28" s="96" t="s">
        <v>178</v>
      </c>
      <c r="AN28" s="97">
        <v>-1</v>
      </c>
      <c r="AO28" s="97">
        <v>-1</v>
      </c>
      <c r="AP28" s="97">
        <v>587923</v>
      </c>
      <c r="AQ28" s="97">
        <v>587923</v>
      </c>
      <c r="AR28" s="97">
        <v>563200</v>
      </c>
      <c r="AX28" s="96" t="s">
        <v>179</v>
      </c>
      <c r="AY28" s="97">
        <v>0</v>
      </c>
      <c r="AZ28" s="97">
        <v>10000</v>
      </c>
      <c r="BA28" s="96" t="s">
        <v>179</v>
      </c>
      <c r="BB28" s="96" t="s">
        <v>179</v>
      </c>
      <c r="BC28" s="96" t="s">
        <v>265</v>
      </c>
      <c r="BD28" s="97">
        <v>11</v>
      </c>
      <c r="BE28" s="96" t="s">
        <v>266</v>
      </c>
      <c r="BF28" s="96" t="s">
        <v>267</v>
      </c>
      <c r="BH28" s="96" t="s">
        <v>685</v>
      </c>
      <c r="BI28" s="96" t="s">
        <v>686</v>
      </c>
      <c r="BJ28" s="96" t="s">
        <v>686</v>
      </c>
      <c r="BK28" s="96" t="s">
        <v>686</v>
      </c>
      <c r="BL28" s="96" t="s">
        <v>687</v>
      </c>
      <c r="BM28" s="96" t="s">
        <v>688</v>
      </c>
      <c r="BN28" s="96" t="s">
        <v>286</v>
      </c>
      <c r="BO28" s="96" t="s">
        <v>318</v>
      </c>
      <c r="BP28" s="96" t="s">
        <v>461</v>
      </c>
      <c r="BQ28" s="96" t="s">
        <v>274</v>
      </c>
      <c r="BR28" s="96" t="s">
        <v>274</v>
      </c>
      <c r="BS28" s="96" t="s">
        <v>689</v>
      </c>
      <c r="BT28" s="96" t="s">
        <v>690</v>
      </c>
      <c r="BU28" s="96" t="s">
        <v>492</v>
      </c>
      <c r="BW28" s="96" t="s">
        <v>299</v>
      </c>
      <c r="BX28" s="96" t="s">
        <v>299</v>
      </c>
      <c r="BY28" s="95" t="s">
        <v>281</v>
      </c>
      <c r="BZ28" s="95" t="s">
        <v>281</v>
      </c>
    </row>
    <row r="29" spans="1:78" x14ac:dyDescent="0.25">
      <c r="A29" s="96" t="s">
        <v>691</v>
      </c>
      <c r="B29" s="96" t="s">
        <v>260</v>
      </c>
      <c r="C29" s="96" t="s">
        <v>179</v>
      </c>
      <c r="D29" s="96" t="s">
        <v>179</v>
      </c>
      <c r="E29" s="96" t="s">
        <v>181</v>
      </c>
      <c r="F29" s="96" t="s">
        <v>692</v>
      </c>
      <c r="G29" s="96" t="s">
        <v>261</v>
      </c>
      <c r="H29" s="96" t="s">
        <v>262</v>
      </c>
      <c r="I29" s="96" t="s">
        <v>181</v>
      </c>
      <c r="J29" s="96" t="s">
        <v>179</v>
      </c>
      <c r="K29" s="99">
        <v>45032.212453703702</v>
      </c>
      <c r="M29" s="99">
        <v>25568.791666666701</v>
      </c>
      <c r="N29" s="99">
        <v>44918.139328703699</v>
      </c>
      <c r="O29" s="97">
        <v>4</v>
      </c>
      <c r="P29" s="97">
        <v>16384</v>
      </c>
      <c r="Q29" s="97">
        <v>1</v>
      </c>
      <c r="R29" s="97">
        <v>2</v>
      </c>
      <c r="S29" s="96" t="s">
        <v>278</v>
      </c>
      <c r="T29" s="96" t="s">
        <v>263</v>
      </c>
      <c r="U29" s="96" t="s">
        <v>180</v>
      </c>
      <c r="W29" s="96" t="s">
        <v>693</v>
      </c>
      <c r="X29" s="96" t="s">
        <v>613</v>
      </c>
      <c r="AF29" s="97">
        <v>1</v>
      </c>
      <c r="AH29" s="96" t="s">
        <v>614</v>
      </c>
      <c r="AI29" s="96" t="s">
        <v>615</v>
      </c>
      <c r="AK29" s="96" t="s">
        <v>180</v>
      </c>
      <c r="AL29" s="96" t="s">
        <v>264</v>
      </c>
      <c r="AM29" s="96" t="s">
        <v>178</v>
      </c>
      <c r="AN29" s="97">
        <v>-1</v>
      </c>
      <c r="AO29" s="97">
        <v>-1</v>
      </c>
      <c r="AP29" s="97">
        <v>262232</v>
      </c>
      <c r="AQ29" s="97">
        <v>262232</v>
      </c>
      <c r="AR29" s="97">
        <v>245760</v>
      </c>
      <c r="AX29" s="96" t="s">
        <v>179</v>
      </c>
      <c r="AY29" s="97">
        <v>0</v>
      </c>
      <c r="AZ29" s="97">
        <v>10000</v>
      </c>
      <c r="BA29" s="96" t="s">
        <v>179</v>
      </c>
      <c r="BB29" s="96" t="s">
        <v>179</v>
      </c>
      <c r="BC29" s="96" t="s">
        <v>265</v>
      </c>
      <c r="BD29" s="97">
        <v>11</v>
      </c>
      <c r="BE29" s="96" t="s">
        <v>266</v>
      </c>
      <c r="BF29" s="96" t="s">
        <v>267</v>
      </c>
      <c r="BH29" s="96" t="s">
        <v>694</v>
      </c>
      <c r="BI29" s="96" t="s">
        <v>695</v>
      </c>
      <c r="BJ29" s="96" t="s">
        <v>695</v>
      </c>
      <c r="BK29" s="96" t="s">
        <v>695</v>
      </c>
      <c r="BL29" s="96" t="s">
        <v>696</v>
      </c>
      <c r="BN29" s="96" t="s">
        <v>286</v>
      </c>
      <c r="BO29" s="96" t="s">
        <v>318</v>
      </c>
      <c r="BP29" s="96" t="s">
        <v>469</v>
      </c>
      <c r="BQ29" s="96" t="s">
        <v>277</v>
      </c>
      <c r="BR29" s="96" t="s">
        <v>277</v>
      </c>
      <c r="BS29" s="96" t="s">
        <v>697</v>
      </c>
      <c r="BT29" s="96" t="s">
        <v>698</v>
      </c>
      <c r="BU29" s="96" t="s">
        <v>492</v>
      </c>
      <c r="BW29" s="96" t="s">
        <v>299</v>
      </c>
      <c r="BX29" s="96" t="s">
        <v>299</v>
      </c>
      <c r="BY29" s="95" t="s">
        <v>281</v>
      </c>
      <c r="BZ29" s="95" t="s">
        <v>281</v>
      </c>
    </row>
    <row r="30" spans="1:78" x14ac:dyDescent="0.25">
      <c r="A30" s="96" t="s">
        <v>699</v>
      </c>
      <c r="B30" s="96" t="s">
        <v>260</v>
      </c>
      <c r="C30" s="96" t="s">
        <v>179</v>
      </c>
      <c r="D30" s="96" t="s">
        <v>179</v>
      </c>
      <c r="E30" s="96" t="s">
        <v>181</v>
      </c>
      <c r="F30" s="96" t="s">
        <v>700</v>
      </c>
      <c r="G30" s="96" t="s">
        <v>261</v>
      </c>
      <c r="H30" s="96" t="s">
        <v>262</v>
      </c>
      <c r="I30" s="96" t="s">
        <v>178</v>
      </c>
      <c r="J30" s="96" t="s">
        <v>179</v>
      </c>
      <c r="K30" s="99">
        <v>45011.3350810185</v>
      </c>
      <c r="M30" s="99">
        <v>25568.791666666701</v>
      </c>
      <c r="N30" s="99">
        <v>44857.329270833303</v>
      </c>
      <c r="O30" s="97">
        <v>4</v>
      </c>
      <c r="P30" s="97">
        <v>16384</v>
      </c>
      <c r="Q30" s="97">
        <v>1</v>
      </c>
      <c r="R30" s="97">
        <v>2</v>
      </c>
      <c r="S30" s="96" t="s">
        <v>278</v>
      </c>
      <c r="T30" s="96" t="s">
        <v>263</v>
      </c>
      <c r="U30" s="96" t="s">
        <v>180</v>
      </c>
      <c r="W30" s="96" t="s">
        <v>701</v>
      </c>
      <c r="X30" s="96" t="s">
        <v>613</v>
      </c>
      <c r="AF30" s="97">
        <v>1</v>
      </c>
      <c r="AH30" s="96" t="s">
        <v>614</v>
      </c>
      <c r="AI30" s="96" t="s">
        <v>615</v>
      </c>
      <c r="AK30" s="96" t="s">
        <v>180</v>
      </c>
      <c r="AL30" s="96" t="s">
        <v>264</v>
      </c>
      <c r="AM30" s="96" t="s">
        <v>178</v>
      </c>
      <c r="AN30" s="97">
        <v>-1</v>
      </c>
      <c r="AO30" s="97">
        <v>-1</v>
      </c>
      <c r="AP30" s="97">
        <v>262234</v>
      </c>
      <c r="AQ30" s="97">
        <v>262234</v>
      </c>
      <c r="AR30" s="97">
        <v>245760</v>
      </c>
      <c r="AX30" s="96" t="s">
        <v>179</v>
      </c>
      <c r="AY30" s="97">
        <v>0</v>
      </c>
      <c r="AZ30" s="97">
        <v>10000</v>
      </c>
      <c r="BA30" s="96" t="s">
        <v>179</v>
      </c>
      <c r="BB30" s="96" t="s">
        <v>179</v>
      </c>
      <c r="BC30" s="96" t="s">
        <v>265</v>
      </c>
      <c r="BD30" s="97">
        <v>11</v>
      </c>
      <c r="BE30" s="96" t="s">
        <v>266</v>
      </c>
      <c r="BF30" s="96" t="s">
        <v>267</v>
      </c>
      <c r="BH30" s="96" t="s">
        <v>702</v>
      </c>
      <c r="BI30" s="96" t="s">
        <v>703</v>
      </c>
      <c r="BJ30" s="96" t="s">
        <v>703</v>
      </c>
      <c r="BK30" s="96" t="s">
        <v>703</v>
      </c>
      <c r="BL30" s="96" t="s">
        <v>704</v>
      </c>
      <c r="BN30" s="96" t="s">
        <v>286</v>
      </c>
      <c r="BO30" s="96" t="s">
        <v>318</v>
      </c>
      <c r="BP30" s="96" t="s">
        <v>329</v>
      </c>
      <c r="BQ30" s="96" t="s">
        <v>277</v>
      </c>
      <c r="BR30" s="96" t="s">
        <v>277</v>
      </c>
      <c r="BS30" s="96" t="s">
        <v>705</v>
      </c>
      <c r="BT30" s="96" t="s">
        <v>706</v>
      </c>
      <c r="BU30" s="96" t="s">
        <v>492</v>
      </c>
      <c r="BW30" s="96" t="s">
        <v>299</v>
      </c>
      <c r="BX30" s="96" t="s">
        <v>299</v>
      </c>
      <c r="BY30" s="95" t="s">
        <v>281</v>
      </c>
      <c r="BZ30" s="95" t="s">
        <v>281</v>
      </c>
    </row>
    <row r="31" spans="1:78" x14ac:dyDescent="0.25">
      <c r="A31" s="96" t="s">
        <v>707</v>
      </c>
      <c r="B31" s="96" t="s">
        <v>260</v>
      </c>
      <c r="C31" s="96" t="s">
        <v>179</v>
      </c>
      <c r="D31" s="96" t="s">
        <v>179</v>
      </c>
      <c r="E31" s="96" t="s">
        <v>181</v>
      </c>
      <c r="F31" s="96" t="s">
        <v>708</v>
      </c>
      <c r="G31" s="96" t="s">
        <v>261</v>
      </c>
      <c r="H31" s="96" t="s">
        <v>262</v>
      </c>
      <c r="I31" s="96" t="s">
        <v>181</v>
      </c>
      <c r="J31" s="96" t="s">
        <v>179</v>
      </c>
      <c r="K31" s="99">
        <v>45011.337233796301</v>
      </c>
      <c r="M31" s="99">
        <v>25568.791666666701</v>
      </c>
      <c r="N31" s="99">
        <v>44857.365416666697</v>
      </c>
      <c r="O31" s="97">
        <v>4</v>
      </c>
      <c r="P31" s="97">
        <v>16384</v>
      </c>
      <c r="Q31" s="97">
        <v>1</v>
      </c>
      <c r="R31" s="97">
        <v>2</v>
      </c>
      <c r="S31" s="96" t="s">
        <v>278</v>
      </c>
      <c r="T31" s="96" t="s">
        <v>263</v>
      </c>
      <c r="U31" s="96" t="s">
        <v>180</v>
      </c>
      <c r="W31" s="96" t="s">
        <v>709</v>
      </c>
      <c r="X31" s="96" t="s">
        <v>613</v>
      </c>
      <c r="AF31" s="97">
        <v>1</v>
      </c>
      <c r="AH31" s="96" t="s">
        <v>614</v>
      </c>
      <c r="AI31" s="96" t="s">
        <v>615</v>
      </c>
      <c r="AK31" s="96" t="s">
        <v>180</v>
      </c>
      <c r="AL31" s="96" t="s">
        <v>264</v>
      </c>
      <c r="AM31" s="96" t="s">
        <v>178</v>
      </c>
      <c r="AN31" s="97">
        <v>-1</v>
      </c>
      <c r="AO31" s="97">
        <v>-1</v>
      </c>
      <c r="AP31" s="97">
        <v>262235</v>
      </c>
      <c r="AQ31" s="97">
        <v>262235</v>
      </c>
      <c r="AR31" s="97">
        <v>245760</v>
      </c>
      <c r="AX31" s="96" t="s">
        <v>179</v>
      </c>
      <c r="AY31" s="97">
        <v>0</v>
      </c>
      <c r="AZ31" s="97">
        <v>10000</v>
      </c>
      <c r="BA31" s="96" t="s">
        <v>179</v>
      </c>
      <c r="BB31" s="96" t="s">
        <v>179</v>
      </c>
      <c r="BC31" s="96" t="s">
        <v>265</v>
      </c>
      <c r="BD31" s="97">
        <v>11</v>
      </c>
      <c r="BE31" s="96" t="s">
        <v>266</v>
      </c>
      <c r="BF31" s="96" t="s">
        <v>267</v>
      </c>
      <c r="BH31" s="96" t="s">
        <v>710</v>
      </c>
      <c r="BI31" s="96" t="s">
        <v>711</v>
      </c>
      <c r="BJ31" s="96" t="s">
        <v>711</v>
      </c>
      <c r="BK31" s="96" t="s">
        <v>711</v>
      </c>
      <c r="BL31" s="96" t="s">
        <v>704</v>
      </c>
      <c r="BN31" s="96" t="s">
        <v>286</v>
      </c>
      <c r="BO31" s="96" t="s">
        <v>318</v>
      </c>
      <c r="BP31" s="96" t="s">
        <v>457</v>
      </c>
      <c r="BQ31" s="96" t="s">
        <v>277</v>
      </c>
      <c r="BR31" s="96" t="s">
        <v>277</v>
      </c>
      <c r="BS31" s="96" t="s">
        <v>712</v>
      </c>
      <c r="BT31" s="96" t="s">
        <v>713</v>
      </c>
      <c r="BU31" s="96" t="s">
        <v>492</v>
      </c>
      <c r="BW31" s="96" t="s">
        <v>299</v>
      </c>
      <c r="BX31" s="96" t="s">
        <v>299</v>
      </c>
      <c r="BY31" s="95" t="s">
        <v>281</v>
      </c>
      <c r="BZ31" s="95" t="s">
        <v>281</v>
      </c>
    </row>
    <row r="32" spans="1:78" x14ac:dyDescent="0.25">
      <c r="A32" s="96" t="s">
        <v>714</v>
      </c>
      <c r="B32" s="96" t="s">
        <v>260</v>
      </c>
      <c r="C32" s="96" t="s">
        <v>179</v>
      </c>
      <c r="D32" s="96" t="s">
        <v>179</v>
      </c>
      <c r="E32" s="96" t="s">
        <v>181</v>
      </c>
      <c r="F32" s="96" t="s">
        <v>715</v>
      </c>
      <c r="G32" s="96" t="s">
        <v>261</v>
      </c>
      <c r="H32" s="96" t="s">
        <v>262</v>
      </c>
      <c r="I32" s="96" t="s">
        <v>181</v>
      </c>
      <c r="J32" s="96" t="s">
        <v>179</v>
      </c>
      <c r="K32" s="99">
        <v>45032.212326388901</v>
      </c>
      <c r="M32" s="99">
        <v>25568.791666666701</v>
      </c>
      <c r="N32" s="99">
        <v>44918.168472222198</v>
      </c>
      <c r="O32" s="97">
        <v>4</v>
      </c>
      <c r="P32" s="97">
        <v>16384</v>
      </c>
      <c r="Q32" s="97">
        <v>1</v>
      </c>
      <c r="R32" s="97">
        <v>2</v>
      </c>
      <c r="S32" s="96" t="s">
        <v>278</v>
      </c>
      <c r="T32" s="96" t="s">
        <v>263</v>
      </c>
      <c r="U32" s="96" t="s">
        <v>180</v>
      </c>
      <c r="W32" s="96" t="s">
        <v>716</v>
      </c>
      <c r="X32" s="96" t="s">
        <v>613</v>
      </c>
      <c r="AF32" s="97">
        <v>1</v>
      </c>
      <c r="AH32" s="96" t="s">
        <v>614</v>
      </c>
      <c r="AI32" s="96" t="s">
        <v>615</v>
      </c>
      <c r="AK32" s="96" t="s">
        <v>180</v>
      </c>
      <c r="AL32" s="96" t="s">
        <v>264</v>
      </c>
      <c r="AM32" s="96" t="s">
        <v>178</v>
      </c>
      <c r="AN32" s="97">
        <v>-1</v>
      </c>
      <c r="AO32" s="97">
        <v>-1</v>
      </c>
      <c r="AP32" s="97">
        <v>262408</v>
      </c>
      <c r="AQ32" s="97">
        <v>262408</v>
      </c>
      <c r="AR32" s="97">
        <v>245760</v>
      </c>
      <c r="AX32" s="96" t="s">
        <v>179</v>
      </c>
      <c r="AY32" s="97">
        <v>0</v>
      </c>
      <c r="AZ32" s="97">
        <v>10000</v>
      </c>
      <c r="BA32" s="96" t="s">
        <v>179</v>
      </c>
      <c r="BB32" s="96" t="s">
        <v>179</v>
      </c>
      <c r="BC32" s="96" t="s">
        <v>265</v>
      </c>
      <c r="BD32" s="97">
        <v>11</v>
      </c>
      <c r="BE32" s="96" t="s">
        <v>266</v>
      </c>
      <c r="BF32" s="96" t="s">
        <v>267</v>
      </c>
      <c r="BH32" s="96" t="s">
        <v>717</v>
      </c>
      <c r="BI32" s="96" t="s">
        <v>718</v>
      </c>
      <c r="BJ32" s="96" t="s">
        <v>718</v>
      </c>
      <c r="BK32" s="96" t="s">
        <v>718</v>
      </c>
      <c r="BL32" s="96" t="s">
        <v>704</v>
      </c>
      <c r="BN32" s="96" t="s">
        <v>286</v>
      </c>
      <c r="BO32" s="96" t="s">
        <v>318</v>
      </c>
      <c r="BP32" s="96" t="s">
        <v>469</v>
      </c>
      <c r="BQ32" s="96" t="s">
        <v>277</v>
      </c>
      <c r="BR32" s="96" t="s">
        <v>277</v>
      </c>
      <c r="BS32" s="96" t="s">
        <v>719</v>
      </c>
      <c r="BT32" s="96" t="s">
        <v>720</v>
      </c>
      <c r="BU32" s="96" t="s">
        <v>492</v>
      </c>
      <c r="BW32" s="96" t="s">
        <v>299</v>
      </c>
      <c r="BX32" s="96" t="s">
        <v>299</v>
      </c>
      <c r="BY32" s="95" t="s">
        <v>281</v>
      </c>
      <c r="BZ32" s="95" t="s">
        <v>281</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21">
    <tabColor rgb="FFC00000"/>
  </sheetPr>
  <dimension ref="A1:BJ40"/>
  <sheetViews>
    <sheetView workbookViewId="0">
      <selection sqref="A1:XFD1048576"/>
    </sheetView>
  </sheetViews>
  <sheetFormatPr defaultColWidth="9.1796875" defaultRowHeight="11.5" x14ac:dyDescent="0.25"/>
  <cols>
    <col min="1" max="1" width="29.453125" style="96" customWidth="1"/>
    <col min="2" max="2" width="19.26953125" style="96" customWidth="1"/>
    <col min="3" max="3" width="21.36328125" style="96" customWidth="1"/>
    <col min="4" max="4" width="17.26953125" style="96" customWidth="1"/>
    <col min="5" max="5" width="24.90625" style="96" customWidth="1"/>
    <col min="6" max="6" width="23.453125" style="96" customWidth="1"/>
    <col min="7" max="7" width="29.1796875" style="96" customWidth="1"/>
    <col min="8" max="8" width="41.26953125" style="96" customWidth="1"/>
    <col min="9" max="9" width="10.453125" style="97" customWidth="1"/>
    <col min="10" max="10" width="16.54296875" style="96" customWidth="1"/>
    <col min="11" max="11" width="13.7265625" style="96" customWidth="1"/>
    <col min="12" max="12" width="10.54296875" style="97" customWidth="1"/>
    <col min="13" max="13" width="18.1796875" style="97" customWidth="1"/>
    <col min="14" max="14" width="12.08984375" style="97" customWidth="1"/>
    <col min="15" max="15" width="17.54296875" style="97" customWidth="1"/>
    <col min="16" max="16" width="14.36328125" style="97" customWidth="1"/>
    <col min="17" max="17" width="21.36328125" style="97" customWidth="1"/>
    <col min="18" max="18" width="12.08984375" style="97" customWidth="1"/>
    <col min="19" max="19" width="11.26953125" style="97" customWidth="1"/>
    <col min="20" max="20" width="11.7265625" style="97" customWidth="1"/>
    <col min="21" max="21" width="15.6328125" style="97" customWidth="1"/>
    <col min="22" max="22" width="10.54296875" style="97" customWidth="1"/>
    <col min="23" max="23" width="34.08984375" style="98" customWidth="1"/>
    <col min="24" max="24" width="12.6328125" style="97" customWidth="1"/>
    <col min="25" max="25" width="34.08984375" style="98" customWidth="1"/>
    <col min="26" max="26" width="10" style="97" customWidth="1"/>
    <col min="27" max="27" width="21.26953125" style="97" customWidth="1"/>
    <col min="28" max="28" width="25.1796875" style="97" customWidth="1"/>
    <col min="29" max="29" width="25.90625" style="97" customWidth="1"/>
    <col min="30" max="30" width="20.453125" style="96" customWidth="1"/>
    <col min="31" max="31" width="28.54296875" style="96" customWidth="1"/>
    <col min="32" max="32" width="16.1796875" style="96" customWidth="1"/>
    <col min="33" max="33" width="16.7265625" style="96" customWidth="1"/>
    <col min="34" max="34" width="37.6328125" style="96" customWidth="1"/>
    <col min="35" max="35" width="18.453125" style="96" customWidth="1"/>
    <col min="36" max="36" width="16.26953125" style="96" customWidth="1"/>
    <col min="37" max="37" width="34.6328125" style="96" customWidth="1"/>
    <col min="38" max="38" width="31" style="96" customWidth="1"/>
    <col min="39" max="39" width="22" style="96" customWidth="1"/>
    <col min="40" max="40" width="32.54296875" style="96" customWidth="1"/>
    <col min="41" max="41" width="18.81640625" style="99" customWidth="1"/>
    <col min="42" max="42" width="53.36328125" style="96" customWidth="1"/>
    <col min="43" max="43" width="9.90625" style="96" customWidth="1"/>
    <col min="44" max="44" width="17" style="96" customWidth="1"/>
    <col min="45" max="45" width="27.36328125" style="96" customWidth="1"/>
    <col min="46" max="46" width="74.81640625" style="96" customWidth="1"/>
    <col min="47" max="47" width="18" style="96" customWidth="1"/>
    <col min="48" max="48" width="14.54296875" style="96" customWidth="1"/>
    <col min="49" max="49" width="20.7265625" style="96" customWidth="1"/>
    <col min="50" max="50" width="15.1796875" style="96" customWidth="1"/>
    <col min="51" max="51" width="11.453125" style="96" customWidth="1"/>
    <col min="52" max="52" width="23.36328125" style="96" customWidth="1"/>
    <col min="53" max="53" width="18.08984375" style="96" customWidth="1"/>
    <col min="54" max="54" width="15.36328125" style="96" customWidth="1"/>
    <col min="55" max="55" width="22.90625" style="96" customWidth="1"/>
    <col min="56" max="56" width="16.90625" style="96" customWidth="1"/>
    <col min="57" max="57" width="17.36328125" style="96" customWidth="1"/>
    <col min="58" max="58" width="18.81640625" style="99" customWidth="1"/>
    <col min="59" max="59" width="13.7265625" style="96" customWidth="1"/>
    <col min="60" max="60" width="32" style="96" customWidth="1"/>
    <col min="61" max="62" width="26.36328125" style="96" customWidth="1"/>
    <col min="63" max="63" width="9.1796875" style="95" customWidth="1"/>
    <col min="64" max="16384" width="9.1796875" style="95"/>
  </cols>
  <sheetData>
    <row r="1" spans="1:62" x14ac:dyDescent="0.25">
      <c r="A1" s="91" t="s">
        <v>117</v>
      </c>
      <c r="B1" s="91" t="s">
        <v>118</v>
      </c>
      <c r="C1" s="91" t="s">
        <v>119</v>
      </c>
      <c r="D1" s="91" t="s">
        <v>120</v>
      </c>
      <c r="E1" s="91" t="s">
        <v>121</v>
      </c>
      <c r="F1" s="91" t="s">
        <v>122</v>
      </c>
      <c r="G1" s="91" t="s">
        <v>123</v>
      </c>
      <c r="H1" s="91" t="s">
        <v>124</v>
      </c>
      <c r="I1" s="92" t="s">
        <v>125</v>
      </c>
      <c r="J1" s="91" t="s">
        <v>126</v>
      </c>
      <c r="K1" s="91" t="s">
        <v>127</v>
      </c>
      <c r="L1" s="92" t="s">
        <v>128</v>
      </c>
      <c r="M1" s="92" t="s">
        <v>129</v>
      </c>
      <c r="N1" s="92" t="s">
        <v>130</v>
      </c>
      <c r="O1" s="92" t="s">
        <v>131</v>
      </c>
      <c r="P1" s="92" t="s">
        <v>132</v>
      </c>
      <c r="Q1" s="92" t="s">
        <v>133</v>
      </c>
      <c r="R1" s="92" t="s">
        <v>134</v>
      </c>
      <c r="S1" s="92" t="s">
        <v>135</v>
      </c>
      <c r="T1" s="92" t="s">
        <v>136</v>
      </c>
      <c r="U1" s="92" t="s">
        <v>137</v>
      </c>
      <c r="V1" s="92" t="s">
        <v>138</v>
      </c>
      <c r="W1" s="93" t="s">
        <v>139</v>
      </c>
      <c r="X1" s="92" t="s">
        <v>140</v>
      </c>
      <c r="Y1" s="93" t="s">
        <v>141</v>
      </c>
      <c r="Z1" s="92" t="s">
        <v>142</v>
      </c>
      <c r="AA1" s="92" t="s">
        <v>143</v>
      </c>
      <c r="AB1" s="92" t="s">
        <v>144</v>
      </c>
      <c r="AC1" s="92" t="s">
        <v>145</v>
      </c>
      <c r="AD1" s="91" t="s">
        <v>146</v>
      </c>
      <c r="AE1" s="91" t="s">
        <v>147</v>
      </c>
      <c r="AF1" s="91" t="s">
        <v>148</v>
      </c>
      <c r="AG1" s="91" t="s">
        <v>149</v>
      </c>
      <c r="AH1" s="91" t="s">
        <v>150</v>
      </c>
      <c r="AI1" s="91" t="s">
        <v>151</v>
      </c>
      <c r="AJ1" s="91" t="s">
        <v>152</v>
      </c>
      <c r="AK1" s="91" t="s">
        <v>153</v>
      </c>
      <c r="AL1" s="91" t="s">
        <v>154</v>
      </c>
      <c r="AM1" s="91" t="s">
        <v>155</v>
      </c>
      <c r="AN1" s="91" t="s">
        <v>156</v>
      </c>
      <c r="AO1" s="94" t="s">
        <v>157</v>
      </c>
      <c r="AP1" s="91" t="s">
        <v>158</v>
      </c>
      <c r="AQ1" s="91" t="s">
        <v>159</v>
      </c>
      <c r="AR1" s="91" t="s">
        <v>160</v>
      </c>
      <c r="AS1" s="91" t="s">
        <v>161</v>
      </c>
      <c r="AT1" s="91" t="s">
        <v>162</v>
      </c>
      <c r="AU1" s="91" t="s">
        <v>163</v>
      </c>
      <c r="AV1" s="91" t="s">
        <v>164</v>
      </c>
      <c r="AW1" s="91" t="s">
        <v>165</v>
      </c>
      <c r="AX1" s="91" t="s">
        <v>166</v>
      </c>
      <c r="AY1" s="91" t="s">
        <v>167</v>
      </c>
      <c r="AZ1" s="91" t="s">
        <v>66</v>
      </c>
      <c r="BA1" s="91" t="s">
        <v>168</v>
      </c>
      <c r="BB1" s="91" t="s">
        <v>169</v>
      </c>
      <c r="BC1" s="91" t="s">
        <v>170</v>
      </c>
      <c r="BD1" s="91" t="s">
        <v>171</v>
      </c>
      <c r="BE1" s="91" t="s">
        <v>172</v>
      </c>
      <c r="BF1" s="94" t="s">
        <v>173</v>
      </c>
      <c r="BG1" s="91" t="s">
        <v>174</v>
      </c>
      <c r="BH1" s="91" t="s">
        <v>175</v>
      </c>
      <c r="BI1" s="91" t="s">
        <v>176</v>
      </c>
      <c r="BJ1" s="91" t="s">
        <v>177</v>
      </c>
    </row>
    <row r="2" spans="1:62" x14ac:dyDescent="0.25">
      <c r="A2" s="96" t="s">
        <v>285</v>
      </c>
      <c r="B2" s="96" t="s">
        <v>286</v>
      </c>
      <c r="C2" s="96" t="s">
        <v>287</v>
      </c>
      <c r="D2" s="96" t="s">
        <v>181</v>
      </c>
      <c r="E2" s="96" t="s">
        <v>180</v>
      </c>
      <c r="F2" s="96" t="s">
        <v>179</v>
      </c>
      <c r="H2" s="96" t="s">
        <v>288</v>
      </c>
      <c r="I2" s="97">
        <v>2199</v>
      </c>
      <c r="J2" s="96" t="s">
        <v>180</v>
      </c>
      <c r="K2" s="96" t="s">
        <v>180</v>
      </c>
      <c r="L2" s="97">
        <v>2</v>
      </c>
      <c r="M2" s="97">
        <v>10</v>
      </c>
      <c r="N2" s="97">
        <v>20</v>
      </c>
      <c r="O2" s="97">
        <v>0</v>
      </c>
      <c r="P2" s="97">
        <v>262098</v>
      </c>
      <c r="Q2" s="97">
        <v>1</v>
      </c>
      <c r="R2" s="97">
        <v>0</v>
      </c>
      <c r="S2" s="97">
        <v>12</v>
      </c>
      <c r="T2" s="97">
        <v>7</v>
      </c>
      <c r="U2" s="97">
        <v>0</v>
      </c>
      <c r="V2" s="97">
        <v>0</v>
      </c>
      <c r="W2" s="98">
        <v>0</v>
      </c>
      <c r="X2" s="97">
        <v>0</v>
      </c>
      <c r="Y2" s="98">
        <v>0</v>
      </c>
      <c r="Z2" s="97">
        <v>0</v>
      </c>
      <c r="AA2" s="97">
        <v>0</v>
      </c>
      <c r="AB2" s="97">
        <v>0</v>
      </c>
      <c r="AC2" s="97">
        <v>0</v>
      </c>
      <c r="AD2" s="96" t="s">
        <v>180</v>
      </c>
      <c r="AE2" s="96" t="s">
        <v>180</v>
      </c>
      <c r="AG2" s="96" t="s">
        <v>276</v>
      </c>
      <c r="AH2" s="96" t="s">
        <v>289</v>
      </c>
      <c r="AI2" s="96">
        <v>1</v>
      </c>
      <c r="AJ2" s="96">
        <v>1</v>
      </c>
      <c r="AK2" s="96" t="s">
        <v>186</v>
      </c>
      <c r="AL2" s="96" t="s">
        <v>187</v>
      </c>
      <c r="AM2" s="96" t="s">
        <v>188</v>
      </c>
      <c r="AN2" s="96" t="s">
        <v>290</v>
      </c>
      <c r="AO2" s="99">
        <v>44857.295636574097</v>
      </c>
      <c r="AP2" s="96" t="s">
        <v>291</v>
      </c>
      <c r="AQ2" s="96" t="s">
        <v>179</v>
      </c>
      <c r="AR2" s="96" t="s">
        <v>292</v>
      </c>
      <c r="AS2" s="96" t="s">
        <v>292</v>
      </c>
      <c r="AT2" s="96" t="s">
        <v>293</v>
      </c>
      <c r="AU2" s="96" t="s">
        <v>180</v>
      </c>
      <c r="AV2" s="96" t="s">
        <v>189</v>
      </c>
      <c r="AW2" s="96" t="s">
        <v>189</v>
      </c>
      <c r="AX2" s="96">
        <v>0</v>
      </c>
      <c r="AY2" s="96" t="s">
        <v>190</v>
      </c>
      <c r="AZ2" s="96" t="s">
        <v>294</v>
      </c>
      <c r="BB2" s="96" t="s">
        <v>295</v>
      </c>
      <c r="BC2" s="96" t="s">
        <v>296</v>
      </c>
      <c r="BE2" s="100" t="s">
        <v>297</v>
      </c>
      <c r="BF2" s="99">
        <v>43804.791666666701</v>
      </c>
      <c r="BG2" s="96" t="s">
        <v>298</v>
      </c>
      <c r="BI2" s="96" t="s">
        <v>299</v>
      </c>
      <c r="BJ2" s="96" t="s">
        <v>299</v>
      </c>
    </row>
    <row r="3" spans="1:62" x14ac:dyDescent="0.25">
      <c r="A3" s="96" t="s">
        <v>300</v>
      </c>
      <c r="B3" s="96" t="s">
        <v>286</v>
      </c>
      <c r="D3" s="96" t="s">
        <v>181</v>
      </c>
      <c r="E3" s="96" t="s">
        <v>179</v>
      </c>
      <c r="F3" s="96" t="s">
        <v>179</v>
      </c>
      <c r="H3" s="96" t="s">
        <v>288</v>
      </c>
      <c r="I3" s="97">
        <v>2199</v>
      </c>
      <c r="J3" s="96" t="s">
        <v>180</v>
      </c>
      <c r="K3" s="96" t="s">
        <v>180</v>
      </c>
      <c r="L3" s="97">
        <v>2</v>
      </c>
      <c r="M3" s="97">
        <v>10</v>
      </c>
      <c r="N3" s="97">
        <v>20</v>
      </c>
      <c r="O3" s="97">
        <v>0</v>
      </c>
      <c r="P3" s="97">
        <v>262098</v>
      </c>
      <c r="Q3" s="97">
        <v>7</v>
      </c>
      <c r="R3" s="97">
        <v>0</v>
      </c>
      <c r="S3" s="97">
        <v>13</v>
      </c>
      <c r="T3" s="97">
        <v>6</v>
      </c>
      <c r="U3" s="97">
        <v>2</v>
      </c>
      <c r="V3" s="97">
        <v>2</v>
      </c>
      <c r="W3" s="98">
        <v>0.1</v>
      </c>
      <c r="X3" s="97">
        <v>16</v>
      </c>
      <c r="Y3" s="98">
        <v>0.8</v>
      </c>
      <c r="Z3" s="97">
        <v>16384</v>
      </c>
      <c r="AA3" s="97">
        <v>736</v>
      </c>
      <c r="AB3" s="97">
        <v>0</v>
      </c>
      <c r="AC3" s="97">
        <v>0</v>
      </c>
      <c r="AD3" s="96" t="s">
        <v>180</v>
      </c>
      <c r="AE3" s="96" t="s">
        <v>180</v>
      </c>
      <c r="AG3" s="96" t="s">
        <v>276</v>
      </c>
      <c r="AH3" s="96" t="s">
        <v>289</v>
      </c>
      <c r="AI3" s="96">
        <v>1</v>
      </c>
      <c r="AJ3" s="96">
        <v>1</v>
      </c>
      <c r="AK3" s="96" t="s">
        <v>186</v>
      </c>
      <c r="AL3" s="96" t="s">
        <v>187</v>
      </c>
      <c r="AM3" s="96" t="s">
        <v>188</v>
      </c>
      <c r="AN3" s="96" t="s">
        <v>290</v>
      </c>
      <c r="AO3" s="99">
        <v>44857.295717592599</v>
      </c>
      <c r="AP3" s="96" t="s">
        <v>291</v>
      </c>
      <c r="AQ3" s="96" t="s">
        <v>179</v>
      </c>
      <c r="AR3" s="96" t="s">
        <v>292</v>
      </c>
      <c r="AS3" s="96" t="s">
        <v>292</v>
      </c>
      <c r="AT3" s="96" t="s">
        <v>293</v>
      </c>
      <c r="AU3" s="96" t="s">
        <v>180</v>
      </c>
      <c r="AV3" s="96" t="s">
        <v>189</v>
      </c>
      <c r="AW3" s="96" t="s">
        <v>189</v>
      </c>
      <c r="AX3" s="96">
        <v>0</v>
      </c>
      <c r="AY3" s="96" t="s">
        <v>190</v>
      </c>
      <c r="AZ3" s="96" t="s">
        <v>294</v>
      </c>
      <c r="BB3" s="96" t="s">
        <v>301</v>
      </c>
      <c r="BC3" s="96" t="s">
        <v>296</v>
      </c>
      <c r="BE3" s="100" t="s">
        <v>297</v>
      </c>
      <c r="BF3" s="99">
        <v>43804.791666666701</v>
      </c>
      <c r="BG3" s="96" t="s">
        <v>302</v>
      </c>
      <c r="BI3" s="96" t="s">
        <v>299</v>
      </c>
      <c r="BJ3" s="96" t="s">
        <v>299</v>
      </c>
    </row>
    <row r="4" spans="1:62" x14ac:dyDescent="0.25">
      <c r="A4" s="96" t="s">
        <v>303</v>
      </c>
      <c r="B4" s="96" t="s">
        <v>286</v>
      </c>
      <c r="C4" s="96" t="s">
        <v>287</v>
      </c>
      <c r="D4" s="96" t="s">
        <v>181</v>
      </c>
      <c r="E4" s="96" t="s">
        <v>180</v>
      </c>
      <c r="F4" s="96" t="s">
        <v>179</v>
      </c>
      <c r="H4" s="96" t="s">
        <v>304</v>
      </c>
      <c r="I4" s="97">
        <v>2999</v>
      </c>
      <c r="J4" s="96" t="s">
        <v>180</v>
      </c>
      <c r="K4" s="96" t="s">
        <v>180</v>
      </c>
      <c r="L4" s="97">
        <v>2</v>
      </c>
      <c r="M4" s="97">
        <v>10</v>
      </c>
      <c r="N4" s="97">
        <v>20</v>
      </c>
      <c r="O4" s="97">
        <v>0</v>
      </c>
      <c r="P4" s="97">
        <v>393170</v>
      </c>
      <c r="Q4" s="97">
        <v>1</v>
      </c>
      <c r="R4" s="97">
        <v>0</v>
      </c>
      <c r="S4" s="97">
        <v>12</v>
      </c>
      <c r="T4" s="97">
        <v>6</v>
      </c>
      <c r="U4" s="97">
        <v>0</v>
      </c>
      <c r="V4" s="97">
        <v>0</v>
      </c>
      <c r="W4" s="98">
        <v>0</v>
      </c>
      <c r="X4" s="97">
        <v>0</v>
      </c>
      <c r="Y4" s="98">
        <v>0</v>
      </c>
      <c r="Z4" s="97">
        <v>0</v>
      </c>
      <c r="AA4" s="97">
        <v>0</v>
      </c>
      <c r="AB4" s="97">
        <v>0</v>
      </c>
      <c r="AC4" s="97">
        <v>0</v>
      </c>
      <c r="AD4" s="96" t="s">
        <v>180</v>
      </c>
      <c r="AE4" s="96" t="s">
        <v>180</v>
      </c>
      <c r="AG4" s="96" t="s">
        <v>276</v>
      </c>
      <c r="AH4" s="96" t="s">
        <v>289</v>
      </c>
      <c r="AI4" s="96">
        <v>1</v>
      </c>
      <c r="AJ4" s="96">
        <v>1</v>
      </c>
      <c r="AK4" s="96" t="s">
        <v>186</v>
      </c>
      <c r="AL4" s="96" t="s">
        <v>187</v>
      </c>
      <c r="AM4" s="96" t="s">
        <v>188</v>
      </c>
      <c r="AN4" s="96" t="s">
        <v>290</v>
      </c>
      <c r="AO4" s="99">
        <v>44857.295405092598</v>
      </c>
      <c r="AP4" s="96" t="s">
        <v>291</v>
      </c>
      <c r="AQ4" s="96" t="s">
        <v>179</v>
      </c>
      <c r="AR4" s="96" t="s">
        <v>292</v>
      </c>
      <c r="AS4" s="96" t="s">
        <v>292</v>
      </c>
      <c r="AT4" s="96" t="s">
        <v>293</v>
      </c>
      <c r="AU4" s="96" t="s">
        <v>180</v>
      </c>
      <c r="AV4" s="96" t="s">
        <v>189</v>
      </c>
      <c r="AW4" s="96" t="s">
        <v>189</v>
      </c>
      <c r="AX4" s="96">
        <v>0</v>
      </c>
      <c r="AY4" s="96" t="s">
        <v>190</v>
      </c>
      <c r="AZ4" s="96" t="s">
        <v>294</v>
      </c>
      <c r="BB4" s="96" t="s">
        <v>305</v>
      </c>
      <c r="BC4" s="96" t="s">
        <v>296</v>
      </c>
      <c r="BE4" s="100" t="s">
        <v>297</v>
      </c>
      <c r="BF4" s="99">
        <v>43804.791666666701</v>
      </c>
      <c r="BG4" s="96" t="s">
        <v>306</v>
      </c>
      <c r="BI4" s="96" t="s">
        <v>299</v>
      </c>
      <c r="BJ4" s="96" t="s">
        <v>299</v>
      </c>
    </row>
    <row r="5" spans="1:62" x14ac:dyDescent="0.25">
      <c r="A5" s="96" t="s">
        <v>307</v>
      </c>
      <c r="B5" s="96" t="s">
        <v>286</v>
      </c>
      <c r="C5" s="96" t="s">
        <v>287</v>
      </c>
      <c r="D5" s="96" t="s">
        <v>181</v>
      </c>
      <c r="E5" s="96" t="s">
        <v>180</v>
      </c>
      <c r="F5" s="96" t="s">
        <v>179</v>
      </c>
      <c r="H5" s="96" t="s">
        <v>304</v>
      </c>
      <c r="I5" s="97">
        <v>2999</v>
      </c>
      <c r="J5" s="96" t="s">
        <v>180</v>
      </c>
      <c r="K5" s="96" t="s">
        <v>180</v>
      </c>
      <c r="L5" s="97">
        <v>2</v>
      </c>
      <c r="M5" s="97">
        <v>10</v>
      </c>
      <c r="N5" s="97">
        <v>20</v>
      </c>
      <c r="O5" s="97">
        <v>0</v>
      </c>
      <c r="P5" s="97">
        <v>393170</v>
      </c>
      <c r="Q5" s="97">
        <v>1</v>
      </c>
      <c r="R5" s="97">
        <v>0</v>
      </c>
      <c r="S5" s="97">
        <v>12</v>
      </c>
      <c r="T5" s="97">
        <v>6</v>
      </c>
      <c r="U5" s="97">
        <v>0</v>
      </c>
      <c r="V5" s="97">
        <v>0</v>
      </c>
      <c r="W5" s="98">
        <v>0</v>
      </c>
      <c r="X5" s="97">
        <v>0</v>
      </c>
      <c r="Y5" s="98">
        <v>0</v>
      </c>
      <c r="Z5" s="97">
        <v>0</v>
      </c>
      <c r="AA5" s="97">
        <v>0</v>
      </c>
      <c r="AB5" s="97">
        <v>0</v>
      </c>
      <c r="AC5" s="97">
        <v>0</v>
      </c>
      <c r="AD5" s="96" t="s">
        <v>180</v>
      </c>
      <c r="AE5" s="96" t="s">
        <v>180</v>
      </c>
      <c r="AG5" s="96" t="s">
        <v>276</v>
      </c>
      <c r="AH5" s="96" t="s">
        <v>289</v>
      </c>
      <c r="AI5" s="96">
        <v>1</v>
      </c>
      <c r="AJ5" s="96">
        <v>1</v>
      </c>
      <c r="AK5" s="96" t="s">
        <v>186</v>
      </c>
      <c r="AL5" s="96" t="s">
        <v>187</v>
      </c>
      <c r="AM5" s="96" t="s">
        <v>188</v>
      </c>
      <c r="AN5" s="96" t="s">
        <v>290</v>
      </c>
      <c r="AO5" s="99">
        <v>44857.2953935185</v>
      </c>
      <c r="AP5" s="96" t="s">
        <v>291</v>
      </c>
      <c r="AQ5" s="96" t="s">
        <v>179</v>
      </c>
      <c r="AR5" s="96" t="s">
        <v>292</v>
      </c>
      <c r="AS5" s="96" t="s">
        <v>292</v>
      </c>
      <c r="AT5" s="96" t="s">
        <v>293</v>
      </c>
      <c r="AU5" s="96" t="s">
        <v>180</v>
      </c>
      <c r="AV5" s="96" t="s">
        <v>189</v>
      </c>
      <c r="AW5" s="96" t="s">
        <v>189</v>
      </c>
      <c r="AX5" s="96">
        <v>0</v>
      </c>
      <c r="AY5" s="96" t="s">
        <v>190</v>
      </c>
      <c r="AZ5" s="96" t="s">
        <v>294</v>
      </c>
      <c r="BB5" s="96" t="s">
        <v>308</v>
      </c>
      <c r="BC5" s="96" t="s">
        <v>296</v>
      </c>
      <c r="BE5" s="100" t="s">
        <v>297</v>
      </c>
      <c r="BF5" s="99">
        <v>43804.791666666701</v>
      </c>
      <c r="BG5" s="96" t="s">
        <v>309</v>
      </c>
      <c r="BI5" s="96" t="s">
        <v>299</v>
      </c>
      <c r="BJ5" s="96" t="s">
        <v>299</v>
      </c>
    </row>
    <row r="6" spans="1:62" x14ac:dyDescent="0.25">
      <c r="A6" s="96" t="s">
        <v>310</v>
      </c>
      <c r="B6" s="96" t="s">
        <v>286</v>
      </c>
      <c r="C6" s="96" t="s">
        <v>287</v>
      </c>
      <c r="D6" s="96" t="s">
        <v>181</v>
      </c>
      <c r="E6" s="96" t="s">
        <v>180</v>
      </c>
      <c r="F6" s="96" t="s">
        <v>179</v>
      </c>
      <c r="H6" s="96" t="s">
        <v>288</v>
      </c>
      <c r="I6" s="97">
        <v>2199</v>
      </c>
      <c r="J6" s="96" t="s">
        <v>180</v>
      </c>
      <c r="K6" s="96" t="s">
        <v>180</v>
      </c>
      <c r="L6" s="97">
        <v>2</v>
      </c>
      <c r="M6" s="97">
        <v>10</v>
      </c>
      <c r="N6" s="97">
        <v>20</v>
      </c>
      <c r="O6" s="97">
        <v>0</v>
      </c>
      <c r="P6" s="97">
        <v>262098</v>
      </c>
      <c r="Q6" s="97">
        <v>1</v>
      </c>
      <c r="R6" s="97">
        <v>0</v>
      </c>
      <c r="S6" s="97">
        <v>12</v>
      </c>
      <c r="T6" s="97">
        <v>7</v>
      </c>
      <c r="U6" s="97">
        <v>0</v>
      </c>
      <c r="V6" s="97">
        <v>0</v>
      </c>
      <c r="W6" s="98">
        <v>0</v>
      </c>
      <c r="X6" s="97">
        <v>0</v>
      </c>
      <c r="Y6" s="98">
        <v>0</v>
      </c>
      <c r="Z6" s="97">
        <v>0</v>
      </c>
      <c r="AA6" s="97">
        <v>0</v>
      </c>
      <c r="AB6" s="97">
        <v>0</v>
      </c>
      <c r="AC6" s="97">
        <v>0</v>
      </c>
      <c r="AD6" s="96" t="s">
        <v>180</v>
      </c>
      <c r="AE6" s="96" t="s">
        <v>180</v>
      </c>
      <c r="AG6" s="96" t="s">
        <v>276</v>
      </c>
      <c r="AH6" s="96" t="s">
        <v>289</v>
      </c>
      <c r="AI6" s="96">
        <v>1</v>
      </c>
      <c r="AJ6" s="96">
        <v>1</v>
      </c>
      <c r="AK6" s="96" t="s">
        <v>186</v>
      </c>
      <c r="AL6" s="96" t="s">
        <v>187</v>
      </c>
      <c r="AM6" s="96" t="s">
        <v>188</v>
      </c>
      <c r="AN6" s="96" t="s">
        <v>290</v>
      </c>
      <c r="AO6" s="99">
        <v>44857.366770833301</v>
      </c>
      <c r="AP6" s="96" t="s">
        <v>291</v>
      </c>
      <c r="AQ6" s="96" t="s">
        <v>179</v>
      </c>
      <c r="AR6" s="96" t="s">
        <v>292</v>
      </c>
      <c r="AS6" s="96" t="s">
        <v>292</v>
      </c>
      <c r="AT6" s="96" t="s">
        <v>293</v>
      </c>
      <c r="AU6" s="96" t="s">
        <v>180</v>
      </c>
      <c r="AV6" s="96" t="s">
        <v>189</v>
      </c>
      <c r="AW6" s="96" t="s">
        <v>189</v>
      </c>
      <c r="AX6" s="96">
        <v>0</v>
      </c>
      <c r="AY6" s="96" t="s">
        <v>190</v>
      </c>
      <c r="AZ6" s="96" t="s">
        <v>294</v>
      </c>
      <c r="BB6" s="96" t="s">
        <v>311</v>
      </c>
      <c r="BC6" s="96" t="s">
        <v>296</v>
      </c>
      <c r="BE6" s="100" t="s">
        <v>297</v>
      </c>
      <c r="BF6" s="99">
        <v>43804.791666666701</v>
      </c>
      <c r="BG6" s="96" t="s">
        <v>312</v>
      </c>
      <c r="BI6" s="96" t="s">
        <v>299</v>
      </c>
      <c r="BJ6" s="96" t="s">
        <v>299</v>
      </c>
    </row>
    <row r="7" spans="1:62" x14ac:dyDescent="0.25">
      <c r="A7" s="96" t="s">
        <v>313</v>
      </c>
      <c r="B7" s="96" t="s">
        <v>286</v>
      </c>
      <c r="C7" s="96" t="s">
        <v>287</v>
      </c>
      <c r="D7" s="96" t="s">
        <v>181</v>
      </c>
      <c r="E7" s="96" t="s">
        <v>180</v>
      </c>
      <c r="F7" s="96" t="s">
        <v>179</v>
      </c>
      <c r="H7" s="96" t="s">
        <v>314</v>
      </c>
      <c r="I7" s="97">
        <v>2799</v>
      </c>
      <c r="J7" s="96" t="s">
        <v>180</v>
      </c>
      <c r="K7" s="96" t="s">
        <v>180</v>
      </c>
      <c r="L7" s="97">
        <v>2</v>
      </c>
      <c r="M7" s="97">
        <v>10</v>
      </c>
      <c r="N7" s="97">
        <v>20</v>
      </c>
      <c r="O7" s="97">
        <v>0</v>
      </c>
      <c r="P7" s="97">
        <v>262098</v>
      </c>
      <c r="Q7" s="97">
        <v>1</v>
      </c>
      <c r="R7" s="97">
        <v>0</v>
      </c>
      <c r="S7" s="97">
        <v>12</v>
      </c>
      <c r="T7" s="97">
        <v>7</v>
      </c>
      <c r="U7" s="97">
        <v>0</v>
      </c>
      <c r="V7" s="97">
        <v>0</v>
      </c>
      <c r="W7" s="98">
        <v>0</v>
      </c>
      <c r="X7" s="97">
        <v>0</v>
      </c>
      <c r="Y7" s="98">
        <v>0</v>
      </c>
      <c r="Z7" s="97">
        <v>0</v>
      </c>
      <c r="AA7" s="97">
        <v>0</v>
      </c>
      <c r="AB7" s="97">
        <v>0</v>
      </c>
      <c r="AC7" s="97">
        <v>0</v>
      </c>
      <c r="AD7" s="96" t="s">
        <v>180</v>
      </c>
      <c r="AE7" s="96" t="s">
        <v>180</v>
      </c>
      <c r="AG7" s="96" t="s">
        <v>276</v>
      </c>
      <c r="AH7" s="96" t="s">
        <v>289</v>
      </c>
      <c r="AI7" s="96">
        <v>1</v>
      </c>
      <c r="AJ7" s="96">
        <v>1</v>
      </c>
      <c r="AK7" s="96" t="s">
        <v>186</v>
      </c>
      <c r="AL7" s="96" t="s">
        <v>187</v>
      </c>
      <c r="AM7" s="96" t="s">
        <v>188</v>
      </c>
      <c r="AN7" s="96" t="s">
        <v>290</v>
      </c>
      <c r="AO7" s="99">
        <v>44857.366631944402</v>
      </c>
      <c r="AP7" s="96" t="s">
        <v>291</v>
      </c>
      <c r="AQ7" s="96" t="s">
        <v>179</v>
      </c>
      <c r="AR7" s="96" t="s">
        <v>292</v>
      </c>
      <c r="AS7" s="96" t="s">
        <v>292</v>
      </c>
      <c r="AT7" s="96" t="s">
        <v>293</v>
      </c>
      <c r="AU7" s="96" t="s">
        <v>180</v>
      </c>
      <c r="AV7" s="96" t="s">
        <v>189</v>
      </c>
      <c r="AW7" s="96" t="s">
        <v>189</v>
      </c>
      <c r="AX7" s="96">
        <v>0</v>
      </c>
      <c r="AY7" s="96" t="s">
        <v>190</v>
      </c>
      <c r="AZ7" s="96" t="s">
        <v>294</v>
      </c>
      <c r="BB7" s="96" t="s">
        <v>315</v>
      </c>
      <c r="BC7" s="96" t="s">
        <v>296</v>
      </c>
      <c r="BE7" s="100" t="s">
        <v>297</v>
      </c>
      <c r="BF7" s="99">
        <v>43804.791666666701</v>
      </c>
      <c r="BG7" s="96" t="s">
        <v>316</v>
      </c>
      <c r="BI7" s="96" t="s">
        <v>299</v>
      </c>
      <c r="BJ7" s="96" t="s">
        <v>299</v>
      </c>
    </row>
    <row r="8" spans="1:62" x14ac:dyDescent="0.25">
      <c r="A8" s="96" t="s">
        <v>317</v>
      </c>
      <c r="B8" s="96" t="s">
        <v>286</v>
      </c>
      <c r="C8" s="96" t="s">
        <v>318</v>
      </c>
      <c r="D8" s="96" t="s">
        <v>181</v>
      </c>
      <c r="E8" s="96" t="s">
        <v>180</v>
      </c>
      <c r="F8" s="96" t="s">
        <v>179</v>
      </c>
      <c r="H8" s="96" t="s">
        <v>319</v>
      </c>
      <c r="I8" s="97">
        <v>2599</v>
      </c>
      <c r="J8" s="96" t="s">
        <v>180</v>
      </c>
      <c r="K8" s="96" t="s">
        <v>180</v>
      </c>
      <c r="L8" s="97">
        <v>2</v>
      </c>
      <c r="M8" s="97">
        <v>12</v>
      </c>
      <c r="N8" s="97">
        <v>24</v>
      </c>
      <c r="O8" s="97">
        <v>0</v>
      </c>
      <c r="P8" s="97">
        <v>524194</v>
      </c>
      <c r="Q8" s="97">
        <v>0</v>
      </c>
      <c r="R8" s="97">
        <v>0</v>
      </c>
      <c r="S8" s="97">
        <v>12</v>
      </c>
      <c r="T8" s="97">
        <v>7</v>
      </c>
      <c r="U8" s="97">
        <v>0</v>
      </c>
      <c r="V8" s="97">
        <v>0</v>
      </c>
      <c r="W8" s="98">
        <v>0</v>
      </c>
      <c r="X8" s="97">
        <v>0</v>
      </c>
      <c r="Y8" s="98">
        <v>0</v>
      </c>
      <c r="Z8" s="97">
        <v>0</v>
      </c>
      <c r="AA8" s="97">
        <v>0</v>
      </c>
      <c r="AB8" s="97">
        <v>0</v>
      </c>
      <c r="AC8" s="97">
        <v>0</v>
      </c>
      <c r="AD8" s="96" t="s">
        <v>180</v>
      </c>
      <c r="AE8" s="96" t="s">
        <v>180</v>
      </c>
      <c r="AF8" s="96" t="s">
        <v>278</v>
      </c>
      <c r="AG8" s="96" t="s">
        <v>275</v>
      </c>
      <c r="AH8" s="96" t="s">
        <v>320</v>
      </c>
      <c r="AI8" s="96">
        <v>1</v>
      </c>
      <c r="AJ8" s="96">
        <v>1</v>
      </c>
      <c r="AK8" s="96" t="s">
        <v>186</v>
      </c>
      <c r="AM8" s="96" t="s">
        <v>188</v>
      </c>
      <c r="AN8" s="96" t="s">
        <v>321</v>
      </c>
      <c r="AO8" s="99">
        <v>44857.366631944402</v>
      </c>
      <c r="AP8" s="96" t="s">
        <v>291</v>
      </c>
      <c r="AQ8" s="96" t="s">
        <v>179</v>
      </c>
      <c r="AR8" s="96" t="s">
        <v>292</v>
      </c>
      <c r="AS8" s="96" t="s">
        <v>292</v>
      </c>
      <c r="AT8" s="96" t="s">
        <v>293</v>
      </c>
      <c r="AU8" s="96" t="s">
        <v>180</v>
      </c>
      <c r="AV8" s="96" t="s">
        <v>189</v>
      </c>
      <c r="AW8" s="96" t="s">
        <v>189</v>
      </c>
      <c r="AX8" s="96">
        <v>0</v>
      </c>
      <c r="AY8" s="96" t="s">
        <v>190</v>
      </c>
      <c r="AZ8" s="96" t="s">
        <v>322</v>
      </c>
      <c r="BB8" s="96" t="s">
        <v>323</v>
      </c>
      <c r="BC8" s="96" t="s">
        <v>192</v>
      </c>
      <c r="BE8" s="100" t="s">
        <v>324</v>
      </c>
      <c r="BF8" s="99">
        <v>43770.833333333299</v>
      </c>
      <c r="BG8" s="96" t="s">
        <v>325</v>
      </c>
      <c r="BI8" s="96" t="s">
        <v>299</v>
      </c>
      <c r="BJ8" s="96" t="s">
        <v>299</v>
      </c>
    </row>
    <row r="9" spans="1:62" x14ac:dyDescent="0.25">
      <c r="A9" s="96" t="s">
        <v>326</v>
      </c>
      <c r="B9" s="96" t="s">
        <v>286</v>
      </c>
      <c r="C9" s="96" t="s">
        <v>318</v>
      </c>
      <c r="D9" s="96" t="s">
        <v>181</v>
      </c>
      <c r="E9" s="96" t="s">
        <v>180</v>
      </c>
      <c r="F9" s="96" t="s">
        <v>179</v>
      </c>
      <c r="H9" s="96" t="s">
        <v>319</v>
      </c>
      <c r="I9" s="97">
        <v>2599</v>
      </c>
      <c r="J9" s="96" t="s">
        <v>180</v>
      </c>
      <c r="K9" s="96" t="s">
        <v>180</v>
      </c>
      <c r="L9" s="97">
        <v>2</v>
      </c>
      <c r="M9" s="97">
        <v>12</v>
      </c>
      <c r="N9" s="97">
        <v>24</v>
      </c>
      <c r="O9" s="97">
        <v>0</v>
      </c>
      <c r="P9" s="97">
        <v>524194</v>
      </c>
      <c r="Q9" s="97">
        <v>0</v>
      </c>
      <c r="R9" s="97">
        <v>0</v>
      </c>
      <c r="S9" s="97">
        <v>12</v>
      </c>
      <c r="T9" s="97">
        <v>7</v>
      </c>
      <c r="U9" s="97">
        <v>0</v>
      </c>
      <c r="V9" s="97">
        <v>0</v>
      </c>
      <c r="W9" s="98">
        <v>0</v>
      </c>
      <c r="X9" s="97">
        <v>0</v>
      </c>
      <c r="Y9" s="98">
        <v>0</v>
      </c>
      <c r="Z9" s="97">
        <v>0</v>
      </c>
      <c r="AA9" s="97">
        <v>0</v>
      </c>
      <c r="AB9" s="97">
        <v>0</v>
      </c>
      <c r="AC9" s="97">
        <v>0</v>
      </c>
      <c r="AD9" s="96" t="s">
        <v>180</v>
      </c>
      <c r="AE9" s="96" t="s">
        <v>180</v>
      </c>
      <c r="AF9" s="96" t="s">
        <v>278</v>
      </c>
      <c r="AG9" s="96" t="s">
        <v>275</v>
      </c>
      <c r="AH9" s="96" t="s">
        <v>320</v>
      </c>
      <c r="AI9" s="96">
        <v>1</v>
      </c>
      <c r="AJ9" s="96">
        <v>1</v>
      </c>
      <c r="AK9" s="96" t="s">
        <v>186</v>
      </c>
      <c r="AM9" s="96" t="s">
        <v>188</v>
      </c>
      <c r="AN9" s="96" t="s">
        <v>321</v>
      </c>
      <c r="AO9" s="99">
        <v>44857.3662847222</v>
      </c>
      <c r="AP9" s="96" t="s">
        <v>291</v>
      </c>
      <c r="AQ9" s="96" t="s">
        <v>179</v>
      </c>
      <c r="AR9" s="96" t="s">
        <v>292</v>
      </c>
      <c r="AS9" s="96" t="s">
        <v>292</v>
      </c>
      <c r="AT9" s="96" t="s">
        <v>293</v>
      </c>
      <c r="AU9" s="96" t="s">
        <v>180</v>
      </c>
      <c r="AV9" s="96" t="s">
        <v>189</v>
      </c>
      <c r="AW9" s="96" t="s">
        <v>189</v>
      </c>
      <c r="AX9" s="96">
        <v>0</v>
      </c>
      <c r="AY9" s="96" t="s">
        <v>190</v>
      </c>
      <c r="AZ9" s="96" t="s">
        <v>322</v>
      </c>
      <c r="BB9" s="96" t="s">
        <v>327</v>
      </c>
      <c r="BC9" s="96" t="s">
        <v>192</v>
      </c>
      <c r="BE9" s="100" t="s">
        <v>324</v>
      </c>
      <c r="BF9" s="99">
        <v>43770.833333333299</v>
      </c>
      <c r="BG9" s="96" t="s">
        <v>328</v>
      </c>
      <c r="BI9" s="96" t="s">
        <v>299</v>
      </c>
      <c r="BJ9" s="96" t="s">
        <v>299</v>
      </c>
    </row>
    <row r="10" spans="1:62" x14ac:dyDescent="0.25">
      <c r="A10" s="96" t="s">
        <v>329</v>
      </c>
      <c r="B10" s="96" t="s">
        <v>286</v>
      </c>
      <c r="C10" s="96" t="s">
        <v>318</v>
      </c>
      <c r="D10" s="96" t="s">
        <v>184</v>
      </c>
      <c r="E10" s="96" t="s">
        <v>179</v>
      </c>
      <c r="F10" s="96" t="s">
        <v>179</v>
      </c>
      <c r="H10" s="96" t="s">
        <v>330</v>
      </c>
      <c r="I10" s="97">
        <v>3192</v>
      </c>
      <c r="J10" s="96" t="s">
        <v>180</v>
      </c>
      <c r="K10" s="96" t="s">
        <v>180</v>
      </c>
      <c r="L10" s="97">
        <v>2</v>
      </c>
      <c r="M10" s="97">
        <v>8</v>
      </c>
      <c r="N10" s="97">
        <v>16</v>
      </c>
      <c r="O10" s="97">
        <v>31</v>
      </c>
      <c r="P10" s="97">
        <v>523892</v>
      </c>
      <c r="Q10" s="97">
        <v>58</v>
      </c>
      <c r="R10" s="97">
        <v>0</v>
      </c>
      <c r="S10" s="97">
        <v>12</v>
      </c>
      <c r="T10" s="97">
        <v>7</v>
      </c>
      <c r="U10" s="97">
        <v>24</v>
      </c>
      <c r="V10" s="97">
        <v>23</v>
      </c>
      <c r="W10" s="98">
        <v>1.4375</v>
      </c>
      <c r="X10" s="97">
        <v>93</v>
      </c>
      <c r="Y10" s="98">
        <v>5.8125</v>
      </c>
      <c r="Z10" s="97">
        <v>329524</v>
      </c>
      <c r="AA10" s="97">
        <v>34678</v>
      </c>
      <c r="AB10" s="97">
        <v>0</v>
      </c>
      <c r="AC10" s="97">
        <v>0</v>
      </c>
      <c r="AD10" s="96" t="s">
        <v>180</v>
      </c>
      <c r="AE10" s="96" t="s">
        <v>180</v>
      </c>
      <c r="AF10" s="96" t="s">
        <v>278</v>
      </c>
      <c r="AG10" s="96" t="s">
        <v>183</v>
      </c>
      <c r="AH10" s="96" t="s">
        <v>320</v>
      </c>
      <c r="AI10" s="96">
        <v>1</v>
      </c>
      <c r="AJ10" s="96">
        <v>1</v>
      </c>
      <c r="AK10" s="96" t="s">
        <v>186</v>
      </c>
      <c r="AL10" s="96" t="s">
        <v>187</v>
      </c>
      <c r="AM10" s="96" t="s">
        <v>188</v>
      </c>
      <c r="AN10" s="96" t="s">
        <v>321</v>
      </c>
      <c r="AO10" s="99">
        <v>44857.367152777799</v>
      </c>
      <c r="AP10" s="96" t="s">
        <v>291</v>
      </c>
      <c r="AQ10" s="96" t="s">
        <v>179</v>
      </c>
      <c r="AR10" s="96" t="s">
        <v>292</v>
      </c>
      <c r="AS10" s="96" t="s">
        <v>292</v>
      </c>
      <c r="AT10" s="96" t="s">
        <v>293</v>
      </c>
      <c r="AU10" s="96" t="s">
        <v>180</v>
      </c>
      <c r="AV10" s="96" t="s">
        <v>189</v>
      </c>
      <c r="AW10" s="96" t="s">
        <v>189</v>
      </c>
      <c r="AX10" s="96">
        <v>0</v>
      </c>
      <c r="AY10" s="96" t="s">
        <v>190</v>
      </c>
      <c r="AZ10" s="96" t="s">
        <v>331</v>
      </c>
      <c r="BB10" s="96" t="s">
        <v>332</v>
      </c>
      <c r="BC10" s="96" t="s">
        <v>192</v>
      </c>
      <c r="BE10" s="100" t="s">
        <v>333</v>
      </c>
      <c r="BF10" s="99">
        <v>44726.833333333299</v>
      </c>
      <c r="BG10" s="96" t="s">
        <v>334</v>
      </c>
      <c r="BI10" s="96" t="s">
        <v>299</v>
      </c>
      <c r="BJ10" s="96" t="s">
        <v>299</v>
      </c>
    </row>
    <row r="11" spans="1:62" x14ac:dyDescent="0.25">
      <c r="A11" s="96" t="s">
        <v>335</v>
      </c>
      <c r="B11" s="96" t="s">
        <v>336</v>
      </c>
      <c r="C11" s="96" t="s">
        <v>337</v>
      </c>
      <c r="D11" s="96" t="s">
        <v>181</v>
      </c>
      <c r="E11" s="96" t="s">
        <v>179</v>
      </c>
      <c r="F11" s="96" t="s">
        <v>179</v>
      </c>
      <c r="H11" s="96" t="s">
        <v>338</v>
      </c>
      <c r="I11" s="97">
        <v>2095</v>
      </c>
      <c r="J11" s="96" t="s">
        <v>180</v>
      </c>
      <c r="K11" s="96" t="s">
        <v>180</v>
      </c>
      <c r="L11" s="97">
        <v>2</v>
      </c>
      <c r="M11" s="97">
        <v>18</v>
      </c>
      <c r="N11" s="97">
        <v>36</v>
      </c>
      <c r="O11" s="97">
        <v>8</v>
      </c>
      <c r="P11" s="97">
        <v>524192</v>
      </c>
      <c r="Q11" s="97">
        <v>13</v>
      </c>
      <c r="R11" s="97">
        <v>0</v>
      </c>
      <c r="S11" s="97">
        <v>6</v>
      </c>
      <c r="T11" s="97">
        <v>18</v>
      </c>
      <c r="U11" s="97">
        <v>3</v>
      </c>
      <c r="V11" s="97">
        <v>3</v>
      </c>
      <c r="W11" s="98">
        <v>8.3333333333333301E-2</v>
      </c>
      <c r="X11" s="97">
        <v>14</v>
      </c>
      <c r="Y11" s="98">
        <v>0.38888888888888901</v>
      </c>
      <c r="Z11" s="97">
        <v>65536</v>
      </c>
      <c r="AA11" s="97">
        <v>26541</v>
      </c>
      <c r="AB11" s="97">
        <v>0</v>
      </c>
      <c r="AC11" s="97">
        <v>0</v>
      </c>
      <c r="AD11" s="96" t="s">
        <v>180</v>
      </c>
      <c r="AE11" s="96" t="s">
        <v>180</v>
      </c>
      <c r="AG11" s="96" t="s">
        <v>182</v>
      </c>
      <c r="AH11" s="96" t="s">
        <v>320</v>
      </c>
      <c r="AI11" s="96">
        <v>1</v>
      </c>
      <c r="AJ11" s="96">
        <v>1</v>
      </c>
      <c r="AK11" s="96" t="s">
        <v>186</v>
      </c>
      <c r="AM11" s="96" t="s">
        <v>188</v>
      </c>
      <c r="AN11" s="96" t="s">
        <v>321</v>
      </c>
      <c r="AO11" s="99">
        <v>44842.671342592599</v>
      </c>
      <c r="AP11" s="96" t="s">
        <v>339</v>
      </c>
      <c r="AQ11" s="96" t="s">
        <v>179</v>
      </c>
      <c r="AR11" s="96" t="s">
        <v>340</v>
      </c>
      <c r="AS11" s="96" t="s">
        <v>340</v>
      </c>
      <c r="AT11" s="96" t="s">
        <v>341</v>
      </c>
      <c r="AU11" s="96" t="s">
        <v>180</v>
      </c>
      <c r="AV11" s="96" t="s">
        <v>189</v>
      </c>
      <c r="AW11" s="96" t="s">
        <v>189</v>
      </c>
      <c r="AX11" s="96">
        <v>0</v>
      </c>
      <c r="AY11" s="96" t="s">
        <v>190</v>
      </c>
      <c r="AZ11" s="96" t="s">
        <v>342</v>
      </c>
      <c r="BB11" s="96" t="s">
        <v>343</v>
      </c>
      <c r="BC11" s="96" t="s">
        <v>192</v>
      </c>
      <c r="BE11" s="100" t="s">
        <v>344</v>
      </c>
      <c r="BF11" s="99">
        <v>44746.833333333299</v>
      </c>
      <c r="BG11" s="96" t="s">
        <v>345</v>
      </c>
      <c r="BI11" s="96" t="s">
        <v>299</v>
      </c>
      <c r="BJ11" s="96" t="s">
        <v>299</v>
      </c>
    </row>
    <row r="12" spans="1:62" x14ac:dyDescent="0.25">
      <c r="A12" s="96" t="s">
        <v>346</v>
      </c>
      <c r="B12" s="96" t="s">
        <v>336</v>
      </c>
      <c r="C12" s="96" t="s">
        <v>337</v>
      </c>
      <c r="D12" s="96" t="s">
        <v>181</v>
      </c>
      <c r="E12" s="96" t="s">
        <v>179</v>
      </c>
      <c r="F12" s="96" t="s">
        <v>179</v>
      </c>
      <c r="H12" s="96" t="s">
        <v>338</v>
      </c>
      <c r="I12" s="97">
        <v>2095</v>
      </c>
      <c r="J12" s="96" t="s">
        <v>180</v>
      </c>
      <c r="K12" s="96" t="s">
        <v>180</v>
      </c>
      <c r="L12" s="97">
        <v>2</v>
      </c>
      <c r="M12" s="97">
        <v>18</v>
      </c>
      <c r="N12" s="97">
        <v>36</v>
      </c>
      <c r="O12" s="97">
        <v>0</v>
      </c>
      <c r="P12" s="97">
        <v>524192</v>
      </c>
      <c r="Q12" s="97">
        <v>1</v>
      </c>
      <c r="R12" s="97">
        <v>0</v>
      </c>
      <c r="S12" s="97">
        <v>6</v>
      </c>
      <c r="T12" s="97">
        <v>16</v>
      </c>
      <c r="U12" s="97">
        <v>0</v>
      </c>
      <c r="V12" s="97">
        <v>0</v>
      </c>
      <c r="W12" s="98">
        <v>0</v>
      </c>
      <c r="X12" s="97">
        <v>0</v>
      </c>
      <c r="Y12" s="98">
        <v>0</v>
      </c>
      <c r="Z12" s="97">
        <v>0</v>
      </c>
      <c r="AA12" s="97">
        <v>0</v>
      </c>
      <c r="AB12" s="97">
        <v>0</v>
      </c>
      <c r="AC12" s="97">
        <v>0</v>
      </c>
      <c r="AD12" s="96" t="s">
        <v>180</v>
      </c>
      <c r="AE12" s="96" t="s">
        <v>180</v>
      </c>
      <c r="AG12" s="96" t="s">
        <v>182</v>
      </c>
      <c r="AH12" s="96" t="s">
        <v>320</v>
      </c>
      <c r="AI12" s="96">
        <v>1</v>
      </c>
      <c r="AJ12" s="96">
        <v>1</v>
      </c>
      <c r="AK12" s="96" t="s">
        <v>186</v>
      </c>
      <c r="AM12" s="96" t="s">
        <v>188</v>
      </c>
      <c r="AN12" s="96" t="s">
        <v>321</v>
      </c>
      <c r="AO12" s="99">
        <v>44842.671215277798</v>
      </c>
      <c r="AP12" s="96" t="s">
        <v>339</v>
      </c>
      <c r="AQ12" s="96" t="s">
        <v>179</v>
      </c>
      <c r="AR12" s="96" t="s">
        <v>340</v>
      </c>
      <c r="AS12" s="96" t="s">
        <v>340</v>
      </c>
      <c r="AT12" s="96" t="s">
        <v>341</v>
      </c>
      <c r="AU12" s="96" t="s">
        <v>180</v>
      </c>
      <c r="AV12" s="96" t="s">
        <v>189</v>
      </c>
      <c r="AW12" s="96" t="s">
        <v>189</v>
      </c>
      <c r="AX12" s="96">
        <v>0</v>
      </c>
      <c r="AY12" s="96" t="s">
        <v>190</v>
      </c>
      <c r="AZ12" s="96" t="s">
        <v>342</v>
      </c>
      <c r="BB12" s="96" t="s">
        <v>347</v>
      </c>
      <c r="BC12" s="96" t="s">
        <v>192</v>
      </c>
      <c r="BE12" s="100" t="s">
        <v>344</v>
      </c>
      <c r="BF12" s="99">
        <v>44746.833333333299</v>
      </c>
      <c r="BG12" s="96" t="s">
        <v>348</v>
      </c>
      <c r="BI12" s="96" t="s">
        <v>299</v>
      </c>
      <c r="BJ12" s="96" t="s">
        <v>299</v>
      </c>
    </row>
    <row r="13" spans="1:62" x14ac:dyDescent="0.25">
      <c r="A13" s="96" t="s">
        <v>349</v>
      </c>
      <c r="B13" s="96" t="s">
        <v>336</v>
      </c>
      <c r="C13" s="96" t="s">
        <v>337</v>
      </c>
      <c r="D13" s="96" t="s">
        <v>181</v>
      </c>
      <c r="E13" s="96" t="s">
        <v>179</v>
      </c>
      <c r="F13" s="96" t="s">
        <v>179</v>
      </c>
      <c r="H13" s="96" t="s">
        <v>338</v>
      </c>
      <c r="I13" s="97">
        <v>2095</v>
      </c>
      <c r="J13" s="96" t="s">
        <v>180</v>
      </c>
      <c r="K13" s="96" t="s">
        <v>180</v>
      </c>
      <c r="L13" s="97">
        <v>2</v>
      </c>
      <c r="M13" s="97">
        <v>18</v>
      </c>
      <c r="N13" s="97">
        <v>36</v>
      </c>
      <c r="O13" s="97">
        <v>15</v>
      </c>
      <c r="P13" s="97">
        <v>524192</v>
      </c>
      <c r="Q13" s="97">
        <v>22</v>
      </c>
      <c r="R13" s="97">
        <v>0</v>
      </c>
      <c r="S13" s="97">
        <v>6</v>
      </c>
      <c r="T13" s="97">
        <v>15</v>
      </c>
      <c r="U13" s="97">
        <v>12</v>
      </c>
      <c r="V13" s="97">
        <v>12</v>
      </c>
      <c r="W13" s="98">
        <v>0.33333333333333298</v>
      </c>
      <c r="X13" s="97">
        <v>29</v>
      </c>
      <c r="Y13" s="98">
        <v>0.80555555555555602</v>
      </c>
      <c r="Z13" s="97">
        <v>117248</v>
      </c>
      <c r="AA13" s="97">
        <v>17838</v>
      </c>
      <c r="AB13" s="97">
        <v>0</v>
      </c>
      <c r="AC13" s="97">
        <v>0</v>
      </c>
      <c r="AD13" s="96" t="s">
        <v>180</v>
      </c>
      <c r="AE13" s="96" t="s">
        <v>180</v>
      </c>
      <c r="AG13" s="96" t="s">
        <v>182</v>
      </c>
      <c r="AH13" s="96" t="s">
        <v>320</v>
      </c>
      <c r="AI13" s="96">
        <v>1</v>
      </c>
      <c r="AJ13" s="96">
        <v>1</v>
      </c>
      <c r="AK13" s="96" t="s">
        <v>186</v>
      </c>
      <c r="AM13" s="96" t="s">
        <v>188</v>
      </c>
      <c r="AN13" s="96" t="s">
        <v>321</v>
      </c>
      <c r="AO13" s="99">
        <v>44814.2363078704</v>
      </c>
      <c r="AP13" s="96" t="s">
        <v>350</v>
      </c>
      <c r="AQ13" s="96" t="s">
        <v>179</v>
      </c>
      <c r="AR13" s="96" t="s">
        <v>340</v>
      </c>
      <c r="AS13" s="96" t="s">
        <v>340</v>
      </c>
      <c r="AU13" s="96" t="s">
        <v>179</v>
      </c>
      <c r="AV13" s="96" t="s">
        <v>189</v>
      </c>
      <c r="AW13" s="96" t="s">
        <v>189</v>
      </c>
      <c r="AX13" s="96">
        <v>0</v>
      </c>
      <c r="AY13" s="96" t="s">
        <v>190</v>
      </c>
      <c r="AZ13" s="96" t="s">
        <v>342</v>
      </c>
      <c r="BB13" s="96" t="s">
        <v>351</v>
      </c>
      <c r="BC13" s="96" t="s">
        <v>192</v>
      </c>
      <c r="BE13" s="100" t="s">
        <v>344</v>
      </c>
      <c r="BF13" s="99">
        <v>44746.833333333299</v>
      </c>
      <c r="BG13" s="96" t="s">
        <v>352</v>
      </c>
      <c r="BI13" s="96" t="s">
        <v>299</v>
      </c>
      <c r="BJ13" s="96" t="s">
        <v>299</v>
      </c>
    </row>
    <row r="14" spans="1:62" x14ac:dyDescent="0.25">
      <c r="A14" s="96" t="s">
        <v>353</v>
      </c>
      <c r="B14" s="96" t="s">
        <v>354</v>
      </c>
      <c r="C14" s="96" t="s">
        <v>355</v>
      </c>
      <c r="D14" s="96" t="s">
        <v>181</v>
      </c>
      <c r="E14" s="96" t="s">
        <v>179</v>
      </c>
      <c r="F14" s="96" t="s">
        <v>179</v>
      </c>
      <c r="H14" s="96" t="s">
        <v>356</v>
      </c>
      <c r="I14" s="97">
        <v>2599</v>
      </c>
      <c r="J14" s="96" t="s">
        <v>180</v>
      </c>
      <c r="K14" s="96" t="s">
        <v>180</v>
      </c>
      <c r="L14" s="97">
        <v>2</v>
      </c>
      <c r="M14" s="97">
        <v>8</v>
      </c>
      <c r="N14" s="97">
        <v>16</v>
      </c>
      <c r="O14" s="97">
        <v>10</v>
      </c>
      <c r="P14" s="97">
        <v>261922</v>
      </c>
      <c r="Q14" s="97">
        <v>18</v>
      </c>
      <c r="R14" s="97">
        <v>0</v>
      </c>
      <c r="S14" s="97">
        <v>12</v>
      </c>
      <c r="T14" s="97">
        <v>3</v>
      </c>
      <c r="U14" s="97">
        <v>6</v>
      </c>
      <c r="V14" s="97">
        <v>4</v>
      </c>
      <c r="W14" s="98">
        <v>0.25</v>
      </c>
      <c r="X14" s="97">
        <v>22</v>
      </c>
      <c r="Y14" s="98">
        <v>1.375</v>
      </c>
      <c r="Z14" s="97">
        <v>47104</v>
      </c>
      <c r="AA14" s="97">
        <v>16997</v>
      </c>
      <c r="AB14" s="97">
        <v>0</v>
      </c>
      <c r="AC14" s="97">
        <v>0</v>
      </c>
      <c r="AD14" s="96" t="s">
        <v>180</v>
      </c>
      <c r="AE14" s="96" t="s">
        <v>180</v>
      </c>
      <c r="AG14" s="96" t="s">
        <v>275</v>
      </c>
      <c r="AH14" s="96" t="s">
        <v>320</v>
      </c>
      <c r="AI14" s="96">
        <v>1</v>
      </c>
      <c r="AJ14" s="96">
        <v>1</v>
      </c>
      <c r="AK14" s="96" t="s">
        <v>186</v>
      </c>
      <c r="AM14" s="96" t="s">
        <v>188</v>
      </c>
      <c r="AN14" s="96" t="s">
        <v>357</v>
      </c>
      <c r="AO14" s="99">
        <v>44976.074131944399</v>
      </c>
      <c r="AP14" s="96" t="s">
        <v>358</v>
      </c>
      <c r="AQ14" s="96" t="s">
        <v>179</v>
      </c>
      <c r="AR14" s="96" t="s">
        <v>292</v>
      </c>
      <c r="AS14" s="96" t="s">
        <v>292</v>
      </c>
      <c r="AT14" s="96" t="s">
        <v>359</v>
      </c>
      <c r="AU14" s="96" t="s">
        <v>180</v>
      </c>
      <c r="AV14" s="96" t="s">
        <v>189</v>
      </c>
      <c r="AW14" s="96" t="s">
        <v>189</v>
      </c>
      <c r="AX14" s="96">
        <v>0</v>
      </c>
      <c r="AY14" s="96" t="s">
        <v>190</v>
      </c>
      <c r="AZ14" s="96" t="s">
        <v>360</v>
      </c>
      <c r="BB14" s="96" t="s">
        <v>361</v>
      </c>
      <c r="BC14" s="96" t="s">
        <v>192</v>
      </c>
      <c r="BE14" s="100" t="s">
        <v>362</v>
      </c>
      <c r="BF14" s="99">
        <v>44329.833333333299</v>
      </c>
      <c r="BG14" s="96" t="s">
        <v>363</v>
      </c>
      <c r="BI14" s="96" t="s">
        <v>299</v>
      </c>
      <c r="BJ14" s="96" t="s">
        <v>299</v>
      </c>
    </row>
    <row r="15" spans="1:62" x14ac:dyDescent="0.25">
      <c r="A15" s="96" t="s">
        <v>364</v>
      </c>
      <c r="B15" s="96" t="s">
        <v>354</v>
      </c>
      <c r="C15" s="96" t="s">
        <v>355</v>
      </c>
      <c r="D15" s="96" t="s">
        <v>181</v>
      </c>
      <c r="E15" s="96" t="s">
        <v>179</v>
      </c>
      <c r="F15" s="96" t="s">
        <v>179</v>
      </c>
      <c r="H15" s="96" t="s">
        <v>356</v>
      </c>
      <c r="I15" s="97">
        <v>2599</v>
      </c>
      <c r="J15" s="96" t="s">
        <v>180</v>
      </c>
      <c r="K15" s="96" t="s">
        <v>180</v>
      </c>
      <c r="L15" s="97">
        <v>2</v>
      </c>
      <c r="M15" s="97">
        <v>8</v>
      </c>
      <c r="N15" s="97">
        <v>16</v>
      </c>
      <c r="O15" s="97">
        <v>4</v>
      </c>
      <c r="P15" s="97">
        <v>261922</v>
      </c>
      <c r="Q15" s="97">
        <v>13</v>
      </c>
      <c r="R15" s="97">
        <v>0</v>
      </c>
      <c r="S15" s="97">
        <v>12</v>
      </c>
      <c r="T15" s="97">
        <v>3</v>
      </c>
      <c r="U15" s="97">
        <v>5</v>
      </c>
      <c r="V15" s="97">
        <v>5</v>
      </c>
      <c r="W15" s="98">
        <v>0.3125</v>
      </c>
      <c r="X15" s="97">
        <v>16</v>
      </c>
      <c r="Y15" s="98">
        <v>1</v>
      </c>
      <c r="Z15" s="97">
        <v>34816</v>
      </c>
      <c r="AA15" s="97">
        <v>3735</v>
      </c>
      <c r="AB15" s="97">
        <v>0</v>
      </c>
      <c r="AC15" s="97">
        <v>0</v>
      </c>
      <c r="AD15" s="96" t="s">
        <v>180</v>
      </c>
      <c r="AE15" s="96" t="s">
        <v>180</v>
      </c>
      <c r="AG15" s="96" t="s">
        <v>275</v>
      </c>
      <c r="AH15" s="96" t="s">
        <v>320</v>
      </c>
      <c r="AI15" s="96">
        <v>1</v>
      </c>
      <c r="AJ15" s="96">
        <v>1</v>
      </c>
      <c r="AK15" s="96" t="s">
        <v>186</v>
      </c>
      <c r="AM15" s="96" t="s">
        <v>188</v>
      </c>
      <c r="AN15" s="96" t="s">
        <v>357</v>
      </c>
      <c r="AO15" s="99">
        <v>44976.074050925898</v>
      </c>
      <c r="AP15" s="96" t="s">
        <v>358</v>
      </c>
      <c r="AQ15" s="96" t="s">
        <v>179</v>
      </c>
      <c r="AR15" s="96" t="s">
        <v>292</v>
      </c>
      <c r="AS15" s="96" t="s">
        <v>292</v>
      </c>
      <c r="AT15" s="96" t="s">
        <v>359</v>
      </c>
      <c r="AU15" s="96" t="s">
        <v>180</v>
      </c>
      <c r="AV15" s="96" t="s">
        <v>189</v>
      </c>
      <c r="AW15" s="96" t="s">
        <v>189</v>
      </c>
      <c r="AX15" s="96">
        <v>0</v>
      </c>
      <c r="AY15" s="96" t="s">
        <v>190</v>
      </c>
      <c r="AZ15" s="96" t="s">
        <v>360</v>
      </c>
      <c r="BB15" s="96" t="s">
        <v>365</v>
      </c>
      <c r="BC15" s="96" t="s">
        <v>192</v>
      </c>
      <c r="BE15" s="100" t="s">
        <v>362</v>
      </c>
      <c r="BF15" s="99">
        <v>44329.833333333299</v>
      </c>
      <c r="BG15" s="96" t="s">
        <v>366</v>
      </c>
      <c r="BI15" s="96" t="s">
        <v>299</v>
      </c>
      <c r="BJ15" s="96" t="s">
        <v>299</v>
      </c>
    </row>
    <row r="16" spans="1:62" x14ac:dyDescent="0.25">
      <c r="A16" s="96" t="s">
        <v>367</v>
      </c>
      <c r="B16" s="96" t="s">
        <v>368</v>
      </c>
      <c r="C16" s="96" t="s">
        <v>369</v>
      </c>
      <c r="D16" s="96" t="s">
        <v>184</v>
      </c>
      <c r="E16" s="96" t="s">
        <v>179</v>
      </c>
      <c r="F16" s="96" t="s">
        <v>179</v>
      </c>
      <c r="H16" s="96" t="s">
        <v>338</v>
      </c>
      <c r="I16" s="97">
        <v>2095</v>
      </c>
      <c r="J16" s="96" t="s">
        <v>180</v>
      </c>
      <c r="K16" s="96" t="s">
        <v>180</v>
      </c>
      <c r="L16" s="97">
        <v>2</v>
      </c>
      <c r="M16" s="97">
        <v>18</v>
      </c>
      <c r="N16" s="97">
        <v>36</v>
      </c>
      <c r="O16" s="97">
        <v>0</v>
      </c>
      <c r="P16" s="97">
        <v>524194</v>
      </c>
      <c r="Q16" s="97">
        <v>4</v>
      </c>
      <c r="R16" s="97">
        <v>0</v>
      </c>
      <c r="S16" s="97">
        <v>6</v>
      </c>
      <c r="T16" s="97">
        <v>17</v>
      </c>
      <c r="U16" s="97">
        <v>1</v>
      </c>
      <c r="V16" s="97">
        <v>1</v>
      </c>
      <c r="W16" s="98">
        <v>2.7777777777777801E-2</v>
      </c>
      <c r="X16" s="97">
        <v>4</v>
      </c>
      <c r="Y16" s="98">
        <v>0.11111111111111099</v>
      </c>
      <c r="Z16" s="97">
        <v>16384</v>
      </c>
      <c r="AA16" s="97">
        <v>327</v>
      </c>
      <c r="AB16" s="97">
        <v>0</v>
      </c>
      <c r="AC16" s="97">
        <v>0</v>
      </c>
      <c r="AD16" s="96" t="s">
        <v>180</v>
      </c>
      <c r="AE16" s="96" t="s">
        <v>180</v>
      </c>
      <c r="AG16" s="96" t="s">
        <v>182</v>
      </c>
      <c r="AH16" s="96" t="s">
        <v>320</v>
      </c>
      <c r="AI16" s="96">
        <v>1</v>
      </c>
      <c r="AJ16" s="96">
        <v>1</v>
      </c>
      <c r="AK16" s="96" t="s">
        <v>186</v>
      </c>
      <c r="AM16" s="96" t="s">
        <v>188</v>
      </c>
      <c r="AN16" s="96" t="s">
        <v>357</v>
      </c>
      <c r="AO16" s="99">
        <v>44710.106296296297</v>
      </c>
      <c r="AP16" s="96" t="s">
        <v>370</v>
      </c>
      <c r="AQ16" s="96" t="s">
        <v>179</v>
      </c>
      <c r="AS16" s="96" t="s">
        <v>371</v>
      </c>
      <c r="AT16" s="96" t="s">
        <v>293</v>
      </c>
      <c r="AU16" s="96" t="s">
        <v>180</v>
      </c>
      <c r="AV16" s="96" t="s">
        <v>189</v>
      </c>
      <c r="AW16" s="96" t="s">
        <v>189</v>
      </c>
      <c r="AX16" s="96">
        <v>0</v>
      </c>
      <c r="AY16" s="96" t="s">
        <v>190</v>
      </c>
      <c r="AZ16" s="96" t="s">
        <v>342</v>
      </c>
      <c r="BB16" s="96" t="s">
        <v>372</v>
      </c>
      <c r="BC16" s="96" t="s">
        <v>192</v>
      </c>
      <c r="BE16" s="100" t="s">
        <v>362</v>
      </c>
      <c r="BF16" s="99">
        <v>44339.833333333299</v>
      </c>
      <c r="BG16" s="96" t="s">
        <v>373</v>
      </c>
      <c r="BI16" s="96" t="s">
        <v>299</v>
      </c>
      <c r="BJ16" s="96" t="s">
        <v>299</v>
      </c>
    </row>
    <row r="17" spans="1:62" x14ac:dyDescent="0.25">
      <c r="A17" s="96" t="s">
        <v>374</v>
      </c>
      <c r="B17" s="96" t="s">
        <v>368</v>
      </c>
      <c r="C17" s="96" t="s">
        <v>369</v>
      </c>
      <c r="D17" s="96" t="s">
        <v>184</v>
      </c>
      <c r="E17" s="96" t="s">
        <v>179</v>
      </c>
      <c r="F17" s="96" t="s">
        <v>179</v>
      </c>
      <c r="H17" s="96" t="s">
        <v>338</v>
      </c>
      <c r="I17" s="97">
        <v>2095</v>
      </c>
      <c r="J17" s="96" t="s">
        <v>180</v>
      </c>
      <c r="K17" s="96" t="s">
        <v>180</v>
      </c>
      <c r="L17" s="97">
        <v>2</v>
      </c>
      <c r="M17" s="97">
        <v>18</v>
      </c>
      <c r="N17" s="97">
        <v>36</v>
      </c>
      <c r="O17" s="97">
        <v>8</v>
      </c>
      <c r="P17" s="97">
        <v>524194</v>
      </c>
      <c r="Q17" s="97">
        <v>19</v>
      </c>
      <c r="R17" s="97">
        <v>0</v>
      </c>
      <c r="S17" s="97">
        <v>6</v>
      </c>
      <c r="T17" s="97">
        <v>16</v>
      </c>
      <c r="U17" s="97">
        <v>5</v>
      </c>
      <c r="V17" s="97">
        <v>5</v>
      </c>
      <c r="W17" s="98">
        <v>0.13888888888888901</v>
      </c>
      <c r="X17" s="97">
        <v>32</v>
      </c>
      <c r="Y17" s="98">
        <v>0.88888888888888895</v>
      </c>
      <c r="Z17" s="97">
        <v>98304</v>
      </c>
      <c r="AA17" s="97">
        <v>9501</v>
      </c>
      <c r="AB17" s="97">
        <v>0</v>
      </c>
      <c r="AC17" s="97">
        <v>0</v>
      </c>
      <c r="AD17" s="96" t="s">
        <v>180</v>
      </c>
      <c r="AE17" s="96" t="s">
        <v>180</v>
      </c>
      <c r="AG17" s="96" t="s">
        <v>182</v>
      </c>
      <c r="AH17" s="96" t="s">
        <v>320</v>
      </c>
      <c r="AI17" s="96">
        <v>1</v>
      </c>
      <c r="AJ17" s="96">
        <v>1</v>
      </c>
      <c r="AK17" s="96" t="s">
        <v>186</v>
      </c>
      <c r="AM17" s="96" t="s">
        <v>188</v>
      </c>
      <c r="AN17" s="96" t="s">
        <v>357</v>
      </c>
      <c r="AO17" s="99">
        <v>44709.461932870399</v>
      </c>
      <c r="AP17" s="96" t="s">
        <v>370</v>
      </c>
      <c r="AQ17" s="96" t="s">
        <v>179</v>
      </c>
      <c r="AS17" s="96" t="s">
        <v>371</v>
      </c>
      <c r="AT17" s="96" t="s">
        <v>293</v>
      </c>
      <c r="AU17" s="96" t="s">
        <v>179</v>
      </c>
      <c r="AV17" s="96" t="s">
        <v>189</v>
      </c>
      <c r="AW17" s="96" t="s">
        <v>189</v>
      </c>
      <c r="AX17" s="96">
        <v>0</v>
      </c>
      <c r="AY17" s="96" t="s">
        <v>190</v>
      </c>
      <c r="AZ17" s="96" t="s">
        <v>342</v>
      </c>
      <c r="BB17" s="96" t="s">
        <v>375</v>
      </c>
      <c r="BC17" s="96" t="s">
        <v>192</v>
      </c>
      <c r="BE17" s="100" t="s">
        <v>362</v>
      </c>
      <c r="BF17" s="99">
        <v>44339.833333333299</v>
      </c>
      <c r="BG17" s="96" t="s">
        <v>376</v>
      </c>
      <c r="BI17" s="96" t="s">
        <v>299</v>
      </c>
      <c r="BJ17" s="96" t="s">
        <v>299</v>
      </c>
    </row>
    <row r="18" spans="1:62" x14ac:dyDescent="0.25">
      <c r="A18" s="96" t="s">
        <v>377</v>
      </c>
      <c r="B18" s="96" t="s">
        <v>368</v>
      </c>
      <c r="C18" s="96" t="s">
        <v>369</v>
      </c>
      <c r="D18" s="96" t="s">
        <v>184</v>
      </c>
      <c r="E18" s="96" t="s">
        <v>179</v>
      </c>
      <c r="F18" s="96" t="s">
        <v>179</v>
      </c>
      <c r="H18" s="96" t="s">
        <v>338</v>
      </c>
      <c r="I18" s="97">
        <v>2095</v>
      </c>
      <c r="J18" s="96" t="s">
        <v>180</v>
      </c>
      <c r="K18" s="96" t="s">
        <v>180</v>
      </c>
      <c r="L18" s="97">
        <v>2</v>
      </c>
      <c r="M18" s="97">
        <v>18</v>
      </c>
      <c r="N18" s="97">
        <v>36</v>
      </c>
      <c r="O18" s="97">
        <v>6</v>
      </c>
      <c r="P18" s="97">
        <v>524194</v>
      </c>
      <c r="Q18" s="97">
        <v>16</v>
      </c>
      <c r="R18" s="97">
        <v>0</v>
      </c>
      <c r="S18" s="97">
        <v>6</v>
      </c>
      <c r="T18" s="97">
        <v>16</v>
      </c>
      <c r="U18" s="97">
        <v>5</v>
      </c>
      <c r="V18" s="97">
        <v>5</v>
      </c>
      <c r="W18" s="98">
        <v>0.13888888888888901</v>
      </c>
      <c r="X18" s="97">
        <v>32</v>
      </c>
      <c r="Y18" s="98">
        <v>0.88888888888888895</v>
      </c>
      <c r="Z18" s="97">
        <v>79872</v>
      </c>
      <c r="AA18" s="97">
        <v>10709</v>
      </c>
      <c r="AB18" s="97">
        <v>0</v>
      </c>
      <c r="AC18" s="97">
        <v>0</v>
      </c>
      <c r="AD18" s="96" t="s">
        <v>180</v>
      </c>
      <c r="AE18" s="96" t="s">
        <v>180</v>
      </c>
      <c r="AG18" s="96" t="s">
        <v>182</v>
      </c>
      <c r="AH18" s="96" t="s">
        <v>320</v>
      </c>
      <c r="AI18" s="96">
        <v>1</v>
      </c>
      <c r="AJ18" s="96">
        <v>1</v>
      </c>
      <c r="AK18" s="96" t="s">
        <v>186</v>
      </c>
      <c r="AM18" s="96" t="s">
        <v>188</v>
      </c>
      <c r="AN18" s="96" t="s">
        <v>357</v>
      </c>
      <c r="AO18" s="99">
        <v>44709.435451388897</v>
      </c>
      <c r="AP18" s="96" t="s">
        <v>370</v>
      </c>
      <c r="AQ18" s="96" t="s">
        <v>179</v>
      </c>
      <c r="AS18" s="96" t="s">
        <v>371</v>
      </c>
      <c r="AT18" s="96" t="s">
        <v>293</v>
      </c>
      <c r="AU18" s="96" t="s">
        <v>179</v>
      </c>
      <c r="AV18" s="96" t="s">
        <v>189</v>
      </c>
      <c r="AW18" s="96" t="s">
        <v>189</v>
      </c>
      <c r="AX18" s="96">
        <v>0</v>
      </c>
      <c r="AY18" s="96" t="s">
        <v>190</v>
      </c>
      <c r="AZ18" s="96" t="s">
        <v>342</v>
      </c>
      <c r="BB18" s="96" t="s">
        <v>378</v>
      </c>
      <c r="BC18" s="96" t="s">
        <v>192</v>
      </c>
      <c r="BE18" s="100" t="s">
        <v>362</v>
      </c>
      <c r="BF18" s="99">
        <v>44339.833333333299</v>
      </c>
      <c r="BG18" s="96" t="s">
        <v>379</v>
      </c>
      <c r="BI18" s="96" t="s">
        <v>299</v>
      </c>
      <c r="BJ18" s="96" t="s">
        <v>299</v>
      </c>
    </row>
    <row r="19" spans="1:62" x14ac:dyDescent="0.25">
      <c r="A19" s="96" t="s">
        <v>380</v>
      </c>
      <c r="B19" s="96" t="s">
        <v>381</v>
      </c>
      <c r="C19" s="96" t="s">
        <v>382</v>
      </c>
      <c r="D19" s="96" t="s">
        <v>184</v>
      </c>
      <c r="E19" s="96" t="s">
        <v>179</v>
      </c>
      <c r="F19" s="96" t="s">
        <v>179</v>
      </c>
      <c r="H19" s="96" t="s">
        <v>383</v>
      </c>
      <c r="I19" s="97">
        <v>2294</v>
      </c>
      <c r="J19" s="96" t="s">
        <v>180</v>
      </c>
      <c r="K19" s="96" t="s">
        <v>180</v>
      </c>
      <c r="L19" s="97">
        <v>2</v>
      </c>
      <c r="M19" s="97">
        <v>18</v>
      </c>
      <c r="N19" s="97">
        <v>36</v>
      </c>
      <c r="O19" s="97">
        <v>17</v>
      </c>
      <c r="P19" s="97">
        <v>261763</v>
      </c>
      <c r="Q19" s="97">
        <v>31</v>
      </c>
      <c r="R19" s="97">
        <v>0</v>
      </c>
      <c r="S19" s="97">
        <v>10</v>
      </c>
      <c r="T19" s="97">
        <v>3</v>
      </c>
      <c r="U19" s="97">
        <v>7</v>
      </c>
      <c r="V19" s="97">
        <v>6</v>
      </c>
      <c r="W19" s="98">
        <v>0.16666666666666699</v>
      </c>
      <c r="X19" s="97">
        <v>20</v>
      </c>
      <c r="Y19" s="98">
        <v>0.55555555555555602</v>
      </c>
      <c r="Z19" s="97">
        <v>77824</v>
      </c>
      <c r="AA19" s="97">
        <v>13760</v>
      </c>
      <c r="AB19" s="97">
        <v>0</v>
      </c>
      <c r="AC19" s="97">
        <v>0</v>
      </c>
      <c r="AD19" s="96" t="s">
        <v>180</v>
      </c>
      <c r="AE19" s="96" t="s">
        <v>180</v>
      </c>
      <c r="AG19" s="96" t="s">
        <v>183</v>
      </c>
      <c r="AH19" s="96" t="s">
        <v>320</v>
      </c>
      <c r="AI19" s="96">
        <v>1</v>
      </c>
      <c r="AJ19" s="96">
        <v>1</v>
      </c>
      <c r="AK19" s="96" t="s">
        <v>186</v>
      </c>
      <c r="AM19" s="96" t="s">
        <v>188</v>
      </c>
      <c r="AN19" s="96" t="s">
        <v>357</v>
      </c>
      <c r="AO19" s="99">
        <v>44709.2655787037</v>
      </c>
      <c r="AP19" s="96" t="s">
        <v>291</v>
      </c>
      <c r="AQ19" s="96" t="s">
        <v>179</v>
      </c>
      <c r="AR19" s="96" t="s">
        <v>292</v>
      </c>
      <c r="AS19" s="96" t="s">
        <v>292</v>
      </c>
      <c r="AT19" s="96" t="s">
        <v>293</v>
      </c>
      <c r="AU19" s="96" t="s">
        <v>179</v>
      </c>
      <c r="AV19" s="96" t="s">
        <v>189</v>
      </c>
      <c r="AW19" s="96" t="s">
        <v>189</v>
      </c>
      <c r="AX19" s="96">
        <v>0</v>
      </c>
      <c r="AY19" s="96" t="s">
        <v>190</v>
      </c>
      <c r="AZ19" s="96" t="s">
        <v>191</v>
      </c>
      <c r="BB19" s="96" t="s">
        <v>384</v>
      </c>
      <c r="BC19" s="96" t="s">
        <v>192</v>
      </c>
      <c r="BE19" s="100" t="s">
        <v>385</v>
      </c>
      <c r="BF19" s="99">
        <v>44640.833333333299</v>
      </c>
      <c r="BG19" s="96" t="s">
        <v>386</v>
      </c>
      <c r="BI19" s="96" t="s">
        <v>299</v>
      </c>
      <c r="BJ19" s="96" t="s">
        <v>299</v>
      </c>
    </row>
    <row r="20" spans="1:62" x14ac:dyDescent="0.25">
      <c r="A20" s="96" t="s">
        <v>387</v>
      </c>
      <c r="B20" s="96" t="s">
        <v>381</v>
      </c>
      <c r="C20" s="96" t="s">
        <v>382</v>
      </c>
      <c r="D20" s="96" t="s">
        <v>181</v>
      </c>
      <c r="E20" s="96" t="s">
        <v>179</v>
      </c>
      <c r="F20" s="96" t="s">
        <v>179</v>
      </c>
      <c r="H20" s="96" t="s">
        <v>383</v>
      </c>
      <c r="I20" s="97">
        <v>2294</v>
      </c>
      <c r="J20" s="96" t="s">
        <v>180</v>
      </c>
      <c r="K20" s="96" t="s">
        <v>180</v>
      </c>
      <c r="L20" s="97">
        <v>2</v>
      </c>
      <c r="M20" s="97">
        <v>18</v>
      </c>
      <c r="N20" s="97">
        <v>36</v>
      </c>
      <c r="O20" s="97">
        <v>5</v>
      </c>
      <c r="P20" s="97">
        <v>261763</v>
      </c>
      <c r="Q20" s="97">
        <v>11</v>
      </c>
      <c r="R20" s="97">
        <v>0</v>
      </c>
      <c r="S20" s="97">
        <v>10</v>
      </c>
      <c r="T20" s="97">
        <v>3</v>
      </c>
      <c r="U20" s="97">
        <v>5</v>
      </c>
      <c r="V20" s="97">
        <v>2</v>
      </c>
      <c r="W20" s="98">
        <v>5.5555555555555601E-2</v>
      </c>
      <c r="X20" s="97">
        <v>8</v>
      </c>
      <c r="Y20" s="98">
        <v>0.22222222222222199</v>
      </c>
      <c r="Z20" s="97">
        <v>24576</v>
      </c>
      <c r="AA20" s="97">
        <v>3563</v>
      </c>
      <c r="AB20" s="97">
        <v>0</v>
      </c>
      <c r="AC20" s="97">
        <v>0</v>
      </c>
      <c r="AD20" s="96" t="s">
        <v>180</v>
      </c>
      <c r="AE20" s="96" t="s">
        <v>180</v>
      </c>
      <c r="AG20" s="96" t="s">
        <v>183</v>
      </c>
      <c r="AH20" s="96" t="s">
        <v>320</v>
      </c>
      <c r="AI20" s="96">
        <v>1</v>
      </c>
      <c r="AJ20" s="96">
        <v>1</v>
      </c>
      <c r="AK20" s="96" t="s">
        <v>186</v>
      </c>
      <c r="AM20" s="96" t="s">
        <v>188</v>
      </c>
      <c r="AN20" s="96" t="s">
        <v>357</v>
      </c>
      <c r="AO20" s="99">
        <v>44709.236053240696</v>
      </c>
      <c r="AP20" s="96" t="s">
        <v>291</v>
      </c>
      <c r="AQ20" s="96" t="s">
        <v>179</v>
      </c>
      <c r="AR20" s="96" t="s">
        <v>292</v>
      </c>
      <c r="AS20" s="96" t="s">
        <v>292</v>
      </c>
      <c r="AT20" s="96" t="s">
        <v>293</v>
      </c>
      <c r="AU20" s="96" t="s">
        <v>179</v>
      </c>
      <c r="AV20" s="96" t="s">
        <v>189</v>
      </c>
      <c r="AW20" s="96" t="s">
        <v>189</v>
      </c>
      <c r="AX20" s="96">
        <v>0</v>
      </c>
      <c r="AY20" s="96" t="s">
        <v>190</v>
      </c>
      <c r="AZ20" s="96" t="s">
        <v>191</v>
      </c>
      <c r="BB20" s="96" t="s">
        <v>388</v>
      </c>
      <c r="BC20" s="96" t="s">
        <v>192</v>
      </c>
      <c r="BE20" s="100" t="s">
        <v>385</v>
      </c>
      <c r="BF20" s="99">
        <v>44640.833333333299</v>
      </c>
      <c r="BG20" s="96" t="s">
        <v>389</v>
      </c>
      <c r="BI20" s="96" t="s">
        <v>299</v>
      </c>
      <c r="BJ20" s="96" t="s">
        <v>299</v>
      </c>
    </row>
    <row r="21" spans="1:62" x14ac:dyDescent="0.25">
      <c r="A21" s="96" t="s">
        <v>390</v>
      </c>
      <c r="B21" s="96" t="s">
        <v>391</v>
      </c>
      <c r="C21" s="96" t="s">
        <v>392</v>
      </c>
      <c r="D21" s="96" t="s">
        <v>184</v>
      </c>
      <c r="E21" s="96" t="s">
        <v>179</v>
      </c>
      <c r="F21" s="96" t="s">
        <v>179</v>
      </c>
      <c r="H21" s="96" t="s">
        <v>393</v>
      </c>
      <c r="I21" s="97">
        <v>2593</v>
      </c>
      <c r="J21" s="96" t="s">
        <v>180</v>
      </c>
      <c r="K21" s="96" t="s">
        <v>180</v>
      </c>
      <c r="L21" s="97">
        <v>2</v>
      </c>
      <c r="M21" s="97">
        <v>18</v>
      </c>
      <c r="N21" s="97">
        <v>36</v>
      </c>
      <c r="O21" s="97">
        <v>3</v>
      </c>
      <c r="P21" s="97">
        <v>523905</v>
      </c>
      <c r="Q21" s="97">
        <v>2</v>
      </c>
      <c r="R21" s="97">
        <v>0</v>
      </c>
      <c r="S21" s="97">
        <v>10</v>
      </c>
      <c r="T21" s="97">
        <v>3</v>
      </c>
      <c r="U21" s="97">
        <v>1</v>
      </c>
      <c r="V21" s="97">
        <v>1</v>
      </c>
      <c r="W21" s="98">
        <v>2.7777777777777801E-2</v>
      </c>
      <c r="X21" s="97">
        <v>2</v>
      </c>
      <c r="Y21" s="98">
        <v>5.5555555555555601E-2</v>
      </c>
      <c r="Z21" s="97">
        <v>8192</v>
      </c>
      <c r="AA21" s="97">
        <v>1146</v>
      </c>
      <c r="AB21" s="97">
        <v>0</v>
      </c>
      <c r="AC21" s="97">
        <v>0</v>
      </c>
      <c r="AD21" s="96" t="s">
        <v>180</v>
      </c>
      <c r="AE21" s="96" t="s">
        <v>180</v>
      </c>
      <c r="AG21" s="96" t="s">
        <v>394</v>
      </c>
      <c r="AH21" s="96" t="s">
        <v>320</v>
      </c>
      <c r="AI21" s="96">
        <v>1</v>
      </c>
      <c r="AJ21" s="96">
        <v>1</v>
      </c>
      <c r="AK21" s="96" t="s">
        <v>186</v>
      </c>
      <c r="AM21" s="96" t="s">
        <v>188</v>
      </c>
      <c r="AN21" s="96" t="s">
        <v>357</v>
      </c>
      <c r="AO21" s="99">
        <v>44709.298206018502</v>
      </c>
      <c r="AP21" s="96" t="s">
        <v>395</v>
      </c>
      <c r="AQ21" s="96" t="s">
        <v>179</v>
      </c>
      <c r="AS21" s="96" t="s">
        <v>396</v>
      </c>
      <c r="AT21" s="96" t="s">
        <v>293</v>
      </c>
      <c r="AU21" s="96" t="s">
        <v>180</v>
      </c>
      <c r="AV21" s="96" t="s">
        <v>189</v>
      </c>
      <c r="AW21" s="96" t="s">
        <v>189</v>
      </c>
      <c r="AX21" s="96">
        <v>0</v>
      </c>
      <c r="AY21" s="96" t="s">
        <v>190</v>
      </c>
      <c r="AZ21" s="96" t="s">
        <v>331</v>
      </c>
      <c r="BB21" s="96" t="s">
        <v>397</v>
      </c>
      <c r="BC21" s="96" t="s">
        <v>192</v>
      </c>
      <c r="BE21" s="100" t="s">
        <v>385</v>
      </c>
      <c r="BF21" s="99">
        <v>44640.833333333299</v>
      </c>
      <c r="BG21" s="96" t="s">
        <v>398</v>
      </c>
      <c r="BI21" s="96" t="s">
        <v>299</v>
      </c>
      <c r="BJ21" s="96" t="s">
        <v>299</v>
      </c>
    </row>
    <row r="22" spans="1:62" x14ac:dyDescent="0.25">
      <c r="A22" s="96" t="s">
        <v>399</v>
      </c>
      <c r="B22" s="96" t="s">
        <v>391</v>
      </c>
      <c r="C22" s="96" t="s">
        <v>392</v>
      </c>
      <c r="D22" s="96" t="s">
        <v>184</v>
      </c>
      <c r="E22" s="96" t="s">
        <v>179</v>
      </c>
      <c r="F22" s="96" t="s">
        <v>179</v>
      </c>
      <c r="H22" s="96" t="s">
        <v>393</v>
      </c>
      <c r="I22" s="97">
        <v>2593</v>
      </c>
      <c r="J22" s="96" t="s">
        <v>180</v>
      </c>
      <c r="K22" s="96" t="s">
        <v>180</v>
      </c>
      <c r="L22" s="97">
        <v>2</v>
      </c>
      <c r="M22" s="97">
        <v>18</v>
      </c>
      <c r="N22" s="97">
        <v>36</v>
      </c>
      <c r="O22" s="97">
        <v>0</v>
      </c>
      <c r="P22" s="97">
        <v>523905</v>
      </c>
      <c r="Q22" s="97">
        <v>4</v>
      </c>
      <c r="R22" s="97">
        <v>0</v>
      </c>
      <c r="S22" s="97">
        <v>10</v>
      </c>
      <c r="T22" s="97">
        <v>3</v>
      </c>
      <c r="U22" s="97">
        <v>3</v>
      </c>
      <c r="V22" s="97">
        <v>3</v>
      </c>
      <c r="W22" s="98">
        <v>8.3333333333333301E-2</v>
      </c>
      <c r="X22" s="97">
        <v>5</v>
      </c>
      <c r="Y22" s="98">
        <v>0.13888888888888901</v>
      </c>
      <c r="Z22" s="97">
        <v>20480</v>
      </c>
      <c r="AA22" s="97">
        <v>2005</v>
      </c>
      <c r="AB22" s="97">
        <v>0</v>
      </c>
      <c r="AC22" s="97">
        <v>0</v>
      </c>
      <c r="AD22" s="96" t="s">
        <v>180</v>
      </c>
      <c r="AE22" s="96" t="s">
        <v>180</v>
      </c>
      <c r="AG22" s="96" t="s">
        <v>394</v>
      </c>
      <c r="AH22" s="96" t="s">
        <v>320</v>
      </c>
      <c r="AI22" s="96">
        <v>1</v>
      </c>
      <c r="AJ22" s="96">
        <v>1</v>
      </c>
      <c r="AK22" s="96" t="s">
        <v>186</v>
      </c>
      <c r="AM22" s="96" t="s">
        <v>188</v>
      </c>
      <c r="AN22" s="96" t="s">
        <v>357</v>
      </c>
      <c r="AO22" s="99">
        <v>44709.278379629599</v>
      </c>
      <c r="AP22" s="96" t="s">
        <v>395</v>
      </c>
      <c r="AQ22" s="96" t="s">
        <v>179</v>
      </c>
      <c r="AS22" s="96" t="s">
        <v>400</v>
      </c>
      <c r="AT22" s="96" t="s">
        <v>293</v>
      </c>
      <c r="AU22" s="96" t="s">
        <v>180</v>
      </c>
      <c r="AV22" s="96" t="s">
        <v>189</v>
      </c>
      <c r="AW22" s="96" t="s">
        <v>189</v>
      </c>
      <c r="AX22" s="96">
        <v>0</v>
      </c>
      <c r="AY22" s="96" t="s">
        <v>190</v>
      </c>
      <c r="AZ22" s="96" t="s">
        <v>331</v>
      </c>
      <c r="BB22" s="96" t="s">
        <v>401</v>
      </c>
      <c r="BC22" s="96" t="s">
        <v>192</v>
      </c>
      <c r="BE22" s="100" t="s">
        <v>385</v>
      </c>
      <c r="BF22" s="99">
        <v>44640.833333333299</v>
      </c>
      <c r="BG22" s="96" t="s">
        <v>402</v>
      </c>
      <c r="BI22" s="96" t="s">
        <v>299</v>
      </c>
      <c r="BJ22" s="96" t="s">
        <v>299</v>
      </c>
    </row>
    <row r="23" spans="1:62" x14ac:dyDescent="0.25">
      <c r="A23" s="96" t="s">
        <v>403</v>
      </c>
      <c r="B23" s="96" t="s">
        <v>404</v>
      </c>
      <c r="C23" s="96" t="s">
        <v>405</v>
      </c>
      <c r="D23" s="96" t="s">
        <v>184</v>
      </c>
      <c r="E23" s="96" t="s">
        <v>179</v>
      </c>
      <c r="F23" s="96" t="s">
        <v>179</v>
      </c>
      <c r="H23" s="96" t="s">
        <v>356</v>
      </c>
      <c r="I23" s="97">
        <v>2599</v>
      </c>
      <c r="J23" s="96" t="s">
        <v>180</v>
      </c>
      <c r="K23" s="96" t="s">
        <v>180</v>
      </c>
      <c r="L23" s="97">
        <v>2</v>
      </c>
      <c r="M23" s="97">
        <v>8</v>
      </c>
      <c r="N23" s="97">
        <v>16</v>
      </c>
      <c r="O23" s="97">
        <v>20</v>
      </c>
      <c r="P23" s="97">
        <v>261922</v>
      </c>
      <c r="Q23" s="97">
        <v>54</v>
      </c>
      <c r="R23" s="97">
        <v>0</v>
      </c>
      <c r="S23" s="97">
        <v>12</v>
      </c>
      <c r="T23" s="97">
        <v>3</v>
      </c>
      <c r="U23" s="97">
        <v>12</v>
      </c>
      <c r="V23" s="97">
        <v>9</v>
      </c>
      <c r="W23" s="98">
        <v>0.5625</v>
      </c>
      <c r="X23" s="97">
        <v>37</v>
      </c>
      <c r="Y23" s="98">
        <v>2.3125</v>
      </c>
      <c r="Z23" s="97">
        <v>159744</v>
      </c>
      <c r="AA23" s="97">
        <v>13226</v>
      </c>
      <c r="AB23" s="97">
        <v>0</v>
      </c>
      <c r="AC23" s="97">
        <v>0</v>
      </c>
      <c r="AD23" s="96" t="s">
        <v>180</v>
      </c>
      <c r="AE23" s="96" t="s">
        <v>180</v>
      </c>
      <c r="AG23" s="96" t="s">
        <v>275</v>
      </c>
      <c r="AH23" s="96" t="s">
        <v>320</v>
      </c>
      <c r="AI23" s="96">
        <v>1</v>
      </c>
      <c r="AJ23" s="96">
        <v>1</v>
      </c>
      <c r="AK23" s="96" t="s">
        <v>186</v>
      </c>
      <c r="AM23" s="96" t="s">
        <v>188</v>
      </c>
      <c r="AN23" s="96" t="s">
        <v>357</v>
      </c>
      <c r="AO23" s="99">
        <v>44947.338206018503</v>
      </c>
      <c r="AP23" s="96" t="s">
        <v>406</v>
      </c>
      <c r="AQ23" s="96" t="s">
        <v>179</v>
      </c>
      <c r="AR23" s="96" t="s">
        <v>359</v>
      </c>
      <c r="AS23" s="96" t="s">
        <v>359</v>
      </c>
      <c r="AT23" s="96" t="s">
        <v>359</v>
      </c>
      <c r="AU23" s="96" t="s">
        <v>180</v>
      </c>
      <c r="AV23" s="96" t="s">
        <v>189</v>
      </c>
      <c r="AW23" s="96" t="s">
        <v>189</v>
      </c>
      <c r="AX23" s="96">
        <v>0</v>
      </c>
      <c r="AY23" s="96" t="s">
        <v>190</v>
      </c>
      <c r="AZ23" s="96" t="s">
        <v>360</v>
      </c>
      <c r="BB23" s="96" t="s">
        <v>407</v>
      </c>
      <c r="BC23" s="96" t="s">
        <v>192</v>
      </c>
      <c r="BE23" s="100" t="s">
        <v>408</v>
      </c>
      <c r="BF23" s="99">
        <v>44574.791666666701</v>
      </c>
      <c r="BG23" s="96" t="s">
        <v>409</v>
      </c>
      <c r="BI23" s="96" t="s">
        <v>299</v>
      </c>
      <c r="BJ23" s="96" t="s">
        <v>299</v>
      </c>
    </row>
    <row r="24" spans="1:62" x14ac:dyDescent="0.25">
      <c r="A24" s="96" t="s">
        <v>410</v>
      </c>
      <c r="B24" s="96" t="s">
        <v>404</v>
      </c>
      <c r="C24" s="96" t="s">
        <v>405</v>
      </c>
      <c r="D24" s="96" t="s">
        <v>184</v>
      </c>
      <c r="E24" s="96" t="s">
        <v>179</v>
      </c>
      <c r="F24" s="96" t="s">
        <v>179</v>
      </c>
      <c r="H24" s="96" t="s">
        <v>356</v>
      </c>
      <c r="I24" s="97">
        <v>2599</v>
      </c>
      <c r="J24" s="96" t="s">
        <v>180</v>
      </c>
      <c r="K24" s="96" t="s">
        <v>180</v>
      </c>
      <c r="L24" s="97">
        <v>2</v>
      </c>
      <c r="M24" s="97">
        <v>8</v>
      </c>
      <c r="N24" s="97">
        <v>16</v>
      </c>
      <c r="O24" s="97">
        <v>39</v>
      </c>
      <c r="P24" s="97">
        <v>261922</v>
      </c>
      <c r="Q24" s="97">
        <v>47</v>
      </c>
      <c r="R24" s="97">
        <v>0</v>
      </c>
      <c r="S24" s="97">
        <v>12</v>
      </c>
      <c r="T24" s="97">
        <v>3</v>
      </c>
      <c r="U24" s="97">
        <v>18</v>
      </c>
      <c r="V24" s="97">
        <v>12</v>
      </c>
      <c r="W24" s="98">
        <v>0.75</v>
      </c>
      <c r="X24" s="97">
        <v>39</v>
      </c>
      <c r="Y24" s="98">
        <v>2.4375</v>
      </c>
      <c r="Z24" s="97">
        <v>122880</v>
      </c>
      <c r="AA24" s="97">
        <v>20801</v>
      </c>
      <c r="AB24" s="97">
        <v>0</v>
      </c>
      <c r="AC24" s="97">
        <v>0</v>
      </c>
      <c r="AD24" s="96" t="s">
        <v>180</v>
      </c>
      <c r="AE24" s="96" t="s">
        <v>180</v>
      </c>
      <c r="AG24" s="96" t="s">
        <v>275</v>
      </c>
      <c r="AH24" s="96" t="s">
        <v>320</v>
      </c>
      <c r="AI24" s="96">
        <v>1</v>
      </c>
      <c r="AJ24" s="96">
        <v>1</v>
      </c>
      <c r="AK24" s="96" t="s">
        <v>186</v>
      </c>
      <c r="AM24" s="96" t="s">
        <v>188</v>
      </c>
      <c r="AN24" s="96" t="s">
        <v>357</v>
      </c>
      <c r="AO24" s="99">
        <v>44947.337951388901</v>
      </c>
      <c r="AP24" s="96" t="s">
        <v>406</v>
      </c>
      <c r="AQ24" s="96" t="s">
        <v>179</v>
      </c>
      <c r="AR24" s="96" t="s">
        <v>359</v>
      </c>
      <c r="AS24" s="96" t="s">
        <v>359</v>
      </c>
      <c r="AT24" s="96" t="s">
        <v>359</v>
      </c>
      <c r="AU24" s="96" t="s">
        <v>180</v>
      </c>
      <c r="AV24" s="96" t="s">
        <v>189</v>
      </c>
      <c r="AW24" s="96" t="s">
        <v>189</v>
      </c>
      <c r="AX24" s="96">
        <v>0</v>
      </c>
      <c r="AY24" s="96" t="s">
        <v>190</v>
      </c>
      <c r="AZ24" s="96" t="s">
        <v>360</v>
      </c>
      <c r="BB24" s="96" t="s">
        <v>411</v>
      </c>
      <c r="BC24" s="96" t="s">
        <v>192</v>
      </c>
      <c r="BE24" s="100" t="s">
        <v>408</v>
      </c>
      <c r="BF24" s="99">
        <v>44574.791666666701</v>
      </c>
      <c r="BG24" s="96" t="s">
        <v>412</v>
      </c>
      <c r="BI24" s="96" t="s">
        <v>299</v>
      </c>
      <c r="BJ24" s="96" t="s">
        <v>299</v>
      </c>
    </row>
    <row r="25" spans="1:62" x14ac:dyDescent="0.25">
      <c r="A25" s="96" t="s">
        <v>413</v>
      </c>
      <c r="B25" s="96" t="s">
        <v>404</v>
      </c>
      <c r="C25" s="96" t="s">
        <v>405</v>
      </c>
      <c r="D25" s="96" t="s">
        <v>184</v>
      </c>
      <c r="E25" s="96" t="s">
        <v>179</v>
      </c>
      <c r="F25" s="96" t="s">
        <v>179</v>
      </c>
      <c r="H25" s="96" t="s">
        <v>356</v>
      </c>
      <c r="I25" s="97">
        <v>2600</v>
      </c>
      <c r="J25" s="96" t="s">
        <v>180</v>
      </c>
      <c r="K25" s="96" t="s">
        <v>180</v>
      </c>
      <c r="L25" s="97">
        <v>2</v>
      </c>
      <c r="M25" s="97">
        <v>8</v>
      </c>
      <c r="N25" s="97">
        <v>16</v>
      </c>
      <c r="O25" s="97">
        <v>41</v>
      </c>
      <c r="P25" s="97">
        <v>261922</v>
      </c>
      <c r="Q25" s="97">
        <v>26</v>
      </c>
      <c r="R25" s="97">
        <v>0</v>
      </c>
      <c r="S25" s="97">
        <v>12</v>
      </c>
      <c r="T25" s="97">
        <v>3</v>
      </c>
      <c r="U25" s="97">
        <v>14</v>
      </c>
      <c r="V25" s="97">
        <v>14</v>
      </c>
      <c r="W25" s="98">
        <v>0.875</v>
      </c>
      <c r="X25" s="97">
        <v>39</v>
      </c>
      <c r="Y25" s="98">
        <v>2.4375</v>
      </c>
      <c r="Z25" s="97">
        <v>96256</v>
      </c>
      <c r="AA25" s="97">
        <v>17706</v>
      </c>
      <c r="AB25" s="97">
        <v>0</v>
      </c>
      <c r="AC25" s="97">
        <v>0</v>
      </c>
      <c r="AD25" s="96" t="s">
        <v>180</v>
      </c>
      <c r="AE25" s="96" t="s">
        <v>180</v>
      </c>
      <c r="AG25" s="96" t="s">
        <v>275</v>
      </c>
      <c r="AH25" s="96" t="s">
        <v>320</v>
      </c>
      <c r="AI25" s="96">
        <v>1</v>
      </c>
      <c r="AJ25" s="96">
        <v>1</v>
      </c>
      <c r="AK25" s="96" t="s">
        <v>186</v>
      </c>
      <c r="AM25" s="96" t="s">
        <v>188</v>
      </c>
      <c r="AN25" s="96" t="s">
        <v>357</v>
      </c>
      <c r="AO25" s="99">
        <v>45015.912268518499</v>
      </c>
      <c r="AP25" s="96" t="s">
        <v>406</v>
      </c>
      <c r="AQ25" s="96" t="s">
        <v>179</v>
      </c>
      <c r="AR25" s="96" t="s">
        <v>359</v>
      </c>
      <c r="AS25" s="96" t="s">
        <v>359</v>
      </c>
      <c r="AT25" s="96" t="s">
        <v>359</v>
      </c>
      <c r="AU25" s="96" t="s">
        <v>180</v>
      </c>
      <c r="AV25" s="96" t="s">
        <v>189</v>
      </c>
      <c r="AW25" s="96" t="s">
        <v>189</v>
      </c>
      <c r="AX25" s="96">
        <v>0</v>
      </c>
      <c r="AY25" s="96" t="s">
        <v>190</v>
      </c>
      <c r="AZ25" s="96" t="s">
        <v>360</v>
      </c>
      <c r="BA25" s="96" t="s">
        <v>414</v>
      </c>
      <c r="BB25" s="96" t="s">
        <v>414</v>
      </c>
      <c r="BC25" s="96" t="s">
        <v>192</v>
      </c>
      <c r="BD25" s="96" t="s">
        <v>190</v>
      </c>
      <c r="BE25" s="100" t="s">
        <v>408</v>
      </c>
      <c r="BF25" s="99">
        <v>44574.791666666701</v>
      </c>
      <c r="BG25" s="96" t="s">
        <v>415</v>
      </c>
      <c r="BI25" s="96" t="s">
        <v>299</v>
      </c>
      <c r="BJ25" s="96" t="s">
        <v>299</v>
      </c>
    </row>
    <row r="26" spans="1:62" x14ac:dyDescent="0.25">
      <c r="A26" s="96" t="s">
        <v>416</v>
      </c>
      <c r="B26" s="96" t="s">
        <v>404</v>
      </c>
      <c r="C26" s="96" t="s">
        <v>417</v>
      </c>
      <c r="D26" s="96" t="s">
        <v>181</v>
      </c>
      <c r="E26" s="96" t="s">
        <v>179</v>
      </c>
      <c r="F26" s="96" t="s">
        <v>179</v>
      </c>
      <c r="H26" s="96" t="s">
        <v>418</v>
      </c>
      <c r="I26" s="97">
        <v>2593</v>
      </c>
      <c r="J26" s="96" t="s">
        <v>180</v>
      </c>
      <c r="K26" s="96" t="s">
        <v>180</v>
      </c>
      <c r="L26" s="97">
        <v>2</v>
      </c>
      <c r="M26" s="97">
        <v>18</v>
      </c>
      <c r="N26" s="97">
        <v>36</v>
      </c>
      <c r="O26" s="97">
        <v>13</v>
      </c>
      <c r="P26" s="97">
        <v>261756</v>
      </c>
      <c r="Q26" s="97">
        <v>41</v>
      </c>
      <c r="R26" s="97">
        <v>0</v>
      </c>
      <c r="S26" s="97">
        <v>8</v>
      </c>
      <c r="T26" s="97">
        <v>3</v>
      </c>
      <c r="U26" s="97">
        <v>7</v>
      </c>
      <c r="V26" s="97">
        <v>7</v>
      </c>
      <c r="W26" s="98">
        <v>0.194444444444444</v>
      </c>
      <c r="X26" s="97">
        <v>32</v>
      </c>
      <c r="Y26" s="98">
        <v>0.88888888888888895</v>
      </c>
      <c r="Z26" s="97">
        <v>132096</v>
      </c>
      <c r="AA26" s="97">
        <v>16134</v>
      </c>
      <c r="AB26" s="97">
        <v>0</v>
      </c>
      <c r="AC26" s="97">
        <v>0</v>
      </c>
      <c r="AD26" s="96" t="s">
        <v>180</v>
      </c>
      <c r="AE26" s="96" t="s">
        <v>180</v>
      </c>
      <c r="AG26" s="96" t="s">
        <v>394</v>
      </c>
      <c r="AH26" s="96" t="s">
        <v>320</v>
      </c>
      <c r="AI26" s="96">
        <v>1</v>
      </c>
      <c r="AJ26" s="96">
        <v>1</v>
      </c>
      <c r="AK26" s="96" t="s">
        <v>186</v>
      </c>
      <c r="AL26" s="96" t="s">
        <v>187</v>
      </c>
      <c r="AM26" s="96" t="s">
        <v>188</v>
      </c>
      <c r="AN26" s="96" t="s">
        <v>357</v>
      </c>
      <c r="AO26" s="99">
        <v>44667.466400463003</v>
      </c>
      <c r="AP26" s="96" t="s">
        <v>291</v>
      </c>
      <c r="AQ26" s="96" t="s">
        <v>179</v>
      </c>
      <c r="AS26" s="96" t="s">
        <v>292</v>
      </c>
      <c r="AT26" s="96" t="s">
        <v>293</v>
      </c>
      <c r="AU26" s="96" t="s">
        <v>179</v>
      </c>
      <c r="AV26" s="96" t="s">
        <v>189</v>
      </c>
      <c r="AW26" s="96" t="s">
        <v>189</v>
      </c>
      <c r="AX26" s="96">
        <v>0</v>
      </c>
      <c r="AY26" s="96" t="s">
        <v>190</v>
      </c>
      <c r="AZ26" s="96" t="s">
        <v>191</v>
      </c>
      <c r="BB26" s="96" t="s">
        <v>419</v>
      </c>
      <c r="BC26" s="96" t="s">
        <v>192</v>
      </c>
      <c r="BE26" s="100" t="s">
        <v>420</v>
      </c>
      <c r="BF26" s="99">
        <v>44542.791666666701</v>
      </c>
      <c r="BG26" s="96" t="s">
        <v>421</v>
      </c>
      <c r="BI26" s="96" t="s">
        <v>299</v>
      </c>
      <c r="BJ26" s="96" t="s">
        <v>299</v>
      </c>
    </row>
    <row r="27" spans="1:62" x14ac:dyDescent="0.25">
      <c r="A27" s="96" t="s">
        <v>422</v>
      </c>
      <c r="B27" s="96" t="s">
        <v>404</v>
      </c>
      <c r="C27" s="96" t="s">
        <v>417</v>
      </c>
      <c r="D27" s="96" t="s">
        <v>184</v>
      </c>
      <c r="E27" s="96" t="s">
        <v>179</v>
      </c>
      <c r="F27" s="96" t="s">
        <v>179</v>
      </c>
      <c r="H27" s="96" t="s">
        <v>418</v>
      </c>
      <c r="I27" s="97">
        <v>2593</v>
      </c>
      <c r="J27" s="96" t="s">
        <v>180</v>
      </c>
      <c r="K27" s="96" t="s">
        <v>180</v>
      </c>
      <c r="L27" s="97">
        <v>2</v>
      </c>
      <c r="M27" s="97">
        <v>18</v>
      </c>
      <c r="N27" s="97">
        <v>36</v>
      </c>
      <c r="O27" s="97">
        <v>20</v>
      </c>
      <c r="P27" s="97">
        <v>261756</v>
      </c>
      <c r="Q27" s="97">
        <v>55</v>
      </c>
      <c r="R27" s="97">
        <v>0</v>
      </c>
      <c r="S27" s="97">
        <v>8</v>
      </c>
      <c r="T27" s="97">
        <v>3</v>
      </c>
      <c r="U27" s="97">
        <v>3</v>
      </c>
      <c r="V27" s="97">
        <v>3</v>
      </c>
      <c r="W27" s="98">
        <v>8.3333333333333301E-2</v>
      </c>
      <c r="X27" s="97">
        <v>20</v>
      </c>
      <c r="Y27" s="98">
        <v>0.55555555555555602</v>
      </c>
      <c r="Z27" s="97">
        <v>139264</v>
      </c>
      <c r="AA27" s="97">
        <v>7289</v>
      </c>
      <c r="AB27" s="97">
        <v>0</v>
      </c>
      <c r="AC27" s="97">
        <v>0</v>
      </c>
      <c r="AD27" s="96" t="s">
        <v>180</v>
      </c>
      <c r="AE27" s="96" t="s">
        <v>180</v>
      </c>
      <c r="AG27" s="96" t="s">
        <v>394</v>
      </c>
      <c r="AH27" s="96" t="s">
        <v>320</v>
      </c>
      <c r="AI27" s="96">
        <v>1</v>
      </c>
      <c r="AJ27" s="96">
        <v>1</v>
      </c>
      <c r="AK27" s="96" t="s">
        <v>186</v>
      </c>
      <c r="AL27" s="96" t="s">
        <v>187</v>
      </c>
      <c r="AM27" s="96" t="s">
        <v>188</v>
      </c>
      <c r="AN27" s="96" t="s">
        <v>357</v>
      </c>
      <c r="AO27" s="99">
        <v>44667.496747685203</v>
      </c>
      <c r="AP27" s="96" t="s">
        <v>291</v>
      </c>
      <c r="AQ27" s="96" t="s">
        <v>179</v>
      </c>
      <c r="AS27" s="96" t="s">
        <v>292</v>
      </c>
      <c r="AT27" s="96" t="s">
        <v>293</v>
      </c>
      <c r="AU27" s="96" t="s">
        <v>179</v>
      </c>
      <c r="AV27" s="96" t="s">
        <v>189</v>
      </c>
      <c r="AW27" s="96" t="s">
        <v>189</v>
      </c>
      <c r="AX27" s="96">
        <v>0</v>
      </c>
      <c r="AY27" s="96" t="s">
        <v>190</v>
      </c>
      <c r="AZ27" s="96" t="s">
        <v>191</v>
      </c>
      <c r="BB27" s="96" t="s">
        <v>423</v>
      </c>
      <c r="BC27" s="96" t="s">
        <v>192</v>
      </c>
      <c r="BE27" s="100" t="s">
        <v>420</v>
      </c>
      <c r="BF27" s="99">
        <v>44542.791666666701</v>
      </c>
      <c r="BG27" s="96" t="s">
        <v>424</v>
      </c>
      <c r="BI27" s="96" t="s">
        <v>299</v>
      </c>
      <c r="BJ27" s="96" t="s">
        <v>299</v>
      </c>
    </row>
    <row r="28" spans="1:62" x14ac:dyDescent="0.25">
      <c r="A28" s="96" t="s">
        <v>425</v>
      </c>
      <c r="B28" s="96" t="s">
        <v>404</v>
      </c>
      <c r="C28" s="96" t="s">
        <v>417</v>
      </c>
      <c r="D28" s="96" t="s">
        <v>184</v>
      </c>
      <c r="E28" s="96" t="s">
        <v>179</v>
      </c>
      <c r="F28" s="96" t="s">
        <v>179</v>
      </c>
      <c r="H28" s="96" t="s">
        <v>393</v>
      </c>
      <c r="I28" s="97">
        <v>2593</v>
      </c>
      <c r="J28" s="96" t="s">
        <v>180</v>
      </c>
      <c r="K28" s="96" t="s">
        <v>180</v>
      </c>
      <c r="L28" s="97">
        <v>2</v>
      </c>
      <c r="M28" s="97">
        <v>18</v>
      </c>
      <c r="N28" s="97">
        <v>36</v>
      </c>
      <c r="O28" s="97">
        <v>6</v>
      </c>
      <c r="P28" s="97">
        <v>261756</v>
      </c>
      <c r="Q28" s="97">
        <v>41</v>
      </c>
      <c r="R28" s="97">
        <v>0</v>
      </c>
      <c r="S28" s="97">
        <v>8</v>
      </c>
      <c r="T28" s="97">
        <v>3</v>
      </c>
      <c r="U28" s="97">
        <v>4</v>
      </c>
      <c r="V28" s="97">
        <v>3</v>
      </c>
      <c r="W28" s="98">
        <v>8.3333333333333301E-2</v>
      </c>
      <c r="X28" s="97">
        <v>18</v>
      </c>
      <c r="Y28" s="98">
        <v>0.5</v>
      </c>
      <c r="Z28" s="97">
        <v>135168</v>
      </c>
      <c r="AA28" s="97">
        <v>6593</v>
      </c>
      <c r="AB28" s="97">
        <v>0</v>
      </c>
      <c r="AC28" s="97">
        <v>0</v>
      </c>
      <c r="AD28" s="96" t="s">
        <v>180</v>
      </c>
      <c r="AE28" s="96" t="s">
        <v>180</v>
      </c>
      <c r="AG28" s="96" t="s">
        <v>394</v>
      </c>
      <c r="AH28" s="96" t="s">
        <v>320</v>
      </c>
      <c r="AI28" s="96">
        <v>1</v>
      </c>
      <c r="AJ28" s="96">
        <v>1</v>
      </c>
      <c r="AK28" s="96" t="s">
        <v>186</v>
      </c>
      <c r="AM28" s="96" t="s">
        <v>188</v>
      </c>
      <c r="AN28" s="96" t="s">
        <v>357</v>
      </c>
      <c r="AO28" s="99">
        <v>44667.5956365741</v>
      </c>
      <c r="AP28" s="96" t="s">
        <v>291</v>
      </c>
      <c r="AQ28" s="96" t="s">
        <v>179</v>
      </c>
      <c r="AS28" s="96" t="s">
        <v>292</v>
      </c>
      <c r="AT28" s="96" t="s">
        <v>293</v>
      </c>
      <c r="AU28" s="96" t="s">
        <v>179</v>
      </c>
      <c r="AV28" s="96" t="s">
        <v>189</v>
      </c>
      <c r="AW28" s="96" t="s">
        <v>189</v>
      </c>
      <c r="AX28" s="96">
        <v>0</v>
      </c>
      <c r="AY28" s="96" t="s">
        <v>190</v>
      </c>
      <c r="AZ28" s="96" t="s">
        <v>191</v>
      </c>
      <c r="BB28" s="96" t="s">
        <v>426</v>
      </c>
      <c r="BC28" s="96" t="s">
        <v>192</v>
      </c>
      <c r="BE28" s="100" t="s">
        <v>420</v>
      </c>
      <c r="BF28" s="99">
        <v>44542.791666666701</v>
      </c>
      <c r="BG28" s="96" t="s">
        <v>427</v>
      </c>
      <c r="BI28" s="96" t="s">
        <v>299</v>
      </c>
      <c r="BJ28" s="96" t="s">
        <v>299</v>
      </c>
    </row>
    <row r="29" spans="1:62" x14ac:dyDescent="0.25">
      <c r="A29" s="96" t="s">
        <v>428</v>
      </c>
      <c r="B29" s="96" t="s">
        <v>429</v>
      </c>
      <c r="C29" s="96" t="s">
        <v>430</v>
      </c>
      <c r="D29" s="96" t="s">
        <v>184</v>
      </c>
      <c r="E29" s="96" t="s">
        <v>179</v>
      </c>
      <c r="F29" s="96" t="s">
        <v>179</v>
      </c>
      <c r="H29" s="96" t="s">
        <v>185</v>
      </c>
      <c r="I29" s="97">
        <v>2294</v>
      </c>
      <c r="J29" s="96" t="s">
        <v>180</v>
      </c>
      <c r="K29" s="96" t="s">
        <v>180</v>
      </c>
      <c r="L29" s="97">
        <v>2</v>
      </c>
      <c r="M29" s="97">
        <v>18</v>
      </c>
      <c r="N29" s="97">
        <v>36</v>
      </c>
      <c r="O29" s="97">
        <v>4</v>
      </c>
      <c r="P29" s="97">
        <v>261765</v>
      </c>
      <c r="Q29" s="97">
        <v>46</v>
      </c>
      <c r="R29" s="97">
        <v>0</v>
      </c>
      <c r="S29" s="97">
        <v>4</v>
      </c>
      <c r="T29" s="97">
        <v>5</v>
      </c>
      <c r="U29" s="97">
        <v>33</v>
      </c>
      <c r="V29" s="97">
        <v>23</v>
      </c>
      <c r="W29" s="98">
        <v>0.63888888888888895</v>
      </c>
      <c r="X29" s="97">
        <v>65</v>
      </c>
      <c r="Y29" s="98">
        <v>1.80555555555556</v>
      </c>
      <c r="Z29" s="97">
        <v>147532</v>
      </c>
      <c r="AA29" s="97">
        <v>11301</v>
      </c>
      <c r="AB29" s="97">
        <v>0</v>
      </c>
      <c r="AC29" s="97">
        <v>1</v>
      </c>
      <c r="AD29" s="96" t="s">
        <v>180</v>
      </c>
      <c r="AE29" s="96" t="s">
        <v>180</v>
      </c>
      <c r="AG29" s="96" t="s">
        <v>183</v>
      </c>
      <c r="AH29" s="96" t="s">
        <v>320</v>
      </c>
      <c r="AI29" s="96">
        <v>1</v>
      </c>
      <c r="AJ29" s="96">
        <v>1</v>
      </c>
      <c r="AK29" s="96" t="s">
        <v>186</v>
      </c>
      <c r="AM29" s="96" t="s">
        <v>188</v>
      </c>
      <c r="AN29" s="96" t="s">
        <v>357</v>
      </c>
      <c r="AO29" s="99">
        <v>44668.501226851899</v>
      </c>
      <c r="AP29" s="96" t="s">
        <v>291</v>
      </c>
      <c r="AQ29" s="96" t="s">
        <v>179</v>
      </c>
      <c r="AS29" s="96" t="s">
        <v>371</v>
      </c>
      <c r="AU29" s="96" t="s">
        <v>179</v>
      </c>
      <c r="AV29" s="96" t="s">
        <v>189</v>
      </c>
      <c r="AW29" s="96" t="s">
        <v>189</v>
      </c>
      <c r="AX29" s="96">
        <v>0</v>
      </c>
      <c r="AY29" s="96" t="s">
        <v>190</v>
      </c>
      <c r="AZ29" s="96" t="s">
        <v>431</v>
      </c>
      <c r="BB29" s="96" t="s">
        <v>432</v>
      </c>
      <c r="BC29" s="96" t="s">
        <v>192</v>
      </c>
      <c r="BE29" s="100" t="s">
        <v>420</v>
      </c>
      <c r="BF29" s="99">
        <v>44545.791666666701</v>
      </c>
      <c r="BG29" s="96" t="s">
        <v>433</v>
      </c>
      <c r="BI29" s="96" t="s">
        <v>299</v>
      </c>
      <c r="BJ29" s="96" t="s">
        <v>299</v>
      </c>
    </row>
    <row r="30" spans="1:62" x14ac:dyDescent="0.25">
      <c r="A30" s="96" t="s">
        <v>434</v>
      </c>
      <c r="B30" s="96" t="s">
        <v>429</v>
      </c>
      <c r="C30" s="96" t="s">
        <v>430</v>
      </c>
      <c r="D30" s="96" t="s">
        <v>184</v>
      </c>
      <c r="E30" s="96" t="s">
        <v>179</v>
      </c>
      <c r="F30" s="96" t="s">
        <v>179</v>
      </c>
      <c r="H30" s="96" t="s">
        <v>185</v>
      </c>
      <c r="I30" s="97">
        <v>2294</v>
      </c>
      <c r="J30" s="96" t="s">
        <v>180</v>
      </c>
      <c r="K30" s="96" t="s">
        <v>180</v>
      </c>
      <c r="L30" s="97">
        <v>2</v>
      </c>
      <c r="M30" s="97">
        <v>18</v>
      </c>
      <c r="N30" s="97">
        <v>36</v>
      </c>
      <c r="O30" s="97">
        <v>7</v>
      </c>
      <c r="P30" s="97">
        <v>261765</v>
      </c>
      <c r="Q30" s="97">
        <v>27</v>
      </c>
      <c r="R30" s="97">
        <v>0</v>
      </c>
      <c r="S30" s="97">
        <v>4</v>
      </c>
      <c r="T30" s="97">
        <v>5</v>
      </c>
      <c r="U30" s="97">
        <v>17</v>
      </c>
      <c r="V30" s="97">
        <v>14</v>
      </c>
      <c r="W30" s="98">
        <v>0.38888888888888901</v>
      </c>
      <c r="X30" s="97">
        <v>44</v>
      </c>
      <c r="Y30" s="98">
        <v>1.2222222222222201</v>
      </c>
      <c r="Z30" s="97">
        <v>73728</v>
      </c>
      <c r="AA30" s="97">
        <v>8163</v>
      </c>
      <c r="AB30" s="97">
        <v>0</v>
      </c>
      <c r="AC30" s="97">
        <v>0</v>
      </c>
      <c r="AD30" s="96" t="s">
        <v>180</v>
      </c>
      <c r="AE30" s="96" t="s">
        <v>180</v>
      </c>
      <c r="AG30" s="96" t="s">
        <v>183</v>
      </c>
      <c r="AH30" s="96" t="s">
        <v>320</v>
      </c>
      <c r="AI30" s="96">
        <v>1</v>
      </c>
      <c r="AJ30" s="96">
        <v>1</v>
      </c>
      <c r="AK30" s="96" t="s">
        <v>186</v>
      </c>
      <c r="AM30" s="96" t="s">
        <v>188</v>
      </c>
      <c r="AN30" s="96" t="s">
        <v>357</v>
      </c>
      <c r="AO30" s="99">
        <v>44668.522280092599</v>
      </c>
      <c r="AP30" s="96" t="s">
        <v>291</v>
      </c>
      <c r="AQ30" s="96" t="s">
        <v>179</v>
      </c>
      <c r="AS30" s="96" t="s">
        <v>371</v>
      </c>
      <c r="AU30" s="96" t="s">
        <v>179</v>
      </c>
      <c r="AV30" s="96" t="s">
        <v>189</v>
      </c>
      <c r="AW30" s="96" t="s">
        <v>189</v>
      </c>
      <c r="AX30" s="96">
        <v>0</v>
      </c>
      <c r="AY30" s="96" t="s">
        <v>190</v>
      </c>
      <c r="AZ30" s="96" t="s">
        <v>431</v>
      </c>
      <c r="BB30" s="96" t="s">
        <v>435</v>
      </c>
      <c r="BC30" s="96" t="s">
        <v>192</v>
      </c>
      <c r="BE30" s="100" t="s">
        <v>420</v>
      </c>
      <c r="BF30" s="99">
        <v>44545.791666666701</v>
      </c>
      <c r="BG30" s="96" t="s">
        <v>436</v>
      </c>
      <c r="BI30" s="96" t="s">
        <v>299</v>
      </c>
      <c r="BJ30" s="96" t="s">
        <v>299</v>
      </c>
    </row>
    <row r="31" spans="1:62" x14ac:dyDescent="0.25">
      <c r="A31" s="96" t="s">
        <v>437</v>
      </c>
      <c r="B31" s="96" t="s">
        <v>429</v>
      </c>
      <c r="C31" s="96" t="s">
        <v>438</v>
      </c>
      <c r="D31" s="96" t="s">
        <v>184</v>
      </c>
      <c r="E31" s="96" t="s">
        <v>179</v>
      </c>
      <c r="F31" s="96" t="s">
        <v>179</v>
      </c>
      <c r="H31" s="96" t="s">
        <v>439</v>
      </c>
      <c r="I31" s="97">
        <v>2399</v>
      </c>
      <c r="J31" s="96" t="s">
        <v>180</v>
      </c>
      <c r="K31" s="96" t="s">
        <v>180</v>
      </c>
      <c r="L31" s="97">
        <v>2</v>
      </c>
      <c r="M31" s="97">
        <v>10</v>
      </c>
      <c r="N31" s="97">
        <v>20</v>
      </c>
      <c r="O31" s="97">
        <v>8</v>
      </c>
      <c r="P31" s="97">
        <v>261922</v>
      </c>
      <c r="Q31" s="97">
        <v>11</v>
      </c>
      <c r="R31" s="97">
        <v>0</v>
      </c>
      <c r="S31" s="97">
        <v>9</v>
      </c>
      <c r="T31" s="97">
        <v>3</v>
      </c>
      <c r="U31" s="97">
        <v>3</v>
      </c>
      <c r="V31" s="97">
        <v>3</v>
      </c>
      <c r="W31" s="98">
        <v>0.15</v>
      </c>
      <c r="X31" s="97">
        <v>17</v>
      </c>
      <c r="Y31" s="98">
        <v>0.85</v>
      </c>
      <c r="Z31" s="97">
        <v>33588</v>
      </c>
      <c r="AA31" s="97">
        <v>8969</v>
      </c>
      <c r="AB31" s="97">
        <v>0</v>
      </c>
      <c r="AC31" s="97">
        <v>0</v>
      </c>
      <c r="AD31" s="96" t="s">
        <v>180</v>
      </c>
      <c r="AE31" s="96" t="s">
        <v>180</v>
      </c>
      <c r="AG31" s="96" t="s">
        <v>182</v>
      </c>
      <c r="AH31" s="96" t="s">
        <v>320</v>
      </c>
      <c r="AI31" s="96">
        <v>1</v>
      </c>
      <c r="AJ31" s="96">
        <v>1</v>
      </c>
      <c r="AK31" s="96" t="s">
        <v>186</v>
      </c>
      <c r="AM31" s="96" t="s">
        <v>188</v>
      </c>
      <c r="AN31" s="96" t="s">
        <v>357</v>
      </c>
      <c r="AO31" s="99">
        <v>44765.123171296298</v>
      </c>
      <c r="AP31" s="96" t="s">
        <v>395</v>
      </c>
      <c r="AQ31" s="96" t="s">
        <v>179</v>
      </c>
      <c r="AR31" s="96" t="s">
        <v>292</v>
      </c>
      <c r="AS31" s="96" t="s">
        <v>292</v>
      </c>
      <c r="AT31" s="96" t="s">
        <v>293</v>
      </c>
      <c r="AU31" s="96" t="s">
        <v>180</v>
      </c>
      <c r="AV31" s="96" t="s">
        <v>189</v>
      </c>
      <c r="AW31" s="96" t="s">
        <v>189</v>
      </c>
      <c r="AX31" s="96">
        <v>0</v>
      </c>
      <c r="AY31" s="96" t="s">
        <v>190</v>
      </c>
      <c r="AZ31" s="96" t="s">
        <v>322</v>
      </c>
      <c r="BB31" s="96" t="s">
        <v>440</v>
      </c>
      <c r="BC31" s="96" t="s">
        <v>192</v>
      </c>
      <c r="BE31" s="100" t="s">
        <v>408</v>
      </c>
      <c r="BF31" s="99">
        <v>44574.791666666701</v>
      </c>
      <c r="BG31" s="96" t="s">
        <v>441</v>
      </c>
      <c r="BI31" s="96" t="s">
        <v>299</v>
      </c>
      <c r="BJ31" s="96" t="s">
        <v>299</v>
      </c>
    </row>
    <row r="32" spans="1:62" x14ac:dyDescent="0.25">
      <c r="A32" s="96" t="s">
        <v>442</v>
      </c>
      <c r="B32" s="96" t="s">
        <v>429</v>
      </c>
      <c r="C32" s="96" t="s">
        <v>438</v>
      </c>
      <c r="D32" s="96" t="s">
        <v>184</v>
      </c>
      <c r="E32" s="96" t="s">
        <v>179</v>
      </c>
      <c r="F32" s="96" t="s">
        <v>179</v>
      </c>
      <c r="H32" s="96" t="s">
        <v>439</v>
      </c>
      <c r="I32" s="97">
        <v>2399</v>
      </c>
      <c r="J32" s="96" t="s">
        <v>180</v>
      </c>
      <c r="K32" s="96" t="s">
        <v>180</v>
      </c>
      <c r="L32" s="97">
        <v>2</v>
      </c>
      <c r="M32" s="97">
        <v>10</v>
      </c>
      <c r="N32" s="97">
        <v>20</v>
      </c>
      <c r="O32" s="97">
        <v>5</v>
      </c>
      <c r="P32" s="97">
        <v>261922</v>
      </c>
      <c r="Q32" s="97">
        <v>24</v>
      </c>
      <c r="R32" s="97">
        <v>0</v>
      </c>
      <c r="S32" s="97">
        <v>9</v>
      </c>
      <c r="T32" s="97">
        <v>3</v>
      </c>
      <c r="U32" s="97">
        <v>7</v>
      </c>
      <c r="V32" s="97">
        <v>4</v>
      </c>
      <c r="W32" s="98">
        <v>0.2</v>
      </c>
      <c r="X32" s="97">
        <v>12</v>
      </c>
      <c r="Y32" s="98">
        <v>0.6</v>
      </c>
      <c r="Z32" s="97">
        <v>61440</v>
      </c>
      <c r="AA32" s="97">
        <v>8559</v>
      </c>
      <c r="AB32" s="97">
        <v>0</v>
      </c>
      <c r="AC32" s="97">
        <v>0</v>
      </c>
      <c r="AD32" s="96" t="s">
        <v>180</v>
      </c>
      <c r="AE32" s="96" t="s">
        <v>180</v>
      </c>
      <c r="AG32" s="96" t="s">
        <v>182</v>
      </c>
      <c r="AH32" s="96" t="s">
        <v>320</v>
      </c>
      <c r="AI32" s="96">
        <v>1</v>
      </c>
      <c r="AJ32" s="96">
        <v>1</v>
      </c>
      <c r="AK32" s="96" t="s">
        <v>186</v>
      </c>
      <c r="AM32" s="96" t="s">
        <v>188</v>
      </c>
      <c r="AN32" s="96" t="s">
        <v>357</v>
      </c>
      <c r="AO32" s="99">
        <v>44765.122743055603</v>
      </c>
      <c r="AP32" s="96" t="s">
        <v>395</v>
      </c>
      <c r="AQ32" s="96" t="s">
        <v>179</v>
      </c>
      <c r="AR32" s="96" t="s">
        <v>292</v>
      </c>
      <c r="AS32" s="96" t="s">
        <v>292</v>
      </c>
      <c r="AT32" s="96" t="s">
        <v>293</v>
      </c>
      <c r="AU32" s="96" t="s">
        <v>180</v>
      </c>
      <c r="AV32" s="96" t="s">
        <v>189</v>
      </c>
      <c r="AW32" s="96" t="s">
        <v>189</v>
      </c>
      <c r="AX32" s="96">
        <v>0</v>
      </c>
      <c r="AY32" s="96" t="s">
        <v>190</v>
      </c>
      <c r="AZ32" s="96" t="s">
        <v>322</v>
      </c>
      <c r="BB32" s="96" t="s">
        <v>443</v>
      </c>
      <c r="BC32" s="96" t="s">
        <v>192</v>
      </c>
      <c r="BE32" s="100" t="s">
        <v>408</v>
      </c>
      <c r="BF32" s="99">
        <v>44574.791666666701</v>
      </c>
      <c r="BG32" s="96" t="s">
        <v>444</v>
      </c>
      <c r="BI32" s="96" t="s">
        <v>299</v>
      </c>
      <c r="BJ32" s="96" t="s">
        <v>299</v>
      </c>
    </row>
    <row r="33" spans="1:62" x14ac:dyDescent="0.25">
      <c r="A33" s="96" t="s">
        <v>445</v>
      </c>
      <c r="B33" s="96" t="s">
        <v>429</v>
      </c>
      <c r="D33" s="96" t="s">
        <v>181</v>
      </c>
      <c r="E33" s="96" t="s">
        <v>179</v>
      </c>
      <c r="F33" s="96" t="s">
        <v>179</v>
      </c>
      <c r="H33" s="96" t="s">
        <v>446</v>
      </c>
      <c r="I33" s="97">
        <v>2197</v>
      </c>
      <c r="J33" s="96" t="s">
        <v>180</v>
      </c>
      <c r="K33" s="96" t="s">
        <v>180</v>
      </c>
      <c r="L33" s="97">
        <v>1</v>
      </c>
      <c r="M33" s="97">
        <v>12</v>
      </c>
      <c r="N33" s="97">
        <v>12</v>
      </c>
      <c r="O33" s="97">
        <v>7</v>
      </c>
      <c r="P33" s="97">
        <v>65312</v>
      </c>
      <c r="Q33" s="97">
        <v>62</v>
      </c>
      <c r="R33" s="97">
        <v>0</v>
      </c>
      <c r="S33" s="97">
        <v>2</v>
      </c>
      <c r="T33" s="97">
        <v>4</v>
      </c>
      <c r="U33" s="97">
        <v>23</v>
      </c>
      <c r="V33" s="97">
        <v>9</v>
      </c>
      <c r="W33" s="98">
        <v>0.75</v>
      </c>
      <c r="X33" s="97">
        <v>22</v>
      </c>
      <c r="Y33" s="98">
        <v>1.8333333333333299</v>
      </c>
      <c r="Z33" s="97">
        <v>53248</v>
      </c>
      <c r="AA33" s="97">
        <v>4376</v>
      </c>
      <c r="AB33" s="97">
        <v>1117</v>
      </c>
      <c r="AC33" s="97">
        <v>4658</v>
      </c>
      <c r="AD33" s="96" t="s">
        <v>180</v>
      </c>
      <c r="AE33" s="96" t="s">
        <v>180</v>
      </c>
      <c r="AG33" s="96" t="s">
        <v>182</v>
      </c>
      <c r="AH33" s="96" t="s">
        <v>320</v>
      </c>
      <c r="AI33" s="96">
        <v>1</v>
      </c>
      <c r="AJ33" s="96">
        <v>1</v>
      </c>
      <c r="AK33" s="96" t="s">
        <v>186</v>
      </c>
      <c r="AL33" s="96" t="s">
        <v>187</v>
      </c>
      <c r="AM33" s="96" t="s">
        <v>188</v>
      </c>
      <c r="AN33" s="96" t="s">
        <v>447</v>
      </c>
      <c r="AO33" s="99">
        <v>44784.955543981501</v>
      </c>
      <c r="AP33" s="96" t="s">
        <v>448</v>
      </c>
      <c r="AQ33" s="96" t="s">
        <v>179</v>
      </c>
      <c r="AR33" s="96" t="s">
        <v>292</v>
      </c>
      <c r="AS33" s="96" t="s">
        <v>292</v>
      </c>
      <c r="AT33" s="96" t="s">
        <v>449</v>
      </c>
      <c r="AU33" s="96" t="s">
        <v>179</v>
      </c>
      <c r="AV33" s="96" t="s">
        <v>189</v>
      </c>
      <c r="AW33" s="96" t="s">
        <v>189</v>
      </c>
      <c r="AX33" s="96">
        <v>0</v>
      </c>
      <c r="AY33" s="96" t="s">
        <v>190</v>
      </c>
      <c r="AZ33" s="96" t="s">
        <v>450</v>
      </c>
      <c r="BB33" s="96" t="s">
        <v>451</v>
      </c>
      <c r="BC33" s="96" t="s">
        <v>452</v>
      </c>
      <c r="BE33" s="100" t="s">
        <v>344</v>
      </c>
      <c r="BF33" s="99">
        <v>44747.833333333299</v>
      </c>
      <c r="BG33" s="96" t="s">
        <v>453</v>
      </c>
      <c r="BI33" s="96" t="s">
        <v>299</v>
      </c>
      <c r="BJ33" s="96" t="s">
        <v>299</v>
      </c>
    </row>
    <row r="34" spans="1:62" x14ac:dyDescent="0.25">
      <c r="A34" s="96" t="s">
        <v>454</v>
      </c>
      <c r="B34" s="96" t="s">
        <v>286</v>
      </c>
      <c r="C34" s="96" t="s">
        <v>318</v>
      </c>
      <c r="D34" s="96" t="s">
        <v>184</v>
      </c>
      <c r="E34" s="96" t="s">
        <v>179</v>
      </c>
      <c r="F34" s="96" t="s">
        <v>179</v>
      </c>
      <c r="H34" s="96" t="s">
        <v>185</v>
      </c>
      <c r="I34" s="97">
        <v>2294</v>
      </c>
      <c r="J34" s="96" t="s">
        <v>180</v>
      </c>
      <c r="K34" s="96" t="s">
        <v>180</v>
      </c>
      <c r="L34" s="97">
        <v>2</v>
      </c>
      <c r="M34" s="97">
        <v>18</v>
      </c>
      <c r="N34" s="97">
        <v>36</v>
      </c>
      <c r="O34" s="97">
        <v>43</v>
      </c>
      <c r="P34" s="97">
        <v>523906</v>
      </c>
      <c r="Q34" s="97">
        <v>51</v>
      </c>
      <c r="R34" s="97">
        <v>0</v>
      </c>
      <c r="S34" s="97">
        <v>16</v>
      </c>
      <c r="T34" s="97">
        <v>11</v>
      </c>
      <c r="U34" s="97">
        <v>20</v>
      </c>
      <c r="V34" s="97">
        <v>15</v>
      </c>
      <c r="W34" s="98">
        <v>0.41666666666666702</v>
      </c>
      <c r="X34" s="97">
        <v>93</v>
      </c>
      <c r="Y34" s="98">
        <v>2.5833333333333299</v>
      </c>
      <c r="Z34" s="97">
        <v>268288</v>
      </c>
      <c r="AA34" s="97">
        <v>27455</v>
      </c>
      <c r="AB34" s="97">
        <v>0</v>
      </c>
      <c r="AC34" s="97">
        <v>0</v>
      </c>
      <c r="AD34" s="96" t="s">
        <v>180</v>
      </c>
      <c r="AE34" s="96" t="s">
        <v>180</v>
      </c>
      <c r="AF34" s="96" t="s">
        <v>278</v>
      </c>
      <c r="AG34" s="96" t="s">
        <v>183</v>
      </c>
      <c r="AH34" s="96" t="s">
        <v>320</v>
      </c>
      <c r="AI34" s="96">
        <v>1</v>
      </c>
      <c r="AJ34" s="96">
        <v>1</v>
      </c>
      <c r="AK34" s="96" t="s">
        <v>186</v>
      </c>
      <c r="AM34" s="96" t="s">
        <v>188</v>
      </c>
      <c r="AN34" s="96" t="s">
        <v>321</v>
      </c>
      <c r="AO34" s="99">
        <v>44857.3691666667</v>
      </c>
      <c r="AP34" s="96" t="s">
        <v>291</v>
      </c>
      <c r="AQ34" s="96" t="s">
        <v>179</v>
      </c>
      <c r="AR34" s="96" t="s">
        <v>292</v>
      </c>
      <c r="AS34" s="96" t="s">
        <v>292</v>
      </c>
      <c r="AT34" s="96" t="s">
        <v>293</v>
      </c>
      <c r="AU34" s="96" t="s">
        <v>179</v>
      </c>
      <c r="AV34" s="96" t="s">
        <v>189</v>
      </c>
      <c r="AW34" s="96" t="s">
        <v>189</v>
      </c>
      <c r="AX34" s="96">
        <v>0</v>
      </c>
      <c r="AY34" s="96" t="s">
        <v>190</v>
      </c>
      <c r="AZ34" s="96" t="s">
        <v>331</v>
      </c>
      <c r="BB34" s="96" t="s">
        <v>455</v>
      </c>
      <c r="BC34" s="96" t="s">
        <v>192</v>
      </c>
      <c r="BE34" s="100" t="s">
        <v>333</v>
      </c>
      <c r="BF34" s="99">
        <v>44726.833333333299</v>
      </c>
      <c r="BG34" s="96" t="s">
        <v>456</v>
      </c>
      <c r="BI34" s="96" t="s">
        <v>299</v>
      </c>
      <c r="BJ34" s="96" t="s">
        <v>299</v>
      </c>
    </row>
    <row r="35" spans="1:62" x14ac:dyDescent="0.25">
      <c r="A35" s="96" t="s">
        <v>457</v>
      </c>
      <c r="B35" s="96" t="s">
        <v>286</v>
      </c>
      <c r="C35" s="96" t="s">
        <v>318</v>
      </c>
      <c r="D35" s="96" t="s">
        <v>181</v>
      </c>
      <c r="E35" s="96" t="s">
        <v>179</v>
      </c>
      <c r="F35" s="96" t="s">
        <v>179</v>
      </c>
      <c r="H35" s="96" t="s">
        <v>185</v>
      </c>
      <c r="I35" s="97">
        <v>2294</v>
      </c>
      <c r="J35" s="96" t="s">
        <v>180</v>
      </c>
      <c r="K35" s="96" t="s">
        <v>180</v>
      </c>
      <c r="L35" s="97">
        <v>2</v>
      </c>
      <c r="M35" s="97">
        <v>18</v>
      </c>
      <c r="N35" s="97">
        <v>36</v>
      </c>
      <c r="O35" s="97">
        <v>25</v>
      </c>
      <c r="P35" s="97">
        <v>523906</v>
      </c>
      <c r="Q35" s="97">
        <v>69</v>
      </c>
      <c r="R35" s="97">
        <v>0</v>
      </c>
      <c r="S35" s="97">
        <v>16</v>
      </c>
      <c r="T35" s="97">
        <v>11</v>
      </c>
      <c r="U35" s="97">
        <v>22</v>
      </c>
      <c r="V35" s="97">
        <v>18</v>
      </c>
      <c r="W35" s="98">
        <v>0.5</v>
      </c>
      <c r="X35" s="97">
        <v>75</v>
      </c>
      <c r="Y35" s="98">
        <v>2.0833333333333299</v>
      </c>
      <c r="Z35" s="97">
        <v>363520</v>
      </c>
      <c r="AA35" s="97">
        <v>34184</v>
      </c>
      <c r="AB35" s="97">
        <v>0</v>
      </c>
      <c r="AC35" s="97">
        <v>0</v>
      </c>
      <c r="AD35" s="96" t="s">
        <v>180</v>
      </c>
      <c r="AE35" s="96" t="s">
        <v>180</v>
      </c>
      <c r="AF35" s="96" t="s">
        <v>278</v>
      </c>
      <c r="AG35" s="96" t="s">
        <v>183</v>
      </c>
      <c r="AH35" s="96" t="s">
        <v>320</v>
      </c>
      <c r="AI35" s="96">
        <v>1</v>
      </c>
      <c r="AJ35" s="96">
        <v>1</v>
      </c>
      <c r="AK35" s="96" t="s">
        <v>186</v>
      </c>
      <c r="AM35" s="96" t="s">
        <v>188</v>
      </c>
      <c r="AN35" s="96" t="s">
        <v>321</v>
      </c>
      <c r="AO35" s="99">
        <v>44857.368020833303</v>
      </c>
      <c r="AP35" s="96" t="s">
        <v>291</v>
      </c>
      <c r="AQ35" s="96" t="s">
        <v>179</v>
      </c>
      <c r="AR35" s="96" t="s">
        <v>292</v>
      </c>
      <c r="AS35" s="96" t="s">
        <v>292</v>
      </c>
      <c r="AT35" s="96" t="s">
        <v>458</v>
      </c>
      <c r="AU35" s="96" t="s">
        <v>179</v>
      </c>
      <c r="AV35" s="96" t="s">
        <v>189</v>
      </c>
      <c r="AW35" s="96" t="s">
        <v>189</v>
      </c>
      <c r="AX35" s="96">
        <v>0</v>
      </c>
      <c r="AY35" s="96" t="s">
        <v>190</v>
      </c>
      <c r="AZ35" s="96" t="s">
        <v>331</v>
      </c>
      <c r="BB35" s="96" t="s">
        <v>459</v>
      </c>
      <c r="BC35" s="96" t="s">
        <v>192</v>
      </c>
      <c r="BE35" s="100" t="s">
        <v>333</v>
      </c>
      <c r="BF35" s="99">
        <v>44726.833333333299</v>
      </c>
      <c r="BG35" s="96" t="s">
        <v>460</v>
      </c>
      <c r="BI35" s="96" t="s">
        <v>299</v>
      </c>
      <c r="BJ35" s="96" t="s">
        <v>299</v>
      </c>
    </row>
    <row r="36" spans="1:62" x14ac:dyDescent="0.25">
      <c r="A36" s="96" t="s">
        <v>461</v>
      </c>
      <c r="B36" s="96" t="s">
        <v>286</v>
      </c>
      <c r="C36" s="96" t="s">
        <v>318</v>
      </c>
      <c r="D36" s="96" t="s">
        <v>181</v>
      </c>
      <c r="E36" s="96" t="s">
        <v>179</v>
      </c>
      <c r="F36" s="96" t="s">
        <v>179</v>
      </c>
      <c r="H36" s="96" t="s">
        <v>185</v>
      </c>
      <c r="I36" s="97">
        <v>2294</v>
      </c>
      <c r="J36" s="96" t="s">
        <v>180</v>
      </c>
      <c r="K36" s="96" t="s">
        <v>180</v>
      </c>
      <c r="L36" s="97">
        <v>2</v>
      </c>
      <c r="M36" s="97">
        <v>18</v>
      </c>
      <c r="N36" s="97">
        <v>36</v>
      </c>
      <c r="O36" s="97">
        <v>35</v>
      </c>
      <c r="P36" s="97">
        <v>523906</v>
      </c>
      <c r="Q36" s="97">
        <v>66</v>
      </c>
      <c r="R36" s="97">
        <v>0</v>
      </c>
      <c r="S36" s="97">
        <v>16</v>
      </c>
      <c r="T36" s="97">
        <v>11</v>
      </c>
      <c r="U36" s="97">
        <v>27</v>
      </c>
      <c r="V36" s="97">
        <v>26</v>
      </c>
      <c r="W36" s="98">
        <v>0.72222222222222199</v>
      </c>
      <c r="X36" s="97">
        <v>110</v>
      </c>
      <c r="Y36" s="98">
        <v>3.0555555555555598</v>
      </c>
      <c r="Z36" s="97">
        <v>354304</v>
      </c>
      <c r="AA36" s="97">
        <v>52823</v>
      </c>
      <c r="AB36" s="97">
        <v>0</v>
      </c>
      <c r="AC36" s="97">
        <v>0</v>
      </c>
      <c r="AD36" s="96" t="s">
        <v>180</v>
      </c>
      <c r="AE36" s="96" t="s">
        <v>180</v>
      </c>
      <c r="AF36" s="96" t="s">
        <v>278</v>
      </c>
      <c r="AG36" s="96" t="s">
        <v>183</v>
      </c>
      <c r="AH36" s="96" t="s">
        <v>320</v>
      </c>
      <c r="AI36" s="96">
        <v>1</v>
      </c>
      <c r="AJ36" s="96">
        <v>1</v>
      </c>
      <c r="AK36" s="96" t="s">
        <v>186</v>
      </c>
      <c r="AM36" s="96" t="s">
        <v>188</v>
      </c>
      <c r="AN36" s="96" t="s">
        <v>321</v>
      </c>
      <c r="AO36" s="99">
        <v>44857.366342592599</v>
      </c>
      <c r="AP36" s="96" t="s">
        <v>291</v>
      </c>
      <c r="AQ36" s="96" t="s">
        <v>179</v>
      </c>
      <c r="AR36" s="96" t="s">
        <v>292</v>
      </c>
      <c r="AS36" s="96" t="s">
        <v>292</v>
      </c>
      <c r="AT36" s="96" t="s">
        <v>293</v>
      </c>
      <c r="AU36" s="96" t="s">
        <v>179</v>
      </c>
      <c r="AV36" s="96" t="s">
        <v>189</v>
      </c>
      <c r="AW36" s="96" t="s">
        <v>189</v>
      </c>
      <c r="AX36" s="96">
        <v>0</v>
      </c>
      <c r="AY36" s="96" t="s">
        <v>190</v>
      </c>
      <c r="AZ36" s="96" t="s">
        <v>331</v>
      </c>
      <c r="BB36" s="96" t="s">
        <v>462</v>
      </c>
      <c r="BC36" s="96" t="s">
        <v>192</v>
      </c>
      <c r="BE36" s="100" t="s">
        <v>333</v>
      </c>
      <c r="BF36" s="99">
        <v>44726.833333333299</v>
      </c>
      <c r="BG36" s="96" t="s">
        <v>463</v>
      </c>
      <c r="BI36" s="96" t="s">
        <v>299</v>
      </c>
      <c r="BJ36" s="96" t="s">
        <v>299</v>
      </c>
    </row>
    <row r="37" spans="1:62" x14ac:dyDescent="0.25">
      <c r="A37" s="96" t="s">
        <v>464</v>
      </c>
      <c r="B37" s="96" t="s">
        <v>286</v>
      </c>
      <c r="C37" s="96" t="s">
        <v>318</v>
      </c>
      <c r="D37" s="96" t="s">
        <v>184</v>
      </c>
      <c r="E37" s="96" t="s">
        <v>179</v>
      </c>
      <c r="F37" s="96" t="s">
        <v>179</v>
      </c>
      <c r="H37" s="96" t="s">
        <v>185</v>
      </c>
      <c r="I37" s="97">
        <v>2294</v>
      </c>
      <c r="J37" s="96" t="s">
        <v>180</v>
      </c>
      <c r="K37" s="96" t="s">
        <v>180</v>
      </c>
      <c r="L37" s="97">
        <v>2</v>
      </c>
      <c r="M37" s="97">
        <v>18</v>
      </c>
      <c r="N37" s="97">
        <v>36</v>
      </c>
      <c r="O37" s="97">
        <v>32</v>
      </c>
      <c r="P37" s="97">
        <v>523906</v>
      </c>
      <c r="Q37" s="97">
        <v>63</v>
      </c>
      <c r="R37" s="97">
        <v>0</v>
      </c>
      <c r="S37" s="97">
        <v>16</v>
      </c>
      <c r="T37" s="97">
        <v>11</v>
      </c>
      <c r="U37" s="97">
        <v>30</v>
      </c>
      <c r="V37" s="97">
        <v>27</v>
      </c>
      <c r="W37" s="98">
        <v>0.75</v>
      </c>
      <c r="X37" s="97">
        <v>101</v>
      </c>
      <c r="Y37" s="98">
        <v>2.8055555555555598</v>
      </c>
      <c r="Z37" s="97">
        <v>361472</v>
      </c>
      <c r="AA37" s="97">
        <v>46443</v>
      </c>
      <c r="AB37" s="97">
        <v>0</v>
      </c>
      <c r="AC37" s="97">
        <v>0</v>
      </c>
      <c r="AD37" s="96" t="s">
        <v>180</v>
      </c>
      <c r="AE37" s="96" t="s">
        <v>180</v>
      </c>
      <c r="AF37" s="96" t="s">
        <v>278</v>
      </c>
      <c r="AG37" s="96" t="s">
        <v>183</v>
      </c>
      <c r="AH37" s="96" t="s">
        <v>320</v>
      </c>
      <c r="AI37" s="96">
        <v>1</v>
      </c>
      <c r="AJ37" s="96">
        <v>1</v>
      </c>
      <c r="AK37" s="96" t="s">
        <v>186</v>
      </c>
      <c r="AL37" s="96" t="s">
        <v>187</v>
      </c>
      <c r="AM37" s="96" t="s">
        <v>188</v>
      </c>
      <c r="AN37" s="96" t="s">
        <v>321</v>
      </c>
      <c r="AO37" s="99">
        <v>44857.3664236111</v>
      </c>
      <c r="AP37" s="96" t="s">
        <v>291</v>
      </c>
      <c r="AQ37" s="96" t="s">
        <v>179</v>
      </c>
      <c r="AR37" s="96" t="s">
        <v>465</v>
      </c>
      <c r="AS37" s="96" t="s">
        <v>466</v>
      </c>
      <c r="AT37" s="96" t="s">
        <v>293</v>
      </c>
      <c r="AU37" s="96" t="s">
        <v>179</v>
      </c>
      <c r="AV37" s="96" t="s">
        <v>189</v>
      </c>
      <c r="AW37" s="96" t="s">
        <v>189</v>
      </c>
      <c r="AX37" s="96">
        <v>0</v>
      </c>
      <c r="AY37" s="96" t="s">
        <v>190</v>
      </c>
      <c r="AZ37" s="96" t="s">
        <v>331</v>
      </c>
      <c r="BB37" s="96" t="s">
        <v>467</v>
      </c>
      <c r="BC37" s="96" t="s">
        <v>192</v>
      </c>
      <c r="BE37" s="100" t="s">
        <v>333</v>
      </c>
      <c r="BF37" s="99">
        <v>44726.833333333299</v>
      </c>
      <c r="BG37" s="96" t="s">
        <v>468</v>
      </c>
      <c r="BI37" s="96" t="s">
        <v>299</v>
      </c>
      <c r="BJ37" s="96" t="s">
        <v>299</v>
      </c>
    </row>
    <row r="38" spans="1:62" x14ac:dyDescent="0.25">
      <c r="A38" s="96" t="s">
        <v>469</v>
      </c>
      <c r="B38" s="96" t="s">
        <v>286</v>
      </c>
      <c r="C38" s="96" t="s">
        <v>318</v>
      </c>
      <c r="D38" s="96" t="s">
        <v>181</v>
      </c>
      <c r="E38" s="96" t="s">
        <v>179</v>
      </c>
      <c r="F38" s="96" t="s">
        <v>179</v>
      </c>
      <c r="H38" s="96" t="s">
        <v>470</v>
      </c>
      <c r="I38" s="97">
        <v>2095</v>
      </c>
      <c r="J38" s="96" t="s">
        <v>180</v>
      </c>
      <c r="K38" s="96" t="s">
        <v>180</v>
      </c>
      <c r="L38" s="97">
        <v>2</v>
      </c>
      <c r="M38" s="97">
        <v>24</v>
      </c>
      <c r="N38" s="97">
        <v>48</v>
      </c>
      <c r="O38" s="97">
        <v>32</v>
      </c>
      <c r="P38" s="97">
        <v>523899</v>
      </c>
      <c r="Q38" s="97">
        <v>68</v>
      </c>
      <c r="R38" s="97">
        <v>0</v>
      </c>
      <c r="S38" s="97">
        <v>20</v>
      </c>
      <c r="T38" s="97">
        <v>11</v>
      </c>
      <c r="U38" s="97">
        <v>16</v>
      </c>
      <c r="V38" s="97">
        <v>14</v>
      </c>
      <c r="W38" s="98">
        <v>0.29166666666666702</v>
      </c>
      <c r="X38" s="97">
        <v>102</v>
      </c>
      <c r="Y38" s="98">
        <v>2.125</v>
      </c>
      <c r="Z38" s="97">
        <v>356352</v>
      </c>
      <c r="AA38" s="97">
        <v>38043</v>
      </c>
      <c r="AB38" s="97">
        <v>0</v>
      </c>
      <c r="AC38" s="97">
        <v>0</v>
      </c>
      <c r="AD38" s="96" t="s">
        <v>180</v>
      </c>
      <c r="AE38" s="96" t="s">
        <v>180</v>
      </c>
      <c r="AF38" s="96" t="s">
        <v>278</v>
      </c>
      <c r="AG38" s="96" t="s">
        <v>394</v>
      </c>
      <c r="AH38" s="96" t="s">
        <v>320</v>
      </c>
      <c r="AI38" s="96">
        <v>1</v>
      </c>
      <c r="AJ38" s="96">
        <v>1</v>
      </c>
      <c r="AK38" s="96" t="s">
        <v>186</v>
      </c>
      <c r="AM38" s="96" t="s">
        <v>188</v>
      </c>
      <c r="AN38" s="96" t="s">
        <v>321</v>
      </c>
      <c r="AO38" s="99">
        <v>44857.366226851896</v>
      </c>
      <c r="AP38" s="96" t="s">
        <v>291</v>
      </c>
      <c r="AQ38" s="96" t="s">
        <v>179</v>
      </c>
      <c r="AR38" s="96" t="s">
        <v>292</v>
      </c>
      <c r="AS38" s="96" t="s">
        <v>292</v>
      </c>
      <c r="AT38" s="96" t="s">
        <v>293</v>
      </c>
      <c r="AU38" s="96" t="s">
        <v>179</v>
      </c>
      <c r="AV38" s="96" t="s">
        <v>189</v>
      </c>
      <c r="AW38" s="96" t="s">
        <v>189</v>
      </c>
      <c r="AX38" s="96">
        <v>0</v>
      </c>
      <c r="AY38" s="96" t="s">
        <v>190</v>
      </c>
      <c r="AZ38" s="96" t="s">
        <v>331</v>
      </c>
      <c r="BB38" s="96" t="s">
        <v>471</v>
      </c>
      <c r="BC38" s="96" t="s">
        <v>192</v>
      </c>
      <c r="BE38" s="100" t="s">
        <v>333</v>
      </c>
      <c r="BF38" s="99">
        <v>44726.833333333299</v>
      </c>
      <c r="BG38" s="96" t="s">
        <v>472</v>
      </c>
      <c r="BI38" s="96" t="s">
        <v>299</v>
      </c>
      <c r="BJ38" s="96" t="s">
        <v>299</v>
      </c>
    </row>
    <row r="39" spans="1:62" x14ac:dyDescent="0.25">
      <c r="A39" s="96" t="s">
        <v>473</v>
      </c>
      <c r="B39" s="96" t="s">
        <v>474</v>
      </c>
      <c r="C39" s="96" t="s">
        <v>475</v>
      </c>
      <c r="D39" s="96" t="s">
        <v>184</v>
      </c>
      <c r="E39" s="96" t="s">
        <v>179</v>
      </c>
      <c r="F39" s="96" t="s">
        <v>179</v>
      </c>
      <c r="H39" s="96" t="s">
        <v>338</v>
      </c>
      <c r="I39" s="97">
        <v>2095</v>
      </c>
      <c r="J39" s="96" t="s">
        <v>180</v>
      </c>
      <c r="K39" s="96" t="s">
        <v>180</v>
      </c>
      <c r="L39" s="97">
        <v>2</v>
      </c>
      <c r="M39" s="97">
        <v>18</v>
      </c>
      <c r="N39" s="97">
        <v>36</v>
      </c>
      <c r="O39" s="97">
        <v>0</v>
      </c>
      <c r="P39" s="97">
        <v>524194</v>
      </c>
      <c r="Q39" s="97">
        <v>1</v>
      </c>
      <c r="R39" s="97">
        <v>0</v>
      </c>
      <c r="S39" s="97">
        <v>6</v>
      </c>
      <c r="T39" s="97">
        <v>17</v>
      </c>
      <c r="U39" s="97">
        <v>3</v>
      </c>
      <c r="V39" s="97">
        <v>1</v>
      </c>
      <c r="W39" s="98">
        <v>2.7777777777777801E-2</v>
      </c>
      <c r="X39" s="97">
        <v>2</v>
      </c>
      <c r="Y39" s="98">
        <v>5.5555555555555601E-2</v>
      </c>
      <c r="Z39" s="97">
        <v>4096</v>
      </c>
      <c r="AA39" s="97">
        <v>40</v>
      </c>
      <c r="AB39" s="97">
        <v>0</v>
      </c>
      <c r="AC39" s="97">
        <v>0</v>
      </c>
      <c r="AD39" s="96" t="s">
        <v>180</v>
      </c>
      <c r="AE39" s="96" t="s">
        <v>180</v>
      </c>
      <c r="AG39" s="96" t="s">
        <v>182</v>
      </c>
      <c r="AH39" s="96" t="s">
        <v>320</v>
      </c>
      <c r="AI39" s="96">
        <v>1</v>
      </c>
      <c r="AJ39" s="96">
        <v>1</v>
      </c>
      <c r="AK39" s="96" t="s">
        <v>186</v>
      </c>
      <c r="AM39" s="96" t="s">
        <v>188</v>
      </c>
      <c r="AN39" s="96" t="s">
        <v>321</v>
      </c>
      <c r="AO39" s="99">
        <v>45025.8536342593</v>
      </c>
      <c r="AP39" s="96" t="s">
        <v>476</v>
      </c>
      <c r="AQ39" s="96" t="s">
        <v>179</v>
      </c>
      <c r="AR39" s="96" t="s">
        <v>340</v>
      </c>
      <c r="AS39" s="96" t="s">
        <v>340</v>
      </c>
      <c r="AT39" s="96" t="s">
        <v>341</v>
      </c>
      <c r="AU39" s="96" t="s">
        <v>180</v>
      </c>
      <c r="AV39" s="96" t="s">
        <v>189</v>
      </c>
      <c r="AW39" s="96" t="s">
        <v>189</v>
      </c>
      <c r="AX39" s="96">
        <v>0</v>
      </c>
      <c r="AY39" s="96" t="s">
        <v>190</v>
      </c>
      <c r="AZ39" s="96" t="s">
        <v>342</v>
      </c>
      <c r="BA39" s="96" t="s">
        <v>477</v>
      </c>
      <c r="BB39" s="96" t="s">
        <v>477</v>
      </c>
      <c r="BC39" s="96" t="s">
        <v>192</v>
      </c>
      <c r="BD39" s="96" t="s">
        <v>190</v>
      </c>
      <c r="BE39" s="100" t="s">
        <v>362</v>
      </c>
      <c r="BF39" s="99">
        <v>44339.833333333299</v>
      </c>
      <c r="BG39" s="96" t="s">
        <v>478</v>
      </c>
      <c r="BI39" s="96" t="s">
        <v>299</v>
      </c>
      <c r="BJ39" s="96" t="s">
        <v>299</v>
      </c>
    </row>
    <row r="40" spans="1:62" x14ac:dyDescent="0.25">
      <c r="A40" s="96" t="s">
        <v>479</v>
      </c>
      <c r="B40" s="96" t="s">
        <v>474</v>
      </c>
      <c r="C40" s="96" t="s">
        <v>475</v>
      </c>
      <c r="D40" s="96" t="s">
        <v>184</v>
      </c>
      <c r="E40" s="96" t="s">
        <v>179</v>
      </c>
      <c r="F40" s="96" t="s">
        <v>179</v>
      </c>
      <c r="H40" s="96" t="s">
        <v>338</v>
      </c>
      <c r="I40" s="97">
        <v>2095</v>
      </c>
      <c r="J40" s="96" t="s">
        <v>180</v>
      </c>
      <c r="K40" s="96" t="s">
        <v>180</v>
      </c>
      <c r="L40" s="97">
        <v>2</v>
      </c>
      <c r="M40" s="97">
        <v>18</v>
      </c>
      <c r="N40" s="97">
        <v>36</v>
      </c>
      <c r="O40" s="97">
        <v>9</v>
      </c>
      <c r="P40" s="97">
        <v>524194</v>
      </c>
      <c r="Q40" s="97">
        <v>10</v>
      </c>
      <c r="R40" s="97">
        <v>0</v>
      </c>
      <c r="S40" s="97">
        <v>6</v>
      </c>
      <c r="T40" s="97">
        <v>16</v>
      </c>
      <c r="U40" s="97">
        <v>5</v>
      </c>
      <c r="V40" s="97">
        <v>4</v>
      </c>
      <c r="W40" s="98">
        <v>0.11111111111111099</v>
      </c>
      <c r="X40" s="97">
        <v>22</v>
      </c>
      <c r="Y40" s="98">
        <v>0.61111111111111105</v>
      </c>
      <c r="Z40" s="97">
        <v>69632</v>
      </c>
      <c r="AA40" s="97">
        <v>6797</v>
      </c>
      <c r="AB40" s="97">
        <v>0</v>
      </c>
      <c r="AC40" s="97">
        <v>0</v>
      </c>
      <c r="AD40" s="96" t="s">
        <v>180</v>
      </c>
      <c r="AE40" s="96" t="s">
        <v>180</v>
      </c>
      <c r="AG40" s="96" t="s">
        <v>182</v>
      </c>
      <c r="AH40" s="96" t="s">
        <v>320</v>
      </c>
      <c r="AI40" s="96">
        <v>1</v>
      </c>
      <c r="AJ40" s="96">
        <v>1</v>
      </c>
      <c r="AK40" s="96" t="s">
        <v>186</v>
      </c>
      <c r="AM40" s="96" t="s">
        <v>188</v>
      </c>
      <c r="AN40" s="96" t="s">
        <v>321</v>
      </c>
      <c r="AO40" s="99">
        <v>45025.854803240698</v>
      </c>
      <c r="AP40" s="96" t="s">
        <v>476</v>
      </c>
      <c r="AQ40" s="96" t="s">
        <v>179</v>
      </c>
      <c r="AR40" s="96" t="s">
        <v>340</v>
      </c>
      <c r="AS40" s="96" t="s">
        <v>340</v>
      </c>
      <c r="AT40" s="96" t="s">
        <v>341</v>
      </c>
      <c r="AU40" s="96" t="s">
        <v>180</v>
      </c>
      <c r="AV40" s="96" t="s">
        <v>189</v>
      </c>
      <c r="AW40" s="96" t="s">
        <v>189</v>
      </c>
      <c r="AX40" s="96">
        <v>0</v>
      </c>
      <c r="AY40" s="96" t="s">
        <v>190</v>
      </c>
      <c r="AZ40" s="96" t="s">
        <v>342</v>
      </c>
      <c r="BA40" s="96" t="s">
        <v>480</v>
      </c>
      <c r="BB40" s="96" t="s">
        <v>480</v>
      </c>
      <c r="BC40" s="96" t="s">
        <v>192</v>
      </c>
      <c r="BD40" s="96" t="s">
        <v>190</v>
      </c>
      <c r="BE40" s="100" t="s">
        <v>362</v>
      </c>
      <c r="BF40" s="99">
        <v>44339.833333333299</v>
      </c>
      <c r="BG40" s="96" t="s">
        <v>481</v>
      </c>
      <c r="BI40" s="96" t="s">
        <v>299</v>
      </c>
      <c r="BJ40" s="96" t="s">
        <v>299</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6"/>
  <dimension ref="A2:C10"/>
  <sheetViews>
    <sheetView workbookViewId="0">
      <selection activeCell="A3" sqref="A3"/>
    </sheetView>
  </sheetViews>
  <sheetFormatPr defaultRowHeight="12.5" x14ac:dyDescent="0.25"/>
  <cols>
    <col min="1" max="1" width="10.54296875" bestFit="1" customWidth="1"/>
    <col min="2" max="2" width="20.453125" bestFit="1" customWidth="1"/>
  </cols>
  <sheetData>
    <row r="2" spans="1:3" ht="13.5" x14ac:dyDescent="0.35">
      <c r="A2" s="10">
        <f>'Sizing Input'!C3*(1+'Turn The Knobs'!B7)</f>
        <v>32</v>
      </c>
      <c r="B2" s="24" t="s">
        <v>39</v>
      </c>
    </row>
    <row r="3" spans="1:3" ht="13.5" x14ac:dyDescent="0.35">
      <c r="A3" s="10">
        <v>172</v>
      </c>
      <c r="B3" s="24" t="s">
        <v>114</v>
      </c>
    </row>
    <row r="4" spans="1:3" ht="13.5" x14ac:dyDescent="0.35">
      <c r="A4">
        <f>ROUNDUP(A2*'Sizing Input'!C13,0)+A3</f>
        <v>620</v>
      </c>
      <c r="B4" s="24" t="s">
        <v>115</v>
      </c>
    </row>
    <row r="5" spans="1:3" ht="13.5" x14ac:dyDescent="0.35">
      <c r="A5" s="10">
        <f>IF('Turn The Knobs'!B13="Current On-Prem Ratio",IF('Sizing Input'!C15&gt;'Sizing Input'!C14,1,(('Sizing Input'!C14/'Sizing Input'!C15))),'Turn The Knobs'!B13)</f>
        <v>1</v>
      </c>
      <c r="B5" s="24" t="s">
        <v>42</v>
      </c>
    </row>
    <row r="6" spans="1:3" ht="13.5" x14ac:dyDescent="0.35">
      <c r="A6" s="25">
        <f>ROUNDUP(A4/A5,0)</f>
        <v>620</v>
      </c>
      <c r="B6" s="24" t="s">
        <v>116</v>
      </c>
    </row>
    <row r="7" spans="1:3" x14ac:dyDescent="0.25">
      <c r="B7" s="26"/>
    </row>
    <row r="9" spans="1:3" ht="14.5" x14ac:dyDescent="0.35">
      <c r="A9" s="2" t="s">
        <v>44</v>
      </c>
      <c r="B9" s="2" t="s">
        <v>45</v>
      </c>
      <c r="C9" s="2" t="s">
        <v>46</v>
      </c>
    </row>
    <row r="10" spans="1:3" ht="14.5" x14ac:dyDescent="0.35">
      <c r="A10" s="2">
        <f>ROUNDUP($A$6/'Host Configurations'!B6,0)</f>
        <v>1</v>
      </c>
      <c r="B10" s="2">
        <f>ROUNDUP($A$6/'Host Configurations'!C6,0)</f>
        <v>1</v>
      </c>
      <c r="C10" s="2">
        <f>ROUNDUP($A$6/'Host Configurations'!D6,0)</f>
        <v>1</v>
      </c>
    </row>
  </sheetData>
  <pageMargins left="0.7" right="0.7" top="0.75" bottom="0.75" header="0.3" footer="0.3"/>
  <pageSetup orientation="portrait" horizontalDpi="0" verticalDpi="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Date xmlns="a174434f-feee-45f0-8885-d59fe45e3491">2022-05-18T00:50:36+00:00</Date>
    <a33c1dec0cf54f05b1b5d74b41071a23 xmlns="a174434f-feee-45f0-8885-d59fe45e3491">
      <Terms xmlns="http://schemas.microsoft.com/office/infopath/2007/PartnerControls"/>
    </a33c1dec0cf54f05b1b5d74b41071a23>
    <TaxCatchAll xmlns="230e9df3-be65-4c73-a93b-d1236ebd677e"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 
</file>

<file path=customXml/item4.xml><?xml version="1.0" encoding="utf-8"?>
<ct:contentTypeSchema xmlns:ct="http://schemas.microsoft.com/office/2006/metadata/contentType" xmlns:ma="http://schemas.microsoft.com/office/2006/metadata/properties/metaAttributes" ct:_="" ma:_="" ma:contentTypeName="Document" ma:contentTypeID="0x01010089CEFF4A8C8987429209E26EF57D6257" ma:contentTypeVersion="18" ma:contentTypeDescription="Create a new document." ma:contentTypeScope="" ma:versionID="8676499d106dbfd3b5a44f3c0a338ff4">
  <xsd:schema xmlns:xsd="http://www.w3.org/2001/XMLSchema" xmlns:xs="http://www.w3.org/2001/XMLSchema" xmlns:p="http://schemas.microsoft.com/office/2006/metadata/properties" xmlns:ns1="http://schemas.microsoft.com/sharepoint/v3" xmlns:ns2="a174434f-feee-45f0-8885-d59fe45e3491" xmlns:ns3="2cbfe911-e091-41e7-a9b3-a45e99a0a036" xmlns:ns4="230e9df3-be65-4c73-a93b-d1236ebd677e" targetNamespace="http://schemas.microsoft.com/office/2006/metadata/properties" ma:root="true" ma:fieldsID="6e6a7f9bfc10412fa13ab5131a40b095" ns1:_="" ns2:_="" ns3:_="" ns4:_="">
    <xsd:import namespace="http://schemas.microsoft.com/sharepoint/v3"/>
    <xsd:import namespace="a174434f-feee-45f0-8885-d59fe45e3491"/>
    <xsd:import namespace="2cbfe911-e091-41e7-a9b3-a45e99a0a036"/>
    <xsd:import namespace="230e9df3-be65-4c73-a93b-d1236ebd677e"/>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MediaServiceAutoTags" minOccurs="0"/>
                <xsd:element ref="ns2:MediaServiceOCR" minOccurs="0"/>
                <xsd:element ref="ns2:MediaServiceGenerationTime" minOccurs="0"/>
                <xsd:element ref="ns2:MediaServiceEventHashCode" minOccurs="0"/>
                <xsd:element ref="ns2:MediaServiceDateTaken" minOccurs="0"/>
                <xsd:element ref="ns3:SharedWithUsers" minOccurs="0"/>
                <xsd:element ref="ns3:SharedWithDetails" minOccurs="0"/>
                <xsd:element ref="ns1:_ip_UnifiedCompliancePolicyProperties" minOccurs="0"/>
                <xsd:element ref="ns1:_ip_UnifiedCompliancePolicyUIAction" minOccurs="0"/>
                <xsd:element ref="ns2:MediaLengthInSeconds" minOccurs="0"/>
                <xsd:element ref="ns2:Date"/>
                <xsd:element ref="ns2:a33c1dec0cf54f05b1b5d74b41071a23" minOccurs="0"/>
                <xsd:element ref="ns4:TaxCatchAll"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9" nillable="true" ma:displayName="Unified Compliance Policy Properties" ma:hidden="true" ma:internalName="_ip_UnifiedCompliancePolicyProperties">
      <xsd:simpleType>
        <xsd:restriction base="dms:Note"/>
      </xsd:simpleType>
    </xsd:element>
    <xsd:element name="_ip_UnifiedCompliancePolicyUIAction" ma:index="20"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a174434f-feee-45f0-8885-d59fe45e3491"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AutoTags" ma:index="12" nillable="true" ma:displayName="Tags" ma:internalName="MediaServiceAutoTags" ma:readOnly="true">
      <xsd:simpleType>
        <xsd:restriction base="dms:Text"/>
      </xsd:simpleType>
    </xsd:element>
    <xsd:element name="MediaServiceOCR" ma:index="13" nillable="true" ma:displayName="Extracted Text" ma:internalName="MediaServiceOCR" ma:readOnly="true">
      <xsd:simpleType>
        <xsd:restriction base="dms:Note">
          <xsd:maxLength value="255"/>
        </xsd:restriction>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DateTaken" ma:index="16" nillable="true" ma:displayName="MediaServiceDateTaken" ma:hidden="true" ma:internalName="MediaServiceDateTaken" ma:readOnly="true">
      <xsd:simpleType>
        <xsd:restriction base="dms:Text"/>
      </xsd:simpleType>
    </xsd:element>
    <xsd:element name="MediaLengthInSeconds" ma:index="21" nillable="true" ma:displayName="Length (seconds)" ma:internalName="MediaLengthInSeconds" ma:readOnly="true">
      <xsd:simpleType>
        <xsd:restriction base="dms:Unknown"/>
      </xsd:simpleType>
    </xsd:element>
    <xsd:element name="Date" ma:index="22" ma:displayName="Date" ma:default="[today]" ma:format="DateTime" ma:internalName="Date">
      <xsd:simpleType>
        <xsd:restriction base="dms:DateTime"/>
      </xsd:simpleType>
    </xsd:element>
    <xsd:element name="a33c1dec0cf54f05b1b5d74b41071a23" ma:index="24" ma:taxonomy="true" ma:internalName="a33c1dec0cf54f05b1b5d74b41071a23" ma:taxonomyFieldName="_x002e_" ma:displayName="." ma:indexed="true" ma:default="" ma:fieldId="{a33c1dec-0cf5-4f05-b1b5-d74b41071a23}" ma:sspId="e385fb40-52d4-4fae-9c5b-3e8ff8a5878e" ma:termSetId="db0faba3-c436-4f1c-884b-87dcbd306553" ma:anchorId="00000000-0000-0000-0000-000000000000" ma:open="tru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2cbfe911-e091-41e7-a9b3-a45e99a0a036" elementFormDefault="qualified">
    <xsd:import namespace="http://schemas.microsoft.com/office/2006/documentManagement/types"/>
    <xsd:import namespace="http://schemas.microsoft.com/office/infopath/2007/PartnerControls"/>
    <xsd:element name="SharedWithUsers" ma:index="17"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8"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230e9df3-be65-4c73-a93b-d1236ebd677e" elementFormDefault="qualified">
    <xsd:import namespace="http://schemas.microsoft.com/office/2006/documentManagement/types"/>
    <xsd:import namespace="http://schemas.microsoft.com/office/infopath/2007/PartnerControls"/>
    <xsd:element name="TaxCatchAll" ma:index="25" nillable="true" ma:displayName="Taxonomy Catch All Column" ma:hidden="true" ma:list="{174d21d8-4d2b-4e41-9968-2c59309292ef}" ma:internalName="TaxCatchAll" ma:showField="CatchAllData" ma:web="2cbfe911-e091-41e7-a9b3-a45e99a0a036">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9B12C46E-6ECC-4072-AB49-1EE21AAF44C4}">
  <ds:schemaRefs>
    <ds:schemaRef ds:uri="http://schemas.microsoft.com/office/2006/metadata/properties"/>
    <ds:schemaRef ds:uri="http://schemas.microsoft.com/office/infopath/2007/PartnerControls"/>
    <ds:schemaRef ds:uri="http://schemas.microsoft.com/sharepoint/v3"/>
    <ds:schemaRef ds:uri="a174434f-feee-45f0-8885-d59fe45e3491"/>
    <ds:schemaRef ds:uri="230e9df3-be65-4c73-a93b-d1236ebd677e"/>
  </ds:schemaRefs>
</ds:datastoreItem>
</file>

<file path=customXml/itemProps2.xml><?xml version="1.0" encoding="utf-8"?>
<ds:datastoreItem xmlns:ds="http://schemas.openxmlformats.org/officeDocument/2006/customXml" ds:itemID="{93091D52-B3C3-410C-AAC6-1C6B48A2703C}">
  <ds:schemaRefs>
    <ds:schemaRef ds:uri="http://schemas.microsoft.com/sharepoint/v3/contenttype/forms"/>
  </ds:schemaRefs>
</ds:datastoreItem>
</file>

<file path=customXml/itemProps3.xml><?xml version="1.0" encoding="utf-8"?>
<ds:datastoreItem xmlns:ds="http://schemas.openxmlformats.org/officeDocument/2006/customXml" ds:itemID="{76A4BA02-C819-41A3-9F3B-E88F185DB894}">
  <ds:schemaRefs>
    <ds:schemaRef ds:uri="http://schemas.microsoft.com/DataMashup"/>
  </ds:schemaRefs>
</ds:datastoreItem>
</file>

<file path=customXml/itemProps4.xml><?xml version="1.0" encoding="utf-8"?>
<ds:datastoreItem xmlns:ds="http://schemas.openxmlformats.org/officeDocument/2006/customXml" ds:itemID="{FF23F1DB-69E5-4673-97DA-2A923033682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a174434f-feee-45f0-8885-d59fe45e3491"/>
    <ds:schemaRef ds:uri="2cbfe911-e091-41e7-a9b3-a45e99a0a036"/>
    <ds:schemaRef ds:uri="230e9df3-be65-4c73-a93b-d1236ebd677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Metadata/LabelInfo.xml><?xml version="1.0" encoding="utf-8"?>
<clbl:labelList xmlns:clbl="http://schemas.microsoft.com/office/2020/mipLabelMetadata">
  <clbl:label id="{f42aa342-8706-4288-bd11-ebb85995028c}" enabled="1" method="Standard" siteId="{72f988bf-86f1-41af-91ab-2d7cd011db47}"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START HERE</vt:lpstr>
      <vt:lpstr>Compare On-Prem to AVS </vt:lpstr>
      <vt:lpstr>Turn The Knobs</vt:lpstr>
      <vt:lpstr>CPU Details</vt:lpstr>
      <vt:lpstr>Storage Details</vt:lpstr>
      <vt:lpstr>Host Configurations</vt:lpstr>
      <vt:lpstr>Sheet3</vt:lpstr>
      <vt:lpstr>Sizing Input</vt:lpstr>
      <vt:lpstr>vInfo (Imported)</vt:lpstr>
      <vt:lpstr>vHosts (Imported)</vt:lpstr>
      <vt:lpstr>Memory Details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Trevor Davis</dc:creator>
  <cp:keywords/>
  <dc:description/>
  <cp:lastModifiedBy>Trevor Davis</cp:lastModifiedBy>
  <cp:revision/>
  <dcterms:created xsi:type="dcterms:W3CDTF">2019-06-10T13:53:52Z</dcterms:created>
  <dcterms:modified xsi:type="dcterms:W3CDTF">2023-11-26T01:26:23Z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0x01010089CEFF4A8C8987429209E26EF57D6257</vt:lpwstr>
  </property>
  <property fmtid="{D5CDD505-2E9C-101B-9397-08002B2CF9AE}" pid="3" name="MSIP_Label_f42aa342-8706-4288-bd11-ebb85995028c_Enabled">
    <vt:lpwstr>True</vt:lpwstr>
  </property>
  <property fmtid="{D5CDD505-2E9C-101B-9397-08002B2CF9AE}" pid="4" name="MSIP_Label_f42aa342-8706-4288-bd11-ebb85995028c_SiteId">
    <vt:lpwstr>72f988bf-86f1-41af-91ab-2d7cd011db47</vt:lpwstr>
  </property>
  <property fmtid="{D5CDD505-2E9C-101B-9397-08002B2CF9AE}" pid="5" name="MSIP_Label_f42aa342-8706-4288-bd11-ebb85995028c_Owner">
    <vt:lpwstr>tredavis@microsoft.com</vt:lpwstr>
  </property>
  <property fmtid="{D5CDD505-2E9C-101B-9397-08002B2CF9AE}" pid="6" name="MSIP_Label_f42aa342-8706-4288-bd11-ebb85995028c_SetDate">
    <vt:lpwstr>2019-10-18T13:55:57.6824045Z</vt:lpwstr>
  </property>
  <property fmtid="{D5CDD505-2E9C-101B-9397-08002B2CF9AE}" pid="7" name="MSIP_Label_f42aa342-8706-4288-bd11-ebb85995028c_Name">
    <vt:lpwstr>General</vt:lpwstr>
  </property>
  <property fmtid="{D5CDD505-2E9C-101B-9397-08002B2CF9AE}" pid="8" name="MSIP_Label_f42aa342-8706-4288-bd11-ebb85995028c_Application">
    <vt:lpwstr>Microsoft Azure Information Protection</vt:lpwstr>
  </property>
  <property fmtid="{D5CDD505-2E9C-101B-9397-08002B2CF9AE}" pid="9" name="MSIP_Label_f42aa342-8706-4288-bd11-ebb85995028c_ActionId">
    <vt:lpwstr>d1f8a198-cd38-4aa9-a915-933c165fcf81</vt:lpwstr>
  </property>
  <property fmtid="{D5CDD505-2E9C-101B-9397-08002B2CF9AE}" pid="10" name="MSIP_Label_f42aa342-8706-4288-bd11-ebb85995028c_Extended_MSFT_Method">
    <vt:lpwstr>Automatic</vt:lpwstr>
  </property>
  <property fmtid="{D5CDD505-2E9C-101B-9397-08002B2CF9AE}" pid="11" name="Sensitivity">
    <vt:lpwstr>General</vt:lpwstr>
  </property>
  <property fmtid="{D5CDD505-2E9C-101B-9397-08002B2CF9AE}" pid="12" name="xd_Signature">
    <vt:bool>false</vt:bool>
  </property>
  <property fmtid="{D5CDD505-2E9C-101B-9397-08002B2CF9AE}" pid="13" name="xd_ProgID">
    <vt:lpwstr/>
  </property>
  <property fmtid="{D5CDD505-2E9C-101B-9397-08002B2CF9AE}" pid="14" name="ComplianceAssetId">
    <vt:lpwstr/>
  </property>
  <property fmtid="{D5CDD505-2E9C-101B-9397-08002B2CF9AE}" pid="15" name="TemplateUrl">
    <vt:lpwstr/>
  </property>
</Properties>
</file>