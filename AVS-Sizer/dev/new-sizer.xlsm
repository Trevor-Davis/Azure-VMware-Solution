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dev/"/>
    </mc:Choice>
  </mc:AlternateContent>
  <xr:revisionPtr revIDLastSave="22" documentId="8_{F73809FB-90C0-4633-A031-BF63D9E7A4A3}" xr6:coauthVersionLast="47" xr6:coauthVersionMax="47" xr10:uidLastSave="{0878133A-CA68-4E97-9312-C57EC5E31C4A}"/>
  <bookViews>
    <workbookView xWindow="-110" yWindow="-110" windowWidth="24220" windowHeight="15500" tabRatio="844" activeTab="2"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r:id="rId5"/>
    <sheet name="Host Configurations" sheetId="9"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9" l="1"/>
  <c r="C22" i="5"/>
  <c r="C13" i="5"/>
  <c r="C7" i="5"/>
  <c r="C20" i="5"/>
  <c r="C14" i="5"/>
  <c r="C8" i="5"/>
  <c r="C3" i="5"/>
  <c r="C19" i="5"/>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I7" i="16"/>
  <c r="J7" i="16" s="1"/>
  <c r="J8" i="16" s="1"/>
  <c r="J9" i="16" s="1"/>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10" i="9" l="1"/>
  <c r="C10" i="9"/>
  <c r="B9" i="9"/>
  <c r="B10" i="9" s="1"/>
  <c r="C6" i="16"/>
  <c r="B15" i="9" l="1"/>
  <c r="B16" i="9"/>
  <c r="B18" i="9"/>
  <c r="B17" i="9"/>
  <c r="C18" i="9"/>
  <c r="C15" i="9"/>
  <c r="C16" i="9"/>
  <c r="C17" i="9"/>
  <c r="D17" i="9"/>
  <c r="D18" i="9"/>
  <c r="D15" i="9"/>
  <c r="D16" i="9"/>
  <c r="D2" i="11"/>
  <c r="C2" i="11"/>
  <c r="A45" i="11"/>
  <c r="G3" i="11" l="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A5" i="25" l="1"/>
  <c r="C16" i="5" l="1"/>
  <c r="A4" i="24" l="1"/>
  <c r="B13" i="4"/>
  <c r="A5" i="24" s="1"/>
  <c r="C9" i="15"/>
  <c r="A6" i="24" l="1"/>
  <c r="C10" i="5"/>
  <c r="C7" i="15" s="1"/>
  <c r="C10" i="24"/>
  <c r="D19" i="4" s="1"/>
  <c r="B10" i="24"/>
  <c r="C19" i="4" s="1"/>
  <c r="A10" i="24"/>
  <c r="B19" i="4" s="1"/>
  <c r="A4" i="25" l="1"/>
  <c r="A6" i="25" s="1"/>
  <c r="C10" i="25" s="1"/>
  <c r="D18" i="4" s="1"/>
  <c r="B10" i="25" l="1"/>
  <c r="C18" i="4" s="1"/>
  <c r="A10" i="25"/>
  <c r="B18" i="4" s="1"/>
  <c r="C21" i="5"/>
  <c r="C13" i="15" s="1"/>
  <c r="C11" i="15"/>
  <c r="B7" i="16" l="1"/>
  <c r="B8" i="16" s="1"/>
  <c r="B9" i="16" s="1"/>
  <c r="C11" i="16" s="1"/>
  <c r="B25" i="16"/>
  <c r="B26" i="16" s="1"/>
  <c r="G24" i="16" s="1"/>
  <c r="B17" i="16"/>
  <c r="H17" i="16" s="1"/>
  <c r="E25" i="16"/>
  <c r="F25" i="16"/>
  <c r="B28" i="16" s="1"/>
  <c r="B20" i="4" s="1"/>
  <c r="H25" i="16"/>
  <c r="H24" i="16"/>
  <c r="B10" i="16"/>
  <c r="B11" i="16" s="1"/>
  <c r="B12" i="16" s="1"/>
  <c r="G17" i="16" l="1"/>
  <c r="E17" i="16"/>
  <c r="E26" i="16"/>
  <c r="F17" i="16"/>
  <c r="G25" i="16"/>
  <c r="F24" i="16"/>
  <c r="B27" i="16" s="1"/>
  <c r="D20" i="4" s="1"/>
  <c r="D22" i="4" s="1"/>
  <c r="D23" i="4" s="1"/>
  <c r="H26" i="16"/>
  <c r="E24" i="16"/>
  <c r="B22" i="4"/>
  <c r="D5" i="15" s="1"/>
  <c r="E5" i="15" s="1"/>
  <c r="F26" i="16"/>
  <c r="G26" i="16"/>
  <c r="B29" i="16" l="1"/>
  <c r="C20" i="4" s="1"/>
  <c r="C22" i="4" s="1"/>
  <c r="C23" i="4" s="1"/>
  <c r="D6" i="15"/>
  <c r="D7" i="15" s="1"/>
  <c r="D10" i="15"/>
  <c r="D13" i="15" s="1"/>
  <c r="D8" i="15"/>
  <c r="D9" i="15" s="1"/>
  <c r="B23" i="4"/>
</calcChain>
</file>

<file path=xl/sharedStrings.xml><?xml version="1.0" encoding="utf-8"?>
<sst xmlns="http://schemas.openxmlformats.org/spreadsheetml/2006/main" count="154" uniqueCount="117">
  <si>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</si>
  <si>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</si>
  <si>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</si>
  <si>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</si>
  <si>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</si>
  <si>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</si>
  <si>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</si>
  <si>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</si>
  <si>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</si>
  <si>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</si>
  <si>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</si>
  <si>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</si>
  <si>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</si>
  <si>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</si>
  <si>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</si>
  <si>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</si>
  <si>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</si>
  <si>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</si>
  <si>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</si>
  <si>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</si>
  <si>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</si>
  <si>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</si>
  <si>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</si>
  <si>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</si>
  <si>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</si>
  <si>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</si>
  <si>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</si>
  <si>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</si>
  <si>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</si>
  <si>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</si>
  <si>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</si>
  <si>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</si>
  <si>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</si>
  <si>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</si>
  <si>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</si>
  <si>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</si>
  <si>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</si>
  <si>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</si>
  <si>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</si>
  <si>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</si>
  <si>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</si>
  <si>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</si>
  <si>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</si>
  <si>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</si>
  <si>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</si>
  <si>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</si>
  <si>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</si>
  <si>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</si>
  <si>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</si>
  <si>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</si>
  <si>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</si>
  <si>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</si>
  <si>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</si>
  <si>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</si>
  <si>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</si>
  <si>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</si>
  <si>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</si>
  <si>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</si>
  <si>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</si>
  <si>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</si>
  <si>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</si>
  <si>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</si>
  <si>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</si>
  <si>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</si>
  <si>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</si>
  <si>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</si>
  <si>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</si>
  <si>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</si>
  <si>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</si>
  <si>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</si>
  <si>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</si>
  <si>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</si>
  <si>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</si>
  <si>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</si>
  <si>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</si>
  <si>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</si>
  <si>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</si>
  <si>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</si>
  <si>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</si>
  <si>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</si>
  <si>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</si>
  <si>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</si>
  <si>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</si>
  <si>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</si>
  <si>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</si>
  <si>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</si>
  <si>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</si>
  <si>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</si>
  <si>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</si>
  <si>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</si>
  <si>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</si>
  <si>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</si>
  <si>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</si>
  <si>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</si>
  <si>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</si>
  <si>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</si>
  <si>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</si>
  <si>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</si>
  <si>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</si>
  <si>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</si>
  <si>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</si>
  <si>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</si>
  <si>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</si>
  <si>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</si>
  <si>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</si>
  <si>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</si>
  <si>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</si>
  <si>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</si>
  <si>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</si>
  <si>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</si>
  <si>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</si>
  <si>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</si>
  <si>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</si>
  <si>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NOTE: If you are seeing issues with the Macros being enabled because of a security violation, see this link.</t>
  </si>
  <si>
    <t>https://support.microsoft.com/en-us/topic/a-potentially-dangerous-macro-has-been-blocked-0952faa0-37e7-4316-b61d-5b5ed6024216</t>
  </si>
  <si>
    <t>manual</t>
  </si>
  <si>
    <t>AV64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</si>
</sst>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9"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1">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xf numFmtId="0" fontId="28" fillId="0" borderId="0" applyNumberFormat="0" applyFill="0" applyBorder="0" applyAlignment="0" applyProtection="0"/>
  </cellStyleXfs>
  <cellXfs count="10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28" fillId="3" borderId="0" xfId="10" applyFill="1"/>
    <xf numFmtId="0" fontId="15" fillId="3" borderId="1" xfId="0" applyFont="1" applyFill="1" applyBorder="1" applyAlignment="1">
      <alignment horizontal="center"/>
    </xf>
    <xf numFmtId="0" fontId="27" fillId="3" borderId="0" xfId="0" applyFont="1" applyFill="1" applyAlignment="1">
      <alignment horizontal="left" wrapText="1"/>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cellXfs>
  <cellStyles count="11">
    <cellStyle name="Comma" xfId="3" builtinId="3"/>
    <cellStyle name="Comma 2" xfId="7" xr:uid="{DCD1A837-9915-4C39-A223-3CC6F9C62875}"/>
    <cellStyle name="Comma 3" xfId="8" xr:uid="{27985B2F-6CE2-45E5-B753-F2DE28799D2B}"/>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393700</xdr:colOff>
          <xdr:row>8</xdr:row>
          <xdr:rowOff>120650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406400</xdr:colOff>
          <xdr:row>18</xdr:row>
          <xdr:rowOff>38100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customProperty" Target="../customProperty1.bin"/><Relationship Id="rId7" Type="http://schemas.openxmlformats.org/officeDocument/2006/relationships/image" Target="../media/image1.emf"/><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workbookViewId="0">
      <selection activeCell="H30" sqref="H30"/>
    </sheetView>
  </sheetViews>
  <sheetFormatPr defaultColWidth="9" defaultRowHeight="12.5" x14ac:dyDescent="0.25"/>
  <cols>
    <col min="1" max="16384" width="9" style="40"/>
  </cols>
  <sheetData>
    <row r="2" spans="1:54" ht="28" x14ac:dyDescent="0.6">
      <c r="A2" s="101" t="s">
        <v>98</v>
      </c>
      <c r="B2" s="101"/>
      <c r="C2" s="101"/>
      <c r="D2" s="101"/>
      <c r="E2" s="101"/>
      <c r="F2" s="101"/>
      <c r="G2" s="101"/>
      <c r="H2" s="101"/>
      <c r="I2" s="101"/>
      <c r="J2" s="101"/>
      <c r="K2" s="101"/>
      <c r="L2" s="101"/>
      <c r="M2" s="101"/>
      <c r="N2" s="101"/>
      <c r="O2" s="101"/>
      <c r="AK2" s="41"/>
      <c r="BB2" s="41"/>
    </row>
    <row r="3" spans="1:54" ht="28" x14ac:dyDescent="0.6">
      <c r="C3" s="39"/>
      <c r="D3" s="39"/>
      <c r="E3" s="39"/>
      <c r="F3" s="39"/>
      <c r="G3" s="39"/>
      <c r="H3" s="39"/>
      <c r="AK3" s="41"/>
      <c r="BB3" s="41"/>
    </row>
    <row r="4" spans="1:54" x14ac:dyDescent="0.25">
      <c r="L4" s="102" t="s">
        <v>113</v>
      </c>
      <c r="M4" s="102"/>
      <c r="N4" s="102"/>
      <c r="O4" s="102"/>
      <c r="P4" s="102"/>
      <c r="AK4" s="41"/>
      <c r="BB4" s="41"/>
    </row>
    <row r="5" spans="1:54" x14ac:dyDescent="0.25">
      <c r="L5" s="102"/>
      <c r="M5" s="102"/>
      <c r="N5" s="102"/>
      <c r="O5" s="102"/>
      <c r="P5" s="102"/>
      <c r="AK5" s="41"/>
      <c r="BB5" s="41"/>
    </row>
    <row r="6" spans="1:54" x14ac:dyDescent="0.25">
      <c r="L6" s="102"/>
      <c r="M6" s="102"/>
      <c r="N6" s="102"/>
      <c r="O6" s="102"/>
      <c r="P6" s="102"/>
      <c r="AK6" s="41"/>
      <c r="BB6" s="41"/>
    </row>
    <row r="7" spans="1:54" x14ac:dyDescent="0.25">
      <c r="L7" s="102"/>
      <c r="M7" s="102"/>
      <c r="N7" s="102"/>
      <c r="O7" s="102"/>
      <c r="P7" s="102"/>
      <c r="AK7" s="41"/>
      <c r="BB7" s="41"/>
    </row>
    <row r="8" spans="1:54" x14ac:dyDescent="0.25">
      <c r="L8" s="100" t="s">
        <v>114</v>
      </c>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8" spans="1:2" hidden="1" x14ac:dyDescent="0.25"/>
    <row r="99" spans="1:2" hidden="1" x14ac:dyDescent="0.25">
      <c r="A99" s="80" t="s">
        <v>115</v>
      </c>
    </row>
    <row r="100" spans="1:2" hidden="1" x14ac:dyDescent="0.25">
      <c r="A100" s="81">
        <v>101389</v>
      </c>
      <c r="B100" s="40" t="s">
        <v>99</v>
      </c>
    </row>
    <row r="101" spans="1:2" hidden="1" x14ac:dyDescent="0.25">
      <c r="A101" s="81">
        <v>5.3</v>
      </c>
      <c r="B101" s="40" t="s">
        <v>100</v>
      </c>
    </row>
    <row r="102" spans="1:2" hidden="1" x14ac:dyDescent="0.25">
      <c r="A102" s="81">
        <v>25.4</v>
      </c>
      <c r="B102" s="40" t="s">
        <v>101</v>
      </c>
    </row>
    <row r="103" spans="1:2" hidden="1" x14ac:dyDescent="0.25">
      <c r="A103" s="81">
        <v>610000</v>
      </c>
      <c r="B103" s="40" t="s">
        <v>102</v>
      </c>
    </row>
    <row r="104" spans="1:2" hidden="1" x14ac:dyDescent="0.25">
      <c r="A104" s="81">
        <v>1</v>
      </c>
      <c r="B104" s="40" t="s">
        <v>103</v>
      </c>
    </row>
    <row r="105" spans="1:2" hidden="1" x14ac:dyDescent="0.25"/>
    <row r="106" spans="1:2" hidden="1" x14ac:dyDescent="0.25"/>
    <row r="107" spans="1:2" hidden="1" x14ac:dyDescent="0.25"/>
  </sheetData>
  <mergeCells count="2">
    <mergeCell ref="A2:O2"/>
    <mergeCell ref="L4:P7"/>
  </mergeCells>
  <hyperlinks>
    <hyperlink ref="L8" r:id="rId1" xr:uid="{FC7E7CEA-D594-4345-8C4F-00AAA7D07EAE}"/>
  </hyperlinks>
  <pageMargins left="0.7" right="0.7" top="0.75" bottom="0.75" header="0.3" footer="0.3"/>
  <pageSetup orientation="portrait" r:id="rId2"/>
  <customProperties>
    <customPr name="EpmWorksheetKeyString_GUID" r:id="rId3"/>
  </customProperties>
  <drawing r:id="rId4"/>
  <legacyDrawing r:id="rId5"/>
  <controls>
    <mc:AlternateContent xmlns:mc="http://schemas.openxmlformats.org/markup-compatibility/2006">
      <mc:Choice Requires="x14">
        <control shapeId="1026" r:id="rId6" name="ImportRVTools">
          <controlPr defaultSize="0" autoLine="0" r:id="rId7">
            <anchor moveWithCells="1">
              <from>
                <xdr:col>5</xdr:col>
                <xdr:colOff>266700</xdr:colOff>
                <xdr:row>2</xdr:row>
                <xdr:rowOff>279400</xdr:rowOff>
              </from>
              <to>
                <xdr:col>9</xdr:col>
                <xdr:colOff>393700</xdr:colOff>
                <xdr:row>8</xdr:row>
                <xdr:rowOff>120650</xdr:rowOff>
              </to>
            </anchor>
          </controlPr>
        </control>
      </mc:Choice>
      <mc:Fallback>
        <control shapeId="1026" r:id="rId6" name="ImportRVTools"/>
      </mc:Fallback>
    </mc:AlternateContent>
    <mc:AlternateContent xmlns:mc="http://schemas.openxmlformats.org/markup-compatibility/2006">
      <mc:Choice Requires="x14">
        <control shapeId="1027" r:id="rId8" name="ManualDataInput">
          <controlPr defaultSize="0" autoLine="0" r:id="rId9">
            <anchor moveWithCells="1">
              <from>
                <xdr:col>5</xdr:col>
                <xdr:colOff>260350</xdr:colOff>
                <xdr:row>11</xdr:row>
                <xdr:rowOff>133350</xdr:rowOff>
              </from>
              <to>
                <xdr:col>9</xdr:col>
                <xdr:colOff>406400</xdr:colOff>
                <xdr:row>18</xdr:row>
                <xdr:rowOff>38100</xdr:rowOff>
              </to>
            </anchor>
          </controlPr>
        </control>
      </mc:Choice>
      <mc:Fallback>
        <control shapeId="1027" r:id="rId8"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6328125" bestFit="1" customWidth="1"/>
    <col min="3" max="3" width="12" customWidth="1"/>
    <col min="4" max="4" width="13.26953125" customWidth="1"/>
    <col min="5" max="5" width="8.36328125" customWidth="1"/>
  </cols>
  <sheetData>
    <row r="2" spans="2:5" ht="50" x14ac:dyDescent="0.25">
      <c r="C2" s="36" t="s">
        <v>0</v>
      </c>
      <c r="D2" s="36" t="s">
        <v>1</v>
      </c>
    </row>
    <row r="4" spans="2:5" x14ac:dyDescent="0.25">
      <c r="B4" t="str">
        <f>'Sizing Input'!B3</f>
        <v>VMs</v>
      </c>
      <c r="C4">
        <f>'Sizing Input'!C3</f>
        <v>10138.9</v>
      </c>
      <c r="D4">
        <f>ROUNDUP('Sizing Input'!C3*('Turn The Knobs'!B7+1),0)</f>
        <v>10139</v>
      </c>
    </row>
    <row r="5" spans="2:5" x14ac:dyDescent="0.25">
      <c r="B5" t="str">
        <f>'Sizing Input'!B4</f>
        <v>Hosts</v>
      </c>
      <c r="C5">
        <f>'Sizing Input'!C4</f>
        <v>0</v>
      </c>
      <c r="D5">
        <f>'Turn The Knobs'!B22</f>
        <v>452</v>
      </c>
      <c r="E5" s="7" t="str">
        <f>IF(D5='Turn The Knobs'!B22,"CS36","CS36m")</f>
        <v>CS36</v>
      </c>
    </row>
    <row r="6" spans="2:5" x14ac:dyDescent="0.2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25">
      <c r="B7" t="str">
        <f>'Sizing Input'!B10</f>
        <v>vCPU:pCPU Overcommit</v>
      </c>
      <c r="C7" s="5">
        <f>'Sizing Input'!C10</f>
        <v>0</v>
      </c>
      <c r="D7" s="31" t="e">
        <f>IF('Sizing Input'!C9&gt;'Sizing Input'!C8,1,ROUNDUP(('CPU Details'!A4/'Compare On-Prem to AVS '!D6),1)&amp;" : 1")</f>
        <v>#DIV/0!</v>
      </c>
    </row>
    <row r="8" spans="2:5" x14ac:dyDescent="0.2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25">
      <c r="B9" t="str">
        <f>'Sizing Input'!B16</f>
        <v>vMem:pMem Overcommit</v>
      </c>
      <c r="C9" s="33">
        <f>'Sizing Input'!C16</f>
        <v>0</v>
      </c>
      <c r="D9" s="5" t="str">
        <f>IF(D8&gt;'Sizing Input'!C14,1&amp;" : 1",ROUNDUP(('Sizing Input'!C14/'Compare On-Prem to AVS '!D8),1)&amp;" : 1")</f>
        <v>1 : 1</v>
      </c>
    </row>
    <row r="10" spans="2:5" ht="14.5" x14ac:dyDescent="0.2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5">
      <c r="B11" t="str">
        <f>'Sizing Input'!B20</f>
        <v>Storage Deployed to VMs - TB</v>
      </c>
      <c r="C11" s="27">
        <f>'Sizing Input'!C20</f>
        <v>6184.7290000000003</v>
      </c>
      <c r="D11" s="27" t="e">
        <f>'Storage Details'!#REF!</f>
        <v>#REF!</v>
      </c>
    </row>
    <row r="12" spans="2:5" x14ac:dyDescent="0.25">
      <c r="B12" t="str">
        <f>'Sizing Input'!B19</f>
        <v xml:space="preserve">Consumed Storage Across VMs - TB  </v>
      </c>
      <c r="C12" s="4">
        <f>'Sizing Input'!C19</f>
        <v>0</v>
      </c>
      <c r="D12" s="4" t="e">
        <f>'Storage Details'!#REF!</f>
        <v>#REF!</v>
      </c>
    </row>
    <row r="13" spans="2:5" x14ac:dyDescent="0.25">
      <c r="B13" t="str">
        <f>'Sizing Input'!B21</f>
        <v>Storage Utilization %</v>
      </c>
      <c r="C13" s="28">
        <f>'Sizing Input'!C21</f>
        <v>0</v>
      </c>
      <c r="D13" s="28" t="e">
        <f>D12/D10</f>
        <v>#REF!</v>
      </c>
    </row>
  </sheetData>
  <pageMargins left="0.7" right="0.7" top="0.75" bottom="0.75" header="0.3" footer="0.3"/>
  <customProperties>
    <customPr name="EpmWorksheetKeyString_GU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tabSelected="1" workbookViewId="0">
      <selection activeCell="B31" sqref="B31"/>
    </sheetView>
  </sheetViews>
  <sheetFormatPr defaultColWidth="65.26953125" defaultRowHeight="12.5" x14ac:dyDescent="0.25"/>
  <cols>
    <col min="1" max="1" width="48.6328125" bestFit="1" customWidth="1"/>
    <col min="2" max="2" width="19.36328125" bestFit="1" customWidth="1"/>
    <col min="3" max="3" width="6.81640625" bestFit="1" customWidth="1"/>
    <col min="4" max="4" width="9.5429687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21</v>
      </c>
      <c r="B4" s="16" t="s">
        <v>22</v>
      </c>
      <c r="C4" s="105" t="s">
        <v>23</v>
      </c>
      <c r="D4" s="105"/>
      <c r="E4" s="105"/>
      <c r="F4" s="105"/>
      <c r="G4" s="10"/>
      <c r="H4" s="10"/>
      <c r="I4" s="10"/>
      <c r="J4" s="10"/>
      <c r="K4" s="10"/>
      <c r="L4" s="10"/>
      <c r="M4" s="10"/>
      <c r="N4" s="10"/>
      <c r="O4" s="10"/>
      <c r="P4" s="10"/>
      <c r="Q4" s="10"/>
      <c r="R4" s="10"/>
      <c r="S4" s="10"/>
      <c r="T4" s="10"/>
      <c r="U4" s="10"/>
      <c r="V4" s="10"/>
    </row>
    <row r="5" spans="1:22" ht="14.25" customHeight="1" x14ac:dyDescent="0.35">
      <c r="A5" s="17" t="s">
        <v>24</v>
      </c>
      <c r="B5" s="78">
        <v>0.25</v>
      </c>
      <c r="C5" s="104" t="s">
        <v>92</v>
      </c>
      <c r="D5" s="104"/>
      <c r="E5" s="104"/>
      <c r="F5" s="104"/>
      <c r="G5" s="10"/>
      <c r="H5" s="10"/>
      <c r="I5" s="10"/>
      <c r="J5" s="10"/>
      <c r="K5" s="10"/>
      <c r="L5" s="10"/>
      <c r="M5" s="10"/>
      <c r="N5" s="10"/>
      <c r="O5" s="10"/>
      <c r="P5" s="10"/>
      <c r="Q5" s="10"/>
      <c r="R5" s="10"/>
      <c r="S5" s="10"/>
      <c r="T5" s="10"/>
      <c r="U5" s="10"/>
      <c r="V5" s="10"/>
    </row>
    <row r="6" spans="1:22" ht="14.5" x14ac:dyDescent="0.35">
      <c r="A6" s="17" t="s">
        <v>25</v>
      </c>
      <c r="B6" s="79">
        <v>1.3</v>
      </c>
      <c r="C6" s="104" t="s">
        <v>93</v>
      </c>
      <c r="D6" s="104"/>
      <c r="E6" s="104"/>
      <c r="F6" s="104"/>
      <c r="G6" s="10"/>
      <c r="H6" s="10"/>
      <c r="I6" s="10"/>
      <c r="J6" s="10"/>
      <c r="K6" s="10"/>
      <c r="L6" s="10"/>
      <c r="M6" s="10"/>
      <c r="N6" s="10"/>
      <c r="O6" s="10"/>
      <c r="P6" s="10"/>
      <c r="Q6" s="10"/>
      <c r="R6" s="10"/>
      <c r="S6" s="10"/>
      <c r="T6" s="10"/>
      <c r="U6" s="10"/>
      <c r="V6" s="10"/>
    </row>
    <row r="7" spans="1:22" ht="14.5" x14ac:dyDescent="0.35">
      <c r="A7" s="17" t="s">
        <v>26</v>
      </c>
      <c r="B7" s="78">
        <v>0</v>
      </c>
      <c r="C7" s="104" t="s">
        <v>27</v>
      </c>
      <c r="D7" s="104"/>
      <c r="E7" s="104"/>
      <c r="F7" s="104"/>
      <c r="G7" s="10"/>
      <c r="H7" s="10"/>
      <c r="I7" s="10"/>
      <c r="J7" s="10"/>
      <c r="K7" s="10"/>
      <c r="L7" s="10"/>
      <c r="M7" s="10"/>
      <c r="N7" s="10"/>
      <c r="O7" s="10"/>
      <c r="P7" s="10"/>
      <c r="Q7" s="10"/>
      <c r="R7" s="10"/>
      <c r="S7" s="10"/>
      <c r="T7" s="10"/>
      <c r="U7" s="10"/>
      <c r="V7" s="10"/>
    </row>
    <row r="8" spans="1:22" ht="14.5" x14ac:dyDescent="0.35">
      <c r="A8" s="17" t="s">
        <v>28</v>
      </c>
      <c r="B8" s="79" t="s">
        <v>63</v>
      </c>
      <c r="C8" s="104" t="s">
        <v>94</v>
      </c>
      <c r="D8" s="104"/>
      <c r="E8" s="104"/>
      <c r="F8" s="104"/>
      <c r="G8" s="10"/>
      <c r="H8" s="10"/>
      <c r="I8" s="10"/>
      <c r="J8" s="10"/>
      <c r="K8" s="10"/>
      <c r="L8" s="10"/>
      <c r="M8" s="10"/>
      <c r="N8" s="10"/>
      <c r="O8" s="10"/>
      <c r="P8" s="10"/>
      <c r="Q8" s="10"/>
      <c r="R8" s="10"/>
      <c r="S8" s="10"/>
      <c r="T8" s="10"/>
      <c r="U8" s="10"/>
      <c r="V8" s="10"/>
    </row>
    <row r="9" spans="1:22" ht="14.5" x14ac:dyDescent="0.35">
      <c r="A9" s="17" t="s">
        <v>30</v>
      </c>
      <c r="B9" s="79">
        <v>0</v>
      </c>
      <c r="C9" s="104" t="s">
        <v>31</v>
      </c>
      <c r="D9" s="104"/>
      <c r="E9" s="104"/>
      <c r="F9" s="104"/>
      <c r="G9" s="10"/>
      <c r="H9" s="10"/>
      <c r="I9" s="10"/>
      <c r="J9" s="10"/>
      <c r="K9" s="10"/>
      <c r="L9" s="10"/>
      <c r="M9" s="10"/>
      <c r="N9" s="10"/>
      <c r="O9" s="10"/>
      <c r="P9" s="10"/>
      <c r="Q9" s="10"/>
      <c r="R9" s="10"/>
      <c r="S9" s="10"/>
      <c r="T9" s="10"/>
      <c r="U9" s="10"/>
      <c r="V9" s="10"/>
    </row>
    <row r="10" spans="1:22" ht="14.5" x14ac:dyDescent="0.35">
      <c r="A10" s="17" t="s">
        <v>32</v>
      </c>
      <c r="B10" s="79" t="s">
        <v>33</v>
      </c>
      <c r="C10" s="104" t="s">
        <v>34</v>
      </c>
      <c r="D10" s="104"/>
      <c r="E10" s="104"/>
      <c r="F10" s="104"/>
      <c r="G10" s="10"/>
      <c r="H10" s="10"/>
      <c r="I10" s="10"/>
      <c r="J10" s="10"/>
      <c r="K10" s="10"/>
      <c r="L10" s="10"/>
      <c r="M10" s="10"/>
      <c r="N10" s="10"/>
      <c r="O10" s="10"/>
      <c r="P10" s="10"/>
      <c r="Q10" s="10"/>
      <c r="R10" s="10"/>
      <c r="S10" s="10"/>
      <c r="T10" s="10"/>
      <c r="U10" s="10"/>
      <c r="V10" s="10"/>
    </row>
    <row r="11" spans="1:22" ht="14.5" x14ac:dyDescent="0.3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36</v>
      </c>
      <c r="B12" s="97">
        <v>5</v>
      </c>
      <c r="C12" s="103" t="s">
        <v>106</v>
      </c>
      <c r="D12" s="103"/>
      <c r="E12" s="103"/>
      <c r="F12" s="10"/>
      <c r="G12" s="10"/>
      <c r="H12" s="10"/>
      <c r="I12" s="10"/>
      <c r="J12" s="10"/>
      <c r="K12" s="10"/>
      <c r="L12" s="10"/>
      <c r="M12" s="10"/>
      <c r="N12" s="10"/>
      <c r="O12" s="10"/>
      <c r="P12" s="10"/>
      <c r="Q12" s="10"/>
      <c r="R12" s="10"/>
      <c r="S12" s="10"/>
      <c r="T12" s="10"/>
      <c r="U12" s="10"/>
      <c r="V12" s="10"/>
    </row>
    <row r="13" spans="1:22" ht="14.5" x14ac:dyDescent="0.35">
      <c r="A13" s="17" t="s">
        <v>37</v>
      </c>
      <c r="B13" s="97">
        <f>IF('Sizing Input'!C16=0,1,IF('Sizing Input'!C15&gt;'Sizing Input'!C14,1,ROUNDUP(('Sizing Input'!C14/'Sizing Input'!C15),1)))</f>
        <v>1</v>
      </c>
      <c r="C13" s="103" t="s">
        <v>106</v>
      </c>
      <c r="D13" s="103"/>
      <c r="E13" s="103"/>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75"/>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AV64</v>
      </c>
      <c r="D17" s="22" t="str">
        <f>'Host Configurations'!D1</f>
        <v>AV52</v>
      </c>
      <c r="E17" s="10"/>
      <c r="F17" s="10"/>
      <c r="G17" s="10"/>
      <c r="H17" s="10"/>
      <c r="I17" s="10"/>
      <c r="J17" s="10"/>
      <c r="K17" s="10"/>
      <c r="L17" s="10"/>
      <c r="M17" s="10"/>
      <c r="N17" s="10"/>
      <c r="O17" s="10"/>
      <c r="P17" s="10"/>
      <c r="Q17" s="10"/>
      <c r="R17" s="10"/>
      <c r="S17" s="10"/>
      <c r="T17" s="10"/>
      <c r="U17" s="10"/>
      <c r="V17" s="10"/>
    </row>
    <row r="18" spans="1:22" ht="14.5" x14ac:dyDescent="0.35">
      <c r="A18" s="2" t="s">
        <v>38</v>
      </c>
      <c r="B18" s="9">
        <f>'CPU Details'!A10+$B$9</f>
        <v>300</v>
      </c>
      <c r="C18" s="9">
        <f>'CPU Details'!B10+$B$9</f>
        <v>169</v>
      </c>
      <c r="D18" s="9">
        <f>'CPU Details'!C10+$B$9</f>
        <v>208</v>
      </c>
      <c r="E18" s="10"/>
      <c r="F18" s="10"/>
      <c r="G18" s="10"/>
      <c r="H18" s="10"/>
      <c r="I18" s="10"/>
      <c r="J18" s="10"/>
      <c r="K18" s="10"/>
      <c r="L18" s="10"/>
      <c r="M18" s="10"/>
      <c r="N18" s="10"/>
      <c r="O18" s="10"/>
      <c r="P18" s="10"/>
      <c r="Q18" s="10"/>
      <c r="R18" s="10"/>
      <c r="S18" s="10"/>
      <c r="T18" s="10"/>
      <c r="U18" s="10"/>
      <c r="V18" s="10"/>
    </row>
    <row r="19" spans="1:22" ht="14.5" x14ac:dyDescent="0.35">
      <c r="A19" s="2" t="s">
        <v>39</v>
      </c>
      <c r="B19" s="9">
        <f>'Memory Details'!A10+$B$9</f>
        <v>336</v>
      </c>
      <c r="C19" s="9">
        <f>'Memory Details'!B10+$B$9</f>
        <v>252</v>
      </c>
      <c r="D19" s="9">
        <f>'Memory Details'!C10+$B$9</f>
        <v>168</v>
      </c>
      <c r="E19" s="10"/>
      <c r="F19" s="10"/>
      <c r="G19" s="10"/>
      <c r="H19" s="10"/>
      <c r="I19" s="10"/>
      <c r="J19" s="10"/>
      <c r="K19" s="10"/>
      <c r="L19" s="10"/>
      <c r="M19" s="10"/>
      <c r="N19" s="10"/>
      <c r="O19" s="10"/>
      <c r="P19" s="10"/>
      <c r="Q19" s="10"/>
      <c r="R19" s="10"/>
      <c r="S19" s="10"/>
      <c r="T19" s="10"/>
      <c r="U19" s="10"/>
      <c r="V19" s="10"/>
    </row>
    <row r="20" spans="1:22" ht="14.5" x14ac:dyDescent="0.35">
      <c r="A20" s="21" t="s">
        <v>97</v>
      </c>
      <c r="B20" s="20">
        <f>IF('START HERE'!A99="manual",'Storage Details'!B28+B9,IF(B10="Deployed",'Storage Details'!B28,'Storage Details'!C28)+B9)</f>
        <v>452</v>
      </c>
      <c r="C20" s="20">
        <f>IF('START HERE'!A99="manual",'Storage Details'!B29+B9,IF(B10="Deployed",'Storage Details'!B29,'Storage Details'!C29)+B9)</f>
        <v>299</v>
      </c>
      <c r="D20" s="20">
        <f>IF('START HERE'!A99="manual",'Storage Details'!B27+B9,IF(B10="Deployed",'Storage Details'!B27,'Storage Details'!C27)+B9)</f>
        <v>226</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40</v>
      </c>
      <c r="B22" s="22">
        <f>MAX(B18:B20)</f>
        <v>452</v>
      </c>
      <c r="C22" s="22">
        <f t="shared" ref="C22:D22" si="0">MAX(C18:C20)</f>
        <v>299</v>
      </c>
      <c r="D22" s="22">
        <f t="shared" si="0"/>
        <v>226</v>
      </c>
      <c r="E22" s="10"/>
      <c r="F22" s="10"/>
      <c r="G22" s="10"/>
      <c r="H22" s="10"/>
      <c r="I22" s="10"/>
      <c r="J22" s="10"/>
      <c r="K22" s="10"/>
      <c r="L22" s="10"/>
      <c r="M22" s="10"/>
      <c r="N22" s="10"/>
      <c r="O22" s="10"/>
      <c r="P22" s="10"/>
      <c r="Q22" s="10"/>
      <c r="R22" s="10"/>
      <c r="S22" s="10"/>
      <c r="T22" s="10"/>
      <c r="U22" s="10"/>
      <c r="V22" s="10"/>
    </row>
    <row r="23" spans="1:22" ht="13.5" x14ac:dyDescent="0.35">
      <c r="A23" s="10" t="s">
        <v>41</v>
      </c>
      <c r="B23" s="13" t="str">
        <f>IF(B22=B20,"Storage",IF(B19=B22,"Memory",IF(B18=B22,"CPU")))</f>
        <v>Storage</v>
      </c>
      <c r="C23" s="13" t="str">
        <f t="shared" ref="C23:D23" si="1">IF(C22=C20,"Storage",IF(C19=C22,"Memory",IF(C18=C22,"CPU")))</f>
        <v>Storage</v>
      </c>
      <c r="D23" s="13" t="str">
        <f t="shared" si="1"/>
        <v>Storage</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customProperties>
    <customPr name="EpmWorksheetKeyString_GUID" r:id="rId2"/>
  </customProperties>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4" sqref="A4"/>
    </sheetView>
  </sheetViews>
  <sheetFormatPr defaultRowHeight="12.5" x14ac:dyDescent="0.25"/>
  <cols>
    <col min="1" max="1" width="13.26953125" bestFit="1" customWidth="1"/>
  </cols>
  <sheetData>
    <row r="2" spans="1:3" ht="13.5" x14ac:dyDescent="0.35">
      <c r="A2" s="10">
        <f>'Sizing Input'!C3*(1+'Turn The Knobs'!B7)</f>
        <v>10138.9</v>
      </c>
      <c r="B2" s="24" t="s">
        <v>42</v>
      </c>
    </row>
    <row r="3" spans="1:3" ht="13.5" x14ac:dyDescent="0.35">
      <c r="A3" s="10">
        <v>46</v>
      </c>
      <c r="B3" s="24" t="s">
        <v>95</v>
      </c>
    </row>
    <row r="4" spans="1:3" ht="13.5" x14ac:dyDescent="0.35">
      <c r="A4" s="25">
        <f>(A2*'Sizing Input'!C7)</f>
        <v>53736.17</v>
      </c>
      <c r="B4" s="24" t="s">
        <v>43</v>
      </c>
    </row>
    <row r="5" spans="1:3" ht="13.5" x14ac:dyDescent="0.35">
      <c r="A5" s="10">
        <f>IF('Turn The Knobs'!B12="Current On-Prem Ratio",IF('Sizing Input'!C9&gt;'Sizing Input'!C8,1,(('Sizing Input'!C8/'Sizing Input'!C9))),'Turn The Knobs'!B12)</f>
        <v>5</v>
      </c>
      <c r="B5" s="24" t="s">
        <v>44</v>
      </c>
    </row>
    <row r="6" spans="1:3" ht="13.5" x14ac:dyDescent="0.35">
      <c r="A6" s="58">
        <f>ROUNDUP(IF(A5=1,'Sizing Input'!C8*(1+'Turn The Knobs'!B7),(A4/A5)),0)+A3</f>
        <v>10794</v>
      </c>
      <c r="B6" s="24" t="s">
        <v>45</v>
      </c>
    </row>
    <row r="7" spans="1:3" x14ac:dyDescent="0.25">
      <c r="B7" s="26"/>
    </row>
    <row r="9" spans="1:3" ht="14.5" x14ac:dyDescent="0.35">
      <c r="A9" s="77" t="s">
        <v>86</v>
      </c>
      <c r="B9" s="77" t="s">
        <v>85</v>
      </c>
      <c r="C9" s="77" t="s">
        <v>84</v>
      </c>
    </row>
    <row r="10" spans="1:3" ht="14.5" x14ac:dyDescent="0.35">
      <c r="A10" s="77">
        <f>ROUNDUP($A$6/'Host Configurations'!B5,0)</f>
        <v>300</v>
      </c>
      <c r="B10" s="77">
        <f>ROUNDUP($A$6/'Host Configurations'!C5,0)</f>
        <v>169</v>
      </c>
      <c r="C10" s="77">
        <f>ROUNDUP($A$6/'Host Configurations'!D5,0)</f>
        <v>208</v>
      </c>
    </row>
  </sheetData>
  <pageMargins left="0.7" right="0.7" top="0.75" bottom="0.75" header="0.3" footer="0.3"/>
  <customProperties>
    <customPr name="EpmWorksheetKeyString_GUID"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8" sqref="B28"/>
    </sheetView>
  </sheetViews>
  <sheetFormatPr defaultRowHeight="12.5" x14ac:dyDescent="0.25"/>
  <cols>
    <col min="1" max="1" width="79.6328125" bestFit="1" customWidth="1"/>
    <col min="2" max="2" width="19.81640625" bestFit="1" customWidth="1"/>
    <col min="3" max="3" width="21.089843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95</v>
      </c>
      <c r="B5" s="55">
        <v>3.8</v>
      </c>
      <c r="I5">
        <v>1</v>
      </c>
    </row>
    <row r="6" spans="1:10" x14ac:dyDescent="0.25">
      <c r="A6" t="str">
        <f>'Turn The Knobs'!A8</f>
        <v>vSAN Configuration</v>
      </c>
      <c r="B6" s="5" t="str">
        <f>'Turn The Knobs'!B8</f>
        <v>FTT=2, Erasure Coding</v>
      </c>
      <c r="C6">
        <f>IF(B6='Host Configurations'!A15,2,(IF(B6='Host Configurations'!A16,1.33,(IF(B6='Host Configurations'!A17,3,(IF(B6='Host Configurations'!A18,1.5,)))))))</f>
        <v>1.5</v>
      </c>
      <c r="I6">
        <v>0.3</v>
      </c>
    </row>
    <row r="7" spans="1:10" x14ac:dyDescent="0.25">
      <c r="A7" s="1" t="s">
        <v>46</v>
      </c>
      <c r="B7" s="57">
        <f>('Sizing Input'!C20)+(B5)+(('Sizing Input'!C20)*B4)</f>
        <v>6188.5290000000005</v>
      </c>
      <c r="I7">
        <f>I5-I6</f>
        <v>0.7</v>
      </c>
      <c r="J7">
        <f>I7*100</f>
        <v>70</v>
      </c>
    </row>
    <row r="8" spans="1:10" x14ac:dyDescent="0.25">
      <c r="A8" s="1" t="s">
        <v>47</v>
      </c>
      <c r="B8" s="57">
        <f>B7*C6</f>
        <v>9282.7934999999998</v>
      </c>
      <c r="I8">
        <v>345</v>
      </c>
      <c r="J8">
        <f>I8/J7</f>
        <v>4.9285714285714288</v>
      </c>
    </row>
    <row r="9" spans="1:10" x14ac:dyDescent="0.25">
      <c r="A9" s="1" t="s">
        <v>48</v>
      </c>
      <c r="B9" s="57">
        <f>B8/B3</f>
        <v>7140.6103846153846</v>
      </c>
      <c r="J9">
        <f>J8*100</f>
        <v>492.85714285714289</v>
      </c>
    </row>
    <row r="10" spans="1:10" x14ac:dyDescent="0.25">
      <c r="A10" s="1" t="s">
        <v>49</v>
      </c>
      <c r="B10" s="93">
        <f>(B9/((1-'Turn The Knobs'!B5)*100))*100</f>
        <v>9520.8138461538474</v>
      </c>
    </row>
    <row r="11" spans="1:10" x14ac:dyDescent="0.25">
      <c r="A11" s="1" t="s">
        <v>50</v>
      </c>
      <c r="B11" s="57">
        <f>IF(B3&lt;&gt;1,(B10+(B9*0.05247)),B10)</f>
        <v>9895.4816730346174</v>
      </c>
      <c r="C11">
        <f>B9*0.05247</f>
        <v>374.66782688076927</v>
      </c>
    </row>
    <row r="12" spans="1:10" x14ac:dyDescent="0.25">
      <c r="A12" s="1" t="s">
        <v>51</v>
      </c>
      <c r="B12" s="57">
        <f>IF(B3&lt;&gt;1,(B11+(B9*0.1585)),(B11+(B9*0.04088)))</f>
        <v>11027.268418996156</v>
      </c>
    </row>
    <row r="13" spans="1:10" x14ac:dyDescent="0.25">
      <c r="A13" s="1" t="s">
        <v>2</v>
      </c>
      <c r="B13" s="57"/>
    </row>
    <row r="15" spans="1:10" x14ac:dyDescent="0.25">
      <c r="E15">
        <v>2</v>
      </c>
      <c r="F15">
        <v>1.33</v>
      </c>
      <c r="G15">
        <v>3</v>
      </c>
      <c r="H15">
        <v>1.5</v>
      </c>
    </row>
    <row r="16" spans="1:10" ht="14.5" x14ac:dyDescent="0.35">
      <c r="E16" s="68" t="s">
        <v>61</v>
      </c>
      <c r="F16" s="68" t="s">
        <v>29</v>
      </c>
      <c r="G16" s="68" t="s">
        <v>62</v>
      </c>
      <c r="H16" s="68" t="s">
        <v>63</v>
      </c>
    </row>
    <row r="17" spans="1:9" x14ac:dyDescent="0.25">
      <c r="A17" s="76" t="s">
        <v>90</v>
      </c>
      <c r="B17" s="45">
        <f>((('Sizing Input'!C20)+(B5)+(('Sizing Input'!C19)*B4))/B3)+B5</f>
        <v>4764.2069230769239</v>
      </c>
      <c r="C17" t="s">
        <v>33</v>
      </c>
      <c r="E17" s="38">
        <f>$B$17*E15</f>
        <v>9528.4138461538478</v>
      </c>
      <c r="F17" s="38">
        <f>$B$17*F15</f>
        <v>6336.3952076923088</v>
      </c>
      <c r="G17" s="38">
        <f>$B$17*G15</f>
        <v>14292.620769230773</v>
      </c>
      <c r="H17" s="38">
        <f>$B$17*H15</f>
        <v>7146.3103846153863</v>
      </c>
    </row>
    <row r="18" spans="1:9" x14ac:dyDescent="0.25">
      <c r="A18" s="76" t="s">
        <v>89</v>
      </c>
      <c r="B18" s="45">
        <f>((('Sizing Input'!C19)+(B5)+(('Sizing Input'!C19)*B4))/B3)+B5</f>
        <v>6.7230769230769223</v>
      </c>
      <c r="C18" t="s">
        <v>79</v>
      </c>
      <c r="E18" s="38">
        <f>$B$18*E15</f>
        <v>13.446153846153845</v>
      </c>
      <c r="F18" s="38">
        <f>$B$18*F15</f>
        <v>8.9416923076923069</v>
      </c>
      <c r="G18" s="38">
        <f>$B$18*G15</f>
        <v>20.169230769230765</v>
      </c>
      <c r="H18" s="38">
        <f>$B$18*H15</f>
        <v>10.084615384615383</v>
      </c>
    </row>
    <row r="19" spans="1:9" x14ac:dyDescent="0.25">
      <c r="A19" s="1"/>
      <c r="B19" s="44"/>
    </row>
    <row r="21" spans="1:9" ht="13" x14ac:dyDescent="0.3">
      <c r="B21" s="99" t="s">
        <v>33</v>
      </c>
      <c r="C21" s="99" t="s">
        <v>107</v>
      </c>
      <c r="D21" s="99"/>
    </row>
    <row r="22" spans="1:9" ht="13" x14ac:dyDescent="0.3">
      <c r="A22" s="54" t="s">
        <v>25</v>
      </c>
      <c r="B22">
        <f>'Turn The Knobs'!B6</f>
        <v>1.3</v>
      </c>
      <c r="C22">
        <f>'Turn The Knobs'!B6</f>
        <v>1.3</v>
      </c>
      <c r="E22" s="106" t="s">
        <v>111</v>
      </c>
      <c r="F22" s="106"/>
      <c r="G22" s="106"/>
      <c r="H22" s="106"/>
    </row>
    <row r="23" spans="1:9" ht="14.5" x14ac:dyDescent="0.35">
      <c r="A23" s="54" t="s">
        <v>26</v>
      </c>
      <c r="B23" s="94">
        <f>'Turn The Knobs'!B7</f>
        <v>0</v>
      </c>
      <c r="C23" s="94">
        <f>'Turn The Knobs'!B7</f>
        <v>0</v>
      </c>
      <c r="D23" s="94"/>
      <c r="E23" s="68" t="s">
        <v>61</v>
      </c>
      <c r="F23" s="68" t="s">
        <v>29</v>
      </c>
      <c r="G23" s="68" t="s">
        <v>62</v>
      </c>
      <c r="H23" s="68" t="s">
        <v>63</v>
      </c>
    </row>
    <row r="24" spans="1:9" x14ac:dyDescent="0.25">
      <c r="A24" s="54" t="s">
        <v>95</v>
      </c>
      <c r="B24" s="98">
        <f>B5</f>
        <v>3.8</v>
      </c>
      <c r="C24" s="98">
        <f>B5</f>
        <v>3.8</v>
      </c>
      <c r="D24" s="98"/>
      <c r="E24">
        <f>ROUNDUP(B26/'Host Configurations'!D15,0)</f>
        <v>301</v>
      </c>
      <c r="F24">
        <f>ROUNDUP($B$26/'Host Configurations'!D16,0)</f>
        <v>201</v>
      </c>
      <c r="G24">
        <f>ROUNDUP($B$26/'Host Configurations'!D17,0)</f>
        <v>452</v>
      </c>
      <c r="H24">
        <f>ROUNDUP($B$26/'Host Configurations'!D18,0)</f>
        <v>226</v>
      </c>
      <c r="I24" t="s">
        <v>84</v>
      </c>
    </row>
    <row r="25" spans="1:9" x14ac:dyDescent="0.25">
      <c r="A25" s="1" t="s">
        <v>46</v>
      </c>
      <c r="B25">
        <f>('Sizing Input'!C20)+(B24)+(('Sizing Input'!C20)*B23)</f>
        <v>6188.5290000000005</v>
      </c>
      <c r="C25">
        <f>('Sizing Input'!C19)+(B24)+(('Sizing Input'!C19)*B23)</f>
        <v>3.8</v>
      </c>
      <c r="E25">
        <f>ROUNDUP(B26/'Host Configurations'!B15,0)</f>
        <v>602</v>
      </c>
      <c r="F25">
        <f>ROUNDUP($B$26/'Host Configurations'!B16,0)</f>
        <v>401</v>
      </c>
      <c r="G25">
        <f>ROUNDUP($B$26/'Host Configurations'!B17,0)</f>
        <v>903</v>
      </c>
      <c r="H25">
        <f>ROUNDUP($B$26/'Host Configurations'!B18,0)</f>
        <v>452</v>
      </c>
      <c r="I25" t="s">
        <v>86</v>
      </c>
    </row>
    <row r="26" spans="1:9" x14ac:dyDescent="0.25">
      <c r="A26" s="1" t="s">
        <v>104</v>
      </c>
      <c r="B26">
        <f>(1-(B22-1))*B25</f>
        <v>4331.9703</v>
      </c>
      <c r="C26">
        <f>(1-(C22-1))*C25</f>
        <v>2.6599999999999997</v>
      </c>
      <c r="E26">
        <f>ROUNDUP(B26/'Host Configurations'!C15,0)</f>
        <v>399</v>
      </c>
      <c r="F26">
        <f>ROUNDUP($B$26/'Host Configurations'!C16,0)</f>
        <v>265</v>
      </c>
      <c r="G26">
        <f>ROUNDUP($B$26/'Host Configurations'!C17,0)</f>
        <v>598</v>
      </c>
      <c r="H26">
        <f>ROUNDUP($B$26/'Host Configurations'!C18,0)</f>
        <v>299</v>
      </c>
      <c r="I26" s="1" t="s">
        <v>85</v>
      </c>
    </row>
    <row r="27" spans="1:9" ht="13" x14ac:dyDescent="0.3">
      <c r="A27" s="96" t="s">
        <v>108</v>
      </c>
      <c r="B27" s="95">
        <f>IF('Turn The Knobs'!B8='Storage Details'!E29,'Storage Details'!E24,IF('Turn The Knobs'!B8='Storage Details'!F23,'Storage Details'!F24,IF('Turn The Knobs'!B8='Storage Details'!G23,'Storage Details'!G24,IF('Turn The Knobs'!B8='Storage Details'!H23,'Storage Details'!H24))))</f>
        <v>226</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96" t="s">
        <v>109</v>
      </c>
      <c r="B28" s="95">
        <f>IF('Turn The Knobs'!B8='Storage Details'!E23,'Storage Details'!E25,IF('Turn The Knobs'!B8='Storage Details'!F23,'Storage Details'!F25,IF('Turn The Knobs'!B8='Storage Details'!G23,'Storage Details'!G25,IF('Turn The Knobs'!B8='Storage Details'!H23,'Storage Details'!H25))))</f>
        <v>452</v>
      </c>
      <c r="C28">
        <f>IF('Turn The Knobs'!B8='Storage Details'!E29,'Storage Details'!E31,IF('Turn The Knobs'!B8='Storage Details'!F29,'Storage Details'!F31,IF('Turn The Knobs'!B8='Storage Details'!G29,'Storage Details'!G31,IF('Turn The Knobs'!B8='Storage Details'!H29,'Storage Details'!H31))))</f>
        <v>1</v>
      </c>
      <c r="E28" s="106" t="s">
        <v>112</v>
      </c>
      <c r="F28" s="106"/>
      <c r="G28" s="106"/>
      <c r="H28" s="106"/>
    </row>
    <row r="29" spans="1:9" ht="14.5" x14ac:dyDescent="0.35">
      <c r="A29" s="96" t="s">
        <v>110</v>
      </c>
      <c r="B29" s="95">
        <f>IF('Turn The Knobs'!B8='Storage Details'!E23,'Storage Details'!E26,IF('Turn The Knobs'!B8='Storage Details'!F23,'Storage Details'!F26,IF('Turn The Knobs'!B8='Storage Details'!G23,'Storage Details'!G26,IF('Turn The Knobs'!B8='Storage Details'!H23,'Storage Details'!H26))))</f>
        <v>299</v>
      </c>
      <c r="C29">
        <f>IF('Turn The Knobs'!B8='Storage Details'!E29,'Storage Details'!E32,IF('Turn The Knobs'!B8='Storage Details'!F23,'Storage Details'!F32,IF('Turn The Knobs'!B8='Storage Details'!G23,'Storage Details'!G32,IF('Turn The Knobs'!B8='Storage Details'!H23,'Storage Details'!H32))))</f>
        <v>1</v>
      </c>
      <c r="E29" s="68" t="s">
        <v>61</v>
      </c>
      <c r="F29" s="68" t="s">
        <v>29</v>
      </c>
      <c r="G29" s="68" t="s">
        <v>62</v>
      </c>
      <c r="H29" s="68" t="s">
        <v>63</v>
      </c>
    </row>
    <row r="30" spans="1:9" x14ac:dyDescent="0.25">
      <c r="A30" s="1"/>
      <c r="E30" s="1">
        <f>ROUNDUP(C26/'Host Configurations'!D15,0)</f>
        <v>1</v>
      </c>
      <c r="F30" s="1">
        <f>ROUNDUP(C26/'Host Configurations'!D16,0)</f>
        <v>1</v>
      </c>
      <c r="G30" s="1">
        <f>ROUNDUP(C26/'Host Configurations'!D17,0)</f>
        <v>1</v>
      </c>
      <c r="H30" s="1">
        <f>ROUNDUP(C26/'Host Configurations'!D18,0)</f>
        <v>1</v>
      </c>
      <c r="I30" t="s">
        <v>84</v>
      </c>
    </row>
    <row r="31" spans="1:9" x14ac:dyDescent="0.25">
      <c r="A31" s="1"/>
      <c r="E31" s="1">
        <f>ROUNDUP(C26/'Host Configurations'!B15,0)</f>
        <v>1</v>
      </c>
      <c r="F31" s="1">
        <f>ROUNDUP(C26/'Host Configurations'!B16,0)</f>
        <v>1</v>
      </c>
      <c r="G31" s="1">
        <f>ROUNDUP(C26/'Host Configurations'!B17,0)</f>
        <v>1</v>
      </c>
      <c r="H31" s="1">
        <f>ROUNDUP(C26/'Host Configurations'!B18,0)</f>
        <v>1</v>
      </c>
      <c r="I31" t="s">
        <v>86</v>
      </c>
    </row>
    <row r="32" spans="1:9" x14ac:dyDescent="0.25">
      <c r="E32" s="1">
        <f>ROUNDUP(C26/'Host Configurations'!C15,0)</f>
        <v>1</v>
      </c>
      <c r="F32" s="1">
        <f>ROUNDUP(C26/'Host Configurations'!C16,0)</f>
        <v>1</v>
      </c>
      <c r="G32" s="1">
        <f>ROUNDUP(C26/'Host Configurations'!C17,0)</f>
        <v>1</v>
      </c>
      <c r="H32" s="1">
        <f>ROUNDUP(C26/'Host Configurations'!C18,0)</f>
        <v>1</v>
      </c>
      <c r="I32" s="1" t="s">
        <v>85</v>
      </c>
    </row>
  </sheetData>
  <mergeCells count="2">
    <mergeCell ref="E22:H22"/>
    <mergeCell ref="E28:H28"/>
  </mergeCells>
  <pageMargins left="0.7" right="0.7" top="0.75" bottom="0.75" header="0.3" footer="0.3"/>
  <pageSetup orientation="portrait" r:id="rId1"/>
  <customProperties>
    <customPr name="EpmWorksheetKeyString_GU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D9" sqref="D9"/>
    </sheetView>
  </sheetViews>
  <sheetFormatPr defaultColWidth="11.36328125" defaultRowHeight="12.5" x14ac:dyDescent="0.25"/>
  <cols>
    <col min="1" max="1" width="19.26953125" bestFit="1" customWidth="1"/>
    <col min="2" max="2" width="12.6328125" bestFit="1" customWidth="1"/>
    <col min="4" max="4" width="18.36328125" customWidth="1"/>
    <col min="5" max="5" width="22.81640625" customWidth="1"/>
    <col min="7" max="7" width="19.6328125" bestFit="1" customWidth="1"/>
    <col min="8" max="8" width="5.7265625" bestFit="1" customWidth="1"/>
  </cols>
  <sheetData>
    <row r="1" spans="1:8" ht="14.5" x14ac:dyDescent="0.35">
      <c r="A1" s="2" t="s">
        <v>52</v>
      </c>
      <c r="B1" s="2" t="s">
        <v>86</v>
      </c>
      <c r="C1" s="2" t="s">
        <v>116</v>
      </c>
      <c r="D1" s="2" t="s">
        <v>85</v>
      </c>
      <c r="E1" s="2"/>
    </row>
    <row r="2" spans="1:8" ht="14.5" x14ac:dyDescent="0.35">
      <c r="A2" s="2" t="s">
        <v>53</v>
      </c>
      <c r="B2" s="2">
        <v>2.6</v>
      </c>
      <c r="C2" s="2">
        <v>2.79</v>
      </c>
      <c r="D2" s="2"/>
      <c r="E2" s="2"/>
    </row>
    <row r="3" spans="1:8" ht="14.5" x14ac:dyDescent="0.35">
      <c r="A3" s="2" t="s">
        <v>54</v>
      </c>
      <c r="B3" s="2"/>
      <c r="C3" s="2"/>
      <c r="D3" s="2"/>
      <c r="E3" s="2"/>
    </row>
    <row r="4" spans="1:8" ht="14.5" x14ac:dyDescent="0.35">
      <c r="A4" s="2" t="s">
        <v>55</v>
      </c>
      <c r="B4" s="2"/>
      <c r="C4" s="2"/>
      <c r="D4" s="2"/>
      <c r="E4" s="2"/>
    </row>
    <row r="5" spans="1:8" ht="14.5" x14ac:dyDescent="0.35">
      <c r="A5" s="2" t="s">
        <v>56</v>
      </c>
      <c r="B5" s="2">
        <v>36</v>
      </c>
      <c r="C5" s="2">
        <v>64</v>
      </c>
      <c r="D5" s="2">
        <v>52</v>
      </c>
      <c r="E5" s="2"/>
    </row>
    <row r="6" spans="1:8" ht="14.5" x14ac:dyDescent="0.35">
      <c r="A6" s="2" t="s">
        <v>57</v>
      </c>
      <c r="B6" s="2">
        <v>768</v>
      </c>
      <c r="C6" s="2">
        <v>1024</v>
      </c>
      <c r="D6" s="2">
        <v>1536</v>
      </c>
      <c r="E6" s="2"/>
    </row>
    <row r="7" spans="1:8" ht="14.5" x14ac:dyDescent="0.35">
      <c r="A7" s="2" t="s">
        <v>58</v>
      </c>
      <c r="B7" s="2">
        <v>19200</v>
      </c>
      <c r="C7" s="2">
        <v>15360</v>
      </c>
      <c r="D7" s="2">
        <v>38400</v>
      </c>
      <c r="E7" s="2"/>
      <c r="G7" s="1"/>
    </row>
    <row r="8" spans="1:8" ht="14.5" x14ac:dyDescent="0.35">
      <c r="A8" s="2" t="s">
        <v>59</v>
      </c>
      <c r="B8" s="2">
        <v>1</v>
      </c>
      <c r="C8" s="2">
        <v>1</v>
      </c>
      <c r="D8" s="2">
        <v>1</v>
      </c>
      <c r="E8" s="2"/>
      <c r="G8" s="1"/>
    </row>
    <row r="9" spans="1:8" ht="14.5" x14ac:dyDescent="0.35">
      <c r="A9" s="2" t="s">
        <v>60</v>
      </c>
      <c r="B9" s="2">
        <f>(B8*B7)/1000</f>
        <v>19.2</v>
      </c>
      <c r="C9" s="2">
        <v>29</v>
      </c>
      <c r="D9" s="2">
        <f>(D8*D7)/1000</f>
        <v>38.4</v>
      </c>
      <c r="E9" s="2"/>
      <c r="G9" s="1"/>
      <c r="H9" s="2"/>
    </row>
    <row r="10" spans="1:8" ht="14.5" x14ac:dyDescent="0.35">
      <c r="A10" s="2" t="s">
        <v>91</v>
      </c>
      <c r="B10" s="2">
        <f>($B$9*(1-'Turn The Knobs'!B5))</f>
        <v>14.399999999999999</v>
      </c>
      <c r="C10" s="2">
        <f>($C$9*(1-'Turn The Knobs'!B5))</f>
        <v>21.75</v>
      </c>
      <c r="D10" s="2">
        <f>($D$9*(1-'Turn The Knobs'!B5))</f>
        <v>28.799999999999997</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73" t="s">
        <v>87</v>
      </c>
      <c r="G13" s="71"/>
      <c r="H13" s="72"/>
    </row>
    <row r="14" spans="1:8" ht="14.5" x14ac:dyDescent="0.35">
      <c r="A14" s="107" t="s">
        <v>88</v>
      </c>
      <c r="B14" s="107"/>
      <c r="C14" s="107"/>
      <c r="D14" s="107"/>
      <c r="E14" s="74">
        <f>'Turn The Knobs'!B5</f>
        <v>0.25</v>
      </c>
      <c r="G14" s="1"/>
    </row>
    <row r="15" spans="1:8" ht="14.5" x14ac:dyDescent="0.35">
      <c r="A15" s="68" t="s">
        <v>61</v>
      </c>
      <c r="B15" s="69">
        <f>$B$10/E15</f>
        <v>7.1999999999999993</v>
      </c>
      <c r="C15" s="69">
        <f>($C$9*(1-$E$14))/E15</f>
        <v>10.875</v>
      </c>
      <c r="D15" s="69">
        <f>($D$9*(1-$E$14))/E15</f>
        <v>14.399999999999999</v>
      </c>
      <c r="E15" s="23">
        <v>2</v>
      </c>
      <c r="G15" s="1"/>
    </row>
    <row r="16" spans="1:8" ht="14.5" x14ac:dyDescent="0.35">
      <c r="A16" s="68" t="s">
        <v>29</v>
      </c>
      <c r="B16" s="69">
        <f t="shared" ref="B16:B18" si="0">$B$10/E16</f>
        <v>10.82706766917293</v>
      </c>
      <c r="C16" s="69">
        <f t="shared" ref="C16:C18" si="1">($C$9*(1-$E$14))/E16</f>
        <v>16.353383458646615</v>
      </c>
      <c r="D16" s="69">
        <f t="shared" ref="D16:D18" si="2">($D$9*(1-$E$14))/E16</f>
        <v>21.65413533834586</v>
      </c>
      <c r="E16" s="23">
        <v>1.33</v>
      </c>
      <c r="G16" s="1"/>
    </row>
    <row r="17" spans="1:7" ht="14.5" x14ac:dyDescent="0.35">
      <c r="A17" s="68" t="s">
        <v>62</v>
      </c>
      <c r="B17" s="69">
        <f t="shared" si="0"/>
        <v>4.8</v>
      </c>
      <c r="C17" s="69">
        <f t="shared" si="1"/>
        <v>7.25</v>
      </c>
      <c r="D17" s="69">
        <f t="shared" si="2"/>
        <v>9.6</v>
      </c>
      <c r="E17" s="23">
        <v>3</v>
      </c>
      <c r="G17" s="1"/>
    </row>
    <row r="18" spans="1:7" ht="14.5" x14ac:dyDescent="0.35">
      <c r="A18" s="68" t="s">
        <v>63</v>
      </c>
      <c r="B18" s="69">
        <f t="shared" si="0"/>
        <v>9.6</v>
      </c>
      <c r="C18" s="69">
        <f t="shared" si="1"/>
        <v>14.5</v>
      </c>
      <c r="D18" s="69">
        <f t="shared" si="2"/>
        <v>19.2</v>
      </c>
      <c r="E18" s="23">
        <v>1.5</v>
      </c>
      <c r="G18" s="1"/>
    </row>
    <row r="19" spans="1:7" x14ac:dyDescent="0.25">
      <c r="A19" s="70"/>
      <c r="B19" s="70"/>
      <c r="C19" s="70"/>
      <c r="D19" s="70"/>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customProperties>
    <customPr name="EpmWorksheetKeyString_GUID"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P1" workbookViewId="0">
      <selection activeCell="X2" sqref="X2"/>
    </sheetView>
  </sheetViews>
  <sheetFormatPr defaultRowHeight="12.5" x14ac:dyDescent="0.25"/>
  <cols>
    <col min="1" max="1" width="25" style="47" bestFit="1" customWidth="1"/>
    <col min="2" max="2" width="11.36328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36328125" customWidth="1"/>
    <col min="9" max="9" width="15" customWidth="1"/>
    <col min="10" max="10" width="16.36328125" bestFit="1" customWidth="1"/>
    <col min="11" max="11" width="14.08984375" customWidth="1"/>
    <col min="12" max="12" width="9" customWidth="1"/>
    <col min="13" max="13" width="9" style="45"/>
    <col min="14" max="14" width="22.08984375" style="38" bestFit="1" customWidth="1"/>
    <col min="15" max="15" width="22.08984375" style="47" bestFit="1" customWidth="1"/>
    <col min="16" max="16" width="9" style="44" bestFit="1" customWidth="1"/>
    <col min="17" max="17" width="10.26953125" style="44" bestFit="1" customWidth="1"/>
    <col min="18" max="18" width="21" bestFit="1" customWidth="1"/>
    <col min="19" max="19" width="22.81640625" bestFit="1" customWidth="1"/>
    <col min="20" max="20" width="22.6328125" bestFit="1" customWidth="1"/>
    <col min="21" max="21" width="24.81640625" bestFit="1" customWidth="1"/>
    <col min="22" max="22" width="36.81640625" bestFit="1" customWidth="1"/>
  </cols>
  <sheetData>
    <row r="1" spans="1:26" ht="13" x14ac:dyDescent="0.3">
      <c r="A1" s="46">
        <f>'vHosts (Imported)'!A1</f>
        <v>0</v>
      </c>
      <c r="B1" s="48" t="s">
        <v>64</v>
      </c>
      <c r="C1" s="49" t="s">
        <v>65</v>
      </c>
      <c r="D1" s="50" t="s">
        <v>66</v>
      </c>
      <c r="N1" s="38" t="s">
        <v>67</v>
      </c>
      <c r="R1" t="s">
        <v>68</v>
      </c>
      <c r="S1" t="s">
        <v>69</v>
      </c>
      <c r="T1" t="s">
        <v>70</v>
      </c>
      <c r="U1" s="1" t="s">
        <v>71</v>
      </c>
      <c r="V1" s="1" t="s">
        <v>72</v>
      </c>
    </row>
    <row r="2" spans="1:26" ht="13" x14ac:dyDescent="0.3">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 x14ac:dyDescent="0.3">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 x14ac:dyDescent="0.3">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 x14ac:dyDescent="0.3">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 x14ac:dyDescent="0.3">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 x14ac:dyDescent="0.3">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 x14ac:dyDescent="0.3">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 x14ac:dyDescent="0.3">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 x14ac:dyDescent="0.3">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 x14ac:dyDescent="0.3">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 x14ac:dyDescent="0.3">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 x14ac:dyDescent="0.3">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 x14ac:dyDescent="0.3">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 x14ac:dyDescent="0.3">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 x14ac:dyDescent="0.3">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 x14ac:dyDescent="0.3">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 x14ac:dyDescent="0.3">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 x14ac:dyDescent="0.3">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 x14ac:dyDescent="0.3">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 x14ac:dyDescent="0.3">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 x14ac:dyDescent="0.3">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 x14ac:dyDescent="0.3">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 x14ac:dyDescent="0.3">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 x14ac:dyDescent="0.3">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 x14ac:dyDescent="0.3">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 x14ac:dyDescent="0.3">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 x14ac:dyDescent="0.3">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 x14ac:dyDescent="0.3">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 x14ac:dyDescent="0.3">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 x14ac:dyDescent="0.3">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 x14ac:dyDescent="0.3">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 x14ac:dyDescent="0.3">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 x14ac:dyDescent="0.3">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 x14ac:dyDescent="0.3">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 x14ac:dyDescent="0.3">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 x14ac:dyDescent="0.3">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 x14ac:dyDescent="0.3">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 x14ac:dyDescent="0.3">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 x14ac:dyDescent="0.3">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 x14ac:dyDescent="0.3">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 x14ac:dyDescent="0.3">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 x14ac:dyDescent="0.3">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 x14ac:dyDescent="0.3">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 x14ac:dyDescent="0.3">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 x14ac:dyDescent="0.3">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 x14ac:dyDescent="0.3">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 x14ac:dyDescent="0.3">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 x14ac:dyDescent="0.3">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 x14ac:dyDescent="0.3">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 x14ac:dyDescent="0.3">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 x14ac:dyDescent="0.3">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 x14ac:dyDescent="0.3">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 x14ac:dyDescent="0.3">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 x14ac:dyDescent="0.3">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 x14ac:dyDescent="0.3">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 x14ac:dyDescent="0.3">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 x14ac:dyDescent="0.3">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 x14ac:dyDescent="0.3">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 x14ac:dyDescent="0.3">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 x14ac:dyDescent="0.3">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 x14ac:dyDescent="0.3">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 x14ac:dyDescent="0.3">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 x14ac:dyDescent="0.3">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 x14ac:dyDescent="0.3">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 x14ac:dyDescent="0.3">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 x14ac:dyDescent="0.3">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 x14ac:dyDescent="0.3">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 x14ac:dyDescent="0.3">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 x14ac:dyDescent="0.3">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 x14ac:dyDescent="0.3">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 x14ac:dyDescent="0.3">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 x14ac:dyDescent="0.3">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 x14ac:dyDescent="0.3">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 x14ac:dyDescent="0.3">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 x14ac:dyDescent="0.3">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 x14ac:dyDescent="0.3">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 x14ac:dyDescent="0.3">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 x14ac:dyDescent="0.3">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 x14ac:dyDescent="0.3">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 x14ac:dyDescent="0.3">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 x14ac:dyDescent="0.3">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 x14ac:dyDescent="0.3">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 x14ac:dyDescent="0.3">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 x14ac:dyDescent="0.3">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 x14ac:dyDescent="0.3">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 x14ac:dyDescent="0.3">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 x14ac:dyDescent="0.3">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 x14ac:dyDescent="0.3">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 x14ac:dyDescent="0.3">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 x14ac:dyDescent="0.3">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 x14ac:dyDescent="0.3">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 x14ac:dyDescent="0.3">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 x14ac:dyDescent="0.3">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 x14ac:dyDescent="0.3">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 x14ac:dyDescent="0.3">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 x14ac:dyDescent="0.3">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 x14ac:dyDescent="0.3">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 x14ac:dyDescent="0.3">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 x14ac:dyDescent="0.3">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 x14ac:dyDescent="0.3">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 x14ac:dyDescent="0.3">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 x14ac:dyDescent="0.3">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 x14ac:dyDescent="0.3">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 x14ac:dyDescent="0.3">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 x14ac:dyDescent="0.3">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 x14ac:dyDescent="0.3">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 x14ac:dyDescent="0.3">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 x14ac:dyDescent="0.3">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 x14ac:dyDescent="0.3">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 x14ac:dyDescent="0.3">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 x14ac:dyDescent="0.3">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 x14ac:dyDescent="0.3">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 x14ac:dyDescent="0.3">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 x14ac:dyDescent="0.3">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 x14ac:dyDescent="0.3">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 x14ac:dyDescent="0.3">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 x14ac:dyDescent="0.3">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 x14ac:dyDescent="0.3">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 x14ac:dyDescent="0.3">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 x14ac:dyDescent="0.3">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 x14ac:dyDescent="0.3">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 x14ac:dyDescent="0.3">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 x14ac:dyDescent="0.3">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 x14ac:dyDescent="0.3">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 x14ac:dyDescent="0.3">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 x14ac:dyDescent="0.3">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 x14ac:dyDescent="0.3">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 x14ac:dyDescent="0.3">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 x14ac:dyDescent="0.3">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 x14ac:dyDescent="0.3">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 x14ac:dyDescent="0.3">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 x14ac:dyDescent="0.3">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 x14ac:dyDescent="0.3">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 x14ac:dyDescent="0.3">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 x14ac:dyDescent="0.3">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 x14ac:dyDescent="0.3">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 x14ac:dyDescent="0.3">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 x14ac:dyDescent="0.3">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 x14ac:dyDescent="0.3">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 x14ac:dyDescent="0.3">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 x14ac:dyDescent="0.3">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 x14ac:dyDescent="0.3">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 x14ac:dyDescent="0.3">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 x14ac:dyDescent="0.3">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 x14ac:dyDescent="0.3">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 x14ac:dyDescent="0.3">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 x14ac:dyDescent="0.3">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 x14ac:dyDescent="0.3">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 x14ac:dyDescent="0.3">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 x14ac:dyDescent="0.3">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 x14ac:dyDescent="0.3">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 x14ac:dyDescent="0.3">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 x14ac:dyDescent="0.3">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 x14ac:dyDescent="0.3">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 x14ac:dyDescent="0.3">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 x14ac:dyDescent="0.3">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 x14ac:dyDescent="0.3">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 x14ac:dyDescent="0.3">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 x14ac:dyDescent="0.3">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 x14ac:dyDescent="0.3">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 x14ac:dyDescent="0.3">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 x14ac:dyDescent="0.3">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 x14ac:dyDescent="0.3">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 x14ac:dyDescent="0.3">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 x14ac:dyDescent="0.3">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 x14ac:dyDescent="0.3">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 x14ac:dyDescent="0.3">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 x14ac:dyDescent="0.3">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 x14ac:dyDescent="0.3">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 x14ac:dyDescent="0.3">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 x14ac:dyDescent="0.3">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 x14ac:dyDescent="0.3">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 x14ac:dyDescent="0.3">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 x14ac:dyDescent="0.3">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 x14ac:dyDescent="0.3">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 x14ac:dyDescent="0.3">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 x14ac:dyDescent="0.3">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 x14ac:dyDescent="0.3">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 x14ac:dyDescent="0.3">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 x14ac:dyDescent="0.3">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 x14ac:dyDescent="0.3">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 x14ac:dyDescent="0.3">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 x14ac:dyDescent="0.3">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 x14ac:dyDescent="0.3">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 x14ac:dyDescent="0.3">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 x14ac:dyDescent="0.3">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 x14ac:dyDescent="0.3">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 x14ac:dyDescent="0.3">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 x14ac:dyDescent="0.3">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 x14ac:dyDescent="0.3">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 x14ac:dyDescent="0.3">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 x14ac:dyDescent="0.3">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 x14ac:dyDescent="0.3">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 x14ac:dyDescent="0.3">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 x14ac:dyDescent="0.3">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 x14ac:dyDescent="0.3">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 x14ac:dyDescent="0.3">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 x14ac:dyDescent="0.3">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 x14ac:dyDescent="0.3">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 x14ac:dyDescent="0.3">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 x14ac:dyDescent="0.3">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 x14ac:dyDescent="0.3">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 x14ac:dyDescent="0.3">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 x14ac:dyDescent="0.3">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 x14ac:dyDescent="0.3">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 x14ac:dyDescent="0.3">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 x14ac:dyDescent="0.3">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 x14ac:dyDescent="0.3">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 x14ac:dyDescent="0.3">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 x14ac:dyDescent="0.3">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 x14ac:dyDescent="0.3">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 x14ac:dyDescent="0.3">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 x14ac:dyDescent="0.3">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 x14ac:dyDescent="0.3">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 x14ac:dyDescent="0.3">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 x14ac:dyDescent="0.3">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 x14ac:dyDescent="0.3">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 x14ac:dyDescent="0.3">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 x14ac:dyDescent="0.3">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 x14ac:dyDescent="0.3">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 x14ac:dyDescent="0.3">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 x14ac:dyDescent="0.3">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 x14ac:dyDescent="0.3">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 x14ac:dyDescent="0.3">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 x14ac:dyDescent="0.3">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 x14ac:dyDescent="0.3">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 x14ac:dyDescent="0.3">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 x14ac:dyDescent="0.3">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 x14ac:dyDescent="0.3">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 x14ac:dyDescent="0.3">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 x14ac:dyDescent="0.3">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 x14ac:dyDescent="0.3">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 x14ac:dyDescent="0.3">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 x14ac:dyDescent="0.3">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 x14ac:dyDescent="0.3">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 x14ac:dyDescent="0.3">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 x14ac:dyDescent="0.3">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 x14ac:dyDescent="0.3">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 x14ac:dyDescent="0.3">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 x14ac:dyDescent="0.3">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 x14ac:dyDescent="0.3">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 x14ac:dyDescent="0.3">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 x14ac:dyDescent="0.3">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 x14ac:dyDescent="0.3">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 x14ac:dyDescent="0.3">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 x14ac:dyDescent="0.3">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 x14ac:dyDescent="0.3">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 x14ac:dyDescent="0.3">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 x14ac:dyDescent="0.3">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 x14ac:dyDescent="0.3">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 x14ac:dyDescent="0.3">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 x14ac:dyDescent="0.3">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 x14ac:dyDescent="0.3">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 x14ac:dyDescent="0.3">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 x14ac:dyDescent="0.3">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 x14ac:dyDescent="0.3">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 x14ac:dyDescent="0.3">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 x14ac:dyDescent="0.3">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 x14ac:dyDescent="0.3">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 x14ac:dyDescent="0.3">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 x14ac:dyDescent="0.3">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 x14ac:dyDescent="0.3">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 x14ac:dyDescent="0.3">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 x14ac:dyDescent="0.3">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 x14ac:dyDescent="0.3">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 x14ac:dyDescent="0.3">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 x14ac:dyDescent="0.3">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 x14ac:dyDescent="0.3">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 x14ac:dyDescent="0.3">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 x14ac:dyDescent="0.3">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 x14ac:dyDescent="0.3">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 x14ac:dyDescent="0.3">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 x14ac:dyDescent="0.3">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 x14ac:dyDescent="0.3">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 x14ac:dyDescent="0.3">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 x14ac:dyDescent="0.3">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 x14ac:dyDescent="0.3">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 x14ac:dyDescent="0.3">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 x14ac:dyDescent="0.3">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 x14ac:dyDescent="0.3">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 x14ac:dyDescent="0.3">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 x14ac:dyDescent="0.3">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 x14ac:dyDescent="0.3">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 x14ac:dyDescent="0.3">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 x14ac:dyDescent="0.3">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 x14ac:dyDescent="0.3">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 x14ac:dyDescent="0.3">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 x14ac:dyDescent="0.3">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 x14ac:dyDescent="0.3">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 x14ac:dyDescent="0.3">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 x14ac:dyDescent="0.3">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 x14ac:dyDescent="0.3">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 x14ac:dyDescent="0.3">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 x14ac:dyDescent="0.3">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 x14ac:dyDescent="0.3">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 x14ac:dyDescent="0.3">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 x14ac:dyDescent="0.3">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 x14ac:dyDescent="0.3">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 x14ac:dyDescent="0.3">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 x14ac:dyDescent="0.3">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 x14ac:dyDescent="0.3">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 x14ac:dyDescent="0.3">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 x14ac:dyDescent="0.3">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 x14ac:dyDescent="0.3">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 x14ac:dyDescent="0.3">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 x14ac:dyDescent="0.3">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 x14ac:dyDescent="0.3">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 x14ac:dyDescent="0.3">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 x14ac:dyDescent="0.3">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 x14ac:dyDescent="0.3">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 x14ac:dyDescent="0.3">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 x14ac:dyDescent="0.3">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 x14ac:dyDescent="0.3">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 x14ac:dyDescent="0.3">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 x14ac:dyDescent="0.3">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 x14ac:dyDescent="0.3">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 x14ac:dyDescent="0.3">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 x14ac:dyDescent="0.3">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 x14ac:dyDescent="0.3">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 x14ac:dyDescent="0.3">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 x14ac:dyDescent="0.3">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 x14ac:dyDescent="0.3">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 x14ac:dyDescent="0.3">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 x14ac:dyDescent="0.3">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 x14ac:dyDescent="0.3">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 x14ac:dyDescent="0.3">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 x14ac:dyDescent="0.3">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 x14ac:dyDescent="0.3">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 x14ac:dyDescent="0.3">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 x14ac:dyDescent="0.3">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 x14ac:dyDescent="0.3">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 x14ac:dyDescent="0.3">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 x14ac:dyDescent="0.3">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 x14ac:dyDescent="0.3">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 x14ac:dyDescent="0.3">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 x14ac:dyDescent="0.3">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 x14ac:dyDescent="0.3">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 x14ac:dyDescent="0.3">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 x14ac:dyDescent="0.3">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 x14ac:dyDescent="0.3">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 x14ac:dyDescent="0.3">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 x14ac:dyDescent="0.3">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 x14ac:dyDescent="0.3">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 x14ac:dyDescent="0.3">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 x14ac:dyDescent="0.3">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 x14ac:dyDescent="0.3">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 x14ac:dyDescent="0.3">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 x14ac:dyDescent="0.3">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 x14ac:dyDescent="0.3">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 x14ac:dyDescent="0.3">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 x14ac:dyDescent="0.3">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 x14ac:dyDescent="0.3">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 x14ac:dyDescent="0.3">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 x14ac:dyDescent="0.3">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 x14ac:dyDescent="0.3">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 x14ac:dyDescent="0.3">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 x14ac:dyDescent="0.3">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 x14ac:dyDescent="0.3">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 x14ac:dyDescent="0.3">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 x14ac:dyDescent="0.3">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 x14ac:dyDescent="0.3">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 x14ac:dyDescent="0.3">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 x14ac:dyDescent="0.3">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 x14ac:dyDescent="0.3">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 x14ac:dyDescent="0.3">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 x14ac:dyDescent="0.3">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 x14ac:dyDescent="0.3">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 x14ac:dyDescent="0.3">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 x14ac:dyDescent="0.3">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 x14ac:dyDescent="0.3">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 x14ac:dyDescent="0.3">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 x14ac:dyDescent="0.3">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 x14ac:dyDescent="0.3">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 x14ac:dyDescent="0.3">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 x14ac:dyDescent="0.3">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 x14ac:dyDescent="0.3">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 x14ac:dyDescent="0.3">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 x14ac:dyDescent="0.3">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 x14ac:dyDescent="0.3">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 x14ac:dyDescent="0.3">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 x14ac:dyDescent="0.3">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 x14ac:dyDescent="0.3">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 x14ac:dyDescent="0.3">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 x14ac:dyDescent="0.3">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 x14ac:dyDescent="0.3">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 x14ac:dyDescent="0.3">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 x14ac:dyDescent="0.3">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 x14ac:dyDescent="0.3">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 x14ac:dyDescent="0.3">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 x14ac:dyDescent="0.3">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 x14ac:dyDescent="0.3">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 x14ac:dyDescent="0.3">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 x14ac:dyDescent="0.3">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 x14ac:dyDescent="0.3">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 x14ac:dyDescent="0.3">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 x14ac:dyDescent="0.3">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 x14ac:dyDescent="0.3">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 x14ac:dyDescent="0.3">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 x14ac:dyDescent="0.3">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 x14ac:dyDescent="0.3">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 x14ac:dyDescent="0.3">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 x14ac:dyDescent="0.3">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 x14ac:dyDescent="0.3">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 x14ac:dyDescent="0.3">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 x14ac:dyDescent="0.3">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 x14ac:dyDescent="0.3">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 x14ac:dyDescent="0.3">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 x14ac:dyDescent="0.3">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 x14ac:dyDescent="0.3">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 x14ac:dyDescent="0.3">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 x14ac:dyDescent="0.3">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 x14ac:dyDescent="0.3">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 x14ac:dyDescent="0.3">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 x14ac:dyDescent="0.3">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 x14ac:dyDescent="0.3">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 x14ac:dyDescent="0.3">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 x14ac:dyDescent="0.3">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 x14ac:dyDescent="0.3">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 x14ac:dyDescent="0.3">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 x14ac:dyDescent="0.3">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 x14ac:dyDescent="0.3">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 x14ac:dyDescent="0.3">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 x14ac:dyDescent="0.3">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 x14ac:dyDescent="0.3">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 x14ac:dyDescent="0.3">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 x14ac:dyDescent="0.3">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 x14ac:dyDescent="0.3">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 x14ac:dyDescent="0.3">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 x14ac:dyDescent="0.3">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 x14ac:dyDescent="0.3">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 x14ac:dyDescent="0.3">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 x14ac:dyDescent="0.3">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 x14ac:dyDescent="0.3">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 x14ac:dyDescent="0.3">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 x14ac:dyDescent="0.3">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 x14ac:dyDescent="0.3">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 x14ac:dyDescent="0.3">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 x14ac:dyDescent="0.3">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 x14ac:dyDescent="0.3">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 x14ac:dyDescent="0.3">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 x14ac:dyDescent="0.3">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 x14ac:dyDescent="0.3">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 x14ac:dyDescent="0.3">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 x14ac:dyDescent="0.3">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 x14ac:dyDescent="0.3">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 x14ac:dyDescent="0.3">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 x14ac:dyDescent="0.3">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 x14ac:dyDescent="0.3">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 x14ac:dyDescent="0.3">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 x14ac:dyDescent="0.3">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 x14ac:dyDescent="0.3">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 x14ac:dyDescent="0.3">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 x14ac:dyDescent="0.3">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 x14ac:dyDescent="0.3">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 x14ac:dyDescent="0.3">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 x14ac:dyDescent="0.3">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 x14ac:dyDescent="0.3">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 x14ac:dyDescent="0.3">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 x14ac:dyDescent="0.3">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 x14ac:dyDescent="0.3">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 x14ac:dyDescent="0.3">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 x14ac:dyDescent="0.3">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 x14ac:dyDescent="0.3">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 x14ac:dyDescent="0.3">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 x14ac:dyDescent="0.3">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 x14ac:dyDescent="0.3">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 x14ac:dyDescent="0.3">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 x14ac:dyDescent="0.3">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 x14ac:dyDescent="0.3">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 x14ac:dyDescent="0.3">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 x14ac:dyDescent="0.3">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 x14ac:dyDescent="0.3">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 x14ac:dyDescent="0.3">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 x14ac:dyDescent="0.3">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 x14ac:dyDescent="0.3">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 x14ac:dyDescent="0.3">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 x14ac:dyDescent="0.3">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 x14ac:dyDescent="0.3">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 x14ac:dyDescent="0.3">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 x14ac:dyDescent="0.3">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 x14ac:dyDescent="0.3">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 x14ac:dyDescent="0.3">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 x14ac:dyDescent="0.3">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 x14ac:dyDescent="0.3">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 x14ac:dyDescent="0.3">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 x14ac:dyDescent="0.3">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 x14ac:dyDescent="0.3">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 x14ac:dyDescent="0.3">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 x14ac:dyDescent="0.3">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 x14ac:dyDescent="0.3">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 x14ac:dyDescent="0.3">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 x14ac:dyDescent="0.3">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 x14ac:dyDescent="0.3">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 x14ac:dyDescent="0.3">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 x14ac:dyDescent="0.3">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 x14ac:dyDescent="0.3">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 x14ac:dyDescent="0.3">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 x14ac:dyDescent="0.3">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 x14ac:dyDescent="0.3">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 x14ac:dyDescent="0.3">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 x14ac:dyDescent="0.3">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 x14ac:dyDescent="0.3">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 x14ac:dyDescent="0.3">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 x14ac:dyDescent="0.3">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 x14ac:dyDescent="0.3">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 x14ac:dyDescent="0.3">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 x14ac:dyDescent="0.3">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 x14ac:dyDescent="0.3">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 x14ac:dyDescent="0.3">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 x14ac:dyDescent="0.3">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 x14ac:dyDescent="0.3">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 x14ac:dyDescent="0.3">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 x14ac:dyDescent="0.3">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 x14ac:dyDescent="0.3">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 x14ac:dyDescent="0.3">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 x14ac:dyDescent="0.3">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 x14ac:dyDescent="0.3">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 x14ac:dyDescent="0.3">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 x14ac:dyDescent="0.3">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 x14ac:dyDescent="0.3">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 x14ac:dyDescent="0.3">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 x14ac:dyDescent="0.3">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 x14ac:dyDescent="0.3">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 x14ac:dyDescent="0.3">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 x14ac:dyDescent="0.3">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 x14ac:dyDescent="0.3">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 x14ac:dyDescent="0.3">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 x14ac:dyDescent="0.3">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 x14ac:dyDescent="0.3">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 x14ac:dyDescent="0.3">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 x14ac:dyDescent="0.3">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 x14ac:dyDescent="0.3">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 x14ac:dyDescent="0.3">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 x14ac:dyDescent="0.3">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 x14ac:dyDescent="0.3">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 x14ac:dyDescent="0.3">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 x14ac:dyDescent="0.3">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 x14ac:dyDescent="0.3">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 x14ac:dyDescent="0.3">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 x14ac:dyDescent="0.3">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 x14ac:dyDescent="0.3">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 x14ac:dyDescent="0.3">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 x14ac:dyDescent="0.3">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 x14ac:dyDescent="0.3">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 x14ac:dyDescent="0.3">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 x14ac:dyDescent="0.3">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 x14ac:dyDescent="0.3">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 x14ac:dyDescent="0.3">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 x14ac:dyDescent="0.3">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 x14ac:dyDescent="0.3">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 x14ac:dyDescent="0.3">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 x14ac:dyDescent="0.3">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 x14ac:dyDescent="0.3">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 x14ac:dyDescent="0.3">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 x14ac:dyDescent="0.3">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 x14ac:dyDescent="0.3">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 x14ac:dyDescent="0.3">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 x14ac:dyDescent="0.3">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 x14ac:dyDescent="0.3">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 x14ac:dyDescent="0.3">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 x14ac:dyDescent="0.3">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 x14ac:dyDescent="0.3">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 x14ac:dyDescent="0.3">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 x14ac:dyDescent="0.3">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 x14ac:dyDescent="0.3">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 x14ac:dyDescent="0.3">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 x14ac:dyDescent="0.3">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 x14ac:dyDescent="0.3">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 x14ac:dyDescent="0.3">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 x14ac:dyDescent="0.3">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 x14ac:dyDescent="0.3">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 x14ac:dyDescent="0.3">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 x14ac:dyDescent="0.3">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 x14ac:dyDescent="0.3">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 x14ac:dyDescent="0.3">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 x14ac:dyDescent="0.3">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 x14ac:dyDescent="0.3">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 x14ac:dyDescent="0.3">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 x14ac:dyDescent="0.3">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 x14ac:dyDescent="0.3">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 x14ac:dyDescent="0.3">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 x14ac:dyDescent="0.3">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 x14ac:dyDescent="0.3">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 x14ac:dyDescent="0.3">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 x14ac:dyDescent="0.3">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 x14ac:dyDescent="0.3">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 x14ac:dyDescent="0.3">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 x14ac:dyDescent="0.3">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 x14ac:dyDescent="0.3">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 x14ac:dyDescent="0.3">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 x14ac:dyDescent="0.3">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 x14ac:dyDescent="0.3">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 x14ac:dyDescent="0.3">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 x14ac:dyDescent="0.3">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 x14ac:dyDescent="0.3">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 x14ac:dyDescent="0.3">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 x14ac:dyDescent="0.3">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 x14ac:dyDescent="0.3">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 x14ac:dyDescent="0.3">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 x14ac:dyDescent="0.3">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 x14ac:dyDescent="0.3">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 x14ac:dyDescent="0.3">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 x14ac:dyDescent="0.3">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 x14ac:dyDescent="0.3">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 x14ac:dyDescent="0.3">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 x14ac:dyDescent="0.3">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 x14ac:dyDescent="0.3">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 x14ac:dyDescent="0.3">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 x14ac:dyDescent="0.3">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 x14ac:dyDescent="0.3">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 x14ac:dyDescent="0.3">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 x14ac:dyDescent="0.3">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 x14ac:dyDescent="0.3">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 x14ac:dyDescent="0.3">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 x14ac:dyDescent="0.3">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 x14ac:dyDescent="0.3">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 x14ac:dyDescent="0.3">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 x14ac:dyDescent="0.3">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 x14ac:dyDescent="0.3">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 x14ac:dyDescent="0.3">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 x14ac:dyDescent="0.3">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 x14ac:dyDescent="0.3">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 x14ac:dyDescent="0.3">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 x14ac:dyDescent="0.3">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 x14ac:dyDescent="0.3">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 x14ac:dyDescent="0.3">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 x14ac:dyDescent="0.3">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 x14ac:dyDescent="0.3">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 x14ac:dyDescent="0.3">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 x14ac:dyDescent="0.3">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 x14ac:dyDescent="0.3">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 x14ac:dyDescent="0.3">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 x14ac:dyDescent="0.3">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 x14ac:dyDescent="0.3">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 x14ac:dyDescent="0.3">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 x14ac:dyDescent="0.3">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 x14ac:dyDescent="0.3">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 x14ac:dyDescent="0.3">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 x14ac:dyDescent="0.3">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 x14ac:dyDescent="0.3">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 x14ac:dyDescent="0.3">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 x14ac:dyDescent="0.3">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 x14ac:dyDescent="0.3">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 x14ac:dyDescent="0.3">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 x14ac:dyDescent="0.3">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 x14ac:dyDescent="0.3">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 x14ac:dyDescent="0.3">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 x14ac:dyDescent="0.3">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 x14ac:dyDescent="0.3">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 x14ac:dyDescent="0.3">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 x14ac:dyDescent="0.3">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 x14ac:dyDescent="0.3">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 x14ac:dyDescent="0.3">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 x14ac:dyDescent="0.3">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 x14ac:dyDescent="0.3">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 x14ac:dyDescent="0.3">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 x14ac:dyDescent="0.3">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 x14ac:dyDescent="0.3">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 x14ac:dyDescent="0.3">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 x14ac:dyDescent="0.3">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 x14ac:dyDescent="0.3">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 x14ac:dyDescent="0.3">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 x14ac:dyDescent="0.3">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 x14ac:dyDescent="0.3">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 x14ac:dyDescent="0.3">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 x14ac:dyDescent="0.3">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 x14ac:dyDescent="0.3">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 x14ac:dyDescent="0.3">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 x14ac:dyDescent="0.3">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 x14ac:dyDescent="0.3">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 x14ac:dyDescent="0.3">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 x14ac:dyDescent="0.3">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 x14ac:dyDescent="0.3">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 x14ac:dyDescent="0.3">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 x14ac:dyDescent="0.3">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 x14ac:dyDescent="0.3">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 x14ac:dyDescent="0.3">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 x14ac:dyDescent="0.3">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 x14ac:dyDescent="0.3">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 x14ac:dyDescent="0.3">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 x14ac:dyDescent="0.3">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 x14ac:dyDescent="0.3">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 x14ac:dyDescent="0.3">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 x14ac:dyDescent="0.3">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 x14ac:dyDescent="0.3">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 x14ac:dyDescent="0.3">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 x14ac:dyDescent="0.3">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 x14ac:dyDescent="0.3">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 x14ac:dyDescent="0.3">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 x14ac:dyDescent="0.3">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 x14ac:dyDescent="0.3">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 x14ac:dyDescent="0.3">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 x14ac:dyDescent="0.3">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 x14ac:dyDescent="0.3">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 x14ac:dyDescent="0.3">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 x14ac:dyDescent="0.3">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 x14ac:dyDescent="0.3">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 x14ac:dyDescent="0.3">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 x14ac:dyDescent="0.3">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 x14ac:dyDescent="0.3">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 x14ac:dyDescent="0.3">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 x14ac:dyDescent="0.3">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 x14ac:dyDescent="0.3">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 x14ac:dyDescent="0.3">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 x14ac:dyDescent="0.3">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 x14ac:dyDescent="0.3">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 x14ac:dyDescent="0.3">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 x14ac:dyDescent="0.3">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 x14ac:dyDescent="0.3">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 x14ac:dyDescent="0.3">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 x14ac:dyDescent="0.3">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 x14ac:dyDescent="0.3">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 x14ac:dyDescent="0.3">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 x14ac:dyDescent="0.3">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 x14ac:dyDescent="0.3">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 x14ac:dyDescent="0.3">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 x14ac:dyDescent="0.3">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 x14ac:dyDescent="0.3">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 x14ac:dyDescent="0.3">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 x14ac:dyDescent="0.3">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 x14ac:dyDescent="0.3">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 x14ac:dyDescent="0.3">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 x14ac:dyDescent="0.3">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 x14ac:dyDescent="0.3">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 x14ac:dyDescent="0.3">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 x14ac:dyDescent="0.3">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 x14ac:dyDescent="0.3">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 x14ac:dyDescent="0.3">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 x14ac:dyDescent="0.3">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 x14ac:dyDescent="0.3">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 x14ac:dyDescent="0.3">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 x14ac:dyDescent="0.3">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 x14ac:dyDescent="0.3">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 x14ac:dyDescent="0.3">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 x14ac:dyDescent="0.3">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 x14ac:dyDescent="0.3">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 x14ac:dyDescent="0.3">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 x14ac:dyDescent="0.3">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 x14ac:dyDescent="0.3">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 x14ac:dyDescent="0.3">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 x14ac:dyDescent="0.3">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 x14ac:dyDescent="0.3">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 x14ac:dyDescent="0.3">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 x14ac:dyDescent="0.3">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 x14ac:dyDescent="0.3">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 x14ac:dyDescent="0.3">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 x14ac:dyDescent="0.3">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 x14ac:dyDescent="0.3">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 x14ac:dyDescent="0.3">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 x14ac:dyDescent="0.3">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 x14ac:dyDescent="0.3">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 x14ac:dyDescent="0.3">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 x14ac:dyDescent="0.3">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 x14ac:dyDescent="0.3">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 x14ac:dyDescent="0.3">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 x14ac:dyDescent="0.3">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 x14ac:dyDescent="0.3">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 x14ac:dyDescent="0.3">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 x14ac:dyDescent="0.3">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 x14ac:dyDescent="0.3">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 x14ac:dyDescent="0.3">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 x14ac:dyDescent="0.3">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 x14ac:dyDescent="0.3">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 x14ac:dyDescent="0.3">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 x14ac:dyDescent="0.3">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 x14ac:dyDescent="0.3">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 x14ac:dyDescent="0.3">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 x14ac:dyDescent="0.3">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 x14ac:dyDescent="0.3">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 x14ac:dyDescent="0.3">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 x14ac:dyDescent="0.3">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 x14ac:dyDescent="0.3">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 x14ac:dyDescent="0.3">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 x14ac:dyDescent="0.3">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 x14ac:dyDescent="0.3">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 x14ac:dyDescent="0.3">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 x14ac:dyDescent="0.3">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 x14ac:dyDescent="0.3">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 x14ac:dyDescent="0.3">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 x14ac:dyDescent="0.3">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 x14ac:dyDescent="0.3">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 x14ac:dyDescent="0.3">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 x14ac:dyDescent="0.3">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 x14ac:dyDescent="0.3">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 x14ac:dyDescent="0.3">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 x14ac:dyDescent="0.3">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 x14ac:dyDescent="0.3">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 x14ac:dyDescent="0.3">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 x14ac:dyDescent="0.3">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 x14ac:dyDescent="0.3">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 x14ac:dyDescent="0.3">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 x14ac:dyDescent="0.3">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 x14ac:dyDescent="0.3">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 x14ac:dyDescent="0.3">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 x14ac:dyDescent="0.3">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 x14ac:dyDescent="0.3">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 x14ac:dyDescent="0.3">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 x14ac:dyDescent="0.3">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 x14ac:dyDescent="0.3">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 x14ac:dyDescent="0.3">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 x14ac:dyDescent="0.3">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 x14ac:dyDescent="0.3">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 x14ac:dyDescent="0.3">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 x14ac:dyDescent="0.3">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 x14ac:dyDescent="0.3">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 x14ac:dyDescent="0.3">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 x14ac:dyDescent="0.3">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 x14ac:dyDescent="0.3">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 x14ac:dyDescent="0.3">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 x14ac:dyDescent="0.3">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 x14ac:dyDescent="0.3">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 x14ac:dyDescent="0.3">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 x14ac:dyDescent="0.3">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 x14ac:dyDescent="0.3">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 x14ac:dyDescent="0.3">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 x14ac:dyDescent="0.3">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 x14ac:dyDescent="0.3">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 x14ac:dyDescent="0.3">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 x14ac:dyDescent="0.3">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 x14ac:dyDescent="0.3">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 x14ac:dyDescent="0.3">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 x14ac:dyDescent="0.3">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 x14ac:dyDescent="0.3">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 x14ac:dyDescent="0.3">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 x14ac:dyDescent="0.3">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 x14ac:dyDescent="0.3">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 x14ac:dyDescent="0.3">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 x14ac:dyDescent="0.3">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 x14ac:dyDescent="0.3">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 x14ac:dyDescent="0.3">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 x14ac:dyDescent="0.3">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 x14ac:dyDescent="0.3">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 x14ac:dyDescent="0.3">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 x14ac:dyDescent="0.3">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 x14ac:dyDescent="0.3">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 x14ac:dyDescent="0.3">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 x14ac:dyDescent="0.3">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 x14ac:dyDescent="0.3">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 x14ac:dyDescent="0.3">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 x14ac:dyDescent="0.3">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 x14ac:dyDescent="0.3">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 x14ac:dyDescent="0.3">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 x14ac:dyDescent="0.3">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 x14ac:dyDescent="0.3">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 x14ac:dyDescent="0.3">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 x14ac:dyDescent="0.3">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 x14ac:dyDescent="0.3">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 x14ac:dyDescent="0.3">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 x14ac:dyDescent="0.3">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 x14ac:dyDescent="0.3">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 x14ac:dyDescent="0.3">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 x14ac:dyDescent="0.3">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 x14ac:dyDescent="0.3">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 x14ac:dyDescent="0.3">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 x14ac:dyDescent="0.3">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 x14ac:dyDescent="0.3">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 x14ac:dyDescent="0.3">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 x14ac:dyDescent="0.3">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 x14ac:dyDescent="0.3">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 x14ac:dyDescent="0.3">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 x14ac:dyDescent="0.3">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 x14ac:dyDescent="0.3">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 x14ac:dyDescent="0.3">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 x14ac:dyDescent="0.3">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 x14ac:dyDescent="0.3">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 x14ac:dyDescent="0.3">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 x14ac:dyDescent="0.3">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 x14ac:dyDescent="0.3">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 x14ac:dyDescent="0.3">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 x14ac:dyDescent="0.3">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 x14ac:dyDescent="0.3">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 x14ac:dyDescent="0.3">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 x14ac:dyDescent="0.3">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 x14ac:dyDescent="0.3">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 x14ac:dyDescent="0.3">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 x14ac:dyDescent="0.3">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 x14ac:dyDescent="0.3">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 x14ac:dyDescent="0.3">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 x14ac:dyDescent="0.3">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 x14ac:dyDescent="0.3">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 x14ac:dyDescent="0.3">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 x14ac:dyDescent="0.3">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 x14ac:dyDescent="0.3">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 x14ac:dyDescent="0.3">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 x14ac:dyDescent="0.3">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 x14ac:dyDescent="0.3">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 x14ac:dyDescent="0.3">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 x14ac:dyDescent="0.3">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 x14ac:dyDescent="0.3">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 x14ac:dyDescent="0.3">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 x14ac:dyDescent="0.3">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 x14ac:dyDescent="0.3">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 x14ac:dyDescent="0.3">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 x14ac:dyDescent="0.3">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 x14ac:dyDescent="0.3">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 x14ac:dyDescent="0.3">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 x14ac:dyDescent="0.3">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 x14ac:dyDescent="0.3">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 x14ac:dyDescent="0.3">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 x14ac:dyDescent="0.3">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 x14ac:dyDescent="0.3">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 x14ac:dyDescent="0.3">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 x14ac:dyDescent="0.3">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 x14ac:dyDescent="0.3">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 x14ac:dyDescent="0.3">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 x14ac:dyDescent="0.3">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 x14ac:dyDescent="0.3">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 x14ac:dyDescent="0.3">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 x14ac:dyDescent="0.3">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 x14ac:dyDescent="0.3">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 x14ac:dyDescent="0.3">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 x14ac:dyDescent="0.3">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 x14ac:dyDescent="0.3">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 x14ac:dyDescent="0.3">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 x14ac:dyDescent="0.3">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 x14ac:dyDescent="0.3">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 x14ac:dyDescent="0.3">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 x14ac:dyDescent="0.3">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 x14ac:dyDescent="0.3">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 x14ac:dyDescent="0.3">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 x14ac:dyDescent="0.3">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 x14ac:dyDescent="0.3">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 x14ac:dyDescent="0.3">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 x14ac:dyDescent="0.3">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 x14ac:dyDescent="0.3">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 x14ac:dyDescent="0.3">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 x14ac:dyDescent="0.3">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 x14ac:dyDescent="0.3">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 x14ac:dyDescent="0.3">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 x14ac:dyDescent="0.3">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 x14ac:dyDescent="0.3">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 x14ac:dyDescent="0.3">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 x14ac:dyDescent="0.3">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 x14ac:dyDescent="0.3">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 x14ac:dyDescent="0.3">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 x14ac:dyDescent="0.3">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 x14ac:dyDescent="0.3">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 x14ac:dyDescent="0.3">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 x14ac:dyDescent="0.3">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 x14ac:dyDescent="0.3">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 x14ac:dyDescent="0.3">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 x14ac:dyDescent="0.3">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 x14ac:dyDescent="0.3">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 x14ac:dyDescent="0.3">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 x14ac:dyDescent="0.3">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 x14ac:dyDescent="0.3">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 x14ac:dyDescent="0.3">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 x14ac:dyDescent="0.3">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 x14ac:dyDescent="0.3">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 x14ac:dyDescent="0.3">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 x14ac:dyDescent="0.3">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 x14ac:dyDescent="0.3">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 x14ac:dyDescent="0.3">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 x14ac:dyDescent="0.3">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 x14ac:dyDescent="0.3">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 x14ac:dyDescent="0.3">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 x14ac:dyDescent="0.3">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 x14ac:dyDescent="0.3">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 x14ac:dyDescent="0.3">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 x14ac:dyDescent="0.3">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 x14ac:dyDescent="0.3">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 x14ac:dyDescent="0.3">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 x14ac:dyDescent="0.3">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 x14ac:dyDescent="0.3">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 x14ac:dyDescent="0.3">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 x14ac:dyDescent="0.3">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 x14ac:dyDescent="0.3">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 x14ac:dyDescent="0.3">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 x14ac:dyDescent="0.3">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 x14ac:dyDescent="0.3">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 x14ac:dyDescent="0.3">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 x14ac:dyDescent="0.3">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 x14ac:dyDescent="0.3">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 x14ac:dyDescent="0.3">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 x14ac:dyDescent="0.3">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 x14ac:dyDescent="0.3">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 x14ac:dyDescent="0.3">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 x14ac:dyDescent="0.3">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 x14ac:dyDescent="0.3">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 x14ac:dyDescent="0.3">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 x14ac:dyDescent="0.3">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 x14ac:dyDescent="0.3">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 x14ac:dyDescent="0.3">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 x14ac:dyDescent="0.3">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 x14ac:dyDescent="0.3">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 x14ac:dyDescent="0.3">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 x14ac:dyDescent="0.3">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 x14ac:dyDescent="0.3">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 x14ac:dyDescent="0.3">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 x14ac:dyDescent="0.3">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 x14ac:dyDescent="0.3">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 x14ac:dyDescent="0.3">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 x14ac:dyDescent="0.3">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 x14ac:dyDescent="0.3">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 x14ac:dyDescent="0.3">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 x14ac:dyDescent="0.3">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 x14ac:dyDescent="0.3">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 x14ac:dyDescent="0.3">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 x14ac:dyDescent="0.3">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 x14ac:dyDescent="0.3">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 x14ac:dyDescent="0.3">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 x14ac:dyDescent="0.3">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 x14ac:dyDescent="0.3">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 x14ac:dyDescent="0.3">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 x14ac:dyDescent="0.3">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 x14ac:dyDescent="0.3">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 x14ac:dyDescent="0.3">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 x14ac:dyDescent="0.3">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 x14ac:dyDescent="0.3">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 x14ac:dyDescent="0.3">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 x14ac:dyDescent="0.3">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 x14ac:dyDescent="0.3">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 x14ac:dyDescent="0.3">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 x14ac:dyDescent="0.3">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 x14ac:dyDescent="0.3">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 x14ac:dyDescent="0.3">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 x14ac:dyDescent="0.3">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 x14ac:dyDescent="0.3">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 x14ac:dyDescent="0.3">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 x14ac:dyDescent="0.3">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 x14ac:dyDescent="0.3">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 x14ac:dyDescent="0.3">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 x14ac:dyDescent="0.3">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 x14ac:dyDescent="0.3">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 x14ac:dyDescent="0.3">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 x14ac:dyDescent="0.3">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 x14ac:dyDescent="0.3">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 x14ac:dyDescent="0.3">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 x14ac:dyDescent="0.3">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 x14ac:dyDescent="0.3">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 x14ac:dyDescent="0.3">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 x14ac:dyDescent="0.3">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 x14ac:dyDescent="0.3">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 x14ac:dyDescent="0.3">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 x14ac:dyDescent="0.3">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 x14ac:dyDescent="0.3">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 x14ac:dyDescent="0.3">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 x14ac:dyDescent="0.3">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 x14ac:dyDescent="0.3">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 x14ac:dyDescent="0.3">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 x14ac:dyDescent="0.3">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 x14ac:dyDescent="0.3">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 x14ac:dyDescent="0.3">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 x14ac:dyDescent="0.3">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 x14ac:dyDescent="0.3">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 x14ac:dyDescent="0.3">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 x14ac:dyDescent="0.3">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 x14ac:dyDescent="0.3">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 x14ac:dyDescent="0.3">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 x14ac:dyDescent="0.3">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 x14ac:dyDescent="0.3">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 x14ac:dyDescent="0.3">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 x14ac:dyDescent="0.3">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 x14ac:dyDescent="0.3">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 x14ac:dyDescent="0.3">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 x14ac:dyDescent="0.3">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 x14ac:dyDescent="0.3">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 x14ac:dyDescent="0.3">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 x14ac:dyDescent="0.3">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 x14ac:dyDescent="0.3">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 x14ac:dyDescent="0.3">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 x14ac:dyDescent="0.3">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 x14ac:dyDescent="0.3">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 x14ac:dyDescent="0.3">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 x14ac:dyDescent="0.3">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 x14ac:dyDescent="0.3">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 x14ac:dyDescent="0.3">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 x14ac:dyDescent="0.3">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 x14ac:dyDescent="0.3">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 x14ac:dyDescent="0.3">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 x14ac:dyDescent="0.3">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 x14ac:dyDescent="0.3">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 x14ac:dyDescent="0.3">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 x14ac:dyDescent="0.3">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 x14ac:dyDescent="0.3">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 x14ac:dyDescent="0.3">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 x14ac:dyDescent="0.3">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 x14ac:dyDescent="0.3">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 x14ac:dyDescent="0.3">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 x14ac:dyDescent="0.3">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 x14ac:dyDescent="0.3">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 x14ac:dyDescent="0.3">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 x14ac:dyDescent="0.3">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 x14ac:dyDescent="0.3">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 x14ac:dyDescent="0.3">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 x14ac:dyDescent="0.3">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 x14ac:dyDescent="0.3">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 x14ac:dyDescent="0.3">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 x14ac:dyDescent="0.3">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 x14ac:dyDescent="0.3">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 x14ac:dyDescent="0.3">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 x14ac:dyDescent="0.3">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 x14ac:dyDescent="0.3">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 x14ac:dyDescent="0.3">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 x14ac:dyDescent="0.3">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 x14ac:dyDescent="0.3">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 x14ac:dyDescent="0.3">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 x14ac:dyDescent="0.3">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 x14ac:dyDescent="0.3">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 x14ac:dyDescent="0.3">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 x14ac:dyDescent="0.3">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 x14ac:dyDescent="0.3">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 x14ac:dyDescent="0.3">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 x14ac:dyDescent="0.3">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 x14ac:dyDescent="0.3">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 x14ac:dyDescent="0.3">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 x14ac:dyDescent="0.3">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 x14ac:dyDescent="0.3">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 x14ac:dyDescent="0.3">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 x14ac:dyDescent="0.3">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 x14ac:dyDescent="0.3">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 x14ac:dyDescent="0.3">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 x14ac:dyDescent="0.3">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 x14ac:dyDescent="0.3">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 x14ac:dyDescent="0.3">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 x14ac:dyDescent="0.3">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 x14ac:dyDescent="0.3">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 x14ac:dyDescent="0.3">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 x14ac:dyDescent="0.3">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 x14ac:dyDescent="0.3">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 x14ac:dyDescent="0.3">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 x14ac:dyDescent="0.3">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 x14ac:dyDescent="0.3">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 x14ac:dyDescent="0.3">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 x14ac:dyDescent="0.3">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 x14ac:dyDescent="0.3">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 x14ac:dyDescent="0.3">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 x14ac:dyDescent="0.3">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 x14ac:dyDescent="0.3">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 x14ac:dyDescent="0.3">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 x14ac:dyDescent="0.3">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 x14ac:dyDescent="0.3">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 x14ac:dyDescent="0.3">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 x14ac:dyDescent="0.3">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 x14ac:dyDescent="0.3">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 x14ac:dyDescent="0.3">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 x14ac:dyDescent="0.3">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 x14ac:dyDescent="0.3">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 x14ac:dyDescent="0.3">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 x14ac:dyDescent="0.3">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 x14ac:dyDescent="0.3">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 x14ac:dyDescent="0.3">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 x14ac:dyDescent="0.3">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 x14ac:dyDescent="0.3">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 x14ac:dyDescent="0.3">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 x14ac:dyDescent="0.3">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 x14ac:dyDescent="0.3">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 x14ac:dyDescent="0.3">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 x14ac:dyDescent="0.3">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 x14ac:dyDescent="0.3">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 x14ac:dyDescent="0.3">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 x14ac:dyDescent="0.3">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 x14ac:dyDescent="0.3">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 x14ac:dyDescent="0.3">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 x14ac:dyDescent="0.3">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 x14ac:dyDescent="0.3">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 x14ac:dyDescent="0.3">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 x14ac:dyDescent="0.3">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 x14ac:dyDescent="0.3">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 x14ac:dyDescent="0.3">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 x14ac:dyDescent="0.3">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 x14ac:dyDescent="0.3">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 x14ac:dyDescent="0.3">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 x14ac:dyDescent="0.3">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 x14ac:dyDescent="0.3">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 x14ac:dyDescent="0.3">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 x14ac:dyDescent="0.3">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 x14ac:dyDescent="0.3">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 x14ac:dyDescent="0.3">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 x14ac:dyDescent="0.3">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 x14ac:dyDescent="0.3">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 x14ac:dyDescent="0.3">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 x14ac:dyDescent="0.3">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 x14ac:dyDescent="0.3">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 x14ac:dyDescent="0.3">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 x14ac:dyDescent="0.3">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 x14ac:dyDescent="0.3">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 x14ac:dyDescent="0.3">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 x14ac:dyDescent="0.3">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 x14ac:dyDescent="0.3">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 x14ac:dyDescent="0.3">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 x14ac:dyDescent="0.3">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 x14ac:dyDescent="0.3">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 x14ac:dyDescent="0.3">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 x14ac:dyDescent="0.3">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 x14ac:dyDescent="0.3">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 x14ac:dyDescent="0.3">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 x14ac:dyDescent="0.3">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 x14ac:dyDescent="0.3">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 x14ac:dyDescent="0.3">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 x14ac:dyDescent="0.3">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 x14ac:dyDescent="0.3">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 x14ac:dyDescent="0.3">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 x14ac:dyDescent="0.3">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 x14ac:dyDescent="0.3">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 x14ac:dyDescent="0.3">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 x14ac:dyDescent="0.3">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 x14ac:dyDescent="0.3">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 x14ac:dyDescent="0.3">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 x14ac:dyDescent="0.3">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 x14ac:dyDescent="0.3">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 x14ac:dyDescent="0.3">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 x14ac:dyDescent="0.3">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 x14ac:dyDescent="0.3">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 x14ac:dyDescent="0.3">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 x14ac:dyDescent="0.3">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 x14ac:dyDescent="0.3">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 x14ac:dyDescent="0.3">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 x14ac:dyDescent="0.3">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 x14ac:dyDescent="0.3">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 x14ac:dyDescent="0.3">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 x14ac:dyDescent="0.3">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 x14ac:dyDescent="0.3">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 x14ac:dyDescent="0.3">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 x14ac:dyDescent="0.3">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 x14ac:dyDescent="0.3">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 x14ac:dyDescent="0.3">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 x14ac:dyDescent="0.3">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 x14ac:dyDescent="0.3">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 x14ac:dyDescent="0.3">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 x14ac:dyDescent="0.3">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 x14ac:dyDescent="0.3">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 x14ac:dyDescent="0.3">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 x14ac:dyDescent="0.3">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 x14ac:dyDescent="0.3">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 x14ac:dyDescent="0.3">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 x14ac:dyDescent="0.3">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 x14ac:dyDescent="0.3">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 x14ac:dyDescent="0.3">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 x14ac:dyDescent="0.3">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 x14ac:dyDescent="0.3">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 x14ac:dyDescent="0.3">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 x14ac:dyDescent="0.3">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 x14ac:dyDescent="0.3">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 x14ac:dyDescent="0.3">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 x14ac:dyDescent="0.3">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 x14ac:dyDescent="0.3">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 x14ac:dyDescent="0.3">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 x14ac:dyDescent="0.3">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 x14ac:dyDescent="0.3">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 x14ac:dyDescent="0.3">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 x14ac:dyDescent="0.3">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 x14ac:dyDescent="0.3">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 x14ac:dyDescent="0.3">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 x14ac:dyDescent="0.3">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 x14ac:dyDescent="0.3">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 x14ac:dyDescent="0.3">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 x14ac:dyDescent="0.3">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 x14ac:dyDescent="0.3">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 x14ac:dyDescent="0.3">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 x14ac:dyDescent="0.3">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 x14ac:dyDescent="0.3">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 x14ac:dyDescent="0.3">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 x14ac:dyDescent="0.3">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 x14ac:dyDescent="0.3">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 x14ac:dyDescent="0.3">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 x14ac:dyDescent="0.3">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 x14ac:dyDescent="0.3">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 x14ac:dyDescent="0.3">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 x14ac:dyDescent="0.3">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 x14ac:dyDescent="0.3">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 x14ac:dyDescent="0.3">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 x14ac:dyDescent="0.3">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 x14ac:dyDescent="0.3">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 x14ac:dyDescent="0.3">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 x14ac:dyDescent="0.3">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 x14ac:dyDescent="0.3">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 x14ac:dyDescent="0.3">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 x14ac:dyDescent="0.3">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 x14ac:dyDescent="0.3">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 x14ac:dyDescent="0.3">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 x14ac:dyDescent="0.3">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 x14ac:dyDescent="0.3">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 x14ac:dyDescent="0.3">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 x14ac:dyDescent="0.3">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 x14ac:dyDescent="0.3">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 x14ac:dyDescent="0.3">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 x14ac:dyDescent="0.3">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 x14ac:dyDescent="0.3">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 x14ac:dyDescent="0.3">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 x14ac:dyDescent="0.3">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 x14ac:dyDescent="0.3">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 x14ac:dyDescent="0.3">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 x14ac:dyDescent="0.3">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 x14ac:dyDescent="0.3">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 x14ac:dyDescent="0.3">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 x14ac:dyDescent="0.3">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 x14ac:dyDescent="0.3">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 x14ac:dyDescent="0.3">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 x14ac:dyDescent="0.3">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 x14ac:dyDescent="0.3">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 x14ac:dyDescent="0.3">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 x14ac:dyDescent="0.3">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 x14ac:dyDescent="0.3">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 x14ac:dyDescent="0.3">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 x14ac:dyDescent="0.3">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 x14ac:dyDescent="0.3">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 x14ac:dyDescent="0.3">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 x14ac:dyDescent="0.3">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 x14ac:dyDescent="0.3">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 x14ac:dyDescent="0.3">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 x14ac:dyDescent="0.3">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 x14ac:dyDescent="0.3">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 x14ac:dyDescent="0.3">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 x14ac:dyDescent="0.3">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 x14ac:dyDescent="0.3">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 x14ac:dyDescent="0.3">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 x14ac:dyDescent="0.3">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 x14ac:dyDescent="0.3">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 x14ac:dyDescent="0.3">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 x14ac:dyDescent="0.3">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 x14ac:dyDescent="0.3">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 x14ac:dyDescent="0.3">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 x14ac:dyDescent="0.3">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 x14ac:dyDescent="0.3">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 x14ac:dyDescent="0.3">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 x14ac:dyDescent="0.3">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 x14ac:dyDescent="0.3">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 x14ac:dyDescent="0.3">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 x14ac:dyDescent="0.3">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 x14ac:dyDescent="0.3">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 x14ac:dyDescent="0.3">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 x14ac:dyDescent="0.3">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 x14ac:dyDescent="0.3">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 x14ac:dyDescent="0.3">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 x14ac:dyDescent="0.3">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 x14ac:dyDescent="0.3">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 x14ac:dyDescent="0.3">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 x14ac:dyDescent="0.3">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 x14ac:dyDescent="0.3">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 x14ac:dyDescent="0.3">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 x14ac:dyDescent="0.3">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 x14ac:dyDescent="0.3">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 x14ac:dyDescent="0.3">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 x14ac:dyDescent="0.3">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 x14ac:dyDescent="0.3">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 x14ac:dyDescent="0.3">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 x14ac:dyDescent="0.3">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 x14ac:dyDescent="0.3">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 x14ac:dyDescent="0.3">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 x14ac:dyDescent="0.3">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 x14ac:dyDescent="0.3">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 x14ac:dyDescent="0.3">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 x14ac:dyDescent="0.3">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 x14ac:dyDescent="0.3">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 x14ac:dyDescent="0.3">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 x14ac:dyDescent="0.3">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 x14ac:dyDescent="0.3">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 x14ac:dyDescent="0.3">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 x14ac:dyDescent="0.3">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 x14ac:dyDescent="0.3">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 x14ac:dyDescent="0.3">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 x14ac:dyDescent="0.3">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 x14ac:dyDescent="0.3">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 x14ac:dyDescent="0.3">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 x14ac:dyDescent="0.3">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 x14ac:dyDescent="0.3">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 x14ac:dyDescent="0.3">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 x14ac:dyDescent="0.3">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 x14ac:dyDescent="0.3">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 x14ac:dyDescent="0.3">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 x14ac:dyDescent="0.3">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 x14ac:dyDescent="0.3">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 x14ac:dyDescent="0.3">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 x14ac:dyDescent="0.3">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 x14ac:dyDescent="0.3">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 x14ac:dyDescent="0.3">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 x14ac:dyDescent="0.3">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 x14ac:dyDescent="0.3">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 x14ac:dyDescent="0.3">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 x14ac:dyDescent="0.3">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 x14ac:dyDescent="0.3">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 x14ac:dyDescent="0.3">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 x14ac:dyDescent="0.3">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 x14ac:dyDescent="0.3">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 x14ac:dyDescent="0.3">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 x14ac:dyDescent="0.3">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 x14ac:dyDescent="0.3">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 x14ac:dyDescent="0.3">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 x14ac:dyDescent="0.3">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 x14ac:dyDescent="0.3">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 x14ac:dyDescent="0.3">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 x14ac:dyDescent="0.3">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 x14ac:dyDescent="0.3">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 x14ac:dyDescent="0.3">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 x14ac:dyDescent="0.3">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 x14ac:dyDescent="0.3">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 x14ac:dyDescent="0.3">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 x14ac:dyDescent="0.3">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 x14ac:dyDescent="0.3">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 x14ac:dyDescent="0.3">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 x14ac:dyDescent="0.3">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 x14ac:dyDescent="0.3">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 x14ac:dyDescent="0.3">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 x14ac:dyDescent="0.3">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 x14ac:dyDescent="0.3">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 x14ac:dyDescent="0.3">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 x14ac:dyDescent="0.3">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 x14ac:dyDescent="0.3">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 x14ac:dyDescent="0.3">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 x14ac:dyDescent="0.3">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 x14ac:dyDescent="0.3">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 x14ac:dyDescent="0.3">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 x14ac:dyDescent="0.3">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 x14ac:dyDescent="0.3">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 x14ac:dyDescent="0.3">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 x14ac:dyDescent="0.3">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 x14ac:dyDescent="0.3">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 x14ac:dyDescent="0.3">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 x14ac:dyDescent="0.3">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 x14ac:dyDescent="0.3">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 x14ac:dyDescent="0.3">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 x14ac:dyDescent="0.3">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 x14ac:dyDescent="0.3">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 x14ac:dyDescent="0.3">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 x14ac:dyDescent="0.3">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 x14ac:dyDescent="0.3">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 x14ac:dyDescent="0.3">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 x14ac:dyDescent="0.3">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 x14ac:dyDescent="0.3">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 x14ac:dyDescent="0.3">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 x14ac:dyDescent="0.3">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 x14ac:dyDescent="0.3">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 x14ac:dyDescent="0.3">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 x14ac:dyDescent="0.3">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 x14ac:dyDescent="0.3">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 x14ac:dyDescent="0.3">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 x14ac:dyDescent="0.3">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 x14ac:dyDescent="0.3">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 x14ac:dyDescent="0.3">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 x14ac:dyDescent="0.3">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 x14ac:dyDescent="0.3">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 x14ac:dyDescent="0.3">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 x14ac:dyDescent="0.3">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 x14ac:dyDescent="0.3">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 x14ac:dyDescent="0.3">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 x14ac:dyDescent="0.3">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 x14ac:dyDescent="0.3">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 x14ac:dyDescent="0.3">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 x14ac:dyDescent="0.3">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 x14ac:dyDescent="0.3">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 x14ac:dyDescent="0.3">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 x14ac:dyDescent="0.3">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 x14ac:dyDescent="0.3">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 x14ac:dyDescent="0.3">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 x14ac:dyDescent="0.3">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 x14ac:dyDescent="0.3">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 x14ac:dyDescent="0.3">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 x14ac:dyDescent="0.3">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 x14ac:dyDescent="0.3">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 x14ac:dyDescent="0.3">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 x14ac:dyDescent="0.3">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 x14ac:dyDescent="0.3">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 x14ac:dyDescent="0.3">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 x14ac:dyDescent="0.3">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 x14ac:dyDescent="0.3">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 x14ac:dyDescent="0.3">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 x14ac:dyDescent="0.3">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 x14ac:dyDescent="0.3">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 x14ac:dyDescent="0.3">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 x14ac:dyDescent="0.3">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 x14ac:dyDescent="0.3">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 x14ac:dyDescent="0.3">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 x14ac:dyDescent="0.3">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 x14ac:dyDescent="0.3">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 x14ac:dyDescent="0.3">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 x14ac:dyDescent="0.3">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 x14ac:dyDescent="0.3">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 x14ac:dyDescent="0.3">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 x14ac:dyDescent="0.3">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 x14ac:dyDescent="0.3">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 x14ac:dyDescent="0.3">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 x14ac:dyDescent="0.3">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 x14ac:dyDescent="0.3">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 x14ac:dyDescent="0.3">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 x14ac:dyDescent="0.3">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 x14ac:dyDescent="0.3">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 x14ac:dyDescent="0.3">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 x14ac:dyDescent="0.3">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 x14ac:dyDescent="0.3">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 x14ac:dyDescent="0.3">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 x14ac:dyDescent="0.3">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 x14ac:dyDescent="0.3">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 x14ac:dyDescent="0.3">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 x14ac:dyDescent="0.3">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 x14ac:dyDescent="0.3">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 x14ac:dyDescent="0.3">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 x14ac:dyDescent="0.3">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 x14ac:dyDescent="0.3">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 x14ac:dyDescent="0.3">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 x14ac:dyDescent="0.3">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 x14ac:dyDescent="0.3">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 x14ac:dyDescent="0.3">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 x14ac:dyDescent="0.3">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 x14ac:dyDescent="0.3">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 x14ac:dyDescent="0.3">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 x14ac:dyDescent="0.3">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 x14ac:dyDescent="0.3">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 x14ac:dyDescent="0.3">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 x14ac:dyDescent="0.3">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 x14ac:dyDescent="0.3">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 x14ac:dyDescent="0.3">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 x14ac:dyDescent="0.3">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 x14ac:dyDescent="0.3">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 x14ac:dyDescent="0.3">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 x14ac:dyDescent="0.3">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 x14ac:dyDescent="0.3">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 x14ac:dyDescent="0.3">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 x14ac:dyDescent="0.3">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 x14ac:dyDescent="0.3">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 x14ac:dyDescent="0.3">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 x14ac:dyDescent="0.3">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 x14ac:dyDescent="0.3">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 x14ac:dyDescent="0.3">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 x14ac:dyDescent="0.3">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 x14ac:dyDescent="0.3">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 x14ac:dyDescent="0.3">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 x14ac:dyDescent="0.3">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 x14ac:dyDescent="0.3">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 x14ac:dyDescent="0.3">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 x14ac:dyDescent="0.3">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 x14ac:dyDescent="0.3">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 x14ac:dyDescent="0.3">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 x14ac:dyDescent="0.3">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 x14ac:dyDescent="0.3">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 x14ac:dyDescent="0.3">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 x14ac:dyDescent="0.3">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 x14ac:dyDescent="0.3">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 x14ac:dyDescent="0.3">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 x14ac:dyDescent="0.3">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 x14ac:dyDescent="0.3">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 x14ac:dyDescent="0.3">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 x14ac:dyDescent="0.3">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 x14ac:dyDescent="0.3">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 x14ac:dyDescent="0.3">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 x14ac:dyDescent="0.3">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 x14ac:dyDescent="0.3">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 x14ac:dyDescent="0.3">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 x14ac:dyDescent="0.3">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 x14ac:dyDescent="0.3">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 x14ac:dyDescent="0.3">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 x14ac:dyDescent="0.3">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 x14ac:dyDescent="0.3">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 x14ac:dyDescent="0.3">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 x14ac:dyDescent="0.3">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 x14ac:dyDescent="0.3">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 x14ac:dyDescent="0.3">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 x14ac:dyDescent="0.3">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 x14ac:dyDescent="0.3">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 x14ac:dyDescent="0.3">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 x14ac:dyDescent="0.3">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 x14ac:dyDescent="0.3">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 x14ac:dyDescent="0.3">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 x14ac:dyDescent="0.3">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 x14ac:dyDescent="0.3">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 x14ac:dyDescent="0.3">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 x14ac:dyDescent="0.3">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 x14ac:dyDescent="0.3">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 x14ac:dyDescent="0.3">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 x14ac:dyDescent="0.3">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 x14ac:dyDescent="0.3">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 x14ac:dyDescent="0.3">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 x14ac:dyDescent="0.3">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 x14ac:dyDescent="0.3">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 x14ac:dyDescent="0.3">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 x14ac:dyDescent="0.3">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 x14ac:dyDescent="0.3">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 x14ac:dyDescent="0.3">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 x14ac:dyDescent="0.3">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 x14ac:dyDescent="0.3">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 x14ac:dyDescent="0.3">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 x14ac:dyDescent="0.3">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 x14ac:dyDescent="0.3">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 x14ac:dyDescent="0.3">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 x14ac:dyDescent="0.3">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 x14ac:dyDescent="0.3">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 x14ac:dyDescent="0.3">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 x14ac:dyDescent="0.3">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 x14ac:dyDescent="0.3">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 x14ac:dyDescent="0.3">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 x14ac:dyDescent="0.3">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 x14ac:dyDescent="0.3">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 x14ac:dyDescent="0.3">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 x14ac:dyDescent="0.3">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 x14ac:dyDescent="0.3">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 x14ac:dyDescent="0.3">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 x14ac:dyDescent="0.3">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 x14ac:dyDescent="0.3">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 x14ac:dyDescent="0.3">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 x14ac:dyDescent="0.3">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 x14ac:dyDescent="0.3">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 x14ac:dyDescent="0.3">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 x14ac:dyDescent="0.3">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 x14ac:dyDescent="0.3">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 x14ac:dyDescent="0.3">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 x14ac:dyDescent="0.3">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 x14ac:dyDescent="0.3">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 x14ac:dyDescent="0.3">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 x14ac:dyDescent="0.3">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 x14ac:dyDescent="0.3">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 x14ac:dyDescent="0.3">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 x14ac:dyDescent="0.3">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 x14ac:dyDescent="0.3">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 x14ac:dyDescent="0.3">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 x14ac:dyDescent="0.3">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 x14ac:dyDescent="0.3">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 x14ac:dyDescent="0.3">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 x14ac:dyDescent="0.3">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 x14ac:dyDescent="0.3">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 x14ac:dyDescent="0.3">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 x14ac:dyDescent="0.3">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 x14ac:dyDescent="0.3">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 x14ac:dyDescent="0.3">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 x14ac:dyDescent="0.3">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 x14ac:dyDescent="0.3">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 x14ac:dyDescent="0.3">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 x14ac:dyDescent="0.3">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 x14ac:dyDescent="0.3">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 x14ac:dyDescent="0.3">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 x14ac:dyDescent="0.3">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 x14ac:dyDescent="0.3">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 x14ac:dyDescent="0.3">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 x14ac:dyDescent="0.3">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 x14ac:dyDescent="0.3">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 x14ac:dyDescent="0.3">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 x14ac:dyDescent="0.3">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 x14ac:dyDescent="0.3">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 x14ac:dyDescent="0.3">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 x14ac:dyDescent="0.3">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 x14ac:dyDescent="0.3">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 x14ac:dyDescent="0.3">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 x14ac:dyDescent="0.3">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 x14ac:dyDescent="0.3">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 x14ac:dyDescent="0.3">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 x14ac:dyDescent="0.3">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 x14ac:dyDescent="0.3">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 x14ac:dyDescent="0.3">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 x14ac:dyDescent="0.3">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 x14ac:dyDescent="0.3">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 x14ac:dyDescent="0.3">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 x14ac:dyDescent="0.3">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 x14ac:dyDescent="0.3">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 x14ac:dyDescent="0.3">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 x14ac:dyDescent="0.3">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 x14ac:dyDescent="0.3">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 x14ac:dyDescent="0.3">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 x14ac:dyDescent="0.3">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 x14ac:dyDescent="0.3">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 x14ac:dyDescent="0.3">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 x14ac:dyDescent="0.3">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 x14ac:dyDescent="0.3">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 x14ac:dyDescent="0.3">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 x14ac:dyDescent="0.3">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 x14ac:dyDescent="0.3">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 x14ac:dyDescent="0.3">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 x14ac:dyDescent="0.3">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 x14ac:dyDescent="0.3">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 x14ac:dyDescent="0.3">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 x14ac:dyDescent="0.3">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 x14ac:dyDescent="0.3">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 x14ac:dyDescent="0.3">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 x14ac:dyDescent="0.3">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 x14ac:dyDescent="0.3">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 x14ac:dyDescent="0.3">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 x14ac:dyDescent="0.3">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 x14ac:dyDescent="0.3">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 x14ac:dyDescent="0.3">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 x14ac:dyDescent="0.3">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 x14ac:dyDescent="0.3">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 x14ac:dyDescent="0.3">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 x14ac:dyDescent="0.3">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 x14ac:dyDescent="0.3">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 x14ac:dyDescent="0.3">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 x14ac:dyDescent="0.3">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 x14ac:dyDescent="0.3">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 x14ac:dyDescent="0.3">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 x14ac:dyDescent="0.3">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 x14ac:dyDescent="0.3">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 x14ac:dyDescent="0.3">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 x14ac:dyDescent="0.3">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 x14ac:dyDescent="0.3">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 x14ac:dyDescent="0.3">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 x14ac:dyDescent="0.3">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 x14ac:dyDescent="0.3">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 x14ac:dyDescent="0.3">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 x14ac:dyDescent="0.3">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 x14ac:dyDescent="0.3">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 x14ac:dyDescent="0.3">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 x14ac:dyDescent="0.3">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 x14ac:dyDescent="0.3">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 x14ac:dyDescent="0.3">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 x14ac:dyDescent="0.3">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 x14ac:dyDescent="0.3">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 x14ac:dyDescent="0.3">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 x14ac:dyDescent="0.3">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 x14ac:dyDescent="0.3">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 x14ac:dyDescent="0.3">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 x14ac:dyDescent="0.3">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 x14ac:dyDescent="0.3">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 x14ac:dyDescent="0.3">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 x14ac:dyDescent="0.3">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 x14ac:dyDescent="0.3">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 x14ac:dyDescent="0.3">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 x14ac:dyDescent="0.3">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 x14ac:dyDescent="0.3">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 x14ac:dyDescent="0.3">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 x14ac:dyDescent="0.3">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 x14ac:dyDescent="0.3">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 x14ac:dyDescent="0.3">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 x14ac:dyDescent="0.3">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 x14ac:dyDescent="0.3">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 x14ac:dyDescent="0.3">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 x14ac:dyDescent="0.3">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 x14ac:dyDescent="0.3">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 x14ac:dyDescent="0.3">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 x14ac:dyDescent="0.3">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 x14ac:dyDescent="0.3">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 x14ac:dyDescent="0.3">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 x14ac:dyDescent="0.3">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 x14ac:dyDescent="0.3">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 x14ac:dyDescent="0.3">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 x14ac:dyDescent="0.3">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 x14ac:dyDescent="0.3">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 x14ac:dyDescent="0.3">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 x14ac:dyDescent="0.3">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 x14ac:dyDescent="0.3">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 x14ac:dyDescent="0.3">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 x14ac:dyDescent="0.3">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 x14ac:dyDescent="0.3">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 x14ac:dyDescent="0.3">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 x14ac:dyDescent="0.3">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 x14ac:dyDescent="0.3">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 x14ac:dyDescent="0.3">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 x14ac:dyDescent="0.3">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 x14ac:dyDescent="0.3">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 x14ac:dyDescent="0.3">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 x14ac:dyDescent="0.3">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 x14ac:dyDescent="0.3">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 x14ac:dyDescent="0.3">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 x14ac:dyDescent="0.3">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 x14ac:dyDescent="0.3">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 x14ac:dyDescent="0.3">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 x14ac:dyDescent="0.3">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 x14ac:dyDescent="0.3">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 x14ac:dyDescent="0.3">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 x14ac:dyDescent="0.3">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 x14ac:dyDescent="0.3">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 x14ac:dyDescent="0.3">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 x14ac:dyDescent="0.3">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 x14ac:dyDescent="0.3">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 x14ac:dyDescent="0.3">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 x14ac:dyDescent="0.3">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 x14ac:dyDescent="0.3">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 x14ac:dyDescent="0.3">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 x14ac:dyDescent="0.3">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 x14ac:dyDescent="0.3">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 x14ac:dyDescent="0.3">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 x14ac:dyDescent="0.3">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 x14ac:dyDescent="0.3">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 x14ac:dyDescent="0.3">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 x14ac:dyDescent="0.3">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 x14ac:dyDescent="0.3">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 x14ac:dyDescent="0.3">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 x14ac:dyDescent="0.3">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 x14ac:dyDescent="0.3">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 x14ac:dyDescent="0.3">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 x14ac:dyDescent="0.3">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 x14ac:dyDescent="0.3">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 x14ac:dyDescent="0.3">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 x14ac:dyDescent="0.3">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 x14ac:dyDescent="0.3">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 x14ac:dyDescent="0.3">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 x14ac:dyDescent="0.3">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 x14ac:dyDescent="0.3">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 x14ac:dyDescent="0.3">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 x14ac:dyDescent="0.3">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 x14ac:dyDescent="0.3">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 x14ac:dyDescent="0.3">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 x14ac:dyDescent="0.3">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 x14ac:dyDescent="0.3">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 x14ac:dyDescent="0.3">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 x14ac:dyDescent="0.3">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 x14ac:dyDescent="0.3">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 x14ac:dyDescent="0.3">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 x14ac:dyDescent="0.3">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 x14ac:dyDescent="0.3">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 x14ac:dyDescent="0.3">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 x14ac:dyDescent="0.3">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 x14ac:dyDescent="0.3">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 x14ac:dyDescent="0.3">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 x14ac:dyDescent="0.3">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 x14ac:dyDescent="0.3">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 x14ac:dyDescent="0.3">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 x14ac:dyDescent="0.3">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 x14ac:dyDescent="0.3">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 x14ac:dyDescent="0.3">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 x14ac:dyDescent="0.3">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 x14ac:dyDescent="0.3">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 x14ac:dyDescent="0.3">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 x14ac:dyDescent="0.3">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 x14ac:dyDescent="0.3">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 x14ac:dyDescent="0.3">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 x14ac:dyDescent="0.3">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 x14ac:dyDescent="0.3">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 x14ac:dyDescent="0.3">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 x14ac:dyDescent="0.3">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 x14ac:dyDescent="0.3">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 x14ac:dyDescent="0.3">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 x14ac:dyDescent="0.3">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 x14ac:dyDescent="0.3">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 x14ac:dyDescent="0.3">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 x14ac:dyDescent="0.3">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 x14ac:dyDescent="0.3">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 x14ac:dyDescent="0.3">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 x14ac:dyDescent="0.3">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 x14ac:dyDescent="0.3">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 x14ac:dyDescent="0.3">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 x14ac:dyDescent="0.3">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 x14ac:dyDescent="0.3">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 x14ac:dyDescent="0.3">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 x14ac:dyDescent="0.3">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 x14ac:dyDescent="0.3">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 x14ac:dyDescent="0.3">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 x14ac:dyDescent="0.3">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 x14ac:dyDescent="0.3">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 x14ac:dyDescent="0.3">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 x14ac:dyDescent="0.3">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 x14ac:dyDescent="0.3">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 x14ac:dyDescent="0.3">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 x14ac:dyDescent="0.3">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 x14ac:dyDescent="0.3">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 x14ac:dyDescent="0.3">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 x14ac:dyDescent="0.3">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 x14ac:dyDescent="0.3">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 x14ac:dyDescent="0.3">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 x14ac:dyDescent="0.3">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 x14ac:dyDescent="0.3">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 x14ac:dyDescent="0.3">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 x14ac:dyDescent="0.3">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 x14ac:dyDescent="0.3">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 x14ac:dyDescent="0.3">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 x14ac:dyDescent="0.3">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 x14ac:dyDescent="0.3">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 x14ac:dyDescent="0.3">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 x14ac:dyDescent="0.3">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 x14ac:dyDescent="0.3">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 x14ac:dyDescent="0.3">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 x14ac:dyDescent="0.3">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 x14ac:dyDescent="0.3">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 x14ac:dyDescent="0.3">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 x14ac:dyDescent="0.3">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 x14ac:dyDescent="0.3">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 x14ac:dyDescent="0.3">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 x14ac:dyDescent="0.3">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 x14ac:dyDescent="0.3">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 x14ac:dyDescent="0.3">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 x14ac:dyDescent="0.3">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 x14ac:dyDescent="0.3">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 x14ac:dyDescent="0.3">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 x14ac:dyDescent="0.3">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 x14ac:dyDescent="0.3">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 x14ac:dyDescent="0.3">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 x14ac:dyDescent="0.3">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 x14ac:dyDescent="0.3">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 x14ac:dyDescent="0.3">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 x14ac:dyDescent="0.3">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 x14ac:dyDescent="0.3">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 x14ac:dyDescent="0.3">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 x14ac:dyDescent="0.3">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 x14ac:dyDescent="0.3">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 x14ac:dyDescent="0.3">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 x14ac:dyDescent="0.3">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 x14ac:dyDescent="0.3">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 x14ac:dyDescent="0.3">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 x14ac:dyDescent="0.3">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 x14ac:dyDescent="0.3">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 x14ac:dyDescent="0.3">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 x14ac:dyDescent="0.3">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 x14ac:dyDescent="0.3">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 x14ac:dyDescent="0.3">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 x14ac:dyDescent="0.3">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 x14ac:dyDescent="0.3">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 x14ac:dyDescent="0.3">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 x14ac:dyDescent="0.3">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 x14ac:dyDescent="0.3">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 x14ac:dyDescent="0.3">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 x14ac:dyDescent="0.3">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 x14ac:dyDescent="0.3">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 x14ac:dyDescent="0.3">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 x14ac:dyDescent="0.3">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 x14ac:dyDescent="0.3">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 x14ac:dyDescent="0.3">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 x14ac:dyDescent="0.3">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 x14ac:dyDescent="0.3">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 x14ac:dyDescent="0.3">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 x14ac:dyDescent="0.3">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 x14ac:dyDescent="0.3">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 x14ac:dyDescent="0.3">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 x14ac:dyDescent="0.3">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 x14ac:dyDescent="0.3">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 x14ac:dyDescent="0.3">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 x14ac:dyDescent="0.3">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 x14ac:dyDescent="0.3">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 x14ac:dyDescent="0.3">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 x14ac:dyDescent="0.3">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 x14ac:dyDescent="0.3">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 x14ac:dyDescent="0.3">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 x14ac:dyDescent="0.3">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 x14ac:dyDescent="0.3">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 x14ac:dyDescent="0.3">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 x14ac:dyDescent="0.3">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 x14ac:dyDescent="0.3">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 x14ac:dyDescent="0.3">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 x14ac:dyDescent="0.3">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 x14ac:dyDescent="0.3">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 x14ac:dyDescent="0.3">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 x14ac:dyDescent="0.3">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 x14ac:dyDescent="0.3">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 x14ac:dyDescent="0.3">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 x14ac:dyDescent="0.3">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 x14ac:dyDescent="0.3">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 x14ac:dyDescent="0.3">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 x14ac:dyDescent="0.3">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 x14ac:dyDescent="0.3">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 x14ac:dyDescent="0.3">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 x14ac:dyDescent="0.3">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 x14ac:dyDescent="0.3">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 x14ac:dyDescent="0.3">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 x14ac:dyDescent="0.3">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 x14ac:dyDescent="0.3">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 x14ac:dyDescent="0.3">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 x14ac:dyDescent="0.3">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 x14ac:dyDescent="0.3">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 x14ac:dyDescent="0.3">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 x14ac:dyDescent="0.3">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 x14ac:dyDescent="0.3">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 x14ac:dyDescent="0.3">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 x14ac:dyDescent="0.3">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 x14ac:dyDescent="0.3">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 x14ac:dyDescent="0.3">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 x14ac:dyDescent="0.3">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 x14ac:dyDescent="0.3">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 x14ac:dyDescent="0.3">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 x14ac:dyDescent="0.3">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 x14ac:dyDescent="0.3">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 x14ac:dyDescent="0.3">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 x14ac:dyDescent="0.3">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 x14ac:dyDescent="0.3">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 x14ac:dyDescent="0.3">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 x14ac:dyDescent="0.3">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 x14ac:dyDescent="0.3">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 x14ac:dyDescent="0.3">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 x14ac:dyDescent="0.3">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 x14ac:dyDescent="0.3">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 x14ac:dyDescent="0.3">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 x14ac:dyDescent="0.3">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 x14ac:dyDescent="0.3">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 x14ac:dyDescent="0.3">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 x14ac:dyDescent="0.3">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 x14ac:dyDescent="0.3">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 x14ac:dyDescent="0.3">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 x14ac:dyDescent="0.3">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 x14ac:dyDescent="0.3">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 x14ac:dyDescent="0.3">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 x14ac:dyDescent="0.3">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 x14ac:dyDescent="0.3">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 x14ac:dyDescent="0.3">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 x14ac:dyDescent="0.3">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 x14ac:dyDescent="0.3">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 x14ac:dyDescent="0.3">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 x14ac:dyDescent="0.3">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 x14ac:dyDescent="0.3">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 x14ac:dyDescent="0.3">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 x14ac:dyDescent="0.3">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 x14ac:dyDescent="0.3">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 x14ac:dyDescent="0.3">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 x14ac:dyDescent="0.3">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 x14ac:dyDescent="0.3">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 x14ac:dyDescent="0.3">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 x14ac:dyDescent="0.3">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 x14ac:dyDescent="0.3">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 x14ac:dyDescent="0.3">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 x14ac:dyDescent="0.3">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 x14ac:dyDescent="0.3">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 x14ac:dyDescent="0.3">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 x14ac:dyDescent="0.3">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 x14ac:dyDescent="0.3">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 x14ac:dyDescent="0.3">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 x14ac:dyDescent="0.3">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 x14ac:dyDescent="0.3">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 x14ac:dyDescent="0.3">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 x14ac:dyDescent="0.3">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 x14ac:dyDescent="0.3">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 x14ac:dyDescent="0.3">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 x14ac:dyDescent="0.3">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 x14ac:dyDescent="0.3">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 x14ac:dyDescent="0.3">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 x14ac:dyDescent="0.3">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 x14ac:dyDescent="0.3">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 x14ac:dyDescent="0.3">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 x14ac:dyDescent="0.3">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 x14ac:dyDescent="0.3">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 x14ac:dyDescent="0.3">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 x14ac:dyDescent="0.3">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 x14ac:dyDescent="0.3">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 x14ac:dyDescent="0.3">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 x14ac:dyDescent="0.3">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 x14ac:dyDescent="0.3">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 x14ac:dyDescent="0.3">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 x14ac:dyDescent="0.3">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 x14ac:dyDescent="0.3">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 x14ac:dyDescent="0.3">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 x14ac:dyDescent="0.3">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 x14ac:dyDescent="0.3">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 x14ac:dyDescent="0.3">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 x14ac:dyDescent="0.3">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 x14ac:dyDescent="0.3">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 x14ac:dyDescent="0.3">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 x14ac:dyDescent="0.3">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 x14ac:dyDescent="0.3">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 x14ac:dyDescent="0.3">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 x14ac:dyDescent="0.3">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 x14ac:dyDescent="0.3">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 x14ac:dyDescent="0.3">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 x14ac:dyDescent="0.3">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 x14ac:dyDescent="0.3">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 x14ac:dyDescent="0.3">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 x14ac:dyDescent="0.3">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 x14ac:dyDescent="0.3">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 x14ac:dyDescent="0.3">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 x14ac:dyDescent="0.3">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 x14ac:dyDescent="0.3">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 x14ac:dyDescent="0.3">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 x14ac:dyDescent="0.3">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 x14ac:dyDescent="0.3">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 x14ac:dyDescent="0.3">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 x14ac:dyDescent="0.3">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 x14ac:dyDescent="0.3">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 x14ac:dyDescent="0.3">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 x14ac:dyDescent="0.3">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 x14ac:dyDescent="0.3">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 x14ac:dyDescent="0.3">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 x14ac:dyDescent="0.3">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 x14ac:dyDescent="0.3">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 x14ac:dyDescent="0.3">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 x14ac:dyDescent="0.3">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 x14ac:dyDescent="0.3">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 x14ac:dyDescent="0.3">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 x14ac:dyDescent="0.3">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 x14ac:dyDescent="0.3">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 x14ac:dyDescent="0.3">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 x14ac:dyDescent="0.3">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 x14ac:dyDescent="0.3">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 x14ac:dyDescent="0.3">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 x14ac:dyDescent="0.3">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 x14ac:dyDescent="0.3">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 x14ac:dyDescent="0.3">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 x14ac:dyDescent="0.3">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 x14ac:dyDescent="0.3">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 x14ac:dyDescent="0.3">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 x14ac:dyDescent="0.3">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 x14ac:dyDescent="0.3">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 x14ac:dyDescent="0.3">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 x14ac:dyDescent="0.3">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 x14ac:dyDescent="0.3">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 x14ac:dyDescent="0.3">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 x14ac:dyDescent="0.3">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 x14ac:dyDescent="0.3">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 x14ac:dyDescent="0.3">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 x14ac:dyDescent="0.3">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 x14ac:dyDescent="0.3">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 x14ac:dyDescent="0.3">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 x14ac:dyDescent="0.3">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 x14ac:dyDescent="0.3">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 x14ac:dyDescent="0.3">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 x14ac:dyDescent="0.3">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 x14ac:dyDescent="0.3">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 x14ac:dyDescent="0.3">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 x14ac:dyDescent="0.3">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 x14ac:dyDescent="0.3">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 x14ac:dyDescent="0.3">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 x14ac:dyDescent="0.3">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 x14ac:dyDescent="0.3">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 x14ac:dyDescent="0.3">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 x14ac:dyDescent="0.3">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 x14ac:dyDescent="0.3">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 x14ac:dyDescent="0.3">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 x14ac:dyDescent="0.3">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 x14ac:dyDescent="0.3">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 x14ac:dyDescent="0.3">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 x14ac:dyDescent="0.3">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 x14ac:dyDescent="0.3">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 x14ac:dyDescent="0.3">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 x14ac:dyDescent="0.3">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 x14ac:dyDescent="0.3">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 x14ac:dyDescent="0.3">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 x14ac:dyDescent="0.3">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 x14ac:dyDescent="0.3">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 x14ac:dyDescent="0.3">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 x14ac:dyDescent="0.3">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 x14ac:dyDescent="0.3">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 x14ac:dyDescent="0.3">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 x14ac:dyDescent="0.3">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 x14ac:dyDescent="0.3">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 x14ac:dyDescent="0.3">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 x14ac:dyDescent="0.3">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 x14ac:dyDescent="0.3">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 x14ac:dyDescent="0.3">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 x14ac:dyDescent="0.3">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 x14ac:dyDescent="0.3">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 x14ac:dyDescent="0.3">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 x14ac:dyDescent="0.3">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 x14ac:dyDescent="0.3">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 x14ac:dyDescent="0.3">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 x14ac:dyDescent="0.3">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 x14ac:dyDescent="0.3">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 x14ac:dyDescent="0.3">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 x14ac:dyDescent="0.3">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 x14ac:dyDescent="0.3">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 x14ac:dyDescent="0.3">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 x14ac:dyDescent="0.3">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 x14ac:dyDescent="0.3">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 x14ac:dyDescent="0.3">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 x14ac:dyDescent="0.3">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 x14ac:dyDescent="0.3">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 x14ac:dyDescent="0.3">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 x14ac:dyDescent="0.3">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 x14ac:dyDescent="0.3">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 x14ac:dyDescent="0.3">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 x14ac:dyDescent="0.3">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 x14ac:dyDescent="0.3">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 x14ac:dyDescent="0.3">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 x14ac:dyDescent="0.3">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 x14ac:dyDescent="0.3">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 x14ac:dyDescent="0.3">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 x14ac:dyDescent="0.3">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 x14ac:dyDescent="0.3">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 x14ac:dyDescent="0.3">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 x14ac:dyDescent="0.3">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 x14ac:dyDescent="0.3">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 x14ac:dyDescent="0.3">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 x14ac:dyDescent="0.3">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 x14ac:dyDescent="0.3">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 x14ac:dyDescent="0.3">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 x14ac:dyDescent="0.3">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 x14ac:dyDescent="0.3">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 x14ac:dyDescent="0.3">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 x14ac:dyDescent="0.3">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 x14ac:dyDescent="0.3">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 x14ac:dyDescent="0.3">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 x14ac:dyDescent="0.3">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 x14ac:dyDescent="0.3">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 x14ac:dyDescent="0.3">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 x14ac:dyDescent="0.3">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 x14ac:dyDescent="0.3">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 x14ac:dyDescent="0.3">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 x14ac:dyDescent="0.3">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 x14ac:dyDescent="0.3">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 x14ac:dyDescent="0.3">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 x14ac:dyDescent="0.3">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 x14ac:dyDescent="0.3">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 x14ac:dyDescent="0.3">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 x14ac:dyDescent="0.3">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 x14ac:dyDescent="0.3">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 x14ac:dyDescent="0.3">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 x14ac:dyDescent="0.3">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 x14ac:dyDescent="0.3">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 x14ac:dyDescent="0.3">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 x14ac:dyDescent="0.3">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 x14ac:dyDescent="0.3">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 x14ac:dyDescent="0.3">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 x14ac:dyDescent="0.3">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 x14ac:dyDescent="0.3">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 x14ac:dyDescent="0.3">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 x14ac:dyDescent="0.3">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 x14ac:dyDescent="0.3">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 x14ac:dyDescent="0.3">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 x14ac:dyDescent="0.3">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 x14ac:dyDescent="0.3">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 x14ac:dyDescent="0.3">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 x14ac:dyDescent="0.3">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 x14ac:dyDescent="0.3">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 x14ac:dyDescent="0.3">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 x14ac:dyDescent="0.3">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 x14ac:dyDescent="0.3">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 x14ac:dyDescent="0.3">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 x14ac:dyDescent="0.3">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 x14ac:dyDescent="0.3">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 x14ac:dyDescent="0.3">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 x14ac:dyDescent="0.3">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 x14ac:dyDescent="0.3">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 x14ac:dyDescent="0.3">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 x14ac:dyDescent="0.3">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 x14ac:dyDescent="0.3">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 x14ac:dyDescent="0.3">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 x14ac:dyDescent="0.3">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 x14ac:dyDescent="0.3">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 x14ac:dyDescent="0.3">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 x14ac:dyDescent="0.3">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 x14ac:dyDescent="0.3">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 x14ac:dyDescent="0.3">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 x14ac:dyDescent="0.3">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 x14ac:dyDescent="0.3">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 x14ac:dyDescent="0.3">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 x14ac:dyDescent="0.3">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 x14ac:dyDescent="0.3">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 x14ac:dyDescent="0.3">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 x14ac:dyDescent="0.3">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 x14ac:dyDescent="0.3">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 x14ac:dyDescent="0.3">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 x14ac:dyDescent="0.3">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 x14ac:dyDescent="0.3">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 x14ac:dyDescent="0.3">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 x14ac:dyDescent="0.3">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 x14ac:dyDescent="0.3">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 x14ac:dyDescent="0.3">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 x14ac:dyDescent="0.3">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 x14ac:dyDescent="0.3">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 x14ac:dyDescent="0.3">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 x14ac:dyDescent="0.3">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 x14ac:dyDescent="0.3">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 x14ac:dyDescent="0.3">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 x14ac:dyDescent="0.3">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 x14ac:dyDescent="0.3">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 x14ac:dyDescent="0.3">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 x14ac:dyDescent="0.3">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 x14ac:dyDescent="0.3">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 x14ac:dyDescent="0.3">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 x14ac:dyDescent="0.3">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 x14ac:dyDescent="0.3">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 x14ac:dyDescent="0.3">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 x14ac:dyDescent="0.3">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 x14ac:dyDescent="0.3">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 x14ac:dyDescent="0.3">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 x14ac:dyDescent="0.3">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 x14ac:dyDescent="0.3">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 x14ac:dyDescent="0.3">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 x14ac:dyDescent="0.3">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 x14ac:dyDescent="0.3">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 x14ac:dyDescent="0.3">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 x14ac:dyDescent="0.3">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 x14ac:dyDescent="0.3">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 x14ac:dyDescent="0.3">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 x14ac:dyDescent="0.3">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 x14ac:dyDescent="0.3">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 x14ac:dyDescent="0.3">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 x14ac:dyDescent="0.3">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 x14ac:dyDescent="0.3">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 x14ac:dyDescent="0.3">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 x14ac:dyDescent="0.3">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 x14ac:dyDescent="0.3">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 x14ac:dyDescent="0.3">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 x14ac:dyDescent="0.3">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 x14ac:dyDescent="0.3">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 x14ac:dyDescent="0.3">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 x14ac:dyDescent="0.3">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 x14ac:dyDescent="0.3">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 x14ac:dyDescent="0.3">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 x14ac:dyDescent="0.3">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 x14ac:dyDescent="0.3">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 x14ac:dyDescent="0.3">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 x14ac:dyDescent="0.3">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 x14ac:dyDescent="0.3">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 x14ac:dyDescent="0.3">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 x14ac:dyDescent="0.3">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 x14ac:dyDescent="0.3">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 x14ac:dyDescent="0.3">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 x14ac:dyDescent="0.3">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 x14ac:dyDescent="0.3">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 x14ac:dyDescent="0.3">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 x14ac:dyDescent="0.3">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 x14ac:dyDescent="0.3">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 x14ac:dyDescent="0.3">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 x14ac:dyDescent="0.3">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 x14ac:dyDescent="0.3">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 x14ac:dyDescent="0.3">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 x14ac:dyDescent="0.3">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 x14ac:dyDescent="0.3">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 x14ac:dyDescent="0.3">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 x14ac:dyDescent="0.3">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 x14ac:dyDescent="0.3">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 x14ac:dyDescent="0.3">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 x14ac:dyDescent="0.3">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 x14ac:dyDescent="0.3">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 x14ac:dyDescent="0.3">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 x14ac:dyDescent="0.3">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 x14ac:dyDescent="0.3">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 x14ac:dyDescent="0.3">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 x14ac:dyDescent="0.3">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 x14ac:dyDescent="0.3">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 x14ac:dyDescent="0.3">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 x14ac:dyDescent="0.3">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 x14ac:dyDescent="0.3">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 x14ac:dyDescent="0.3">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 x14ac:dyDescent="0.3">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 x14ac:dyDescent="0.3">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 x14ac:dyDescent="0.3">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 x14ac:dyDescent="0.3">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 x14ac:dyDescent="0.3">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 x14ac:dyDescent="0.3">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 x14ac:dyDescent="0.3">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 x14ac:dyDescent="0.3">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 x14ac:dyDescent="0.3">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 x14ac:dyDescent="0.3">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 x14ac:dyDescent="0.3">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 x14ac:dyDescent="0.3">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 x14ac:dyDescent="0.3">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 x14ac:dyDescent="0.3">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 x14ac:dyDescent="0.3">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 x14ac:dyDescent="0.3">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 x14ac:dyDescent="0.3">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 x14ac:dyDescent="0.3">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 x14ac:dyDescent="0.3">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 x14ac:dyDescent="0.3">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 x14ac:dyDescent="0.3">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 x14ac:dyDescent="0.3">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 x14ac:dyDescent="0.3">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 x14ac:dyDescent="0.3">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 x14ac:dyDescent="0.3">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 x14ac:dyDescent="0.3">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 x14ac:dyDescent="0.3">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 x14ac:dyDescent="0.3">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 x14ac:dyDescent="0.3">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 x14ac:dyDescent="0.3">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 x14ac:dyDescent="0.3">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 x14ac:dyDescent="0.3">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 x14ac:dyDescent="0.3">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 x14ac:dyDescent="0.3">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 x14ac:dyDescent="0.3">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 x14ac:dyDescent="0.3">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 x14ac:dyDescent="0.3">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 x14ac:dyDescent="0.3">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 x14ac:dyDescent="0.3">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 x14ac:dyDescent="0.3">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 x14ac:dyDescent="0.3">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 x14ac:dyDescent="0.3">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 x14ac:dyDescent="0.3">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 x14ac:dyDescent="0.3">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 x14ac:dyDescent="0.3">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 x14ac:dyDescent="0.3">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 x14ac:dyDescent="0.3">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 x14ac:dyDescent="0.3">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 x14ac:dyDescent="0.3">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 x14ac:dyDescent="0.3">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 x14ac:dyDescent="0.3">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 x14ac:dyDescent="0.3">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 x14ac:dyDescent="0.3">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 x14ac:dyDescent="0.3">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 x14ac:dyDescent="0.3">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 x14ac:dyDescent="0.3">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 x14ac:dyDescent="0.3">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 x14ac:dyDescent="0.3">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 x14ac:dyDescent="0.3">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 x14ac:dyDescent="0.3">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 x14ac:dyDescent="0.3">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 x14ac:dyDescent="0.3">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 x14ac:dyDescent="0.3">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 x14ac:dyDescent="0.3">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 x14ac:dyDescent="0.3">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 x14ac:dyDescent="0.3">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 x14ac:dyDescent="0.3">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 x14ac:dyDescent="0.3">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 x14ac:dyDescent="0.3">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 x14ac:dyDescent="0.3">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 x14ac:dyDescent="0.3">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 x14ac:dyDescent="0.3">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 x14ac:dyDescent="0.3">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 x14ac:dyDescent="0.3">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 x14ac:dyDescent="0.3">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 x14ac:dyDescent="0.3">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 x14ac:dyDescent="0.3">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 x14ac:dyDescent="0.3">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 x14ac:dyDescent="0.3">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 x14ac:dyDescent="0.3">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 x14ac:dyDescent="0.3">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 x14ac:dyDescent="0.3">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 x14ac:dyDescent="0.3">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 x14ac:dyDescent="0.3">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 x14ac:dyDescent="0.3">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 x14ac:dyDescent="0.3">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 x14ac:dyDescent="0.3">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 x14ac:dyDescent="0.3">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 x14ac:dyDescent="0.3">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 x14ac:dyDescent="0.3">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 x14ac:dyDescent="0.3">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 x14ac:dyDescent="0.3">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 x14ac:dyDescent="0.3">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 x14ac:dyDescent="0.3">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 x14ac:dyDescent="0.3">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 x14ac:dyDescent="0.3">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 x14ac:dyDescent="0.3">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 x14ac:dyDescent="0.3">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 x14ac:dyDescent="0.3">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 x14ac:dyDescent="0.3">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 x14ac:dyDescent="0.3">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 x14ac:dyDescent="0.3">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 x14ac:dyDescent="0.3">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 x14ac:dyDescent="0.3">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 x14ac:dyDescent="0.3">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 x14ac:dyDescent="0.3">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 x14ac:dyDescent="0.3">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 x14ac:dyDescent="0.3">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 x14ac:dyDescent="0.3">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 x14ac:dyDescent="0.3">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 x14ac:dyDescent="0.3">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 x14ac:dyDescent="0.3">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 x14ac:dyDescent="0.3">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 x14ac:dyDescent="0.3">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 x14ac:dyDescent="0.3">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 x14ac:dyDescent="0.3">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 x14ac:dyDescent="0.3">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 x14ac:dyDescent="0.3">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 x14ac:dyDescent="0.3">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 x14ac:dyDescent="0.3">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 x14ac:dyDescent="0.3">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 x14ac:dyDescent="0.3">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 x14ac:dyDescent="0.3">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 x14ac:dyDescent="0.3">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 x14ac:dyDescent="0.3">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 x14ac:dyDescent="0.3">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 x14ac:dyDescent="0.3">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 x14ac:dyDescent="0.3">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 x14ac:dyDescent="0.3">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 x14ac:dyDescent="0.3">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 x14ac:dyDescent="0.3">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 x14ac:dyDescent="0.3">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 x14ac:dyDescent="0.3">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 x14ac:dyDescent="0.3">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 x14ac:dyDescent="0.3">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 x14ac:dyDescent="0.3">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 x14ac:dyDescent="0.3">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 x14ac:dyDescent="0.3">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 x14ac:dyDescent="0.3">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 x14ac:dyDescent="0.3">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 x14ac:dyDescent="0.3">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 x14ac:dyDescent="0.3">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 x14ac:dyDescent="0.3">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 x14ac:dyDescent="0.3">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 x14ac:dyDescent="0.3">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 x14ac:dyDescent="0.3">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 x14ac:dyDescent="0.3">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 x14ac:dyDescent="0.3">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 x14ac:dyDescent="0.3">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 x14ac:dyDescent="0.3">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 x14ac:dyDescent="0.3">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 x14ac:dyDescent="0.3">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 x14ac:dyDescent="0.3">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 x14ac:dyDescent="0.3">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 x14ac:dyDescent="0.3">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 x14ac:dyDescent="0.3">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 x14ac:dyDescent="0.3">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 x14ac:dyDescent="0.3">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 x14ac:dyDescent="0.3">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 x14ac:dyDescent="0.3">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 x14ac:dyDescent="0.3">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 x14ac:dyDescent="0.3">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 x14ac:dyDescent="0.3">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 x14ac:dyDescent="0.3">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 x14ac:dyDescent="0.3">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 x14ac:dyDescent="0.3">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 x14ac:dyDescent="0.3">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 x14ac:dyDescent="0.3">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 x14ac:dyDescent="0.3">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 x14ac:dyDescent="0.3">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 x14ac:dyDescent="0.3">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 x14ac:dyDescent="0.3">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 x14ac:dyDescent="0.3">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 x14ac:dyDescent="0.3">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 x14ac:dyDescent="0.3">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 x14ac:dyDescent="0.3">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 x14ac:dyDescent="0.3">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 x14ac:dyDescent="0.3">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 x14ac:dyDescent="0.3">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 x14ac:dyDescent="0.3">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 x14ac:dyDescent="0.3">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 x14ac:dyDescent="0.3">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 x14ac:dyDescent="0.3">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 x14ac:dyDescent="0.3">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 x14ac:dyDescent="0.3">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 x14ac:dyDescent="0.3">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 x14ac:dyDescent="0.3">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 x14ac:dyDescent="0.3">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 x14ac:dyDescent="0.3">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 x14ac:dyDescent="0.3">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 x14ac:dyDescent="0.3">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 x14ac:dyDescent="0.3">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 x14ac:dyDescent="0.3">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 x14ac:dyDescent="0.3">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 x14ac:dyDescent="0.3">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 x14ac:dyDescent="0.3">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 x14ac:dyDescent="0.3">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 x14ac:dyDescent="0.3">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 x14ac:dyDescent="0.3">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 x14ac:dyDescent="0.3">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 x14ac:dyDescent="0.3">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 x14ac:dyDescent="0.3">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 x14ac:dyDescent="0.3">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 x14ac:dyDescent="0.3">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 x14ac:dyDescent="0.3">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 x14ac:dyDescent="0.3">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 x14ac:dyDescent="0.3">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 x14ac:dyDescent="0.3">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 x14ac:dyDescent="0.3">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 x14ac:dyDescent="0.3">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 x14ac:dyDescent="0.3">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 x14ac:dyDescent="0.3">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 x14ac:dyDescent="0.3">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 x14ac:dyDescent="0.3">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 x14ac:dyDescent="0.3">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 x14ac:dyDescent="0.3">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 x14ac:dyDescent="0.3">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 x14ac:dyDescent="0.3">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 x14ac:dyDescent="0.3">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 x14ac:dyDescent="0.3">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 x14ac:dyDescent="0.3">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 x14ac:dyDescent="0.3">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 x14ac:dyDescent="0.3">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 x14ac:dyDescent="0.3">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 x14ac:dyDescent="0.3">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 x14ac:dyDescent="0.3">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 x14ac:dyDescent="0.3">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 x14ac:dyDescent="0.3">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 x14ac:dyDescent="0.3">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 x14ac:dyDescent="0.3">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 x14ac:dyDescent="0.3">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 x14ac:dyDescent="0.3">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 x14ac:dyDescent="0.3">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 x14ac:dyDescent="0.3">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 x14ac:dyDescent="0.3">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 x14ac:dyDescent="0.3">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 x14ac:dyDescent="0.3">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 x14ac:dyDescent="0.3">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 x14ac:dyDescent="0.3">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 x14ac:dyDescent="0.3">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 x14ac:dyDescent="0.3">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 x14ac:dyDescent="0.3">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 x14ac:dyDescent="0.3">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 x14ac:dyDescent="0.3">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 x14ac:dyDescent="0.3">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 x14ac:dyDescent="0.3">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 x14ac:dyDescent="0.3">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 x14ac:dyDescent="0.3">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 x14ac:dyDescent="0.3">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 x14ac:dyDescent="0.3">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 x14ac:dyDescent="0.3">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 x14ac:dyDescent="0.3">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 x14ac:dyDescent="0.3">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 x14ac:dyDescent="0.3">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 x14ac:dyDescent="0.3">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 x14ac:dyDescent="0.3">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 x14ac:dyDescent="0.3">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 x14ac:dyDescent="0.3">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 x14ac:dyDescent="0.3">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 x14ac:dyDescent="0.3">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 x14ac:dyDescent="0.3">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 x14ac:dyDescent="0.3">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 x14ac:dyDescent="0.3">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 x14ac:dyDescent="0.3">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 x14ac:dyDescent="0.3">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 x14ac:dyDescent="0.3">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 x14ac:dyDescent="0.3">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 x14ac:dyDescent="0.3">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 x14ac:dyDescent="0.3">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 x14ac:dyDescent="0.3">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 x14ac:dyDescent="0.3">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 x14ac:dyDescent="0.3">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 x14ac:dyDescent="0.3">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 x14ac:dyDescent="0.3">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 x14ac:dyDescent="0.3">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 x14ac:dyDescent="0.3">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 x14ac:dyDescent="0.3">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 x14ac:dyDescent="0.3">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 x14ac:dyDescent="0.3">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 x14ac:dyDescent="0.3">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 x14ac:dyDescent="0.3">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 x14ac:dyDescent="0.3">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 x14ac:dyDescent="0.3">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 x14ac:dyDescent="0.3">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 x14ac:dyDescent="0.3">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 x14ac:dyDescent="0.3">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 x14ac:dyDescent="0.3">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 x14ac:dyDescent="0.3">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 x14ac:dyDescent="0.3">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 x14ac:dyDescent="0.3">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 x14ac:dyDescent="0.3">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 x14ac:dyDescent="0.3">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 x14ac:dyDescent="0.3">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 x14ac:dyDescent="0.3">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 x14ac:dyDescent="0.3">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 x14ac:dyDescent="0.3">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 x14ac:dyDescent="0.3">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 x14ac:dyDescent="0.3">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 x14ac:dyDescent="0.3">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 x14ac:dyDescent="0.3">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 x14ac:dyDescent="0.3">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 x14ac:dyDescent="0.3">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 x14ac:dyDescent="0.3">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 x14ac:dyDescent="0.3">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 x14ac:dyDescent="0.3">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 x14ac:dyDescent="0.3">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 x14ac:dyDescent="0.3">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 x14ac:dyDescent="0.3">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 x14ac:dyDescent="0.3">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 x14ac:dyDescent="0.3">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 x14ac:dyDescent="0.3">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 x14ac:dyDescent="0.3">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 x14ac:dyDescent="0.3">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 x14ac:dyDescent="0.3">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 x14ac:dyDescent="0.3">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 x14ac:dyDescent="0.3">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 x14ac:dyDescent="0.3">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 x14ac:dyDescent="0.3">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 x14ac:dyDescent="0.3">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 x14ac:dyDescent="0.3">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 x14ac:dyDescent="0.3">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 x14ac:dyDescent="0.3">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 x14ac:dyDescent="0.3">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 x14ac:dyDescent="0.3">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 x14ac:dyDescent="0.3">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 x14ac:dyDescent="0.3">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 x14ac:dyDescent="0.3">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 x14ac:dyDescent="0.3">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 x14ac:dyDescent="0.3">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 x14ac:dyDescent="0.3">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 x14ac:dyDescent="0.3">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 x14ac:dyDescent="0.3">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 x14ac:dyDescent="0.3">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 x14ac:dyDescent="0.3">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 x14ac:dyDescent="0.3">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 x14ac:dyDescent="0.3">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 x14ac:dyDescent="0.3">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 x14ac:dyDescent="0.3">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 x14ac:dyDescent="0.3">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 x14ac:dyDescent="0.3">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 x14ac:dyDescent="0.3">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 x14ac:dyDescent="0.3">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 x14ac:dyDescent="0.3">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 x14ac:dyDescent="0.3">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 x14ac:dyDescent="0.3">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 x14ac:dyDescent="0.3">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 x14ac:dyDescent="0.3">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 x14ac:dyDescent="0.3">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 x14ac:dyDescent="0.3">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 x14ac:dyDescent="0.3">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 x14ac:dyDescent="0.3">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 x14ac:dyDescent="0.3">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 x14ac:dyDescent="0.3">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 x14ac:dyDescent="0.3">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 x14ac:dyDescent="0.3">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 x14ac:dyDescent="0.3">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 x14ac:dyDescent="0.3">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 x14ac:dyDescent="0.3">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 x14ac:dyDescent="0.3">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 x14ac:dyDescent="0.3">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 x14ac:dyDescent="0.3">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 x14ac:dyDescent="0.3">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 x14ac:dyDescent="0.3">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 x14ac:dyDescent="0.3">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 x14ac:dyDescent="0.3">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 x14ac:dyDescent="0.3">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 x14ac:dyDescent="0.3">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 x14ac:dyDescent="0.3">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 x14ac:dyDescent="0.3">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 x14ac:dyDescent="0.3">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 x14ac:dyDescent="0.3">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 x14ac:dyDescent="0.3">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 x14ac:dyDescent="0.3">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 x14ac:dyDescent="0.3">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 x14ac:dyDescent="0.3">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 x14ac:dyDescent="0.3">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 x14ac:dyDescent="0.3">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 x14ac:dyDescent="0.3">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 x14ac:dyDescent="0.3">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 x14ac:dyDescent="0.3">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 x14ac:dyDescent="0.3">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 x14ac:dyDescent="0.3">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 x14ac:dyDescent="0.3">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 x14ac:dyDescent="0.3">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 x14ac:dyDescent="0.3">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 x14ac:dyDescent="0.3">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 x14ac:dyDescent="0.3">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 x14ac:dyDescent="0.3">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 x14ac:dyDescent="0.3">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 x14ac:dyDescent="0.3">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 x14ac:dyDescent="0.3">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 x14ac:dyDescent="0.3">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 x14ac:dyDescent="0.3">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 x14ac:dyDescent="0.3">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 x14ac:dyDescent="0.3">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 x14ac:dyDescent="0.3">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 x14ac:dyDescent="0.3">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 x14ac:dyDescent="0.3">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 x14ac:dyDescent="0.3">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 x14ac:dyDescent="0.3">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 x14ac:dyDescent="0.3">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 x14ac:dyDescent="0.3">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 x14ac:dyDescent="0.3">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 x14ac:dyDescent="0.3">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 x14ac:dyDescent="0.3">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 x14ac:dyDescent="0.3">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 x14ac:dyDescent="0.3">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 x14ac:dyDescent="0.3">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 x14ac:dyDescent="0.3">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 x14ac:dyDescent="0.3">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 x14ac:dyDescent="0.3">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 x14ac:dyDescent="0.3">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 x14ac:dyDescent="0.3">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 x14ac:dyDescent="0.3">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 x14ac:dyDescent="0.3">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 x14ac:dyDescent="0.3">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 x14ac:dyDescent="0.3">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 x14ac:dyDescent="0.3">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 x14ac:dyDescent="0.3">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 x14ac:dyDescent="0.3">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 x14ac:dyDescent="0.3">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 x14ac:dyDescent="0.3">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 x14ac:dyDescent="0.3">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 x14ac:dyDescent="0.3">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 x14ac:dyDescent="0.3">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 x14ac:dyDescent="0.3">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 x14ac:dyDescent="0.3">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 x14ac:dyDescent="0.3">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 x14ac:dyDescent="0.3">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 x14ac:dyDescent="0.3">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 x14ac:dyDescent="0.3">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 x14ac:dyDescent="0.3">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 x14ac:dyDescent="0.3">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 x14ac:dyDescent="0.3">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 x14ac:dyDescent="0.3">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 x14ac:dyDescent="0.3">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 x14ac:dyDescent="0.3">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 x14ac:dyDescent="0.3">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 x14ac:dyDescent="0.3">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 x14ac:dyDescent="0.3">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 x14ac:dyDescent="0.3">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 x14ac:dyDescent="0.3">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 x14ac:dyDescent="0.3">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 x14ac:dyDescent="0.3">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 x14ac:dyDescent="0.3">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 x14ac:dyDescent="0.3">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 x14ac:dyDescent="0.3">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 x14ac:dyDescent="0.3">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 x14ac:dyDescent="0.3">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 x14ac:dyDescent="0.3">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 x14ac:dyDescent="0.3">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 x14ac:dyDescent="0.3">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 x14ac:dyDescent="0.3">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 x14ac:dyDescent="0.3">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 x14ac:dyDescent="0.3">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 x14ac:dyDescent="0.3">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 x14ac:dyDescent="0.3">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 x14ac:dyDescent="0.3">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 x14ac:dyDescent="0.3">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 x14ac:dyDescent="0.3">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 x14ac:dyDescent="0.3">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 x14ac:dyDescent="0.3">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 x14ac:dyDescent="0.3">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 x14ac:dyDescent="0.3">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 x14ac:dyDescent="0.3">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 x14ac:dyDescent="0.3">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 x14ac:dyDescent="0.3">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 x14ac:dyDescent="0.3">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 x14ac:dyDescent="0.3">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 x14ac:dyDescent="0.3">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 x14ac:dyDescent="0.3">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 x14ac:dyDescent="0.3">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 x14ac:dyDescent="0.3">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 x14ac:dyDescent="0.3">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 x14ac:dyDescent="0.3">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 x14ac:dyDescent="0.3">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 x14ac:dyDescent="0.3">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 x14ac:dyDescent="0.3">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 x14ac:dyDescent="0.3">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 x14ac:dyDescent="0.3">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 x14ac:dyDescent="0.3">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 x14ac:dyDescent="0.3">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 x14ac:dyDescent="0.3">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 x14ac:dyDescent="0.3">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 x14ac:dyDescent="0.3">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 x14ac:dyDescent="0.3">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 x14ac:dyDescent="0.3">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 x14ac:dyDescent="0.3">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 x14ac:dyDescent="0.3">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 x14ac:dyDescent="0.3">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 x14ac:dyDescent="0.3">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 x14ac:dyDescent="0.3">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 x14ac:dyDescent="0.3">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 x14ac:dyDescent="0.3">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 x14ac:dyDescent="0.3">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 x14ac:dyDescent="0.3">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 x14ac:dyDescent="0.3">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 x14ac:dyDescent="0.3">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 x14ac:dyDescent="0.3">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 x14ac:dyDescent="0.3">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 x14ac:dyDescent="0.3">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 x14ac:dyDescent="0.3">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 x14ac:dyDescent="0.3">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 x14ac:dyDescent="0.3">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 x14ac:dyDescent="0.3">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 x14ac:dyDescent="0.3">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 x14ac:dyDescent="0.3">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 x14ac:dyDescent="0.3">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 x14ac:dyDescent="0.3">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 x14ac:dyDescent="0.3">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 x14ac:dyDescent="0.3">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 x14ac:dyDescent="0.3">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 x14ac:dyDescent="0.3">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 x14ac:dyDescent="0.3">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 x14ac:dyDescent="0.3">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 x14ac:dyDescent="0.3">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 x14ac:dyDescent="0.3">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 x14ac:dyDescent="0.3">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 x14ac:dyDescent="0.3">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 x14ac:dyDescent="0.3">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 x14ac:dyDescent="0.3">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 x14ac:dyDescent="0.3">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 x14ac:dyDescent="0.3">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 x14ac:dyDescent="0.3">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 x14ac:dyDescent="0.3">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 x14ac:dyDescent="0.3">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 x14ac:dyDescent="0.3">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 x14ac:dyDescent="0.3">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 x14ac:dyDescent="0.3">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 x14ac:dyDescent="0.3">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 x14ac:dyDescent="0.3">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 x14ac:dyDescent="0.3">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 x14ac:dyDescent="0.3">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 x14ac:dyDescent="0.3">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 x14ac:dyDescent="0.3">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 x14ac:dyDescent="0.3">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 x14ac:dyDescent="0.3">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 x14ac:dyDescent="0.3">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 x14ac:dyDescent="0.3">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 x14ac:dyDescent="0.3">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 x14ac:dyDescent="0.3">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 x14ac:dyDescent="0.3">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 x14ac:dyDescent="0.3">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 x14ac:dyDescent="0.3">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 x14ac:dyDescent="0.3">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 x14ac:dyDescent="0.3">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 x14ac:dyDescent="0.3">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 x14ac:dyDescent="0.3">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 x14ac:dyDescent="0.3">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 x14ac:dyDescent="0.3">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 x14ac:dyDescent="0.3">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 x14ac:dyDescent="0.3">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 x14ac:dyDescent="0.3">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 x14ac:dyDescent="0.3">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 x14ac:dyDescent="0.3">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 x14ac:dyDescent="0.3">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 x14ac:dyDescent="0.3">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 x14ac:dyDescent="0.3">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 x14ac:dyDescent="0.3">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 x14ac:dyDescent="0.3">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 x14ac:dyDescent="0.3">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 x14ac:dyDescent="0.3">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 x14ac:dyDescent="0.3">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 x14ac:dyDescent="0.3">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 x14ac:dyDescent="0.3">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 x14ac:dyDescent="0.3">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 x14ac:dyDescent="0.3">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 x14ac:dyDescent="0.3">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 x14ac:dyDescent="0.3">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 x14ac:dyDescent="0.3">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 x14ac:dyDescent="0.3">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 x14ac:dyDescent="0.3">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 x14ac:dyDescent="0.3">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 x14ac:dyDescent="0.3">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 x14ac:dyDescent="0.3">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 x14ac:dyDescent="0.3">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 x14ac:dyDescent="0.3">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 x14ac:dyDescent="0.3">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 x14ac:dyDescent="0.3">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 x14ac:dyDescent="0.3">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 x14ac:dyDescent="0.3">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 x14ac:dyDescent="0.3">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 x14ac:dyDescent="0.3">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 x14ac:dyDescent="0.3">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 x14ac:dyDescent="0.3">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 x14ac:dyDescent="0.3">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 x14ac:dyDescent="0.3">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 x14ac:dyDescent="0.3">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 x14ac:dyDescent="0.3">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 x14ac:dyDescent="0.3">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 x14ac:dyDescent="0.3">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 x14ac:dyDescent="0.3">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 x14ac:dyDescent="0.3">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 x14ac:dyDescent="0.3">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 x14ac:dyDescent="0.3">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 x14ac:dyDescent="0.3">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 x14ac:dyDescent="0.3">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 x14ac:dyDescent="0.3">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 x14ac:dyDescent="0.3">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 x14ac:dyDescent="0.3">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 x14ac:dyDescent="0.3">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 x14ac:dyDescent="0.3">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 x14ac:dyDescent="0.3">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 x14ac:dyDescent="0.3">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 x14ac:dyDescent="0.3">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 x14ac:dyDescent="0.3">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 x14ac:dyDescent="0.3">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 x14ac:dyDescent="0.3">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 x14ac:dyDescent="0.3">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 x14ac:dyDescent="0.3">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 x14ac:dyDescent="0.3">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 x14ac:dyDescent="0.3">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 x14ac:dyDescent="0.3">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 x14ac:dyDescent="0.3">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 x14ac:dyDescent="0.3">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 x14ac:dyDescent="0.3">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 x14ac:dyDescent="0.3">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 x14ac:dyDescent="0.3">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 x14ac:dyDescent="0.3">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 x14ac:dyDescent="0.3">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 x14ac:dyDescent="0.3">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 x14ac:dyDescent="0.3">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 x14ac:dyDescent="0.3">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 x14ac:dyDescent="0.3">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 x14ac:dyDescent="0.3">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 x14ac:dyDescent="0.3">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 x14ac:dyDescent="0.3">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 x14ac:dyDescent="0.3">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 x14ac:dyDescent="0.3">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 x14ac:dyDescent="0.3">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 x14ac:dyDescent="0.3">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 x14ac:dyDescent="0.3">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 x14ac:dyDescent="0.3">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 x14ac:dyDescent="0.3">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 x14ac:dyDescent="0.3">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 x14ac:dyDescent="0.3">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 x14ac:dyDescent="0.3">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 x14ac:dyDescent="0.3">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 x14ac:dyDescent="0.3">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 x14ac:dyDescent="0.3">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 x14ac:dyDescent="0.3">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 x14ac:dyDescent="0.3">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 x14ac:dyDescent="0.3">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 x14ac:dyDescent="0.3">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 x14ac:dyDescent="0.3">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 x14ac:dyDescent="0.3">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 x14ac:dyDescent="0.3">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 x14ac:dyDescent="0.3">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 x14ac:dyDescent="0.3">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 x14ac:dyDescent="0.3">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 x14ac:dyDescent="0.3">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 x14ac:dyDescent="0.3">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 x14ac:dyDescent="0.3">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 x14ac:dyDescent="0.3">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 x14ac:dyDescent="0.3">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 x14ac:dyDescent="0.3">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 x14ac:dyDescent="0.3">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 x14ac:dyDescent="0.3">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 x14ac:dyDescent="0.3">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 x14ac:dyDescent="0.3">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 x14ac:dyDescent="0.3">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 x14ac:dyDescent="0.3">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 x14ac:dyDescent="0.3">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 x14ac:dyDescent="0.3">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 x14ac:dyDescent="0.3">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 x14ac:dyDescent="0.3">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 x14ac:dyDescent="0.3">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 x14ac:dyDescent="0.3">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 x14ac:dyDescent="0.3">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 x14ac:dyDescent="0.3">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 x14ac:dyDescent="0.3">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 x14ac:dyDescent="0.3">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 x14ac:dyDescent="0.3">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 x14ac:dyDescent="0.3">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 x14ac:dyDescent="0.3">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 x14ac:dyDescent="0.3">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 x14ac:dyDescent="0.3">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 x14ac:dyDescent="0.3">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 x14ac:dyDescent="0.3">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 x14ac:dyDescent="0.3">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 x14ac:dyDescent="0.3">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 x14ac:dyDescent="0.3">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 x14ac:dyDescent="0.3">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 x14ac:dyDescent="0.3">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 x14ac:dyDescent="0.3">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 x14ac:dyDescent="0.3">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 x14ac:dyDescent="0.3">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 x14ac:dyDescent="0.3">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 x14ac:dyDescent="0.3">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 x14ac:dyDescent="0.3">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 x14ac:dyDescent="0.3">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 x14ac:dyDescent="0.3">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 x14ac:dyDescent="0.3">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 x14ac:dyDescent="0.3">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 x14ac:dyDescent="0.3">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 x14ac:dyDescent="0.3">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 x14ac:dyDescent="0.3">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 x14ac:dyDescent="0.3">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 x14ac:dyDescent="0.3">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 x14ac:dyDescent="0.3">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 x14ac:dyDescent="0.3">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 x14ac:dyDescent="0.3">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 x14ac:dyDescent="0.3">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 x14ac:dyDescent="0.3">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 x14ac:dyDescent="0.3">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 x14ac:dyDescent="0.3">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 x14ac:dyDescent="0.3">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 x14ac:dyDescent="0.3">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 x14ac:dyDescent="0.3">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 x14ac:dyDescent="0.3">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 x14ac:dyDescent="0.3">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 x14ac:dyDescent="0.3">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 x14ac:dyDescent="0.3">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 x14ac:dyDescent="0.3">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 x14ac:dyDescent="0.3">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 x14ac:dyDescent="0.3">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 x14ac:dyDescent="0.3">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 x14ac:dyDescent="0.3">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 x14ac:dyDescent="0.3">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 x14ac:dyDescent="0.3">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 x14ac:dyDescent="0.3">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 x14ac:dyDescent="0.3">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 x14ac:dyDescent="0.3">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 x14ac:dyDescent="0.3">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 x14ac:dyDescent="0.3">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 x14ac:dyDescent="0.3">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 x14ac:dyDescent="0.3">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 x14ac:dyDescent="0.3">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 x14ac:dyDescent="0.3">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 x14ac:dyDescent="0.3">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 x14ac:dyDescent="0.3">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 x14ac:dyDescent="0.3">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 x14ac:dyDescent="0.3">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 x14ac:dyDescent="0.3">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 x14ac:dyDescent="0.3">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 x14ac:dyDescent="0.3">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 x14ac:dyDescent="0.3">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 x14ac:dyDescent="0.3">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 x14ac:dyDescent="0.3">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 x14ac:dyDescent="0.3">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 x14ac:dyDescent="0.3">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 x14ac:dyDescent="0.3">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 x14ac:dyDescent="0.3">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 x14ac:dyDescent="0.3">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 x14ac:dyDescent="0.3">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 x14ac:dyDescent="0.3">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 x14ac:dyDescent="0.3">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 x14ac:dyDescent="0.3">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 x14ac:dyDescent="0.3">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 x14ac:dyDescent="0.3">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 x14ac:dyDescent="0.3">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 x14ac:dyDescent="0.3">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 x14ac:dyDescent="0.3">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 x14ac:dyDescent="0.3">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 x14ac:dyDescent="0.3">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 x14ac:dyDescent="0.3">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 x14ac:dyDescent="0.3">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 x14ac:dyDescent="0.3">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 x14ac:dyDescent="0.3">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 x14ac:dyDescent="0.3">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 x14ac:dyDescent="0.3">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 x14ac:dyDescent="0.3">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 x14ac:dyDescent="0.3">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 x14ac:dyDescent="0.3">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 x14ac:dyDescent="0.3">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 x14ac:dyDescent="0.3">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 x14ac:dyDescent="0.3">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 x14ac:dyDescent="0.3">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 x14ac:dyDescent="0.3">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 x14ac:dyDescent="0.3">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 x14ac:dyDescent="0.3">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 x14ac:dyDescent="0.3">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 x14ac:dyDescent="0.3">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 x14ac:dyDescent="0.3">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 x14ac:dyDescent="0.3">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 x14ac:dyDescent="0.3">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 x14ac:dyDescent="0.3">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 x14ac:dyDescent="0.3">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 x14ac:dyDescent="0.3">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 x14ac:dyDescent="0.3">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 x14ac:dyDescent="0.3">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 x14ac:dyDescent="0.3">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 x14ac:dyDescent="0.3">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 x14ac:dyDescent="0.3">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 x14ac:dyDescent="0.3">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 x14ac:dyDescent="0.3">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 x14ac:dyDescent="0.3">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 x14ac:dyDescent="0.3">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 x14ac:dyDescent="0.3">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 x14ac:dyDescent="0.3">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 x14ac:dyDescent="0.3">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 x14ac:dyDescent="0.3">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 x14ac:dyDescent="0.3">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 x14ac:dyDescent="0.3">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 x14ac:dyDescent="0.3">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 x14ac:dyDescent="0.3">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 x14ac:dyDescent="0.3">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 x14ac:dyDescent="0.3">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 x14ac:dyDescent="0.3">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 x14ac:dyDescent="0.3">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 x14ac:dyDescent="0.3">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 x14ac:dyDescent="0.3">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 x14ac:dyDescent="0.3">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 x14ac:dyDescent="0.3">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 x14ac:dyDescent="0.3">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 x14ac:dyDescent="0.3">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 x14ac:dyDescent="0.3">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 x14ac:dyDescent="0.3">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 x14ac:dyDescent="0.3">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 x14ac:dyDescent="0.3">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 x14ac:dyDescent="0.3">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 x14ac:dyDescent="0.3">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 x14ac:dyDescent="0.3">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 x14ac:dyDescent="0.3">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 x14ac:dyDescent="0.3">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 x14ac:dyDescent="0.3">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 x14ac:dyDescent="0.3">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 x14ac:dyDescent="0.3">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 x14ac:dyDescent="0.3">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 x14ac:dyDescent="0.3">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 x14ac:dyDescent="0.3">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 x14ac:dyDescent="0.3">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 x14ac:dyDescent="0.3">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 x14ac:dyDescent="0.3">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 x14ac:dyDescent="0.3">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 x14ac:dyDescent="0.3">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 x14ac:dyDescent="0.3">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 x14ac:dyDescent="0.3">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 x14ac:dyDescent="0.3">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 x14ac:dyDescent="0.3">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 x14ac:dyDescent="0.3">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 x14ac:dyDescent="0.3">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 x14ac:dyDescent="0.3">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 x14ac:dyDescent="0.3">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 x14ac:dyDescent="0.3">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 x14ac:dyDescent="0.3">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 x14ac:dyDescent="0.3">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 x14ac:dyDescent="0.3">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 x14ac:dyDescent="0.3">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 x14ac:dyDescent="0.3">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 x14ac:dyDescent="0.3">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 x14ac:dyDescent="0.3">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 x14ac:dyDescent="0.3">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 x14ac:dyDescent="0.3">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 x14ac:dyDescent="0.3">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 x14ac:dyDescent="0.3">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 x14ac:dyDescent="0.3">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 x14ac:dyDescent="0.3">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 x14ac:dyDescent="0.3">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 x14ac:dyDescent="0.3">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 x14ac:dyDescent="0.3">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 x14ac:dyDescent="0.3">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 x14ac:dyDescent="0.3">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 x14ac:dyDescent="0.3">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 x14ac:dyDescent="0.3">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 x14ac:dyDescent="0.3">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 x14ac:dyDescent="0.3">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 x14ac:dyDescent="0.3">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 x14ac:dyDescent="0.3">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 x14ac:dyDescent="0.3">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 x14ac:dyDescent="0.3">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 x14ac:dyDescent="0.3">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 x14ac:dyDescent="0.3">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 x14ac:dyDescent="0.3">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 x14ac:dyDescent="0.3">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 x14ac:dyDescent="0.3">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 x14ac:dyDescent="0.3">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 x14ac:dyDescent="0.3">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 x14ac:dyDescent="0.3">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 x14ac:dyDescent="0.3">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 x14ac:dyDescent="0.3">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 x14ac:dyDescent="0.3">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 x14ac:dyDescent="0.3">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 x14ac:dyDescent="0.3">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 x14ac:dyDescent="0.3">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 x14ac:dyDescent="0.3">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 x14ac:dyDescent="0.3">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 x14ac:dyDescent="0.3">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 x14ac:dyDescent="0.3">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 x14ac:dyDescent="0.3">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 x14ac:dyDescent="0.3">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 x14ac:dyDescent="0.3">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 x14ac:dyDescent="0.3">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 x14ac:dyDescent="0.3">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 x14ac:dyDescent="0.3">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 x14ac:dyDescent="0.3">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 x14ac:dyDescent="0.3">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 x14ac:dyDescent="0.3">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 x14ac:dyDescent="0.3">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 x14ac:dyDescent="0.3">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 x14ac:dyDescent="0.3">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 x14ac:dyDescent="0.3">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 x14ac:dyDescent="0.3">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 x14ac:dyDescent="0.3">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 x14ac:dyDescent="0.3">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 x14ac:dyDescent="0.3">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 x14ac:dyDescent="0.3">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 x14ac:dyDescent="0.3">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 x14ac:dyDescent="0.3">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 x14ac:dyDescent="0.3">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 x14ac:dyDescent="0.3">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 x14ac:dyDescent="0.3">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 x14ac:dyDescent="0.3">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 x14ac:dyDescent="0.3">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 x14ac:dyDescent="0.3">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 x14ac:dyDescent="0.3">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 x14ac:dyDescent="0.3">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 x14ac:dyDescent="0.3">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 x14ac:dyDescent="0.3">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 x14ac:dyDescent="0.3">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 x14ac:dyDescent="0.3">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 x14ac:dyDescent="0.3">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 x14ac:dyDescent="0.3">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 x14ac:dyDescent="0.3">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 x14ac:dyDescent="0.3">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 x14ac:dyDescent="0.3">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 x14ac:dyDescent="0.3">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 x14ac:dyDescent="0.3">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 x14ac:dyDescent="0.3">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 x14ac:dyDescent="0.3">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 x14ac:dyDescent="0.3">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 x14ac:dyDescent="0.3">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 x14ac:dyDescent="0.3">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 x14ac:dyDescent="0.3">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 x14ac:dyDescent="0.3">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 x14ac:dyDescent="0.3">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 x14ac:dyDescent="0.3">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 x14ac:dyDescent="0.3">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 x14ac:dyDescent="0.3">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 x14ac:dyDescent="0.3">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 x14ac:dyDescent="0.3">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 x14ac:dyDescent="0.3">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 x14ac:dyDescent="0.3">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 x14ac:dyDescent="0.3">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 x14ac:dyDescent="0.3">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 x14ac:dyDescent="0.3">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 x14ac:dyDescent="0.3">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 x14ac:dyDescent="0.3">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 x14ac:dyDescent="0.3">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 x14ac:dyDescent="0.3">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 x14ac:dyDescent="0.3">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 x14ac:dyDescent="0.3">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 x14ac:dyDescent="0.3">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 x14ac:dyDescent="0.3">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 x14ac:dyDescent="0.3">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 x14ac:dyDescent="0.3">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 x14ac:dyDescent="0.3">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 x14ac:dyDescent="0.3">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 x14ac:dyDescent="0.3">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 x14ac:dyDescent="0.3">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 x14ac:dyDescent="0.3">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 x14ac:dyDescent="0.3">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 x14ac:dyDescent="0.3">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 x14ac:dyDescent="0.3">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 x14ac:dyDescent="0.3">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 x14ac:dyDescent="0.3">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 x14ac:dyDescent="0.3">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 x14ac:dyDescent="0.3">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 x14ac:dyDescent="0.3">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 x14ac:dyDescent="0.3">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 x14ac:dyDescent="0.3">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 x14ac:dyDescent="0.3">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 x14ac:dyDescent="0.3">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 x14ac:dyDescent="0.3">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 x14ac:dyDescent="0.3">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 x14ac:dyDescent="0.3">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 x14ac:dyDescent="0.3">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 x14ac:dyDescent="0.3">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 x14ac:dyDescent="0.3">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 x14ac:dyDescent="0.3">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 x14ac:dyDescent="0.3">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 x14ac:dyDescent="0.3">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 x14ac:dyDescent="0.3">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 x14ac:dyDescent="0.3">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 x14ac:dyDescent="0.3">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 x14ac:dyDescent="0.3">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 x14ac:dyDescent="0.3">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 x14ac:dyDescent="0.3">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 x14ac:dyDescent="0.3">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 x14ac:dyDescent="0.3">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 x14ac:dyDescent="0.3">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 x14ac:dyDescent="0.3">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 x14ac:dyDescent="0.3">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 x14ac:dyDescent="0.3">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 x14ac:dyDescent="0.3">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 x14ac:dyDescent="0.3">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 x14ac:dyDescent="0.3">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 x14ac:dyDescent="0.3">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 x14ac:dyDescent="0.3">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 x14ac:dyDescent="0.3">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 x14ac:dyDescent="0.3">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 x14ac:dyDescent="0.3">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 x14ac:dyDescent="0.3">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 x14ac:dyDescent="0.3">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 x14ac:dyDescent="0.3">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 x14ac:dyDescent="0.3">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 x14ac:dyDescent="0.3">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 x14ac:dyDescent="0.3">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 x14ac:dyDescent="0.3">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 x14ac:dyDescent="0.3">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 x14ac:dyDescent="0.3">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 x14ac:dyDescent="0.3">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 x14ac:dyDescent="0.3">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 x14ac:dyDescent="0.3">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 x14ac:dyDescent="0.3">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 x14ac:dyDescent="0.3">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 x14ac:dyDescent="0.3">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 x14ac:dyDescent="0.3">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 x14ac:dyDescent="0.3">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 x14ac:dyDescent="0.3">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 x14ac:dyDescent="0.3">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 x14ac:dyDescent="0.3">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 x14ac:dyDescent="0.3">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 x14ac:dyDescent="0.3">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 x14ac:dyDescent="0.3">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 x14ac:dyDescent="0.3">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 x14ac:dyDescent="0.3">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 x14ac:dyDescent="0.3">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 x14ac:dyDescent="0.3">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 x14ac:dyDescent="0.3">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 x14ac:dyDescent="0.3">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 x14ac:dyDescent="0.3">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 x14ac:dyDescent="0.3">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 x14ac:dyDescent="0.3">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 x14ac:dyDescent="0.3">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 x14ac:dyDescent="0.3">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 x14ac:dyDescent="0.3">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 x14ac:dyDescent="0.3">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 x14ac:dyDescent="0.3">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 x14ac:dyDescent="0.3">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 x14ac:dyDescent="0.3">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 x14ac:dyDescent="0.3">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 x14ac:dyDescent="0.3">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 x14ac:dyDescent="0.3">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 x14ac:dyDescent="0.3">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 x14ac:dyDescent="0.3">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 x14ac:dyDescent="0.3">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 x14ac:dyDescent="0.3">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 x14ac:dyDescent="0.3">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 x14ac:dyDescent="0.3">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 x14ac:dyDescent="0.3">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 x14ac:dyDescent="0.3">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 x14ac:dyDescent="0.3">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 x14ac:dyDescent="0.3">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 x14ac:dyDescent="0.3">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 x14ac:dyDescent="0.3">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 x14ac:dyDescent="0.3">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 x14ac:dyDescent="0.3">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 x14ac:dyDescent="0.3">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 x14ac:dyDescent="0.3">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 x14ac:dyDescent="0.3">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 x14ac:dyDescent="0.3">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 x14ac:dyDescent="0.3">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 x14ac:dyDescent="0.3">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 x14ac:dyDescent="0.3">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 x14ac:dyDescent="0.3">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 x14ac:dyDescent="0.3">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 x14ac:dyDescent="0.3">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 x14ac:dyDescent="0.3">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 x14ac:dyDescent="0.3">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 x14ac:dyDescent="0.3">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 x14ac:dyDescent="0.3">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 x14ac:dyDescent="0.3">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 x14ac:dyDescent="0.3">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 x14ac:dyDescent="0.3">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 x14ac:dyDescent="0.3">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 x14ac:dyDescent="0.3">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 x14ac:dyDescent="0.3">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 x14ac:dyDescent="0.3">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 x14ac:dyDescent="0.3">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 x14ac:dyDescent="0.3">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 x14ac:dyDescent="0.3">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 x14ac:dyDescent="0.3">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 x14ac:dyDescent="0.3">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 x14ac:dyDescent="0.3">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 x14ac:dyDescent="0.3">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 x14ac:dyDescent="0.3">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 x14ac:dyDescent="0.3">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 x14ac:dyDescent="0.3">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 x14ac:dyDescent="0.3">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 x14ac:dyDescent="0.3">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 x14ac:dyDescent="0.3">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 x14ac:dyDescent="0.3">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 x14ac:dyDescent="0.3">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 x14ac:dyDescent="0.3">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 x14ac:dyDescent="0.3">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 x14ac:dyDescent="0.3">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 x14ac:dyDescent="0.3">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 x14ac:dyDescent="0.3">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 x14ac:dyDescent="0.3">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 x14ac:dyDescent="0.3">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 x14ac:dyDescent="0.3">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 x14ac:dyDescent="0.3">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 x14ac:dyDescent="0.3">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 x14ac:dyDescent="0.3">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 x14ac:dyDescent="0.3">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 x14ac:dyDescent="0.3">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 x14ac:dyDescent="0.3">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 x14ac:dyDescent="0.3">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 x14ac:dyDescent="0.3">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 x14ac:dyDescent="0.3">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 x14ac:dyDescent="0.3">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 x14ac:dyDescent="0.3">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 x14ac:dyDescent="0.3">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 x14ac:dyDescent="0.3">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 x14ac:dyDescent="0.3">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 x14ac:dyDescent="0.3">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 x14ac:dyDescent="0.3">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 x14ac:dyDescent="0.3">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 x14ac:dyDescent="0.3">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 x14ac:dyDescent="0.3">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 x14ac:dyDescent="0.3">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 x14ac:dyDescent="0.3">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 x14ac:dyDescent="0.3">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 x14ac:dyDescent="0.3">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 x14ac:dyDescent="0.3">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 x14ac:dyDescent="0.3">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 x14ac:dyDescent="0.3">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 x14ac:dyDescent="0.3">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 x14ac:dyDescent="0.3">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 x14ac:dyDescent="0.3">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 x14ac:dyDescent="0.3">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 x14ac:dyDescent="0.3">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 x14ac:dyDescent="0.3">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 x14ac:dyDescent="0.3">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 x14ac:dyDescent="0.3">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 x14ac:dyDescent="0.3">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 x14ac:dyDescent="0.3">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 x14ac:dyDescent="0.3">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 x14ac:dyDescent="0.3">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 x14ac:dyDescent="0.3">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 x14ac:dyDescent="0.3">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 x14ac:dyDescent="0.3">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 x14ac:dyDescent="0.3">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 x14ac:dyDescent="0.3">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 x14ac:dyDescent="0.3">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 x14ac:dyDescent="0.3">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 x14ac:dyDescent="0.3">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 x14ac:dyDescent="0.3">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 x14ac:dyDescent="0.3">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 x14ac:dyDescent="0.3">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 x14ac:dyDescent="0.3">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 x14ac:dyDescent="0.3">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 x14ac:dyDescent="0.3">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 x14ac:dyDescent="0.3">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 x14ac:dyDescent="0.3">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 x14ac:dyDescent="0.3">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 x14ac:dyDescent="0.3">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 x14ac:dyDescent="0.3">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 x14ac:dyDescent="0.3">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 x14ac:dyDescent="0.3">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 x14ac:dyDescent="0.3">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 x14ac:dyDescent="0.3">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 x14ac:dyDescent="0.3">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 x14ac:dyDescent="0.3">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 x14ac:dyDescent="0.3">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 x14ac:dyDescent="0.3">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 x14ac:dyDescent="0.3">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 x14ac:dyDescent="0.3">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 x14ac:dyDescent="0.3">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 x14ac:dyDescent="0.3">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 x14ac:dyDescent="0.3">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 x14ac:dyDescent="0.3">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 x14ac:dyDescent="0.3">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 x14ac:dyDescent="0.3">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 x14ac:dyDescent="0.3">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 x14ac:dyDescent="0.3">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 x14ac:dyDescent="0.3">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 x14ac:dyDescent="0.3">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 x14ac:dyDescent="0.3">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 x14ac:dyDescent="0.3">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 x14ac:dyDescent="0.3">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 x14ac:dyDescent="0.3">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 x14ac:dyDescent="0.3">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 x14ac:dyDescent="0.3">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 x14ac:dyDescent="0.3">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 x14ac:dyDescent="0.3">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 x14ac:dyDescent="0.3">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 x14ac:dyDescent="0.3">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 x14ac:dyDescent="0.3">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 x14ac:dyDescent="0.3">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 x14ac:dyDescent="0.3">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 x14ac:dyDescent="0.3">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 x14ac:dyDescent="0.3">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 x14ac:dyDescent="0.3">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 x14ac:dyDescent="0.3">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 x14ac:dyDescent="0.3">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 x14ac:dyDescent="0.3">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 x14ac:dyDescent="0.3">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 x14ac:dyDescent="0.3">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 x14ac:dyDescent="0.3">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 x14ac:dyDescent="0.3">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 x14ac:dyDescent="0.3">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 x14ac:dyDescent="0.3">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 x14ac:dyDescent="0.3">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 x14ac:dyDescent="0.3">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 x14ac:dyDescent="0.3">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 x14ac:dyDescent="0.3">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 x14ac:dyDescent="0.3">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 x14ac:dyDescent="0.3">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 x14ac:dyDescent="0.3">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 x14ac:dyDescent="0.3">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 x14ac:dyDescent="0.3">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 x14ac:dyDescent="0.3">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 x14ac:dyDescent="0.3">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 x14ac:dyDescent="0.3">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 x14ac:dyDescent="0.3">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 x14ac:dyDescent="0.3">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 x14ac:dyDescent="0.3">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 x14ac:dyDescent="0.3">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 x14ac:dyDescent="0.3">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 x14ac:dyDescent="0.3">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 x14ac:dyDescent="0.3">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 x14ac:dyDescent="0.3">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 x14ac:dyDescent="0.3">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 x14ac:dyDescent="0.3">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 x14ac:dyDescent="0.3">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 x14ac:dyDescent="0.3">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 x14ac:dyDescent="0.3">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 x14ac:dyDescent="0.3">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 x14ac:dyDescent="0.3">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 x14ac:dyDescent="0.3">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 x14ac:dyDescent="0.3">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 x14ac:dyDescent="0.3">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 x14ac:dyDescent="0.3">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 x14ac:dyDescent="0.3">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 x14ac:dyDescent="0.3">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 x14ac:dyDescent="0.3">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 x14ac:dyDescent="0.3">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 x14ac:dyDescent="0.3">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 x14ac:dyDescent="0.3">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 x14ac:dyDescent="0.3">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 x14ac:dyDescent="0.3">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 x14ac:dyDescent="0.3">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 x14ac:dyDescent="0.3">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 x14ac:dyDescent="0.3">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 x14ac:dyDescent="0.3">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 x14ac:dyDescent="0.3">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 x14ac:dyDescent="0.3">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 x14ac:dyDescent="0.3">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 x14ac:dyDescent="0.3">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 x14ac:dyDescent="0.3">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 x14ac:dyDescent="0.3">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 x14ac:dyDescent="0.3">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 x14ac:dyDescent="0.3">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 x14ac:dyDescent="0.3">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 x14ac:dyDescent="0.3">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 x14ac:dyDescent="0.3">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 x14ac:dyDescent="0.3">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 x14ac:dyDescent="0.3">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 x14ac:dyDescent="0.3">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 x14ac:dyDescent="0.3">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 x14ac:dyDescent="0.3">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 x14ac:dyDescent="0.3">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 x14ac:dyDescent="0.3">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 x14ac:dyDescent="0.3">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 x14ac:dyDescent="0.3">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 x14ac:dyDescent="0.3">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 x14ac:dyDescent="0.3">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 x14ac:dyDescent="0.3">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 x14ac:dyDescent="0.3">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 x14ac:dyDescent="0.3">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 x14ac:dyDescent="0.3">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 x14ac:dyDescent="0.3">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 x14ac:dyDescent="0.3">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 x14ac:dyDescent="0.3">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 x14ac:dyDescent="0.3">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 x14ac:dyDescent="0.3">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 x14ac:dyDescent="0.3">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 x14ac:dyDescent="0.3">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 x14ac:dyDescent="0.3">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 x14ac:dyDescent="0.3">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 x14ac:dyDescent="0.3">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 x14ac:dyDescent="0.3">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 x14ac:dyDescent="0.3">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 x14ac:dyDescent="0.3">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 x14ac:dyDescent="0.3">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 x14ac:dyDescent="0.3">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 x14ac:dyDescent="0.3">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 x14ac:dyDescent="0.3">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 x14ac:dyDescent="0.3">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 x14ac:dyDescent="0.3">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 x14ac:dyDescent="0.3">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 x14ac:dyDescent="0.3">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 x14ac:dyDescent="0.3">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 x14ac:dyDescent="0.3">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 x14ac:dyDescent="0.3">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 x14ac:dyDescent="0.3">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 x14ac:dyDescent="0.3">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 x14ac:dyDescent="0.3">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 x14ac:dyDescent="0.3">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 x14ac:dyDescent="0.3">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 x14ac:dyDescent="0.3">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 x14ac:dyDescent="0.3">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 x14ac:dyDescent="0.3">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 x14ac:dyDescent="0.3">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 x14ac:dyDescent="0.3">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 x14ac:dyDescent="0.3">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 x14ac:dyDescent="0.3">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 x14ac:dyDescent="0.3">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 x14ac:dyDescent="0.3">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 x14ac:dyDescent="0.3">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 x14ac:dyDescent="0.3">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 x14ac:dyDescent="0.3">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 x14ac:dyDescent="0.3">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 x14ac:dyDescent="0.3">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 x14ac:dyDescent="0.3">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 x14ac:dyDescent="0.3">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 x14ac:dyDescent="0.3">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 x14ac:dyDescent="0.3">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 x14ac:dyDescent="0.3">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 x14ac:dyDescent="0.3">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 x14ac:dyDescent="0.3">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 x14ac:dyDescent="0.3">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 x14ac:dyDescent="0.3">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 x14ac:dyDescent="0.3">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 x14ac:dyDescent="0.3">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 x14ac:dyDescent="0.3">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 x14ac:dyDescent="0.3">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 x14ac:dyDescent="0.3">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 x14ac:dyDescent="0.3">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 x14ac:dyDescent="0.3">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 x14ac:dyDescent="0.3">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 x14ac:dyDescent="0.3">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 x14ac:dyDescent="0.3">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 x14ac:dyDescent="0.3">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 x14ac:dyDescent="0.3">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 x14ac:dyDescent="0.3">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 x14ac:dyDescent="0.3">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 x14ac:dyDescent="0.3">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 x14ac:dyDescent="0.3">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 x14ac:dyDescent="0.3">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 x14ac:dyDescent="0.3">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 x14ac:dyDescent="0.3">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 x14ac:dyDescent="0.3">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 x14ac:dyDescent="0.3">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 x14ac:dyDescent="0.3">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 x14ac:dyDescent="0.3">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 x14ac:dyDescent="0.3">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 x14ac:dyDescent="0.3">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 x14ac:dyDescent="0.3">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 x14ac:dyDescent="0.3">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 x14ac:dyDescent="0.3">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 x14ac:dyDescent="0.3">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 x14ac:dyDescent="0.3">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 x14ac:dyDescent="0.3">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 x14ac:dyDescent="0.3">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 x14ac:dyDescent="0.3">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 x14ac:dyDescent="0.3">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 x14ac:dyDescent="0.3">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 x14ac:dyDescent="0.3">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 x14ac:dyDescent="0.3">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 x14ac:dyDescent="0.3">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 x14ac:dyDescent="0.3">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 x14ac:dyDescent="0.3">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 x14ac:dyDescent="0.3">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 x14ac:dyDescent="0.3">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 x14ac:dyDescent="0.3">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 x14ac:dyDescent="0.3">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 x14ac:dyDescent="0.3">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 x14ac:dyDescent="0.3">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 x14ac:dyDescent="0.3">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 x14ac:dyDescent="0.3">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 x14ac:dyDescent="0.3">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 x14ac:dyDescent="0.3">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 x14ac:dyDescent="0.3">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 x14ac:dyDescent="0.3">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 x14ac:dyDescent="0.3">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 x14ac:dyDescent="0.3">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 x14ac:dyDescent="0.3">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 x14ac:dyDescent="0.3">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 x14ac:dyDescent="0.3">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 x14ac:dyDescent="0.3">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 x14ac:dyDescent="0.3">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 x14ac:dyDescent="0.3">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 x14ac:dyDescent="0.3">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 x14ac:dyDescent="0.3">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 x14ac:dyDescent="0.3">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 x14ac:dyDescent="0.3">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 x14ac:dyDescent="0.3">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 x14ac:dyDescent="0.3">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 x14ac:dyDescent="0.3">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 x14ac:dyDescent="0.3">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 x14ac:dyDescent="0.3">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 x14ac:dyDescent="0.3">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 x14ac:dyDescent="0.3">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 x14ac:dyDescent="0.3">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 x14ac:dyDescent="0.3">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 x14ac:dyDescent="0.3">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 x14ac:dyDescent="0.3">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 x14ac:dyDescent="0.3">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 x14ac:dyDescent="0.3">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 x14ac:dyDescent="0.3">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 x14ac:dyDescent="0.3">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 x14ac:dyDescent="0.3">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 x14ac:dyDescent="0.3">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 x14ac:dyDescent="0.3">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 x14ac:dyDescent="0.3">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 x14ac:dyDescent="0.3">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 x14ac:dyDescent="0.3">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 x14ac:dyDescent="0.3">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 x14ac:dyDescent="0.3">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 x14ac:dyDescent="0.3">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 x14ac:dyDescent="0.3">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 x14ac:dyDescent="0.3">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 x14ac:dyDescent="0.3">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 x14ac:dyDescent="0.3">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 x14ac:dyDescent="0.3">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 x14ac:dyDescent="0.3">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 x14ac:dyDescent="0.3">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 x14ac:dyDescent="0.3">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 x14ac:dyDescent="0.3">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 x14ac:dyDescent="0.3">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 x14ac:dyDescent="0.3">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 x14ac:dyDescent="0.3">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 x14ac:dyDescent="0.3">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 x14ac:dyDescent="0.3">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 x14ac:dyDescent="0.3">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 x14ac:dyDescent="0.3">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 x14ac:dyDescent="0.3">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 x14ac:dyDescent="0.3">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 x14ac:dyDescent="0.3">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 x14ac:dyDescent="0.3">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 x14ac:dyDescent="0.3">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 x14ac:dyDescent="0.3">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 x14ac:dyDescent="0.3">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 x14ac:dyDescent="0.3">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 x14ac:dyDescent="0.3">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 x14ac:dyDescent="0.3">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 x14ac:dyDescent="0.3">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 x14ac:dyDescent="0.3">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 x14ac:dyDescent="0.3">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 x14ac:dyDescent="0.3">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 x14ac:dyDescent="0.3">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 x14ac:dyDescent="0.3">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 x14ac:dyDescent="0.3">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 x14ac:dyDescent="0.3">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 x14ac:dyDescent="0.3">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 x14ac:dyDescent="0.3">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 x14ac:dyDescent="0.3">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 x14ac:dyDescent="0.3">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 x14ac:dyDescent="0.3">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 x14ac:dyDescent="0.3">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 x14ac:dyDescent="0.3">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 x14ac:dyDescent="0.3">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 x14ac:dyDescent="0.3">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 x14ac:dyDescent="0.3">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 x14ac:dyDescent="0.3">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 x14ac:dyDescent="0.3">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 x14ac:dyDescent="0.3">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 x14ac:dyDescent="0.3">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 x14ac:dyDescent="0.3">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 x14ac:dyDescent="0.3">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 x14ac:dyDescent="0.3">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 x14ac:dyDescent="0.3">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 x14ac:dyDescent="0.3">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 x14ac:dyDescent="0.3">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 x14ac:dyDescent="0.3">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 x14ac:dyDescent="0.3">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 x14ac:dyDescent="0.3">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 x14ac:dyDescent="0.3">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 x14ac:dyDescent="0.3">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 x14ac:dyDescent="0.3">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 x14ac:dyDescent="0.3">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 x14ac:dyDescent="0.3">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 x14ac:dyDescent="0.3">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 x14ac:dyDescent="0.3">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 x14ac:dyDescent="0.3">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 x14ac:dyDescent="0.3">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 x14ac:dyDescent="0.3">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 x14ac:dyDescent="0.3">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 x14ac:dyDescent="0.3">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 x14ac:dyDescent="0.3">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 x14ac:dyDescent="0.3">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 x14ac:dyDescent="0.3">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 x14ac:dyDescent="0.3">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 x14ac:dyDescent="0.3">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 x14ac:dyDescent="0.3">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 x14ac:dyDescent="0.3">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 x14ac:dyDescent="0.3">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 x14ac:dyDescent="0.3">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 x14ac:dyDescent="0.3">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 x14ac:dyDescent="0.3">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 x14ac:dyDescent="0.3">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 x14ac:dyDescent="0.3">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 x14ac:dyDescent="0.3">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 x14ac:dyDescent="0.3">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 x14ac:dyDescent="0.3">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 x14ac:dyDescent="0.3">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 x14ac:dyDescent="0.3">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 x14ac:dyDescent="0.3">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 x14ac:dyDescent="0.3">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 x14ac:dyDescent="0.3">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 x14ac:dyDescent="0.3">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 x14ac:dyDescent="0.3">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 x14ac:dyDescent="0.3">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 x14ac:dyDescent="0.3">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 x14ac:dyDescent="0.3">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 x14ac:dyDescent="0.3">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 x14ac:dyDescent="0.3">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 x14ac:dyDescent="0.3">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 x14ac:dyDescent="0.3">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 x14ac:dyDescent="0.3">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 x14ac:dyDescent="0.3">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 x14ac:dyDescent="0.3">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 x14ac:dyDescent="0.3">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 x14ac:dyDescent="0.3">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 x14ac:dyDescent="0.3">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 x14ac:dyDescent="0.3">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 x14ac:dyDescent="0.3">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 x14ac:dyDescent="0.3">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 x14ac:dyDescent="0.3">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 x14ac:dyDescent="0.3">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 x14ac:dyDescent="0.3">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 x14ac:dyDescent="0.3">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 x14ac:dyDescent="0.3">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 x14ac:dyDescent="0.3">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 x14ac:dyDescent="0.3">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 x14ac:dyDescent="0.3">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 x14ac:dyDescent="0.3">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 x14ac:dyDescent="0.3">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 x14ac:dyDescent="0.3">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 x14ac:dyDescent="0.3">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 x14ac:dyDescent="0.3">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 x14ac:dyDescent="0.3">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 x14ac:dyDescent="0.3">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 x14ac:dyDescent="0.3">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 x14ac:dyDescent="0.3">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 x14ac:dyDescent="0.3">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 x14ac:dyDescent="0.3">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 x14ac:dyDescent="0.3">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 x14ac:dyDescent="0.3">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 x14ac:dyDescent="0.3">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 x14ac:dyDescent="0.3">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 x14ac:dyDescent="0.3">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 x14ac:dyDescent="0.3">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 x14ac:dyDescent="0.3">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 x14ac:dyDescent="0.3">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 x14ac:dyDescent="0.3">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 x14ac:dyDescent="0.3">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 x14ac:dyDescent="0.3">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 x14ac:dyDescent="0.3">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 x14ac:dyDescent="0.3">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 x14ac:dyDescent="0.3">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 x14ac:dyDescent="0.3">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 x14ac:dyDescent="0.3">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 x14ac:dyDescent="0.3">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 x14ac:dyDescent="0.3">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 x14ac:dyDescent="0.3">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 x14ac:dyDescent="0.3">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 x14ac:dyDescent="0.3">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 x14ac:dyDescent="0.3">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 x14ac:dyDescent="0.3">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 x14ac:dyDescent="0.3">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 x14ac:dyDescent="0.3">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 x14ac:dyDescent="0.3">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 x14ac:dyDescent="0.3">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 x14ac:dyDescent="0.3">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 x14ac:dyDescent="0.3">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 x14ac:dyDescent="0.3">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 x14ac:dyDescent="0.3">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 x14ac:dyDescent="0.3">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 x14ac:dyDescent="0.3">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 x14ac:dyDescent="0.3">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 x14ac:dyDescent="0.3">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 x14ac:dyDescent="0.3">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 x14ac:dyDescent="0.3">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 x14ac:dyDescent="0.3">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 x14ac:dyDescent="0.3">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 x14ac:dyDescent="0.3">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 x14ac:dyDescent="0.3">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 x14ac:dyDescent="0.3">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 x14ac:dyDescent="0.3">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 x14ac:dyDescent="0.3">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 x14ac:dyDescent="0.3">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 x14ac:dyDescent="0.3">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 x14ac:dyDescent="0.3">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 x14ac:dyDescent="0.3">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 x14ac:dyDescent="0.3">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 x14ac:dyDescent="0.3">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 x14ac:dyDescent="0.3">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 x14ac:dyDescent="0.3">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 x14ac:dyDescent="0.3">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 x14ac:dyDescent="0.3">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 x14ac:dyDescent="0.3">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 x14ac:dyDescent="0.3">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 x14ac:dyDescent="0.3">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 x14ac:dyDescent="0.3">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 x14ac:dyDescent="0.3">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 x14ac:dyDescent="0.3">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 x14ac:dyDescent="0.3">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 x14ac:dyDescent="0.3">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 x14ac:dyDescent="0.3">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 x14ac:dyDescent="0.3">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 x14ac:dyDescent="0.3">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 x14ac:dyDescent="0.3">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 x14ac:dyDescent="0.3">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 x14ac:dyDescent="0.3">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 x14ac:dyDescent="0.3">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 x14ac:dyDescent="0.3">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 x14ac:dyDescent="0.3">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 x14ac:dyDescent="0.3">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 x14ac:dyDescent="0.3">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 x14ac:dyDescent="0.3">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 x14ac:dyDescent="0.3">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 x14ac:dyDescent="0.3">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 x14ac:dyDescent="0.3">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 x14ac:dyDescent="0.3">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 x14ac:dyDescent="0.3">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 x14ac:dyDescent="0.3">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 x14ac:dyDescent="0.3">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 x14ac:dyDescent="0.3">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 x14ac:dyDescent="0.3">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 x14ac:dyDescent="0.3">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 x14ac:dyDescent="0.3">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 x14ac:dyDescent="0.3">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 x14ac:dyDescent="0.3">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 x14ac:dyDescent="0.3">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 x14ac:dyDescent="0.3">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 x14ac:dyDescent="0.3">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 x14ac:dyDescent="0.3">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 x14ac:dyDescent="0.3">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 x14ac:dyDescent="0.3">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 x14ac:dyDescent="0.3">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 x14ac:dyDescent="0.3">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 x14ac:dyDescent="0.3">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 x14ac:dyDescent="0.3">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 x14ac:dyDescent="0.3">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 x14ac:dyDescent="0.3">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 x14ac:dyDescent="0.3">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 x14ac:dyDescent="0.3">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 x14ac:dyDescent="0.3">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 x14ac:dyDescent="0.3">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 x14ac:dyDescent="0.3">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 x14ac:dyDescent="0.3">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 x14ac:dyDescent="0.3">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 x14ac:dyDescent="0.3">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 x14ac:dyDescent="0.3">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 x14ac:dyDescent="0.3">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 x14ac:dyDescent="0.3">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 x14ac:dyDescent="0.3">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 x14ac:dyDescent="0.3">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 x14ac:dyDescent="0.3">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 x14ac:dyDescent="0.3">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 x14ac:dyDescent="0.3">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 x14ac:dyDescent="0.3">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 x14ac:dyDescent="0.3">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 x14ac:dyDescent="0.3">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 x14ac:dyDescent="0.3">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 x14ac:dyDescent="0.3">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 x14ac:dyDescent="0.3">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 x14ac:dyDescent="0.3">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 x14ac:dyDescent="0.3">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 x14ac:dyDescent="0.3">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 x14ac:dyDescent="0.3">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 x14ac:dyDescent="0.3">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 x14ac:dyDescent="0.3">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 x14ac:dyDescent="0.3">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 x14ac:dyDescent="0.3">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 x14ac:dyDescent="0.3">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 x14ac:dyDescent="0.3">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 x14ac:dyDescent="0.3">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 x14ac:dyDescent="0.3">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 x14ac:dyDescent="0.3">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 x14ac:dyDescent="0.3">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 x14ac:dyDescent="0.3">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 x14ac:dyDescent="0.3">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 x14ac:dyDescent="0.3">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 x14ac:dyDescent="0.3">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 x14ac:dyDescent="0.3">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 x14ac:dyDescent="0.3">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 x14ac:dyDescent="0.3">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 x14ac:dyDescent="0.3">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 x14ac:dyDescent="0.3">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 x14ac:dyDescent="0.3">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 x14ac:dyDescent="0.3">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 x14ac:dyDescent="0.3">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 x14ac:dyDescent="0.3">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 x14ac:dyDescent="0.3">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 x14ac:dyDescent="0.3">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 x14ac:dyDescent="0.3">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 x14ac:dyDescent="0.3">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 x14ac:dyDescent="0.3">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 x14ac:dyDescent="0.3">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 x14ac:dyDescent="0.3">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 x14ac:dyDescent="0.3">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 x14ac:dyDescent="0.3">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 x14ac:dyDescent="0.3">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 x14ac:dyDescent="0.3">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 x14ac:dyDescent="0.3">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 x14ac:dyDescent="0.3">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 x14ac:dyDescent="0.3">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 x14ac:dyDescent="0.3">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 x14ac:dyDescent="0.3">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 x14ac:dyDescent="0.3">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 x14ac:dyDescent="0.3">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 x14ac:dyDescent="0.3">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 x14ac:dyDescent="0.3">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 x14ac:dyDescent="0.3">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 x14ac:dyDescent="0.3">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 x14ac:dyDescent="0.3">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 x14ac:dyDescent="0.3">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 x14ac:dyDescent="0.3">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 x14ac:dyDescent="0.3">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 x14ac:dyDescent="0.3">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 x14ac:dyDescent="0.3">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 x14ac:dyDescent="0.3">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 x14ac:dyDescent="0.3">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 x14ac:dyDescent="0.3">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 x14ac:dyDescent="0.3">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 x14ac:dyDescent="0.3">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 x14ac:dyDescent="0.3">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 x14ac:dyDescent="0.3">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 x14ac:dyDescent="0.3">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 x14ac:dyDescent="0.3">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 x14ac:dyDescent="0.3">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 x14ac:dyDescent="0.3">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 x14ac:dyDescent="0.3">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 x14ac:dyDescent="0.3">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 x14ac:dyDescent="0.3">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 x14ac:dyDescent="0.3">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 x14ac:dyDescent="0.3">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 x14ac:dyDescent="0.3">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 x14ac:dyDescent="0.3">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 x14ac:dyDescent="0.3">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 x14ac:dyDescent="0.3">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 x14ac:dyDescent="0.3">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 x14ac:dyDescent="0.3">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 x14ac:dyDescent="0.3">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 x14ac:dyDescent="0.3">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 x14ac:dyDescent="0.3">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 x14ac:dyDescent="0.3">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 x14ac:dyDescent="0.3">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 x14ac:dyDescent="0.3">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 x14ac:dyDescent="0.3">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 x14ac:dyDescent="0.3">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 x14ac:dyDescent="0.3">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 x14ac:dyDescent="0.3">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 x14ac:dyDescent="0.3">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 x14ac:dyDescent="0.3">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 x14ac:dyDescent="0.3">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 x14ac:dyDescent="0.3">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 x14ac:dyDescent="0.3">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 x14ac:dyDescent="0.3">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 x14ac:dyDescent="0.3">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 x14ac:dyDescent="0.3">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 x14ac:dyDescent="0.3">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 x14ac:dyDescent="0.3">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 x14ac:dyDescent="0.3">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 x14ac:dyDescent="0.3">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 x14ac:dyDescent="0.3">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 x14ac:dyDescent="0.3">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 x14ac:dyDescent="0.3">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 x14ac:dyDescent="0.3">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 x14ac:dyDescent="0.3">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 x14ac:dyDescent="0.3">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 x14ac:dyDescent="0.3">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 x14ac:dyDescent="0.3">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 x14ac:dyDescent="0.3">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 x14ac:dyDescent="0.3">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 x14ac:dyDescent="0.3">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 x14ac:dyDescent="0.3">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 x14ac:dyDescent="0.3">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 x14ac:dyDescent="0.3">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 x14ac:dyDescent="0.3">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 x14ac:dyDescent="0.3">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 x14ac:dyDescent="0.3">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 x14ac:dyDescent="0.3">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 x14ac:dyDescent="0.3">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 x14ac:dyDescent="0.3">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 x14ac:dyDescent="0.3">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 x14ac:dyDescent="0.3">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 x14ac:dyDescent="0.3">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 x14ac:dyDescent="0.3">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 x14ac:dyDescent="0.3">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 x14ac:dyDescent="0.3">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 x14ac:dyDescent="0.3">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 x14ac:dyDescent="0.3">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 x14ac:dyDescent="0.3">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 x14ac:dyDescent="0.3">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 x14ac:dyDescent="0.3">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 x14ac:dyDescent="0.3">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 x14ac:dyDescent="0.3">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 x14ac:dyDescent="0.3">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 x14ac:dyDescent="0.3">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 x14ac:dyDescent="0.3">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 x14ac:dyDescent="0.3">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 x14ac:dyDescent="0.3">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 x14ac:dyDescent="0.3">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 x14ac:dyDescent="0.3">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 x14ac:dyDescent="0.3">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 x14ac:dyDescent="0.3">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 x14ac:dyDescent="0.3">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 x14ac:dyDescent="0.3">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 x14ac:dyDescent="0.3">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 x14ac:dyDescent="0.3">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 x14ac:dyDescent="0.3">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 x14ac:dyDescent="0.3">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 x14ac:dyDescent="0.3">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 x14ac:dyDescent="0.3">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 x14ac:dyDescent="0.3">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 x14ac:dyDescent="0.3">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 x14ac:dyDescent="0.3">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 x14ac:dyDescent="0.3">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 x14ac:dyDescent="0.3">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 x14ac:dyDescent="0.3">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 x14ac:dyDescent="0.3">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 x14ac:dyDescent="0.3">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 x14ac:dyDescent="0.3">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 x14ac:dyDescent="0.3">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 x14ac:dyDescent="0.3">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 x14ac:dyDescent="0.3">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 x14ac:dyDescent="0.3">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 x14ac:dyDescent="0.3">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 x14ac:dyDescent="0.3">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 x14ac:dyDescent="0.3">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 x14ac:dyDescent="0.3">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 x14ac:dyDescent="0.3">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 x14ac:dyDescent="0.3">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 x14ac:dyDescent="0.3">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 x14ac:dyDescent="0.3">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 x14ac:dyDescent="0.3">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 x14ac:dyDescent="0.3">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 x14ac:dyDescent="0.3">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 x14ac:dyDescent="0.3">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 x14ac:dyDescent="0.3">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 x14ac:dyDescent="0.3">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 x14ac:dyDescent="0.3">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 x14ac:dyDescent="0.3">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 x14ac:dyDescent="0.3">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 x14ac:dyDescent="0.3">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 x14ac:dyDescent="0.3">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 x14ac:dyDescent="0.3">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 x14ac:dyDescent="0.3">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 x14ac:dyDescent="0.3">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 x14ac:dyDescent="0.3">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 x14ac:dyDescent="0.3">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 x14ac:dyDescent="0.3">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 x14ac:dyDescent="0.3">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 x14ac:dyDescent="0.3">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 x14ac:dyDescent="0.3">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 x14ac:dyDescent="0.3">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 x14ac:dyDescent="0.3">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 x14ac:dyDescent="0.3">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 x14ac:dyDescent="0.3">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 x14ac:dyDescent="0.3">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 x14ac:dyDescent="0.3">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 x14ac:dyDescent="0.3">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 x14ac:dyDescent="0.3">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 x14ac:dyDescent="0.3">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 x14ac:dyDescent="0.3">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 x14ac:dyDescent="0.3">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 x14ac:dyDescent="0.3">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 x14ac:dyDescent="0.3">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 x14ac:dyDescent="0.3">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 x14ac:dyDescent="0.3">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 x14ac:dyDescent="0.3">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 x14ac:dyDescent="0.3">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 x14ac:dyDescent="0.3">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 x14ac:dyDescent="0.3">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 x14ac:dyDescent="0.3">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 x14ac:dyDescent="0.3">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 x14ac:dyDescent="0.3">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 x14ac:dyDescent="0.3">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 x14ac:dyDescent="0.3">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 x14ac:dyDescent="0.3">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 x14ac:dyDescent="0.3">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 x14ac:dyDescent="0.3">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 x14ac:dyDescent="0.3">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 x14ac:dyDescent="0.3">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 x14ac:dyDescent="0.3">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 x14ac:dyDescent="0.3">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 x14ac:dyDescent="0.3">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 x14ac:dyDescent="0.3">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 x14ac:dyDescent="0.3">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 x14ac:dyDescent="0.3">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 x14ac:dyDescent="0.3">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 x14ac:dyDescent="0.3">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 x14ac:dyDescent="0.3">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 x14ac:dyDescent="0.3">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 x14ac:dyDescent="0.3">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 x14ac:dyDescent="0.3">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 x14ac:dyDescent="0.3">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 x14ac:dyDescent="0.3">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 x14ac:dyDescent="0.3">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 x14ac:dyDescent="0.3">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 x14ac:dyDescent="0.3">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 x14ac:dyDescent="0.3">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 x14ac:dyDescent="0.3">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 x14ac:dyDescent="0.3">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 x14ac:dyDescent="0.3">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 x14ac:dyDescent="0.3">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 x14ac:dyDescent="0.3">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 x14ac:dyDescent="0.3">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 x14ac:dyDescent="0.3">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 x14ac:dyDescent="0.3">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 x14ac:dyDescent="0.3">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 x14ac:dyDescent="0.3">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 x14ac:dyDescent="0.3">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 x14ac:dyDescent="0.3">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 x14ac:dyDescent="0.3">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 x14ac:dyDescent="0.3">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 x14ac:dyDescent="0.3">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 x14ac:dyDescent="0.3">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 x14ac:dyDescent="0.3">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 x14ac:dyDescent="0.3">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 x14ac:dyDescent="0.3">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 x14ac:dyDescent="0.3">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 x14ac:dyDescent="0.3">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 x14ac:dyDescent="0.3">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 x14ac:dyDescent="0.3">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 x14ac:dyDescent="0.3">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 x14ac:dyDescent="0.3">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 x14ac:dyDescent="0.3">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 x14ac:dyDescent="0.3">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 x14ac:dyDescent="0.3">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 x14ac:dyDescent="0.3">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 x14ac:dyDescent="0.3">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 x14ac:dyDescent="0.3">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 x14ac:dyDescent="0.3">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 x14ac:dyDescent="0.3">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 x14ac:dyDescent="0.3">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 x14ac:dyDescent="0.3">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 x14ac:dyDescent="0.3">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 x14ac:dyDescent="0.3">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 x14ac:dyDescent="0.3">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 x14ac:dyDescent="0.3">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 x14ac:dyDescent="0.3">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 x14ac:dyDescent="0.3">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 x14ac:dyDescent="0.3">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 x14ac:dyDescent="0.3">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 x14ac:dyDescent="0.3">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 x14ac:dyDescent="0.3">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 x14ac:dyDescent="0.3">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 x14ac:dyDescent="0.3">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 x14ac:dyDescent="0.3">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 x14ac:dyDescent="0.3">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 x14ac:dyDescent="0.3">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 x14ac:dyDescent="0.3">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 x14ac:dyDescent="0.3">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 x14ac:dyDescent="0.3">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 x14ac:dyDescent="0.3">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 x14ac:dyDescent="0.3">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 x14ac:dyDescent="0.3">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 x14ac:dyDescent="0.3">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 x14ac:dyDescent="0.3">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 x14ac:dyDescent="0.3">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 x14ac:dyDescent="0.3">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 x14ac:dyDescent="0.3">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 x14ac:dyDescent="0.3">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 x14ac:dyDescent="0.3">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 x14ac:dyDescent="0.3">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 x14ac:dyDescent="0.3">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 x14ac:dyDescent="0.3">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 x14ac:dyDescent="0.3">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 x14ac:dyDescent="0.3">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 x14ac:dyDescent="0.3">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 x14ac:dyDescent="0.3">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 x14ac:dyDescent="0.3">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 x14ac:dyDescent="0.3">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 x14ac:dyDescent="0.3">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 x14ac:dyDescent="0.3">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 x14ac:dyDescent="0.3">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 x14ac:dyDescent="0.3">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 x14ac:dyDescent="0.3">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 x14ac:dyDescent="0.3">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 x14ac:dyDescent="0.3">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 x14ac:dyDescent="0.3">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 x14ac:dyDescent="0.3">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 x14ac:dyDescent="0.3">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 x14ac:dyDescent="0.3">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 x14ac:dyDescent="0.3">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 x14ac:dyDescent="0.3">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 x14ac:dyDescent="0.3">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 x14ac:dyDescent="0.3">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 x14ac:dyDescent="0.3">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 x14ac:dyDescent="0.3">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 x14ac:dyDescent="0.3">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 x14ac:dyDescent="0.3">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 x14ac:dyDescent="0.3">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 x14ac:dyDescent="0.3">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 x14ac:dyDescent="0.3">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 x14ac:dyDescent="0.3">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 x14ac:dyDescent="0.3">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 x14ac:dyDescent="0.3">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 x14ac:dyDescent="0.3">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 x14ac:dyDescent="0.3">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 x14ac:dyDescent="0.3">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 x14ac:dyDescent="0.3">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 x14ac:dyDescent="0.3">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 x14ac:dyDescent="0.3">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 x14ac:dyDescent="0.3">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 x14ac:dyDescent="0.3">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 x14ac:dyDescent="0.3">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 x14ac:dyDescent="0.3">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 x14ac:dyDescent="0.3">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 x14ac:dyDescent="0.3">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 x14ac:dyDescent="0.3">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 x14ac:dyDescent="0.3">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 x14ac:dyDescent="0.3">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 x14ac:dyDescent="0.3">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 x14ac:dyDescent="0.3">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 x14ac:dyDescent="0.3">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 x14ac:dyDescent="0.3">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 x14ac:dyDescent="0.3">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 x14ac:dyDescent="0.3">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 x14ac:dyDescent="0.3">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 x14ac:dyDescent="0.3">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 x14ac:dyDescent="0.3">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 x14ac:dyDescent="0.3">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 x14ac:dyDescent="0.3">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 x14ac:dyDescent="0.3">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 x14ac:dyDescent="0.3">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 x14ac:dyDescent="0.3">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 x14ac:dyDescent="0.3">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 x14ac:dyDescent="0.3">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 x14ac:dyDescent="0.3">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 x14ac:dyDescent="0.3">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 x14ac:dyDescent="0.3">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 x14ac:dyDescent="0.3">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 x14ac:dyDescent="0.3">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 x14ac:dyDescent="0.3">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 x14ac:dyDescent="0.3">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 x14ac:dyDescent="0.3">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 x14ac:dyDescent="0.3">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 x14ac:dyDescent="0.3">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 x14ac:dyDescent="0.3">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 x14ac:dyDescent="0.3">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 x14ac:dyDescent="0.3">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 x14ac:dyDescent="0.3">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 x14ac:dyDescent="0.3">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 x14ac:dyDescent="0.3">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 x14ac:dyDescent="0.3">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 x14ac:dyDescent="0.3">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 x14ac:dyDescent="0.3">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 x14ac:dyDescent="0.3">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 x14ac:dyDescent="0.3">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 x14ac:dyDescent="0.3">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 x14ac:dyDescent="0.3">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 x14ac:dyDescent="0.3">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 x14ac:dyDescent="0.3">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 x14ac:dyDescent="0.3">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 x14ac:dyDescent="0.3">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 x14ac:dyDescent="0.3">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 x14ac:dyDescent="0.3">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 x14ac:dyDescent="0.3">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 x14ac:dyDescent="0.3">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 x14ac:dyDescent="0.3">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 x14ac:dyDescent="0.3">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 x14ac:dyDescent="0.3">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 x14ac:dyDescent="0.3">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 x14ac:dyDescent="0.3">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 x14ac:dyDescent="0.3">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 x14ac:dyDescent="0.3">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 x14ac:dyDescent="0.3">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 x14ac:dyDescent="0.3">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 x14ac:dyDescent="0.3">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 x14ac:dyDescent="0.3">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 x14ac:dyDescent="0.3">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 x14ac:dyDescent="0.3">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 x14ac:dyDescent="0.3">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 x14ac:dyDescent="0.3">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 x14ac:dyDescent="0.3">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 x14ac:dyDescent="0.3">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 x14ac:dyDescent="0.3">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 x14ac:dyDescent="0.3">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 x14ac:dyDescent="0.3">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 x14ac:dyDescent="0.3">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 x14ac:dyDescent="0.3">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 x14ac:dyDescent="0.3">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 x14ac:dyDescent="0.3">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 x14ac:dyDescent="0.3">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 x14ac:dyDescent="0.3">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 x14ac:dyDescent="0.3">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 x14ac:dyDescent="0.3">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 x14ac:dyDescent="0.3">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 x14ac:dyDescent="0.3">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 x14ac:dyDescent="0.3">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 x14ac:dyDescent="0.3">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 x14ac:dyDescent="0.3">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 x14ac:dyDescent="0.3">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 x14ac:dyDescent="0.3">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 x14ac:dyDescent="0.3">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 x14ac:dyDescent="0.3">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 x14ac:dyDescent="0.3">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 x14ac:dyDescent="0.3">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 x14ac:dyDescent="0.3">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 x14ac:dyDescent="0.3">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 x14ac:dyDescent="0.3">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 x14ac:dyDescent="0.3">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 x14ac:dyDescent="0.3">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 x14ac:dyDescent="0.3">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 x14ac:dyDescent="0.3">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 x14ac:dyDescent="0.3">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 x14ac:dyDescent="0.3">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 x14ac:dyDescent="0.3">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 x14ac:dyDescent="0.3">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 x14ac:dyDescent="0.3">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 x14ac:dyDescent="0.3">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 x14ac:dyDescent="0.3">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 x14ac:dyDescent="0.3">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 x14ac:dyDescent="0.3">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 x14ac:dyDescent="0.3">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 x14ac:dyDescent="0.3">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 x14ac:dyDescent="0.3">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 x14ac:dyDescent="0.3">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 x14ac:dyDescent="0.3">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 x14ac:dyDescent="0.3">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 x14ac:dyDescent="0.3">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 x14ac:dyDescent="0.3">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 x14ac:dyDescent="0.3">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 x14ac:dyDescent="0.3">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 x14ac:dyDescent="0.3">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 x14ac:dyDescent="0.3">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 x14ac:dyDescent="0.3">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 x14ac:dyDescent="0.3">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 x14ac:dyDescent="0.3">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 x14ac:dyDescent="0.3">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 x14ac:dyDescent="0.3">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 x14ac:dyDescent="0.3">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 x14ac:dyDescent="0.3">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 x14ac:dyDescent="0.3">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 x14ac:dyDescent="0.3">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 x14ac:dyDescent="0.3">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 x14ac:dyDescent="0.3">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 x14ac:dyDescent="0.3">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 x14ac:dyDescent="0.3">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 x14ac:dyDescent="0.3">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 x14ac:dyDescent="0.3">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 x14ac:dyDescent="0.3">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 x14ac:dyDescent="0.3">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 x14ac:dyDescent="0.3">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 x14ac:dyDescent="0.3">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 x14ac:dyDescent="0.3">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 x14ac:dyDescent="0.3">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 x14ac:dyDescent="0.3">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 x14ac:dyDescent="0.3">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 x14ac:dyDescent="0.3">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 x14ac:dyDescent="0.3">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 x14ac:dyDescent="0.3">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 x14ac:dyDescent="0.3">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 x14ac:dyDescent="0.3">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 x14ac:dyDescent="0.3">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 x14ac:dyDescent="0.3">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 x14ac:dyDescent="0.3">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 x14ac:dyDescent="0.3">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 x14ac:dyDescent="0.3">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 x14ac:dyDescent="0.3">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 x14ac:dyDescent="0.3">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 x14ac:dyDescent="0.3">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 x14ac:dyDescent="0.3">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 x14ac:dyDescent="0.3">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 x14ac:dyDescent="0.3">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 x14ac:dyDescent="0.3">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 x14ac:dyDescent="0.3">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 x14ac:dyDescent="0.3">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 x14ac:dyDescent="0.3">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 x14ac:dyDescent="0.3">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 x14ac:dyDescent="0.3">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 x14ac:dyDescent="0.3">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 x14ac:dyDescent="0.3">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 x14ac:dyDescent="0.3">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 x14ac:dyDescent="0.3">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 x14ac:dyDescent="0.3">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 x14ac:dyDescent="0.3">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 x14ac:dyDescent="0.3">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 x14ac:dyDescent="0.3">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 x14ac:dyDescent="0.3">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 x14ac:dyDescent="0.3">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 x14ac:dyDescent="0.3">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 x14ac:dyDescent="0.3">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 x14ac:dyDescent="0.3">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 x14ac:dyDescent="0.3">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 x14ac:dyDescent="0.3">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 x14ac:dyDescent="0.3">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 x14ac:dyDescent="0.3">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 x14ac:dyDescent="0.3">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 x14ac:dyDescent="0.3">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 x14ac:dyDescent="0.3">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 x14ac:dyDescent="0.3">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 x14ac:dyDescent="0.3">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 x14ac:dyDescent="0.3">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 x14ac:dyDescent="0.3">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 x14ac:dyDescent="0.3">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 x14ac:dyDescent="0.3">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 x14ac:dyDescent="0.3">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 x14ac:dyDescent="0.3">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 x14ac:dyDescent="0.3">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 x14ac:dyDescent="0.3">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 x14ac:dyDescent="0.3">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 x14ac:dyDescent="0.3">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 x14ac:dyDescent="0.3">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 x14ac:dyDescent="0.3">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 x14ac:dyDescent="0.3">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 x14ac:dyDescent="0.3">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 x14ac:dyDescent="0.3">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 x14ac:dyDescent="0.3">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 x14ac:dyDescent="0.3">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 x14ac:dyDescent="0.3">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 x14ac:dyDescent="0.3">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 x14ac:dyDescent="0.3">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 x14ac:dyDescent="0.3">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 x14ac:dyDescent="0.3">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 x14ac:dyDescent="0.3">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 x14ac:dyDescent="0.3">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 x14ac:dyDescent="0.3">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 x14ac:dyDescent="0.3">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 x14ac:dyDescent="0.3">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 x14ac:dyDescent="0.3">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 x14ac:dyDescent="0.3">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 x14ac:dyDescent="0.3">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 x14ac:dyDescent="0.3">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 x14ac:dyDescent="0.3">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 x14ac:dyDescent="0.3">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 x14ac:dyDescent="0.3">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 x14ac:dyDescent="0.3">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 x14ac:dyDescent="0.3">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 x14ac:dyDescent="0.3">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 x14ac:dyDescent="0.3">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 x14ac:dyDescent="0.3">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 x14ac:dyDescent="0.3">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 x14ac:dyDescent="0.3">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 x14ac:dyDescent="0.3">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 x14ac:dyDescent="0.3">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 x14ac:dyDescent="0.3">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 x14ac:dyDescent="0.3">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 x14ac:dyDescent="0.3">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 x14ac:dyDescent="0.3">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 x14ac:dyDescent="0.3">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 x14ac:dyDescent="0.3">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 x14ac:dyDescent="0.3">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 x14ac:dyDescent="0.3">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 x14ac:dyDescent="0.3">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 x14ac:dyDescent="0.3">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 x14ac:dyDescent="0.3">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 x14ac:dyDescent="0.3">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 x14ac:dyDescent="0.3">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 x14ac:dyDescent="0.3">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 x14ac:dyDescent="0.3">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 x14ac:dyDescent="0.3">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 x14ac:dyDescent="0.3">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 x14ac:dyDescent="0.3">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 x14ac:dyDescent="0.3">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 x14ac:dyDescent="0.3">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 x14ac:dyDescent="0.3">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 x14ac:dyDescent="0.3">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 x14ac:dyDescent="0.3">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 x14ac:dyDescent="0.3">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 x14ac:dyDescent="0.3">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 x14ac:dyDescent="0.3">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 x14ac:dyDescent="0.3">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 x14ac:dyDescent="0.3">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 x14ac:dyDescent="0.3">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 x14ac:dyDescent="0.3">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 x14ac:dyDescent="0.3">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 x14ac:dyDescent="0.3">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 x14ac:dyDescent="0.3">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 x14ac:dyDescent="0.3">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 x14ac:dyDescent="0.3">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 x14ac:dyDescent="0.3">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 x14ac:dyDescent="0.3">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 x14ac:dyDescent="0.3">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 x14ac:dyDescent="0.3">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 x14ac:dyDescent="0.3">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 x14ac:dyDescent="0.3">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 x14ac:dyDescent="0.3">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 x14ac:dyDescent="0.3">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 x14ac:dyDescent="0.3">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 x14ac:dyDescent="0.3">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 x14ac:dyDescent="0.3">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 x14ac:dyDescent="0.3">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 x14ac:dyDescent="0.3">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 x14ac:dyDescent="0.3">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 x14ac:dyDescent="0.3">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 x14ac:dyDescent="0.3">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 x14ac:dyDescent="0.3">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 x14ac:dyDescent="0.3">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 x14ac:dyDescent="0.3">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 x14ac:dyDescent="0.3">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 x14ac:dyDescent="0.3">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 x14ac:dyDescent="0.3">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 x14ac:dyDescent="0.3">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 x14ac:dyDescent="0.3">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 x14ac:dyDescent="0.3">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 x14ac:dyDescent="0.3">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 x14ac:dyDescent="0.3">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 x14ac:dyDescent="0.3">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 x14ac:dyDescent="0.3">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 x14ac:dyDescent="0.3">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 x14ac:dyDescent="0.3">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 x14ac:dyDescent="0.3">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 x14ac:dyDescent="0.3">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 x14ac:dyDescent="0.3">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 x14ac:dyDescent="0.3">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 x14ac:dyDescent="0.3">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 x14ac:dyDescent="0.3">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 x14ac:dyDescent="0.3">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 x14ac:dyDescent="0.3">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 x14ac:dyDescent="0.3">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 x14ac:dyDescent="0.3">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 x14ac:dyDescent="0.3">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 x14ac:dyDescent="0.3">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 x14ac:dyDescent="0.3">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 x14ac:dyDescent="0.3">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 x14ac:dyDescent="0.3">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 x14ac:dyDescent="0.3">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 x14ac:dyDescent="0.3">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 x14ac:dyDescent="0.3">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 x14ac:dyDescent="0.3">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 x14ac:dyDescent="0.3">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 x14ac:dyDescent="0.3">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 x14ac:dyDescent="0.3">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 x14ac:dyDescent="0.3">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 x14ac:dyDescent="0.3">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 x14ac:dyDescent="0.3">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 x14ac:dyDescent="0.3">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 x14ac:dyDescent="0.3">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 x14ac:dyDescent="0.3">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 x14ac:dyDescent="0.3">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 x14ac:dyDescent="0.3">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 x14ac:dyDescent="0.3">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 x14ac:dyDescent="0.3">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 x14ac:dyDescent="0.3">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 x14ac:dyDescent="0.3">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 x14ac:dyDescent="0.3">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 x14ac:dyDescent="0.3">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 x14ac:dyDescent="0.3">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 x14ac:dyDescent="0.3">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 x14ac:dyDescent="0.3">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 x14ac:dyDescent="0.3">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 x14ac:dyDescent="0.3">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 x14ac:dyDescent="0.3">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 x14ac:dyDescent="0.3">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 x14ac:dyDescent="0.3">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 x14ac:dyDescent="0.3">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 x14ac:dyDescent="0.3">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 x14ac:dyDescent="0.3">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 x14ac:dyDescent="0.3">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 x14ac:dyDescent="0.3">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 x14ac:dyDescent="0.3">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 x14ac:dyDescent="0.3">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 x14ac:dyDescent="0.3">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 x14ac:dyDescent="0.3">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 x14ac:dyDescent="0.3">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 x14ac:dyDescent="0.3">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 x14ac:dyDescent="0.3">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 x14ac:dyDescent="0.3">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 x14ac:dyDescent="0.3">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 x14ac:dyDescent="0.3">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 x14ac:dyDescent="0.3">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 x14ac:dyDescent="0.3">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 x14ac:dyDescent="0.3">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 x14ac:dyDescent="0.3">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 x14ac:dyDescent="0.3">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 x14ac:dyDescent="0.3">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 x14ac:dyDescent="0.3">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 x14ac:dyDescent="0.3">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 x14ac:dyDescent="0.3">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 x14ac:dyDescent="0.3">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 x14ac:dyDescent="0.3">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 x14ac:dyDescent="0.3">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 x14ac:dyDescent="0.3">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 x14ac:dyDescent="0.3">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 x14ac:dyDescent="0.3">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 x14ac:dyDescent="0.3">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 x14ac:dyDescent="0.3">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 x14ac:dyDescent="0.3">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 x14ac:dyDescent="0.3">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 x14ac:dyDescent="0.3">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 x14ac:dyDescent="0.3">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 x14ac:dyDescent="0.3">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 x14ac:dyDescent="0.3">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 x14ac:dyDescent="0.3">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 x14ac:dyDescent="0.3">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 x14ac:dyDescent="0.3">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 x14ac:dyDescent="0.3">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 x14ac:dyDescent="0.3">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 x14ac:dyDescent="0.3">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 x14ac:dyDescent="0.3">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 x14ac:dyDescent="0.3">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 x14ac:dyDescent="0.3">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 x14ac:dyDescent="0.3">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 x14ac:dyDescent="0.3">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 x14ac:dyDescent="0.3">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 x14ac:dyDescent="0.3">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 x14ac:dyDescent="0.3">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 x14ac:dyDescent="0.3">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 x14ac:dyDescent="0.3">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 x14ac:dyDescent="0.3">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 x14ac:dyDescent="0.3">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 x14ac:dyDescent="0.3">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 x14ac:dyDescent="0.3">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 x14ac:dyDescent="0.3">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 x14ac:dyDescent="0.3">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 x14ac:dyDescent="0.3">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 x14ac:dyDescent="0.3">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 x14ac:dyDescent="0.3">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 x14ac:dyDescent="0.3">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 x14ac:dyDescent="0.3">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 x14ac:dyDescent="0.3">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 x14ac:dyDescent="0.3">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 x14ac:dyDescent="0.3">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 x14ac:dyDescent="0.3">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 x14ac:dyDescent="0.3">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 x14ac:dyDescent="0.3">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 x14ac:dyDescent="0.3">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 x14ac:dyDescent="0.3">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 x14ac:dyDescent="0.3">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 x14ac:dyDescent="0.3">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 x14ac:dyDescent="0.3">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 x14ac:dyDescent="0.3">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 x14ac:dyDescent="0.3">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 x14ac:dyDescent="0.3">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 x14ac:dyDescent="0.3">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 x14ac:dyDescent="0.3">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 x14ac:dyDescent="0.3">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 x14ac:dyDescent="0.3">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 x14ac:dyDescent="0.3">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 x14ac:dyDescent="0.3">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 x14ac:dyDescent="0.3">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 x14ac:dyDescent="0.3">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 x14ac:dyDescent="0.3">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 x14ac:dyDescent="0.3">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 x14ac:dyDescent="0.3">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 x14ac:dyDescent="0.3">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 x14ac:dyDescent="0.3">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 x14ac:dyDescent="0.3">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 x14ac:dyDescent="0.3">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 x14ac:dyDescent="0.3">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 x14ac:dyDescent="0.3">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 x14ac:dyDescent="0.3">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 x14ac:dyDescent="0.3">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 x14ac:dyDescent="0.3">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 x14ac:dyDescent="0.3">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 x14ac:dyDescent="0.3">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 x14ac:dyDescent="0.3">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 x14ac:dyDescent="0.3">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 x14ac:dyDescent="0.3">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 x14ac:dyDescent="0.3">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 x14ac:dyDescent="0.3">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 x14ac:dyDescent="0.3">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 x14ac:dyDescent="0.3">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 x14ac:dyDescent="0.3">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 x14ac:dyDescent="0.3">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 x14ac:dyDescent="0.3">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 x14ac:dyDescent="0.3">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 x14ac:dyDescent="0.3">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 x14ac:dyDescent="0.3">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 x14ac:dyDescent="0.3">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 x14ac:dyDescent="0.3">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 x14ac:dyDescent="0.3">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 x14ac:dyDescent="0.3">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 x14ac:dyDescent="0.3">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 x14ac:dyDescent="0.3">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 x14ac:dyDescent="0.3">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 x14ac:dyDescent="0.3">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 x14ac:dyDescent="0.3">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 x14ac:dyDescent="0.3">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 x14ac:dyDescent="0.3">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 x14ac:dyDescent="0.3">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 x14ac:dyDescent="0.3">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 x14ac:dyDescent="0.3">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 x14ac:dyDescent="0.3">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 x14ac:dyDescent="0.3">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 x14ac:dyDescent="0.3">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 x14ac:dyDescent="0.3">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 x14ac:dyDescent="0.3">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 x14ac:dyDescent="0.3">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 x14ac:dyDescent="0.3">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 x14ac:dyDescent="0.3">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 x14ac:dyDescent="0.3">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 x14ac:dyDescent="0.3">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 x14ac:dyDescent="0.3">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 x14ac:dyDescent="0.3">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 x14ac:dyDescent="0.3">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 x14ac:dyDescent="0.3">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 x14ac:dyDescent="0.3">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 x14ac:dyDescent="0.3">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 x14ac:dyDescent="0.3">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 x14ac:dyDescent="0.3">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 x14ac:dyDescent="0.3">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 x14ac:dyDescent="0.3">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 x14ac:dyDescent="0.3">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 x14ac:dyDescent="0.3">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 x14ac:dyDescent="0.3">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 x14ac:dyDescent="0.3">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 x14ac:dyDescent="0.3">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 x14ac:dyDescent="0.3">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 x14ac:dyDescent="0.3">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 x14ac:dyDescent="0.3">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 x14ac:dyDescent="0.3">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 x14ac:dyDescent="0.3">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 x14ac:dyDescent="0.3">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 x14ac:dyDescent="0.3">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 x14ac:dyDescent="0.3">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 x14ac:dyDescent="0.3">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 x14ac:dyDescent="0.3">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 x14ac:dyDescent="0.3">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 x14ac:dyDescent="0.3">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 x14ac:dyDescent="0.3">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 x14ac:dyDescent="0.3">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 x14ac:dyDescent="0.3">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 x14ac:dyDescent="0.3">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 x14ac:dyDescent="0.3">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 x14ac:dyDescent="0.3">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 x14ac:dyDescent="0.3">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 x14ac:dyDescent="0.3">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 x14ac:dyDescent="0.3">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 x14ac:dyDescent="0.3">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 x14ac:dyDescent="0.3">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 x14ac:dyDescent="0.3">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 x14ac:dyDescent="0.3">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 x14ac:dyDescent="0.3">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 x14ac:dyDescent="0.3">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 x14ac:dyDescent="0.3">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 x14ac:dyDescent="0.3">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 x14ac:dyDescent="0.3">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 x14ac:dyDescent="0.3">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 x14ac:dyDescent="0.3">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 x14ac:dyDescent="0.3">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 x14ac:dyDescent="0.3">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 x14ac:dyDescent="0.3">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 x14ac:dyDescent="0.3">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 x14ac:dyDescent="0.3">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 x14ac:dyDescent="0.3">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 x14ac:dyDescent="0.3">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 x14ac:dyDescent="0.3">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 x14ac:dyDescent="0.3">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 x14ac:dyDescent="0.3">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 x14ac:dyDescent="0.3">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 x14ac:dyDescent="0.3">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 x14ac:dyDescent="0.3">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 x14ac:dyDescent="0.3">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 x14ac:dyDescent="0.3">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 x14ac:dyDescent="0.3">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 x14ac:dyDescent="0.3">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 x14ac:dyDescent="0.3">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 x14ac:dyDescent="0.3">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 x14ac:dyDescent="0.3">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 x14ac:dyDescent="0.3">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 x14ac:dyDescent="0.3">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 x14ac:dyDescent="0.3">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 x14ac:dyDescent="0.3">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 x14ac:dyDescent="0.3">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 x14ac:dyDescent="0.3">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 x14ac:dyDescent="0.3">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 x14ac:dyDescent="0.3">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 x14ac:dyDescent="0.3">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 x14ac:dyDescent="0.3">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 x14ac:dyDescent="0.3">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 x14ac:dyDescent="0.3">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 x14ac:dyDescent="0.3">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 x14ac:dyDescent="0.3">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 x14ac:dyDescent="0.3">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 x14ac:dyDescent="0.3">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 x14ac:dyDescent="0.3">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 x14ac:dyDescent="0.3">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 x14ac:dyDescent="0.3">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 x14ac:dyDescent="0.3">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 x14ac:dyDescent="0.3">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 x14ac:dyDescent="0.3">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 x14ac:dyDescent="0.3">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 x14ac:dyDescent="0.3">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 x14ac:dyDescent="0.3">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 x14ac:dyDescent="0.3">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 x14ac:dyDescent="0.3">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 x14ac:dyDescent="0.3">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 x14ac:dyDescent="0.3">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 x14ac:dyDescent="0.3">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 x14ac:dyDescent="0.3">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 x14ac:dyDescent="0.3">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 x14ac:dyDescent="0.3">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 x14ac:dyDescent="0.3">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 x14ac:dyDescent="0.3">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 x14ac:dyDescent="0.3">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 x14ac:dyDescent="0.3">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 x14ac:dyDescent="0.3">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 x14ac:dyDescent="0.3">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 x14ac:dyDescent="0.3">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 x14ac:dyDescent="0.3">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 x14ac:dyDescent="0.3">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 x14ac:dyDescent="0.3">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 x14ac:dyDescent="0.3">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 x14ac:dyDescent="0.3">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 x14ac:dyDescent="0.3">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 x14ac:dyDescent="0.3">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 x14ac:dyDescent="0.3">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 x14ac:dyDescent="0.3">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 x14ac:dyDescent="0.3">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 x14ac:dyDescent="0.3">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 x14ac:dyDescent="0.3">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 x14ac:dyDescent="0.3">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 x14ac:dyDescent="0.3">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 x14ac:dyDescent="0.3">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 x14ac:dyDescent="0.3">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 x14ac:dyDescent="0.3">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 x14ac:dyDescent="0.3">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 x14ac:dyDescent="0.3">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 x14ac:dyDescent="0.3">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 x14ac:dyDescent="0.3">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 x14ac:dyDescent="0.3">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 x14ac:dyDescent="0.3">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 x14ac:dyDescent="0.3">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 x14ac:dyDescent="0.3">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 x14ac:dyDescent="0.3">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 x14ac:dyDescent="0.3">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 x14ac:dyDescent="0.3">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 x14ac:dyDescent="0.3">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 x14ac:dyDescent="0.3">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 x14ac:dyDescent="0.3">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 x14ac:dyDescent="0.3">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 x14ac:dyDescent="0.3">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 x14ac:dyDescent="0.3">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 x14ac:dyDescent="0.3">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 x14ac:dyDescent="0.3">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 x14ac:dyDescent="0.3">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 x14ac:dyDescent="0.3">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 x14ac:dyDescent="0.3">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 x14ac:dyDescent="0.3">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 x14ac:dyDescent="0.3">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 x14ac:dyDescent="0.3">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 x14ac:dyDescent="0.3">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 x14ac:dyDescent="0.3">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 x14ac:dyDescent="0.3">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 x14ac:dyDescent="0.3">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 x14ac:dyDescent="0.3">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 x14ac:dyDescent="0.3">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 x14ac:dyDescent="0.3">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 x14ac:dyDescent="0.3">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 x14ac:dyDescent="0.3">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 x14ac:dyDescent="0.3">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 x14ac:dyDescent="0.3">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 x14ac:dyDescent="0.3">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 x14ac:dyDescent="0.3">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 x14ac:dyDescent="0.3">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 x14ac:dyDescent="0.3">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 x14ac:dyDescent="0.3">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 x14ac:dyDescent="0.3">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 x14ac:dyDescent="0.3">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 x14ac:dyDescent="0.3">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 x14ac:dyDescent="0.3">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 x14ac:dyDescent="0.3">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 x14ac:dyDescent="0.3">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 x14ac:dyDescent="0.3">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 x14ac:dyDescent="0.3">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 x14ac:dyDescent="0.3">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 x14ac:dyDescent="0.3">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 x14ac:dyDescent="0.3">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 x14ac:dyDescent="0.3">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 x14ac:dyDescent="0.3">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 x14ac:dyDescent="0.3">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 x14ac:dyDescent="0.3">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 x14ac:dyDescent="0.3">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 x14ac:dyDescent="0.3">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 x14ac:dyDescent="0.3">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 x14ac:dyDescent="0.3">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 x14ac:dyDescent="0.3">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 x14ac:dyDescent="0.3">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 x14ac:dyDescent="0.3">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 x14ac:dyDescent="0.3">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 x14ac:dyDescent="0.3">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 x14ac:dyDescent="0.3">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 x14ac:dyDescent="0.3">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 x14ac:dyDescent="0.3">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 x14ac:dyDescent="0.3">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 x14ac:dyDescent="0.3">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 x14ac:dyDescent="0.3">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 x14ac:dyDescent="0.3">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 x14ac:dyDescent="0.3">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 x14ac:dyDescent="0.3">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 x14ac:dyDescent="0.3">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 x14ac:dyDescent="0.3">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 x14ac:dyDescent="0.3">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 x14ac:dyDescent="0.3">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 x14ac:dyDescent="0.3">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 x14ac:dyDescent="0.3">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 x14ac:dyDescent="0.3">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 x14ac:dyDescent="0.3">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 x14ac:dyDescent="0.3">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 x14ac:dyDescent="0.3">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 x14ac:dyDescent="0.3">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 x14ac:dyDescent="0.3">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 x14ac:dyDescent="0.3">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 x14ac:dyDescent="0.3">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 x14ac:dyDescent="0.3">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 x14ac:dyDescent="0.3">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 x14ac:dyDescent="0.3">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 x14ac:dyDescent="0.3">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 x14ac:dyDescent="0.3">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 x14ac:dyDescent="0.3">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 x14ac:dyDescent="0.3">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 x14ac:dyDescent="0.3">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 x14ac:dyDescent="0.3">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 x14ac:dyDescent="0.3">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 x14ac:dyDescent="0.3">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 x14ac:dyDescent="0.3">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 x14ac:dyDescent="0.3">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 x14ac:dyDescent="0.3">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 x14ac:dyDescent="0.3">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 x14ac:dyDescent="0.3">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 x14ac:dyDescent="0.3">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 x14ac:dyDescent="0.3">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 x14ac:dyDescent="0.3">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 x14ac:dyDescent="0.3">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 x14ac:dyDescent="0.3">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2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customProperties>
    <customPr name="EpmWorksheetKeyString_GUI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25" sqref="C25"/>
    </sheetView>
  </sheetViews>
  <sheetFormatPr defaultRowHeight="12.5" x14ac:dyDescent="0.25"/>
  <cols>
    <col min="2" max="2" width="29.6328125" bestFit="1" customWidth="1"/>
    <col min="3" max="3" width="10.81640625" bestFit="1" customWidth="1"/>
  </cols>
  <sheetData>
    <row r="2" spans="2:6" ht="18.5" x14ac:dyDescent="0.45">
      <c r="B2" s="37" t="s">
        <v>3</v>
      </c>
      <c r="C2" s="37"/>
    </row>
    <row r="3" spans="2:6" ht="14.5" x14ac:dyDescent="0.35">
      <c r="B3" s="2" t="s">
        <v>4</v>
      </c>
      <c r="C3" s="82">
        <f>E3/10</f>
        <v>10138.9</v>
      </c>
      <c r="E3">
        <v>101389</v>
      </c>
      <c r="F3" s="2"/>
    </row>
    <row r="4" spans="2:6" ht="14.5" x14ac:dyDescent="0.35">
      <c r="B4" s="2" t="s">
        <v>5</v>
      </c>
      <c r="C4" s="83">
        <f>IF('START HERE'!A99="manual",0,COUNTIFS(Sheet3!A2:A5000,"&lt;&gt;0"))</f>
        <v>0</v>
      </c>
      <c r="E4">
        <v>0</v>
      </c>
    </row>
    <row r="5" spans="2:6" x14ac:dyDescent="0.25">
      <c r="C5" s="84"/>
    </row>
    <row r="6" spans="2:6" ht="14.5" x14ac:dyDescent="0.35">
      <c r="B6" s="3" t="s">
        <v>6</v>
      </c>
      <c r="C6" s="84"/>
    </row>
    <row r="7" spans="2:6" ht="14.5" x14ac:dyDescent="0.35">
      <c r="B7" s="2" t="s">
        <v>7</v>
      </c>
      <c r="C7" s="85">
        <f>C8/C3</f>
        <v>5.3</v>
      </c>
      <c r="E7">
        <v>5.3</v>
      </c>
    </row>
    <row r="8" spans="2:6" ht="14.5" x14ac:dyDescent="0.35">
      <c r="B8" s="2" t="s">
        <v>8</v>
      </c>
      <c r="C8" s="86">
        <f>E8/10</f>
        <v>53736.17</v>
      </c>
      <c r="E8">
        <v>537361.69999999995</v>
      </c>
    </row>
    <row r="9" spans="2:6" ht="14.5" x14ac:dyDescent="0.35">
      <c r="B9" s="2" t="s">
        <v>9</v>
      </c>
      <c r="C9" s="86">
        <f>IF('START HERE'!A99="manual",0,SUM(Sheet3!C2:C5000))</f>
        <v>0</v>
      </c>
      <c r="D9" s="52"/>
      <c r="E9">
        <v>0</v>
      </c>
    </row>
    <row r="10" spans="2:6" ht="14.5" x14ac:dyDescent="0.35">
      <c r="B10" s="2" t="s">
        <v>10</v>
      </c>
      <c r="C10" s="87">
        <f>IF('START HERE'!A99="manual",0,IF(C9&gt;C8,1,ROUNDUP((C8/C9),1)&amp;" : 1"))</f>
        <v>0</v>
      </c>
      <c r="E10">
        <v>0</v>
      </c>
    </row>
    <row r="11" spans="2:6" ht="14.5" x14ac:dyDescent="0.35">
      <c r="C11" s="88"/>
    </row>
    <row r="12" spans="2:6" ht="14.5" x14ac:dyDescent="0.35">
      <c r="B12" s="3" t="s">
        <v>11</v>
      </c>
      <c r="C12" s="83"/>
    </row>
    <row r="13" spans="2:6" ht="14.5" x14ac:dyDescent="0.35">
      <c r="B13" s="2" t="s">
        <v>12</v>
      </c>
      <c r="C13" s="85">
        <f>C14/C3</f>
        <v>25.4</v>
      </c>
      <c r="E13">
        <v>25.4</v>
      </c>
    </row>
    <row r="14" spans="2:6" ht="14.5" x14ac:dyDescent="0.35">
      <c r="B14" s="2" t="s">
        <v>13</v>
      </c>
      <c r="C14" s="89">
        <f>E14/10</f>
        <v>257528.05999999997</v>
      </c>
      <c r="E14">
        <v>2575280.5999999996</v>
      </c>
    </row>
    <row r="15" spans="2:6" ht="14.5" x14ac:dyDescent="0.35">
      <c r="B15" s="2" t="s">
        <v>14</v>
      </c>
      <c r="C15" s="86">
        <f>IF('START HERE'!A99="manual",0,SUM(Sheet3!D:D)/1000)</f>
        <v>0</v>
      </c>
      <c r="E15">
        <v>0</v>
      </c>
    </row>
    <row r="16" spans="2:6" ht="14.5" x14ac:dyDescent="0.35">
      <c r="B16" s="2" t="s">
        <v>15</v>
      </c>
      <c r="C16" s="87">
        <f>IF('START HERE'!A99="manual",0,IF(C15&gt;C14,1&amp;" : 1",ROUNDUP((C14/C15),1)&amp;" : 1"))</f>
        <v>0</v>
      </c>
      <c r="E16">
        <v>0</v>
      </c>
    </row>
    <row r="17" spans="2:5" ht="14.5" x14ac:dyDescent="0.35">
      <c r="C17" s="83"/>
    </row>
    <row r="18" spans="2:5" ht="14.5" x14ac:dyDescent="0.35">
      <c r="B18" s="3" t="s">
        <v>16</v>
      </c>
      <c r="C18" s="84"/>
      <c r="E18" s="53"/>
    </row>
    <row r="19" spans="2:5" ht="14.5" x14ac:dyDescent="0.35">
      <c r="B19" s="2" t="s">
        <v>17</v>
      </c>
      <c r="C19" s="89">
        <f>IF('START HERE'!A99="manual",0,Sheet3!J3/1000000)</f>
        <v>0</v>
      </c>
      <c r="E19">
        <v>0</v>
      </c>
    </row>
    <row r="20" spans="2:5" ht="14.5" x14ac:dyDescent="0.35">
      <c r="B20" s="2" t="s">
        <v>18</v>
      </c>
      <c r="C20" s="85">
        <f>E20/10</f>
        <v>6184.7290000000003</v>
      </c>
      <c r="E20">
        <v>61847.29</v>
      </c>
    </row>
    <row r="21" spans="2:5" ht="14.5" x14ac:dyDescent="0.35">
      <c r="B21" s="2" t="s">
        <v>19</v>
      </c>
      <c r="C21" s="90">
        <f>IF('START HERE'!A99="manual",0,C19/C20)</f>
        <v>0</v>
      </c>
      <c r="E21">
        <v>0</v>
      </c>
    </row>
    <row r="22" spans="2:5" ht="14.5" x14ac:dyDescent="0.35">
      <c r="B22" s="2" t="s">
        <v>20</v>
      </c>
      <c r="C22" s="91">
        <f>(C20/C3)*1000</f>
        <v>610.00000000000011</v>
      </c>
      <c r="E22">
        <v>610</v>
      </c>
    </row>
  </sheetData>
  <pageMargins left="0.7" right="0.7" top="0.75" bottom="0.75" header="0.3" footer="0.3"/>
  <customProperties>
    <customPr name="EpmWorksheetKeyString_GUID"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sqref="A1:XFD1048576"/>
    </sheetView>
  </sheetViews>
  <sheetFormatPr defaultColWidth="9.08984375" defaultRowHeight="11.5" x14ac:dyDescent="0.25"/>
  <cols>
    <col min="1" max="1" width="40.90625" style="64" customWidth="1"/>
    <col min="2" max="2" width="15.54296875" style="64" customWidth="1"/>
    <col min="3" max="3" width="13.54296875" style="64" customWidth="1"/>
    <col min="4" max="4" width="20.6328125" style="64" customWidth="1"/>
    <col min="5" max="5" width="17.26953125" style="64" customWidth="1"/>
    <col min="6" max="6" width="39.81640625" style="64" customWidth="1"/>
    <col min="7" max="7" width="20.81640625" style="64" customWidth="1"/>
    <col min="8" max="8" width="15.54296875" style="64" customWidth="1"/>
    <col min="9" max="9" width="14.08984375" style="64" customWidth="1"/>
    <col min="10" max="10" width="25.54296875" style="64" customWidth="1"/>
    <col min="11" max="11" width="18.81640625" style="67" customWidth="1"/>
    <col min="12" max="12" width="17.6328125" style="67" customWidth="1"/>
    <col min="13" max="13" width="18.81640625" style="67" customWidth="1"/>
    <col min="14" max="14" width="19.6328125" style="67" customWidth="1"/>
    <col min="15" max="15" width="9.453125" style="65" customWidth="1"/>
    <col min="16" max="16" width="12.26953125" style="65" customWidth="1"/>
    <col min="17" max="17" width="9.1796875" style="65" customWidth="1"/>
    <col min="18" max="18" width="9.7265625" style="65" customWidth="1"/>
    <col min="19" max="19" width="31.6328125" style="64" customWidth="1"/>
    <col min="20" max="20" width="22.81640625" style="64" customWidth="1"/>
    <col min="21" max="21" width="16.08984375" style="64" customWidth="1"/>
    <col min="22" max="22" width="8.26953125" style="64" customWidth="1"/>
    <col min="23" max="23" width="23.26953125" style="64" customWidth="1"/>
    <col min="24" max="24" width="54.6328125" style="64" customWidth="1"/>
    <col min="25" max="25" width="60.36328125" style="64" customWidth="1"/>
    <col min="26" max="26" width="46.453125" style="64" customWidth="1"/>
    <col min="27" max="27" width="35.08984375" style="64" customWidth="1"/>
    <col min="28" max="30" width="16.08984375" style="64" customWidth="1"/>
    <col min="31" max="31" width="35.36328125" style="64" customWidth="1"/>
    <col min="32" max="32" width="18.08984375" style="65" customWidth="1"/>
    <col min="33" max="33" width="18.6328125" style="65" customWidth="1"/>
    <col min="34" max="34" width="40.453125" style="64" customWidth="1"/>
    <col min="35" max="35" width="10.6328125" style="64" customWidth="1"/>
    <col min="36" max="36" width="9.36328125" style="64" customWidth="1"/>
    <col min="37" max="37" width="19" style="64" customWidth="1"/>
    <col min="38" max="38" width="14" style="64" customWidth="1"/>
    <col min="39" max="39" width="14.90625" style="64" customWidth="1"/>
    <col min="40" max="40" width="17.7265625" style="65" customWidth="1"/>
    <col min="41" max="41" width="19.453125" style="65" customWidth="1"/>
    <col min="42" max="42" width="20" style="65" customWidth="1"/>
    <col min="43" max="43" width="14.90625" style="65" customWidth="1"/>
    <col min="44" max="44" width="17.81640625" style="65" customWidth="1"/>
    <col min="45" max="45" width="22.7265625" style="64" customWidth="1"/>
    <col min="46" max="46" width="26.36328125" style="64" customWidth="1"/>
    <col min="47" max="47" width="21.81640625" style="64" customWidth="1"/>
    <col min="48" max="48" width="18.6328125" style="64" customWidth="1"/>
    <col min="49" max="49" width="24.54296875" style="64" customWidth="1"/>
    <col min="50" max="50" width="18.26953125" style="64" customWidth="1"/>
    <col min="51" max="51" width="14.7265625" style="65" customWidth="1"/>
    <col min="52" max="52" width="20.08984375" style="65" customWidth="1"/>
    <col min="53" max="53" width="22.54296875" style="64" customWidth="1"/>
    <col min="54" max="54" width="20.453125" style="64" customWidth="1"/>
    <col min="55" max="55" width="13.7265625" style="64" customWidth="1"/>
    <col min="56" max="56" width="15.6328125" style="65" customWidth="1"/>
    <col min="57" max="57" width="23" style="64" customWidth="1"/>
    <col min="58" max="58" width="22.7265625" style="64" customWidth="1"/>
    <col min="59" max="59" width="14.36328125" style="64" customWidth="1"/>
    <col min="60" max="60" width="112.81640625" style="64" customWidth="1"/>
    <col min="61" max="63" width="69.36328125" style="64" customWidth="1"/>
    <col min="64" max="64" width="255" style="64" customWidth="1"/>
    <col min="65" max="65" width="38.7265625" style="64" customWidth="1"/>
    <col min="66" max="66" width="42.54296875" style="64" customWidth="1"/>
    <col min="67" max="67" width="46.54296875" style="64" customWidth="1"/>
    <col min="68" max="68" width="41.6328125" style="64" customWidth="1"/>
    <col min="69" max="69" width="15.1796875" style="64" customWidth="1"/>
    <col min="70" max="70" width="14.81640625" style="64" customWidth="1"/>
    <col min="71" max="71" width="25.6328125" style="64" customWidth="1"/>
    <col min="72" max="73" width="43.36328125" style="64" customWidth="1"/>
    <col min="74" max="74" width="11.81640625" style="64" customWidth="1"/>
    <col min="75" max="75" width="39.1796875" style="64" customWidth="1"/>
    <col min="76" max="76" width="41.6328125" style="64" customWidth="1"/>
    <col min="77" max="77" width="23.36328125" style="64" customWidth="1"/>
    <col min="78" max="78" width="21.7265625" style="64" customWidth="1"/>
    <col min="79" max="79" width="11.90625" style="64" customWidth="1"/>
    <col min="80" max="80" width="10.26953125" style="64" customWidth="1"/>
    <col min="81" max="81" width="11.7265625" style="64" customWidth="1"/>
    <col min="82" max="82" width="12" style="64" customWidth="1"/>
    <col min="83" max="83" width="18.26953125" style="64" customWidth="1"/>
    <col min="84" max="84" width="37.6328125" style="64" customWidth="1"/>
    <col min="85" max="85" width="9.08984375" style="63" customWidth="1"/>
    <col min="86" max="16384" width="9.08984375" style="63"/>
  </cols>
  <sheetData>
    <row r="1" spans="1:84" x14ac:dyDescent="0.25">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25">
      <c r="BY2" s="92"/>
    </row>
    <row r="3" spans="1:84" x14ac:dyDescent="0.25">
      <c r="BY3" s="92"/>
    </row>
    <row r="4" spans="1:84" x14ac:dyDescent="0.25">
      <c r="BY4" s="92"/>
    </row>
    <row r="5" spans="1:84" x14ac:dyDescent="0.25">
      <c r="BY5" s="92"/>
    </row>
    <row r="6" spans="1:84" x14ac:dyDescent="0.25">
      <c r="BY6" s="92"/>
    </row>
    <row r="7" spans="1:84" x14ac:dyDescent="0.25">
      <c r="BY7" s="92"/>
    </row>
    <row r="8" spans="1:84" x14ac:dyDescent="0.25">
      <c r="BY8" s="92"/>
    </row>
    <row r="9" spans="1:84" x14ac:dyDescent="0.25">
      <c r="BY9" s="92"/>
    </row>
    <row r="10" spans="1:84" x14ac:dyDescent="0.25">
      <c r="BY10" s="92"/>
    </row>
    <row r="11" spans="1:84" x14ac:dyDescent="0.25">
      <c r="BY11" s="92"/>
    </row>
    <row r="12" spans="1:84" x14ac:dyDescent="0.25">
      <c r="BY12" s="92"/>
    </row>
    <row r="13" spans="1:84" x14ac:dyDescent="0.25">
      <c r="BY13" s="92"/>
    </row>
    <row r="14" spans="1:84" x14ac:dyDescent="0.25">
      <c r="BY14" s="92"/>
    </row>
    <row r="15" spans="1:84" x14ac:dyDescent="0.25">
      <c r="BY15" s="92"/>
    </row>
    <row r="16" spans="1:84" x14ac:dyDescent="0.25">
      <c r="BY16" s="92"/>
    </row>
    <row r="17" spans="77:77" x14ac:dyDescent="0.25">
      <c r="BY17" s="92"/>
    </row>
    <row r="18" spans="77:77" x14ac:dyDescent="0.25">
      <c r="BY18" s="92"/>
    </row>
    <row r="19" spans="77:77" x14ac:dyDescent="0.25">
      <c r="BY19" s="92"/>
    </row>
    <row r="20" spans="77:77" x14ac:dyDescent="0.25">
      <c r="BY20" s="92"/>
    </row>
    <row r="21" spans="77:77" x14ac:dyDescent="0.25">
      <c r="BY21" s="92"/>
    </row>
    <row r="22" spans="77:77" x14ac:dyDescent="0.25">
      <c r="BY22" s="92"/>
    </row>
    <row r="23" spans="77:77" x14ac:dyDescent="0.25">
      <c r="BY23" s="92"/>
    </row>
    <row r="24" spans="77:77" x14ac:dyDescent="0.25">
      <c r="BY24" s="92"/>
    </row>
    <row r="25" spans="77:77" x14ac:dyDescent="0.25">
      <c r="BY25" s="92"/>
    </row>
    <row r="26" spans="77:77" x14ac:dyDescent="0.25">
      <c r="BY26" s="92"/>
    </row>
    <row r="27" spans="77:77" x14ac:dyDescent="0.25">
      <c r="BY27" s="92"/>
    </row>
    <row r="28" spans="77:77" x14ac:dyDescent="0.25">
      <c r="BY28" s="92"/>
    </row>
    <row r="29" spans="77:77" x14ac:dyDescent="0.25">
      <c r="BY29" s="92"/>
    </row>
    <row r="30" spans="77:77" x14ac:dyDescent="0.25">
      <c r="BY30" s="92"/>
    </row>
    <row r="31" spans="77:77" x14ac:dyDescent="0.25">
      <c r="BY31" s="92"/>
    </row>
    <row r="32" spans="77:77" x14ac:dyDescent="0.25">
      <c r="BY32" s="92"/>
    </row>
    <row r="33" spans="77:77" x14ac:dyDescent="0.25">
      <c r="BY33" s="92"/>
    </row>
    <row r="34" spans="77:77" x14ac:dyDescent="0.25">
      <c r="BY34" s="92"/>
    </row>
    <row r="35" spans="77:77" x14ac:dyDescent="0.25">
      <c r="BY35" s="92"/>
    </row>
    <row r="36" spans="77:77" x14ac:dyDescent="0.25">
      <c r="BY36" s="92"/>
    </row>
    <row r="37" spans="77:77" x14ac:dyDescent="0.25">
      <c r="BY37" s="92"/>
    </row>
    <row r="38" spans="77:77" x14ac:dyDescent="0.25">
      <c r="BY38" s="92"/>
    </row>
    <row r="39" spans="77:77" x14ac:dyDescent="0.25">
      <c r="BY39" s="92"/>
    </row>
    <row r="40" spans="77:77" x14ac:dyDescent="0.25">
      <c r="BY40" s="92"/>
    </row>
    <row r="41" spans="77:77" x14ac:dyDescent="0.25">
      <c r="BY41" s="92"/>
    </row>
    <row r="42" spans="77:77" x14ac:dyDescent="0.25">
      <c r="BY42" s="92"/>
    </row>
    <row r="43" spans="77:77" x14ac:dyDescent="0.25">
      <c r="BY43" s="92"/>
    </row>
    <row r="44" spans="77:77" x14ac:dyDescent="0.25">
      <c r="BY44" s="92"/>
    </row>
    <row r="45" spans="77:77" x14ac:dyDescent="0.25">
      <c r="BY45" s="92"/>
    </row>
    <row r="46" spans="77:77" x14ac:dyDescent="0.25">
      <c r="BY46" s="92"/>
    </row>
    <row r="47" spans="77:77" x14ac:dyDescent="0.25">
      <c r="BY47" s="92"/>
    </row>
    <row r="48" spans="77:77" x14ac:dyDescent="0.25">
      <c r="BY48" s="92"/>
    </row>
    <row r="49" spans="77:77" x14ac:dyDescent="0.25">
      <c r="BY49" s="92"/>
    </row>
    <row r="50" spans="77:77" x14ac:dyDescent="0.25">
      <c r="BY50" s="92"/>
    </row>
    <row r="51" spans="77:77" x14ac:dyDescent="0.25">
      <c r="BY51" s="92"/>
    </row>
    <row r="52" spans="77:77" x14ac:dyDescent="0.25">
      <c r="BY52" s="92"/>
    </row>
    <row r="53" spans="77:77" x14ac:dyDescent="0.25">
      <c r="BY53" s="92"/>
    </row>
    <row r="54" spans="77:77" x14ac:dyDescent="0.25">
      <c r="BY54" s="92"/>
    </row>
    <row r="55" spans="77:77" x14ac:dyDescent="0.25">
      <c r="BY55" s="92"/>
    </row>
    <row r="56" spans="77:77" x14ac:dyDescent="0.25">
      <c r="BY56" s="92"/>
    </row>
    <row r="57" spans="77:77" x14ac:dyDescent="0.25">
      <c r="BY57" s="92"/>
    </row>
    <row r="58" spans="77:77" x14ac:dyDescent="0.25">
      <c r="BY58" s="92"/>
    </row>
    <row r="59" spans="77:77" x14ac:dyDescent="0.25">
      <c r="BY59" s="92"/>
    </row>
    <row r="60" spans="77:77" x14ac:dyDescent="0.25">
      <c r="BY60" s="92"/>
    </row>
    <row r="61" spans="77:77" x14ac:dyDescent="0.25">
      <c r="BY61" s="92"/>
    </row>
    <row r="62" spans="77:77" x14ac:dyDescent="0.25">
      <c r="BY62" s="92"/>
    </row>
    <row r="63" spans="77:77" x14ac:dyDescent="0.25">
      <c r="BY63" s="92"/>
    </row>
    <row r="64" spans="77:77" x14ac:dyDescent="0.25">
      <c r="BY64" s="92"/>
    </row>
    <row r="65" spans="77:77" x14ac:dyDescent="0.25">
      <c r="BY65" s="92"/>
    </row>
    <row r="66" spans="77:77" x14ac:dyDescent="0.25">
      <c r="BY66" s="92"/>
    </row>
    <row r="67" spans="77:77" x14ac:dyDescent="0.25">
      <c r="BY67" s="92"/>
    </row>
    <row r="68" spans="77:77" x14ac:dyDescent="0.25">
      <c r="BY68" s="92"/>
    </row>
    <row r="69" spans="77:77" x14ac:dyDescent="0.25">
      <c r="BY69" s="92"/>
    </row>
    <row r="70" spans="77:77" x14ac:dyDescent="0.25">
      <c r="BY70" s="92"/>
    </row>
    <row r="71" spans="77:77" x14ac:dyDescent="0.25">
      <c r="BY71" s="92"/>
    </row>
    <row r="72" spans="77:77" x14ac:dyDescent="0.25">
      <c r="BY72" s="92"/>
    </row>
    <row r="73" spans="77:77" x14ac:dyDescent="0.25">
      <c r="BY73" s="92"/>
    </row>
    <row r="74" spans="77:77" x14ac:dyDescent="0.25">
      <c r="BY74" s="92"/>
    </row>
    <row r="75" spans="77:77" x14ac:dyDescent="0.25">
      <c r="BY75" s="92"/>
    </row>
    <row r="76" spans="77:77" x14ac:dyDescent="0.25">
      <c r="BY76" s="92"/>
    </row>
    <row r="77" spans="77:77" x14ac:dyDescent="0.25">
      <c r="BY77" s="92"/>
    </row>
    <row r="78" spans="77:77" x14ac:dyDescent="0.25">
      <c r="BY78" s="92"/>
    </row>
    <row r="79" spans="77:77" x14ac:dyDescent="0.25">
      <c r="BY79" s="92"/>
    </row>
    <row r="80" spans="77:77" x14ac:dyDescent="0.25">
      <c r="BY80" s="92"/>
    </row>
    <row r="81" spans="77:77" x14ac:dyDescent="0.25">
      <c r="BY81" s="92"/>
    </row>
    <row r="82" spans="77:77" x14ac:dyDescent="0.25">
      <c r="BY82" s="92"/>
    </row>
    <row r="83" spans="77:77" x14ac:dyDescent="0.25">
      <c r="BY83" s="92"/>
    </row>
    <row r="84" spans="77:77" x14ac:dyDescent="0.25">
      <c r="BY84" s="92"/>
    </row>
    <row r="85" spans="77:77" x14ac:dyDescent="0.25">
      <c r="BY85" s="92"/>
    </row>
    <row r="86" spans="77:77" x14ac:dyDescent="0.25">
      <c r="BY86" s="92"/>
    </row>
    <row r="87" spans="77:77" x14ac:dyDescent="0.25">
      <c r="BY87" s="92"/>
    </row>
    <row r="88" spans="77:77" x14ac:dyDescent="0.25">
      <c r="BY88" s="92"/>
    </row>
    <row r="89" spans="77:77" x14ac:dyDescent="0.25">
      <c r="BY89" s="92"/>
    </row>
    <row r="90" spans="77:77" x14ac:dyDescent="0.25">
      <c r="BY90" s="92"/>
    </row>
    <row r="91" spans="77:77" x14ac:dyDescent="0.25">
      <c r="BY91" s="92"/>
    </row>
    <row r="92" spans="77:77" x14ac:dyDescent="0.25">
      <c r="BY92" s="92"/>
    </row>
    <row r="93" spans="77:77" x14ac:dyDescent="0.25">
      <c r="BY93" s="92"/>
    </row>
    <row r="94" spans="77:77" x14ac:dyDescent="0.25">
      <c r="BY94" s="92"/>
    </row>
    <row r="95" spans="77:77" x14ac:dyDescent="0.25">
      <c r="BY95" s="92"/>
    </row>
    <row r="96" spans="77:77" x14ac:dyDescent="0.25">
      <c r="BY96" s="92"/>
    </row>
    <row r="97" spans="77:77" x14ac:dyDescent="0.25">
      <c r="BY97" s="92"/>
    </row>
    <row r="98" spans="77:77" x14ac:dyDescent="0.25">
      <c r="BY98" s="92"/>
    </row>
    <row r="99" spans="77:77" x14ac:dyDescent="0.25">
      <c r="BY99" s="92"/>
    </row>
    <row r="100" spans="77:77" x14ac:dyDescent="0.25">
      <c r="BY100" s="92"/>
    </row>
    <row r="101" spans="77:77" x14ac:dyDescent="0.25">
      <c r="BY101" s="92"/>
    </row>
    <row r="102" spans="77:77" x14ac:dyDescent="0.25">
      <c r="BY102" s="92"/>
    </row>
    <row r="103" spans="77:77" x14ac:dyDescent="0.25">
      <c r="BY103" s="92"/>
    </row>
    <row r="104" spans="77:77" x14ac:dyDescent="0.25">
      <c r="BY104" s="92"/>
    </row>
    <row r="105" spans="77:77" x14ac:dyDescent="0.25">
      <c r="BY105" s="92"/>
    </row>
    <row r="106" spans="77:77" x14ac:dyDescent="0.25">
      <c r="BY106" s="92"/>
    </row>
    <row r="107" spans="77:77" x14ac:dyDescent="0.25">
      <c r="BY107" s="92"/>
    </row>
    <row r="108" spans="77:77" x14ac:dyDescent="0.25">
      <c r="BY108" s="92"/>
    </row>
    <row r="109" spans="77:77" x14ac:dyDescent="0.25">
      <c r="BY109" s="92"/>
    </row>
    <row r="110" spans="77:77" x14ac:dyDescent="0.25">
      <c r="BY110" s="92"/>
    </row>
    <row r="111" spans="77:77" x14ac:dyDescent="0.25">
      <c r="BY111" s="92"/>
    </row>
    <row r="112" spans="77:77" x14ac:dyDescent="0.25">
      <c r="BY112" s="92"/>
    </row>
    <row r="113" spans="77:77" x14ac:dyDescent="0.25">
      <c r="BY113" s="92"/>
    </row>
    <row r="114" spans="77:77" x14ac:dyDescent="0.25">
      <c r="BY114" s="92"/>
    </row>
    <row r="115" spans="77:77" x14ac:dyDescent="0.25">
      <c r="BY115" s="92"/>
    </row>
    <row r="116" spans="77:77" x14ac:dyDescent="0.25">
      <c r="BY116" s="92"/>
    </row>
    <row r="117" spans="77:77" x14ac:dyDescent="0.25">
      <c r="BY117" s="92"/>
    </row>
    <row r="118" spans="77:77" x14ac:dyDescent="0.25">
      <c r="BY118" s="92"/>
    </row>
    <row r="119" spans="77:77" x14ac:dyDescent="0.25">
      <c r="BY119" s="92"/>
    </row>
    <row r="120" spans="77:77" x14ac:dyDescent="0.25">
      <c r="BY120" s="92"/>
    </row>
    <row r="121" spans="77:77" x14ac:dyDescent="0.25">
      <c r="BY121" s="92"/>
    </row>
    <row r="122" spans="77:77" x14ac:dyDescent="0.25">
      <c r="BY122" s="92"/>
    </row>
    <row r="123" spans="77:77" x14ac:dyDescent="0.25">
      <c r="BY123" s="92"/>
    </row>
    <row r="124" spans="77:77" x14ac:dyDescent="0.25">
      <c r="BY124" s="92"/>
    </row>
    <row r="125" spans="77:77" x14ac:dyDescent="0.25">
      <c r="BY125" s="92"/>
    </row>
    <row r="126" spans="77:77" x14ac:dyDescent="0.25">
      <c r="BY126" s="92"/>
    </row>
    <row r="127" spans="77:77" x14ac:dyDescent="0.25">
      <c r="BY127" s="92"/>
    </row>
    <row r="128" spans="77:77" x14ac:dyDescent="0.25">
      <c r="BY128" s="92"/>
    </row>
    <row r="129" spans="77:77" x14ac:dyDescent="0.25">
      <c r="BY129" s="92"/>
    </row>
    <row r="130" spans="77:77" x14ac:dyDescent="0.25">
      <c r="BY130" s="92"/>
    </row>
    <row r="131" spans="77:77" x14ac:dyDescent="0.25">
      <c r="BY131" s="92"/>
    </row>
    <row r="132" spans="77:77" x14ac:dyDescent="0.25">
      <c r="BY132" s="92"/>
    </row>
    <row r="133" spans="77:77" x14ac:dyDescent="0.25">
      <c r="BY133" s="92"/>
    </row>
    <row r="134" spans="77:77" x14ac:dyDescent="0.25">
      <c r="BY134" s="92"/>
    </row>
    <row r="135" spans="77:77" x14ac:dyDescent="0.25">
      <c r="BY135" s="92"/>
    </row>
    <row r="136" spans="77:77" x14ac:dyDescent="0.25">
      <c r="BY136" s="92"/>
    </row>
    <row r="137" spans="77:77" x14ac:dyDescent="0.25">
      <c r="BY137" s="92"/>
    </row>
    <row r="138" spans="77:77" x14ac:dyDescent="0.25">
      <c r="BY138" s="92"/>
    </row>
    <row r="139" spans="77:77" x14ac:dyDescent="0.25">
      <c r="BY139" s="92"/>
    </row>
    <row r="140" spans="77:77" x14ac:dyDescent="0.25">
      <c r="BY140" s="92"/>
    </row>
    <row r="141" spans="77:77" x14ac:dyDescent="0.25">
      <c r="BY141" s="92"/>
    </row>
    <row r="142" spans="77:77" x14ac:dyDescent="0.25">
      <c r="BY142" s="92"/>
    </row>
    <row r="143" spans="77:77" x14ac:dyDescent="0.25">
      <c r="BY143" s="92"/>
    </row>
    <row r="144" spans="77:77" x14ac:dyDescent="0.25">
      <c r="BY144" s="92"/>
    </row>
    <row r="145" spans="77:77" x14ac:dyDescent="0.25">
      <c r="BY145" s="92"/>
    </row>
    <row r="146" spans="77:77" x14ac:dyDescent="0.25">
      <c r="BY146" s="92"/>
    </row>
    <row r="147" spans="77:77" x14ac:dyDescent="0.25">
      <c r="BY147" s="92"/>
    </row>
    <row r="148" spans="77:77" x14ac:dyDescent="0.25">
      <c r="BY148" s="92"/>
    </row>
    <row r="149" spans="77:77" x14ac:dyDescent="0.25">
      <c r="BY149" s="92"/>
    </row>
    <row r="150" spans="77:77" x14ac:dyDescent="0.25">
      <c r="BY150" s="92"/>
    </row>
    <row r="151" spans="77:77" x14ac:dyDescent="0.25">
      <c r="BY151" s="92"/>
    </row>
    <row r="152" spans="77:77" x14ac:dyDescent="0.25">
      <c r="BY152" s="92"/>
    </row>
    <row r="153" spans="77:77" x14ac:dyDescent="0.25">
      <c r="BY153" s="92"/>
    </row>
    <row r="154" spans="77:77" x14ac:dyDescent="0.25">
      <c r="BY154" s="92"/>
    </row>
    <row r="155" spans="77:77" x14ac:dyDescent="0.25">
      <c r="BY155" s="92"/>
    </row>
    <row r="156" spans="77:77" x14ac:dyDescent="0.25">
      <c r="BY156" s="92"/>
    </row>
    <row r="157" spans="77:77" x14ac:dyDescent="0.25">
      <c r="BY157" s="92"/>
    </row>
    <row r="158" spans="77:77" x14ac:dyDescent="0.25">
      <c r="BY158" s="92"/>
    </row>
    <row r="159" spans="77:77" x14ac:dyDescent="0.25">
      <c r="BY159" s="92"/>
    </row>
    <row r="160" spans="77:77" x14ac:dyDescent="0.25">
      <c r="BY160" s="92"/>
    </row>
    <row r="161" spans="77:77" x14ac:dyDescent="0.25">
      <c r="BY161" s="92"/>
    </row>
    <row r="162" spans="77:77" x14ac:dyDescent="0.25">
      <c r="BY162" s="92"/>
    </row>
    <row r="163" spans="77:77" x14ac:dyDescent="0.25">
      <c r="BY163" s="92"/>
    </row>
    <row r="164" spans="77:77" x14ac:dyDescent="0.25">
      <c r="BY164" s="92"/>
    </row>
    <row r="165" spans="77:77" x14ac:dyDescent="0.25">
      <c r="BY165" s="92"/>
    </row>
  </sheetData>
  <pageMargins left="0.7" right="0.7" top="0.75" bottom="0.75" header="0.3" footer="0.3"/>
  <customProperties>
    <customPr name="EpmWorksheetKeyString_GUID"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workbookViewId="0">
      <selection activeCell="F2" sqref="F2"/>
    </sheetView>
  </sheetViews>
  <sheetFormatPr defaultColWidth="9.08984375" defaultRowHeight="11.5" x14ac:dyDescent="0.25"/>
  <cols>
    <col min="1" max="1" width="25.6328125" style="64" customWidth="1"/>
    <col min="2" max="2" width="15.1796875" style="64" customWidth="1"/>
    <col min="3" max="3" width="14.81640625" style="64" customWidth="1"/>
    <col min="4" max="4" width="17.26953125" style="64" customWidth="1"/>
    <col min="5" max="5" width="24.90625" style="64" customWidth="1"/>
    <col min="6" max="6" width="23.453125" style="64" customWidth="1"/>
    <col min="7" max="7" width="29.1796875" style="64" customWidth="1"/>
    <col min="8" max="8" width="42.453125" style="64" customWidth="1"/>
    <col min="9" max="9" width="10.453125" style="65" customWidth="1"/>
    <col min="10" max="10" width="16.6328125" style="64" customWidth="1"/>
    <col min="11" max="11" width="13.7265625" style="64" customWidth="1"/>
    <col min="12" max="12" width="10.54296875" style="65" customWidth="1"/>
    <col min="13" max="13" width="18.1796875" style="65" customWidth="1"/>
    <col min="14" max="14" width="12.08984375" style="65" customWidth="1"/>
    <col min="15" max="15" width="17.54296875" style="65" customWidth="1"/>
    <col min="16" max="16" width="14.36328125" style="65" customWidth="1"/>
    <col min="17" max="17" width="21.36328125" style="65" customWidth="1"/>
    <col min="18" max="18" width="12.08984375" style="65" customWidth="1"/>
    <col min="19" max="19" width="11.26953125" style="65" customWidth="1"/>
    <col min="20" max="20" width="11.7265625" style="65" customWidth="1"/>
    <col min="21" max="21" width="15.6328125" style="65" customWidth="1"/>
    <col min="22" max="22" width="10.6328125" style="65" customWidth="1"/>
    <col min="23" max="23" width="34.08984375" style="66" customWidth="1"/>
    <col min="24" max="24" width="12.6328125" style="65" customWidth="1"/>
    <col min="25" max="25" width="34.08984375" style="66" customWidth="1"/>
    <col min="26" max="26" width="9.90625" style="65" customWidth="1"/>
    <col min="27" max="27" width="21.36328125" style="65" customWidth="1"/>
    <col min="28" max="28" width="25.08984375" style="65" customWidth="1"/>
    <col min="29" max="29" width="25.90625" style="65" customWidth="1"/>
    <col min="30" max="30" width="20.453125" style="64" customWidth="1"/>
    <col min="31" max="31" width="28.54296875" style="64" customWidth="1"/>
    <col min="32" max="33" width="16.08984375" style="64" customWidth="1"/>
    <col min="34" max="34" width="34.1796875" style="64" customWidth="1"/>
    <col min="35" max="35" width="18.453125" style="64" customWidth="1"/>
    <col min="36" max="36" width="16.26953125" style="64" customWidth="1"/>
    <col min="37" max="37" width="34.6328125" style="64" customWidth="1"/>
    <col min="38" max="38" width="31" style="64" customWidth="1"/>
    <col min="39" max="39" width="21.90625" style="64" customWidth="1"/>
    <col min="40" max="40" width="32.54296875" style="64" customWidth="1"/>
    <col min="41" max="41" width="18.81640625" style="67" customWidth="1"/>
    <col min="42" max="42" width="25.36328125" style="64" customWidth="1"/>
    <col min="43" max="43" width="9.90625" style="64" customWidth="1"/>
    <col min="44" max="44" width="11.90625" style="64" customWidth="1"/>
    <col min="45" max="45" width="21.90625" style="64" customWidth="1"/>
    <col min="46" max="46" width="25.36328125" style="64" customWidth="1"/>
    <col min="47" max="47" width="17.90625" style="64" customWidth="1"/>
    <col min="48" max="48" width="14.6328125" style="64" customWidth="1"/>
    <col min="49" max="49" width="20.7265625" style="64" customWidth="1"/>
    <col min="50" max="50" width="15.08984375" style="64" customWidth="1"/>
    <col min="51" max="51" width="17.6328125" style="64" customWidth="1"/>
    <col min="52" max="52" width="23.7265625" style="64" customWidth="1"/>
    <col min="53" max="53" width="18.08984375" style="64" customWidth="1"/>
    <col min="54" max="54" width="15.36328125" style="64" customWidth="1"/>
    <col min="55" max="55" width="24.26953125" style="64" customWidth="1"/>
    <col min="56" max="56" width="18.81640625" style="64" customWidth="1"/>
    <col min="57" max="57" width="28.26953125" style="64" customWidth="1"/>
    <col min="58" max="58" width="14.54296875" style="67" customWidth="1"/>
    <col min="59" max="59" width="13.81640625" style="64" customWidth="1"/>
    <col min="60" max="60" width="32" style="64" customWidth="1"/>
    <col min="61" max="61" width="39.36328125" style="64" customWidth="1"/>
    <col min="62" max="62" width="18.26953125" style="64" customWidth="1"/>
    <col min="63" max="63" width="37.6328125" style="64" customWidth="1"/>
    <col min="64" max="64" width="9.08984375" style="63" customWidth="1"/>
    <col min="65" max="16384" width="9.08984375" style="63"/>
  </cols>
  <sheetData>
    <row r="1" spans="1:63" x14ac:dyDescent="0.25">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customProperties>
    <customPr name="EpmWorksheetKeyString_GUID"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6328125" bestFit="1" customWidth="1"/>
    <col min="2" max="2" width="20.36328125" bestFit="1" customWidth="1"/>
  </cols>
  <sheetData>
    <row r="2" spans="1:3" ht="13.5" x14ac:dyDescent="0.35">
      <c r="A2" s="10">
        <f>'Sizing Input'!C3*(1+'Turn The Knobs'!B7)</f>
        <v>10138.9</v>
      </c>
      <c r="B2" s="24" t="s">
        <v>42</v>
      </c>
    </row>
    <row r="3" spans="1:3" ht="13.5" x14ac:dyDescent="0.35">
      <c r="A3" s="10">
        <v>172</v>
      </c>
      <c r="B3" s="24" t="s">
        <v>96</v>
      </c>
    </row>
    <row r="4" spans="1:3" ht="13.5" x14ac:dyDescent="0.35">
      <c r="A4">
        <f>ROUNDUP(A2*'Sizing Input'!C13,0)+A3</f>
        <v>257701</v>
      </c>
      <c r="B4" s="24" t="s">
        <v>82</v>
      </c>
    </row>
    <row r="5" spans="1:3" ht="13.5" x14ac:dyDescent="0.35">
      <c r="A5" s="10">
        <f>IF('Turn The Knobs'!B13="Current On-Prem Ratio",IF('Sizing Input'!C15&gt;'Sizing Input'!C14,1,(('Sizing Input'!C14/'Sizing Input'!C15))),'Turn The Knobs'!B13)</f>
        <v>1</v>
      </c>
      <c r="B5" s="24" t="s">
        <v>44</v>
      </c>
    </row>
    <row r="6" spans="1:3" ht="13.5" x14ac:dyDescent="0.35">
      <c r="A6" s="25">
        <f>ROUNDUP(A4/A5,0)</f>
        <v>257701</v>
      </c>
      <c r="B6" s="24" t="s">
        <v>83</v>
      </c>
    </row>
    <row r="7" spans="1:3" x14ac:dyDescent="0.25">
      <c r="B7" s="26"/>
    </row>
    <row r="9" spans="1:3" ht="14.5" x14ac:dyDescent="0.35">
      <c r="A9" s="2" t="s">
        <v>86</v>
      </c>
      <c r="B9" s="2" t="s">
        <v>85</v>
      </c>
      <c r="C9" s="2" t="s">
        <v>84</v>
      </c>
    </row>
    <row r="10" spans="1:3" ht="14.5" x14ac:dyDescent="0.35">
      <c r="A10" s="2">
        <f>ROUNDUP($A$6/'Host Configurations'!B6,0)</f>
        <v>336</v>
      </c>
      <c r="B10" s="2">
        <f>ROUNDUP($A$6/'Host Configurations'!C6,0)</f>
        <v>252</v>
      </c>
      <c r="C10" s="2">
        <f>ROUNDUP($A$6/'Host Configurations'!D6,0)</f>
        <v>168</v>
      </c>
    </row>
  </sheetData>
  <pageMargins left="0.7" right="0.7" top="0.75" bottom="0.75" header="0.3" footer="0.3"/>
  <pageSetup orientation="portrait" horizontalDpi="0" verticalDpi="0" r:id="rId1"/>
  <customProperties>
    <customPr name="Epm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3.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2023-10-31T15:54:04Z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