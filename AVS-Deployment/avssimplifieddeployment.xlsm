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davis\OneDrive - Microsoft\GitHub\Azure VMware Solution\AVS-Deployment\"/>
    </mc:Choice>
  </mc:AlternateContent>
  <xr:revisionPtr revIDLastSave="0" documentId="13_ncr:1_{38997E45-5426-418F-A624-F9E9C1D5DFE6}" xr6:coauthVersionLast="47" xr6:coauthVersionMax="47" xr10:uidLastSave="{00000000-0000-0000-0000-000000000000}"/>
  <bookViews>
    <workbookView xWindow="-110" yWindow="-110" windowWidth="24220" windowHeight="15500" tabRatio="762" activeTab="4" xr2:uid="{5967691A-8360-43DC-A1D4-F25DD7306A75}"/>
  </bookViews>
  <sheets>
    <sheet name="General" sheetId="1" r:id="rId1"/>
    <sheet name="Azure Backbone Connectivity" sheetId="10" r:id="rId2"/>
    <sheet name="OnPremConnectivity" sheetId="6" r:id="rId3"/>
    <sheet name="On-Prem ExR Details" sheetId="8" r:id="rId4"/>
    <sheet name="ARCForAVS" sheetId="9" r:id="rId5"/>
    <sheet name="variables" sheetId="3" r:id="rId6"/>
    <sheet name="Sheet2" sheetId="2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6" i="3"/>
  <c r="D16" i="10"/>
  <c r="C23" i="9"/>
  <c r="B19" i="3"/>
  <c r="B18" i="3"/>
  <c r="B17" i="3"/>
  <c r="B16" i="3"/>
  <c r="B15" i="3"/>
  <c r="B14" i="3"/>
  <c r="B13" i="3"/>
  <c r="B12" i="3"/>
  <c r="B11" i="3"/>
  <c r="B10" i="3"/>
  <c r="B9" i="3"/>
  <c r="B8" i="3"/>
  <c r="B7" i="3" l="1"/>
  <c r="B4" i="3"/>
  <c r="B3" i="3"/>
  <c r="B2" i="3"/>
  <c r="B1" i="3"/>
  <c r="D17" i="10"/>
  <c r="D15" i="10"/>
  <c r="D14" i="10"/>
  <c r="D13" i="10"/>
</calcChain>
</file>

<file path=xl/sharedStrings.xml><?xml version="1.0" encoding="utf-8"?>
<sst xmlns="http://schemas.openxmlformats.org/spreadsheetml/2006/main" count="200" uniqueCount="158">
  <si>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</si>
  <si>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</si>
  <si>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</si>
  <si>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</si>
  <si>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</si>
  <si>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</si>
  <si>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</si>
  <si>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</si>
  <si>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</si>
  <si>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</si>
  <si>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</si>
  <si>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</si>
  <si>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</si>
  <si>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</si>
  <si>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</si>
  <si>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</si>
  <si>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</si>
  <si>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</si>
  <si>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</si>
  <si>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</si>
  <si>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</si>
  <si>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</si>
  <si>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</si>
  <si>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</si>
  <si>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</si>
  <si>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</si>
  <si>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</si>
  <si>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</si>
  <si>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</si>
  <si>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</si>
  <si>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</si>
  <si>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</si>
  <si>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</si>
  <si>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</si>
  <si>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</si>
  <si>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</si>
  <si>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</si>
  <si>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</si>
  <si>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</si>
  <si>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</si>
  <si>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</si>
  <si>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</si>
  <si>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</si>
  <si>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</si>
  <si>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</si>
  <si>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</si>
  <si>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</si>
  <si>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</si>
  <si>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</si>
  <si>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</si>
  <si>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</si>
  <si>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</si>
  <si>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</si>
  <si>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</si>
  <si>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</si>
  <si>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</si>
  <si>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</si>
  <si>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</si>
  <si>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vNet Name</t>
  </si>
  <si>
    <t>ExpressRoute Gateway Name</t>
  </si>
  <si>
    <t>ExpressRoute Gateway Region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</si>
  <si>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</si>
  <si>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</si>
  <si>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</si>
  <si>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</si>
  <si>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</si>
  <si>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</si>
  <si>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</si>
  <si>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</si>
  <si>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</si>
  <si>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</si>
  <si>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</si>
  <si>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</si>
  <si>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</si>
  <si>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</si>
  <si>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</si>
  <si>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</si>
  <si>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</si>
  <si>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</si>
  <si>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</si>
  <si>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</si>
  <si>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</si>
  <si>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</si>
  <si>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</si>
  <si>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</si>
  <si>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</si>
  <si>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</si>
  <si>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</si>
  <si>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</si>
  <si>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</si>
  <si>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</si>
  <si>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</si>
  <si>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</si>
  <si>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</si>
  <si>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</si>
  <si>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</si>
  <si>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</si>
  <si>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</si>
  <si>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</si>
  <si>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</si>
  <si>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</si>
  <si>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</si>
  <si>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</si>
  <si>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</si>
  <si>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</si>
  <si>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</si>
  <si>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</si>
  <si>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</si>
  <si>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</si>
  <si>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created.</t>
  </si>
  <si>
    <t xml:space="preserve">Because you are creating a new ExpressRoute Gateway in the vNet documented in cell B15, you will need to identify the subnet for the GatewaySubnet.  The subnet needs to be documented in this format x.x.x.x/x. </t>
  </si>
  <si>
    <t>AVS On-Prem Connectivity</t>
  </si>
  <si>
    <t xml:space="preserve"> --Make Selection--</t>
  </si>
  <si>
    <t>ExpressRoute Gateway Resource Group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</si>
  <si>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</si>
  <si>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</si>
  <si>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</si>
  <si>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</si>
  <si>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</si>
  <si>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</si>
  <si>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</si>
  <si>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</si>
  <si>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</si>
  <si>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</si>
  <si>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</si>
  <si>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</si>
  <si>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</si>
  <si>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</si>
  <si>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</si>
  <si>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</si>
  <si>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</si>
  <si>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</si>
  <si>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</si>
  <si>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</si>
  <si>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</si>
  <si>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</si>
  <si>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</si>
  <si>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$deployarc</t>
  </si>
  <si>
    <t>$networkCIDRForApplianceVM</t>
  </si>
  <si>
    <t>Azure ARC for AVS</t>
  </si>
  <si>
    <t>Azure VMware Solution
Simplified Deployment</t>
  </si>
  <si>
    <t>On Prem Connectivity Method</t>
  </si>
  <si>
    <t>This script only supports connecting AVS to on-prem if on-prem is connected to Azure via an ExpressRoute.  You will need to manually connect AVS to on-prem after This script completes.</t>
  </si>
  <si>
    <t>Would you like to deploy ARC for AVS</t>
  </si>
  <si>
    <t>$internet</t>
  </si>
  <si>
    <t>Enabled</t>
  </si>
  <si>
    <t>$numberofhosts</t>
  </si>
  <si>
    <t>10.0.0.0/22</t>
  </si>
  <si>
    <t>new exr vnet name</t>
  </si>
  <si>
    <t>10.55.0.0/24</t>
  </si>
  <si>
    <t>onprem ex sub</t>
  </si>
  <si>
    <t>on prem exr circuit name</t>
  </si>
  <si>
    <t>on prem exir resource group</t>
  </si>
  <si>
    <t>1178f22f-6ce4-45e3-bd92-ba89930be5be</t>
  </si>
  <si>
    <t>VirtualWorkloads-AVS-PC01</t>
  </si>
  <si>
    <t>For-VirtualWorkloads-AVS-PC01</t>
  </si>
  <si>
    <t>VirtualWorkloads-AVS-Networking-Australia-East</t>
  </si>
  <si>
    <t>192.168.88.1/28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</si>
</sst>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b/>
      <u/>
      <sz val="18"/>
      <color theme="1"/>
      <name val="Tenorite"/>
    </font>
    <font>
      <sz val="14"/>
      <color rgb="FF737373"/>
      <name val="Tenorite"/>
    </font>
  </fonts>
  <fills count="5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horizontal="center"/>
    </xf>
    <xf numFmtId="0" fontId="4" fillId="4" borderId="10" xfId="0" applyFont="1" applyFill="1" applyBorder="1"/>
    <xf numFmtId="0" fontId="2" fillId="4" borderId="0" xfId="0" applyFont="1" applyFill="1"/>
    <xf numFmtId="0" fontId="2" fillId="4" borderId="14" xfId="0" applyFont="1" applyFill="1" applyBorder="1" applyAlignment="1">
      <alignment wrapText="1"/>
    </xf>
    <xf numFmtId="0" fontId="2" fillId="4" borderId="15" xfId="0" applyFont="1" applyFill="1" applyBorder="1" applyAlignment="1">
      <alignment vertical="center"/>
    </xf>
    <xf numFmtId="0" fontId="2" fillId="4" borderId="1" xfId="0" applyFont="1" applyFill="1" applyBorder="1" applyAlignment="1" applyProtection="1">
      <alignment vertical="center"/>
      <protection locked="0"/>
    </xf>
    <xf numFmtId="0" fontId="3" fillId="4" borderId="16" xfId="0" applyFont="1" applyFill="1" applyBorder="1" applyAlignment="1">
      <alignment vertical="center" wrapText="1"/>
    </xf>
    <xf numFmtId="0" fontId="2" fillId="4" borderId="17" xfId="0" applyFont="1" applyFill="1" applyBorder="1" applyAlignment="1">
      <alignment vertical="center"/>
    </xf>
    <xf numFmtId="0" fontId="2" fillId="4" borderId="2" xfId="0" applyFont="1" applyFill="1" applyBorder="1" applyAlignment="1" applyProtection="1">
      <alignment vertical="center"/>
      <protection locked="0"/>
    </xf>
    <xf numFmtId="0" fontId="3" fillId="4" borderId="18" xfId="0" applyFont="1" applyFill="1" applyBorder="1" applyAlignment="1">
      <alignment vertical="center" wrapText="1"/>
    </xf>
    <xf numFmtId="0" fontId="3" fillId="4" borderId="14" xfId="0" applyFont="1" applyFill="1" applyBorder="1" applyAlignment="1">
      <alignment vertic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4" fillId="4" borderId="13" xfId="0" applyFont="1" applyFill="1" applyBorder="1"/>
    <xf numFmtId="0" fontId="3" fillId="4" borderId="10" xfId="0" applyFont="1" applyFill="1" applyBorder="1"/>
    <xf numFmtId="0" fontId="3" fillId="4" borderId="0" xfId="0" applyFont="1" applyFill="1"/>
    <xf numFmtId="0" fontId="3" fillId="4" borderId="11" xfId="0" applyFont="1" applyFill="1" applyBorder="1"/>
    <xf numFmtId="0" fontId="3" fillId="4" borderId="12" xfId="0" applyFont="1" applyFill="1" applyBorder="1"/>
    <xf numFmtId="0" fontId="3" fillId="4" borderId="13" xfId="0" applyFont="1" applyFill="1" applyBorder="1" applyAlignment="1">
      <alignment vertical="center" wrapText="1"/>
    </xf>
    <xf numFmtId="0" fontId="2" fillId="4" borderId="10" xfId="0" applyFont="1" applyFill="1" applyBorder="1"/>
    <xf numFmtId="0" fontId="2" fillId="4" borderId="17" xfId="0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 wrapText="1"/>
    </xf>
    <xf numFmtId="0" fontId="3" fillId="4" borderId="19" xfId="0" applyFont="1" applyFill="1" applyBorder="1"/>
    <xf numFmtId="0" fontId="3" fillId="4" borderId="20" xfId="0" applyFont="1" applyFill="1" applyBorder="1"/>
    <xf numFmtId="0" fontId="3" fillId="4" borderId="21" xfId="0" applyFont="1" applyFill="1" applyBorder="1" applyAlignment="1">
      <alignment vertical="center" wrapText="1"/>
    </xf>
    <xf numFmtId="0" fontId="2" fillId="4" borderId="22" xfId="0" applyFont="1" applyFill="1" applyBorder="1" applyAlignment="1" applyProtection="1">
      <alignment horizontal="left" vertical="center"/>
      <protection locked="0"/>
    </xf>
    <xf numFmtId="0" fontId="2" fillId="4" borderId="17" xfId="0" applyFont="1" applyFill="1" applyBorder="1"/>
    <xf numFmtId="0" fontId="2" fillId="4" borderId="2" xfId="0" applyFont="1" applyFill="1" applyBorder="1" applyProtection="1">
      <protection locked="0"/>
    </xf>
    <xf numFmtId="0" fontId="3" fillId="4" borderId="18" xfId="0" applyFont="1" applyFill="1" applyBorder="1" applyAlignment="1">
      <alignment wrapText="1"/>
    </xf>
    <xf numFmtId="0" fontId="2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 wrapText="1"/>
    </xf>
    <xf numFmtId="0" fontId="2" fillId="4" borderId="2" xfId="0" applyFont="1" applyFill="1" applyBorder="1" applyAlignment="1" applyProtection="1">
      <alignment horizontal="left" vertical="center"/>
      <protection locked="0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colors>
    <mruColors>
      <color rgb="FF7CBB00"/>
      <color rgb="FF737373"/>
      <color rgb="FF00A1F1"/>
      <color rgb="FFBDD7EE"/>
      <color rgb="FFF65314"/>
      <color rgb="FFCC99FF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57" y="21175"/>
          <a:ext cx="1733178" cy="15272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2901950</xdr:colOff>
          <xdr:row>18</xdr:row>
          <xdr:rowOff>215900</xdr:rowOff>
        </xdr:from>
        <xdr:to>
          <xdr:col>2</xdr:col>
          <xdr:colOff>4235450</xdr:colOff>
          <xdr:row>21</xdr:row>
          <xdr:rowOff>6350</xdr:rowOff>
        </xdr:to>
        <xdr:sp macro="" textlink="">
          <xdr:nvSpPr>
            <xdr:cNvPr id="1051" name="CommandButton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1972228</xdr:colOff>
      <xdr:row>18</xdr:row>
      <xdr:rowOff>171831</xdr:rowOff>
    </xdr:from>
    <xdr:to>
      <xdr:col>3</xdr:col>
      <xdr:colOff>630883</xdr:colOff>
      <xdr:row>20</xdr:row>
      <xdr:rowOff>190882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267816" y="6081066"/>
          <a:ext cx="3148479" cy="482228"/>
          <a:chOff x="6301814" y="4677334"/>
          <a:chExt cx="3148479" cy="482227"/>
        </a:xfrm>
      </xdr:grpSpPr>
      <xdr:sp macro="" textlink="">
        <xdr:nvSpPr>
          <xdr:cNvPr id="10245" name="CommandButton3" hidden="1">
            <a:extLst>
              <a:ext uri="{63B3BB69-23CF-44E3-9099-C40C66FF867C}">
                <a14:compatExt xmlns:a14="http://schemas.microsoft.com/office/drawing/2010/main" spid="_x0000_s10245"/>
              </a:ext>
              <a:ext uri="{FF2B5EF4-FFF2-40B4-BE49-F238E27FC236}">
                <a16:creationId xmlns:a16="http://schemas.microsoft.com/office/drawing/2014/main" id="{00000000-0008-0000-0100-000005280000}"/>
              </a:ext>
            </a:extLst>
          </xdr:cNvPr>
          <xdr:cNvSpPr/>
        </xdr:nvSpPr>
        <xdr:spPr bwMode="auto">
          <a:xfrm>
            <a:off x="8115114" y="4677334"/>
            <a:ext cx="1335179" cy="482227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46" name="CommandButton4" hidden="1">
            <a:extLst>
              <a:ext uri="{63B3BB69-23CF-44E3-9099-C40C66FF867C}">
                <a14:compatExt xmlns:a14="http://schemas.microsoft.com/office/drawing/2010/main" spid="_x0000_s10246"/>
              </a:ext>
              <a:ext uri="{FF2B5EF4-FFF2-40B4-BE49-F238E27FC236}">
                <a16:creationId xmlns:a16="http://schemas.microsoft.com/office/drawing/2014/main" id="{00000000-0008-0000-0100-000006280000}"/>
              </a:ext>
            </a:extLst>
          </xdr:cNvPr>
          <xdr:cNvSpPr/>
        </xdr:nvSpPr>
        <xdr:spPr bwMode="auto">
          <a:xfrm>
            <a:off x="6301814" y="4677334"/>
            <a:ext cx="1333874" cy="482226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3676650</xdr:colOff>
          <xdr:row>18</xdr:row>
          <xdr:rowOff>152400</xdr:rowOff>
        </xdr:from>
        <xdr:to>
          <xdr:col>3</xdr:col>
          <xdr:colOff>520700</xdr:colOff>
          <xdr:row>20</xdr:row>
          <xdr:rowOff>171450</xdr:rowOff>
        </xdr:to>
        <xdr:sp macro="" textlink="">
          <xdr:nvSpPr>
            <xdr:cNvPr id="10248" name="CommandButton3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1860550</xdr:colOff>
          <xdr:row>18</xdr:row>
          <xdr:rowOff>152400</xdr:rowOff>
        </xdr:from>
        <xdr:to>
          <xdr:col>2</xdr:col>
          <xdr:colOff>3194050</xdr:colOff>
          <xdr:row>20</xdr:row>
          <xdr:rowOff>171450</xdr:rowOff>
        </xdr:to>
        <xdr:sp macro="" textlink="">
          <xdr:nvSpPr>
            <xdr:cNvPr id="10249" name="CommandButton4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3822700</xdr:colOff>
          <xdr:row>13</xdr:row>
          <xdr:rowOff>133350</xdr:rowOff>
        </xdr:from>
        <xdr:to>
          <xdr:col>3</xdr:col>
          <xdr:colOff>666750</xdr:colOff>
          <xdr:row>15</xdr:row>
          <xdr:rowOff>152400</xdr:rowOff>
        </xdr:to>
        <xdr:sp macro="" textlink="">
          <xdr:nvSpPr>
            <xdr:cNvPr id="6147" name="CommandButton4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2006600</xdr:colOff>
          <xdr:row>13</xdr:row>
          <xdr:rowOff>133350</xdr:rowOff>
        </xdr:from>
        <xdr:to>
          <xdr:col>2</xdr:col>
          <xdr:colOff>3340100</xdr:colOff>
          <xdr:row>15</xdr:row>
          <xdr:rowOff>152400</xdr:rowOff>
        </xdr:to>
        <xdr:sp macro="" textlink="">
          <xdr:nvSpPr>
            <xdr:cNvPr id="6148" name="CommandButton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2006226</xdr:colOff>
          <xdr:row>15</xdr:row>
          <xdr:rowOff>135216</xdr:rowOff>
        </xdr:from>
        <xdr:to>
          <xdr:col>3</xdr:col>
          <xdr:colOff>664881</xdr:colOff>
          <xdr:row>17</xdr:row>
          <xdr:rowOff>154267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6301814" y="4057275"/>
              <a:ext cx="3148479" cy="482227"/>
              <a:chOff x="6301814" y="4677334"/>
              <a:chExt cx="3148479" cy="482227"/>
            </a:xfrm>
          </xdr:grpSpPr>
          <xdr:sp macro="" textlink="">
            <xdr:nvSpPr>
              <xdr:cNvPr id="8195" name="CommandButton4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300-000003200000}"/>
                  </a:ext>
                </a:extLst>
              </xdr:cNvPr>
              <xdr:cNvSpPr/>
            </xdr:nvSpPr>
            <xdr:spPr bwMode="auto">
              <a:xfrm>
                <a:off x="8115114" y="4677334"/>
                <a:ext cx="1335179" cy="4822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CommandButton3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300-000004200000}"/>
                  </a:ext>
                </a:extLst>
              </xdr:cNvPr>
              <xdr:cNvSpPr/>
            </xdr:nvSpPr>
            <xdr:spPr bwMode="auto">
              <a:xfrm>
                <a:off x="6301814" y="4677334"/>
                <a:ext cx="1333874" cy="482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3822700</xdr:colOff>
          <xdr:row>14</xdr:row>
          <xdr:rowOff>133350</xdr:rowOff>
        </xdr:from>
        <xdr:to>
          <xdr:col>3</xdr:col>
          <xdr:colOff>876300</xdr:colOff>
          <xdr:row>16</xdr:row>
          <xdr:rowOff>152400</xdr:rowOff>
        </xdr:to>
        <xdr:sp macro="" textlink="">
          <xdr:nvSpPr>
            <xdr:cNvPr id="9219" name="CommandButton4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2006600</xdr:colOff>
          <xdr:row>14</xdr:row>
          <xdr:rowOff>133350</xdr:rowOff>
        </xdr:from>
        <xdr:to>
          <xdr:col>2</xdr:col>
          <xdr:colOff>3340100</xdr:colOff>
          <xdr:row>16</xdr:row>
          <xdr:rowOff>152400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22"/>
  <sheetViews>
    <sheetView zoomScale="85" zoomScaleNormal="85" workbookViewId="0">
      <selection activeCell="C17" sqref="C17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5"/>
      <c r="B1" s="41" t="s">
        <v>140</v>
      </c>
      <c r="C1" s="42"/>
      <c r="D1" s="43"/>
      <c r="E1" s="5"/>
    </row>
    <row r="2" spans="1:5" ht="18" customHeight="1" x14ac:dyDescent="0.4">
      <c r="A2" s="5"/>
      <c r="B2" s="44"/>
      <c r="C2" s="45"/>
      <c r="D2" s="46"/>
      <c r="E2" s="5"/>
    </row>
    <row r="3" spans="1:5" ht="18" customHeight="1" x14ac:dyDescent="0.4">
      <c r="A3" s="5"/>
      <c r="B3" s="44"/>
      <c r="C3" s="45"/>
      <c r="D3" s="46"/>
      <c r="E3" s="5"/>
    </row>
    <row r="4" spans="1:5" ht="18" customHeight="1" x14ac:dyDescent="0.4">
      <c r="A4" s="5"/>
      <c r="B4" s="44"/>
      <c r="C4" s="45"/>
      <c r="D4" s="46"/>
      <c r="E4" s="5"/>
    </row>
    <row r="5" spans="1:5" ht="18" customHeight="1" x14ac:dyDescent="0.4">
      <c r="A5" s="5"/>
      <c r="B5" s="44"/>
      <c r="C5" s="45"/>
      <c r="D5" s="46"/>
      <c r="E5" s="5"/>
    </row>
    <row r="6" spans="1:5" ht="31" customHeight="1" thickBot="1" x14ac:dyDescent="0.45">
      <c r="A6" s="5"/>
      <c r="B6" s="47"/>
      <c r="C6" s="48"/>
      <c r="D6" s="49"/>
      <c r="E6" s="5"/>
    </row>
    <row r="7" spans="1:5" x14ac:dyDescent="0.4">
      <c r="A7" s="5"/>
      <c r="B7" s="5"/>
      <c r="C7" s="5"/>
      <c r="D7" s="6"/>
      <c r="E7" s="5"/>
    </row>
    <row r="8" spans="1:5" x14ac:dyDescent="0.4">
      <c r="A8" s="5"/>
      <c r="B8" s="5"/>
      <c r="C8" s="5"/>
      <c r="D8" s="6"/>
      <c r="E8" s="5"/>
    </row>
    <row r="9" spans="1:5" ht="18.5" thickBot="1" x14ac:dyDescent="0.45">
      <c r="A9" s="5"/>
      <c r="B9" s="5"/>
      <c r="C9" s="5"/>
      <c r="D9" s="6"/>
      <c r="E9" s="5"/>
    </row>
    <row r="10" spans="1:5" ht="18" customHeight="1" x14ac:dyDescent="0.5">
      <c r="A10" s="5"/>
      <c r="B10" s="50" t="s">
        <v>103</v>
      </c>
      <c r="C10" s="51"/>
      <c r="D10" s="52"/>
      <c r="E10" s="5"/>
    </row>
    <row r="11" spans="1:5" ht="17.5" customHeight="1" x14ac:dyDescent="0.45">
      <c r="A11" s="5"/>
      <c r="B11" s="8"/>
      <c r="C11" s="9"/>
      <c r="D11" s="10"/>
      <c r="E11" s="5"/>
    </row>
    <row r="12" spans="1:5" ht="36" x14ac:dyDescent="0.4">
      <c r="A12" s="5"/>
      <c r="B12" s="11" t="s">
        <v>0</v>
      </c>
      <c r="C12" s="12" t="s">
        <v>153</v>
      </c>
      <c r="D12" s="13" t="s">
        <v>105</v>
      </c>
      <c r="E12" s="5"/>
    </row>
    <row r="13" spans="1:5" x14ac:dyDescent="0.4">
      <c r="A13" s="5"/>
      <c r="B13" s="14" t="s">
        <v>1</v>
      </c>
      <c r="C13" s="15" t="s">
        <v>17</v>
      </c>
      <c r="D13" s="16" t="s">
        <v>2</v>
      </c>
      <c r="E13" s="5"/>
    </row>
    <row r="14" spans="1:5" ht="36" x14ac:dyDescent="0.4">
      <c r="A14" s="5"/>
      <c r="B14" s="14" t="s">
        <v>3</v>
      </c>
      <c r="C14" s="12" t="s">
        <v>154</v>
      </c>
      <c r="D14" s="16" t="s">
        <v>4</v>
      </c>
      <c r="E14" s="5"/>
    </row>
    <row r="15" spans="1:5" x14ac:dyDescent="0.4">
      <c r="A15" s="5"/>
      <c r="B15" s="14" t="s">
        <v>5</v>
      </c>
      <c r="C15" s="12" t="s">
        <v>154</v>
      </c>
      <c r="D15" s="16" t="s">
        <v>6</v>
      </c>
      <c r="E15" s="5"/>
    </row>
    <row r="16" spans="1:5" x14ac:dyDescent="0.4">
      <c r="A16" s="5"/>
      <c r="B16" s="14" t="s">
        <v>9</v>
      </c>
      <c r="C16" s="15" t="s">
        <v>46</v>
      </c>
      <c r="D16" s="16" t="s">
        <v>131</v>
      </c>
      <c r="E16" s="5"/>
    </row>
    <row r="17" spans="1:5" ht="90" x14ac:dyDescent="0.4">
      <c r="A17" s="5"/>
      <c r="B17" s="11" t="s">
        <v>7</v>
      </c>
      <c r="C17" s="12" t="s">
        <v>147</v>
      </c>
      <c r="D17" s="13" t="s">
        <v>8</v>
      </c>
      <c r="E17" s="5"/>
    </row>
    <row r="18" spans="1:5" ht="21" thickBot="1" x14ac:dyDescent="0.5">
      <c r="A18" s="5"/>
      <c r="B18" s="18"/>
      <c r="C18" s="19"/>
      <c r="D18" s="20"/>
      <c r="E18" s="5"/>
    </row>
    <row r="19" spans="1:5" x14ac:dyDescent="0.4">
      <c r="A19" s="5"/>
      <c r="B19" s="5"/>
      <c r="C19" s="5"/>
      <c r="D19" s="6"/>
      <c r="E19" s="5"/>
    </row>
    <row r="20" spans="1:5" x14ac:dyDescent="0.4">
      <c r="A20" s="5"/>
      <c r="B20" s="5"/>
      <c r="C20" s="5"/>
      <c r="D20" s="6"/>
      <c r="E20" s="5"/>
    </row>
    <row r="21" spans="1:5" x14ac:dyDescent="0.4">
      <c r="A21" s="5"/>
      <c r="B21" s="5"/>
      <c r="C21" s="5"/>
      <c r="D21" s="6"/>
      <c r="E21" s="5"/>
    </row>
    <row r="22" spans="1:5" x14ac:dyDescent="0.4">
      <c r="A22" s="7"/>
      <c r="B22" s="5"/>
      <c r="C22" s="5"/>
      <c r="D22" s="6"/>
      <c r="E22" s="7"/>
    </row>
  </sheetData>
  <mergeCells count="2">
    <mergeCell ref="B1:D6"/>
    <mergeCell ref="B10:D10"/>
  </mergeCells>
  <conditionalFormatting sqref="C7:C9 C19:C22 C12:C17">
    <cfRule type="expression" dxfId="15" priority="13">
      <formula>ISNUMBER(SEARCH("Example",C7))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4">
          <controlPr defaultSize="0" autoLine="0" r:id="rId5">
            <anchor moveWithCells="1">
              <from>
                <xdr:col>2</xdr:col>
                <xdr:colOff>2901950</xdr:colOff>
                <xdr:row>18</xdr:row>
                <xdr:rowOff>215900</xdr:rowOff>
              </from>
              <to>
                <xdr:col>2</xdr:col>
                <xdr:colOff>4235450</xdr:colOff>
                <xdr:row>21</xdr:row>
                <xdr:rowOff>6350</xdr:rowOff>
              </to>
            </anchor>
          </controlPr>
        </control>
      </mc:Choice>
      <mc:Fallback>
        <control shapeId="1051" r:id="rId4" name="CommandButton4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r:id="rId7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37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1037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E682181-37AC-4335-B620-0940885D6DBA}">
          <x14:formula1>
            <xm:f>Sheet2!$A$1:$A$25</xm:f>
          </x14:formula1>
          <xm:sqref>C13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6F200-06A0-49EF-87EF-DB3DB10ABE13}">
  <sheetPr codeName="Sheet10"/>
  <dimension ref="A1:E22"/>
  <sheetViews>
    <sheetView zoomScale="85" zoomScaleNormal="85" workbookViewId="0">
      <selection activeCell="C18" sqref="C18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5"/>
      <c r="B1" s="41" t="s">
        <v>140</v>
      </c>
      <c r="C1" s="42"/>
      <c r="D1" s="43"/>
      <c r="E1" s="5"/>
    </row>
    <row r="2" spans="1:5" ht="18" customHeight="1" x14ac:dyDescent="0.4">
      <c r="A2" s="5"/>
      <c r="B2" s="44"/>
      <c r="C2" s="45"/>
      <c r="D2" s="46"/>
      <c r="E2" s="5"/>
    </row>
    <row r="3" spans="1:5" ht="18" customHeight="1" x14ac:dyDescent="0.4">
      <c r="A3" s="5"/>
      <c r="B3" s="44"/>
      <c r="C3" s="45"/>
      <c r="D3" s="46"/>
      <c r="E3" s="5"/>
    </row>
    <row r="4" spans="1:5" ht="18" customHeight="1" x14ac:dyDescent="0.4">
      <c r="A4" s="5"/>
      <c r="B4" s="44"/>
      <c r="C4" s="45"/>
      <c r="D4" s="46"/>
      <c r="E4" s="5"/>
    </row>
    <row r="5" spans="1:5" ht="18" customHeight="1" x14ac:dyDescent="0.4">
      <c r="A5" s="5"/>
      <c r="B5" s="44"/>
      <c r="C5" s="45"/>
      <c r="D5" s="46"/>
      <c r="E5" s="5"/>
    </row>
    <row r="6" spans="1:5" ht="31" customHeight="1" thickBot="1" x14ac:dyDescent="0.45">
      <c r="A6" s="5"/>
      <c r="B6" s="47"/>
      <c r="C6" s="48"/>
      <c r="D6" s="49"/>
      <c r="E6" s="5"/>
    </row>
    <row r="7" spans="1:5" x14ac:dyDescent="0.4">
      <c r="A7" s="5"/>
      <c r="B7" s="5"/>
      <c r="C7" s="5"/>
      <c r="D7" s="6"/>
      <c r="E7" s="5"/>
    </row>
    <row r="8" spans="1:5" x14ac:dyDescent="0.4">
      <c r="A8" s="5"/>
      <c r="B8" s="5"/>
      <c r="C8" s="5"/>
      <c r="D8" s="6"/>
      <c r="E8" s="5"/>
    </row>
    <row r="9" spans="1:5" ht="18.5" thickBot="1" x14ac:dyDescent="0.45">
      <c r="A9" s="5"/>
      <c r="B9" s="5"/>
      <c r="C9" s="5"/>
      <c r="D9" s="6"/>
      <c r="E9" s="5"/>
    </row>
    <row r="10" spans="1:5" ht="18" customHeight="1" x14ac:dyDescent="0.5">
      <c r="A10" s="5"/>
      <c r="B10" s="50" t="s">
        <v>108</v>
      </c>
      <c r="C10" s="51"/>
      <c r="D10" s="52"/>
      <c r="E10" s="5"/>
    </row>
    <row r="11" spans="1:5" ht="17.5" customHeight="1" x14ac:dyDescent="0.45">
      <c r="A11" s="5"/>
      <c r="B11" s="8"/>
      <c r="C11" s="9"/>
      <c r="D11" s="10"/>
      <c r="E11" s="5"/>
    </row>
    <row r="12" spans="1:5" ht="72" x14ac:dyDescent="0.4">
      <c r="A12" s="5"/>
      <c r="B12" s="36" t="s">
        <v>11</v>
      </c>
      <c r="C12" s="12" t="s">
        <v>53</v>
      </c>
      <c r="D12" s="37" t="s">
        <v>109</v>
      </c>
      <c r="E12" s="5"/>
    </row>
    <row r="13" spans="1:5" ht="36" x14ac:dyDescent="0.4">
      <c r="A13" s="5"/>
      <c r="B13" s="38" t="s">
        <v>0</v>
      </c>
      <c r="C13" s="15" t="s">
        <v>153</v>
      </c>
      <c r="D13" s="39" t="str">
        <f>IF($C$11="New","What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3" s="5"/>
    </row>
    <row r="14" spans="1:5" ht="36" x14ac:dyDescent="0.4">
      <c r="A14" s="5"/>
      <c r="B14" s="38" t="s">
        <v>58</v>
      </c>
      <c r="C14" s="15" t="s">
        <v>148</v>
      </c>
      <c r="D14" s="39" t="str">
        <f>IF($C$11="New","What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4" s="5"/>
    </row>
    <row r="15" spans="1:5" x14ac:dyDescent="0.4">
      <c r="A15" s="5"/>
      <c r="B15" s="38" t="s">
        <v>59</v>
      </c>
      <c r="C15" s="15" t="s">
        <v>155</v>
      </c>
      <c r="D15" s="39" t="str">
        <f>IF($C$11="New","What is the name you want to assign to the new ExpressRoute Gateway?","What is the name of the existing ExpressRoute Gateway?")</f>
        <v>What is the name of the existing ExpressRoute Gateway?</v>
      </c>
      <c r="E15" s="5"/>
    </row>
    <row r="16" spans="1:5" x14ac:dyDescent="0.4">
      <c r="A16" s="5"/>
      <c r="B16" s="38" t="s">
        <v>60</v>
      </c>
      <c r="C16" s="15" t="s">
        <v>16</v>
      </c>
      <c r="D16" s="39" t="str">
        <f>IF($C$12="New","What region should the ExpressRoute Gateway be deployed?","What region is the ExpressRoute Gateway currently deployed?")</f>
        <v>What region is the ExpressRoute Gateway currently deployed?</v>
      </c>
      <c r="E16" s="5"/>
    </row>
    <row r="17" spans="1:5" x14ac:dyDescent="0.4">
      <c r="A17" s="5"/>
      <c r="B17" s="38" t="s">
        <v>113</v>
      </c>
      <c r="C17" s="15" t="s">
        <v>156</v>
      </c>
      <c r="D17" s="39" t="str">
        <f>IF($C$11="New","What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17" s="5"/>
    </row>
    <row r="18" spans="1:5" ht="54" x14ac:dyDescent="0.4">
      <c r="A18" s="5"/>
      <c r="B18" s="38" t="s">
        <v>102</v>
      </c>
      <c r="C18" s="15" t="s">
        <v>149</v>
      </c>
      <c r="D18" s="39" t="s">
        <v>110</v>
      </c>
      <c r="E18" s="5"/>
    </row>
    <row r="19" spans="1:5" x14ac:dyDescent="0.4">
      <c r="A19" s="5"/>
      <c r="B19" s="5"/>
      <c r="C19" s="5"/>
      <c r="D19" s="6"/>
      <c r="E19" s="5"/>
    </row>
    <row r="20" spans="1:5" x14ac:dyDescent="0.4">
      <c r="A20" s="5"/>
      <c r="B20" s="5"/>
      <c r="C20" s="5"/>
      <c r="D20" s="6"/>
      <c r="E20" s="5"/>
    </row>
    <row r="21" spans="1:5" x14ac:dyDescent="0.4">
      <c r="A21" s="7"/>
      <c r="B21" s="5"/>
      <c r="C21" s="5"/>
      <c r="D21" s="6"/>
      <c r="E21" s="7"/>
    </row>
    <row r="22" spans="1:5" x14ac:dyDescent="0.4">
      <c r="A22" s="7"/>
      <c r="B22" s="5"/>
      <c r="C22" s="5"/>
      <c r="D22" s="6"/>
      <c r="E22" s="7"/>
    </row>
  </sheetData>
  <mergeCells count="2">
    <mergeCell ref="B1:D6"/>
    <mergeCell ref="B10:D10"/>
  </mergeCells>
  <conditionalFormatting sqref="C7:C9 C12:C22">
    <cfRule type="expression" dxfId="14" priority="3">
      <formula>ISNUMBER(SEARCH("Example",C7))</formula>
    </cfRule>
  </conditionalFormatting>
  <conditionalFormatting sqref="B18:D18">
    <cfRule type="expression" dxfId="13" priority="2">
      <formula>$C$12="Existing"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8" r:id="rId8" name="CommandButton3">
          <controlPr defaultSize="0" autoLine="0" r:id="rId9">
            <anchor moveWithCells="1">
              <from>
                <xdr:col>2</xdr:col>
                <xdr:colOff>3676650</xdr:colOff>
                <xdr:row>18</xdr:row>
                <xdr:rowOff>152400</xdr:rowOff>
              </from>
              <to>
                <xdr:col>3</xdr:col>
                <xdr:colOff>520700</xdr:colOff>
                <xdr:row>20</xdr:row>
                <xdr:rowOff>171450</xdr:rowOff>
              </to>
            </anchor>
          </controlPr>
        </control>
      </mc:Choice>
      <mc:Fallback>
        <control shapeId="10248" r:id="rId8" name="CommandButton3"/>
      </mc:Fallback>
    </mc:AlternateContent>
    <mc:AlternateContent xmlns:mc="http://schemas.openxmlformats.org/markup-compatibility/2006">
      <mc:Choice Requires="x14">
        <control shapeId="10249" r:id="rId10" name="CommandButton4">
          <controlPr defaultSize="0" autoLine="0" r:id="rId11">
            <anchor moveWithCells="1">
              <from>
                <xdr:col>2</xdr:col>
                <xdr:colOff>1860550</xdr:colOff>
                <xdr:row>18</xdr:row>
                <xdr:rowOff>152400</xdr:rowOff>
              </from>
              <to>
                <xdr:col>2</xdr:col>
                <xdr:colOff>3194050</xdr:colOff>
                <xdr:row>20</xdr:row>
                <xdr:rowOff>171450</xdr:rowOff>
              </to>
            </anchor>
          </controlPr>
        </control>
      </mc:Choice>
      <mc:Fallback>
        <control shapeId="10249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3D6C9A-9161-431E-849B-9FE4A7CFAC48}">
          <x14:formula1>
            <xm:f>Sheet2!$D$1:$D$3</xm:f>
          </x14:formula1>
          <xm:sqref>C12</xm:sqref>
        </x14:dataValidation>
        <x14:dataValidation type="list" allowBlank="1" showInputMessage="1" showErrorMessage="1" xr:uid="{22C68252-3B8A-431D-A06D-AC50EFE138B2}">
          <x14:formula1>
            <xm:f>Sheet2!$E$1:$E$76</xm:f>
          </x14:formula1>
          <xm:sqref>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E963-B351-44A1-AEFF-5286EF3B219A}">
  <sheetPr codeName="Sheet6"/>
  <dimension ref="A1:E16"/>
  <sheetViews>
    <sheetView zoomScale="85" zoomScaleNormal="85" workbookViewId="0">
      <selection activeCell="C12" sqref="C12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5"/>
      <c r="B1" s="45" t="s">
        <v>140</v>
      </c>
      <c r="C1" s="45"/>
      <c r="D1" s="45"/>
      <c r="E1" s="5"/>
    </row>
    <row r="2" spans="1:5" ht="18" customHeight="1" x14ac:dyDescent="0.4">
      <c r="A2" s="5"/>
      <c r="B2" s="45"/>
      <c r="C2" s="45"/>
      <c r="D2" s="45"/>
      <c r="E2" s="5"/>
    </row>
    <row r="3" spans="1:5" ht="18" customHeight="1" x14ac:dyDescent="0.4">
      <c r="A3" s="5"/>
      <c r="B3" s="45"/>
      <c r="C3" s="45"/>
      <c r="D3" s="45"/>
      <c r="E3" s="5"/>
    </row>
    <row r="4" spans="1:5" ht="18" customHeight="1" x14ac:dyDescent="0.4">
      <c r="A4" s="5"/>
      <c r="B4" s="45"/>
      <c r="C4" s="45"/>
      <c r="D4" s="45"/>
      <c r="E4" s="5"/>
    </row>
    <row r="5" spans="1:5" ht="18" customHeight="1" x14ac:dyDescent="0.4">
      <c r="A5" s="5"/>
      <c r="B5" s="45"/>
      <c r="C5" s="45"/>
      <c r="D5" s="45"/>
      <c r="E5" s="5"/>
    </row>
    <row r="6" spans="1:5" ht="31" customHeight="1" x14ac:dyDescent="0.4">
      <c r="A6" s="5"/>
      <c r="B6" s="45"/>
      <c r="C6" s="45"/>
      <c r="D6" s="45"/>
      <c r="E6" s="5"/>
    </row>
    <row r="7" spans="1:5" x14ac:dyDescent="0.4">
      <c r="A7" s="5"/>
      <c r="B7" s="5"/>
      <c r="C7" s="5"/>
      <c r="D7" s="6"/>
      <c r="E7" s="5"/>
    </row>
    <row r="8" spans="1:5" x14ac:dyDescent="0.4">
      <c r="A8" s="5"/>
      <c r="B8" s="5"/>
      <c r="C8" s="5"/>
      <c r="D8" s="6"/>
      <c r="E8" s="5"/>
    </row>
    <row r="9" spans="1:5" ht="18.5" thickBot="1" x14ac:dyDescent="0.45">
      <c r="A9" s="5"/>
      <c r="B9" s="5"/>
      <c r="C9" s="5"/>
      <c r="D9" s="6"/>
      <c r="E9" s="5"/>
    </row>
    <row r="10" spans="1:5" ht="18" customHeight="1" x14ac:dyDescent="0.5">
      <c r="A10" s="5"/>
      <c r="B10" s="50" t="s">
        <v>111</v>
      </c>
      <c r="C10" s="51"/>
      <c r="D10" s="52"/>
      <c r="E10" s="5"/>
    </row>
    <row r="11" spans="1:5" x14ac:dyDescent="0.4">
      <c r="A11" s="5"/>
      <c r="B11" s="21"/>
      <c r="C11" s="22"/>
      <c r="D11" s="17"/>
      <c r="E11" s="5"/>
    </row>
    <row r="12" spans="1:5" x14ac:dyDescent="0.4">
      <c r="A12" s="5"/>
      <c r="B12" s="27" t="s">
        <v>141</v>
      </c>
      <c r="C12" s="40" t="s">
        <v>54</v>
      </c>
      <c r="D12" s="16" t="s">
        <v>10</v>
      </c>
      <c r="E12" s="5"/>
    </row>
    <row r="13" spans="1:5" ht="18.5" thickBot="1" x14ac:dyDescent="0.45">
      <c r="A13" s="5"/>
      <c r="B13" s="23"/>
      <c r="C13" s="24"/>
      <c r="D13" s="25"/>
      <c r="E13" s="5"/>
    </row>
    <row r="14" spans="1:5" x14ac:dyDescent="0.4">
      <c r="A14" s="5"/>
      <c r="B14" s="5"/>
      <c r="C14" s="5"/>
      <c r="D14" s="6"/>
      <c r="E14" s="5"/>
    </row>
    <row r="15" spans="1:5" x14ac:dyDescent="0.4">
      <c r="A15" s="5"/>
      <c r="B15" s="5"/>
      <c r="C15" s="5"/>
      <c r="D15" s="6"/>
      <c r="E15" s="5"/>
    </row>
    <row r="16" spans="1:5" x14ac:dyDescent="0.4">
      <c r="A16" s="5"/>
      <c r="B16" s="5"/>
      <c r="C16" s="5"/>
      <c r="D16" s="6"/>
      <c r="E16" s="5"/>
    </row>
  </sheetData>
  <mergeCells count="2">
    <mergeCell ref="B1:D6"/>
    <mergeCell ref="B10:D10"/>
  </mergeCells>
  <conditionalFormatting sqref="C14:C16 C7:C9 B10">
    <cfRule type="expression" dxfId="12" priority="9">
      <formula>ISNUMBER(SEARCH("Example",B7))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CommandButton3">
          <controlPr defaultSize="0" autoLine="0" r:id="rId5">
            <anchor moveWithCells="1">
              <from>
                <xdr:col>2</xdr:col>
                <xdr:colOff>2006600</xdr:colOff>
                <xdr:row>13</xdr:row>
                <xdr:rowOff>133350</xdr:rowOff>
              </from>
              <to>
                <xdr:col>2</xdr:col>
                <xdr:colOff>3340100</xdr:colOff>
                <xdr:row>15</xdr:row>
                <xdr:rowOff>152400</xdr:rowOff>
              </to>
            </anchor>
          </controlPr>
        </control>
      </mc:Choice>
      <mc:Fallback>
        <control shapeId="6148" r:id="rId4" name="CommandButton3"/>
      </mc:Fallback>
    </mc:AlternateContent>
    <mc:AlternateContent xmlns:mc="http://schemas.openxmlformats.org/markup-compatibility/2006">
      <mc:Choice Requires="x14">
        <control shapeId="6147" r:id="rId6" name="CommandButton4">
          <controlPr defaultSize="0" autoLine="0" r:id="rId7">
            <anchor moveWithCells="1">
              <from>
                <xdr:col>2</xdr:col>
                <xdr:colOff>3822700</xdr:colOff>
                <xdr:row>13</xdr:row>
                <xdr:rowOff>133350</xdr:rowOff>
              </from>
              <to>
                <xdr:col>3</xdr:col>
                <xdr:colOff>666750</xdr:colOff>
                <xdr:row>15</xdr:row>
                <xdr:rowOff>152400</xdr:rowOff>
              </to>
            </anchor>
          </controlPr>
        </control>
      </mc:Choice>
      <mc:Fallback>
        <control shapeId="6147" r:id="rId6" name="CommandButton4"/>
      </mc:Fallback>
    </mc:AlternateContent>
    <mc:AlternateContent xmlns:mc="http://schemas.openxmlformats.org/markup-compatibility/2006">
      <mc:Choice Requires="x14">
        <control shapeId="6146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6146" r:id="rId8" name="CommandButton2"/>
      </mc:Fallback>
    </mc:AlternateContent>
    <mc:AlternateContent xmlns:mc="http://schemas.openxmlformats.org/markup-compatibility/2006">
      <mc:Choice Requires="x14">
        <control shapeId="6145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6145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35219A-7112-4D8A-BC9B-70981C711217}">
          <x14:formula1>
            <xm:f>Sheet2!$C$1:$C$4</xm:f>
          </x14:formula1>
          <xm:sqref>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D6A3-0F1C-48E8-996C-9F9F3647C483}">
  <sheetPr codeName="Sheet8"/>
  <dimension ref="A1:E21"/>
  <sheetViews>
    <sheetView zoomScale="85" zoomScaleNormal="85" workbookViewId="0">
      <selection activeCell="C15" sqref="C15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5"/>
      <c r="B1" s="45" t="s">
        <v>140</v>
      </c>
      <c r="C1" s="45"/>
      <c r="D1" s="45"/>
      <c r="E1" s="5"/>
    </row>
    <row r="2" spans="1:5" ht="18" customHeight="1" x14ac:dyDescent="0.4">
      <c r="A2" s="5"/>
      <c r="B2" s="45"/>
      <c r="C2" s="45"/>
      <c r="D2" s="45"/>
      <c r="E2" s="5"/>
    </row>
    <row r="3" spans="1:5" ht="18" customHeight="1" x14ac:dyDescent="0.4">
      <c r="A3" s="5"/>
      <c r="B3" s="45"/>
      <c r="C3" s="45"/>
      <c r="D3" s="45"/>
      <c r="E3" s="5"/>
    </row>
    <row r="4" spans="1:5" ht="18" customHeight="1" x14ac:dyDescent="0.4">
      <c r="A4" s="5"/>
      <c r="B4" s="45"/>
      <c r="C4" s="45"/>
      <c r="D4" s="45"/>
      <c r="E4" s="5"/>
    </row>
    <row r="5" spans="1:5" ht="18" customHeight="1" x14ac:dyDescent="0.4">
      <c r="A5" s="5"/>
      <c r="B5" s="45"/>
      <c r="C5" s="45"/>
      <c r="D5" s="45"/>
      <c r="E5" s="5"/>
    </row>
    <row r="6" spans="1:5" ht="31" customHeight="1" x14ac:dyDescent="0.4">
      <c r="A6" s="5"/>
      <c r="B6" s="45"/>
      <c r="C6" s="45"/>
      <c r="D6" s="45"/>
      <c r="E6" s="5"/>
    </row>
    <row r="7" spans="1:5" x14ac:dyDescent="0.4">
      <c r="A7" s="5"/>
      <c r="B7" s="5"/>
      <c r="C7" s="5"/>
      <c r="D7" s="6"/>
      <c r="E7" s="5"/>
    </row>
    <row r="8" spans="1:5" x14ac:dyDescent="0.4">
      <c r="A8" s="5"/>
      <c r="B8" s="5"/>
      <c r="C8" s="5"/>
      <c r="D8" s="6"/>
      <c r="E8" s="5"/>
    </row>
    <row r="9" spans="1:5" ht="18.5" thickBot="1" x14ac:dyDescent="0.45">
      <c r="A9" s="5"/>
      <c r="B9" s="5"/>
      <c r="C9" s="5"/>
      <c r="D9" s="6"/>
      <c r="E9" s="5"/>
    </row>
    <row r="10" spans="1:5" ht="23" x14ac:dyDescent="0.4">
      <c r="A10" s="5"/>
      <c r="B10" s="54" t="s">
        <v>56</v>
      </c>
      <c r="C10" s="55"/>
      <c r="D10" s="56"/>
      <c r="E10" s="5"/>
    </row>
    <row r="11" spans="1:5" x14ac:dyDescent="0.4">
      <c r="A11" s="5"/>
      <c r="B11" s="26"/>
      <c r="C11" s="9"/>
      <c r="D11" s="10"/>
      <c r="E11" s="5"/>
    </row>
    <row r="12" spans="1:5" ht="36" x14ac:dyDescent="0.4">
      <c r="A12" s="5"/>
      <c r="B12" s="27" t="s">
        <v>0</v>
      </c>
      <c r="C12" s="32" t="s">
        <v>150</v>
      </c>
      <c r="D12" s="28" t="s">
        <v>55</v>
      </c>
      <c r="E12" s="5"/>
    </row>
    <row r="13" spans="1:5" x14ac:dyDescent="0.4">
      <c r="A13" s="5"/>
      <c r="B13" s="27" t="s">
        <v>106</v>
      </c>
      <c r="C13" s="32" t="s">
        <v>151</v>
      </c>
      <c r="D13" s="28" t="s">
        <v>104</v>
      </c>
      <c r="E13" s="5"/>
    </row>
    <row r="14" spans="1:5" x14ac:dyDescent="0.4">
      <c r="A14" s="5"/>
      <c r="B14" s="27" t="s">
        <v>57</v>
      </c>
      <c r="C14" s="32" t="s">
        <v>152</v>
      </c>
      <c r="D14" s="28" t="s">
        <v>107</v>
      </c>
      <c r="E14" s="5"/>
    </row>
    <row r="15" spans="1:5" ht="18.5" thickBot="1" x14ac:dyDescent="0.45">
      <c r="A15" s="5"/>
      <c r="B15" s="29"/>
      <c r="C15" s="30"/>
      <c r="D15" s="31"/>
      <c r="E15" s="5"/>
    </row>
    <row r="16" spans="1:5" x14ac:dyDescent="0.4">
      <c r="A16" s="5"/>
      <c r="B16" s="5"/>
      <c r="C16" s="5"/>
      <c r="D16" s="6"/>
      <c r="E16" s="5"/>
    </row>
    <row r="17" spans="1:5" x14ac:dyDescent="0.4">
      <c r="A17" s="5"/>
      <c r="B17" s="5"/>
      <c r="C17" s="5"/>
      <c r="D17" s="6"/>
      <c r="E17" s="5"/>
    </row>
    <row r="18" spans="1:5" x14ac:dyDescent="0.4">
      <c r="A18" s="5"/>
      <c r="B18" s="5"/>
      <c r="C18" s="5"/>
      <c r="D18" s="6"/>
      <c r="E18" s="5"/>
    </row>
    <row r="19" spans="1:5" x14ac:dyDescent="0.4">
      <c r="A19" s="5"/>
      <c r="B19" s="53" t="s">
        <v>142</v>
      </c>
      <c r="C19" s="53"/>
      <c r="D19" s="53"/>
      <c r="E19" s="5"/>
    </row>
    <row r="20" spans="1:5" x14ac:dyDescent="0.4">
      <c r="A20" s="5"/>
      <c r="B20" s="53"/>
      <c r="C20" s="53"/>
      <c r="D20" s="53"/>
      <c r="E20" s="5"/>
    </row>
    <row r="21" spans="1:5" x14ac:dyDescent="0.4">
      <c r="A21" s="5"/>
      <c r="B21" s="5"/>
      <c r="C21" s="5"/>
      <c r="D21" s="6"/>
      <c r="E21" s="5"/>
    </row>
  </sheetData>
  <mergeCells count="3">
    <mergeCell ref="B1:D6"/>
    <mergeCell ref="B19:D20"/>
    <mergeCell ref="B10:D10"/>
  </mergeCells>
  <conditionalFormatting sqref="C21 C16:C18 C12:C14 C7:C10">
    <cfRule type="expression" dxfId="11" priority="5">
      <formula>ISNUMBER(SEARCH("Example",C7))</formula>
    </cfRule>
  </conditionalFormatting>
  <conditionalFormatting sqref="C12:C14">
    <cfRule type="expression" dxfId="10" priority="6">
      <formula>ISNUMBER(SEARCH("Example",C12))</formula>
    </cfRule>
  </conditionalFormatting>
  <conditionalFormatting sqref="B12:D14 B10:D10">
    <cfRule type="expression" dxfId="9" priority="23">
      <formula>#REF!="VPN/SD-WAN"</formula>
    </cfRule>
    <cfRule type="expression" dxfId="8" priority="24">
      <formula>#REF!="It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3">
          <controlPr defaultSize="0" autoLine="0" r:id="rId5">
            <anchor moveWithCells="1">
              <from>
                <xdr:col>2</xdr:col>
                <xdr:colOff>2006600</xdr:colOff>
                <xdr:row>15</xdr:row>
                <xdr:rowOff>133350</xdr:rowOff>
              </from>
              <to>
                <xdr:col>2</xdr:col>
                <xdr:colOff>3340100</xdr:colOff>
                <xdr:row>17</xdr:row>
                <xdr:rowOff>152400</xdr:rowOff>
              </to>
            </anchor>
          </controlPr>
        </control>
      </mc:Choice>
      <mc:Fallback>
        <control shapeId="8196" r:id="rId4" name="CommandButton3"/>
      </mc:Fallback>
    </mc:AlternateContent>
    <mc:AlternateContent xmlns:mc="http://schemas.openxmlformats.org/markup-compatibility/2006">
      <mc:Choice Requires="x14">
        <control shapeId="8195" r:id="rId6" name="CommandButton4">
          <controlPr defaultSize="0" autoLine="0" r:id="rId7">
            <anchor moveWithCells="1">
              <from>
                <xdr:col>2</xdr:col>
                <xdr:colOff>3822700</xdr:colOff>
                <xdr:row>15</xdr:row>
                <xdr:rowOff>133350</xdr:rowOff>
              </from>
              <to>
                <xdr:col>3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8195" r:id="rId6" name="CommandButton4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8193" r:id="rId10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OnPremConnectivity!$C$12="It dosen't"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14:cfRule type="expression" priority="2" id="{00000000-000E-0000-0300-000002000000}">
            <xm:f>OnPremConnectivity!$C$12="VPN/SD-WAN"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B19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61E04-4D83-46F1-9706-468DD8DBA5F4}">
  <sheetPr codeName="Sheet9"/>
  <dimension ref="A1:E23"/>
  <sheetViews>
    <sheetView tabSelected="1" zoomScale="85" zoomScaleNormal="85" workbookViewId="0">
      <selection activeCell="C14" sqref="C14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5"/>
      <c r="B1" s="45" t="s">
        <v>140</v>
      </c>
      <c r="C1" s="45"/>
      <c r="D1" s="45"/>
      <c r="E1" s="5"/>
    </row>
    <row r="2" spans="1:5" ht="18" customHeight="1" x14ac:dyDescent="0.4">
      <c r="A2" s="5"/>
      <c r="B2" s="45"/>
      <c r="C2" s="45"/>
      <c r="D2" s="45"/>
      <c r="E2" s="5"/>
    </row>
    <row r="3" spans="1:5" ht="18" customHeight="1" x14ac:dyDescent="0.4">
      <c r="A3" s="5"/>
      <c r="B3" s="45"/>
      <c r="C3" s="45"/>
      <c r="D3" s="45"/>
      <c r="E3" s="5"/>
    </row>
    <row r="4" spans="1:5" ht="18" customHeight="1" x14ac:dyDescent="0.4">
      <c r="A4" s="5"/>
      <c r="B4" s="45"/>
      <c r="C4" s="45"/>
      <c r="D4" s="45"/>
      <c r="E4" s="5"/>
    </row>
    <row r="5" spans="1:5" ht="18" customHeight="1" x14ac:dyDescent="0.4">
      <c r="A5" s="5"/>
      <c r="B5" s="45"/>
      <c r="C5" s="45"/>
      <c r="D5" s="45"/>
      <c r="E5" s="5"/>
    </row>
    <row r="6" spans="1:5" ht="31" customHeight="1" x14ac:dyDescent="0.4">
      <c r="A6" s="5"/>
      <c r="B6" s="45"/>
      <c r="C6" s="45"/>
      <c r="D6" s="45"/>
      <c r="E6" s="5"/>
    </row>
    <row r="7" spans="1:5" x14ac:dyDescent="0.4">
      <c r="A7" s="5"/>
      <c r="B7" s="5"/>
      <c r="C7" s="5"/>
      <c r="D7" s="6"/>
      <c r="E7" s="5"/>
    </row>
    <row r="8" spans="1:5" x14ac:dyDescent="0.4">
      <c r="A8" s="5"/>
      <c r="B8" s="5"/>
      <c r="C8" s="5"/>
      <c r="D8" s="6"/>
      <c r="E8" s="5"/>
    </row>
    <row r="9" spans="1:5" ht="18.5" thickBot="1" x14ac:dyDescent="0.45">
      <c r="A9" s="5"/>
      <c r="B9" s="5"/>
      <c r="C9" s="5"/>
      <c r="D9" s="6"/>
      <c r="E9" s="5"/>
    </row>
    <row r="10" spans="1:5" ht="23" x14ac:dyDescent="0.4">
      <c r="A10" s="5"/>
      <c r="B10" s="54" t="s">
        <v>139</v>
      </c>
      <c r="C10" s="55"/>
      <c r="D10" s="56"/>
      <c r="E10" s="5"/>
    </row>
    <row r="11" spans="1:5" x14ac:dyDescent="0.4">
      <c r="A11" s="5"/>
      <c r="B11" s="26"/>
      <c r="C11" s="9"/>
      <c r="D11" s="10"/>
      <c r="E11" s="5"/>
    </row>
    <row r="12" spans="1:5" x14ac:dyDescent="0.4">
      <c r="A12" s="5"/>
      <c r="B12" s="33" t="s">
        <v>132</v>
      </c>
      <c r="C12" s="34" t="s">
        <v>133</v>
      </c>
      <c r="D12" s="35" t="s">
        <v>143</v>
      </c>
      <c r="E12" s="5"/>
    </row>
    <row r="13" spans="1:5" ht="72" x14ac:dyDescent="0.4">
      <c r="A13" s="5"/>
      <c r="B13" s="14" t="s">
        <v>135</v>
      </c>
      <c r="C13" s="15" t="s">
        <v>157</v>
      </c>
      <c r="D13" s="16" t="s">
        <v>136</v>
      </c>
      <c r="E13" s="5"/>
    </row>
    <row r="14" spans="1:5" ht="18.5" thickBot="1" x14ac:dyDescent="0.45">
      <c r="A14" s="5"/>
      <c r="B14" s="29"/>
      <c r="C14" s="30"/>
      <c r="D14" s="31"/>
      <c r="E14" s="5"/>
    </row>
    <row r="15" spans="1:5" x14ac:dyDescent="0.4">
      <c r="A15" s="5"/>
      <c r="B15" s="5"/>
      <c r="C15" s="5"/>
      <c r="D15" s="6"/>
      <c r="E15" s="5"/>
    </row>
    <row r="16" spans="1:5" x14ac:dyDescent="0.4">
      <c r="A16" s="5"/>
      <c r="B16" s="5"/>
      <c r="C16" s="5"/>
      <c r="D16" s="6"/>
      <c r="E16" s="5"/>
    </row>
    <row r="17" spans="1:5" x14ac:dyDescent="0.4">
      <c r="A17" s="5"/>
      <c r="B17" s="5"/>
      <c r="C17" s="5"/>
      <c r="D17" s="6"/>
      <c r="E17" s="5"/>
    </row>
    <row r="23" spans="1:5" hidden="1" x14ac:dyDescent="0.4">
      <c r="C23" s="3" t="str">
        <f>OnPremConnectivity!C12</f>
        <v>It dosen't</v>
      </c>
    </row>
  </sheetData>
  <mergeCells count="2">
    <mergeCell ref="B1:D6"/>
    <mergeCell ref="B10:D10"/>
  </mergeCells>
  <conditionalFormatting sqref="B13:D13">
    <cfRule type="expression" dxfId="5" priority="3">
      <formula>$C$12="No"</formula>
    </cfRule>
  </conditionalFormatting>
  <conditionalFormatting sqref="C15:C17 C12:C13 C7:C10">
    <cfRule type="expression" dxfId="4" priority="5">
      <formula>ISNUMBER(SEARCH("Example",C7))</formula>
    </cfRule>
  </conditionalFormatting>
  <conditionalFormatting sqref="C12:C13">
    <cfRule type="expression" dxfId="3" priority="6">
      <formula>ISNUMBER(SEARCH("Example",C12))</formula>
    </cfRule>
  </conditionalFormatting>
  <conditionalFormatting sqref="C13">
    <cfRule type="expression" dxfId="2" priority="4">
      <formula>ISNUMBER(SEARCH("Example",C13))</formula>
    </cfRule>
  </conditionalFormatting>
  <conditionalFormatting sqref="B12:D13 B10:D10">
    <cfRule type="expression" dxfId="1" priority="7">
      <formula>#REF!="VPN/SD-WAN"</formula>
    </cfRule>
    <cfRule type="expression" dxfId="0" priority="8">
      <formula>#REF!="It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ommandButton3">
          <controlPr defaultSize="0" autoLine="0" r:id="rId5">
            <anchor moveWithCells="1">
              <from>
                <xdr:col>2</xdr:col>
                <xdr:colOff>2006600</xdr:colOff>
                <xdr:row>14</xdr:row>
                <xdr:rowOff>133350</xdr:rowOff>
              </from>
              <to>
                <xdr:col>2</xdr:col>
                <xdr:colOff>3340100</xdr:colOff>
                <xdr:row>16</xdr:row>
                <xdr:rowOff>152400</xdr:rowOff>
              </to>
            </anchor>
          </controlPr>
        </control>
      </mc:Choice>
      <mc:Fallback>
        <control shapeId="9220" r:id="rId4" name="CommandButton3"/>
      </mc:Fallback>
    </mc:AlternateContent>
    <mc:AlternateContent xmlns:mc="http://schemas.openxmlformats.org/markup-compatibility/2006">
      <mc:Choice Requires="x14">
        <control shapeId="9219" r:id="rId6" name="CommandButton4">
          <controlPr defaultSize="0" autoLine="0" autoPict="0" r:id="rId7">
            <anchor moveWithCells="1">
              <from>
                <xdr:col>2</xdr:col>
                <xdr:colOff>3822700</xdr:colOff>
                <xdr:row>14</xdr:row>
                <xdr:rowOff>133350</xdr:rowOff>
              </from>
              <to>
                <xdr:col>3</xdr:col>
                <xdr:colOff>876300</xdr:colOff>
                <xdr:row>16</xdr:row>
                <xdr:rowOff>152400</xdr:rowOff>
              </to>
            </anchor>
          </controlPr>
        </control>
      </mc:Choice>
      <mc:Fallback>
        <control shapeId="9219" r:id="rId6" name="CommandButton4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9217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A3FD14-3D68-4076-A46A-6B9EC845638B}">
          <x14:formula1>
            <xm:f>Sheet2!$F$1:$F$2</xm:f>
          </x14:formula1>
          <xm:sqref>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B8" sqref="B8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114</v>
      </c>
      <c r="B1" t="str">
        <f>General!C12</f>
        <v>1178f22f-6ce4-45e3-bd92-ba89930be5be</v>
      </c>
    </row>
    <row r="2" spans="1:9" x14ac:dyDescent="0.35">
      <c r="A2" t="s">
        <v>115</v>
      </c>
      <c r="B2" t="str">
        <f>General!C13</f>
        <v>Australia Southeast</v>
      </c>
    </row>
    <row r="3" spans="1:9" x14ac:dyDescent="0.35">
      <c r="A3" t="s">
        <v>116</v>
      </c>
      <c r="B3" t="str">
        <f>General!C14</f>
        <v>VirtualWorkloads-AVS-PC01</v>
      </c>
    </row>
    <row r="4" spans="1:9" x14ac:dyDescent="0.35">
      <c r="A4" t="s">
        <v>117</v>
      </c>
      <c r="B4" t="str">
        <f>General!C15</f>
        <v>VirtualWorkloads-AVS-PC01</v>
      </c>
    </row>
    <row r="5" spans="1:9" x14ac:dyDescent="0.35">
      <c r="A5" t="s">
        <v>118</v>
      </c>
      <c r="B5" t="str">
        <f>General!C17</f>
        <v>10.0.0.0/22</v>
      </c>
    </row>
    <row r="6" spans="1:9" ht="18.5" x14ac:dyDescent="0.45">
      <c r="A6" t="s">
        <v>119</v>
      </c>
      <c r="B6" t="str">
        <f>General!C16</f>
        <v>AV36</v>
      </c>
      <c r="I6" s="1"/>
    </row>
    <row r="7" spans="1:9" ht="18.5" x14ac:dyDescent="0.45">
      <c r="A7" t="s">
        <v>120</v>
      </c>
      <c r="B7" t="str">
        <f>OnPremConnectivity!C12</f>
        <v>It dosen't</v>
      </c>
      <c r="I7" s="1"/>
    </row>
    <row r="8" spans="1:9" ht="18.5" x14ac:dyDescent="0.45">
      <c r="A8" t="s">
        <v>121</v>
      </c>
      <c r="B8" t="str">
        <f>'Azure Backbone Connectivity'!C12</f>
        <v>Existing</v>
      </c>
      <c r="I8" s="1"/>
    </row>
    <row r="9" spans="1:9" ht="18.5" x14ac:dyDescent="0.45">
      <c r="A9" t="s">
        <v>122</v>
      </c>
      <c r="B9" t="str">
        <f>'On-Prem ExR Details'!C12</f>
        <v>onprem ex sub</v>
      </c>
      <c r="I9" s="1"/>
    </row>
    <row r="10" spans="1:9" ht="18.5" x14ac:dyDescent="0.45">
      <c r="A10" t="s">
        <v>123</v>
      </c>
      <c r="B10" t="str">
        <f>'On-Prem ExR Details'!C13</f>
        <v>on prem exr circuit name</v>
      </c>
      <c r="I10" s="1"/>
    </row>
    <row r="11" spans="1:9" ht="18.5" x14ac:dyDescent="0.45">
      <c r="A11" t="s">
        <v>124</v>
      </c>
      <c r="B11" t="str">
        <f>'On-Prem ExR Details'!C14</f>
        <v>on prem exir resource group</v>
      </c>
      <c r="I11" s="2"/>
    </row>
    <row r="12" spans="1:9" ht="18.5" x14ac:dyDescent="0.45">
      <c r="A12" t="s">
        <v>125</v>
      </c>
      <c r="B12" t="str">
        <f>'Azure Backbone Connectivity'!C13</f>
        <v>1178f22f-6ce4-45e3-bd92-ba89930be5be</v>
      </c>
      <c r="I12" s="2"/>
    </row>
    <row r="13" spans="1:9" ht="18.5" x14ac:dyDescent="0.45">
      <c r="A13" t="s">
        <v>126</v>
      </c>
      <c r="B13" t="str">
        <f>'Azure Backbone Connectivity'!C14</f>
        <v>new exr vnet name</v>
      </c>
      <c r="I13" s="2"/>
    </row>
    <row r="14" spans="1:9" ht="18.5" x14ac:dyDescent="0.45">
      <c r="A14" t="s">
        <v>127</v>
      </c>
      <c r="B14" t="str">
        <f>'Azure Backbone Connectivity'!C15</f>
        <v>For-VirtualWorkloads-AVS-PC01</v>
      </c>
      <c r="I14" s="2"/>
    </row>
    <row r="15" spans="1:9" ht="18.5" x14ac:dyDescent="0.45">
      <c r="A15" t="s">
        <v>128</v>
      </c>
      <c r="B15" t="str">
        <f>'Azure Backbone Connectivity'!C17</f>
        <v>VirtualWorkloads-AVS-Networking-Australia-East</v>
      </c>
      <c r="I15" s="2"/>
    </row>
    <row r="16" spans="1:9" ht="18.5" x14ac:dyDescent="0.45">
      <c r="A16" t="s">
        <v>129</v>
      </c>
      <c r="B16" t="str">
        <f>'Azure Backbone Connectivity'!C16</f>
        <v>Australia East</v>
      </c>
      <c r="I16" s="2"/>
    </row>
    <row r="17" spans="1:9" ht="18.5" x14ac:dyDescent="0.45">
      <c r="A17" t="s">
        <v>130</v>
      </c>
      <c r="B17" t="str">
        <f>'Azure Backbone Connectivity'!C18</f>
        <v>10.55.0.0/24</v>
      </c>
      <c r="I17" s="2"/>
    </row>
    <row r="18" spans="1:9" ht="18.5" x14ac:dyDescent="0.45">
      <c r="A18" t="s">
        <v>137</v>
      </c>
      <c r="B18" t="str">
        <f>ARCForAVS!C12</f>
        <v>Yes</v>
      </c>
      <c r="I18" s="2"/>
    </row>
    <row r="19" spans="1:9" ht="18.5" x14ac:dyDescent="0.45">
      <c r="A19" t="s">
        <v>138</v>
      </c>
      <c r="B19" t="str">
        <f>ARCForAVS!C13</f>
        <v>192.168.88.1/28</v>
      </c>
      <c r="I19" s="1"/>
    </row>
    <row r="20" spans="1:9" ht="18.5" x14ac:dyDescent="0.45">
      <c r="A20" t="s">
        <v>144</v>
      </c>
      <c r="B20" t="s">
        <v>145</v>
      </c>
      <c r="I20" s="1"/>
    </row>
    <row r="21" spans="1:9" ht="18.5" x14ac:dyDescent="0.45">
      <c r="A21" t="s">
        <v>146</v>
      </c>
      <c r="B21">
        <v>3</v>
      </c>
      <c r="I21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112</v>
      </c>
      <c r="B1" t="s">
        <v>112</v>
      </c>
      <c r="C1" t="s">
        <v>112</v>
      </c>
      <c r="D1" t="s">
        <v>112</v>
      </c>
      <c r="E1" t="s">
        <v>112</v>
      </c>
      <c r="F1" t="s">
        <v>133</v>
      </c>
    </row>
    <row r="2" spans="1:6" x14ac:dyDescent="0.35">
      <c r="A2" t="s">
        <v>16</v>
      </c>
      <c r="B2" t="s">
        <v>46</v>
      </c>
      <c r="C2" t="s">
        <v>50</v>
      </c>
      <c r="D2" t="s">
        <v>52</v>
      </c>
      <c r="E2" t="s">
        <v>68</v>
      </c>
      <c r="F2" t="s">
        <v>134</v>
      </c>
    </row>
    <row r="3" spans="1:6" x14ac:dyDescent="0.35">
      <c r="A3" t="s">
        <v>17</v>
      </c>
      <c r="B3" t="s">
        <v>47</v>
      </c>
      <c r="C3" t="s">
        <v>51</v>
      </c>
      <c r="D3" t="s">
        <v>53</v>
      </c>
      <c r="E3" t="s">
        <v>69</v>
      </c>
    </row>
    <row r="4" spans="1:6" x14ac:dyDescent="0.35">
      <c r="A4" t="s">
        <v>18</v>
      </c>
      <c r="B4" t="s">
        <v>48</v>
      </c>
      <c r="C4" t="s">
        <v>54</v>
      </c>
      <c r="E4" t="s">
        <v>15</v>
      </c>
    </row>
    <row r="5" spans="1:6" x14ac:dyDescent="0.35">
      <c r="A5" t="s">
        <v>19</v>
      </c>
      <c r="B5" t="s">
        <v>49</v>
      </c>
      <c r="E5" t="s">
        <v>90</v>
      </c>
    </row>
    <row r="6" spans="1:6" x14ac:dyDescent="0.35">
      <c r="A6" t="s">
        <v>20</v>
      </c>
      <c r="E6" t="s">
        <v>16</v>
      </c>
    </row>
    <row r="7" spans="1:6" x14ac:dyDescent="0.35">
      <c r="A7" t="s">
        <v>37</v>
      </c>
      <c r="E7" t="s">
        <v>17</v>
      </c>
    </row>
    <row r="8" spans="1:6" x14ac:dyDescent="0.35">
      <c r="A8" t="s">
        <v>13</v>
      </c>
      <c r="E8" t="s">
        <v>70</v>
      </c>
    </row>
    <row r="9" spans="1:6" x14ac:dyDescent="0.35">
      <c r="A9" t="s">
        <v>38</v>
      </c>
      <c r="E9" t="s">
        <v>18</v>
      </c>
    </row>
    <row r="10" spans="1:6" x14ac:dyDescent="0.35">
      <c r="A10" t="s">
        <v>39</v>
      </c>
      <c r="E10" t="s">
        <v>100</v>
      </c>
    </row>
    <row r="11" spans="1:6" x14ac:dyDescent="0.35">
      <c r="A11" t="s">
        <v>23</v>
      </c>
      <c r="E11" t="s">
        <v>71</v>
      </c>
    </row>
    <row r="12" spans="1:6" x14ac:dyDescent="0.35">
      <c r="A12" t="s">
        <v>24</v>
      </c>
      <c r="E12" t="s">
        <v>19</v>
      </c>
    </row>
    <row r="13" spans="1:6" x14ac:dyDescent="0.35">
      <c r="A13" t="s">
        <v>27</v>
      </c>
      <c r="E13" t="s">
        <v>20</v>
      </c>
    </row>
    <row r="14" spans="1:6" x14ac:dyDescent="0.35">
      <c r="A14" t="s">
        <v>28</v>
      </c>
      <c r="E14" t="s">
        <v>25</v>
      </c>
    </row>
    <row r="15" spans="1:6" x14ac:dyDescent="0.35">
      <c r="A15" t="s">
        <v>40</v>
      </c>
      <c r="E15" t="s">
        <v>37</v>
      </c>
    </row>
    <row r="16" spans="1:6" x14ac:dyDescent="0.35">
      <c r="A16" t="s">
        <v>21</v>
      </c>
      <c r="E16" t="s">
        <v>62</v>
      </c>
    </row>
    <row r="17" spans="1:5" x14ac:dyDescent="0.35">
      <c r="A17" t="s">
        <v>12</v>
      </c>
      <c r="E17" t="s">
        <v>88</v>
      </c>
    </row>
    <row r="18" spans="1:5" x14ac:dyDescent="0.35">
      <c r="A18" t="s">
        <v>41</v>
      </c>
      <c r="E18" t="s">
        <v>13</v>
      </c>
    </row>
    <row r="19" spans="1:5" x14ac:dyDescent="0.35">
      <c r="A19" t="s">
        <v>14</v>
      </c>
      <c r="E19" t="s">
        <v>84</v>
      </c>
    </row>
    <row r="20" spans="1:5" x14ac:dyDescent="0.35">
      <c r="A20" t="s">
        <v>32</v>
      </c>
      <c r="E20" t="s">
        <v>38</v>
      </c>
    </row>
    <row r="21" spans="1:5" x14ac:dyDescent="0.35">
      <c r="A21" t="s">
        <v>35</v>
      </c>
      <c r="E21" t="s">
        <v>39</v>
      </c>
    </row>
    <row r="22" spans="1:5" x14ac:dyDescent="0.35">
      <c r="A22" t="s">
        <v>36</v>
      </c>
      <c r="E22" t="s">
        <v>63</v>
      </c>
    </row>
    <row r="23" spans="1:5" x14ac:dyDescent="0.35">
      <c r="A23" t="s">
        <v>22</v>
      </c>
      <c r="E23" t="s">
        <v>61</v>
      </c>
    </row>
    <row r="24" spans="1:5" x14ac:dyDescent="0.35">
      <c r="A24" t="s">
        <v>43</v>
      </c>
      <c r="E24" t="s">
        <v>85</v>
      </c>
    </row>
    <row r="25" spans="1:5" x14ac:dyDescent="0.35">
      <c r="A25" t="s">
        <v>44</v>
      </c>
      <c r="E25" t="s">
        <v>72</v>
      </c>
    </row>
    <row r="26" spans="1:5" x14ac:dyDescent="0.35">
      <c r="E26" t="s">
        <v>73</v>
      </c>
    </row>
    <row r="27" spans="1:5" x14ac:dyDescent="0.35">
      <c r="E27" t="s">
        <v>23</v>
      </c>
    </row>
    <row r="28" spans="1:5" x14ac:dyDescent="0.35">
      <c r="E28" t="s">
        <v>94</v>
      </c>
    </row>
    <row r="29" spans="1:5" x14ac:dyDescent="0.35">
      <c r="E29" t="s">
        <v>74</v>
      </c>
    </row>
    <row r="30" spans="1:5" x14ac:dyDescent="0.35">
      <c r="E30" t="s">
        <v>95</v>
      </c>
    </row>
    <row r="31" spans="1:5" x14ac:dyDescent="0.35">
      <c r="E31" t="s">
        <v>24</v>
      </c>
    </row>
    <row r="32" spans="1:5" x14ac:dyDescent="0.35">
      <c r="E32" t="s">
        <v>75</v>
      </c>
    </row>
    <row r="33" spans="5:5" x14ac:dyDescent="0.35">
      <c r="E33" t="s">
        <v>76</v>
      </c>
    </row>
    <row r="34" spans="5:5" x14ac:dyDescent="0.35">
      <c r="E34" t="s">
        <v>77</v>
      </c>
    </row>
    <row r="35" spans="5:5" x14ac:dyDescent="0.35">
      <c r="E35" t="s">
        <v>27</v>
      </c>
    </row>
    <row r="36" spans="5:5" x14ac:dyDescent="0.35">
      <c r="E36" t="s">
        <v>28</v>
      </c>
    </row>
    <row r="37" spans="5:5" x14ac:dyDescent="0.35">
      <c r="E37" t="s">
        <v>91</v>
      </c>
    </row>
    <row r="38" spans="5:5" x14ac:dyDescent="0.35">
      <c r="E38" t="s">
        <v>87</v>
      </c>
    </row>
    <row r="39" spans="5:5" x14ac:dyDescent="0.35">
      <c r="E39" t="s">
        <v>78</v>
      </c>
    </row>
    <row r="40" spans="5:5" x14ac:dyDescent="0.35">
      <c r="E40" t="s">
        <v>29</v>
      </c>
    </row>
    <row r="41" spans="5:5" x14ac:dyDescent="0.35">
      <c r="E41" t="s">
        <v>92</v>
      </c>
    </row>
    <row r="42" spans="5:5" x14ac:dyDescent="0.35">
      <c r="E42" t="s">
        <v>40</v>
      </c>
    </row>
    <row r="43" spans="5:5" x14ac:dyDescent="0.35">
      <c r="E43" t="s">
        <v>64</v>
      </c>
    </row>
    <row r="44" spans="5:5" x14ac:dyDescent="0.35">
      <c r="E44" t="s">
        <v>21</v>
      </c>
    </row>
    <row r="45" spans="5:5" x14ac:dyDescent="0.35">
      <c r="E45" t="s">
        <v>79</v>
      </c>
    </row>
    <row r="46" spans="5:5" x14ac:dyDescent="0.35">
      <c r="E46" t="s">
        <v>30</v>
      </c>
    </row>
    <row r="47" spans="5:5" x14ac:dyDescent="0.35">
      <c r="E47" t="s">
        <v>96</v>
      </c>
    </row>
    <row r="48" spans="5:5" x14ac:dyDescent="0.35">
      <c r="E48" t="s">
        <v>101</v>
      </c>
    </row>
    <row r="49" spans="5:5" x14ac:dyDescent="0.35">
      <c r="E49" t="s">
        <v>31</v>
      </c>
    </row>
    <row r="50" spans="5:5" x14ac:dyDescent="0.35">
      <c r="E50" t="s">
        <v>80</v>
      </c>
    </row>
    <row r="51" spans="5:5" x14ac:dyDescent="0.35">
      <c r="E51" t="s">
        <v>81</v>
      </c>
    </row>
    <row r="52" spans="5:5" x14ac:dyDescent="0.35">
      <c r="E52" t="s">
        <v>12</v>
      </c>
    </row>
    <row r="53" spans="5:5" x14ac:dyDescent="0.35">
      <c r="E53" t="s">
        <v>89</v>
      </c>
    </row>
    <row r="54" spans="5:5" x14ac:dyDescent="0.35">
      <c r="E54" t="s">
        <v>41</v>
      </c>
    </row>
    <row r="55" spans="5:5" x14ac:dyDescent="0.35">
      <c r="E55" t="s">
        <v>65</v>
      </c>
    </row>
    <row r="56" spans="5:5" x14ac:dyDescent="0.35">
      <c r="E56" t="s">
        <v>86</v>
      </c>
    </row>
    <row r="57" spans="5:5" x14ac:dyDescent="0.35">
      <c r="E57" t="s">
        <v>26</v>
      </c>
    </row>
    <row r="58" spans="5:5" x14ac:dyDescent="0.35">
      <c r="E58" t="s">
        <v>14</v>
      </c>
    </row>
    <row r="59" spans="5:5" x14ac:dyDescent="0.35">
      <c r="E59" t="s">
        <v>32</v>
      </c>
    </row>
    <row r="60" spans="5:5" x14ac:dyDescent="0.35">
      <c r="E60" t="s">
        <v>97</v>
      </c>
    </row>
    <row r="61" spans="5:5" x14ac:dyDescent="0.35">
      <c r="E61" t="s">
        <v>82</v>
      </c>
    </row>
    <row r="62" spans="5:5" x14ac:dyDescent="0.35">
      <c r="E62" t="s">
        <v>33</v>
      </c>
    </row>
    <row r="63" spans="5:5" x14ac:dyDescent="0.35">
      <c r="E63" t="s">
        <v>98</v>
      </c>
    </row>
    <row r="64" spans="5:5" x14ac:dyDescent="0.35">
      <c r="E64" t="s">
        <v>99</v>
      </c>
    </row>
    <row r="65" spans="5:5" x14ac:dyDescent="0.35">
      <c r="E65" t="s">
        <v>34</v>
      </c>
    </row>
    <row r="66" spans="5:5" x14ac:dyDescent="0.35">
      <c r="E66" t="s">
        <v>35</v>
      </c>
    </row>
    <row r="67" spans="5:5" x14ac:dyDescent="0.35">
      <c r="E67" t="s">
        <v>36</v>
      </c>
    </row>
    <row r="68" spans="5:5" x14ac:dyDescent="0.35">
      <c r="E68" t="s">
        <v>83</v>
      </c>
    </row>
    <row r="69" spans="5:5" x14ac:dyDescent="0.35">
      <c r="E69" t="s">
        <v>42</v>
      </c>
    </row>
    <row r="70" spans="5:5" x14ac:dyDescent="0.35">
      <c r="E70" t="s">
        <v>22</v>
      </c>
    </row>
    <row r="71" spans="5:5" x14ac:dyDescent="0.35">
      <c r="E71" t="s">
        <v>93</v>
      </c>
    </row>
    <row r="72" spans="5:5" x14ac:dyDescent="0.35">
      <c r="E72" t="s">
        <v>43</v>
      </c>
    </row>
    <row r="73" spans="5:5" x14ac:dyDescent="0.35">
      <c r="E73" t="s">
        <v>66</v>
      </c>
    </row>
    <row r="74" spans="5:5" x14ac:dyDescent="0.35">
      <c r="E74" t="s">
        <v>44</v>
      </c>
    </row>
    <row r="75" spans="5:5" x14ac:dyDescent="0.35">
      <c r="E75" t="s">
        <v>67</v>
      </c>
    </row>
    <row r="76" spans="5:5" x14ac:dyDescent="0.35">
      <c r="E76" t="s">
        <v>45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General</vt:lpstr>
      <vt:lpstr>Azure Backbone Connectivity</vt:lpstr>
      <vt:lpstr>OnPremConnectivity</vt:lpstr>
      <vt:lpstr>On-Prem ExR Details</vt:lpstr>
      <vt:lpstr>ARCForAVS</vt:lpstr>
      <vt:lpstr>variables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2023-02-19T19:39:25Z</dcterms:modified>
</cp:coreProperties>
</file>