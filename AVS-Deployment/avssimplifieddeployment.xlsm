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4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microsoft-my.sharepoint.com/personal/tredavis_microsoft_com/Documents/GitHub/Azure VMware Solution/AVS-Deployment/"/>
    </mc:Choice>
  </mc:AlternateContent>
  <xr:revisionPtr revIDLastSave="293" documentId="13_ncr:1_{38997E45-5426-418F-A624-F9E9C1D5DFE6}" xr6:coauthVersionLast="47" xr6:coauthVersionMax="47" xr10:uidLastSave="{AC0CACB0-4215-415A-8E9A-4EDD35D55B60}"/>
  <bookViews>
    <workbookView xWindow="-110" yWindow="-110" windowWidth="24220" windowHeight="15500" tabRatio="762" activeTab="2" xr2:uid="{5967691A-8360-43DC-A1D4-F25DD7306A75}"/>
  </bookViews>
  <sheets>
    <sheet name="ReadMe" sheetId="11" r:id="rId1"/>
    <sheet name="General" sheetId="1" r:id="rId2"/>
    <sheet name="Azure Backbone Connectivity" sheetId="10" r:id="rId3"/>
    <sheet name="On-Prem ExR Details" sheetId="8" r:id="rId4"/>
    <sheet name="ARCForAVS" sheetId="9" r:id="rId5"/>
    <sheet name="variables" sheetId="3" r:id="rId6"/>
    <sheet name="Sheet2" sheetId="2" state="hidden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7" i="10" l="1"/>
  <c r="B16" i="10"/>
  <c r="B14" i="10"/>
  <c r="B13" i="10"/>
  <c r="D13" i="10"/>
  <c r="D12" i="10"/>
  <c r="D15" i="10"/>
  <c r="D17" i="10"/>
  <c r="D16" i="10"/>
  <c r="B7" i="3"/>
  <c r="B5" i="3"/>
  <c r="B6" i="3"/>
  <c r="C23" i="9"/>
  <c r="B19" i="3"/>
  <c r="B18" i="3"/>
  <c r="B17" i="3"/>
  <c r="B16" i="3"/>
  <c r="B15" i="3"/>
  <c r="B14" i="3"/>
  <c r="B13" i="3"/>
  <c r="B12" i="3"/>
  <c r="B11" i="3"/>
  <c r="B10" i="3"/>
  <c r="B9" i="3"/>
  <c r="B8" i="3"/>
  <c r="D14" i="10" l="1"/>
  <c r="B4" i="3"/>
  <c r="B3" i="3"/>
  <c r="B2" i="3"/>
  <c r="B1" i="3"/>
</calcChain>
</file>

<file path=xl/sharedStrings.xml><?xml version="1.0" encoding="utf-8"?>
<sst xmlns="http://schemas.openxmlformats.org/spreadsheetml/2006/main" count="195" uniqueCount="156">
  <si>
    <t>Subscription ID</t>
  </si>
  <si>
    <t>Region</t>
  </si>
  <si>
    <t>Which region will AVS be deployed?</t>
  </si>
  <si>
    <t>AVS Resource Group</t>
  </si>
  <si>
    <t>What resource group should AVS be deployed into?  If this resource group does not exist it will be created.</t>
  </si>
  <si>
    <t>AVS Private Cloud Name</t>
  </si>
  <si>
    <t>What should the AVS private cloud be named?</t>
  </si>
  <si>
    <t>Network Block (/22)</t>
  </si>
  <si>
    <t>Put in a /22 network block which does not currently exist in Azure or anywhere else, including any of your on-prem infrastructure.  Input MUST BE in this format - x.x.x.0/22 - For more details see https://learn.microsoft.com/en-us/azure/azure-vmware/plan-private-cloud-deployment#define-the-ip-address-segment-for-private-cloud-management</t>
  </si>
  <si>
    <t>AVS SKU Type</t>
  </si>
  <si>
    <t>How does Azure connect to the on-premises environment?</t>
  </si>
  <si>
    <t>ExpressRoute Gateway</t>
  </si>
  <si>
    <t>South Africa North</t>
  </si>
  <si>
    <t>East Asia</t>
  </si>
  <si>
    <t>Southeast Asia</t>
  </si>
  <si>
    <t>Australia Central</t>
  </si>
  <si>
    <t>Australia East</t>
  </si>
  <si>
    <t>Australia Southeast</t>
  </si>
  <si>
    <t>Brazil South</t>
  </si>
  <si>
    <t>Canada Central</t>
  </si>
  <si>
    <t>Canada East</t>
  </si>
  <si>
    <t>North Europe</t>
  </si>
  <si>
    <t>West Europe</t>
  </si>
  <si>
    <t>France Central</t>
  </si>
  <si>
    <t>Germany West Central</t>
  </si>
  <si>
    <t>Central India</t>
  </si>
  <si>
    <t>South India</t>
  </si>
  <si>
    <t>Japan East</t>
  </si>
  <si>
    <t>Japan West</t>
  </si>
  <si>
    <t>Korea Central</t>
  </si>
  <si>
    <t>Norway East</t>
  </si>
  <si>
    <t>Qatar Central</t>
  </si>
  <si>
    <t>Sweden Central</t>
  </si>
  <si>
    <t>Switzerland North</t>
  </si>
  <si>
    <t>UAE North</t>
  </si>
  <si>
    <t>UK South</t>
  </si>
  <si>
    <t>UK West</t>
  </si>
  <si>
    <t>Central US</t>
  </si>
  <si>
    <t>East US</t>
  </si>
  <si>
    <t>East US 2</t>
  </si>
  <si>
    <t>North Central US</t>
  </si>
  <si>
    <t>South Central US</t>
  </si>
  <si>
    <t>West Central US</t>
  </si>
  <si>
    <t>West US</t>
  </si>
  <si>
    <t>West US 2</t>
  </si>
  <si>
    <t>West US 3</t>
  </si>
  <si>
    <t>AV36</t>
  </si>
  <si>
    <t>AV36P</t>
  </si>
  <si>
    <t>AV52</t>
  </si>
  <si>
    <t>30 Day Trial (Must Be Pre-Approved)</t>
  </si>
  <si>
    <t>ExpressRoute</t>
  </si>
  <si>
    <t>VPN/SD-WAN</t>
  </si>
  <si>
    <t>New</t>
  </si>
  <si>
    <t>Existing</t>
  </si>
  <si>
    <t>It dosen't</t>
  </si>
  <si>
    <t>What is the subscription ID where the on-premises ExpressRoute Circuit is deployed?</t>
  </si>
  <si>
    <t>On-Prem ExpressRoute Circuit Details</t>
  </si>
  <si>
    <t>Resource Group</t>
  </si>
  <si>
    <t>ExpressRoute Gateway Name</t>
  </si>
  <si>
    <t>East US 2 EUAP</t>
  </si>
  <si>
    <t>Central US (Stage)</t>
  </si>
  <si>
    <t>East US 2 (Stage)</t>
  </si>
  <si>
    <t>North Central US (Stage)</t>
  </si>
  <si>
    <t>South Central US (Stage)</t>
  </si>
  <si>
    <t>West US (Stage)</t>
  </si>
  <si>
    <t>West US 2 (Stage)</t>
  </si>
  <si>
    <t>Asia Pacific</t>
  </si>
  <si>
    <t>Australia</t>
  </si>
  <si>
    <t>Brazil</t>
  </si>
  <si>
    <t>Canada</t>
  </si>
  <si>
    <t>Europe</t>
  </si>
  <si>
    <t>France</t>
  </si>
  <si>
    <t>Germany</t>
  </si>
  <si>
    <t>Global</t>
  </si>
  <si>
    <t>India</t>
  </si>
  <si>
    <t>Japan</t>
  </si>
  <si>
    <t>Korea</t>
  </si>
  <si>
    <t>Norway</t>
  </si>
  <si>
    <t>Singapore</t>
  </si>
  <si>
    <t>South Africa</t>
  </si>
  <si>
    <t>Switzerland</t>
  </si>
  <si>
    <t>United States</t>
  </si>
  <si>
    <t>East Asia (Stage)</t>
  </si>
  <si>
    <t>East US STG</t>
  </si>
  <si>
    <t>South Central US STG</t>
  </si>
  <si>
    <t>Jio India West</t>
  </si>
  <si>
    <t>Central US EUAP</t>
  </si>
  <si>
    <t>South Africa West</t>
  </si>
  <si>
    <t>Australia Central 2</t>
  </si>
  <si>
    <t>Jio India Central</t>
  </si>
  <si>
    <t>Korea South</t>
  </si>
  <si>
    <t>West India</t>
  </si>
  <si>
    <t>France South</t>
  </si>
  <si>
    <t>Germany North</t>
  </si>
  <si>
    <t>Norway West</t>
  </si>
  <si>
    <t>Sweden South</t>
  </si>
  <si>
    <t>Switzerland West</t>
  </si>
  <si>
    <t>UAE Central</t>
  </si>
  <si>
    <t>Brazil Southeast</t>
  </si>
  <si>
    <t>Poland Central</t>
  </si>
  <si>
    <t>GatewaySubnet Address Space</t>
  </si>
  <si>
    <t>General</t>
  </si>
  <si>
    <t>What is the name of the on-premises ExpressRoute Circuit?</t>
  </si>
  <si>
    <t>Put in the subscription ID where the Azure VMware Solution Private Cloud will be deployed?</t>
  </si>
  <si>
    <t>ExpressRoute Circuit Name</t>
  </si>
  <si>
    <t>What resource group does the on-prem ExpressRoute exist?</t>
  </si>
  <si>
    <t>AVS Connectivity to Azure Backbone</t>
  </si>
  <si>
    <t xml:space="preserve"> --Make Selection--</t>
  </si>
  <si>
    <t>$avssub</t>
  </si>
  <si>
    <t>$regionfordeployment</t>
  </si>
  <si>
    <t>$avsrgname</t>
  </si>
  <si>
    <t>$pcname</t>
  </si>
  <si>
    <t>$avsaddressblock</t>
  </si>
  <si>
    <t>$avssku</t>
  </si>
  <si>
    <t>$onpremconnectivity</t>
  </si>
  <si>
    <t>$exrgwneworexisting</t>
  </si>
  <si>
    <t>$OnPremExpressRouteCircuitSub</t>
  </si>
  <si>
    <t>$nameofonpremexrcircuit</t>
  </si>
  <si>
    <t>$rgofonpremexrcircuit</t>
  </si>
  <si>
    <t>$exrgwsub</t>
  </si>
  <si>
    <t>$exrvnetname</t>
  </si>
  <si>
    <t>$exrgwname</t>
  </si>
  <si>
    <t>$exrgwrg</t>
  </si>
  <si>
    <t>$exrgwregion</t>
  </si>
  <si>
    <t>$gatewaysubnetaddressspace</t>
  </si>
  <si>
    <t>Which AVS SKU would you like to deploy?</t>
  </si>
  <si>
    <t>Deploy ARC for AVS</t>
  </si>
  <si>
    <t>Yes</t>
  </si>
  <si>
    <t>No</t>
  </si>
  <si>
    <t>Network for ARC for AVS</t>
  </si>
  <si>
    <t>This is a network which will be created on the Azure VMware Solution Private Cloud, i.e., an NSX Segment in the cluster.  It must be a /28 network segment.  Input a unique network segment which does not exist anywhere on-premises or within your Azure environment.  Must be in this format, x.x.x.1./28</t>
  </si>
  <si>
    <t>$deployarc</t>
  </si>
  <si>
    <t>$networkCIDRForApplianceVM</t>
  </si>
  <si>
    <t>Azure ARC for AVS</t>
  </si>
  <si>
    <t>Azure VMware Solution
Simplified Deployment</t>
  </si>
  <si>
    <t>On Prem Connectivity Method</t>
  </si>
  <si>
    <t>Would you like to deploy ARC for AVS</t>
  </si>
  <si>
    <t>$internet</t>
  </si>
  <si>
    <t>Enabled</t>
  </si>
  <si>
    <t>$numberofhosts</t>
  </si>
  <si>
    <t>Example: 11XXXXXX-6ce4-XXXX-bd92-XXXX930beXXX</t>
  </si>
  <si>
    <t xml:space="preserve"> --Make Selection</t>
  </si>
  <si>
    <t>Example: myavsresourcegroup</t>
  </si>
  <si>
    <t>Example: myavsprivatecloud</t>
  </si>
  <si>
    <t>Example: 10.0.4.0/22</t>
  </si>
  <si>
    <t>Example: MyExRvNet</t>
  </si>
  <si>
    <t>Example: myAVSvNetGateway</t>
  </si>
  <si>
    <t>Example: ExRGWResourceGroup</t>
  </si>
  <si>
    <t>Example: 10.55.2.0/24</t>
  </si>
  <si>
    <t>Example: MyOnPremCircuit</t>
  </si>
  <si>
    <t>Example: ProdResourceGroup</t>
  </si>
  <si>
    <t>Example: 192.168.10.1/28</t>
  </si>
  <si>
    <t>The prereqs for running this tool are as follows;
- PowerShell v7.0 or above
- Microsoft Excel
- Az CLI
- Az.VMware Powershell module
Launch the Shortcut 
Start on the General tab, input the values and navigate through the tabs w/ the Next / Previous buttons.
On the final tab choose Save &amp; Close, which will then kickoff the deployment of Azure VMware Solution</t>
  </si>
  <si>
    <t xml:space="preserve">Because you are creating a new ExpressRoute Gateway in the vNet documented in cell B14, you will need to identify the subnet for the GatewaySubnet.  The subnet needs to be documented in this format x.x.x.x/x. </t>
  </si>
  <si>
    <t>Do you want to re-use an existing ExpressRoute Gateway to connect AVS to the Azure backbone?  Typically the one which has your on-premises ExpressRoute is re-used for AVS, but if a new one is desired, or you don't already have one, new ExpressRoute Gateway can be created</t>
  </si>
  <si>
    <t>These fields are not relevant because the on-premises environment does not connect using an ExpressRoute.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</si>
</sst>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14"/>
      <color rgb="FFFF0000"/>
      <name val="Calibri"/>
      <family val="2"/>
      <scheme val="minor"/>
    </font>
    <font>
      <sz val="14"/>
      <color theme="1"/>
      <name val="Tenorite"/>
    </font>
    <font>
      <i/>
      <sz val="14"/>
      <color theme="1"/>
      <name val="Tenorite"/>
    </font>
    <font>
      <b/>
      <u/>
      <sz val="16"/>
      <color theme="1"/>
      <name val="Tenorite"/>
    </font>
    <font>
      <sz val="48"/>
      <color theme="0"/>
      <name val="Tenorite"/>
    </font>
    <font>
      <b/>
      <u/>
      <sz val="18"/>
      <color theme="1"/>
      <name val="Tenorite"/>
    </font>
    <font>
      <sz val="14"/>
      <color rgb="FF737373"/>
      <name val="Tenorite"/>
    </font>
    <font>
      <sz val="14"/>
      <color rgb="FFFF0000"/>
      <name val="Tenorite"/>
    </font>
  </fonts>
  <fills count="5">
    <fill>
      <patternFill patternType="none"/>
    </fill>
    <fill>
      <patternFill patternType="gray125"/>
    </fill>
    <fill>
      <patternFill patternType="solid">
        <fgColor rgb="FF00A1F1"/>
        <bgColor indexed="64"/>
      </patternFill>
    </fill>
    <fill>
      <patternFill patternType="solid">
        <fgColor rgb="FF737373"/>
        <bgColor indexed="64"/>
      </patternFill>
    </fill>
    <fill>
      <patternFill patternType="solid">
        <fgColor theme="9" tint="0.39997558519241921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tted">
        <color auto="1"/>
      </left>
      <right style="dotted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54">
    <xf numFmtId="0" fontId="0" fillId="0" borderId="0" xfId="0"/>
    <xf numFmtId="0" fontId="1" fillId="0" borderId="0" xfId="0" applyFont="1"/>
    <xf numFmtId="49" fontId="1" fillId="0" borderId="0" xfId="0" applyNumberFormat="1" applyFont="1"/>
    <xf numFmtId="0" fontId="2" fillId="4" borderId="1" xfId="0" applyFont="1" applyFill="1" applyBorder="1" applyAlignment="1" applyProtection="1">
      <alignment vertical="center"/>
      <protection locked="0"/>
    </xf>
    <xf numFmtId="0" fontId="2" fillId="4" borderId="2" xfId="0" applyFont="1" applyFill="1" applyBorder="1" applyAlignment="1" applyProtection="1">
      <alignment vertical="center"/>
      <protection locked="0"/>
    </xf>
    <xf numFmtId="0" fontId="2" fillId="4" borderId="18" xfId="0" applyFont="1" applyFill="1" applyBorder="1" applyAlignment="1" applyProtection="1">
      <alignment horizontal="left" vertical="center"/>
      <protection locked="0"/>
    </xf>
    <xf numFmtId="0" fontId="2" fillId="4" borderId="2" xfId="0" applyFont="1" applyFill="1" applyBorder="1" applyProtection="1">
      <protection locked="0"/>
    </xf>
    <xf numFmtId="0" fontId="2" fillId="4" borderId="2" xfId="0" applyFont="1" applyFill="1" applyBorder="1" applyAlignment="1" applyProtection="1">
      <alignment horizontal="left" vertical="center"/>
      <protection locked="0"/>
    </xf>
    <xf numFmtId="0" fontId="2" fillId="3" borderId="0" xfId="0" applyFont="1" applyFill="1" applyProtection="1"/>
    <xf numFmtId="0" fontId="5" fillId="2" borderId="3" xfId="0" applyFont="1" applyFill="1" applyBorder="1" applyAlignment="1" applyProtection="1">
      <alignment horizontal="center" vertical="center" wrapText="1"/>
    </xf>
    <xf numFmtId="0" fontId="5" fillId="2" borderId="4" xfId="0" applyFont="1" applyFill="1" applyBorder="1" applyAlignment="1" applyProtection="1">
      <alignment horizontal="center" vertical="center" wrapText="1"/>
    </xf>
    <xf numFmtId="0" fontId="5" fillId="2" borderId="5" xfId="0" applyFont="1" applyFill="1" applyBorder="1" applyAlignment="1" applyProtection="1">
      <alignment horizontal="center" vertical="center" wrapText="1"/>
    </xf>
    <xf numFmtId="0" fontId="2" fillId="0" borderId="0" xfId="0" applyFont="1" applyProtection="1"/>
    <xf numFmtId="0" fontId="5" fillId="2" borderId="6" xfId="0" applyFont="1" applyFill="1" applyBorder="1" applyAlignment="1" applyProtection="1">
      <alignment horizontal="center" vertical="center" wrapText="1"/>
    </xf>
    <xf numFmtId="0" fontId="5" fillId="2" borderId="0" xfId="0" applyFont="1" applyFill="1" applyAlignment="1" applyProtection="1">
      <alignment horizontal="center" vertical="center" wrapText="1"/>
    </xf>
    <xf numFmtId="0" fontId="5" fillId="2" borderId="10" xfId="0" applyFont="1" applyFill="1" applyBorder="1" applyAlignment="1" applyProtection="1">
      <alignment horizontal="center" vertical="center" wrapText="1"/>
    </xf>
    <xf numFmtId="0" fontId="5" fillId="2" borderId="7" xfId="0" applyFont="1" applyFill="1" applyBorder="1" applyAlignment="1" applyProtection="1">
      <alignment horizontal="center" vertical="center" wrapText="1"/>
    </xf>
    <xf numFmtId="0" fontId="5" fillId="2" borderId="8" xfId="0" applyFont="1" applyFill="1" applyBorder="1" applyAlignment="1" applyProtection="1">
      <alignment horizontal="center" vertical="center" wrapText="1"/>
    </xf>
    <xf numFmtId="0" fontId="5" fillId="2" borderId="9" xfId="0" applyFont="1" applyFill="1" applyBorder="1" applyAlignment="1" applyProtection="1">
      <alignment horizontal="center" vertical="center" wrapText="1"/>
    </xf>
    <xf numFmtId="0" fontId="2" fillId="3" borderId="0" xfId="0" applyFont="1" applyFill="1" applyAlignment="1" applyProtection="1">
      <alignment wrapText="1"/>
    </xf>
    <xf numFmtId="0" fontId="6" fillId="4" borderId="3" xfId="0" applyFont="1" applyFill="1" applyBorder="1" applyAlignment="1" applyProtection="1">
      <alignment horizontal="center"/>
    </xf>
    <xf numFmtId="0" fontId="6" fillId="4" borderId="4" xfId="0" applyFont="1" applyFill="1" applyBorder="1" applyAlignment="1" applyProtection="1">
      <alignment horizontal="center"/>
    </xf>
    <xf numFmtId="0" fontId="6" fillId="4" borderId="5" xfId="0" applyFont="1" applyFill="1" applyBorder="1" applyAlignment="1" applyProtection="1">
      <alignment horizontal="center"/>
    </xf>
    <xf numFmtId="0" fontId="4" fillId="4" borderId="6" xfId="0" applyFont="1" applyFill="1" applyBorder="1" applyProtection="1"/>
    <xf numFmtId="0" fontId="2" fillId="4" borderId="0" xfId="0" applyFont="1" applyFill="1" applyProtection="1"/>
    <xf numFmtId="0" fontId="2" fillId="4" borderId="10" xfId="0" applyFont="1" applyFill="1" applyBorder="1" applyAlignment="1" applyProtection="1">
      <alignment wrapText="1"/>
    </xf>
    <xf numFmtId="0" fontId="2" fillId="4" borderId="11" xfId="0" applyFont="1" applyFill="1" applyBorder="1" applyAlignment="1" applyProtection="1">
      <alignment vertical="center"/>
    </xf>
    <xf numFmtId="0" fontId="3" fillId="4" borderId="12" xfId="0" applyFont="1" applyFill="1" applyBorder="1" applyAlignment="1" applyProtection="1">
      <alignment vertical="center" wrapText="1"/>
    </xf>
    <xf numFmtId="0" fontId="2" fillId="4" borderId="13" xfId="0" applyFont="1" applyFill="1" applyBorder="1" applyAlignment="1" applyProtection="1">
      <alignment vertical="center"/>
    </xf>
    <xf numFmtId="0" fontId="3" fillId="4" borderId="14" xfId="0" applyFont="1" applyFill="1" applyBorder="1" applyAlignment="1" applyProtection="1">
      <alignment vertical="center" wrapText="1"/>
    </xf>
    <xf numFmtId="0" fontId="2" fillId="3" borderId="0" xfId="0" applyFont="1" applyFill="1" applyAlignment="1" applyProtection="1">
      <alignment horizontal="center"/>
    </xf>
    <xf numFmtId="0" fontId="2" fillId="0" borderId="0" xfId="0" applyFont="1" applyAlignment="1" applyProtection="1">
      <alignment wrapText="1"/>
    </xf>
    <xf numFmtId="0" fontId="2" fillId="4" borderId="13" xfId="0" applyFont="1" applyFill="1" applyBorder="1" applyAlignment="1" applyProtection="1">
      <alignment horizontal="left" vertical="center"/>
    </xf>
    <xf numFmtId="0" fontId="6" fillId="4" borderId="3" xfId="0" applyFont="1" applyFill="1" applyBorder="1" applyAlignment="1" applyProtection="1">
      <alignment horizontal="center" vertical="center"/>
    </xf>
    <xf numFmtId="0" fontId="6" fillId="4" borderId="4" xfId="0" applyFont="1" applyFill="1" applyBorder="1" applyAlignment="1" applyProtection="1">
      <alignment horizontal="center" vertical="center"/>
    </xf>
    <xf numFmtId="0" fontId="6" fillId="4" borderId="5" xfId="0" applyFont="1" applyFill="1" applyBorder="1" applyAlignment="1" applyProtection="1">
      <alignment horizontal="center" vertical="center"/>
    </xf>
    <xf numFmtId="0" fontId="2" fillId="4" borderId="6" xfId="0" applyFont="1" applyFill="1" applyBorder="1" applyProtection="1"/>
    <xf numFmtId="0" fontId="3" fillId="4" borderId="14" xfId="0" applyFont="1" applyFill="1" applyBorder="1" applyAlignment="1" applyProtection="1">
      <alignment horizontal="left" vertical="center" wrapText="1"/>
    </xf>
    <xf numFmtId="0" fontId="3" fillId="4" borderId="15" xfId="0" applyFont="1" applyFill="1" applyBorder="1" applyProtection="1"/>
    <xf numFmtId="0" fontId="3" fillId="4" borderId="16" xfId="0" applyFont="1" applyFill="1" applyBorder="1" applyProtection="1"/>
    <xf numFmtId="0" fontId="3" fillId="4" borderId="17" xfId="0" applyFont="1" applyFill="1" applyBorder="1" applyAlignment="1" applyProtection="1">
      <alignment vertical="center" wrapText="1"/>
    </xf>
    <xf numFmtId="0" fontId="7" fillId="3" borderId="0" xfId="0" applyFont="1" applyFill="1" applyAlignment="1" applyProtection="1">
      <alignment horizontal="center" vertical="center"/>
    </xf>
    <xf numFmtId="0" fontId="2" fillId="4" borderId="13" xfId="0" applyFont="1" applyFill="1" applyBorder="1" applyProtection="1"/>
    <xf numFmtId="0" fontId="3" fillId="4" borderId="14" xfId="0" applyFont="1" applyFill="1" applyBorder="1" applyAlignment="1" applyProtection="1">
      <alignment wrapText="1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 wrapText="1"/>
    </xf>
    <xf numFmtId="0" fontId="8" fillId="0" borderId="0" xfId="0" applyFont="1" applyProtection="1"/>
    <xf numFmtId="0" fontId="2" fillId="4" borderId="0" xfId="0" applyFont="1" applyFill="1" applyBorder="1" applyAlignment="1" applyProtection="1">
      <alignment horizontal="left" vertical="center"/>
    </xf>
    <xf numFmtId="0" fontId="2" fillId="4" borderId="0" xfId="0" applyFont="1" applyFill="1" applyBorder="1" applyAlignment="1" applyProtection="1">
      <alignment horizontal="left" vertical="center"/>
      <protection locked="0"/>
    </xf>
    <xf numFmtId="0" fontId="3" fillId="4" borderId="0" xfId="0" applyFont="1" applyFill="1" applyBorder="1" applyAlignment="1" applyProtection="1">
      <alignment vertical="center" wrapText="1"/>
    </xf>
    <xf numFmtId="0" fontId="2" fillId="4" borderId="0" xfId="0" applyFont="1" applyFill="1" applyBorder="1" applyProtection="1"/>
    <xf numFmtId="0" fontId="2" fillId="4" borderId="13" xfId="0" applyFont="1" applyFill="1" applyBorder="1" applyAlignment="1" applyProtection="1">
      <alignment vertical="center" wrapText="1"/>
    </xf>
    <xf numFmtId="0" fontId="2" fillId="4" borderId="15" xfId="0" applyFont="1" applyFill="1" applyBorder="1" applyAlignment="1" applyProtection="1">
      <alignment vertical="center"/>
    </xf>
    <xf numFmtId="0" fontId="2" fillId="4" borderId="16" xfId="0" applyFont="1" applyFill="1" applyBorder="1" applyAlignment="1" applyProtection="1">
      <alignment vertical="center"/>
      <protection locked="0"/>
    </xf>
  </cellXfs>
  <cellStyles count="1">
    <cellStyle name="Normal" xfId="0" builtinId="0"/>
  </cellStyles>
  <dxfs count="17">
    <dxf>
      <numFmt numFmtId="164" formatCode=";;;"/>
      <border>
        <left/>
        <right/>
        <top/>
        <bottom/>
      </border>
    </dxf>
    <dxf>
      <numFmt numFmtId="164" formatCode=";;;"/>
      <border>
        <left/>
        <right/>
        <top/>
        <bottom/>
      </border>
    </dxf>
    <dxf>
      <font>
        <color rgb="FFFF0000"/>
      </font>
      <fill>
        <patternFill>
          <bgColor theme="0"/>
        </patternFill>
      </fill>
    </dxf>
    <dxf>
      <font>
        <color rgb="FFFF0000"/>
      </font>
      <fill>
        <patternFill>
          <bgColor theme="0"/>
        </patternFill>
      </fill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color rgb="FF7CBB00"/>
      </font>
      <numFmt numFmtId="164" formatCode=";;;"/>
    </dxf>
    <dxf>
      <font>
        <b/>
        <i val="0"/>
        <strike val="0"/>
        <color rgb="FFFF0000"/>
      </font>
      <fill>
        <patternFill>
          <bgColor theme="0"/>
        </patternFill>
      </fill>
    </dxf>
    <dxf>
      <font>
        <color rgb="FF7CBB00"/>
      </font>
      <numFmt numFmtId="164" formatCode=";;;"/>
    </dxf>
    <dxf>
      <font>
        <b val="0"/>
        <i/>
        <color theme="0" tint="-0.499984740745262"/>
      </font>
    </dxf>
    <dxf>
      <numFmt numFmtId="164" formatCode=";;;"/>
      <border>
        <left/>
        <right/>
        <top/>
        <bottom/>
      </border>
    </dxf>
    <dxf>
      <numFmt numFmtId="164" formatCode=";;;"/>
      <border>
        <left/>
        <right/>
        <top/>
        <bottom/>
      </border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color rgb="FF7CBB00"/>
      </font>
      <numFmt numFmtId="164" formatCode=";;;"/>
    </dxf>
    <dxf>
      <font>
        <b val="0"/>
        <i/>
        <color theme="0" tint="-0.499984740745262"/>
      </font>
    </dxf>
  </dxfs>
  <tableStyles count="0" defaultTableStyle="TableStyleMedium2" defaultPivotStyle="PivotStyleLight16"/>
  <colors>
    <mruColors>
      <color rgb="FF7CBB00"/>
      <color rgb="FF737373"/>
      <color rgb="FF00A1F1"/>
      <color rgb="FFBDD7EE"/>
      <color rgb="FFF65314"/>
      <color rgb="FFCC99FF"/>
      <color rgb="FFCC66FF"/>
      <color rgb="FFCC00FF"/>
      <color rgb="FFFFBB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8.emf"/><Relationship Id="rId1" Type="http://schemas.openxmlformats.org/officeDocument/2006/relationships/image" Target="../media/image7.emf"/><Relationship Id="rId4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4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Relationship Id="rId4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134469</xdr:colOff>
      <xdr:row>0</xdr:row>
      <xdr:rowOff>21175</xdr:rowOff>
    </xdr:from>
    <xdr:to>
      <xdr:col>1</xdr:col>
      <xdr:colOff>1867647</xdr:colOff>
      <xdr:row>5</xdr:row>
      <xdr:rowOff>390516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8209" b="91045" l="7143" r="92208">
                      <a14:foregroundMark x1="7792" y1="55224" x2="7792" y2="55224"/>
                      <a14:foregroundMark x1="92208" y1="60448" x2="92208" y2="60448"/>
                      <a14:foregroundMark x1="61688" y1="89552" x2="61688" y2="89552"/>
                      <a14:foregroundMark x1="77273" y1="91045" x2="77273" y2="91045"/>
                      <a14:foregroundMark x1="74675" y1="90299" x2="74675" y2="90299"/>
                      <a14:foregroundMark x1="73377" y1="82090" x2="73377" y2="82090"/>
                      <a14:foregroundMark x1="52597" y1="36567" x2="52597" y2="36567"/>
                      <a14:foregroundMark x1="52597" y1="35075" x2="52597" y2="35075"/>
                      <a14:foregroundMark x1="48701" y1="32836" x2="48701" y2="32836"/>
                      <a14:foregroundMark x1="46104" y1="34328" x2="46104" y2="34328"/>
                      <a14:foregroundMark x1="43506" y1="38060" x2="43506" y2="38060"/>
                      <a14:foregroundMark x1="38961" y1="44030" x2="38961" y2="44030"/>
                      <a14:foregroundMark x1="40909" y1="54478" x2="40909" y2="54478"/>
                      <a14:foregroundMark x1="45455" y1="64925" x2="45455" y2="64925"/>
                      <a14:foregroundMark x1="53896" y1="64925" x2="53896" y2="64925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057" y="21175"/>
          <a:ext cx="1733178" cy="152728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6</xdr:row>
          <xdr:rowOff>82550</xdr:rowOff>
        </xdr:from>
        <xdr:to>
          <xdr:col>1</xdr:col>
          <xdr:colOff>2717800</xdr:colOff>
          <xdr:row>8</xdr:row>
          <xdr:rowOff>107950</xdr:rowOff>
        </xdr:to>
        <xdr:sp macro="" textlink="">
          <xdr:nvSpPr>
            <xdr:cNvPr id="1035" name="CommandButton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2832100</xdr:colOff>
          <xdr:row>6</xdr:row>
          <xdr:rowOff>82550</xdr:rowOff>
        </xdr:from>
        <xdr:to>
          <xdr:col>4</xdr:col>
          <xdr:colOff>0</xdr:colOff>
          <xdr:row>8</xdr:row>
          <xdr:rowOff>107950</xdr:rowOff>
        </xdr:to>
        <xdr:sp macro="" textlink="">
          <xdr:nvSpPr>
            <xdr:cNvPr id="1037" name="CommandButton2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2901950</xdr:colOff>
          <xdr:row>19</xdr:row>
          <xdr:rowOff>111311</xdr:rowOff>
        </xdr:from>
        <xdr:to>
          <xdr:col>2</xdr:col>
          <xdr:colOff>4235450</xdr:colOff>
          <xdr:row>21</xdr:row>
          <xdr:rowOff>125877</xdr:rowOff>
        </xdr:to>
        <xdr:sp macro="" textlink="">
          <xdr:nvSpPr>
            <xdr:cNvPr id="1051" name="CommandButton4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134469</xdr:colOff>
      <xdr:row>0</xdr:row>
      <xdr:rowOff>21175</xdr:rowOff>
    </xdr:from>
    <xdr:to>
      <xdr:col>1</xdr:col>
      <xdr:colOff>1867647</xdr:colOff>
      <xdr:row>5</xdr:row>
      <xdr:rowOff>390516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8209" b="91045" l="7143" r="92208">
                      <a14:foregroundMark x1="7792" y1="55224" x2="7792" y2="55224"/>
                      <a14:foregroundMark x1="92208" y1="60448" x2="92208" y2="60448"/>
                      <a14:foregroundMark x1="61688" y1="89552" x2="61688" y2="89552"/>
                      <a14:foregroundMark x1="77273" y1="91045" x2="77273" y2="91045"/>
                      <a14:foregroundMark x1="74675" y1="90299" x2="74675" y2="90299"/>
                      <a14:foregroundMark x1="73377" y1="82090" x2="73377" y2="82090"/>
                      <a14:foregroundMark x1="52597" y1="36567" x2="52597" y2="36567"/>
                      <a14:foregroundMark x1="52597" y1="35075" x2="52597" y2="35075"/>
                      <a14:foregroundMark x1="48701" y1="32836" x2="48701" y2="32836"/>
                      <a14:foregroundMark x1="46104" y1="34328" x2="46104" y2="34328"/>
                      <a14:foregroundMark x1="43506" y1="38060" x2="43506" y2="38060"/>
                      <a14:foregroundMark x1="38961" y1="44030" x2="38961" y2="44030"/>
                      <a14:foregroundMark x1="40909" y1="54478" x2="40909" y2="54478"/>
                      <a14:foregroundMark x1="45455" y1="64925" x2="45455" y2="64925"/>
                      <a14:foregroundMark x1="53896" y1="64925" x2="53896" y2="64925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069" y="21175"/>
          <a:ext cx="1733178" cy="151234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6</xdr:row>
          <xdr:rowOff>82550</xdr:rowOff>
        </xdr:from>
        <xdr:to>
          <xdr:col>1</xdr:col>
          <xdr:colOff>2717800</xdr:colOff>
          <xdr:row>8</xdr:row>
          <xdr:rowOff>107950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2832100</xdr:colOff>
          <xdr:row>6</xdr:row>
          <xdr:rowOff>82550</xdr:rowOff>
        </xdr:from>
        <xdr:to>
          <xdr:col>4</xdr:col>
          <xdr:colOff>0</xdr:colOff>
          <xdr:row>8</xdr:row>
          <xdr:rowOff>107950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1972228</xdr:colOff>
      <xdr:row>18</xdr:row>
      <xdr:rowOff>171831</xdr:rowOff>
    </xdr:from>
    <xdr:to>
      <xdr:col>3</xdr:col>
      <xdr:colOff>630883</xdr:colOff>
      <xdr:row>20</xdr:row>
      <xdr:rowOff>190882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6267816" y="7440713"/>
          <a:ext cx="3148479" cy="467287"/>
          <a:chOff x="6301814" y="4677334"/>
          <a:chExt cx="3148479" cy="482227"/>
        </a:xfrm>
      </xdr:grpSpPr>
      <xdr:sp macro="" textlink="">
        <xdr:nvSpPr>
          <xdr:cNvPr id="10245" name="CommandButton3" hidden="1">
            <a:extLst>
              <a:ext uri="{63B3BB69-23CF-44E3-9099-C40C66FF867C}">
                <a14:compatExt xmlns:a14="http://schemas.microsoft.com/office/drawing/2010/main" spid="_x0000_s10245"/>
              </a:ext>
              <a:ext uri="{FF2B5EF4-FFF2-40B4-BE49-F238E27FC236}">
                <a16:creationId xmlns:a16="http://schemas.microsoft.com/office/drawing/2014/main" id="{00000000-0008-0000-0100-000005280000}"/>
              </a:ext>
            </a:extLst>
          </xdr:cNvPr>
          <xdr:cNvSpPr/>
        </xdr:nvSpPr>
        <xdr:spPr bwMode="auto">
          <a:xfrm>
            <a:off x="8115114" y="4677334"/>
            <a:ext cx="1335179" cy="482227"/>
          </a:xfrm>
          <a:prstGeom prst="rect">
            <a:avLst/>
          </a:prstGeom>
          <a:noFill/>
          <a:ln>
            <a:noFill/>
          </a:ln>
          <a:extLst>
            <a:ext uri="{91240B29-F687-4F45-9708-019B960494DF}">
              <a14:hiddenLine xmlns:a14="http://schemas.microsoft.com/office/drawing/2010/main" w="9525">
                <a:noFill/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0246" name="CommandButton4" hidden="1">
            <a:extLst>
              <a:ext uri="{63B3BB69-23CF-44E3-9099-C40C66FF867C}">
                <a14:compatExt xmlns:a14="http://schemas.microsoft.com/office/drawing/2010/main" spid="_x0000_s10246"/>
              </a:ext>
              <a:ext uri="{FF2B5EF4-FFF2-40B4-BE49-F238E27FC236}">
                <a16:creationId xmlns:a16="http://schemas.microsoft.com/office/drawing/2014/main" id="{00000000-0008-0000-0100-000006280000}"/>
              </a:ext>
            </a:extLst>
          </xdr:cNvPr>
          <xdr:cNvSpPr/>
        </xdr:nvSpPr>
        <xdr:spPr bwMode="auto">
          <a:xfrm>
            <a:off x="6301814" y="4677334"/>
            <a:ext cx="1333874" cy="482226"/>
          </a:xfrm>
          <a:prstGeom prst="rect">
            <a:avLst/>
          </a:prstGeom>
          <a:noFill/>
          <a:ln>
            <a:noFill/>
          </a:ln>
          <a:extLst>
            <a:ext uri="{91240B29-F687-4F45-9708-019B960494DF}">
              <a14:hiddenLine xmlns:a14="http://schemas.microsoft.com/office/drawing/2010/main" w="9525">
                <a:noFill/>
                <a:miter lim="800000"/>
                <a:headEnd/>
                <a:tailEnd/>
              </a14:hiddenLine>
            </a:ext>
          </a:extLst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3676650</xdr:colOff>
          <xdr:row>18</xdr:row>
          <xdr:rowOff>152400</xdr:rowOff>
        </xdr:from>
        <xdr:to>
          <xdr:col>3</xdr:col>
          <xdr:colOff>520700</xdr:colOff>
          <xdr:row>20</xdr:row>
          <xdr:rowOff>171449</xdr:rowOff>
        </xdr:to>
        <xdr:sp macro="" textlink="">
          <xdr:nvSpPr>
            <xdr:cNvPr id="10248" name="CommandButton3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1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1860550</xdr:colOff>
          <xdr:row>18</xdr:row>
          <xdr:rowOff>152400</xdr:rowOff>
        </xdr:from>
        <xdr:to>
          <xdr:col>2</xdr:col>
          <xdr:colOff>3194050</xdr:colOff>
          <xdr:row>20</xdr:row>
          <xdr:rowOff>171449</xdr:rowOff>
        </xdr:to>
        <xdr:sp macro="" textlink="">
          <xdr:nvSpPr>
            <xdr:cNvPr id="10249" name="CommandButton4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1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134469</xdr:colOff>
      <xdr:row>0</xdr:row>
      <xdr:rowOff>21175</xdr:rowOff>
    </xdr:from>
    <xdr:to>
      <xdr:col>1</xdr:col>
      <xdr:colOff>1867647</xdr:colOff>
      <xdr:row>5</xdr:row>
      <xdr:rowOff>390516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8209" b="91045" l="7143" r="92208">
                      <a14:foregroundMark x1="7792" y1="55224" x2="7792" y2="55224"/>
                      <a14:foregroundMark x1="92208" y1="60448" x2="92208" y2="60448"/>
                      <a14:foregroundMark x1="61688" y1="89552" x2="61688" y2="89552"/>
                      <a14:foregroundMark x1="77273" y1="91045" x2="77273" y2="91045"/>
                      <a14:foregroundMark x1="74675" y1="90299" x2="74675" y2="90299"/>
                      <a14:foregroundMark x1="73377" y1="82090" x2="73377" y2="82090"/>
                      <a14:foregroundMark x1="52597" y1="36567" x2="52597" y2="36567"/>
                      <a14:foregroundMark x1="52597" y1="35075" x2="52597" y2="35075"/>
                      <a14:foregroundMark x1="48701" y1="32836" x2="48701" y2="32836"/>
                      <a14:foregroundMark x1="46104" y1="34328" x2="46104" y2="34328"/>
                      <a14:foregroundMark x1="43506" y1="38060" x2="43506" y2="38060"/>
                      <a14:foregroundMark x1="38961" y1="44030" x2="38961" y2="44030"/>
                      <a14:foregroundMark x1="40909" y1="54478" x2="40909" y2="54478"/>
                      <a14:foregroundMark x1="45455" y1="64925" x2="45455" y2="64925"/>
                      <a14:foregroundMark x1="53896" y1="64925" x2="53896" y2="64925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069" y="21175"/>
          <a:ext cx="1733178" cy="151234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6</xdr:row>
          <xdr:rowOff>82550</xdr:rowOff>
        </xdr:from>
        <xdr:to>
          <xdr:col>1</xdr:col>
          <xdr:colOff>2717800</xdr:colOff>
          <xdr:row>8</xdr:row>
          <xdr:rowOff>107950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3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2832100</xdr:colOff>
          <xdr:row>6</xdr:row>
          <xdr:rowOff>82550</xdr:rowOff>
        </xdr:from>
        <xdr:to>
          <xdr:col>4</xdr:col>
          <xdr:colOff>0</xdr:colOff>
          <xdr:row>8</xdr:row>
          <xdr:rowOff>107950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3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2006226</xdr:colOff>
          <xdr:row>15</xdr:row>
          <xdr:rowOff>135216</xdr:rowOff>
        </xdr:from>
        <xdr:to>
          <xdr:col>3</xdr:col>
          <xdr:colOff>664881</xdr:colOff>
          <xdr:row>17</xdr:row>
          <xdr:rowOff>154267</xdr:rowOff>
        </xdr:to>
        <xdr:grpSp>
          <xdr:nvGrpSpPr>
            <xdr:cNvPr id="3" name="Group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GrpSpPr/>
          </xdr:nvGrpSpPr>
          <xdr:grpSpPr>
            <a:xfrm>
              <a:off x="6301814" y="3818216"/>
              <a:ext cx="3148479" cy="467286"/>
              <a:chOff x="6301814" y="4677334"/>
              <a:chExt cx="3148479" cy="482227"/>
            </a:xfrm>
          </xdr:grpSpPr>
          <xdr:sp macro="" textlink="">
            <xdr:nvSpPr>
              <xdr:cNvPr id="8195" name="CommandButton4" hidden="1">
                <a:extLst>
                  <a:ext uri="{63B3BB69-23CF-44E3-9099-C40C66FF867C}">
                    <a14:compatExt spid="_x0000_s8195"/>
                  </a:ext>
                  <a:ext uri="{FF2B5EF4-FFF2-40B4-BE49-F238E27FC236}">
                    <a16:creationId xmlns:a16="http://schemas.microsoft.com/office/drawing/2014/main" id="{00000000-0008-0000-0300-000003200000}"/>
                  </a:ext>
                </a:extLst>
              </xdr:cNvPr>
              <xdr:cNvSpPr/>
            </xdr:nvSpPr>
            <xdr:spPr bwMode="auto">
              <a:xfrm>
                <a:off x="8115114" y="4677334"/>
                <a:ext cx="1335179" cy="482227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8196" name="CommandButton3" hidden="1">
                <a:extLst>
                  <a:ext uri="{63B3BB69-23CF-44E3-9099-C40C66FF867C}">
                    <a14:compatExt spid="_x0000_s8196"/>
                  </a:ext>
                  <a:ext uri="{FF2B5EF4-FFF2-40B4-BE49-F238E27FC236}">
                    <a16:creationId xmlns:a16="http://schemas.microsoft.com/office/drawing/2014/main" id="{00000000-0008-0000-0300-000004200000}"/>
                  </a:ext>
                </a:extLst>
              </xdr:cNvPr>
              <xdr:cNvSpPr/>
            </xdr:nvSpPr>
            <xdr:spPr bwMode="auto">
              <a:xfrm>
                <a:off x="6301814" y="4677334"/>
                <a:ext cx="1333874" cy="48222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134469</xdr:colOff>
      <xdr:row>0</xdr:row>
      <xdr:rowOff>21175</xdr:rowOff>
    </xdr:from>
    <xdr:to>
      <xdr:col>1</xdr:col>
      <xdr:colOff>1867647</xdr:colOff>
      <xdr:row>5</xdr:row>
      <xdr:rowOff>390516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8209" b="91045" l="7143" r="92208">
                      <a14:foregroundMark x1="7792" y1="55224" x2="7792" y2="55224"/>
                      <a14:foregroundMark x1="92208" y1="60448" x2="92208" y2="60448"/>
                      <a14:foregroundMark x1="61688" y1="89552" x2="61688" y2="89552"/>
                      <a14:foregroundMark x1="77273" y1="91045" x2="77273" y2="91045"/>
                      <a14:foregroundMark x1="74675" y1="90299" x2="74675" y2="90299"/>
                      <a14:foregroundMark x1="73377" y1="82090" x2="73377" y2="82090"/>
                      <a14:foregroundMark x1="52597" y1="36567" x2="52597" y2="36567"/>
                      <a14:foregroundMark x1="52597" y1="35075" x2="52597" y2="35075"/>
                      <a14:foregroundMark x1="48701" y1="32836" x2="48701" y2="32836"/>
                      <a14:foregroundMark x1="46104" y1="34328" x2="46104" y2="34328"/>
                      <a14:foregroundMark x1="43506" y1="38060" x2="43506" y2="38060"/>
                      <a14:foregroundMark x1="38961" y1="44030" x2="38961" y2="44030"/>
                      <a14:foregroundMark x1="40909" y1="54478" x2="40909" y2="54478"/>
                      <a14:foregroundMark x1="45455" y1="64925" x2="45455" y2="64925"/>
                      <a14:foregroundMark x1="53896" y1="64925" x2="53896" y2="64925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069" y="21175"/>
          <a:ext cx="1733178" cy="151234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6</xdr:row>
          <xdr:rowOff>82550</xdr:rowOff>
        </xdr:from>
        <xdr:to>
          <xdr:col>1</xdr:col>
          <xdr:colOff>2717800</xdr:colOff>
          <xdr:row>8</xdr:row>
          <xdr:rowOff>107950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2832100</xdr:colOff>
          <xdr:row>6</xdr:row>
          <xdr:rowOff>82550</xdr:rowOff>
        </xdr:from>
        <xdr:to>
          <xdr:col>4</xdr:col>
          <xdr:colOff>0</xdr:colOff>
          <xdr:row>8</xdr:row>
          <xdr:rowOff>107950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4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3822700</xdr:colOff>
          <xdr:row>14</xdr:row>
          <xdr:rowOff>133350</xdr:rowOff>
        </xdr:from>
        <xdr:to>
          <xdr:col>3</xdr:col>
          <xdr:colOff>876300</xdr:colOff>
          <xdr:row>16</xdr:row>
          <xdr:rowOff>152399</xdr:rowOff>
        </xdr:to>
        <xdr:sp macro="" textlink="">
          <xdr:nvSpPr>
            <xdr:cNvPr id="9219" name="CommandButton4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4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2006600</xdr:colOff>
          <xdr:row>14</xdr:row>
          <xdr:rowOff>133350</xdr:rowOff>
        </xdr:from>
        <xdr:to>
          <xdr:col>2</xdr:col>
          <xdr:colOff>3340100</xdr:colOff>
          <xdr:row>16</xdr:row>
          <xdr:rowOff>152399</xdr:rowOff>
        </xdr:to>
        <xdr:sp macro="" textlink="">
          <xdr:nvSpPr>
            <xdr:cNvPr id="9220" name="CommandButton3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4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6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0" Type="http://schemas.openxmlformats.org/officeDocument/2006/relationships/control" Target="../activeX/activeX7.xml"/><Relationship Id="rId4" Type="http://schemas.openxmlformats.org/officeDocument/2006/relationships/control" Target="../activeX/activeX4.xml"/><Relationship Id="rId9" Type="http://schemas.openxmlformats.org/officeDocument/2006/relationships/image" Target="../media/image7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0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9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0" Type="http://schemas.openxmlformats.org/officeDocument/2006/relationships/control" Target="../activeX/activeX11.xml"/><Relationship Id="rId4" Type="http://schemas.openxmlformats.org/officeDocument/2006/relationships/control" Target="../activeX/activeX8.xml"/><Relationship Id="rId9" Type="http://schemas.openxmlformats.org/officeDocument/2006/relationships/image" Target="../media/image11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4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3.xml"/><Relationship Id="rId11" Type="http://schemas.openxmlformats.org/officeDocument/2006/relationships/image" Target="../media/image16.emf"/><Relationship Id="rId5" Type="http://schemas.openxmlformats.org/officeDocument/2006/relationships/image" Target="../media/image13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2.xml"/><Relationship Id="rId9" Type="http://schemas.openxmlformats.org/officeDocument/2006/relationships/image" Target="../media/image15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4454FB-F2CD-4655-BFEB-35402CB517E4}">
  <sheetPr codeName="Sheet3"/>
  <dimension ref="A2:L26"/>
  <sheetViews>
    <sheetView workbookViewId="0">
      <selection activeCell="A2" sqref="A2:L26"/>
    </sheetView>
  </sheetViews>
  <sheetFormatPr defaultRowHeight="14.5" x14ac:dyDescent="0.35"/>
  <sheetData>
    <row r="2" spans="1:12" x14ac:dyDescent="0.35">
      <c r="A2" s="45" t="s">
        <v>152</v>
      </c>
      <c r="B2" s="44"/>
      <c r="C2" s="44"/>
      <c r="D2" s="44"/>
      <c r="E2" s="44"/>
      <c r="F2" s="44"/>
      <c r="G2" s="44"/>
      <c r="H2" s="44"/>
      <c r="I2" s="44"/>
      <c r="J2" s="44"/>
      <c r="K2" s="44"/>
      <c r="L2" s="44"/>
    </row>
    <row r="3" spans="1:12" x14ac:dyDescent="0.35">
      <c r="A3" s="44"/>
      <c r="B3" s="44"/>
      <c r="C3" s="44"/>
      <c r="D3" s="44"/>
      <c r="E3" s="44"/>
      <c r="F3" s="44"/>
      <c r="G3" s="44"/>
      <c r="H3" s="44"/>
      <c r="I3" s="44"/>
      <c r="J3" s="44"/>
      <c r="K3" s="44"/>
      <c r="L3" s="44"/>
    </row>
    <row r="4" spans="1:12" x14ac:dyDescent="0.35">
      <c r="A4" s="44"/>
      <c r="B4" s="44"/>
      <c r="C4" s="44"/>
      <c r="D4" s="44"/>
      <c r="E4" s="44"/>
      <c r="F4" s="44"/>
      <c r="G4" s="44"/>
      <c r="H4" s="44"/>
      <c r="I4" s="44"/>
      <c r="J4" s="44"/>
      <c r="K4" s="44"/>
      <c r="L4" s="44"/>
    </row>
    <row r="5" spans="1:12" x14ac:dyDescent="0.35">
      <c r="A5" s="44"/>
      <c r="B5" s="44"/>
      <c r="C5" s="44"/>
      <c r="D5" s="44"/>
      <c r="E5" s="44"/>
      <c r="F5" s="44"/>
      <c r="G5" s="44"/>
      <c r="H5" s="44"/>
      <c r="I5" s="44"/>
      <c r="J5" s="44"/>
      <c r="K5" s="44"/>
      <c r="L5" s="44"/>
    </row>
    <row r="6" spans="1:12" x14ac:dyDescent="0.35">
      <c r="A6" s="44"/>
      <c r="B6" s="44"/>
      <c r="C6" s="44"/>
      <c r="D6" s="44"/>
      <c r="E6" s="44"/>
      <c r="F6" s="44"/>
      <c r="G6" s="44"/>
      <c r="H6" s="44"/>
      <c r="I6" s="44"/>
      <c r="J6" s="44"/>
      <c r="K6" s="44"/>
      <c r="L6" s="44"/>
    </row>
    <row r="7" spans="1:12" x14ac:dyDescent="0.35">
      <c r="A7" s="44"/>
      <c r="B7" s="44"/>
      <c r="C7" s="44"/>
      <c r="D7" s="44"/>
      <c r="E7" s="44"/>
      <c r="F7" s="44"/>
      <c r="G7" s="44"/>
      <c r="H7" s="44"/>
      <c r="I7" s="44"/>
      <c r="J7" s="44"/>
      <c r="K7" s="44"/>
      <c r="L7" s="44"/>
    </row>
    <row r="8" spans="1:12" x14ac:dyDescent="0.35">
      <c r="A8" s="44"/>
      <c r="B8" s="44"/>
      <c r="C8" s="44"/>
      <c r="D8" s="44"/>
      <c r="E8" s="44"/>
      <c r="F8" s="44"/>
      <c r="G8" s="44"/>
      <c r="H8" s="44"/>
      <c r="I8" s="44"/>
      <c r="J8" s="44"/>
      <c r="K8" s="44"/>
      <c r="L8" s="44"/>
    </row>
    <row r="9" spans="1:12" x14ac:dyDescent="0.35">
      <c r="A9" s="44"/>
      <c r="B9" s="44"/>
      <c r="C9" s="44"/>
      <c r="D9" s="44"/>
      <c r="E9" s="44"/>
      <c r="F9" s="44"/>
      <c r="G9" s="44"/>
      <c r="H9" s="44"/>
      <c r="I9" s="44"/>
      <c r="J9" s="44"/>
      <c r="K9" s="44"/>
      <c r="L9" s="44"/>
    </row>
    <row r="10" spans="1:12" x14ac:dyDescent="0.35">
      <c r="A10" s="44"/>
      <c r="B10" s="44"/>
      <c r="C10" s="44"/>
      <c r="D10" s="44"/>
      <c r="E10" s="44"/>
      <c r="F10" s="44"/>
      <c r="G10" s="44"/>
      <c r="H10" s="44"/>
      <c r="I10" s="44"/>
      <c r="J10" s="44"/>
      <c r="K10" s="44"/>
      <c r="L10" s="44"/>
    </row>
    <row r="11" spans="1:12" x14ac:dyDescent="0.35">
      <c r="A11" s="44"/>
      <c r="B11" s="44"/>
      <c r="C11" s="44"/>
      <c r="D11" s="44"/>
      <c r="E11" s="44"/>
      <c r="F11" s="44"/>
      <c r="G11" s="44"/>
      <c r="H11" s="44"/>
      <c r="I11" s="44"/>
      <c r="J11" s="44"/>
      <c r="K11" s="44"/>
      <c r="L11" s="44"/>
    </row>
    <row r="12" spans="1:12" x14ac:dyDescent="0.35">
      <c r="A12" s="44"/>
      <c r="B12" s="44"/>
      <c r="C12" s="44"/>
      <c r="D12" s="44"/>
      <c r="E12" s="44"/>
      <c r="F12" s="44"/>
      <c r="G12" s="44"/>
      <c r="H12" s="44"/>
      <c r="I12" s="44"/>
      <c r="J12" s="44"/>
      <c r="K12" s="44"/>
      <c r="L12" s="44"/>
    </row>
    <row r="13" spans="1:12" x14ac:dyDescent="0.35">
      <c r="A13" s="44"/>
      <c r="B13" s="44"/>
      <c r="C13" s="44"/>
      <c r="D13" s="44"/>
      <c r="E13" s="44"/>
      <c r="F13" s="44"/>
      <c r="G13" s="44"/>
      <c r="H13" s="44"/>
      <c r="I13" s="44"/>
      <c r="J13" s="44"/>
      <c r="K13" s="44"/>
      <c r="L13" s="44"/>
    </row>
    <row r="14" spans="1:12" x14ac:dyDescent="0.35">
      <c r="A14" s="44"/>
      <c r="B14" s="44"/>
      <c r="C14" s="44"/>
      <c r="D14" s="44"/>
      <c r="E14" s="44"/>
      <c r="F14" s="44"/>
      <c r="G14" s="44"/>
      <c r="H14" s="44"/>
      <c r="I14" s="44"/>
      <c r="J14" s="44"/>
      <c r="K14" s="44"/>
      <c r="L14" s="44"/>
    </row>
    <row r="15" spans="1:12" x14ac:dyDescent="0.35">
      <c r="A15" s="44"/>
      <c r="B15" s="44"/>
      <c r="C15" s="44"/>
      <c r="D15" s="44"/>
      <c r="E15" s="44"/>
      <c r="F15" s="44"/>
      <c r="G15" s="44"/>
      <c r="H15" s="44"/>
      <c r="I15" s="44"/>
      <c r="J15" s="44"/>
      <c r="K15" s="44"/>
      <c r="L15" s="44"/>
    </row>
    <row r="16" spans="1:12" x14ac:dyDescent="0.35">
      <c r="A16" s="44"/>
      <c r="B16" s="44"/>
      <c r="C16" s="44"/>
      <c r="D16" s="44"/>
      <c r="E16" s="44"/>
      <c r="F16" s="44"/>
      <c r="G16" s="44"/>
      <c r="H16" s="44"/>
      <c r="I16" s="44"/>
      <c r="J16" s="44"/>
      <c r="K16" s="44"/>
      <c r="L16" s="44"/>
    </row>
    <row r="17" spans="1:12" x14ac:dyDescent="0.35">
      <c r="A17" s="44"/>
      <c r="B17" s="44"/>
      <c r="C17" s="44"/>
      <c r="D17" s="44"/>
      <c r="E17" s="44"/>
      <c r="F17" s="44"/>
      <c r="G17" s="44"/>
      <c r="H17" s="44"/>
      <c r="I17" s="44"/>
      <c r="J17" s="44"/>
      <c r="K17" s="44"/>
      <c r="L17" s="44"/>
    </row>
    <row r="18" spans="1:12" x14ac:dyDescent="0.35">
      <c r="A18" s="44"/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</row>
    <row r="19" spans="1:12" x14ac:dyDescent="0.35">
      <c r="A19" s="44"/>
      <c r="B19" s="44"/>
      <c r="C19" s="44"/>
      <c r="D19" s="44"/>
      <c r="E19" s="44"/>
      <c r="F19" s="44"/>
      <c r="G19" s="44"/>
      <c r="H19" s="44"/>
      <c r="I19" s="44"/>
      <c r="J19" s="44"/>
      <c r="K19" s="44"/>
      <c r="L19" s="44"/>
    </row>
    <row r="20" spans="1:12" x14ac:dyDescent="0.35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</row>
    <row r="21" spans="1:12" x14ac:dyDescent="0.35">
      <c r="A21" s="44"/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4"/>
    </row>
    <row r="22" spans="1:12" x14ac:dyDescent="0.35">
      <c r="A22" s="44"/>
      <c r="B22" s="44"/>
      <c r="C22" s="44"/>
      <c r="D22" s="44"/>
      <c r="E22" s="44"/>
      <c r="F22" s="44"/>
      <c r="G22" s="44"/>
      <c r="H22" s="44"/>
      <c r="I22" s="44"/>
      <c r="J22" s="44"/>
      <c r="K22" s="44"/>
      <c r="L22" s="44"/>
    </row>
    <row r="23" spans="1:12" x14ac:dyDescent="0.35">
      <c r="A23" s="44"/>
      <c r="B23" s="44"/>
      <c r="C23" s="44"/>
      <c r="D23" s="44"/>
      <c r="E23" s="44"/>
      <c r="F23" s="44"/>
      <c r="G23" s="44"/>
      <c r="H23" s="44"/>
      <c r="I23" s="44"/>
      <c r="J23" s="44"/>
      <c r="K23" s="44"/>
      <c r="L23" s="44"/>
    </row>
    <row r="24" spans="1:12" x14ac:dyDescent="0.35">
      <c r="A24" s="44"/>
      <c r="B24" s="44"/>
      <c r="C24" s="44"/>
      <c r="D24" s="44"/>
      <c r="E24" s="44"/>
      <c r="F24" s="44"/>
      <c r="G24" s="44"/>
      <c r="H24" s="44"/>
      <c r="I24" s="44"/>
      <c r="J24" s="44"/>
      <c r="K24" s="44"/>
      <c r="L24" s="44"/>
    </row>
    <row r="25" spans="1:12" x14ac:dyDescent="0.35">
      <c r="A25" s="44"/>
      <c r="B25" s="44"/>
      <c r="C25" s="44"/>
      <c r="D25" s="44"/>
      <c r="E25" s="44"/>
      <c r="F25" s="44"/>
      <c r="G25" s="44"/>
      <c r="H25" s="44"/>
      <c r="I25" s="44"/>
      <c r="J25" s="44"/>
      <c r="K25" s="44"/>
      <c r="L25" s="44"/>
    </row>
    <row r="26" spans="1:12" x14ac:dyDescent="0.35">
      <c r="A26" s="44"/>
      <c r="B26" s="44"/>
      <c r="C26" s="44"/>
      <c r="D26" s="44"/>
      <c r="E26" s="44"/>
      <c r="F26" s="44"/>
      <c r="G26" s="44"/>
      <c r="H26" s="44"/>
      <c r="I26" s="44"/>
      <c r="J26" s="44"/>
      <c r="K26" s="44"/>
      <c r="L26" s="44"/>
    </row>
  </sheetData>
  <mergeCells count="1">
    <mergeCell ref="A2:L2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3A595C-DAF3-4421-A1FA-87EFAA3B5CCC}">
  <sheetPr codeName="Sheet1"/>
  <dimension ref="A1:E22"/>
  <sheetViews>
    <sheetView zoomScale="85" zoomScaleNormal="85" workbookViewId="0">
      <selection activeCell="C18" sqref="C18"/>
    </sheetView>
  </sheetViews>
  <sheetFormatPr defaultRowHeight="17.5" x14ac:dyDescent="0.35"/>
  <cols>
    <col min="1" max="1" width="8.7265625" style="12"/>
    <col min="2" max="2" width="52.7265625" style="12" customWidth="1"/>
    <col min="3" max="3" width="71" style="12" customWidth="1"/>
    <col min="4" max="4" width="90.26953125" style="31" customWidth="1"/>
    <col min="5" max="16384" width="8.7265625" style="12"/>
  </cols>
  <sheetData>
    <row r="1" spans="1:5" ht="18" customHeight="1" x14ac:dyDescent="0.35">
      <c r="A1" s="8"/>
      <c r="B1" s="9" t="s">
        <v>134</v>
      </c>
      <c r="C1" s="10"/>
      <c r="D1" s="11"/>
      <c r="E1" s="8"/>
    </row>
    <row r="2" spans="1:5" ht="18" customHeight="1" x14ac:dyDescent="0.35">
      <c r="A2" s="8"/>
      <c r="B2" s="13"/>
      <c r="C2" s="14"/>
      <c r="D2" s="15"/>
      <c r="E2" s="8"/>
    </row>
    <row r="3" spans="1:5" ht="18" customHeight="1" x14ac:dyDescent="0.35">
      <c r="A3" s="8"/>
      <c r="B3" s="13"/>
      <c r="C3" s="14"/>
      <c r="D3" s="15"/>
      <c r="E3" s="8"/>
    </row>
    <row r="4" spans="1:5" ht="18" customHeight="1" x14ac:dyDescent="0.35">
      <c r="A4" s="8"/>
      <c r="B4" s="13"/>
      <c r="C4" s="14"/>
      <c r="D4" s="15"/>
      <c r="E4" s="8"/>
    </row>
    <row r="5" spans="1:5" ht="18" customHeight="1" x14ac:dyDescent="0.35">
      <c r="A5" s="8"/>
      <c r="B5" s="13"/>
      <c r="C5" s="14"/>
      <c r="D5" s="15"/>
      <c r="E5" s="8"/>
    </row>
    <row r="6" spans="1:5" ht="31" customHeight="1" thickBot="1" x14ac:dyDescent="0.4">
      <c r="A6" s="8"/>
      <c r="B6" s="16"/>
      <c r="C6" s="17"/>
      <c r="D6" s="18"/>
      <c r="E6" s="8"/>
    </row>
    <row r="7" spans="1:5" x14ac:dyDescent="0.35">
      <c r="A7" s="8"/>
      <c r="B7" s="8"/>
      <c r="C7" s="8"/>
      <c r="D7" s="19"/>
      <c r="E7" s="8"/>
    </row>
    <row r="8" spans="1:5" x14ac:dyDescent="0.35">
      <c r="A8" s="8"/>
      <c r="B8" s="8"/>
      <c r="C8" s="8"/>
      <c r="D8" s="19"/>
      <c r="E8" s="8"/>
    </row>
    <row r="9" spans="1:5" ht="18" thickBot="1" x14ac:dyDescent="0.4">
      <c r="A9" s="8"/>
      <c r="B9" s="8"/>
      <c r="C9" s="8"/>
      <c r="D9" s="19"/>
      <c r="E9" s="8"/>
    </row>
    <row r="10" spans="1:5" ht="25.5" customHeight="1" x14ac:dyDescent="0.5">
      <c r="A10" s="8"/>
      <c r="B10" s="20" t="s">
        <v>101</v>
      </c>
      <c r="C10" s="21"/>
      <c r="D10" s="22"/>
      <c r="E10" s="8"/>
    </row>
    <row r="11" spans="1:5" ht="17.5" customHeight="1" x14ac:dyDescent="0.4">
      <c r="A11" s="8"/>
      <c r="B11" s="23"/>
      <c r="C11" s="24"/>
      <c r="D11" s="25"/>
      <c r="E11" s="8"/>
    </row>
    <row r="12" spans="1:5" ht="35" x14ac:dyDescent="0.35">
      <c r="A12" s="8"/>
      <c r="B12" s="26" t="s">
        <v>0</v>
      </c>
      <c r="C12" s="3" t="s">
        <v>140</v>
      </c>
      <c r="D12" s="27" t="s">
        <v>103</v>
      </c>
      <c r="E12" s="8"/>
    </row>
    <row r="13" spans="1:5" x14ac:dyDescent="0.35">
      <c r="A13" s="8"/>
      <c r="B13" s="28" t="s">
        <v>1</v>
      </c>
      <c r="C13" s="4" t="s">
        <v>141</v>
      </c>
      <c r="D13" s="29" t="s">
        <v>2</v>
      </c>
      <c r="E13" s="8"/>
    </row>
    <row r="14" spans="1:5" ht="35" x14ac:dyDescent="0.35">
      <c r="A14" s="8"/>
      <c r="B14" s="28" t="s">
        <v>3</v>
      </c>
      <c r="C14" s="3" t="s">
        <v>142</v>
      </c>
      <c r="D14" s="29" t="s">
        <v>4</v>
      </c>
      <c r="E14" s="8"/>
    </row>
    <row r="15" spans="1:5" x14ac:dyDescent="0.35">
      <c r="A15" s="8"/>
      <c r="B15" s="28" t="s">
        <v>5</v>
      </c>
      <c r="C15" s="3" t="s">
        <v>143</v>
      </c>
      <c r="D15" s="29" t="s">
        <v>6</v>
      </c>
      <c r="E15" s="8"/>
    </row>
    <row r="16" spans="1:5" x14ac:dyDescent="0.35">
      <c r="A16" s="8"/>
      <c r="B16" s="28" t="s">
        <v>9</v>
      </c>
      <c r="C16" s="4" t="s">
        <v>141</v>
      </c>
      <c r="D16" s="29" t="s">
        <v>125</v>
      </c>
      <c r="E16" s="8"/>
    </row>
    <row r="17" spans="1:5" ht="87.5" x14ac:dyDescent="0.35">
      <c r="A17" s="8"/>
      <c r="B17" s="26" t="s">
        <v>7</v>
      </c>
      <c r="C17" s="3" t="s">
        <v>144</v>
      </c>
      <c r="D17" s="27" t="s">
        <v>8</v>
      </c>
      <c r="E17" s="8"/>
    </row>
    <row r="18" spans="1:5" x14ac:dyDescent="0.35">
      <c r="A18" s="8"/>
      <c r="B18" s="32" t="s">
        <v>135</v>
      </c>
      <c r="C18" s="7" t="s">
        <v>54</v>
      </c>
      <c r="D18" s="29" t="s">
        <v>10</v>
      </c>
      <c r="E18" s="8"/>
    </row>
    <row r="19" spans="1:5" x14ac:dyDescent="0.35">
      <c r="A19" s="8"/>
      <c r="B19" s="47"/>
      <c r="C19" s="48"/>
      <c r="D19" s="49"/>
      <c r="E19" s="8"/>
    </row>
    <row r="20" spans="1:5" x14ac:dyDescent="0.35">
      <c r="A20" s="8"/>
      <c r="B20" s="8"/>
      <c r="C20" s="8"/>
      <c r="D20" s="19"/>
      <c r="E20" s="8"/>
    </row>
    <row r="21" spans="1:5" x14ac:dyDescent="0.35">
      <c r="A21" s="8"/>
      <c r="B21" s="8"/>
      <c r="C21" s="8"/>
      <c r="D21" s="19"/>
      <c r="E21" s="8"/>
    </row>
    <row r="22" spans="1:5" x14ac:dyDescent="0.35">
      <c r="A22" s="30"/>
      <c r="B22" s="8"/>
      <c r="C22" s="8"/>
      <c r="D22" s="19"/>
      <c r="E22" s="30"/>
    </row>
  </sheetData>
  <mergeCells count="2">
    <mergeCell ref="B1:D6"/>
    <mergeCell ref="B10:D10"/>
  </mergeCells>
  <conditionalFormatting sqref="C7:C9 C20:C22 C12:C17">
    <cfRule type="expression" dxfId="16" priority="13">
      <formula>ISNUMBER(SEARCH("Example",C7))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7" r:id="rId4" name="CommandButton2">
          <controlPr defaultSize="0" autoLine="0" r:id="rId5">
            <anchor moveWithCells="1">
              <from>
                <xdr:col>3</xdr:col>
                <xdr:colOff>2832100</xdr:colOff>
                <xdr:row>6</xdr:row>
                <xdr:rowOff>82550</xdr:rowOff>
              </from>
              <to>
                <xdr:col>4</xdr:col>
                <xdr:colOff>0</xdr:colOff>
                <xdr:row>8</xdr:row>
                <xdr:rowOff>120650</xdr:rowOff>
              </to>
            </anchor>
          </controlPr>
        </control>
      </mc:Choice>
      <mc:Fallback>
        <control shapeId="1037" r:id="rId4" name="CommandButton2"/>
      </mc:Fallback>
    </mc:AlternateContent>
    <mc:AlternateContent xmlns:mc="http://schemas.openxmlformats.org/markup-compatibility/2006">
      <mc:Choice Requires="x14">
        <control shapeId="1035" r:id="rId6" name="CommandButton1">
          <controlPr defaultSize="0" autoLine="0" r:id="rId7">
            <anchor moveWithCells="1">
              <from>
                <xdr:col>1</xdr:col>
                <xdr:colOff>6350</xdr:colOff>
                <xdr:row>6</xdr:row>
                <xdr:rowOff>82550</xdr:rowOff>
              </from>
              <to>
                <xdr:col>1</xdr:col>
                <xdr:colOff>2717800</xdr:colOff>
                <xdr:row>8</xdr:row>
                <xdr:rowOff>120650</xdr:rowOff>
              </to>
            </anchor>
          </controlPr>
        </control>
      </mc:Choice>
      <mc:Fallback>
        <control shapeId="1035" r:id="rId6" name="CommandButton1"/>
      </mc:Fallback>
    </mc:AlternateContent>
    <mc:AlternateContent xmlns:mc="http://schemas.openxmlformats.org/markup-compatibility/2006">
      <mc:Choice Requires="x14">
        <control shapeId="1051" r:id="rId8" name="CommandButton4">
          <controlPr defaultSize="0" autoLine="0" r:id="rId9">
            <anchor moveWithCells="1">
              <from>
                <xdr:col>2</xdr:col>
                <xdr:colOff>2901950</xdr:colOff>
                <xdr:row>19</xdr:row>
                <xdr:rowOff>114300</xdr:rowOff>
              </from>
              <to>
                <xdr:col>2</xdr:col>
                <xdr:colOff>4235450</xdr:colOff>
                <xdr:row>21</xdr:row>
                <xdr:rowOff>127000</xdr:rowOff>
              </to>
            </anchor>
          </controlPr>
        </control>
      </mc:Choice>
      <mc:Fallback>
        <control shapeId="1051" r:id="rId8" name="CommandButton4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AE682181-37AC-4335-B620-0940885D6DBA}">
          <x14:formula1>
            <xm:f>Sheet2!$A$1:$A$25</xm:f>
          </x14:formula1>
          <xm:sqref>C13</xm:sqref>
        </x14:dataValidation>
        <x14:dataValidation type="list" allowBlank="1" showInputMessage="1" showErrorMessage="1" xr:uid="{A7E6580A-16DD-4CDF-BF30-61611FF822B4}">
          <x14:formula1>
            <xm:f>Sheet2!$B$1:$B$5</xm:f>
          </x14:formula1>
          <xm:sqref>C16</xm:sqref>
        </x14:dataValidation>
        <x14:dataValidation type="list" allowBlank="1" showInputMessage="1" showErrorMessage="1" xr:uid="{1C0900D1-EBEB-4718-9FF9-FA1DC3743099}">
          <x14:formula1>
            <xm:f>Sheet2!$C$1:$C$4</xm:f>
          </x14:formula1>
          <xm:sqref>C18:C19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C6F200-06A0-49EF-87EF-DB3DB10ABE13}">
  <sheetPr codeName="Sheet10"/>
  <dimension ref="A1:E26"/>
  <sheetViews>
    <sheetView tabSelected="1" zoomScale="85" zoomScaleNormal="85" workbookViewId="0">
      <selection activeCell="B12" sqref="B12"/>
    </sheetView>
  </sheetViews>
  <sheetFormatPr defaultRowHeight="17.5" x14ac:dyDescent="0.35"/>
  <cols>
    <col min="1" max="1" width="8.7265625" style="12"/>
    <col min="2" max="2" width="52.7265625" style="12" customWidth="1"/>
    <col min="3" max="3" width="64.26953125" style="12" bestFit="1" customWidth="1"/>
    <col min="4" max="4" width="90.26953125" style="31" customWidth="1"/>
    <col min="5" max="16384" width="8.7265625" style="12"/>
  </cols>
  <sheetData>
    <row r="1" spans="1:5" ht="18" customHeight="1" x14ac:dyDescent="0.35">
      <c r="A1" s="8"/>
      <c r="B1" s="9" t="s">
        <v>134</v>
      </c>
      <c r="C1" s="10"/>
      <c r="D1" s="11"/>
      <c r="E1" s="8"/>
    </row>
    <row r="2" spans="1:5" ht="18" customHeight="1" x14ac:dyDescent="0.35">
      <c r="A2" s="8"/>
      <c r="B2" s="13"/>
      <c r="C2" s="14"/>
      <c r="D2" s="15"/>
      <c r="E2" s="8"/>
    </row>
    <row r="3" spans="1:5" ht="18" customHeight="1" x14ac:dyDescent="0.35">
      <c r="A3" s="8"/>
      <c r="B3" s="13"/>
      <c r="C3" s="14"/>
      <c r="D3" s="15"/>
      <c r="E3" s="8"/>
    </row>
    <row r="4" spans="1:5" ht="18" customHeight="1" x14ac:dyDescent="0.35">
      <c r="A4" s="8"/>
      <c r="B4" s="13"/>
      <c r="C4" s="14"/>
      <c r="D4" s="15"/>
      <c r="E4" s="8"/>
    </row>
    <row r="5" spans="1:5" ht="18" customHeight="1" x14ac:dyDescent="0.35">
      <c r="A5" s="8"/>
      <c r="B5" s="13"/>
      <c r="C5" s="14"/>
      <c r="D5" s="15"/>
      <c r="E5" s="8"/>
    </row>
    <row r="6" spans="1:5" ht="31" customHeight="1" thickBot="1" x14ac:dyDescent="0.4">
      <c r="A6" s="8"/>
      <c r="B6" s="16"/>
      <c r="C6" s="17"/>
      <c r="D6" s="18"/>
      <c r="E6" s="8"/>
    </row>
    <row r="7" spans="1:5" x14ac:dyDescent="0.35">
      <c r="A7" s="8"/>
      <c r="B7" s="8"/>
      <c r="C7" s="8"/>
      <c r="D7" s="19"/>
      <c r="E7" s="8"/>
    </row>
    <row r="8" spans="1:5" x14ac:dyDescent="0.35">
      <c r="A8" s="8"/>
      <c r="B8" s="8"/>
      <c r="C8" s="8"/>
      <c r="D8" s="19"/>
      <c r="E8" s="8"/>
    </row>
    <row r="9" spans="1:5" ht="18" thickBot="1" x14ac:dyDescent="0.4">
      <c r="A9" s="8"/>
      <c r="B9" s="8"/>
      <c r="C9" s="8"/>
      <c r="D9" s="19"/>
      <c r="E9" s="8"/>
    </row>
    <row r="10" spans="1:5" ht="25.5" customHeight="1" x14ac:dyDescent="0.5">
      <c r="A10" s="8"/>
      <c r="B10" s="20" t="s">
        <v>106</v>
      </c>
      <c r="C10" s="21"/>
      <c r="D10" s="22"/>
      <c r="E10" s="8"/>
    </row>
    <row r="11" spans="1:5" ht="17.5" customHeight="1" x14ac:dyDescent="0.45">
      <c r="A11" s="8"/>
      <c r="B11" s="23"/>
      <c r="C11" s="50"/>
      <c r="D11" s="25"/>
      <c r="E11" s="8"/>
    </row>
    <row r="12" spans="1:5" ht="70" x14ac:dyDescent="0.35">
      <c r="A12" s="8"/>
      <c r="B12" s="26" t="s">
        <v>11</v>
      </c>
      <c r="C12" s="3" t="s">
        <v>52</v>
      </c>
      <c r="D12" s="27" t="str">
        <f>IF(General!C18="VPN/SD-WAN","THIS FIELD MUST BE SET TO NEW BECAUSE YOU HAVE CHOSEN VPN AS THE ON-PREM CONNECTIVITY METHOD",B25)</f>
        <v>Do you want to re-use an existing ExpressRoute Gateway to connect AVS to the Azure backbone?  Typically the one which has your on-premises ExpressRoute is re-used for AVS, but if a new one is desired, or you don't already have one, new ExpressRoute Gateway can be created</v>
      </c>
      <c r="E12" s="8"/>
    </row>
    <row r="13" spans="1:5" ht="52.5" x14ac:dyDescent="0.35">
      <c r="A13" s="8"/>
      <c r="B13" s="51" t="str">
        <f>"Subscription ID" &amp; IF(General!C18="VPN/SD-WAN"," 
THIS MUST BE THE SAME AS THE CURRENT VPN GATEWAY","")</f>
        <v>Subscription ID</v>
      </c>
      <c r="C13" s="4" t="s">
        <v>140</v>
      </c>
      <c r="D13" s="29" t="str">
        <f>IF($C$12="New","What is the Subscription ID where you want to have the ExpressRoute Gateway deployed?","What is the Subscription ID where the ExpressRoute Gateway is currently deployed?")</f>
        <v>What is the Subscription ID where you want to have the ExpressRoute Gateway deployed?</v>
      </c>
      <c r="E13" s="8"/>
    </row>
    <row r="14" spans="1:5" ht="52.5" x14ac:dyDescent="0.35">
      <c r="A14" s="8"/>
      <c r="B14" s="51" t="str">
        <f>"vNet" &amp; IF(General!C18="VPN/SD-WAN"," 
THIS MUST BE THE SAME AS THE CURRENT VPN GATEWAY","")</f>
        <v>vNet</v>
      </c>
      <c r="C14" s="4" t="s">
        <v>145</v>
      </c>
      <c r="D14" s="29" t="str">
        <f>IF($C$12="New","What is the name of the vNet where you want to have the ExpressRoute Gateway deployed?","What is name of the vNet where the ExpressRoute Gateway is currently deployed?")</f>
        <v>What is the name of the vNet where you want to have the ExpressRoute Gateway deployed?</v>
      </c>
      <c r="E14" s="8"/>
    </row>
    <row r="15" spans="1:5" x14ac:dyDescent="0.35">
      <c r="A15" s="8"/>
      <c r="B15" s="28" t="s">
        <v>58</v>
      </c>
      <c r="C15" s="4" t="s">
        <v>146</v>
      </c>
      <c r="D15" s="29" t="str">
        <f>IF($C$12="New","What is the name you want to assign to the new ExpressRoute Gateway?","What is the name of the existing ExpressRoute Gateway?")</f>
        <v>What is the name you want to assign to the new ExpressRoute Gateway?</v>
      </c>
      <c r="E15" s="8"/>
    </row>
    <row r="16" spans="1:5" ht="52.5" x14ac:dyDescent="0.35">
      <c r="A16" s="8"/>
      <c r="B16" s="51" t="str">
        <f>"ExpressRoute Gateway Region" &amp; IF(General!C18="VPN/SD-WAN"," 
THIS MUST BE THE SAME AS THE CURRENT VPN GATEWAY","")</f>
        <v>ExpressRoute Gateway Region</v>
      </c>
      <c r="C16" s="4" t="s">
        <v>141</v>
      </c>
      <c r="D16" s="29" t="str">
        <f>IF($C$12="New","What region should the ExpressRoute Gateway be deployed?","What region is the ExpressRoute Gateway currently deployed?")</f>
        <v>What region should the ExpressRoute Gateway be deployed?</v>
      </c>
      <c r="E16" s="8"/>
    </row>
    <row r="17" spans="1:5" ht="52.5" x14ac:dyDescent="0.35">
      <c r="A17" s="8"/>
      <c r="B17" s="51" t="str">
        <f>"ExpressRoute Gateway Resource Group" &amp; IF(General!C18="VPN/SD-WAN"," 
THIS MUST BE THE SAME AS THE CURRENT VPN GATEWAY","")</f>
        <v>ExpressRoute Gateway Resource Group</v>
      </c>
      <c r="C17" s="4" t="s">
        <v>147</v>
      </c>
      <c r="D17" s="29" t="str">
        <f>IF($C$12="New","What Resource Group should the ExpressRoute Gateway be deployed?  If the Resource Group does not exist it will be created.","What Resource Group is the ExpressRoute Gateway currently deployed?  ")</f>
        <v>What Resource Group should the ExpressRoute Gateway be deployed?  If the Resource Group does not exist it will be created.</v>
      </c>
      <c r="E17" s="8"/>
    </row>
    <row r="18" spans="1:5" ht="56.5" customHeight="1" thickBot="1" x14ac:dyDescent="0.4">
      <c r="A18" s="8"/>
      <c r="B18" s="52" t="s">
        <v>100</v>
      </c>
      <c r="C18" s="53" t="s">
        <v>148</v>
      </c>
      <c r="D18" s="40" t="s">
        <v>153</v>
      </c>
      <c r="E18" s="8"/>
    </row>
    <row r="19" spans="1:5" x14ac:dyDescent="0.35">
      <c r="A19" s="8"/>
      <c r="B19" s="8"/>
      <c r="C19" s="8"/>
      <c r="D19" s="19"/>
      <c r="E19" s="8"/>
    </row>
    <row r="20" spans="1:5" x14ac:dyDescent="0.35">
      <c r="A20" s="8"/>
      <c r="B20" s="8"/>
      <c r="C20" s="8"/>
      <c r="D20" s="19"/>
      <c r="E20" s="8"/>
    </row>
    <row r="21" spans="1:5" x14ac:dyDescent="0.35">
      <c r="A21" s="30"/>
      <c r="B21" s="8"/>
      <c r="C21" s="8"/>
      <c r="D21" s="19"/>
      <c r="E21" s="30"/>
    </row>
    <row r="22" spans="1:5" x14ac:dyDescent="0.35">
      <c r="A22" s="30"/>
      <c r="B22" s="8"/>
      <c r="C22" s="8"/>
      <c r="D22" s="19"/>
      <c r="E22" s="30"/>
    </row>
    <row r="24" spans="1:5" hidden="1" x14ac:dyDescent="0.35"/>
    <row r="25" spans="1:5" hidden="1" x14ac:dyDescent="0.35">
      <c r="B25" s="12" t="s">
        <v>154</v>
      </c>
    </row>
    <row r="26" spans="1:5" hidden="1" x14ac:dyDescent="0.35"/>
  </sheetData>
  <mergeCells count="2">
    <mergeCell ref="B1:D6"/>
    <mergeCell ref="B10:D10"/>
  </mergeCells>
  <conditionalFormatting sqref="C7:C9 C12:C22">
    <cfRule type="expression" dxfId="9" priority="5">
      <formula>ISNUMBER(SEARCH("Example",C7))</formula>
    </cfRule>
  </conditionalFormatting>
  <conditionalFormatting sqref="B18:D18">
    <cfRule type="expression" dxfId="8" priority="4">
      <formula>$C$12="Existing"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9" r:id="rId4" name="CommandButton4">
          <controlPr defaultSize="0" autoLine="0" r:id="rId5">
            <anchor moveWithCells="1">
              <from>
                <xdr:col>2</xdr:col>
                <xdr:colOff>1860550</xdr:colOff>
                <xdr:row>18</xdr:row>
                <xdr:rowOff>152400</xdr:rowOff>
              </from>
              <to>
                <xdr:col>2</xdr:col>
                <xdr:colOff>3194050</xdr:colOff>
                <xdr:row>20</xdr:row>
                <xdr:rowOff>184150</xdr:rowOff>
              </to>
            </anchor>
          </controlPr>
        </control>
      </mc:Choice>
      <mc:Fallback>
        <control shapeId="10249" r:id="rId4" name="CommandButton4"/>
      </mc:Fallback>
    </mc:AlternateContent>
    <mc:AlternateContent xmlns:mc="http://schemas.openxmlformats.org/markup-compatibility/2006">
      <mc:Choice Requires="x14">
        <control shapeId="10248" r:id="rId6" name="CommandButton3">
          <controlPr defaultSize="0" autoLine="0" r:id="rId7">
            <anchor moveWithCells="1">
              <from>
                <xdr:col>2</xdr:col>
                <xdr:colOff>3676650</xdr:colOff>
                <xdr:row>18</xdr:row>
                <xdr:rowOff>152400</xdr:rowOff>
              </from>
              <to>
                <xdr:col>3</xdr:col>
                <xdr:colOff>520700</xdr:colOff>
                <xdr:row>20</xdr:row>
                <xdr:rowOff>184150</xdr:rowOff>
              </to>
            </anchor>
          </controlPr>
        </control>
      </mc:Choice>
      <mc:Fallback>
        <control shapeId="10248" r:id="rId6" name="CommandButton3"/>
      </mc:Fallback>
    </mc:AlternateContent>
    <mc:AlternateContent xmlns:mc="http://schemas.openxmlformats.org/markup-compatibility/2006">
      <mc:Choice Requires="x14">
        <control shapeId="10241" r:id="rId8" name="CommandButton1">
          <controlPr defaultSize="0" autoLine="0" r:id="rId9">
            <anchor moveWithCells="1">
              <from>
                <xdr:col>1</xdr:col>
                <xdr:colOff>6350</xdr:colOff>
                <xdr:row>6</xdr:row>
                <xdr:rowOff>82550</xdr:rowOff>
              </from>
              <to>
                <xdr:col>1</xdr:col>
                <xdr:colOff>2717800</xdr:colOff>
                <xdr:row>8</xdr:row>
                <xdr:rowOff>120650</xdr:rowOff>
              </to>
            </anchor>
          </controlPr>
        </control>
      </mc:Choice>
      <mc:Fallback>
        <control shapeId="10241" r:id="rId8" name="CommandButton1"/>
      </mc:Fallback>
    </mc:AlternateContent>
    <mc:AlternateContent xmlns:mc="http://schemas.openxmlformats.org/markup-compatibility/2006">
      <mc:Choice Requires="x14">
        <control shapeId="10242" r:id="rId10" name="CommandButton2">
          <controlPr defaultSize="0" autoLine="0" r:id="rId11">
            <anchor moveWithCells="1">
              <from>
                <xdr:col>3</xdr:col>
                <xdr:colOff>2832100</xdr:colOff>
                <xdr:row>6</xdr:row>
                <xdr:rowOff>82550</xdr:rowOff>
              </from>
              <to>
                <xdr:col>4</xdr:col>
                <xdr:colOff>0</xdr:colOff>
                <xdr:row>8</xdr:row>
                <xdr:rowOff>120650</xdr:rowOff>
              </to>
            </anchor>
          </controlPr>
        </control>
      </mc:Choice>
      <mc:Fallback>
        <control shapeId="10242" r:id="rId10" name="CommandButton2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34C545B7-4274-4115-847B-F9FB6E4AA203}">
            <xm:f>General!$C$18="VPN/SD-WAN"</xm:f>
            <x14:dxf>
              <font>
                <color rgb="FF7CBB00"/>
              </font>
              <numFmt numFmtId="164" formatCode=";;;"/>
            </x14:dxf>
          </x14:cfRule>
          <xm:sqref>B18:D18</xm:sqref>
        </x14:conditionalFormatting>
        <x14:conditionalFormatting xmlns:xm="http://schemas.microsoft.com/office/excel/2006/main">
          <x14:cfRule type="expression" priority="2" id="{3445619A-B013-4E8A-A1A5-38E68247CE45}">
            <xm:f>General!$C$18="VPN/SD-WAN"</xm:f>
            <x14:dxf>
              <font>
                <b/>
                <i val="0"/>
                <strike val="0"/>
                <color rgb="FFFF0000"/>
              </font>
              <fill>
                <patternFill>
                  <bgColor theme="0"/>
                </patternFill>
              </fill>
            </x14:dxf>
          </x14:cfRule>
          <xm:sqref>D12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33D6C9A-9161-431E-849B-9FE4A7CFAC48}">
          <x14:formula1>
            <xm:f>Sheet2!$D$1:$D$3</xm:f>
          </x14:formula1>
          <xm:sqref>C12</xm:sqref>
        </x14:dataValidation>
        <x14:dataValidation type="list" allowBlank="1" showInputMessage="1" showErrorMessage="1" xr:uid="{22C68252-3B8A-431D-A06D-AC50EFE138B2}">
          <x14:formula1>
            <xm:f>Sheet2!$E$1:$E$76</xm:f>
          </x14:formula1>
          <xm:sqref>C16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44D6A3-0F1C-48E8-996C-9F9F3647C483}">
  <sheetPr codeName="Sheet8"/>
  <dimension ref="A1:E21"/>
  <sheetViews>
    <sheetView zoomScale="85" zoomScaleNormal="85" workbookViewId="0">
      <selection activeCell="C24" sqref="C24"/>
    </sheetView>
  </sheetViews>
  <sheetFormatPr defaultRowHeight="17.5" x14ac:dyDescent="0.35"/>
  <cols>
    <col min="1" max="1" width="8.7265625" style="12"/>
    <col min="2" max="2" width="52.7265625" style="12" customWidth="1"/>
    <col min="3" max="3" width="64.26953125" style="12" bestFit="1" customWidth="1"/>
    <col min="4" max="4" width="90.26953125" style="31" customWidth="1"/>
    <col min="5" max="16384" width="8.7265625" style="12"/>
  </cols>
  <sheetData>
    <row r="1" spans="1:5" ht="18" customHeight="1" x14ac:dyDescent="0.35">
      <c r="A1" s="8"/>
      <c r="B1" s="14" t="s">
        <v>134</v>
      </c>
      <c r="C1" s="14"/>
      <c r="D1" s="14"/>
      <c r="E1" s="8"/>
    </row>
    <row r="2" spans="1:5" ht="18" customHeight="1" x14ac:dyDescent="0.35">
      <c r="A2" s="8"/>
      <c r="B2" s="14"/>
      <c r="C2" s="14"/>
      <c r="D2" s="14"/>
      <c r="E2" s="8"/>
    </row>
    <row r="3" spans="1:5" ht="18" customHeight="1" x14ac:dyDescent="0.35">
      <c r="A3" s="8"/>
      <c r="B3" s="14"/>
      <c r="C3" s="14"/>
      <c r="D3" s="14"/>
      <c r="E3" s="8"/>
    </row>
    <row r="4" spans="1:5" ht="18" customHeight="1" x14ac:dyDescent="0.35">
      <c r="A4" s="8"/>
      <c r="B4" s="14"/>
      <c r="C4" s="14"/>
      <c r="D4" s="14"/>
      <c r="E4" s="8"/>
    </row>
    <row r="5" spans="1:5" ht="18" customHeight="1" x14ac:dyDescent="0.35">
      <c r="A5" s="8"/>
      <c r="B5" s="14"/>
      <c r="C5" s="14"/>
      <c r="D5" s="14"/>
      <c r="E5" s="8"/>
    </row>
    <row r="6" spans="1:5" ht="31" customHeight="1" x14ac:dyDescent="0.35">
      <c r="A6" s="8"/>
      <c r="B6" s="14"/>
      <c r="C6" s="14"/>
      <c r="D6" s="14"/>
      <c r="E6" s="8"/>
    </row>
    <row r="7" spans="1:5" x14ac:dyDescent="0.35">
      <c r="A7" s="8"/>
      <c r="B7" s="8"/>
      <c r="C7" s="8"/>
      <c r="D7" s="19"/>
      <c r="E7" s="8"/>
    </row>
    <row r="8" spans="1:5" x14ac:dyDescent="0.35">
      <c r="A8" s="8"/>
      <c r="B8" s="8"/>
      <c r="C8" s="8"/>
      <c r="D8" s="19"/>
      <c r="E8" s="8"/>
    </row>
    <row r="9" spans="1:5" ht="18" thickBot="1" x14ac:dyDescent="0.4">
      <c r="A9" s="8"/>
      <c r="B9" s="8"/>
      <c r="C9" s="8"/>
      <c r="D9" s="19"/>
      <c r="E9" s="8"/>
    </row>
    <row r="10" spans="1:5" ht="25.5" customHeight="1" x14ac:dyDescent="0.35">
      <c r="A10" s="8"/>
      <c r="B10" s="33" t="s">
        <v>56</v>
      </c>
      <c r="C10" s="34"/>
      <c r="D10" s="35"/>
      <c r="E10" s="8"/>
    </row>
    <row r="11" spans="1:5" x14ac:dyDescent="0.35">
      <c r="A11" s="8"/>
      <c r="B11" s="36"/>
      <c r="C11" s="24"/>
      <c r="D11" s="25"/>
      <c r="E11" s="8"/>
    </row>
    <row r="12" spans="1:5" x14ac:dyDescent="0.35">
      <c r="A12" s="8"/>
      <c r="B12" s="32" t="s">
        <v>0</v>
      </c>
      <c r="C12" s="5" t="s">
        <v>140</v>
      </c>
      <c r="D12" s="37" t="s">
        <v>55</v>
      </c>
      <c r="E12" s="8"/>
    </row>
    <row r="13" spans="1:5" x14ac:dyDescent="0.35">
      <c r="A13" s="8"/>
      <c r="B13" s="32" t="s">
        <v>104</v>
      </c>
      <c r="C13" s="5" t="s">
        <v>149</v>
      </c>
      <c r="D13" s="37" t="s">
        <v>102</v>
      </c>
      <c r="E13" s="8"/>
    </row>
    <row r="14" spans="1:5" x14ac:dyDescent="0.35">
      <c r="A14" s="8"/>
      <c r="B14" s="32" t="s">
        <v>57</v>
      </c>
      <c r="C14" s="5" t="s">
        <v>150</v>
      </c>
      <c r="D14" s="37" t="s">
        <v>105</v>
      </c>
      <c r="E14" s="8"/>
    </row>
    <row r="15" spans="1:5" ht="18" thickBot="1" x14ac:dyDescent="0.4">
      <c r="A15" s="8"/>
      <c r="B15" s="38"/>
      <c r="C15" s="39"/>
      <c r="D15" s="40"/>
      <c r="E15" s="8"/>
    </row>
    <row r="16" spans="1:5" x14ac:dyDescent="0.35">
      <c r="A16" s="8"/>
      <c r="B16" s="8"/>
      <c r="C16" s="8"/>
      <c r="D16" s="19"/>
      <c r="E16" s="8"/>
    </row>
    <row r="17" spans="1:5" x14ac:dyDescent="0.35">
      <c r="A17" s="8"/>
      <c r="B17" s="8"/>
      <c r="C17" s="8"/>
      <c r="D17" s="19"/>
      <c r="E17" s="8"/>
    </row>
    <row r="18" spans="1:5" x14ac:dyDescent="0.35">
      <c r="A18" s="8"/>
      <c r="B18" s="8"/>
      <c r="C18" s="8"/>
      <c r="D18" s="19"/>
      <c r="E18" s="8"/>
    </row>
    <row r="19" spans="1:5" x14ac:dyDescent="0.35">
      <c r="A19" s="8"/>
      <c r="B19" s="41" t="s">
        <v>155</v>
      </c>
      <c r="C19" s="41"/>
      <c r="D19" s="41"/>
      <c r="E19" s="8"/>
    </row>
    <row r="20" spans="1:5" x14ac:dyDescent="0.35">
      <c r="A20" s="8"/>
      <c r="B20" s="41"/>
      <c r="C20" s="41"/>
      <c r="D20" s="41"/>
      <c r="E20" s="8"/>
    </row>
    <row r="21" spans="1:5" x14ac:dyDescent="0.35">
      <c r="A21" s="8"/>
      <c r="B21" s="8"/>
      <c r="C21" s="8"/>
      <c r="D21" s="19"/>
      <c r="E21" s="8"/>
    </row>
  </sheetData>
  <mergeCells count="3">
    <mergeCell ref="B1:D6"/>
    <mergeCell ref="B19:D20"/>
    <mergeCell ref="B10:D10"/>
  </mergeCells>
  <conditionalFormatting sqref="C21 C16:C18 C12:C14 C7:C10">
    <cfRule type="expression" dxfId="5" priority="5">
      <formula>ISNUMBER(SEARCH("Example",C7))</formula>
    </cfRule>
  </conditionalFormatting>
  <conditionalFormatting sqref="C12:C14">
    <cfRule type="expression" dxfId="4" priority="6">
      <formula>ISNUMBER(SEARCH("Example",C12))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8193" r:id="rId4" name="CommandButton1">
          <controlPr defaultSize="0" autoLine="0" r:id="rId5">
            <anchor moveWithCells="1">
              <from>
                <xdr:col>1</xdr:col>
                <xdr:colOff>6350</xdr:colOff>
                <xdr:row>6</xdr:row>
                <xdr:rowOff>82550</xdr:rowOff>
              </from>
              <to>
                <xdr:col>1</xdr:col>
                <xdr:colOff>2717800</xdr:colOff>
                <xdr:row>8</xdr:row>
                <xdr:rowOff>120650</xdr:rowOff>
              </to>
            </anchor>
          </controlPr>
        </control>
      </mc:Choice>
      <mc:Fallback>
        <control shapeId="8193" r:id="rId4" name="CommandButton1"/>
      </mc:Fallback>
    </mc:AlternateContent>
    <mc:AlternateContent xmlns:mc="http://schemas.openxmlformats.org/markup-compatibility/2006">
      <mc:Choice Requires="x14">
        <control shapeId="8194" r:id="rId6" name="CommandButton2">
          <controlPr defaultSize="0" autoLine="0" r:id="rId7">
            <anchor moveWithCells="1">
              <from>
                <xdr:col>3</xdr:col>
                <xdr:colOff>2832100</xdr:colOff>
                <xdr:row>6</xdr:row>
                <xdr:rowOff>82550</xdr:rowOff>
              </from>
              <to>
                <xdr:col>4</xdr:col>
                <xdr:colOff>0</xdr:colOff>
                <xdr:row>8</xdr:row>
                <xdr:rowOff>120650</xdr:rowOff>
              </to>
            </anchor>
          </controlPr>
        </control>
      </mc:Choice>
      <mc:Fallback>
        <control shapeId="8194" r:id="rId6" name="CommandButton2"/>
      </mc:Fallback>
    </mc:AlternateContent>
    <mc:AlternateContent xmlns:mc="http://schemas.openxmlformats.org/markup-compatibility/2006">
      <mc:Choice Requires="x14">
        <control shapeId="8195" r:id="rId8" name="CommandButton4">
          <controlPr defaultSize="0" autoLine="0" r:id="rId9">
            <anchor moveWithCells="1">
              <from>
                <xdr:col>2</xdr:col>
                <xdr:colOff>3822700</xdr:colOff>
                <xdr:row>15</xdr:row>
                <xdr:rowOff>133350</xdr:rowOff>
              </from>
              <to>
                <xdr:col>3</xdr:col>
                <xdr:colOff>666750</xdr:colOff>
                <xdr:row>17</xdr:row>
                <xdr:rowOff>152400</xdr:rowOff>
              </to>
            </anchor>
          </controlPr>
        </control>
      </mc:Choice>
      <mc:Fallback>
        <control shapeId="8195" r:id="rId8" name="CommandButton4"/>
      </mc:Fallback>
    </mc:AlternateContent>
    <mc:AlternateContent xmlns:mc="http://schemas.openxmlformats.org/markup-compatibility/2006">
      <mc:Choice Requires="x14">
        <control shapeId="8196" r:id="rId10" name="CommandButton3">
          <controlPr defaultSize="0" autoLine="0" r:id="rId11">
            <anchor moveWithCells="1">
              <from>
                <xdr:col>2</xdr:col>
                <xdr:colOff>2006600</xdr:colOff>
                <xdr:row>15</xdr:row>
                <xdr:rowOff>133350</xdr:rowOff>
              </from>
              <to>
                <xdr:col>2</xdr:col>
                <xdr:colOff>3340100</xdr:colOff>
                <xdr:row>17</xdr:row>
                <xdr:rowOff>152400</xdr:rowOff>
              </to>
            </anchor>
          </controlPr>
        </control>
      </mc:Choice>
      <mc:Fallback>
        <control shapeId="8196" r:id="rId10" name="CommandButton3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3" id="{00000000-000E-0000-0300-000017000000}">
            <xm:f>General!$C$18="VPN/SD-WAN"</xm:f>
            <x14:dxf>
              <numFmt numFmtId="164" formatCode=";;;"/>
              <border>
                <left/>
                <right/>
                <top/>
                <bottom/>
              </border>
            </x14:dxf>
          </x14:cfRule>
          <x14:cfRule type="expression" priority="24" id="{00000000-000E-0000-0300-000018000000}">
            <xm:f>General!$C$18="It dosen't"</xm:f>
            <x14:dxf>
              <numFmt numFmtId="164" formatCode=";;;"/>
              <border>
                <left/>
                <right/>
                <top/>
                <bottom/>
              </border>
            </x14:dxf>
          </x14:cfRule>
          <xm:sqref>B12:D14 B10:D10</xm:sqref>
        </x14:conditionalFormatting>
        <x14:conditionalFormatting xmlns:xm="http://schemas.microsoft.com/office/excel/2006/main">
          <x14:cfRule type="expression" priority="1" id="{00000000-000E-0000-0300-000001000000}">
            <xm:f>General!$C$18="It dosen't"</xm:f>
            <x14:dxf>
              <font>
                <color rgb="FFFF0000"/>
              </font>
              <fill>
                <patternFill>
                  <bgColor theme="0"/>
                </patternFill>
              </fill>
            </x14:dxf>
          </x14:cfRule>
          <x14:cfRule type="expression" priority="2" id="{00000000-000E-0000-0300-000002000000}">
            <xm:f>General!$C$18="VPN/SD-WAN"</xm:f>
            <x14:dxf>
              <font>
                <color rgb="FFFF0000"/>
              </font>
              <fill>
                <patternFill>
                  <bgColor theme="0"/>
                </patternFill>
              </fill>
            </x14:dxf>
          </x14:cfRule>
          <xm:sqref>B19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261E04-4D83-46F1-9706-468DD8DBA5F4}">
  <sheetPr codeName="Sheet9"/>
  <dimension ref="A1:E24"/>
  <sheetViews>
    <sheetView zoomScale="85" zoomScaleNormal="85" workbookViewId="0">
      <selection activeCell="C30" sqref="C30"/>
    </sheetView>
  </sheetViews>
  <sheetFormatPr defaultRowHeight="17.5" x14ac:dyDescent="0.35"/>
  <cols>
    <col min="1" max="1" width="8.7265625" style="12"/>
    <col min="2" max="2" width="52.7265625" style="12" customWidth="1"/>
    <col min="3" max="3" width="64.26953125" style="12" bestFit="1" customWidth="1"/>
    <col min="4" max="4" width="90.26953125" style="31" customWidth="1"/>
    <col min="5" max="16384" width="8.7265625" style="12"/>
  </cols>
  <sheetData>
    <row r="1" spans="1:5" ht="18" customHeight="1" x14ac:dyDescent="0.35">
      <c r="A1" s="8"/>
      <c r="B1" s="14" t="s">
        <v>134</v>
      </c>
      <c r="C1" s="14"/>
      <c r="D1" s="14"/>
      <c r="E1" s="8"/>
    </row>
    <row r="2" spans="1:5" ht="18" customHeight="1" x14ac:dyDescent="0.35">
      <c r="A2" s="8"/>
      <c r="B2" s="14"/>
      <c r="C2" s="14"/>
      <c r="D2" s="14"/>
      <c r="E2" s="8"/>
    </row>
    <row r="3" spans="1:5" ht="18" customHeight="1" x14ac:dyDescent="0.35">
      <c r="A3" s="8"/>
      <c r="B3" s="14"/>
      <c r="C3" s="14"/>
      <c r="D3" s="14"/>
      <c r="E3" s="8"/>
    </row>
    <row r="4" spans="1:5" ht="18" customHeight="1" x14ac:dyDescent="0.35">
      <c r="A4" s="8"/>
      <c r="B4" s="14"/>
      <c r="C4" s="14"/>
      <c r="D4" s="14"/>
      <c r="E4" s="8"/>
    </row>
    <row r="5" spans="1:5" ht="18" customHeight="1" x14ac:dyDescent="0.35">
      <c r="A5" s="8"/>
      <c r="B5" s="14"/>
      <c r="C5" s="14"/>
      <c r="D5" s="14"/>
      <c r="E5" s="8"/>
    </row>
    <row r="6" spans="1:5" ht="31" customHeight="1" x14ac:dyDescent="0.35">
      <c r="A6" s="8"/>
      <c r="B6" s="14"/>
      <c r="C6" s="14"/>
      <c r="D6" s="14"/>
      <c r="E6" s="8"/>
    </row>
    <row r="7" spans="1:5" x14ac:dyDescent="0.35">
      <c r="A7" s="8"/>
      <c r="B7" s="8"/>
      <c r="C7" s="8"/>
      <c r="D7" s="19"/>
      <c r="E7" s="8"/>
    </row>
    <row r="8" spans="1:5" x14ac:dyDescent="0.35">
      <c r="A8" s="8"/>
      <c r="B8" s="8"/>
      <c r="C8" s="8"/>
      <c r="D8" s="19"/>
      <c r="E8" s="8"/>
    </row>
    <row r="9" spans="1:5" ht="18" thickBot="1" x14ac:dyDescent="0.4">
      <c r="A9" s="8"/>
      <c r="B9" s="8"/>
      <c r="C9" s="8"/>
      <c r="D9" s="19"/>
      <c r="E9" s="8"/>
    </row>
    <row r="10" spans="1:5" ht="25.5" customHeight="1" x14ac:dyDescent="0.35">
      <c r="A10" s="8"/>
      <c r="B10" s="33" t="s">
        <v>133</v>
      </c>
      <c r="C10" s="34"/>
      <c r="D10" s="35"/>
      <c r="E10" s="8"/>
    </row>
    <row r="11" spans="1:5" x14ac:dyDescent="0.35">
      <c r="A11" s="8"/>
      <c r="B11" s="36"/>
      <c r="C11" s="24"/>
      <c r="D11" s="25"/>
      <c r="E11" s="8"/>
    </row>
    <row r="12" spans="1:5" x14ac:dyDescent="0.35">
      <c r="A12" s="8"/>
      <c r="B12" s="42" t="s">
        <v>126</v>
      </c>
      <c r="C12" s="6" t="s">
        <v>127</v>
      </c>
      <c r="D12" s="43" t="s">
        <v>136</v>
      </c>
      <c r="E12" s="8"/>
    </row>
    <row r="13" spans="1:5" ht="87.5" x14ac:dyDescent="0.35">
      <c r="A13" s="8"/>
      <c r="B13" s="28" t="s">
        <v>129</v>
      </c>
      <c r="C13" s="4" t="s">
        <v>151</v>
      </c>
      <c r="D13" s="29" t="s">
        <v>130</v>
      </c>
      <c r="E13" s="8"/>
    </row>
    <row r="14" spans="1:5" ht="18" thickBot="1" x14ac:dyDescent="0.4">
      <c r="A14" s="8"/>
      <c r="B14" s="38"/>
      <c r="C14" s="39"/>
      <c r="D14" s="40"/>
      <c r="E14" s="8"/>
    </row>
    <row r="15" spans="1:5" x14ac:dyDescent="0.35">
      <c r="A15" s="8"/>
      <c r="B15" s="8"/>
      <c r="C15" s="8"/>
      <c r="D15" s="19"/>
      <c r="E15" s="8"/>
    </row>
    <row r="16" spans="1:5" x14ac:dyDescent="0.35">
      <c r="A16" s="8"/>
      <c r="B16" s="8"/>
      <c r="C16" s="8"/>
      <c r="D16" s="19"/>
      <c r="E16" s="8"/>
    </row>
    <row r="17" spans="1:5" x14ac:dyDescent="0.35">
      <c r="A17" s="8"/>
      <c r="B17" s="8"/>
      <c r="C17" s="8"/>
      <c r="D17" s="19"/>
      <c r="E17" s="8"/>
    </row>
    <row r="22" spans="1:5" hidden="1" x14ac:dyDescent="0.35"/>
    <row r="23" spans="1:5" hidden="1" x14ac:dyDescent="0.35">
      <c r="C23" s="12" t="e">
        <f>#REF!</f>
        <v>#REF!</v>
      </c>
    </row>
    <row r="24" spans="1:5" hidden="1" x14ac:dyDescent="0.35">
      <c r="C24" s="46"/>
    </row>
  </sheetData>
  <mergeCells count="2">
    <mergeCell ref="B1:D6"/>
    <mergeCell ref="B10:D10"/>
  </mergeCells>
  <conditionalFormatting sqref="B13:D13">
    <cfRule type="expression" dxfId="15" priority="3">
      <formula>$C$12="No"</formula>
    </cfRule>
  </conditionalFormatting>
  <conditionalFormatting sqref="C15:C17 C12:C13 C7:C10">
    <cfRule type="expression" dxfId="14" priority="5">
      <formula>ISNUMBER(SEARCH("Example",C7))</formula>
    </cfRule>
  </conditionalFormatting>
  <conditionalFormatting sqref="C12:C13">
    <cfRule type="expression" dxfId="13" priority="6">
      <formula>ISNUMBER(SEARCH("Example",C12))</formula>
    </cfRule>
  </conditionalFormatting>
  <conditionalFormatting sqref="C13">
    <cfRule type="expression" dxfId="12" priority="4">
      <formula>ISNUMBER(SEARCH("Example",C13))</formula>
    </cfRule>
  </conditionalFormatting>
  <conditionalFormatting sqref="B12:D13 B10:D10">
    <cfRule type="expression" dxfId="11" priority="7">
      <formula>#REF!="VPN/SD-WAN"</formula>
    </cfRule>
    <cfRule type="expression" dxfId="10" priority="8">
      <formula>#REF!="It dosen't"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r:id="rId5">
            <anchor moveWithCells="1">
              <from>
                <xdr:col>1</xdr:col>
                <xdr:colOff>6350</xdr:colOff>
                <xdr:row>6</xdr:row>
                <xdr:rowOff>82550</xdr:rowOff>
              </from>
              <to>
                <xdr:col>1</xdr:col>
                <xdr:colOff>2717800</xdr:colOff>
                <xdr:row>8</xdr:row>
                <xdr:rowOff>120650</xdr:rowOff>
              </to>
            </anchor>
          </controlPr>
        </control>
      </mc:Choice>
      <mc:Fallback>
        <control shapeId="9217" r:id="rId4" name="CommandButton1"/>
      </mc:Fallback>
    </mc:AlternateContent>
    <mc:AlternateContent xmlns:mc="http://schemas.openxmlformats.org/markup-compatibility/2006">
      <mc:Choice Requires="x14">
        <control shapeId="9218" r:id="rId6" name="CommandButton2">
          <controlPr defaultSize="0" autoLine="0" r:id="rId7">
            <anchor moveWithCells="1">
              <from>
                <xdr:col>3</xdr:col>
                <xdr:colOff>2832100</xdr:colOff>
                <xdr:row>6</xdr:row>
                <xdr:rowOff>82550</xdr:rowOff>
              </from>
              <to>
                <xdr:col>4</xdr:col>
                <xdr:colOff>0</xdr:colOff>
                <xdr:row>8</xdr:row>
                <xdr:rowOff>120650</xdr:rowOff>
              </to>
            </anchor>
          </controlPr>
        </control>
      </mc:Choice>
      <mc:Fallback>
        <control shapeId="9218" r:id="rId6" name="CommandButton2"/>
      </mc:Fallback>
    </mc:AlternateContent>
    <mc:AlternateContent xmlns:mc="http://schemas.openxmlformats.org/markup-compatibility/2006">
      <mc:Choice Requires="x14">
        <control shapeId="9219" r:id="rId8" name="CommandButton4">
          <controlPr defaultSize="0" autoLine="0" autoPict="0" r:id="rId9">
            <anchor moveWithCells="1">
              <from>
                <xdr:col>2</xdr:col>
                <xdr:colOff>3822700</xdr:colOff>
                <xdr:row>14</xdr:row>
                <xdr:rowOff>133350</xdr:rowOff>
              </from>
              <to>
                <xdr:col>3</xdr:col>
                <xdr:colOff>876300</xdr:colOff>
                <xdr:row>16</xdr:row>
                <xdr:rowOff>152400</xdr:rowOff>
              </to>
            </anchor>
          </controlPr>
        </control>
      </mc:Choice>
      <mc:Fallback>
        <control shapeId="9219" r:id="rId8" name="CommandButton4"/>
      </mc:Fallback>
    </mc:AlternateContent>
    <mc:AlternateContent xmlns:mc="http://schemas.openxmlformats.org/markup-compatibility/2006">
      <mc:Choice Requires="x14">
        <control shapeId="9220" r:id="rId10" name="CommandButton3">
          <controlPr defaultSize="0" autoLine="0" r:id="rId11">
            <anchor moveWithCells="1">
              <from>
                <xdr:col>2</xdr:col>
                <xdr:colOff>2006600</xdr:colOff>
                <xdr:row>14</xdr:row>
                <xdr:rowOff>133350</xdr:rowOff>
              </from>
              <to>
                <xdr:col>2</xdr:col>
                <xdr:colOff>3340100</xdr:colOff>
                <xdr:row>16</xdr:row>
                <xdr:rowOff>152400</xdr:rowOff>
              </to>
            </anchor>
          </controlPr>
        </control>
      </mc:Choice>
      <mc:Fallback>
        <control shapeId="9220" r:id="rId10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AA3FD14-3D68-4076-A46A-6B9EC845638B}">
          <x14:formula1>
            <xm:f>Sheet2!$F$1:$F$2</xm:f>
          </x14:formula1>
          <xm:sqref>C12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EFFCAC-E961-4200-AF7B-F28C000C3CCE}">
  <sheetPr codeName="Sheet5"/>
  <dimension ref="A1:I21"/>
  <sheetViews>
    <sheetView workbookViewId="0">
      <selection activeCell="B7" sqref="B7"/>
    </sheetView>
  </sheetViews>
  <sheetFormatPr defaultRowHeight="14.5" x14ac:dyDescent="0.35"/>
  <cols>
    <col min="1" max="1" width="28.6328125" bestFit="1" customWidth="1"/>
    <col min="2" max="2" width="46.453125" bestFit="1" customWidth="1"/>
    <col min="9" max="9" width="79" bestFit="1" customWidth="1"/>
  </cols>
  <sheetData>
    <row r="1" spans="1:9" x14ac:dyDescent="0.35">
      <c r="A1" t="s">
        <v>108</v>
      </c>
      <c r="B1" t="str">
        <f>General!C12</f>
        <v>Example: 11XXXXXX-6ce4-XXXX-bd92-XXXX930beXXX</v>
      </c>
    </row>
    <row r="2" spans="1:9" x14ac:dyDescent="0.35">
      <c r="A2" t="s">
        <v>109</v>
      </c>
      <c r="B2" t="str">
        <f>General!C13</f>
        <v xml:space="preserve"> --Make Selection</v>
      </c>
    </row>
    <row r="3" spans="1:9" x14ac:dyDescent="0.35">
      <c r="A3" t="s">
        <v>110</v>
      </c>
      <c r="B3" t="str">
        <f>General!C14</f>
        <v>Example: myavsresourcegroup</v>
      </c>
    </row>
    <row r="4" spans="1:9" x14ac:dyDescent="0.35">
      <c r="A4" t="s">
        <v>111</v>
      </c>
      <c r="B4" t="str">
        <f>General!C15</f>
        <v>Example: myavsprivatecloud</v>
      </c>
    </row>
    <row r="5" spans="1:9" x14ac:dyDescent="0.35">
      <c r="A5" t="s">
        <v>112</v>
      </c>
      <c r="B5" t="str">
        <f>General!C17</f>
        <v>Example: 10.0.4.0/22</v>
      </c>
    </row>
    <row r="6" spans="1:9" ht="18.5" x14ac:dyDescent="0.45">
      <c r="A6" t="s">
        <v>113</v>
      </c>
      <c r="B6" t="str">
        <f>General!C16</f>
        <v xml:space="preserve"> --Make Selection</v>
      </c>
      <c r="I6" s="1"/>
    </row>
    <row r="7" spans="1:9" ht="18.5" x14ac:dyDescent="0.45">
      <c r="A7" t="s">
        <v>114</v>
      </c>
      <c r="B7" t="str">
        <f>General!C18</f>
        <v>It dosen't</v>
      </c>
      <c r="I7" s="1"/>
    </row>
    <row r="8" spans="1:9" ht="18.5" x14ac:dyDescent="0.45">
      <c r="A8" t="s">
        <v>115</v>
      </c>
      <c r="B8" t="str">
        <f>'Azure Backbone Connectivity'!C12</f>
        <v>New</v>
      </c>
      <c r="I8" s="1"/>
    </row>
    <row r="9" spans="1:9" ht="18.5" x14ac:dyDescent="0.45">
      <c r="A9" t="s">
        <v>116</v>
      </c>
      <c r="B9" t="str">
        <f>'On-Prem ExR Details'!C12</f>
        <v>Example: 11XXXXXX-6ce4-XXXX-bd92-XXXX930beXXX</v>
      </c>
      <c r="I9" s="1"/>
    </row>
    <row r="10" spans="1:9" ht="18.5" x14ac:dyDescent="0.45">
      <c r="A10" t="s">
        <v>117</v>
      </c>
      <c r="B10" t="str">
        <f>'On-Prem ExR Details'!C13</f>
        <v>Example: MyOnPremCircuit</v>
      </c>
      <c r="I10" s="1"/>
    </row>
    <row r="11" spans="1:9" ht="18.5" x14ac:dyDescent="0.45">
      <c r="A11" t="s">
        <v>118</v>
      </c>
      <c r="B11" t="str">
        <f>'On-Prem ExR Details'!C14</f>
        <v>Example: ProdResourceGroup</v>
      </c>
      <c r="I11" s="2"/>
    </row>
    <row r="12" spans="1:9" ht="18.5" x14ac:dyDescent="0.45">
      <c r="A12" t="s">
        <v>119</v>
      </c>
      <c r="B12" t="str">
        <f>'Azure Backbone Connectivity'!C13</f>
        <v>Example: 11XXXXXX-6ce4-XXXX-bd92-XXXX930beXXX</v>
      </c>
      <c r="I12" s="2"/>
    </row>
    <row r="13" spans="1:9" ht="18.5" x14ac:dyDescent="0.45">
      <c r="A13" t="s">
        <v>120</v>
      </c>
      <c r="B13" t="str">
        <f>'Azure Backbone Connectivity'!C14</f>
        <v>Example: MyExRvNet</v>
      </c>
      <c r="I13" s="2"/>
    </row>
    <row r="14" spans="1:9" ht="18.5" x14ac:dyDescent="0.45">
      <c r="A14" t="s">
        <v>121</v>
      </c>
      <c r="B14" t="str">
        <f>'Azure Backbone Connectivity'!C15</f>
        <v>Example: myAVSvNetGateway</v>
      </c>
      <c r="I14" s="2"/>
    </row>
    <row r="15" spans="1:9" ht="18.5" x14ac:dyDescent="0.45">
      <c r="A15" t="s">
        <v>122</v>
      </c>
      <c r="B15" t="str">
        <f>'Azure Backbone Connectivity'!C17</f>
        <v>Example: ExRGWResourceGroup</v>
      </c>
      <c r="I15" s="2"/>
    </row>
    <row r="16" spans="1:9" ht="18.5" x14ac:dyDescent="0.45">
      <c r="A16" t="s">
        <v>123</v>
      </c>
      <c r="B16" t="str">
        <f>'Azure Backbone Connectivity'!C16</f>
        <v xml:space="preserve"> --Make Selection</v>
      </c>
      <c r="I16" s="2"/>
    </row>
    <row r="17" spans="1:9" ht="18.5" x14ac:dyDescent="0.45">
      <c r="A17" t="s">
        <v>124</v>
      </c>
      <c r="B17" t="str">
        <f>'Azure Backbone Connectivity'!C18</f>
        <v>Example: 10.55.2.0/24</v>
      </c>
      <c r="I17" s="2"/>
    </row>
    <row r="18" spans="1:9" ht="18.5" x14ac:dyDescent="0.45">
      <c r="A18" t="s">
        <v>131</v>
      </c>
      <c r="B18" t="str">
        <f>ARCForAVS!C12</f>
        <v>Yes</v>
      </c>
      <c r="I18" s="2"/>
    </row>
    <row r="19" spans="1:9" ht="18.5" x14ac:dyDescent="0.45">
      <c r="A19" t="s">
        <v>132</v>
      </c>
      <c r="B19" t="str">
        <f>ARCForAVS!C13</f>
        <v>Example: 192.168.10.1/28</v>
      </c>
      <c r="I19" s="1"/>
    </row>
    <row r="20" spans="1:9" ht="18.5" x14ac:dyDescent="0.45">
      <c r="A20" t="s">
        <v>137</v>
      </c>
      <c r="B20" t="s">
        <v>138</v>
      </c>
      <c r="I20" s="1"/>
    </row>
    <row r="21" spans="1:9" ht="18.5" x14ac:dyDescent="0.45">
      <c r="A21" t="s">
        <v>139</v>
      </c>
      <c r="B21">
        <v>3</v>
      </c>
      <c r="I21" s="1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BD2BF4-A1D5-4479-8039-7C217C17B5B7}">
  <sheetPr codeName="Sheet2"/>
  <dimension ref="A1:F76"/>
  <sheetViews>
    <sheetView workbookViewId="0">
      <selection activeCell="F3" sqref="F3"/>
    </sheetView>
  </sheetViews>
  <sheetFormatPr defaultRowHeight="14.5" x14ac:dyDescent="0.35"/>
  <cols>
    <col min="1" max="1" width="20.1796875" bestFit="1" customWidth="1"/>
    <col min="2" max="2" width="52.6328125" bestFit="1" customWidth="1"/>
    <col min="5" max="5" width="21.81640625" bestFit="1" customWidth="1"/>
  </cols>
  <sheetData>
    <row r="1" spans="1:6" x14ac:dyDescent="0.35">
      <c r="A1" t="s">
        <v>107</v>
      </c>
      <c r="B1" t="s">
        <v>107</v>
      </c>
      <c r="C1" t="s">
        <v>107</v>
      </c>
      <c r="D1" t="s">
        <v>107</v>
      </c>
      <c r="E1" t="s">
        <v>107</v>
      </c>
      <c r="F1" t="s">
        <v>127</v>
      </c>
    </row>
    <row r="2" spans="1:6" x14ac:dyDescent="0.35">
      <c r="A2" t="s">
        <v>16</v>
      </c>
      <c r="B2" t="s">
        <v>46</v>
      </c>
      <c r="C2" t="s">
        <v>50</v>
      </c>
      <c r="D2" t="s">
        <v>52</v>
      </c>
      <c r="E2" t="s">
        <v>66</v>
      </c>
      <c r="F2" t="s">
        <v>128</v>
      </c>
    </row>
    <row r="3" spans="1:6" x14ac:dyDescent="0.35">
      <c r="A3" t="s">
        <v>17</v>
      </c>
      <c r="B3" t="s">
        <v>47</v>
      </c>
      <c r="C3" t="s">
        <v>51</v>
      </c>
      <c r="D3" t="s">
        <v>53</v>
      </c>
      <c r="E3" t="s">
        <v>67</v>
      </c>
    </row>
    <row r="4" spans="1:6" x14ac:dyDescent="0.35">
      <c r="A4" t="s">
        <v>18</v>
      </c>
      <c r="B4" t="s">
        <v>48</v>
      </c>
      <c r="C4" t="s">
        <v>54</v>
      </c>
      <c r="E4" t="s">
        <v>15</v>
      </c>
    </row>
    <row r="5" spans="1:6" x14ac:dyDescent="0.35">
      <c r="A5" t="s">
        <v>19</v>
      </c>
      <c r="B5" t="s">
        <v>49</v>
      </c>
      <c r="E5" t="s">
        <v>88</v>
      </c>
    </row>
    <row r="6" spans="1:6" x14ac:dyDescent="0.35">
      <c r="A6" t="s">
        <v>20</v>
      </c>
      <c r="E6" t="s">
        <v>16</v>
      </c>
    </row>
    <row r="7" spans="1:6" x14ac:dyDescent="0.35">
      <c r="A7" t="s">
        <v>37</v>
      </c>
      <c r="E7" t="s">
        <v>17</v>
      </c>
    </row>
    <row r="8" spans="1:6" x14ac:dyDescent="0.35">
      <c r="A8" t="s">
        <v>13</v>
      </c>
      <c r="E8" t="s">
        <v>68</v>
      </c>
    </row>
    <row r="9" spans="1:6" x14ac:dyDescent="0.35">
      <c r="A9" t="s">
        <v>38</v>
      </c>
      <c r="E9" t="s">
        <v>18</v>
      </c>
    </row>
    <row r="10" spans="1:6" x14ac:dyDescent="0.35">
      <c r="A10" t="s">
        <v>39</v>
      </c>
      <c r="E10" t="s">
        <v>98</v>
      </c>
    </row>
    <row r="11" spans="1:6" x14ac:dyDescent="0.35">
      <c r="A11" t="s">
        <v>23</v>
      </c>
      <c r="E11" t="s">
        <v>69</v>
      </c>
    </row>
    <row r="12" spans="1:6" x14ac:dyDescent="0.35">
      <c r="A12" t="s">
        <v>24</v>
      </c>
      <c r="E12" t="s">
        <v>19</v>
      </c>
    </row>
    <row r="13" spans="1:6" x14ac:dyDescent="0.35">
      <c r="A13" t="s">
        <v>27</v>
      </c>
      <c r="E13" t="s">
        <v>20</v>
      </c>
    </row>
    <row r="14" spans="1:6" x14ac:dyDescent="0.35">
      <c r="A14" t="s">
        <v>28</v>
      </c>
      <c r="E14" t="s">
        <v>25</v>
      </c>
    </row>
    <row r="15" spans="1:6" x14ac:dyDescent="0.35">
      <c r="A15" t="s">
        <v>40</v>
      </c>
      <c r="E15" t="s">
        <v>37</v>
      </c>
    </row>
    <row r="16" spans="1:6" x14ac:dyDescent="0.35">
      <c r="A16" t="s">
        <v>21</v>
      </c>
      <c r="E16" t="s">
        <v>60</v>
      </c>
    </row>
    <row r="17" spans="1:5" x14ac:dyDescent="0.35">
      <c r="A17" t="s">
        <v>12</v>
      </c>
      <c r="E17" t="s">
        <v>86</v>
      </c>
    </row>
    <row r="18" spans="1:5" x14ac:dyDescent="0.35">
      <c r="A18" t="s">
        <v>41</v>
      </c>
      <c r="E18" t="s">
        <v>13</v>
      </c>
    </row>
    <row r="19" spans="1:5" x14ac:dyDescent="0.35">
      <c r="A19" t="s">
        <v>14</v>
      </c>
      <c r="E19" t="s">
        <v>82</v>
      </c>
    </row>
    <row r="20" spans="1:5" x14ac:dyDescent="0.35">
      <c r="A20" t="s">
        <v>32</v>
      </c>
      <c r="E20" t="s">
        <v>38</v>
      </c>
    </row>
    <row r="21" spans="1:5" x14ac:dyDescent="0.35">
      <c r="A21" t="s">
        <v>35</v>
      </c>
      <c r="E21" t="s">
        <v>39</v>
      </c>
    </row>
    <row r="22" spans="1:5" x14ac:dyDescent="0.35">
      <c r="A22" t="s">
        <v>36</v>
      </c>
      <c r="E22" t="s">
        <v>61</v>
      </c>
    </row>
    <row r="23" spans="1:5" x14ac:dyDescent="0.35">
      <c r="A23" t="s">
        <v>22</v>
      </c>
      <c r="E23" t="s">
        <v>59</v>
      </c>
    </row>
    <row r="24" spans="1:5" x14ac:dyDescent="0.35">
      <c r="A24" t="s">
        <v>43</v>
      </c>
      <c r="E24" t="s">
        <v>83</v>
      </c>
    </row>
    <row r="25" spans="1:5" x14ac:dyDescent="0.35">
      <c r="A25" t="s">
        <v>44</v>
      </c>
      <c r="E25" t="s">
        <v>70</v>
      </c>
    </row>
    <row r="26" spans="1:5" x14ac:dyDescent="0.35">
      <c r="E26" t="s">
        <v>71</v>
      </c>
    </row>
    <row r="27" spans="1:5" x14ac:dyDescent="0.35">
      <c r="E27" t="s">
        <v>23</v>
      </c>
    </row>
    <row r="28" spans="1:5" x14ac:dyDescent="0.35">
      <c r="E28" t="s">
        <v>92</v>
      </c>
    </row>
    <row r="29" spans="1:5" x14ac:dyDescent="0.35">
      <c r="E29" t="s">
        <v>72</v>
      </c>
    </row>
    <row r="30" spans="1:5" x14ac:dyDescent="0.35">
      <c r="E30" t="s">
        <v>93</v>
      </c>
    </row>
    <row r="31" spans="1:5" x14ac:dyDescent="0.35">
      <c r="E31" t="s">
        <v>24</v>
      </c>
    </row>
    <row r="32" spans="1:5" x14ac:dyDescent="0.35">
      <c r="E32" t="s">
        <v>73</v>
      </c>
    </row>
    <row r="33" spans="5:5" x14ac:dyDescent="0.35">
      <c r="E33" t="s">
        <v>74</v>
      </c>
    </row>
    <row r="34" spans="5:5" x14ac:dyDescent="0.35">
      <c r="E34" t="s">
        <v>75</v>
      </c>
    </row>
    <row r="35" spans="5:5" x14ac:dyDescent="0.35">
      <c r="E35" t="s">
        <v>27</v>
      </c>
    </row>
    <row r="36" spans="5:5" x14ac:dyDescent="0.35">
      <c r="E36" t="s">
        <v>28</v>
      </c>
    </row>
    <row r="37" spans="5:5" x14ac:dyDescent="0.35">
      <c r="E37" t="s">
        <v>89</v>
      </c>
    </row>
    <row r="38" spans="5:5" x14ac:dyDescent="0.35">
      <c r="E38" t="s">
        <v>85</v>
      </c>
    </row>
    <row r="39" spans="5:5" x14ac:dyDescent="0.35">
      <c r="E39" t="s">
        <v>76</v>
      </c>
    </row>
    <row r="40" spans="5:5" x14ac:dyDescent="0.35">
      <c r="E40" t="s">
        <v>29</v>
      </c>
    </row>
    <row r="41" spans="5:5" x14ac:dyDescent="0.35">
      <c r="E41" t="s">
        <v>90</v>
      </c>
    </row>
    <row r="42" spans="5:5" x14ac:dyDescent="0.35">
      <c r="E42" t="s">
        <v>40</v>
      </c>
    </row>
    <row r="43" spans="5:5" x14ac:dyDescent="0.35">
      <c r="E43" t="s">
        <v>62</v>
      </c>
    </row>
    <row r="44" spans="5:5" x14ac:dyDescent="0.35">
      <c r="E44" t="s">
        <v>21</v>
      </c>
    </row>
    <row r="45" spans="5:5" x14ac:dyDescent="0.35">
      <c r="E45" t="s">
        <v>77</v>
      </c>
    </row>
    <row r="46" spans="5:5" x14ac:dyDescent="0.35">
      <c r="E46" t="s">
        <v>30</v>
      </c>
    </row>
    <row r="47" spans="5:5" x14ac:dyDescent="0.35">
      <c r="E47" t="s">
        <v>94</v>
      </c>
    </row>
    <row r="48" spans="5:5" x14ac:dyDescent="0.35">
      <c r="E48" t="s">
        <v>99</v>
      </c>
    </row>
    <row r="49" spans="5:5" x14ac:dyDescent="0.35">
      <c r="E49" t="s">
        <v>31</v>
      </c>
    </row>
    <row r="50" spans="5:5" x14ac:dyDescent="0.35">
      <c r="E50" t="s">
        <v>78</v>
      </c>
    </row>
    <row r="51" spans="5:5" x14ac:dyDescent="0.35">
      <c r="E51" t="s">
        <v>79</v>
      </c>
    </row>
    <row r="52" spans="5:5" x14ac:dyDescent="0.35">
      <c r="E52" t="s">
        <v>12</v>
      </c>
    </row>
    <row r="53" spans="5:5" x14ac:dyDescent="0.35">
      <c r="E53" t="s">
        <v>87</v>
      </c>
    </row>
    <row r="54" spans="5:5" x14ac:dyDescent="0.35">
      <c r="E54" t="s">
        <v>41</v>
      </c>
    </row>
    <row r="55" spans="5:5" x14ac:dyDescent="0.35">
      <c r="E55" t="s">
        <v>63</v>
      </c>
    </row>
    <row r="56" spans="5:5" x14ac:dyDescent="0.35">
      <c r="E56" t="s">
        <v>84</v>
      </c>
    </row>
    <row r="57" spans="5:5" x14ac:dyDescent="0.35">
      <c r="E57" t="s">
        <v>26</v>
      </c>
    </row>
    <row r="58" spans="5:5" x14ac:dyDescent="0.35">
      <c r="E58" t="s">
        <v>14</v>
      </c>
    </row>
    <row r="59" spans="5:5" x14ac:dyDescent="0.35">
      <c r="E59" t="s">
        <v>32</v>
      </c>
    </row>
    <row r="60" spans="5:5" x14ac:dyDescent="0.35">
      <c r="E60" t="s">
        <v>95</v>
      </c>
    </row>
    <row r="61" spans="5:5" x14ac:dyDescent="0.35">
      <c r="E61" t="s">
        <v>80</v>
      </c>
    </row>
    <row r="62" spans="5:5" x14ac:dyDescent="0.35">
      <c r="E62" t="s">
        <v>33</v>
      </c>
    </row>
    <row r="63" spans="5:5" x14ac:dyDescent="0.35">
      <c r="E63" t="s">
        <v>96</v>
      </c>
    </row>
    <row r="64" spans="5:5" x14ac:dyDescent="0.35">
      <c r="E64" t="s">
        <v>97</v>
      </c>
    </row>
    <row r="65" spans="5:5" x14ac:dyDescent="0.35">
      <c r="E65" t="s">
        <v>34</v>
      </c>
    </row>
    <row r="66" spans="5:5" x14ac:dyDescent="0.35">
      <c r="E66" t="s">
        <v>35</v>
      </c>
    </row>
    <row r="67" spans="5:5" x14ac:dyDescent="0.35">
      <c r="E67" t="s">
        <v>36</v>
      </c>
    </row>
    <row r="68" spans="5:5" x14ac:dyDescent="0.35">
      <c r="E68" t="s">
        <v>81</v>
      </c>
    </row>
    <row r="69" spans="5:5" x14ac:dyDescent="0.35">
      <c r="E69" t="s">
        <v>42</v>
      </c>
    </row>
    <row r="70" spans="5:5" x14ac:dyDescent="0.35">
      <c r="E70" t="s">
        <v>22</v>
      </c>
    </row>
    <row r="71" spans="5:5" x14ac:dyDescent="0.35">
      <c r="E71" t="s">
        <v>91</v>
      </c>
    </row>
    <row r="72" spans="5:5" x14ac:dyDescent="0.35">
      <c r="E72" t="s">
        <v>43</v>
      </c>
    </row>
    <row r="73" spans="5:5" x14ac:dyDescent="0.35">
      <c r="E73" t="s">
        <v>64</v>
      </c>
    </row>
    <row r="74" spans="5:5" x14ac:dyDescent="0.35">
      <c r="E74" t="s">
        <v>44</v>
      </c>
    </row>
    <row r="75" spans="5:5" x14ac:dyDescent="0.35">
      <c r="E75" t="s">
        <v>65</v>
      </c>
    </row>
    <row r="76" spans="5:5" x14ac:dyDescent="0.35">
      <c r="E76" t="s">
        <v>45</v>
      </c>
    </row>
  </sheetData>
  <sortState xmlns:xlrd2="http://schemas.microsoft.com/office/spreadsheetml/2017/richdata2" ref="E2:E80">
    <sortCondition ref="E1:E80"/>
  </sortState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ReadMe</vt:lpstr>
      <vt:lpstr>General</vt:lpstr>
      <vt:lpstr>Azure Backbone Connectivity</vt:lpstr>
      <vt:lpstr>On-Prem ExR Details</vt:lpstr>
      <vt:lpstr>ARCForAVS</vt:lpstr>
      <vt:lpstr>variables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Davis</dc:creator>
  <cp:lastModifiedBy>Trevor Davis</cp:lastModifiedBy>
  <dcterms:created xsi:type="dcterms:W3CDTF">2023-02-02T17:30:49Z</dcterms:created>
  <dcterms:modified xsi:type="dcterms:W3CDTF">2023-02-20T18:47:22Z</dcterms:modified>
</cp:coreProperties>
</file>